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8章 擇時系統之設計：初探\"/>
    </mc:Choice>
  </mc:AlternateContent>
  <bookViews>
    <workbookView xWindow="720" yWindow="228" windowWidth="6252" windowHeight="6048"/>
  </bookViews>
  <sheets>
    <sheet name="data" sheetId="8" r:id="rId1"/>
  </sheets>
  <calcPr calcId="162913"/>
</workbook>
</file>

<file path=xl/calcChain.xml><?xml version="1.0" encoding="utf-8"?>
<calcChain xmlns="http://schemas.openxmlformats.org/spreadsheetml/2006/main">
  <c r="BF2" i="8" l="1"/>
  <c r="BG2" i="8"/>
  <c r="BH2" i="8"/>
  <c r="BI2" i="8"/>
  <c r="BJ3" i="8"/>
  <c r="BG62" i="8" s="1"/>
  <c r="BF10" i="8"/>
  <c r="BG10" i="8"/>
  <c r="BH10" i="8"/>
  <c r="BI10" i="8"/>
  <c r="BJ10" i="8" s="1"/>
  <c r="BK55" i="8" s="1"/>
  <c r="BF8" i="8"/>
  <c r="BG8" i="8"/>
  <c r="BH8" i="8"/>
  <c r="BI8" i="8"/>
  <c r="BF20" i="8"/>
  <c r="BG20" i="8"/>
  <c r="BH20" i="8"/>
  <c r="BJ21" i="8" s="1"/>
  <c r="BK63" i="8" s="1"/>
  <c r="BI20" i="8"/>
  <c r="BJ20" i="8" s="1"/>
  <c r="BK56" i="8" s="1"/>
  <c r="BF32" i="8"/>
  <c r="BG32" i="8"/>
  <c r="BH32" i="8"/>
  <c r="BI32" i="8"/>
  <c r="BF42" i="8"/>
  <c r="BG42" i="8"/>
  <c r="BH42" i="8"/>
  <c r="BI42" i="8"/>
  <c r="BF44" i="8"/>
  <c r="BG44" i="8"/>
  <c r="BJ45" i="8" s="1"/>
  <c r="BH66" i="8" s="1"/>
  <c r="BH44" i="8"/>
  <c r="BI44" i="8"/>
  <c r="BF4" i="8"/>
  <c r="BG4" i="8"/>
  <c r="BH4" i="8"/>
  <c r="BJ4" i="8" s="1"/>
  <c r="BH55" i="8" s="1"/>
  <c r="BI4" i="8"/>
  <c r="BF14" i="8"/>
  <c r="BJ15" i="8" s="1"/>
  <c r="BH63" i="8" s="1"/>
  <c r="BG14" i="8"/>
  <c r="BJ14" i="8" s="1"/>
  <c r="BH14" i="8"/>
  <c r="BI14" i="8"/>
  <c r="BH56" i="8"/>
  <c r="BF24" i="8"/>
  <c r="BG24" i="8"/>
  <c r="BH24" i="8"/>
  <c r="BI24" i="8"/>
  <c r="BF34" i="8"/>
  <c r="BG34" i="8"/>
  <c r="BJ34" i="8" s="1"/>
  <c r="BH58" i="8" s="1"/>
  <c r="BH34" i="8"/>
  <c r="BI34" i="8"/>
  <c r="BF6" i="8"/>
  <c r="BG6" i="8"/>
  <c r="BJ6" i="8" s="1"/>
  <c r="BH6" i="8"/>
  <c r="BI6" i="8"/>
  <c r="BI55" i="8"/>
  <c r="BF16" i="8"/>
  <c r="BG16" i="8"/>
  <c r="BH16" i="8"/>
  <c r="BI16" i="8"/>
  <c r="BJ17" i="8" s="1"/>
  <c r="BI63" i="8" s="1"/>
  <c r="BF26" i="8"/>
  <c r="BG26" i="8"/>
  <c r="BJ26" i="8" s="1"/>
  <c r="BI57" i="8" s="1"/>
  <c r="BH26" i="8"/>
  <c r="BI26" i="8"/>
  <c r="BF36" i="8"/>
  <c r="BG36" i="8"/>
  <c r="BH36" i="8"/>
  <c r="BJ36" i="8" s="1"/>
  <c r="BI58" i="8" s="1"/>
  <c r="BI36" i="8"/>
  <c r="BF46" i="8"/>
  <c r="BJ47" i="8" s="1"/>
  <c r="BI66" i="8" s="1"/>
  <c r="BG46" i="8"/>
  <c r="BJ46" i="8" s="1"/>
  <c r="BH46" i="8"/>
  <c r="BI46" i="8"/>
  <c r="BI59" i="8"/>
  <c r="BF18" i="8"/>
  <c r="BG18" i="8"/>
  <c r="BJ18" i="8" s="1"/>
  <c r="BJ56" i="8" s="1"/>
  <c r="BH18" i="8"/>
  <c r="BI18" i="8"/>
  <c r="BF28" i="8"/>
  <c r="BJ29" i="8" s="1"/>
  <c r="BJ64" i="8" s="1"/>
  <c r="BG28" i="8"/>
  <c r="BH28" i="8"/>
  <c r="BJ28" i="8" s="1"/>
  <c r="BJ57" i="8" s="1"/>
  <c r="BI28" i="8"/>
  <c r="BF38" i="8"/>
  <c r="BJ39" i="8" s="1"/>
  <c r="BJ65" i="8" s="1"/>
  <c r="BG38" i="8"/>
  <c r="BJ38" i="8" s="1"/>
  <c r="BH38" i="8"/>
  <c r="BI38" i="8"/>
  <c r="BJ58" i="8"/>
  <c r="BF48" i="8"/>
  <c r="BG48" i="8"/>
  <c r="BH48" i="8"/>
  <c r="BI48" i="8"/>
  <c r="BJ49" i="8" s="1"/>
  <c r="BJ66" i="8" s="1"/>
  <c r="BF30" i="8"/>
  <c r="BG30" i="8"/>
  <c r="BJ30" i="8" s="1"/>
  <c r="BH30" i="8"/>
  <c r="BI30" i="8"/>
  <c r="BK57" i="8"/>
  <c r="BF40" i="8"/>
  <c r="BG40" i="8"/>
  <c r="BH40" i="8"/>
  <c r="BI40" i="8"/>
  <c r="BJ41" i="8" s="1"/>
  <c r="BK65" i="8" s="1"/>
  <c r="BF50" i="8"/>
  <c r="BG50" i="8"/>
  <c r="BJ50" i="8" s="1"/>
  <c r="BK59" i="8" s="1"/>
  <c r="BH50" i="8"/>
  <c r="BI50" i="8"/>
  <c r="BJ2" i="8"/>
  <c r="BG55" i="8" s="1"/>
  <c r="BF12" i="8"/>
  <c r="BG12" i="8"/>
  <c r="BJ12" i="8" s="1"/>
  <c r="BG56" i="8" s="1"/>
  <c r="BH12" i="8"/>
  <c r="BI12" i="8"/>
  <c r="BF22" i="8"/>
  <c r="BJ23" i="8" s="1"/>
  <c r="BG64" i="8" s="1"/>
  <c r="BG22" i="8"/>
  <c r="BH22" i="8"/>
  <c r="BI22" i="8"/>
  <c r="BJ22" i="8"/>
  <c r="BG57" i="8" s="1"/>
  <c r="BJ42" i="8"/>
  <c r="BG59" i="8" s="1"/>
  <c r="BJ5" i="8"/>
  <c r="BH62" i="8"/>
  <c r="BK61" i="8"/>
  <c r="BJ61" i="8"/>
  <c r="BI61" i="8"/>
  <c r="BH61" i="8"/>
  <c r="BG61" i="8"/>
  <c r="BK54" i="8"/>
  <c r="BJ54" i="8"/>
  <c r="BI54" i="8"/>
  <c r="BH54" i="8"/>
  <c r="BG54" i="8"/>
  <c r="BF66" i="8"/>
  <c r="BF65" i="8"/>
  <c r="BF64" i="8"/>
  <c r="BF63" i="8"/>
  <c r="BF62" i="8"/>
  <c r="BF59" i="8"/>
  <c r="BF58" i="8"/>
  <c r="BF57" i="8"/>
  <c r="BF56" i="8"/>
  <c r="BF55" i="8"/>
  <c r="BJ7" i="8"/>
  <c r="BI62" i="8"/>
  <c r="BJ31" i="8"/>
  <c r="BK64" i="8"/>
  <c r="BJ37" i="8"/>
  <c r="BI65" i="8"/>
  <c r="BJ8" i="8" l="1"/>
  <c r="BJ55" i="8" s="1"/>
  <c r="BJ9" i="8"/>
  <c r="BJ62" i="8" s="1"/>
  <c r="BQ1" i="8" s="1"/>
  <c r="BJ51" i="8"/>
  <c r="BK66" i="8" s="1"/>
  <c r="BJ48" i="8"/>
  <c r="BJ59" i="8" s="1"/>
  <c r="BJ19" i="8"/>
  <c r="BJ63" i="8" s="1"/>
  <c r="BJ16" i="8"/>
  <c r="BI56" i="8" s="1"/>
  <c r="BJ35" i="8"/>
  <c r="BH65" i="8" s="1"/>
  <c r="BJ25" i="8"/>
  <c r="BH64" i="8" s="1"/>
  <c r="BJ43" i="8"/>
  <c r="BG66" i="8" s="1"/>
  <c r="BJ27" i="8"/>
  <c r="BI64" i="8" s="1"/>
  <c r="BJ13" i="8"/>
  <c r="BG63" i="8" s="1"/>
  <c r="BJ40" i="8"/>
  <c r="BK58" i="8" s="1"/>
  <c r="BJ24" i="8"/>
  <c r="BH57" i="8" s="1"/>
  <c r="BJ44" i="8"/>
  <c r="BH59" i="8" s="1"/>
  <c r="BJ33" i="8"/>
  <c r="BG65" i="8" s="1"/>
  <c r="BJ32" i="8"/>
  <c r="BG58" i="8" s="1"/>
  <c r="BJ11" i="8"/>
  <c r="BK62" i="8" s="1"/>
  <c r="BQ2" i="8" l="1"/>
</calcChain>
</file>

<file path=xl/sharedStrings.xml><?xml version="1.0" encoding="utf-8"?>
<sst xmlns="http://schemas.openxmlformats.org/spreadsheetml/2006/main" count="93" uniqueCount="24">
  <si>
    <t>變數2</t>
  </si>
  <si>
    <t>&lt;=0.95</t>
  </si>
  <si>
    <t>&gt;0.95</t>
  </si>
  <si>
    <t>&lt;=0.985</t>
  </si>
  <si>
    <t>&gt;0.985</t>
  </si>
  <si>
    <t>&lt;=1.015</t>
  </si>
  <si>
    <t>&gt;1.015</t>
  </si>
  <si>
    <t>&lt;=1.05</t>
  </si>
  <si>
    <t>&gt;1.05</t>
  </si>
  <si>
    <t>&lt;=0.7</t>
  </si>
  <si>
    <t>&gt;0.7</t>
  </si>
  <si>
    <t>&lt;=0.85</t>
  </si>
  <si>
    <t>&gt;0.85</t>
  </si>
  <si>
    <t>&lt;=1.3</t>
  </si>
  <si>
    <t>&gt;1.3</t>
  </si>
  <si>
    <t>MAI</t>
    <phoneticPr fontId="2" type="noConversion"/>
  </si>
  <si>
    <t>MVI</t>
    <phoneticPr fontId="2" type="noConversion"/>
  </si>
  <si>
    <t>FMAI</t>
    <phoneticPr fontId="2" type="noConversion"/>
  </si>
  <si>
    <t>因變數</t>
    <phoneticPr fontId="2" type="noConversion"/>
  </si>
  <si>
    <t>Min</t>
    <phoneticPr fontId="2" type="noConversion"/>
  </si>
  <si>
    <t>變數1</t>
    <phoneticPr fontId="2" type="noConversion"/>
  </si>
  <si>
    <t>Max</t>
    <phoneticPr fontId="2" type="noConversion"/>
  </si>
  <si>
    <r>
      <t>M</t>
    </r>
    <r>
      <rPr>
        <sz val="12"/>
        <rFont val="新細明體"/>
        <family val="1"/>
        <charset val="136"/>
      </rPr>
      <t>AI</t>
    </r>
    <phoneticPr fontId="2" type="noConversion"/>
  </si>
  <si>
    <r>
      <t>M</t>
    </r>
    <r>
      <rPr>
        <sz val="12"/>
        <rFont val="新細明體"/>
        <family val="1"/>
        <charset val="136"/>
      </rPr>
      <t>VI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</si>
</sst>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0_);[Red]\(0.000\)"/>
  </numFmts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indexed="8"/>
      <name val="Times New Roman"/>
      <family val="1"/>
    </font>
    <font>
      <b/>
      <sz val="12"/>
      <color indexed="8"/>
      <name val="細明體"/>
      <family val="3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1" xfId="0" applyFont="1" applyFill="1" applyBorder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6" fillId="0" borderId="0" xfId="0" applyFont="1" applyFill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3" borderId="1" xfId="0" applyFont="1" applyFill="1" applyBorder="1">
      <alignment vertical="center"/>
    </xf>
    <xf numFmtId="177" fontId="7" fillId="0" borderId="0" xfId="0" applyNumberFormat="1" applyFont="1">
      <alignment vertical="center"/>
    </xf>
    <xf numFmtId="14" fontId="7" fillId="0" borderId="0" xfId="0" applyNumberFormat="1" applyFont="1">
      <alignment vertical="center"/>
    </xf>
    <xf numFmtId="0" fontId="7" fillId="0" borderId="0" xfId="0" applyFont="1" applyFill="1">
      <alignment vertical="center"/>
    </xf>
    <xf numFmtId="176" fontId="7" fillId="4" borderId="0" xfId="0" applyNumberFormat="1" applyFont="1" applyFill="1">
      <alignment vertical="center"/>
    </xf>
    <xf numFmtId="177" fontId="7" fillId="4" borderId="0" xfId="0" applyNumberFormat="1" applyFont="1" applyFill="1">
      <alignment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5"/>
      <c:hPercent val="100"/>
      <c:rotY val="31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2728016424913042"/>
          <c:y val="1.7964707912451104E-2"/>
          <c:w val="0.6272932533276"/>
          <c:h val="0.7874530301624401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data!$BF$55</c:f>
              <c:strCache>
                <c:ptCount val="1"/>
                <c:pt idx="0">
                  <c:v>MAI1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data!$BG$55:$BK$55</c:f>
              <c:numCache>
                <c:formatCode>0_);[Red]\(0\)</c:formatCode>
                <c:ptCount val="5"/>
                <c:pt idx="0">
                  <c:v>341</c:v>
                </c:pt>
                <c:pt idx="1">
                  <c:v>218</c:v>
                </c:pt>
                <c:pt idx="2">
                  <c:v>187</c:v>
                </c:pt>
                <c:pt idx="3">
                  <c:v>87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5-42E3-8C3A-EFC1A469C62D}"/>
            </c:ext>
          </c:extLst>
        </c:ser>
        <c:ser>
          <c:idx val="1"/>
          <c:order val="1"/>
          <c:tx>
            <c:strRef>
              <c:f>data!$BF$56</c:f>
              <c:strCache>
                <c:ptCount val="1"/>
                <c:pt idx="0">
                  <c:v>MAI2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data!$BG$56:$BK$56</c:f>
              <c:numCache>
                <c:formatCode>0_);[Red]\(0\)</c:formatCode>
                <c:ptCount val="5"/>
                <c:pt idx="0">
                  <c:v>265</c:v>
                </c:pt>
                <c:pt idx="1">
                  <c:v>191</c:v>
                </c:pt>
                <c:pt idx="2">
                  <c:v>151</c:v>
                </c:pt>
                <c:pt idx="3">
                  <c:v>79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5-42E3-8C3A-EFC1A469C62D}"/>
            </c:ext>
          </c:extLst>
        </c:ser>
        <c:ser>
          <c:idx val="2"/>
          <c:order val="2"/>
          <c:tx>
            <c:strRef>
              <c:f>data!$BF$57</c:f>
              <c:strCache>
                <c:ptCount val="1"/>
                <c:pt idx="0">
                  <c:v>MAI3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data!$BG$57:$BK$57</c:f>
              <c:numCache>
                <c:formatCode>0_);[Red]\(0\)</c:formatCode>
                <c:ptCount val="5"/>
                <c:pt idx="0">
                  <c:v>153</c:v>
                </c:pt>
                <c:pt idx="1">
                  <c:v>187</c:v>
                </c:pt>
                <c:pt idx="2">
                  <c:v>170</c:v>
                </c:pt>
                <c:pt idx="3">
                  <c:v>110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E5-42E3-8C3A-EFC1A469C62D}"/>
            </c:ext>
          </c:extLst>
        </c:ser>
        <c:ser>
          <c:idx val="3"/>
          <c:order val="3"/>
          <c:tx>
            <c:strRef>
              <c:f>data!$BF$58</c:f>
              <c:strCache>
                <c:ptCount val="1"/>
                <c:pt idx="0">
                  <c:v>MAI4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data!$BG$58:$BK$58</c:f>
              <c:numCache>
                <c:formatCode>0_);[Red]\(0\)</c:formatCode>
                <c:ptCount val="5"/>
                <c:pt idx="0">
                  <c:v>89</c:v>
                </c:pt>
                <c:pt idx="1">
                  <c:v>124</c:v>
                </c:pt>
                <c:pt idx="2">
                  <c:v>207</c:v>
                </c:pt>
                <c:pt idx="3">
                  <c:v>223</c:v>
                </c:pt>
                <c:pt idx="4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E5-42E3-8C3A-EFC1A469C62D}"/>
            </c:ext>
          </c:extLst>
        </c:ser>
        <c:ser>
          <c:idx val="4"/>
          <c:order val="4"/>
          <c:tx>
            <c:strRef>
              <c:f>data!$BF$59</c:f>
              <c:strCache>
                <c:ptCount val="1"/>
                <c:pt idx="0">
                  <c:v>MAI5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data!$BG$59:$BK$59</c:f>
              <c:numCache>
                <c:formatCode>0_);[Red]\(0\)</c:formatCode>
                <c:ptCount val="5"/>
                <c:pt idx="0">
                  <c:v>14</c:v>
                </c:pt>
                <c:pt idx="1">
                  <c:v>35</c:v>
                </c:pt>
                <c:pt idx="2">
                  <c:v>113</c:v>
                </c:pt>
                <c:pt idx="3">
                  <c:v>199</c:v>
                </c:pt>
                <c:pt idx="4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E5-42E3-8C3A-EFC1A469C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50"/>
        <c:shape val="box"/>
        <c:axId val="2134692447"/>
        <c:axId val="1"/>
        <c:axId val="2"/>
      </c:bar3DChart>
      <c:catAx>
        <c:axId val="213469244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資料數目</a:t>
                </a:r>
              </a:p>
            </c:rich>
          </c:tx>
          <c:layout>
            <c:manualLayout>
              <c:xMode val="edge"/>
              <c:yMode val="edge"/>
              <c:x val="5.1516837229802888E-2"/>
              <c:y val="0.3233647424241198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2134692447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5"/>
      <c:hPercent val="100"/>
      <c:rotY val="31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3565742654883273"/>
          <c:y val="1.791099653695347E-2"/>
          <c:w val="0.61935605695526541"/>
          <c:h val="0.7880838476259527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data!$BF$62</c:f>
              <c:strCache>
                <c:ptCount val="1"/>
                <c:pt idx="0">
                  <c:v>MAI1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data!$BG$62:$BK$62</c:f>
              <c:numCache>
                <c:formatCode>0.000_);[Red]\(0.000\)</c:formatCode>
                <c:ptCount val="5"/>
                <c:pt idx="0">
                  <c:v>1.0003254911876955</c:v>
                </c:pt>
                <c:pt idx="1">
                  <c:v>1.0024954403643305</c:v>
                </c:pt>
                <c:pt idx="2">
                  <c:v>1.0125263951791486</c:v>
                </c:pt>
                <c:pt idx="3">
                  <c:v>0.99339247892493443</c:v>
                </c:pt>
                <c:pt idx="4">
                  <c:v>1.0016498497375648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A-41E4-A2CE-469AC008C118}"/>
            </c:ext>
          </c:extLst>
        </c:ser>
        <c:ser>
          <c:idx val="1"/>
          <c:order val="1"/>
          <c:tx>
            <c:strRef>
              <c:f>data!$BF$63</c:f>
              <c:strCache>
                <c:ptCount val="1"/>
                <c:pt idx="0">
                  <c:v>MAI2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data!$BG$63:$BK$63</c:f>
              <c:numCache>
                <c:formatCode>0.000_);[Red]\(0.000\)</c:formatCode>
                <c:ptCount val="5"/>
                <c:pt idx="0">
                  <c:v>1.0007235394208385</c:v>
                </c:pt>
                <c:pt idx="1">
                  <c:v>1.0013760619466139</c:v>
                </c:pt>
                <c:pt idx="2">
                  <c:v>0.99702492163108203</c:v>
                </c:pt>
                <c:pt idx="3">
                  <c:v>1.0056725459736906</c:v>
                </c:pt>
                <c:pt idx="4">
                  <c:v>0.97552424961992312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A-41E4-A2CE-469AC008C118}"/>
            </c:ext>
          </c:extLst>
        </c:ser>
        <c:ser>
          <c:idx val="2"/>
          <c:order val="2"/>
          <c:tx>
            <c:strRef>
              <c:f>data!$BF$64</c:f>
              <c:strCache>
                <c:ptCount val="1"/>
                <c:pt idx="0">
                  <c:v>MAI3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data!$BG$64:$BK$64</c:f>
              <c:numCache>
                <c:formatCode>0.000_);[Red]\(0.000\)</c:formatCode>
                <c:ptCount val="5"/>
                <c:pt idx="0">
                  <c:v>0.99978624890066614</c:v>
                </c:pt>
                <c:pt idx="1">
                  <c:v>1.0036017218975359</c:v>
                </c:pt>
                <c:pt idx="2">
                  <c:v>1.0042814952001198</c:v>
                </c:pt>
                <c:pt idx="3">
                  <c:v>1.0090155139727417</c:v>
                </c:pt>
                <c:pt idx="4">
                  <c:v>1.0154760716334641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8A-41E4-A2CE-469AC008C118}"/>
            </c:ext>
          </c:extLst>
        </c:ser>
        <c:ser>
          <c:idx val="3"/>
          <c:order val="3"/>
          <c:tx>
            <c:strRef>
              <c:f>data!$BF$65</c:f>
              <c:strCache>
                <c:ptCount val="1"/>
                <c:pt idx="0">
                  <c:v>MAI4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data!$BG$65:$BK$65</c:f>
              <c:numCache>
                <c:formatCode>0.000_);[Red]\(0.000\)</c:formatCode>
                <c:ptCount val="5"/>
                <c:pt idx="0">
                  <c:v>0.99645181949064465</c:v>
                </c:pt>
                <c:pt idx="1">
                  <c:v>0.99518542214033034</c:v>
                </c:pt>
                <c:pt idx="2">
                  <c:v>1.0008048744634048</c:v>
                </c:pt>
                <c:pt idx="3">
                  <c:v>1.0074316993418961</c:v>
                </c:pt>
                <c:pt idx="4">
                  <c:v>1.0337599835609412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8A-41E4-A2CE-469AC008C118}"/>
            </c:ext>
          </c:extLst>
        </c:ser>
        <c:ser>
          <c:idx val="4"/>
          <c:order val="4"/>
          <c:tx>
            <c:strRef>
              <c:f>data!$BF$66</c:f>
              <c:strCache>
                <c:ptCount val="1"/>
                <c:pt idx="0">
                  <c:v>MAI5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data!$BG$66:$BK$66</c:f>
              <c:numCache>
                <c:formatCode>0.000_);[Red]\(0.000\)</c:formatCode>
                <c:ptCount val="5"/>
                <c:pt idx="0">
                  <c:v>0.99036435313219295</c:v>
                </c:pt>
                <c:pt idx="1">
                  <c:v>1.0051698998780383</c:v>
                </c:pt>
                <c:pt idx="2">
                  <c:v>0.99091650070068049</c:v>
                </c:pt>
                <c:pt idx="3">
                  <c:v>1.0029072548448112</c:v>
                </c:pt>
                <c:pt idx="4">
                  <c:v>1.0244222727682533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8A-41E4-A2CE-469AC008C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50"/>
        <c:shape val="box"/>
        <c:axId val="2134693695"/>
        <c:axId val="1"/>
        <c:axId val="2"/>
      </c:bar3DChart>
      <c:catAx>
        <c:axId val="213469369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  <c:max val="1.05"/>
          <c:min val="0.9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未來</a:t>
                </a:r>
                <a:r>
                  <a:rPr lang="en-US" altLang="zh-TW"/>
                  <a:t>MAI</a:t>
                </a:r>
                <a:r>
                  <a:rPr lang="zh-TW" altLang="en-US"/>
                  <a:t>平均值</a:t>
                </a:r>
              </a:p>
            </c:rich>
          </c:tx>
          <c:layout>
            <c:manualLayout>
              <c:xMode val="edge"/>
              <c:yMode val="edge"/>
              <c:x val="4.5318735874775522E-2"/>
              <c:y val="0.271650114143794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;[Red]\(0.0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2134693695"/>
        <c:crosses val="autoZero"/>
        <c:crossBetween val="between"/>
        <c:majorUnit val="0.01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0</xdr:colOff>
      <xdr:row>3</xdr:row>
      <xdr:rowOff>7620</xdr:rowOff>
    </xdr:from>
    <xdr:to>
      <xdr:col>68</xdr:col>
      <xdr:colOff>274320</xdr:colOff>
      <xdr:row>15</xdr:row>
      <xdr:rowOff>83820</xdr:rowOff>
    </xdr:to>
    <xdr:graphicFrame macro="">
      <xdr:nvGraphicFramePr>
        <xdr:cNvPr id="3073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16</xdr:row>
      <xdr:rowOff>0</xdr:rowOff>
    </xdr:from>
    <xdr:to>
      <xdr:col>68</xdr:col>
      <xdr:colOff>281940</xdr:colOff>
      <xdr:row>28</xdr:row>
      <xdr:rowOff>83820</xdr:rowOff>
    </xdr:to>
    <xdr:graphicFrame macro="">
      <xdr:nvGraphicFramePr>
        <xdr:cNvPr id="3078" name="圖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435"/>
  <sheetViews>
    <sheetView tabSelected="1" topLeftCell="T1" workbookViewId="0">
      <selection activeCell="AI10" sqref="AI10"/>
    </sheetView>
  </sheetViews>
  <sheetFormatPr defaultColWidth="9" defaultRowHeight="16.2"/>
  <cols>
    <col min="1" max="1" width="9" style="11"/>
    <col min="2" max="2" width="9" style="16"/>
    <col min="3" max="27" width="9" style="11"/>
    <col min="28" max="30" width="12.77734375" style="20" bestFit="1" customWidth="1"/>
    <col min="31" max="52" width="9" style="21"/>
    <col min="53" max="55" width="9" style="11"/>
    <col min="56" max="56" width="9.21875" style="11" bestFit="1" customWidth="1"/>
    <col min="57" max="57" width="9" style="11"/>
    <col min="58" max="58" width="8" style="11" bestFit="1" customWidth="1"/>
    <col min="59" max="60" width="7" style="11" bestFit="1" customWidth="1"/>
    <col min="61" max="61" width="6.6640625" style="11" bestFit="1" customWidth="1"/>
    <col min="62" max="62" width="6.6640625" style="11" customWidth="1"/>
    <col min="63" max="63" width="6.6640625" style="11" bestFit="1" customWidth="1"/>
    <col min="64" max="64" width="7.44140625" style="11" bestFit="1" customWidth="1"/>
    <col min="65" max="65" width="6.109375" style="11" bestFit="1" customWidth="1"/>
    <col min="66" max="66" width="5.109375" style="11" bestFit="1" customWidth="1"/>
    <col min="67" max="67" width="9" style="11"/>
    <col min="68" max="68" width="5" style="11" bestFit="1" customWidth="1"/>
    <col min="69" max="69" width="6.6640625" style="11" bestFit="1" customWidth="1"/>
    <col min="70" max="16384" width="9" style="11"/>
  </cols>
  <sheetData>
    <row r="1" spans="1:69" s="6" customForma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3" t="s">
        <v>15</v>
      </c>
      <c r="AC1" s="3" t="s">
        <v>16</v>
      </c>
      <c r="AD1" s="4" t="s">
        <v>17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L1" s="6" t="s">
        <v>18</v>
      </c>
      <c r="BM1" s="5" t="s">
        <v>17</v>
      </c>
      <c r="BP1" s="6" t="s">
        <v>19</v>
      </c>
      <c r="BQ1" s="7">
        <f>MIN($BG$62:$BK$66)</f>
        <v>0.97552424961992312</v>
      </c>
    </row>
    <row r="2" spans="1:69">
      <c r="A2" s="6"/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9">
        <v>1.0187912156969217</v>
      </c>
      <c r="AC2" s="9">
        <v>0.95339133648938745</v>
      </c>
      <c r="AD2" s="9">
        <v>0.94238051231296049</v>
      </c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F2" s="12" t="str">
        <f>$BM$2</f>
        <v>MAI</v>
      </c>
      <c r="BG2" s="12" t="str">
        <f>$BM$3</f>
        <v>MVI</v>
      </c>
      <c r="BH2" s="12" t="str">
        <f>$BM$2</f>
        <v>MAI</v>
      </c>
      <c r="BI2" s="12" t="str">
        <f>$BM$3</f>
        <v>MVI</v>
      </c>
      <c r="BJ2" s="13">
        <f>DCOUNT($A$1:$AZ$11435,$BM$1,BF2:BI3)</f>
        <v>341</v>
      </c>
      <c r="BL2" s="11" t="s">
        <v>20</v>
      </c>
      <c r="BM2" s="14" t="s">
        <v>15</v>
      </c>
      <c r="BN2" s="17" t="s">
        <v>22</v>
      </c>
      <c r="BP2" s="11" t="s">
        <v>21</v>
      </c>
      <c r="BQ2" s="15">
        <f>MAX($BG$62:$BK$66)</f>
        <v>1.0337599835609412</v>
      </c>
    </row>
    <row r="3" spans="1:69">
      <c r="AB3" s="9">
        <v>1.0187112258001187</v>
      </c>
      <c r="AC3" s="9">
        <v>0.70853022439776825</v>
      </c>
      <c r="AD3" s="9">
        <v>0.92000587272140355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F3" s="17" t="s">
        <v>1</v>
      </c>
      <c r="BG3" s="17" t="s">
        <v>9</v>
      </c>
      <c r="BH3" s="17"/>
      <c r="BJ3" s="13">
        <f>DSUM($A$1:$AZ$11435,$BM$1,BF2:BI3)
/DCOUNT($A$1:$AZ$11435,$BM$1,BF2:BI3)</f>
        <v>1.0003254911876955</v>
      </c>
      <c r="BL3" s="11" t="s">
        <v>0</v>
      </c>
      <c r="BM3" s="14" t="s">
        <v>16</v>
      </c>
      <c r="BN3" s="17" t="s">
        <v>23</v>
      </c>
    </row>
    <row r="4" spans="1:69">
      <c r="AB4" s="9">
        <v>1.0382505739691901</v>
      </c>
      <c r="AC4" s="9">
        <v>0.92705861877193052</v>
      </c>
      <c r="AD4" s="9">
        <v>0.91733522277752177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F4" s="12" t="str">
        <f>$BM$2</f>
        <v>MAI</v>
      </c>
      <c r="BG4" s="12" t="str">
        <f>$BM$3</f>
        <v>MVI</v>
      </c>
      <c r="BH4" s="12" t="str">
        <f>$BM$2</f>
        <v>MAI</v>
      </c>
      <c r="BI4" s="12" t="str">
        <f>$BM$3</f>
        <v>MVI</v>
      </c>
      <c r="BJ4" s="13">
        <f>DCOUNT($A$1:$AZ$11435,$BM$1,BF4:BI5)</f>
        <v>218</v>
      </c>
      <c r="BL4" s="17"/>
    </row>
    <row r="5" spans="1:69">
      <c r="AB5" s="9">
        <v>1.0358093234738786</v>
      </c>
      <c r="AC5" s="9">
        <v>0.97115760836414999</v>
      </c>
      <c r="AD5" s="9">
        <v>0.93083055151246674</v>
      </c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F5" s="17" t="s">
        <v>1</v>
      </c>
      <c r="BG5" s="17" t="s">
        <v>11</v>
      </c>
      <c r="BH5" s="17"/>
      <c r="BI5" s="11" t="s">
        <v>10</v>
      </c>
      <c r="BJ5" s="13">
        <f>DSUM($A$1:$AZ$11435,$BM$1,BF4:BI5)/DCOUNT($A$1:$AZ$11435,$BM$1,BF4:BI5)</f>
        <v>1.0024954403643305</v>
      </c>
    </row>
    <row r="6" spans="1:69">
      <c r="AB6" s="9">
        <v>1.0156558721762825</v>
      </c>
      <c r="AC6" s="9">
        <v>0.81821096947483485</v>
      </c>
      <c r="AD6" s="9">
        <v>0.9269958155692406</v>
      </c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F6" s="12" t="str">
        <f>$BM$2</f>
        <v>MAI</v>
      </c>
      <c r="BG6" s="12" t="str">
        <f>$BM$3</f>
        <v>MVI</v>
      </c>
      <c r="BH6" s="12" t="str">
        <f>$BM$2</f>
        <v>MAI</v>
      </c>
      <c r="BI6" s="12" t="str">
        <f>$BM$3</f>
        <v>MVI</v>
      </c>
      <c r="BJ6" s="13">
        <f>DCOUNT($A$1:$AZ$11435,$BM$1,BF6:BI7)</f>
        <v>187</v>
      </c>
    </row>
    <row r="7" spans="1:69">
      <c r="AB7" s="9">
        <v>1.0151423395304084</v>
      </c>
      <c r="AC7" s="9">
        <v>0.62220742808127094</v>
      </c>
      <c r="AD7" s="9">
        <v>0.93094393000538411</v>
      </c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F7" s="17" t="s">
        <v>1</v>
      </c>
      <c r="BG7" s="17" t="s">
        <v>7</v>
      </c>
      <c r="BH7" s="17"/>
      <c r="BI7" s="11" t="s">
        <v>12</v>
      </c>
      <c r="BJ7" s="13">
        <f>DSUM($A$1:$AZ$11435,$BM$1,BF6:BI7)/DCOUNT($A$1:$AZ$11435,$BM$1,BF6:BI7)</f>
        <v>1.0125263951791486</v>
      </c>
    </row>
    <row r="8" spans="1:69">
      <c r="AB8" s="9">
        <v>1.0062016514842096</v>
      </c>
      <c r="AC8" s="9">
        <v>0.58596876077058191</v>
      </c>
      <c r="AD8" s="9">
        <v>0.93721604304662331</v>
      </c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F8" s="12" t="str">
        <f>$BM$2</f>
        <v>MAI</v>
      </c>
      <c r="BG8" s="12" t="str">
        <f>$BM$3</f>
        <v>MVI</v>
      </c>
      <c r="BH8" s="12" t="str">
        <f>$BM$2</f>
        <v>MAI</v>
      </c>
      <c r="BI8" s="12" t="str">
        <f>$BM$3</f>
        <v>MVI</v>
      </c>
      <c r="BJ8" s="13">
        <f>DCOUNT($A$1:$AZ$11435,$BM$1,BF8:BI9)</f>
        <v>87</v>
      </c>
    </row>
    <row r="9" spans="1:69">
      <c r="AB9" s="9">
        <v>0.99529175488232846</v>
      </c>
      <c r="AC9" s="9">
        <v>0.56862263084146603</v>
      </c>
      <c r="AD9" s="9">
        <v>0.93547472891970984</v>
      </c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F9" s="17" t="s">
        <v>1</v>
      </c>
      <c r="BG9" s="17" t="s">
        <v>13</v>
      </c>
      <c r="BH9" s="17"/>
      <c r="BI9" s="11" t="s">
        <v>8</v>
      </c>
      <c r="BJ9" s="13">
        <f>DSUM($A$1:$AZ$11435,$BM$1,BF8:BI9)/DCOUNT($A$1:$AZ$11435,$BM$1,BF8:BI9)</f>
        <v>0.99339247892493443</v>
      </c>
    </row>
    <row r="10" spans="1:69">
      <c r="AB10" s="9">
        <v>0.99321478936822571</v>
      </c>
      <c r="AC10" s="9">
        <v>0.4447596325449456</v>
      </c>
      <c r="AD10" s="9">
        <v>0.94541256096347182</v>
      </c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F10" s="12" t="str">
        <f>$BM$2</f>
        <v>MAI</v>
      </c>
      <c r="BG10" s="12" t="str">
        <f>$BM$3</f>
        <v>MVI</v>
      </c>
      <c r="BH10" s="12" t="str">
        <f>$BM$2</f>
        <v>MAI</v>
      </c>
      <c r="BI10" s="12" t="str">
        <f>$BM$3</f>
        <v>MVI</v>
      </c>
      <c r="BJ10" s="13">
        <f>DCOUNT($A$1:$AZ$11435,$BM$1,BF10:BI11)</f>
        <v>30</v>
      </c>
    </row>
    <row r="11" spans="1:69">
      <c r="AB11" s="9">
        <v>0.97930930767848978</v>
      </c>
      <c r="AC11" s="9">
        <v>0.60470091599021603</v>
      </c>
      <c r="AD11" s="9">
        <v>0.94279834355081016</v>
      </c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F11" s="17" t="s">
        <v>1</v>
      </c>
      <c r="BG11" s="17"/>
      <c r="BH11" s="17"/>
      <c r="BI11" s="11" t="s">
        <v>14</v>
      </c>
      <c r="BJ11" s="13">
        <f>DSUM($A$1:$AZ$11435,$BM$1,BF10:BI11)/(DCOUNT($A$1:$AZ$11435,$BM$1,BF10:BI11)+0.00001)</f>
        <v>1.0016498497375648</v>
      </c>
    </row>
    <row r="12" spans="1:69">
      <c r="AB12" s="9">
        <v>0.9787202355763035</v>
      </c>
      <c r="AC12" s="9">
        <v>0.42869742528274402</v>
      </c>
      <c r="AD12" s="9">
        <v>0.93268981045135635</v>
      </c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F12" s="12" t="str">
        <f>$BM$2</f>
        <v>MAI</v>
      </c>
      <c r="BG12" s="12" t="str">
        <f>$BM$3</f>
        <v>MVI</v>
      </c>
      <c r="BH12" s="12" t="str">
        <f>$BM$2</f>
        <v>MAI</v>
      </c>
      <c r="BI12" s="12" t="str">
        <f>$BM$3</f>
        <v>MVI</v>
      </c>
      <c r="BJ12" s="13">
        <f>DCOUNT($A$1:$AZ$11435,$BM$1,BF12:BI13)</f>
        <v>265</v>
      </c>
    </row>
    <row r="13" spans="1:69">
      <c r="AB13" s="9">
        <v>0.98545404042546991</v>
      </c>
      <c r="AC13" s="9">
        <v>0.48780134018447663</v>
      </c>
      <c r="AD13" s="9">
        <v>0.92635054946377648</v>
      </c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F13" s="17" t="s">
        <v>3</v>
      </c>
      <c r="BG13" s="17" t="s">
        <v>9</v>
      </c>
      <c r="BH13" s="17" t="s">
        <v>2</v>
      </c>
      <c r="BJ13" s="13">
        <f>DSUM($A$1:$AZ$11435,$BM$1,BF12:BI13)/DCOUNT($A$1:$AZ$11435,$BM$1,BF12:BI13)</f>
        <v>1.0007235394208385</v>
      </c>
    </row>
    <row r="14" spans="1:69">
      <c r="AB14" s="9">
        <v>0.98825660453487096</v>
      </c>
      <c r="AC14" s="9">
        <v>0.78326802967382225</v>
      </c>
      <c r="AD14" s="9">
        <v>0.91530448472656512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F14" s="12" t="str">
        <f>$BM$2</f>
        <v>MAI</v>
      </c>
      <c r="BG14" s="12" t="str">
        <f>$BM$3</f>
        <v>MVI</v>
      </c>
      <c r="BH14" s="12" t="str">
        <f>$BM$2</f>
        <v>MAI</v>
      </c>
      <c r="BI14" s="12" t="str">
        <f>$BM$3</f>
        <v>MVI</v>
      </c>
      <c r="BJ14" s="13">
        <f>DCOUNT($A$1:$AZ$11435,$BM$1,BF14:BI15)</f>
        <v>191</v>
      </c>
    </row>
    <row r="15" spans="1:69">
      <c r="AB15" s="9">
        <v>0.99631129755533032</v>
      </c>
      <c r="AC15" s="9">
        <v>0.65347784537777243</v>
      </c>
      <c r="AD15" s="9">
        <v>0.91258717872757567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F15" s="17" t="s">
        <v>3</v>
      </c>
      <c r="BG15" s="17" t="s">
        <v>11</v>
      </c>
      <c r="BH15" s="17" t="s">
        <v>2</v>
      </c>
      <c r="BI15" s="11" t="s">
        <v>10</v>
      </c>
      <c r="BJ15" s="13">
        <f>DSUM($A$1:$AZ$11435,$BM$1,BF14:BI15)/DCOUNT($A$1:$AZ$11435,$BM$1,BF14:BI15)</f>
        <v>1.0013760619466139</v>
      </c>
    </row>
    <row r="16" spans="1:69">
      <c r="AB16" s="9">
        <v>0.99521799259373744</v>
      </c>
      <c r="AC16" s="9">
        <v>0.86357963915123936</v>
      </c>
      <c r="AD16" s="9">
        <v>0.91267726054067877</v>
      </c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F16" s="12" t="str">
        <f>$BM$2</f>
        <v>MAI</v>
      </c>
      <c r="BG16" s="12" t="str">
        <f>$BM$3</f>
        <v>MVI</v>
      </c>
      <c r="BH16" s="12" t="str">
        <f>$BM$2</f>
        <v>MAI</v>
      </c>
      <c r="BI16" s="12" t="str">
        <f>$BM$3</f>
        <v>MVI</v>
      </c>
      <c r="BJ16" s="13">
        <f>DCOUNT($A$1:$AZ$11435,$BM$1,BF16:BI17)</f>
        <v>151</v>
      </c>
    </row>
    <row r="17" spans="28:62">
      <c r="AB17" s="9">
        <v>0.99102084066440221</v>
      </c>
      <c r="AC17" s="9">
        <v>0.67528305721192072</v>
      </c>
      <c r="AD17" s="9">
        <v>0.93287899360369075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F17" s="17" t="s">
        <v>3</v>
      </c>
      <c r="BG17" s="17" t="s">
        <v>7</v>
      </c>
      <c r="BH17" s="17" t="s">
        <v>2</v>
      </c>
      <c r="BI17" s="11" t="s">
        <v>12</v>
      </c>
      <c r="BJ17" s="13">
        <f>DSUM($A$1:$AZ$11435,$BM$1,BF16:BI17)/DCOUNT($A$1:$AZ$11435,$BM$1,BF16:BI17)</f>
        <v>0.99702492163108203</v>
      </c>
    </row>
    <row r="18" spans="28:62">
      <c r="AB18" s="9">
        <v>0.96664788843755245</v>
      </c>
      <c r="AC18" s="9">
        <v>0.75309048995478944</v>
      </c>
      <c r="AD18" s="9">
        <v>0.93839033790537851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F18" s="12" t="str">
        <f>$BM$2</f>
        <v>MAI</v>
      </c>
      <c r="BG18" s="12" t="str">
        <f>$BM$3</f>
        <v>MVI</v>
      </c>
      <c r="BH18" s="12" t="str">
        <f>$BM$2</f>
        <v>MAI</v>
      </c>
      <c r="BI18" s="12" t="str">
        <f>$BM$3</f>
        <v>MVI</v>
      </c>
      <c r="BJ18" s="13">
        <f>DCOUNT($A$1:$AZ$11435,$BM$1,BF18:BI19)</f>
        <v>79</v>
      </c>
    </row>
    <row r="19" spans="28:62">
      <c r="AB19" s="9">
        <v>0.95926247850830515</v>
      </c>
      <c r="AC19" s="9">
        <v>0.63823658403033157</v>
      </c>
      <c r="AD19" s="9">
        <v>0.94506923785349162</v>
      </c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F19" s="17" t="s">
        <v>3</v>
      </c>
      <c r="BG19" s="17" t="s">
        <v>13</v>
      </c>
      <c r="BH19" s="17" t="s">
        <v>2</v>
      </c>
      <c r="BI19" s="11" t="s">
        <v>8</v>
      </c>
      <c r="BJ19" s="13">
        <f>DSUM($A$1:$AZ$11435,$BM$1,BF18:BI19)/DCOUNT($A$1:$AZ$11435,$BM$1,BF18:BI19)</f>
        <v>1.0056725459736906</v>
      </c>
    </row>
    <row r="20" spans="28:62">
      <c r="AB20" s="9">
        <v>0.95152935501777558</v>
      </c>
      <c r="AC20" s="9">
        <v>0.519471980179531</v>
      </c>
      <c r="AD20" s="9">
        <v>0.94247118206459712</v>
      </c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F20" s="12" t="str">
        <f>$BM$2</f>
        <v>MAI</v>
      </c>
      <c r="BG20" s="12" t="str">
        <f>$BM$3</f>
        <v>MVI</v>
      </c>
      <c r="BH20" s="12" t="str">
        <f>$BM$2</f>
        <v>MAI</v>
      </c>
      <c r="BI20" s="12" t="str">
        <f>$BM$3</f>
        <v>MVI</v>
      </c>
      <c r="BJ20" s="13">
        <f>DCOUNT($A$1:$AZ$11435,$BM$1,BF20:BI21)</f>
        <v>31</v>
      </c>
    </row>
    <row r="21" spans="28:62">
      <c r="AB21" s="9">
        <v>0.95355803583091037</v>
      </c>
      <c r="AC21" s="9">
        <v>0.45862210629698041</v>
      </c>
      <c r="AD21" s="9">
        <v>0.95592769697978752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F21" s="17" t="s">
        <v>3</v>
      </c>
      <c r="BG21" s="17"/>
      <c r="BH21" s="17" t="s">
        <v>2</v>
      </c>
      <c r="BI21" s="11" t="s">
        <v>14</v>
      </c>
      <c r="BJ21" s="13">
        <f>DSUM($A$1:$AZ$11435,$BM$1,BF20:BI21)/(DCOUNT($A$1:$AZ$11435,$BM$1,BF20:BI21)+0.00001)</f>
        <v>0.97552424961992312</v>
      </c>
    </row>
    <row r="22" spans="28:62">
      <c r="AB22" s="9">
        <v>0.94011525482589098</v>
      </c>
      <c r="AC22" s="9">
        <v>0.39253215814458586</v>
      </c>
      <c r="AD22" s="9">
        <v>0.96762624969051236</v>
      </c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F22" s="12" t="str">
        <f>$BM$2</f>
        <v>MAI</v>
      </c>
      <c r="BG22" s="12" t="str">
        <f>$BM$3</f>
        <v>MVI</v>
      </c>
      <c r="BH22" s="12" t="str">
        <f>$BM$2</f>
        <v>MAI</v>
      </c>
      <c r="BI22" s="12" t="str">
        <f>$BM$3</f>
        <v>MVI</v>
      </c>
      <c r="BJ22" s="13">
        <f>DCOUNT($A$1:$AZ$11435,$BM$1,BF22:BI23)</f>
        <v>153</v>
      </c>
    </row>
    <row r="23" spans="28:62">
      <c r="AB23" s="9">
        <v>0.92958236411725859</v>
      </c>
      <c r="AC23" s="9">
        <v>0.48003567599788272</v>
      </c>
      <c r="AD23" s="9">
        <v>0.94622918101918529</v>
      </c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F23" s="17" t="s">
        <v>5</v>
      </c>
      <c r="BG23" s="17" t="s">
        <v>9</v>
      </c>
      <c r="BH23" s="17" t="s">
        <v>4</v>
      </c>
      <c r="BJ23" s="13">
        <f>DSUM($A$1:$AZ$11435,$BM$1,BF22:BI23)/DCOUNT($A$1:$AZ$11435,$BM$1,BF22:BI23)</f>
        <v>0.99978624890066614</v>
      </c>
    </row>
    <row r="24" spans="28:62">
      <c r="AB24" s="9">
        <v>0.95106063284040288</v>
      </c>
      <c r="AC24" s="9">
        <v>0.57839587361835909</v>
      </c>
      <c r="AD24" s="9">
        <v>0.95936817580090028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F24" s="12" t="str">
        <f>$BM$2</f>
        <v>MAI</v>
      </c>
      <c r="BG24" s="12" t="str">
        <f>$BM$3</f>
        <v>MVI</v>
      </c>
      <c r="BH24" s="12" t="str">
        <f>$BM$2</f>
        <v>MAI</v>
      </c>
      <c r="BI24" s="12" t="str">
        <f>$BM$3</f>
        <v>MVI</v>
      </c>
      <c r="BJ24" s="13">
        <f>DCOUNT($A$1:$AZ$11435,$BM$1,BF24:BI25)</f>
        <v>187</v>
      </c>
    </row>
    <row r="25" spans="28:62">
      <c r="AB25" s="9">
        <v>0.93881247325987649</v>
      </c>
      <c r="AC25" s="9">
        <v>0.48796497904964065</v>
      </c>
      <c r="AD25" s="9">
        <v>0.94434099663226612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F25" s="17" t="s">
        <v>5</v>
      </c>
      <c r="BG25" s="17" t="s">
        <v>11</v>
      </c>
      <c r="BH25" s="17" t="s">
        <v>4</v>
      </c>
      <c r="BI25" s="11" t="s">
        <v>10</v>
      </c>
      <c r="BJ25" s="13">
        <f>DSUM($A$1:$AZ$11435,$BM$1,BF24:BI25)/DCOUNT($A$1:$AZ$11435,$BM$1,BF24:BI25)</f>
        <v>1.0036017218975359</v>
      </c>
    </row>
    <row r="26" spans="28:62">
      <c r="AB26" s="9">
        <v>0.95428939197070273</v>
      </c>
      <c r="AC26" s="9">
        <v>0.59726142362836754</v>
      </c>
      <c r="AD26" s="9">
        <v>0.93843478260869573</v>
      </c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F26" s="12" t="str">
        <f>$BM$2</f>
        <v>MAI</v>
      </c>
      <c r="BG26" s="12" t="str">
        <f>$BM$3</f>
        <v>MVI</v>
      </c>
      <c r="BH26" s="12" t="str">
        <f>$BM$2</f>
        <v>MAI</v>
      </c>
      <c r="BI26" s="12" t="str">
        <f>$BM$3</f>
        <v>MVI</v>
      </c>
      <c r="BJ26" s="13">
        <f>DCOUNT($A$1:$AZ$11435,$BM$1,BF26:BI27)</f>
        <v>170</v>
      </c>
    </row>
    <row r="27" spans="28:62">
      <c r="AB27" s="9">
        <v>0.96043081273617747</v>
      </c>
      <c r="AC27" s="9">
        <v>0.70909264337379307</v>
      </c>
      <c r="AD27" s="9">
        <v>0.93399611459262188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F27" s="17" t="s">
        <v>5</v>
      </c>
      <c r="BG27" s="17" t="s">
        <v>7</v>
      </c>
      <c r="BH27" s="17" t="s">
        <v>4</v>
      </c>
      <c r="BI27" s="11" t="s">
        <v>12</v>
      </c>
      <c r="BJ27" s="13">
        <f>DSUM($A$1:$AZ$11435,$BM$1,BF26:BI27)/DCOUNT($A$1:$AZ$11435,$BM$1,BF26:BI27)</f>
        <v>1.0042814952001198</v>
      </c>
    </row>
    <row r="28" spans="28:62">
      <c r="AB28" s="9">
        <v>0.96475461168939736</v>
      </c>
      <c r="AC28" s="9">
        <v>0.5356930292718306</v>
      </c>
      <c r="AD28" s="9">
        <v>0.93901573441867636</v>
      </c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F28" s="12" t="str">
        <f>$BM$2</f>
        <v>MAI</v>
      </c>
      <c r="BG28" s="12" t="str">
        <f>$BM$3</f>
        <v>MVI</v>
      </c>
      <c r="BH28" s="12" t="str">
        <f>$BM$2</f>
        <v>MAI</v>
      </c>
      <c r="BI28" s="12" t="str">
        <f>$BM$3</f>
        <v>MVI</v>
      </c>
      <c r="BJ28" s="13">
        <f>DCOUNT($A$1:$AZ$11435,$BM$1,BF28:BI29)</f>
        <v>110</v>
      </c>
    </row>
    <row r="29" spans="28:62">
      <c r="AB29" s="9">
        <v>0.95995799406462201</v>
      </c>
      <c r="AC29" s="9">
        <v>0.53159111738725406</v>
      </c>
      <c r="AD29" s="9">
        <v>0.96270506876967299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F29" s="17" t="s">
        <v>5</v>
      </c>
      <c r="BG29" s="17" t="s">
        <v>13</v>
      </c>
      <c r="BH29" s="17" t="s">
        <v>4</v>
      </c>
      <c r="BI29" s="11" t="s">
        <v>8</v>
      </c>
      <c r="BJ29" s="13">
        <f>DSUM($A$1:$AZ$11435,$BM$1,BF28:BI29)/DCOUNT($A$1:$AZ$11435,$BM$1,BF28:BI29)</f>
        <v>1.0090155139727417</v>
      </c>
    </row>
    <row r="30" spans="28:62">
      <c r="AB30" s="9">
        <v>0.93740557500220767</v>
      </c>
      <c r="AC30" s="9">
        <v>0.78746337547276324</v>
      </c>
      <c r="AD30" s="9">
        <v>0.95008796018555286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F30" s="12" t="str">
        <f>$BM$2</f>
        <v>MAI</v>
      </c>
      <c r="BG30" s="12" t="str">
        <f>$BM$3</f>
        <v>MVI</v>
      </c>
      <c r="BH30" s="12" t="str">
        <f>$BM$2</f>
        <v>MAI</v>
      </c>
      <c r="BI30" s="12" t="str">
        <f>$BM$3</f>
        <v>MVI</v>
      </c>
      <c r="BJ30" s="13">
        <f>DCOUNT($A$1:$AZ$11435,$BM$1,BF30:BI31)</f>
        <v>72</v>
      </c>
    </row>
    <row r="31" spans="28:62">
      <c r="AB31" s="9">
        <v>0.95124435628424964</v>
      </c>
      <c r="AC31" s="9">
        <v>0.50926402538335047</v>
      </c>
      <c r="AD31" s="9">
        <v>0.96566668816233514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F31" s="17" t="s">
        <v>5</v>
      </c>
      <c r="BG31" s="17"/>
      <c r="BH31" s="17" t="s">
        <v>4</v>
      </c>
      <c r="BI31" s="11" t="s">
        <v>14</v>
      </c>
      <c r="BJ31" s="13">
        <f>DSUM($A$1:$AZ$11435,$BM$1,BF30:BI31)/DCOUNT($A$1:$AZ$11435,$BM$1,BF30:BI31)</f>
        <v>1.0154760716334641</v>
      </c>
    </row>
    <row r="32" spans="28:62">
      <c r="AB32" s="9">
        <v>0.93728357767393367</v>
      </c>
      <c r="AC32" s="9">
        <v>0.4004874086108855</v>
      </c>
      <c r="AD32" s="9">
        <v>0.97340019160160751</v>
      </c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F32" s="12" t="str">
        <f>$BM$2</f>
        <v>MAI</v>
      </c>
      <c r="BG32" s="12" t="str">
        <f>$BM$3</f>
        <v>MVI</v>
      </c>
      <c r="BH32" s="12" t="str">
        <f>$BM$2</f>
        <v>MAI</v>
      </c>
      <c r="BI32" s="12" t="str">
        <f>$BM$3</f>
        <v>MVI</v>
      </c>
      <c r="BJ32" s="13">
        <f>DCOUNT($A$1:$AZ$11435,$BM$1,BF32:BI33)</f>
        <v>89</v>
      </c>
    </row>
    <row r="33" spans="28:62">
      <c r="AB33" s="9">
        <v>0.93247189148212672</v>
      </c>
      <c r="AC33" s="9">
        <v>0.43156892954336123</v>
      </c>
      <c r="AD33" s="9">
        <v>0.98638380128545877</v>
      </c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F33" s="17" t="s">
        <v>7</v>
      </c>
      <c r="BG33" s="17" t="s">
        <v>9</v>
      </c>
      <c r="BH33" s="17" t="s">
        <v>6</v>
      </c>
      <c r="BJ33" s="13">
        <f>DSUM($A$1:$AZ$11435,$BM$1,BF32:BI33)/DCOUNT($A$1:$AZ$11435,$BM$1,BF32:BI33)</f>
        <v>0.99645181949064465</v>
      </c>
    </row>
    <row r="34" spans="28:62">
      <c r="AB34" s="9">
        <v>0.92321834328984809</v>
      </c>
      <c r="AC34" s="9">
        <v>0.60952123211565112</v>
      </c>
      <c r="AD34" s="9">
        <v>0.99175680480560047</v>
      </c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F34" s="12" t="str">
        <f>$BM$2</f>
        <v>MAI</v>
      </c>
      <c r="BG34" s="12" t="str">
        <f>$BM$3</f>
        <v>MVI</v>
      </c>
      <c r="BH34" s="12" t="str">
        <f>$BM$2</f>
        <v>MAI</v>
      </c>
      <c r="BI34" s="12" t="str">
        <f>$BM$3</f>
        <v>MVI</v>
      </c>
      <c r="BJ34" s="13">
        <f>DCOUNT($A$1:$AZ$11435,$BM$1,BF34:BI35)</f>
        <v>124</v>
      </c>
    </row>
    <row r="35" spans="28:62">
      <c r="AB35" s="9">
        <v>0.92091752798689941</v>
      </c>
      <c r="AC35" s="9">
        <v>0.54220797660638165</v>
      </c>
      <c r="AD35" s="9">
        <v>0.98397107705117381</v>
      </c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F35" s="17" t="s">
        <v>7</v>
      </c>
      <c r="BG35" s="17" t="s">
        <v>11</v>
      </c>
      <c r="BH35" s="17" t="s">
        <v>6</v>
      </c>
      <c r="BI35" s="11" t="s">
        <v>10</v>
      </c>
      <c r="BJ35" s="13">
        <f>DSUM($A$1:$AZ$11435,$BM$1,BF34:BI35)/DCOUNT($A$1:$AZ$11435,$BM$1,BF34:BI35)</f>
        <v>0.99518542214033034</v>
      </c>
    </row>
    <row r="36" spans="28:62">
      <c r="AB36" s="9">
        <v>0.93067351532201215</v>
      </c>
      <c r="AC36" s="9">
        <v>0.60442595061230009</v>
      </c>
      <c r="AD36" s="9">
        <v>1.0009972769530397</v>
      </c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F36" s="12" t="str">
        <f>$BM$2</f>
        <v>MAI</v>
      </c>
      <c r="BG36" s="12" t="str">
        <f>$BM$3</f>
        <v>MVI</v>
      </c>
      <c r="BH36" s="12" t="str">
        <f>$BM$2</f>
        <v>MAI</v>
      </c>
      <c r="BI36" s="12" t="str">
        <f>$BM$3</f>
        <v>MVI</v>
      </c>
      <c r="BJ36" s="13">
        <f>DCOUNT($A$1:$AZ$11435,$BM$1,BF36:BI37)</f>
        <v>207</v>
      </c>
    </row>
    <row r="37" spans="28:62">
      <c r="AB37" s="9">
        <v>0.91781212692829472</v>
      </c>
      <c r="AC37" s="9">
        <v>0.50299415772247758</v>
      </c>
      <c r="AD37" s="9">
        <v>1.0201675201568967</v>
      </c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F37" s="17" t="s">
        <v>7</v>
      </c>
      <c r="BG37" s="17" t="s">
        <v>7</v>
      </c>
      <c r="BH37" s="17" t="s">
        <v>6</v>
      </c>
      <c r="BI37" s="11" t="s">
        <v>12</v>
      </c>
      <c r="BJ37" s="13">
        <f>DSUM($A$1:$AZ$11435,$BM$1,BF36:BI37)/DCOUNT($A$1:$AZ$11435,$BM$1,BF36:BI37)</f>
        <v>1.0008048744634048</v>
      </c>
    </row>
    <row r="38" spans="28:62">
      <c r="AB38" s="9">
        <v>0.90346806029256399</v>
      </c>
      <c r="AC38" s="9">
        <v>0.73715165006737415</v>
      </c>
      <c r="AD38" s="9">
        <v>1.0084759232448375</v>
      </c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F38" s="12" t="str">
        <f>$BM$2</f>
        <v>MAI</v>
      </c>
      <c r="BG38" s="12" t="str">
        <f>$BM$3</f>
        <v>MVI</v>
      </c>
      <c r="BH38" s="12" t="str">
        <f>$BM$2</f>
        <v>MAI</v>
      </c>
      <c r="BI38" s="12" t="str">
        <f>$BM$3</f>
        <v>MVI</v>
      </c>
      <c r="BJ38" s="13">
        <f>DCOUNT($A$1:$AZ$11435,$BM$1,BF38:BI39)</f>
        <v>223</v>
      </c>
    </row>
    <row r="39" spans="28:62">
      <c r="AB39" s="9">
        <v>0.91731934648741986</v>
      </c>
      <c r="AC39" s="9">
        <v>0.69201415585447823</v>
      </c>
      <c r="AD39" s="9">
        <v>1.0145106607262719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F39" s="17" t="s">
        <v>7</v>
      </c>
      <c r="BG39" s="17" t="s">
        <v>13</v>
      </c>
      <c r="BH39" s="17" t="s">
        <v>6</v>
      </c>
      <c r="BI39" s="11" t="s">
        <v>8</v>
      </c>
      <c r="BJ39" s="13">
        <f>DSUM($A$1:$AZ$11435,$BM$1,BF38:BI39)/DCOUNT($A$1:$AZ$11435,$BM$1,BF38:BI39)</f>
        <v>1.0074316993418961</v>
      </c>
    </row>
    <row r="40" spans="28:62">
      <c r="AB40" s="9">
        <v>0.91517070147681923</v>
      </c>
      <c r="AC40" s="9">
        <v>0.60105091357828111</v>
      </c>
      <c r="AD40" s="9">
        <v>0.99343816927103967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F40" s="12" t="str">
        <f>$BM$2</f>
        <v>MAI</v>
      </c>
      <c r="BG40" s="12" t="str">
        <f>$BM$3</f>
        <v>MVI</v>
      </c>
      <c r="BH40" s="12" t="str">
        <f>$BM$2</f>
        <v>MAI</v>
      </c>
      <c r="BI40" s="12" t="str">
        <f>$BM$3</f>
        <v>MVI</v>
      </c>
      <c r="BJ40" s="13">
        <f>DCOUNT($A$1:$AZ$11435,$BM$1,BF40:BI41)</f>
        <v>213</v>
      </c>
    </row>
    <row r="41" spans="28:62">
      <c r="AB41" s="9">
        <v>0.93742320279197022</v>
      </c>
      <c r="AC41" s="9">
        <v>0.74941772955401198</v>
      </c>
      <c r="AD41" s="9">
        <v>1.001666407592789</v>
      </c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F41" s="17" t="s">
        <v>7</v>
      </c>
      <c r="BG41" s="17"/>
      <c r="BH41" s="17" t="s">
        <v>6</v>
      </c>
      <c r="BI41" s="11" t="s">
        <v>14</v>
      </c>
      <c r="BJ41" s="13">
        <f>DSUM($A$1:$AZ$11435,$BM$1,BF40:BI41)/DCOUNT($A$1:$AZ$11435,$BM$1,BF40:BI41)</f>
        <v>1.0337599835609412</v>
      </c>
    </row>
    <row r="42" spans="28:62">
      <c r="AB42" s="9">
        <v>0.93214675723580054</v>
      </c>
      <c r="AC42" s="9">
        <v>0.57783516253982947</v>
      </c>
      <c r="AD42" s="9">
        <v>0.9966711942418075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F42" s="12" t="str">
        <f>$BM$2</f>
        <v>MAI</v>
      </c>
      <c r="BG42" s="12" t="str">
        <f>$BM$3</f>
        <v>MVI</v>
      </c>
      <c r="BH42" s="12" t="str">
        <f>$BM$2</f>
        <v>MAI</v>
      </c>
      <c r="BI42" s="12" t="str">
        <f>$BM$3</f>
        <v>MVI</v>
      </c>
      <c r="BJ42" s="13">
        <f>DCOUNT($A$1:$AZ$11435,$BM$1,BF42:BI43)</f>
        <v>14</v>
      </c>
    </row>
    <row r="43" spans="28:62">
      <c r="AB43" s="9">
        <v>0.93852545411468868</v>
      </c>
      <c r="AC43" s="9">
        <v>0.48108108551377232</v>
      </c>
      <c r="AD43" s="9">
        <v>0.99274743059189841</v>
      </c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F43" s="17"/>
      <c r="BG43" s="17" t="s">
        <v>9</v>
      </c>
      <c r="BH43" s="17" t="s">
        <v>8</v>
      </c>
      <c r="BJ43" s="13">
        <f>DSUM($A$1:$AZ$11435,$BM$1,BF42:BI43)/(DCOUNT($A$1:$AZ$11435,$BM$1,BF42:BI43)+0.00001)</f>
        <v>0.99036435313219295</v>
      </c>
    </row>
    <row r="44" spans="28:62">
      <c r="AB44" s="9">
        <v>0.94351381812245949</v>
      </c>
      <c r="AC44" s="9">
        <v>0.48527728644261775</v>
      </c>
      <c r="AD44" s="9">
        <v>0.99110408266737482</v>
      </c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F44" s="12" t="str">
        <f>$BM$2</f>
        <v>MAI</v>
      </c>
      <c r="BG44" s="12" t="str">
        <f>$BM$3</f>
        <v>MVI</v>
      </c>
      <c r="BH44" s="12" t="str">
        <f>$BM$2</f>
        <v>MAI</v>
      </c>
      <c r="BI44" s="12" t="str">
        <f>$BM$3</f>
        <v>MVI</v>
      </c>
      <c r="BJ44" s="13">
        <f>DCOUNT($A$1:$AZ$11435,$BM$1,BF44:BI45)</f>
        <v>35</v>
      </c>
    </row>
    <row r="45" spans="28:62">
      <c r="AB45" s="9">
        <v>0.94635876134138519</v>
      </c>
      <c r="AC45" s="9">
        <v>0.6783608668531298</v>
      </c>
      <c r="AD45" s="9">
        <v>1.0026032891830758</v>
      </c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F45" s="17"/>
      <c r="BG45" s="17" t="s">
        <v>11</v>
      </c>
      <c r="BH45" s="17" t="s">
        <v>8</v>
      </c>
      <c r="BI45" s="11" t="s">
        <v>10</v>
      </c>
      <c r="BJ45" s="13">
        <f>DSUM($A$1:$AZ$11435,$BM$1,BF44:BI45)/DCOUNT($A$1:$AZ$11435,$BM$1,BF44:BI45)</f>
        <v>1.0051698998780383</v>
      </c>
    </row>
    <row r="46" spans="28:62">
      <c r="AB46" s="9">
        <v>0.93767093236136201</v>
      </c>
      <c r="AC46" s="9">
        <v>0.61428527327483895</v>
      </c>
      <c r="AD46" s="9">
        <v>1.0112609192651068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F46" s="12" t="str">
        <f>$BM$2</f>
        <v>MAI</v>
      </c>
      <c r="BG46" s="12" t="str">
        <f>$BM$3</f>
        <v>MVI</v>
      </c>
      <c r="BH46" s="12" t="str">
        <f>$BM$2</f>
        <v>MAI</v>
      </c>
      <c r="BI46" s="12" t="str">
        <f>$BM$3</f>
        <v>MVI</v>
      </c>
      <c r="BJ46" s="13">
        <f>DCOUNT($A$1:$AZ$11435,$BM$1,BF46:BI47)</f>
        <v>113</v>
      </c>
    </row>
    <row r="47" spans="28:62">
      <c r="AB47" s="9">
        <v>0.93229916894733922</v>
      </c>
      <c r="AC47" s="9">
        <v>0.55813030300635058</v>
      </c>
      <c r="AD47" s="9">
        <v>1.0100294634965137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F47" s="17"/>
      <c r="BG47" s="17" t="s">
        <v>7</v>
      </c>
      <c r="BH47" s="17" t="s">
        <v>8</v>
      </c>
      <c r="BI47" s="11" t="s">
        <v>12</v>
      </c>
      <c r="BJ47" s="13">
        <f>DSUM($A$1:$AZ$11435,$BM$1,BF46:BI47)/DCOUNT($A$1:$AZ$11435,$BM$1,BF46:BI47)</f>
        <v>0.99091650070068049</v>
      </c>
    </row>
    <row r="48" spans="28:62">
      <c r="AB48" s="9">
        <v>0.93666844155006779</v>
      </c>
      <c r="AC48" s="9">
        <v>0.64200525571053169</v>
      </c>
      <c r="AD48" s="9">
        <v>1.0195837057617014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F48" s="12" t="str">
        <f>$BM$2</f>
        <v>MAI</v>
      </c>
      <c r="BG48" s="12" t="str">
        <f>$BM$3</f>
        <v>MVI</v>
      </c>
      <c r="BH48" s="12" t="str">
        <f>$BM$2</f>
        <v>MAI</v>
      </c>
      <c r="BI48" s="12" t="str">
        <f>$BM$3</f>
        <v>MVI</v>
      </c>
      <c r="BJ48" s="13">
        <f>DCOUNT($A$1:$AZ$11435,$BM$1,BF48:BI49)</f>
        <v>199</v>
      </c>
    </row>
    <row r="49" spans="28:63">
      <c r="AB49" s="9">
        <v>0.93105622140975042</v>
      </c>
      <c r="AC49" s="9">
        <v>0.55068104501333193</v>
      </c>
      <c r="AD49" s="9">
        <v>1.0099346253719534</v>
      </c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F49" s="17"/>
      <c r="BG49" s="17" t="s">
        <v>13</v>
      </c>
      <c r="BH49" s="17" t="s">
        <v>8</v>
      </c>
      <c r="BI49" s="11" t="s">
        <v>8</v>
      </c>
      <c r="BJ49" s="13">
        <f>DSUM($A$1:$AZ$11435,$BM$1,BF48:BI49)/DCOUNT($A$1:$AZ$11435,$BM$1,BF48:BI49)</f>
        <v>1.0029072548448112</v>
      </c>
    </row>
    <row r="50" spans="28:63">
      <c r="AB50" s="9">
        <v>0.94244475224990842</v>
      </c>
      <c r="AC50" s="9">
        <v>0.69815547381651888</v>
      </c>
      <c r="AD50" s="9">
        <v>1.001631671437571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F50" s="12" t="str">
        <f>$BM$2</f>
        <v>MAI</v>
      </c>
      <c r="BG50" s="12" t="str">
        <f>$BM$3</f>
        <v>MVI</v>
      </c>
      <c r="BH50" s="12" t="str">
        <f>$BM$2</f>
        <v>MAI</v>
      </c>
      <c r="BI50" s="12" t="str">
        <f>$BM$3</f>
        <v>MVI</v>
      </c>
      <c r="BJ50" s="13">
        <f>DCOUNT($A$1:$AZ$11435,$BM$1,BF50:BI51)</f>
        <v>501</v>
      </c>
    </row>
    <row r="51" spans="28:63">
      <c r="AB51" s="9">
        <v>0.95203227888069386</v>
      </c>
      <c r="AC51" s="9">
        <v>1.188915102163473</v>
      </c>
      <c r="AD51" s="9">
        <v>1.0038977751878384</v>
      </c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F51" s="17"/>
      <c r="BG51" s="17"/>
      <c r="BH51" s="17" t="s">
        <v>8</v>
      </c>
      <c r="BI51" s="11" t="s">
        <v>14</v>
      </c>
      <c r="BJ51" s="13">
        <f>DSUM($A$1:$AZ$11435,$BM$1,BF50:BI51)/DCOUNT($A$1:$AZ$11435,$BM$1,BF50:BI51)</f>
        <v>1.0244222727682533</v>
      </c>
    </row>
    <row r="52" spans="28:63">
      <c r="AB52" s="9">
        <v>0.95179505461108094</v>
      </c>
      <c r="AC52" s="9">
        <v>1.0644804128268945</v>
      </c>
      <c r="AD52" s="9">
        <v>1.0074902528585312</v>
      </c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28:63">
      <c r="AB53" s="9">
        <v>0.95035641721132647</v>
      </c>
      <c r="AC53" s="9">
        <v>0.79987438786659004</v>
      </c>
      <c r="AD53" s="9">
        <v>0.99675260385727293</v>
      </c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28:63">
      <c r="AB54" s="9">
        <v>0.96314310671766679</v>
      </c>
      <c r="AC54" s="9">
        <v>0.98725607165037732</v>
      </c>
      <c r="AD54" s="9">
        <v>0.99913249333153897</v>
      </c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G54" s="11" t="str">
        <f>$BN$3&amp;1</f>
        <v>MVI1</v>
      </c>
      <c r="BH54" s="11" t="str">
        <f>$BN$3&amp;2</f>
        <v>MVI2</v>
      </c>
      <c r="BI54" s="11" t="str">
        <f>$BN$3&amp;3</f>
        <v>MVI3</v>
      </c>
      <c r="BJ54" s="11" t="str">
        <f>$BN$3&amp;4</f>
        <v>MVI4</v>
      </c>
      <c r="BK54" s="11" t="str">
        <f>$BN$3&amp;5</f>
        <v>MVI5</v>
      </c>
    </row>
    <row r="55" spans="28:63">
      <c r="AB55" s="9">
        <v>0.96295950073031467</v>
      </c>
      <c r="AC55" s="9">
        <v>1.3215770041975545</v>
      </c>
      <c r="AD55" s="9">
        <v>0.99726774271005203</v>
      </c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F55" s="11" t="str">
        <f>$BN$2&amp;1</f>
        <v>MAI1</v>
      </c>
      <c r="BG55" s="18">
        <f>$BJ2</f>
        <v>341</v>
      </c>
      <c r="BH55" s="18">
        <f>$BJ4</f>
        <v>218</v>
      </c>
      <c r="BI55" s="18">
        <f>$BJ6</f>
        <v>187</v>
      </c>
      <c r="BJ55" s="18">
        <f>$BJ8</f>
        <v>87</v>
      </c>
      <c r="BK55" s="18">
        <f>$BJ10</f>
        <v>30</v>
      </c>
    </row>
    <row r="56" spans="28:63">
      <c r="AB56" s="9">
        <v>0.96655795949504519</v>
      </c>
      <c r="AC56" s="9">
        <v>0.91218561168204282</v>
      </c>
      <c r="AD56" s="9">
        <v>0.99769431702204114</v>
      </c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F56" s="11" t="str">
        <f>$BN$2&amp;2</f>
        <v>MAI2</v>
      </c>
      <c r="BG56" s="18">
        <f>$BJ12</f>
        <v>265</v>
      </c>
      <c r="BH56" s="18">
        <f>$BJ14</f>
        <v>191</v>
      </c>
      <c r="BI56" s="18">
        <f>$BJ16</f>
        <v>151</v>
      </c>
      <c r="BJ56" s="18">
        <f>$BJ18</f>
        <v>79</v>
      </c>
      <c r="BK56" s="18">
        <f>$BJ20</f>
        <v>31</v>
      </c>
    </row>
    <row r="57" spans="28:63">
      <c r="AB57" s="9">
        <v>0.96811645370521826</v>
      </c>
      <c r="AC57" s="9">
        <v>0.89339230831360184</v>
      </c>
      <c r="AD57" s="9">
        <v>1.0096667968096382</v>
      </c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F57" s="11" t="str">
        <f>$BN$2&amp;3</f>
        <v>MAI3</v>
      </c>
      <c r="BG57" s="18">
        <f>$BJ22</f>
        <v>153</v>
      </c>
      <c r="BH57" s="18">
        <f>$BJ24</f>
        <v>187</v>
      </c>
      <c r="BI57" s="18">
        <f>$BJ26</f>
        <v>170</v>
      </c>
      <c r="BJ57" s="18">
        <f>$BJ28</f>
        <v>110</v>
      </c>
      <c r="BK57" s="18">
        <f>$BJ30</f>
        <v>72</v>
      </c>
    </row>
    <row r="58" spans="28:63">
      <c r="AB58" s="9">
        <v>0.95878879856602961</v>
      </c>
      <c r="AC58" s="9">
        <v>0.94699502245937384</v>
      </c>
      <c r="AD58" s="9">
        <v>1.0096598077785639</v>
      </c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F58" s="11" t="str">
        <f>$BN$2&amp;4</f>
        <v>MAI4</v>
      </c>
      <c r="BG58" s="18">
        <f>$BJ32</f>
        <v>89</v>
      </c>
      <c r="BH58" s="18">
        <f>$BJ34</f>
        <v>124</v>
      </c>
      <c r="BI58" s="18">
        <f>$BJ36</f>
        <v>207</v>
      </c>
      <c r="BJ58" s="18">
        <f>$BJ38</f>
        <v>223</v>
      </c>
      <c r="BK58" s="18">
        <f>$BJ40</f>
        <v>213</v>
      </c>
    </row>
    <row r="59" spans="28:63">
      <c r="AB59" s="9">
        <v>0.96066629440130491</v>
      </c>
      <c r="AC59" s="9">
        <v>0.586832448956363</v>
      </c>
      <c r="AD59" s="9">
        <v>1.0132050078317398</v>
      </c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F59" s="11" t="str">
        <f>$BN$2&amp;5</f>
        <v>MAI5</v>
      </c>
      <c r="BG59" s="18">
        <f>$BJ42</f>
        <v>14</v>
      </c>
      <c r="BH59" s="18">
        <f>$BJ44</f>
        <v>35</v>
      </c>
      <c r="BI59" s="18">
        <f>$BJ46</f>
        <v>113</v>
      </c>
      <c r="BJ59" s="18">
        <f>$BJ48</f>
        <v>199</v>
      </c>
      <c r="BK59" s="18">
        <f>$BJ50</f>
        <v>501</v>
      </c>
    </row>
    <row r="60" spans="28:63">
      <c r="AB60" s="9">
        <v>0.95881558330302419</v>
      </c>
      <c r="AC60" s="9">
        <v>0.64308453574043944</v>
      </c>
      <c r="AD60" s="9">
        <v>1.0203380018378991</v>
      </c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28:63">
      <c r="AB61" s="9">
        <v>0.9536123960719084</v>
      </c>
      <c r="AC61" s="9">
        <v>0.56056695315895444</v>
      </c>
      <c r="AD61" s="9">
        <v>1.0582527874944065</v>
      </c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G61" s="11" t="str">
        <f>$BN$3&amp;1</f>
        <v>MVI1</v>
      </c>
      <c r="BH61" s="11" t="str">
        <f>$BN$3&amp;2</f>
        <v>MVI2</v>
      </c>
      <c r="BI61" s="11" t="str">
        <f>$BN$3&amp;3</f>
        <v>MVI3</v>
      </c>
      <c r="BJ61" s="11" t="str">
        <f>$BN$3&amp;4</f>
        <v>MVI4</v>
      </c>
      <c r="BK61" s="11" t="str">
        <f>$BN$3&amp;5</f>
        <v>MVI5</v>
      </c>
    </row>
    <row r="62" spans="28:63">
      <c r="AB62" s="9">
        <v>0.92160164185386895</v>
      </c>
      <c r="AC62" s="9">
        <v>0.99122286089087619</v>
      </c>
      <c r="AD62" s="9">
        <v>1.0535968609823654</v>
      </c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F62" s="11" t="str">
        <f>$BN$2&amp;1</f>
        <v>MAI1</v>
      </c>
      <c r="BG62" s="19">
        <f>$BJ3</f>
        <v>1.0003254911876955</v>
      </c>
      <c r="BH62" s="19">
        <f>$BJ5</f>
        <v>1.0024954403643305</v>
      </c>
      <c r="BI62" s="19">
        <f>$BJ7</f>
        <v>1.0125263951791486</v>
      </c>
      <c r="BJ62" s="19">
        <f>$BJ9</f>
        <v>0.99339247892493443</v>
      </c>
      <c r="BK62" s="19">
        <f>$BJ11</f>
        <v>1.0016498497375648</v>
      </c>
    </row>
    <row r="63" spans="28:63">
      <c r="AB63" s="9">
        <v>0.92886375849178449</v>
      </c>
      <c r="AC63" s="9">
        <v>0.74188362579166767</v>
      </c>
      <c r="AD63" s="9">
        <v>1.0446591838904582</v>
      </c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F63" s="11" t="str">
        <f>$BN$2&amp;2</f>
        <v>MAI2</v>
      </c>
      <c r="BG63" s="19">
        <f>$BJ13</f>
        <v>1.0007235394208385</v>
      </c>
      <c r="BH63" s="19">
        <f>$BJ15</f>
        <v>1.0013760619466139</v>
      </c>
      <c r="BI63" s="19">
        <f>$BJ17</f>
        <v>0.99702492163108203</v>
      </c>
      <c r="BJ63" s="19">
        <f>$BJ19</f>
        <v>1.0056725459736906</v>
      </c>
      <c r="BK63" s="19">
        <f>$BJ21</f>
        <v>0.97552424961992312</v>
      </c>
    </row>
    <row r="64" spans="28:63">
      <c r="AB64" s="9">
        <v>0.93958634294165289</v>
      </c>
      <c r="AC64" s="9">
        <v>0.94747227325304451</v>
      </c>
      <c r="AD64" s="9">
        <v>1.0508344882109473</v>
      </c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F64" s="11" t="str">
        <f>$BN$2&amp;3</f>
        <v>MAI3</v>
      </c>
      <c r="BG64" s="19">
        <f>$BJ23</f>
        <v>0.99978624890066614</v>
      </c>
      <c r="BH64" s="19">
        <f>$BJ25</f>
        <v>1.0036017218975359</v>
      </c>
      <c r="BI64" s="19">
        <f>$BJ27</f>
        <v>1.0042814952001198</v>
      </c>
      <c r="BJ64" s="19">
        <f>$BJ29</f>
        <v>1.0090155139727417</v>
      </c>
      <c r="BK64" s="19">
        <f>$BJ31</f>
        <v>1.0154760716334641</v>
      </c>
    </row>
    <row r="65" spans="28:63">
      <c r="AB65" s="9">
        <v>0.93695854619659213</v>
      </c>
      <c r="AC65" s="9">
        <v>1.1876913952679389</v>
      </c>
      <c r="AD65" s="9">
        <v>1.0530691025658947</v>
      </c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F65" s="11" t="str">
        <f>$BN$2&amp;4</f>
        <v>MAI4</v>
      </c>
      <c r="BG65" s="19">
        <f>$BJ33</f>
        <v>0.99645181949064465</v>
      </c>
      <c r="BH65" s="19">
        <f>$BJ35</f>
        <v>0.99518542214033034</v>
      </c>
      <c r="BI65" s="19">
        <f>$BJ37</f>
        <v>1.0008048744634048</v>
      </c>
      <c r="BJ65" s="19">
        <f>$BJ39</f>
        <v>1.0074316993418961</v>
      </c>
      <c r="BK65" s="19">
        <f>$BJ41</f>
        <v>1.0337599835609412</v>
      </c>
    </row>
    <row r="66" spans="28:63">
      <c r="AB66" s="9">
        <v>0.93819861477098776</v>
      </c>
      <c r="AC66" s="9">
        <v>1.0376599863806761</v>
      </c>
      <c r="AD66" s="9">
        <v>1.0379542569334286</v>
      </c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F66" s="11" t="str">
        <f>$BN$2&amp;5</f>
        <v>MAI5</v>
      </c>
      <c r="BG66" s="19">
        <f>$BJ43</f>
        <v>0.99036435313219295</v>
      </c>
      <c r="BH66" s="19">
        <f>$BJ45</f>
        <v>1.0051698998780383</v>
      </c>
      <c r="BI66" s="19">
        <f>$BJ47</f>
        <v>0.99091650070068049</v>
      </c>
      <c r="BJ66" s="19">
        <f>$BJ49</f>
        <v>1.0029072548448112</v>
      </c>
      <c r="BK66" s="19">
        <f>$BJ51</f>
        <v>1.0244222727682533</v>
      </c>
    </row>
    <row r="67" spans="28:63">
      <c r="AB67" s="9">
        <v>0.95484363612642364</v>
      </c>
      <c r="AC67" s="9">
        <v>0.89497865285754952</v>
      </c>
      <c r="AD67" s="9">
        <v>1.018546386246713</v>
      </c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28:63">
      <c r="AB68" s="9">
        <v>0.97465573971403152</v>
      </c>
      <c r="AC68" s="9">
        <v>1.3455208848912574</v>
      </c>
      <c r="AD68" s="9">
        <v>1.0034061348820884</v>
      </c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28:63">
      <c r="AB69" s="9">
        <v>0.99006150549392802</v>
      </c>
      <c r="AC69" s="9">
        <v>1.575173769404743</v>
      </c>
      <c r="AD69" s="9">
        <v>0.98883460526315781</v>
      </c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28:63">
      <c r="AB70" s="9">
        <v>1.0041850291955785</v>
      </c>
      <c r="AC70" s="9">
        <v>1.7614835367936394</v>
      </c>
      <c r="AD70" s="9">
        <v>0.9862821369643292</v>
      </c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28:63">
      <c r="AB71" s="9">
        <v>1.0061210268573488</v>
      </c>
      <c r="AC71" s="9">
        <v>2.0521781534460333</v>
      </c>
      <c r="AD71" s="9">
        <v>0.97165810975055911</v>
      </c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28:63">
      <c r="AB72" s="9">
        <v>1.0199529112688124</v>
      </c>
      <c r="AC72" s="9">
        <v>1.8153716043802213</v>
      </c>
      <c r="AD72" s="9">
        <v>0.96601627138233415</v>
      </c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28:63">
      <c r="AB73" s="9">
        <v>1.0231785656954158</v>
      </c>
      <c r="AC73" s="9">
        <v>1.830395070462111</v>
      </c>
      <c r="AD73" s="9">
        <v>0.96403985042066487</v>
      </c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pans="28:63">
      <c r="AB74" s="9">
        <v>1.0231625836172733</v>
      </c>
      <c r="AC74" s="9">
        <v>1.8425482466143195</v>
      </c>
      <c r="AD74" s="9">
        <v>0.98135885462555073</v>
      </c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28:63">
      <c r="AB75" s="9">
        <v>1.0031393400315347</v>
      </c>
      <c r="AC75" s="9">
        <v>1.6197383664283309</v>
      </c>
      <c r="AD75" s="9">
        <v>0.9787187154565351</v>
      </c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spans="28:63">
      <c r="AB76" s="9">
        <v>1.0045592245283588</v>
      </c>
      <c r="AC76" s="9">
        <v>1.1818260513640397</v>
      </c>
      <c r="AD76" s="9">
        <v>0.98490742098457662</v>
      </c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28:63">
      <c r="AB77" s="9">
        <v>0.99702683091169053</v>
      </c>
      <c r="AC77" s="9">
        <v>1.174606403537416</v>
      </c>
      <c r="AD77" s="9">
        <v>0.97847971021868552</v>
      </c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spans="28:63">
      <c r="AB78" s="9">
        <v>1.002464820333945</v>
      </c>
      <c r="AC78" s="9">
        <v>0.94827743068674752</v>
      </c>
      <c r="AD78" s="9">
        <v>0.98123889711736467</v>
      </c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28:63">
      <c r="AB79" s="9">
        <v>0.99878033909283082</v>
      </c>
      <c r="AC79" s="9">
        <v>0.89122437355192075</v>
      </c>
      <c r="AD79" s="9">
        <v>0.9882446122261237</v>
      </c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28:63">
      <c r="AB80" s="9">
        <v>0.99092233895602688</v>
      </c>
      <c r="AC80" s="9">
        <v>0.89742731384093033</v>
      </c>
      <c r="AD80" s="9">
        <v>0.98398228662725373</v>
      </c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28:52">
      <c r="AB81" s="9">
        <v>0.99478271864032808</v>
      </c>
      <c r="AC81" s="9">
        <v>0.98112890653597828</v>
      </c>
      <c r="AD81" s="9">
        <v>0.95755875365676435</v>
      </c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28:52">
      <c r="AB82" s="9">
        <v>1.0206979027504559</v>
      </c>
      <c r="AC82" s="9">
        <v>1.4946278875897641</v>
      </c>
      <c r="AD82" s="9">
        <v>0.95484569213427761</v>
      </c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28:52">
      <c r="AB83" s="9">
        <v>1.0214091487203754</v>
      </c>
      <c r="AC83" s="9">
        <v>1.6758616045296071</v>
      </c>
      <c r="AD83" s="9">
        <v>0.95737842384732641</v>
      </c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28:52">
      <c r="AB84" s="9">
        <v>1.0165486886703625</v>
      </c>
      <c r="AC84" s="9">
        <v>1.3092677836729745</v>
      </c>
      <c r="AD84" s="9">
        <v>0.96354381275336065</v>
      </c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28:52">
      <c r="AB85" s="9">
        <v>1.00800624152637</v>
      </c>
      <c r="AC85" s="9">
        <v>1.0549330948311595</v>
      </c>
      <c r="AD85" s="9">
        <v>0.93934796495316986</v>
      </c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28:52">
      <c r="AB86" s="9">
        <v>1.0315453229243527</v>
      </c>
      <c r="AC86" s="9">
        <v>1.4379587218413614</v>
      </c>
      <c r="AD86" s="9">
        <v>0.94420487297675304</v>
      </c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28:52">
      <c r="AB87" s="9">
        <v>1.022896447107025</v>
      </c>
      <c r="AC87" s="9">
        <v>1.8941185610146807</v>
      </c>
      <c r="AD87" s="9">
        <v>0.92452793912502906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28:52">
      <c r="AB88" s="9">
        <v>1.0402841513335017</v>
      </c>
      <c r="AC88" s="9">
        <v>2.0180821080022273</v>
      </c>
      <c r="AD88" s="9">
        <v>0.92241323487584814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28:52">
      <c r="AB89" s="9">
        <v>1.038198146641367</v>
      </c>
      <c r="AC89" s="9">
        <v>2.1756662565666676</v>
      </c>
      <c r="AD89" s="9">
        <v>0.91981658601730565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28:52">
      <c r="AB90" s="9">
        <v>1.0363185804279202</v>
      </c>
      <c r="AC90" s="9">
        <v>1.7644107659955084</v>
      </c>
      <c r="AD90" s="9">
        <v>0.92334065005239574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28:52">
      <c r="AB91" s="9">
        <v>1.0281674947007402</v>
      </c>
      <c r="AC91" s="9">
        <v>1.7399145551184219</v>
      </c>
      <c r="AD91" s="9">
        <v>0.92699519972197497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28:52">
      <c r="AB92" s="9">
        <v>1.0202010850264778</v>
      </c>
      <c r="AC92" s="9">
        <v>1.6233128218052553</v>
      </c>
      <c r="AD92" s="9">
        <v>0.91908511530035997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28:52">
      <c r="AB93" s="9">
        <v>1.0252555774206418</v>
      </c>
      <c r="AC93" s="9">
        <v>1.2194316818558122</v>
      </c>
      <c r="AD93" s="9">
        <v>0.92360404110858008</v>
      </c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28:52">
      <c r="AB94" s="9">
        <v>1.0160092235748244</v>
      </c>
      <c r="AC94" s="9">
        <v>1.2306911386814081</v>
      </c>
      <c r="AD94" s="9">
        <v>0.9140406494558273</v>
      </c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28:52">
      <c r="AB95" s="9">
        <v>1.0224101232775966</v>
      </c>
      <c r="AC95" s="9">
        <v>1.0529406116513023</v>
      </c>
      <c r="AD95" s="9">
        <v>0.89478084833725724</v>
      </c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28:52">
      <c r="AB96" s="9">
        <v>1.0391559195759865</v>
      </c>
      <c r="AC96" s="9">
        <v>2.0320325607150553</v>
      </c>
      <c r="AD96" s="9">
        <v>0.89203753134007624</v>
      </c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28:52">
      <c r="AB97" s="9">
        <v>1.0365579790310531</v>
      </c>
      <c r="AC97" s="9">
        <v>2.444038138147667</v>
      </c>
      <c r="AD97" s="9">
        <v>0.89527978036897327</v>
      </c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28:52">
      <c r="AB98" s="9">
        <v>1.0279399659811821</v>
      </c>
      <c r="AC98" s="9">
        <v>1.6061673222002635</v>
      </c>
      <c r="AD98" s="9">
        <v>0.90929781095769791</v>
      </c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spans="28:52">
      <c r="AB99" s="9">
        <v>1.0075013553236079</v>
      </c>
      <c r="AC99" s="9">
        <v>1.3601453993221002</v>
      </c>
      <c r="AD99" s="9">
        <v>0.91885707812357709</v>
      </c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spans="28:52">
      <c r="AB100" s="9">
        <v>0.99352031530863927</v>
      </c>
      <c r="AC100" s="9">
        <v>1.3581859755983243</v>
      </c>
      <c r="AD100" s="9">
        <v>0.91693766624262762</v>
      </c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28:52">
      <c r="AB101" s="9">
        <v>0.99242042443274792</v>
      </c>
      <c r="AC101" s="9">
        <v>0.80966685179493014</v>
      </c>
      <c r="AD101" s="9">
        <v>0.91972848349188596</v>
      </c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spans="28:52">
      <c r="AB102" s="9">
        <v>0.98623191547585198</v>
      </c>
      <c r="AC102" s="9">
        <v>0.79139367832294005</v>
      </c>
      <c r="AD102" s="9">
        <v>0.90533342470174483</v>
      </c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spans="28:52">
      <c r="AB103" s="9">
        <v>0.99854097412601928</v>
      </c>
      <c r="AC103" s="9">
        <v>0.69428083070592617</v>
      </c>
      <c r="AD103" s="9">
        <v>0.91649211509447548</v>
      </c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spans="28:52">
      <c r="AB104" s="9">
        <v>0.98354501768538516</v>
      </c>
      <c r="AC104" s="9">
        <v>0.80275117672662122</v>
      </c>
      <c r="AD104" s="9">
        <v>0.91382245880816371</v>
      </c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28:52">
      <c r="AB105" s="9">
        <v>0.98429733865215596</v>
      </c>
      <c r="AC105" s="9">
        <v>0.67043319893273234</v>
      </c>
      <c r="AD105" s="9">
        <v>0.90476587157516331</v>
      </c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spans="28:52">
      <c r="AB106" s="9">
        <v>0.99194882129755746</v>
      </c>
      <c r="AC106" s="9">
        <v>0.62277298341433396</v>
      </c>
      <c r="AD106" s="9">
        <v>0.89782148374213488</v>
      </c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spans="28:52">
      <c r="AB107" s="9">
        <v>0.9969928709674496</v>
      </c>
      <c r="AC107" s="9">
        <v>1.0725449272503234</v>
      </c>
      <c r="AD107" s="9">
        <v>0.91116280329045041</v>
      </c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spans="28:52">
      <c r="AB108" s="9">
        <v>0.97958740199970895</v>
      </c>
      <c r="AC108" s="9">
        <v>0.95744317363072273</v>
      </c>
      <c r="AD108" s="9">
        <v>0.9301424476417719</v>
      </c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spans="28:52">
      <c r="AB109" s="9">
        <v>0.95748597800377167</v>
      </c>
      <c r="AC109" s="9">
        <v>0.98951872756765513</v>
      </c>
      <c r="AD109" s="9">
        <v>0.92564906788627921</v>
      </c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spans="28:52">
      <c r="AB110" s="9">
        <v>0.95993482164732802</v>
      </c>
      <c r="AC110" s="9">
        <v>0.70088119330114995</v>
      </c>
      <c r="AD110" s="9">
        <v>0.92756400010192752</v>
      </c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spans="28:52">
      <c r="AB111" s="9">
        <v>0.95571805791477071</v>
      </c>
      <c r="AC111" s="9">
        <v>0.61632666402751501</v>
      </c>
      <c r="AD111" s="9">
        <v>0.91081194748798011</v>
      </c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spans="28:52">
      <c r="AB112" s="9">
        <v>0.97021333620468253</v>
      </c>
      <c r="AC112" s="9">
        <v>0.57165119346509752</v>
      </c>
      <c r="AD112" s="9">
        <v>0.92280448383491254</v>
      </c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spans="28:52">
      <c r="AB113" s="9">
        <v>0.95415237205229497</v>
      </c>
      <c r="AC113" s="9">
        <v>0.7158942795076032</v>
      </c>
      <c r="AD113" s="9">
        <v>0.92104362198765455</v>
      </c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spans="28:52">
      <c r="AB114" s="9">
        <v>0.95319350326653784</v>
      </c>
      <c r="AC114" s="9">
        <v>0.6245177504042575</v>
      </c>
      <c r="AD114" s="9">
        <v>0.90860377115733193</v>
      </c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spans="28:52">
      <c r="AB115" s="9">
        <v>0.96288994187719856</v>
      </c>
      <c r="AC115" s="9">
        <v>0.70187349828852008</v>
      </c>
      <c r="AD115" s="9">
        <v>0.9050069430394877</v>
      </c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spans="28:52">
      <c r="AB116" s="9">
        <v>0.96202031520581222</v>
      </c>
      <c r="AC116" s="9">
        <v>0.80983779411552315</v>
      </c>
      <c r="AD116" s="9">
        <v>0.91492294400597751</v>
      </c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spans="28:52">
      <c r="AB117" s="9">
        <v>0.9474921304125814</v>
      </c>
      <c r="AC117" s="9">
        <v>0.77334410757369665</v>
      </c>
      <c r="AD117" s="9">
        <v>0.9189007073001374</v>
      </c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spans="28:52">
      <c r="AB118" s="9">
        <v>0.94074590607079867</v>
      </c>
      <c r="AC118" s="9">
        <v>0.59404138791639238</v>
      </c>
      <c r="AD118" s="9">
        <v>0.93757160182178045</v>
      </c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spans="28:52">
      <c r="AB119" s="9">
        <v>0.91982946964548784</v>
      </c>
      <c r="AC119" s="9">
        <v>0.83744666186919114</v>
      </c>
      <c r="AD119" s="9">
        <v>0.93199979802934307</v>
      </c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spans="28:52">
      <c r="AB120" s="9">
        <v>0.92400773843317396</v>
      </c>
      <c r="AC120" s="9">
        <v>0.86379696825556151</v>
      </c>
      <c r="AD120" s="9">
        <v>0.92991571194762646</v>
      </c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spans="28:52">
      <c r="AB121" s="9">
        <v>0.92475024086952706</v>
      </c>
      <c r="AC121" s="9">
        <v>0.68423781821717367</v>
      </c>
      <c r="AD121" s="9">
        <v>0.96794501956585666</v>
      </c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spans="28:52">
      <c r="AB122" s="9">
        <v>0.88814312290253328</v>
      </c>
      <c r="AC122" s="9">
        <v>1.1198810889361814</v>
      </c>
      <c r="AD122" s="9">
        <v>0.95500924876185922</v>
      </c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spans="28:52">
      <c r="AB123" s="9">
        <v>0.90027958142380338</v>
      </c>
      <c r="AC123" s="9">
        <v>0.96460542543274508</v>
      </c>
      <c r="AD123" s="9">
        <v>0.9524588874926907</v>
      </c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spans="28:52">
      <c r="AB124" s="9">
        <v>0.90202401183722325</v>
      </c>
      <c r="AC124" s="9">
        <v>0.65861336100014956</v>
      </c>
      <c r="AD124" s="9">
        <v>0.95188342955227023</v>
      </c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spans="28:52">
      <c r="AB125" s="9">
        <v>0.90179082948863354</v>
      </c>
      <c r="AC125" s="9">
        <v>0.902976253783773</v>
      </c>
      <c r="AD125" s="9">
        <v>0.96124826349422854</v>
      </c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spans="28:52">
      <c r="AB126" s="9">
        <v>0.89307949673004461</v>
      </c>
      <c r="AC126" s="9">
        <v>0.83366397277240778</v>
      </c>
      <c r="AD126" s="9">
        <v>0.96221679519268766</v>
      </c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spans="28:52">
      <c r="AB127" s="9">
        <v>0.89265208115578121</v>
      </c>
      <c r="AC127" s="9">
        <v>0.8104490236958527</v>
      </c>
      <c r="AD127" s="9">
        <v>0.94144612398964633</v>
      </c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 spans="28:52">
      <c r="AB128" s="9">
        <v>0.91326604988256266</v>
      </c>
      <c r="AC128" s="9">
        <v>0.81107882512448326</v>
      </c>
      <c r="AD128" s="9">
        <v>0.92176253249345252</v>
      </c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spans="28:52">
      <c r="AB129" s="9">
        <v>0.93280943989022047</v>
      </c>
      <c r="AC129" s="9">
        <v>1.0809960579910662</v>
      </c>
      <c r="AD129" s="9">
        <v>0.9213714820665847</v>
      </c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spans="28:52">
      <c r="AB130" s="9">
        <v>0.93279650793938151</v>
      </c>
      <c r="AC130" s="9">
        <v>0.84242959902221159</v>
      </c>
      <c r="AD130" s="9">
        <v>0.92545799689593522</v>
      </c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spans="28:52">
      <c r="AB131" s="9">
        <v>0.92770330553422042</v>
      </c>
      <c r="AC131" s="9">
        <v>0.67012378995118616</v>
      </c>
      <c r="AD131" s="9">
        <v>0.9194653366534743</v>
      </c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spans="28:52">
      <c r="AB132" s="9">
        <v>0.93347996787216692</v>
      </c>
      <c r="AC132" s="9">
        <v>0.61910163254457573</v>
      </c>
      <c r="AD132" s="9">
        <v>0.90713955080038033</v>
      </c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spans="28:52">
      <c r="AB133" s="9">
        <v>0.94610173347914839</v>
      </c>
      <c r="AC133" s="9">
        <v>0.78350988865912086</v>
      </c>
      <c r="AD133" s="9">
        <v>0.90732399012316955</v>
      </c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spans="28:52">
      <c r="AB134" s="9">
        <v>0.94523931627694047</v>
      </c>
      <c r="AC134" s="9">
        <v>0.78532245557570979</v>
      </c>
      <c r="AD134" s="9">
        <v>0.913639373974381</v>
      </c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spans="28:52">
      <c r="AB135" s="9">
        <v>0.93800458036810141</v>
      </c>
      <c r="AC135" s="9">
        <v>0.72900920917639489</v>
      </c>
      <c r="AD135" s="9">
        <v>0.92308326283328312</v>
      </c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spans="28:52">
      <c r="AB136" s="9">
        <v>0.92859216918824805</v>
      </c>
      <c r="AC136" s="9">
        <v>0.61038957058974952</v>
      </c>
      <c r="AD136" s="9">
        <v>0.93952501815660461</v>
      </c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spans="28:52">
      <c r="AB137" s="9">
        <v>0.9131078751692554</v>
      </c>
      <c r="AC137" s="9">
        <v>0.74184195503761907</v>
      </c>
      <c r="AD137" s="9">
        <v>0.9368450438069057</v>
      </c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spans="28:52">
      <c r="AB138" s="9">
        <v>0.91768664177851511</v>
      </c>
      <c r="AC138" s="9">
        <v>0.69915462498771253</v>
      </c>
      <c r="AD138" s="9">
        <v>0.94916534456288515</v>
      </c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spans="28:52">
      <c r="AB139" s="9">
        <v>0.90780848714996842</v>
      </c>
      <c r="AC139" s="9">
        <v>0.85078650521774735</v>
      </c>
      <c r="AD139" s="9">
        <v>0.95039919452192678</v>
      </c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spans="28:52">
      <c r="AB140" s="9">
        <v>0.9091807513936363</v>
      </c>
      <c r="AC140" s="9">
        <v>0.72101791927068537</v>
      </c>
      <c r="AD140" s="9">
        <v>0.94435377659710307</v>
      </c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spans="28:52">
      <c r="AB141" s="9">
        <v>0.9173124883370638</v>
      </c>
      <c r="AC141" s="9">
        <v>0.75691416811030188</v>
      </c>
      <c r="AD141" s="9">
        <v>0.94062113193323083</v>
      </c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spans="28:52">
      <c r="AB142" s="9">
        <v>0.92293274845525974</v>
      </c>
      <c r="AC142" s="9">
        <v>0.60638906195324704</v>
      </c>
      <c r="AD142" s="9">
        <v>0.97466389041559198</v>
      </c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spans="28:52">
      <c r="AB143" s="9">
        <v>0.8931228071235352</v>
      </c>
      <c r="AC143" s="9">
        <v>0.92059162313551335</v>
      </c>
      <c r="AD143" s="9">
        <v>0.97720088737870758</v>
      </c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spans="28:52">
      <c r="AB144" s="9">
        <v>0.89383040934287084</v>
      </c>
      <c r="AC144" s="9">
        <v>0.74836790261941766</v>
      </c>
      <c r="AD144" s="9">
        <v>0.98681142924479037</v>
      </c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spans="28:52">
      <c r="AB145" s="9">
        <v>0.8883168725178584</v>
      </c>
      <c r="AC145" s="9">
        <v>0.77801499342424274</v>
      </c>
      <c r="AD145" s="9">
        <v>0.98670372295114461</v>
      </c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spans="28:52">
      <c r="AB146" s="9">
        <v>0.89220479836423938</v>
      </c>
      <c r="AC146" s="9">
        <v>1.000976061053378</v>
      </c>
      <c r="AD146" s="9">
        <v>0.95227959091826131</v>
      </c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spans="28:52">
      <c r="AB147" s="9">
        <v>0.92768522115491425</v>
      </c>
      <c r="AC147" s="9">
        <v>1.1937014846895713</v>
      </c>
      <c r="AD147" s="9">
        <v>0.9620713558874231</v>
      </c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spans="28:52">
      <c r="AB148" s="9">
        <v>0.92094741796198332</v>
      </c>
      <c r="AC148" s="9">
        <v>1.099753505141875</v>
      </c>
      <c r="AD148" s="9">
        <v>0.95416336854789274</v>
      </c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spans="28:52">
      <c r="AB149" s="9">
        <v>0.93086535609465293</v>
      </c>
      <c r="AC149" s="9">
        <v>0.91322047526906935</v>
      </c>
      <c r="AD149" s="9">
        <v>0.96159156058883022</v>
      </c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spans="28:52">
      <c r="AB150" s="9">
        <v>0.92564187939757381</v>
      </c>
      <c r="AC150" s="9">
        <v>1.0557098355509404</v>
      </c>
      <c r="AD150" s="9">
        <v>0.96615671376182122</v>
      </c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spans="28:52">
      <c r="AB151" s="9">
        <v>0.92312833134617711</v>
      </c>
      <c r="AC151" s="9">
        <v>0.90667828950554485</v>
      </c>
      <c r="AD151" s="9">
        <v>0.96291052020931545</v>
      </c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spans="28:52">
      <c r="AB152" s="9">
        <v>0.92807170229666447</v>
      </c>
      <c r="AC152" s="9">
        <v>0.94059199427233742</v>
      </c>
      <c r="AD152" s="9">
        <v>0.94851214162416153</v>
      </c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spans="28:52">
      <c r="AB153" s="9">
        <v>0.94373544080868355</v>
      </c>
      <c r="AC153" s="9">
        <v>0.904045993824939</v>
      </c>
      <c r="AD153" s="9">
        <v>0.92463030395175316</v>
      </c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spans="28:52">
      <c r="AB154" s="9">
        <v>0.96914897258936705</v>
      </c>
      <c r="AC154" s="9">
        <v>1.4231077200249458</v>
      </c>
      <c r="AD154" s="9">
        <v>0.91924907523135024</v>
      </c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spans="28:52">
      <c r="AB155" s="9">
        <v>0.97498463835134042</v>
      </c>
      <c r="AC155" s="9">
        <v>1.2216219004514512</v>
      </c>
      <c r="AD155" s="9">
        <v>0.92336215334006178</v>
      </c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spans="28:52">
      <c r="AB156" s="9">
        <v>0.97103548911419046</v>
      </c>
      <c r="AC156" s="9">
        <v>1.1551702722972466</v>
      </c>
      <c r="AD156" s="9">
        <v>0.93200116240494391</v>
      </c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spans="28:52">
      <c r="AB157" s="9">
        <v>0.96286121936157065</v>
      </c>
      <c r="AC157" s="9">
        <v>1.3581950153370597</v>
      </c>
      <c r="AD157" s="9">
        <v>0.93892639923992871</v>
      </c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spans="28:52">
      <c r="AB158" s="9">
        <v>0.95664007449945676</v>
      </c>
      <c r="AC158" s="9">
        <v>1.1330745095282562</v>
      </c>
      <c r="AD158" s="9">
        <v>0.9608848493233787</v>
      </c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spans="28:52">
      <c r="AB159" s="9">
        <v>0.93597828630389313</v>
      </c>
      <c r="AC159" s="9">
        <v>1.0068979747408602</v>
      </c>
      <c r="AD159" s="9">
        <v>0.95681649390470347</v>
      </c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spans="28:52">
      <c r="AB160" s="9">
        <v>0.94156513113187268</v>
      </c>
      <c r="AC160" s="9">
        <v>0.78438321655547616</v>
      </c>
      <c r="AD160" s="9">
        <v>0.95188809932637719</v>
      </c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spans="28:52">
      <c r="AB161" s="9">
        <v>0.94792172387685014</v>
      </c>
      <c r="AC161" s="9">
        <v>0.75636980849819235</v>
      </c>
      <c r="AD161" s="9">
        <v>0.97676855610793922</v>
      </c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spans="28:52">
      <c r="AB162" s="9">
        <v>0.92600959581790965</v>
      </c>
      <c r="AC162" s="9">
        <v>0.83505657992992099</v>
      </c>
      <c r="AD162" s="9">
        <v>0.96789766245506803</v>
      </c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spans="28:52">
      <c r="AB163" s="9">
        <v>0.93677480807902003</v>
      </c>
      <c r="AC163" s="9">
        <v>0.87382969237628161</v>
      </c>
      <c r="AD163" s="9">
        <v>0.98137606016613377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spans="28:52">
      <c r="AB164" s="9">
        <v>0.92662237682842263</v>
      </c>
      <c r="AC164" s="9">
        <v>0.66271162472571377</v>
      </c>
      <c r="AD164" s="9">
        <v>1.04501840665487</v>
      </c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spans="28:52">
      <c r="AB165" s="9">
        <v>0.87430413272166863</v>
      </c>
      <c r="AC165" s="9">
        <v>0.90684396739904549</v>
      </c>
      <c r="AD165" s="9">
        <v>1.0479061554572957</v>
      </c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spans="28:52">
      <c r="AB166" s="9">
        <v>0.8773306647944018</v>
      </c>
      <c r="AC166" s="9">
        <v>0.80374072392803086</v>
      </c>
      <c r="AD166" s="9">
        <v>1.0105980789539291</v>
      </c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spans="28:52">
      <c r="AB167" s="9">
        <v>0.91442982159098773</v>
      </c>
      <c r="AC167" s="9">
        <v>1.155055437639656</v>
      </c>
      <c r="AD167" s="9">
        <v>1.0368867572302478</v>
      </c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spans="28:52">
      <c r="AB168" s="9">
        <v>0.89539781620549985</v>
      </c>
      <c r="AC168" s="9">
        <v>0.78126886525007633</v>
      </c>
      <c r="AD168" s="9">
        <v>1.0254464571955459</v>
      </c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spans="28:52">
      <c r="AB169" s="9">
        <v>0.90932994321405769</v>
      </c>
      <c r="AC169" s="9">
        <v>0.67864086658642697</v>
      </c>
      <c r="AD169" s="9">
        <v>1.0249325951572781</v>
      </c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spans="28:52">
      <c r="AB170" s="9">
        <v>0.91350227602976297</v>
      </c>
      <c r="AC170" s="9">
        <v>0.72040668833180066</v>
      </c>
      <c r="AD170" s="9">
        <v>1.0225620254880696</v>
      </c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spans="28:52">
      <c r="AB171" s="9">
        <v>0.91928824332099102</v>
      </c>
      <c r="AC171" s="9">
        <v>0.73613365767490468</v>
      </c>
      <c r="AD171" s="9">
        <v>1.043395133189345</v>
      </c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spans="28:52">
      <c r="AB172" s="9">
        <v>0.90401437050921607</v>
      </c>
      <c r="AC172" s="9">
        <v>0.52048097677265537</v>
      </c>
      <c r="AD172" s="9">
        <v>1.0822979863529087</v>
      </c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spans="28:52">
      <c r="AB173" s="9">
        <v>0.8756045983094054</v>
      </c>
      <c r="AC173" s="9">
        <v>0.65219032693182799</v>
      </c>
      <c r="AD173" s="9">
        <v>1.0696555195464623</v>
      </c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spans="28:52">
      <c r="AB174" s="9">
        <v>0.89042491475636532</v>
      </c>
      <c r="AC174" s="9">
        <v>0.55555498478965948</v>
      </c>
      <c r="AD174" s="9">
        <v>1.0325489684212916</v>
      </c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spans="28:52">
      <c r="AB175" s="9">
        <v>0.92603998551637834</v>
      </c>
      <c r="AC175" s="9">
        <v>0.81394023541114036</v>
      </c>
      <c r="AD175" s="9">
        <v>1.0159229704694093</v>
      </c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spans="28:52">
      <c r="AB176" s="9">
        <v>0.94363149316661754</v>
      </c>
      <c r="AC176" s="9">
        <v>1.1210353249488927</v>
      </c>
      <c r="AD176" s="9">
        <v>0.97956785225313436</v>
      </c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spans="28:52">
      <c r="AB177" s="9">
        <v>0.97999902677820305</v>
      </c>
      <c r="AC177" s="9">
        <v>1.4471199682067055</v>
      </c>
      <c r="AD177" s="9">
        <v>0.98276919754336245</v>
      </c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spans="28:52">
      <c r="AB178" s="9">
        <v>0.97812831934515876</v>
      </c>
      <c r="AC178" s="9">
        <v>1.1368980182360562</v>
      </c>
      <c r="AD178" s="9">
        <v>0.97861731779757855</v>
      </c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spans="28:52">
      <c r="AB179" s="9">
        <v>0.98442354049873115</v>
      </c>
      <c r="AC179" s="9">
        <v>1.2821135547905635</v>
      </c>
      <c r="AD179" s="9">
        <v>1.0220982522516964</v>
      </c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spans="28:52">
      <c r="AB180" s="9">
        <v>0.94542473887095246</v>
      </c>
      <c r="AC180" s="9">
        <v>0.89809810850135119</v>
      </c>
      <c r="AD180" s="9">
        <v>1.0148786788860065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spans="28:52">
      <c r="AB181" s="9">
        <v>0.95562051831742545</v>
      </c>
      <c r="AC181" s="9">
        <v>0.68420596276172885</v>
      </c>
      <c r="AD181" s="9">
        <v>0.98943785738881507</v>
      </c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spans="28:52">
      <c r="AB182" s="9">
        <v>0.9832760872446813</v>
      </c>
      <c r="AC182" s="9">
        <v>1.1017788769922832</v>
      </c>
      <c r="AD182" s="9">
        <v>1.0076393347595063</v>
      </c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spans="28:52">
      <c r="AB183" s="9">
        <v>0.96846919338993798</v>
      </c>
      <c r="AC183" s="9">
        <v>0.90674926502346331</v>
      </c>
      <c r="AD183" s="9">
        <v>1.0138297949112229</v>
      </c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spans="28:52">
      <c r="AB184" s="9">
        <v>0.96582895169077898</v>
      </c>
      <c r="AC184" s="9">
        <v>0.56002724485363298</v>
      </c>
      <c r="AD184" s="9">
        <v>1.0145691320469838</v>
      </c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spans="28:52">
      <c r="AB185" s="9">
        <v>0.96835557314842491</v>
      </c>
      <c r="AC185" s="9">
        <v>0.54183406039161108</v>
      </c>
      <c r="AD185" s="9">
        <v>1.0066354363347116</v>
      </c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spans="28:52">
      <c r="AB186" s="9">
        <v>0.97857943111266454</v>
      </c>
      <c r="AC186" s="9">
        <v>0.67980730544508139</v>
      </c>
      <c r="AD186" s="9">
        <v>0.98106977168264065</v>
      </c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spans="28:52">
      <c r="AB187" s="9">
        <v>1.0055888218170348</v>
      </c>
      <c r="AC187" s="9">
        <v>1.2493838307987861</v>
      </c>
      <c r="AD187" s="9">
        <v>0.98655765298690667</v>
      </c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spans="28:52">
      <c r="AB188" s="9">
        <v>1.0010550126874258</v>
      </c>
      <c r="AC188" s="9">
        <v>1.0006543972201749</v>
      </c>
      <c r="AD188" s="9">
        <v>0.97526394119467008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spans="28:52">
      <c r="AB189" s="9">
        <v>1.0132675096275174</v>
      </c>
      <c r="AC189" s="9">
        <v>0.80113557432348215</v>
      </c>
      <c r="AD189" s="9">
        <v>0.97864244572915859</v>
      </c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spans="28:52">
      <c r="AB190" s="9">
        <v>1.0101322389258078</v>
      </c>
      <c r="AC190" s="9">
        <v>0.73594841744444917</v>
      </c>
      <c r="AD190" s="9">
        <v>0.98050883821093027</v>
      </c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spans="28:52">
      <c r="AB191" s="9">
        <v>1.0083758525044164</v>
      </c>
      <c r="AC191" s="9">
        <v>0.67336602412517133</v>
      </c>
      <c r="AD191" s="9">
        <v>0.98763462340094954</v>
      </c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spans="28:52">
      <c r="AB192" s="9">
        <v>1.0015680763087096</v>
      </c>
      <c r="AC192" s="9">
        <v>0.6260908913437041</v>
      </c>
      <c r="AD192" s="9">
        <v>0.985008501769287</v>
      </c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spans="28:52">
      <c r="AB193" s="9">
        <v>1.0033467222112074</v>
      </c>
      <c r="AC193" s="9">
        <v>0.68790166764371863</v>
      </c>
      <c r="AD193" s="9">
        <v>0.99353148036913674</v>
      </c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spans="28:52">
      <c r="AB194" s="9">
        <v>0.99400632585994875</v>
      </c>
      <c r="AC194" s="9">
        <v>0.6710061942133364</v>
      </c>
      <c r="AD194" s="9">
        <v>0.98946029584025708</v>
      </c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spans="28:52">
      <c r="AB195" s="9">
        <v>0.99659984858654083</v>
      </c>
      <c r="AC195" s="9">
        <v>0.67034838428047439</v>
      </c>
      <c r="AD195" s="9">
        <v>0.99406875604788436</v>
      </c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spans="28:52">
      <c r="AB196" s="9">
        <v>0.99083244298918349</v>
      </c>
      <c r="AC196" s="9">
        <v>0.68826501164063059</v>
      </c>
      <c r="AD196" s="9">
        <v>0.98619335857691559</v>
      </c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spans="28:52">
      <c r="AB197" s="9">
        <v>0.99811953615950344</v>
      </c>
      <c r="AC197" s="9">
        <v>0.69363356646510566</v>
      </c>
      <c r="AD197" s="9">
        <v>0.99166909280672355</v>
      </c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spans="28:52">
      <c r="AB198" s="9">
        <v>0.99094278997603236</v>
      </c>
      <c r="AC198" s="9">
        <v>0.59940715875596029</v>
      </c>
      <c r="AD198" s="9">
        <v>0.99139010884619716</v>
      </c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spans="28:52">
      <c r="AB199" s="9">
        <v>0.98962646126539688</v>
      </c>
      <c r="AC199" s="9">
        <v>0.67686251981306322</v>
      </c>
      <c r="AD199" s="9">
        <v>1.0089215650468741</v>
      </c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spans="28:52">
      <c r="AB200" s="9">
        <v>0.97130665332409682</v>
      </c>
      <c r="AC200" s="9">
        <v>0.67208461579107381</v>
      </c>
      <c r="AD200" s="9">
        <v>1.0071628189209081</v>
      </c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spans="28:52">
      <c r="AB201" s="9">
        <v>0.97258629385731188</v>
      </c>
      <c r="AC201" s="9">
        <v>0.66235943714363865</v>
      </c>
      <c r="AD201" s="9">
        <v>1.020347342450906</v>
      </c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spans="28:52">
      <c r="AB202" s="9">
        <v>0.9594850227782763</v>
      </c>
      <c r="AC202" s="9">
        <v>0.6837694511094744</v>
      </c>
      <c r="AD202" s="9">
        <v>0.99393578801194371</v>
      </c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spans="28:52">
      <c r="AB203" s="9">
        <v>0.9847886829256739</v>
      </c>
      <c r="AC203" s="9">
        <v>0.62023275473515982</v>
      </c>
      <c r="AD203" s="9">
        <v>1.008973308686778</v>
      </c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 spans="28:52">
      <c r="AB204" s="9">
        <v>0.97032664586446327</v>
      </c>
      <c r="AC204" s="9">
        <v>0.67746258439392282</v>
      </c>
      <c r="AD204" s="9">
        <v>1.0067391636357461</v>
      </c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spans="28:52">
      <c r="AB205" s="9">
        <v>0.97346841672084483</v>
      </c>
      <c r="AC205" s="9">
        <v>0.6854154200731527</v>
      </c>
      <c r="AD205" s="9">
        <v>1.0070958092313613</v>
      </c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spans="28:52">
      <c r="AB206" s="9">
        <v>0.97407969123836535</v>
      </c>
      <c r="AC206" s="9">
        <v>0.68580061582244711</v>
      </c>
      <c r="AD206" s="9">
        <v>1.0048964926029764</v>
      </c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spans="28:52">
      <c r="AB207" s="9">
        <v>0.97719987680391307</v>
      </c>
      <c r="AC207" s="9">
        <v>0.71145311183246163</v>
      </c>
      <c r="AD207" s="9">
        <v>0.99366886126427811</v>
      </c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spans="28:52">
      <c r="AB208" s="9">
        <v>0.98879084792853145</v>
      </c>
      <c r="AC208" s="9">
        <v>0.72145366419828205</v>
      </c>
      <c r="AD208" s="9">
        <v>0.99712187562403076</v>
      </c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spans="28:52">
      <c r="AB209" s="9">
        <v>0.98563944964021688</v>
      </c>
      <c r="AC209" s="9">
        <v>0.72991490191528741</v>
      </c>
      <c r="AD209" s="9">
        <v>0.99069108250841653</v>
      </c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spans="28:52">
      <c r="AB210" s="9">
        <v>0.99159609481384703</v>
      </c>
      <c r="AC210" s="9">
        <v>0.73742767581284197</v>
      </c>
      <c r="AD210" s="9">
        <v>0.98489226516257689</v>
      </c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spans="28:52">
      <c r="AB211" s="9">
        <v>0.99694640642110333</v>
      </c>
      <c r="AC211" s="9">
        <v>0.74175718348683528</v>
      </c>
      <c r="AD211" s="9">
        <v>0.98431028180293567</v>
      </c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spans="28:52">
      <c r="AB212" s="9">
        <v>0.99619319995309941</v>
      </c>
      <c r="AC212" s="9">
        <v>0.74847552156122266</v>
      </c>
      <c r="AD212" s="9">
        <v>0.96262386273599032</v>
      </c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spans="28:52">
      <c r="AB213" s="9">
        <v>1.0177483228327375</v>
      </c>
      <c r="AC213" s="9">
        <v>0.80671444191585617</v>
      </c>
      <c r="AD213" s="9">
        <v>0.95593670397949104</v>
      </c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 spans="28:52">
      <c r="AB214" s="9">
        <v>1.0238419337838922</v>
      </c>
      <c r="AC214" s="9">
        <v>0.95591485860628345</v>
      </c>
      <c r="AD214" s="9">
        <v>0.94441679443013893</v>
      </c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spans="28:52">
      <c r="AB215" s="9">
        <v>1.033880688192613</v>
      </c>
      <c r="AC215" s="9">
        <v>1.0563197503123551</v>
      </c>
      <c r="AD215" s="9">
        <v>0.94670661231615594</v>
      </c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spans="28:52">
      <c r="AB216" s="9">
        <v>1.0288116374783232</v>
      </c>
      <c r="AC216" s="9">
        <v>0.94723095613641717</v>
      </c>
      <c r="AD216" s="9">
        <v>0.94932716147854102</v>
      </c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 spans="28:52">
      <c r="AB217" s="9">
        <v>1.0244226576141389</v>
      </c>
      <c r="AC217" s="9">
        <v>1.005452343304998</v>
      </c>
      <c r="AD217" s="9">
        <v>0.95181600229983543</v>
      </c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 spans="28:52">
      <c r="AB218" s="9">
        <v>1.0201352219639741</v>
      </c>
      <c r="AC218" s="9">
        <v>1.0171811147590337</v>
      </c>
      <c r="AD218" s="9">
        <v>0.95514066927815611</v>
      </c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spans="28:52">
      <c r="AB219" s="9">
        <v>1.0155061997818555</v>
      </c>
      <c r="AC219" s="9">
        <v>0.9965511810717248</v>
      </c>
      <c r="AD219" s="9">
        <v>0.95421361272493854</v>
      </c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spans="28:52">
      <c r="AB220" s="9">
        <v>1.0155232059217087</v>
      </c>
      <c r="AC220" s="9">
        <v>1.0084684950621468</v>
      </c>
      <c r="AD220" s="9">
        <v>0.95260460518096446</v>
      </c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spans="28:52">
      <c r="AB221" s="9">
        <v>1.0162151050555013</v>
      </c>
      <c r="AC221" s="9">
        <v>1.0094793722769957</v>
      </c>
      <c r="AD221" s="9">
        <v>0.95095579657853491</v>
      </c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 spans="28:52">
      <c r="AB222" s="9">
        <v>1.0161759361034315</v>
      </c>
      <c r="AC222" s="9">
        <v>1.0008832670976189</v>
      </c>
      <c r="AD222" s="9">
        <v>0.95348366399002993</v>
      </c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 spans="28:52">
      <c r="AB223" s="9">
        <v>1.0113045655805146</v>
      </c>
      <c r="AC223" s="9">
        <v>1.0015739431581481</v>
      </c>
      <c r="AD223" s="9">
        <v>0.96141934210093338</v>
      </c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 spans="28:52">
      <c r="AB224" s="9">
        <v>1.0021546506361201</v>
      </c>
      <c r="AC224" s="9">
        <v>0.9966287527023926</v>
      </c>
      <c r="AD224" s="9">
        <v>0.96553604532827253</v>
      </c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 spans="28:52">
      <c r="AB225" s="9">
        <v>0.9985034395184903</v>
      </c>
      <c r="AC225" s="9">
        <v>0.9986601855072772</v>
      </c>
      <c r="AD225" s="9">
        <v>0.97264603993270771</v>
      </c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 spans="28:52">
      <c r="AB226" s="9">
        <v>0.9924022225363569</v>
      </c>
      <c r="AC226" s="9">
        <v>1.0102413497326315</v>
      </c>
      <c r="AD226" s="9">
        <v>0.96413519235140588</v>
      </c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 spans="28:52">
      <c r="AB227" s="9">
        <v>1.0030126171059031</v>
      </c>
      <c r="AC227" s="9">
        <v>1.0312291675058596</v>
      </c>
      <c r="AD227" s="9">
        <v>0.94621145669872175</v>
      </c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 spans="28:52">
      <c r="AB228" s="9">
        <v>1.0239098235357835</v>
      </c>
      <c r="AC228" s="9">
        <v>0.76168962259975603</v>
      </c>
      <c r="AD228" s="9">
        <v>0.94044629995979523</v>
      </c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 spans="28:52">
      <c r="AB229" s="9">
        <v>1.0313506974071196</v>
      </c>
      <c r="AC229" s="9">
        <v>0.97756412654829328</v>
      </c>
      <c r="AD229" s="9">
        <v>0.93997038029678226</v>
      </c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 spans="28:52">
      <c r="AB230" s="9">
        <v>1.0316669620026078</v>
      </c>
      <c r="AC230" s="9">
        <v>0.79734008927903777</v>
      </c>
      <c r="AD230" s="9">
        <v>0.93766289338152564</v>
      </c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 spans="28:52">
      <c r="AB231" s="9">
        <v>1.0348825757457423</v>
      </c>
      <c r="AC231" s="9">
        <v>1.0575734384303881</v>
      </c>
      <c r="AD231" s="9">
        <v>0.94683888703543084</v>
      </c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 spans="28:52">
      <c r="AB232" s="9">
        <v>1.0263872259928934</v>
      </c>
      <c r="AC232" s="9">
        <v>0.79296586134340896</v>
      </c>
      <c r="AD232" s="9">
        <v>0.95173483651554514</v>
      </c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 spans="28:52">
      <c r="AB233" s="9">
        <v>1.0223518423468463</v>
      </c>
      <c r="AC233" s="9">
        <v>0.90181160311240272</v>
      </c>
      <c r="AD233" s="9">
        <v>0.95130601371769974</v>
      </c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 spans="28:52">
      <c r="AB234" s="9">
        <v>1.0238432894208429</v>
      </c>
      <c r="AC234" s="9">
        <v>0.92804054887122545</v>
      </c>
      <c r="AD234" s="9">
        <v>0.96534608684361456</v>
      </c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 spans="28:52">
      <c r="AB235" s="9">
        <v>1.0107816416793898</v>
      </c>
      <c r="AC235" s="9">
        <v>0.9583141861852138</v>
      </c>
      <c r="AD235" s="9">
        <v>0.97072608764024249</v>
      </c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 spans="28:52">
      <c r="AB236" s="9">
        <v>1.0081541015640374</v>
      </c>
      <c r="AC236" s="9">
        <v>0.92851032046636206</v>
      </c>
      <c r="AD236" s="9">
        <v>0.97803990290945109</v>
      </c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 spans="28:52">
      <c r="AB237" s="9">
        <v>1.0048049039265292</v>
      </c>
      <c r="AC237" s="9">
        <v>0.95603634081213107</v>
      </c>
      <c r="AD237" s="9">
        <v>0.98429997792115409</v>
      </c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 spans="28:52">
      <c r="AB238" s="9">
        <v>1.0033073011515743</v>
      </c>
      <c r="AC238" s="9">
        <v>0.9709142122492288</v>
      </c>
      <c r="AD238" s="9">
        <v>0.99087154420870482</v>
      </c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 spans="28:52">
      <c r="AB239" s="9">
        <v>1.0008865175456596</v>
      </c>
      <c r="AC239" s="9">
        <v>0.96990408668950834</v>
      </c>
      <c r="AD239" s="9">
        <v>1.0187357141458966</v>
      </c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 spans="28:52">
      <c r="AB240" s="9">
        <v>0.97932632807657916</v>
      </c>
      <c r="AC240" s="9">
        <v>1.106592273711785</v>
      </c>
      <c r="AD240" s="9">
        <v>1.0241189730640201</v>
      </c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 spans="28:52">
      <c r="AB241" s="9">
        <v>0.98116379937871523</v>
      </c>
      <c r="AC241" s="9">
        <v>1.017899392042398</v>
      </c>
      <c r="AD241" s="9">
        <v>1.0699513652248307</v>
      </c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 spans="28:52">
      <c r="AB242" s="9">
        <v>0.94631306615423094</v>
      </c>
      <c r="AC242" s="9">
        <v>1.3179456628539605</v>
      </c>
      <c r="AD242" s="9">
        <v>1.0749024305555555</v>
      </c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 spans="28:52">
      <c r="AB243" s="9">
        <v>0.94973536569373385</v>
      </c>
      <c r="AC243" s="9">
        <v>1.1395796347797109</v>
      </c>
      <c r="AD243" s="9">
        <v>1.1232407059594249</v>
      </c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 spans="28:52">
      <c r="AB244" s="9">
        <v>0.9161557793275048</v>
      </c>
      <c r="AC244" s="9">
        <v>0.81664885286792654</v>
      </c>
      <c r="AD244" s="9">
        <v>1.1136048515572716</v>
      </c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 spans="28:52">
      <c r="AB245" s="9">
        <v>0.93126031172537094</v>
      </c>
      <c r="AC245" s="9">
        <v>1.0910598872979647</v>
      </c>
      <c r="AD245" s="9">
        <v>1.1317933803685019</v>
      </c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 spans="28:52">
      <c r="AB246" s="9">
        <v>0.92319875172130561</v>
      </c>
      <c r="AC246" s="9">
        <v>1.0155110358670554</v>
      </c>
      <c r="AD246" s="9">
        <v>1.1943775639497687</v>
      </c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 spans="28:52">
      <c r="AB247" s="9">
        <v>0.88308543143350304</v>
      </c>
      <c r="AC247" s="9">
        <v>0.8790408578209461</v>
      </c>
      <c r="AD247" s="9">
        <v>1.2232975927744965</v>
      </c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 spans="28:52">
      <c r="AB248" s="9">
        <v>0.87087731982780436</v>
      </c>
      <c r="AC248" s="9">
        <v>0.99382480814099017</v>
      </c>
      <c r="AD248" s="9">
        <v>1.2173079360275412</v>
      </c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 spans="28:52">
      <c r="AB249" s="9">
        <v>0.88325110050315403</v>
      </c>
      <c r="AC249" s="9">
        <v>0.96145027260995952</v>
      </c>
      <c r="AD249" s="9">
        <v>1.1948153224443385</v>
      </c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 spans="28:52">
      <c r="AB250" s="9">
        <v>0.90764499810496468</v>
      </c>
      <c r="AC250" s="9">
        <v>0.81726411868500459</v>
      </c>
      <c r="AD250" s="9">
        <v>1.2338099923058485</v>
      </c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 spans="28:52">
      <c r="AB251" s="9">
        <v>0.88646780579175544</v>
      </c>
      <c r="AC251" s="9">
        <v>0.92527091958294394</v>
      </c>
      <c r="AD251" s="9">
        <v>1.2243835216235952</v>
      </c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 spans="28:52">
      <c r="AB252" s="9">
        <v>0.90086601627250973</v>
      </c>
      <c r="AC252" s="9">
        <v>0.90236878818509614</v>
      </c>
      <c r="AD252" s="9">
        <v>1.2294112325855886</v>
      </c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 spans="28:52">
      <c r="AB253" s="9">
        <v>0.90562569599741827</v>
      </c>
      <c r="AC253" s="9">
        <v>0.88104826983181583</v>
      </c>
      <c r="AD253" s="9">
        <v>1.2117120537609627</v>
      </c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 spans="28:52">
      <c r="AB254" s="9">
        <v>0.92638285303421908</v>
      </c>
      <c r="AC254" s="9">
        <v>0.9608921737650854</v>
      </c>
      <c r="AD254" s="9">
        <v>1.2130979869254228</v>
      </c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 spans="28:52">
      <c r="AB255" s="9">
        <v>0.93239200884161155</v>
      </c>
      <c r="AC255" s="9">
        <v>1.355507401750625</v>
      </c>
      <c r="AD255" s="9">
        <v>1.2039787421338755</v>
      </c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 spans="28:52">
      <c r="AB256" s="9">
        <v>0.94669890238200183</v>
      </c>
      <c r="AC256" s="9">
        <v>0.85771942610063312</v>
      </c>
      <c r="AD256" s="9">
        <v>1.2136846997140132</v>
      </c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 spans="28:52">
      <c r="AB257" s="9">
        <v>0.94603523924900967</v>
      </c>
      <c r="AC257" s="9">
        <v>0.98957120208585625</v>
      </c>
      <c r="AD257" s="9">
        <v>1.198629020469973</v>
      </c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 spans="28:52">
      <c r="AB258" s="9">
        <v>0.9648386269867566</v>
      </c>
      <c r="AC258" s="9">
        <v>1.2875181699332767</v>
      </c>
      <c r="AD258" s="9">
        <v>1.2563455768803167</v>
      </c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 spans="28:52">
      <c r="AB259" s="9">
        <v>0.9274715124608871</v>
      </c>
      <c r="AC259" s="9">
        <v>0.80936452339251164</v>
      </c>
      <c r="AD259" s="9">
        <v>1.2605755828254392</v>
      </c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 spans="28:52">
      <c r="AB260" s="9">
        <v>0.93174835299194791</v>
      </c>
      <c r="AC260" s="9">
        <v>1.0233513324247072</v>
      </c>
      <c r="AD260" s="9">
        <v>1.2848555162200148</v>
      </c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 spans="28:52">
      <c r="AB261" s="9">
        <v>0.92168562362292061</v>
      </c>
      <c r="AC261" s="9">
        <v>1.0344490212868969</v>
      </c>
      <c r="AD261" s="9">
        <v>1.2467848252809255</v>
      </c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 spans="28:52">
      <c r="AB262" s="9">
        <v>0.95778400451667578</v>
      </c>
      <c r="AC262" s="9">
        <v>0.89583454976442922</v>
      </c>
      <c r="AD262" s="9">
        <v>1.2099647266817659</v>
      </c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 spans="28:52">
      <c r="AB263" s="9">
        <v>0.99463308404463957</v>
      </c>
      <c r="AC263" s="9">
        <v>1.7553306340374233</v>
      </c>
      <c r="AD263" s="9">
        <v>1.2032554357952265</v>
      </c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 spans="28:52">
      <c r="AB264" s="9">
        <v>1.0070906830820447</v>
      </c>
      <c r="AC264" s="9">
        <v>1.884051849452463</v>
      </c>
      <c r="AD264" s="9">
        <v>1.2074123646351624</v>
      </c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 spans="28:52">
      <c r="AB265" s="9">
        <v>1.011229572699329</v>
      </c>
      <c r="AC265" s="9">
        <v>1.8585446431179944</v>
      </c>
      <c r="AD265" s="9">
        <v>1.2092868242666226</v>
      </c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 spans="28:52">
      <c r="AB266" s="9">
        <v>1.0172008968139865</v>
      </c>
      <c r="AC266" s="9">
        <v>1.653612297542149</v>
      </c>
      <c r="AD266" s="9">
        <v>1.2005631982681018</v>
      </c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 spans="28:52">
      <c r="AB267" s="9">
        <v>1.0318858088846026</v>
      </c>
      <c r="AC267" s="9">
        <v>1.91589774150448</v>
      </c>
      <c r="AD267" s="9">
        <v>1.1998281126128474</v>
      </c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 spans="28:52">
      <c r="AB268" s="9">
        <v>1.0389575818957051</v>
      </c>
      <c r="AC268" s="9">
        <v>1.9006328696497141</v>
      </c>
      <c r="AD268" s="9">
        <v>1.2053168345323741</v>
      </c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 spans="28:52">
      <c r="AB269" s="9">
        <v>1.0400562837556877</v>
      </c>
      <c r="AC269" s="9">
        <v>1.5457318950491203</v>
      </c>
      <c r="AD269" s="9">
        <v>1.2149754057568947</v>
      </c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 spans="28:52">
      <c r="AB270" s="9">
        <v>1.036949244647011</v>
      </c>
      <c r="AC270" s="9">
        <v>1.4191287941011383</v>
      </c>
      <c r="AD270" s="9">
        <v>1.2408280372264608</v>
      </c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 spans="28:52">
      <c r="AB271" s="9">
        <v>1.020752184899212</v>
      </c>
      <c r="AC271" s="9">
        <v>2.2438099946292311</v>
      </c>
      <c r="AD271" s="9">
        <v>1.2316123741174065</v>
      </c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 spans="28:52">
      <c r="AB272" s="9">
        <v>1.0334948411300942</v>
      </c>
      <c r="AC272" s="9">
        <v>1.2499569161437392</v>
      </c>
      <c r="AD272" s="9">
        <v>1.1865062155812023</v>
      </c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 spans="28:52">
      <c r="AB273" s="9">
        <v>1.0767596590320501</v>
      </c>
      <c r="AC273" s="9">
        <v>2.3895637073702427</v>
      </c>
      <c r="AD273" s="9">
        <v>1.1641647750067943</v>
      </c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 spans="28:52">
      <c r="AB274" s="9">
        <v>1.1005727724315357</v>
      </c>
      <c r="AC274" s="9">
        <v>2.4922834049421256</v>
      </c>
      <c r="AD274" s="9">
        <v>1.1636281843601355</v>
      </c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 spans="28:52">
      <c r="AB275" s="9">
        <v>1.1028497045107213</v>
      </c>
      <c r="AC275" s="9">
        <v>2.75514433775919</v>
      </c>
      <c r="AD275" s="9">
        <v>1.1674087226722893</v>
      </c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 spans="28:52">
      <c r="AB276" s="9">
        <v>1.1006399893467669</v>
      </c>
      <c r="AC276" s="9">
        <v>1.9214517121529282</v>
      </c>
      <c r="AD276" s="9">
        <v>1.1340332803486988</v>
      </c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 spans="28:52">
      <c r="AB277" s="9">
        <v>1.1342992304026531</v>
      </c>
      <c r="AC277" s="9">
        <v>2.5207692738791163</v>
      </c>
      <c r="AD277" s="9">
        <v>1.147644579073583</v>
      </c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 spans="28:52">
      <c r="AB278" s="9">
        <v>1.1215707369553525</v>
      </c>
      <c r="AC278" s="9">
        <v>2.5698993469077664</v>
      </c>
      <c r="AD278" s="9">
        <v>1.164630955332292</v>
      </c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 spans="28:52">
      <c r="AB279" s="9">
        <v>1.1067628261520155</v>
      </c>
      <c r="AC279" s="9">
        <v>1.8981972213913327</v>
      </c>
      <c r="AD279" s="9">
        <v>1.1271182177949279</v>
      </c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 spans="28:52">
      <c r="AB280" s="9">
        <v>1.145297993510999</v>
      </c>
      <c r="AC280" s="9">
        <v>2.0327342693338131</v>
      </c>
      <c r="AD280" s="9">
        <v>1.1178567942924627</v>
      </c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 spans="28:52">
      <c r="AB281" s="9">
        <v>1.1552813946994567</v>
      </c>
      <c r="AC281" s="9">
        <v>3.0943970860270342</v>
      </c>
      <c r="AD281" s="9">
        <v>1.1275347354408338</v>
      </c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 spans="28:52">
      <c r="AB282" s="9">
        <v>1.145587329702672</v>
      </c>
      <c r="AC282" s="9">
        <v>2.6643264155998092</v>
      </c>
      <c r="AD282" s="9">
        <v>1.1360099271515001</v>
      </c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 spans="28:52">
      <c r="AB283" s="9">
        <v>1.1373826195577454</v>
      </c>
      <c r="AC283" s="9">
        <v>2.002091715821475</v>
      </c>
      <c r="AD283" s="9">
        <v>1.10886155000866</v>
      </c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 spans="28:52">
      <c r="AB284" s="9">
        <v>1.1648317258546417</v>
      </c>
      <c r="AC284" s="9">
        <v>1.8460650800354268</v>
      </c>
      <c r="AD284" s="9">
        <v>1.0790388979650025</v>
      </c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 spans="28:52">
      <c r="AB285" s="9">
        <v>1.1950511721088974</v>
      </c>
      <c r="AC285" s="9">
        <v>2.9669952331067</v>
      </c>
      <c r="AD285" s="9">
        <v>1.0540781860436472</v>
      </c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 spans="28:52">
      <c r="AB286" s="9">
        <v>1.2199230853639833</v>
      </c>
      <c r="AC286" s="9">
        <v>2.7770523852207183</v>
      </c>
      <c r="AD286" s="9">
        <v>1.0238560825572922</v>
      </c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 spans="28:52">
      <c r="AB287" s="9">
        <v>1.2510385420749595</v>
      </c>
      <c r="AC287" s="9">
        <v>3.0684074440197695</v>
      </c>
      <c r="AD287" s="9">
        <v>1.0644512875748851</v>
      </c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 spans="28:52">
      <c r="AB288" s="9">
        <v>1.1987508022268509</v>
      </c>
      <c r="AC288" s="9">
        <v>3.4331101282141954</v>
      </c>
      <c r="AD288" s="9">
        <v>1.0098189459718367</v>
      </c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 spans="28:52">
      <c r="AB289" s="9">
        <v>1.257890759016534</v>
      </c>
      <c r="AC289" s="9">
        <v>2.6094269599526476</v>
      </c>
      <c r="AD289" s="9">
        <v>0.97627304045325181</v>
      </c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 spans="28:52">
      <c r="AB290" s="9">
        <v>1.2921202192326506</v>
      </c>
      <c r="AC290" s="9">
        <v>3.302219481374927</v>
      </c>
      <c r="AD290" s="9">
        <v>0.97618432536956956</v>
      </c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 spans="28:52">
      <c r="AB291" s="9">
        <v>1.282569127029543</v>
      </c>
      <c r="AC291" s="9">
        <v>3.0977062428686244</v>
      </c>
      <c r="AD291" s="9">
        <v>0.97686543245159974</v>
      </c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 spans="28:52">
      <c r="AB292" s="9">
        <v>1.2715543626537162</v>
      </c>
      <c r="AC292" s="9">
        <v>1.89497129497439</v>
      </c>
      <c r="AD292" s="9">
        <v>1.0021266173792478</v>
      </c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 spans="28:52">
      <c r="AB293" s="9">
        <v>1.2311015881536351</v>
      </c>
      <c r="AC293" s="9">
        <v>2.1971600615910529</v>
      </c>
      <c r="AD293" s="9">
        <v>1.0309370718766691</v>
      </c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 spans="28:52">
      <c r="AB294" s="9">
        <v>1.1897938219332178</v>
      </c>
      <c r="AC294" s="9">
        <v>1.8285608434574312</v>
      </c>
      <c r="AD294" s="9">
        <v>1.0319037189343823</v>
      </c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 spans="28:52">
      <c r="AB295" s="9">
        <v>1.1828721883653639</v>
      </c>
      <c r="AC295" s="9">
        <v>1.644065218220949</v>
      </c>
      <c r="AD295" s="9">
        <v>1.0004009628997832</v>
      </c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 spans="28:52">
      <c r="AB296" s="9">
        <v>1.2130083883172977</v>
      </c>
      <c r="AC296" s="9">
        <v>1.7609938197353037</v>
      </c>
      <c r="AD296" s="9">
        <v>1.012855474714812</v>
      </c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 spans="28:52">
      <c r="AB297" s="9">
        <v>1.1900051176792483</v>
      </c>
      <c r="AC297" s="9">
        <v>1.9584024647736671</v>
      </c>
      <c r="AD297" s="9">
        <v>1.0478880521269462</v>
      </c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 spans="28:52">
      <c r="AB298" s="9">
        <v>1.1431002593279354</v>
      </c>
      <c r="AC298" s="9">
        <v>1.2644332664774043</v>
      </c>
      <c r="AD298" s="9">
        <v>1.0269468382516087</v>
      </c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 spans="28:52">
      <c r="AB299" s="9">
        <v>1.1592111582214435</v>
      </c>
      <c r="AC299" s="9">
        <v>1.1294930165485007</v>
      </c>
      <c r="AD299" s="9">
        <v>1.0310980648063803</v>
      </c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 spans="28:52">
      <c r="AB300" s="9">
        <v>1.1475403886556719</v>
      </c>
      <c r="AC300" s="9">
        <v>1.3953297570042873</v>
      </c>
      <c r="AD300" s="9">
        <v>1.0260222270492638</v>
      </c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 spans="28:52">
      <c r="AB301" s="9">
        <v>1.1452221329162535</v>
      </c>
      <c r="AC301" s="9">
        <v>1.0933004108462574</v>
      </c>
      <c r="AD301" s="9">
        <v>0.99233304605463435</v>
      </c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 spans="28:52">
      <c r="AB302" s="9">
        <v>1.1753848489187251</v>
      </c>
      <c r="AC302" s="9">
        <v>1.5285506974423462</v>
      </c>
      <c r="AD302" s="9">
        <v>1.007498910656395</v>
      </c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 spans="28:52">
      <c r="AB303" s="9">
        <v>1.148716823403759</v>
      </c>
      <c r="AC303" s="9">
        <v>1.8548319231880603</v>
      </c>
      <c r="AD303" s="9">
        <v>1.0100345025122552</v>
      </c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 spans="28:52">
      <c r="AB304" s="9">
        <v>1.1373631084904321</v>
      </c>
      <c r="AC304" s="9">
        <v>1.0514368611719533</v>
      </c>
      <c r="AD304" s="9">
        <v>0.98710539377187523</v>
      </c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 spans="28:52">
      <c r="AB305" s="9">
        <v>1.1545986063737832</v>
      </c>
      <c r="AC305" s="9">
        <v>1.2167158629502317</v>
      </c>
      <c r="AD305" s="9">
        <v>0.99122057655850915</v>
      </c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 spans="28:52">
      <c r="AB306" s="9">
        <v>1.140677364366993</v>
      </c>
      <c r="AC306" s="9">
        <v>1.5687024190794954</v>
      </c>
      <c r="AD306" s="9">
        <v>0.98796561740012201</v>
      </c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 spans="28:52">
      <c r="AB307" s="9">
        <v>1.1352727417470367</v>
      </c>
      <c r="AC307" s="9">
        <v>1.068416582146231</v>
      </c>
      <c r="AD307" s="9">
        <v>0.98655209470670668</v>
      </c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 spans="28:52">
      <c r="AB308" s="9">
        <v>1.1280056642240464</v>
      </c>
      <c r="AC308" s="9">
        <v>1.0691256480985059</v>
      </c>
      <c r="AD308" s="9">
        <v>0.99549248160322967</v>
      </c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 spans="28:52">
      <c r="AB309" s="9">
        <v>1.1087960553955976</v>
      </c>
      <c r="AC309" s="9">
        <v>0.98463605735724891</v>
      </c>
      <c r="AD309" s="9">
        <v>0.99293586445681814</v>
      </c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 spans="28:52">
      <c r="AB310" s="9">
        <v>1.102765650503543</v>
      </c>
      <c r="AC310" s="9">
        <v>0.65468166981275044</v>
      </c>
      <c r="AD310" s="9">
        <v>0.96177342286399936</v>
      </c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 spans="28:52">
      <c r="AB311" s="9">
        <v>1.1291429936115134</v>
      </c>
      <c r="AC311" s="9">
        <v>1.1885792267038349</v>
      </c>
      <c r="AD311" s="9">
        <v>0.94501893150463512</v>
      </c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 spans="28:52">
      <c r="AB312" s="9">
        <v>1.1390166399267601</v>
      </c>
      <c r="AC312" s="9">
        <v>1.5545834457041194</v>
      </c>
      <c r="AD312" s="9">
        <v>0.94863010070550169</v>
      </c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 spans="28:52">
      <c r="AB313" s="9">
        <v>1.1250342425289817</v>
      </c>
      <c r="AC313" s="9">
        <v>1.4252279942032626</v>
      </c>
      <c r="AD313" s="9">
        <v>0.91727952439265914</v>
      </c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 spans="28:52">
      <c r="AB314" s="9">
        <v>1.1534247809070486</v>
      </c>
      <c r="AC314" s="9">
        <v>1.4523091097031025</v>
      </c>
      <c r="AD314" s="9">
        <v>0.90842755102245631</v>
      </c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 spans="28:52">
      <c r="AB315" s="9">
        <v>1.1536607992144767</v>
      </c>
      <c r="AC315" s="9">
        <v>1.3236475408332813</v>
      </c>
      <c r="AD315" s="9">
        <v>0.90031727731146072</v>
      </c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 spans="28:52">
      <c r="AB316" s="9">
        <v>1.1530635461000478</v>
      </c>
      <c r="AC316" s="9">
        <v>1.4582758898003261</v>
      </c>
      <c r="AD316" s="9">
        <v>0.91390252073540912</v>
      </c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 spans="28:52">
      <c r="AB317" s="9">
        <v>1.1260405955793702</v>
      </c>
      <c r="AC317" s="9">
        <v>1.0077652346474497</v>
      </c>
      <c r="AD317" s="9">
        <v>0.92631487086172648</v>
      </c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 spans="28:52">
      <c r="AB318" s="9">
        <v>1.1021465291228327</v>
      </c>
      <c r="AC318" s="9">
        <v>0.87146798323850749</v>
      </c>
      <c r="AD318" s="9">
        <v>0.95328781874752611</v>
      </c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 spans="28:52">
      <c r="AB319" s="9">
        <v>1.0633546523548159</v>
      </c>
      <c r="AC319" s="9">
        <v>0.74591584716689052</v>
      </c>
      <c r="AD319" s="9">
        <v>0.95486531105638928</v>
      </c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 spans="28:52">
      <c r="AB320" s="9">
        <v>1.0546112051542424</v>
      </c>
      <c r="AC320" s="9">
        <v>0.56886823786800877</v>
      </c>
      <c r="AD320" s="9">
        <v>0.97064293575427507</v>
      </c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 spans="28:52">
      <c r="AB321" s="9">
        <v>1.0308197080039945</v>
      </c>
      <c r="AC321" s="9">
        <v>0.60817258436472532</v>
      </c>
      <c r="AD321" s="9">
        <v>0.97363182796638903</v>
      </c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 spans="28:52">
      <c r="AB322" s="9">
        <v>1.0215578088509816</v>
      </c>
      <c r="AC322" s="9">
        <v>0.57806078748604894</v>
      </c>
      <c r="AD322" s="9">
        <v>0.94730454116609797</v>
      </c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 spans="28:52">
      <c r="AB323" s="9">
        <v>1.0439775739221298</v>
      </c>
      <c r="AC323" s="9">
        <v>0.55047986108463498</v>
      </c>
      <c r="AD323" s="9">
        <v>0.97891147040596038</v>
      </c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 spans="28:52">
      <c r="AB324" s="9">
        <v>1.0051168812836015</v>
      </c>
      <c r="AC324" s="9">
        <v>0.74274860073771243</v>
      </c>
      <c r="AD324" s="9">
        <v>0.98671829493128627</v>
      </c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 spans="28:52">
      <c r="AB325" s="9">
        <v>0.99285633688830455</v>
      </c>
      <c r="AC325" s="9">
        <v>0.67245342752340409</v>
      </c>
      <c r="AD325" s="9">
        <v>0.96681475396943328</v>
      </c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 spans="28:52">
      <c r="AB326" s="9">
        <v>1.0088224470465628</v>
      </c>
      <c r="AC326" s="9">
        <v>0.58005130976476604</v>
      </c>
      <c r="AD326" s="9">
        <v>0.99311523391398782</v>
      </c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 spans="28:52">
      <c r="AB327" s="9">
        <v>0.97845237346345282</v>
      </c>
      <c r="AC327" s="9">
        <v>0.68158339789891109</v>
      </c>
      <c r="AD327" s="9">
        <v>0.98411691350836461</v>
      </c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 spans="28:52">
      <c r="AB328" s="9">
        <v>0.98371964322637007</v>
      </c>
      <c r="AC328" s="9">
        <v>0.54902402706236819</v>
      </c>
      <c r="AD328" s="9">
        <v>0.9510102360045688</v>
      </c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 spans="28:52">
      <c r="AB329" s="9">
        <v>1.0132335141101991</v>
      </c>
      <c r="AC329" s="9">
        <v>0.8626886258241887</v>
      </c>
      <c r="AD329" s="9">
        <v>0.96174400612792055</v>
      </c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 spans="28:52">
      <c r="AB330" s="9">
        <v>0.99733295150529233</v>
      </c>
      <c r="AC330" s="9">
        <v>0.73464499928079618</v>
      </c>
      <c r="AD330" s="9">
        <v>0.96103754457719892</v>
      </c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 spans="28:52">
      <c r="AB331" s="9">
        <v>0.99380571316246102</v>
      </c>
      <c r="AC331" s="9">
        <v>0.57740184746187528</v>
      </c>
      <c r="AD331" s="9">
        <v>0.96190994287322629</v>
      </c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 spans="28:52">
      <c r="AB332" s="9">
        <v>0.98858932738806204</v>
      </c>
      <c r="AC332" s="9">
        <v>0.56070534052820764</v>
      </c>
      <c r="AD332" s="9">
        <v>0.96896050029848402</v>
      </c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 spans="28:52">
      <c r="AB333" s="9">
        <v>0.97759051039218892</v>
      </c>
      <c r="AC333" s="9">
        <v>0.48180143228958699</v>
      </c>
      <c r="AD333" s="9">
        <v>0.96304364633195438</v>
      </c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 spans="28:52">
      <c r="AB334" s="9">
        <v>0.98056271863318933</v>
      </c>
      <c r="AC334" s="9">
        <v>0.46193372801247901</v>
      </c>
      <c r="AD334" s="9">
        <v>0.9612632220644205</v>
      </c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 spans="28:52">
      <c r="AB335" s="9">
        <v>0.97959338221055314</v>
      </c>
      <c r="AC335" s="9">
        <v>0.52331199310936349</v>
      </c>
      <c r="AD335" s="9">
        <v>0.95155279258116565</v>
      </c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 spans="28:52">
      <c r="AB336" s="9">
        <v>0.98662980324567073</v>
      </c>
      <c r="AC336" s="9">
        <v>0.71036403094199008</v>
      </c>
      <c r="AD336" s="9">
        <v>0.96256751832926024</v>
      </c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 spans="28:52">
      <c r="AB337" s="9">
        <v>0.97318283456830201</v>
      </c>
      <c r="AC337" s="9">
        <v>0.43391294125988689</v>
      </c>
      <c r="AD337" s="9">
        <v>0.9661599982118112</v>
      </c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 spans="28:52">
      <c r="AB338" s="9">
        <v>0.96676329257388904</v>
      </c>
      <c r="AC338" s="9">
        <v>0.40794663791073643</v>
      </c>
      <c r="AD338" s="9">
        <v>0.9692430612070555</v>
      </c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 spans="28:52">
      <c r="AB339" s="9">
        <v>0.96178574244065529</v>
      </c>
      <c r="AC339" s="9">
        <v>0.49828960232961084</v>
      </c>
      <c r="AD339" s="9">
        <v>0.96660811090234022</v>
      </c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 spans="28:52">
      <c r="AB340" s="9">
        <v>0.9632318688051752</v>
      </c>
      <c r="AC340" s="9">
        <v>0.4440911755994657</v>
      </c>
      <c r="AD340" s="9">
        <v>0.95490886993375623</v>
      </c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 spans="28:52">
      <c r="AB341" s="9">
        <v>0.97358460863913321</v>
      </c>
      <c r="AC341" s="9">
        <v>0.66788756980927089</v>
      </c>
      <c r="AD341" s="9">
        <v>0.93606268394330727</v>
      </c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 spans="28:52">
      <c r="AB342" s="9">
        <v>0.99177124486632606</v>
      </c>
      <c r="AC342" s="9">
        <v>0.64133813836995157</v>
      </c>
      <c r="AD342" s="9">
        <v>0.91274459507411043</v>
      </c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 spans="28:52">
      <c r="AB343" s="9">
        <v>1.014143606501511</v>
      </c>
      <c r="AC343" s="9">
        <v>1.0378876492557254</v>
      </c>
      <c r="AD343" s="9">
        <v>0.90817730290668897</v>
      </c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 spans="28:52">
      <c r="AB344" s="9">
        <v>1.0151543701200958</v>
      </c>
      <c r="AC344" s="9">
        <v>0.95698669994175722</v>
      </c>
      <c r="AD344" s="9">
        <v>0.90720400298385595</v>
      </c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 spans="28:52">
      <c r="AB345" s="9">
        <v>1.0123944864748411</v>
      </c>
      <c r="AC345" s="9">
        <v>0.84466941933101913</v>
      </c>
      <c r="AD345" s="9">
        <v>0.89702803805664411</v>
      </c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 spans="28:52">
      <c r="AB346" s="9">
        <v>1.0205529959578725</v>
      </c>
      <c r="AC346" s="9">
        <v>0.86792851081051148</v>
      </c>
      <c r="AD346" s="9">
        <v>0.90460324402196979</v>
      </c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 spans="28:52">
      <c r="AB347" s="9">
        <v>1.0085120023301859</v>
      </c>
      <c r="AC347" s="9">
        <v>1.012450222301734</v>
      </c>
      <c r="AD347" s="9">
        <v>0.91930726867432999</v>
      </c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 spans="28:52">
      <c r="AB348" s="9">
        <v>0.98862482973239374</v>
      </c>
      <c r="AC348" s="9">
        <v>0.72051939173448953</v>
      </c>
      <c r="AD348" s="9">
        <v>0.91895127181291092</v>
      </c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 spans="28:52">
      <c r="AB349" s="9">
        <v>0.98615653120558489</v>
      </c>
      <c r="AC349" s="9">
        <v>0.42402704334743829</v>
      </c>
      <c r="AD349" s="9">
        <v>0.93799758301925296</v>
      </c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 spans="28:52">
      <c r="AB350" s="9">
        <v>0.96351013553099241</v>
      </c>
      <c r="AC350" s="9">
        <v>0.54628149677107951</v>
      </c>
      <c r="AD350" s="9">
        <v>0.92820667394820011</v>
      </c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 spans="28:52">
      <c r="AB351" s="9">
        <v>0.97119971841756447</v>
      </c>
      <c r="AC351" s="9">
        <v>0.53126353497229051</v>
      </c>
      <c r="AD351" s="9">
        <v>0.93577320793245977</v>
      </c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 spans="28:52">
      <c r="AB352" s="9">
        <v>0.9615513947786789</v>
      </c>
      <c r="AC352" s="9">
        <v>0.43664454661442398</v>
      </c>
      <c r="AD352" s="9">
        <v>0.95484971115553874</v>
      </c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 spans="28:52">
      <c r="AB353" s="9">
        <v>0.94093621403096661</v>
      </c>
      <c r="AC353" s="9">
        <v>0.60820151110059817</v>
      </c>
      <c r="AD353" s="9">
        <v>0.96310740073251533</v>
      </c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 spans="28:52">
      <c r="AB354" s="9">
        <v>0.93199901950733921</v>
      </c>
      <c r="AC354" s="9">
        <v>0.56898359118888109</v>
      </c>
      <c r="AD354" s="9">
        <v>0.96235697008215682</v>
      </c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 spans="28:52">
      <c r="AB355" s="9">
        <v>0.93248567762887968</v>
      </c>
      <c r="AC355" s="9">
        <v>0.36627617884202285</v>
      </c>
      <c r="AD355" s="9">
        <v>0.96890089506259791</v>
      </c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 spans="28:52">
      <c r="AB356" s="9">
        <v>0.9261211919862461</v>
      </c>
      <c r="AC356" s="9">
        <v>0.3948549099439253</v>
      </c>
      <c r="AD356" s="9">
        <v>0.97511138973988909</v>
      </c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 spans="28:52">
      <c r="AB357" s="9">
        <v>0.92090361558125211</v>
      </c>
      <c r="AC357" s="9">
        <v>0.38559655815383848</v>
      </c>
      <c r="AD357" s="9">
        <v>0.96999773866505856</v>
      </c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 spans="28:52">
      <c r="AB358" s="9">
        <v>0.92651988125963103</v>
      </c>
      <c r="AC358" s="9">
        <v>0.45784022324754181</v>
      </c>
      <c r="AD358" s="9">
        <v>0.97737118018028712</v>
      </c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 spans="28:52">
      <c r="AB359" s="9">
        <v>0.92038710061065432</v>
      </c>
      <c r="AC359" s="9">
        <v>0.4859723847108931</v>
      </c>
      <c r="AD359" s="9">
        <v>0.94393921168017247</v>
      </c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 spans="28:52">
      <c r="AB360" s="9">
        <v>0.95338313018961929</v>
      </c>
      <c r="AC360" s="9">
        <v>0.74367743481386261</v>
      </c>
      <c r="AD360" s="9">
        <v>0.95571841308199301</v>
      </c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 spans="28:52">
      <c r="AB361" s="9">
        <v>0.94196908835597537</v>
      </c>
      <c r="AC361" s="9">
        <v>0.57026360990385794</v>
      </c>
      <c r="AD361" s="9">
        <v>0.96059167271960466</v>
      </c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 spans="28:52">
      <c r="AB362" s="9">
        <v>0.93823866317115456</v>
      </c>
      <c r="AC362" s="9">
        <v>0.51886284121419712</v>
      </c>
      <c r="AD362" s="9">
        <v>0.94852347889343724</v>
      </c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 spans="28:52">
      <c r="AB363" s="9">
        <v>0.95090886684411957</v>
      </c>
      <c r="AC363" s="9">
        <v>0.47437837760447255</v>
      </c>
      <c r="AD363" s="9">
        <v>0.94999679236862677</v>
      </c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 spans="28:52">
      <c r="AB364" s="9">
        <v>0.95048975770756239</v>
      </c>
      <c r="AC364" s="9">
        <v>0.47695467768769134</v>
      </c>
      <c r="AD364" s="9">
        <v>0.93950132750597004</v>
      </c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 spans="28:52">
      <c r="AB365" s="9">
        <v>0.96215553609707816</v>
      </c>
      <c r="AC365" s="9">
        <v>0.5392298714356385</v>
      </c>
      <c r="AD365" s="9">
        <v>0.92727582830467969</v>
      </c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 spans="28:52">
      <c r="AB366" s="9">
        <v>0.97564887926458976</v>
      </c>
      <c r="AC366" s="9">
        <v>0.80940815441754754</v>
      </c>
      <c r="AD366" s="9">
        <v>0.93063460486283944</v>
      </c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 spans="28:52">
      <c r="AB367" s="9">
        <v>0.97288653644482048</v>
      </c>
      <c r="AC367" s="9">
        <v>0.88578782699501091</v>
      </c>
      <c r="AD367" s="9">
        <v>0.9402297428769979</v>
      </c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 spans="28:52">
      <c r="AB368" s="9">
        <v>0.96375245961147182</v>
      </c>
      <c r="AC368" s="9">
        <v>0.67925523424867595</v>
      </c>
      <c r="AD368" s="9">
        <v>0.94756895511780459</v>
      </c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 spans="28:52">
      <c r="AB369" s="9">
        <v>0.95671663650296845</v>
      </c>
      <c r="AC369" s="9">
        <v>0.62418608986980251</v>
      </c>
      <c r="AD369" s="9">
        <v>0.94810310746372128</v>
      </c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 spans="28:52">
      <c r="AB370" s="9">
        <v>0.95676007871671553</v>
      </c>
      <c r="AC370" s="9">
        <v>0.51940628652941734</v>
      </c>
      <c r="AD370" s="9">
        <v>0.95775169843310826</v>
      </c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 spans="28:52">
      <c r="AB371" s="9">
        <v>0.94788481900178845</v>
      </c>
      <c r="AC371" s="9">
        <v>0.61456311664668828</v>
      </c>
      <c r="AD371" s="9">
        <v>0.95801537754139465</v>
      </c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 spans="28:52">
      <c r="AB372" s="9">
        <v>0.94853508013270493</v>
      </c>
      <c r="AC372" s="9">
        <v>0.49267042889058515</v>
      </c>
      <c r="AD372" s="9">
        <v>0.95708410426740165</v>
      </c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 spans="28:52">
      <c r="AB373" s="9">
        <v>0.95099760269668776</v>
      </c>
      <c r="AC373" s="9">
        <v>0.4086962496284578</v>
      </c>
      <c r="AD373" s="9">
        <v>0.96675107727664478</v>
      </c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 spans="28:52">
      <c r="AB374" s="9">
        <v>0.94263008687848604</v>
      </c>
      <c r="AC374" s="9">
        <v>0.44565058638838739</v>
      </c>
      <c r="AD374" s="9">
        <v>0.9616299454541124</v>
      </c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 spans="28:52">
      <c r="AB375" s="9">
        <v>0.94864504844477593</v>
      </c>
      <c r="AC375" s="9">
        <v>0.39733758410931103</v>
      </c>
      <c r="AD375" s="9">
        <v>0.96342137554011797</v>
      </c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 spans="28:52">
      <c r="AB376" s="9">
        <v>0.94818610768482292</v>
      </c>
      <c r="AC376" s="9">
        <v>0.6710269226535045</v>
      </c>
      <c r="AD376" s="9">
        <v>0.97685625385909902</v>
      </c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 spans="28:52">
      <c r="AB377" s="9">
        <v>0.93616993302854934</v>
      </c>
      <c r="AC377" s="9">
        <v>0.67224776394555241</v>
      </c>
      <c r="AD377" s="9">
        <v>0.97201524723752253</v>
      </c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 spans="28:52">
      <c r="AB378" s="9">
        <v>0.94221633448318887</v>
      </c>
      <c r="AC378" s="9">
        <v>0.50184346481279885</v>
      </c>
      <c r="AD378" s="9">
        <v>0.98014673503608862</v>
      </c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 spans="28:52">
      <c r="AB379" s="9">
        <v>0.93638592398664389</v>
      </c>
      <c r="AC379" s="9">
        <v>0.43383011466658983</v>
      </c>
      <c r="AD379" s="9">
        <v>0.98979130515883451</v>
      </c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 spans="28:52">
      <c r="AB380" s="9">
        <v>0.92925588370367285</v>
      </c>
      <c r="AC380" s="9">
        <v>0.60234118499178113</v>
      </c>
      <c r="AD380" s="9">
        <v>0.99254417857028565</v>
      </c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 spans="28:52">
      <c r="AB381" s="9">
        <v>0.92866364366952248</v>
      </c>
      <c r="AC381" s="9">
        <v>0.44459962138007764</v>
      </c>
      <c r="AD381" s="9">
        <v>0.97560313346256322</v>
      </c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 spans="28:52">
      <c r="AB382" s="9">
        <v>0.94639038151476029</v>
      </c>
      <c r="AC382" s="9">
        <v>0.75372512509765199</v>
      </c>
      <c r="AD382" s="9">
        <v>0.96331331235593975</v>
      </c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 spans="28:52">
      <c r="AB383" s="9">
        <v>0.95929001694127602</v>
      </c>
      <c r="AC383" s="9">
        <v>0.91174601799303967</v>
      </c>
      <c r="AD383" s="9">
        <v>0.9713893548363739</v>
      </c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 spans="28:52">
      <c r="AB384" s="9">
        <v>0.95202296349358873</v>
      </c>
      <c r="AC384" s="9">
        <v>0.60397819452014545</v>
      </c>
      <c r="AD384" s="9">
        <v>0.99430228015606537</v>
      </c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 spans="28:52">
      <c r="AB385" s="9">
        <v>0.93138169497807899</v>
      </c>
      <c r="AC385" s="9">
        <v>0.76697992823730843</v>
      </c>
      <c r="AD385" s="9">
        <v>0.9882959710705711</v>
      </c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 spans="28:52">
      <c r="AB386" s="9">
        <v>0.93890700563764729</v>
      </c>
      <c r="AC386" s="9">
        <v>0.78895277594495272</v>
      </c>
      <c r="AD386" s="9">
        <v>1.0054442611831782</v>
      </c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 spans="28:52">
      <c r="AB387" s="9">
        <v>0.92437162204962375</v>
      </c>
      <c r="AC387" s="9">
        <v>0.59115669580785879</v>
      </c>
      <c r="AD387" s="9">
        <v>1.023982916225761</v>
      </c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 spans="28:52">
      <c r="AB388" s="9">
        <v>0.9096533545411436</v>
      </c>
      <c r="AC388" s="9">
        <v>0.67686129665107564</v>
      </c>
      <c r="AD388" s="9">
        <v>1.0251961585197744</v>
      </c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 spans="28:52">
      <c r="AB389" s="9">
        <v>0.91082743544565992</v>
      </c>
      <c r="AC389" s="9">
        <v>0.59635032243026975</v>
      </c>
      <c r="AD389" s="9">
        <v>1.0276673329357899</v>
      </c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 spans="28:52">
      <c r="AB390" s="9">
        <v>0.91081885419947117</v>
      </c>
      <c r="AC390" s="9">
        <v>0.58437259392578156</v>
      </c>
      <c r="AD390" s="9">
        <v>0.99185915966220461</v>
      </c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 spans="28:52">
      <c r="AB391" s="9">
        <v>0.9454362591911184</v>
      </c>
      <c r="AC391" s="9">
        <v>0.96165021780053772</v>
      </c>
      <c r="AD391" s="9">
        <v>0.99761122082987208</v>
      </c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 spans="28:52">
      <c r="AB392" s="9">
        <v>0.94155267032588486</v>
      </c>
      <c r="AC392" s="9">
        <v>0.97405858917460442</v>
      </c>
      <c r="AD392" s="9">
        <v>0.99729215773635438</v>
      </c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 spans="28:52">
      <c r="AB393" s="9">
        <v>0.94381939589394326</v>
      </c>
      <c r="AC393" s="9">
        <v>0.7907030909633489</v>
      </c>
      <c r="AD393" s="9">
        <v>0.98402721416158911</v>
      </c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 spans="28:52">
      <c r="AB394" s="9">
        <v>0.95855844563718973</v>
      </c>
      <c r="AC394" s="9">
        <v>0.80252033663147493</v>
      </c>
      <c r="AD394" s="9">
        <v>0.98010501055253108</v>
      </c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 spans="28:52">
      <c r="AB395" s="9">
        <v>0.9638986967299713</v>
      </c>
      <c r="AC395" s="9">
        <v>1.1576888021331979</v>
      </c>
      <c r="AD395" s="9">
        <v>0.97930850685633453</v>
      </c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 spans="28:52">
      <c r="AB396" s="9">
        <v>0.96661190784649398</v>
      </c>
      <c r="AC396" s="9">
        <v>0.91754915943265902</v>
      </c>
      <c r="AD396" s="9">
        <v>0.99423524486815951</v>
      </c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 spans="28:52">
      <c r="AB397" s="9">
        <v>0.95402753913631511</v>
      </c>
      <c r="AC397" s="9">
        <v>1.0003213930590702</v>
      </c>
      <c r="AD397" s="9">
        <v>0.99108453263790663</v>
      </c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 spans="28:52">
      <c r="AB398" s="9">
        <v>0.9587582847105981</v>
      </c>
      <c r="AC398" s="9">
        <v>0.90903065137727623</v>
      </c>
      <c r="AD398" s="9">
        <v>1.0036404588364822</v>
      </c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 spans="28:52">
      <c r="AB399" s="9">
        <v>0.94875135900600172</v>
      </c>
      <c r="AC399" s="9">
        <v>0.85805631771702173</v>
      </c>
      <c r="AD399" s="9">
        <v>1.0172949688812585</v>
      </c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 spans="28:52">
      <c r="AB400" s="9">
        <v>0.93802237474449701</v>
      </c>
      <c r="AC400" s="9">
        <v>0.8165300964464437</v>
      </c>
      <c r="AD400" s="9">
        <v>1.0178464079949063</v>
      </c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 spans="28:52">
      <c r="AB401" s="9">
        <v>0.9398063376346717</v>
      </c>
      <c r="AC401" s="9">
        <v>0.66717440788653337</v>
      </c>
      <c r="AD401" s="9">
        <v>1.0155159132270326</v>
      </c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 spans="28:52">
      <c r="AB402" s="9">
        <v>0.94396453104131428</v>
      </c>
      <c r="AC402" s="9">
        <v>0.65107735154473478</v>
      </c>
      <c r="AD402" s="9">
        <v>1.017412227726826</v>
      </c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 spans="28:52">
      <c r="AB403" s="9">
        <v>0.94355745285653458</v>
      </c>
      <c r="AC403" s="9">
        <v>0.63220284830905238</v>
      </c>
      <c r="AD403" s="9">
        <v>1.0169076291857888</v>
      </c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 spans="28:52">
      <c r="AB404" s="9">
        <v>0.94514237359561104</v>
      </c>
      <c r="AC404" s="9">
        <v>0.67142276433156844</v>
      </c>
      <c r="AD404" s="9">
        <v>1.0105713159467469</v>
      </c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 spans="28:52">
      <c r="AB405" s="9">
        <v>0.95290857947058605</v>
      </c>
      <c r="AC405" s="9">
        <v>0.80541592221661129</v>
      </c>
      <c r="AD405" s="9">
        <v>0.9867322312654252</v>
      </c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 spans="28:52">
      <c r="AB406" s="9">
        <v>0.97713048182359941</v>
      </c>
      <c r="AC406" s="9">
        <v>1.3550107925153236</v>
      </c>
      <c r="AD406" s="9">
        <v>0.98554185419881812</v>
      </c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 spans="28:52">
      <c r="AB407" s="9">
        <v>0.97875330992988696</v>
      </c>
      <c r="AC407" s="9">
        <v>1.08196945833048</v>
      </c>
      <c r="AD407" s="9">
        <v>0.97202575008509107</v>
      </c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 spans="28:52">
      <c r="AB408" s="9">
        <v>0.99251125930988915</v>
      </c>
      <c r="AC408" s="9">
        <v>1.2525150142559602</v>
      </c>
      <c r="AD408" s="9">
        <v>0.97427408339147625</v>
      </c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 spans="28:52">
      <c r="AB409" s="9">
        <v>0.98991861073448029</v>
      </c>
      <c r="AC409" s="9">
        <v>1.1342052285913236</v>
      </c>
      <c r="AD409" s="9">
        <v>0.98564176304784279</v>
      </c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 spans="28:52">
      <c r="AB410" s="9">
        <v>0.97916424390527423</v>
      </c>
      <c r="AC410" s="9">
        <v>1.1147128531427721</v>
      </c>
      <c r="AD410" s="9">
        <v>0.98422346629808444</v>
      </c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 spans="28:52">
      <c r="AB411" s="9">
        <v>0.98119642241942417</v>
      </c>
      <c r="AC411" s="9">
        <v>0.87771623348956107</v>
      </c>
      <c r="AD411" s="9">
        <v>0.99049962445546058</v>
      </c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 spans="28:52">
      <c r="AB412" s="9">
        <v>0.97556681648382104</v>
      </c>
      <c r="AC412" s="9">
        <v>0.8294291686599139</v>
      </c>
      <c r="AD412" s="9">
        <v>0.9982220897994637</v>
      </c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 spans="28:52">
      <c r="AB413" s="9">
        <v>0.96899176440922541</v>
      </c>
      <c r="AC413" s="9">
        <v>0.95010195940895636</v>
      </c>
      <c r="AD413" s="9">
        <v>1.0010705525825021</v>
      </c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 spans="28:52">
      <c r="AB414" s="9">
        <v>0.96729397539794459</v>
      </c>
      <c r="AC414" s="9">
        <v>0.89074355831637131</v>
      </c>
      <c r="AD414" s="9">
        <v>0.99966875058554827</v>
      </c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 spans="28:52">
      <c r="AB415" s="9">
        <v>0.96983354026016522</v>
      </c>
      <c r="AC415" s="9">
        <v>0.8955861382082646</v>
      </c>
      <c r="AD415" s="9">
        <v>0.97503421720573069</v>
      </c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 spans="28:52">
      <c r="AB416" s="9">
        <v>0.99532227728544476</v>
      </c>
      <c r="AC416" s="9">
        <v>1.1999216713210612</v>
      </c>
      <c r="AD416" s="9">
        <v>0.9716223320314038</v>
      </c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 spans="28:52">
      <c r="AB417" s="9">
        <v>0.99914958758767436</v>
      </c>
      <c r="AC417" s="9">
        <v>1.3514909399903885</v>
      </c>
      <c r="AD417" s="9">
        <v>0.97756011654450015</v>
      </c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 spans="28:52">
      <c r="AB418" s="9">
        <v>0.99328413769200374</v>
      </c>
      <c r="AC418" s="9">
        <v>1.3204657490927041</v>
      </c>
      <c r="AD418" s="9">
        <v>0.97633818767011693</v>
      </c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 spans="28:52">
      <c r="AB419" s="9">
        <v>0.99469019658139834</v>
      </c>
      <c r="AC419" s="9">
        <v>0.80408401205518876</v>
      </c>
      <c r="AD419" s="9">
        <v>0.9599285562448534</v>
      </c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 spans="28:52">
      <c r="AB420" s="9">
        <v>1.0119010679684861</v>
      </c>
      <c r="AC420" s="9">
        <v>1.3508291658734379</v>
      </c>
      <c r="AD420" s="9">
        <v>0.95867100219626644</v>
      </c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 spans="28:52">
      <c r="AB421" s="9">
        <v>1.0126939602439484</v>
      </c>
      <c r="AC421" s="9">
        <v>1.1460985980132528</v>
      </c>
      <c r="AD421" s="9">
        <v>0.95259939150044715</v>
      </c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 spans="28:52">
      <c r="AB422" s="9">
        <v>1.0185946797448164</v>
      </c>
      <c r="AC422" s="9">
        <v>1.7408048786261749</v>
      </c>
      <c r="AD422" s="9">
        <v>0.94585009961963407</v>
      </c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 spans="28:52">
      <c r="AB423" s="9">
        <v>1.0253663869409217</v>
      </c>
      <c r="AC423" s="9">
        <v>1.1037115258093679</v>
      </c>
      <c r="AD423" s="9">
        <v>0.94941534938332706</v>
      </c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 spans="28:52">
      <c r="AB424" s="9">
        <v>1.0210315982989246</v>
      </c>
      <c r="AC424" s="9">
        <v>1.3422893482245157</v>
      </c>
      <c r="AD424" s="9">
        <v>0.94902851846639846</v>
      </c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 spans="28:52">
      <c r="AB425" s="9">
        <v>1.0212762878524584</v>
      </c>
      <c r="AC425" s="9">
        <v>0.76254396578546713</v>
      </c>
      <c r="AD425" s="9">
        <v>0.94923847909483783</v>
      </c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 spans="28:52">
      <c r="AB426" s="9">
        <v>1.0209034606460876</v>
      </c>
      <c r="AC426" s="9">
        <v>1.0976266467523927</v>
      </c>
      <c r="AD426" s="9">
        <v>0.94799444951190637</v>
      </c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 spans="28:52">
      <c r="AB427" s="9">
        <v>1.0218248558048404</v>
      </c>
      <c r="AC427" s="9">
        <v>0.8211635860088351</v>
      </c>
      <c r="AD427" s="9">
        <v>0.95171959315427246</v>
      </c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 spans="28:52">
      <c r="AB428" s="9">
        <v>1.0177387923026391</v>
      </c>
      <c r="AC428" s="9">
        <v>1.1905589852279783</v>
      </c>
      <c r="AD428" s="9">
        <v>0.95369865222394046</v>
      </c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 spans="28:52">
      <c r="AB429" s="9">
        <v>1.0150353007456898</v>
      </c>
      <c r="AC429" s="9">
        <v>0.80999457760155791</v>
      </c>
      <c r="AD429" s="9">
        <v>0.96429903030692532</v>
      </c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 spans="28:52">
      <c r="AB430" s="9">
        <v>1.0033255288278304</v>
      </c>
      <c r="AC430" s="9">
        <v>1.0110171326540418</v>
      </c>
      <c r="AD430" s="9">
        <v>0.96996719191115222</v>
      </c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 spans="28:52">
      <c r="AB431" s="9">
        <v>0.99726940648783868</v>
      </c>
      <c r="AC431" s="9">
        <v>0.76837531668271442</v>
      </c>
      <c r="AD431" s="9">
        <v>0.97346313679780971</v>
      </c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 spans="28:52">
      <c r="AB432" s="9">
        <v>0.99447087329721728</v>
      </c>
      <c r="AC432" s="9">
        <v>0.78116126402237263</v>
      </c>
      <c r="AD432" s="9">
        <v>0.98108011072643486</v>
      </c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 spans="28:52">
      <c r="AB433" s="9">
        <v>0.98822838042174976</v>
      </c>
      <c r="AC433" s="9">
        <v>0.87564069346410267</v>
      </c>
      <c r="AD433" s="9">
        <v>0.98182020725779506</v>
      </c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 spans="28:52">
      <c r="AB434" s="9">
        <v>0.98887809611729283</v>
      </c>
      <c r="AC434" s="9">
        <v>0.80309065090306253</v>
      </c>
      <c r="AD434" s="9">
        <v>0.98049108207204128</v>
      </c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 spans="28:52">
      <c r="AB435" s="9">
        <v>0.99115720035221921</v>
      </c>
      <c r="AC435" s="9">
        <v>0.71304559607097329</v>
      </c>
      <c r="AD435" s="9">
        <v>0.99709114378718167</v>
      </c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 spans="28:52">
      <c r="AB436" s="9">
        <v>0.97577887987705847</v>
      </c>
      <c r="AC436" s="9">
        <v>0.74242548438150036</v>
      </c>
      <c r="AD436" s="9">
        <v>0.99595992616638052</v>
      </c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 spans="28:52">
      <c r="AB437" s="9">
        <v>0.97804795001000255</v>
      </c>
      <c r="AC437" s="9">
        <v>0.75903177452629012</v>
      </c>
      <c r="AD437" s="9">
        <v>0.99809101683467383</v>
      </c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 spans="28:52">
      <c r="AB438" s="9">
        <v>0.97696942339319148</v>
      </c>
      <c r="AC438" s="9">
        <v>0.74294116989654879</v>
      </c>
      <c r="AD438" s="9">
        <v>1.0077101468638556</v>
      </c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 spans="28:52">
      <c r="AB439" s="9">
        <v>0.9692697334889262</v>
      </c>
      <c r="AC439" s="9">
        <v>0.74813710388453791</v>
      </c>
      <c r="AD439" s="9">
        <v>1.0183421998450415</v>
      </c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 spans="28:52">
      <c r="AB440" s="9">
        <v>0.96129487160772831</v>
      </c>
      <c r="AC440" s="9">
        <v>0.75871709550072508</v>
      </c>
      <c r="AD440" s="9">
        <v>1.0194691795894066</v>
      </c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 spans="28:52">
      <c r="AB441" s="9">
        <v>0.96308041321278381</v>
      </c>
      <c r="AC441" s="9">
        <v>0.71673666412143822</v>
      </c>
      <c r="AD441" s="9">
        <v>1.0336509724609131</v>
      </c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 spans="28:52">
      <c r="AB442" s="9">
        <v>0.9526816383812059</v>
      </c>
      <c r="AC442" s="9">
        <v>0.77322956532623321</v>
      </c>
      <c r="AD442" s="9">
        <v>1.0252468428286181</v>
      </c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 spans="28:52">
      <c r="AB443" s="9">
        <v>0.9632357327060932</v>
      </c>
      <c r="AC443" s="9">
        <v>0.70250814150132113</v>
      </c>
      <c r="AD443" s="9">
        <v>1.0379788444099656</v>
      </c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 spans="28:52">
      <c r="AB444" s="9">
        <v>0.95426035831194189</v>
      </c>
      <c r="AC444" s="9">
        <v>0.74051922267801362</v>
      </c>
      <c r="AD444" s="9">
        <v>1.0241499936758365</v>
      </c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 spans="28:52">
      <c r="AB445" s="9">
        <v>0.96988585328038934</v>
      </c>
      <c r="AC445" s="9">
        <v>0.9229769431811613</v>
      </c>
      <c r="AD445" s="9">
        <v>1.0281345548343033</v>
      </c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 spans="28:52">
      <c r="AB446" s="9">
        <v>0.96870837296321222</v>
      </c>
      <c r="AC446" s="9">
        <v>1.004757908083258</v>
      </c>
      <c r="AD446" s="9">
        <v>1.0366369893682381</v>
      </c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 spans="28:52">
      <c r="AB447" s="9">
        <v>0.96355603377889343</v>
      </c>
      <c r="AC447" s="9">
        <v>0.82054989368737041</v>
      </c>
      <c r="AD447" s="9">
        <v>1.0306602531331817</v>
      </c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 spans="28:52">
      <c r="AB448" s="9">
        <v>0.97224644642274582</v>
      </c>
      <c r="AC448" s="9">
        <v>0.75689186732961888</v>
      </c>
      <c r="AD448" s="9">
        <v>1.0323942346155339</v>
      </c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 spans="28:52">
      <c r="AB449" s="9">
        <v>0.97315661431057188</v>
      </c>
      <c r="AC449" s="9">
        <v>0.8693274091655484</v>
      </c>
      <c r="AD449" s="9">
        <v>1.043663456807479</v>
      </c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 spans="28:52">
      <c r="AB450" s="9">
        <v>0.9650807825442953</v>
      </c>
      <c r="AC450" s="9">
        <v>0.76023468398858018</v>
      </c>
      <c r="AD450" s="9">
        <v>1.0501796419704692</v>
      </c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 spans="28:52">
      <c r="AB451" s="9">
        <v>0.96177085880293922</v>
      </c>
      <c r="AC451" s="9">
        <v>0.79763011780976145</v>
      </c>
      <c r="AD451" s="9">
        <v>1.0646225113032446</v>
      </c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 spans="28:52">
      <c r="AB452" s="9">
        <v>0.9512600995773467</v>
      </c>
      <c r="AC452" s="9">
        <v>0.80857923353885763</v>
      </c>
      <c r="AD452" s="9">
        <v>1.0719250679281067</v>
      </c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 spans="28:52">
      <c r="AB453" s="9">
        <v>0.94764254846857832</v>
      </c>
      <c r="AC453" s="9">
        <v>0.78855973662961187</v>
      </c>
      <c r="AD453" s="9">
        <v>1.0262228751056075</v>
      </c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 spans="28:52">
      <c r="AB454" s="9">
        <v>0.99188971134841442</v>
      </c>
      <c r="AC454" s="9">
        <v>2.0353941167851852</v>
      </c>
      <c r="AD454" s="9">
        <v>1.024614863155765</v>
      </c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 spans="28:52">
      <c r="AB455" s="9">
        <v>0.99478050991119327</v>
      </c>
      <c r="AC455" s="9">
        <v>1.2946914913032377</v>
      </c>
      <c r="AD455" s="9">
        <v>1.0324944434684979</v>
      </c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 spans="28:52">
      <c r="AB456" s="9">
        <v>0.98883787702148818</v>
      </c>
      <c r="AC456" s="9">
        <v>1.2978960230725094</v>
      </c>
      <c r="AD456" s="9">
        <v>1.040077092905916</v>
      </c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 spans="28:52">
      <c r="AB457" s="9">
        <v>0.98356349266888243</v>
      </c>
      <c r="AC457" s="9">
        <v>1.0756184362673407</v>
      </c>
      <c r="AD457" s="9">
        <v>1.0455953342213677</v>
      </c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 spans="28:52">
      <c r="AB458" s="9">
        <v>0.98058760616787199</v>
      </c>
      <c r="AC458" s="9">
        <v>1.1599308642841828</v>
      </c>
      <c r="AD458" s="9">
        <v>1.0505088415176331</v>
      </c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 spans="28:52">
      <c r="AB459" s="9">
        <v>0.97932181890213077</v>
      </c>
      <c r="AC459" s="9">
        <v>1.1234539060074504</v>
      </c>
      <c r="AD459" s="9">
        <v>1.0524824047071917</v>
      </c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 spans="28:52">
      <c r="AB460" s="9">
        <v>0.98044103833214991</v>
      </c>
      <c r="AC460" s="9">
        <v>0.81845378530732649</v>
      </c>
      <c r="AD460" s="9">
        <v>1.0566672426465848</v>
      </c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 spans="28:52">
      <c r="AB461" s="9">
        <v>0.98008125667171575</v>
      </c>
      <c r="AC461" s="9">
        <v>0.8991946096272363</v>
      </c>
      <c r="AD461" s="9">
        <v>1.0682741148407413</v>
      </c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 spans="28:52">
      <c r="AB462" s="9">
        <v>0.97347082926462059</v>
      </c>
      <c r="AC462" s="9">
        <v>0.88065693916571652</v>
      </c>
      <c r="AD462" s="9">
        <v>1.0764932723491856</v>
      </c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 spans="28:52">
      <c r="AB463" s="9">
        <v>0.97010847211376983</v>
      </c>
      <c r="AC463" s="9">
        <v>0.77501417539862716</v>
      </c>
      <c r="AD463" s="9">
        <v>1.0880059373686424</v>
      </c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 spans="28:52">
      <c r="AB464" s="9">
        <v>0.96413818321046973</v>
      </c>
      <c r="AC464" s="9">
        <v>0.72078483467747567</v>
      </c>
      <c r="AD464" s="9">
        <v>1.0917517179108942</v>
      </c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 spans="28:52">
      <c r="AB465" s="9">
        <v>0.96569668628649175</v>
      </c>
      <c r="AC465" s="9">
        <v>0.79826218937131921</v>
      </c>
      <c r="AD465" s="9">
        <v>1.0968048232254273</v>
      </c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 spans="28:52">
      <c r="AB466" s="9">
        <v>0.96645196780110887</v>
      </c>
      <c r="AC466" s="9">
        <v>0.77487248807680553</v>
      </c>
      <c r="AD466" s="9">
        <v>1.0999966957406522</v>
      </c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 spans="28:52">
      <c r="AB467" s="9">
        <v>0.96891733043438566</v>
      </c>
      <c r="AC467" s="9">
        <v>0.71258512791519613</v>
      </c>
      <c r="AD467" s="9">
        <v>1.1041501905825484</v>
      </c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 spans="28:52">
      <c r="AB468" s="9">
        <v>0.97030484902638336</v>
      </c>
      <c r="AC468" s="9">
        <v>0.7855510006301013</v>
      </c>
      <c r="AD468" s="9">
        <v>1.0856397274412444</v>
      </c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 spans="28:52">
      <c r="AB469" s="9">
        <v>0.99139966000194901</v>
      </c>
      <c r="AC469" s="9">
        <v>1.3499936770109855</v>
      </c>
      <c r="AD469" s="9">
        <v>1.0989970464823111</v>
      </c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 spans="28:52">
      <c r="AB470" s="9">
        <v>0.98446853647537769</v>
      </c>
      <c r="AC470" s="9">
        <v>1.1107914920889785</v>
      </c>
      <c r="AD470" s="9">
        <v>1.098131797429523</v>
      </c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 spans="28:52">
      <c r="AB471" s="9">
        <v>0.99124369009000701</v>
      </c>
      <c r="AC471" s="9">
        <v>0.76441659282704688</v>
      </c>
      <c r="AD471" s="9">
        <v>1.0885440547910457</v>
      </c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 spans="28:52">
      <c r="AB472" s="9">
        <v>1.0065673460641986</v>
      </c>
      <c r="AC472" s="9">
        <v>1.4917062660169562</v>
      </c>
      <c r="AD472" s="9">
        <v>1.0804088110932253</v>
      </c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 spans="28:52">
      <c r="AB473" s="9">
        <v>1.0206730164830167</v>
      </c>
      <c r="AC473" s="9">
        <v>1.8356063828828684</v>
      </c>
      <c r="AD473" s="9">
        <v>1.0815919319928164</v>
      </c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 spans="28:52">
      <c r="AB474" s="9">
        <v>1.0264379608734235</v>
      </c>
      <c r="AC474" s="9">
        <v>2.6827374365151071</v>
      </c>
      <c r="AD474" s="9">
        <v>1.0850573501901732</v>
      </c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 spans="28:52">
      <c r="AB475" s="9">
        <v>1.0296036335382821</v>
      </c>
      <c r="AC475" s="9">
        <v>1.4417772670349966</v>
      </c>
      <c r="AD475" s="9">
        <v>1.0893108187221545</v>
      </c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 spans="28:52">
      <c r="AB476" s="9">
        <v>1.0315716464222902</v>
      </c>
      <c r="AC476" s="9">
        <v>1.6541059285801534</v>
      </c>
      <c r="AD476" s="9">
        <v>1.0869570377227951</v>
      </c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 spans="28:52">
      <c r="AB477" s="9">
        <v>1.0396508856488209</v>
      </c>
      <c r="AC477" s="9">
        <v>1.6440224382814232</v>
      </c>
      <c r="AD477" s="9">
        <v>1.1179169206433965</v>
      </c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 spans="28:52">
      <c r="AB478" s="9">
        <v>1.0169832081911543</v>
      </c>
      <c r="AC478" s="9">
        <v>1.660771435560255</v>
      </c>
      <c r="AD478" s="9">
        <v>1.1288685098728755</v>
      </c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 spans="28:52">
      <c r="AB479" s="9">
        <v>1.0146474226322111</v>
      </c>
      <c r="AC479" s="9">
        <v>1.2999117130490399</v>
      </c>
      <c r="AD479" s="9">
        <v>1.1329221849713897</v>
      </c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 spans="28:52">
      <c r="AB480" s="9">
        <v>1.0173074849890023</v>
      </c>
      <c r="AC480" s="9">
        <v>1.2572309751543955</v>
      </c>
      <c r="AD480" s="9">
        <v>1.1157594302607357</v>
      </c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 spans="28:52">
      <c r="AB481" s="9">
        <v>1.0390056714852147</v>
      </c>
      <c r="AC481" s="9">
        <v>2.1428293302651498</v>
      </c>
      <c r="AD481" s="9">
        <v>1.1097969068971656</v>
      </c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 spans="28:52">
      <c r="AB482" s="9">
        <v>1.0507343369829918</v>
      </c>
      <c r="AC482" s="9">
        <v>2.5670255905897528</v>
      </c>
      <c r="AD482" s="9">
        <v>1.1190687260612491</v>
      </c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 spans="28:52">
      <c r="AB483" s="9">
        <v>1.0478372242395784</v>
      </c>
      <c r="AC483" s="9">
        <v>1.8375031809193338</v>
      </c>
      <c r="AD483" s="9">
        <v>1.1227226626182183</v>
      </c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 spans="28:52">
      <c r="AB484" s="9">
        <v>1.0503455216308524</v>
      </c>
      <c r="AC484" s="9">
        <v>1.9321285157879733</v>
      </c>
      <c r="AD484" s="9">
        <v>1.141560551616259</v>
      </c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 spans="28:52">
      <c r="AB485" s="9">
        <v>1.0402482511834159</v>
      </c>
      <c r="AC485" s="9">
        <v>1.5306383095694913</v>
      </c>
      <c r="AD485" s="9">
        <v>1.145701378063076</v>
      </c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 spans="28:52">
      <c r="AB486" s="9">
        <v>1.0445535979412053</v>
      </c>
      <c r="AC486" s="9">
        <v>1.6991066297786117</v>
      </c>
      <c r="AD486" s="9">
        <v>1.1443635518723616</v>
      </c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 spans="28:52">
      <c r="AB487" s="9">
        <v>1.0550873320929051</v>
      </c>
      <c r="AC487" s="9">
        <v>1.4166720805664967</v>
      </c>
      <c r="AD487" s="9">
        <v>1.1293212389275871</v>
      </c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 spans="28:52">
      <c r="AB488" s="9">
        <v>1.0779699239800264</v>
      </c>
      <c r="AC488" s="9">
        <v>2.3116456039183375</v>
      </c>
      <c r="AD488" s="9">
        <v>1.1239022818641524</v>
      </c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 spans="28:52">
      <c r="AB489" s="9">
        <v>1.0899432862252942</v>
      </c>
      <c r="AC489" s="9">
        <v>2.6682266688828915</v>
      </c>
      <c r="AD489" s="9">
        <v>1.1397308804476403</v>
      </c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 spans="28:52">
      <c r="AB490" s="9">
        <v>1.0819360839610193</v>
      </c>
      <c r="AC490" s="9">
        <v>2.3238130287471579</v>
      </c>
      <c r="AD490" s="9">
        <v>1.1534492853290497</v>
      </c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 spans="28:52">
      <c r="AB491" s="9">
        <v>1.0761462134062361</v>
      </c>
      <c r="AC491" s="9">
        <v>1.991738451131885</v>
      </c>
      <c r="AD491" s="9">
        <v>1.1695671783210153</v>
      </c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 spans="28:52">
      <c r="AB492" s="9">
        <v>1.0677702788459724</v>
      </c>
      <c r="AC492" s="9">
        <v>1.244273220977175</v>
      </c>
      <c r="AD492" s="9">
        <v>1.186256083435419</v>
      </c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 spans="28:52">
      <c r="AB493" s="9">
        <v>1.0594301687651739</v>
      </c>
      <c r="AC493" s="9">
        <v>1.3662749586985476</v>
      </c>
      <c r="AD493" s="9">
        <v>1.2008389815072233</v>
      </c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 spans="28:52">
      <c r="AB494" s="9">
        <v>1.0516314219939882</v>
      </c>
      <c r="AC494" s="9">
        <v>1.2974927032460251</v>
      </c>
      <c r="AD494" s="9">
        <v>1.202901935148315</v>
      </c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 spans="28:52">
      <c r="AB495" s="9">
        <v>1.0547252479242615</v>
      </c>
      <c r="AC495" s="9">
        <v>1.0834041197724658</v>
      </c>
      <c r="AD495" s="9">
        <v>1.1892303694095718</v>
      </c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 spans="28:52">
      <c r="AB496" s="9">
        <v>1.0725970996277701</v>
      </c>
      <c r="AC496" s="9">
        <v>1.496172596967009</v>
      </c>
      <c r="AD496" s="9">
        <v>1.1815629757106059</v>
      </c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 spans="28:52">
      <c r="AB497" s="9">
        <v>1.0844832505763675</v>
      </c>
      <c r="AC497" s="9">
        <v>2.089596088044007</v>
      </c>
      <c r="AD497" s="9">
        <v>1.1963947224643994</v>
      </c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 spans="28:52">
      <c r="AB498" s="9">
        <v>1.0752122902145516</v>
      </c>
      <c r="AC498" s="9">
        <v>1.5017582745180442</v>
      </c>
      <c r="AD498" s="9">
        <v>1.2022945452772402</v>
      </c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  <row r="499" spans="28:52">
      <c r="AB499" s="9">
        <v>1.0743065501891484</v>
      </c>
      <c r="AC499" s="9">
        <v>1.4828857249185146</v>
      </c>
      <c r="AD499" s="9">
        <v>1.2066672381556962</v>
      </c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</row>
    <row r="500" spans="28:52">
      <c r="AB500" s="9">
        <v>1.0740815432098703</v>
      </c>
      <c r="AC500" s="9">
        <v>1.5922193666410773</v>
      </c>
      <c r="AD500" s="9">
        <v>1.2400391830244748</v>
      </c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</row>
    <row r="501" spans="28:52">
      <c r="AB501" s="9">
        <v>1.0496239322760199</v>
      </c>
      <c r="AC501" s="9">
        <v>2.0450078749493188</v>
      </c>
      <c r="AD501" s="9">
        <v>1.2421862027882615</v>
      </c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</row>
    <row r="502" spans="28:52">
      <c r="AB502" s="9">
        <v>1.0523516898199778</v>
      </c>
      <c r="AC502" s="9">
        <v>1.0019019265312297</v>
      </c>
      <c r="AD502" s="9">
        <v>1.2591813969371151</v>
      </c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</row>
    <row r="503" spans="28:52">
      <c r="AB503" s="9">
        <v>1.0425461807308811</v>
      </c>
      <c r="AC503" s="9">
        <v>0.99669638562521046</v>
      </c>
      <c r="AD503" s="9">
        <v>1.2615299132180171</v>
      </c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</row>
    <row r="504" spans="28:52">
      <c r="AB504" s="9">
        <v>1.0454333909264946</v>
      </c>
      <c r="AC504" s="9">
        <v>0.89007068668058964</v>
      </c>
      <c r="AD504" s="9">
        <v>1.2827285745653809</v>
      </c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</row>
    <row r="505" spans="28:52">
      <c r="AB505" s="9">
        <v>1.0331500240910854</v>
      </c>
      <c r="AC505" s="9">
        <v>0.94891709501451282</v>
      </c>
      <c r="AD505" s="9">
        <v>1.288818202604727</v>
      </c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</row>
    <row r="506" spans="28:52">
      <c r="AB506" s="9">
        <v>1.0339001908021268</v>
      </c>
      <c r="AC506" s="9">
        <v>0.82565171786170788</v>
      </c>
      <c r="AD506" s="9">
        <v>1.3082356585870762</v>
      </c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</row>
    <row r="507" spans="28:52">
      <c r="AB507" s="9">
        <v>1.0240876621144004</v>
      </c>
      <c r="AC507" s="9">
        <v>0.87945228415515442</v>
      </c>
      <c r="AD507" s="9">
        <v>1.2513377321525092</v>
      </c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</row>
    <row r="508" spans="28:52">
      <c r="AB508" s="9">
        <v>1.075698954931837</v>
      </c>
      <c r="AC508" s="9">
        <v>1.7738763781614337</v>
      </c>
      <c r="AD508" s="9">
        <v>1.268368772824364</v>
      </c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</row>
    <row r="509" spans="28:52">
      <c r="AB509" s="9">
        <v>1.0657108826902939</v>
      </c>
      <c r="AC509" s="9">
        <v>1.7558082110201683</v>
      </c>
      <c r="AD509" s="9">
        <v>1.2444122425777804</v>
      </c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</row>
    <row r="510" spans="28:52">
      <c r="AB510" s="9">
        <v>1.0905906275310127</v>
      </c>
      <c r="AC510" s="9">
        <v>2.1157209607067697</v>
      </c>
      <c r="AD510" s="9">
        <v>1.2225460556773611</v>
      </c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</row>
    <row r="511" spans="28:52">
      <c r="AB511" s="9">
        <v>1.1138423425783484</v>
      </c>
      <c r="AC511" s="9">
        <v>2.106757429109642</v>
      </c>
      <c r="AD511" s="9">
        <v>1.2293446258622196</v>
      </c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</row>
    <row r="512" spans="28:52">
      <c r="AB512" s="9">
        <v>1.1103611000359925</v>
      </c>
      <c r="AC512" s="9">
        <v>2.446100478247597</v>
      </c>
      <c r="AD512" s="9">
        <v>1.2294346164778585</v>
      </c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</row>
    <row r="513" spans="28:52">
      <c r="AB513" s="9">
        <v>1.1128472986023179</v>
      </c>
      <c r="AC513" s="9">
        <v>1.6118541066773195</v>
      </c>
      <c r="AD513" s="9">
        <v>1.2094429045680168</v>
      </c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</row>
    <row r="514" spans="28:52">
      <c r="AB514" s="9">
        <v>1.1319291251388535</v>
      </c>
      <c r="AC514" s="9">
        <v>2.0950569982248228</v>
      </c>
      <c r="AD514" s="9">
        <v>1.2212399863352974</v>
      </c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</row>
    <row r="515" spans="28:52">
      <c r="AB515" s="9">
        <v>1.1213111363079185</v>
      </c>
      <c r="AC515" s="9">
        <v>1.9193812670491992</v>
      </c>
      <c r="AD515" s="9">
        <v>1.2240506296740696</v>
      </c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</row>
    <row r="516" spans="28:52">
      <c r="AB516" s="9">
        <v>1.1186143506274084</v>
      </c>
      <c r="AC516" s="9">
        <v>1.5017913882992655</v>
      </c>
      <c r="AD516" s="9">
        <v>1.2323349130176524</v>
      </c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</row>
    <row r="517" spans="28:52">
      <c r="AB517" s="9">
        <v>1.1111956860271628</v>
      </c>
      <c r="AC517" s="9">
        <v>1.6961871495912435</v>
      </c>
      <c r="AD517" s="9">
        <v>1.2469669661910019</v>
      </c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</row>
    <row r="518" spans="28:52">
      <c r="AB518" s="9">
        <v>1.0982684741091262</v>
      </c>
      <c r="AC518" s="9">
        <v>1.2255946774432458</v>
      </c>
      <c r="AD518" s="9">
        <v>1.2236661910354025</v>
      </c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</row>
    <row r="519" spans="28:52">
      <c r="AB519" s="9">
        <v>1.119168433344143</v>
      </c>
      <c r="AC519" s="9">
        <v>1.3832841175444193</v>
      </c>
      <c r="AD519" s="9">
        <v>1.1836143786474527</v>
      </c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</row>
    <row r="520" spans="28:52">
      <c r="AB520" s="9">
        <v>1.1553429475945303</v>
      </c>
      <c r="AC520" s="9">
        <v>2.4992092205417342</v>
      </c>
      <c r="AD520" s="9">
        <v>1.1466043237650299</v>
      </c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</row>
    <row r="521" spans="28:52">
      <c r="AB521" s="9">
        <v>1.1891372728643785</v>
      </c>
      <c r="AC521" s="9">
        <v>2.6664625265082247</v>
      </c>
      <c r="AD521" s="9">
        <v>1.1361154248517955</v>
      </c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</row>
    <row r="522" spans="28:52">
      <c r="AB522" s="9">
        <v>1.196050572330752</v>
      </c>
      <c r="AC522" s="9">
        <v>3.1196578938646744</v>
      </c>
      <c r="AD522" s="9">
        <v>1.1017858274864165</v>
      </c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</row>
    <row r="523" spans="28:52">
      <c r="AB523" s="9">
        <v>1.227848051710889</v>
      </c>
      <c r="AC523" s="9">
        <v>2.3347229748867835</v>
      </c>
      <c r="AD523" s="9">
        <v>1.1149839992720045</v>
      </c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</row>
    <row r="524" spans="28:52">
      <c r="AB524" s="9">
        <v>1.2076886768002046</v>
      </c>
      <c r="AC524" s="9">
        <v>2.4478777683623925</v>
      </c>
      <c r="AD524" s="9">
        <v>1.1317617749618427</v>
      </c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</row>
    <row r="525" spans="28:52">
      <c r="AB525" s="9">
        <v>1.1846776162668757</v>
      </c>
      <c r="AC525" s="9">
        <v>1.6308880640548087</v>
      </c>
      <c r="AD525" s="9">
        <v>1.1321695919692853</v>
      </c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</row>
    <row r="526" spans="28:52">
      <c r="AB526" s="9">
        <v>1.1788086892816758</v>
      </c>
      <c r="AC526" s="9">
        <v>1.4443887635471266</v>
      </c>
      <c r="AD526" s="9">
        <v>1.1240845846351515</v>
      </c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</row>
    <row r="527" spans="28:52">
      <c r="AB527" s="9">
        <v>1.1819464405023923</v>
      </c>
      <c r="AC527" s="9">
        <v>1.1777859085055433</v>
      </c>
      <c r="AD527" s="9">
        <v>1.0777609205899816</v>
      </c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</row>
    <row r="528" spans="28:52">
      <c r="AB528" s="9">
        <v>1.2252085903777949</v>
      </c>
      <c r="AC528" s="9">
        <v>2.1369472744944815</v>
      </c>
      <c r="AD528" s="9">
        <v>1.1221331847332425</v>
      </c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</row>
    <row r="529" spans="28:52">
      <c r="AB529" s="9">
        <v>1.1698873597715351</v>
      </c>
      <c r="AC529" s="9">
        <v>1.5862931700331038</v>
      </c>
      <c r="AD529" s="9">
        <v>1.1105277442588688</v>
      </c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</row>
    <row r="530" spans="28:52">
      <c r="AB530" s="9">
        <v>1.1766896210914246</v>
      </c>
      <c r="AC530" s="9">
        <v>1.1338413593148953</v>
      </c>
      <c r="AD530" s="9">
        <v>1.0771660402645455</v>
      </c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</row>
    <row r="531" spans="28:52">
      <c r="AB531" s="9">
        <v>1.2068917623123319</v>
      </c>
      <c r="AC531" s="9">
        <v>1.5265973762286205</v>
      </c>
      <c r="AD531" s="9">
        <v>1.07576123960558</v>
      </c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</row>
    <row r="532" spans="28:52">
      <c r="AB532" s="9">
        <v>1.2017013999343511</v>
      </c>
      <c r="AC532" s="9">
        <v>1.6279895244402405</v>
      </c>
      <c r="AD532" s="9">
        <v>1.0685433734134815</v>
      </c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</row>
    <row r="533" spans="28:52">
      <c r="AB533" s="9">
        <v>1.202036777606299</v>
      </c>
      <c r="AC533" s="9">
        <v>1.5564280127520258</v>
      </c>
      <c r="AD533" s="9">
        <v>1.0176639746798428</v>
      </c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</row>
    <row r="534" spans="28:52">
      <c r="AB534" s="9">
        <v>1.2525324054827165</v>
      </c>
      <c r="AC534" s="9">
        <v>1.834941787010681</v>
      </c>
      <c r="AD534" s="9">
        <v>0.97310462296723865</v>
      </c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</row>
    <row r="535" spans="28:52">
      <c r="AB535" s="9">
        <v>1.2967041163845008</v>
      </c>
      <c r="AC535" s="9">
        <v>2.4899680389657517</v>
      </c>
      <c r="AD535" s="9">
        <v>0.91827600501181261</v>
      </c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</row>
    <row r="536" spans="28:52">
      <c r="AB536" s="9">
        <v>1.3571583268191496</v>
      </c>
      <c r="AC536" s="9">
        <v>2.4369186760642987</v>
      </c>
      <c r="AD536" s="9">
        <v>0.90937132428127865</v>
      </c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</row>
    <row r="537" spans="28:52">
      <c r="AB537" s="9">
        <v>1.3518449542420388</v>
      </c>
      <c r="AC537" s="9">
        <v>2.9716927449688364</v>
      </c>
      <c r="AD537" s="9">
        <v>0.94299774698859296</v>
      </c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</row>
    <row r="538" spans="28:52">
      <c r="AB538" s="9">
        <v>1.2880179447865125</v>
      </c>
      <c r="AC538" s="9">
        <v>2.3505596218556497</v>
      </c>
      <c r="AD538" s="9">
        <v>0.91427109950354091</v>
      </c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</row>
    <row r="539" spans="28:52">
      <c r="AB539" s="9">
        <v>1.312869038803542</v>
      </c>
      <c r="AC539" s="9">
        <v>1.7266506107957809</v>
      </c>
      <c r="AD539" s="9">
        <v>0.91549414155171249</v>
      </c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</row>
    <row r="540" spans="28:52">
      <c r="AB540" s="9">
        <v>1.2953049328346797</v>
      </c>
      <c r="AC540" s="9">
        <v>2.0792033853362977</v>
      </c>
      <c r="AD540" s="9">
        <v>0.92763493948294884</v>
      </c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</row>
    <row r="541" spans="28:52">
      <c r="AB541" s="9">
        <v>1.2638905856729785</v>
      </c>
      <c r="AC541" s="9">
        <v>1.7200346325713192</v>
      </c>
      <c r="AD541" s="9">
        <v>0.92828596298435617</v>
      </c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</row>
    <row r="542" spans="28:52">
      <c r="AB542" s="9">
        <v>1.2487068836483595</v>
      </c>
      <c r="AC542" s="9">
        <v>1.2513942827150097</v>
      </c>
      <c r="AD542" s="9">
        <v>0.98251368903168479</v>
      </c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</row>
    <row r="543" spans="28:52">
      <c r="AB543" s="9">
        <v>1.1678442039868608</v>
      </c>
      <c r="AC543" s="9">
        <v>1.4455767762746459</v>
      </c>
      <c r="AD543" s="9">
        <v>0.99872857025960293</v>
      </c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</row>
    <row r="544" spans="28:52">
      <c r="AB544" s="9">
        <v>1.139217564201368</v>
      </c>
      <c r="AC544" s="9">
        <v>1.1808421400793321</v>
      </c>
      <c r="AD544" s="9">
        <v>0.94391220216511296</v>
      </c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</row>
    <row r="545" spans="28:52">
      <c r="AB545" s="9">
        <v>1.1944632339597119</v>
      </c>
      <c r="AC545" s="9">
        <v>1.190343112393607</v>
      </c>
      <c r="AD545" s="9">
        <v>0.94338193835436579</v>
      </c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</row>
    <row r="546" spans="28:52">
      <c r="AB546" s="9">
        <v>1.183749070291696</v>
      </c>
      <c r="AC546" s="9">
        <v>1.3745556946084445</v>
      </c>
      <c r="AD546" s="9">
        <v>0.96956022619175231</v>
      </c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</row>
    <row r="547" spans="28:52">
      <c r="AB547" s="9">
        <v>1.141942911385341</v>
      </c>
      <c r="AC547" s="9">
        <v>1.2793145307092308</v>
      </c>
      <c r="AD547" s="9">
        <v>0.96222742215747692</v>
      </c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</row>
    <row r="548" spans="28:52">
      <c r="AB548" s="9">
        <v>1.1413926112646964</v>
      </c>
      <c r="AC548" s="9">
        <v>0.91011141652153837</v>
      </c>
      <c r="AD548" s="9">
        <v>0.97691241296807918</v>
      </c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</row>
    <row r="549" spans="28:52">
      <c r="AB549" s="9">
        <v>1.115475102363007</v>
      </c>
      <c r="AC549" s="9">
        <v>0.82783365624627048</v>
      </c>
      <c r="AD549" s="9">
        <v>0.95308462590435106</v>
      </c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</row>
    <row r="550" spans="28:52">
      <c r="AB550" s="9">
        <v>1.1343434738161473</v>
      </c>
      <c r="AC550" s="9">
        <v>0.81834742881127809</v>
      </c>
      <c r="AD550" s="9">
        <v>0.94697480582174642</v>
      </c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</row>
    <row r="551" spans="28:52">
      <c r="AB551" s="9">
        <v>1.1316140947684326</v>
      </c>
      <c r="AC551" s="9">
        <v>0.95335034406242614</v>
      </c>
      <c r="AD551" s="9">
        <v>0.94648630049614946</v>
      </c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</row>
    <row r="552" spans="28:52">
      <c r="AB552" s="9">
        <v>1.1220340359439303</v>
      </c>
      <c r="AC552" s="9">
        <v>0.85948845250672368</v>
      </c>
      <c r="AD552" s="9">
        <v>0.96410966650729746</v>
      </c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</row>
    <row r="553" spans="28:52">
      <c r="AB553" s="9">
        <v>1.0923290609497798</v>
      </c>
      <c r="AC553" s="9">
        <v>0.7450374466702343</v>
      </c>
      <c r="AD553" s="9">
        <v>0.96104370883585644</v>
      </c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</row>
    <row r="554" spans="28:52">
      <c r="AB554" s="9">
        <v>1.0876403494232785</v>
      </c>
      <c r="AC554" s="9">
        <v>0.65871075146200642</v>
      </c>
      <c r="AD554" s="9">
        <v>0.9316082485524847</v>
      </c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</row>
    <row r="555" spans="28:52">
      <c r="AB555" s="9">
        <v>1.1129636717217426</v>
      </c>
      <c r="AC555" s="9">
        <v>1.060829488660517</v>
      </c>
      <c r="AD555" s="9">
        <v>0.93076787542718831</v>
      </c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</row>
    <row r="556" spans="28:52">
      <c r="AB556" s="9">
        <v>1.104378497786922</v>
      </c>
      <c r="AC556" s="9">
        <v>0.92944768779958065</v>
      </c>
      <c r="AD556" s="9">
        <v>0.9140984641348</v>
      </c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</row>
    <row r="557" spans="28:52">
      <c r="AB557" s="9">
        <v>1.1145752080906624</v>
      </c>
      <c r="AC557" s="9">
        <v>1.042574017053115</v>
      </c>
      <c r="AD557" s="9">
        <v>0.90317589215319616</v>
      </c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</row>
    <row r="558" spans="28:52">
      <c r="AB558" s="9">
        <v>1.1185290872865232</v>
      </c>
      <c r="AC558" s="9">
        <v>1.1660018021922456</v>
      </c>
      <c r="AD558" s="9">
        <v>0.88910063730087319</v>
      </c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</row>
    <row r="559" spans="28:52">
      <c r="AB559" s="9">
        <v>1.1256646710872866</v>
      </c>
      <c r="AC559" s="9">
        <v>1.1033702523647961</v>
      </c>
      <c r="AD559" s="9">
        <v>0.87226036139124308</v>
      </c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</row>
    <row r="560" spans="28:52">
      <c r="AB560" s="9">
        <v>1.1364242469515653</v>
      </c>
      <c r="AC560" s="9">
        <v>1.3818742245596667</v>
      </c>
      <c r="AD560" s="9">
        <v>0.88409840913123194</v>
      </c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</row>
    <row r="561" spans="28:52">
      <c r="AB561" s="9">
        <v>1.1108789799543797</v>
      </c>
      <c r="AC561" s="9">
        <v>1.1277916275578086</v>
      </c>
      <c r="AD561" s="9">
        <v>0.87626480546159669</v>
      </c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</row>
    <row r="562" spans="28:52">
      <c r="AB562" s="9">
        <v>1.1108335947403416</v>
      </c>
      <c r="AC562" s="9">
        <v>0.87540330918420006</v>
      </c>
      <c r="AD562" s="9">
        <v>0.91455730924349055</v>
      </c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</row>
    <row r="563" spans="28:52">
      <c r="AB563" s="9">
        <v>1.0563720381855226</v>
      </c>
      <c r="AC563" s="9">
        <v>0.65308622054678778</v>
      </c>
      <c r="AD563" s="9">
        <v>0.91774466542244693</v>
      </c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</row>
    <row r="564" spans="28:52">
      <c r="AB564" s="9">
        <v>1.0463670790144468</v>
      </c>
      <c r="AC564" s="9">
        <v>0.56372613353608281</v>
      </c>
      <c r="AD564" s="9">
        <v>0.93589624451824516</v>
      </c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</row>
    <row r="565" spans="28:52">
      <c r="AB565" s="9">
        <v>1.0207629994615368</v>
      </c>
      <c r="AC565" s="9">
        <v>0.65030240409024909</v>
      </c>
      <c r="AD565" s="9">
        <v>0.9284709312859728</v>
      </c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</row>
    <row r="566" spans="28:52">
      <c r="AB566" s="9">
        <v>1.02389920549587</v>
      </c>
      <c r="AC566" s="9">
        <v>0.52912735268300737</v>
      </c>
      <c r="AD566" s="9">
        <v>0.93727491544734631</v>
      </c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</row>
    <row r="567" spans="28:52">
      <c r="AB567" s="9">
        <v>1.0094143415452246</v>
      </c>
      <c r="AC567" s="9">
        <v>0.59717396557113389</v>
      </c>
      <c r="AD567" s="9">
        <v>0.94201960157005193</v>
      </c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</row>
    <row r="568" spans="28:52">
      <c r="AB568" s="9">
        <v>0.99990922455653619</v>
      </c>
      <c r="AC568" s="9">
        <v>0.46517763103124499</v>
      </c>
      <c r="AD568" s="9">
        <v>0.9469745448132656</v>
      </c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</row>
    <row r="569" spans="28:52">
      <c r="AB569" s="9">
        <v>0.99124180761796865</v>
      </c>
      <c r="AC569" s="9">
        <v>0.47171256095944181</v>
      </c>
      <c r="AD569" s="9">
        <v>0.95541530997172963</v>
      </c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</row>
    <row r="570" spans="28:52">
      <c r="AB570" s="9">
        <v>0.97997530710590708</v>
      </c>
      <c r="AC570" s="9">
        <v>0.470772346247394</v>
      </c>
      <c r="AD570" s="9">
        <v>0.95021280283713994</v>
      </c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</row>
    <row r="571" spans="28:52">
      <c r="AB571" s="9">
        <v>0.9837646493658706</v>
      </c>
      <c r="AC571" s="9">
        <v>0.49557015346155764</v>
      </c>
      <c r="AD571" s="9">
        <v>0.96700370853032502</v>
      </c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</row>
    <row r="572" spans="28:52">
      <c r="AB572" s="9">
        <v>0.96529643963580858</v>
      </c>
      <c r="AC572" s="9">
        <v>0.54316095771854167</v>
      </c>
      <c r="AD572" s="9">
        <v>0.96845769405885018</v>
      </c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</row>
    <row r="573" spans="28:52">
      <c r="AB573" s="9">
        <v>0.96349548813666708</v>
      </c>
      <c r="AC573" s="9">
        <v>0.60843294234351575</v>
      </c>
      <c r="AD573" s="9">
        <v>0.98246929039205588</v>
      </c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</row>
    <row r="574" spans="28:52">
      <c r="AB574" s="9">
        <v>0.94950165629931138</v>
      </c>
      <c r="AC574" s="9">
        <v>0.47343321792147991</v>
      </c>
      <c r="AD574" s="9">
        <v>1.0148496668291889</v>
      </c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</row>
    <row r="575" spans="28:52">
      <c r="AB575" s="9">
        <v>0.91900768677565403</v>
      </c>
      <c r="AC575" s="9">
        <v>0.64022363204228472</v>
      </c>
      <c r="AD575" s="9">
        <v>1.0089976964441609</v>
      </c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</row>
    <row r="576" spans="28:52">
      <c r="AB576" s="9">
        <v>0.92464362375698683</v>
      </c>
      <c r="AC576" s="9">
        <v>0.64329477981587713</v>
      </c>
      <c r="AD576" s="9">
        <v>1.0144823800919809</v>
      </c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</row>
    <row r="577" spans="28:52">
      <c r="AB577" s="9">
        <v>0.92015865308122124</v>
      </c>
      <c r="AC577" s="9">
        <v>0.58656580272990033</v>
      </c>
      <c r="AD577" s="9">
        <v>1.010568440416729</v>
      </c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</row>
    <row r="578" spans="28:52">
      <c r="AB578" s="9">
        <v>0.92502007667151265</v>
      </c>
      <c r="AC578" s="9">
        <v>0.47865157880538589</v>
      </c>
      <c r="AD578" s="9">
        <v>0.97383084752515026</v>
      </c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</row>
    <row r="579" spans="28:52">
      <c r="AB579" s="9">
        <v>0.96013160586698021</v>
      </c>
      <c r="AC579" s="9">
        <v>0.90417239730194399</v>
      </c>
      <c r="AD579" s="9">
        <v>0.97493305074883685</v>
      </c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</row>
    <row r="580" spans="28:52">
      <c r="AB580" s="9">
        <v>0.95875357741096745</v>
      </c>
      <c r="AC580" s="9">
        <v>0.77266563280523382</v>
      </c>
      <c r="AD580" s="9">
        <v>0.98005166805664012</v>
      </c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</row>
    <row r="581" spans="28:52">
      <c r="AB581" s="9">
        <v>0.95421538860387456</v>
      </c>
      <c r="AC581" s="9">
        <v>0.99712890299396773</v>
      </c>
      <c r="AD581" s="9">
        <v>1.0155649222604219</v>
      </c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</row>
    <row r="582" spans="28:52">
      <c r="AB582" s="9">
        <v>0.92209971901093479</v>
      </c>
      <c r="AC582" s="9">
        <v>0.69124257707931969</v>
      </c>
      <c r="AD582" s="9">
        <v>1.0156813720917044</v>
      </c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</row>
    <row r="583" spans="28:52">
      <c r="AB583" s="9">
        <v>0.92401417630020566</v>
      </c>
      <c r="AC583" s="9">
        <v>0.62547372493507425</v>
      </c>
      <c r="AD583" s="9">
        <v>1.0364885772163033</v>
      </c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</row>
    <row r="584" spans="28:52">
      <c r="AB584" s="9">
        <v>0.90837422913044708</v>
      </c>
      <c r="AC584" s="9">
        <v>0.53289613745796882</v>
      </c>
      <c r="AD584" s="9">
        <v>1.0464428623180924</v>
      </c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</row>
    <row r="585" spans="28:52">
      <c r="AB585" s="9">
        <v>0.90413799046783783</v>
      </c>
      <c r="AC585" s="9">
        <v>0.63810205302399681</v>
      </c>
      <c r="AD585" s="9">
        <v>1.0598194231097455</v>
      </c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</row>
    <row r="586" spans="28:52">
      <c r="AB586" s="9">
        <v>0.89838150262624683</v>
      </c>
      <c r="AC586" s="9">
        <v>0.52815848188237768</v>
      </c>
      <c r="AD586" s="9">
        <v>1.0507025480561016</v>
      </c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</row>
    <row r="587" spans="28:52">
      <c r="AB587" s="9">
        <v>0.91221824869529433</v>
      </c>
      <c r="AC587" s="9">
        <v>0.56387844281768384</v>
      </c>
      <c r="AD587" s="9">
        <v>1.0654565965902196</v>
      </c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</row>
    <row r="588" spans="28:52">
      <c r="AB588" s="9">
        <v>0.90488729107087784</v>
      </c>
      <c r="AC588" s="9">
        <v>0.49555308777577023</v>
      </c>
      <c r="AD588" s="9">
        <v>1.0571984904358005</v>
      </c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</row>
    <row r="589" spans="28:52">
      <c r="AB589" s="9">
        <v>0.91797166098643002</v>
      </c>
      <c r="AC589" s="9">
        <v>0.56196195995231291</v>
      </c>
      <c r="AD589" s="9">
        <v>1.0468615134906785</v>
      </c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</row>
    <row r="590" spans="28:52">
      <c r="AB590" s="9">
        <v>0.93232733159828296</v>
      </c>
      <c r="AC590" s="9">
        <v>0.59491062183382892</v>
      </c>
      <c r="AD590" s="9">
        <v>1.0733463764571616</v>
      </c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</row>
    <row r="591" spans="28:52">
      <c r="AB591" s="9">
        <v>0.91425897065949757</v>
      </c>
      <c r="AC591" s="9">
        <v>0.71136011293546564</v>
      </c>
      <c r="AD591" s="9">
        <v>1.0924924778088141</v>
      </c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</row>
    <row r="592" spans="28:52">
      <c r="AB592" s="9">
        <v>0.90355838810122091</v>
      </c>
      <c r="AC592" s="9">
        <v>0.55904040688815848</v>
      </c>
      <c r="AD592" s="9">
        <v>1.0897551491841178</v>
      </c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</row>
    <row r="593" spans="28:52">
      <c r="AB593" s="9">
        <v>0.91009497971155484</v>
      </c>
      <c r="AC593" s="9">
        <v>0.49333429359473213</v>
      </c>
      <c r="AD593" s="9">
        <v>1.0835613397594754</v>
      </c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</row>
    <row r="594" spans="28:52">
      <c r="AB594" s="9">
        <v>0.91880521795256809</v>
      </c>
      <c r="AC594" s="9">
        <v>0.65574353785894346</v>
      </c>
      <c r="AD594" s="9">
        <v>1.0715351501612183</v>
      </c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</row>
    <row r="595" spans="28:52">
      <c r="AB595" s="9">
        <v>0.93332735305801806</v>
      </c>
      <c r="AC595" s="9">
        <v>0.83149722572791507</v>
      </c>
      <c r="AD595" s="9">
        <v>1.0740399737938306</v>
      </c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</row>
    <row r="596" spans="28:52">
      <c r="AB596" s="9">
        <v>0.93496105907083482</v>
      </c>
      <c r="AC596" s="9">
        <v>0.74250104107243764</v>
      </c>
      <c r="AD596" s="9">
        <v>1.070521794850239</v>
      </c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</row>
    <row r="597" spans="28:52">
      <c r="AB597" s="9">
        <v>0.94123319770899705</v>
      </c>
      <c r="AC597" s="9">
        <v>0.62950059932538471</v>
      </c>
      <c r="AD597" s="9">
        <v>1.0765430843871489</v>
      </c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</row>
    <row r="598" spans="28:52">
      <c r="AB598" s="9">
        <v>0.9395105209052943</v>
      </c>
      <c r="AC598" s="9">
        <v>0.80396895219999231</v>
      </c>
      <c r="AD598" s="9">
        <v>1.0783857536712989</v>
      </c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</row>
    <row r="599" spans="28:52">
      <c r="AB599" s="9">
        <v>0.9410401851815442</v>
      </c>
      <c r="AC599" s="9">
        <v>0.60211987119913857</v>
      </c>
      <c r="AD599" s="9">
        <v>1.0828150434393595</v>
      </c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</row>
    <row r="600" spans="28:52">
      <c r="AB600" s="9">
        <v>0.94102593310866878</v>
      </c>
      <c r="AC600" s="9">
        <v>0.55568161345804568</v>
      </c>
      <c r="AD600" s="9">
        <v>1.0997690704523719</v>
      </c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</row>
    <row r="601" spans="28:52">
      <c r="AB601" s="9">
        <v>0.93086926422630145</v>
      </c>
      <c r="AC601" s="9">
        <v>0.66727899871308138</v>
      </c>
      <c r="AD601" s="9">
        <v>1.0898320358192986</v>
      </c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</row>
    <row r="602" spans="28:52">
      <c r="AB602" s="9">
        <v>0.94361934533502922</v>
      </c>
      <c r="AC602" s="9">
        <v>0.62890316095989129</v>
      </c>
      <c r="AD602" s="9">
        <v>1.0697010872572856</v>
      </c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</row>
    <row r="603" spans="28:52">
      <c r="AB603" s="9">
        <v>0.96496819651745069</v>
      </c>
      <c r="AC603" s="9">
        <v>0.77659114852059175</v>
      </c>
      <c r="AD603" s="9">
        <v>1.0597755141503065</v>
      </c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</row>
    <row r="604" spans="28:52">
      <c r="AB604" s="9">
        <v>0.97707013421707523</v>
      </c>
      <c r="AC604" s="9">
        <v>0.93201787077231324</v>
      </c>
      <c r="AD604" s="9">
        <v>1.0629506472255499</v>
      </c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</row>
    <row r="605" spans="28:52">
      <c r="AB605" s="9">
        <v>0.97787438830168183</v>
      </c>
      <c r="AC605" s="9">
        <v>1.0527646105702759</v>
      </c>
      <c r="AD605" s="9">
        <v>1.0548398743232754</v>
      </c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</row>
    <row r="606" spans="28:52">
      <c r="AB606" s="9">
        <v>0.9890243728342113</v>
      </c>
      <c r="AC606" s="9">
        <v>0.96434954873618683</v>
      </c>
      <c r="AD606" s="9">
        <v>1.049729456829517</v>
      </c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</row>
    <row r="607" spans="28:52">
      <c r="AB607" s="9">
        <v>0.99767044603317112</v>
      </c>
      <c r="AC607" s="9">
        <v>1.0156702863173184</v>
      </c>
      <c r="AD607" s="9">
        <v>1.066361980001749</v>
      </c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</row>
    <row r="608" spans="28:52">
      <c r="AB608" s="9">
        <v>0.98623779520665678</v>
      </c>
      <c r="AC608" s="9">
        <v>1.0162601626016261</v>
      </c>
      <c r="AD608" s="9">
        <v>1.0711496272377605</v>
      </c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</row>
    <row r="609" spans="28:52">
      <c r="AB609" s="9">
        <v>0.98665615548173213</v>
      </c>
      <c r="AC609" s="9">
        <v>1.0545593030843206</v>
      </c>
      <c r="AD609" s="9">
        <v>1.0772232511910567</v>
      </c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</row>
    <row r="610" spans="28:52">
      <c r="AB610" s="9">
        <v>0.9858852981102838</v>
      </c>
      <c r="AC610" s="9">
        <v>0.79272356217063344</v>
      </c>
      <c r="AD610" s="9">
        <v>1.0774607057134851</v>
      </c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</row>
    <row r="611" spans="28:52">
      <c r="AB611" s="9">
        <v>0.99032974414597463</v>
      </c>
      <c r="AC611" s="9">
        <v>0.69947954957879432</v>
      </c>
      <c r="AD611" s="9">
        <v>1.0544276493411284</v>
      </c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</row>
    <row r="612" spans="28:52">
      <c r="AB612" s="9">
        <v>1.0166506098558523</v>
      </c>
      <c r="AC612" s="9">
        <v>1.3123234015850116</v>
      </c>
      <c r="AD612" s="9">
        <v>1.057577898281538</v>
      </c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</row>
    <row r="613" spans="28:52">
      <c r="AB613" s="9">
        <v>1.0169495536903363</v>
      </c>
      <c r="AC613" s="9">
        <v>1.2274530188097312</v>
      </c>
      <c r="AD613" s="9">
        <v>1.04004903227167</v>
      </c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</row>
    <row r="614" spans="28:52">
      <c r="AB614" s="9">
        <v>1.037055497458689</v>
      </c>
      <c r="AC614" s="9">
        <v>1.1020703551570841</v>
      </c>
      <c r="AD614" s="9">
        <v>1.0443032903140552</v>
      </c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</row>
    <row r="615" spans="28:52">
      <c r="AB615" s="9">
        <v>1.0351398023715084</v>
      </c>
      <c r="AC615" s="9">
        <v>1.2717847932560118</v>
      </c>
      <c r="AD615" s="9">
        <v>1.0429638881861876</v>
      </c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</row>
    <row r="616" spans="28:52">
      <c r="AB616" s="9">
        <v>1.0389696862042583</v>
      </c>
      <c r="AC616" s="9">
        <v>1.5064033187878083</v>
      </c>
      <c r="AD616" s="9">
        <v>1.0352411490437115</v>
      </c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</row>
    <row r="617" spans="28:52">
      <c r="AB617" s="9">
        <v>1.0483386042378118</v>
      </c>
      <c r="AC617" s="9">
        <v>1.2650850743255853</v>
      </c>
      <c r="AD617" s="9">
        <v>1.019003842707678</v>
      </c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</row>
    <row r="618" spans="28:52">
      <c r="AB618" s="9">
        <v>1.0656966375828103</v>
      </c>
      <c r="AC618" s="9">
        <v>1.7251093694601043</v>
      </c>
      <c r="AD618" s="9">
        <v>1.0193646067637083</v>
      </c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</row>
    <row r="619" spans="28:52">
      <c r="AB619" s="9">
        <v>1.0655434838918172</v>
      </c>
      <c r="AC619" s="9">
        <v>1.6699020968305971</v>
      </c>
      <c r="AD619" s="9">
        <v>1.0054901622863703</v>
      </c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</row>
    <row r="620" spans="28:52">
      <c r="AB620" s="9">
        <v>1.0796415777121395</v>
      </c>
      <c r="AC620" s="9">
        <v>1.4886503220895755</v>
      </c>
      <c r="AD620" s="9">
        <v>1.0171427887803441</v>
      </c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</row>
    <row r="621" spans="28:52">
      <c r="AB621" s="9">
        <v>1.0670294260833437</v>
      </c>
      <c r="AC621" s="9">
        <v>1.7970023361269771</v>
      </c>
      <c r="AD621" s="9">
        <v>1.011818670129764</v>
      </c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</row>
    <row r="622" spans="28:52">
      <c r="AB622" s="9">
        <v>1.0720022420466475</v>
      </c>
      <c r="AC622" s="9">
        <v>1.2521853692525931</v>
      </c>
      <c r="AD622" s="9">
        <v>1.0109255994537911</v>
      </c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</row>
    <row r="623" spans="28:52">
      <c r="AB623" s="9">
        <v>1.0720269580406177</v>
      </c>
      <c r="AC623" s="9">
        <v>1.5930425449823638</v>
      </c>
      <c r="AD623" s="9">
        <v>1.0388894629541707</v>
      </c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</row>
    <row r="624" spans="28:52">
      <c r="AB624" s="9">
        <v>1.0425973535142274</v>
      </c>
      <c r="AC624" s="9">
        <v>1.2705636123174824</v>
      </c>
      <c r="AD624" s="9">
        <v>1.0381140704822627</v>
      </c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</row>
    <row r="625" spans="28:52">
      <c r="AB625" s="9">
        <v>1.0428666046932586</v>
      </c>
      <c r="AC625" s="9">
        <v>0.85833904275471518</v>
      </c>
      <c r="AD625" s="9">
        <v>1.0315757735206352</v>
      </c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</row>
    <row r="626" spans="28:52">
      <c r="AB626" s="9">
        <v>1.0489251616221802</v>
      </c>
      <c r="AC626" s="9">
        <v>0.90835090762934412</v>
      </c>
      <c r="AD626" s="9">
        <v>1.0282958097356194</v>
      </c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</row>
    <row r="627" spans="28:52">
      <c r="AB627" s="9">
        <v>1.0516606550964627</v>
      </c>
      <c r="AC627" s="9">
        <v>1.1338414673233379</v>
      </c>
      <c r="AD627" s="9">
        <v>1.0105426624280158</v>
      </c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</row>
    <row r="628" spans="28:52">
      <c r="AB628" s="9">
        <v>1.0693510796200389</v>
      </c>
      <c r="AC628" s="9">
        <v>1.7116077261671436</v>
      </c>
      <c r="AD628" s="9">
        <v>1.0094983242546187</v>
      </c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</row>
    <row r="629" spans="28:52">
      <c r="AB629" s="9">
        <v>1.0700769780039545</v>
      </c>
      <c r="AC629" s="9">
        <v>1.6011363808772434</v>
      </c>
      <c r="AD629" s="9">
        <v>1.0039755630099088</v>
      </c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</row>
    <row r="630" spans="28:52">
      <c r="AB630" s="9">
        <v>1.0755818050092774</v>
      </c>
      <c r="AC630" s="9">
        <v>1.3351582405565021</v>
      </c>
      <c r="AD630" s="9">
        <v>0.99967384017667149</v>
      </c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</row>
    <row r="631" spans="28:52">
      <c r="AB631" s="9">
        <v>1.0794204171031221</v>
      </c>
      <c r="AC631" s="9">
        <v>1.4669680880063485</v>
      </c>
      <c r="AD631" s="9">
        <v>0.99786222652081102</v>
      </c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</row>
    <row r="632" spans="28:52">
      <c r="AB632" s="9">
        <v>1.0800345046242221</v>
      </c>
      <c r="AC632" s="9">
        <v>1.2543929864540864</v>
      </c>
      <c r="AD632" s="9">
        <v>1.0084851710437452</v>
      </c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</row>
    <row r="633" spans="28:52">
      <c r="AB633" s="9">
        <v>1.0675211721727214</v>
      </c>
      <c r="AC633" s="9">
        <v>1.0757072776760708</v>
      </c>
      <c r="AD633" s="9">
        <v>0.99515180588499896</v>
      </c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</row>
    <row r="634" spans="28:52">
      <c r="AB634" s="9">
        <v>1.0806228867255478</v>
      </c>
      <c r="AC634" s="9">
        <v>1.1576458172873119</v>
      </c>
      <c r="AD634" s="9">
        <v>0.99950369563551933</v>
      </c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</row>
    <row r="635" spans="28:52">
      <c r="AB635" s="9">
        <v>1.0744106083781761</v>
      </c>
      <c r="AC635" s="9">
        <v>1.6100249962753896</v>
      </c>
      <c r="AD635" s="9">
        <v>0.99104694034097951</v>
      </c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</row>
    <row r="636" spans="28:52">
      <c r="AB636" s="9">
        <v>1.0816584262243274</v>
      </c>
      <c r="AC636" s="9">
        <v>1.0986351209122902</v>
      </c>
      <c r="AD636" s="9">
        <v>0.98695181565392098</v>
      </c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</row>
    <row r="637" spans="28:52">
      <c r="AB637" s="9">
        <v>1.0840908271518235</v>
      </c>
      <c r="AC637" s="9">
        <v>1.121879040992187</v>
      </c>
      <c r="AD637" s="9">
        <v>0.98431011418235814</v>
      </c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</row>
    <row r="638" spans="28:52">
      <c r="AB638" s="9">
        <v>1.0848955356157848</v>
      </c>
      <c r="AC638" s="9">
        <v>1.2823202269737539</v>
      </c>
      <c r="AD638" s="9">
        <v>1.0018922409709052</v>
      </c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</row>
    <row r="639" spans="28:52">
      <c r="AB639" s="9">
        <v>1.0647534969361983</v>
      </c>
      <c r="AC639" s="9">
        <v>1.1939368991060462</v>
      </c>
      <c r="AD639" s="9">
        <v>1.0090543768019056</v>
      </c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</row>
    <row r="640" spans="28:52">
      <c r="AB640" s="9">
        <v>1.0567942318083996</v>
      </c>
      <c r="AC640" s="9">
        <v>1.102986689391668</v>
      </c>
      <c r="AD640" s="9">
        <v>1.0172653210219007</v>
      </c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</row>
    <row r="641" spans="28:52">
      <c r="AB641" s="9">
        <v>1.047490982616641</v>
      </c>
      <c r="AC641" s="9">
        <v>1.019255652018471</v>
      </c>
      <c r="AD641" s="9">
        <v>1.026095983771858</v>
      </c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</row>
    <row r="642" spans="28:52">
      <c r="AB642" s="9">
        <v>1.0380489582106986</v>
      </c>
      <c r="AC642" s="9">
        <v>0.86937644149276139</v>
      </c>
      <c r="AD642" s="9">
        <v>1.0412512733271826</v>
      </c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</row>
    <row r="643" spans="28:52">
      <c r="AB643" s="9">
        <v>1.0227401560396181</v>
      </c>
      <c r="AC643" s="9">
        <v>0.56523236134886612</v>
      </c>
      <c r="AD643" s="9">
        <v>1.0461600844322823</v>
      </c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</row>
    <row r="644" spans="28:52">
      <c r="AB644" s="9">
        <v>1.0183867250802574</v>
      </c>
      <c r="AC644" s="9">
        <v>0.54196027562600912</v>
      </c>
      <c r="AD644" s="9">
        <v>1.0579830199406495</v>
      </c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</row>
    <row r="645" spans="28:52">
      <c r="AB645" s="9">
        <v>1.0083405806851269</v>
      </c>
      <c r="AC645" s="9">
        <v>0.57303057949214553</v>
      </c>
      <c r="AD645" s="9">
        <v>1.0601908511942484</v>
      </c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</row>
    <row r="646" spans="28:52">
      <c r="AB646" s="9">
        <v>1.0078207946301494</v>
      </c>
      <c r="AC646" s="9">
        <v>0.63659815261712571</v>
      </c>
      <c r="AD646" s="9">
        <v>1.0492376067090883</v>
      </c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</row>
    <row r="647" spans="28:52">
      <c r="AB647" s="9">
        <v>1.0195120725834008</v>
      </c>
      <c r="AC647" s="9">
        <v>0.62882546906439951</v>
      </c>
      <c r="AD647" s="9">
        <v>1.0601955303895279</v>
      </c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</row>
    <row r="648" spans="28:52">
      <c r="AB648" s="9">
        <v>1.0099002668767596</v>
      </c>
      <c r="AC648" s="9">
        <v>0.73070673962890553</v>
      </c>
      <c r="AD648" s="9">
        <v>1.0516825110274706</v>
      </c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</row>
    <row r="649" spans="28:52">
      <c r="AB649" s="9">
        <v>1.0192789309384147</v>
      </c>
      <c r="AC649" s="9">
        <v>0.59771590339625302</v>
      </c>
      <c r="AD649" s="9">
        <v>1.0434124526076334</v>
      </c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</row>
    <row r="650" spans="28:52">
      <c r="AB650" s="9">
        <v>1.0279875566822241</v>
      </c>
      <c r="AC650" s="9">
        <v>0.84288249454629105</v>
      </c>
      <c r="AD650" s="9">
        <v>1.0540878137539125</v>
      </c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</row>
    <row r="651" spans="28:52">
      <c r="AB651" s="9">
        <v>1.0182833536987932</v>
      </c>
      <c r="AC651" s="9">
        <v>0.93910691908241228</v>
      </c>
      <c r="AD651" s="9">
        <v>1.0450446787274907</v>
      </c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</row>
    <row r="652" spans="28:52">
      <c r="AB652" s="9">
        <v>1.0280439072155991</v>
      </c>
      <c r="AC652" s="9">
        <v>1.0854012966689024</v>
      </c>
      <c r="AD652" s="9">
        <v>1.0484509335831398</v>
      </c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</row>
    <row r="653" spans="28:52">
      <c r="AB653" s="9">
        <v>1.0253168021363481</v>
      </c>
      <c r="AC653" s="9">
        <v>0.98506655993815218</v>
      </c>
      <c r="AD653" s="9">
        <v>1.0395426723486769</v>
      </c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</row>
    <row r="654" spans="28:52">
      <c r="AB654" s="9">
        <v>1.034931135739372</v>
      </c>
      <c r="AC654" s="9">
        <v>1.2159641088713866</v>
      </c>
      <c r="AD654" s="9">
        <v>1.0398162047776824</v>
      </c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</row>
    <row r="655" spans="28:52">
      <c r="AB655" s="9">
        <v>1.0356124559314306</v>
      </c>
      <c r="AC655" s="9">
        <v>0.91553397200526543</v>
      </c>
      <c r="AD655" s="9">
        <v>1.0362932247315808</v>
      </c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</row>
    <row r="656" spans="28:52">
      <c r="AB656" s="9">
        <v>1.0401572498339875</v>
      </c>
      <c r="AC656" s="9">
        <v>1.2437057005383361</v>
      </c>
      <c r="AD656" s="9">
        <v>1.0404155292140662</v>
      </c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</row>
    <row r="657" spans="28:52">
      <c r="AB657" s="9">
        <v>1.0371013997900189</v>
      </c>
      <c r="AC657" s="9">
        <v>1.1103526757833277</v>
      </c>
      <c r="AD657" s="9">
        <v>1.0380333454673054</v>
      </c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</row>
    <row r="658" spans="28:52">
      <c r="AB658" s="9">
        <v>1.0398423272902269</v>
      </c>
      <c r="AC658" s="9">
        <v>1.3911026665706085</v>
      </c>
      <c r="AD658" s="9">
        <v>1.0673161595185767</v>
      </c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</row>
    <row r="659" spans="28:52">
      <c r="AB659" s="9">
        <v>1.0115982141173039</v>
      </c>
      <c r="AC659" s="9">
        <v>1.1957359176576439</v>
      </c>
      <c r="AD659" s="9">
        <v>1.06029589668138</v>
      </c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</row>
    <row r="660" spans="28:52">
      <c r="AB660" s="9">
        <v>1.0186200370170018</v>
      </c>
      <c r="AC660" s="9">
        <v>0.8676181561095625</v>
      </c>
      <c r="AD660" s="9">
        <v>1.0484188341678424</v>
      </c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</row>
    <row r="661" spans="28:52">
      <c r="AB661" s="9">
        <v>1.0298647430410801</v>
      </c>
      <c r="AC661" s="9">
        <v>0.94638286735992228</v>
      </c>
      <c r="AD661" s="9">
        <v>1.0455753294834842</v>
      </c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</row>
    <row r="662" spans="28:52">
      <c r="AB662" s="9">
        <v>1.0324186365195882</v>
      </c>
      <c r="AC662" s="9">
        <v>1.2260096159141367</v>
      </c>
      <c r="AD662" s="9">
        <v>1.0444051898100755</v>
      </c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</row>
    <row r="663" spans="28:52">
      <c r="AB663" s="9">
        <v>1.0332959322740394</v>
      </c>
      <c r="AC663" s="9">
        <v>0.92894804945363707</v>
      </c>
      <c r="AD663" s="9">
        <v>1.0402588118979321</v>
      </c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</row>
    <row r="664" spans="28:52">
      <c r="AB664" s="9">
        <v>1.0375279111346323</v>
      </c>
      <c r="AC664" s="9">
        <v>1.5330647599424454</v>
      </c>
      <c r="AD664" s="9">
        <v>1.0399704532983536</v>
      </c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</row>
    <row r="665" spans="28:52">
      <c r="AB665" s="9">
        <v>1.037537501573637</v>
      </c>
      <c r="AC665" s="9">
        <v>1.092561820918333</v>
      </c>
      <c r="AD665" s="9">
        <v>1.0628758895139616</v>
      </c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</row>
    <row r="666" spans="28:52">
      <c r="AB666" s="9">
        <v>1.0159164010400072</v>
      </c>
      <c r="AC666" s="9">
        <v>0.92134824279108118</v>
      </c>
      <c r="AD666" s="9">
        <v>1.0814357779582013</v>
      </c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</row>
    <row r="667" spans="28:52">
      <c r="AB667" s="9">
        <v>1.0001704787325265</v>
      </c>
      <c r="AC667" s="9">
        <v>0.74987902847996868</v>
      </c>
      <c r="AD667" s="9">
        <v>1.082853963250364</v>
      </c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</row>
    <row r="668" spans="28:52">
      <c r="AB668" s="9">
        <v>1.0012171348875996</v>
      </c>
      <c r="AC668" s="9">
        <v>0.65994079218264257</v>
      </c>
      <c r="AD668" s="9">
        <v>1.1016656390411403</v>
      </c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</row>
    <row r="669" spans="28:52">
      <c r="AB669" s="9">
        <v>0.98657314536989338</v>
      </c>
      <c r="AC669" s="9">
        <v>0.86396084231052694</v>
      </c>
      <c r="AD669" s="9">
        <v>1.092301056296531</v>
      </c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</row>
    <row r="670" spans="28:52">
      <c r="AB670" s="9">
        <v>0.99800970019954116</v>
      </c>
      <c r="AC670" s="9">
        <v>0.78409818940927756</v>
      </c>
      <c r="AD670" s="9">
        <v>1.1021235400238849</v>
      </c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</row>
    <row r="671" spans="28:52">
      <c r="AB671" s="9">
        <v>0.99174146565759114</v>
      </c>
      <c r="AC671" s="9">
        <v>0.7367938631501858</v>
      </c>
      <c r="AD671" s="9">
        <v>1.1122944630515006</v>
      </c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</row>
    <row r="672" spans="28:52">
      <c r="AB672" s="9">
        <v>0.98567948554854234</v>
      </c>
      <c r="AC672" s="9">
        <v>0.78730892103106209</v>
      </c>
      <c r="AD672" s="9">
        <v>1.1145511834077784</v>
      </c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</row>
    <row r="673" spans="28:52">
      <c r="AB673" s="9">
        <v>0.98700211548457051</v>
      </c>
      <c r="AC673" s="9">
        <v>0.71086871653235895</v>
      </c>
      <c r="AD673" s="9">
        <v>1.1074752871577491</v>
      </c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</row>
    <row r="674" spans="28:52">
      <c r="AB674" s="9">
        <v>0.99616303081109936</v>
      </c>
      <c r="AC674" s="9">
        <v>0.71255508511189825</v>
      </c>
      <c r="AD674" s="9">
        <v>1.1111080470619965</v>
      </c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</row>
    <row r="675" spans="28:52">
      <c r="AB675" s="9">
        <v>0.9954179832696759</v>
      </c>
      <c r="AC675" s="9">
        <v>0.6721723021520456</v>
      </c>
      <c r="AD675" s="9">
        <v>1.1011398572056532</v>
      </c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</row>
    <row r="676" spans="28:52">
      <c r="AB676" s="9">
        <v>1.0069351277084611</v>
      </c>
      <c r="AC676" s="9">
        <v>0.71056997558228852</v>
      </c>
      <c r="AD676" s="9">
        <v>1.0931180708118329</v>
      </c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</row>
    <row r="677" spans="28:52">
      <c r="AB677" s="9">
        <v>1.0163838742775075</v>
      </c>
      <c r="AC677" s="9">
        <v>1.1151902827392184</v>
      </c>
      <c r="AD677" s="9">
        <v>1.0967107725537724</v>
      </c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</row>
    <row r="678" spans="28:52">
      <c r="AB678" s="9">
        <v>1.015399476180139</v>
      </c>
      <c r="AC678" s="9">
        <v>1.1175534139178194</v>
      </c>
      <c r="AD678" s="9">
        <v>1.0906010943259234</v>
      </c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</row>
    <row r="679" spans="28:52">
      <c r="AB679" s="9">
        <v>1.0231293028724275</v>
      </c>
      <c r="AC679" s="9">
        <v>1.5101262133041493</v>
      </c>
      <c r="AD679" s="9">
        <v>1.0966155784582978</v>
      </c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</row>
    <row r="680" spans="28:52">
      <c r="AB680" s="9">
        <v>1.0193252961355259</v>
      </c>
      <c r="AC680" s="9">
        <v>1.3073232689390559</v>
      </c>
      <c r="AD680" s="9">
        <v>1.0819080427469279</v>
      </c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</row>
    <row r="681" spans="28:52">
      <c r="AB681" s="9">
        <v>1.0347276884372043</v>
      </c>
      <c r="AC681" s="9">
        <v>1.5690656773324063</v>
      </c>
      <c r="AD681" s="9">
        <v>1.0853253293712322</v>
      </c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</row>
    <row r="682" spans="28:52">
      <c r="AB682" s="9">
        <v>1.032987418177941</v>
      </c>
      <c r="AC682" s="9">
        <v>1.4713223233375554</v>
      </c>
      <c r="AD682" s="9">
        <v>1.0657209567559009</v>
      </c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</row>
    <row r="683" spans="28:52">
      <c r="AB683" s="9">
        <v>1.0529981491051383</v>
      </c>
      <c r="AC683" s="9">
        <v>1.1821701566887495</v>
      </c>
      <c r="AD683" s="9">
        <v>1.064760241085644</v>
      </c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</row>
    <row r="684" spans="28:52">
      <c r="AB684" s="9">
        <v>1.0549805045489387</v>
      </c>
      <c r="AC684" s="9">
        <v>1.7649637012844164</v>
      </c>
      <c r="AD684" s="9">
        <v>1.0690889062284852</v>
      </c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</row>
    <row r="685" spans="28:52">
      <c r="AB685" s="9">
        <v>1.0516926925332368</v>
      </c>
      <c r="AC685" s="9">
        <v>1.5423675302716966</v>
      </c>
      <c r="AD685" s="9">
        <v>1.0734580886050051</v>
      </c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</row>
    <row r="686" spans="28:52">
      <c r="AB686" s="9">
        <v>1.0485785169112332</v>
      </c>
      <c r="AC686" s="9">
        <v>1.4223716295357163</v>
      </c>
      <c r="AD686" s="9">
        <v>1.0582509246976202</v>
      </c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</row>
    <row r="687" spans="28:52">
      <c r="AB687" s="9">
        <v>1.0645739399809246</v>
      </c>
      <c r="AC687" s="9">
        <v>1.4627307808364669</v>
      </c>
      <c r="AD687" s="9">
        <v>1.0397394948465286</v>
      </c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</row>
    <row r="688" spans="28:52">
      <c r="AB688" s="9">
        <v>1.0839934753264253</v>
      </c>
      <c r="AC688" s="9">
        <v>2.1353716515252841</v>
      </c>
      <c r="AD688" s="9">
        <v>1.0422648048921379</v>
      </c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</row>
    <row r="689" spans="28:52">
      <c r="AB689" s="9">
        <v>1.0809890694121462</v>
      </c>
      <c r="AC689" s="9">
        <v>1.9073491316725568</v>
      </c>
      <c r="AD689" s="9">
        <v>1.0520554809014102</v>
      </c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</row>
    <row r="690" spans="28:52">
      <c r="AB690" s="9">
        <v>1.0706196553353149</v>
      </c>
      <c r="AC690" s="9">
        <v>1.674813070076985</v>
      </c>
      <c r="AD690" s="9">
        <v>1.0372625081715492</v>
      </c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</row>
    <row r="691" spans="28:52">
      <c r="AB691" s="9">
        <v>1.0854456290866752</v>
      </c>
      <c r="AC691" s="9">
        <v>1.4318437315106056</v>
      </c>
      <c r="AD691" s="9">
        <v>1.0515094664901641</v>
      </c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</row>
    <row r="692" spans="28:52">
      <c r="AB692" s="9">
        <v>1.0699762420015297</v>
      </c>
      <c r="AC692" s="9">
        <v>1.9279072404170767</v>
      </c>
      <c r="AD692" s="9">
        <v>1.0431455272313512</v>
      </c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</row>
    <row r="693" spans="28:52">
      <c r="AB693" s="9">
        <v>1.0772244586570137</v>
      </c>
      <c r="AC693" s="9">
        <v>1.1319373777970723</v>
      </c>
      <c r="AD693" s="9">
        <v>1.0237115729665072</v>
      </c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</row>
    <row r="694" spans="28:52">
      <c r="AB694" s="9">
        <v>1.0957412071601316</v>
      </c>
      <c r="AC694" s="9">
        <v>1.5880450984815313</v>
      </c>
      <c r="AD694" s="9">
        <v>1.0184390283058975</v>
      </c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</row>
    <row r="695" spans="28:52">
      <c r="AB695" s="9">
        <v>1.0987175297286713</v>
      </c>
      <c r="AC695" s="9">
        <v>1.547106997341708</v>
      </c>
      <c r="AD695" s="9">
        <v>1.0294076266937284</v>
      </c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</row>
    <row r="696" spans="28:52">
      <c r="AB696" s="9">
        <v>1.0848175923711429</v>
      </c>
      <c r="AC696" s="9">
        <v>1.2860103055822758</v>
      </c>
      <c r="AD696" s="9">
        <v>1.0334921779609856</v>
      </c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</row>
    <row r="697" spans="28:52">
      <c r="AB697" s="9">
        <v>1.078913874339954</v>
      </c>
      <c r="AC697" s="9">
        <v>1.3145635159508795</v>
      </c>
      <c r="AD697" s="9">
        <v>1.0184267342282278</v>
      </c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</row>
    <row r="698" spans="28:52">
      <c r="AB698" s="9">
        <v>1.0929911790847602</v>
      </c>
      <c r="AC698" s="9">
        <v>1.3818884443245742</v>
      </c>
      <c r="AD698" s="9">
        <v>1.0238917865194457</v>
      </c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</row>
    <row r="699" spans="28:52">
      <c r="AB699" s="9">
        <v>1.0852563976680598</v>
      </c>
      <c r="AC699" s="9">
        <v>1.5802860454672378</v>
      </c>
      <c r="AD699" s="9">
        <v>1.0072942322145573</v>
      </c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</row>
    <row r="700" spans="28:52">
      <c r="AB700" s="9">
        <v>1.101252167877552</v>
      </c>
      <c r="AC700" s="9">
        <v>1.5354938454883582</v>
      </c>
      <c r="AD700" s="9">
        <v>1.0023606160859124</v>
      </c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</row>
    <row r="701" spans="28:52">
      <c r="AB701" s="9">
        <v>1.1042665037726598</v>
      </c>
      <c r="AC701" s="9">
        <v>1.6388135945677251</v>
      </c>
      <c r="AD701" s="9">
        <v>1.0265108365211288</v>
      </c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</row>
    <row r="702" spans="28:52">
      <c r="AB702" s="9">
        <v>1.0765923232406818</v>
      </c>
      <c r="AC702" s="9">
        <v>1.6509631498782742</v>
      </c>
      <c r="AD702" s="9">
        <v>1.0171819128457327</v>
      </c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</row>
    <row r="703" spans="28:52">
      <c r="AB703" s="9">
        <v>1.0842697343361327</v>
      </c>
      <c r="AC703" s="9">
        <v>1.0780625916375952</v>
      </c>
      <c r="AD703" s="9">
        <v>0.99772991425321678</v>
      </c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</row>
    <row r="704" spans="28:52">
      <c r="AB704" s="9">
        <v>1.1018213147528486</v>
      </c>
      <c r="AC704" s="9">
        <v>1.5373324722587935</v>
      </c>
      <c r="AD704" s="9">
        <v>0.9938339730732878</v>
      </c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</row>
    <row r="705" spans="28:52">
      <c r="AB705" s="9">
        <v>1.1020206538364985</v>
      </c>
      <c r="AC705" s="9">
        <v>1.3057448635578279</v>
      </c>
      <c r="AD705" s="9">
        <v>0.99108685353733883</v>
      </c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</row>
    <row r="706" spans="28:52">
      <c r="AB706" s="9">
        <v>1.099719275796732</v>
      </c>
      <c r="AC706" s="9">
        <v>1.3305951656149437</v>
      </c>
      <c r="AD706" s="9">
        <v>1.0041817721822577</v>
      </c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</row>
    <row r="707" spans="28:52">
      <c r="AB707" s="9">
        <v>1.0801640065047327</v>
      </c>
      <c r="AC707" s="9">
        <v>1.2845125919068077</v>
      </c>
      <c r="AD707" s="9">
        <v>1.0250657350097578</v>
      </c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</row>
    <row r="708" spans="28:52">
      <c r="AB708" s="9">
        <v>1.0551245426375153</v>
      </c>
      <c r="AC708" s="9">
        <v>1.2366943737309486</v>
      </c>
      <c r="AD708" s="9">
        <v>1.0347469727555545</v>
      </c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</row>
    <row r="709" spans="28:52">
      <c r="AB709" s="9">
        <v>1.0427976316470375</v>
      </c>
      <c r="AC709" s="9">
        <v>0.89665806725158081</v>
      </c>
      <c r="AD709" s="9">
        <v>1.0446883641000564</v>
      </c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</row>
    <row r="710" spans="28:52">
      <c r="AB710" s="9">
        <v>1.0308459598513602</v>
      </c>
      <c r="AC710" s="9">
        <v>0.62544331116707297</v>
      </c>
      <c r="AD710" s="9">
        <v>1.0483377422416207</v>
      </c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</row>
    <row r="711" spans="28:52">
      <c r="AB711" s="9">
        <v>1.026136330918848</v>
      </c>
      <c r="AC711" s="9">
        <v>0.61179130787857772</v>
      </c>
      <c r="AD711" s="9">
        <v>1.0424861556220482</v>
      </c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</row>
    <row r="712" spans="28:52">
      <c r="AB712" s="9">
        <v>1.0308927422482859</v>
      </c>
      <c r="AC712" s="9">
        <v>0.71477005855326203</v>
      </c>
      <c r="AD712" s="9">
        <v>1.0332772385982338</v>
      </c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</row>
    <row r="713" spans="28:52">
      <c r="AB713" s="9">
        <v>1.0388735902229487</v>
      </c>
      <c r="AC713" s="9">
        <v>0.84381362632779611</v>
      </c>
      <c r="AD713" s="9">
        <v>1.0427200675355597</v>
      </c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</row>
    <row r="714" spans="28:52">
      <c r="AB714" s="9">
        <v>1.0281320440398232</v>
      </c>
      <c r="AC714" s="9">
        <v>1.287860533669628</v>
      </c>
      <c r="AD714" s="9">
        <v>1.0154654926267814</v>
      </c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</row>
    <row r="715" spans="28:52">
      <c r="AB715" s="9">
        <v>1.0542685005940404</v>
      </c>
      <c r="AC715" s="9">
        <v>1.3076827733496053</v>
      </c>
      <c r="AD715" s="9">
        <v>1.0097935596487726</v>
      </c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</row>
    <row r="716" spans="28:52">
      <c r="AB716" s="9">
        <v>1.0578868594026605</v>
      </c>
      <c r="AC716" s="9">
        <v>1.1942125208542504</v>
      </c>
      <c r="AD716" s="9">
        <v>1.0048541806802567</v>
      </c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</row>
    <row r="717" spans="28:52">
      <c r="AB717" s="9">
        <v>1.0600472939884749</v>
      </c>
      <c r="AC717" s="9">
        <v>1.4006861535129955</v>
      </c>
      <c r="AD717" s="9">
        <v>1.0105442183875417</v>
      </c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</row>
    <row r="718" spans="28:52">
      <c r="AB718" s="9">
        <v>1.0510443885785865</v>
      </c>
      <c r="AC718" s="9">
        <v>1.0039805091519602</v>
      </c>
      <c r="AD718" s="9">
        <v>1.0007993424791686</v>
      </c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</row>
    <row r="719" spans="28:52">
      <c r="AB719" s="9">
        <v>1.0576903928714045</v>
      </c>
      <c r="AC719" s="9">
        <v>1.1377808491990873</v>
      </c>
      <c r="AD719" s="9">
        <v>1.0006228920634412</v>
      </c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</row>
    <row r="720" spans="28:52">
      <c r="AB720" s="9">
        <v>1.054069635814707</v>
      </c>
      <c r="AC720" s="9">
        <v>1.0129191313964825</v>
      </c>
      <c r="AD720" s="9">
        <v>0.99652979901469252</v>
      </c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</row>
    <row r="721" spans="28:52">
      <c r="AB721" s="9">
        <v>1.0544493099364733</v>
      </c>
      <c r="AC721" s="9">
        <v>0.65407058125821116</v>
      </c>
      <c r="AD721" s="9">
        <v>0.98519907838873355</v>
      </c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</row>
    <row r="722" spans="28:52">
      <c r="AB722" s="9">
        <v>1.0619385011477209</v>
      </c>
      <c r="AC722" s="9">
        <v>0.89774882680551082</v>
      </c>
      <c r="AD722" s="9">
        <v>0.97082204155374874</v>
      </c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</row>
    <row r="723" spans="28:52">
      <c r="AB723" s="9">
        <v>1.0714831960774438</v>
      </c>
      <c r="AC723" s="9">
        <v>1.0978636427861199</v>
      </c>
      <c r="AD723" s="9">
        <v>0.97720074266361812</v>
      </c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</row>
    <row r="724" spans="28:52">
      <c r="AB724" s="9">
        <v>1.0589403169375289</v>
      </c>
      <c r="AC724" s="9">
        <v>1.0484765984011657</v>
      </c>
      <c r="AD724" s="9">
        <v>0.97139671038268505</v>
      </c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</row>
    <row r="725" spans="28:52">
      <c r="AB725" s="9">
        <v>1.0597042328440918</v>
      </c>
      <c r="AC725" s="9">
        <v>0.76787307477477418</v>
      </c>
      <c r="AD725" s="9">
        <v>0.97429435845228451</v>
      </c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</row>
    <row r="726" spans="28:52">
      <c r="AB726" s="9">
        <v>1.0514899355248801</v>
      </c>
      <c r="AC726" s="9">
        <v>1.0585245678623967</v>
      </c>
      <c r="AD726" s="9">
        <v>0.96750737094954375</v>
      </c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</row>
    <row r="727" spans="28:52">
      <c r="AB727" s="9">
        <v>1.0539929663943268</v>
      </c>
      <c r="AC727" s="9">
        <v>0.72824034086842648</v>
      </c>
      <c r="AD727" s="9">
        <v>0.97378514655637471</v>
      </c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</row>
    <row r="728" spans="28:52">
      <c r="AB728" s="9">
        <v>1.0422879910130447</v>
      </c>
      <c r="AC728" s="9">
        <v>0.68522777681395142</v>
      </c>
      <c r="AD728" s="9">
        <v>0.984073419240583</v>
      </c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</row>
    <row r="729" spans="28:52">
      <c r="AB729" s="9">
        <v>1.0272394571784682</v>
      </c>
      <c r="AC729" s="9">
        <v>0.67625545256299568</v>
      </c>
      <c r="AD729" s="9">
        <v>0.9880193310270009</v>
      </c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</row>
    <row r="730" spans="28:52">
      <c r="AB730" s="9">
        <v>1.0196333232889692</v>
      </c>
      <c r="AC730" s="9">
        <v>0.61066627135934193</v>
      </c>
      <c r="AD730" s="9">
        <v>0.97752161057319309</v>
      </c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</row>
    <row r="731" spans="28:52">
      <c r="AB731" s="9">
        <v>1.0272454904195127</v>
      </c>
      <c r="AC731" s="9">
        <v>0.83558874955428719</v>
      </c>
      <c r="AD731" s="9">
        <v>0.97172228652912995</v>
      </c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</row>
    <row r="732" spans="28:52">
      <c r="AB732" s="9">
        <v>1.0298285805946712</v>
      </c>
      <c r="AC732" s="9">
        <v>0.64884002500115578</v>
      </c>
      <c r="AD732" s="9">
        <v>0.9620376402564691</v>
      </c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</row>
    <row r="733" spans="28:52">
      <c r="AB733" s="9">
        <v>1.0364642825970771</v>
      </c>
      <c r="AC733" s="9">
        <v>0.64143143221782972</v>
      </c>
      <c r="AD733" s="9">
        <v>0.95857342045938332</v>
      </c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</row>
    <row r="734" spans="28:52">
      <c r="AB734" s="9">
        <v>1.036281196863315</v>
      </c>
      <c r="AC734" s="9">
        <v>0.63862687625540027</v>
      </c>
      <c r="AD734" s="9">
        <v>0.96114816260685376</v>
      </c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</row>
    <row r="735" spans="28:52">
      <c r="AB735" s="9">
        <v>1.0295143665946946</v>
      </c>
      <c r="AC735" s="9">
        <v>0.63123168689252263</v>
      </c>
      <c r="AD735" s="9">
        <v>0.96094455515584432</v>
      </c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</row>
    <row r="736" spans="28:52">
      <c r="AB736" s="9">
        <v>1.025701785945929</v>
      </c>
      <c r="AC736" s="9">
        <v>0.62990854011192177</v>
      </c>
      <c r="AD736" s="9">
        <v>0.94962725510236068</v>
      </c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</row>
    <row r="737" spans="28:52">
      <c r="AB737" s="9">
        <v>1.0341646263109117</v>
      </c>
      <c r="AC737" s="9">
        <v>0.77637257161775286</v>
      </c>
      <c r="AD737" s="9">
        <v>0.95276408911626254</v>
      </c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</row>
    <row r="738" spans="28:52">
      <c r="AB738" s="9">
        <v>1.0276002860592737</v>
      </c>
      <c r="AC738" s="9">
        <v>1.1819780043726327</v>
      </c>
      <c r="AD738" s="9">
        <v>0.95228404858763527</v>
      </c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</row>
    <row r="739" spans="28:52">
      <c r="AB739" s="9">
        <v>1.0249404124555659</v>
      </c>
      <c r="AC739" s="9">
        <v>0.76022528648097754</v>
      </c>
      <c r="AD739" s="9">
        <v>0.94142180175476442</v>
      </c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</row>
    <row r="740" spans="28:52">
      <c r="AB740" s="9">
        <v>1.0330419105254358</v>
      </c>
      <c r="AC740" s="9">
        <v>0.84853545266168573</v>
      </c>
      <c r="AD740" s="9">
        <v>0.94605162698730194</v>
      </c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</row>
    <row r="741" spans="28:52">
      <c r="AB741" s="9">
        <v>1.0246227169067081</v>
      </c>
      <c r="AC741" s="9">
        <v>0.73748099426575742</v>
      </c>
      <c r="AD741" s="9">
        <v>0.95918117586953655</v>
      </c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</row>
    <row r="742" spans="28:52">
      <c r="AB742" s="9">
        <v>1.0074246589683848</v>
      </c>
      <c r="AC742" s="9">
        <v>0.63212456748696377</v>
      </c>
      <c r="AD742" s="9">
        <v>0.95223887057954382</v>
      </c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</row>
    <row r="743" spans="28:52">
      <c r="AB743" s="9">
        <v>1.0122246381881297</v>
      </c>
      <c r="AC743" s="9">
        <v>0.5791397053525682</v>
      </c>
      <c r="AD743" s="9">
        <v>0.95195757885703891</v>
      </c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</row>
    <row r="744" spans="28:52">
      <c r="AB744" s="9">
        <v>1.0103275258691704</v>
      </c>
      <c r="AC744" s="9">
        <v>0.54957484955363178</v>
      </c>
      <c r="AD744" s="9">
        <v>0.93637030015258138</v>
      </c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</row>
    <row r="745" spans="28:52">
      <c r="AB745" s="9">
        <v>1.0245763517891804</v>
      </c>
      <c r="AC745" s="9">
        <v>0.58435126865449938</v>
      </c>
      <c r="AD745" s="9">
        <v>0.93411102417094638</v>
      </c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</row>
    <row r="746" spans="28:52">
      <c r="AB746" s="9">
        <v>1.0239651041619473</v>
      </c>
      <c r="AC746" s="9">
        <v>0.89634012232651705</v>
      </c>
      <c r="AD746" s="9">
        <v>0.92276189845841428</v>
      </c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</row>
    <row r="747" spans="28:52">
      <c r="AB747" s="9">
        <v>1.0330765533100368</v>
      </c>
      <c r="AC747" s="9">
        <v>0.84029389914082198</v>
      </c>
      <c r="AD747" s="9">
        <v>0.92220994397225819</v>
      </c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</row>
    <row r="748" spans="28:52">
      <c r="AB748" s="9">
        <v>1.0305970231683148</v>
      </c>
      <c r="AC748" s="9">
        <v>0.78806129904504563</v>
      </c>
      <c r="AD748" s="9">
        <v>0.91481073899247656</v>
      </c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</row>
    <row r="749" spans="28:52">
      <c r="AB749" s="9">
        <v>1.0357407433697665</v>
      </c>
      <c r="AC749" s="9">
        <v>0.66203662126927398</v>
      </c>
      <c r="AD749" s="9">
        <v>0.90754639290064343</v>
      </c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</row>
    <row r="750" spans="28:52">
      <c r="AB750" s="9">
        <v>1.0417573015458685</v>
      </c>
      <c r="AC750" s="9">
        <v>0.81295465490583707</v>
      </c>
      <c r="AD750" s="9">
        <v>0.90670937837747456</v>
      </c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</row>
    <row r="751" spans="28:52">
      <c r="AB751" s="9">
        <v>1.040295648942497</v>
      </c>
      <c r="AC751" s="9">
        <v>0.7430971038690064</v>
      </c>
      <c r="AD751" s="9">
        <v>0.93627643964582441</v>
      </c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</row>
    <row r="752" spans="28:52">
      <c r="AB752" s="9">
        <v>1.0055547255478599</v>
      </c>
      <c r="AC752" s="9">
        <v>1.0932687342346505</v>
      </c>
      <c r="AD752" s="9">
        <v>0.9767562359844405</v>
      </c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</row>
    <row r="753" spans="28:52">
      <c r="AB753" s="9">
        <v>0.96376002049278509</v>
      </c>
      <c r="AC753" s="9">
        <v>0.91979950137447031</v>
      </c>
      <c r="AD753" s="9">
        <v>0.98195046795038277</v>
      </c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</row>
    <row r="754" spans="28:52">
      <c r="AB754" s="9">
        <v>0.95981663453872101</v>
      </c>
      <c r="AC754" s="9">
        <v>0.94107013824720664</v>
      </c>
      <c r="AD754" s="9">
        <v>1.046412346648472</v>
      </c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</row>
    <row r="755" spans="28:52">
      <c r="AB755" s="9">
        <v>0.90287256634416713</v>
      </c>
      <c r="AC755" s="9">
        <v>0.79670977283686961</v>
      </c>
      <c r="AD755" s="9">
        <v>1.0634082266752218</v>
      </c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</row>
    <row r="756" spans="28:52">
      <c r="AB756" s="9">
        <v>0.89195606853750875</v>
      </c>
      <c r="AC756" s="9">
        <v>1.0642171515799581</v>
      </c>
      <c r="AD756" s="9">
        <v>1.0044250574988685</v>
      </c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</row>
    <row r="757" spans="28:52">
      <c r="AB757" s="9">
        <v>0.94693977941270369</v>
      </c>
      <c r="AC757" s="9">
        <v>1.1949855330939001</v>
      </c>
      <c r="AD757" s="9">
        <v>0.98518900940029175</v>
      </c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</row>
    <row r="758" spans="28:52">
      <c r="AB758" s="9">
        <v>0.96616467650304183</v>
      </c>
      <c r="AC758" s="9">
        <v>1.163966169060431</v>
      </c>
      <c r="AD758" s="9">
        <v>0.99458132669079458</v>
      </c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</row>
    <row r="759" spans="28:52">
      <c r="AB759" s="9">
        <v>0.95778616715843867</v>
      </c>
      <c r="AC759" s="9">
        <v>1.1373913033969332</v>
      </c>
      <c r="AD759" s="9">
        <v>0.97634304439127417</v>
      </c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</row>
    <row r="760" spans="28:52">
      <c r="AB760" s="9">
        <v>0.9760328743188974</v>
      </c>
      <c r="AC760" s="9">
        <v>1.0054177911271274</v>
      </c>
      <c r="AD760" s="9">
        <v>0.97187337232571192</v>
      </c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</row>
    <row r="761" spans="28:52">
      <c r="AB761" s="9">
        <v>0.98071068746970769</v>
      </c>
      <c r="AC761" s="9">
        <v>1.0658368329974577</v>
      </c>
      <c r="AD761" s="9">
        <v>0.96933691361003527</v>
      </c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</row>
    <row r="762" spans="28:52">
      <c r="AB762" s="9">
        <v>0.98375909843884768</v>
      </c>
      <c r="AC762" s="9">
        <v>0.97613480709179545</v>
      </c>
      <c r="AD762" s="9">
        <v>0.98240836094825412</v>
      </c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</row>
    <row r="763" spans="28:52">
      <c r="AB763" s="9">
        <v>0.97110730433566017</v>
      </c>
      <c r="AC763" s="9">
        <v>1.1957508647226567</v>
      </c>
      <c r="AD763" s="9">
        <v>0.97001193545095166</v>
      </c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</row>
    <row r="764" spans="28:52">
      <c r="AB764" s="9">
        <v>0.98404089730187849</v>
      </c>
      <c r="AC764" s="9">
        <v>0.92156514289634317</v>
      </c>
      <c r="AD764" s="9">
        <v>0.95948931105971258</v>
      </c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</row>
    <row r="765" spans="28:52">
      <c r="AB765" s="9">
        <v>0.99523995177645386</v>
      </c>
      <c r="AC765" s="9">
        <v>1.4666227921230064</v>
      </c>
      <c r="AD765" s="9">
        <v>0.96929522549239699</v>
      </c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</row>
    <row r="766" spans="28:52">
      <c r="AB766" s="9">
        <v>0.98532613556415583</v>
      </c>
      <c r="AC766" s="9">
        <v>0.93589537770657261</v>
      </c>
      <c r="AD766" s="9">
        <v>0.97406441929345544</v>
      </c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</row>
    <row r="767" spans="28:52">
      <c r="AB767" s="9">
        <v>0.98144337952400718</v>
      </c>
      <c r="AC767" s="9">
        <v>0.87065802959722194</v>
      </c>
      <c r="AD767" s="9">
        <v>0.98301830577022886</v>
      </c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</row>
    <row r="768" spans="28:52">
      <c r="AB768" s="9">
        <v>0.97353449049607388</v>
      </c>
      <c r="AC768" s="9">
        <v>0.61108860539473719</v>
      </c>
      <c r="AD768" s="9">
        <v>0.99736189853782509</v>
      </c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</row>
    <row r="769" spans="28:52">
      <c r="AB769" s="9">
        <v>0.96104622226385383</v>
      </c>
      <c r="AC769" s="9">
        <v>0.63198593023504213</v>
      </c>
      <c r="AD769" s="9">
        <v>0.99715987027969799</v>
      </c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</row>
    <row r="770" spans="28:52">
      <c r="AB770" s="9">
        <v>0.96321524526582269</v>
      </c>
      <c r="AC770" s="9">
        <v>0.60191763414775024</v>
      </c>
      <c r="AD770" s="9">
        <v>1.0107061550884322</v>
      </c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</row>
    <row r="771" spans="28:52">
      <c r="AB771" s="9">
        <v>0.95275145637411829</v>
      </c>
      <c r="AC771" s="9">
        <v>0.57966911722007375</v>
      </c>
      <c r="AD771" s="9">
        <v>1.0656480267560684</v>
      </c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</row>
    <row r="772" spans="28:52">
      <c r="AB772" s="9">
        <v>0.90726064843018939</v>
      </c>
      <c r="AC772" s="9">
        <v>0.7728173665166238</v>
      </c>
      <c r="AD772" s="9">
        <v>1.0445637634683238</v>
      </c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</row>
    <row r="773" spans="28:52">
      <c r="AB773" s="9">
        <v>0.92985407648006013</v>
      </c>
      <c r="AC773" s="9">
        <v>0.85649849000534395</v>
      </c>
      <c r="AD773" s="9">
        <v>1.0524168409635457</v>
      </c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</row>
    <row r="774" spans="28:52">
      <c r="AB774" s="9">
        <v>0.92635276023829072</v>
      </c>
      <c r="AC774" s="9">
        <v>0.67028596097953963</v>
      </c>
      <c r="AD774" s="9">
        <v>1.0439493115992657</v>
      </c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</row>
    <row r="775" spans="28:52">
      <c r="AB775" s="9">
        <v>0.937340274839493</v>
      </c>
      <c r="AC775" s="9">
        <v>0.56328439488982995</v>
      </c>
      <c r="AD775" s="9">
        <v>1.0450106634903742</v>
      </c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</row>
    <row r="776" spans="28:52">
      <c r="AB776" s="9">
        <v>0.93946098831046521</v>
      </c>
      <c r="AC776" s="9">
        <v>0.55203985458462368</v>
      </c>
      <c r="AD776" s="9">
        <v>1.054857547919152</v>
      </c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</row>
    <row r="777" spans="28:52">
      <c r="AB777" s="9">
        <v>0.93366783749030891</v>
      </c>
      <c r="AC777" s="9">
        <v>0.40613763813553033</v>
      </c>
      <c r="AD777" s="9">
        <v>1.0516154500488326</v>
      </c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</row>
    <row r="778" spans="28:52">
      <c r="AB778" s="9">
        <v>0.939504922551744</v>
      </c>
      <c r="AC778" s="9">
        <v>0.47090276762269279</v>
      </c>
      <c r="AD778" s="9">
        <v>1.0358296989607734</v>
      </c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</row>
    <row r="779" spans="28:52">
      <c r="AB779" s="9">
        <v>0.95574714915742098</v>
      </c>
      <c r="AC779" s="9">
        <v>0.65838340684278196</v>
      </c>
      <c r="AD779" s="9">
        <v>1.0370940682857799</v>
      </c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</row>
    <row r="780" spans="28:52">
      <c r="AB780" s="9">
        <v>0.95605339128308386</v>
      </c>
      <c r="AC780" s="9">
        <v>0.61074685099509918</v>
      </c>
      <c r="AD780" s="9">
        <v>1.0312203903323933</v>
      </c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</row>
    <row r="781" spans="28:52">
      <c r="AB781" s="9">
        <v>0.96287117374606257</v>
      </c>
      <c r="AC781" s="9">
        <v>0.67827871924759486</v>
      </c>
      <c r="AD781" s="9">
        <v>1.0458108604829766</v>
      </c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</row>
    <row r="782" spans="28:52">
      <c r="AB782" s="9">
        <v>0.95110355933354696</v>
      </c>
      <c r="AC782" s="9">
        <v>0.44264801969872664</v>
      </c>
      <c r="AD782" s="9">
        <v>1.0480744617506033</v>
      </c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</row>
    <row r="783" spans="28:52">
      <c r="AB783" s="9">
        <v>0.95111040925646917</v>
      </c>
      <c r="AC783" s="9">
        <v>0.41454508854804412</v>
      </c>
      <c r="AD783" s="9">
        <v>1.0546191927244999</v>
      </c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</row>
    <row r="784" spans="28:52">
      <c r="AB784" s="9">
        <v>0.94773599123136854</v>
      </c>
      <c r="AC784" s="9">
        <v>0.36677229582823295</v>
      </c>
      <c r="AD784" s="9">
        <v>1.0636056577769029</v>
      </c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</row>
    <row r="785" spans="28:52">
      <c r="AB785" s="9">
        <v>0.94231839220002844</v>
      </c>
      <c r="AC785" s="9">
        <v>0.33372840761823536</v>
      </c>
      <c r="AD785" s="9">
        <v>1.0549912372002501</v>
      </c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</row>
    <row r="786" spans="28:52">
      <c r="AB786" s="9">
        <v>0.95194455583365523</v>
      </c>
      <c r="AC786" s="9">
        <v>0.35445297446346713</v>
      </c>
      <c r="AD786" s="9">
        <v>1.0390544957269197</v>
      </c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</row>
    <row r="787" spans="28:52">
      <c r="AB787" s="9">
        <v>0.96845060816009798</v>
      </c>
      <c r="AC787" s="9">
        <v>0.53149423964588827</v>
      </c>
      <c r="AD787" s="9">
        <v>1.045881910246041</v>
      </c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</row>
    <row r="788" spans="28:52">
      <c r="AB788" s="9">
        <v>0.963378117856308</v>
      </c>
      <c r="AC788" s="9">
        <v>0.57195219071844683</v>
      </c>
      <c r="AD788" s="9">
        <v>1.054918009793121</v>
      </c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</row>
    <row r="789" spans="28:52">
      <c r="AB789" s="9">
        <v>0.95628021649082007</v>
      </c>
      <c r="AC789" s="9">
        <v>0.56346797586565833</v>
      </c>
      <c r="AD789" s="9">
        <v>1.050435157922492</v>
      </c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</row>
    <row r="790" spans="28:52">
      <c r="AB790" s="9">
        <v>0.96219299808228276</v>
      </c>
      <c r="AC790" s="9">
        <v>0.72807153097612765</v>
      </c>
      <c r="AD790" s="9">
        <v>1.0554468282434437</v>
      </c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</row>
    <row r="791" spans="28:52">
      <c r="AB791" s="9">
        <v>0.9593527458102139</v>
      </c>
      <c r="AC791" s="9">
        <v>0.87487605550480985</v>
      </c>
      <c r="AD791" s="9">
        <v>1.0419664830219466</v>
      </c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</row>
    <row r="792" spans="28:52">
      <c r="AB792" s="9">
        <v>0.97310889275530255</v>
      </c>
      <c r="AC792" s="9">
        <v>0.78390609722184867</v>
      </c>
      <c r="AD792" s="9">
        <v>1.0390674027315145</v>
      </c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</row>
    <row r="793" spans="28:52">
      <c r="AB793" s="9">
        <v>0.97726381429132958</v>
      </c>
      <c r="AC793" s="9">
        <v>0.71242925256019596</v>
      </c>
      <c r="AD793" s="9">
        <v>1.0483809717740669</v>
      </c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</row>
    <row r="794" spans="28:52">
      <c r="AB794" s="9">
        <v>0.97043297070414825</v>
      </c>
      <c r="AC794" s="9">
        <v>0.64428893494932837</v>
      </c>
      <c r="AD794" s="9">
        <v>1.0481871918097709</v>
      </c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</row>
    <row r="795" spans="28:52">
      <c r="AB795" s="9">
        <v>0.97291183537249204</v>
      </c>
      <c r="AC795" s="9">
        <v>0.53040036145352065</v>
      </c>
      <c r="AD795" s="9">
        <v>1.0526910360606687</v>
      </c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</row>
    <row r="796" spans="28:52">
      <c r="AB796" s="9">
        <v>0.97116706423087751</v>
      </c>
      <c r="AC796" s="9">
        <v>0.51901782048886114</v>
      </c>
      <c r="AD796" s="9">
        <v>1.0401614202248584</v>
      </c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</row>
    <row r="797" spans="28:52">
      <c r="AB797" s="9">
        <v>0.98540248562331267</v>
      </c>
      <c r="AC797" s="9">
        <v>0.8349180228547084</v>
      </c>
      <c r="AD797" s="9">
        <v>1.0347935590803448</v>
      </c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</row>
    <row r="798" spans="28:52">
      <c r="AB798" s="9">
        <v>0.99272830826859637</v>
      </c>
      <c r="AC798" s="9">
        <v>1.0737525455551891</v>
      </c>
      <c r="AD798" s="9">
        <v>0.99339633374912206</v>
      </c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</row>
    <row r="799" spans="28:52">
      <c r="AB799" s="9">
        <v>1.0353754955989236</v>
      </c>
      <c r="AC799" s="9">
        <v>1.9959929366758606</v>
      </c>
      <c r="AD799" s="9">
        <v>0.99869754242883568</v>
      </c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</row>
    <row r="800" spans="28:52">
      <c r="AB800" s="9">
        <v>1.030624594937148</v>
      </c>
      <c r="AC800" s="9">
        <v>1.6708844257767788</v>
      </c>
      <c r="AD800" s="9">
        <v>0.98825362070797085</v>
      </c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</row>
    <row r="801" spans="28:52">
      <c r="AB801" s="9">
        <v>1.0423902839348054</v>
      </c>
      <c r="AC801" s="9">
        <v>1.6251939086478169</v>
      </c>
      <c r="AD801" s="9">
        <v>0.98820201966531773</v>
      </c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</row>
    <row r="802" spans="28:52">
      <c r="AB802" s="9">
        <v>1.0425791928744583</v>
      </c>
      <c r="AC802" s="9">
        <v>1.5478720273356081</v>
      </c>
      <c r="AD802" s="9">
        <v>0.98962763621523553</v>
      </c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</row>
    <row r="803" spans="28:52">
      <c r="AB803" s="9">
        <v>1.0403245377046413</v>
      </c>
      <c r="AC803" s="9">
        <v>1.1439133117039271</v>
      </c>
      <c r="AD803" s="9">
        <v>0.99525433208727088</v>
      </c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</row>
    <row r="804" spans="28:52">
      <c r="AB804" s="9">
        <v>1.0337697195990121</v>
      </c>
      <c r="AC804" s="9">
        <v>1.5104912998010767</v>
      </c>
      <c r="AD804" s="9">
        <v>0.99494472212305141</v>
      </c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</row>
    <row r="805" spans="28:52">
      <c r="AB805" s="9">
        <v>1.032140464699657</v>
      </c>
      <c r="AC805" s="9">
        <v>1.1358946481291876</v>
      </c>
      <c r="AD805" s="9">
        <v>0.99836642244873885</v>
      </c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</row>
    <row r="806" spans="28:52">
      <c r="AB806" s="9">
        <v>1.0265223631172984</v>
      </c>
      <c r="AC806" s="9">
        <v>1.0143605544647971</v>
      </c>
      <c r="AD806" s="9">
        <v>1.0004273036112483</v>
      </c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</row>
    <row r="807" spans="28:52">
      <c r="AB807" s="9">
        <v>1.0235367027955102</v>
      </c>
      <c r="AC807" s="9">
        <v>0.94616816678443905</v>
      </c>
      <c r="AD807" s="9">
        <v>0.97934176836730369</v>
      </c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</row>
    <row r="808" spans="28:52">
      <c r="AB808" s="9">
        <v>1.0445408022502254</v>
      </c>
      <c r="AC808" s="9">
        <v>1.6120316759041184</v>
      </c>
      <c r="AD808" s="9">
        <v>0.98027668860347716</v>
      </c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</row>
    <row r="809" spans="28:52">
      <c r="AB809" s="9">
        <v>1.0420562081538172</v>
      </c>
      <c r="AC809" s="9">
        <v>2.1618280410726491</v>
      </c>
      <c r="AD809" s="9">
        <v>0.96192950313737413</v>
      </c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</row>
    <row r="810" spans="28:52">
      <c r="AB810" s="9">
        <v>1.0604452233411217</v>
      </c>
      <c r="AC810" s="9">
        <v>1.5521506054899226</v>
      </c>
      <c r="AD810" s="9">
        <v>0.94428971128088102</v>
      </c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</row>
    <row r="811" spans="28:52">
      <c r="AB811" s="9">
        <v>1.0774107556236081</v>
      </c>
      <c r="AC811" s="9">
        <v>2.2251264647788171</v>
      </c>
      <c r="AD811" s="9">
        <v>0.96044171499202924</v>
      </c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</row>
    <row r="812" spans="28:52">
      <c r="AB812" s="9">
        <v>1.0570074732062107</v>
      </c>
      <c r="AC812" s="9">
        <v>1.9383036358297447</v>
      </c>
      <c r="AD812" s="9">
        <v>0.94707711180212817</v>
      </c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</row>
    <row r="813" spans="28:52">
      <c r="AB813" s="9">
        <v>1.0689155823514789</v>
      </c>
      <c r="AC813" s="9">
        <v>1.8924390734997201</v>
      </c>
      <c r="AD813" s="9">
        <v>0.95157609881590899</v>
      </c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</row>
    <row r="814" spans="28:52">
      <c r="AB814" s="9">
        <v>1.0614052840907238</v>
      </c>
      <c r="AC814" s="9">
        <v>2.0813068313487837</v>
      </c>
      <c r="AD814" s="9">
        <v>0.9652152027938381</v>
      </c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</row>
    <row r="815" spans="28:52">
      <c r="AB815" s="9">
        <v>1.0449319122399505</v>
      </c>
      <c r="AC815" s="9">
        <v>1.5628480037042245</v>
      </c>
      <c r="AD815" s="9">
        <v>0.94548890423513532</v>
      </c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</row>
    <row r="816" spans="28:52">
      <c r="AB816" s="9">
        <v>1.0649541466338703</v>
      </c>
      <c r="AC816" s="9">
        <v>1.3245012520142887</v>
      </c>
      <c r="AD816" s="9">
        <v>0.94551841567484063</v>
      </c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</row>
    <row r="817" spans="28:52">
      <c r="AB817" s="9">
        <v>1.062470575515305</v>
      </c>
      <c r="AC817" s="9">
        <v>2.1090565972775122</v>
      </c>
      <c r="AD817" s="9">
        <v>0.94884690615631073</v>
      </c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</row>
    <row r="818" spans="28:52">
      <c r="AB818" s="9">
        <v>1.0562910160859056</v>
      </c>
      <c r="AC818" s="9">
        <v>1.4484432118773618</v>
      </c>
      <c r="AD818" s="9">
        <v>0.93661435261539427</v>
      </c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</row>
    <row r="819" spans="28:52">
      <c r="AB819" s="9">
        <v>1.0669897047183812</v>
      </c>
      <c r="AC819" s="9">
        <v>1.5454473575408543</v>
      </c>
      <c r="AD819" s="9">
        <v>0.92379665593227511</v>
      </c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</row>
    <row r="820" spans="28:52">
      <c r="AB820" s="9">
        <v>1.0780366589162111</v>
      </c>
      <c r="AC820" s="9">
        <v>1.7096966786108185</v>
      </c>
      <c r="AD820" s="9">
        <v>0.92019251444981254</v>
      </c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</row>
    <row r="821" spans="28:52">
      <c r="AB821" s="9">
        <v>1.0781369243851135</v>
      </c>
      <c r="AC821" s="9">
        <v>1.3910767336309773</v>
      </c>
      <c r="AD821" s="9">
        <v>0.92791526329896235</v>
      </c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</row>
    <row r="822" spans="28:52">
      <c r="AB822" s="9">
        <v>1.064325596823142</v>
      </c>
      <c r="AC822" s="9">
        <v>1.3431419411483532</v>
      </c>
      <c r="AD822" s="9">
        <v>0.94405641602992185</v>
      </c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</row>
    <row r="823" spans="28:52">
      <c r="AB823" s="9">
        <v>1.0425600064416145</v>
      </c>
      <c r="AC823" s="9">
        <v>1.2780990698170434</v>
      </c>
      <c r="AD823" s="9">
        <v>0.9433205599097666</v>
      </c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</row>
    <row r="824" spans="28:52">
      <c r="AB824" s="9">
        <v>1.0400617954985303</v>
      </c>
      <c r="AC824" s="9">
        <v>0.88279241631980487</v>
      </c>
      <c r="AD824" s="9">
        <v>0.94863283001508214</v>
      </c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</row>
    <row r="825" spans="28:52">
      <c r="AB825" s="9">
        <v>1.0315440359954071</v>
      </c>
      <c r="AC825" s="9">
        <v>0.81339380908438563</v>
      </c>
      <c r="AD825" s="9">
        <v>0.96348409325013873</v>
      </c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</row>
    <row r="826" spans="28:52">
      <c r="AB826" s="9">
        <v>1.0135237701869861</v>
      </c>
      <c r="AC826" s="9">
        <v>1.0534966930217287</v>
      </c>
      <c r="AD826" s="9">
        <v>0.96010972018107632</v>
      </c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</row>
    <row r="827" spans="28:52">
      <c r="AB827" s="9">
        <v>1.0151852676713724</v>
      </c>
      <c r="AC827" s="9">
        <v>0.68489488914442587</v>
      </c>
      <c r="AD827" s="9">
        <v>0.98390323019895609</v>
      </c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</row>
    <row r="828" spans="28:52">
      <c r="AB828" s="9">
        <v>0.98928450490243292</v>
      </c>
      <c r="AC828" s="9">
        <v>0.89667325835621148</v>
      </c>
      <c r="AD828" s="9">
        <v>0.98774763004375321</v>
      </c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</row>
    <row r="829" spans="28:52">
      <c r="AB829" s="9">
        <v>0.98483791872555659</v>
      </c>
      <c r="AC829" s="9">
        <v>0.68586561613104813</v>
      </c>
      <c r="AD829" s="9">
        <v>0.99835661081504445</v>
      </c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</row>
    <row r="830" spans="28:52">
      <c r="AB830" s="9">
        <v>0.97400599347339856</v>
      </c>
      <c r="AC830" s="9">
        <v>0.6786905905233438</v>
      </c>
      <c r="AD830" s="9">
        <v>0.99438605401849578</v>
      </c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</row>
    <row r="831" spans="28:52">
      <c r="AB831" s="9">
        <v>0.97764017062611441</v>
      </c>
      <c r="AC831" s="9">
        <v>0.66458606716667779</v>
      </c>
      <c r="AD831" s="9">
        <v>0.99727854949284744</v>
      </c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</row>
    <row r="832" spans="28:52">
      <c r="AB832" s="9">
        <v>0.9741632690456552</v>
      </c>
      <c r="AC832" s="9">
        <v>0.70536084446853986</v>
      </c>
      <c r="AD832" s="9">
        <v>0.98080938836147546</v>
      </c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</row>
    <row r="833" spans="28:52">
      <c r="AB833" s="9">
        <v>0.98955454268928544</v>
      </c>
      <c r="AC833" s="9">
        <v>0.96446762919020745</v>
      </c>
      <c r="AD833" s="9">
        <v>0.9839266931594628</v>
      </c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</row>
    <row r="834" spans="28:52">
      <c r="AB834" s="9">
        <v>0.98500539108924845</v>
      </c>
      <c r="AC834" s="9">
        <v>1.0665193298764901</v>
      </c>
      <c r="AD834" s="9">
        <v>1.0184248298417611</v>
      </c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</row>
    <row r="835" spans="28:52">
      <c r="AB835" s="9">
        <v>0.95105430293635018</v>
      </c>
      <c r="AC835" s="9">
        <v>1.0228952804450653</v>
      </c>
      <c r="AD835" s="9">
        <v>1.0092161523882968</v>
      </c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</row>
    <row r="836" spans="28:52">
      <c r="AB836" s="9">
        <v>0.95977374850576036</v>
      </c>
      <c r="AC836" s="9">
        <v>0.65905807324097143</v>
      </c>
      <c r="AD836" s="9">
        <v>1.0314338908092724</v>
      </c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</row>
    <row r="837" spans="28:52">
      <c r="AB837" s="9">
        <v>0.9397719439534622</v>
      </c>
      <c r="AC837" s="9">
        <v>0.71297594747865356</v>
      </c>
      <c r="AD837" s="9">
        <v>1.0534562298651544</v>
      </c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</row>
    <row r="838" spans="28:52">
      <c r="AB838" s="9">
        <v>0.92142664169368071</v>
      </c>
      <c r="AC838" s="9">
        <v>0.80065647730383904</v>
      </c>
      <c r="AD838" s="9">
        <v>1.0326990834367786</v>
      </c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</row>
    <row r="839" spans="28:52">
      <c r="AB839" s="9">
        <v>0.94124954619323331</v>
      </c>
      <c r="AC839" s="9">
        <v>0.71588451841610512</v>
      </c>
      <c r="AD839" s="9">
        <v>1.0322270821278248</v>
      </c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</row>
    <row r="840" spans="28:52">
      <c r="AB840" s="9">
        <v>0.94265846169664058</v>
      </c>
      <c r="AC840" s="9">
        <v>0.72547429926675822</v>
      </c>
      <c r="AD840" s="9">
        <v>1.029545191660425</v>
      </c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</row>
    <row r="841" spans="28:52">
      <c r="AB841" s="9">
        <v>0.94575941145972819</v>
      </c>
      <c r="AC841" s="9">
        <v>0.51151086522830613</v>
      </c>
      <c r="AD841" s="9">
        <v>1.0159811321930787</v>
      </c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</row>
    <row r="842" spans="28:52">
      <c r="AB842" s="9">
        <v>0.95905829217896932</v>
      </c>
      <c r="AC842" s="9">
        <v>0.55884935990624152</v>
      </c>
      <c r="AD842" s="9">
        <v>0.9985072154468434</v>
      </c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</row>
    <row r="843" spans="28:52">
      <c r="AB843" s="9">
        <v>0.97590736262313471</v>
      </c>
      <c r="AC843" s="9">
        <v>0.88736470565812064</v>
      </c>
      <c r="AD843" s="9">
        <v>0.99917787440590566</v>
      </c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</row>
    <row r="844" spans="28:52">
      <c r="AB844" s="9">
        <v>0.97473319816056492</v>
      </c>
      <c r="AC844" s="9">
        <v>0.72071011496904647</v>
      </c>
      <c r="AD844" s="9">
        <v>0.99643400545891925</v>
      </c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</row>
    <row r="845" spans="28:52">
      <c r="AB845" s="9">
        <v>0.97677111809155692</v>
      </c>
      <c r="AC845" s="9">
        <v>0.91061823813960829</v>
      </c>
      <c r="AD845" s="9">
        <v>0.99432313517768722</v>
      </c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</row>
    <row r="846" spans="28:52">
      <c r="AB846" s="9">
        <v>0.97790907578120267</v>
      </c>
      <c r="AC846" s="9">
        <v>0.82236913904652043</v>
      </c>
      <c r="AD846" s="9">
        <v>0.99213506284614139</v>
      </c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</row>
    <row r="847" spans="28:52">
      <c r="AB847" s="9">
        <v>0.97911555020255703</v>
      </c>
      <c r="AC847" s="9">
        <v>0.74971444494919515</v>
      </c>
      <c r="AD847" s="9">
        <v>1.0013919217753813</v>
      </c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</row>
    <row r="848" spans="28:52">
      <c r="AB848" s="9">
        <v>0.96906578902983198</v>
      </c>
      <c r="AC848" s="9">
        <v>0.73820678159279474</v>
      </c>
      <c r="AD848" s="9">
        <v>0.99922242600994071</v>
      </c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</row>
    <row r="849" spans="28:52">
      <c r="AB849" s="9">
        <v>0.97072838856750443</v>
      </c>
      <c r="AC849" s="9">
        <v>0.59531581463996674</v>
      </c>
      <c r="AD849" s="9">
        <v>0.98712360387758979</v>
      </c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</row>
    <row r="850" spans="28:52">
      <c r="AB850" s="9">
        <v>0.98181314047211343</v>
      </c>
      <c r="AC850" s="9">
        <v>0.83767643118996804</v>
      </c>
      <c r="AD850" s="9">
        <v>0.97527869345750795</v>
      </c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</row>
    <row r="851" spans="28:52">
      <c r="AB851" s="9">
        <v>0.99269739265394807</v>
      </c>
      <c r="AC851" s="9">
        <v>1.1597407948458631</v>
      </c>
      <c r="AD851" s="9">
        <v>0.97378798570622527</v>
      </c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</row>
    <row r="852" spans="28:52">
      <c r="AB852" s="9">
        <v>0.99303562470199591</v>
      </c>
      <c r="AC852" s="9">
        <v>0.9938893629629274</v>
      </c>
      <c r="AD852" s="9">
        <v>0.9710821031864777</v>
      </c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</row>
    <row r="853" spans="28:52">
      <c r="AB853" s="9">
        <v>0.99397405963392982</v>
      </c>
      <c r="AC853" s="9">
        <v>0.76351900054571575</v>
      </c>
      <c r="AD853" s="9">
        <v>0.97455914664666554</v>
      </c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</row>
    <row r="854" spans="28:52">
      <c r="AB854" s="9">
        <v>0.98871984106731159</v>
      </c>
      <c r="AC854" s="9">
        <v>0.84334028168037023</v>
      </c>
      <c r="AD854" s="9">
        <v>0.96965462239730549</v>
      </c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</row>
    <row r="855" spans="28:52">
      <c r="AB855" s="9">
        <v>0.99198415225369907</v>
      </c>
      <c r="AC855" s="9">
        <v>0.62405289436705735</v>
      </c>
      <c r="AD855" s="9">
        <v>0.97140926243359949</v>
      </c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</row>
    <row r="856" spans="28:52">
      <c r="AB856" s="9">
        <v>0.98790154649193429</v>
      </c>
      <c r="AC856" s="9">
        <v>0.71778295384322865</v>
      </c>
      <c r="AD856" s="9">
        <v>0.97630795290670602</v>
      </c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</row>
    <row r="857" spans="28:52">
      <c r="AB857" s="9">
        <v>0.98066106068858216</v>
      </c>
      <c r="AC857" s="9">
        <v>0.54703739402767215</v>
      </c>
      <c r="AD857" s="9">
        <v>0.9679413347644884</v>
      </c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</row>
    <row r="858" spans="28:52">
      <c r="AB858" s="9">
        <v>0.98778534615923141</v>
      </c>
      <c r="AC858" s="9">
        <v>0.6054503331522384</v>
      </c>
      <c r="AD858" s="9">
        <v>0.96629636372463346</v>
      </c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</row>
    <row r="859" spans="28:52">
      <c r="AB859" s="9">
        <v>0.98773270316901174</v>
      </c>
      <c r="AC859" s="9">
        <v>0.46438601002874969</v>
      </c>
      <c r="AD859" s="9">
        <v>0.99450355869936458</v>
      </c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</row>
    <row r="860" spans="28:52">
      <c r="AB860" s="9">
        <v>0.95892118803397142</v>
      </c>
      <c r="AC860" s="9">
        <v>1.0725716395569047</v>
      </c>
      <c r="AD860" s="9">
        <v>0.97421451977392448</v>
      </c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</row>
    <row r="861" spans="28:52">
      <c r="AB861" s="9">
        <v>0.97865121006365074</v>
      </c>
      <c r="AC861" s="9">
        <v>0.79975595470197558</v>
      </c>
      <c r="AD861" s="9">
        <v>0.99824914836781675</v>
      </c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</row>
    <row r="862" spans="28:52">
      <c r="AB862" s="9">
        <v>0.95455302074282178</v>
      </c>
      <c r="AC862" s="9">
        <v>0.87380959248603562</v>
      </c>
      <c r="AD862" s="9">
        <v>0.97909900021549079</v>
      </c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</row>
    <row r="863" spans="28:52">
      <c r="AB863" s="9">
        <v>0.97314807765994382</v>
      </c>
      <c r="AC863" s="9">
        <v>0.64551276403093705</v>
      </c>
      <c r="AD863" s="9">
        <v>0.96681137915213367</v>
      </c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</row>
    <row r="864" spans="28:52">
      <c r="AB864" s="9">
        <v>0.98450499483517928</v>
      </c>
      <c r="AC864" s="9">
        <v>0.63583350685617812</v>
      </c>
      <c r="AD864" s="9">
        <v>0.96186781283591127</v>
      </c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</row>
    <row r="865" spans="28:52">
      <c r="AB865" s="9">
        <v>0.98758275814794227</v>
      </c>
      <c r="AC865" s="9">
        <v>0.51567369043185141</v>
      </c>
      <c r="AD865" s="9">
        <v>0.96741236212227422</v>
      </c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</row>
    <row r="866" spans="28:52">
      <c r="AB866" s="9">
        <v>0.98068450140629171</v>
      </c>
      <c r="AC866" s="9">
        <v>0.48851904403707397</v>
      </c>
      <c r="AD866" s="9">
        <v>0.96407347286429357</v>
      </c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</row>
    <row r="867" spans="28:52">
      <c r="AB867" s="9">
        <v>0.98306132172567096</v>
      </c>
      <c r="AC867" s="9">
        <v>0.57261462486408099</v>
      </c>
      <c r="AD867" s="9">
        <v>0.97008227423604154</v>
      </c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</row>
    <row r="868" spans="28:52">
      <c r="AB868" s="9">
        <v>0.97631084864007256</v>
      </c>
      <c r="AC868" s="9">
        <v>0.63570030117585496</v>
      </c>
      <c r="AD868" s="9">
        <v>0.97374030267549083</v>
      </c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</row>
    <row r="869" spans="28:52">
      <c r="AB869" s="9">
        <v>0.97246999426293268</v>
      </c>
      <c r="AC869" s="9">
        <v>0.55395334677849695</v>
      </c>
      <c r="AD869" s="9">
        <v>0.96201142942146289</v>
      </c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</row>
    <row r="870" spans="28:52">
      <c r="AB870" s="9">
        <v>0.98435968878131463</v>
      </c>
      <c r="AC870" s="9">
        <v>0.59241706161137431</v>
      </c>
      <c r="AD870" s="9">
        <v>0.95573354646982411</v>
      </c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</row>
    <row r="871" spans="28:52">
      <c r="AB871" s="9">
        <v>0.99049313169372</v>
      </c>
      <c r="AC871" s="9">
        <v>0.67483409311957854</v>
      </c>
      <c r="AD871" s="9">
        <v>0.95051285678698705</v>
      </c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</row>
    <row r="872" spans="28:52">
      <c r="AB872" s="9">
        <v>0.99555449687158393</v>
      </c>
      <c r="AC872" s="9">
        <v>0.73288374812268864</v>
      </c>
      <c r="AD872" s="9">
        <v>0.95178422019934228</v>
      </c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</row>
    <row r="873" spans="28:52">
      <c r="AB873" s="9">
        <v>0.99338860990345756</v>
      </c>
      <c r="AC873" s="9">
        <v>0.68577591856115516</v>
      </c>
      <c r="AD873" s="9">
        <v>0.9388359757688185</v>
      </c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</row>
    <row r="874" spans="28:52">
      <c r="AB874" s="9">
        <v>1.0059781762314641</v>
      </c>
      <c r="AC874" s="9">
        <v>1.11108005246522</v>
      </c>
      <c r="AD874" s="9">
        <v>0.93509391194669633</v>
      </c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</row>
    <row r="875" spans="28:52">
      <c r="AB875" s="9">
        <v>1.0083736365744405</v>
      </c>
      <c r="AC875" s="9">
        <v>0.98329211066112154</v>
      </c>
      <c r="AD875" s="9">
        <v>0.9284515624194376</v>
      </c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</row>
    <row r="876" spans="28:52">
      <c r="AB876" s="9">
        <v>1.0134266825308669</v>
      </c>
      <c r="AC876" s="9">
        <v>1.02625741651256</v>
      </c>
      <c r="AD876" s="9">
        <v>0.92679961626968022</v>
      </c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</row>
    <row r="877" spans="28:52">
      <c r="AB877" s="9">
        <v>1.0130478526238313</v>
      </c>
      <c r="AC877" s="9">
        <v>0.67652406540721166</v>
      </c>
      <c r="AD877" s="9">
        <v>0.93075043032417282</v>
      </c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</row>
    <row r="878" spans="28:52">
      <c r="AB878" s="9">
        <v>1.006126042988426</v>
      </c>
      <c r="AC878" s="9">
        <v>0.72155024484158503</v>
      </c>
      <c r="AD878" s="9">
        <v>0.93057130640150709</v>
      </c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</row>
    <row r="879" spans="28:52">
      <c r="AB879" s="9">
        <v>1.0037335941667165</v>
      </c>
      <c r="AC879" s="9">
        <v>0.6851674954750997</v>
      </c>
      <c r="AD879" s="9">
        <v>0.93462735819206988</v>
      </c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</row>
    <row r="880" spans="28:52">
      <c r="AB880" s="9">
        <v>0.99677788469136153</v>
      </c>
      <c r="AC880" s="9">
        <v>0.98701484857882649</v>
      </c>
      <c r="AD880" s="9">
        <v>0.93743163842684962</v>
      </c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</row>
    <row r="881" spans="28:52">
      <c r="AB881" s="9">
        <v>0.99135009206443481</v>
      </c>
      <c r="AC881" s="9">
        <v>0.51942381486721034</v>
      </c>
      <c r="AD881" s="9">
        <v>0.936099007684847</v>
      </c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</row>
    <row r="882" spans="28:52">
      <c r="AB882" s="9">
        <v>0.99030686268506485</v>
      </c>
      <c r="AC882" s="9">
        <v>0.61946958324140755</v>
      </c>
      <c r="AD882" s="9">
        <v>0.938060483738688</v>
      </c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</row>
    <row r="883" spans="28:52">
      <c r="AB883" s="9">
        <v>0.9860476823052734</v>
      </c>
      <c r="AC883" s="9">
        <v>0.77402486104534263</v>
      </c>
      <c r="AD883" s="9">
        <v>0.92536097355910418</v>
      </c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</row>
    <row r="884" spans="28:52">
      <c r="AB884" s="9">
        <v>0.99705162864340324</v>
      </c>
      <c r="AC884" s="9">
        <v>1.0548951815552261</v>
      </c>
      <c r="AD884" s="9">
        <v>0.9234508009578084</v>
      </c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</row>
    <row r="885" spans="28:52">
      <c r="AB885" s="9">
        <v>0.99591632957023712</v>
      </c>
      <c r="AC885" s="9">
        <v>1.2086778628243171</v>
      </c>
      <c r="AD885" s="9">
        <v>0.91389524227641283</v>
      </c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</row>
    <row r="886" spans="28:52">
      <c r="AB886" s="9">
        <v>1.0033178304927199</v>
      </c>
      <c r="AC886" s="9">
        <v>1.37256315733155</v>
      </c>
      <c r="AD886" s="9">
        <v>0.90998402820355606</v>
      </c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</row>
    <row r="887" spans="28:52">
      <c r="AB887" s="9">
        <v>1.0040789862335906</v>
      </c>
      <c r="AC887" s="9">
        <v>1.2635497991580142</v>
      </c>
      <c r="AD887" s="9">
        <v>0.90066271750076843</v>
      </c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</row>
    <row r="888" spans="28:52">
      <c r="AB888" s="9">
        <v>1.0104414776178314</v>
      </c>
      <c r="AC888" s="9">
        <v>0.94506394520888282</v>
      </c>
      <c r="AD888" s="9">
        <v>0.89762097172776767</v>
      </c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</row>
    <row r="889" spans="28:52">
      <c r="AB889" s="9">
        <v>1.0099178428776212</v>
      </c>
      <c r="AC889" s="9">
        <v>1.3411594918231919</v>
      </c>
      <c r="AD889" s="9">
        <v>0.90269990166947112</v>
      </c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</row>
    <row r="890" spans="28:52">
      <c r="AB890" s="9">
        <v>1.0005336318528364</v>
      </c>
      <c r="AC890" s="9">
        <v>1.2673472042502787</v>
      </c>
      <c r="AD890" s="9">
        <v>0.89550723465430704</v>
      </c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</row>
    <row r="891" spans="28:52">
      <c r="AB891" s="9">
        <v>1.0050085006747256</v>
      </c>
      <c r="AC891" s="9">
        <v>1.0176712183165828</v>
      </c>
      <c r="AD891" s="9">
        <v>0.89593976394475094</v>
      </c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</row>
    <row r="892" spans="28:52">
      <c r="AB892" s="9">
        <v>1.0010595716752109</v>
      </c>
      <c r="AC892" s="9">
        <v>0.98607300124377317</v>
      </c>
      <c r="AD892" s="9">
        <v>0.89751195155962837</v>
      </c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</row>
    <row r="893" spans="28:52">
      <c r="AB893" s="9">
        <v>0.99627161404110198</v>
      </c>
      <c r="AC893" s="9">
        <v>0.86184850698779369</v>
      </c>
      <c r="AD893" s="9">
        <v>0.89968519143220549</v>
      </c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</row>
    <row r="894" spans="28:52">
      <c r="AB894" s="9">
        <v>0.99114333795157472</v>
      </c>
      <c r="AC894" s="9">
        <v>0.78954578840605727</v>
      </c>
      <c r="AD894" s="9">
        <v>0.90333795605196954</v>
      </c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</row>
    <row r="895" spans="28:52">
      <c r="AB895" s="9">
        <v>0.98465848326831773</v>
      </c>
      <c r="AC895" s="9">
        <v>0.77533434791597511</v>
      </c>
      <c r="AD895" s="9">
        <v>0.90916707962652665</v>
      </c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</row>
    <row r="896" spans="28:52">
      <c r="AB896" s="9">
        <v>0.97588819020767104</v>
      </c>
      <c r="AC896" s="9">
        <v>0.99195899392285036</v>
      </c>
      <c r="AD896" s="9">
        <v>0.92198148133327984</v>
      </c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</row>
    <row r="897" spans="28:52">
      <c r="AB897" s="9">
        <v>0.96012066531894003</v>
      </c>
      <c r="AC897" s="9">
        <v>1.0843687348316977</v>
      </c>
      <c r="AD897" s="9">
        <v>0.93954365705890142</v>
      </c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</row>
    <row r="898" spans="28:52">
      <c r="AB898" s="9">
        <v>0.94038614040561241</v>
      </c>
      <c r="AC898" s="9">
        <v>0.99236045411542095</v>
      </c>
      <c r="AD898" s="9">
        <v>0.93820150788660039</v>
      </c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</row>
    <row r="899" spans="28:52">
      <c r="AB899" s="9">
        <v>0.94069054094697191</v>
      </c>
      <c r="AC899" s="9">
        <v>0.94619278101341342</v>
      </c>
      <c r="AD899" s="9">
        <v>0.93522924577713751</v>
      </c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</row>
    <row r="900" spans="28:52">
      <c r="AB900" s="9">
        <v>0.94251390252743872</v>
      </c>
      <c r="AC900" s="9">
        <v>0.61312057878045034</v>
      </c>
      <c r="AD900" s="9">
        <v>0.92832152972196047</v>
      </c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</row>
    <row r="901" spans="28:52">
      <c r="AB901" s="9">
        <v>0.94816186504703071</v>
      </c>
      <c r="AC901" s="9">
        <v>0.57965408495121717</v>
      </c>
      <c r="AD901" s="9">
        <v>0.95576165069045171</v>
      </c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</row>
    <row r="902" spans="28:52">
      <c r="AB902" s="9">
        <v>0.92028965848379518</v>
      </c>
      <c r="AC902" s="9">
        <v>1.2184311059697162</v>
      </c>
      <c r="AD902" s="9">
        <v>0.94627088159013195</v>
      </c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</row>
    <row r="903" spans="28:52">
      <c r="AB903" s="9">
        <v>0.92912032441263948</v>
      </c>
      <c r="AC903" s="9">
        <v>0.77123048085536705</v>
      </c>
      <c r="AD903" s="9">
        <v>0.94798828275646951</v>
      </c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</row>
    <row r="904" spans="28:52">
      <c r="AB904" s="9">
        <v>0.92725333992397285</v>
      </c>
      <c r="AC904" s="9">
        <v>0.874996956885149</v>
      </c>
      <c r="AD904" s="9">
        <v>0.97328530314029826</v>
      </c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</row>
    <row r="905" spans="28:52">
      <c r="AB905" s="9">
        <v>0.90398543105576623</v>
      </c>
      <c r="AC905" s="9">
        <v>1.2433305978157945</v>
      </c>
      <c r="AD905" s="9">
        <v>0.9835375739072364</v>
      </c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</row>
    <row r="906" spans="28:52">
      <c r="AB906" s="9">
        <v>0.89645224222240472</v>
      </c>
      <c r="AC906" s="9">
        <v>1.2147146563658082</v>
      </c>
      <c r="AD906" s="9">
        <v>0.95600873437958267</v>
      </c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</row>
    <row r="907" spans="28:52">
      <c r="AB907" s="9">
        <v>0.92386709738582584</v>
      </c>
      <c r="AC907" s="9">
        <v>1.0381026810313896</v>
      </c>
      <c r="AD907" s="9">
        <v>0.96686327988891152</v>
      </c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</row>
    <row r="908" spans="28:52">
      <c r="AB908" s="9">
        <v>0.91471195975536801</v>
      </c>
      <c r="AC908" s="9">
        <v>0.87506580579575077</v>
      </c>
      <c r="AD908" s="9">
        <v>0.9694257191003105</v>
      </c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</row>
    <row r="909" spans="28:52">
      <c r="AB909" s="9">
        <v>0.91348399444233153</v>
      </c>
      <c r="AC909" s="9">
        <v>0.58402175155444092</v>
      </c>
      <c r="AD909" s="9">
        <v>0.9704956839229153</v>
      </c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</row>
    <row r="910" spans="28:52">
      <c r="AB910" s="9">
        <v>0.91303237264439585</v>
      </c>
      <c r="AC910" s="9">
        <v>0.56954827306444122</v>
      </c>
      <c r="AD910" s="9">
        <v>0.97235536166297898</v>
      </c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</row>
    <row r="911" spans="28:52">
      <c r="AB911" s="9">
        <v>0.91228911273549163</v>
      </c>
      <c r="AC911" s="9">
        <v>0.91375710640630359</v>
      </c>
      <c r="AD911" s="9">
        <v>0.96944346399800663</v>
      </c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</row>
    <row r="912" spans="28:52">
      <c r="AB912" s="9">
        <v>0.91514774342472704</v>
      </c>
      <c r="AC912" s="9">
        <v>0.77001893670731181</v>
      </c>
      <c r="AD912" s="9">
        <v>0.98153131876037414</v>
      </c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</row>
    <row r="913" spans="28:52">
      <c r="AB913" s="9">
        <v>0.90454708889170155</v>
      </c>
      <c r="AC913" s="9">
        <v>0.84662884948497186</v>
      </c>
      <c r="AD913" s="9">
        <v>1.0026113051323857</v>
      </c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</row>
    <row r="914" spans="28:52">
      <c r="AB914" s="9">
        <v>0.88749580010763329</v>
      </c>
      <c r="AC914" s="9">
        <v>1.1606888447992447</v>
      </c>
      <c r="AD914" s="9">
        <v>0.99033203595786023</v>
      </c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</row>
    <row r="915" spans="28:52">
      <c r="AB915" s="9">
        <v>0.90073702848544002</v>
      </c>
      <c r="AC915" s="9">
        <v>0.74515648286140057</v>
      </c>
      <c r="AD915" s="9">
        <v>0.98452971435519798</v>
      </c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</row>
    <row r="916" spans="28:52">
      <c r="AB916" s="9">
        <v>0.90822577875727395</v>
      </c>
      <c r="AC916" s="9">
        <v>0.79688659239819959</v>
      </c>
      <c r="AD916" s="9">
        <v>0.96708972061331766</v>
      </c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</row>
    <row r="917" spans="28:52">
      <c r="AB917" s="9">
        <v>0.92642282738956427</v>
      </c>
      <c r="AC917" s="9">
        <v>1.1690430206787936</v>
      </c>
      <c r="AD917" s="9">
        <v>0.96800958126207659</v>
      </c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</row>
    <row r="918" spans="28:52">
      <c r="AB918" s="9">
        <v>0.92682645780547745</v>
      </c>
      <c r="AC918" s="9">
        <v>1.081972101567293</v>
      </c>
      <c r="AD918" s="9">
        <v>0.96561582222160702</v>
      </c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</row>
    <row r="919" spans="28:52">
      <c r="AB919" s="9">
        <v>0.93038741310104445</v>
      </c>
      <c r="AC919" s="9">
        <v>0.9794146410044885</v>
      </c>
      <c r="AD919" s="9">
        <v>0.97117100637280007</v>
      </c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</row>
    <row r="920" spans="28:52">
      <c r="AB920" s="9">
        <v>0.92669302512556329</v>
      </c>
      <c r="AC920" s="9">
        <v>0.77352054282070837</v>
      </c>
      <c r="AD920" s="9">
        <v>0.95334088486368762</v>
      </c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</row>
    <row r="921" spans="28:52">
      <c r="AB921" s="9">
        <v>0.94547051017703876</v>
      </c>
      <c r="AC921" s="9">
        <v>0.97865740549899005</v>
      </c>
      <c r="AD921" s="9">
        <v>0.95496023650486173</v>
      </c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</row>
    <row r="922" spans="28:52">
      <c r="AB922" s="9">
        <v>0.94493276821861361</v>
      </c>
      <c r="AC922" s="9">
        <v>0.88866717445684806</v>
      </c>
      <c r="AD922" s="9">
        <v>0.95851365890328755</v>
      </c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</row>
    <row r="923" spans="28:52">
      <c r="AB923" s="9">
        <v>0.94241892941529382</v>
      </c>
      <c r="AC923" s="9">
        <v>0.70803179867040633</v>
      </c>
      <c r="AD923" s="9">
        <v>0.96194976661018194</v>
      </c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</row>
    <row r="924" spans="28:52">
      <c r="AB924" s="9">
        <v>0.94019561808300223</v>
      </c>
      <c r="AC924" s="9">
        <v>0.8227710668541619</v>
      </c>
      <c r="AD924" s="9">
        <v>0.96287840820487203</v>
      </c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</row>
    <row r="925" spans="28:52">
      <c r="AB925" s="9">
        <v>0.94055958961533526</v>
      </c>
      <c r="AC925" s="9">
        <v>0.62902794893645786</v>
      </c>
      <c r="AD925" s="9">
        <v>0.96104302970830136</v>
      </c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</row>
    <row r="926" spans="28:52">
      <c r="AB926" s="9">
        <v>0.94299298552694522</v>
      </c>
      <c r="AC926" s="9">
        <v>0.72046194104690342</v>
      </c>
      <c r="AD926" s="9">
        <v>0.96304459652343222</v>
      </c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</row>
    <row r="927" spans="28:52">
      <c r="AB927" s="9">
        <v>0.94126077115143947</v>
      </c>
      <c r="AC927" s="9">
        <v>0.6441107805185885</v>
      </c>
      <c r="AD927" s="9">
        <v>0.9649822101481027</v>
      </c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</row>
    <row r="928" spans="28:52">
      <c r="AB928" s="9">
        <v>0.93966313566551807</v>
      </c>
      <c r="AC928" s="9">
        <v>0.58385616681235231</v>
      </c>
      <c r="AD928" s="9">
        <v>0.96299830149885279</v>
      </c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</row>
    <row r="929" spans="28:52">
      <c r="AB929" s="9">
        <v>0.9421299125087107</v>
      </c>
      <c r="AC929" s="9">
        <v>0.6384147166238332</v>
      </c>
      <c r="AD929" s="9">
        <v>0.97109515012283665</v>
      </c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</row>
    <row r="930" spans="28:52">
      <c r="AB930" s="9">
        <v>0.93490687047778054</v>
      </c>
      <c r="AC930" s="9">
        <v>0.78702344480740227</v>
      </c>
      <c r="AD930" s="9">
        <v>0.97339582380463419</v>
      </c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</row>
    <row r="931" spans="28:52">
      <c r="AB931" s="9">
        <v>0.93302486835342691</v>
      </c>
      <c r="AC931" s="9">
        <v>0.88906599751456739</v>
      </c>
      <c r="AD931" s="9">
        <v>0.9812994794242198</v>
      </c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</row>
    <row r="932" spans="28:52">
      <c r="AB932" s="9">
        <v>0.92610340470792873</v>
      </c>
      <c r="AC932" s="9">
        <v>0.90847302071067404</v>
      </c>
      <c r="AD932" s="9">
        <v>0.98686602450729266</v>
      </c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</row>
    <row r="933" spans="28:52">
      <c r="AB933" s="9">
        <v>0.92262436339475085</v>
      </c>
      <c r="AC933" s="9">
        <v>0.60970562480123036</v>
      </c>
      <c r="AD933" s="9">
        <v>0.97311946175394481</v>
      </c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</row>
    <row r="934" spans="28:52">
      <c r="AB934" s="9">
        <v>0.93761226132256592</v>
      </c>
      <c r="AC934" s="9">
        <v>0.92153948464183133</v>
      </c>
      <c r="AD934" s="9">
        <v>0.96322471653441522</v>
      </c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</row>
    <row r="935" spans="28:52">
      <c r="AB935" s="9">
        <v>0.94852401951513154</v>
      </c>
      <c r="AC935" s="9">
        <v>0.9765548261353898</v>
      </c>
      <c r="AD935" s="9">
        <v>0.95691542060603907</v>
      </c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</row>
    <row r="936" spans="28:52">
      <c r="AB936" s="9">
        <v>0.95583670743778104</v>
      </c>
      <c r="AC936" s="9">
        <v>0.94706540267755512</v>
      </c>
      <c r="AD936" s="9">
        <v>0.94859169841433721</v>
      </c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</row>
    <row r="937" spans="28:52">
      <c r="AB937" s="9">
        <v>0.96517001550398474</v>
      </c>
      <c r="AC937" s="9">
        <v>0.81613215430161534</v>
      </c>
      <c r="AD937" s="9">
        <v>0.95344094174404626</v>
      </c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</row>
    <row r="938" spans="28:52">
      <c r="AB938" s="9">
        <v>0.96081060769011739</v>
      </c>
      <c r="AC938" s="9">
        <v>0.68937114201972272</v>
      </c>
      <c r="AD938" s="9">
        <v>0.95005989458131035</v>
      </c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</row>
    <row r="939" spans="28:52">
      <c r="AB939" s="9">
        <v>0.96495274946558374</v>
      </c>
      <c r="AC939" s="9">
        <v>0.74900763090030542</v>
      </c>
      <c r="AD939" s="9">
        <v>0.94737840530275053</v>
      </c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</row>
    <row r="940" spans="28:52">
      <c r="AB940" s="9">
        <v>0.96826372231838354</v>
      </c>
      <c r="AC940" s="9">
        <v>1.1305883991902137</v>
      </c>
      <c r="AD940" s="9">
        <v>0.9511492247855885</v>
      </c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</row>
    <row r="941" spans="28:52">
      <c r="AB941" s="9">
        <v>0.96434734515997489</v>
      </c>
      <c r="AC941" s="9">
        <v>0.73572869932958462</v>
      </c>
      <c r="AD941" s="9">
        <v>0.95387057269523479</v>
      </c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</row>
    <row r="942" spans="28:52">
      <c r="AB942" s="9">
        <v>0.96203192865125797</v>
      </c>
      <c r="AC942" s="9">
        <v>0.63957208582613378</v>
      </c>
      <c r="AD942" s="9">
        <v>0.94610527211457174</v>
      </c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</row>
    <row r="943" spans="28:52">
      <c r="AB943" s="9">
        <v>0.97026496887310443</v>
      </c>
      <c r="AC943" s="9">
        <v>0.48043280568442792</v>
      </c>
      <c r="AD943" s="9">
        <v>0.94626934285012865</v>
      </c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</row>
    <row r="944" spans="28:52">
      <c r="AB944" s="9">
        <v>0.96958837472346349</v>
      </c>
      <c r="AC944" s="9">
        <v>0.55370319963773684</v>
      </c>
      <c r="AD944" s="9">
        <v>0.9615868473076159</v>
      </c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</row>
    <row r="945" spans="28:52">
      <c r="AB945" s="9">
        <v>0.95406499830598424</v>
      </c>
      <c r="AC945" s="9">
        <v>0.87011220056984606</v>
      </c>
      <c r="AD945" s="9">
        <v>0.97578849372153109</v>
      </c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</row>
    <row r="946" spans="28:52">
      <c r="AB946" s="9">
        <v>0.93983486790936155</v>
      </c>
      <c r="AC946" s="9">
        <v>1.097735845266018</v>
      </c>
      <c r="AD946" s="9">
        <v>0.98269950691126495</v>
      </c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</row>
    <row r="947" spans="28:52">
      <c r="AB947" s="9">
        <v>0.93339785279608756</v>
      </c>
      <c r="AC947" s="9">
        <v>1.1610261967369639</v>
      </c>
      <c r="AD947" s="9">
        <v>0.96450646008123575</v>
      </c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</row>
    <row r="948" spans="28:52">
      <c r="AB948" s="9">
        <v>0.95012312224997941</v>
      </c>
      <c r="AC948" s="9">
        <v>1.0588265920654039</v>
      </c>
      <c r="AD948" s="9">
        <v>0.97977664195311931</v>
      </c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</row>
    <row r="949" spans="28:52">
      <c r="AB949" s="9">
        <v>0.93477692535397072</v>
      </c>
      <c r="AC949" s="9">
        <v>0.90362659696353809</v>
      </c>
      <c r="AD949" s="9">
        <v>0.99472879380100143</v>
      </c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</row>
    <row r="950" spans="28:52">
      <c r="AB950" s="9">
        <v>0.921567996192591</v>
      </c>
      <c r="AC950" s="9">
        <v>0.81927626065874704</v>
      </c>
      <c r="AD950" s="9">
        <v>0.98056903841234988</v>
      </c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</row>
    <row r="951" spans="28:52">
      <c r="AB951" s="9">
        <v>0.93605043768699081</v>
      </c>
      <c r="AC951" s="9">
        <v>0.87827710934853065</v>
      </c>
      <c r="AD951" s="9">
        <v>0.99335739741428852</v>
      </c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</row>
    <row r="952" spans="28:52">
      <c r="AB952" s="9">
        <v>0.92456787382056405</v>
      </c>
      <c r="AC952" s="9">
        <v>0.88185566916921521</v>
      </c>
      <c r="AD952" s="9">
        <v>0.96882442582924377</v>
      </c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</row>
    <row r="953" spans="28:52">
      <c r="AB953" s="9">
        <v>0.9482708698885014</v>
      </c>
      <c r="AC953" s="9">
        <v>1.1784487909965646</v>
      </c>
      <c r="AD953" s="9">
        <v>0.94381948681337302</v>
      </c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</row>
    <row r="954" spans="28:52">
      <c r="AB954" s="9">
        <v>0.97281850704297257</v>
      </c>
      <c r="AC954" s="9">
        <v>1.5107351127472946</v>
      </c>
      <c r="AD954" s="9">
        <v>0.9181451440995908</v>
      </c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</row>
    <row r="955" spans="28:52">
      <c r="AB955" s="9">
        <v>0.99798358896486972</v>
      </c>
      <c r="AC955" s="9">
        <v>1.3705692610341513</v>
      </c>
      <c r="AD955" s="9">
        <v>0.91221474703506222</v>
      </c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</row>
    <row r="956" spans="28:52">
      <c r="AB956" s="9">
        <v>1.0013803398170422</v>
      </c>
      <c r="AC956" s="9">
        <v>1.8357055059677656</v>
      </c>
      <c r="AD956" s="9">
        <v>0.9174438808441252</v>
      </c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</row>
    <row r="957" spans="28:52">
      <c r="AB957" s="9">
        <v>0.99291207970096174</v>
      </c>
      <c r="AC957" s="9">
        <v>1.3752772003765905</v>
      </c>
      <c r="AD957" s="9">
        <v>0.93030138940442642</v>
      </c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</row>
    <row r="958" spans="28:52">
      <c r="AB958" s="9">
        <v>0.97681374598903981</v>
      </c>
      <c r="AC958" s="9">
        <v>1.2261003427930475</v>
      </c>
      <c r="AD958" s="9">
        <v>0.93595267263340209</v>
      </c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</row>
    <row r="959" spans="28:52">
      <c r="AB959" s="9">
        <v>0.96894181835952209</v>
      </c>
      <c r="AC959" s="9">
        <v>1.3896348012889366</v>
      </c>
      <c r="AD959" s="9">
        <v>0.93327136788632448</v>
      </c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</row>
    <row r="960" spans="28:52">
      <c r="AB960" s="9">
        <v>0.97019370340282773</v>
      </c>
      <c r="AC960" s="9">
        <v>0.97203966760260785</v>
      </c>
      <c r="AD960" s="9">
        <v>0.95391688970701738</v>
      </c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</row>
    <row r="961" spans="28:52">
      <c r="AB961" s="9">
        <v>0.94821895056516314</v>
      </c>
      <c r="AC961" s="9">
        <v>0.88857719900069898</v>
      </c>
      <c r="AD961" s="9">
        <v>0.95080005638832754</v>
      </c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</row>
    <row r="962" spans="28:52">
      <c r="AB962" s="9">
        <v>0.95108329374843725</v>
      </c>
      <c r="AC962" s="9">
        <v>0.83468394953432767</v>
      </c>
      <c r="AD962" s="9">
        <v>0.92083052430357948</v>
      </c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</row>
    <row r="963" spans="28:52">
      <c r="AB963" s="9">
        <v>0.98081633792213629</v>
      </c>
      <c r="AC963" s="9">
        <v>1.1610066873985194</v>
      </c>
      <c r="AD963" s="9">
        <v>0.9189816690944802</v>
      </c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</row>
    <row r="964" spans="28:52">
      <c r="AB964" s="9">
        <v>0.98041528224992291</v>
      </c>
      <c r="AC964" s="9">
        <v>1.2755914296602349</v>
      </c>
      <c r="AD964" s="9">
        <v>0.8969878222600085</v>
      </c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</row>
    <row r="965" spans="28:52">
      <c r="AB965" s="9">
        <v>1.0021473332746942</v>
      </c>
      <c r="AC965" s="9">
        <v>1.4733568333882439</v>
      </c>
      <c r="AD965" s="9">
        <v>0.89573913090130652</v>
      </c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</row>
    <row r="966" spans="28:52">
      <c r="AB966" s="9">
        <v>1.0011963642758586</v>
      </c>
      <c r="AC966" s="9">
        <v>1.3685486717515081</v>
      </c>
      <c r="AD966" s="9">
        <v>0.89701789821233313</v>
      </c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</row>
    <row r="967" spans="28:52">
      <c r="AB967" s="9">
        <v>0.99800182111326696</v>
      </c>
      <c r="AC967" s="9">
        <v>0.95640307742982855</v>
      </c>
      <c r="AD967" s="9">
        <v>0.89136601922832892</v>
      </c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</row>
    <row r="968" spans="28:52">
      <c r="AB968" s="9">
        <v>1.0031015652907531</v>
      </c>
      <c r="AC968" s="9">
        <v>0.89869989808139639</v>
      </c>
      <c r="AD968" s="9">
        <v>0.88499959997795441</v>
      </c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</row>
    <row r="969" spans="28:52">
      <c r="AB969" s="9">
        <v>1.0089960769864281</v>
      </c>
      <c r="AC969" s="9">
        <v>1.3758929970136045</v>
      </c>
      <c r="AD969" s="9">
        <v>0.88843282674772028</v>
      </c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</row>
    <row r="970" spans="28:52">
      <c r="AB970" s="9">
        <v>1.0038407993566516</v>
      </c>
      <c r="AC970" s="9">
        <v>0.93240694579302641</v>
      </c>
      <c r="AD970" s="9">
        <v>0.89345752022631852</v>
      </c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</row>
    <row r="971" spans="28:52">
      <c r="AB971" s="9">
        <v>0.99712367272969793</v>
      </c>
      <c r="AC971" s="9">
        <v>1.1078323341364262</v>
      </c>
      <c r="AD971" s="9">
        <v>0.89880133963436137</v>
      </c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</row>
    <row r="972" spans="28:52">
      <c r="AB972" s="9">
        <v>0.99041524236246947</v>
      </c>
      <c r="AC972" s="9">
        <v>0.84296790754811879</v>
      </c>
      <c r="AD972" s="9">
        <v>0.90956687663461877</v>
      </c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</row>
    <row r="973" spans="28:52">
      <c r="AB973" s="9">
        <v>0.97794347856300112</v>
      </c>
      <c r="AC973" s="9">
        <v>0.89899957003009789</v>
      </c>
      <c r="AD973" s="9">
        <v>0.90991127832318608</v>
      </c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</row>
    <row r="974" spans="28:52">
      <c r="AB974" s="9">
        <v>0.97694686457541302</v>
      </c>
      <c r="AC974" s="9">
        <v>0.95017239190405345</v>
      </c>
      <c r="AD974" s="9">
        <v>0.94847836940199948</v>
      </c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</row>
    <row r="975" spans="28:52">
      <c r="AB975" s="9">
        <v>0.93754968735572686</v>
      </c>
      <c r="AC975" s="9">
        <v>1.3885536981703421</v>
      </c>
      <c r="AD975" s="9">
        <v>0.97390536717567522</v>
      </c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</row>
    <row r="976" spans="28:52">
      <c r="AB976" s="9">
        <v>0.91458272892271786</v>
      </c>
      <c r="AC976" s="9">
        <v>1.1532694978706182</v>
      </c>
      <c r="AD976" s="9">
        <v>0.97176155929388952</v>
      </c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</row>
    <row r="977" spans="28:52">
      <c r="AB977" s="9">
        <v>0.91881041232495886</v>
      </c>
      <c r="AC977" s="9">
        <v>1.1446157176904441</v>
      </c>
      <c r="AD977" s="9">
        <v>0.96065422295877778</v>
      </c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</row>
    <row r="978" spans="28:52">
      <c r="AB978" s="9">
        <v>0.93137446021832593</v>
      </c>
      <c r="AC978" s="9">
        <v>1.0993494912796391</v>
      </c>
      <c r="AD978" s="9">
        <v>0.95690456528513557</v>
      </c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</row>
    <row r="979" spans="28:52">
      <c r="AB979" s="9">
        <v>0.93650337829950359</v>
      </c>
      <c r="AC979" s="9">
        <v>0.87546674740135244</v>
      </c>
      <c r="AD979" s="9">
        <v>0.98305071375658193</v>
      </c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</row>
    <row r="980" spans="28:52">
      <c r="AB980" s="9">
        <v>0.91319110001507608</v>
      </c>
      <c r="AC980" s="9">
        <v>1.0125293469407313</v>
      </c>
      <c r="AD980" s="9">
        <v>0.98168202175303898</v>
      </c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</row>
    <row r="981" spans="28:52">
      <c r="AB981" s="9">
        <v>0.91652175595717167</v>
      </c>
      <c r="AC981" s="9">
        <v>0.901243269995051</v>
      </c>
      <c r="AD981" s="9">
        <v>0.93064106741019681</v>
      </c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</row>
    <row r="982" spans="28:52">
      <c r="AB982" s="9">
        <v>0.96841301237802246</v>
      </c>
      <c r="AC982" s="9">
        <v>1.4092631243262028</v>
      </c>
      <c r="AD982" s="9">
        <v>0.92681745329056808</v>
      </c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</row>
    <row r="983" spans="28:52">
      <c r="AB983" s="9">
        <v>0.97248606373978597</v>
      </c>
      <c r="AC983" s="9">
        <v>1.2275030321424749</v>
      </c>
      <c r="AD983" s="9">
        <v>0.93995504386385154</v>
      </c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</row>
    <row r="984" spans="28:52">
      <c r="AB984" s="9">
        <v>0.9593746542585766</v>
      </c>
      <c r="AC984" s="9">
        <v>0.81769819154330037</v>
      </c>
      <c r="AD984" s="9">
        <v>0.94605850490886867</v>
      </c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</row>
    <row r="985" spans="28:52">
      <c r="AB985" s="9">
        <v>0.95402551763474497</v>
      </c>
      <c r="AC985" s="9">
        <v>0.62902927236050865</v>
      </c>
      <c r="AD985" s="9">
        <v>0.94199648821166138</v>
      </c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</row>
    <row r="986" spans="28:52">
      <c r="AB986" s="9">
        <v>0.95924115673529298</v>
      </c>
      <c r="AC986" s="9">
        <v>0.69312956248648527</v>
      </c>
      <c r="AD986" s="9">
        <v>0.97068349068670312</v>
      </c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</row>
    <row r="987" spans="28:52">
      <c r="AB987" s="9">
        <v>0.93261770114422127</v>
      </c>
      <c r="AC987" s="9">
        <v>0.95652735317923843</v>
      </c>
      <c r="AD987" s="9">
        <v>0.9690492264137871</v>
      </c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</row>
    <row r="988" spans="28:52">
      <c r="AB988" s="9">
        <v>0.93631112084735346</v>
      </c>
      <c r="AC988" s="9">
        <v>0.88553066308907791</v>
      </c>
      <c r="AD988" s="9">
        <v>0.96522578368221723</v>
      </c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</row>
    <row r="989" spans="28:52">
      <c r="AB989" s="9">
        <v>0.94227402331606558</v>
      </c>
      <c r="AC989" s="9">
        <v>1.0124274551454691</v>
      </c>
      <c r="AD989" s="9">
        <v>1.0149736103452425</v>
      </c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</row>
    <row r="990" spans="28:52">
      <c r="AB990" s="9">
        <v>0.89905942310394049</v>
      </c>
      <c r="AC990" s="9">
        <v>0.98176822315675827</v>
      </c>
      <c r="AD990" s="9">
        <v>0.99690553779037283</v>
      </c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</row>
    <row r="991" spans="28:52">
      <c r="AB991" s="9">
        <v>0.9192856471155294</v>
      </c>
      <c r="AC991" s="9">
        <v>0.98375799813468023</v>
      </c>
      <c r="AD991" s="9">
        <v>0.9984865438704601</v>
      </c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</row>
    <row r="992" spans="28:52">
      <c r="AB992" s="9">
        <v>0.92129341607097515</v>
      </c>
      <c r="AC992" s="9">
        <v>0.76571394200859411</v>
      </c>
      <c r="AD992" s="9">
        <v>1.0395722897552953</v>
      </c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</row>
    <row r="993" spans="28:52">
      <c r="AB993" s="9">
        <v>0.88915929449780329</v>
      </c>
      <c r="AC993" s="9">
        <v>0.92018554436473254</v>
      </c>
      <c r="AD993" s="9">
        <v>1.0325779217375808</v>
      </c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</row>
    <row r="994" spans="28:52">
      <c r="AB994" s="9">
        <v>0.8996489448106294</v>
      </c>
      <c r="AC994" s="9">
        <v>0.74005897440371293</v>
      </c>
      <c r="AD994" s="9">
        <v>1.0835111129662622</v>
      </c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</row>
    <row r="995" spans="28:52">
      <c r="AB995" s="9">
        <v>0.86166543357697534</v>
      </c>
      <c r="AC995" s="9">
        <v>0.99936618069991245</v>
      </c>
      <c r="AD995" s="9">
        <v>1.0634484776383981</v>
      </c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</row>
    <row r="996" spans="28:52">
      <c r="AB996" s="9">
        <v>0.88248609198334649</v>
      </c>
      <c r="AC996" s="9">
        <v>1.0182316588538707</v>
      </c>
      <c r="AD996" s="9">
        <v>1.099320464452177</v>
      </c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</row>
    <row r="997" spans="28:52">
      <c r="AB997" s="9">
        <v>0.85774826267392712</v>
      </c>
      <c r="AC997" s="9">
        <v>0.80521923464425682</v>
      </c>
      <c r="AD997" s="9">
        <v>1.0805741591363003</v>
      </c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</row>
    <row r="998" spans="28:52">
      <c r="AB998" s="9">
        <v>0.87736469372464121</v>
      </c>
      <c r="AC998" s="9">
        <v>1.0008724495111312</v>
      </c>
      <c r="AD998" s="9">
        <v>1.0373009709143037</v>
      </c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</row>
    <row r="999" spans="28:52">
      <c r="AB999" s="9">
        <v>0.91769441225498749</v>
      </c>
      <c r="AC999" s="9">
        <v>1.3449736095643587</v>
      </c>
      <c r="AD999" s="9">
        <v>1.0311212695149801</v>
      </c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</row>
    <row r="1000" spans="28:52">
      <c r="AB1000" s="9">
        <v>0.92559162309449072</v>
      </c>
      <c r="AC1000" s="9">
        <v>1.5453392592861102</v>
      </c>
      <c r="AD1000" s="9">
        <v>1.0306266639615431</v>
      </c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</row>
    <row r="1001" spans="28:52">
      <c r="AB1001" s="9">
        <v>0.92819918128986689</v>
      </c>
      <c r="AC1001" s="9">
        <v>0.88490073478919651</v>
      </c>
      <c r="AD1001" s="9">
        <v>1.0501667998507216</v>
      </c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</row>
    <row r="1002" spans="28:52">
      <c r="AB1002" s="9">
        <v>0.91311994336927849</v>
      </c>
      <c r="AC1002" s="9">
        <v>0.6127715018585842</v>
      </c>
      <c r="AD1002" s="9">
        <v>1.0442589946746332</v>
      </c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</row>
    <row r="1003" spans="28:52">
      <c r="AB1003" s="9">
        <v>0.92109035603511979</v>
      </c>
      <c r="AC1003" s="9">
        <v>0.52920994878040539</v>
      </c>
      <c r="AD1003" s="9">
        <v>1.0377508367639443</v>
      </c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</row>
    <row r="1004" spans="28:52">
      <c r="AB1004" s="9">
        <v>0.93007197440411338</v>
      </c>
      <c r="AC1004" s="9">
        <v>0.56972370364937497</v>
      </c>
      <c r="AD1004" s="9">
        <v>1.0502985881595586</v>
      </c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</row>
    <row r="1005" spans="28:52">
      <c r="AB1005" s="9">
        <v>0.92278349631660794</v>
      </c>
      <c r="AC1005" s="9">
        <v>0.87866010637985947</v>
      </c>
      <c r="AD1005" s="9">
        <v>1.0736534325658145</v>
      </c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</row>
    <row r="1006" spans="28:52">
      <c r="AB1006" s="9">
        <v>0.9070634482734965</v>
      </c>
      <c r="AC1006" s="9">
        <v>0.77017124411174676</v>
      </c>
      <c r="AD1006" s="9">
        <v>1.0711340488715611</v>
      </c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</row>
    <row r="1007" spans="28:52">
      <c r="AB1007" s="9">
        <v>0.91350871244404863</v>
      </c>
      <c r="AC1007" s="9">
        <v>0.8043626777648758</v>
      </c>
      <c r="AD1007" s="9">
        <v>1.076755360783066</v>
      </c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</row>
    <row r="1008" spans="28:52">
      <c r="AB1008" s="9">
        <v>0.91258176155179938</v>
      </c>
      <c r="AC1008" s="9">
        <v>0.70131264233085677</v>
      </c>
      <c r="AD1008" s="9">
        <v>1.0592230518162755</v>
      </c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</row>
    <row r="1009" spans="28:52">
      <c r="AB1009" s="9">
        <v>0.9309130569915437</v>
      </c>
      <c r="AC1009" s="9">
        <v>0.59852493761112147</v>
      </c>
      <c r="AD1009" s="9">
        <v>1.051115720157705</v>
      </c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</row>
    <row r="1010" spans="28:52">
      <c r="AB1010" s="9">
        <v>0.94086481901157792</v>
      </c>
      <c r="AC1010" s="9">
        <v>0.77212104274380111</v>
      </c>
      <c r="AD1010" s="9">
        <v>1.0374186752971561</v>
      </c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</row>
    <row r="1011" spans="28:52">
      <c r="AB1011" s="9">
        <v>0.95531990351278462</v>
      </c>
      <c r="AC1011" s="9">
        <v>1.1489134087045891</v>
      </c>
      <c r="AD1011" s="9">
        <v>1.0422303858891917</v>
      </c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</row>
    <row r="1012" spans="28:52">
      <c r="AB1012" s="9">
        <v>0.95278446497382607</v>
      </c>
      <c r="AC1012" s="9">
        <v>0.81696681726702947</v>
      </c>
      <c r="AD1012" s="9">
        <v>1.0476154214269147</v>
      </c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</row>
    <row r="1013" spans="28:52">
      <c r="AB1013" s="9">
        <v>0.95052843993471248</v>
      </c>
      <c r="AC1013" s="9">
        <v>0.92486184005589656</v>
      </c>
      <c r="AD1013" s="9">
        <v>1.031635969396677</v>
      </c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</row>
    <row r="1014" spans="28:52">
      <c r="AB1014" s="9">
        <v>0.96792282981351507</v>
      </c>
      <c r="AC1014" s="9">
        <v>0.6809940189321988</v>
      </c>
      <c r="AD1014" s="9">
        <v>1.0155873786211116</v>
      </c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</row>
    <row r="1015" spans="28:52">
      <c r="AB1015" s="9">
        <v>0.98567567684119983</v>
      </c>
      <c r="AC1015" s="9">
        <v>1.3882700759692497</v>
      </c>
      <c r="AD1015" s="9">
        <v>1.0091513251041735</v>
      </c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</row>
    <row r="1016" spans="28:52">
      <c r="AB1016" s="9">
        <v>0.9938018955545187</v>
      </c>
      <c r="AC1016" s="9">
        <v>1.509705744580117</v>
      </c>
      <c r="AD1016" s="9">
        <v>0.9792506387157609</v>
      </c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</row>
    <row r="1017" spans="28:52">
      <c r="AB1017" s="9">
        <v>1.0250132492439958</v>
      </c>
      <c r="AC1017" s="9">
        <v>2.0147931557687597</v>
      </c>
      <c r="AD1017" s="9">
        <v>0.97350232982171836</v>
      </c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</row>
    <row r="1018" spans="28:52">
      <c r="AB1018" s="9">
        <v>1.0312567976156124</v>
      </c>
      <c r="AC1018" s="9">
        <v>1.8395656509962366</v>
      </c>
      <c r="AD1018" s="9">
        <v>0.96268391184966362</v>
      </c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</row>
    <row r="1019" spans="28:52">
      <c r="AB1019" s="9">
        <v>1.042967396610283</v>
      </c>
      <c r="AC1019" s="9">
        <v>1.8620917798666035</v>
      </c>
      <c r="AD1019" s="9">
        <v>0.98306973786588014</v>
      </c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</row>
    <row r="1020" spans="28:52">
      <c r="AB1020" s="9">
        <v>1.0212565241532929</v>
      </c>
      <c r="AC1020" s="9">
        <v>1.6511901820616754</v>
      </c>
      <c r="AD1020" s="9">
        <v>0.98051123279561958</v>
      </c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</row>
    <row r="1021" spans="28:52">
      <c r="AB1021" s="9">
        <v>1.024039813269616</v>
      </c>
      <c r="AC1021" s="9">
        <v>1.0248311371128487</v>
      </c>
      <c r="AD1021" s="9">
        <v>0.99467141502188738</v>
      </c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</row>
    <row r="1022" spans="28:52">
      <c r="AB1022" s="9">
        <v>1.0098387284114394</v>
      </c>
      <c r="AC1022" s="9">
        <v>0.97135934738877749</v>
      </c>
      <c r="AD1022" s="9">
        <v>0.99918850206415644</v>
      </c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</row>
    <row r="1023" spans="28:52">
      <c r="AB1023" s="9">
        <v>1.0054951426827561</v>
      </c>
      <c r="AC1023" s="9">
        <v>1.2314063159189736</v>
      </c>
      <c r="AD1023" s="9">
        <v>0.98979439619019438</v>
      </c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</row>
    <row r="1024" spans="28:52">
      <c r="AB1024" s="9">
        <v>1.0152470885823019</v>
      </c>
      <c r="AC1024" s="9">
        <v>0.77304643222089153</v>
      </c>
      <c r="AD1024" s="9">
        <v>0.99464213890467412</v>
      </c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</row>
    <row r="1025" spans="28:52">
      <c r="AB1025" s="9">
        <v>1.0094667178301977</v>
      </c>
      <c r="AC1025" s="9">
        <v>0.62769574801589401</v>
      </c>
      <c r="AD1025" s="9">
        <v>0.97797367141850977</v>
      </c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</row>
    <row r="1026" spans="28:52">
      <c r="AB1026" s="9">
        <v>1.0252855141924384</v>
      </c>
      <c r="AC1026" s="9">
        <v>0.89726375864644325</v>
      </c>
      <c r="AD1026" s="9">
        <v>0.9753563054358062</v>
      </c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</row>
    <row r="1027" spans="28:52">
      <c r="AB1027" s="9">
        <v>1.0263791390527737</v>
      </c>
      <c r="AC1027" s="9">
        <v>1.1145436755658005</v>
      </c>
      <c r="AD1027" s="9">
        <v>0.9834049803879954</v>
      </c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</row>
    <row r="1028" spans="28:52">
      <c r="AB1028" s="9">
        <v>1.0165391892273661</v>
      </c>
      <c r="AC1028" s="9">
        <v>0.71267029078475497</v>
      </c>
      <c r="AD1028" s="9">
        <v>0.98460354656498073</v>
      </c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</row>
    <row r="1029" spans="28:52">
      <c r="AB1029" s="9">
        <v>1.0142537640298659</v>
      </c>
      <c r="AC1029" s="9">
        <v>0.77585052396963827</v>
      </c>
      <c r="AD1029" s="9">
        <v>0.98106022754363875</v>
      </c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</row>
    <row r="1030" spans="28:52">
      <c r="AB1030" s="9">
        <v>1.0166170099891225</v>
      </c>
      <c r="AC1030" s="9">
        <v>0.67762422508861953</v>
      </c>
      <c r="AD1030" s="9">
        <v>0.94814505751759648</v>
      </c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</row>
    <row r="1031" spans="28:52">
      <c r="AB1031" s="9">
        <v>1.0502748541058775</v>
      </c>
      <c r="AC1031" s="9">
        <v>1.5525257091129621</v>
      </c>
      <c r="AD1031" s="9">
        <v>0.95883551022491276</v>
      </c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</row>
    <row r="1032" spans="28:52">
      <c r="AB1032" s="9">
        <v>1.0376754726696695</v>
      </c>
      <c r="AC1032" s="9">
        <v>1.3143431854767917</v>
      </c>
      <c r="AD1032" s="9">
        <v>0.96030655203783855</v>
      </c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</row>
    <row r="1033" spans="28:52">
      <c r="AB1033" s="9">
        <v>1.0353388309532634</v>
      </c>
      <c r="AC1033" s="9">
        <v>1.184717360542191</v>
      </c>
      <c r="AD1033" s="9">
        <v>0.97155352722587118</v>
      </c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</row>
    <row r="1034" spans="28:52">
      <c r="AB1034" s="9">
        <v>1.022944307224734</v>
      </c>
      <c r="AC1034" s="9">
        <v>1.0193060137600825</v>
      </c>
      <c r="AD1034" s="9">
        <v>0.9669556492471777</v>
      </c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</row>
    <row r="1035" spans="28:52">
      <c r="AB1035" s="9">
        <v>1.0275675550749634</v>
      </c>
      <c r="AC1035" s="9">
        <v>0.64375276239406509</v>
      </c>
      <c r="AD1035" s="9">
        <v>0.96341032420198125</v>
      </c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</row>
    <row r="1036" spans="28:52">
      <c r="AB1036" s="9">
        <v>1.0307800708198833</v>
      </c>
      <c r="AC1036" s="9">
        <v>0.66738598352930567</v>
      </c>
      <c r="AD1036" s="9">
        <v>0.96420807857357049</v>
      </c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</row>
    <row r="1037" spans="28:52">
      <c r="AB1037" s="9">
        <v>1.0288013045646482</v>
      </c>
      <c r="AC1037" s="9">
        <v>0.8196184773727937</v>
      </c>
      <c r="AD1037" s="9">
        <v>0.95337459328215157</v>
      </c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</row>
    <row r="1038" spans="28:52">
      <c r="AB1038" s="9">
        <v>1.0390011763819114</v>
      </c>
      <c r="AC1038" s="9">
        <v>0.80415155945738614</v>
      </c>
      <c r="AD1038" s="9">
        <v>0.94942936631330066</v>
      </c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</row>
    <row r="1039" spans="28:52">
      <c r="AB1039" s="9">
        <v>1.0417433860394656</v>
      </c>
      <c r="AC1039" s="9">
        <v>1.1631521020828282</v>
      </c>
      <c r="AD1039" s="9">
        <v>0.92779016174600559</v>
      </c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</row>
    <row r="1040" spans="28:52">
      <c r="AB1040" s="9">
        <v>1.063182927505685</v>
      </c>
      <c r="AC1040" s="9">
        <v>1.5351332041080252</v>
      </c>
      <c r="AD1040" s="9">
        <v>0.92770498855413375</v>
      </c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</row>
    <row r="1041" spans="28:52">
      <c r="AB1041" s="9">
        <v>1.0605892291834675</v>
      </c>
      <c r="AC1041" s="9">
        <v>1.1865855542138222</v>
      </c>
      <c r="AD1041" s="9">
        <v>0.91729580024254986</v>
      </c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</row>
    <row r="1042" spans="28:52">
      <c r="AB1042" s="9">
        <v>1.0700206365394072</v>
      </c>
      <c r="AC1042" s="9">
        <v>1.2823510956725899</v>
      </c>
      <c r="AD1042" s="9">
        <v>0.93307413229668434</v>
      </c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</row>
    <row r="1043" spans="28:52">
      <c r="AB1043" s="9">
        <v>1.0487525708890069</v>
      </c>
      <c r="AC1043" s="9">
        <v>1.3038063070564201</v>
      </c>
      <c r="AD1043" s="9">
        <v>0.94280344416541251</v>
      </c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</row>
    <row r="1044" spans="28:52">
      <c r="AB1044" s="9">
        <v>1.0358689701269463</v>
      </c>
      <c r="AC1044" s="9">
        <v>0.9355820239702507</v>
      </c>
      <c r="AD1044" s="9">
        <v>0.94136189310804541</v>
      </c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</row>
    <row r="1045" spans="28:52">
      <c r="AB1045" s="9">
        <v>1.0348993446081181</v>
      </c>
      <c r="AC1045" s="9">
        <v>0.9445927082445037</v>
      </c>
      <c r="AD1045" s="9">
        <v>0.95992304026828279</v>
      </c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</row>
    <row r="1046" spans="28:52">
      <c r="AB1046" s="9">
        <v>1.0131221641584287</v>
      </c>
      <c r="AC1046" s="9">
        <v>0.77852467848483231</v>
      </c>
      <c r="AD1046" s="9">
        <v>0.95552663435854113</v>
      </c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</row>
    <row r="1047" spans="28:52">
      <c r="AB1047" s="9">
        <v>1.0156451085277238</v>
      </c>
      <c r="AC1047" s="9">
        <v>0.63354521692830512</v>
      </c>
      <c r="AD1047" s="9">
        <v>0.94791544971462327</v>
      </c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</row>
    <row r="1048" spans="28:52">
      <c r="AB1048" s="9">
        <v>1.0220973381052934</v>
      </c>
      <c r="AC1048" s="9">
        <v>0.68004463192018272</v>
      </c>
      <c r="AD1048" s="9">
        <v>0.95694711180253822</v>
      </c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</row>
    <row r="1049" spans="28:52">
      <c r="AB1049" s="9">
        <v>1.0114762878930563</v>
      </c>
      <c r="AC1049" s="9">
        <v>0.6648594798410743</v>
      </c>
      <c r="AD1049" s="9">
        <v>0.97441974169368339</v>
      </c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</row>
    <row r="1050" spans="28:52">
      <c r="AB1050" s="9">
        <v>0.99259639459208893</v>
      </c>
      <c r="AC1050" s="9">
        <v>0.88904477430009909</v>
      </c>
      <c r="AD1050" s="9">
        <v>0.97264710632353335</v>
      </c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</row>
    <row r="1051" spans="28:52">
      <c r="AB1051" s="9">
        <v>0.99454266007294967</v>
      </c>
      <c r="AC1051" s="9">
        <v>0.6202387624570932</v>
      </c>
      <c r="AD1051" s="9">
        <v>0.97627641262216591</v>
      </c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</row>
    <row r="1052" spans="28:52">
      <c r="AB1052" s="9">
        <v>0.99063825006595219</v>
      </c>
      <c r="AC1052" s="9">
        <v>0.59640950281950522</v>
      </c>
      <c r="AD1052" s="9">
        <v>0.96983169327737895</v>
      </c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</row>
    <row r="1053" spans="28:52">
      <c r="AB1053" s="9">
        <v>0.99734475181060667</v>
      </c>
      <c r="AC1053" s="9">
        <v>0.58487202427330198</v>
      </c>
      <c r="AD1053" s="9">
        <v>0.96640130990293871</v>
      </c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</row>
    <row r="1054" spans="28:52">
      <c r="AB1054" s="9">
        <v>1.000667446803456</v>
      </c>
      <c r="AC1054" s="9">
        <v>0.62380918311088718</v>
      </c>
      <c r="AD1054" s="9">
        <v>0.96771575190809889</v>
      </c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</row>
    <row r="1055" spans="28:52">
      <c r="AB1055" s="9">
        <v>0.99867289730024478</v>
      </c>
      <c r="AC1055" s="9">
        <v>0.69626068917884409</v>
      </c>
      <c r="AD1055" s="9">
        <v>0.97873820331917438</v>
      </c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</row>
    <row r="1056" spans="28:52">
      <c r="AB1056" s="9">
        <v>0.98679164717610712</v>
      </c>
      <c r="AC1056" s="9">
        <v>0.63994245966758123</v>
      </c>
      <c r="AD1056" s="9">
        <v>0.98750227159031756</v>
      </c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</row>
    <row r="1057" spans="28:52">
      <c r="AB1057" s="9">
        <v>0.97804519251980182</v>
      </c>
      <c r="AC1057" s="9">
        <v>0.46464118105368662</v>
      </c>
      <c r="AD1057" s="9">
        <v>1.0051335675020345</v>
      </c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</row>
    <row r="1058" spans="28:52">
      <c r="AB1058" s="9">
        <v>0.96134721765035591</v>
      </c>
      <c r="AC1058" s="9">
        <v>0.5699232603999459</v>
      </c>
      <c r="AD1058" s="9">
        <v>1.0097234289808108</v>
      </c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</row>
    <row r="1059" spans="28:52">
      <c r="AB1059" s="9">
        <v>0.95800592329799539</v>
      </c>
      <c r="AC1059" s="9">
        <v>0.46344417097302459</v>
      </c>
      <c r="AD1059" s="9">
        <v>1.0044878839109608</v>
      </c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</row>
    <row r="1060" spans="28:52">
      <c r="AB1060" s="9">
        <v>0.96276607946255</v>
      </c>
      <c r="AC1060" s="9">
        <v>0.55585130116099812</v>
      </c>
      <c r="AD1060" s="9">
        <v>1.0059590995002066</v>
      </c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</row>
    <row r="1061" spans="28:52">
      <c r="AB1061" s="9">
        <v>0.96148751763196227</v>
      </c>
      <c r="AC1061" s="9">
        <v>0.70259283708030895</v>
      </c>
      <c r="AD1061" s="9">
        <v>1.0076147766572849</v>
      </c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</row>
    <row r="1062" spans="28:52">
      <c r="AB1062" s="9">
        <v>0.96034552052329003</v>
      </c>
      <c r="AC1062" s="9">
        <v>0.47347987382208523</v>
      </c>
      <c r="AD1062" s="9">
        <v>0.99802019088592697</v>
      </c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</row>
    <row r="1063" spans="28:52">
      <c r="AB1063" s="9">
        <v>0.9696691894947993</v>
      </c>
      <c r="AC1063" s="9">
        <v>0.49807822373866883</v>
      </c>
      <c r="AD1063" s="9">
        <v>1.0057548407420225</v>
      </c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</row>
    <row r="1064" spans="28:52">
      <c r="AB1064" s="9">
        <v>0.96234819829184615</v>
      </c>
      <c r="AC1064" s="9">
        <v>0.74305951596996644</v>
      </c>
      <c r="AD1064" s="9">
        <v>1.0170950834782244</v>
      </c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</row>
    <row r="1065" spans="28:52">
      <c r="AB1065" s="9">
        <v>0.95269954621988795</v>
      </c>
      <c r="AC1065" s="9">
        <v>0.49197898716060329</v>
      </c>
      <c r="AD1065" s="9">
        <v>1.0300178909078574</v>
      </c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</row>
    <row r="1066" spans="28:52">
      <c r="AB1066" s="9">
        <v>0.94241166114268904</v>
      </c>
      <c r="AC1066" s="9">
        <v>0.54718719972332808</v>
      </c>
      <c r="AD1066" s="9">
        <v>1.0362697871760354</v>
      </c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</row>
    <row r="1067" spans="28:52">
      <c r="AB1067" s="9">
        <v>0.93947755958189405</v>
      </c>
      <c r="AC1067" s="9">
        <v>0.56374035057328165</v>
      </c>
      <c r="AD1067" s="9">
        <v>1.0324855253676934</v>
      </c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</row>
    <row r="1068" spans="28:52">
      <c r="AB1068" s="9">
        <v>0.94577820252433342</v>
      </c>
      <c r="AC1068" s="9">
        <v>0.48098096208775309</v>
      </c>
      <c r="AD1068" s="9">
        <v>1.053304469689935</v>
      </c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</row>
    <row r="1069" spans="28:52">
      <c r="AB1069" s="9">
        <v>0.93027078146184694</v>
      </c>
      <c r="AC1069" s="9">
        <v>0.60275462438056349</v>
      </c>
      <c r="AD1069" s="9">
        <v>1.0600715169136632</v>
      </c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</row>
    <row r="1070" spans="28:52">
      <c r="AB1070" s="9">
        <v>0.92749309124610468</v>
      </c>
      <c r="AC1070" s="9">
        <v>0.63795728818547248</v>
      </c>
      <c r="AD1070" s="9">
        <v>1.0548924833163764</v>
      </c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</row>
    <row r="1071" spans="28:52">
      <c r="AB1071" s="9">
        <v>0.93526019307572605</v>
      </c>
      <c r="AC1071" s="9">
        <v>0.7205929570930244</v>
      </c>
      <c r="AD1071" s="9">
        <v>1.0734571448594854</v>
      </c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</row>
    <row r="1072" spans="28:52">
      <c r="AB1072" s="9">
        <v>0.92206818653528566</v>
      </c>
      <c r="AC1072" s="9">
        <v>0.66210525194320513</v>
      </c>
      <c r="AD1072" s="9">
        <v>1.0714356527449604</v>
      </c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</row>
    <row r="1073" spans="28:52">
      <c r="AB1073" s="9">
        <v>0.92697863804567238</v>
      </c>
      <c r="AC1073" s="9">
        <v>0.60825644029376535</v>
      </c>
      <c r="AD1073" s="9">
        <v>1.0776010793478352</v>
      </c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</row>
    <row r="1074" spans="28:52">
      <c r="AB1074" s="9">
        <v>0.92499290005164936</v>
      </c>
      <c r="AC1074" s="9">
        <v>0.48151514461165734</v>
      </c>
      <c r="AD1074" s="9">
        <v>1.0664706480557891</v>
      </c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</row>
    <row r="1075" spans="28:52">
      <c r="AB1075" s="9">
        <v>0.9376231200044467</v>
      </c>
      <c r="AC1075" s="9">
        <v>0.55537033116015078</v>
      </c>
      <c r="AD1075" s="9">
        <v>1.0664135814070035</v>
      </c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</row>
    <row r="1076" spans="28:52">
      <c r="AB1076" s="9">
        <v>0.94073331544506622</v>
      </c>
      <c r="AC1076" s="9">
        <v>0.63887270730999834</v>
      </c>
      <c r="AD1076" s="9">
        <v>1.0804625308481408</v>
      </c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</row>
    <row r="1077" spans="28:52">
      <c r="AB1077" s="9">
        <v>0.93145119584453473</v>
      </c>
      <c r="AC1077" s="9">
        <v>0.81712998793308989</v>
      </c>
      <c r="AD1077" s="9">
        <v>1.0792255082574806</v>
      </c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</row>
    <row r="1078" spans="28:52">
      <c r="AB1078" s="9">
        <v>0.9354309065759705</v>
      </c>
      <c r="AC1078" s="9">
        <v>0.5267181814465024</v>
      </c>
      <c r="AD1078" s="9">
        <v>1.0625718457655862</v>
      </c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</row>
    <row r="1079" spans="28:52">
      <c r="AB1079" s="9">
        <v>0.95237505959733804</v>
      </c>
      <c r="AC1079" s="9">
        <v>0.74467551043418079</v>
      </c>
      <c r="AD1079" s="9">
        <v>1.0392454246556959</v>
      </c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</row>
    <row r="1080" spans="28:52">
      <c r="AB1080" s="9">
        <v>0.97474947881283569</v>
      </c>
      <c r="AC1080" s="9">
        <v>1.4108470786485725</v>
      </c>
      <c r="AD1080" s="9">
        <v>1.0399036228493985</v>
      </c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</row>
    <row r="1081" spans="28:52">
      <c r="AB1081" s="9">
        <v>0.97583873338008054</v>
      </c>
      <c r="AC1081" s="9">
        <v>1.4009348113831896</v>
      </c>
      <c r="AD1081" s="9">
        <v>1.054447762972039</v>
      </c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</row>
    <row r="1082" spans="28:52">
      <c r="AB1082" s="9">
        <v>0.96391925919242782</v>
      </c>
      <c r="AC1082" s="9">
        <v>1.5128238434726706</v>
      </c>
      <c r="AD1082" s="9">
        <v>1.0379135058193079</v>
      </c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</row>
    <row r="1083" spans="28:52">
      <c r="AB1083" s="9">
        <v>0.98078030299484131</v>
      </c>
      <c r="AC1083" s="9">
        <v>1.1676962736497707</v>
      </c>
      <c r="AD1083" s="9">
        <v>1.0309074125664768</v>
      </c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</row>
    <row r="1084" spans="28:52">
      <c r="AB1084" s="9">
        <v>0.98832776513620235</v>
      </c>
      <c r="AC1084" s="9">
        <v>1.4996857977209406</v>
      </c>
      <c r="AD1084" s="9">
        <v>1.0447367300969888</v>
      </c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</row>
    <row r="1085" spans="28:52">
      <c r="AB1085" s="9">
        <v>0.97631920527338145</v>
      </c>
      <c r="AC1085" s="9">
        <v>1.5208562361286839</v>
      </c>
      <c r="AD1085" s="9">
        <v>1.0388652767564011</v>
      </c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</row>
    <row r="1086" spans="28:52">
      <c r="AB1086" s="9">
        <v>0.98299277935469043</v>
      </c>
      <c r="AC1086" s="9">
        <v>0.88408114112492964</v>
      </c>
      <c r="AD1086" s="9">
        <v>1.0495217587387489</v>
      </c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</row>
    <row r="1087" spans="28:52">
      <c r="AB1087" s="9">
        <v>0.97394213530791163</v>
      </c>
      <c r="AC1087" s="9">
        <v>0.86031044351221153</v>
      </c>
      <c r="AD1087" s="9">
        <v>1.0439906583779774</v>
      </c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</row>
    <row r="1088" spans="28:52">
      <c r="AB1088" s="9">
        <v>0.98061015963536446</v>
      </c>
      <c r="AC1088" s="9">
        <v>0.86529498215410439</v>
      </c>
      <c r="AD1088" s="9">
        <v>1.025093299476431</v>
      </c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</row>
    <row r="1089" spans="28:52">
      <c r="AB1089" s="9">
        <v>0.99975039523510811</v>
      </c>
      <c r="AC1089" s="9">
        <v>1.6029458363837015</v>
      </c>
      <c r="AD1089" s="9">
        <v>1.0145448441325549</v>
      </c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</row>
    <row r="1090" spans="28:52">
      <c r="AB1090" s="9">
        <v>1.0112300750255987</v>
      </c>
      <c r="AC1090" s="9">
        <v>1.9152434900236723</v>
      </c>
      <c r="AD1090" s="9">
        <v>0.99912519437771896</v>
      </c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</row>
    <row r="1091" spans="28:52">
      <c r="AB1091" s="9">
        <v>1.0274444818415034</v>
      </c>
      <c r="AC1091" s="9">
        <v>2.057691758823835</v>
      </c>
      <c r="AD1091" s="9">
        <v>0.99850106867766264</v>
      </c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</row>
    <row r="1092" spans="28:52">
      <c r="AB1092" s="9">
        <v>1.0289929351503726</v>
      </c>
      <c r="AC1092" s="9">
        <v>1.7580607577856799</v>
      </c>
      <c r="AD1092" s="9">
        <v>0.98643159340057107</v>
      </c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</row>
    <row r="1093" spans="28:52">
      <c r="AB1093" s="9">
        <v>1.0417905408098727</v>
      </c>
      <c r="AC1093" s="9">
        <v>2.1538953408569719</v>
      </c>
      <c r="AD1093" s="9">
        <v>0.97656485007867733</v>
      </c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</row>
    <row r="1094" spans="28:52">
      <c r="AB1094" s="9">
        <v>1.051735959556779</v>
      </c>
      <c r="AC1094" s="9">
        <v>2.4139258337155214</v>
      </c>
      <c r="AD1094" s="9">
        <v>0.97769480994875235</v>
      </c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</row>
    <row r="1095" spans="28:52">
      <c r="AB1095" s="9">
        <v>1.0497030739586317</v>
      </c>
      <c r="AC1095" s="9">
        <v>2.4758705329284023</v>
      </c>
      <c r="AD1095" s="9">
        <v>0.98166533786913879</v>
      </c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</row>
    <row r="1096" spans="28:52">
      <c r="AB1096" s="9">
        <v>1.0445972522345104</v>
      </c>
      <c r="AC1096" s="9">
        <v>1.6260545322635647</v>
      </c>
      <c r="AD1096" s="9">
        <v>0.96491910688999627</v>
      </c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</row>
    <row r="1097" spans="28:52">
      <c r="AB1097" s="9">
        <v>1.0615738230776179</v>
      </c>
      <c r="AC1097" s="9">
        <v>2.3814928019213282</v>
      </c>
      <c r="AD1097" s="9">
        <v>0.96943097141575318</v>
      </c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</row>
    <row r="1098" spans="28:52">
      <c r="AB1098" s="9">
        <v>1.055184204873459</v>
      </c>
      <c r="AC1098" s="9">
        <v>1.8792229253699044</v>
      </c>
      <c r="AD1098" s="9">
        <v>0.99108176698544137</v>
      </c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</row>
    <row r="1099" spans="28:52">
      <c r="AB1099" s="9">
        <v>1.0311157351628981</v>
      </c>
      <c r="AC1099" s="9">
        <v>2.5849401158318801</v>
      </c>
      <c r="AD1099" s="9">
        <v>0.96514216162627453</v>
      </c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</row>
    <row r="1100" spans="28:52">
      <c r="AB1100" s="9">
        <v>1.0572396084752513</v>
      </c>
      <c r="AC1100" s="9">
        <v>1.6146899501324663</v>
      </c>
      <c r="AD1100" s="9">
        <v>0.96434086026151111</v>
      </c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</row>
    <row r="1101" spans="28:52">
      <c r="AB1101" s="9">
        <v>1.056236459032166</v>
      </c>
      <c r="AC1101" s="9">
        <v>2.1309735820450442</v>
      </c>
      <c r="AD1101" s="9">
        <v>0.95018565717915726</v>
      </c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</row>
    <row r="1102" spans="28:52">
      <c r="AB1102" s="9">
        <v>1.07003457622069</v>
      </c>
      <c r="AC1102" s="9">
        <v>1.348064574008295</v>
      </c>
      <c r="AD1102" s="9">
        <v>0.95975551233309231</v>
      </c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</row>
    <row r="1103" spans="28:52">
      <c r="AB1103" s="9">
        <v>1.0574638696685827</v>
      </c>
      <c r="AC1103" s="9">
        <v>1.2484773630679786</v>
      </c>
      <c r="AD1103" s="9">
        <v>0.96516926777809542</v>
      </c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</row>
    <row r="1104" spans="28:52">
      <c r="AB1104" s="9">
        <v>1.0501292361628018</v>
      </c>
      <c r="AC1104" s="9">
        <v>1.0175522446094745</v>
      </c>
      <c r="AD1104" s="9">
        <v>0.95715656065369648</v>
      </c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</row>
    <row r="1105" spans="28:52">
      <c r="AB1105" s="9">
        <v>1.0571990337193629</v>
      </c>
      <c r="AC1105" s="9">
        <v>1.0802516762988719</v>
      </c>
      <c r="AD1105" s="9">
        <v>0.94630971281246068</v>
      </c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</row>
    <row r="1106" spans="28:52">
      <c r="AB1106" s="9">
        <v>1.0666647643635772</v>
      </c>
      <c r="AC1106" s="9">
        <v>1.4833870555534647</v>
      </c>
      <c r="AD1106" s="9">
        <v>0.94197462952260735</v>
      </c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</row>
    <row r="1107" spans="28:52">
      <c r="AB1107" s="9">
        <v>1.0685620126496751</v>
      </c>
      <c r="AC1107" s="9">
        <v>1.0046954863060846</v>
      </c>
      <c r="AD1107" s="9">
        <v>0.94561052770674148</v>
      </c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</row>
    <row r="1108" spans="28:52">
      <c r="AB1108" s="9">
        <v>1.0614005766829555</v>
      </c>
      <c r="AC1108" s="9">
        <v>1.1821320762519127</v>
      </c>
      <c r="AD1108" s="9">
        <v>1.0125266184651929</v>
      </c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</row>
    <row r="1109" spans="28:52">
      <c r="AB1109" s="9">
        <v>0.98989307884200428</v>
      </c>
      <c r="AC1109" s="9">
        <v>1.1867701925471812</v>
      </c>
      <c r="AD1109" s="9">
        <v>1.0021562094483216</v>
      </c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</row>
    <row r="1110" spans="28:52">
      <c r="AB1110" s="9">
        <v>0.99969006207173161</v>
      </c>
      <c r="AC1110" s="9">
        <v>1.4063729100592723</v>
      </c>
      <c r="AD1110" s="9">
        <v>0.98372910275063541</v>
      </c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</row>
    <row r="1111" spans="28:52">
      <c r="AB1111" s="9">
        <v>1.0172850182834083</v>
      </c>
      <c r="AC1111" s="9">
        <v>0.99973041677069185</v>
      </c>
      <c r="AD1111" s="9">
        <v>0.98756100887827547</v>
      </c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</row>
    <row r="1112" spans="28:52">
      <c r="AB1112" s="9">
        <v>1.0121630846969161</v>
      </c>
      <c r="AC1112" s="9">
        <v>0.86622679021747406</v>
      </c>
      <c r="AD1112" s="9">
        <v>0.9973948810760227</v>
      </c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</row>
    <row r="1113" spans="28:52">
      <c r="AB1113" s="9">
        <v>1.0019352732112965</v>
      </c>
      <c r="AC1113" s="9">
        <v>0.8626681786141166</v>
      </c>
      <c r="AD1113" s="9">
        <v>0.98149608911872643</v>
      </c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</row>
    <row r="1114" spans="28:52">
      <c r="AB1114" s="9">
        <v>1.0179830448613465</v>
      </c>
      <c r="AC1114" s="9">
        <v>1.2327192434380141</v>
      </c>
      <c r="AD1114" s="9">
        <v>0.97749794470863216</v>
      </c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</row>
    <row r="1115" spans="28:52">
      <c r="AB1115" s="9">
        <v>1.021343754820863</v>
      </c>
      <c r="AC1115" s="9">
        <v>1.1899908905938812</v>
      </c>
      <c r="AD1115" s="9">
        <v>0.96525564642906891</v>
      </c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</row>
    <row r="1116" spans="28:52">
      <c r="AB1116" s="9">
        <v>1.0328975814004198</v>
      </c>
      <c r="AC1116" s="9">
        <v>1.166838850285165</v>
      </c>
      <c r="AD1116" s="9">
        <v>0.96462899417347481</v>
      </c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</row>
    <row r="1117" spans="28:52">
      <c r="AB1117" s="9">
        <v>1.0318406041586115</v>
      </c>
      <c r="AC1117" s="9">
        <v>1.0191687736488575</v>
      </c>
      <c r="AD1117" s="9">
        <v>0.96692357079053148</v>
      </c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</row>
    <row r="1118" spans="28:52">
      <c r="AB1118" s="9">
        <v>1.0281967273340515</v>
      </c>
      <c r="AC1118" s="9">
        <v>0.75741296874954755</v>
      </c>
      <c r="AD1118" s="9">
        <v>0.96662232834012307</v>
      </c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</row>
    <row r="1119" spans="28:52">
      <c r="AB1119" s="9">
        <v>1.0270037880676566</v>
      </c>
      <c r="AC1119" s="9">
        <v>0.84912391247231045</v>
      </c>
      <c r="AD1119" s="9">
        <v>0.96475669225567795</v>
      </c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</row>
    <row r="1120" spans="28:52">
      <c r="AB1120" s="9">
        <v>1.0274335925872107</v>
      </c>
      <c r="AC1120" s="9">
        <v>0.58586700225119381</v>
      </c>
      <c r="AD1120" s="9">
        <v>0.96711339589695344</v>
      </c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</row>
    <row r="1121" spans="28:52">
      <c r="AB1121" s="9">
        <v>1.0235170880241511</v>
      </c>
      <c r="AC1121" s="9">
        <v>0.8999438193924516</v>
      </c>
      <c r="AD1121" s="9">
        <v>0.96348186014194248</v>
      </c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</row>
    <row r="1122" spans="28:52">
      <c r="AB1122" s="9">
        <v>1.0257254320814297</v>
      </c>
      <c r="AC1122" s="9">
        <v>0.5565912859788279</v>
      </c>
      <c r="AD1122" s="9">
        <v>0.96317051002182963</v>
      </c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</row>
    <row r="1123" spans="28:52">
      <c r="AB1123" s="9">
        <v>1.0241818293273648</v>
      </c>
      <c r="AC1123" s="9">
        <v>0.51391193653247247</v>
      </c>
      <c r="AD1123" s="9">
        <v>0.96905769480357407</v>
      </c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</row>
    <row r="1124" spans="28:52">
      <c r="AB1124" s="9">
        <v>1.0161039980844313</v>
      </c>
      <c r="AC1124" s="9">
        <v>0.48801317462728172</v>
      </c>
      <c r="AD1124" s="9">
        <v>0.96847610157727182</v>
      </c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</row>
    <row r="1125" spans="28:52">
      <c r="AB1125" s="9">
        <v>1.0155981413070438</v>
      </c>
      <c r="AC1125" s="9">
        <v>0.46604018641607453</v>
      </c>
      <c r="AD1125" s="9">
        <v>0.98357079960405402</v>
      </c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</row>
    <row r="1126" spans="28:52">
      <c r="AB1126" s="9">
        <v>0.99942091055099191</v>
      </c>
      <c r="AC1126" s="9">
        <v>0.54870106763575877</v>
      </c>
      <c r="AD1126" s="9">
        <v>0.98633479835220816</v>
      </c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</row>
    <row r="1127" spans="28:52">
      <c r="AB1127" s="9">
        <v>0.99696016530934428</v>
      </c>
      <c r="AC1127" s="9">
        <v>0.42702217388472063</v>
      </c>
      <c r="AD1127" s="9">
        <v>1.0039168327666392</v>
      </c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</row>
    <row r="1128" spans="28:52">
      <c r="AB1128" s="9">
        <v>0.98101086254729275</v>
      </c>
      <c r="AC1128" s="9">
        <v>0.44824651437651786</v>
      </c>
      <c r="AD1128" s="9">
        <v>1.0432702938857277</v>
      </c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</row>
    <row r="1129" spans="28:52">
      <c r="AB1129" s="9">
        <v>0.94675298812417508</v>
      </c>
      <c r="AC1129" s="9">
        <v>0.81984809614395715</v>
      </c>
      <c r="AD1129" s="9">
        <v>1.0227914567633956</v>
      </c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</row>
    <row r="1130" spans="28:52">
      <c r="AB1130" s="9">
        <v>0.96911411253109891</v>
      </c>
      <c r="AC1130" s="9">
        <v>0.64380219807575001</v>
      </c>
      <c r="AD1130" s="9">
        <v>1.0355145904186085</v>
      </c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</row>
    <row r="1131" spans="28:52">
      <c r="AB1131" s="9">
        <v>0.96097661078877739</v>
      </c>
      <c r="AC1131" s="9">
        <v>0.47389939586325724</v>
      </c>
      <c r="AD1131" s="9">
        <v>1.036913479419008</v>
      </c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</row>
    <row r="1132" spans="28:52">
      <c r="AB1132" s="9">
        <v>0.96308419278431501</v>
      </c>
      <c r="AC1132" s="9">
        <v>0.45617473449306517</v>
      </c>
      <c r="AD1132" s="9">
        <v>1.0383250962156565</v>
      </c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</row>
    <row r="1133" spans="28:52">
      <c r="AB1133" s="9">
        <v>0.96626412585416221</v>
      </c>
      <c r="AC1133" s="9">
        <v>0.4465203382793359</v>
      </c>
      <c r="AD1133" s="9">
        <v>1.043935383125125</v>
      </c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</row>
    <row r="1134" spans="28:52">
      <c r="AB1134" s="9">
        <v>0.9660914424363527</v>
      </c>
      <c r="AC1134" s="9">
        <v>0.28567796409734852</v>
      </c>
      <c r="AD1134" s="9">
        <v>1.0562970215895362</v>
      </c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</row>
    <row r="1135" spans="28:52">
      <c r="AB1135" s="9">
        <v>0.95982174188794589</v>
      </c>
      <c r="AC1135" s="9">
        <v>0.50708003620632813</v>
      </c>
      <c r="AD1135" s="9">
        <v>1.0768708077659468</v>
      </c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</row>
    <row r="1136" spans="28:52">
      <c r="AB1136" s="9">
        <v>0.94621593716839869</v>
      </c>
      <c r="AC1136" s="9">
        <v>0.44859988193475647</v>
      </c>
      <c r="AD1136" s="9">
        <v>1.0672195056347884</v>
      </c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</row>
    <row r="1137" spans="28:52">
      <c r="AB1137" s="9">
        <v>0.9599184336702119</v>
      </c>
      <c r="AC1137" s="9">
        <v>0.55340113494436816</v>
      </c>
      <c r="AD1137" s="9">
        <v>1.0761233037925027</v>
      </c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</row>
    <row r="1138" spans="28:52">
      <c r="AB1138" s="9">
        <v>0.95644238113740543</v>
      </c>
      <c r="AC1138" s="9">
        <v>0.49195093512879334</v>
      </c>
      <c r="AD1138" s="9">
        <v>1.0758727373844426</v>
      </c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</row>
    <row r="1139" spans="28:52">
      <c r="AB1139" s="9">
        <v>0.96145650910263702</v>
      </c>
      <c r="AC1139" s="9">
        <v>0.83046559595031577</v>
      </c>
      <c r="AD1139" s="9">
        <v>1.0782451534014652</v>
      </c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</row>
    <row r="1140" spans="28:52">
      <c r="AB1140" s="9">
        <v>0.9641158574139741</v>
      </c>
      <c r="AC1140" s="9">
        <v>0.45855904759196214</v>
      </c>
      <c r="AD1140" s="9">
        <v>1.063379831963853</v>
      </c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</row>
    <row r="1141" spans="28:52">
      <c r="AB1141" s="9">
        <v>0.98280355790796803</v>
      </c>
      <c r="AC1141" s="9">
        <v>0.81299232229670004</v>
      </c>
      <c r="AD1141" s="9">
        <v>1.0697514447415934</v>
      </c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</row>
    <row r="1142" spans="28:52">
      <c r="AB1142" s="9">
        <v>0.9812818121071607</v>
      </c>
      <c r="AC1142" s="9">
        <v>0.7180449218502013</v>
      </c>
      <c r="AD1142" s="9">
        <v>1.0790408548524828</v>
      </c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</row>
    <row r="1143" spans="28:52">
      <c r="AB1143" s="9">
        <v>0.97778108979916112</v>
      </c>
      <c r="AC1143" s="9">
        <v>0.5394626732340948</v>
      </c>
      <c r="AD1143" s="9">
        <v>1.0898972347796432</v>
      </c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</row>
    <row r="1144" spans="28:52">
      <c r="AB1144" s="9">
        <v>0.97325496757671959</v>
      </c>
      <c r="AC1144" s="9">
        <v>0.5517031431190319</v>
      </c>
      <c r="AD1144" s="9">
        <v>1.0824627749229185</v>
      </c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</row>
    <row r="1145" spans="28:52">
      <c r="AB1145" s="9">
        <v>0.98533764918650024</v>
      </c>
      <c r="AC1145" s="9">
        <v>0.44868348680519266</v>
      </c>
      <c r="AD1145" s="9">
        <v>1.0937586793533194</v>
      </c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</row>
    <row r="1146" spans="28:52">
      <c r="AB1146" s="9">
        <v>0.98055677588380408</v>
      </c>
      <c r="AC1146" s="9">
        <v>0.27119434299479367</v>
      </c>
      <c r="AD1146" s="9">
        <v>1.1135379177781592</v>
      </c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</row>
    <row r="1147" spans="28:52">
      <c r="AB1147" s="9">
        <v>0.96936092358285186</v>
      </c>
      <c r="AC1147" s="9">
        <v>0.39170539004503119</v>
      </c>
      <c r="AD1147" s="9">
        <v>1.1206861733799616</v>
      </c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</row>
    <row r="1148" spans="28:52">
      <c r="AB1148" s="9">
        <v>0.96932822150573716</v>
      </c>
      <c r="AC1148" s="9">
        <v>0.55031890274877227</v>
      </c>
      <c r="AD1148" s="9">
        <v>1.1306976988922779</v>
      </c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</row>
    <row r="1149" spans="28:52">
      <c r="AB1149" s="9">
        <v>0.96641788418720853</v>
      </c>
      <c r="AC1149" s="9">
        <v>0.49338854623608153</v>
      </c>
      <c r="AD1149" s="9">
        <v>1.1252899845133162</v>
      </c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</row>
    <row r="1150" spans="28:52">
      <c r="AB1150" s="9">
        <v>0.97704940841678256</v>
      </c>
      <c r="AC1150" s="9">
        <v>0.48342161770602921</v>
      </c>
      <c r="AD1150" s="9">
        <v>1.1123688537698522</v>
      </c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</row>
    <row r="1151" spans="28:52">
      <c r="AB1151" s="9">
        <v>0.99415121001217577</v>
      </c>
      <c r="AC1151" s="9">
        <v>1.0044614021621088</v>
      </c>
      <c r="AD1151" s="9">
        <v>1.1227285422974729</v>
      </c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</row>
    <row r="1152" spans="28:52">
      <c r="AB1152" s="9">
        <v>0.99081472362638723</v>
      </c>
      <c r="AC1152" s="9">
        <v>0.69201991304399546</v>
      </c>
      <c r="AD1152" s="9">
        <v>1.1277249893413908</v>
      </c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</row>
    <row r="1153" spans="28:52">
      <c r="AB1153" s="9">
        <v>0.99189479540784464</v>
      </c>
      <c r="AC1153" s="9">
        <v>0.90050246582043858</v>
      </c>
      <c r="AD1153" s="9">
        <v>1.1473110162454048</v>
      </c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</row>
    <row r="1154" spans="28:52">
      <c r="AB1154" s="9">
        <v>0.98024513798215218</v>
      </c>
      <c r="AC1154" s="9">
        <v>1.148748057270667</v>
      </c>
      <c r="AD1154" s="9">
        <v>1.1687532930862645</v>
      </c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</row>
    <row r="1155" spans="28:52">
      <c r="AB1155" s="9">
        <v>0.96807029939648259</v>
      </c>
      <c r="AC1155" s="9">
        <v>1.0665766836805242</v>
      </c>
      <c r="AD1155" s="9">
        <v>1.1678370527538871</v>
      </c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</row>
    <row r="1156" spans="28:52">
      <c r="AB1156" s="9">
        <v>0.9748062304997307</v>
      </c>
      <c r="AC1156" s="9">
        <v>0.93980221794389029</v>
      </c>
      <c r="AD1156" s="9">
        <v>1.1599740275416281</v>
      </c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</row>
    <row r="1157" spans="28:52">
      <c r="AB1157" s="9">
        <v>0.98745217368574123</v>
      </c>
      <c r="AC1157" s="9">
        <v>1.1002727690748615</v>
      </c>
      <c r="AD1157" s="9">
        <v>1.1644831178228139</v>
      </c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</row>
    <row r="1158" spans="28:52">
      <c r="AB1158" s="9">
        <v>0.98972943061711705</v>
      </c>
      <c r="AC1158" s="9">
        <v>0.71762651942950118</v>
      </c>
      <c r="AD1158" s="9">
        <v>1.1943182430811878</v>
      </c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</row>
    <row r="1159" spans="28:52">
      <c r="AB1159" s="9">
        <v>0.96989670914911008</v>
      </c>
      <c r="AC1159" s="9">
        <v>1.1521530132064968</v>
      </c>
      <c r="AD1159" s="9">
        <v>1.2053181314465951</v>
      </c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</row>
    <row r="1160" spans="28:52">
      <c r="AB1160" s="9">
        <v>0.96659527956920699</v>
      </c>
      <c r="AC1160" s="9">
        <v>1.0427080905954249</v>
      </c>
      <c r="AD1160" s="9">
        <v>1.1963374643239013</v>
      </c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</row>
    <row r="1161" spans="28:52">
      <c r="AB1161" s="9">
        <v>0.97942443466763562</v>
      </c>
      <c r="AC1161" s="9">
        <v>1.0517305156927281</v>
      </c>
      <c r="AD1161" s="9">
        <v>1.1770865581812373</v>
      </c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</row>
    <row r="1162" spans="28:52">
      <c r="AB1162" s="9">
        <v>1.0004055935202363</v>
      </c>
      <c r="AC1162" s="9">
        <v>1.3600567227448348</v>
      </c>
      <c r="AD1162" s="9">
        <v>1.1616436974177062</v>
      </c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</row>
    <row r="1163" spans="28:52">
      <c r="AB1163" s="9">
        <v>1.017552041446893</v>
      </c>
      <c r="AC1163" s="9">
        <v>1.9905440624061961</v>
      </c>
      <c r="AD1163" s="9">
        <v>1.1649677282249002</v>
      </c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</row>
    <row r="1164" spans="28:52">
      <c r="AB1164" s="9">
        <v>1.0184953318474381</v>
      </c>
      <c r="AC1164" s="9">
        <v>1.6705847422432445</v>
      </c>
      <c r="AD1164" s="9">
        <v>1.1682090573155084</v>
      </c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</row>
    <row r="1165" spans="28:52">
      <c r="AB1165" s="9">
        <v>1.0187026233249012</v>
      </c>
      <c r="AC1165" s="9">
        <v>1.5427155691483379</v>
      </c>
      <c r="AD1165" s="9">
        <v>1.1692926517881672</v>
      </c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</row>
    <row r="1166" spans="28:52">
      <c r="AB1166" s="9">
        <v>1.0208530084016338</v>
      </c>
      <c r="AC1166" s="9">
        <v>1.1895122217979546</v>
      </c>
      <c r="AD1166" s="9">
        <v>1.1514736971582293</v>
      </c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</row>
    <row r="1167" spans="28:52">
      <c r="AB1167" s="9">
        <v>1.0393961005799026</v>
      </c>
      <c r="AC1167" s="9">
        <v>1.9932710957343898</v>
      </c>
      <c r="AD1167" s="9">
        <v>1.154047573716652</v>
      </c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</row>
    <row r="1168" spans="28:52">
      <c r="AB1168" s="9">
        <v>1.0396436030767946</v>
      </c>
      <c r="AC1168" s="9">
        <v>2.0307381834106843</v>
      </c>
      <c r="AD1168" s="9">
        <v>1.1520426325606183</v>
      </c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</row>
    <row r="1169" spans="28:52">
      <c r="AB1169" s="9">
        <v>1.0444363764457463</v>
      </c>
      <c r="AC1169" s="9">
        <v>2.0185294879863762</v>
      </c>
      <c r="AD1169" s="9">
        <v>1.1551509123810311</v>
      </c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</row>
    <row r="1170" spans="28:52">
      <c r="AB1170" s="9">
        <v>1.0444649977437126</v>
      </c>
      <c r="AC1170" s="9">
        <v>2.0992754481114386</v>
      </c>
      <c r="AD1170" s="9">
        <v>1.1526506601321047</v>
      </c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</row>
    <row r="1171" spans="28:52">
      <c r="AB1171" s="9">
        <v>1.0493728080631339</v>
      </c>
      <c r="AC1171" s="9">
        <v>1.3973255343912185</v>
      </c>
      <c r="AD1171" s="9">
        <v>1.167075475252374</v>
      </c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</row>
    <row r="1172" spans="28:52">
      <c r="AB1172" s="9">
        <v>1.039084593651787</v>
      </c>
      <c r="AC1172" s="9">
        <v>1.3598883753254303</v>
      </c>
      <c r="AD1172" s="9">
        <v>1.1728827287450194</v>
      </c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</row>
    <row r="1173" spans="28:52">
      <c r="AB1173" s="9">
        <v>1.0368960129917826</v>
      </c>
      <c r="AC1173" s="9">
        <v>0.91300287324220575</v>
      </c>
      <c r="AD1173" s="9">
        <v>1.1544767127775968</v>
      </c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</row>
    <row r="1174" spans="28:52">
      <c r="AB1174" s="9">
        <v>1.0559803512101733</v>
      </c>
      <c r="AC1174" s="9">
        <v>1.3623737618998006</v>
      </c>
      <c r="AD1174" s="9">
        <v>1.1469553977684392</v>
      </c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</row>
    <row r="1175" spans="28:52">
      <c r="AB1175" s="9">
        <v>1.0652083474054237</v>
      </c>
      <c r="AC1175" s="9">
        <v>1.701778892506564</v>
      </c>
      <c r="AD1175" s="9">
        <v>1.1069921650527503</v>
      </c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</row>
    <row r="1176" spans="28:52">
      <c r="AB1176" s="9">
        <v>1.1046786221937441</v>
      </c>
      <c r="AC1176" s="9">
        <v>3.1730760511035974</v>
      </c>
      <c r="AD1176" s="9">
        <v>1.0686784217533005</v>
      </c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</row>
    <row r="1177" spans="28:52">
      <c r="AB1177" s="9">
        <v>1.1435401892868373</v>
      </c>
      <c r="AC1177" s="9">
        <v>2.8570461579147861</v>
      </c>
      <c r="AD1177" s="9">
        <v>1.0663325475909851</v>
      </c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</row>
    <row r="1178" spans="28:52">
      <c r="AB1178" s="9">
        <v>1.1439048570545867</v>
      </c>
      <c r="AC1178" s="9">
        <v>3.0835044106153915</v>
      </c>
      <c r="AD1178" s="9">
        <v>1.0695151456602476</v>
      </c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</row>
    <row r="1179" spans="28:52">
      <c r="AB1179" s="9">
        <v>1.1376745532561754</v>
      </c>
      <c r="AC1179" s="9">
        <v>2.6258408587444229</v>
      </c>
      <c r="AD1179" s="9">
        <v>1.0379413421913546</v>
      </c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</row>
    <row r="1180" spans="28:52">
      <c r="AB1180" s="9">
        <v>1.1693761601203365</v>
      </c>
      <c r="AC1180" s="9">
        <v>2.9948545088309801</v>
      </c>
      <c r="AD1180" s="9">
        <v>1.0491810940919035</v>
      </c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</row>
    <row r="1181" spans="28:52">
      <c r="AB1181" s="9">
        <v>1.1536786383873727</v>
      </c>
      <c r="AC1181" s="9">
        <v>3.7115983964286672</v>
      </c>
      <c r="AD1181" s="9">
        <v>1.0094736470279522</v>
      </c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</row>
    <row r="1182" spans="28:52">
      <c r="AB1182" s="9">
        <v>1.1949994731603015</v>
      </c>
      <c r="AC1182" s="9">
        <v>3.1078103416916951</v>
      </c>
      <c r="AD1182" s="9">
        <v>0.98901464922092086</v>
      </c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</row>
    <row r="1183" spans="28:52">
      <c r="AB1183" s="9">
        <v>1.2139963451903339</v>
      </c>
      <c r="AC1183" s="9">
        <v>2.6674919022776966</v>
      </c>
      <c r="AD1183" s="9">
        <v>0.98082228385322212</v>
      </c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</row>
    <row r="1184" spans="28:52">
      <c r="AB1184" s="9">
        <v>1.2178712621004182</v>
      </c>
      <c r="AC1184" s="9">
        <v>3.8087584367346508</v>
      </c>
      <c r="AD1184" s="9">
        <v>1.0118574926493122</v>
      </c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</row>
    <row r="1185" spans="28:52">
      <c r="AB1185" s="9">
        <v>1.1757079774711179</v>
      </c>
      <c r="AC1185" s="9">
        <v>2.9013585804906152</v>
      </c>
      <c r="AD1185" s="9">
        <v>0.98840502104146211</v>
      </c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</row>
    <row r="1186" spans="28:52">
      <c r="AB1186" s="9">
        <v>1.1987241972685931</v>
      </c>
      <c r="AC1186" s="9">
        <v>2.4220025489265549</v>
      </c>
      <c r="AD1186" s="9">
        <v>1.013314464562159</v>
      </c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</row>
    <row r="1187" spans="28:52">
      <c r="AB1187" s="9">
        <v>1.16470780901426</v>
      </c>
      <c r="AC1187" s="9">
        <v>2.5318241526110383</v>
      </c>
      <c r="AD1187" s="9">
        <v>1.01440497033976</v>
      </c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</row>
    <row r="1188" spans="28:52">
      <c r="AB1188" s="9">
        <v>1.1597958505561654</v>
      </c>
      <c r="AC1188" s="9">
        <v>1.4677598262905696</v>
      </c>
      <c r="AD1188" s="9">
        <v>1.0191219936836993</v>
      </c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</row>
    <row r="1189" spans="28:52">
      <c r="AB1189" s="9">
        <v>1.1510348345948622</v>
      </c>
      <c r="AC1189" s="9">
        <v>1.378395929798391</v>
      </c>
      <c r="AD1189" s="9">
        <v>0.99932937376607722</v>
      </c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</row>
    <row r="1190" spans="28:52">
      <c r="AB1190" s="9">
        <v>1.1695723714847133</v>
      </c>
      <c r="AC1190" s="9">
        <v>1.517635274315031</v>
      </c>
      <c r="AD1190" s="9">
        <v>1.0251100302860501</v>
      </c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</row>
    <row r="1191" spans="28:52">
      <c r="AB1191" s="9">
        <v>1.1368222870523954</v>
      </c>
      <c r="AC1191" s="9">
        <v>2.4410529963153671</v>
      </c>
      <c r="AD1191" s="9">
        <v>1.0129448237041094</v>
      </c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</row>
    <row r="1192" spans="28:52">
      <c r="AB1192" s="9">
        <v>1.1471924299989209</v>
      </c>
      <c r="AC1192" s="9">
        <v>1.4565723230528407</v>
      </c>
      <c r="AD1192" s="9">
        <v>1.0171602053549746</v>
      </c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</row>
    <row r="1193" spans="28:52">
      <c r="AB1193" s="9">
        <v>1.1390508407624802</v>
      </c>
      <c r="AC1193" s="9">
        <v>1.3513373464158551</v>
      </c>
      <c r="AD1193" s="9">
        <v>1.0050586576899498</v>
      </c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</row>
    <row r="1194" spans="28:52">
      <c r="AB1194" s="9">
        <v>1.1490697984691529</v>
      </c>
      <c r="AC1194" s="9">
        <v>1.5735984586015996</v>
      </c>
      <c r="AD1194" s="9">
        <v>0.99551305445460381</v>
      </c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</row>
    <row r="1195" spans="28:52">
      <c r="AB1195" s="9">
        <v>1.1558663878086783</v>
      </c>
      <c r="AC1195" s="9">
        <v>1.1576994566714753</v>
      </c>
      <c r="AD1195" s="9">
        <v>0.98561748103579339</v>
      </c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</row>
    <row r="1196" spans="28:52">
      <c r="AB1196" s="9">
        <v>1.1625765978278113</v>
      </c>
      <c r="AC1196" s="9">
        <v>2.095081888406515</v>
      </c>
      <c r="AD1196" s="9">
        <v>0.99455310158649424</v>
      </c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</row>
    <row r="1197" spans="28:52">
      <c r="AB1197" s="9">
        <v>1.1476090934683629</v>
      </c>
      <c r="AC1197" s="9">
        <v>1.6069708445708701</v>
      </c>
      <c r="AD1197" s="9">
        <v>0.99904853339962774</v>
      </c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</row>
    <row r="1198" spans="28:52">
      <c r="AB1198" s="9">
        <v>1.1381158519564458</v>
      </c>
      <c r="AC1198" s="9">
        <v>1.1206703650009584</v>
      </c>
      <c r="AD1198" s="9">
        <v>1.0058434223269443</v>
      </c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</row>
    <row r="1199" spans="28:52">
      <c r="AB1199" s="9">
        <v>1.1264991840734091</v>
      </c>
      <c r="AC1199" s="9">
        <v>1.0756911882344049</v>
      </c>
      <c r="AD1199" s="9">
        <v>0.99904107511273854</v>
      </c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</row>
    <row r="1200" spans="28:52">
      <c r="AB1200" s="9">
        <v>1.1301283713912822</v>
      </c>
      <c r="AC1200" s="9">
        <v>1.3722140733732315</v>
      </c>
      <c r="AD1200" s="9">
        <v>0.9983408229455667</v>
      </c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</row>
    <row r="1201" spans="28:52">
      <c r="AB1201" s="9">
        <v>1.1267911988673525</v>
      </c>
      <c r="AC1201" s="9">
        <v>0.63550538373153598</v>
      </c>
      <c r="AD1201" s="9">
        <v>1.0083811532982716</v>
      </c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</row>
    <row r="1202" spans="28:52">
      <c r="AB1202" s="9">
        <v>1.111591809728383</v>
      </c>
      <c r="AC1202" s="9">
        <v>1.0027859839666864</v>
      </c>
      <c r="AD1202" s="9">
        <v>1.0197975167588076</v>
      </c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</row>
    <row r="1203" spans="28:52">
      <c r="AB1203" s="9">
        <v>1.0957354520836446</v>
      </c>
      <c r="AC1203" s="9">
        <v>0.86100829654101196</v>
      </c>
      <c r="AD1203" s="9">
        <v>1.0218800405988835</v>
      </c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</row>
    <row r="1204" spans="28:52">
      <c r="AB1204" s="9">
        <v>1.0899034020566667</v>
      </c>
      <c r="AC1204" s="9">
        <v>0.79124664934107503</v>
      </c>
      <c r="AD1204" s="9">
        <v>1.0323078212646395</v>
      </c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</row>
    <row r="1205" spans="28:52">
      <c r="AB1205" s="9">
        <v>1.0751483456415325</v>
      </c>
      <c r="AC1205" s="9">
        <v>0.8117376147397245</v>
      </c>
      <c r="AD1205" s="9">
        <v>1.0215056311213697</v>
      </c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</row>
    <row r="1206" spans="28:52">
      <c r="AB1206" s="9">
        <v>1.0827859070710293</v>
      </c>
      <c r="AC1206" s="9">
        <v>0.68786315575910573</v>
      </c>
      <c r="AD1206" s="9">
        <v>1.0037486921899128</v>
      </c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</row>
    <row r="1207" spans="28:52">
      <c r="AB1207" s="9">
        <v>1.0973426886280544</v>
      </c>
      <c r="AC1207" s="9">
        <v>1.0095664931237236</v>
      </c>
      <c r="AD1207" s="9">
        <v>1.0071234938038482</v>
      </c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</row>
    <row r="1208" spans="28:52">
      <c r="AB1208" s="9">
        <v>1.0889013558827316</v>
      </c>
      <c r="AC1208" s="9">
        <v>1.0562089314050196</v>
      </c>
      <c r="AD1208" s="9">
        <v>1.0027597253335458</v>
      </c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</row>
    <row r="1209" spans="28:52">
      <c r="AB1209" s="9">
        <v>1.0884034307366965</v>
      </c>
      <c r="AC1209" s="9">
        <v>0.80938190351616157</v>
      </c>
      <c r="AD1209" s="9">
        <v>1.0125716563775038</v>
      </c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</row>
    <row r="1210" spans="28:52">
      <c r="AB1210" s="9">
        <v>1.0724001762875632</v>
      </c>
      <c r="AC1210" s="9">
        <v>0.80573330278520749</v>
      </c>
      <c r="AD1210" s="9">
        <v>1.0122113260280174</v>
      </c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</row>
    <row r="1211" spans="28:52">
      <c r="AB1211" s="9">
        <v>1.0676117511835446</v>
      </c>
      <c r="AC1211" s="9">
        <v>0.64642931827356875</v>
      </c>
      <c r="AD1211" s="9">
        <v>1.0242138103713938</v>
      </c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</row>
    <row r="1212" spans="28:52">
      <c r="AB1212" s="9">
        <v>1.0503095322209943</v>
      </c>
      <c r="AC1212" s="9">
        <v>0.70742731903572054</v>
      </c>
      <c r="AD1212" s="9">
        <v>1.0247415290690529</v>
      </c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</row>
    <row r="1213" spans="28:52">
      <c r="AB1213" s="9">
        <v>1.0460827638859038</v>
      </c>
      <c r="AC1213" s="9">
        <v>0.52977085283337588</v>
      </c>
      <c r="AD1213" s="9">
        <v>1.0687950073507893</v>
      </c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</row>
    <row r="1214" spans="28:52">
      <c r="AB1214" s="9">
        <v>1.0003946913733119</v>
      </c>
      <c r="AC1214" s="9">
        <v>0.78937511881093092</v>
      </c>
      <c r="AD1214" s="9">
        <v>1.0787229207537161</v>
      </c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</row>
    <row r="1215" spans="28:52">
      <c r="AB1215" s="9">
        <v>0.98982567259662346</v>
      </c>
      <c r="AC1215" s="9">
        <v>0.73277306410597132</v>
      </c>
      <c r="AD1215" s="9">
        <v>1.0797409379747742</v>
      </c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</row>
    <row r="1216" spans="28:52">
      <c r="AB1216" s="9">
        <v>0.98776087537303003</v>
      </c>
      <c r="AC1216" s="9">
        <v>0.54098430065240644</v>
      </c>
      <c r="AD1216" s="9">
        <v>1.0704408056973524</v>
      </c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</row>
    <row r="1217" spans="28:52">
      <c r="AB1217" s="9">
        <v>0.99514163096914254</v>
      </c>
      <c r="AC1217" s="9">
        <v>0.56711797850218848</v>
      </c>
      <c r="AD1217" s="9">
        <v>1.0454544964371226</v>
      </c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</row>
    <row r="1218" spans="28:52">
      <c r="AB1218" s="9">
        <v>1.0167775203800604</v>
      </c>
      <c r="AC1218" s="9">
        <v>0.73193250428226064</v>
      </c>
      <c r="AD1218" s="9">
        <v>1.0504927564680735</v>
      </c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</row>
    <row r="1219" spans="28:52">
      <c r="AB1219" s="9">
        <v>1.0095103662636946</v>
      </c>
      <c r="AC1219" s="9">
        <v>0.8179512546650991</v>
      </c>
      <c r="AD1219" s="9">
        <v>1.0528673804134985</v>
      </c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</row>
    <row r="1220" spans="28:52">
      <c r="AB1220" s="9">
        <v>1.0047854665616964</v>
      </c>
      <c r="AC1220" s="9">
        <v>0.48764441686934473</v>
      </c>
      <c r="AD1220" s="9">
        <v>1.0603888018513399</v>
      </c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</row>
    <row r="1221" spans="28:52">
      <c r="AB1221" s="9">
        <v>0.99555702050226913</v>
      </c>
      <c r="AC1221" s="9">
        <v>0.51510959022027836</v>
      </c>
      <c r="AD1221" s="9">
        <v>1.0584111101468068</v>
      </c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</row>
    <row r="1222" spans="28:52">
      <c r="AB1222" s="9">
        <v>0.99560744925535194</v>
      </c>
      <c r="AC1222" s="9">
        <v>0.51412696112573175</v>
      </c>
      <c r="AD1222" s="9">
        <v>1.0562863911269795</v>
      </c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</row>
    <row r="1223" spans="28:52">
      <c r="AB1223" s="9">
        <v>0.99549835378184215</v>
      </c>
      <c r="AC1223" s="9">
        <v>0.43816753360284422</v>
      </c>
      <c r="AD1223" s="9">
        <v>1.0439215863726405</v>
      </c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</row>
    <row r="1224" spans="28:52">
      <c r="AB1224" s="9">
        <v>1.0051320386127891</v>
      </c>
      <c r="AC1224" s="9">
        <v>0.78675825199435367</v>
      </c>
      <c r="AD1224" s="9">
        <v>1.0416796498306142</v>
      </c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</row>
    <row r="1225" spans="28:52">
      <c r="AB1225" s="9">
        <v>1.0051882003603461</v>
      </c>
      <c r="AC1225" s="9">
        <v>0.43429558576733257</v>
      </c>
      <c r="AD1225" s="9">
        <v>1.0438194757168757</v>
      </c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</row>
    <row r="1226" spans="28:52">
      <c r="AB1226" s="9">
        <v>1.0015184678403308</v>
      </c>
      <c r="AC1226" s="9">
        <v>0.51254540904924228</v>
      </c>
      <c r="AD1226" s="9">
        <v>1.0532814695233976</v>
      </c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</row>
    <row r="1227" spans="28:52">
      <c r="AB1227" s="9">
        <v>0.99173891425395277</v>
      </c>
      <c r="AC1227" s="9">
        <v>0.47385036200376851</v>
      </c>
      <c r="AD1227" s="9">
        <v>1.0491425873592453</v>
      </c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</row>
    <row r="1228" spans="28:52">
      <c r="AB1228" s="9">
        <v>0.99557897005401319</v>
      </c>
      <c r="AC1228" s="9">
        <v>0.42728900303883122</v>
      </c>
      <c r="AD1228" s="9">
        <v>1.0384598566218919</v>
      </c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</row>
    <row r="1229" spans="28:52">
      <c r="AB1229" s="9">
        <v>1.0053739539119966</v>
      </c>
      <c r="AC1229" s="9">
        <v>0.80556920428403345</v>
      </c>
      <c r="AD1229" s="9">
        <v>1.0263197485787017</v>
      </c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</row>
    <row r="1230" spans="28:52">
      <c r="AB1230" s="9">
        <v>1.0172009529741401</v>
      </c>
      <c r="AC1230" s="9">
        <v>1.0433380757292217</v>
      </c>
      <c r="AD1230" s="9">
        <v>1.0249069111932454</v>
      </c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</row>
    <row r="1231" spans="28:52">
      <c r="AB1231" s="9">
        <v>1.0179689629457649</v>
      </c>
      <c r="AC1231" s="9">
        <v>0.83426012072022826</v>
      </c>
      <c r="AD1231" s="9">
        <v>1.0316815657268374</v>
      </c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</row>
    <row r="1232" spans="28:52">
      <c r="AB1232" s="9">
        <v>1.0115170999320116</v>
      </c>
      <c r="AC1232" s="9">
        <v>0.67301857960317457</v>
      </c>
      <c r="AD1232" s="9">
        <v>1.0236044004120284</v>
      </c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</row>
    <row r="1233" spans="28:52">
      <c r="AB1233" s="9">
        <v>1.0201072258373678</v>
      </c>
      <c r="AC1233" s="9">
        <v>1.3918605541706315</v>
      </c>
      <c r="AD1233" s="9">
        <v>0.99564459156243745</v>
      </c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</row>
    <row r="1234" spans="28:52">
      <c r="AB1234" s="9">
        <v>1.0487943978732999</v>
      </c>
      <c r="AC1234" s="9">
        <v>1.4191708769845308</v>
      </c>
      <c r="AD1234" s="9">
        <v>0.98427176487194346</v>
      </c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</row>
    <row r="1235" spans="28:52">
      <c r="AB1235" s="9">
        <v>1.0596122239043837</v>
      </c>
      <c r="AC1235" s="9">
        <v>1.6106514627933215</v>
      </c>
      <c r="AD1235" s="9">
        <v>0.99354712941467105</v>
      </c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</row>
    <row r="1236" spans="28:52">
      <c r="AB1236" s="9">
        <v>1.0486247819883252</v>
      </c>
      <c r="AC1236" s="9">
        <v>2.0845453636231732</v>
      </c>
      <c r="AD1236" s="9">
        <v>0.97821240097311435</v>
      </c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</row>
    <row r="1237" spans="28:52">
      <c r="AB1237" s="9">
        <v>1.063184008959104</v>
      </c>
      <c r="AC1237" s="9">
        <v>0.9609567585605564</v>
      </c>
      <c r="AD1237" s="9">
        <v>0.97600906725869541</v>
      </c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</row>
    <row r="1238" spans="28:52">
      <c r="AB1238" s="9">
        <v>1.063276358058596</v>
      </c>
      <c r="AC1238" s="9">
        <v>1.0583551574353829</v>
      </c>
      <c r="AD1238" s="9">
        <v>0.9901548445861319</v>
      </c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</row>
    <row r="1239" spans="28:52">
      <c r="AB1239" s="9">
        <v>1.0454585402424563</v>
      </c>
      <c r="AC1239" s="9">
        <v>1.001587914002148</v>
      </c>
      <c r="AD1239" s="9">
        <v>0.98058096541260509</v>
      </c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</row>
    <row r="1240" spans="28:52">
      <c r="AB1240" s="9">
        <v>1.0536278817397258</v>
      </c>
      <c r="AC1240" s="9">
        <v>0.88443720992256869</v>
      </c>
      <c r="AD1240" s="9">
        <v>0.98371048797449845</v>
      </c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</row>
    <row r="1241" spans="28:52">
      <c r="AB1241" s="9">
        <v>1.0480436993621134</v>
      </c>
      <c r="AC1241" s="9">
        <v>0.86699074620725181</v>
      </c>
      <c r="AD1241" s="9">
        <v>0.97608045177970271</v>
      </c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</row>
    <row r="1242" spans="28:52">
      <c r="AB1242" s="9">
        <v>1.0541367872306404</v>
      </c>
      <c r="AC1242" s="9">
        <v>0.67974652665668589</v>
      </c>
      <c r="AD1242" s="9">
        <v>0.97091700680272108</v>
      </c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</row>
    <row r="1243" spans="28:52">
      <c r="AB1243" s="9">
        <v>1.0574546669492573</v>
      </c>
      <c r="AC1243" s="9">
        <v>1.0233963927683258</v>
      </c>
      <c r="AD1243" s="9">
        <v>0.97733831239319124</v>
      </c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</row>
    <row r="1244" spans="28:52">
      <c r="AB1244" s="9">
        <v>1.048549373142208</v>
      </c>
      <c r="AC1244" s="9">
        <v>0.851515757293833</v>
      </c>
      <c r="AD1244" s="9">
        <v>0.97725300781868296</v>
      </c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</row>
    <row r="1245" spans="28:52">
      <c r="AB1245" s="9">
        <v>1.0471124543247168</v>
      </c>
      <c r="AC1245" s="9">
        <v>0.86640448190721553</v>
      </c>
      <c r="AD1245" s="9">
        <v>0.95342923575842875</v>
      </c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</row>
    <row r="1246" spans="28:52">
      <c r="AB1246" s="9">
        <v>1.0715197996770034</v>
      </c>
      <c r="AC1246" s="9">
        <v>1.6204197808185576</v>
      </c>
      <c r="AD1246" s="9">
        <v>0.95698493172789512</v>
      </c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</row>
    <row r="1247" spans="28:52">
      <c r="AB1247" s="9">
        <v>1.0652760874155534</v>
      </c>
      <c r="AC1247" s="9">
        <v>1.6390128127688746</v>
      </c>
      <c r="AD1247" s="9">
        <v>0.94860784615595672</v>
      </c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</row>
    <row r="1248" spans="28:52">
      <c r="AB1248" s="9">
        <v>1.072444667929108</v>
      </c>
      <c r="AC1248" s="9">
        <v>1.2743896219935806</v>
      </c>
      <c r="AD1248" s="9">
        <v>0.9569724969720661</v>
      </c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</row>
    <row r="1249" spans="28:52">
      <c r="AB1249" s="9">
        <v>1.0607714181196903</v>
      </c>
      <c r="AC1249" s="9">
        <v>1.5885583356880204</v>
      </c>
      <c r="AD1249" s="9">
        <v>0.96571624807121825</v>
      </c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</row>
    <row r="1250" spans="28:52">
      <c r="AB1250" s="9">
        <v>1.0495397519127643</v>
      </c>
      <c r="AC1250" s="9">
        <v>0.95442820626676339</v>
      </c>
      <c r="AD1250" s="9">
        <v>0.96647924833551113</v>
      </c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</row>
    <row r="1251" spans="28:52">
      <c r="AB1251" s="9">
        <v>1.0474174911877716</v>
      </c>
      <c r="AC1251" s="9">
        <v>1.0672150966468883</v>
      </c>
      <c r="AD1251" s="9">
        <v>0.96405640721500596</v>
      </c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</row>
    <row r="1252" spans="28:52">
      <c r="AB1252" s="9">
        <v>1.0482622612859056</v>
      </c>
      <c r="AC1252" s="9">
        <v>0.72432943630617896</v>
      </c>
      <c r="AD1252" s="9">
        <v>0.97249724562159612</v>
      </c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</row>
    <row r="1253" spans="28:52">
      <c r="AB1253" s="9">
        <v>1.037253000649426</v>
      </c>
      <c r="AC1253" s="9">
        <v>0.59750227417242296</v>
      </c>
      <c r="AD1253" s="9">
        <v>0.98044807869192374</v>
      </c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</row>
    <row r="1254" spans="28:52">
      <c r="AB1254" s="9">
        <v>1.0275625941011313</v>
      </c>
      <c r="AC1254" s="9">
        <v>0.64146033857492091</v>
      </c>
      <c r="AD1254" s="9">
        <v>0.98021111748466794</v>
      </c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</row>
    <row r="1255" spans="28:52">
      <c r="AB1255" s="9">
        <v>1.0264767191440842</v>
      </c>
      <c r="AC1255" s="9">
        <v>0.69320835475007458</v>
      </c>
      <c r="AD1255" s="9">
        <v>0.99651216993088187</v>
      </c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</row>
    <row r="1256" spans="28:52">
      <c r="AB1256" s="9">
        <v>1.0092045974647355</v>
      </c>
      <c r="AC1256" s="9">
        <v>0.83854973831745316</v>
      </c>
      <c r="AD1256" s="9">
        <v>0.99373846481378025</v>
      </c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</row>
    <row r="1257" spans="28:52">
      <c r="AB1257" s="9">
        <v>1.0123731999402996</v>
      </c>
      <c r="AC1257" s="9">
        <v>0.58521524290528937</v>
      </c>
      <c r="AD1257" s="9">
        <v>0.99762046557644546</v>
      </c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</row>
    <row r="1258" spans="28:52">
      <c r="AB1258" s="9">
        <v>1.0086575688019592</v>
      </c>
      <c r="AC1258" s="9">
        <v>0.73016150401118418</v>
      </c>
      <c r="AD1258" s="9">
        <v>1.0162089169642039</v>
      </c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</row>
    <row r="1259" spans="28:52">
      <c r="AB1259" s="9">
        <v>0.9910630188135221</v>
      </c>
      <c r="AC1259" s="9">
        <v>0.6698481742968404</v>
      </c>
      <c r="AD1259" s="9">
        <v>1.0263395419726451</v>
      </c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</row>
    <row r="1260" spans="28:52">
      <c r="AB1260" s="9">
        <v>0.98236025463082688</v>
      </c>
      <c r="AC1260" s="9">
        <v>0.74461005519046508</v>
      </c>
      <c r="AD1260" s="9">
        <v>1.0461566954915624</v>
      </c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</row>
    <row r="1261" spans="28:52">
      <c r="AB1261" s="9">
        <v>0.96546142993340567</v>
      </c>
      <c r="AC1261" s="9">
        <v>0.93229845553449575</v>
      </c>
      <c r="AD1261" s="9">
        <v>1.0225861540654757</v>
      </c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</row>
    <row r="1262" spans="28:52">
      <c r="AB1262" s="9">
        <v>0.9890726862341116</v>
      </c>
      <c r="AC1262" s="9">
        <v>0.92767055179319224</v>
      </c>
      <c r="AD1262" s="9">
        <v>1.0206922021495541</v>
      </c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</row>
    <row r="1263" spans="28:52">
      <c r="AB1263" s="9">
        <v>0.99190340336506411</v>
      </c>
      <c r="AC1263" s="9">
        <v>0.83240193010520658</v>
      </c>
      <c r="AD1263" s="9">
        <v>1.0102912981971102</v>
      </c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</row>
    <row r="1264" spans="28:52">
      <c r="AB1264" s="9">
        <v>1.0019025255700917</v>
      </c>
      <c r="AC1264" s="9">
        <v>1.0418220381349195</v>
      </c>
      <c r="AD1264" s="9">
        <v>1.0082973170107288</v>
      </c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</row>
    <row r="1265" spans="28:52">
      <c r="AB1265" s="9">
        <v>1.0033062235708894</v>
      </c>
      <c r="AC1265" s="9">
        <v>0.58151082972039825</v>
      </c>
      <c r="AD1265" s="9">
        <v>1.0177885333523842</v>
      </c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</row>
    <row r="1266" spans="28:52">
      <c r="AB1266" s="9">
        <v>0.9936138192834979</v>
      </c>
      <c r="AC1266" s="9">
        <v>0.62073984825026052</v>
      </c>
      <c r="AD1266" s="9">
        <v>1.0311016798769672</v>
      </c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</row>
    <row r="1267" spans="28:52">
      <c r="AB1267" s="9">
        <v>0.98091507913081799</v>
      </c>
      <c r="AC1267" s="9">
        <v>0.67582631613844346</v>
      </c>
      <c r="AD1267" s="9">
        <v>1.0308064976524594</v>
      </c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</row>
    <row r="1268" spans="28:52">
      <c r="AB1268" s="9">
        <v>0.98194971855051105</v>
      </c>
      <c r="AC1268" s="9">
        <v>0.73177973813013064</v>
      </c>
      <c r="AD1268" s="9">
        <v>1.0425290392720008</v>
      </c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</row>
    <row r="1269" spans="28:52">
      <c r="AB1269" s="9">
        <v>0.97162520190697843</v>
      </c>
      <c r="AC1269" s="9">
        <v>0.73643544186546039</v>
      </c>
      <c r="AD1269" s="9">
        <v>1.0406146323735901</v>
      </c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</row>
    <row r="1270" spans="28:52">
      <c r="AB1270" s="9">
        <v>0.97429896005572225</v>
      </c>
      <c r="AC1270" s="9">
        <v>0.47890461988235172</v>
      </c>
      <c r="AD1270" s="9">
        <v>1.0215931777873164</v>
      </c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</row>
    <row r="1271" spans="28:52">
      <c r="AB1271" s="9">
        <v>0.99264772322326356</v>
      </c>
      <c r="AC1271" s="9">
        <v>0.70392002104709295</v>
      </c>
      <c r="AD1271" s="9">
        <v>1.0311772074374701</v>
      </c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</row>
    <row r="1272" spans="28:52">
      <c r="AB1272" s="9">
        <v>0.98368392872473709</v>
      </c>
      <c r="AC1272" s="9">
        <v>0.74907737130396668</v>
      </c>
      <c r="AD1272" s="9">
        <v>1.0351421736147386</v>
      </c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</row>
    <row r="1273" spans="28:52">
      <c r="AB1273" s="9">
        <v>0.98042634290572583</v>
      </c>
      <c r="AC1273" s="9">
        <v>0.67479074140927398</v>
      </c>
      <c r="AD1273" s="9">
        <v>1.0273864103009418</v>
      </c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</row>
    <row r="1274" spans="28:52">
      <c r="AB1274" s="9">
        <v>0.98848256304943827</v>
      </c>
      <c r="AC1274" s="9">
        <v>0.79893801350276161</v>
      </c>
      <c r="AD1274" s="9">
        <v>1.0377267569147532</v>
      </c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</row>
    <row r="1275" spans="28:52">
      <c r="AB1275" s="9">
        <v>0.97941136300461773</v>
      </c>
      <c r="AC1275" s="9">
        <v>0.67059847321167088</v>
      </c>
      <c r="AD1275" s="9">
        <v>1.0433450587310926</v>
      </c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</row>
    <row r="1276" spans="28:52">
      <c r="AB1276" s="9">
        <v>0.97534430985130705</v>
      </c>
      <c r="AC1276" s="9">
        <v>0.67709909571190263</v>
      </c>
      <c r="AD1276" s="9">
        <v>1.0145249546033335</v>
      </c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</row>
    <row r="1277" spans="28:52">
      <c r="AB1277" s="9">
        <v>1.003624108309884</v>
      </c>
      <c r="AC1277" s="9">
        <v>1.0486969487513593</v>
      </c>
      <c r="AD1277" s="9">
        <v>1.016625707103455</v>
      </c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</row>
    <row r="1278" spans="28:52">
      <c r="AB1278" s="9">
        <v>1.0017467605768193</v>
      </c>
      <c r="AC1278" s="9">
        <v>1.2143520631492761</v>
      </c>
      <c r="AD1278" s="9">
        <v>1.0048582056251012</v>
      </c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</row>
    <row r="1279" spans="28:52">
      <c r="AB1279" s="9">
        <v>1.0135736947649383</v>
      </c>
      <c r="AC1279" s="9">
        <v>1.3396201300363491</v>
      </c>
      <c r="AD1279" s="9">
        <v>1.0098073677177046</v>
      </c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</row>
    <row r="1280" spans="28:52">
      <c r="AB1280" s="9">
        <v>1.0086687254880387</v>
      </c>
      <c r="AC1280" s="9">
        <v>0.84175174648398565</v>
      </c>
      <c r="AD1280" s="9">
        <v>1.0107941876963613</v>
      </c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</row>
    <row r="1281" spans="28:52">
      <c r="AB1281" s="9">
        <v>1.0078820587998236</v>
      </c>
      <c r="AC1281" s="9">
        <v>0.64259116220510781</v>
      </c>
      <c r="AD1281" s="9">
        <v>1.011189910124382</v>
      </c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</row>
    <row r="1282" spans="28:52">
      <c r="AB1282" s="9">
        <v>1.0075329338597614</v>
      </c>
      <c r="AC1282" s="9">
        <v>0.56835977081375866</v>
      </c>
      <c r="AD1282" s="9">
        <v>1.0109578255727916</v>
      </c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</row>
    <row r="1283" spans="28:52">
      <c r="AB1283" s="9">
        <v>1.0080943546072254</v>
      </c>
      <c r="AC1283" s="9">
        <v>0.8567540457829943</v>
      </c>
      <c r="AD1283" s="9">
        <v>1.0041677583531663</v>
      </c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</row>
    <row r="1284" spans="28:52">
      <c r="AB1284" s="9">
        <v>1.01563379367831</v>
      </c>
      <c r="AC1284" s="9">
        <v>0.72261540394259782</v>
      </c>
      <c r="AD1284" s="9">
        <v>1.0191591632683257</v>
      </c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</row>
    <row r="1285" spans="28:52">
      <c r="AB1285" s="9">
        <v>1.0017434195562704</v>
      </c>
      <c r="AC1285" s="9">
        <v>0.89382227026411987</v>
      </c>
      <c r="AD1285" s="9">
        <v>1.0257713041293772</v>
      </c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</row>
    <row r="1286" spans="28:52">
      <c r="AB1286" s="9">
        <v>0.99632068491453418</v>
      </c>
      <c r="AC1286" s="9">
        <v>0.6442062423239866</v>
      </c>
      <c r="AD1286" s="9">
        <v>1.0300139035613023</v>
      </c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</row>
    <row r="1287" spans="28:52">
      <c r="AB1287" s="9">
        <v>0.99355662587811289</v>
      </c>
      <c r="AC1287" s="9">
        <v>0.43598198923402465</v>
      </c>
      <c r="AD1287" s="9">
        <v>1.0616768223615998</v>
      </c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</row>
    <row r="1288" spans="28:52">
      <c r="AB1288" s="9">
        <v>0.96582423615447166</v>
      </c>
      <c r="AC1288" s="9">
        <v>1.0207856575405811</v>
      </c>
      <c r="AD1288" s="9">
        <v>1.0612057238701496</v>
      </c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</row>
    <row r="1289" spans="28:52">
      <c r="AB1289" s="9">
        <v>0.96823375406750134</v>
      </c>
      <c r="AC1289" s="9">
        <v>0.71887074106777171</v>
      </c>
      <c r="AD1289" s="9">
        <v>1.0417762043970489</v>
      </c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</row>
    <row r="1290" spans="28:52">
      <c r="AB1290" s="9">
        <v>0.98810814760167931</v>
      </c>
      <c r="AC1290" s="9">
        <v>1.0204116035005082</v>
      </c>
      <c r="AD1290" s="9">
        <v>1.0454508653068908</v>
      </c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</row>
    <row r="1291" spans="28:52">
      <c r="AB1291" s="9">
        <v>0.98601002785971814</v>
      </c>
      <c r="AC1291" s="9">
        <v>0.70609620026396036</v>
      </c>
      <c r="AD1291" s="9">
        <v>1.0396984945695473</v>
      </c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</row>
    <row r="1292" spans="28:52">
      <c r="AB1292" s="9">
        <v>0.99295507358016466</v>
      </c>
      <c r="AC1292" s="9">
        <v>0.86486242227559473</v>
      </c>
      <c r="AD1292" s="9">
        <v>1.0421566384947403</v>
      </c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</row>
    <row r="1293" spans="28:52">
      <c r="AB1293" s="9">
        <v>0.99217292852792394</v>
      </c>
      <c r="AC1293" s="9">
        <v>0.96189754149110018</v>
      </c>
      <c r="AD1293" s="9">
        <v>1.0412446133202591</v>
      </c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</row>
    <row r="1294" spans="28:52">
      <c r="AB1294" s="9">
        <v>0.99434798625802001</v>
      </c>
      <c r="AC1294" s="9">
        <v>0.61109867282682984</v>
      </c>
      <c r="AD1294" s="9">
        <v>1.0364009800193499</v>
      </c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</row>
    <row r="1295" spans="28:52">
      <c r="AB1295" s="9">
        <v>0.99996348325819695</v>
      </c>
      <c r="AC1295" s="9">
        <v>0.67366169052505076</v>
      </c>
      <c r="AD1295" s="9">
        <v>1.033006124575659</v>
      </c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</row>
    <row r="1296" spans="28:52">
      <c r="AB1296" s="9">
        <v>1.0047551778431889</v>
      </c>
      <c r="AC1296" s="9">
        <v>0.9175523356016948</v>
      </c>
      <c r="AD1296" s="9">
        <v>1.0245243749237614</v>
      </c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</row>
    <row r="1297" spans="28:52">
      <c r="AB1297" s="9">
        <v>1.0143290898314907</v>
      </c>
      <c r="AC1297" s="9">
        <v>0.99631098631282267</v>
      </c>
      <c r="AD1297" s="9">
        <v>1.0257421923287828</v>
      </c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</row>
    <row r="1298" spans="28:52">
      <c r="AB1298" s="9">
        <v>1.0147268893217871</v>
      </c>
      <c r="AC1298" s="9">
        <v>1.3305061012624448</v>
      </c>
      <c r="AD1298" s="9">
        <v>1.0243342503873762</v>
      </c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</row>
    <row r="1299" spans="28:52">
      <c r="AB1299" s="9">
        <v>1.0176707783702723</v>
      </c>
      <c r="AC1299" s="9">
        <v>0.71316750739259016</v>
      </c>
      <c r="AD1299" s="9">
        <v>1.0223780188799731</v>
      </c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</row>
    <row r="1300" spans="28:52">
      <c r="AB1300" s="9">
        <v>1.0208042112018527</v>
      </c>
      <c r="AC1300" s="9">
        <v>0.97103036609074234</v>
      </c>
      <c r="AD1300" s="9">
        <v>1.037129420562898</v>
      </c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</row>
    <row r="1301" spans="28:52">
      <c r="AB1301" s="9">
        <v>1.0078047102808463</v>
      </c>
      <c r="AC1301" s="9">
        <v>1.033120699247946</v>
      </c>
      <c r="AD1301" s="9">
        <v>1.0431832557900584</v>
      </c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</row>
    <row r="1302" spans="28:52">
      <c r="AB1302" s="9">
        <v>1.0037900415418413</v>
      </c>
      <c r="AC1302" s="9">
        <v>1.108937427735611</v>
      </c>
      <c r="AD1302" s="9">
        <v>1.0316992653403037</v>
      </c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</row>
    <row r="1303" spans="28:52">
      <c r="AB1303" s="9">
        <v>1.0163149813032319</v>
      </c>
      <c r="AC1303" s="9">
        <v>1.0729314188897701</v>
      </c>
      <c r="AD1303" s="9">
        <v>1.0349995151210689</v>
      </c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</row>
    <row r="1304" spans="28:52">
      <c r="AB1304" s="9">
        <v>1.0140623215077784</v>
      </c>
      <c r="AC1304" s="9">
        <v>0.85834018483942731</v>
      </c>
      <c r="AD1304" s="9">
        <v>1.0226041239993284</v>
      </c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</row>
    <row r="1305" spans="28:52">
      <c r="AB1305" s="9">
        <v>1.0270949636293518</v>
      </c>
      <c r="AC1305" s="9">
        <v>1.0495357141876851</v>
      </c>
      <c r="AD1305" s="9">
        <v>1.0131582815755904</v>
      </c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</row>
    <row r="1306" spans="28:52">
      <c r="AB1306" s="9">
        <v>1.0366227974445534</v>
      </c>
      <c r="AC1306" s="9">
        <v>1.6045215565425763</v>
      </c>
      <c r="AD1306" s="9">
        <v>1.0167826103220818</v>
      </c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</row>
    <row r="1307" spans="28:52">
      <c r="AB1307" s="9">
        <v>1.0328934120379474</v>
      </c>
      <c r="AC1307" s="9">
        <v>1.094530806081796</v>
      </c>
      <c r="AD1307" s="9">
        <v>1.0110645904849247</v>
      </c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</row>
    <row r="1308" spans="28:52">
      <c r="AB1308" s="9">
        <v>1.0385152705232343</v>
      </c>
      <c r="AC1308" s="9">
        <v>1.4328726861422392</v>
      </c>
      <c r="AD1308" s="9">
        <v>1.016185057456954</v>
      </c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</row>
    <row r="1309" spans="28:52">
      <c r="AB1309" s="9">
        <v>1.0327015957689589</v>
      </c>
      <c r="AC1309" s="9">
        <v>1.2662273147001912</v>
      </c>
      <c r="AD1309" s="9">
        <v>1.0096931993948974</v>
      </c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</row>
    <row r="1310" spans="28:52">
      <c r="AB1310" s="9">
        <v>1.0387205210489199</v>
      </c>
      <c r="AC1310" s="9">
        <v>1.0512560927298773</v>
      </c>
      <c r="AD1310" s="9">
        <v>1.0114680526873485</v>
      </c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</row>
    <row r="1311" spans="28:52">
      <c r="AB1311" s="9">
        <v>1.0358914170493991</v>
      </c>
      <c r="AC1311" s="9">
        <v>1.2141015839150497</v>
      </c>
      <c r="AD1311" s="9">
        <v>1.0039153419672742</v>
      </c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</row>
    <row r="1312" spans="28:52">
      <c r="AB1312" s="9">
        <v>1.0431402303048842</v>
      </c>
      <c r="AC1312" s="9">
        <v>1.0408826825567115</v>
      </c>
      <c r="AD1312" s="9">
        <v>1.0106542007026382</v>
      </c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</row>
    <row r="1313" spans="28:52">
      <c r="AB1313" s="9">
        <v>1.0355551734871888</v>
      </c>
      <c r="AC1313" s="9">
        <v>1.2614999160077562</v>
      </c>
      <c r="AD1313" s="9">
        <v>1.0083245781671697</v>
      </c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</row>
    <row r="1314" spans="28:52">
      <c r="AB1314" s="9">
        <v>1.0378270921828752</v>
      </c>
      <c r="AC1314" s="9">
        <v>1.1994761244905954</v>
      </c>
      <c r="AD1314" s="9">
        <v>1.0037325474823235</v>
      </c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</row>
    <row r="1315" spans="28:52">
      <c r="AB1315" s="9">
        <v>1.0425848281948189</v>
      </c>
      <c r="AC1315" s="9">
        <v>1.3488289794379646</v>
      </c>
      <c r="AD1315" s="9">
        <v>1.0105438555462554</v>
      </c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</row>
    <row r="1316" spans="28:52">
      <c r="AB1316" s="9">
        <v>1.0357058389663156</v>
      </c>
      <c r="AC1316" s="9">
        <v>1.3289066735349648</v>
      </c>
      <c r="AD1316" s="9">
        <v>1.0133318644271494</v>
      </c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</row>
    <row r="1317" spans="28:52">
      <c r="AB1317" s="9">
        <v>1.0328735046379351</v>
      </c>
      <c r="AC1317" s="9">
        <v>0.97402513322536155</v>
      </c>
      <c r="AD1317" s="9">
        <v>1.0203738468355958</v>
      </c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</row>
    <row r="1318" spans="28:52">
      <c r="AB1318" s="9">
        <v>1.025956885005932</v>
      </c>
      <c r="AC1318" s="9">
        <v>1.0389589592485298</v>
      </c>
      <c r="AD1318" s="9">
        <v>1.0179181364187189</v>
      </c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</row>
    <row r="1319" spans="28:52">
      <c r="AB1319" s="9">
        <v>1.0283005401893535</v>
      </c>
      <c r="AC1319" s="9">
        <v>0.85696128174208375</v>
      </c>
      <c r="AD1319" s="9">
        <v>1.0250310009132531</v>
      </c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</row>
    <row r="1320" spans="28:52">
      <c r="AB1320" s="9">
        <v>1.0208100969022196</v>
      </c>
      <c r="AC1320" s="9">
        <v>1.0285421141346323</v>
      </c>
      <c r="AD1320" s="9">
        <v>1.0152521215641264</v>
      </c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</row>
    <row r="1321" spans="28:52">
      <c r="AB1321" s="9">
        <v>1.0307605242841975</v>
      </c>
      <c r="AC1321" s="9">
        <v>1.1740756280270968</v>
      </c>
      <c r="AD1321" s="9">
        <v>1.0172562216742405</v>
      </c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</row>
    <row r="1322" spans="28:52">
      <c r="AB1322" s="9">
        <v>1.0289639198237428</v>
      </c>
      <c r="AC1322" s="9">
        <v>0.82207278432588726</v>
      </c>
      <c r="AD1322" s="9">
        <v>1.0171684119544409</v>
      </c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</row>
    <row r="1323" spans="28:52">
      <c r="AB1323" s="9">
        <v>1.0290712188825366</v>
      </c>
      <c r="AC1323" s="9">
        <v>0.83680696306607427</v>
      </c>
      <c r="AD1323" s="9">
        <v>1.0146704005971023</v>
      </c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</row>
    <row r="1324" spans="28:52">
      <c r="AB1324" s="9">
        <v>1.0317136307942687</v>
      </c>
      <c r="AC1324" s="9">
        <v>1.2717216987704867</v>
      </c>
      <c r="AD1324" s="9">
        <v>1.0045682877617754</v>
      </c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</row>
    <row r="1325" spans="28:52">
      <c r="AB1325" s="9">
        <v>1.041627313014051</v>
      </c>
      <c r="AC1325" s="9">
        <v>1.3520670847353167</v>
      </c>
      <c r="AD1325" s="9">
        <v>1.0044554510815102</v>
      </c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</row>
    <row r="1326" spans="28:52">
      <c r="AB1326" s="9">
        <v>1.0406105837306645</v>
      </c>
      <c r="AC1326" s="9">
        <v>1.2752438276322764</v>
      </c>
      <c r="AD1326" s="9">
        <v>1.0006465643087832</v>
      </c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</row>
    <row r="1327" spans="28:52">
      <c r="AB1327" s="9">
        <v>1.0438451208355362</v>
      </c>
      <c r="AC1327" s="9">
        <v>1.203278548465931</v>
      </c>
      <c r="AD1327" s="9">
        <v>1.0048062811724934</v>
      </c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</row>
    <row r="1328" spans="28:52">
      <c r="AB1328" s="9">
        <v>1.0388654777150503</v>
      </c>
      <c r="AC1328" s="9">
        <v>1.2107805126725146</v>
      </c>
      <c r="AD1328" s="9">
        <v>1.0108948793529449</v>
      </c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</row>
    <row r="1329" spans="28:52">
      <c r="AB1329" s="9">
        <v>1.03250595835424</v>
      </c>
      <c r="AC1329" s="9">
        <v>0.95771804197616861</v>
      </c>
      <c r="AD1329" s="9">
        <v>1.0111035146466378</v>
      </c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</row>
    <row r="1330" spans="28:52">
      <c r="AB1330" s="9">
        <v>1.0320875118517123</v>
      </c>
      <c r="AC1330" s="9">
        <v>0.96936339240182923</v>
      </c>
      <c r="AD1330" s="9">
        <v>1.013286533421704</v>
      </c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</row>
    <row r="1331" spans="28:52">
      <c r="AB1331" s="9">
        <v>1.0297490718051163</v>
      </c>
      <c r="AC1331" s="9">
        <v>1.1896868171007644</v>
      </c>
      <c r="AD1331" s="9">
        <v>1.00683100292207</v>
      </c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</row>
    <row r="1332" spans="28:52">
      <c r="AB1332" s="9">
        <v>1.0361202726731067</v>
      </c>
      <c r="AC1332" s="9">
        <v>1.216945240199123</v>
      </c>
      <c r="AD1332" s="9">
        <v>1.0074796760236688</v>
      </c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</row>
    <row r="1333" spans="28:52">
      <c r="AB1333" s="9">
        <v>1.0352964887871956</v>
      </c>
      <c r="AC1333" s="9">
        <v>1.7542429476784722</v>
      </c>
      <c r="AD1333" s="9">
        <v>1.0098080219092616</v>
      </c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</row>
    <row r="1334" spans="28:52">
      <c r="AB1334" s="9">
        <v>1.0329468643682529</v>
      </c>
      <c r="AC1334" s="9">
        <v>1.041405226958501</v>
      </c>
      <c r="AD1334" s="9">
        <v>1.0205757976328218</v>
      </c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</row>
    <row r="1335" spans="28:52">
      <c r="AB1335" s="9">
        <v>1.0219305293895469</v>
      </c>
      <c r="AC1335" s="9">
        <v>1.4171181496899872</v>
      </c>
      <c r="AD1335" s="9">
        <v>1.030583954643582</v>
      </c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</row>
    <row r="1336" spans="28:52">
      <c r="AB1336" s="9">
        <v>1.0122786999343412</v>
      </c>
      <c r="AC1336" s="9">
        <v>0.9501264081638926</v>
      </c>
      <c r="AD1336" s="9">
        <v>1.0347226589163327</v>
      </c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</row>
    <row r="1337" spans="28:52">
      <c r="AB1337" s="9">
        <v>1.0085536624461655</v>
      </c>
      <c r="AC1337" s="9">
        <v>0.92468313972292071</v>
      </c>
      <c r="AD1337" s="9">
        <v>1.0430069574545819</v>
      </c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</row>
    <row r="1338" spans="28:52">
      <c r="AB1338" s="9">
        <v>1.0005849235943556</v>
      </c>
      <c r="AC1338" s="9">
        <v>1.0519233091127231</v>
      </c>
      <c r="AD1338" s="9">
        <v>1.0429720469170876</v>
      </c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</row>
    <row r="1339" spans="28:52">
      <c r="AB1339" s="9">
        <v>1.0008213038429243</v>
      </c>
      <c r="AC1339" s="9">
        <v>0.96317959694623834</v>
      </c>
      <c r="AD1339" s="9">
        <v>1.0469097925711528</v>
      </c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</row>
    <row r="1340" spans="28:52">
      <c r="AB1340" s="9">
        <v>0.99774336698539057</v>
      </c>
      <c r="AC1340" s="9">
        <v>0.90155687919009841</v>
      </c>
      <c r="AD1340" s="9">
        <v>1.0467425812405038</v>
      </c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</row>
    <row r="1341" spans="28:52">
      <c r="AB1341" s="9">
        <v>0.99855741831583278</v>
      </c>
      <c r="AC1341" s="9">
        <v>0.79457440404555291</v>
      </c>
      <c r="AD1341" s="9">
        <v>1.0446010549767684</v>
      </c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</row>
    <row r="1342" spans="28:52">
      <c r="AB1342" s="9">
        <v>1.0011434181257874</v>
      </c>
      <c r="AC1342" s="9">
        <v>0.77633553339656203</v>
      </c>
      <c r="AD1342" s="9">
        <v>1.0514180228866004</v>
      </c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</row>
    <row r="1343" spans="28:52">
      <c r="AB1343" s="9">
        <v>0.99512153898682842</v>
      </c>
      <c r="AC1343" s="9">
        <v>0.72005771113711747</v>
      </c>
      <c r="AD1343" s="9">
        <v>1.0636794047489886</v>
      </c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</row>
    <row r="1344" spans="28:52">
      <c r="AB1344" s="9">
        <v>0.98456045500942968</v>
      </c>
      <c r="AC1344" s="9">
        <v>0.8505193650313132</v>
      </c>
      <c r="AD1344" s="9">
        <v>1.0544486616278328</v>
      </c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</row>
    <row r="1345" spans="28:52">
      <c r="AB1345" s="9">
        <v>0.99424727855308681</v>
      </c>
      <c r="AC1345" s="9">
        <v>0.93897739966375926</v>
      </c>
      <c r="AD1345" s="9">
        <v>1.0512816977557318</v>
      </c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</row>
    <row r="1346" spans="28:52">
      <c r="AB1346" s="9">
        <v>0.99812464003182566</v>
      </c>
      <c r="AC1346" s="9">
        <v>0.96251796293725433</v>
      </c>
      <c r="AD1346" s="9">
        <v>1.0351220337226916</v>
      </c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</row>
    <row r="1347" spans="28:52">
      <c r="AB1347" s="9">
        <v>1.0140123480423788</v>
      </c>
      <c r="AC1347" s="9">
        <v>1.1387902680868061</v>
      </c>
      <c r="AD1347" s="9">
        <v>1.0266465940165586</v>
      </c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</row>
    <row r="1348" spans="28:52">
      <c r="AB1348" s="9">
        <v>1.0222436524084169</v>
      </c>
      <c r="AC1348" s="9">
        <v>1.2458170251097322</v>
      </c>
      <c r="AD1348" s="9">
        <v>1.0302822471964557</v>
      </c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</row>
    <row r="1349" spans="28:52">
      <c r="AB1349" s="9">
        <v>1.0185137318773483</v>
      </c>
      <c r="AC1349" s="9">
        <v>1.4268802636933937</v>
      </c>
      <c r="AD1349" s="9">
        <v>1.0238641948404261</v>
      </c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</row>
    <row r="1350" spans="28:52">
      <c r="AB1350" s="9">
        <v>1.0251644108781737</v>
      </c>
      <c r="AC1350" s="9">
        <v>1.5136832356362733</v>
      </c>
      <c r="AD1350" s="9">
        <v>1.0286433432684536</v>
      </c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</row>
    <row r="1351" spans="28:52">
      <c r="AB1351" s="9">
        <v>1.0203025381519999</v>
      </c>
      <c r="AC1351" s="9">
        <v>1.4494777748079835</v>
      </c>
      <c r="AD1351" s="9">
        <v>1.037514357425448</v>
      </c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</row>
    <row r="1352" spans="28:52">
      <c r="AB1352" s="9">
        <v>1.0118584940348718</v>
      </c>
      <c r="AC1352" s="9">
        <v>0.96828522799169492</v>
      </c>
      <c r="AD1352" s="9">
        <v>1.0389665931448504</v>
      </c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</row>
    <row r="1353" spans="28:52">
      <c r="AB1353" s="9">
        <v>1.0111660063114545</v>
      </c>
      <c r="AC1353" s="9">
        <v>0.78596667876189508</v>
      </c>
      <c r="AD1353" s="9">
        <v>1.0427032225861042</v>
      </c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</row>
    <row r="1354" spans="28:52">
      <c r="AB1354" s="9">
        <v>1.0084587440631545</v>
      </c>
      <c r="AC1354" s="9">
        <v>0.80223072962780217</v>
      </c>
      <c r="AD1354" s="9">
        <v>1.0434481070471273</v>
      </c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</row>
    <row r="1355" spans="28:52">
      <c r="AB1355" s="9">
        <v>1.0087699144670765</v>
      </c>
      <c r="AC1355" s="9">
        <v>1.1486597751949519</v>
      </c>
      <c r="AD1355" s="9">
        <v>1.0413828402985323</v>
      </c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</row>
    <row r="1356" spans="28:52">
      <c r="AB1356" s="9">
        <v>1.0119870622726694</v>
      </c>
      <c r="AC1356" s="9">
        <v>1.3235380016036451</v>
      </c>
      <c r="AD1356" s="9">
        <v>1.0454622736601775</v>
      </c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</row>
    <row r="1357" spans="28:52">
      <c r="AB1357" s="9">
        <v>1.0092805938677956</v>
      </c>
      <c r="AC1357" s="9">
        <v>1.0557573431955667</v>
      </c>
      <c r="AD1357" s="9">
        <v>1.0458664362274677</v>
      </c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</row>
    <row r="1358" spans="28:52">
      <c r="AB1358" s="9">
        <v>1.0101720145550777</v>
      </c>
      <c r="AC1358" s="9">
        <v>0.80097254602147339</v>
      </c>
      <c r="AD1358" s="9">
        <v>1.0375513685260043</v>
      </c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</row>
    <row r="1359" spans="28:52">
      <c r="AB1359" s="9">
        <v>1.0191846155786195</v>
      </c>
      <c r="AC1359" s="9">
        <v>1.3193148758942073</v>
      </c>
      <c r="AD1359" s="9">
        <v>1.0349607947511019</v>
      </c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</row>
    <row r="1360" spans="28:52">
      <c r="AB1360" s="9">
        <v>1.0228171538690545</v>
      </c>
      <c r="AC1360" s="9">
        <v>1.5217161761099816</v>
      </c>
      <c r="AD1360" s="9">
        <v>1.0302550019615535</v>
      </c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</row>
    <row r="1361" spans="28:52">
      <c r="AB1361" s="9">
        <v>1.0283280119046785</v>
      </c>
      <c r="AC1361" s="9">
        <v>1.7459711827746314</v>
      </c>
      <c r="AD1361" s="9">
        <v>1.0376085731917419</v>
      </c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</row>
    <row r="1362" spans="28:52">
      <c r="AB1362" s="9">
        <v>1.0221501685248269</v>
      </c>
      <c r="AC1362" s="9">
        <v>1.7664480063405876</v>
      </c>
      <c r="AD1362" s="9">
        <v>1.0285941500194484</v>
      </c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</row>
    <row r="1363" spans="28:52">
      <c r="AB1363" s="9">
        <v>1.0317815558313461</v>
      </c>
      <c r="AC1363" s="9">
        <v>2.162082731862967</v>
      </c>
      <c r="AD1363" s="9">
        <v>1.0178742677750885</v>
      </c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</row>
    <row r="1364" spans="28:52">
      <c r="AB1364" s="9">
        <v>1.0430146754617284</v>
      </c>
      <c r="AC1364" s="9">
        <v>2.0717264735703314</v>
      </c>
      <c r="AD1364" s="9">
        <v>1.0047545205487349</v>
      </c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</row>
    <row r="1365" spans="28:52">
      <c r="AB1365" s="9">
        <v>1.0564581572917384</v>
      </c>
      <c r="AC1365" s="9">
        <v>2.259394513313393</v>
      </c>
      <c r="AD1365" s="9">
        <v>1.0069939966251766</v>
      </c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</row>
    <row r="1366" spans="28:52">
      <c r="AB1366" s="9">
        <v>1.0533944894143874</v>
      </c>
      <c r="AC1366" s="9">
        <v>2.0036736544683778</v>
      </c>
      <c r="AD1366" s="9">
        <v>1.0068703122475826</v>
      </c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</row>
    <row r="1367" spans="28:52">
      <c r="AB1367" s="9">
        <v>1.0527657818442913</v>
      </c>
      <c r="AC1367" s="9">
        <v>1.6900617989835423</v>
      </c>
      <c r="AD1367" s="9">
        <v>1.0157805017443695</v>
      </c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</row>
    <row r="1368" spans="28:52">
      <c r="AB1368" s="9">
        <v>1.04284082263042</v>
      </c>
      <c r="AC1368" s="9">
        <v>1.5240418392181156</v>
      </c>
      <c r="AD1368" s="9">
        <v>1.0333885511673933</v>
      </c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</row>
    <row r="1369" spans="28:52">
      <c r="AB1369" s="9">
        <v>1.0251902114201676</v>
      </c>
      <c r="AC1369" s="9">
        <v>1.2738492563576382</v>
      </c>
      <c r="AD1369" s="9">
        <v>1.0258017069876328</v>
      </c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</row>
    <row r="1370" spans="28:52">
      <c r="AB1370" s="9">
        <v>1.0330879763388914</v>
      </c>
      <c r="AC1370" s="9">
        <v>0.80100606317723333</v>
      </c>
      <c r="AD1370" s="9">
        <v>1.0041760551984089</v>
      </c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</row>
    <row r="1371" spans="28:52">
      <c r="AB1371" s="9">
        <v>1.0552951308418705</v>
      </c>
      <c r="AC1371" s="9">
        <v>1.4036908173503782</v>
      </c>
      <c r="AD1371" s="9">
        <v>1.0119459834294211</v>
      </c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</row>
    <row r="1372" spans="28:52">
      <c r="AB1372" s="9">
        <v>1.046913707103176</v>
      </c>
      <c r="AC1372" s="9">
        <v>2.1977413891640158</v>
      </c>
      <c r="AD1372" s="9">
        <v>1.0122548980073853</v>
      </c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</row>
    <row r="1373" spans="28:52">
      <c r="AB1373" s="9">
        <v>1.0466496836539303</v>
      </c>
      <c r="AC1373" s="9">
        <v>1.2904779598970588</v>
      </c>
      <c r="AD1373" s="9">
        <v>1.0171765260156458</v>
      </c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</row>
    <row r="1374" spans="28:52">
      <c r="AB1374" s="9">
        <v>1.0418120216985087</v>
      </c>
      <c r="AC1374" s="9">
        <v>1.3482467426951443</v>
      </c>
      <c r="AD1374" s="9">
        <v>1.0358271495752052</v>
      </c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</row>
    <row r="1375" spans="28:52">
      <c r="AB1375" s="9">
        <v>1.0242445620605554</v>
      </c>
      <c r="AC1375" s="9">
        <v>1.1386847946443559</v>
      </c>
      <c r="AD1375" s="9">
        <v>1.0420263997486583</v>
      </c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</row>
    <row r="1376" spans="28:52">
      <c r="AB1376" s="9">
        <v>1.0196502723239478</v>
      </c>
      <c r="AC1376" s="9">
        <v>0.63510611000191164</v>
      </c>
      <c r="AD1376" s="9">
        <v>1.0399611974450826</v>
      </c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</row>
    <row r="1377" spans="28:52">
      <c r="AB1377" s="9">
        <v>1.0235395008923014</v>
      </c>
      <c r="AC1377" s="9">
        <v>0.63562554434053464</v>
      </c>
      <c r="AD1377" s="9">
        <v>1.0376340989587827</v>
      </c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</row>
    <row r="1378" spans="28:52">
      <c r="AB1378" s="9">
        <v>1.0276983392762109</v>
      </c>
      <c r="AC1378" s="9">
        <v>0.73369150750194945</v>
      </c>
      <c r="AD1378" s="9">
        <v>1.0458294745940608</v>
      </c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</row>
    <row r="1379" spans="28:52">
      <c r="AB1379" s="9">
        <v>1.0212777993193944</v>
      </c>
      <c r="AC1379" s="9">
        <v>0.75635129200963624</v>
      </c>
      <c r="AD1379" s="9">
        <v>1.0448264333496446</v>
      </c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</row>
    <row r="1380" spans="28:52">
      <c r="AB1380" s="9">
        <v>1.0239817085622418</v>
      </c>
      <c r="AC1380" s="9">
        <v>0.73575605772146091</v>
      </c>
      <c r="AD1380" s="9">
        <v>1.047403935473473</v>
      </c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</row>
    <row r="1381" spans="28:52">
      <c r="AB1381" s="9">
        <v>1.0231462420786406</v>
      </c>
      <c r="AC1381" s="9">
        <v>0.73702311048713287</v>
      </c>
      <c r="AD1381" s="9">
        <v>1.0404646119500263</v>
      </c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</row>
    <row r="1382" spans="28:52">
      <c r="AB1382" s="9">
        <v>1.0319379043661259</v>
      </c>
      <c r="AC1382" s="9">
        <v>0.82901297475497071</v>
      </c>
      <c r="AD1382" s="9">
        <v>1.0425969393825947</v>
      </c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</row>
    <row r="1383" spans="28:52">
      <c r="AB1383" s="9">
        <v>1.0314530451200203</v>
      </c>
      <c r="AC1383" s="9">
        <v>0.94036888960589327</v>
      </c>
      <c r="AD1383" s="9">
        <v>1.0510165019101256</v>
      </c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</row>
    <row r="1384" spans="28:52">
      <c r="AB1384" s="9">
        <v>1.0253531475814133</v>
      </c>
      <c r="AC1384" s="9">
        <v>0.72891277162648205</v>
      </c>
      <c r="AD1384" s="9">
        <v>1.0477680047328217</v>
      </c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</row>
    <row r="1385" spans="28:52">
      <c r="AB1385" s="9">
        <v>1.0304136467160299</v>
      </c>
      <c r="AC1385" s="9">
        <v>0.75912259342335797</v>
      </c>
      <c r="AD1385" s="9">
        <v>1.0558696679009825</v>
      </c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</row>
    <row r="1386" spans="28:52">
      <c r="AB1386" s="9">
        <v>1.0237507365008525</v>
      </c>
      <c r="AC1386" s="9">
        <v>0.88956226057762655</v>
      </c>
      <c r="AD1386" s="9">
        <v>1.0539027901536284</v>
      </c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</row>
    <row r="1387" spans="28:52">
      <c r="AB1387" s="9">
        <v>1.0271431076966258</v>
      </c>
      <c r="AC1387" s="9">
        <v>0.75966352357115408</v>
      </c>
      <c r="AD1387" s="9">
        <v>1.0552553514315652</v>
      </c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</row>
    <row r="1388" spans="28:52">
      <c r="AB1388" s="9">
        <v>1.027173600285826</v>
      </c>
      <c r="AC1388" s="9">
        <v>0.63447359969565942</v>
      </c>
      <c r="AD1388" s="9">
        <v>1.053583871898442</v>
      </c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</row>
    <row r="1389" spans="28:52">
      <c r="AB1389" s="9">
        <v>1.0303583524516435</v>
      </c>
      <c r="AC1389" s="9">
        <v>1.0180104671888621</v>
      </c>
      <c r="AD1389" s="9">
        <v>1.0557537501513903</v>
      </c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</row>
    <row r="1390" spans="28:52">
      <c r="AB1390" s="9">
        <v>1.0293524518039985</v>
      </c>
      <c r="AC1390" s="9">
        <v>0.78555063492117694</v>
      </c>
      <c r="AD1390" s="9">
        <v>1.0658727571225559</v>
      </c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</row>
    <row r="1391" spans="28:52">
      <c r="AB1391" s="9">
        <v>1.0210532284928133</v>
      </c>
      <c r="AC1391" s="9">
        <v>0.6611677289614506</v>
      </c>
      <c r="AD1391" s="9">
        <v>1.0732065475548664</v>
      </c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</row>
    <row r="1392" spans="28:52">
      <c r="AB1392" s="9">
        <v>1.0159811308442508</v>
      </c>
      <c r="AC1392" s="9">
        <v>0.54581661625404698</v>
      </c>
      <c r="AD1392" s="9">
        <v>1.0703801619374558</v>
      </c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</row>
    <row r="1393" spans="28:52">
      <c r="AB1393" s="9">
        <v>1.0205849526583046</v>
      </c>
      <c r="AC1393" s="9">
        <v>0.61677064978076634</v>
      </c>
      <c r="AD1393" s="9">
        <v>1.0705579193418679</v>
      </c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</row>
    <row r="1394" spans="28:52">
      <c r="AB1394" s="9">
        <v>1.0221795158251601</v>
      </c>
      <c r="AC1394" s="9">
        <v>0.75345523780056289</v>
      </c>
      <c r="AD1394" s="9">
        <v>1.0729969685344842</v>
      </c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</row>
    <row r="1395" spans="28:52">
      <c r="AB1395" s="9">
        <v>1.0217798368114768</v>
      </c>
      <c r="AC1395" s="9">
        <v>0.7589192872834577</v>
      </c>
      <c r="AD1395" s="9">
        <v>1.0945041530126756</v>
      </c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</row>
    <row r="1396" spans="28:52">
      <c r="AB1396" s="9">
        <v>1.0039606127307625</v>
      </c>
      <c r="AC1396" s="9">
        <v>0.61852005008407862</v>
      </c>
      <c r="AD1396" s="9">
        <v>1.0947700354286134</v>
      </c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</row>
    <row r="1397" spans="28:52">
      <c r="AB1397" s="9">
        <v>1.0067170852527108</v>
      </c>
      <c r="AC1397" s="9">
        <v>0.60816435430412263</v>
      </c>
      <c r="AD1397" s="9">
        <v>1.0940526136651241</v>
      </c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</row>
    <row r="1398" spans="28:52">
      <c r="AB1398" s="9">
        <v>1.0104189394902934</v>
      </c>
      <c r="AC1398" s="9">
        <v>0.86314983092748088</v>
      </c>
      <c r="AD1398" s="9">
        <v>1.0755141371877777</v>
      </c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</row>
    <row r="1399" spans="28:52">
      <c r="AB1399" s="9">
        <v>1.0303850283173384</v>
      </c>
      <c r="AC1399" s="9">
        <v>1.351756846515517</v>
      </c>
      <c r="AD1399" s="9">
        <v>1.080427656915941</v>
      </c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</row>
    <row r="1400" spans="28:52">
      <c r="AB1400" s="9">
        <v>1.0280345573380349</v>
      </c>
      <c r="AC1400" s="9">
        <v>1.3787128437293468</v>
      </c>
      <c r="AD1400" s="9">
        <v>1.0712440290523868</v>
      </c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</row>
    <row r="1401" spans="28:52">
      <c r="AB1401" s="9">
        <v>1.0389364109301702</v>
      </c>
      <c r="AC1401" s="9">
        <v>1.6848710085994267</v>
      </c>
      <c r="AD1401" s="9">
        <v>1.0714790666571137</v>
      </c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</row>
    <row r="1402" spans="28:52">
      <c r="AB1402" s="9">
        <v>1.0407143388293365</v>
      </c>
      <c r="AC1402" s="9">
        <v>1.4119083497800442</v>
      </c>
      <c r="AD1402" s="9">
        <v>1.0647552044865618</v>
      </c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</row>
    <row r="1403" spans="28:52">
      <c r="AB1403" s="9">
        <v>1.0492929666793545</v>
      </c>
      <c r="AC1403" s="9">
        <v>1.6255766050280895</v>
      </c>
      <c r="AD1403" s="9">
        <v>1.0759771412880235</v>
      </c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</row>
    <row r="1404" spans="28:52">
      <c r="AB1404" s="9">
        <v>1.0400257564380022</v>
      </c>
      <c r="AC1404" s="9">
        <v>1.4361904244066546</v>
      </c>
      <c r="AD1404" s="9">
        <v>1.0755994451158755</v>
      </c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</row>
    <row r="1405" spans="28:52">
      <c r="AB1405" s="9">
        <v>1.0422753792016966</v>
      </c>
      <c r="AC1405" s="9">
        <v>1.2035550063045373</v>
      </c>
      <c r="AD1405" s="9">
        <v>1.0724405460686444</v>
      </c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</row>
    <row r="1406" spans="28:52">
      <c r="AB1406" s="9">
        <v>1.0463922914742732</v>
      </c>
      <c r="AC1406" s="9">
        <v>1.1765442152579466</v>
      </c>
      <c r="AD1406" s="9">
        <v>1.0802392722021017</v>
      </c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</row>
    <row r="1407" spans="28:52">
      <c r="AB1407" s="9">
        <v>1.0398310994532893</v>
      </c>
      <c r="AC1407" s="9">
        <v>1.1596487068551935</v>
      </c>
      <c r="AD1407" s="9">
        <v>1.0853036258421627</v>
      </c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</row>
    <row r="1408" spans="28:52">
      <c r="AB1408" s="9">
        <v>1.0353698143807775</v>
      </c>
      <c r="AC1408" s="9">
        <v>0.85956681265802626</v>
      </c>
      <c r="AD1408" s="9">
        <v>1.072225074162706</v>
      </c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</row>
    <row r="1409" spans="28:52">
      <c r="AB1409" s="9">
        <v>1.0480556377127124</v>
      </c>
      <c r="AC1409" s="9">
        <v>1.6223425383674481</v>
      </c>
      <c r="AD1409" s="9">
        <v>1.074847745978508</v>
      </c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</row>
    <row r="1410" spans="28:52">
      <c r="AB1410" s="9">
        <v>1.045879876245587</v>
      </c>
      <c r="AC1410" s="9">
        <v>1.7248629458931624</v>
      </c>
      <c r="AD1410" s="9">
        <v>1.0712911530606508</v>
      </c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</row>
    <row r="1411" spans="28:52">
      <c r="AB1411" s="9">
        <v>1.0499101046415094</v>
      </c>
      <c r="AC1411" s="9">
        <v>1.7022002347453984</v>
      </c>
      <c r="AD1411" s="9">
        <v>1.0841556606713716</v>
      </c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</row>
    <row r="1412" spans="28:52">
      <c r="AB1412" s="9">
        <v>1.0380782495794012</v>
      </c>
      <c r="AC1412" s="9">
        <v>1.9899643905252089</v>
      </c>
      <c r="AD1412" s="9">
        <v>1.0820637664683135</v>
      </c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</row>
    <row r="1413" spans="28:52">
      <c r="AB1413" s="9">
        <v>1.0407140621095803</v>
      </c>
      <c r="AC1413" s="9">
        <v>1.4008391675443927</v>
      </c>
      <c r="AD1413" s="9">
        <v>1.0899628134237718</v>
      </c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</row>
    <row r="1414" spans="28:52">
      <c r="AB1414" s="9">
        <v>1.0344841929579491</v>
      </c>
      <c r="AC1414" s="9">
        <v>0.93534250983598133</v>
      </c>
      <c r="AD1414" s="9">
        <v>1.1011587601439718</v>
      </c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</row>
    <row r="1415" spans="28:52">
      <c r="AB1415" s="9">
        <v>1.0259076014602055</v>
      </c>
      <c r="AC1415" s="9">
        <v>0.73735588524039197</v>
      </c>
      <c r="AD1415" s="9">
        <v>1.1062033441502559</v>
      </c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</row>
    <row r="1416" spans="28:52">
      <c r="AB1416" s="9">
        <v>1.0237255535762899</v>
      </c>
      <c r="AC1416" s="9">
        <v>0.77238668528524246</v>
      </c>
      <c r="AD1416" s="9">
        <v>1.1095246966937735</v>
      </c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</row>
    <row r="1417" spans="28:52">
      <c r="AB1417" s="9">
        <v>1.0235674459527344</v>
      </c>
      <c r="AC1417" s="9">
        <v>0.81108535547483795</v>
      </c>
      <c r="AD1417" s="9">
        <v>1.1020264525794869</v>
      </c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</row>
    <row r="1418" spans="28:52">
      <c r="AB1418" s="9">
        <v>1.0329163106919033</v>
      </c>
      <c r="AC1418" s="9">
        <v>1.2636389649066075</v>
      </c>
      <c r="AD1418" s="9">
        <v>1.0966704835653682</v>
      </c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</row>
    <row r="1419" spans="28:52">
      <c r="AB1419" s="9">
        <v>1.0401611839963072</v>
      </c>
      <c r="AC1419" s="9">
        <v>1.2921234085235955</v>
      </c>
      <c r="AD1419" s="9">
        <v>1.0954308929530761</v>
      </c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</row>
    <row r="1420" spans="28:52">
      <c r="AB1420" s="9">
        <v>1.0432716303744911</v>
      </c>
      <c r="AC1420" s="9">
        <v>1.1792467979353853</v>
      </c>
      <c r="AD1420" s="9">
        <v>1.0942138703776301</v>
      </c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</row>
    <row r="1421" spans="28:52">
      <c r="AB1421" s="9">
        <v>1.0466756286852215</v>
      </c>
      <c r="AC1421" s="9">
        <v>1.1885695688506559</v>
      </c>
      <c r="AD1421" s="9">
        <v>1.0879037631891098</v>
      </c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</row>
    <row r="1422" spans="28:52">
      <c r="AB1422" s="9">
        <v>1.0543108363076954</v>
      </c>
      <c r="AC1422" s="9">
        <v>1.2168902101576782</v>
      </c>
      <c r="AD1422" s="9">
        <v>1.0892170364084539</v>
      </c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</row>
    <row r="1423" spans="28:52">
      <c r="AB1423" s="9">
        <v>1.054807958487046</v>
      </c>
      <c r="AC1423" s="9">
        <v>1.561176199670959</v>
      </c>
      <c r="AD1423" s="9">
        <v>1.0761670744717557</v>
      </c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</row>
    <row r="1424" spans="28:52">
      <c r="AB1424" s="9">
        <v>1.0688730018129031</v>
      </c>
      <c r="AC1424" s="9">
        <v>1.8704506492259958</v>
      </c>
      <c r="AD1424" s="9">
        <v>1.0843196955534433</v>
      </c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</row>
    <row r="1425" spans="28:52">
      <c r="AB1425" s="9">
        <v>1.0615719998234558</v>
      </c>
      <c r="AC1425" s="9">
        <v>2.1333336499632511</v>
      </c>
      <c r="AD1425" s="9">
        <v>1.0727455312787462</v>
      </c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</row>
    <row r="1426" spans="28:52">
      <c r="AB1426" s="9">
        <v>1.0731558996791233</v>
      </c>
      <c r="AC1426" s="9">
        <v>1.6184090526230188</v>
      </c>
      <c r="AD1426" s="9">
        <v>1.0623232706922439</v>
      </c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</row>
    <row r="1427" spans="28:52">
      <c r="AB1427" s="9">
        <v>1.0829323323311477</v>
      </c>
      <c r="AC1427" s="9">
        <v>1.8459428957941983</v>
      </c>
      <c r="AD1427" s="9">
        <v>1.0702093030255053</v>
      </c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</row>
    <row r="1428" spans="28:52">
      <c r="AB1428" s="9">
        <v>1.074147663941811</v>
      </c>
      <c r="AC1428" s="9">
        <v>1.9099919362809272</v>
      </c>
      <c r="AD1428" s="9">
        <v>1.0701748630311423</v>
      </c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</row>
    <row r="1429" spans="28:52">
      <c r="AB1429" s="9">
        <v>1.0736528505670027</v>
      </c>
      <c r="AC1429" s="9">
        <v>2.0959893791349242</v>
      </c>
      <c r="AD1429" s="9">
        <v>1.0692369146292546</v>
      </c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</row>
    <row r="1430" spans="28:52">
      <c r="AB1430" s="9">
        <v>1.0740565550639403</v>
      </c>
      <c r="AC1430" s="9">
        <v>1.9868234222372321</v>
      </c>
      <c r="AD1430" s="9">
        <v>1.0560160642982652</v>
      </c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</row>
    <row r="1431" spans="28:52">
      <c r="AB1431" s="9">
        <v>1.0869468773702704</v>
      </c>
      <c r="AC1431" s="9">
        <v>2.0968823033121207</v>
      </c>
      <c r="AD1431" s="9">
        <v>1.0651739677568561</v>
      </c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</row>
    <row r="1432" spans="28:52">
      <c r="AB1432" s="9">
        <v>1.0772398962534779</v>
      </c>
      <c r="AC1432" s="9">
        <v>1.9416420390561093</v>
      </c>
      <c r="AD1432" s="9">
        <v>1.0447686255865445</v>
      </c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</row>
    <row r="1433" spans="28:52">
      <c r="AB1433" s="9">
        <v>1.0976074724371607</v>
      </c>
      <c r="AC1433" s="9">
        <v>1.8943489435657452</v>
      </c>
      <c r="AD1433" s="9">
        <v>1.0494930876744566</v>
      </c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</row>
    <row r="1434" spans="28:52">
      <c r="AB1434" s="9">
        <v>1.0915321480779074</v>
      </c>
      <c r="AC1434" s="9">
        <v>1.7379845768779663</v>
      </c>
      <c r="AD1434" s="9">
        <v>1.0727907027885686</v>
      </c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</row>
    <row r="1435" spans="28:52">
      <c r="AB1435" s="9">
        <v>1.0673591552154436</v>
      </c>
      <c r="AC1435" s="9">
        <v>2.0206856751248892</v>
      </c>
      <c r="AD1435" s="9">
        <v>1.0610779525719256</v>
      </c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</row>
    <row r="1436" spans="28:52">
      <c r="AB1436" s="9">
        <v>1.0784876708562159</v>
      </c>
      <c r="AC1436" s="9">
        <v>1.3003416555643603</v>
      </c>
      <c r="AD1436" s="9">
        <v>1.0569105255405493</v>
      </c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</row>
    <row r="1437" spans="28:52">
      <c r="AB1437" s="9">
        <v>1.0815104385892511</v>
      </c>
      <c r="AC1437" s="9">
        <v>1.5158394617774578</v>
      </c>
      <c r="AD1437" s="9">
        <v>1.0433422807191144</v>
      </c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</row>
    <row r="1438" spans="28:52">
      <c r="AB1438" s="9">
        <v>1.0931432699266213</v>
      </c>
      <c r="AC1438" s="9">
        <v>1.1545265672982301</v>
      </c>
      <c r="AD1438" s="9">
        <v>1.0578534728346731</v>
      </c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</row>
    <row r="1439" spans="28:52">
      <c r="AB1439" s="9">
        <v>1.0762095289798208</v>
      </c>
      <c r="AC1439" s="9">
        <v>1.1147728326384145</v>
      </c>
      <c r="AD1439" s="9">
        <v>1.0487108138305825</v>
      </c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</row>
    <row r="1440" spans="28:52">
      <c r="AB1440" s="9">
        <v>1.0835836659912048</v>
      </c>
      <c r="AC1440" s="9">
        <v>1.1395648698097804</v>
      </c>
      <c r="AD1440" s="9">
        <v>1.0413288425903986</v>
      </c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</row>
    <row r="1441" spans="28:52">
      <c r="AB1441" s="9">
        <v>1.088796077028956</v>
      </c>
      <c r="AC1441" s="9">
        <v>1.4711715691376666</v>
      </c>
      <c r="AD1441" s="9">
        <v>1.0344075238213091</v>
      </c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</row>
    <row r="1442" spans="28:52">
      <c r="AB1442" s="9">
        <v>1.0935346862544653</v>
      </c>
      <c r="AC1442" s="9">
        <v>1.7383417610718701</v>
      </c>
      <c r="AD1442" s="9">
        <v>1.0247154365968036</v>
      </c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</row>
    <row r="1443" spans="28:52">
      <c r="AB1443" s="9">
        <v>1.1008374244697203</v>
      </c>
      <c r="AC1443" s="9">
        <v>1.4573110845270991</v>
      </c>
      <c r="AD1443" s="9">
        <v>1.0224136076769275</v>
      </c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</row>
    <row r="1444" spans="28:52">
      <c r="AB1444" s="9">
        <v>1.0997760432304062</v>
      </c>
      <c r="AC1444" s="9">
        <v>1.4306686385600011</v>
      </c>
      <c r="AD1444" s="9">
        <v>1.0236712428647274</v>
      </c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</row>
    <row r="1445" spans="28:52">
      <c r="AB1445" s="9">
        <v>1.0950151330866873</v>
      </c>
      <c r="AC1445" s="9">
        <v>1.3077378667171804</v>
      </c>
      <c r="AD1445" s="9">
        <v>1.0141733117972895</v>
      </c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</row>
    <row r="1446" spans="28:52">
      <c r="AB1446" s="9">
        <v>1.1005164632813138</v>
      </c>
      <c r="AC1446" s="9">
        <v>1.4687684029802204</v>
      </c>
      <c r="AD1446" s="9">
        <v>1.0124240981602821</v>
      </c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</row>
    <row r="1447" spans="28:52">
      <c r="AB1447" s="9">
        <v>1.0975102536236274</v>
      </c>
      <c r="AC1447" s="9">
        <v>1.6018801254963244</v>
      </c>
      <c r="AD1447" s="9">
        <v>1.0106447996226482</v>
      </c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</row>
    <row r="1448" spans="28:52">
      <c r="AB1448" s="9">
        <v>1.0951922858110714</v>
      </c>
      <c r="AC1448" s="9">
        <v>1.4433251413776749</v>
      </c>
      <c r="AD1448" s="9">
        <v>1.009081162989377</v>
      </c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</row>
    <row r="1449" spans="28:52">
      <c r="AB1449" s="9">
        <v>1.0925394399375068</v>
      </c>
      <c r="AC1449" s="9">
        <v>1.2672662729010826</v>
      </c>
      <c r="AD1449" s="9">
        <v>1.0066981212860209</v>
      </c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</row>
    <row r="1450" spans="28:52">
      <c r="AB1450" s="9">
        <v>1.0909288271539146</v>
      </c>
      <c r="AC1450" s="9">
        <v>1.1801078199686879</v>
      </c>
      <c r="AD1450" s="9">
        <v>0.99020015617545742</v>
      </c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</row>
    <row r="1451" spans="28:52">
      <c r="AB1451" s="9">
        <v>1.1048343204801239</v>
      </c>
      <c r="AC1451" s="9">
        <v>1.4943157605891153</v>
      </c>
      <c r="AD1451" s="9">
        <v>0.97786408951232617</v>
      </c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</row>
    <row r="1452" spans="28:52">
      <c r="AB1452" s="9">
        <v>1.1138042438421105</v>
      </c>
      <c r="AC1452" s="9">
        <v>1.5262997795884985</v>
      </c>
      <c r="AD1452" s="9">
        <v>0.98641900984656761</v>
      </c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</row>
    <row r="1453" spans="28:52">
      <c r="AB1453" s="9">
        <v>1.0991467183370518</v>
      </c>
      <c r="AC1453" s="9">
        <v>1.6019341689988993</v>
      </c>
      <c r="AD1453" s="9">
        <v>0.97949210319016244</v>
      </c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</row>
    <row r="1454" spans="28:52">
      <c r="AB1454" s="9">
        <v>1.1019188275304557</v>
      </c>
      <c r="AC1454" s="9">
        <v>1.1768489111075782</v>
      </c>
      <c r="AD1454" s="9">
        <v>1.0099140104519155</v>
      </c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</row>
    <row r="1455" spans="28:52">
      <c r="AB1455" s="9">
        <v>1.064904676315078</v>
      </c>
      <c r="AC1455" s="9">
        <v>1.5105763039945508</v>
      </c>
      <c r="AD1455" s="9">
        <v>1.0092152726415973</v>
      </c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</row>
    <row r="1456" spans="28:52">
      <c r="AB1456" s="9">
        <v>1.0625963832799286</v>
      </c>
      <c r="AC1456" s="9">
        <v>0.81735373659543165</v>
      </c>
      <c r="AD1456" s="9">
        <v>1.045547661472175</v>
      </c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</row>
    <row r="1457" spans="28:52">
      <c r="AB1457" s="9">
        <v>1.0234916979364179</v>
      </c>
      <c r="AC1457" s="9">
        <v>0.98214901041648606</v>
      </c>
      <c r="AD1457" s="9">
        <v>1.0599696051344882</v>
      </c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</row>
    <row r="1458" spans="28:52">
      <c r="AB1458" s="9">
        <v>1.008377987900076</v>
      </c>
      <c r="AC1458" s="9">
        <v>0.97060720271331014</v>
      </c>
      <c r="AD1458" s="9">
        <v>1.0361255546851353</v>
      </c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</row>
    <row r="1459" spans="28:52">
      <c r="AB1459" s="9">
        <v>1.0302249336777454</v>
      </c>
      <c r="AC1459" s="9">
        <v>0.90151811313451902</v>
      </c>
      <c r="AD1459" s="9">
        <v>1.0284641353027486</v>
      </c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</row>
    <row r="1460" spans="28:52">
      <c r="AB1460" s="9">
        <v>1.0357430719171767</v>
      </c>
      <c r="AC1460" s="9">
        <v>1.0141163419301702</v>
      </c>
      <c r="AD1460" s="9">
        <v>1.0244387600527112</v>
      </c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</row>
    <row r="1461" spans="28:52">
      <c r="AB1461" s="9">
        <v>1.0373808181710862</v>
      </c>
      <c r="AC1461" s="9">
        <v>1.0646985589492051</v>
      </c>
      <c r="AD1461" s="9">
        <v>1.0389334599335349</v>
      </c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</row>
    <row r="1462" spans="28:52">
      <c r="AB1462" s="9">
        <v>1.0205782137496908</v>
      </c>
      <c r="AC1462" s="9">
        <v>0.98074323791047524</v>
      </c>
      <c r="AD1462" s="9">
        <v>1.019060588651066</v>
      </c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</row>
    <row r="1463" spans="28:52">
      <c r="AB1463" s="9">
        <v>1.0384542044088643</v>
      </c>
      <c r="AC1463" s="9">
        <v>0.9867485495038073</v>
      </c>
      <c r="AD1463" s="9">
        <v>1.0141149137787075</v>
      </c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</row>
    <row r="1464" spans="28:52">
      <c r="AB1464" s="9">
        <v>1.0409773990168594</v>
      </c>
      <c r="AC1464" s="9">
        <v>1.2540342380203839</v>
      </c>
      <c r="AD1464" s="9">
        <v>0.99440160046465109</v>
      </c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</row>
    <row r="1465" spans="28:52">
      <c r="AB1465" s="9">
        <v>1.0584945172656437</v>
      </c>
      <c r="AC1465" s="9">
        <v>1.347988075281473</v>
      </c>
      <c r="AD1465" s="9">
        <v>0.97667583972199046</v>
      </c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</row>
    <row r="1466" spans="28:52">
      <c r="AB1466" s="9">
        <v>1.0737601100634053</v>
      </c>
      <c r="AC1466" s="9">
        <v>1.3498117444701618</v>
      </c>
      <c r="AD1466" s="9">
        <v>0.98258685227932208</v>
      </c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</row>
    <row r="1467" spans="28:52">
      <c r="AB1467" s="9">
        <v>1.0630517389967569</v>
      </c>
      <c r="AC1467" s="9">
        <v>1.6941896093864459</v>
      </c>
      <c r="AD1467" s="9">
        <v>0.96015744320006668</v>
      </c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</row>
    <row r="1468" spans="28:52">
      <c r="AB1468" s="9">
        <v>1.0836721193684651</v>
      </c>
      <c r="AC1468" s="9">
        <v>1.3856747846951301</v>
      </c>
      <c r="AD1468" s="9">
        <v>0.96750544027809482</v>
      </c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</row>
    <row r="1469" spans="28:52">
      <c r="AB1469" s="9">
        <v>1.0712067761816357</v>
      </c>
      <c r="AC1469" s="9">
        <v>1.3530237844259565</v>
      </c>
      <c r="AD1469" s="9">
        <v>0.96605175327123693</v>
      </c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</row>
    <row r="1470" spans="28:52">
      <c r="AB1470" s="9">
        <v>1.0689162834750039</v>
      </c>
      <c r="AC1470" s="9">
        <v>1.1792541698032752</v>
      </c>
      <c r="AD1470" s="9">
        <v>0.97725564303967194</v>
      </c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</row>
    <row r="1471" spans="28:52">
      <c r="AB1471" s="9">
        <v>1.052842748232043</v>
      </c>
      <c r="AC1471" s="9">
        <v>0.99750765725823487</v>
      </c>
      <c r="AD1471" s="9">
        <v>0.95959152114100921</v>
      </c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</row>
    <row r="1472" spans="28:52">
      <c r="AB1472" s="9">
        <v>1.0683752915152125</v>
      </c>
      <c r="AC1472" s="9">
        <v>1.1057393018307875</v>
      </c>
      <c r="AD1472" s="9">
        <v>0.96142913681464148</v>
      </c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</row>
    <row r="1473" spans="28:52">
      <c r="AB1473" s="9">
        <v>1.0623668451870634</v>
      </c>
      <c r="AC1473" s="9">
        <v>1.1247984529600874</v>
      </c>
      <c r="AD1473" s="9">
        <v>0.96131306893501645</v>
      </c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</row>
    <row r="1474" spans="28:52">
      <c r="AB1474" s="9">
        <v>1.0593853337285517</v>
      </c>
      <c r="AC1474" s="9">
        <v>1.2124609236873642</v>
      </c>
      <c r="AD1474" s="9">
        <v>0.97526100728912757</v>
      </c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</row>
    <row r="1475" spans="28:52">
      <c r="AB1475" s="9">
        <v>1.0417558349845799</v>
      </c>
      <c r="AC1475" s="9">
        <v>0.96990806733980051</v>
      </c>
      <c r="AD1475" s="9">
        <v>0.99510321826739356</v>
      </c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</row>
    <row r="1476" spans="28:52">
      <c r="AB1476" s="9">
        <v>1.0196246016939283</v>
      </c>
      <c r="AC1476" s="9">
        <v>0.88893737244657767</v>
      </c>
      <c r="AD1476" s="9">
        <v>0.9989455870396583</v>
      </c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</row>
    <row r="1477" spans="28:52">
      <c r="AB1477" s="9">
        <v>1.0151222494646861</v>
      </c>
      <c r="AC1477" s="9">
        <v>0.60994674759445477</v>
      </c>
      <c r="AD1477" s="9">
        <v>0.98555033502060707</v>
      </c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</row>
    <row r="1478" spans="28:52">
      <c r="AB1478" s="9">
        <v>1.0277882499949595</v>
      </c>
      <c r="AC1478" s="9">
        <v>0.65200519059486028</v>
      </c>
      <c r="AD1478" s="9">
        <v>0.98561932574353972</v>
      </c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</row>
    <row r="1479" spans="28:52">
      <c r="AB1479" s="9">
        <v>1.0269166611101932</v>
      </c>
      <c r="AC1479" s="9">
        <v>0.68524092506369083</v>
      </c>
      <c r="AD1479" s="9">
        <v>0.96974517718440378</v>
      </c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</row>
    <row r="1480" spans="28:52">
      <c r="AB1480" s="9">
        <v>1.0424567643592952</v>
      </c>
      <c r="AC1480" s="9">
        <v>0.94604033883361049</v>
      </c>
      <c r="AD1480" s="9">
        <v>0.96467585172721104</v>
      </c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</row>
    <row r="1481" spans="28:52">
      <c r="AB1481" s="9">
        <v>1.0466799539361502</v>
      </c>
      <c r="AC1481" s="9">
        <v>0.96215401096701436</v>
      </c>
      <c r="AD1481" s="9">
        <v>0.96256132578554443</v>
      </c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</row>
    <row r="1482" spans="28:52">
      <c r="AB1482" s="9">
        <v>1.0473845032807565</v>
      </c>
      <c r="AC1482" s="9">
        <v>1.0579385547685127</v>
      </c>
      <c r="AD1482" s="9">
        <v>0.96242235953136335</v>
      </c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</row>
    <row r="1483" spans="28:52">
      <c r="AB1483" s="9">
        <v>1.0463883467179611</v>
      </c>
      <c r="AC1483" s="9">
        <v>0.91314543405334925</v>
      </c>
      <c r="AD1483" s="9">
        <v>0.96301407728651978</v>
      </c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</row>
    <row r="1484" spans="28:52">
      <c r="AB1484" s="9">
        <v>1.0443209252768575</v>
      </c>
      <c r="AC1484" s="9">
        <v>0.84077400312371353</v>
      </c>
      <c r="AD1484" s="9">
        <v>0.97142492702887662</v>
      </c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</row>
    <row r="1485" spans="28:52">
      <c r="AB1485" s="9">
        <v>1.0339336194699176</v>
      </c>
      <c r="AC1485" s="9">
        <v>0.77997618602888574</v>
      </c>
      <c r="AD1485" s="9">
        <v>0.98466721504278965</v>
      </c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</row>
    <row r="1486" spans="28:52">
      <c r="AB1486" s="9">
        <v>1.019481135635518</v>
      </c>
      <c r="AC1486" s="9">
        <v>0.78175922946278742</v>
      </c>
      <c r="AD1486" s="9">
        <v>1.0219181140833029</v>
      </c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</row>
    <row r="1487" spans="28:52">
      <c r="AB1487" s="9">
        <v>0.98286355128733749</v>
      </c>
      <c r="AC1487" s="9">
        <v>0.82000753077777067</v>
      </c>
      <c r="AD1487" s="9">
        <v>1.0081744675374968</v>
      </c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</row>
    <row r="1488" spans="28:52">
      <c r="AB1488" s="9">
        <v>0.99739797749171477</v>
      </c>
      <c r="AC1488" s="9">
        <v>0.62992756103403291</v>
      </c>
      <c r="AD1488" s="9">
        <v>1.0154142667632471</v>
      </c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</row>
    <row r="1489" spans="28:52">
      <c r="AB1489" s="9">
        <v>0.99104629224266494</v>
      </c>
      <c r="AC1489" s="9">
        <v>0.54844553640643845</v>
      </c>
      <c r="AD1489" s="9">
        <v>1.0145992353757471</v>
      </c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</row>
    <row r="1490" spans="28:52">
      <c r="AB1490" s="9">
        <v>0.9932192896689519</v>
      </c>
      <c r="AC1490" s="9">
        <v>0.52869251228231506</v>
      </c>
      <c r="AD1490" s="9">
        <v>1.0008991500011273</v>
      </c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</row>
    <row r="1491" spans="28:52">
      <c r="AB1491" s="9">
        <v>1.0081376260203436</v>
      </c>
      <c r="AC1491" s="9">
        <v>0.73485139340285122</v>
      </c>
      <c r="AD1491" s="9">
        <v>1.0123011311580445</v>
      </c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</row>
    <row r="1492" spans="28:52">
      <c r="AB1492" s="9">
        <v>0.99825759673929526</v>
      </c>
      <c r="AC1492" s="9">
        <v>0.79671013558416459</v>
      </c>
      <c r="AD1492" s="9">
        <v>1.0289433123982039</v>
      </c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</row>
    <row r="1493" spans="28:52">
      <c r="AB1493" s="9">
        <v>0.98416560301550216</v>
      </c>
      <c r="AC1493" s="9">
        <v>0.79682943194081379</v>
      </c>
      <c r="AD1493" s="9">
        <v>1.0265968270005885</v>
      </c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</row>
    <row r="1494" spans="28:52">
      <c r="AB1494" s="9">
        <v>0.98882807681418738</v>
      </c>
      <c r="AC1494" s="9">
        <v>0.81035893115257629</v>
      </c>
      <c r="AD1494" s="9">
        <v>1.069129294156633</v>
      </c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</row>
    <row r="1495" spans="28:52">
      <c r="AB1495" s="9">
        <v>0.95254604573178525</v>
      </c>
      <c r="AC1495" s="9">
        <v>1.07277518689267</v>
      </c>
      <c r="AD1495" s="9">
        <v>1.074672917410703</v>
      </c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</row>
    <row r="1496" spans="28:52">
      <c r="AB1496" s="9">
        <v>0.95148005921964651</v>
      </c>
      <c r="AC1496" s="9">
        <v>0.7718867251750906</v>
      </c>
      <c r="AD1496" s="9">
        <v>1.0483140502736623</v>
      </c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</row>
    <row r="1497" spans="28:52">
      <c r="AB1497" s="9">
        <v>0.97911208718911047</v>
      </c>
      <c r="AC1497" s="9">
        <v>0.79450143614564617</v>
      </c>
      <c r="AD1497" s="9">
        <v>1.0761678318180112</v>
      </c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</row>
    <row r="1498" spans="28:52">
      <c r="AB1498" s="9">
        <v>0.95753399424706054</v>
      </c>
      <c r="AC1498" s="9">
        <v>0.8557524673871395</v>
      </c>
      <c r="AD1498" s="9">
        <v>1.0686176206013767</v>
      </c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</row>
    <row r="1499" spans="28:52">
      <c r="AB1499" s="9">
        <v>0.96824474853747777</v>
      </c>
      <c r="AC1499" s="9">
        <v>0.70502660202138689</v>
      </c>
      <c r="AD1499" s="9">
        <v>1.064423396289454</v>
      </c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</row>
    <row r="1500" spans="28:52">
      <c r="AB1500" s="9">
        <v>0.97570395145526745</v>
      </c>
      <c r="AC1500" s="9">
        <v>0.45097007064377376</v>
      </c>
      <c r="AD1500" s="9">
        <v>1.0723613081156553</v>
      </c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</row>
    <row r="1501" spans="28:52">
      <c r="AB1501" s="9">
        <v>0.97242269616538635</v>
      </c>
      <c r="AC1501" s="9">
        <v>0.42968584861205883</v>
      </c>
      <c r="AD1501" s="9">
        <v>1.0911444524338014</v>
      </c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</row>
    <row r="1502" spans="28:52">
      <c r="AB1502" s="9">
        <v>0.96035418229727909</v>
      </c>
      <c r="AC1502" s="9">
        <v>0.49540925751268272</v>
      </c>
      <c r="AD1502" s="9">
        <v>1.0919581846441868</v>
      </c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</row>
    <row r="1503" spans="28:52">
      <c r="AB1503" s="9">
        <v>0.96446317409603244</v>
      </c>
      <c r="AC1503" s="9">
        <v>0.51178925779820028</v>
      </c>
      <c r="AD1503" s="9">
        <v>1.0792841315917976</v>
      </c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</row>
    <row r="1504" spans="28:52">
      <c r="AB1504" s="9">
        <v>0.98062926757256674</v>
      </c>
      <c r="AC1504" s="9">
        <v>0.69411538747299761</v>
      </c>
      <c r="AD1504" s="9">
        <v>1.0835536652268192</v>
      </c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</row>
    <row r="1505" spans="28:52">
      <c r="AB1505" s="9">
        <v>0.98007578674488205</v>
      </c>
      <c r="AC1505" s="9">
        <v>0.60925455193968581</v>
      </c>
      <c r="AD1505" s="9">
        <v>1.0820309340115177</v>
      </c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</row>
    <row r="1506" spans="28:52">
      <c r="AB1506" s="9">
        <v>0.98433695054827031</v>
      </c>
      <c r="AC1506" s="9">
        <v>0.69242304515206399</v>
      </c>
      <c r="AD1506" s="9">
        <v>1.083471529020118</v>
      </c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</row>
    <row r="1507" spans="28:52">
      <c r="AB1507" s="9">
        <v>0.98566991781637603</v>
      </c>
      <c r="AC1507" s="9">
        <v>0.66479661219171715</v>
      </c>
      <c r="AD1507" s="9">
        <v>1.0969691724750901</v>
      </c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</row>
    <row r="1508" spans="28:52">
      <c r="AB1508" s="9">
        <v>0.97642448476415489</v>
      </c>
      <c r="AC1508" s="9">
        <v>0.58705516207967767</v>
      </c>
      <c r="AD1508" s="9">
        <v>1.1101234727230762</v>
      </c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</row>
    <row r="1509" spans="28:52">
      <c r="AB1509" s="9">
        <v>0.96856762794260765</v>
      </c>
      <c r="AC1509" s="9">
        <v>0.65076068061809278</v>
      </c>
      <c r="AD1509" s="9">
        <v>1.1232271229673718</v>
      </c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</row>
    <row r="1510" spans="28:52">
      <c r="AB1510" s="9">
        <v>0.96147148554470518</v>
      </c>
      <c r="AC1510" s="9">
        <v>0.88660843823967883</v>
      </c>
      <c r="AD1510" s="9">
        <v>1.1270013704808177</v>
      </c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</row>
    <row r="1511" spans="28:52">
      <c r="AB1511" s="9">
        <v>0.9625604233044075</v>
      </c>
      <c r="AC1511" s="9">
        <v>0.64009003607097725</v>
      </c>
      <c r="AD1511" s="9">
        <v>1.1098511719185458</v>
      </c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</row>
    <row r="1512" spans="28:52">
      <c r="AB1512" s="9">
        <v>0.98125986009824684</v>
      </c>
      <c r="AC1512" s="9">
        <v>0.64738142230997142</v>
      </c>
      <c r="AD1512" s="9">
        <v>1.1098655654910765</v>
      </c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</row>
    <row r="1513" spans="28:52">
      <c r="AB1513" s="9">
        <v>0.98528944693978382</v>
      </c>
      <c r="AC1513" s="9">
        <v>0.88024176452608438</v>
      </c>
      <c r="AD1513" s="9">
        <v>1.1063745642446867</v>
      </c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</row>
    <row r="1514" spans="28:52">
      <c r="AB1514" s="9">
        <v>0.99219479071835692</v>
      </c>
      <c r="AC1514" s="9">
        <v>0.97369873841200616</v>
      </c>
      <c r="AD1514" s="9">
        <v>1.1070804101457097</v>
      </c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</row>
    <row r="1515" spans="28:52">
      <c r="AB1515" s="9">
        <v>0.99565793221273668</v>
      </c>
      <c r="AC1515" s="9">
        <v>0.98265185673028854</v>
      </c>
      <c r="AD1515" s="9">
        <v>1.1183535043067316</v>
      </c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</row>
    <row r="1516" spans="28:52">
      <c r="AB1516" s="9">
        <v>0.99013583504550862</v>
      </c>
      <c r="AC1516" s="9">
        <v>1.1444103326624646</v>
      </c>
      <c r="AD1516" s="9">
        <v>1.1074358439590839</v>
      </c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</row>
    <row r="1517" spans="28:52">
      <c r="AB1517" s="9">
        <v>1.0038491387867812</v>
      </c>
      <c r="AC1517" s="9">
        <v>1.1924553922827861</v>
      </c>
      <c r="AD1517" s="9">
        <v>1.1078202226243088</v>
      </c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</row>
    <row r="1518" spans="28:52">
      <c r="AB1518" s="9">
        <v>1.0074985947329176</v>
      </c>
      <c r="AC1518" s="9">
        <v>1.3175636729837399</v>
      </c>
      <c r="AD1518" s="9">
        <v>1.1079628213101902</v>
      </c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</row>
    <row r="1519" spans="28:52">
      <c r="AB1519" s="9">
        <v>1.0110367457862326</v>
      </c>
      <c r="AC1519" s="9">
        <v>1.2076833419459654</v>
      </c>
      <c r="AD1519" s="9">
        <v>1.1285505019958872</v>
      </c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</row>
    <row r="1520" spans="28:52">
      <c r="AB1520" s="9">
        <v>0.99664388880680299</v>
      </c>
      <c r="AC1520" s="9">
        <v>1.0826541874998346</v>
      </c>
      <c r="AD1520" s="9">
        <v>1.1337862138104047</v>
      </c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</row>
    <row r="1521" spans="28:52">
      <c r="AB1521" s="9">
        <v>0.99626233956154497</v>
      </c>
      <c r="AC1521" s="9">
        <v>1.0783274767348034</v>
      </c>
      <c r="AD1521" s="9">
        <v>1.1301256761859861</v>
      </c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</row>
    <row r="1522" spans="28:52">
      <c r="AB1522" s="9">
        <v>1.0037713221520921</v>
      </c>
      <c r="AC1522" s="9">
        <v>1.0638046770784533</v>
      </c>
      <c r="AD1522" s="9">
        <v>1.1087594005302168</v>
      </c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</row>
    <row r="1523" spans="28:52">
      <c r="AB1523" s="9">
        <v>1.026647272113945</v>
      </c>
      <c r="AC1523" s="9">
        <v>1.00829014869781</v>
      </c>
      <c r="AD1523" s="9">
        <v>1.0934558732473423</v>
      </c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</row>
    <row r="1524" spans="28:52">
      <c r="AB1524" s="9">
        <v>1.0432788449765962</v>
      </c>
      <c r="AC1524" s="9">
        <v>1.5420167061930079</v>
      </c>
      <c r="AD1524" s="9">
        <v>1.0908545679114758</v>
      </c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</row>
    <row r="1525" spans="28:52">
      <c r="AB1525" s="9">
        <v>1.0474891080558868</v>
      </c>
      <c r="AC1525" s="9">
        <v>1.7202600572148896</v>
      </c>
      <c r="AD1525" s="9">
        <v>1.0890722087246325</v>
      </c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</row>
    <row r="1526" spans="28:52">
      <c r="AB1526" s="9">
        <v>1.0506413700567283</v>
      </c>
      <c r="AC1526" s="9">
        <v>1.8421418160206353</v>
      </c>
      <c r="AD1526" s="9">
        <v>1.1011072347037905</v>
      </c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</row>
    <row r="1527" spans="28:52">
      <c r="AB1527" s="9">
        <v>1.040494703679083</v>
      </c>
      <c r="AC1527" s="9">
        <v>2.1687316769823592</v>
      </c>
      <c r="AD1527" s="9">
        <v>1.0730539408903044</v>
      </c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</row>
    <row r="1528" spans="28:52">
      <c r="AB1528" s="9">
        <v>1.0689278697260516</v>
      </c>
      <c r="AC1528" s="9">
        <v>1.8093624975832863</v>
      </c>
      <c r="AD1528" s="9">
        <v>1.0811239518985536</v>
      </c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</row>
    <row r="1529" spans="28:52">
      <c r="AB1529" s="9">
        <v>1.0620844172096959</v>
      </c>
      <c r="AC1529" s="9">
        <v>1.4897485034910174</v>
      </c>
      <c r="AD1529" s="9">
        <v>1.0727352237280843</v>
      </c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</row>
    <row r="1530" spans="28:52">
      <c r="AB1530" s="9">
        <v>1.0721624973340451</v>
      </c>
      <c r="AC1530" s="9">
        <v>1.3295701078068158</v>
      </c>
      <c r="AD1530" s="9">
        <v>1.0760277276616166</v>
      </c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</row>
    <row r="1531" spans="28:52">
      <c r="AB1531" s="9">
        <v>1.07058440429548</v>
      </c>
      <c r="AC1531" s="9">
        <v>1.4075934387211191</v>
      </c>
      <c r="AD1531" s="9">
        <v>1.0737721028849727</v>
      </c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</row>
    <row r="1532" spans="28:52">
      <c r="AB1532" s="9">
        <v>1.0743953533928334</v>
      </c>
      <c r="AC1532" s="9">
        <v>1.381734665705312</v>
      </c>
      <c r="AD1532" s="9">
        <v>1.0863958222494745</v>
      </c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</row>
    <row r="1533" spans="28:52">
      <c r="AB1533" s="9">
        <v>1.0637048638884947</v>
      </c>
      <c r="AC1533" s="9">
        <v>1.897697145461948</v>
      </c>
      <c r="AD1533" s="9">
        <v>1.0755241808474285</v>
      </c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</row>
    <row r="1534" spans="28:52">
      <c r="AB1534" s="9">
        <v>1.0763970822066089</v>
      </c>
      <c r="AC1534" s="9">
        <v>1.4757193280452023</v>
      </c>
      <c r="AD1534" s="9">
        <v>1.0731326347889296</v>
      </c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</row>
    <row r="1535" spans="28:52">
      <c r="AB1535" s="9">
        <v>1.0800580098174735</v>
      </c>
      <c r="AC1535" s="9">
        <v>1.1955775046704704</v>
      </c>
      <c r="AD1535" s="9">
        <v>1.0742218624450179</v>
      </c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</row>
    <row r="1536" spans="28:52">
      <c r="AB1536" s="9">
        <v>1.0793451114640873</v>
      </c>
      <c r="AC1536" s="9">
        <v>1.290636426289641</v>
      </c>
      <c r="AD1536" s="9">
        <v>1.0798433206768689</v>
      </c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</row>
    <row r="1537" spans="28:52">
      <c r="AB1537" s="9">
        <v>1.0732564140310008</v>
      </c>
      <c r="AC1537" s="9">
        <v>1.4440366306899646</v>
      </c>
      <c r="AD1537" s="9">
        <v>1.0772720414992636</v>
      </c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</row>
    <row r="1538" spans="28:52">
      <c r="AB1538" s="9">
        <v>1.0751149841396177</v>
      </c>
      <c r="AC1538" s="9">
        <v>1.0852696352408755</v>
      </c>
      <c r="AD1538" s="9">
        <v>1.0583432271932656</v>
      </c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</row>
    <row r="1539" spans="28:52">
      <c r="AB1539" s="9">
        <v>1.0923561202372805</v>
      </c>
      <c r="AC1539" s="9">
        <v>1.249724288976219</v>
      </c>
      <c r="AD1539" s="9">
        <v>1.0513713151945805</v>
      </c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</row>
    <row r="1540" spans="28:52">
      <c r="AB1540" s="9">
        <v>1.097690250755242</v>
      </c>
      <c r="AC1540" s="9">
        <v>1.0655571216662874</v>
      </c>
      <c r="AD1540" s="9">
        <v>1.0438924619536534</v>
      </c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</row>
    <row r="1541" spans="28:52">
      <c r="AB1541" s="9">
        <v>1.1029601839328584</v>
      </c>
      <c r="AC1541" s="9">
        <v>1.3679021822184434</v>
      </c>
      <c r="AD1541" s="9">
        <v>1.0457937706267519</v>
      </c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</row>
    <row r="1542" spans="28:52">
      <c r="AB1542" s="9">
        <v>1.0983984151414756</v>
      </c>
      <c r="AC1542" s="9">
        <v>1.3254070891048022</v>
      </c>
      <c r="AD1542" s="9">
        <v>1.0395466469002461</v>
      </c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</row>
    <row r="1543" spans="28:52">
      <c r="AB1543" s="9">
        <v>1.102236461594311</v>
      </c>
      <c r="AC1543" s="9">
        <v>1.5816835111299474</v>
      </c>
      <c r="AD1543" s="9">
        <v>1.0317012770235443</v>
      </c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</row>
    <row r="1544" spans="28:52">
      <c r="AB1544" s="9">
        <v>1.1071189807198896</v>
      </c>
      <c r="AC1544" s="9">
        <v>1.6076722651306563</v>
      </c>
      <c r="AD1544" s="9">
        <v>1.0348110782436346</v>
      </c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</row>
    <row r="1545" spans="28:52">
      <c r="AB1545" s="9">
        <v>1.0993106892545783</v>
      </c>
      <c r="AC1545" s="9">
        <v>1.6850183661684575</v>
      </c>
      <c r="AD1545" s="9">
        <v>1.022691967649993</v>
      </c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</row>
    <row r="1546" spans="28:52">
      <c r="AB1546" s="9">
        <v>1.1077512882499181</v>
      </c>
      <c r="AC1546" s="9">
        <v>1.087118027512016</v>
      </c>
      <c r="AD1546" s="9">
        <v>1.0120308666039852</v>
      </c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</row>
    <row r="1547" spans="28:52">
      <c r="AB1547" s="9">
        <v>1.1148608572061816</v>
      </c>
      <c r="AC1547" s="9">
        <v>1.4868167224466451</v>
      </c>
      <c r="AD1547" s="9">
        <v>1.0150913459425401</v>
      </c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</row>
    <row r="1548" spans="28:52">
      <c r="AB1548" s="9">
        <v>1.1064845130286161</v>
      </c>
      <c r="AC1548" s="9">
        <v>1.8249023195653016</v>
      </c>
      <c r="AD1548" s="9">
        <v>1.015337511629661</v>
      </c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</row>
    <row r="1549" spans="28:52">
      <c r="AB1549" s="9">
        <v>1.1014311232925098</v>
      </c>
      <c r="AC1549" s="9">
        <v>1.7601614056535777</v>
      </c>
      <c r="AD1549" s="9">
        <v>1.0111681188491188</v>
      </c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</row>
    <row r="1550" spans="28:52">
      <c r="AB1550" s="9">
        <v>1.1009393122472901</v>
      </c>
      <c r="AC1550" s="9">
        <v>1.9566864768584298</v>
      </c>
      <c r="AD1550" s="9">
        <v>0.99913344493355616</v>
      </c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</row>
    <row r="1551" spans="28:52">
      <c r="AB1551" s="9">
        <v>1.1090801291196921</v>
      </c>
      <c r="AC1551" s="9">
        <v>1.4072621122990232</v>
      </c>
      <c r="AD1551" s="9">
        <v>0.99066523750423086</v>
      </c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</row>
    <row r="1552" spans="28:52">
      <c r="AB1552" s="9">
        <v>1.1128498942842253</v>
      </c>
      <c r="AC1552" s="9">
        <v>1.1924990731115148</v>
      </c>
      <c r="AD1552" s="9">
        <v>0.98112736010705925</v>
      </c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</row>
    <row r="1553" spans="28:52">
      <c r="AB1553" s="9">
        <v>1.1178704535859199</v>
      </c>
      <c r="AC1553" s="9">
        <v>1.4430115569401394</v>
      </c>
      <c r="AD1553" s="9">
        <v>1.0089137208912713</v>
      </c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</row>
    <row r="1554" spans="28:52">
      <c r="AB1554" s="9">
        <v>1.0822138988790861</v>
      </c>
      <c r="AC1554" s="9">
        <v>1.264344851758002</v>
      </c>
      <c r="AD1554" s="9">
        <v>1.0264236024500428</v>
      </c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</row>
    <row r="1555" spans="28:52">
      <c r="AB1555" s="9">
        <v>1.0600539251101606</v>
      </c>
      <c r="AC1555" s="9">
        <v>1.143462935686649</v>
      </c>
      <c r="AD1555" s="9">
        <v>0.99900083260489037</v>
      </c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</row>
    <row r="1556" spans="28:52">
      <c r="AB1556" s="9">
        <v>1.0848931521448546</v>
      </c>
      <c r="AC1556" s="9">
        <v>0.90680404621804922</v>
      </c>
      <c r="AD1556" s="9">
        <v>0.97972431187563136</v>
      </c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</row>
    <row r="1557" spans="28:52">
      <c r="AB1557" s="9">
        <v>1.1007684486904887</v>
      </c>
      <c r="AC1557" s="9">
        <v>1.2301429114854265</v>
      </c>
      <c r="AD1557" s="9">
        <v>0.97167318691896531</v>
      </c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</row>
    <row r="1558" spans="28:52">
      <c r="AB1558" s="9">
        <v>1.1032166563811188</v>
      </c>
      <c r="AC1558" s="9">
        <v>1.0793338324639059</v>
      </c>
      <c r="AD1558" s="9">
        <v>0.9640867072119963</v>
      </c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</row>
    <row r="1559" spans="28:52">
      <c r="AB1559" s="9">
        <v>1.1046258532086874</v>
      </c>
      <c r="AC1559" s="9">
        <v>1.1306170374219908</v>
      </c>
      <c r="AD1559" s="9">
        <v>0.96486849420865028</v>
      </c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</row>
    <row r="1560" spans="28:52">
      <c r="AB1560" s="9">
        <v>1.0965815234891394</v>
      </c>
      <c r="AC1560" s="9">
        <v>1.2768836784137563</v>
      </c>
      <c r="AD1560" s="9">
        <v>0.95759208431436249</v>
      </c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</row>
    <row r="1561" spans="28:52">
      <c r="AB1561" s="9">
        <v>1.0974579101708364</v>
      </c>
      <c r="AC1561" s="9">
        <v>1.0360574790162052</v>
      </c>
      <c r="AD1561" s="9">
        <v>0.94336365894121998</v>
      </c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</row>
    <row r="1562" spans="28:52">
      <c r="AB1562" s="9">
        <v>1.1064420243746331</v>
      </c>
      <c r="AC1562" s="9">
        <v>1.0671534582907802</v>
      </c>
      <c r="AD1562" s="9">
        <v>0.9463529270609411</v>
      </c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</row>
    <row r="1563" spans="28:52">
      <c r="AB1563" s="9">
        <v>1.094976617544259</v>
      </c>
      <c r="AC1563" s="9">
        <v>1.0432126886036728</v>
      </c>
      <c r="AD1563" s="9">
        <v>0.93897465394222268</v>
      </c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</row>
    <row r="1564" spans="28:52">
      <c r="AB1564" s="9">
        <v>1.0958633837243572</v>
      </c>
      <c r="AC1564" s="9">
        <v>0.98723083395713029</v>
      </c>
      <c r="AD1564" s="9">
        <v>0.93409310827860959</v>
      </c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</row>
    <row r="1565" spans="28:52">
      <c r="AB1565" s="9">
        <v>1.0934437565564044</v>
      </c>
      <c r="AC1565" s="9">
        <v>1.169487307333219</v>
      </c>
      <c r="AD1565" s="9">
        <v>0.94446986193103011</v>
      </c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</row>
    <row r="1566" spans="28:52">
      <c r="AB1566" s="9">
        <v>1.0736431710606427</v>
      </c>
      <c r="AC1566" s="9">
        <v>1.0183297966113465</v>
      </c>
      <c r="AD1566" s="9">
        <v>0.94660047639956357</v>
      </c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</row>
    <row r="1567" spans="28:52">
      <c r="AB1567" s="9">
        <v>1.0638459002308331</v>
      </c>
      <c r="AC1567" s="9">
        <v>0.9081820589316677</v>
      </c>
      <c r="AD1567" s="9">
        <v>0.94531781710578755</v>
      </c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</row>
    <row r="1568" spans="28:52">
      <c r="AB1568" s="9">
        <v>1.0582604369291349</v>
      </c>
      <c r="AC1568" s="9">
        <v>0.85821989053575509</v>
      </c>
      <c r="AD1568" s="9">
        <v>0.93463608844963253</v>
      </c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</row>
    <row r="1569" spans="28:52">
      <c r="AB1569" s="9">
        <v>1.0636795696165602</v>
      </c>
      <c r="AC1569" s="9">
        <v>0.80596767000781178</v>
      </c>
      <c r="AD1569" s="9">
        <v>0.92519421546318936</v>
      </c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</row>
    <row r="1570" spans="28:52">
      <c r="AB1570" s="9">
        <v>1.0672004352549971</v>
      </c>
      <c r="AC1570" s="9">
        <v>0.72506348721945801</v>
      </c>
      <c r="AD1570" s="9">
        <v>0.93103265850077865</v>
      </c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</row>
    <row r="1571" spans="28:52">
      <c r="AB1571" s="9">
        <v>1.0532352307183079</v>
      </c>
      <c r="AC1571" s="9">
        <v>0.94431872390921678</v>
      </c>
      <c r="AD1571" s="9">
        <v>0.93619775809717665</v>
      </c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</row>
    <row r="1572" spans="28:52">
      <c r="AB1572" s="9">
        <v>1.0404023731307692</v>
      </c>
      <c r="AC1572" s="9">
        <v>0.75077312786731043</v>
      </c>
      <c r="AD1572" s="9">
        <v>0.95706056432945597</v>
      </c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</row>
    <row r="1573" spans="28:52">
      <c r="AB1573" s="9">
        <v>1.0114489588578299</v>
      </c>
      <c r="AC1573" s="9">
        <v>0.83501752723717837</v>
      </c>
      <c r="AD1573" s="9">
        <v>0.94590786870064825</v>
      </c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</row>
    <row r="1574" spans="28:52">
      <c r="AB1574" s="9">
        <v>1.0173801303506083</v>
      </c>
      <c r="AC1574" s="9">
        <v>0.76212137229582588</v>
      </c>
      <c r="AD1574" s="9">
        <v>0.92838134032013797</v>
      </c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</row>
    <row r="1575" spans="28:52">
      <c r="AB1575" s="9">
        <v>1.0296302914053523</v>
      </c>
      <c r="AC1575" s="9">
        <v>0.74075541070285533</v>
      </c>
      <c r="AD1575" s="9">
        <v>0.9294681849510178</v>
      </c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</row>
    <row r="1576" spans="28:52">
      <c r="AB1576" s="9">
        <v>1.0207254835158519</v>
      </c>
      <c r="AC1576" s="9">
        <v>0.5784682956744287</v>
      </c>
      <c r="AD1576" s="9">
        <v>0.92484363883469156</v>
      </c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</row>
    <row r="1577" spans="28:52">
      <c r="AB1577" s="9">
        <v>1.0190373845795859</v>
      </c>
      <c r="AC1577" s="9">
        <v>0.64040360398656282</v>
      </c>
      <c r="AD1577" s="9">
        <v>0.90735188469796535</v>
      </c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</row>
    <row r="1578" spans="28:52">
      <c r="AB1578" s="9">
        <v>1.0319036605672363</v>
      </c>
      <c r="AC1578" s="9">
        <v>0.79044774521176586</v>
      </c>
      <c r="AD1578" s="9">
        <v>0.88792081874494999</v>
      </c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</row>
    <row r="1579" spans="28:52">
      <c r="AB1579" s="9">
        <v>1.0470854101712768</v>
      </c>
      <c r="AC1579" s="9">
        <v>1.1222511312155328</v>
      </c>
      <c r="AD1579" s="9">
        <v>0.88372574222843148</v>
      </c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</row>
    <row r="1580" spans="28:52">
      <c r="AB1580" s="9">
        <v>1.0442156144711561</v>
      </c>
      <c r="AC1580" s="9">
        <v>0.97448749131910162</v>
      </c>
      <c r="AD1580" s="9">
        <v>0.88387788974273029</v>
      </c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</row>
    <row r="1581" spans="28:52">
      <c r="AB1581" s="9">
        <v>1.0362141638901665</v>
      </c>
      <c r="AC1581" s="9">
        <v>0.97430981866876953</v>
      </c>
      <c r="AD1581" s="9">
        <v>0.87431390215154714</v>
      </c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</row>
    <row r="1582" spans="28:52">
      <c r="AB1582" s="9">
        <v>1.0387162888505717</v>
      </c>
      <c r="AC1582" s="9">
        <v>0.82382492327640233</v>
      </c>
      <c r="AD1582" s="9">
        <v>0.85942881148189143</v>
      </c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</row>
    <row r="1583" spans="28:52">
      <c r="AB1583" s="9">
        <v>1.0469470608519766</v>
      </c>
      <c r="AC1583" s="9">
        <v>1.0134954475114029</v>
      </c>
      <c r="AD1583" s="9">
        <v>0.85951101426780485</v>
      </c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</row>
    <row r="1584" spans="28:52">
      <c r="AB1584" s="9">
        <v>1.0378065321942445</v>
      </c>
      <c r="AC1584" s="9">
        <v>1.0853858023524157</v>
      </c>
      <c r="AD1584" s="9">
        <v>0.87413127868865792</v>
      </c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</row>
    <row r="1585" spans="28:52">
      <c r="AB1585" s="9">
        <v>1.0130885504105027</v>
      </c>
      <c r="AC1585" s="9">
        <v>0.85791923510187129</v>
      </c>
      <c r="AD1585" s="9">
        <v>0.87630802944097608</v>
      </c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</row>
    <row r="1586" spans="28:52">
      <c r="AB1586" s="9">
        <v>1.0042636948371229</v>
      </c>
      <c r="AC1586" s="9">
        <v>0.61538773248130885</v>
      </c>
      <c r="AD1586" s="9">
        <v>0.89551151553026331</v>
      </c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</row>
    <row r="1587" spans="28:52">
      <c r="AB1587" s="9">
        <v>0.9773554172086345</v>
      </c>
      <c r="AC1587" s="9">
        <v>0.69435441101738771</v>
      </c>
      <c r="AD1587" s="9">
        <v>0.92092569534080126</v>
      </c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</row>
    <row r="1588" spans="28:52">
      <c r="AB1588" s="9">
        <v>0.9468362807357904</v>
      </c>
      <c r="AC1588" s="9">
        <v>0.81344877172357233</v>
      </c>
      <c r="AD1588" s="9">
        <v>0.89382163800794012</v>
      </c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</row>
    <row r="1589" spans="28:52">
      <c r="AB1589" s="9">
        <v>0.97190355957279972</v>
      </c>
      <c r="AC1589" s="9">
        <v>0.67465124987880587</v>
      </c>
      <c r="AD1589" s="9">
        <v>0.92048208048885782</v>
      </c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</row>
    <row r="1590" spans="28:52">
      <c r="AB1590" s="9">
        <v>0.93997227139084416</v>
      </c>
      <c r="AC1590" s="9">
        <v>0.75960779555653313</v>
      </c>
      <c r="AD1590" s="9">
        <v>0.90338702680942362</v>
      </c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</row>
    <row r="1591" spans="28:52">
      <c r="AB1591" s="9">
        <v>0.95468239933656385</v>
      </c>
      <c r="AC1591" s="9">
        <v>0.76574228494646179</v>
      </c>
      <c r="AD1591" s="9">
        <v>0.89113223976390676</v>
      </c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</row>
    <row r="1592" spans="28:52">
      <c r="AB1592" s="9">
        <v>0.96401780896149569</v>
      </c>
      <c r="AC1592" s="9">
        <v>0.57421863776870019</v>
      </c>
      <c r="AD1592" s="9">
        <v>0.90987359674903734</v>
      </c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</row>
    <row r="1593" spans="28:52">
      <c r="AB1593" s="9">
        <v>0.94044566069779656</v>
      </c>
      <c r="AC1593" s="9">
        <v>0.69556760985240695</v>
      </c>
      <c r="AD1593" s="9">
        <v>0.9132108430550171</v>
      </c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</row>
    <row r="1594" spans="28:52">
      <c r="AB1594" s="9">
        <v>0.93393034478695214</v>
      </c>
      <c r="AC1594" s="9">
        <v>0.70570560373460289</v>
      </c>
      <c r="AD1594" s="9">
        <v>0.90316735154474803</v>
      </c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</row>
    <row r="1595" spans="28:52">
      <c r="AB1595" s="9">
        <v>0.94118378850912277</v>
      </c>
      <c r="AC1595" s="9">
        <v>0.62261499700396294</v>
      </c>
      <c r="AD1595" s="9">
        <v>0.90295610580245966</v>
      </c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</row>
    <row r="1596" spans="28:52">
      <c r="AB1596" s="9">
        <v>0.93883395485896948</v>
      </c>
      <c r="AC1596" s="9">
        <v>0.65891742106508155</v>
      </c>
      <c r="AD1596" s="9">
        <v>0.8957856484373975</v>
      </c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</row>
    <row r="1597" spans="28:52">
      <c r="AB1597" s="9">
        <v>0.94382043507053714</v>
      </c>
      <c r="AC1597" s="9">
        <v>0.56443149131896364</v>
      </c>
      <c r="AD1597" s="9">
        <v>0.89864521478275405</v>
      </c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</row>
    <row r="1598" spans="28:52">
      <c r="AB1598" s="9">
        <v>0.93838480104395994</v>
      </c>
      <c r="AC1598" s="9">
        <v>0.61332009446999358</v>
      </c>
      <c r="AD1598" s="9">
        <v>0.91178980790459485</v>
      </c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</row>
    <row r="1599" spans="28:52">
      <c r="AB1599" s="9">
        <v>0.92285337109874011</v>
      </c>
      <c r="AC1599" s="9">
        <v>0.6237908801205857</v>
      </c>
      <c r="AD1599" s="9">
        <v>0.89363485207784277</v>
      </c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</row>
    <row r="1600" spans="28:52">
      <c r="AB1600" s="9">
        <v>0.9398631546091466</v>
      </c>
      <c r="AC1600" s="9">
        <v>0.57034509989413251</v>
      </c>
      <c r="AD1600" s="9">
        <v>0.88579563367693759</v>
      </c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</row>
    <row r="1601" spans="28:52">
      <c r="AB1601" s="9">
        <v>0.9464747423369636</v>
      </c>
      <c r="AC1601" s="9">
        <v>0.57106719306404186</v>
      </c>
      <c r="AD1601" s="9">
        <v>0.87298807513433452</v>
      </c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</row>
    <row r="1602" spans="28:52">
      <c r="AB1602" s="9">
        <v>0.9580780244084981</v>
      </c>
      <c r="AC1602" s="9">
        <v>0.78919623910855075</v>
      </c>
      <c r="AD1602" s="9">
        <v>0.87379527257828027</v>
      </c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</row>
    <row r="1603" spans="28:52">
      <c r="AB1603" s="9">
        <v>0.95492519684647137</v>
      </c>
      <c r="AC1603" s="9">
        <v>0.46102908864992109</v>
      </c>
      <c r="AD1603" s="9">
        <v>0.86866100060839435</v>
      </c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</row>
    <row r="1604" spans="28:52">
      <c r="AB1604" s="9">
        <v>0.95763278816921682</v>
      </c>
      <c r="AC1604" s="9">
        <v>0.56514916203185617</v>
      </c>
      <c r="AD1604" s="9">
        <v>0.87953933150167996</v>
      </c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</row>
    <row r="1605" spans="28:52">
      <c r="AB1605" s="9">
        <v>0.94294531206710896</v>
      </c>
      <c r="AC1605" s="9">
        <v>0.68870510230887072</v>
      </c>
      <c r="AD1605" s="9">
        <v>0.88449947854240907</v>
      </c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</row>
    <row r="1606" spans="28:52">
      <c r="AB1606" s="9">
        <v>0.93589949731257804</v>
      </c>
      <c r="AC1606" s="9">
        <v>0.58322234554964858</v>
      </c>
      <c r="AD1606" s="9">
        <v>0.90121811094643756</v>
      </c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</row>
    <row r="1607" spans="28:52">
      <c r="AB1607" s="9">
        <v>0.91679856532522819</v>
      </c>
      <c r="AC1607" s="9">
        <v>0.90721897129631091</v>
      </c>
      <c r="AD1607" s="9">
        <v>0.90619254501663027</v>
      </c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</row>
    <row r="1608" spans="28:52">
      <c r="AB1608" s="9">
        <v>0.91139240082918627</v>
      </c>
      <c r="AC1608" s="9">
        <v>0.82250413449054449</v>
      </c>
      <c r="AD1608" s="9">
        <v>0.89301434528811763</v>
      </c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</row>
    <row r="1609" spans="28:52">
      <c r="AB1609" s="9">
        <v>0.92504540060274865</v>
      </c>
      <c r="AC1609" s="9">
        <v>0.57844714788399687</v>
      </c>
      <c r="AD1609" s="9">
        <v>0.90358613039868718</v>
      </c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</row>
    <row r="1610" spans="28:52">
      <c r="AB1610" s="9">
        <v>0.91468382400127202</v>
      </c>
      <c r="AC1610" s="9">
        <v>0.63425368570281992</v>
      </c>
      <c r="AD1610" s="9">
        <v>0.90377466641824866</v>
      </c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</row>
    <row r="1611" spans="28:52">
      <c r="AB1611" s="9">
        <v>0.91563328991096793</v>
      </c>
      <c r="AC1611" s="9">
        <v>0.69440878396626637</v>
      </c>
      <c r="AD1611" s="9">
        <v>0.92294266907789391</v>
      </c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</row>
    <row r="1612" spans="28:52">
      <c r="AB1612" s="9">
        <v>0.89854263131354695</v>
      </c>
      <c r="AC1612" s="9">
        <v>0.81376932551372372</v>
      </c>
      <c r="AD1612" s="9">
        <v>0.91918687435429514</v>
      </c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</row>
    <row r="1613" spans="28:52">
      <c r="AB1613" s="9">
        <v>0.90477802597091639</v>
      </c>
      <c r="AC1613" s="9">
        <v>0.67771833533993386</v>
      </c>
      <c r="AD1613" s="9">
        <v>0.93584883597447976</v>
      </c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</row>
    <row r="1614" spans="28:52">
      <c r="AB1614" s="9">
        <v>0.89135946615620998</v>
      </c>
      <c r="AC1614" s="9">
        <v>0.71970575320568164</v>
      </c>
      <c r="AD1614" s="9">
        <v>0.93482993926785429</v>
      </c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</row>
    <row r="1615" spans="28:52">
      <c r="AB1615" s="9">
        <v>0.8957983138742871</v>
      </c>
      <c r="AC1615" s="9">
        <v>0.83408184419273956</v>
      </c>
      <c r="AD1615" s="9">
        <v>0.9540044153332482</v>
      </c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</row>
    <row r="1616" spans="28:52">
      <c r="AB1616" s="9">
        <v>0.88071371775180785</v>
      </c>
      <c r="AC1616" s="9">
        <v>0.77792523566741123</v>
      </c>
      <c r="AD1616" s="9">
        <v>0.9504498160085858</v>
      </c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</row>
    <row r="1617" spans="28:52">
      <c r="AB1617" s="9">
        <v>0.88745928197302981</v>
      </c>
      <c r="AC1617" s="9">
        <v>0.76212142343403799</v>
      </c>
      <c r="AD1617" s="9">
        <v>0.92751410740179185</v>
      </c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</row>
    <row r="1618" spans="28:52">
      <c r="AB1618" s="9">
        <v>0.91231339039386727</v>
      </c>
      <c r="AC1618" s="9">
        <v>0.87440696595425427</v>
      </c>
      <c r="AD1618" s="9">
        <v>0.9268519323751413</v>
      </c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</row>
    <row r="1619" spans="28:52">
      <c r="AB1619" s="9">
        <v>0.91533546080542305</v>
      </c>
      <c r="AC1619" s="9">
        <v>0.82292510728109625</v>
      </c>
      <c r="AD1619" s="9">
        <v>0.92993006578205939</v>
      </c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</row>
    <row r="1620" spans="28:52">
      <c r="AB1620" s="9">
        <v>0.91477387563776469</v>
      </c>
      <c r="AC1620" s="9">
        <v>0.61978618046696754</v>
      </c>
      <c r="AD1620" s="9">
        <v>0.94852137393493452</v>
      </c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</row>
    <row r="1621" spans="28:52">
      <c r="AB1621" s="9">
        <v>0.89984907619422794</v>
      </c>
      <c r="AC1621" s="9">
        <v>0.59513464795107962</v>
      </c>
      <c r="AD1621" s="9">
        <v>0.9798827429008693</v>
      </c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</row>
    <row r="1622" spans="28:52">
      <c r="AB1622" s="9">
        <v>0.87448037268662837</v>
      </c>
      <c r="AC1622" s="9">
        <v>0.91771475004432912</v>
      </c>
      <c r="AD1622" s="9">
        <v>1.0008505199721665</v>
      </c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</row>
    <row r="1623" spans="28:52">
      <c r="AB1623" s="9">
        <v>0.85960781342196546</v>
      </c>
      <c r="AC1623" s="9">
        <v>1.1650156046480278</v>
      </c>
      <c r="AD1623" s="9">
        <v>1.0297703338605624</v>
      </c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</row>
    <row r="1624" spans="28:52">
      <c r="AB1624" s="9">
        <v>0.83986618319924977</v>
      </c>
      <c r="AC1624" s="9">
        <v>0.69275042254605379</v>
      </c>
      <c r="AD1624" s="9">
        <v>1.0735549517684011</v>
      </c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</row>
    <row r="1625" spans="28:52">
      <c r="AB1625" s="9">
        <v>0.81099780224847218</v>
      </c>
      <c r="AC1625" s="9">
        <v>0.70988565498849043</v>
      </c>
      <c r="AD1625" s="9">
        <v>1.0175000161622956</v>
      </c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</row>
    <row r="1626" spans="28:52">
      <c r="AB1626" s="9">
        <v>0.86101331104168621</v>
      </c>
      <c r="AC1626" s="9">
        <v>1.1064313908074166</v>
      </c>
      <c r="AD1626" s="9">
        <v>1.0238864759953568</v>
      </c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</row>
    <row r="1627" spans="28:52">
      <c r="AB1627" s="9">
        <v>0.86025337678025904</v>
      </c>
      <c r="AC1627" s="9">
        <v>1.3775312596141167</v>
      </c>
      <c r="AD1627" s="9">
        <v>1.007668565279789</v>
      </c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</row>
    <row r="1628" spans="28:52">
      <c r="AB1628" s="9">
        <v>0.87906694324942058</v>
      </c>
      <c r="AC1628" s="9">
        <v>1.3978139147927104</v>
      </c>
      <c r="AD1628" s="9">
        <v>1.0222267535859384</v>
      </c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</row>
    <row r="1629" spans="28:52">
      <c r="AB1629" s="9">
        <v>0.87167861846780559</v>
      </c>
      <c r="AC1629" s="9">
        <v>1.1706671460522218</v>
      </c>
      <c r="AD1629" s="9">
        <v>1.0306989205915023</v>
      </c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</row>
    <row r="1630" spans="28:52">
      <c r="AB1630" s="9">
        <v>0.86993000533683651</v>
      </c>
      <c r="AC1630" s="9">
        <v>0.78973678137629022</v>
      </c>
      <c r="AD1630" s="9">
        <v>1.0967288810972526</v>
      </c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</row>
    <row r="1631" spans="28:52">
      <c r="AB1631" s="9">
        <v>0.82370873096455766</v>
      </c>
      <c r="AC1631" s="9">
        <v>0.71154115365350568</v>
      </c>
      <c r="AD1631" s="9">
        <v>1.1181189523750419</v>
      </c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</row>
    <row r="1632" spans="28:52">
      <c r="AB1632" s="9">
        <v>0.81539155473812508</v>
      </c>
      <c r="AC1632" s="9">
        <v>1.144604932425703</v>
      </c>
      <c r="AD1632" s="9">
        <v>1.0868217791998254</v>
      </c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</row>
    <row r="1633" spans="28:52">
      <c r="AB1633" s="9">
        <v>0.84659537595981682</v>
      </c>
      <c r="AC1633" s="9">
        <v>1.0653839742549189</v>
      </c>
      <c r="AD1633" s="9">
        <v>1.041368365298476</v>
      </c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</row>
    <row r="1634" spans="28:52">
      <c r="AB1634" s="9">
        <v>0.89009200890414475</v>
      </c>
      <c r="AC1634" s="9">
        <v>0.98251996160088106</v>
      </c>
      <c r="AD1634" s="9">
        <v>1.0236012906341683</v>
      </c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</row>
    <row r="1635" spans="28:52">
      <c r="AB1635" s="9">
        <v>0.91059856909147296</v>
      </c>
      <c r="AC1635" s="9">
        <v>1.2878431829859265</v>
      </c>
      <c r="AD1635" s="9">
        <v>1.0134594912146406</v>
      </c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</row>
    <row r="1636" spans="28:52">
      <c r="AB1636" s="9">
        <v>0.92391669568511048</v>
      </c>
      <c r="AC1636" s="9">
        <v>1.2862221077599911</v>
      </c>
      <c r="AD1636" s="9">
        <v>0.98657597034458089</v>
      </c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</row>
    <row r="1637" spans="28:52">
      <c r="AB1637" s="9">
        <v>0.95208287527455848</v>
      </c>
      <c r="AC1637" s="9">
        <v>1.4993442346863799</v>
      </c>
      <c r="AD1637" s="9">
        <v>1.0129089870472223</v>
      </c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</row>
    <row r="1638" spans="28:52">
      <c r="AB1638" s="9">
        <v>0.92950264373068292</v>
      </c>
      <c r="AC1638" s="9">
        <v>1.8610210810923644</v>
      </c>
      <c r="AD1638" s="9">
        <v>1.0366452346312491</v>
      </c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</row>
    <row r="1639" spans="28:52">
      <c r="AB1639" s="9">
        <v>0.9109698884807812</v>
      </c>
      <c r="AC1639" s="9">
        <v>0.92765988919124587</v>
      </c>
      <c r="AD1639" s="9">
        <v>1.0233762234232935</v>
      </c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</row>
    <row r="1640" spans="28:52">
      <c r="AB1640" s="9">
        <v>0.92545080628343912</v>
      </c>
      <c r="AC1640" s="9">
        <v>1.1483781777481918</v>
      </c>
      <c r="AD1640" s="9">
        <v>1.0307525518142777</v>
      </c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</row>
    <row r="1641" spans="28:52">
      <c r="AB1641" s="9">
        <v>0.92236890996196585</v>
      </c>
      <c r="AC1641" s="9">
        <v>0.94484151101907932</v>
      </c>
      <c r="AD1641" s="9">
        <v>1.0523579009231046</v>
      </c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</row>
    <row r="1642" spans="28:52">
      <c r="AB1642" s="9">
        <v>0.90753328763637686</v>
      </c>
      <c r="AC1642" s="9">
        <v>0.76528496435250037</v>
      </c>
      <c r="AD1642" s="9">
        <v>1.0631389885231968</v>
      </c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</row>
    <row r="1643" spans="28:52">
      <c r="AB1643" s="9">
        <v>0.9024950038413434</v>
      </c>
      <c r="AC1643" s="9">
        <v>0.93582768965694607</v>
      </c>
      <c r="AD1643" s="9">
        <v>1.0629149549001233</v>
      </c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</row>
    <row r="1644" spans="28:52">
      <c r="AB1644" s="9">
        <v>0.90709412094588293</v>
      </c>
      <c r="AC1644" s="9">
        <v>0.73120279922228892</v>
      </c>
      <c r="AD1644" s="9">
        <v>1.0364346846905417</v>
      </c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</row>
    <row r="1645" spans="28:52">
      <c r="AB1645" s="9">
        <v>0.93439124104590421</v>
      </c>
      <c r="AC1645" s="9">
        <v>1.0619636364991258</v>
      </c>
      <c r="AD1645" s="9">
        <v>1.0431807057450844</v>
      </c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</row>
    <row r="1646" spans="28:52">
      <c r="AB1646" s="9">
        <v>0.93218465947008355</v>
      </c>
      <c r="AC1646" s="9">
        <v>1.484802747275572</v>
      </c>
      <c r="AD1646" s="9">
        <v>1.0361770706257949</v>
      </c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</row>
    <row r="1647" spans="28:52">
      <c r="AB1647" s="9">
        <v>0.94288692559416343</v>
      </c>
      <c r="AC1647" s="9">
        <v>0.77519387015824126</v>
      </c>
      <c r="AD1647" s="9">
        <v>1.0387961717288698</v>
      </c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</row>
    <row r="1648" spans="28:52">
      <c r="AB1648" s="9">
        <v>0.94464294063863075</v>
      </c>
      <c r="AC1648" s="9">
        <v>1.0770860962336988</v>
      </c>
      <c r="AD1648" s="9">
        <v>1.0299287437205318</v>
      </c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</row>
    <row r="1649" spans="28:52">
      <c r="AB1649" s="9">
        <v>0.95719696093736029</v>
      </c>
      <c r="AC1649" s="9">
        <v>0.96704168565356963</v>
      </c>
      <c r="AD1649" s="9">
        <v>1.0143311215063184</v>
      </c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</row>
    <row r="1650" spans="28:52">
      <c r="AB1650" s="9">
        <v>0.97655279871679501</v>
      </c>
      <c r="AC1650" s="9">
        <v>0.97029389951042777</v>
      </c>
      <c r="AD1650" s="9">
        <v>1.035561721192586</v>
      </c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</row>
    <row r="1651" spans="28:52">
      <c r="AB1651" s="9">
        <v>0.96116329030733771</v>
      </c>
      <c r="AC1651" s="9">
        <v>0.93214625136400808</v>
      </c>
      <c r="AD1651" s="9">
        <v>1.0372965359402158</v>
      </c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</row>
    <row r="1652" spans="28:52">
      <c r="AB1652" s="9">
        <v>0.96517354322721827</v>
      </c>
      <c r="AC1652" s="9">
        <v>0.77074003710276418</v>
      </c>
      <c r="AD1652" s="9">
        <v>1.0476515930914077</v>
      </c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</row>
    <row r="1653" spans="28:52">
      <c r="AB1653" s="9">
        <v>0.96108892249834799</v>
      </c>
      <c r="AC1653" s="9">
        <v>0.73095381460042441</v>
      </c>
      <c r="AD1653" s="9">
        <v>1.0415642315595548</v>
      </c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</row>
    <row r="1654" spans="28:52">
      <c r="AB1654" s="9">
        <v>0.97261060180703107</v>
      </c>
      <c r="AC1654" s="9">
        <v>0.61634502675299596</v>
      </c>
      <c r="AD1654" s="9">
        <v>1.03912140142795</v>
      </c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</row>
    <row r="1655" spans="28:52">
      <c r="AB1655" s="9">
        <v>0.9801367808702881</v>
      </c>
      <c r="AC1655" s="9">
        <v>0.88404779521033738</v>
      </c>
      <c r="AD1655" s="9">
        <v>1.0968830263328573</v>
      </c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</row>
    <row r="1656" spans="28:52">
      <c r="AB1656" s="9">
        <v>0.93403053440201433</v>
      </c>
      <c r="AC1656" s="9">
        <v>0.86785772874998313</v>
      </c>
      <c r="AD1656" s="9">
        <v>1.0604675025685162</v>
      </c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</row>
    <row r="1657" spans="28:52">
      <c r="AB1657" s="9">
        <v>0.97195795498060733</v>
      </c>
      <c r="AC1657" s="9">
        <v>1.0971430200624348</v>
      </c>
      <c r="AD1657" s="9">
        <v>1.0333807613024213</v>
      </c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</row>
    <row r="1658" spans="28:52">
      <c r="AB1658" s="9">
        <v>1.0022507968850809</v>
      </c>
      <c r="AC1658" s="9">
        <v>1.2593757297768122</v>
      </c>
      <c r="AD1658" s="9">
        <v>1.0164284055040103</v>
      </c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</row>
    <row r="1659" spans="28:52">
      <c r="AB1659" s="9">
        <v>1.0229950320096968</v>
      </c>
      <c r="AC1659" s="9">
        <v>1.4389015830199812</v>
      </c>
      <c r="AD1659" s="9">
        <v>1.0035110146237174</v>
      </c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</row>
    <row r="1660" spans="28:52">
      <c r="AB1660" s="9">
        <v>1.0392616312241463</v>
      </c>
      <c r="AC1660" s="9">
        <v>1.7614085492319425</v>
      </c>
      <c r="AD1660" s="9">
        <v>0.99564378390443176</v>
      </c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</row>
    <row r="1661" spans="28:52">
      <c r="AB1661" s="9">
        <v>1.0502523430838588</v>
      </c>
      <c r="AC1661" s="9">
        <v>1.3213536719625545</v>
      </c>
      <c r="AD1661" s="9">
        <v>0.97828537151711992</v>
      </c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</row>
    <row r="1662" spans="28:52">
      <c r="AB1662" s="9">
        <v>1.0707133357744387</v>
      </c>
      <c r="AC1662" s="9">
        <v>1.7011528422084707</v>
      </c>
      <c r="AD1662" s="9">
        <v>0.98773104665632272</v>
      </c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</row>
    <row r="1663" spans="28:52">
      <c r="AB1663" s="9">
        <v>1.062512829601221</v>
      </c>
      <c r="AC1663" s="9">
        <v>1.8615458684901991</v>
      </c>
      <c r="AD1663" s="9">
        <v>0.96963345896713715</v>
      </c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</row>
    <row r="1664" spans="28:52">
      <c r="AB1664" s="9">
        <v>1.0838561584565314</v>
      </c>
      <c r="AC1664" s="9">
        <v>1.5493889488527557</v>
      </c>
      <c r="AD1664" s="9">
        <v>0.99836188030343687</v>
      </c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</row>
    <row r="1665" spans="28:52">
      <c r="AB1665" s="9">
        <v>1.0544899494010369</v>
      </c>
      <c r="AC1665" s="9">
        <v>1.450910993648479</v>
      </c>
      <c r="AD1665" s="9">
        <v>0.98526960909806416</v>
      </c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</row>
    <row r="1666" spans="28:52">
      <c r="AB1666" s="9">
        <v>1.0702874336670605</v>
      </c>
      <c r="AC1666" s="9">
        <v>1.2633660808017182</v>
      </c>
      <c r="AD1666" s="9">
        <v>0.99329376740796871</v>
      </c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</row>
    <row r="1667" spans="28:52">
      <c r="AB1667" s="9">
        <v>1.0631172784805172</v>
      </c>
      <c r="AC1667" s="9">
        <v>1.2578075192134821</v>
      </c>
      <c r="AD1667" s="9">
        <v>1.0072921765360392</v>
      </c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</row>
    <row r="1668" spans="28:52">
      <c r="AB1668" s="9">
        <v>1.0506615153444956</v>
      </c>
      <c r="AC1668" s="9">
        <v>0.98590449669248637</v>
      </c>
      <c r="AD1668" s="9">
        <v>1.0155843122417969</v>
      </c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</row>
    <row r="1669" spans="28:52">
      <c r="AB1669" s="9">
        <v>1.0452809430536107</v>
      </c>
      <c r="AC1669" s="9">
        <v>0.86986158193187313</v>
      </c>
      <c r="AD1669" s="9">
        <v>0.99931960417864663</v>
      </c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</row>
    <row r="1670" spans="28:52">
      <c r="AB1670" s="9">
        <v>1.0650928798199015</v>
      </c>
      <c r="AC1670" s="9">
        <v>0.91155690336606021</v>
      </c>
      <c r="AD1670" s="9">
        <v>1.0127277726967132</v>
      </c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</row>
    <row r="1671" spans="28:52">
      <c r="AB1671" s="9">
        <v>1.05335440624858</v>
      </c>
      <c r="AC1671" s="9">
        <v>1.0588580660238887</v>
      </c>
      <c r="AD1671" s="9">
        <v>1.0354243022620724</v>
      </c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</row>
    <row r="1672" spans="28:52">
      <c r="AB1672" s="9">
        <v>1.0323733519089384</v>
      </c>
      <c r="AC1672" s="9">
        <v>1.2798195751150543</v>
      </c>
      <c r="AD1672" s="9">
        <v>1.0297614869264815</v>
      </c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</row>
    <row r="1673" spans="28:52">
      <c r="AB1673" s="9">
        <v>1.0393889360214197</v>
      </c>
      <c r="AC1673" s="9">
        <v>0.63680413982023687</v>
      </c>
      <c r="AD1673" s="9">
        <v>1.0376533897332563</v>
      </c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</row>
    <row r="1674" spans="28:52">
      <c r="AB1674" s="9">
        <v>1.0317079181532738</v>
      </c>
      <c r="AC1674" s="9">
        <v>0.6683140496551927</v>
      </c>
      <c r="AD1674" s="9">
        <v>1.0479872759323792</v>
      </c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</row>
    <row r="1675" spans="28:52">
      <c r="AB1675" s="9">
        <v>1.0214646714944828</v>
      </c>
      <c r="AC1675" s="9">
        <v>0.66622401863195979</v>
      </c>
      <c r="AD1675" s="9">
        <v>1.0452313236450548</v>
      </c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</row>
    <row r="1676" spans="28:52">
      <c r="AB1676" s="9">
        <v>1.0252448637772247</v>
      </c>
      <c r="AC1676" s="9">
        <v>0.71746273816613226</v>
      </c>
      <c r="AD1676" s="9">
        <v>1.0398452382416232</v>
      </c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</row>
    <row r="1677" spans="28:52">
      <c r="AB1677" s="9">
        <v>1.0313865414056322</v>
      </c>
      <c r="AC1677" s="9">
        <v>0.78739049350050216</v>
      </c>
      <c r="AD1677" s="9">
        <v>1.0453069846408971</v>
      </c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</row>
    <row r="1678" spans="28:52">
      <c r="AB1678" s="9">
        <v>1.0271247497594989</v>
      </c>
      <c r="AC1678" s="9">
        <v>0.57799794348745592</v>
      </c>
      <c r="AD1678" s="9">
        <v>1.0512223508509098</v>
      </c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</row>
    <row r="1679" spans="28:52">
      <c r="AB1679" s="9">
        <v>1.0226505450012704</v>
      </c>
      <c r="AC1679" s="9">
        <v>0.47889528698700057</v>
      </c>
      <c r="AD1679" s="9">
        <v>1.0447077931245299</v>
      </c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</row>
    <row r="1680" spans="28:52">
      <c r="AB1680" s="9">
        <v>1.0301417672415327</v>
      </c>
      <c r="AC1680" s="9">
        <v>0.62284948280853736</v>
      </c>
      <c r="AD1680" s="9">
        <v>1.041634659660668</v>
      </c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</row>
    <row r="1681" spans="28:52">
      <c r="AB1681" s="9">
        <v>1.0328370807544478</v>
      </c>
      <c r="AC1681" s="9">
        <v>0.72241469401815006</v>
      </c>
      <c r="AD1681" s="9">
        <v>1.0473819816131906</v>
      </c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</row>
    <row r="1682" spans="28:52">
      <c r="AB1682" s="9">
        <v>1.0265145937482667</v>
      </c>
      <c r="AC1682" s="9">
        <v>0.4187476216150996</v>
      </c>
      <c r="AD1682" s="9">
        <v>1.0666120620828212</v>
      </c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</row>
    <row r="1683" spans="28:52">
      <c r="AB1683" s="9">
        <v>1.0082840334777277</v>
      </c>
      <c r="AC1683" s="9">
        <v>0.56600770869342865</v>
      </c>
      <c r="AD1683" s="9">
        <v>1.0772935334125013</v>
      </c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</row>
    <row r="1684" spans="28:52">
      <c r="AB1684" s="9">
        <v>0.99963815071070561</v>
      </c>
      <c r="AC1684" s="9">
        <v>0.55883258350393639</v>
      </c>
      <c r="AD1684" s="9">
        <v>1.0976465243071329</v>
      </c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</row>
    <row r="1685" spans="28:52">
      <c r="AB1685" s="9">
        <v>0.98312330669583692</v>
      </c>
      <c r="AC1685" s="9">
        <v>0.57558900052188233</v>
      </c>
      <c r="AD1685" s="9">
        <v>1.1083707714935152</v>
      </c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</row>
    <row r="1686" spans="28:52">
      <c r="AB1686" s="9">
        <v>0.97613216452214824</v>
      </c>
      <c r="AC1686" s="9">
        <v>0.6175488458450954</v>
      </c>
      <c r="AD1686" s="9">
        <v>1.1167701235589103</v>
      </c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</row>
    <row r="1687" spans="28:52">
      <c r="AB1687" s="9">
        <v>0.97182010581399147</v>
      </c>
      <c r="AC1687" s="9">
        <v>0.763718419781651</v>
      </c>
      <c r="AD1687" s="9">
        <v>1.1744952367005912</v>
      </c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</row>
    <row r="1688" spans="28:52">
      <c r="AB1688" s="9">
        <v>0.92747394545636175</v>
      </c>
      <c r="AC1688" s="9">
        <v>0.75379711231951996</v>
      </c>
      <c r="AD1688" s="9">
        <v>1.1573407744195578</v>
      </c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</row>
    <row r="1689" spans="28:52">
      <c r="AB1689" s="9">
        <v>0.94521543782268758</v>
      </c>
      <c r="AC1689" s="9">
        <v>0.67391316679716862</v>
      </c>
      <c r="AD1689" s="9">
        <v>1.1188917513544703</v>
      </c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</row>
    <row r="1690" spans="28:52">
      <c r="AB1690" s="9">
        <v>0.98099479747258145</v>
      </c>
      <c r="AC1690" s="9">
        <v>0.92872037782269612</v>
      </c>
      <c r="AD1690" s="9">
        <v>1.1261881641072891</v>
      </c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</row>
    <row r="1691" spans="28:52">
      <c r="AB1691" s="9">
        <v>0.97739377625117663</v>
      </c>
      <c r="AC1691" s="9">
        <v>1.0422782030809696</v>
      </c>
      <c r="AD1691" s="9">
        <v>1.1254776833224345</v>
      </c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</row>
    <row r="1692" spans="28:52">
      <c r="AB1692" s="9">
        <v>0.98035493949757813</v>
      </c>
      <c r="AC1692" s="9">
        <v>1.1510431929001366</v>
      </c>
      <c r="AD1692" s="9">
        <v>1.1150119055459577</v>
      </c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</row>
    <row r="1693" spans="28:52">
      <c r="AB1693" s="9">
        <v>0.99144169737960886</v>
      </c>
      <c r="AC1693" s="9">
        <v>0.8721883551536046</v>
      </c>
      <c r="AD1693" s="9">
        <v>1.1247326705421514</v>
      </c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</row>
    <row r="1694" spans="28:52">
      <c r="AB1694" s="9">
        <v>0.98455320799226942</v>
      </c>
      <c r="AC1694" s="9">
        <v>0.85687264781704919</v>
      </c>
      <c r="AD1694" s="9">
        <v>1.1191378760900792</v>
      </c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</row>
    <row r="1695" spans="28:52">
      <c r="AB1695" s="9">
        <v>0.99154802759975558</v>
      </c>
      <c r="AC1695" s="9">
        <v>0.88090931257401073</v>
      </c>
      <c r="AD1695" s="9">
        <v>1.0957766788291874</v>
      </c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</row>
    <row r="1696" spans="28:52">
      <c r="AB1696" s="9">
        <v>1.0143397949449604</v>
      </c>
      <c r="AC1696" s="9">
        <v>1.4312605235721636</v>
      </c>
      <c r="AD1696" s="9">
        <v>1.1003848137461394</v>
      </c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</row>
    <row r="1697" spans="28:52">
      <c r="AB1697" s="9">
        <v>1.011725802283207</v>
      </c>
      <c r="AC1697" s="9">
        <v>1.0951004730434093</v>
      </c>
      <c r="AD1697" s="9">
        <v>1.06134870334832</v>
      </c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</row>
    <row r="1698" spans="28:52">
      <c r="AB1698" s="9">
        <v>1.0498518073315199</v>
      </c>
      <c r="AC1698" s="9">
        <v>1.0460416307701064</v>
      </c>
      <c r="AD1698" s="9">
        <v>1.0497686447784751</v>
      </c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</row>
    <row r="1699" spans="28:52">
      <c r="AB1699" s="9">
        <v>1.0615108203741739</v>
      </c>
      <c r="AC1699" s="9">
        <v>1.665511809449095</v>
      </c>
      <c r="AD1699" s="9">
        <v>1.056528608919546</v>
      </c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</row>
    <row r="1700" spans="28:52">
      <c r="AB1700" s="9">
        <v>1.0545978924799968</v>
      </c>
      <c r="AC1700" s="9">
        <v>1.7098211751497947</v>
      </c>
      <c r="AD1700" s="9">
        <v>1.0393343980552006</v>
      </c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</row>
    <row r="1701" spans="28:52">
      <c r="AB1701" s="9">
        <v>1.0711333405388486</v>
      </c>
      <c r="AC1701" s="9">
        <v>1.835916794870138</v>
      </c>
      <c r="AD1701" s="9">
        <v>1.0493663259263071</v>
      </c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</row>
    <row r="1702" spans="28:52">
      <c r="AB1702" s="9">
        <v>1.0594001537543356</v>
      </c>
      <c r="AC1702" s="9">
        <v>2.315823744807386</v>
      </c>
      <c r="AD1702" s="9">
        <v>1.0330377061678178</v>
      </c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</row>
    <row r="1703" spans="28:52">
      <c r="AB1703" s="9">
        <v>1.0740505447162694</v>
      </c>
      <c r="AC1703" s="9">
        <v>1.531701506427797</v>
      </c>
      <c r="AD1703" s="9">
        <v>1.0391689491476739</v>
      </c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</row>
    <row r="1704" spans="28:52">
      <c r="AB1704" s="9">
        <v>1.0657082305889485</v>
      </c>
      <c r="AC1704" s="9">
        <v>1.7937665215862899</v>
      </c>
      <c r="AD1704" s="9">
        <v>1.0476291776284306</v>
      </c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</row>
    <row r="1705" spans="28:52">
      <c r="AB1705" s="9">
        <v>1.0554377626472655</v>
      </c>
      <c r="AC1705" s="9">
        <v>1.3125718002099247</v>
      </c>
      <c r="AD1705" s="9">
        <v>1.0302231729906284</v>
      </c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</row>
    <row r="1706" spans="28:52">
      <c r="AB1706" s="9">
        <v>1.0699331474435076</v>
      </c>
      <c r="AC1706" s="9">
        <v>1.5343796292253229</v>
      </c>
      <c r="AD1706" s="9">
        <v>1.0201133179242772</v>
      </c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</row>
    <row r="1707" spans="28:52">
      <c r="AB1707" s="9">
        <v>1.077601613988844</v>
      </c>
      <c r="AC1707" s="9">
        <v>1.6751994288677319</v>
      </c>
      <c r="AD1707" s="9">
        <v>1.0304059744144003</v>
      </c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</row>
    <row r="1708" spans="28:52">
      <c r="AB1708" s="9">
        <v>1.0640497201010251</v>
      </c>
      <c r="AC1708" s="9">
        <v>1.6954268878150591</v>
      </c>
      <c r="AD1708" s="9">
        <v>1.0295779309141055</v>
      </c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</row>
    <row r="1709" spans="28:52">
      <c r="AB1709" s="9">
        <v>1.0625639981921886</v>
      </c>
      <c r="AC1709" s="9">
        <v>1.1403072860509764</v>
      </c>
      <c r="AD1709" s="9">
        <v>1.0207624380984481</v>
      </c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</row>
    <row r="1710" spans="28:52">
      <c r="AB1710" s="9">
        <v>1.0699625007693858</v>
      </c>
      <c r="AC1710" s="9">
        <v>1.4029689248174915</v>
      </c>
      <c r="AD1710" s="9">
        <v>1.0140002534699355</v>
      </c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</row>
    <row r="1711" spans="28:52">
      <c r="AB1711" s="9">
        <v>1.0751388125142949</v>
      </c>
      <c r="AC1711" s="9">
        <v>1.5984632675900701</v>
      </c>
      <c r="AD1711" s="9">
        <v>0.99760877918496493</v>
      </c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</row>
    <row r="1712" spans="28:52">
      <c r="AB1712" s="9">
        <v>1.0907837194238912</v>
      </c>
      <c r="AC1712" s="9">
        <v>1.8133298071578086</v>
      </c>
      <c r="AD1712" s="9">
        <v>0.98997758224637844</v>
      </c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</row>
    <row r="1713" spans="28:52">
      <c r="AB1713" s="9">
        <v>1.096073016683172</v>
      </c>
      <c r="AC1713" s="9">
        <v>1.8340241099346828</v>
      </c>
      <c r="AD1713" s="9">
        <v>0.98306009257537552</v>
      </c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</row>
    <row r="1714" spans="28:52">
      <c r="AB1714" s="9">
        <v>1.1007357389613057</v>
      </c>
      <c r="AC1714" s="9">
        <v>1.3631611599328031</v>
      </c>
      <c r="AD1714" s="9">
        <v>0.97518718705586516</v>
      </c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</row>
    <row r="1715" spans="28:52">
      <c r="AB1715" s="9">
        <v>1.1054363952781443</v>
      </c>
      <c r="AC1715" s="9">
        <v>1.6685987823844031</v>
      </c>
      <c r="AD1715" s="9">
        <v>0.98199092038127345</v>
      </c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</row>
    <row r="1716" spans="28:52">
      <c r="AB1716" s="9">
        <v>1.0939361895693056</v>
      </c>
      <c r="AC1716" s="9">
        <v>1.8526916593706539</v>
      </c>
      <c r="AD1716" s="9">
        <v>0.98455998050315185</v>
      </c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</row>
    <row r="1717" spans="28:52">
      <c r="AB1717" s="9">
        <v>1.0873943111898923</v>
      </c>
      <c r="AC1717" s="9">
        <v>1.2673839080938443</v>
      </c>
      <c r="AD1717" s="9">
        <v>0.96155690802768168</v>
      </c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</row>
    <row r="1718" spans="28:52">
      <c r="AB1718" s="9">
        <v>1.1090986954220272</v>
      </c>
      <c r="AC1718" s="9">
        <v>1.4951208329388792</v>
      </c>
      <c r="AD1718" s="9">
        <v>0.96238553185200659</v>
      </c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</row>
    <row r="1719" spans="28:52">
      <c r="AB1719" s="9">
        <v>1.1032233139842633</v>
      </c>
      <c r="AC1719" s="9">
        <v>1.9026432754150526</v>
      </c>
      <c r="AD1719" s="9">
        <v>0.9527634419845018</v>
      </c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</row>
    <row r="1720" spans="28:52">
      <c r="AB1720" s="9">
        <v>1.1096840446661616</v>
      </c>
      <c r="AC1720" s="9">
        <v>1.2584253579127689</v>
      </c>
      <c r="AD1720" s="9">
        <v>0.95737088070448573</v>
      </c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</row>
    <row r="1721" spans="28:52">
      <c r="AB1721" s="9">
        <v>1.0993615899458351</v>
      </c>
      <c r="AC1721" s="9">
        <v>1.3570261562092909</v>
      </c>
      <c r="AD1721" s="9">
        <v>0.98012573600340425</v>
      </c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</row>
    <row r="1722" spans="28:52">
      <c r="AB1722" s="9">
        <v>1.0691425551829921</v>
      </c>
      <c r="AC1722" s="9">
        <v>1.2685391267743362</v>
      </c>
      <c r="AD1722" s="9">
        <v>1.0022607046861953</v>
      </c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</row>
    <row r="1723" spans="28:52">
      <c r="AB1723" s="9">
        <v>1.0423520540221414</v>
      </c>
      <c r="AC1723" s="9">
        <v>1.2304738239874657</v>
      </c>
      <c r="AD1723" s="9">
        <v>0.99166302916593696</v>
      </c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</row>
    <row r="1724" spans="28:52">
      <c r="AB1724" s="9">
        <v>1.0502850257262342</v>
      </c>
      <c r="AC1724" s="9">
        <v>1.1845043464391103</v>
      </c>
      <c r="AD1724" s="9">
        <v>0.98983863496159652</v>
      </c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</row>
    <row r="1725" spans="28:52">
      <c r="AB1725" s="9">
        <v>1.048629199604298</v>
      </c>
      <c r="AC1725" s="9">
        <v>1.0986262587063342</v>
      </c>
      <c r="AD1725" s="9">
        <v>0.98422249126849815</v>
      </c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</row>
    <row r="1726" spans="28:52">
      <c r="AB1726" s="9">
        <v>1.0509450116332428</v>
      </c>
      <c r="AC1726" s="9">
        <v>1.0426324469885109</v>
      </c>
      <c r="AD1726" s="9">
        <v>0.98128028035565973</v>
      </c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</row>
    <row r="1727" spans="28:52">
      <c r="AB1727" s="9">
        <v>1.0502173507402786</v>
      </c>
      <c r="AC1727" s="9">
        <v>0.90445264810833115</v>
      </c>
      <c r="AD1727" s="9">
        <v>0.96510932335239841</v>
      </c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</row>
    <row r="1728" spans="28:52">
      <c r="AB1728" s="9">
        <v>1.0636245480901565</v>
      </c>
      <c r="AC1728" s="9">
        <v>1.0636737952724471</v>
      </c>
      <c r="AD1728" s="9">
        <v>0.96038284654889328</v>
      </c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</row>
    <row r="1729" spans="28:52">
      <c r="AB1729" s="9">
        <v>1.0642096179796321</v>
      </c>
      <c r="AC1729" s="9">
        <v>1.1998180313518494</v>
      </c>
      <c r="AD1729" s="9">
        <v>0.95873173349706442</v>
      </c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</row>
    <row r="1730" spans="28:52">
      <c r="AB1730" s="9">
        <v>1.0618382836444067</v>
      </c>
      <c r="AC1730" s="9">
        <v>0.98290947329732814</v>
      </c>
      <c r="AD1730" s="9">
        <v>0.95618247603499062</v>
      </c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</row>
    <row r="1731" spans="28:52">
      <c r="AB1731" s="9">
        <v>1.06080191302653</v>
      </c>
      <c r="AC1731" s="9">
        <v>0.90658489166063994</v>
      </c>
      <c r="AD1731" s="9">
        <v>0.95676583513440328</v>
      </c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</row>
    <row r="1732" spans="28:52">
      <c r="AB1732" s="9">
        <v>1.0562994264356764</v>
      </c>
      <c r="AC1732" s="9">
        <v>1.1026778537576216</v>
      </c>
      <c r="AD1732" s="9">
        <v>0.96505887635630094</v>
      </c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</row>
    <row r="1733" spans="28:52">
      <c r="AB1733" s="9">
        <v>1.04320082808565</v>
      </c>
      <c r="AC1733" s="9">
        <v>0.82171031308119113</v>
      </c>
      <c r="AD1733" s="9">
        <v>0.96856871397077593</v>
      </c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</row>
    <row r="1734" spans="28:52">
      <c r="AB1734" s="9">
        <v>1.0352942987545908</v>
      </c>
      <c r="AC1734" s="9">
        <v>0.63422334189083862</v>
      </c>
      <c r="AD1734" s="9">
        <v>0.97194885761839933</v>
      </c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</row>
    <row r="1735" spans="28:52">
      <c r="AB1735" s="9">
        <v>1.0272558262154745</v>
      </c>
      <c r="AC1735" s="9">
        <v>0.6044283600785838</v>
      </c>
      <c r="AD1735" s="9">
        <v>0.98120672468110537</v>
      </c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</row>
    <row r="1736" spans="28:52">
      <c r="AB1736" s="9">
        <v>1.013530912369357</v>
      </c>
      <c r="AC1736" s="9">
        <v>0.61078719318097141</v>
      </c>
      <c r="AD1736" s="9">
        <v>0.97377850196154137</v>
      </c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</row>
    <row r="1737" spans="28:52">
      <c r="AB1737" s="9">
        <v>1.0167146251977648</v>
      </c>
      <c r="AC1737" s="9">
        <v>0.59876002498105985</v>
      </c>
      <c r="AD1737" s="9">
        <v>0.9459291762298484</v>
      </c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</row>
    <row r="1738" spans="28:52">
      <c r="AB1738" s="9">
        <v>1.0397189127696447</v>
      </c>
      <c r="AC1738" s="9">
        <v>0.95854068483670052</v>
      </c>
      <c r="AD1738" s="9">
        <v>0.94544555960227072</v>
      </c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</row>
    <row r="1739" spans="28:52">
      <c r="AB1739" s="9">
        <v>1.0330956150353541</v>
      </c>
      <c r="AC1739" s="9">
        <v>1.062503035938775</v>
      </c>
      <c r="AD1739" s="9">
        <v>0.93394309260397368</v>
      </c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</row>
    <row r="1740" spans="28:52">
      <c r="AB1740" s="9">
        <v>1.0393631647106485</v>
      </c>
      <c r="AC1740" s="9">
        <v>0.9886582690045862</v>
      </c>
      <c r="AD1740" s="9">
        <v>0.93097452293771821</v>
      </c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</row>
    <row r="1741" spans="28:52">
      <c r="AB1741" s="9">
        <v>1.0354587806641662</v>
      </c>
      <c r="AC1741" s="9">
        <v>0.70160809923653655</v>
      </c>
      <c r="AD1741" s="9">
        <v>0.92726589346134092</v>
      </c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</row>
    <row r="1742" spans="28:52">
      <c r="AB1742" s="9">
        <v>1.0326692825949775</v>
      </c>
      <c r="AC1742" s="9">
        <v>0.70829730895752707</v>
      </c>
      <c r="AD1742" s="9">
        <v>0.92914162473040984</v>
      </c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</row>
    <row r="1743" spans="28:52">
      <c r="AB1743" s="9">
        <v>1.0243614137857489</v>
      </c>
      <c r="AC1743" s="9">
        <v>0.78155251914364798</v>
      </c>
      <c r="AD1743" s="9">
        <v>0.92885127203736806</v>
      </c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</row>
    <row r="1744" spans="28:52">
      <c r="AB1744" s="9">
        <v>1.0184542127027236</v>
      </c>
      <c r="AC1744" s="9">
        <v>0.69914535756441354</v>
      </c>
      <c r="AD1744" s="9">
        <v>0.91314048736268461</v>
      </c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</row>
    <row r="1745" spans="28:52">
      <c r="AB1745" s="9">
        <v>1.0292696724944916</v>
      </c>
      <c r="AC1745" s="9">
        <v>0.90144745028439865</v>
      </c>
      <c r="AD1745" s="9">
        <v>0.8985853532882806</v>
      </c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</row>
    <row r="1746" spans="28:52">
      <c r="AB1746" s="9">
        <v>1.0384788871879158</v>
      </c>
      <c r="AC1746" s="9">
        <v>1.0930781250441499</v>
      </c>
      <c r="AD1746" s="9">
        <v>0.8915676164494728</v>
      </c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</row>
    <row r="1747" spans="28:52">
      <c r="AB1747" s="9">
        <v>1.0387778268842476</v>
      </c>
      <c r="AC1747" s="9">
        <v>0.87428371153529383</v>
      </c>
      <c r="AD1747" s="9">
        <v>0.88723823978997007</v>
      </c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</row>
    <row r="1748" spans="28:52">
      <c r="AB1748" s="9">
        <v>1.0364201994576103</v>
      </c>
      <c r="AC1748" s="9">
        <v>0.74260287970232286</v>
      </c>
      <c r="AD1748" s="9">
        <v>0.89977892943144966</v>
      </c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</row>
    <row r="1749" spans="28:52">
      <c r="AB1749" s="9">
        <v>1.0157404453985055</v>
      </c>
      <c r="AC1749" s="9">
        <v>0.96509122132884739</v>
      </c>
      <c r="AD1749" s="9">
        <v>0.89966039394655639</v>
      </c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</row>
    <row r="1750" spans="28:52">
      <c r="AB1750" s="9">
        <v>1.0103681351975373</v>
      </c>
      <c r="AC1750" s="9">
        <v>0.78293900433608565</v>
      </c>
      <c r="AD1750" s="9">
        <v>0.91545550038304857</v>
      </c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</row>
    <row r="1751" spans="28:52">
      <c r="AB1751" s="9">
        <v>0.98853183463520977</v>
      </c>
      <c r="AC1751" s="9">
        <v>0.71156758058211178</v>
      </c>
      <c r="AD1751" s="9">
        <v>0.92321601263266473</v>
      </c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</row>
    <row r="1752" spans="28:52">
      <c r="AB1752" s="9">
        <v>0.97706201065966114</v>
      </c>
      <c r="AC1752" s="9">
        <v>0.62766272180716987</v>
      </c>
      <c r="AD1752" s="9">
        <v>0.91658508670638383</v>
      </c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</row>
    <row r="1753" spans="28:52">
      <c r="AB1753" s="9">
        <v>0.98155444711653961</v>
      </c>
      <c r="AC1753" s="9">
        <v>0.63565014511460416</v>
      </c>
      <c r="AD1753" s="9">
        <v>0.91687360552879749</v>
      </c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</row>
    <row r="1754" spans="28:52">
      <c r="AB1754" s="9">
        <v>0.97821674817200954</v>
      </c>
      <c r="AC1754" s="9">
        <v>0.54102875712453147</v>
      </c>
      <c r="AD1754" s="9">
        <v>0.93130783839879183</v>
      </c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</row>
    <row r="1755" spans="28:52">
      <c r="AB1755" s="9">
        <v>0.96019979219244977</v>
      </c>
      <c r="AC1755" s="9">
        <v>0.68654676893238098</v>
      </c>
      <c r="AD1755" s="9">
        <v>0.91777032617689347</v>
      </c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</row>
    <row r="1756" spans="28:52">
      <c r="AB1756" s="9">
        <v>0.97203106742265977</v>
      </c>
      <c r="AC1756" s="9">
        <v>0.76319680942050938</v>
      </c>
      <c r="AD1756" s="9">
        <v>0.93885804413437779</v>
      </c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</row>
    <row r="1757" spans="28:52">
      <c r="AB1757" s="9">
        <v>0.94843175960946269</v>
      </c>
      <c r="AC1757" s="9">
        <v>0.75838988787260786</v>
      </c>
      <c r="AD1757" s="9">
        <v>0.94450117295798686</v>
      </c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</row>
    <row r="1758" spans="28:52">
      <c r="AB1758" s="9">
        <v>0.94137059775794962</v>
      </c>
      <c r="AC1758" s="9">
        <v>0.86727905264339844</v>
      </c>
      <c r="AD1758" s="9">
        <v>0.92093621150209981</v>
      </c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</row>
    <row r="1759" spans="28:52">
      <c r="AB1759" s="9">
        <v>0.9634201295797179</v>
      </c>
      <c r="AC1759" s="9">
        <v>0.81261495508890647</v>
      </c>
      <c r="AD1759" s="9">
        <v>0.92081976233927276</v>
      </c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</row>
    <row r="1760" spans="28:52">
      <c r="AB1760" s="9">
        <v>0.96126520675834837</v>
      </c>
      <c r="AC1760" s="9">
        <v>0.70652101517045274</v>
      </c>
      <c r="AD1760" s="9">
        <v>0.91661238682693935</v>
      </c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</row>
    <row r="1761" spans="28:52">
      <c r="AB1761" s="9">
        <v>0.9641700399163099</v>
      </c>
      <c r="AC1761" s="9">
        <v>0.64759292782307587</v>
      </c>
      <c r="AD1761" s="9">
        <v>0.93233681397418677</v>
      </c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</row>
    <row r="1762" spans="28:52">
      <c r="AB1762" s="9">
        <v>0.94687741431319494</v>
      </c>
      <c r="AC1762" s="9">
        <v>0.62726825085898186</v>
      </c>
      <c r="AD1762" s="9">
        <v>0.93500881480840392</v>
      </c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</row>
    <row r="1763" spans="28:52">
      <c r="AB1763" s="9">
        <v>0.94401958605578284</v>
      </c>
      <c r="AC1763" s="9">
        <v>0.67152680281720711</v>
      </c>
      <c r="AD1763" s="9">
        <v>0.94338131487060306</v>
      </c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</row>
    <row r="1764" spans="28:52">
      <c r="AB1764" s="9">
        <v>0.93590977400856601</v>
      </c>
      <c r="AC1764" s="9">
        <v>0.65924371368334433</v>
      </c>
      <c r="AD1764" s="9">
        <v>0.94718346477268778</v>
      </c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</row>
    <row r="1765" spans="28:52">
      <c r="AB1765" s="9">
        <v>0.93272389125981414</v>
      </c>
      <c r="AC1765" s="9">
        <v>0.74701962141519285</v>
      </c>
      <c r="AD1765" s="9">
        <v>0.94752325326220932</v>
      </c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</row>
    <row r="1766" spans="28:52">
      <c r="AB1766" s="9">
        <v>0.93313681052153563</v>
      </c>
      <c r="AC1766" s="9">
        <v>0.68680234148598063</v>
      </c>
      <c r="AD1766" s="9">
        <v>0.93908535272588112</v>
      </c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</row>
    <row r="1767" spans="28:52">
      <c r="AB1767" s="9">
        <v>0.94210404107260803</v>
      </c>
      <c r="AC1767" s="9">
        <v>0.6498419181822005</v>
      </c>
      <c r="AD1767" s="9">
        <v>0.94137140387628093</v>
      </c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</row>
    <row r="1768" spans="28:52">
      <c r="AB1768" s="9">
        <v>0.94057856802619322</v>
      </c>
      <c r="AC1768" s="9">
        <v>0.72179722962038273</v>
      </c>
      <c r="AD1768" s="9">
        <v>0.9406438423952993</v>
      </c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</row>
    <row r="1769" spans="28:52">
      <c r="AB1769" s="9">
        <v>0.94193465089358319</v>
      </c>
      <c r="AC1769" s="9">
        <v>0.6593676645182367</v>
      </c>
      <c r="AD1769" s="9">
        <v>0.94335104464577579</v>
      </c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</row>
    <row r="1770" spans="28:52">
      <c r="AB1770" s="9">
        <v>0.94004314117872145</v>
      </c>
      <c r="AC1770" s="9">
        <v>0.69375549488342592</v>
      </c>
      <c r="AD1770" s="9">
        <v>0.95147656025449279</v>
      </c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</row>
    <row r="1771" spans="28:52">
      <c r="AB1771" s="9">
        <v>0.93314352643071707</v>
      </c>
      <c r="AC1771" s="9">
        <v>0.71738547284422272</v>
      </c>
      <c r="AD1771" s="9">
        <v>0.94301516108730765</v>
      </c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</row>
    <row r="1772" spans="28:52">
      <c r="AB1772" s="9">
        <v>0.94232237138553954</v>
      </c>
      <c r="AC1772" s="9">
        <v>0.71233578475138715</v>
      </c>
      <c r="AD1772" s="9">
        <v>0.95109734362237741</v>
      </c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</row>
    <row r="1773" spans="28:52">
      <c r="AB1773" s="9">
        <v>0.93492195944980994</v>
      </c>
      <c r="AC1773" s="9">
        <v>0.73556508770014195</v>
      </c>
      <c r="AD1773" s="9">
        <v>0.95178841764813571</v>
      </c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</row>
    <row r="1774" spans="28:52">
      <c r="AB1774" s="9">
        <v>0.93524516995265861</v>
      </c>
      <c r="AC1774" s="9">
        <v>0.62923141014585537</v>
      </c>
      <c r="AD1774" s="9">
        <v>0.95445955310682584</v>
      </c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</row>
    <row r="1775" spans="28:52">
      <c r="AB1775" s="9">
        <v>0.93373381167942027</v>
      </c>
      <c r="AC1775" s="9">
        <v>0.73435995551874111</v>
      </c>
      <c r="AD1775" s="9">
        <v>0.96590923066242174</v>
      </c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</row>
    <row r="1776" spans="28:52">
      <c r="AB1776" s="9">
        <v>0.92388303199339106</v>
      </c>
      <c r="AC1776" s="9">
        <v>0.68434423524090093</v>
      </c>
      <c r="AD1776" s="9">
        <v>0.95729323936771116</v>
      </c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</row>
    <row r="1777" spans="28:52">
      <c r="AB1777" s="9">
        <v>0.93338533283582703</v>
      </c>
      <c r="AC1777" s="9">
        <v>0.66348309858535659</v>
      </c>
      <c r="AD1777" s="9">
        <v>0.95650186141806992</v>
      </c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</row>
    <row r="1778" spans="28:52">
      <c r="AB1778" s="9">
        <v>0.93546339957641556</v>
      </c>
      <c r="AC1778" s="9">
        <v>0.72506548204334664</v>
      </c>
      <c r="AD1778" s="9">
        <v>0.94075372331868556</v>
      </c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</row>
    <row r="1779" spans="28:52">
      <c r="AB1779" s="9">
        <v>0.95227780288264463</v>
      </c>
      <c r="AC1779" s="9">
        <v>0.99509417711038839</v>
      </c>
      <c r="AD1779" s="9">
        <v>0.9284054379567277</v>
      </c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</row>
    <row r="1780" spans="28:52">
      <c r="AB1780" s="9">
        <v>0.96553320163944012</v>
      </c>
      <c r="AC1780" s="9">
        <v>0.98450330389016483</v>
      </c>
      <c r="AD1780" s="9">
        <v>0.92539285454465237</v>
      </c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</row>
    <row r="1781" spans="28:52">
      <c r="AB1781" s="9">
        <v>0.96885273155620832</v>
      </c>
      <c r="AC1781" s="9">
        <v>0.9471642633261691</v>
      </c>
      <c r="AD1781" s="9">
        <v>0.93180824359611214</v>
      </c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</row>
    <row r="1782" spans="28:52">
      <c r="AB1782" s="9">
        <v>0.96229630997967086</v>
      </c>
      <c r="AC1782" s="9">
        <v>1.0336905865738066</v>
      </c>
      <c r="AD1782" s="9">
        <v>0.9458409051170219</v>
      </c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</row>
    <row r="1783" spans="28:52">
      <c r="AB1783" s="9">
        <v>0.94828965020076961</v>
      </c>
      <c r="AC1783" s="9">
        <v>1.0613785375790294</v>
      </c>
      <c r="AD1783" s="9">
        <v>0.95745974613821971</v>
      </c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</row>
    <row r="1784" spans="28:52">
      <c r="AB1784" s="9">
        <v>0.9373268906517831</v>
      </c>
      <c r="AC1784" s="9">
        <v>0.88055469749034743</v>
      </c>
      <c r="AD1784" s="9">
        <v>0.94972301064680897</v>
      </c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</row>
    <row r="1785" spans="28:52">
      <c r="AB1785" s="9">
        <v>0.94547819597756122</v>
      </c>
      <c r="AC1785" s="9">
        <v>0.79017361867961833</v>
      </c>
      <c r="AD1785" s="9">
        <v>0.97496939268714233</v>
      </c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</row>
    <row r="1786" spans="28:52">
      <c r="AB1786" s="9">
        <v>0.92157329990392167</v>
      </c>
      <c r="AC1786" s="9">
        <v>0.90228322086791324</v>
      </c>
      <c r="AD1786" s="9">
        <v>1.0122343861955629</v>
      </c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</row>
    <row r="1787" spans="28:52">
      <c r="AB1787" s="9">
        <v>0.88942127683020755</v>
      </c>
      <c r="AC1787" s="9">
        <v>0.85434739894680189</v>
      </c>
      <c r="AD1787" s="9">
        <v>1.0173842265822852</v>
      </c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</row>
    <row r="1788" spans="28:52">
      <c r="AB1788" s="9">
        <v>0.88773511990215903</v>
      </c>
      <c r="AC1788" s="9">
        <v>0.91704289183328047</v>
      </c>
      <c r="AD1788" s="9">
        <v>1.0068125915846766</v>
      </c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</row>
    <row r="1789" spans="28:52">
      <c r="AB1789" s="9">
        <v>0.89973056582213229</v>
      </c>
      <c r="AC1789" s="9">
        <v>0.81573730931655586</v>
      </c>
      <c r="AD1789" s="9">
        <v>1.035961141724437</v>
      </c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</row>
    <row r="1790" spans="28:52">
      <c r="AB1790" s="9">
        <v>0.87760808837090665</v>
      </c>
      <c r="AC1790" s="9">
        <v>0.83557506863410314</v>
      </c>
      <c r="AD1790" s="9">
        <v>1.0248277681405034</v>
      </c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</row>
    <row r="1791" spans="28:52">
      <c r="AB1791" s="9">
        <v>0.89034981175271966</v>
      </c>
      <c r="AC1791" s="9">
        <v>1.0005541464697367</v>
      </c>
      <c r="AD1791" s="9">
        <v>1.0069067781629049</v>
      </c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</row>
    <row r="1792" spans="28:52">
      <c r="AB1792" s="9">
        <v>0.90904426869998844</v>
      </c>
      <c r="AC1792" s="9">
        <v>0.95315958300925563</v>
      </c>
      <c r="AD1792" s="9">
        <v>1.0121838111409553</v>
      </c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</row>
    <row r="1793" spans="28:52">
      <c r="AB1793" s="9">
        <v>0.90676358025164705</v>
      </c>
      <c r="AC1793" s="9">
        <v>0.89207473982731744</v>
      </c>
      <c r="AD1793" s="9">
        <v>1.0299834085114203</v>
      </c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</row>
    <row r="1794" spans="28:52">
      <c r="AB1794" s="9">
        <v>0.89388754873703324</v>
      </c>
      <c r="AC1794" s="9">
        <v>0.86615972944981123</v>
      </c>
      <c r="AD1794" s="9">
        <v>1.0628387693423764</v>
      </c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</row>
    <row r="1795" spans="28:52">
      <c r="AB1795" s="9">
        <v>0.86999862474518685</v>
      </c>
      <c r="AC1795" s="9">
        <v>0.94464254259639213</v>
      </c>
      <c r="AD1795" s="9">
        <v>1.0651844660194174</v>
      </c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</row>
    <row r="1796" spans="28:52">
      <c r="AB1796" s="9">
        <v>0.87268359695438502</v>
      </c>
      <c r="AC1796" s="9">
        <v>0.91499423982241257</v>
      </c>
      <c r="AD1796" s="9">
        <v>1.0792805957566389</v>
      </c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</row>
    <row r="1797" spans="28:52">
      <c r="AB1797" s="9">
        <v>0.86593326081897637</v>
      </c>
      <c r="AC1797" s="9">
        <v>0.92760971456931096</v>
      </c>
      <c r="AD1797" s="9">
        <v>1.0548565151723193</v>
      </c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</row>
    <row r="1798" spans="28:52">
      <c r="AB1798" s="9">
        <v>0.89042182667317438</v>
      </c>
      <c r="AC1798" s="9">
        <v>0.85341403586047659</v>
      </c>
      <c r="AD1798" s="9">
        <v>1.0376445164775798</v>
      </c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</row>
    <row r="1799" spans="28:52">
      <c r="AB1799" s="9">
        <v>0.90896332119385226</v>
      </c>
      <c r="AC1799" s="9">
        <v>1.1400881655396506</v>
      </c>
      <c r="AD1799" s="9">
        <v>1.0286686311277793</v>
      </c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</row>
    <row r="1800" spans="28:52">
      <c r="AB1800" s="9">
        <v>0.92016266444795614</v>
      </c>
      <c r="AC1800" s="9">
        <v>1.2400622125092018</v>
      </c>
      <c r="AD1800" s="9">
        <v>0.9898100851173588</v>
      </c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</row>
    <row r="1801" spans="28:52">
      <c r="AB1801" s="9">
        <v>0.95827764904758139</v>
      </c>
      <c r="AC1801" s="9">
        <v>1.3891490620086673</v>
      </c>
      <c r="AD1801" s="9">
        <v>0.97979370602532934</v>
      </c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</row>
    <row r="1802" spans="28:52">
      <c r="AB1802" s="9">
        <v>0.96833146096157519</v>
      </c>
      <c r="AC1802" s="9">
        <v>1.388451502395696</v>
      </c>
      <c r="AD1802" s="9">
        <v>0.99335335413416537</v>
      </c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</row>
    <row r="1803" spans="28:52">
      <c r="AB1803" s="9">
        <v>0.95548726198342737</v>
      </c>
      <c r="AC1803" s="9">
        <v>1.137950487689005</v>
      </c>
      <c r="AD1803" s="9">
        <v>0.99873190095637376</v>
      </c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</row>
    <row r="1804" spans="28:52">
      <c r="AB1804" s="9">
        <v>0.95086844198816756</v>
      </c>
      <c r="AC1804" s="9">
        <v>0.9039927513980176</v>
      </c>
      <c r="AD1804" s="9">
        <v>0.99177661016949159</v>
      </c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</row>
    <row r="1805" spans="28:52">
      <c r="AB1805" s="9">
        <v>0.95774331600055163</v>
      </c>
      <c r="AC1805" s="9">
        <v>1.1909229945980637</v>
      </c>
      <c r="AD1805" s="9">
        <v>0.98264724164724171</v>
      </c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</row>
    <row r="1806" spans="28:52">
      <c r="AB1806" s="9">
        <v>0.96666011544340291</v>
      </c>
      <c r="AC1806" s="9">
        <v>1.0817979311253425</v>
      </c>
      <c r="AD1806" s="9">
        <v>0.98532487957297232</v>
      </c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</row>
    <row r="1807" spans="28:52">
      <c r="AB1807" s="9">
        <v>0.96352397535164913</v>
      </c>
      <c r="AC1807" s="9">
        <v>1.1170332506406599</v>
      </c>
      <c r="AD1807" s="9">
        <v>1.0014150763105507</v>
      </c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</row>
    <row r="1808" spans="28:52">
      <c r="AB1808" s="9">
        <v>0.94736083501930446</v>
      </c>
      <c r="AC1808" s="9">
        <v>0.95180306058622666</v>
      </c>
      <c r="AD1808" s="9">
        <v>0.99651091679915216</v>
      </c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</row>
    <row r="1809" spans="28:52">
      <c r="AB1809" s="9">
        <v>0.9515999473821205</v>
      </c>
      <c r="AC1809" s="9">
        <v>0.87440554371190826</v>
      </c>
      <c r="AD1809" s="9">
        <v>0.95946501215299995</v>
      </c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</row>
    <row r="1810" spans="28:52">
      <c r="AB1810" s="9">
        <v>0.98749799992809473</v>
      </c>
      <c r="AC1810" s="9">
        <v>1.1066296828655076</v>
      </c>
      <c r="AD1810" s="9">
        <v>0.96272565094096418</v>
      </c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</row>
    <row r="1811" spans="28:52">
      <c r="AB1811" s="9">
        <v>0.98222385000553014</v>
      </c>
      <c r="AC1811" s="9">
        <v>1.1768071889992562</v>
      </c>
      <c r="AD1811" s="9">
        <v>0.94501378872524133</v>
      </c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</row>
    <row r="1812" spans="28:52">
      <c r="AB1812" s="9">
        <v>0.99866977591605122</v>
      </c>
      <c r="AC1812" s="9">
        <v>1.0879585888604493</v>
      </c>
      <c r="AD1812" s="9">
        <v>0.94002062325817093</v>
      </c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</row>
    <row r="1813" spans="28:52">
      <c r="AB1813" s="9">
        <v>1.0023264792435507</v>
      </c>
      <c r="AC1813" s="9">
        <v>1.1393184897315831</v>
      </c>
      <c r="AD1813" s="9">
        <v>0.94310483110261323</v>
      </c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</row>
    <row r="1814" spans="28:52">
      <c r="AB1814" s="9">
        <v>0.99737968206510708</v>
      </c>
      <c r="AC1814" s="9">
        <v>0.89284541457249356</v>
      </c>
      <c r="AD1814" s="9">
        <v>0.93001544858870977</v>
      </c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</row>
    <row r="1815" spans="28:52">
      <c r="AB1815" s="9">
        <v>1.0098945487353144</v>
      </c>
      <c r="AC1815" s="9">
        <v>1.1056507786329326</v>
      </c>
      <c r="AD1815" s="9">
        <v>0.92610721026802578</v>
      </c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</row>
    <row r="1816" spans="28:52">
      <c r="AB1816" s="9">
        <v>1.0121868725972978</v>
      </c>
      <c r="AC1816" s="9">
        <v>1.4141187422891928</v>
      </c>
      <c r="AD1816" s="9">
        <v>0.93072568818977575</v>
      </c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</row>
    <row r="1817" spans="28:52">
      <c r="AB1817" s="9">
        <v>1.0052583825197514</v>
      </c>
      <c r="AC1817" s="9">
        <v>0.94291642263337849</v>
      </c>
      <c r="AD1817" s="9">
        <v>0.93615959053103026</v>
      </c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</row>
    <row r="1818" spans="28:52">
      <c r="AB1818" s="9">
        <v>0.99789796592258262</v>
      </c>
      <c r="AC1818" s="9">
        <v>0.73647269612456734</v>
      </c>
      <c r="AD1818" s="9">
        <v>0.93683278983181417</v>
      </c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</row>
    <row r="1819" spans="28:52">
      <c r="AB1819" s="9">
        <v>0.99594293585820604</v>
      </c>
      <c r="AC1819" s="9">
        <v>0.90076086468515648</v>
      </c>
      <c r="AD1819" s="9">
        <v>0.92423743492063504</v>
      </c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</row>
    <row r="1820" spans="28:52">
      <c r="AB1820" s="9">
        <v>1.0080100897777946</v>
      </c>
      <c r="AC1820" s="9">
        <v>0.88373266040125042</v>
      </c>
      <c r="AD1820" s="9">
        <v>0.91624439676930858</v>
      </c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</row>
    <row r="1821" spans="28:52">
      <c r="AB1821" s="9">
        <v>1.0150275052727245</v>
      </c>
      <c r="AC1821" s="9">
        <v>1.2107631218796142</v>
      </c>
      <c r="AD1821" s="9">
        <v>0.90162487549800807</v>
      </c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</row>
    <row r="1822" spans="28:52">
      <c r="AB1822" s="9">
        <v>1.0295117648123442</v>
      </c>
      <c r="AC1822" s="9">
        <v>1.2833451352762861</v>
      </c>
      <c r="AD1822" s="9">
        <v>0.89817716133847514</v>
      </c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</row>
    <row r="1823" spans="28:52">
      <c r="AB1823" s="9">
        <v>1.0308421191498074</v>
      </c>
      <c r="AC1823" s="9">
        <v>1.3161966797580189</v>
      </c>
      <c r="AD1823" s="9">
        <v>0.89507369205915266</v>
      </c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</row>
    <row r="1824" spans="28:52">
      <c r="AB1824" s="9">
        <v>1.0322557935757284</v>
      </c>
      <c r="AC1824" s="9">
        <v>0.78216746518296554</v>
      </c>
      <c r="AD1824" s="9">
        <v>0.90354837086425976</v>
      </c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</row>
    <row r="1825" spans="28:52">
      <c r="AB1825" s="9">
        <v>1.0202564479848133</v>
      </c>
      <c r="AC1825" s="9">
        <v>0.93329683432327715</v>
      </c>
      <c r="AD1825" s="9">
        <v>0.90902243370130709</v>
      </c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</row>
    <row r="1826" spans="28:52">
      <c r="AB1826" s="9">
        <v>1.0120096433822352</v>
      </c>
      <c r="AC1826" s="9">
        <v>0.94840059928664888</v>
      </c>
      <c r="AD1826" s="9">
        <v>0.9069208275161823</v>
      </c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</row>
    <row r="1827" spans="28:52">
      <c r="AB1827" s="9">
        <v>1.0124181652207338</v>
      </c>
      <c r="AC1827" s="9">
        <v>0.79203327929946943</v>
      </c>
      <c r="AD1827" s="9">
        <v>0.90200559352062781</v>
      </c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</row>
    <row r="1828" spans="28:52">
      <c r="AB1828" s="9">
        <v>1.0159852459707739</v>
      </c>
      <c r="AC1828" s="9">
        <v>0.98592550339606677</v>
      </c>
      <c r="AD1828" s="9">
        <v>0.90104005069708504</v>
      </c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</row>
    <row r="1829" spans="28:52">
      <c r="AB1829" s="9">
        <v>1.0154280456490119</v>
      </c>
      <c r="AC1829" s="9">
        <v>0.97627336092469985</v>
      </c>
      <c r="AD1829" s="9">
        <v>0.90544293742017889</v>
      </c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</row>
    <row r="1830" spans="28:52">
      <c r="AB1830" s="9">
        <v>1.0091069908329009</v>
      </c>
      <c r="AC1830" s="9">
        <v>1.1604284597221934</v>
      </c>
      <c r="AD1830" s="9">
        <v>0.90941584565916389</v>
      </c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</row>
    <row r="1831" spans="28:52">
      <c r="AB1831" s="9">
        <v>1.0035964767167682</v>
      </c>
      <c r="AC1831" s="9">
        <v>0.81202046621143464</v>
      </c>
      <c r="AD1831" s="9">
        <v>0.9122751875808538</v>
      </c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</row>
    <row r="1832" spans="28:52">
      <c r="AB1832" s="9">
        <v>0.99929470219453642</v>
      </c>
      <c r="AC1832" s="9">
        <v>0.75881390471620824</v>
      </c>
      <c r="AD1832" s="9">
        <v>0.91876759440742184</v>
      </c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</row>
    <row r="1833" spans="28:52">
      <c r="AB1833" s="9">
        <v>0.99068628034777706</v>
      </c>
      <c r="AC1833" s="9">
        <v>0.82592368428037077</v>
      </c>
      <c r="AD1833" s="9">
        <v>0.91931099448963516</v>
      </c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</row>
    <row r="1834" spans="28:52">
      <c r="AB1834" s="9">
        <v>0.9878143727017149</v>
      </c>
      <c r="AC1834" s="9">
        <v>0.66924807878197967</v>
      </c>
      <c r="AD1834" s="9">
        <v>0.91945621792341081</v>
      </c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</row>
    <row r="1835" spans="28:52">
      <c r="AB1835" s="9">
        <v>0.98617683496440334</v>
      </c>
      <c r="AC1835" s="9">
        <v>0.74104458842832677</v>
      </c>
      <c r="AD1835" s="9">
        <v>0.91737927038061373</v>
      </c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</row>
    <row r="1836" spans="28:52">
      <c r="AB1836" s="9">
        <v>0.98619255097191982</v>
      </c>
      <c r="AC1836" s="9">
        <v>0.79926576497716972</v>
      </c>
      <c r="AD1836" s="9">
        <v>0.92643000400053344</v>
      </c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</row>
    <row r="1837" spans="28:52">
      <c r="AB1837" s="9">
        <v>0.9742550852633648</v>
      </c>
      <c r="AC1837" s="9">
        <v>0.83757201237122092</v>
      </c>
      <c r="AD1837" s="9">
        <v>0.92848657475572205</v>
      </c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</row>
    <row r="1838" spans="28:52">
      <c r="AB1838" s="9">
        <v>0.9708561233069144</v>
      </c>
      <c r="AC1838" s="9">
        <v>0.72767573179670419</v>
      </c>
      <c r="AD1838" s="9">
        <v>0.91981229747675952</v>
      </c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</row>
    <row r="1839" spans="28:52">
      <c r="AB1839" s="9">
        <v>0.97881114352439091</v>
      </c>
      <c r="AC1839" s="9">
        <v>0.72799545928255904</v>
      </c>
      <c r="AD1839" s="9">
        <v>0.93787243624525218</v>
      </c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</row>
    <row r="1840" spans="28:52">
      <c r="AB1840" s="9">
        <v>0.95840745650361636</v>
      </c>
      <c r="AC1840" s="9">
        <v>0.60429848106283213</v>
      </c>
      <c r="AD1840" s="9">
        <v>0.93522145469321394</v>
      </c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</row>
    <row r="1841" spans="28:52">
      <c r="AB1841" s="9">
        <v>0.96014354789778111</v>
      </c>
      <c r="AC1841" s="9">
        <v>0.61282775685769686</v>
      </c>
      <c r="AD1841" s="9">
        <v>0.9377584546320229</v>
      </c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</row>
    <row r="1842" spans="28:52">
      <c r="AB1842" s="9">
        <v>0.95669300264248203</v>
      </c>
      <c r="AC1842" s="9">
        <v>0.65244441406608022</v>
      </c>
      <c r="AD1842" s="9">
        <v>0.93486009236620482</v>
      </c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</row>
    <row r="1843" spans="28:52">
      <c r="AB1843" s="9">
        <v>0.95869671003208778</v>
      </c>
      <c r="AC1843" s="9">
        <v>0.80259417137411515</v>
      </c>
      <c r="AD1843" s="9">
        <v>0.93538701687534009</v>
      </c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</row>
    <row r="1844" spans="28:52">
      <c r="AB1844" s="9">
        <v>0.95714190029869128</v>
      </c>
      <c r="AC1844" s="9">
        <v>0.63207024466116235</v>
      </c>
      <c r="AD1844" s="9">
        <v>0.93126509293175952</v>
      </c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</row>
    <row r="1845" spans="28:52">
      <c r="AB1845" s="9">
        <v>0.95976812439615733</v>
      </c>
      <c r="AC1845" s="9">
        <v>0.53432546357681421</v>
      </c>
      <c r="AD1845" s="9">
        <v>0.94237720335487396</v>
      </c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</row>
    <row r="1846" spans="28:52">
      <c r="AB1846" s="9">
        <v>0.94685233113403566</v>
      </c>
      <c r="AC1846" s="9">
        <v>0.60708162207424543</v>
      </c>
      <c r="AD1846" s="9">
        <v>0.95374986770644732</v>
      </c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</row>
    <row r="1847" spans="28:52">
      <c r="AB1847" s="9">
        <v>0.93471933688425146</v>
      </c>
      <c r="AC1847" s="9">
        <v>1.1095865895126171</v>
      </c>
      <c r="AD1847" s="9">
        <v>0.93857309749074425</v>
      </c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</row>
    <row r="1848" spans="28:52">
      <c r="AB1848" s="9">
        <v>0.94927317408417844</v>
      </c>
      <c r="AC1848" s="9">
        <v>0.881136128570292</v>
      </c>
      <c r="AD1848" s="9">
        <v>0.94088896836313607</v>
      </c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</row>
    <row r="1849" spans="28:52">
      <c r="AB1849" s="9">
        <v>0.94660965307472356</v>
      </c>
      <c r="AC1849" s="9">
        <v>0.64252101516309379</v>
      </c>
      <c r="AD1849" s="9">
        <v>0.94766651370995791</v>
      </c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</row>
    <row r="1850" spans="28:52">
      <c r="AB1850" s="9">
        <v>0.93985431168264844</v>
      </c>
      <c r="AC1850" s="9">
        <v>0.59507258398327645</v>
      </c>
      <c r="AD1850" s="9">
        <v>0.98208055196205257</v>
      </c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</row>
    <row r="1851" spans="28:52">
      <c r="AB1851" s="9">
        <v>0.9083375042175611</v>
      </c>
      <c r="AC1851" s="9">
        <v>0.79751927027917724</v>
      </c>
      <c r="AD1851" s="9">
        <v>0.98901416116485474</v>
      </c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</row>
    <row r="1852" spans="28:52">
      <c r="AB1852" s="9">
        <v>0.90412824501490274</v>
      </c>
      <c r="AC1852" s="9">
        <v>0.8315921306027918</v>
      </c>
      <c r="AD1852" s="9">
        <v>1.0029756997386394</v>
      </c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</row>
    <row r="1853" spans="28:52">
      <c r="AB1853" s="9">
        <v>0.89387949917782539</v>
      </c>
      <c r="AC1853" s="9">
        <v>0.83564339674545562</v>
      </c>
      <c r="AD1853" s="9">
        <v>1.0039701759793347</v>
      </c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</row>
    <row r="1854" spans="28:52">
      <c r="AB1854" s="9">
        <v>0.89567053269581953</v>
      </c>
      <c r="AC1854" s="9">
        <v>0.9397752948042486</v>
      </c>
      <c r="AD1854" s="9">
        <v>1.0183875415131691</v>
      </c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</row>
    <row r="1855" spans="28:52">
      <c r="AB1855" s="9">
        <v>0.8861054596453718</v>
      </c>
      <c r="AC1855" s="9">
        <v>0.95081512017215497</v>
      </c>
      <c r="AD1855" s="9">
        <v>1.0180183256333215</v>
      </c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</row>
    <row r="1856" spans="28:52">
      <c r="AB1856" s="9">
        <v>0.89001987822755613</v>
      </c>
      <c r="AC1856" s="9">
        <v>0.67456949151078072</v>
      </c>
      <c r="AD1856" s="9">
        <v>1.0479213936865186</v>
      </c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</row>
    <row r="1857" spans="28:52">
      <c r="AB1857" s="9">
        <v>0.86806293194185491</v>
      </c>
      <c r="AC1857" s="9">
        <v>0.68215105476008309</v>
      </c>
      <c r="AD1857" s="9">
        <v>1.0846104159530494</v>
      </c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</row>
    <row r="1858" spans="28:52">
      <c r="AB1858" s="9">
        <v>0.84224576677470475</v>
      </c>
      <c r="AC1858" s="9">
        <v>1.0618146980789125</v>
      </c>
      <c r="AD1858" s="9">
        <v>1.0636416201048264</v>
      </c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</row>
    <row r="1859" spans="28:52">
      <c r="AB1859" s="9">
        <v>0.86287478977053478</v>
      </c>
      <c r="AC1859" s="9">
        <v>0.96948459085962357</v>
      </c>
      <c r="AD1859" s="9">
        <v>1.1024617924362305</v>
      </c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</row>
    <row r="1860" spans="28:52">
      <c r="AB1860" s="9">
        <v>0.83699638133202625</v>
      </c>
      <c r="AC1860" s="9">
        <v>0.89298943268828812</v>
      </c>
      <c r="AD1860" s="9">
        <v>1.0685895267787384</v>
      </c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</row>
    <row r="1861" spans="28:52">
      <c r="AB1861" s="9">
        <v>0.86836114483215632</v>
      </c>
      <c r="AC1861" s="9">
        <v>0.85273248407217661</v>
      </c>
      <c r="AD1861" s="9">
        <v>1.0237768347072331</v>
      </c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</row>
    <row r="1862" spans="28:52">
      <c r="AB1862" s="9">
        <v>0.91040890003060149</v>
      </c>
      <c r="AC1862" s="9">
        <v>1.2429862069964641</v>
      </c>
      <c r="AD1862" s="9">
        <v>1.0171659807108948</v>
      </c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</row>
    <row r="1863" spans="28:52">
      <c r="AB1863" s="9">
        <v>0.91918433741775885</v>
      </c>
      <c r="AC1863" s="9">
        <v>1.004383793785766</v>
      </c>
      <c r="AD1863" s="9">
        <v>0.99600885014390161</v>
      </c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</row>
    <row r="1864" spans="28:52">
      <c r="AB1864" s="9">
        <v>0.94060883321369981</v>
      </c>
      <c r="AC1864" s="9">
        <v>1.2947281339976802</v>
      </c>
      <c r="AD1864" s="9">
        <v>1.002571530929413</v>
      </c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</row>
    <row r="1865" spans="28:52">
      <c r="AB1865" s="9">
        <v>0.9367909938538872</v>
      </c>
      <c r="AC1865" s="9">
        <v>1.2593745831004657</v>
      </c>
      <c r="AD1865" s="9">
        <v>1.0162637220506687</v>
      </c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</row>
    <row r="1866" spans="28:52">
      <c r="AB1866" s="9">
        <v>0.92734263383282856</v>
      </c>
      <c r="AC1866" s="9">
        <v>0.93497884830591327</v>
      </c>
      <c r="AD1866" s="9">
        <v>1.0115783350360945</v>
      </c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</row>
    <row r="1867" spans="28:52">
      <c r="AB1867" s="9">
        <v>0.93517611435795878</v>
      </c>
      <c r="AC1867" s="9">
        <v>1.0137751123510139</v>
      </c>
      <c r="AD1867" s="9">
        <v>1.0096270500585265</v>
      </c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</row>
    <row r="1868" spans="28:52">
      <c r="AB1868" s="9">
        <v>0.94013688327897793</v>
      </c>
      <c r="AC1868" s="9">
        <v>0.8057498583315732</v>
      </c>
      <c r="AD1868" s="9">
        <v>1.0112360818669111</v>
      </c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</row>
    <row r="1869" spans="28:52">
      <c r="AB1869" s="9">
        <v>0.94223846664125244</v>
      </c>
      <c r="AC1869" s="9">
        <v>0.78832326962388966</v>
      </c>
      <c r="AD1869" s="9">
        <v>0.99611734030927057</v>
      </c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</row>
    <row r="1870" spans="28:52">
      <c r="AB1870" s="9">
        <v>0.96036254927915976</v>
      </c>
      <c r="AC1870" s="9">
        <v>0.938089948496031</v>
      </c>
      <c r="AD1870" s="9">
        <v>0.99326041494060457</v>
      </c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</row>
    <row r="1871" spans="28:52">
      <c r="AB1871" s="9">
        <v>0.96667550878912034</v>
      </c>
      <c r="AC1871" s="9">
        <v>1.2898267059355761</v>
      </c>
      <c r="AD1871" s="9">
        <v>0.99968602767116388</v>
      </c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</row>
    <row r="1872" spans="28:52">
      <c r="AB1872" s="9">
        <v>0.96417310054882743</v>
      </c>
      <c r="AC1872" s="9">
        <v>0.9144055889716628</v>
      </c>
      <c r="AD1872" s="9">
        <v>0.97474901357979993</v>
      </c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</row>
    <row r="1873" spans="28:52">
      <c r="AB1873" s="9">
        <v>0.9926321644037519</v>
      </c>
      <c r="AC1873" s="9">
        <v>1.3304049010228065</v>
      </c>
      <c r="AD1873" s="9">
        <v>0.99159729137622021</v>
      </c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</row>
    <row r="1874" spans="28:52">
      <c r="AB1874" s="9">
        <v>0.97871073719220525</v>
      </c>
      <c r="AC1874" s="9">
        <v>1.4526342584970151</v>
      </c>
      <c r="AD1874" s="9">
        <v>0.99194101782914135</v>
      </c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</row>
    <row r="1875" spans="28:52">
      <c r="AB1875" s="9">
        <v>0.98185152223076078</v>
      </c>
      <c r="AC1875" s="9">
        <v>0.92171509049147993</v>
      </c>
      <c r="AD1875" s="9">
        <v>1.002995589018941</v>
      </c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</row>
    <row r="1876" spans="28:52">
      <c r="AB1876" s="9">
        <v>0.9743256758970924</v>
      </c>
      <c r="AC1876" s="9">
        <v>1.0023677793342864</v>
      </c>
      <c r="AD1876" s="9">
        <v>1.0010568557081356</v>
      </c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</row>
    <row r="1877" spans="28:52">
      <c r="AB1877" s="9">
        <v>0.97927812991668128</v>
      </c>
      <c r="AC1877" s="9">
        <v>0.90231763812542631</v>
      </c>
      <c r="AD1877" s="9">
        <v>1.001416240084013</v>
      </c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</row>
    <row r="1878" spans="28:52">
      <c r="AB1878" s="9">
        <v>0.98181006430253948</v>
      </c>
      <c r="AC1878" s="9">
        <v>0.69419124423301648</v>
      </c>
      <c r="AD1878" s="9">
        <v>1.011968813172788</v>
      </c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</row>
    <row r="1879" spans="28:52">
      <c r="AB1879" s="9">
        <v>0.97475065723567444</v>
      </c>
      <c r="AC1879" s="9">
        <v>0.53600102791723148</v>
      </c>
      <c r="AD1879" s="9">
        <v>1.0164734984385211</v>
      </c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</row>
    <row r="1880" spans="28:52">
      <c r="AB1880" s="9">
        <v>0.97366484449181501</v>
      </c>
      <c r="AC1880" s="9">
        <v>0.72423619881716317</v>
      </c>
      <c r="AD1880" s="9">
        <v>1.0249209607913432</v>
      </c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</row>
    <row r="1881" spans="28:52">
      <c r="AB1881" s="9">
        <v>0.96909519482954853</v>
      </c>
      <c r="AC1881" s="9">
        <v>0.69271963246883883</v>
      </c>
      <c r="AD1881" s="9">
        <v>1.0464911385454621</v>
      </c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</row>
    <row r="1882" spans="28:52">
      <c r="AB1882" s="9">
        <v>0.95317123859554065</v>
      </c>
      <c r="AC1882" s="9">
        <v>0.59988047607599804</v>
      </c>
      <c r="AD1882" s="9">
        <v>1.0913391547545059</v>
      </c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</row>
    <row r="1883" spans="28:52">
      <c r="AB1883" s="9">
        <v>0.91851158195152727</v>
      </c>
      <c r="AC1883" s="9">
        <v>0.78738056579819238</v>
      </c>
      <c r="AD1883" s="9">
        <v>1.0630708296261158</v>
      </c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</row>
    <row r="1884" spans="28:52">
      <c r="AB1884" s="9">
        <v>0.94747666498953964</v>
      </c>
      <c r="AC1884" s="9">
        <v>0.89906329866992074</v>
      </c>
      <c r="AD1884" s="9">
        <v>1.0782626460483729</v>
      </c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</row>
    <row r="1885" spans="28:52">
      <c r="AB1885" s="9">
        <v>0.93812348714999161</v>
      </c>
      <c r="AC1885" s="9">
        <v>0.93148224046138206</v>
      </c>
      <c r="AD1885" s="9">
        <v>1.0568198127609589</v>
      </c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</row>
    <row r="1886" spans="28:52">
      <c r="AB1886" s="9">
        <v>0.96078927714435658</v>
      </c>
      <c r="AC1886" s="9">
        <v>0.97720837060359034</v>
      </c>
      <c r="AD1886" s="9">
        <v>1.0126564259715962</v>
      </c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</row>
    <row r="1887" spans="28:52">
      <c r="AB1887" s="9">
        <v>1.004830349868941</v>
      </c>
      <c r="AC1887" s="9">
        <v>1.5976686587245801</v>
      </c>
      <c r="AD1887" s="9">
        <v>1.0163604865664289</v>
      </c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</row>
    <row r="1888" spans="28:52">
      <c r="AB1888" s="9">
        <v>1.0025964359666546</v>
      </c>
      <c r="AC1888" s="9">
        <v>1.5986999667224433</v>
      </c>
      <c r="AD1888" s="9">
        <v>1.0193393493197695</v>
      </c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</row>
    <row r="1889" spans="28:52">
      <c r="AB1889" s="9">
        <v>1.0009335267728547</v>
      </c>
      <c r="AC1889" s="9">
        <v>0.96722393656594685</v>
      </c>
      <c r="AD1889" s="9">
        <v>1.0202151328225182</v>
      </c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</row>
    <row r="1890" spans="28:52">
      <c r="AB1890" s="9">
        <v>1.0006488296445633</v>
      </c>
      <c r="AC1890" s="9">
        <v>1.1874896352238522</v>
      </c>
      <c r="AD1890" s="9">
        <v>1.0328956815542181</v>
      </c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</row>
    <row r="1891" spans="28:52">
      <c r="AB1891" s="9">
        <v>0.98921552107109478</v>
      </c>
      <c r="AC1891" s="9">
        <v>0.7860414353984112</v>
      </c>
      <c r="AD1891" s="9">
        <v>1.0348152320335064</v>
      </c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</row>
    <row r="1892" spans="28:52">
      <c r="AB1892" s="9">
        <v>0.98800425430515926</v>
      </c>
      <c r="AC1892" s="9">
        <v>0.6680041229459317</v>
      </c>
      <c r="AD1892" s="9">
        <v>1.0189238957339242</v>
      </c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</row>
    <row r="1893" spans="28:52">
      <c r="AB1893" s="9">
        <v>1.0040688621255138</v>
      </c>
      <c r="AC1893" s="9">
        <v>1.0677612298005612</v>
      </c>
      <c r="AD1893" s="9">
        <v>1.0180832956770598</v>
      </c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</row>
    <row r="1894" spans="28:52">
      <c r="AB1894" s="9">
        <v>1.005857068872458</v>
      </c>
      <c r="AC1894" s="9">
        <v>0.8304604158289377</v>
      </c>
      <c r="AD1894" s="9">
        <v>1.0257535714702892</v>
      </c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</row>
    <row r="1895" spans="28:52">
      <c r="AB1895" s="9">
        <v>0.9992428554716527</v>
      </c>
      <c r="AC1895" s="9">
        <v>0.78816996659153249</v>
      </c>
      <c r="AD1895" s="9">
        <v>1.000051926818222</v>
      </c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</row>
    <row r="1896" spans="28:52">
      <c r="AB1896" s="9">
        <v>1.0251927695366387</v>
      </c>
      <c r="AC1896" s="9">
        <v>1.1741723742206174</v>
      </c>
      <c r="AD1896" s="9">
        <v>1.003319962391543</v>
      </c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</row>
    <row r="1897" spans="28:52">
      <c r="AB1897" s="9">
        <v>1.0208584538093544</v>
      </c>
      <c r="AC1897" s="9">
        <v>1.046827247449662</v>
      </c>
      <c r="AD1897" s="9">
        <v>0.99225263838218913</v>
      </c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</row>
    <row r="1898" spans="28:52">
      <c r="AB1898" s="9">
        <v>1.031460370206829</v>
      </c>
      <c r="AC1898" s="9">
        <v>1.1701377898447218</v>
      </c>
      <c r="AD1898" s="9">
        <v>0.99129262217885172</v>
      </c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</row>
    <row r="1899" spans="28:52">
      <c r="AB1899" s="9">
        <v>1.0313714018986788</v>
      </c>
      <c r="AC1899" s="9">
        <v>0.89611087732701011</v>
      </c>
      <c r="AD1899" s="9">
        <v>0.99142521348998036</v>
      </c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</row>
    <row r="1900" spans="28:52">
      <c r="AB1900" s="9">
        <v>1.0299012882039265</v>
      </c>
      <c r="AC1900" s="9">
        <v>0.97159555270065301</v>
      </c>
      <c r="AD1900" s="9">
        <v>0.99949992028255885</v>
      </c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</row>
    <row r="1901" spans="28:52">
      <c r="AB1901" s="9">
        <v>1.0189762181752973</v>
      </c>
      <c r="AC1901" s="9">
        <v>1.0997251716164029</v>
      </c>
      <c r="AD1901" s="9">
        <v>0.98952168268278384</v>
      </c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</row>
    <row r="1902" spans="28:52">
      <c r="AB1902" s="9">
        <v>1.026670529751277</v>
      </c>
      <c r="AC1902" s="9">
        <v>0.76226327572881702</v>
      </c>
      <c r="AD1902" s="9">
        <v>0.97601242561388779</v>
      </c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</row>
    <row r="1903" spans="28:52">
      <c r="AB1903" s="9">
        <v>1.0381720233613776</v>
      </c>
      <c r="AC1903" s="9">
        <v>1.0869559945954705</v>
      </c>
      <c r="AD1903" s="9">
        <v>0.96532770116578626</v>
      </c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</row>
    <row r="1904" spans="28:52">
      <c r="AB1904" s="9">
        <v>1.0465251383750767</v>
      </c>
      <c r="AC1904" s="9">
        <v>1.4693576246281057</v>
      </c>
      <c r="AD1904" s="9">
        <v>0.95625562995196778</v>
      </c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</row>
    <row r="1905" spans="28:52">
      <c r="AB1905" s="9">
        <v>1.0526155376249213</v>
      </c>
      <c r="AC1905" s="9">
        <v>1.5267462068147113</v>
      </c>
      <c r="AD1905" s="9">
        <v>0.97367087891575133</v>
      </c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</row>
    <row r="1906" spans="28:52">
      <c r="AB1906" s="9">
        <v>1.0302213851852335</v>
      </c>
      <c r="AC1906" s="9">
        <v>1.3613633069351292</v>
      </c>
      <c r="AD1906" s="9">
        <v>0.99491597782579244</v>
      </c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</row>
    <row r="1907" spans="28:52">
      <c r="AB1907" s="9">
        <v>1.0049796069179322</v>
      </c>
      <c r="AC1907" s="9">
        <v>1.0411507564033673</v>
      </c>
      <c r="AD1907" s="9">
        <v>0.98557813625171942</v>
      </c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</row>
    <row r="1908" spans="28:52">
      <c r="AB1908" s="9">
        <v>1.0107098545485593</v>
      </c>
      <c r="AC1908" s="9">
        <v>1.0228370841226988</v>
      </c>
      <c r="AD1908" s="9">
        <v>0.99379210845253385</v>
      </c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</row>
    <row r="1909" spans="28:52">
      <c r="AB1909" s="9">
        <v>0.99967242741327478</v>
      </c>
      <c r="AC1909" s="9">
        <v>0.95835226092253978</v>
      </c>
      <c r="AD1909" s="9">
        <v>0.97994371460668994</v>
      </c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</row>
    <row r="1910" spans="28:52">
      <c r="AB1910" s="9">
        <v>1.0104634876037113</v>
      </c>
      <c r="AC1910" s="9">
        <v>0.95614722409097586</v>
      </c>
      <c r="AD1910" s="9">
        <v>0.98121761002673402</v>
      </c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</row>
    <row r="1911" spans="28:52">
      <c r="AB1911" s="9">
        <v>1.0059367531905674</v>
      </c>
      <c r="AC1911" s="9">
        <v>0.73977059069551887</v>
      </c>
      <c r="AD1911" s="9">
        <v>1.0003145193253375</v>
      </c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</row>
    <row r="1912" spans="28:52">
      <c r="AB1912" s="9">
        <v>0.98479629376700506</v>
      </c>
      <c r="AC1912" s="9">
        <v>0.70142502629553971</v>
      </c>
      <c r="AD1912" s="9">
        <v>1.0224831737740785</v>
      </c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</row>
    <row r="1913" spans="28:52">
      <c r="AB1913" s="9">
        <v>0.9624325068387648</v>
      </c>
      <c r="AC1913" s="9">
        <v>0.68137356219627687</v>
      </c>
      <c r="AD1913" s="9">
        <v>0.99536416374556691</v>
      </c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</row>
    <row r="1914" spans="28:52">
      <c r="AB1914" s="9">
        <v>0.9880387707731878</v>
      </c>
      <c r="AC1914" s="9">
        <v>1.0235096026826049</v>
      </c>
      <c r="AD1914" s="9">
        <v>0.96888514492701905</v>
      </c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</row>
    <row r="1915" spans="28:52">
      <c r="AB1915" s="9">
        <v>1.0129271221564187</v>
      </c>
      <c r="AC1915" s="9">
        <v>1.0621761910540402</v>
      </c>
      <c r="AD1915" s="9">
        <v>0.94876994910192236</v>
      </c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</row>
    <row r="1916" spans="28:52">
      <c r="AB1916" s="9">
        <v>1.0304654772608823</v>
      </c>
      <c r="AC1916" s="9">
        <v>1.5372607034501515</v>
      </c>
      <c r="AD1916" s="9">
        <v>0.95015129279140964</v>
      </c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</row>
    <row r="1917" spans="28:52">
      <c r="AB1917" s="9">
        <v>1.0251113840965793</v>
      </c>
      <c r="AC1917" s="9">
        <v>1.5075535340601802</v>
      </c>
      <c r="AD1917" s="9">
        <v>0.92146143878230335</v>
      </c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</row>
    <row r="1918" spans="28:52">
      <c r="AB1918" s="9">
        <v>1.0526780858750935</v>
      </c>
      <c r="AC1918" s="9">
        <v>1.9012437389962014</v>
      </c>
      <c r="AD1918" s="9">
        <v>0.90809781953328561</v>
      </c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</row>
    <row r="1919" spans="28:52">
      <c r="AB1919" s="9">
        <v>1.0626396954100139</v>
      </c>
      <c r="AC1919" s="9">
        <v>1.8943106452774923</v>
      </c>
      <c r="AD1919" s="9">
        <v>0.90608375384022233</v>
      </c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</row>
    <row r="1920" spans="28:52">
      <c r="AB1920" s="9">
        <v>1.0593629299901566</v>
      </c>
      <c r="AC1920" s="9">
        <v>1.9980345002230477</v>
      </c>
      <c r="AD1920" s="9">
        <v>0.90901537965006729</v>
      </c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</row>
    <row r="1921" spans="28:52">
      <c r="AB1921" s="9">
        <v>1.0506763474121734</v>
      </c>
      <c r="AC1921" s="9">
        <v>1.0744832637739103</v>
      </c>
      <c r="AD1921" s="9">
        <v>0.89000938696905785</v>
      </c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</row>
    <row r="1922" spans="28:52">
      <c r="AB1922" s="9">
        <v>1.0669795469280068</v>
      </c>
      <c r="AC1922" s="9">
        <v>1.7400247582870263</v>
      </c>
      <c r="AD1922" s="9">
        <v>0.91276681222707445</v>
      </c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</row>
    <row r="1923" spans="28:52">
      <c r="AB1923" s="9">
        <v>1.0348858462162642</v>
      </c>
      <c r="AC1923" s="9">
        <v>1.5226042375437534</v>
      </c>
      <c r="AD1923" s="9">
        <v>0.88844876427581987</v>
      </c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</row>
    <row r="1924" spans="28:52">
      <c r="AB1924" s="9">
        <v>1.0574085414548127</v>
      </c>
      <c r="AC1924" s="9">
        <v>1.5923151371499029</v>
      </c>
      <c r="AD1924" s="9">
        <v>0.8903667152997492</v>
      </c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</row>
    <row r="1925" spans="28:52">
      <c r="AB1925" s="9">
        <v>1.048273371695118</v>
      </c>
      <c r="AC1925" s="9">
        <v>1.2847050854437068</v>
      </c>
      <c r="AD1925" s="9">
        <v>0.90295192288936377</v>
      </c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</row>
    <row r="1926" spans="28:52">
      <c r="AB1926" s="9">
        <v>1.0271768024360903</v>
      </c>
      <c r="AC1926" s="9">
        <v>0.7418983742484424</v>
      </c>
      <c r="AD1926" s="9">
        <v>0.90833625958658859</v>
      </c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</row>
    <row r="1927" spans="28:52">
      <c r="AB1927" s="9">
        <v>1.0161085008856936</v>
      </c>
      <c r="AC1927" s="9">
        <v>0.77201027333333738</v>
      </c>
      <c r="AD1927" s="9">
        <v>0.89780003968021083</v>
      </c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</row>
    <row r="1928" spans="28:52">
      <c r="AB1928" s="9">
        <v>1.0234363875547667</v>
      </c>
      <c r="AC1928" s="9">
        <v>0.92189969750301182</v>
      </c>
      <c r="AD1928" s="9">
        <v>0.89593614103984376</v>
      </c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</row>
    <row r="1929" spans="28:52">
      <c r="AB1929" s="9">
        <v>1.0203200903446654</v>
      </c>
      <c r="AC1929" s="9">
        <v>0.74935071882284876</v>
      </c>
      <c r="AD1929" s="9">
        <v>0.8845295646668071</v>
      </c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</row>
    <row r="1930" spans="28:52">
      <c r="AB1930" s="9">
        <v>1.0282087528864226</v>
      </c>
      <c r="AC1930" s="9">
        <v>1.0065246135524519</v>
      </c>
      <c r="AD1930" s="9">
        <v>0.86914255669323881</v>
      </c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</row>
    <row r="1931" spans="28:52">
      <c r="AB1931" s="9">
        <v>1.0413042779002943</v>
      </c>
      <c r="AC1931" s="9">
        <v>1.3363276120896403</v>
      </c>
      <c r="AD1931" s="9">
        <v>0.87732116217550182</v>
      </c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</row>
    <row r="1932" spans="28:52">
      <c r="AB1932" s="9">
        <v>1.026882829706087</v>
      </c>
      <c r="AC1932" s="9">
        <v>0.99412295332977552</v>
      </c>
      <c r="AD1932" s="9">
        <v>0.88610308362988566</v>
      </c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</row>
    <row r="1933" spans="28:52">
      <c r="AB1933" s="9">
        <v>1.0114263636631038</v>
      </c>
      <c r="AC1933" s="9">
        <v>0.67765987109170644</v>
      </c>
      <c r="AD1933" s="9">
        <v>0.89232584765420497</v>
      </c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</row>
    <row r="1934" spans="28:52">
      <c r="AB1934" s="9">
        <v>1.0003549496889685</v>
      </c>
      <c r="AC1934" s="9">
        <v>0.61754802815769072</v>
      </c>
      <c r="AD1934" s="9">
        <v>0.90418798097708608</v>
      </c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</row>
    <row r="1935" spans="28:52">
      <c r="AB1935" s="9">
        <v>0.98367543898944154</v>
      </c>
      <c r="AC1935" s="9">
        <v>0.67708550682301871</v>
      </c>
      <c r="AD1935" s="9">
        <v>0.9088831990710502</v>
      </c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</row>
    <row r="1936" spans="28:52">
      <c r="AB1936" s="9">
        <v>0.97606439897086761</v>
      </c>
      <c r="AC1936" s="9">
        <v>0.53145409726655868</v>
      </c>
      <c r="AD1936" s="9">
        <v>0.90101888185076184</v>
      </c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</row>
    <row r="1937" spans="28:52">
      <c r="AB1937" s="9">
        <v>0.98286146635344285</v>
      </c>
      <c r="AC1937" s="9">
        <v>0.71471309275770145</v>
      </c>
      <c r="AD1937" s="9">
        <v>0.92129725593542855</v>
      </c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</row>
    <row r="1938" spans="28:52">
      <c r="AB1938" s="9">
        <v>0.95963206487062436</v>
      </c>
      <c r="AC1938" s="9">
        <v>0.62308118630067066</v>
      </c>
      <c r="AD1938" s="9">
        <v>0.93666362936499381</v>
      </c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</row>
    <row r="1939" spans="28:52">
      <c r="AB1939" s="9">
        <v>0.9435016357467193</v>
      </c>
      <c r="AC1939" s="9">
        <v>0.62882698190565156</v>
      </c>
      <c r="AD1939" s="9">
        <v>0.93786250915370106</v>
      </c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</row>
    <row r="1940" spans="28:52">
      <c r="AB1940" s="9">
        <v>0.94224702374107105</v>
      </c>
      <c r="AC1940" s="9">
        <v>0.70146511395003452</v>
      </c>
      <c r="AD1940" s="9">
        <v>0.96003359004401023</v>
      </c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</row>
    <row r="1941" spans="28:52">
      <c r="AB1941" s="9">
        <v>0.92062816414370796</v>
      </c>
      <c r="AC1941" s="9">
        <v>0.61815607840000597</v>
      </c>
      <c r="AD1941" s="9">
        <v>0.94812597205364857</v>
      </c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</row>
    <row r="1942" spans="28:52">
      <c r="AB1942" s="9">
        <v>0.93266187200142026</v>
      </c>
      <c r="AC1942" s="9">
        <v>0.54826568816136767</v>
      </c>
      <c r="AD1942" s="9">
        <v>0.91638544056331728</v>
      </c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</row>
    <row r="1943" spans="28:52">
      <c r="AB1943" s="9">
        <v>0.96489933760084701</v>
      </c>
      <c r="AC1943" s="9">
        <v>0.9675072872146443</v>
      </c>
      <c r="AD1943" s="9">
        <v>0.92840322038079459</v>
      </c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</row>
    <row r="1944" spans="28:52">
      <c r="AB1944" s="9">
        <v>0.95210757883981423</v>
      </c>
      <c r="AC1944" s="9">
        <v>0.76779168611328164</v>
      </c>
      <c r="AD1944" s="9">
        <v>0.92858348047284178</v>
      </c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</row>
    <row r="1945" spans="28:52">
      <c r="AB1945" s="9">
        <v>0.95175235081976173</v>
      </c>
      <c r="AC1945" s="9">
        <v>0.78792839905565082</v>
      </c>
      <c r="AD1945" s="9">
        <v>0.95666989115425882</v>
      </c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</row>
    <row r="1946" spans="28:52">
      <c r="AB1946" s="9">
        <v>0.9244986427878108</v>
      </c>
      <c r="AC1946" s="9">
        <v>0.50443240630016162</v>
      </c>
      <c r="AD1946" s="9">
        <v>0.95711061749510296</v>
      </c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</row>
    <row r="1947" spans="28:52">
      <c r="AB1947" s="9">
        <v>0.92536154588530672</v>
      </c>
      <c r="AC1947" s="9">
        <v>0.47977126461654374</v>
      </c>
      <c r="AD1947" s="9">
        <v>0.95988752760355511</v>
      </c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</row>
    <row r="1948" spans="28:52">
      <c r="AB1948" s="9">
        <v>0.92460932003584728</v>
      </c>
      <c r="AC1948" s="9">
        <v>0.73901097669748883</v>
      </c>
      <c r="AD1948" s="9">
        <v>0.96706297334394853</v>
      </c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</row>
    <row r="1949" spans="28:52">
      <c r="AB1949" s="9">
        <v>0.92003454442362542</v>
      </c>
      <c r="AC1949" s="9">
        <v>0.58260932228963158</v>
      </c>
      <c r="AD1949" s="9">
        <v>1.0099747254336904</v>
      </c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</row>
    <row r="1950" spans="28:52">
      <c r="AB1950" s="9">
        <v>0.88414660609440243</v>
      </c>
      <c r="AC1950" s="9">
        <v>0.49917936741930879</v>
      </c>
      <c r="AD1950" s="9">
        <v>1.0046356156782923</v>
      </c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</row>
    <row r="1951" spans="28:52">
      <c r="AB1951" s="9">
        <v>0.89292586211227165</v>
      </c>
      <c r="AC1951" s="9">
        <v>0.7261946372967627</v>
      </c>
      <c r="AD1951" s="9">
        <v>0.97506179432288542</v>
      </c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</row>
    <row r="1952" spans="28:52">
      <c r="AB1952" s="9">
        <v>0.92399443137070691</v>
      </c>
      <c r="AC1952" s="9">
        <v>0.96717547032536799</v>
      </c>
      <c r="AD1952" s="9">
        <v>0.9742483590921478</v>
      </c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</row>
    <row r="1953" spans="28:52">
      <c r="AB1953" s="9">
        <v>0.92833138586247466</v>
      </c>
      <c r="AC1953" s="9">
        <v>1.1159584140124963</v>
      </c>
      <c r="AD1953" s="9">
        <v>0.97843277420442354</v>
      </c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</row>
    <row r="1954" spans="28:52">
      <c r="AB1954" s="9">
        <v>0.92823459038350364</v>
      </c>
      <c r="AC1954" s="9">
        <v>0.99628982278221678</v>
      </c>
      <c r="AD1954" s="9">
        <v>0.9867516251852243</v>
      </c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</row>
    <row r="1955" spans="28:52">
      <c r="AB1955" s="9">
        <v>0.92427801368931106</v>
      </c>
      <c r="AC1955" s="9">
        <v>0.98775281184264307</v>
      </c>
      <c r="AD1955" s="9">
        <v>0.99537125712495256</v>
      </c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</row>
    <row r="1956" spans="28:52">
      <c r="AB1956" s="9">
        <v>0.91981716084152954</v>
      </c>
      <c r="AC1956" s="9">
        <v>0.82467152320693105</v>
      </c>
      <c r="AD1956" s="9">
        <v>1.0098072523120105</v>
      </c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</row>
    <row r="1957" spans="28:52">
      <c r="AB1957" s="9">
        <v>0.91022032998658919</v>
      </c>
      <c r="AC1957" s="9">
        <v>0.86570887604778812</v>
      </c>
      <c r="AD1957" s="9">
        <v>0.97889393610758202</v>
      </c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</row>
    <row r="1958" spans="28:52">
      <c r="AB1958" s="9">
        <v>0.94270677864098051</v>
      </c>
      <c r="AC1958" s="9">
        <v>1.0212939035435669</v>
      </c>
      <c r="AD1958" s="9">
        <v>0.97593978375210133</v>
      </c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</row>
    <row r="1959" spans="28:52">
      <c r="AB1959" s="9">
        <v>0.94802373906540394</v>
      </c>
      <c r="AC1959" s="9">
        <v>1.4649947351443939</v>
      </c>
      <c r="AD1959" s="9">
        <v>0.99347173154572865</v>
      </c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</row>
    <row r="1960" spans="28:52">
      <c r="AB1960" s="9">
        <v>0.9341597170906325</v>
      </c>
      <c r="AC1960" s="9">
        <v>0.67379999617873987</v>
      </c>
      <c r="AD1960" s="9">
        <v>1.000369993189729</v>
      </c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</row>
    <row r="1961" spans="28:52">
      <c r="AB1961" s="9">
        <v>0.93086997313617437</v>
      </c>
      <c r="AC1961" s="9">
        <v>0.66426109862828941</v>
      </c>
      <c r="AD1961" s="9">
        <v>1.0076858863741163</v>
      </c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</row>
    <row r="1962" spans="28:52">
      <c r="AB1962" s="9">
        <v>0.92744400440961039</v>
      </c>
      <c r="AC1962" s="9">
        <v>0.59579910033482641</v>
      </c>
      <c r="AD1962" s="9">
        <v>1.0071775054483434</v>
      </c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</row>
    <row r="1963" spans="28:52">
      <c r="AB1963" s="9">
        <v>0.93148546497559059</v>
      </c>
      <c r="AC1963" s="9">
        <v>0.79610521550323399</v>
      </c>
      <c r="AD1963" s="9">
        <v>1.0266014978447411</v>
      </c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</row>
    <row r="1964" spans="28:52">
      <c r="AB1964" s="9">
        <v>0.91791923589838376</v>
      </c>
      <c r="AC1964" s="9">
        <v>0.61888681635565357</v>
      </c>
      <c r="AD1964" s="9">
        <v>1.0630079509912633</v>
      </c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</row>
    <row r="1965" spans="28:52">
      <c r="AB1965" s="9">
        <v>0.89162508111244687</v>
      </c>
      <c r="AC1965" s="9">
        <v>0.60533155081227252</v>
      </c>
      <c r="AD1965" s="9">
        <v>1.0522862365999308</v>
      </c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</row>
    <row r="1966" spans="28:52">
      <c r="AB1966" s="9">
        <v>0.90653011665577077</v>
      </c>
      <c r="AC1966" s="9">
        <v>0.58850776357636236</v>
      </c>
      <c r="AD1966" s="9">
        <v>1.0520762290128314</v>
      </c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</row>
    <row r="1967" spans="28:52">
      <c r="AB1967" s="9">
        <v>0.91257419486403235</v>
      </c>
      <c r="AC1967" s="9">
        <v>0.76388109157110096</v>
      </c>
      <c r="AD1967" s="9">
        <v>1.0688862867594306</v>
      </c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</row>
    <row r="1968" spans="28:52">
      <c r="AB1968" s="9">
        <v>0.90468367366913816</v>
      </c>
      <c r="AC1968" s="9">
        <v>0.5151704376168933</v>
      </c>
      <c r="AD1968" s="9">
        <v>1.087011296791444</v>
      </c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</row>
    <row r="1969" spans="28:52">
      <c r="AB1969" s="9">
        <v>0.89657173084760811</v>
      </c>
      <c r="AC1969" s="9">
        <v>0.67379220243272953</v>
      </c>
      <c r="AD1969" s="9">
        <v>1.0889303338268053</v>
      </c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</row>
    <row r="1970" spans="28:52">
      <c r="AB1970" s="9">
        <v>0.90241597478112068</v>
      </c>
      <c r="AC1970" s="9">
        <v>0.69603451917889159</v>
      </c>
      <c r="AD1970" s="9">
        <v>1.1188801236271471</v>
      </c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</row>
    <row r="1971" spans="28:52">
      <c r="AB1971" s="9">
        <v>0.88588982774378733</v>
      </c>
      <c r="AC1971" s="9">
        <v>0.54362703983083027</v>
      </c>
      <c r="AD1971" s="9">
        <v>1.1465877515809688</v>
      </c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</row>
    <row r="1972" spans="28:52">
      <c r="AB1972" s="9">
        <v>0.87324232272458202</v>
      </c>
      <c r="AC1972" s="9">
        <v>0.63104217811041441</v>
      </c>
      <c r="AD1972" s="9">
        <v>1.1537207383188313</v>
      </c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</row>
    <row r="1973" spans="28:52">
      <c r="AB1973" s="9">
        <v>0.87627626478626375</v>
      </c>
      <c r="AC1973" s="9">
        <v>0.82668523430924068</v>
      </c>
      <c r="AD1973" s="9">
        <v>1.2082857862985485</v>
      </c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</row>
    <row r="1974" spans="28:52">
      <c r="AB1974" s="9">
        <v>0.84615463455271644</v>
      </c>
      <c r="AC1974" s="9">
        <v>0.83930769037107911</v>
      </c>
      <c r="AD1974" s="9">
        <v>1.2248376650063293</v>
      </c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</row>
    <row r="1975" spans="28:52">
      <c r="AB1975" s="9">
        <v>0.84478574994993594</v>
      </c>
      <c r="AC1975" s="9">
        <v>0.9153369455577568</v>
      </c>
      <c r="AD1975" s="9">
        <v>1.1819243432574433</v>
      </c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</row>
    <row r="1976" spans="28:52">
      <c r="AB1976" s="9">
        <v>0.88508741175980787</v>
      </c>
      <c r="AC1976" s="9">
        <v>1.0173884497622627</v>
      </c>
      <c r="AD1976" s="9">
        <v>1.1650514341454035</v>
      </c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</row>
    <row r="1977" spans="28:52">
      <c r="AB1977" s="9">
        <v>0.90619426917227641</v>
      </c>
      <c r="AC1977" s="9">
        <v>1.1171812296808716</v>
      </c>
      <c r="AD1977" s="9">
        <v>1.1910945484849917</v>
      </c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</row>
    <row r="1978" spans="28:52">
      <c r="AB1978" s="9">
        <v>0.89474067444431638</v>
      </c>
      <c r="AC1978" s="9">
        <v>0.72619808442960865</v>
      </c>
      <c r="AD1978" s="9">
        <v>1.1823533977233529</v>
      </c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</row>
    <row r="1979" spans="28:52">
      <c r="AB1979" s="9">
        <v>0.91016973236991217</v>
      </c>
      <c r="AC1979" s="9">
        <v>0.84278146339761817</v>
      </c>
      <c r="AD1979" s="9">
        <v>1.1349771080368907</v>
      </c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</row>
    <row r="1980" spans="28:52">
      <c r="AB1980" s="9">
        <v>0.95657544478395118</v>
      </c>
      <c r="AC1980" s="9">
        <v>0.89432595055398667</v>
      </c>
      <c r="AD1980" s="9">
        <v>1.0963319499445585</v>
      </c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</row>
    <row r="1981" spans="28:52">
      <c r="AB1981" s="9">
        <v>0.99765531247582129</v>
      </c>
      <c r="AC1981" s="9">
        <v>1.3631205998232014</v>
      </c>
      <c r="AD1981" s="9">
        <v>1.123585700556873</v>
      </c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</row>
    <row r="1982" spans="28:52">
      <c r="AB1982" s="9">
        <v>0.97998129757061847</v>
      </c>
      <c r="AC1982" s="9">
        <v>1.6956309384299213</v>
      </c>
      <c r="AD1982" s="9">
        <v>1.1167069357111141</v>
      </c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</row>
    <row r="1983" spans="28:52">
      <c r="AB1983" s="9">
        <v>0.99193096080253618</v>
      </c>
      <c r="AC1983" s="9">
        <v>1.2177674698192276</v>
      </c>
      <c r="AD1983" s="9">
        <v>1.1137920462494799</v>
      </c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</row>
    <row r="1984" spans="28:52">
      <c r="AB1984" s="9">
        <v>1.0002182921558713</v>
      </c>
      <c r="AC1984" s="9">
        <v>1.4557004442990638</v>
      </c>
      <c r="AD1984" s="9">
        <v>1.1097203142508054</v>
      </c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</row>
    <row r="1985" spans="28:52">
      <c r="AB1985" s="9">
        <v>1.009066026709335</v>
      </c>
      <c r="AC1985" s="9">
        <v>0.95299564127693803</v>
      </c>
      <c r="AD1985" s="9">
        <v>1.1148450077230778</v>
      </c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</row>
    <row r="1986" spans="28:52">
      <c r="AB1986" s="9">
        <v>1.0099267451321361</v>
      </c>
      <c r="AC1986" s="9">
        <v>1.0669793915447425</v>
      </c>
      <c r="AD1986" s="9">
        <v>1.1275378779412277</v>
      </c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</row>
    <row r="1987" spans="28:52">
      <c r="AB1987" s="9">
        <v>1.0042970845570891</v>
      </c>
      <c r="AC1987" s="9">
        <v>0.95309483519570948</v>
      </c>
      <c r="AD1987" s="9">
        <v>1.1070051256102471</v>
      </c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</row>
    <row r="1988" spans="28:52">
      <c r="AB1988" s="9">
        <v>1.0278882474408579</v>
      </c>
      <c r="AC1988" s="9">
        <v>1.3238945050460391</v>
      </c>
      <c r="AD1988" s="9">
        <v>1.1119677371929415</v>
      </c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</row>
    <row r="1989" spans="28:52">
      <c r="AB1989" s="9">
        <v>1.0272265301405561</v>
      </c>
      <c r="AC1989" s="9">
        <v>1.4976054863327417</v>
      </c>
      <c r="AD1989" s="9">
        <v>1.1172402707779459</v>
      </c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</row>
    <row r="1990" spans="28:52">
      <c r="AB1990" s="9">
        <v>1.02635173586224</v>
      </c>
      <c r="AC1990" s="9">
        <v>1.0898821967216055</v>
      </c>
      <c r="AD1990" s="9">
        <v>1.1139167171463142</v>
      </c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</row>
    <row r="1991" spans="28:52">
      <c r="AB1991" s="9">
        <v>1.032751998061908</v>
      </c>
      <c r="AC1991" s="9">
        <v>1.1856764264485007</v>
      </c>
      <c r="AD1991" s="9">
        <v>1.1153374710041728</v>
      </c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</row>
    <row r="1992" spans="28:52">
      <c r="AB1992" s="9">
        <v>1.0348176473287347</v>
      </c>
      <c r="AC1992" s="9">
        <v>0.74771256737416769</v>
      </c>
      <c r="AD1992" s="9">
        <v>1.107810633209259</v>
      </c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</row>
    <row r="1993" spans="28:52">
      <c r="AB1993" s="9">
        <v>1.0456806073248319</v>
      </c>
      <c r="AC1993" s="9">
        <v>1.4243926086021212</v>
      </c>
      <c r="AD1993" s="9">
        <v>1.1123642087315253</v>
      </c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</row>
    <row r="1994" spans="28:52">
      <c r="AB1994" s="9">
        <v>1.0452625071881221</v>
      </c>
      <c r="AC1994" s="9">
        <v>0.97502111096803068</v>
      </c>
      <c r="AD1994" s="9">
        <v>1.1243589050459855</v>
      </c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</row>
    <row r="1995" spans="28:52">
      <c r="AB1995" s="9">
        <v>1.0380597056566607</v>
      </c>
      <c r="AC1995" s="9">
        <v>1.1204380081312866</v>
      </c>
      <c r="AD1995" s="9">
        <v>1.1234466858432892</v>
      </c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</row>
    <row r="1996" spans="28:52">
      <c r="AB1996" s="9">
        <v>1.0423050305777621</v>
      </c>
      <c r="AC1996" s="9">
        <v>0.87519654981633688</v>
      </c>
      <c r="AD1996" s="9">
        <v>1.1037640187199167</v>
      </c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</row>
    <row r="1997" spans="28:52">
      <c r="AB1997" s="9">
        <v>1.0637609784707669</v>
      </c>
      <c r="AC1997" s="9">
        <v>1.4882054204234347</v>
      </c>
      <c r="AD1997" s="9">
        <v>1.0945836399524596</v>
      </c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</row>
    <row r="1998" spans="28:52">
      <c r="AB1998" s="9">
        <v>1.0749479702517759</v>
      </c>
      <c r="AC1998" s="9">
        <v>2.0138693128961389</v>
      </c>
      <c r="AD1998" s="9">
        <v>1.0836126901156864</v>
      </c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</row>
    <row r="1999" spans="28:52">
      <c r="AB1999" s="9">
        <v>1.0874298022008693</v>
      </c>
      <c r="AC1999" s="9">
        <v>1.9011280910809796</v>
      </c>
      <c r="AD1999" s="9">
        <v>1.0643986303138067</v>
      </c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</row>
    <row r="2000" spans="28:52">
      <c r="AB2000" s="9">
        <v>1.1069829830230959</v>
      </c>
      <c r="AC2000" s="9">
        <v>1.958631844987363</v>
      </c>
      <c r="AD2000" s="9">
        <v>1.0508216180835726</v>
      </c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</row>
    <row r="2001" spans="28:52">
      <c r="AB2001" s="9">
        <v>1.1205349007253951</v>
      </c>
      <c r="AC2001" s="9">
        <v>2.0875518576225711</v>
      </c>
      <c r="AD2001" s="9">
        <v>1.0526095250079364</v>
      </c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</row>
    <row r="2002" spans="28:52">
      <c r="AB2002" s="9">
        <v>1.1177998572145418</v>
      </c>
      <c r="AC2002" s="9">
        <v>1.7559740446379513</v>
      </c>
      <c r="AD2002" s="9">
        <v>1.0463897104027557</v>
      </c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</row>
    <row r="2003" spans="28:52">
      <c r="AB2003" s="9">
        <v>1.1235355870628696</v>
      </c>
      <c r="AC2003" s="9">
        <v>1.2929772538382445</v>
      </c>
      <c r="AD2003" s="9">
        <v>1.0623425594775309</v>
      </c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</row>
    <row r="2004" spans="28:52">
      <c r="AB2004" s="9">
        <v>1.1060423351961126</v>
      </c>
      <c r="AC2004" s="9">
        <v>1.6234850540391585</v>
      </c>
      <c r="AD2004" s="9">
        <v>1.0722697701693322</v>
      </c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</row>
    <row r="2005" spans="28:52">
      <c r="AB2005" s="9">
        <v>1.0952817300180189</v>
      </c>
      <c r="AC2005" s="9">
        <v>1.2415467172008019</v>
      </c>
      <c r="AD2005" s="9">
        <v>1.0657711290838423</v>
      </c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</row>
    <row r="2006" spans="28:52">
      <c r="AB2006" s="9">
        <v>1.1013640204373798</v>
      </c>
      <c r="AC2006" s="9">
        <v>1.1847235844317392</v>
      </c>
      <c r="AD2006" s="9">
        <v>1.0529166743681799</v>
      </c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</row>
    <row r="2007" spans="28:52">
      <c r="AB2007" s="9">
        <v>1.113143316357222</v>
      </c>
      <c r="AC2007" s="9">
        <v>1.4613198912784846</v>
      </c>
      <c r="AD2007" s="9">
        <v>1.0740448122775905</v>
      </c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</row>
    <row r="2008" spans="28:52">
      <c r="AB2008" s="9">
        <v>1.0907762641137382</v>
      </c>
      <c r="AC2008" s="9">
        <v>1.1388528224837675</v>
      </c>
      <c r="AD2008" s="9">
        <v>1.0762148881087052</v>
      </c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</row>
    <row r="2009" spans="28:52">
      <c r="AB2009" s="9">
        <v>1.0888693787327066</v>
      </c>
      <c r="AC2009" s="9">
        <v>0.97069233538692246</v>
      </c>
      <c r="AD2009" s="9">
        <v>1.080823631301477</v>
      </c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</row>
    <row r="2010" spans="28:52">
      <c r="AB2010" s="9">
        <v>1.0844686021589087</v>
      </c>
      <c r="AC2010" s="9">
        <v>0.85034895562439561</v>
      </c>
      <c r="AD2010" s="9">
        <v>1.0617523522941636</v>
      </c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</row>
    <row r="2011" spans="28:52">
      <c r="AB2011" s="9">
        <v>1.103702542833364</v>
      </c>
      <c r="AC2011" s="9">
        <v>1.2970823467455666</v>
      </c>
      <c r="AD2011" s="9">
        <v>1.0320777157584298</v>
      </c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</row>
    <row r="2012" spans="28:52">
      <c r="AB2012" s="9">
        <v>1.1340400743885359</v>
      </c>
      <c r="AC2012" s="9">
        <v>1.8545290480186334</v>
      </c>
      <c r="AD2012" s="9">
        <v>1.0408949903929159</v>
      </c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</row>
    <row r="2013" spans="28:52">
      <c r="AB2013" s="9">
        <v>1.1231577449734775</v>
      </c>
      <c r="AC2013" s="9">
        <v>1.6498819963442002</v>
      </c>
      <c r="AD2013" s="9">
        <v>1.0455227603611956</v>
      </c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</row>
    <row r="2014" spans="28:52">
      <c r="AB2014" s="9">
        <v>1.1170433200419962</v>
      </c>
      <c r="AC2014" s="9">
        <v>0.95251916125821789</v>
      </c>
      <c r="AD2014" s="9">
        <v>1.0518644485831485</v>
      </c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</row>
    <row r="2015" spans="28:52">
      <c r="AB2015" s="9">
        <v>1.1088488340078986</v>
      </c>
      <c r="AC2015" s="9">
        <v>0.84326813207033591</v>
      </c>
      <c r="AD2015" s="9">
        <v>1.0343437809775613</v>
      </c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</row>
    <row r="2016" spans="28:52">
      <c r="AB2016" s="9">
        <v>1.1261660340591133</v>
      </c>
      <c r="AC2016" s="9">
        <v>1.5369760354124367</v>
      </c>
      <c r="AD2016" s="9">
        <v>1.0373847254910062</v>
      </c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</row>
    <row r="2017" spans="28:52">
      <c r="AB2017" s="9">
        <v>1.1210604231463452</v>
      </c>
      <c r="AC2017" s="9">
        <v>1.6298157323254112</v>
      </c>
      <c r="AD2017" s="9">
        <v>1.0426769855296592</v>
      </c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</row>
    <row r="2018" spans="28:52">
      <c r="AB2018" s="9">
        <v>1.1134144798858221</v>
      </c>
      <c r="AC2018" s="9">
        <v>1.4378645616801018</v>
      </c>
      <c r="AD2018" s="9">
        <v>1.0310698365324995</v>
      </c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</row>
    <row r="2019" spans="28:52">
      <c r="AB2019" s="9">
        <v>1.1234121145372222</v>
      </c>
      <c r="AC2019" s="9">
        <v>1.3512609679841943</v>
      </c>
      <c r="AD2019" s="9">
        <v>1.024546261818035</v>
      </c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</row>
    <row r="2020" spans="28:52">
      <c r="AB2020" s="9">
        <v>1.1278843894147819</v>
      </c>
      <c r="AC2020" s="9">
        <v>1.5584302547682225</v>
      </c>
      <c r="AD2020" s="9">
        <v>1.0132836945548052</v>
      </c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</row>
    <row r="2021" spans="28:52">
      <c r="AB2021" s="9">
        <v>1.1373845674884548</v>
      </c>
      <c r="AC2021" s="9">
        <v>1.4859162349934065</v>
      </c>
      <c r="AD2021" s="9">
        <v>1.0199897144969348</v>
      </c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</row>
    <row r="2022" spans="28:52">
      <c r="AB2022" s="9">
        <v>1.1267592626461742</v>
      </c>
      <c r="AC2022" s="9">
        <v>1.7094306565472339</v>
      </c>
      <c r="AD2022" s="9">
        <v>1.007573883796083</v>
      </c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</row>
    <row r="2023" spans="28:52">
      <c r="AB2023" s="9">
        <v>1.1377546475435238</v>
      </c>
      <c r="AC2023" s="9">
        <v>1.3988367292628372</v>
      </c>
      <c r="AD2023" s="9">
        <v>1.0044545452160385</v>
      </c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</row>
    <row r="2024" spans="28:52">
      <c r="AB2024" s="9">
        <v>1.136815997186883</v>
      </c>
      <c r="AC2024" s="9">
        <v>1.5187991446448157</v>
      </c>
      <c r="AD2024" s="9">
        <v>1.0063872654285544</v>
      </c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</row>
    <row r="2025" spans="28:52">
      <c r="AB2025" s="9">
        <v>1.130238496156643</v>
      </c>
      <c r="AC2025" s="9">
        <v>1.3117704778493233</v>
      </c>
      <c r="AD2025" s="9">
        <v>1.028774444218481</v>
      </c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</row>
    <row r="2026" spans="28:52">
      <c r="AB2026" s="9">
        <v>1.1017219276825985</v>
      </c>
      <c r="AC2026" s="9">
        <v>1.4457563346313476</v>
      </c>
      <c r="AD2026" s="9">
        <v>1.0281229952232278</v>
      </c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</row>
    <row r="2027" spans="28:52">
      <c r="AB2027" s="9">
        <v>1.0993173512955681</v>
      </c>
      <c r="AC2027" s="9">
        <v>1.0204671628227897</v>
      </c>
      <c r="AD2027" s="9">
        <v>1.0148386927280373</v>
      </c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</row>
    <row r="2028" spans="28:52">
      <c r="AB2028" s="9">
        <v>1.110500876331181</v>
      </c>
      <c r="AC2028" s="9">
        <v>1.4175162742488292</v>
      </c>
      <c r="AD2028" s="9">
        <v>1.0170837799495591</v>
      </c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</row>
    <row r="2029" spans="28:52">
      <c r="AB2029" s="9">
        <v>1.1046521835845795</v>
      </c>
      <c r="AC2029" s="9">
        <v>1.2552559128204612</v>
      </c>
      <c r="AD2029" s="9">
        <v>1.0280672253325442</v>
      </c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</row>
    <row r="2030" spans="28:52">
      <c r="AB2030" s="9">
        <v>1.0908789697702561</v>
      </c>
      <c r="AC2030" s="9">
        <v>1.1708910087393589</v>
      </c>
      <c r="AD2030" s="9">
        <v>1.0381105059486893</v>
      </c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</row>
    <row r="2031" spans="28:52">
      <c r="AB2031" s="9">
        <v>1.0794541159752575</v>
      </c>
      <c r="AC2031" s="9">
        <v>1.0482816564380935</v>
      </c>
      <c r="AD2031" s="9">
        <v>1.0705968761060249</v>
      </c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</row>
    <row r="2032" spans="28:52">
      <c r="AB2032" s="9">
        <v>1.0463084671838314</v>
      </c>
      <c r="AC2032" s="9">
        <v>1.0173212876204594</v>
      </c>
      <c r="AD2032" s="9">
        <v>1.0619130748578585</v>
      </c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</row>
    <row r="2033" spans="28:52">
      <c r="AB2033" s="9">
        <v>1.0545857656609674</v>
      </c>
      <c r="AC2033" s="9">
        <v>0.93583564058990532</v>
      </c>
      <c r="AD2033" s="9">
        <v>1.0631509387452156</v>
      </c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</row>
    <row r="2034" spans="28:52">
      <c r="AB2034" s="9">
        <v>1.0529779129152472</v>
      </c>
      <c r="AC2034" s="9">
        <v>0.96365924276937731</v>
      </c>
      <c r="AD2034" s="9">
        <v>1.0376465068713396</v>
      </c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</row>
    <row r="2035" spans="28:52">
      <c r="AB2035" s="9">
        <v>1.0782784536829555</v>
      </c>
      <c r="AC2035" s="9">
        <v>1.2401355701961938</v>
      </c>
      <c r="AD2035" s="9">
        <v>1.0423641074673542</v>
      </c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</row>
    <row r="2036" spans="28:52">
      <c r="AB2036" s="9">
        <v>1.072182677943661</v>
      </c>
      <c r="AC2036" s="9">
        <v>1.2420962256448425</v>
      </c>
      <c r="AD2036" s="9">
        <v>1.0463928942268901</v>
      </c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</row>
    <row r="2037" spans="28:52">
      <c r="AB2037" s="9">
        <v>1.0665520102623072</v>
      </c>
      <c r="AC2037" s="9">
        <v>1.2767324238414242</v>
      </c>
      <c r="AD2037" s="9">
        <v>1.0608276244321782</v>
      </c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</row>
    <row r="2038" spans="28:52">
      <c r="AB2038" s="9">
        <v>1.050592965943135</v>
      </c>
      <c r="AC2038" s="9">
        <v>0.9876235884741249</v>
      </c>
      <c r="AD2038" s="9">
        <v>1.0598164174138907</v>
      </c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</row>
    <row r="2039" spans="28:52">
      <c r="AB2039" s="9">
        <v>1.0494885384522061</v>
      </c>
      <c r="AC2039" s="9">
        <v>0.72008155234803983</v>
      </c>
      <c r="AD2039" s="9">
        <v>1.062383399447451</v>
      </c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</row>
    <row r="2040" spans="28:52">
      <c r="AB2040" s="9">
        <v>1.04489939457639</v>
      </c>
      <c r="AC2040" s="9">
        <v>0.89433304655277435</v>
      </c>
      <c r="AD2040" s="9">
        <v>1.0659287284131782</v>
      </c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</row>
    <row r="2041" spans="28:52">
      <c r="AB2041" s="9">
        <v>1.0382787044980031</v>
      </c>
      <c r="AC2041" s="9">
        <v>0.59931800787276757</v>
      </c>
      <c r="AD2041" s="9">
        <v>1.0703366414066502</v>
      </c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</row>
    <row r="2042" spans="28:52">
      <c r="AB2042" s="9">
        <v>1.0309598227330743</v>
      </c>
      <c r="AC2042" s="9">
        <v>0.60124947074631219</v>
      </c>
      <c r="AD2042" s="9">
        <v>1.045401783068358</v>
      </c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</row>
    <row r="2043" spans="28:52">
      <c r="AB2043" s="9">
        <v>1.0522567557873685</v>
      </c>
      <c r="AC2043" s="9">
        <v>0.92763312897106709</v>
      </c>
      <c r="AD2043" s="9">
        <v>1.0481599759260039</v>
      </c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</row>
    <row r="2044" spans="28:52">
      <c r="AB2044" s="9">
        <v>1.0468914992212399</v>
      </c>
      <c r="AC2044" s="9">
        <v>0.88931505947958378</v>
      </c>
      <c r="AD2044" s="9">
        <v>1.0455239375980292</v>
      </c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</row>
    <row r="2045" spans="28:52">
      <c r="AB2045" s="9">
        <v>1.0467221096149337</v>
      </c>
      <c r="AC2045" s="9">
        <v>1.1121142697878983</v>
      </c>
      <c r="AD2045" s="9">
        <v>1.0476960942639322</v>
      </c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</row>
    <row r="2046" spans="28:52">
      <c r="AB2046" s="9">
        <v>1.0415381422696799</v>
      </c>
      <c r="AC2046" s="9">
        <v>1.0846487491325469</v>
      </c>
      <c r="AD2046" s="9">
        <v>1.0440587030178867</v>
      </c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</row>
    <row r="2047" spans="28:52">
      <c r="AB2047" s="9">
        <v>1.04262259688198</v>
      </c>
      <c r="AC2047" s="9">
        <v>1.2604667313217703</v>
      </c>
      <c r="AD2047" s="9">
        <v>1.044793924992903</v>
      </c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</row>
    <row r="2048" spans="28:52">
      <c r="AB2048" s="9">
        <v>1.0391739096778239</v>
      </c>
      <c r="AC2048" s="9">
        <v>1.1517861958792333</v>
      </c>
      <c r="AD2048" s="9">
        <v>1.0444613097155269</v>
      </c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</row>
    <row r="2049" spans="28:52">
      <c r="AB2049" s="9">
        <v>1.0364694604710654</v>
      </c>
      <c r="AC2049" s="9">
        <v>0.85716969650896357</v>
      </c>
      <c r="AD2049" s="9">
        <v>1.0466801348931174</v>
      </c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</row>
    <row r="2050" spans="28:52">
      <c r="AB2050" s="9">
        <v>1.0320045539560723</v>
      </c>
      <c r="AC2050" s="9">
        <v>0.93419625304264886</v>
      </c>
      <c r="AD2050" s="9">
        <v>1.0702225014594791</v>
      </c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</row>
    <row r="2051" spans="28:52">
      <c r="AB2051" s="9">
        <v>1.0075708926566538</v>
      </c>
      <c r="AC2051" s="9">
        <v>1.235240170633787</v>
      </c>
      <c r="AD2051" s="9">
        <v>1.0688285265322224</v>
      </c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</row>
    <row r="2052" spans="28:52">
      <c r="AB2052" s="9">
        <v>1.0076888577221428</v>
      </c>
      <c r="AC2052" s="9">
        <v>0.92077673366060564</v>
      </c>
      <c r="AD2052" s="9">
        <v>1.0624964218818826</v>
      </c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</row>
    <row r="2053" spans="28:52">
      <c r="AB2053" s="9">
        <v>1.0122696019057587</v>
      </c>
      <c r="AC2053" s="9">
        <v>1.0698321443778072</v>
      </c>
      <c r="AD2053" s="9">
        <v>1.0734990937234765</v>
      </c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</row>
    <row r="2054" spans="28:52">
      <c r="AB2054" s="9">
        <v>1.0000072015322261</v>
      </c>
      <c r="AC2054" s="9">
        <v>0.92209275125449075</v>
      </c>
      <c r="AD2054" s="9">
        <v>1.0682495788239414</v>
      </c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</row>
    <row r="2055" spans="28:52">
      <c r="AB2055" s="9">
        <v>1.0029437453953287</v>
      </c>
      <c r="AC2055" s="9">
        <v>1.0246548945189355</v>
      </c>
      <c r="AD2055" s="9">
        <v>1.0824626020115982</v>
      </c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</row>
    <row r="2056" spans="28:52">
      <c r="AB2056" s="9">
        <v>0.98800120376596268</v>
      </c>
      <c r="AC2056" s="9">
        <v>0.93651553574600321</v>
      </c>
      <c r="AD2056" s="9">
        <v>1.0696381538927382</v>
      </c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</row>
    <row r="2057" spans="28:52">
      <c r="AB2057" s="9">
        <v>0.99796382258718308</v>
      </c>
      <c r="AC2057" s="9">
        <v>0.70472119437121938</v>
      </c>
      <c r="AD2057" s="9">
        <v>1.0551900299544739</v>
      </c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</row>
    <row r="2058" spans="28:52">
      <c r="AB2058" s="9">
        <v>1.0085648742344304</v>
      </c>
      <c r="AC2058" s="9">
        <v>1.0004247752609272</v>
      </c>
      <c r="AD2058" s="9">
        <v>1.042205545820563</v>
      </c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</row>
    <row r="2059" spans="28:52">
      <c r="AB2059" s="9">
        <v>1.0181481245254724</v>
      </c>
      <c r="AC2059" s="9">
        <v>1.2908525908156179</v>
      </c>
      <c r="AD2059" s="9">
        <v>1.038362835356053</v>
      </c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</row>
    <row r="2060" spans="28:52">
      <c r="AB2060" s="9">
        <v>1.0185638947410796</v>
      </c>
      <c r="AC2060" s="9">
        <v>1.090612399532767</v>
      </c>
      <c r="AD2060" s="9">
        <v>1.030881625279803</v>
      </c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</row>
    <row r="2061" spans="28:52">
      <c r="AB2061" s="9">
        <v>1.0234158094505943</v>
      </c>
      <c r="AC2061" s="9">
        <v>1.232432587372293</v>
      </c>
      <c r="AD2061" s="9">
        <v>1.0082422344089026</v>
      </c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</row>
    <row r="2062" spans="28:52">
      <c r="AB2062" s="9">
        <v>1.0437102289538831</v>
      </c>
      <c r="AC2062" s="9">
        <v>1.4214731016796163</v>
      </c>
      <c r="AD2062" s="9">
        <v>0.99561874931102234</v>
      </c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</row>
    <row r="2063" spans="28:52">
      <c r="AB2063" s="9">
        <v>1.0536727969422521</v>
      </c>
      <c r="AC2063" s="9">
        <v>1.4188210718340686</v>
      </c>
      <c r="AD2063" s="9">
        <v>0.98674505605255769</v>
      </c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</row>
    <row r="2064" spans="28:52">
      <c r="AB2064" s="9">
        <v>1.0601814098048898</v>
      </c>
      <c r="AC2064" s="9">
        <v>1.4762383300245061</v>
      </c>
      <c r="AD2064" s="9">
        <v>0.98207851679930325</v>
      </c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</row>
    <row r="2065" spans="28:52">
      <c r="AB2065" s="9">
        <v>1.062945714210366</v>
      </c>
      <c r="AC2065" s="9">
        <v>1.5386676712403249</v>
      </c>
      <c r="AD2065" s="9">
        <v>0.98443236333558892</v>
      </c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</row>
    <row r="2066" spans="28:52">
      <c r="AB2066" s="9">
        <v>1.0586512760984121</v>
      </c>
      <c r="AC2066" s="9">
        <v>1.2554420759045903</v>
      </c>
      <c r="AD2066" s="9">
        <v>0.98518680442160211</v>
      </c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</row>
    <row r="2067" spans="28:52">
      <c r="AB2067" s="9">
        <v>1.055895796267218</v>
      </c>
      <c r="AC2067" s="9">
        <v>0.89106265338622281</v>
      </c>
      <c r="AD2067" s="9">
        <v>0.98684517587939669</v>
      </c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</row>
    <row r="2068" spans="28:52">
      <c r="AB2068" s="9">
        <v>1.0520979056933799</v>
      </c>
      <c r="AC2068" s="9">
        <v>1.0807529865980463</v>
      </c>
      <c r="AD2068" s="9">
        <v>0.97511062139068982</v>
      </c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</row>
    <row r="2069" spans="28:52">
      <c r="AB2069" s="9">
        <v>1.0631588956747016</v>
      </c>
      <c r="AC2069" s="9">
        <v>1.2067164840585631</v>
      </c>
      <c r="AD2069" s="9">
        <v>0.94996193059040179</v>
      </c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</row>
    <row r="2070" spans="28:52">
      <c r="AB2070" s="9">
        <v>1.0890506421262838</v>
      </c>
      <c r="AC2070" s="9">
        <v>1.7255124834022408</v>
      </c>
      <c r="AD2070" s="9">
        <v>0.93388697661371955</v>
      </c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</row>
    <row r="2071" spans="28:52">
      <c r="AB2071" s="9">
        <v>1.1046995884864435</v>
      </c>
      <c r="AC2071" s="9">
        <v>1.6805296852348859</v>
      </c>
      <c r="AD2071" s="9">
        <v>0.91169005135377157</v>
      </c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</row>
    <row r="2072" spans="28:52">
      <c r="AB2072" s="9">
        <v>1.1269797853922148</v>
      </c>
      <c r="AC2072" s="9">
        <v>1.6116651014147518</v>
      </c>
      <c r="AD2072" s="9">
        <v>0.92307181076549161</v>
      </c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</row>
    <row r="2073" spans="28:52">
      <c r="AB2073" s="9">
        <v>1.1090723742754112</v>
      </c>
      <c r="AC2073" s="9">
        <v>1.6909044769642114</v>
      </c>
      <c r="AD2073" s="9">
        <v>0.9117293705780789</v>
      </c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</row>
    <row r="2074" spans="28:52">
      <c r="AB2074" s="9">
        <v>1.1189154313881431</v>
      </c>
      <c r="AC2074" s="9">
        <v>1.5815040663437996</v>
      </c>
      <c r="AD2074" s="9">
        <v>0.94609935204138407</v>
      </c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</row>
    <row r="2075" spans="28:52">
      <c r="AB2075" s="9">
        <v>1.0750056364589571</v>
      </c>
      <c r="AC2075" s="9">
        <v>1.4106280904805186</v>
      </c>
      <c r="AD2075" s="9">
        <v>0.94385975885865359</v>
      </c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</row>
    <row r="2076" spans="28:52">
      <c r="AB2076" s="9">
        <v>1.0747633605059823</v>
      </c>
      <c r="AC2076" s="9">
        <v>0.89769653833617025</v>
      </c>
      <c r="AD2076" s="9">
        <v>0.91775959653616768</v>
      </c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</row>
    <row r="2077" spans="28:52">
      <c r="AB2077" s="9">
        <v>1.1020618802231077</v>
      </c>
      <c r="AC2077" s="9">
        <v>1.3082160814896855</v>
      </c>
      <c r="AD2077" s="9">
        <v>0.92178206456077827</v>
      </c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</row>
    <row r="2078" spans="28:52">
      <c r="AB2078" s="9">
        <v>1.0935720173722987</v>
      </c>
      <c r="AC2078" s="9">
        <v>1.3880509518869393</v>
      </c>
      <c r="AD2078" s="9">
        <v>0.90973473213650313</v>
      </c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</row>
    <row r="2079" spans="28:52">
      <c r="AB2079" s="9">
        <v>1.1043602809013688</v>
      </c>
      <c r="AC2079" s="9">
        <v>1.3241692699652432</v>
      </c>
      <c r="AD2079" s="9">
        <v>0.90917918386650376</v>
      </c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</row>
    <row r="2080" spans="28:52">
      <c r="AB2080" s="9">
        <v>1.1003867026827097</v>
      </c>
      <c r="AC2080" s="9">
        <v>1.3751871997052125</v>
      </c>
      <c r="AD2080" s="9">
        <v>0.90465259764818129</v>
      </c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</row>
    <row r="2081" spans="28:52">
      <c r="AB2081" s="9">
        <v>1.1011123639336562</v>
      </c>
      <c r="AC2081" s="9">
        <v>1.0455555894542967</v>
      </c>
      <c r="AD2081" s="9">
        <v>0.91816653636115231</v>
      </c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</row>
    <row r="2082" spans="28:52">
      <c r="AB2082" s="9">
        <v>1.0800951583548233</v>
      </c>
      <c r="AC2082" s="9">
        <v>1.0628874252017817</v>
      </c>
      <c r="AD2082" s="9">
        <v>0.91578572550167814</v>
      </c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</row>
    <row r="2083" spans="28:52">
      <c r="AB2083" s="9">
        <v>1.0790558168921365</v>
      </c>
      <c r="AC2083" s="9">
        <v>0.98201557263810635</v>
      </c>
      <c r="AD2083" s="9">
        <v>0.90206630720296821</v>
      </c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</row>
    <row r="2084" spans="28:52">
      <c r="AB2084" s="9">
        <v>1.0912819269082941</v>
      </c>
      <c r="AC2084" s="9">
        <v>1.0051887336460108</v>
      </c>
      <c r="AD2084" s="9">
        <v>0.90534373768313758</v>
      </c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</row>
    <row r="2085" spans="28:52">
      <c r="AB2085" s="9">
        <v>1.0832796841757906</v>
      </c>
      <c r="AC2085" s="9">
        <v>1.0535484668104145</v>
      </c>
      <c r="AD2085" s="9">
        <v>0.91321362492468017</v>
      </c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</row>
    <row r="2086" spans="28:52">
      <c r="AB2086" s="9">
        <v>1.0699194287048159</v>
      </c>
      <c r="AC2086" s="9">
        <v>0.83100737418580006</v>
      </c>
      <c r="AD2086" s="9">
        <v>0.94087985861417522</v>
      </c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</row>
    <row r="2087" spans="28:52">
      <c r="AB2087" s="9">
        <v>1.0354417010417238</v>
      </c>
      <c r="AC2087" s="9">
        <v>1.167527110819744</v>
      </c>
      <c r="AD2087" s="9">
        <v>0.97782097339725638</v>
      </c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</row>
    <row r="2088" spans="28:52">
      <c r="AB2088" s="9">
        <v>0.99452875925696049</v>
      </c>
      <c r="AC2088" s="9">
        <v>0.93625603772660215</v>
      </c>
      <c r="AD2088" s="9">
        <v>0.97451674909447283</v>
      </c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</row>
    <row r="2089" spans="28:52">
      <c r="AB2089" s="9">
        <v>0.99714237917322379</v>
      </c>
      <c r="AC2089" s="9">
        <v>0.87349675493604972</v>
      </c>
      <c r="AD2089" s="9">
        <v>1.0412549820686008</v>
      </c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</row>
    <row r="2090" spans="28:52">
      <c r="AB2090" s="9">
        <v>0.93351018131654107</v>
      </c>
      <c r="AC2090" s="9">
        <v>0.91285264684231693</v>
      </c>
      <c r="AD2090" s="9">
        <v>1.0486112434718984</v>
      </c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</row>
    <row r="2091" spans="28:52">
      <c r="AB2091" s="9">
        <v>0.92799032521555702</v>
      </c>
      <c r="AC2091" s="9">
        <v>0.91931193010127643</v>
      </c>
      <c r="AD2091" s="9">
        <v>1.0462513994387355</v>
      </c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</row>
    <row r="2092" spans="28:52">
      <c r="AB2092" s="9">
        <v>0.9306617797985407</v>
      </c>
      <c r="AC2092" s="9">
        <v>0.74873257266682902</v>
      </c>
      <c r="AD2092" s="9">
        <v>0.9905551150592109</v>
      </c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</row>
    <row r="2093" spans="28:52">
      <c r="AB2093" s="9">
        <v>0.98304095225570387</v>
      </c>
      <c r="AC2093" s="9">
        <v>0.76859606009273185</v>
      </c>
      <c r="AD2093" s="9">
        <v>0.9925903950993048</v>
      </c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</row>
    <row r="2094" spans="28:52">
      <c r="AB2094" s="9">
        <v>0.97997906045397221</v>
      </c>
      <c r="AC2094" s="9">
        <v>0.97797120454722719</v>
      </c>
      <c r="AD2094" s="9">
        <v>1.006309790627804</v>
      </c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</row>
    <row r="2095" spans="28:52">
      <c r="AB2095" s="9">
        <v>0.96619746467143874</v>
      </c>
      <c r="AC2095" s="9">
        <v>0.70681906568751007</v>
      </c>
      <c r="AD2095" s="9">
        <v>1.0002871893658118</v>
      </c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</row>
    <row r="2096" spans="28:52">
      <c r="AB2096" s="9">
        <v>0.97162680963059367</v>
      </c>
      <c r="AC2096" s="9">
        <v>0.54851455806519578</v>
      </c>
      <c r="AD2096" s="9">
        <v>1.0171475214298598</v>
      </c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</row>
    <row r="2097" spans="28:52">
      <c r="AB2097" s="9">
        <v>0.95546988144827794</v>
      </c>
      <c r="AC2097" s="9">
        <v>0.4623304667243916</v>
      </c>
      <c r="AD2097" s="9">
        <v>1.0484819563597572</v>
      </c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</row>
    <row r="2098" spans="28:52">
      <c r="AB2098" s="9">
        <v>0.92738437497474802</v>
      </c>
      <c r="AC2098" s="9">
        <v>0.53615868138614109</v>
      </c>
      <c r="AD2098" s="9">
        <v>1.0325147705257531</v>
      </c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</row>
    <row r="2099" spans="28:52">
      <c r="AB2099" s="9">
        <v>0.9423415164006832</v>
      </c>
      <c r="AC2099" s="9">
        <v>0.56342659502394066</v>
      </c>
      <c r="AD2099" s="9">
        <v>1.0504169242747681</v>
      </c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</row>
    <row r="2100" spans="28:52">
      <c r="AB2100" s="9">
        <v>0.92712122709354705</v>
      </c>
      <c r="AC2100" s="9">
        <v>0.47283983748429015</v>
      </c>
      <c r="AD2100" s="9">
        <v>1.0433244616631885</v>
      </c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</row>
    <row r="2101" spans="28:52">
      <c r="AB2101" s="9">
        <v>0.93390052702299919</v>
      </c>
      <c r="AC2101" s="9">
        <v>0.42309780962369076</v>
      </c>
      <c r="AD2101" s="9">
        <v>1.0561516361278873</v>
      </c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</row>
    <row r="2102" spans="28:52">
      <c r="AB2102" s="9">
        <v>0.92325327297963433</v>
      </c>
      <c r="AC2102" s="9">
        <v>0.41778810020397122</v>
      </c>
      <c r="AD2102" s="9">
        <v>1.0767643143216867</v>
      </c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</row>
    <row r="2103" spans="28:52">
      <c r="AB2103" s="9">
        <v>0.90739420213647981</v>
      </c>
      <c r="AC2103" s="9">
        <v>0.37851353754451356</v>
      </c>
      <c r="AD2103" s="9">
        <v>1.0816649315209768</v>
      </c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</row>
    <row r="2104" spans="28:52">
      <c r="AB2104" s="9">
        <v>0.90526208163584909</v>
      </c>
      <c r="AC2104" s="9">
        <v>0.50423717067093754</v>
      </c>
      <c r="AD2104" s="9">
        <v>1.0934417787028179</v>
      </c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</row>
    <row r="2105" spans="28:52">
      <c r="AB2105" s="9">
        <v>0.89783810009841791</v>
      </c>
      <c r="AC2105" s="9">
        <v>0.45245674586525503</v>
      </c>
      <c r="AD2105" s="9">
        <v>1.1192117510305712</v>
      </c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</row>
    <row r="2106" spans="28:52">
      <c r="AB2106" s="9">
        <v>0.8795559829150239</v>
      </c>
      <c r="AC2106" s="9">
        <v>0.41997208568341571</v>
      </c>
      <c r="AD2106" s="9">
        <v>1.1441022815203881</v>
      </c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</row>
    <row r="2107" spans="28:52">
      <c r="AB2107" s="9">
        <v>0.86359518856568163</v>
      </c>
      <c r="AC2107" s="9">
        <v>0.48439421449108028</v>
      </c>
      <c r="AD2107" s="9">
        <v>1.1100040001475229</v>
      </c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</row>
    <row r="2108" spans="28:52">
      <c r="AB2108" s="9">
        <v>0.89321688632925866</v>
      </c>
      <c r="AC2108" s="9">
        <v>0.66381003361272095</v>
      </c>
      <c r="AD2108" s="9">
        <v>1.1152664836845707</v>
      </c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</row>
    <row r="2109" spans="28:52">
      <c r="AB2109" s="9">
        <v>0.89169490151708219</v>
      </c>
      <c r="AC2109" s="9">
        <v>0.54128152287217124</v>
      </c>
      <c r="AD2109" s="9">
        <v>1.0799599152635633</v>
      </c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</row>
    <row r="2110" spans="28:52">
      <c r="AB2110" s="9">
        <v>0.9230987246822755</v>
      </c>
      <c r="AC2110" s="9">
        <v>0.83472264244685868</v>
      </c>
      <c r="AD2110" s="9">
        <v>1.0871393670767</v>
      </c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</row>
    <row r="2111" spans="28:52">
      <c r="AB2111" s="9">
        <v>0.91886087833006169</v>
      </c>
      <c r="AC2111" s="9">
        <v>0.86514405795498506</v>
      </c>
      <c r="AD2111" s="9">
        <v>1.0729800934212252</v>
      </c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</row>
    <row r="2112" spans="28:52">
      <c r="AB2112" s="9">
        <v>0.93289098694674988</v>
      </c>
      <c r="AC2112" s="9">
        <v>0.95190307107613215</v>
      </c>
      <c r="AD2112" s="9">
        <v>1.032279384478203</v>
      </c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</row>
    <row r="2113" spans="28:52">
      <c r="AB2113" s="9">
        <v>0.97119532015805465</v>
      </c>
      <c r="AC2113" s="9">
        <v>1.2816699387899493</v>
      </c>
      <c r="AD2113" s="9">
        <v>0.98194530876838104</v>
      </c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</row>
    <row r="2114" spans="28:52">
      <c r="AB2114" s="9">
        <v>1.0210129153237217</v>
      </c>
      <c r="AC2114" s="9">
        <v>1.2533301393194871</v>
      </c>
      <c r="AD2114" s="9">
        <v>0.97326926812009262</v>
      </c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</row>
    <row r="2115" spans="28:52">
      <c r="AB2115" s="9">
        <v>1.0290573114330832</v>
      </c>
      <c r="AC2115" s="9">
        <v>1.2286601215588473</v>
      </c>
      <c r="AD2115" s="9">
        <v>0.98318833182589815</v>
      </c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</row>
    <row r="2116" spans="28:52">
      <c r="AB2116" s="9">
        <v>1.0175984726456326</v>
      </c>
      <c r="AC2116" s="9">
        <v>1.1132329505069583</v>
      </c>
      <c r="AD2116" s="9">
        <v>0.98605235370705879</v>
      </c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</row>
    <row r="2117" spans="28:52">
      <c r="AB2117" s="9">
        <v>1.0139246843107312</v>
      </c>
      <c r="AC2117" s="9">
        <v>0.76623223162064935</v>
      </c>
      <c r="AD2117" s="9">
        <v>0.96722668039845183</v>
      </c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</row>
    <row r="2118" spans="28:52">
      <c r="AB2118" s="9">
        <v>1.0329561760126318</v>
      </c>
      <c r="AC2118" s="9">
        <v>1.0477967485835038</v>
      </c>
      <c r="AD2118" s="9">
        <v>0.96219626494897348</v>
      </c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</row>
    <row r="2119" spans="28:52">
      <c r="AB2119" s="9">
        <v>1.0373067176467343</v>
      </c>
      <c r="AC2119" s="9">
        <v>1.2342090867304747</v>
      </c>
      <c r="AD2119" s="9">
        <v>0.96511259879950462</v>
      </c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</row>
    <row r="2120" spans="28:52">
      <c r="AB2120" s="9">
        <v>1.0334393018494514</v>
      </c>
      <c r="AC2120" s="9">
        <v>0.74554993898236144</v>
      </c>
      <c r="AD2120" s="9">
        <v>0.9801496670378077</v>
      </c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</row>
    <row r="2121" spans="28:52">
      <c r="AB2121" s="9">
        <v>1.0172937089267344</v>
      </c>
      <c r="AC2121" s="9">
        <v>0.81722291761714816</v>
      </c>
      <c r="AD2121" s="9">
        <v>0.9616718899384652</v>
      </c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</row>
    <row r="2122" spans="28:52">
      <c r="AB2122" s="9">
        <v>1.0367480572702115</v>
      </c>
      <c r="AC2122" s="9">
        <v>0.99170756821257677</v>
      </c>
      <c r="AD2122" s="9">
        <v>0.96359987008448222</v>
      </c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</row>
    <row r="2123" spans="28:52">
      <c r="AB2123" s="9">
        <v>1.0340236887001004</v>
      </c>
      <c r="AC2123" s="9">
        <v>1.2008571805375214</v>
      </c>
      <c r="AD2123" s="9">
        <v>0.96702585184697742</v>
      </c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</row>
    <row r="2124" spans="28:52">
      <c r="AB2124" s="9">
        <v>1.0298642039581665</v>
      </c>
      <c r="AC2124" s="9">
        <v>0.8278153264206678</v>
      </c>
      <c r="AD2124" s="9">
        <v>0.96332558577488803</v>
      </c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</row>
    <row r="2125" spans="28:52">
      <c r="AB2125" s="9">
        <v>1.0326017663547118</v>
      </c>
      <c r="AC2125" s="9">
        <v>1.0806850685967879</v>
      </c>
      <c r="AD2125" s="9">
        <v>0.95138726091694614</v>
      </c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</row>
    <row r="2126" spans="28:52">
      <c r="AB2126" s="9">
        <v>1.0439819130993868</v>
      </c>
      <c r="AC2126" s="9">
        <v>1.2454202286198224</v>
      </c>
      <c r="AD2126" s="9">
        <v>0.96043647265815346</v>
      </c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</row>
    <row r="2127" spans="28:52">
      <c r="AB2127" s="9">
        <v>1.0333168320929049</v>
      </c>
      <c r="AC2127" s="9">
        <v>1.1943696211302179</v>
      </c>
      <c r="AD2127" s="9">
        <v>0.95142646993707458</v>
      </c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</row>
    <row r="2128" spans="28:52">
      <c r="AB2128" s="9">
        <v>1.0425670733521342</v>
      </c>
      <c r="AC2128" s="9">
        <v>1.0653485185793727</v>
      </c>
      <c r="AD2128" s="9">
        <v>0.97204773363403885</v>
      </c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</row>
    <row r="2129" spans="28:52">
      <c r="AB2129" s="9">
        <v>1.0205449114075789</v>
      </c>
      <c r="AC2129" s="9">
        <v>1.0784121227326056</v>
      </c>
      <c r="AD2129" s="9">
        <v>0.96783800935622633</v>
      </c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</row>
    <row r="2130" spans="28:52">
      <c r="AB2130" s="9">
        <v>1.0256372127982978</v>
      </c>
      <c r="AC2130" s="9">
        <v>0.98842198072606691</v>
      </c>
      <c r="AD2130" s="9">
        <v>0.96078225350217183</v>
      </c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</row>
    <row r="2131" spans="28:52">
      <c r="AB2131" s="9">
        <v>1.0338017149806631</v>
      </c>
      <c r="AC2131" s="9">
        <v>0.91686294163592708</v>
      </c>
      <c r="AD2131" s="9">
        <v>0.94396791750495623</v>
      </c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</row>
    <row r="2132" spans="28:52">
      <c r="AB2132" s="9">
        <v>1.0521725978388015</v>
      </c>
      <c r="AC2132" s="9">
        <v>1.0811261910976662</v>
      </c>
      <c r="AD2132" s="9">
        <v>0.94102199741034331</v>
      </c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</row>
    <row r="2133" spans="28:52">
      <c r="AB2133" s="9">
        <v>1.0551866369371175</v>
      </c>
      <c r="AC2133" s="9">
        <v>1.0325388896817471</v>
      </c>
      <c r="AD2133" s="9">
        <v>0.95041206027666769</v>
      </c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</row>
    <row r="2134" spans="28:52">
      <c r="AB2134" s="9">
        <v>1.0453545563381283</v>
      </c>
      <c r="AC2134" s="9">
        <v>0.93116544579556682</v>
      </c>
      <c r="AD2134" s="9">
        <v>0.96473647102511106</v>
      </c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</row>
    <row r="2135" spans="28:52">
      <c r="AB2135" s="9">
        <v>1.0312692836426272</v>
      </c>
      <c r="AC2135" s="9">
        <v>0.80067174957652276</v>
      </c>
      <c r="AD2135" s="9">
        <v>0.96518367654255954</v>
      </c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</row>
    <row r="2136" spans="28:52">
      <c r="AB2136" s="9">
        <v>1.0323146388379438</v>
      </c>
      <c r="AC2136" s="9">
        <v>0.61202348890428948</v>
      </c>
      <c r="AD2136" s="9">
        <v>0.97140190882312816</v>
      </c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</row>
    <row r="2137" spans="28:52">
      <c r="AB2137" s="9">
        <v>1.0263457061809478</v>
      </c>
      <c r="AC2137" s="9">
        <v>0.66060081477895227</v>
      </c>
      <c r="AD2137" s="9">
        <v>0.95925158383570763</v>
      </c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</row>
    <row r="2138" spans="28:52">
      <c r="AB2138" s="9">
        <v>1.0389654183101544</v>
      </c>
      <c r="AC2138" s="9">
        <v>0.65131564026031252</v>
      </c>
      <c r="AD2138" s="9">
        <v>0.96358245088520778</v>
      </c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</row>
    <row r="2139" spans="28:52">
      <c r="AB2139" s="9">
        <v>1.0330159417787306</v>
      </c>
      <c r="AC2139" s="9">
        <v>0.46849656706553533</v>
      </c>
      <c r="AD2139" s="9">
        <v>0.9895490552105497</v>
      </c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</row>
    <row r="2140" spans="28:52">
      <c r="AB2140" s="9">
        <v>1.0046112070362359</v>
      </c>
      <c r="AC2140" s="9">
        <v>0.10105146017827132</v>
      </c>
      <c r="AD2140" s="9">
        <v>1.0132204781039476</v>
      </c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</row>
    <row r="2141" spans="28:52">
      <c r="AB2141" s="9">
        <v>0.98050163135514257</v>
      </c>
      <c r="AC2141" s="9">
        <v>0.63448780774990277</v>
      </c>
      <c r="AD2141" s="9">
        <v>1.0087119999474754</v>
      </c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</row>
    <row r="2142" spans="28:52">
      <c r="AB2142" s="9">
        <v>0.98478424322451563</v>
      </c>
      <c r="AC2142" s="9">
        <v>1.2446986188805296</v>
      </c>
      <c r="AD2142" s="9">
        <v>1.0114250821512374</v>
      </c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</row>
    <row r="2143" spans="28:52">
      <c r="AB2143" s="9">
        <v>0.98315891128346711</v>
      </c>
      <c r="AC2143" s="9">
        <v>1.1965274852294527</v>
      </c>
      <c r="AD2143" s="9">
        <v>0.99964925230572121</v>
      </c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</row>
    <row r="2144" spans="28:52">
      <c r="AB2144" s="9">
        <v>0.99584181471577349</v>
      </c>
      <c r="AC2144" s="9">
        <v>1.0450972176430089</v>
      </c>
      <c r="AD2144" s="9">
        <v>1.0049769503430359</v>
      </c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</row>
    <row r="2145" spans="28:52">
      <c r="AB2145" s="9">
        <v>0.99130442930486673</v>
      </c>
      <c r="AC2145" s="9">
        <v>1.1499797476096929</v>
      </c>
      <c r="AD2145" s="9">
        <v>1.0021963755028964</v>
      </c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</row>
    <row r="2146" spans="28:52">
      <c r="AB2146" s="9">
        <v>0.99476083068330579</v>
      </c>
      <c r="AC2146" s="9">
        <v>1.0275420384954508</v>
      </c>
      <c r="AD2146" s="9">
        <v>1.0196083636252964</v>
      </c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</row>
    <row r="2147" spans="28:52">
      <c r="AB2147" s="9">
        <v>0.97823047208871516</v>
      </c>
      <c r="AC2147" s="9">
        <v>0.90247405843604567</v>
      </c>
      <c r="AD2147" s="9">
        <v>1.027812675378551</v>
      </c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</row>
    <row r="2148" spans="28:52">
      <c r="AB2148" s="9">
        <v>0.97072580330422276</v>
      </c>
      <c r="AC2148" s="9">
        <v>0.66781481884838767</v>
      </c>
      <c r="AD2148" s="9">
        <v>1.0135309774040988</v>
      </c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</row>
    <row r="2149" spans="28:52">
      <c r="AB2149" s="9">
        <v>0.98468297942612804</v>
      </c>
      <c r="AC2149" s="9">
        <v>0.82884064784216005</v>
      </c>
      <c r="AD2149" s="9">
        <v>1.0217712479048007</v>
      </c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</row>
    <row r="2150" spans="28:52">
      <c r="AB2150" s="9">
        <v>0.9765590302599636</v>
      </c>
      <c r="AC2150" s="9">
        <v>0.63584835266864348</v>
      </c>
      <c r="AD2150" s="9">
        <v>1.0153682804639343</v>
      </c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</row>
    <row r="2151" spans="28:52">
      <c r="AB2151" s="9">
        <v>0.98306457647096701</v>
      </c>
      <c r="AC2151" s="9">
        <v>0.5897452039631248</v>
      </c>
      <c r="AD2151" s="9">
        <v>0.9864085550522822</v>
      </c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</row>
    <row r="2152" spans="28:52">
      <c r="AB2152" s="9">
        <v>1.0112332056421853</v>
      </c>
      <c r="AC2152" s="9">
        <v>1.1160622189214835</v>
      </c>
      <c r="AD2152" s="9">
        <v>0.98627124872718197</v>
      </c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</row>
    <row r="2153" spans="28:52">
      <c r="AB2153" s="9">
        <v>1.0097651232522022</v>
      </c>
      <c r="AC2153" s="9">
        <v>1.1790136345682436</v>
      </c>
      <c r="AD2153" s="9">
        <v>0.98064442360382287</v>
      </c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</row>
    <row r="2154" spans="28:52">
      <c r="AB2154" s="9">
        <v>1.013461207875898</v>
      </c>
      <c r="AC2154" s="9">
        <v>0.96748005247908209</v>
      </c>
      <c r="AD2154" s="9">
        <v>0.98787091592499887</v>
      </c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</row>
    <row r="2155" spans="28:52">
      <c r="AB2155" s="9">
        <v>1.0038100952323541</v>
      </c>
      <c r="AC2155" s="9">
        <v>0.98997381265484452</v>
      </c>
      <c r="AD2155" s="9">
        <v>0.98651488813304733</v>
      </c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</row>
    <row r="2156" spans="28:52">
      <c r="AB2156" s="9">
        <v>1.0028930145659594</v>
      </c>
      <c r="AC2156" s="9">
        <v>0.6926541497743951</v>
      </c>
      <c r="AD2156" s="9">
        <v>0.9971081668013726</v>
      </c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</row>
    <row r="2157" spans="28:52">
      <c r="AB2157" s="9">
        <v>0.98977927781278441</v>
      </c>
      <c r="AC2157" s="9">
        <v>0.6959781291499666</v>
      </c>
      <c r="AD2157" s="9">
        <v>1.0043776127784363</v>
      </c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</row>
    <row r="2158" spans="28:52">
      <c r="AB2158" s="9">
        <v>0.98148225642323716</v>
      </c>
      <c r="AC2158" s="9">
        <v>0.60816606048033162</v>
      </c>
      <c r="AD2158" s="9">
        <v>1.0086318908935334</v>
      </c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</row>
    <row r="2159" spans="28:52">
      <c r="AB2159" s="9">
        <v>0.97653298995936333</v>
      </c>
      <c r="AC2159" s="9">
        <v>0.66836747882027681</v>
      </c>
      <c r="AD2159" s="9">
        <v>1.011266613541653</v>
      </c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</row>
    <row r="2160" spans="28:52">
      <c r="AB2160" s="9">
        <v>0.97408150930423509</v>
      </c>
      <c r="AC2160" s="9">
        <v>0.64961316856377405</v>
      </c>
      <c r="AD2160" s="9">
        <v>1.0255034704079431</v>
      </c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</row>
    <row r="2161" spans="28:52">
      <c r="AB2161" s="9">
        <v>0.96114891702203775</v>
      </c>
      <c r="AC2161" s="9">
        <v>0.68441832573940131</v>
      </c>
      <c r="AD2161" s="9">
        <v>1.011543510045086</v>
      </c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</row>
    <row r="2162" spans="28:52">
      <c r="AB2162" s="9">
        <v>0.97569372540701438</v>
      </c>
      <c r="AC2162" s="9">
        <v>0.52150158395174384</v>
      </c>
      <c r="AD2162" s="9">
        <v>1.0109848849848511</v>
      </c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</row>
    <row r="2163" spans="28:52">
      <c r="AB2163" s="9">
        <v>0.97797617104743262</v>
      </c>
      <c r="AC2163" s="9">
        <v>0.67219479530654358</v>
      </c>
      <c r="AD2163" s="9">
        <v>1.0126513721202615</v>
      </c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</row>
    <row r="2164" spans="28:52">
      <c r="AB2164" s="9">
        <v>0.97888311622942092</v>
      </c>
      <c r="AC2164" s="9">
        <v>0.61940468965417994</v>
      </c>
      <c r="AD2164" s="9">
        <v>1.0179509623332921</v>
      </c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</row>
    <row r="2165" spans="28:52">
      <c r="AB2165" s="9">
        <v>0.9774188675603892</v>
      </c>
      <c r="AC2165" s="9">
        <v>0.62228611898768427</v>
      </c>
      <c r="AD2165" s="9">
        <v>1.0177014975339542</v>
      </c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</row>
    <row r="2166" spans="28:52">
      <c r="AB2166" s="9">
        <v>0.98129368134406336</v>
      </c>
      <c r="AC2166" s="9">
        <v>0.95274490928185041</v>
      </c>
      <c r="AD2166" s="9">
        <v>1.0015972551990171</v>
      </c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</row>
    <row r="2167" spans="28:52">
      <c r="AB2167" s="9">
        <v>1.0004412979253647</v>
      </c>
      <c r="AC2167" s="9">
        <v>1.3867347729455883</v>
      </c>
      <c r="AD2167" s="9">
        <v>1.0092527469996377</v>
      </c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</row>
    <row r="2168" spans="28:52">
      <c r="AB2168" s="9">
        <v>0.99611940069452221</v>
      </c>
      <c r="AC2168" s="9">
        <v>0.7807172153920775</v>
      </c>
      <c r="AD2168" s="9">
        <v>1.0247813468469575</v>
      </c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</row>
    <row r="2169" spans="28:52">
      <c r="AB2169" s="9">
        <v>0.9853120479998263</v>
      </c>
      <c r="AC2169" s="9">
        <v>0.69918035759235353</v>
      </c>
      <c r="AD2169" s="9">
        <v>1.0470917363778001</v>
      </c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</row>
    <row r="2170" spans="28:52">
      <c r="AB2170" s="9">
        <v>0.96859054064753092</v>
      </c>
      <c r="AC2170" s="9">
        <v>0.73836615434765729</v>
      </c>
      <c r="AD2170" s="9">
        <v>1.0668205156354806</v>
      </c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</row>
    <row r="2171" spans="28:52">
      <c r="AB2171" s="9">
        <v>0.95568295896639444</v>
      </c>
      <c r="AC2171" s="9">
        <v>0.73014737124583484</v>
      </c>
      <c r="AD2171" s="9">
        <v>1.068483626369811</v>
      </c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</row>
    <row r="2172" spans="28:52">
      <c r="AB2172" s="9">
        <v>0.95968668957958692</v>
      </c>
      <c r="AC2172" s="9">
        <v>0.59927704666839299</v>
      </c>
      <c r="AD2172" s="9">
        <v>1.0888243300400187</v>
      </c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</row>
    <row r="2173" spans="28:52">
      <c r="AB2173" s="9">
        <v>0.94712170047002731</v>
      </c>
      <c r="AC2173" s="9">
        <v>0.75676248864294937</v>
      </c>
      <c r="AD2173" s="9">
        <v>1.0900598122810408</v>
      </c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</row>
    <row r="2174" spans="28:52">
      <c r="AB2174" s="9">
        <v>0.95191757086204087</v>
      </c>
      <c r="AC2174" s="9">
        <v>0.61641552401665312</v>
      </c>
      <c r="AD2174" s="9">
        <v>1.1011052703069817</v>
      </c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</row>
    <row r="2175" spans="28:52">
      <c r="AB2175" s="9">
        <v>0.94856949483997277</v>
      </c>
      <c r="AC2175" s="9">
        <v>0.52443572776793279</v>
      </c>
      <c r="AD2175" s="9">
        <v>1.1004049452776652</v>
      </c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</row>
    <row r="2176" spans="28:52">
      <c r="AB2176" s="9">
        <v>0.95545770064437441</v>
      </c>
      <c r="AC2176" s="9">
        <v>0.66367781450310415</v>
      </c>
      <c r="AD2176" s="9">
        <v>1.0859130377057886</v>
      </c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</row>
    <row r="2177" spans="28:52">
      <c r="AB2177" s="9">
        <v>0.97370988482041121</v>
      </c>
      <c r="AC2177" s="9">
        <v>0.97640288426086053</v>
      </c>
      <c r="AD2177" s="9">
        <v>1.0882938369781312</v>
      </c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</row>
    <row r="2178" spans="28:52">
      <c r="AB2178" s="9">
        <v>0.97686873240632865</v>
      </c>
      <c r="AC2178" s="9">
        <v>0.80982315486855538</v>
      </c>
      <c r="AD2178" s="9">
        <v>1.084062187746516</v>
      </c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</row>
    <row r="2179" spans="28:52">
      <c r="AB2179" s="9">
        <v>0.98563369559971958</v>
      </c>
      <c r="AC2179" s="9">
        <v>1.2463319287447303</v>
      </c>
      <c r="AD2179" s="9">
        <v>1.0831912361020275</v>
      </c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</row>
    <row r="2180" spans="28:52">
      <c r="AB2180" s="9">
        <v>0.99153122095118318</v>
      </c>
      <c r="AC2180" s="9">
        <v>1.2525503993446847</v>
      </c>
      <c r="AD2180" s="9">
        <v>1.0774212231147966</v>
      </c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</row>
    <row r="2181" spans="28:52">
      <c r="AB2181" s="9">
        <v>1.0017969001771563</v>
      </c>
      <c r="AC2181" s="9">
        <v>1.6828379959003894</v>
      </c>
      <c r="AD2181" s="9">
        <v>1.0750060489060487</v>
      </c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</row>
    <row r="2182" spans="28:52">
      <c r="AB2182" s="9">
        <v>1.0095724620439732</v>
      </c>
      <c r="AC2182" s="9">
        <v>1.963277744173558</v>
      </c>
      <c r="AD2182" s="9">
        <v>1.0620198734177215</v>
      </c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</row>
    <row r="2183" spans="28:52">
      <c r="AB2183" s="9">
        <v>1.0272075555042499</v>
      </c>
      <c r="AC2183" s="9">
        <v>2.0282826852622078</v>
      </c>
      <c r="AD2183" s="9">
        <v>1.0464328117237953</v>
      </c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</row>
    <row r="2184" spans="28:52">
      <c r="AB2184" s="9">
        <v>1.0470805218185337</v>
      </c>
      <c r="AC2184" s="9">
        <v>2.2039300526976451</v>
      </c>
      <c r="AD2184" s="9">
        <v>1.0511505095699725</v>
      </c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</row>
    <row r="2185" spans="28:52">
      <c r="AB2185" s="9">
        <v>1.0460963405584185</v>
      </c>
      <c r="AC2185" s="9">
        <v>1.9453587012044873</v>
      </c>
      <c r="AD2185" s="9">
        <v>1.0719108541565416</v>
      </c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</row>
    <row r="2186" spans="28:52">
      <c r="AB2186" s="9">
        <v>1.0300810692532378</v>
      </c>
      <c r="AC2186" s="9">
        <v>1.3615765992319531</v>
      </c>
      <c r="AD2186" s="9">
        <v>1.0792257085020245</v>
      </c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</row>
    <row r="2187" spans="28:52">
      <c r="AB2187" s="9">
        <v>1.0277945609278281</v>
      </c>
      <c r="AC2187" s="9">
        <v>1.3863681634858573</v>
      </c>
      <c r="AD2187" s="9">
        <v>1.1286741277156025</v>
      </c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</row>
    <row r="2188" spans="28:52">
      <c r="AB2188" s="9">
        <v>0.9886987373373336</v>
      </c>
      <c r="AC2188" s="9">
        <v>2.0798516156537881</v>
      </c>
      <c r="AD2188" s="9">
        <v>1.102073373386169</v>
      </c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</row>
    <row r="2189" spans="28:52">
      <c r="AB2189" s="9">
        <v>1.0187748099274583</v>
      </c>
      <c r="AC2189" s="9">
        <v>1.2579114328185901</v>
      </c>
      <c r="AD2189" s="9">
        <v>1.1227487046632125</v>
      </c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</row>
    <row r="2190" spans="28:52">
      <c r="AB2190" s="9">
        <v>1.0054658792288567</v>
      </c>
      <c r="AC2190" s="9">
        <v>1.2621862313156929</v>
      </c>
      <c r="AD2190" s="9">
        <v>1.1218954416688127</v>
      </c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</row>
    <row r="2191" spans="28:52">
      <c r="AB2191" s="9">
        <v>1.0109615254287285</v>
      </c>
      <c r="AC2191" s="9">
        <v>0.84450602718252477</v>
      </c>
      <c r="AD2191" s="9">
        <v>1.1217601844734819</v>
      </c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</row>
    <row r="2192" spans="28:52">
      <c r="AB2192" s="9">
        <v>1.0156647618246617</v>
      </c>
      <c r="AC2192" s="9">
        <v>0.96979035199527319</v>
      </c>
      <c r="AD2192" s="9">
        <v>1.1094945165763268</v>
      </c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</row>
    <row r="2193" spans="28:52">
      <c r="AB2193" s="9">
        <v>1.031292237904156</v>
      </c>
      <c r="AC2193" s="9">
        <v>1.3025040640631613</v>
      </c>
      <c r="AD2193" s="9">
        <v>1.1108739326971371</v>
      </c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</row>
    <row r="2194" spans="28:52">
      <c r="AB2194" s="9">
        <v>1.0345986199046797</v>
      </c>
      <c r="AC2194" s="9">
        <v>1.5446311497373506</v>
      </c>
      <c r="AD2194" s="9">
        <v>1.1261261717760322</v>
      </c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</row>
    <row r="2195" spans="28:52">
      <c r="AB2195" s="9">
        <v>1.0248806593075197</v>
      </c>
      <c r="AC2195" s="9">
        <v>1.2390246001198066</v>
      </c>
      <c r="AD2195" s="9">
        <v>1.1415587070397342</v>
      </c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</row>
    <row r="2196" spans="28:52">
      <c r="AB2196" s="9">
        <v>1.0158087458602256</v>
      </c>
      <c r="AC2196" s="9">
        <v>1.1882080212609745</v>
      </c>
      <c r="AD2196" s="9">
        <v>1.1492356932531047</v>
      </c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</row>
    <row r="2197" spans="28:52">
      <c r="AB2197" s="9">
        <v>1.0130643407785023</v>
      </c>
      <c r="AC2197" s="9">
        <v>1.3908006570228268</v>
      </c>
      <c r="AD2197" s="9">
        <v>1.1650400620315327</v>
      </c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</row>
    <row r="2198" spans="28:52">
      <c r="AB2198" s="9">
        <v>1.0029814914529205</v>
      </c>
      <c r="AC2198" s="9">
        <v>1.408363743632602</v>
      </c>
      <c r="AD2198" s="9">
        <v>1.1707177033492824</v>
      </c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</row>
    <row r="2199" spans="28:52">
      <c r="AB2199" s="9">
        <v>1.0020190950397942</v>
      </c>
      <c r="AC2199" s="9">
        <v>1.1475323340306129</v>
      </c>
      <c r="AD2199" s="9">
        <v>1.1531751871115057</v>
      </c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</row>
    <row r="2200" spans="28:52">
      <c r="AB2200" s="9">
        <v>1.0205827842301045</v>
      </c>
      <c r="AC2200" s="9">
        <v>1.1907703391016231</v>
      </c>
      <c r="AD2200" s="9">
        <v>1.1619694267515923</v>
      </c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</row>
    <row r="2201" spans="28:52">
      <c r="AB2201" s="9">
        <v>1.0156716190038499</v>
      </c>
      <c r="AC2201" s="9">
        <v>1.29643258932127</v>
      </c>
      <c r="AD2201" s="9">
        <v>1.1646723501717775</v>
      </c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</row>
    <row r="2202" spans="28:52">
      <c r="AB2202" s="9">
        <v>1.0167739102878603</v>
      </c>
      <c r="AC2202" s="9">
        <v>1.2981766421446852</v>
      </c>
      <c r="AD2202" s="9">
        <v>1.1874609122625663</v>
      </c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</row>
    <row r="2203" spans="28:52">
      <c r="AB2203" s="9">
        <v>1.0015024737072278</v>
      </c>
      <c r="AC2203" s="9">
        <v>1.5171220553291023</v>
      </c>
      <c r="AD2203" s="9">
        <v>1.1945927748284346</v>
      </c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</row>
    <row r="2204" spans="28:52">
      <c r="AB2204" s="9">
        <v>0.99983796488452037</v>
      </c>
      <c r="AC2204" s="9">
        <v>1.2715964116879666</v>
      </c>
      <c r="AD2204" s="9">
        <v>1.1880389893548799</v>
      </c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</row>
    <row r="2205" spans="28:52">
      <c r="AB2205" s="9">
        <v>1.0094759195131915</v>
      </c>
      <c r="AC2205" s="9">
        <v>1.0418391419640276</v>
      </c>
      <c r="AD2205" s="9">
        <v>1.1947494217424828</v>
      </c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</row>
    <row r="2206" spans="28:52">
      <c r="AB2206" s="9">
        <v>1.0076575238557934</v>
      </c>
      <c r="AC2206" s="9">
        <v>0.86863558680850017</v>
      </c>
      <c r="AD2206" s="9">
        <v>1.1758558104360979</v>
      </c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</row>
    <row r="2207" spans="28:52">
      <c r="AB2207" s="9">
        <v>1.026837446274167</v>
      </c>
      <c r="AC2207" s="9">
        <v>1.2935664538898646</v>
      </c>
      <c r="AD2207" s="9">
        <v>1.169477630592352</v>
      </c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</row>
    <row r="2208" spans="28:52">
      <c r="AB2208" s="9">
        <v>1.0348103904584534</v>
      </c>
      <c r="AC2208" s="9">
        <v>1.5316828076016213</v>
      </c>
      <c r="AD2208" s="9">
        <v>1.1611901521712236</v>
      </c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</row>
    <row r="2209" spans="28:52">
      <c r="AB2209" s="9">
        <v>1.0441608068098662</v>
      </c>
      <c r="AC2209" s="9">
        <v>1.2331115330027833</v>
      </c>
      <c r="AD2209" s="9">
        <v>1.1456357221073123</v>
      </c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</row>
    <row r="2210" spans="28:52">
      <c r="AB2210" s="9">
        <v>1.0601841477561582</v>
      </c>
      <c r="AC2210" s="9">
        <v>1.5416871667028866</v>
      </c>
      <c r="AD2210" s="9">
        <v>1.1218276886512182</v>
      </c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</row>
    <row r="2211" spans="28:52">
      <c r="AB2211" s="9">
        <v>1.0830765118454593</v>
      </c>
      <c r="AC2211" s="9">
        <v>1.6789140270210361</v>
      </c>
      <c r="AD2211" s="9">
        <v>1.1183830492424243</v>
      </c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</row>
    <row r="2212" spans="28:52">
      <c r="AB2212" s="9">
        <v>1.0851809498128475</v>
      </c>
      <c r="AC2212" s="9">
        <v>1.6731097966415023</v>
      </c>
      <c r="AD2212" s="9">
        <v>1.1271712957444273</v>
      </c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</row>
    <row r="2213" spans="28:52">
      <c r="AB2213" s="9">
        <v>1.0756988612517728</v>
      </c>
      <c r="AC2213" s="9">
        <v>1.1991099939156269</v>
      </c>
      <c r="AD2213" s="9">
        <v>1.0805002284148013</v>
      </c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</row>
    <row r="2214" spans="28:52">
      <c r="AB2214" s="9">
        <v>1.1197293784430302</v>
      </c>
      <c r="AC2214" s="9">
        <v>1.8951753751442351</v>
      </c>
      <c r="AD2214" s="9">
        <v>1.0689772855689907</v>
      </c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</row>
    <row r="2215" spans="28:52">
      <c r="AB2215" s="9">
        <v>1.1282543552734627</v>
      </c>
      <c r="AC2215" s="9">
        <v>2.0277052639035458</v>
      </c>
      <c r="AD2215" s="9">
        <v>1.060038108047523</v>
      </c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</row>
    <row r="2216" spans="28:52">
      <c r="AB2216" s="9">
        <v>1.1340473738948091</v>
      </c>
      <c r="AC2216" s="9">
        <v>2.0949668187318218</v>
      </c>
      <c r="AD2216" s="9">
        <v>1.0683934426229509</v>
      </c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</row>
    <row r="2217" spans="28:52">
      <c r="AB2217" s="9">
        <v>1.1214373791903216</v>
      </c>
      <c r="AC2217" s="9">
        <v>1.7146990957974579</v>
      </c>
      <c r="AD2217" s="9">
        <v>1.0385761371127227</v>
      </c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</row>
    <row r="2218" spans="28:52">
      <c r="AB2218" s="9">
        <v>1.150267585704603</v>
      </c>
      <c r="AC2218" s="9">
        <v>1.8367212057442404</v>
      </c>
      <c r="AD2218" s="9">
        <v>1.0588618796908256</v>
      </c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</row>
    <row r="2219" spans="28:52">
      <c r="AB2219" s="9">
        <v>1.1247252379524</v>
      </c>
      <c r="AC2219" s="9">
        <v>2.358760520608004</v>
      </c>
      <c r="AD2219" s="9">
        <v>1.0350590551181102</v>
      </c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</row>
    <row r="2220" spans="28:52">
      <c r="AB2220" s="9">
        <v>1.1475431520274555</v>
      </c>
      <c r="AC2220" s="9">
        <v>1.6700125862786785</v>
      </c>
      <c r="AD2220" s="9">
        <v>1.0400065883386407</v>
      </c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</row>
    <row r="2221" spans="28:52">
      <c r="AB2221" s="9">
        <v>1.1382208848921855</v>
      </c>
      <c r="AC2221" s="9">
        <v>1.7804509107299131</v>
      </c>
      <c r="AD2221" s="9">
        <v>1.0512401640252689</v>
      </c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</row>
    <row r="2222" spans="28:52">
      <c r="AB2222" s="9">
        <v>1.1234125245991609</v>
      </c>
      <c r="AC2222" s="9">
        <v>1.3886073738965024</v>
      </c>
      <c r="AD2222" s="9">
        <v>1.0338374496790339</v>
      </c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</row>
    <row r="2223" spans="28:52">
      <c r="AB2223" s="9">
        <v>1.1391824371112049</v>
      </c>
      <c r="AC2223" s="9">
        <v>1.2172079720743787</v>
      </c>
      <c r="AD2223" s="9">
        <v>1.021393451422437</v>
      </c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</row>
    <row r="2224" spans="28:52">
      <c r="AB2224" s="9">
        <v>1.1491010057933688</v>
      </c>
      <c r="AC2224" s="9">
        <v>1.3024201286618995</v>
      </c>
      <c r="AD2224" s="9">
        <v>1.0299027027027028</v>
      </c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</row>
    <row r="2225" spans="28:52">
      <c r="AB2225" s="9">
        <v>1.13579197300818</v>
      </c>
      <c r="AC2225" s="9">
        <v>1.1074437146701728</v>
      </c>
      <c r="AD2225" s="9">
        <v>1.0423647688777182</v>
      </c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</row>
    <row r="2226" spans="28:52">
      <c r="AB2226" s="9">
        <v>1.1188276652055844</v>
      </c>
      <c r="AC2226" s="9">
        <v>1.0355207005458846</v>
      </c>
      <c r="AD2226" s="9">
        <v>1.0460442206654992</v>
      </c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</row>
    <row r="2227" spans="28:52">
      <c r="AB2227" s="9">
        <v>1.1126297728084538</v>
      </c>
      <c r="AC2227" s="9">
        <v>0.86374381622245311</v>
      </c>
      <c r="AD2227" s="9">
        <v>1.0348633171258779</v>
      </c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</row>
    <row r="2228" spans="28:52">
      <c r="AB2228" s="9">
        <v>1.1224471603906043</v>
      </c>
      <c r="AC2228" s="9">
        <v>1.1433649670497938</v>
      </c>
      <c r="AD2228" s="9">
        <v>1.0218323212954086</v>
      </c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</row>
    <row r="2229" spans="28:52">
      <c r="AB2229" s="9">
        <v>1.1335591596036081</v>
      </c>
      <c r="AC2229" s="9">
        <v>1.1970864531430006</v>
      </c>
      <c r="AD2229" s="9">
        <v>1.0246073410157919</v>
      </c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</row>
    <row r="2230" spans="28:52">
      <c r="AB2230" s="9">
        <v>1.1270468762269952</v>
      </c>
      <c r="AC2230" s="9">
        <v>0.99744430713217624</v>
      </c>
      <c r="AD2230" s="9">
        <v>1.0034297046237346</v>
      </c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</row>
    <row r="2231" spans="28:52">
      <c r="AB2231" s="9">
        <v>1.147040925333155</v>
      </c>
      <c r="AC2231" s="9">
        <v>1.3246330249180196</v>
      </c>
      <c r="AD2231" s="9">
        <v>0.99966555878687169</v>
      </c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</row>
    <row r="2232" spans="28:52">
      <c r="AB2232" s="9">
        <v>1.1475624964466444</v>
      </c>
      <c r="AC2232" s="9">
        <v>1.2254350264411402</v>
      </c>
      <c r="AD2232" s="9">
        <v>0.99356229372937288</v>
      </c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</row>
    <row r="2233" spans="28:52">
      <c r="AB2233" s="9">
        <v>1.1507407478177047</v>
      </c>
      <c r="AC2233" s="9">
        <v>1.2247133073746583</v>
      </c>
      <c r="AD2233" s="9">
        <v>1.000195101701951</v>
      </c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</row>
    <row r="2234" spans="28:52">
      <c r="AB2234" s="9">
        <v>1.1393360990650139</v>
      </c>
      <c r="AC2234" s="9">
        <v>0.87518055094653768</v>
      </c>
      <c r="AD2234" s="9">
        <v>0.98916256157635463</v>
      </c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</row>
    <row r="2235" spans="28:52">
      <c r="AB2235" s="9">
        <v>1.1474981443245065</v>
      </c>
      <c r="AC2235" s="9">
        <v>0.91856812471283478</v>
      </c>
      <c r="AD2235" s="9">
        <v>0.97717126623376627</v>
      </c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</row>
    <row r="2236" spans="28:52">
      <c r="AB2236" s="9">
        <v>1.1554242573444935</v>
      </c>
      <c r="AC2236" s="9">
        <v>1.1891158405942008</v>
      </c>
      <c r="AD2236" s="9">
        <v>0.96035171862510005</v>
      </c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</row>
    <row r="2237" spans="28:52">
      <c r="AB2237" s="9">
        <v>1.1674840299196945</v>
      </c>
      <c r="AC2237" s="9">
        <v>1.3582452717078273</v>
      </c>
      <c r="AD2237" s="9">
        <v>0.95365417122402307</v>
      </c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</row>
    <row r="2238" spans="28:52">
      <c r="AB2238" s="9">
        <v>1.1664996427544099</v>
      </c>
      <c r="AC2238" s="9">
        <v>1.258016484353933</v>
      </c>
      <c r="AD2238" s="9">
        <v>0.94548775671406005</v>
      </c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</row>
    <row r="2239" spans="28:52">
      <c r="AB2239" s="9">
        <v>1.1684868510617676</v>
      </c>
      <c r="AC2239" s="9">
        <v>1.4600477833820016</v>
      </c>
      <c r="AD2239" s="9">
        <v>0.95832113128071406</v>
      </c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</row>
    <row r="2240" spans="28:52">
      <c r="AB2240" s="9">
        <v>1.1444292430308152</v>
      </c>
      <c r="AC2240" s="9">
        <v>1.1661540924005624</v>
      </c>
      <c r="AD2240" s="9">
        <v>0.95793712965752742</v>
      </c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</row>
    <row r="2241" spans="28:52">
      <c r="AB2241" s="9">
        <v>1.1371033499838976</v>
      </c>
      <c r="AC2241" s="9">
        <v>0.90260071392146857</v>
      </c>
      <c r="AD2241" s="9">
        <v>0.94608903020667734</v>
      </c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</row>
    <row r="2242" spans="28:52">
      <c r="AB2242" s="9">
        <v>1.1434258693286008</v>
      </c>
      <c r="AC2242" s="9">
        <v>1.0198128660219445</v>
      </c>
      <c r="AD2242" s="9">
        <v>0.93082924916682996</v>
      </c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</row>
    <row r="2243" spans="28:52">
      <c r="AB2243" s="9">
        <v>1.1531592630270149</v>
      </c>
      <c r="AC2243" s="9">
        <v>1.3328829477368125</v>
      </c>
      <c r="AD2243" s="9">
        <v>0.93806458003169579</v>
      </c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</row>
    <row r="2244" spans="28:52">
      <c r="AB2244" s="9">
        <v>1.1357040330092107</v>
      </c>
      <c r="AC2244" s="9">
        <v>1.4175356435535229</v>
      </c>
      <c r="AD2244" s="9">
        <v>0.92898139946855618</v>
      </c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</row>
    <row r="2245" spans="28:52">
      <c r="AB2245" s="9">
        <v>1.1372157520218289</v>
      </c>
      <c r="AC2245" s="9">
        <v>1.1551458960639474</v>
      </c>
      <c r="AD2245" s="9">
        <v>0.949049636803874</v>
      </c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</row>
    <row r="2246" spans="28:52">
      <c r="AB2246" s="9">
        <v>1.1041944237736001</v>
      </c>
      <c r="AC2246" s="9">
        <v>1.3234885856450338</v>
      </c>
      <c r="AD2246" s="9">
        <v>0.96446613914294521</v>
      </c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</row>
    <row r="2247" spans="28:52">
      <c r="AB2247" s="9">
        <v>1.0794136047600242</v>
      </c>
      <c r="AC2247" s="9">
        <v>1.047523072027156</v>
      </c>
      <c r="AD2247" s="9">
        <v>0.97138975316324405</v>
      </c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</row>
    <row r="2248" spans="28:52">
      <c r="AB2248" s="9">
        <v>1.0650424824039342</v>
      </c>
      <c r="AC2248" s="9">
        <v>0.85771733954177465</v>
      </c>
      <c r="AD2248" s="9">
        <v>0.97364933847275748</v>
      </c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</row>
    <row r="2249" spans="28:52">
      <c r="AB2249" s="9">
        <v>1.055939840360465</v>
      </c>
      <c r="AC2249" s="9">
        <v>0.85237443403179947</v>
      </c>
      <c r="AD2249" s="9">
        <v>0.98838846480067855</v>
      </c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</row>
    <row r="2250" spans="28:52">
      <c r="AB2250" s="9">
        <v>1.0340449884119429</v>
      </c>
      <c r="AC2250" s="9">
        <v>0.78516994520605465</v>
      </c>
      <c r="AD2250" s="9">
        <v>0.98593958664546899</v>
      </c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</row>
    <row r="2251" spans="28:52">
      <c r="AB2251" s="9">
        <v>1.0307915517700992</v>
      </c>
      <c r="AC2251" s="9">
        <v>0.60364500625729578</v>
      </c>
      <c r="AD2251" s="9">
        <v>0.95857157601403653</v>
      </c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</row>
    <row r="2252" spans="28:52">
      <c r="AB2252" s="9">
        <v>1.0543256842398496</v>
      </c>
      <c r="AC2252" s="9">
        <v>0.69468547208111153</v>
      </c>
      <c r="AD2252" s="9">
        <v>0.97107435816829102</v>
      </c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</row>
    <row r="2253" spans="28:52">
      <c r="AB2253" s="9">
        <v>1.0343773575089097</v>
      </c>
      <c r="AC2253" s="9">
        <v>0.66369813869075256</v>
      </c>
      <c r="AD2253" s="9">
        <v>0.96458308302044216</v>
      </c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</row>
    <row r="2254" spans="28:52">
      <c r="AB2254" s="9">
        <v>1.0350701813855778</v>
      </c>
      <c r="AC2254" s="9">
        <v>0.62554814713061491</v>
      </c>
      <c r="AD2254" s="9">
        <v>0.96977646317116739</v>
      </c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</row>
    <row r="2255" spans="28:52">
      <c r="AB2255" s="9">
        <v>1.0236040931257084</v>
      </c>
      <c r="AC2255" s="9">
        <v>0.70707496469893993</v>
      </c>
      <c r="AD2255" s="9">
        <v>0.98326065976299781</v>
      </c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</row>
    <row r="2256" spans="28:52">
      <c r="AB2256" s="9">
        <v>1.0040474893989222</v>
      </c>
      <c r="AC2256" s="9">
        <v>0.55081491145926498</v>
      </c>
      <c r="AD2256" s="9">
        <v>0.97972735607675909</v>
      </c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</row>
    <row r="2257" spans="28:52">
      <c r="AB2257" s="9">
        <v>1.0023337921129796</v>
      </c>
      <c r="AC2257" s="9">
        <v>0.74762620792630996</v>
      </c>
      <c r="AD2257" s="9">
        <v>0.97704149536691876</v>
      </c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</row>
    <row r="2258" spans="28:52">
      <c r="AB2258" s="9">
        <v>1.0003302826580296</v>
      </c>
      <c r="AC2258" s="9">
        <v>0.74002234825325208</v>
      </c>
      <c r="AD2258" s="9">
        <v>0.95493507875247741</v>
      </c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</row>
    <row r="2259" spans="28:52">
      <c r="AB2259" s="9">
        <v>1.0181627403626601</v>
      </c>
      <c r="AC2259" s="9">
        <v>0.95186649744595597</v>
      </c>
      <c r="AD2259" s="9">
        <v>0.96855685650652246</v>
      </c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</row>
    <row r="2260" spans="28:52">
      <c r="AB2260" s="9">
        <v>0.99881570054808277</v>
      </c>
      <c r="AC2260" s="9">
        <v>1.1151601215399234</v>
      </c>
      <c r="AD2260" s="9">
        <v>1.0357102031551468</v>
      </c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</row>
    <row r="2261" spans="28:52">
      <c r="AB2261" s="9">
        <v>0.9325684529164594</v>
      </c>
      <c r="AC2261" s="9">
        <v>0.75848177755397495</v>
      </c>
      <c r="AD2261" s="9">
        <v>1.0335939558573854</v>
      </c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</row>
    <row r="2262" spans="28:52">
      <c r="AB2262" s="9">
        <v>0.93434322069747366</v>
      </c>
      <c r="AC2262" s="9">
        <v>0.72394178917042173</v>
      </c>
      <c r="AD2262" s="9">
        <v>1.056886875</v>
      </c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</row>
    <row r="2263" spans="28:52">
      <c r="AB2263" s="9">
        <v>0.91323621742632266</v>
      </c>
      <c r="AC2263" s="9">
        <v>0.68409931325937667</v>
      </c>
      <c r="AD2263" s="9">
        <v>1.0521587882976273</v>
      </c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</row>
    <row r="2264" spans="28:52">
      <c r="AB2264" s="9">
        <v>0.91781913825218997</v>
      </c>
      <c r="AC2264" s="9">
        <v>0.77959309822979617</v>
      </c>
      <c r="AD2264" s="9">
        <v>1.0424081478945568</v>
      </c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</row>
    <row r="2265" spans="28:52">
      <c r="AB2265" s="9">
        <v>0.92655054210026588</v>
      </c>
      <c r="AC2265" s="9">
        <v>0.93337918730991198</v>
      </c>
      <c r="AD2265" s="9">
        <v>1.0695129568884725</v>
      </c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</row>
    <row r="2266" spans="28:52">
      <c r="AB2266" s="9">
        <v>0.90328615843063553</v>
      </c>
      <c r="AC2266" s="9">
        <v>0.43655189812326556</v>
      </c>
      <c r="AD2266" s="9">
        <v>1.0137053087516659</v>
      </c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</row>
    <row r="2267" spans="28:52">
      <c r="AB2267" s="9">
        <v>0.95248975999458374</v>
      </c>
      <c r="AC2267" s="9">
        <v>1.0154967894000639</v>
      </c>
      <c r="AD2267" s="9">
        <v>1.0054584408424303</v>
      </c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</row>
    <row r="2268" spans="28:52">
      <c r="AB2268" s="9">
        <v>0.95943278257723397</v>
      </c>
      <c r="AC2268" s="9">
        <v>1.2169131044535486</v>
      </c>
      <c r="AD2268" s="9">
        <v>0.95551060526591847</v>
      </c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</row>
    <row r="2269" spans="28:52">
      <c r="AB2269" s="9">
        <v>1.0072290582360759</v>
      </c>
      <c r="AC2269" s="9">
        <v>1.3659710538923491</v>
      </c>
      <c r="AD2269" s="9">
        <v>0.9590279055051677</v>
      </c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</row>
    <row r="2270" spans="28:52">
      <c r="AB2270" s="9">
        <v>1.0011255007211228</v>
      </c>
      <c r="AC2270" s="9">
        <v>1.5173033608130748</v>
      </c>
      <c r="AD2270" s="9">
        <v>0.9261387376363821</v>
      </c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</row>
    <row r="2271" spans="28:52">
      <c r="AB2271" s="9">
        <v>1.0339112778245165</v>
      </c>
      <c r="AC2271" s="9">
        <v>1.4410916352340803</v>
      </c>
      <c r="AD2271" s="9">
        <v>0.91957615665584413</v>
      </c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</row>
    <row r="2272" spans="28:52">
      <c r="AB2272" s="9">
        <v>1.0372553146705956</v>
      </c>
      <c r="AC2272" s="9">
        <v>1.6048921464127557</v>
      </c>
      <c r="AD2272" s="9">
        <v>0.92237456399796036</v>
      </c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</row>
    <row r="2273" spans="28:52">
      <c r="AB2273" s="9">
        <v>1.0305561745082128</v>
      </c>
      <c r="AC2273" s="9">
        <v>1.2785348209504868</v>
      </c>
      <c r="AD2273" s="9">
        <v>0.90891980666599526</v>
      </c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</row>
    <row r="2274" spans="28:52">
      <c r="AB2274" s="9">
        <v>1.0424495622782524</v>
      </c>
      <c r="AC2274" s="9">
        <v>1.475052583645944</v>
      </c>
      <c r="AD2274" s="9">
        <v>0.9140473513294094</v>
      </c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</row>
    <row r="2275" spans="28:52">
      <c r="AB2275" s="9">
        <v>1.033056984823896</v>
      </c>
      <c r="AC2275" s="9">
        <v>1.1132356753953851</v>
      </c>
      <c r="AD2275" s="9">
        <v>0.89475050746268647</v>
      </c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</row>
    <row r="2276" spans="28:52">
      <c r="AB2276" s="9">
        <v>1.0516226380346272</v>
      </c>
      <c r="AC2276" s="9">
        <v>1.1889936229145641</v>
      </c>
      <c r="AD2276" s="9">
        <v>0.88087400353426271</v>
      </c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</row>
    <row r="2277" spans="28:52">
      <c r="AB2277" s="9">
        <v>1.0635165583242672</v>
      </c>
      <c r="AC2277" s="9">
        <v>1.4757513588968085</v>
      </c>
      <c r="AD2277" s="9">
        <v>0.89774125789948833</v>
      </c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</row>
    <row r="2278" spans="28:52">
      <c r="AB2278" s="9">
        <v>1.0393100874275694</v>
      </c>
      <c r="AC2278" s="9">
        <v>1.3649191644722347</v>
      </c>
      <c r="AD2278" s="9">
        <v>0.9000405805866345</v>
      </c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</row>
    <row r="2279" spans="28:52">
      <c r="AB2279" s="9">
        <v>1.0331555346353389</v>
      </c>
      <c r="AC2279" s="9">
        <v>1.0963395981310369</v>
      </c>
      <c r="AD2279" s="9">
        <v>0.89678906784779555</v>
      </c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</row>
    <row r="2280" spans="28:52">
      <c r="AB2280" s="9">
        <v>1.0332998400226339</v>
      </c>
      <c r="AC2280" s="9">
        <v>1.1441635679988333</v>
      </c>
      <c r="AD2280" s="9">
        <v>0.87772515058753831</v>
      </c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</row>
    <row r="2281" spans="28:52">
      <c r="AB2281" s="9">
        <v>1.0521798939819922</v>
      </c>
      <c r="AC2281" s="9">
        <v>1.296921239811017</v>
      </c>
      <c r="AD2281" s="9">
        <v>0.88032008343265788</v>
      </c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</row>
    <row r="2282" spans="28:52">
      <c r="AB2282" s="9">
        <v>1.0450943470651617</v>
      </c>
      <c r="AC2282" s="9">
        <v>1.3155312225608182</v>
      </c>
      <c r="AD2282" s="9">
        <v>0.89164590858641912</v>
      </c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</row>
    <row r="2283" spans="28:52">
      <c r="AB2283" s="9">
        <v>1.0283381822558488</v>
      </c>
      <c r="AC2283" s="9">
        <v>1.1924875857663857</v>
      </c>
      <c r="AD2283" s="9">
        <v>0.91209714344856141</v>
      </c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</row>
    <row r="2284" spans="28:52">
      <c r="AB2284" s="9">
        <v>1.0024485391766269</v>
      </c>
      <c r="AC2284" s="9">
        <v>1.0726494851691879</v>
      </c>
      <c r="AD2284" s="9">
        <v>0.93793285683806271</v>
      </c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</row>
    <row r="2285" spans="28:52">
      <c r="AB2285" s="9">
        <v>0.97331533589450736</v>
      </c>
      <c r="AC2285" s="9">
        <v>0.94565782896548911</v>
      </c>
      <c r="AD2285" s="9">
        <v>0.99031385066546362</v>
      </c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</row>
    <row r="2286" spans="28:52">
      <c r="AB2286" s="9">
        <v>0.92246545696687188</v>
      </c>
      <c r="AC2286" s="9">
        <v>0.7977578751050356</v>
      </c>
      <c r="AD2286" s="9">
        <v>0.97592378516624034</v>
      </c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</row>
    <row r="2287" spans="28:52">
      <c r="AB2287" s="9">
        <v>0.9376596565494375</v>
      </c>
      <c r="AC2287" s="9">
        <v>0.8506665015888738</v>
      </c>
      <c r="AD2287" s="9">
        <v>0.94200092403567215</v>
      </c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</row>
    <row r="2288" spans="28:52">
      <c r="AB2288" s="9">
        <v>0.97191908854520204</v>
      </c>
      <c r="AC2288" s="9">
        <v>0.99886257884396645</v>
      </c>
      <c r="AD2288" s="9">
        <v>0.96106575131810201</v>
      </c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</row>
    <row r="2289" spans="28:52">
      <c r="AB2289" s="9">
        <v>0.95275770191158526</v>
      </c>
      <c r="AC2289" s="9">
        <v>0.95711220812764275</v>
      </c>
      <c r="AD2289" s="9">
        <v>0.95891564386870132</v>
      </c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</row>
    <row r="2290" spans="28:52">
      <c r="AB2290" s="9">
        <v>0.95500399447274009</v>
      </c>
      <c r="AC2290" s="9">
        <v>0.6998069498069498</v>
      </c>
      <c r="AD2290" s="9">
        <v>0.95559019736842099</v>
      </c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</row>
    <row r="2291" spans="28:52">
      <c r="AB2291" s="9">
        <v>0.95783831017157062</v>
      </c>
      <c r="AC2291" s="9">
        <v>0.63575838021195463</v>
      </c>
      <c r="AD2291" s="9">
        <v>0.98749802452316082</v>
      </c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</row>
    <row r="2292" spans="28:52">
      <c r="AB2292" s="9">
        <v>0.92751718560452889</v>
      </c>
      <c r="AC2292" s="9">
        <v>0.54128995931029356</v>
      </c>
      <c r="AD2292" s="9">
        <v>0.97384403093823557</v>
      </c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</row>
    <row r="2293" spans="28:52">
      <c r="AB2293" s="9">
        <v>0.94195782782687654</v>
      </c>
      <c r="AC2293" s="9">
        <v>0.6701374696125465</v>
      </c>
      <c r="AD2293" s="9">
        <v>1.0164457913247362</v>
      </c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</row>
    <row r="2294" spans="28:52">
      <c r="AB2294" s="9">
        <v>0.90366104553477034</v>
      </c>
      <c r="AC2294" s="9">
        <v>0.77239005152898377</v>
      </c>
      <c r="AD2294" s="9">
        <v>1.014881465870507</v>
      </c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</row>
    <row r="2295" spans="28:52">
      <c r="AB2295" s="9">
        <v>0.90794282543387994</v>
      </c>
      <c r="AC2295" s="9">
        <v>0.61850787041626731</v>
      </c>
      <c r="AD2295" s="9">
        <v>0.98176140072529461</v>
      </c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</row>
    <row r="2296" spans="28:52">
      <c r="AB2296" s="9">
        <v>0.94020172143007841</v>
      </c>
      <c r="AC2296" s="9">
        <v>0.93677075230581175</v>
      </c>
      <c r="AD2296" s="9">
        <v>0.98549192206904401</v>
      </c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</row>
    <row r="2297" spans="28:52">
      <c r="AB2297" s="9">
        <v>0.93709895431842793</v>
      </c>
      <c r="AC2297" s="9">
        <v>0.77681088094492423</v>
      </c>
      <c r="AD2297" s="9">
        <v>0.99991694836767775</v>
      </c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</row>
    <row r="2298" spans="28:52">
      <c r="AB2298" s="9">
        <v>0.9242397331067852</v>
      </c>
      <c r="AC2298" s="9">
        <v>0.53977304740762444</v>
      </c>
      <c r="AD2298" s="9">
        <v>1.0244302375296912</v>
      </c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</row>
    <row r="2299" spans="28:52">
      <c r="AB2299" s="9">
        <v>0.90319314173910814</v>
      </c>
      <c r="AC2299" s="9">
        <v>0.49773858496784018</v>
      </c>
      <c r="AD2299" s="9">
        <v>1.0234590623145399</v>
      </c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</row>
    <row r="2300" spans="28:52">
      <c r="AB2300" s="9">
        <v>0.90568609618655094</v>
      </c>
      <c r="AC2300" s="9">
        <v>0.68525950925841472</v>
      </c>
      <c r="AD2300" s="9">
        <v>0.99155008047827087</v>
      </c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</row>
    <row r="2301" spans="28:52">
      <c r="AB2301" s="9">
        <v>0.93651750721391958</v>
      </c>
      <c r="AC2301" s="9">
        <v>0.64040420169025658</v>
      </c>
      <c r="AD2301" s="9">
        <v>0.9959700963252256</v>
      </c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</row>
    <row r="2302" spans="28:52">
      <c r="AB2302" s="9">
        <v>0.93419282818730687</v>
      </c>
      <c r="AC2302" s="9">
        <v>0.66658211924956157</v>
      </c>
      <c r="AD2302" s="9">
        <v>1.0001532033426184</v>
      </c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</row>
    <row r="2303" spans="28:52">
      <c r="AB2303" s="9">
        <v>0.93161832808115841</v>
      </c>
      <c r="AC2303" s="9">
        <v>0.4793239179190798</v>
      </c>
      <c r="AD2303" s="9">
        <v>0.99703300521134908</v>
      </c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</row>
    <row r="2304" spans="28:52">
      <c r="AB2304" s="9">
        <v>0.93560090487722303</v>
      </c>
      <c r="AC2304" s="9">
        <v>0.51205636421549672</v>
      </c>
      <c r="AD2304" s="9">
        <v>1.0047926159598084</v>
      </c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</row>
    <row r="2305" spans="28:52">
      <c r="AB2305" s="9">
        <v>0.92929551842866076</v>
      </c>
      <c r="AC2305" s="9">
        <v>0.532500779940001</v>
      </c>
      <c r="AD2305" s="9">
        <v>1.0288801054018446</v>
      </c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</row>
    <row r="2306" spans="28:52">
      <c r="AB2306" s="9">
        <v>0.90850304661366021</v>
      </c>
      <c r="AC2306" s="9">
        <v>0.58427145865772745</v>
      </c>
      <c r="AD2306" s="9">
        <v>1.0026121495327103</v>
      </c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</row>
    <row r="2307" spans="28:52">
      <c r="AB2307" s="9">
        <v>0.9331284200764498</v>
      </c>
      <c r="AC2307" s="9">
        <v>0.70810965484297661</v>
      </c>
      <c r="AD2307" s="9">
        <v>1.0128292971057296</v>
      </c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</row>
    <row r="2308" spans="28:52">
      <c r="AB2308" s="9">
        <v>0.92463512630843514</v>
      </c>
      <c r="AC2308" s="9">
        <v>0.54797014700655977</v>
      </c>
      <c r="AD2308" s="9">
        <v>1.01206851742469</v>
      </c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</row>
    <row r="2309" spans="28:52">
      <c r="AB2309" s="9">
        <v>0.92690709574592234</v>
      </c>
      <c r="AC2309" s="9">
        <v>0.55363052502922916</v>
      </c>
      <c r="AD2309" s="9">
        <v>0.94222784810126581</v>
      </c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</row>
    <row r="2310" spans="28:52">
      <c r="AB2310" s="9">
        <v>0.99554633007433369</v>
      </c>
      <c r="AC2310" s="9">
        <v>1.0562231614819568</v>
      </c>
      <c r="AD2310" s="9">
        <v>0.93630003289834418</v>
      </c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</row>
    <row r="2311" spans="28:52">
      <c r="AB2311" s="9">
        <v>0.99859802050473578</v>
      </c>
      <c r="AC2311" s="9">
        <v>0.66273700277636272</v>
      </c>
      <c r="AD2311" s="9">
        <v>0.96531292517006795</v>
      </c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</row>
    <row r="2312" spans="28:52">
      <c r="AB2312" s="9">
        <v>0.96588703813105192</v>
      </c>
      <c r="AC2312" s="9">
        <v>0.74874846515492477</v>
      </c>
      <c r="AD2312" s="9">
        <v>0.96470534801862151</v>
      </c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</row>
    <row r="2313" spans="28:52">
      <c r="AB2313" s="9">
        <v>0.96411075544968883</v>
      </c>
      <c r="AC2313" s="9">
        <v>0.5872523817176325</v>
      </c>
      <c r="AD2313" s="9">
        <v>0.97731749509860455</v>
      </c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</row>
    <row r="2314" spans="28:52">
      <c r="AB2314" s="9">
        <v>0.94924556598539711</v>
      </c>
      <c r="AC2314" s="9">
        <v>0.473988738702114</v>
      </c>
      <c r="AD2314" s="9">
        <v>0.99492235294117648</v>
      </c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</row>
    <row r="2315" spans="28:52">
      <c r="AB2315" s="9">
        <v>0.93106171508622082</v>
      </c>
      <c r="AC2315" s="9">
        <v>0.48249229200287297</v>
      </c>
      <c r="AD2315" s="9">
        <v>1.0011614126570276</v>
      </c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</row>
    <row r="2316" spans="28:52">
      <c r="AB2316" s="9">
        <v>0.92446891736757619</v>
      </c>
      <c r="AC2316" s="9">
        <v>0.4728602009533982</v>
      </c>
      <c r="AD2316" s="9">
        <v>0.98604042528332758</v>
      </c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</row>
    <row r="2317" spans="28:52">
      <c r="AB2317" s="9">
        <v>0.93864095624647848</v>
      </c>
      <c r="AC2317" s="9">
        <v>0.47848455606202883</v>
      </c>
      <c r="AD2317" s="9">
        <v>0.98134839310666044</v>
      </c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</row>
    <row r="2318" spans="28:52">
      <c r="AB2318" s="9">
        <v>0.94281597174169307</v>
      </c>
      <c r="AC2318" s="9">
        <v>0.49454647825723574</v>
      </c>
      <c r="AD2318" s="9">
        <v>0.9599520766773163</v>
      </c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</row>
    <row r="2319" spans="28:52">
      <c r="AB2319" s="9">
        <v>0.96376505132356816</v>
      </c>
      <c r="AC2319" s="9">
        <v>0.6008672217962342</v>
      </c>
      <c r="AD2319" s="9">
        <v>0.93910280792034895</v>
      </c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</row>
    <row r="2320" spans="28:52">
      <c r="AB2320" s="9">
        <v>0.98418493313829181</v>
      </c>
      <c r="AC2320" s="9">
        <v>0.98972082845034182</v>
      </c>
      <c r="AD2320" s="9">
        <v>0.9472879439040941</v>
      </c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</row>
    <row r="2321" spans="28:52">
      <c r="AB2321" s="9">
        <v>0.97557825961472533</v>
      </c>
      <c r="AC2321" s="9">
        <v>0.54358071807279318</v>
      </c>
      <c r="AD2321" s="9">
        <v>0.94134245187436671</v>
      </c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</row>
    <row r="2322" spans="28:52">
      <c r="AB2322" s="9">
        <v>0.98221089247664484</v>
      </c>
      <c r="AC2322" s="9">
        <v>0.83423242778675544</v>
      </c>
      <c r="AD2322" s="9">
        <v>0.93428331281477339</v>
      </c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</row>
    <row r="2323" spans="28:52">
      <c r="AB2323" s="9">
        <v>0.98986508875561352</v>
      </c>
      <c r="AC2323" s="9">
        <v>0.7980840440692033</v>
      </c>
      <c r="AD2323" s="9">
        <v>0.93026360794820273</v>
      </c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</row>
    <row r="2324" spans="28:52">
      <c r="AB2324" s="9">
        <v>0.9945572913295454</v>
      </c>
      <c r="AC2324" s="9">
        <v>0.64034363924133852</v>
      </c>
      <c r="AD2324" s="9">
        <v>0.91270229292375205</v>
      </c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</row>
    <row r="2325" spans="28:52">
      <c r="AB2325" s="9">
        <v>1.0136514777748546</v>
      </c>
      <c r="AC2325" s="9">
        <v>1.0605996544451666</v>
      </c>
      <c r="AD2325" s="9">
        <v>0.91533499503694715</v>
      </c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</row>
    <row r="2326" spans="28:52">
      <c r="AB2326" s="9">
        <v>1.0105228788866207</v>
      </c>
      <c r="AC2326" s="9">
        <v>1.1256951493101499</v>
      </c>
      <c r="AD2326" s="9">
        <v>0.91633235945108449</v>
      </c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</row>
    <row r="2327" spans="28:52">
      <c r="AB2327" s="9">
        <v>1.0096560257458265</v>
      </c>
      <c r="AC2327" s="9">
        <v>0.84419333583848999</v>
      </c>
      <c r="AD2327" s="9">
        <v>0.9223650697934116</v>
      </c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</row>
    <row r="2328" spans="28:52">
      <c r="AB2328" s="9">
        <v>1.0028778731275161</v>
      </c>
      <c r="AC2328" s="9">
        <v>0.71954089188119286</v>
      </c>
      <c r="AD2328" s="9">
        <v>0.92650761444157015</v>
      </c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</row>
    <row r="2329" spans="28:52">
      <c r="AB2329" s="9">
        <v>0.99801288685964207</v>
      </c>
      <c r="AC2329" s="9">
        <v>0.7330556279417918</v>
      </c>
      <c r="AD2329" s="9">
        <v>0.91954104085058763</v>
      </c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</row>
    <row r="2330" spans="28:52">
      <c r="AB2330" s="9">
        <v>1.0052063048969488</v>
      </c>
      <c r="AC2330" s="9">
        <v>0.92472052148894934</v>
      </c>
      <c r="AD2330" s="9">
        <v>0.92585472636815924</v>
      </c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</row>
    <row r="2331" spans="28:52">
      <c r="AB2331" s="9">
        <v>0.99784920846660841</v>
      </c>
      <c r="AC2331" s="9">
        <v>0.67919822343685599</v>
      </c>
      <c r="AD2331" s="9">
        <v>0.93086649942987454</v>
      </c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</row>
    <row r="2332" spans="28:52">
      <c r="AB2332" s="9">
        <v>0.99240671936976266</v>
      </c>
      <c r="AC2332" s="9">
        <v>0.54745876795153081</v>
      </c>
      <c r="AD2332" s="9">
        <v>0.93632915995397015</v>
      </c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</row>
    <row r="2333" spans="28:52">
      <c r="AB2333" s="9">
        <v>0.98607885866671285</v>
      </c>
      <c r="AC2333" s="9">
        <v>0.69460029337049245</v>
      </c>
      <c r="AD2333" s="9">
        <v>0.93979995368762315</v>
      </c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</row>
    <row r="2334" spans="28:52">
      <c r="AB2334" s="9">
        <v>0.98234993436100837</v>
      </c>
      <c r="AC2334" s="9">
        <v>0.60930994119328596</v>
      </c>
      <c r="AD2334" s="9">
        <v>0.92354032607456393</v>
      </c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</row>
    <row r="2335" spans="28:52">
      <c r="AB2335" s="9">
        <v>0.99896099400707683</v>
      </c>
      <c r="AC2335" s="9">
        <v>0.84294339133269436</v>
      </c>
      <c r="AD2335" s="9">
        <v>0.93052190234914789</v>
      </c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</row>
    <row r="2336" spans="28:52">
      <c r="AB2336" s="9">
        <v>0.98946245275983347</v>
      </c>
      <c r="AC2336" s="9">
        <v>0.67853914936602089</v>
      </c>
      <c r="AD2336" s="9">
        <v>0.94491591042326195</v>
      </c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</row>
    <row r="2337" spans="28:52">
      <c r="AB2337" s="9">
        <v>0.97283026173023535</v>
      </c>
      <c r="AC2337" s="9">
        <v>0.62274324360266597</v>
      </c>
      <c r="AD2337" s="9">
        <v>0.95408449667616346</v>
      </c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</row>
    <row r="2338" spans="28:52">
      <c r="AB2338" s="9">
        <v>0.96279318646897027</v>
      </c>
      <c r="AC2338" s="9">
        <v>0.59472526605264964</v>
      </c>
      <c r="AD2338" s="9">
        <v>0.95828664674237918</v>
      </c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</row>
    <row r="2339" spans="28:52">
      <c r="AB2339" s="9">
        <v>0.95766769894810877</v>
      </c>
      <c r="AC2339" s="9">
        <v>0.75336642650316255</v>
      </c>
      <c r="AD2339" s="9">
        <v>0.98466352216748787</v>
      </c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</row>
    <row r="2340" spans="28:52">
      <c r="AB2340" s="9">
        <v>0.93172876788073</v>
      </c>
      <c r="AC2340" s="9">
        <v>0.79187064434843468</v>
      </c>
      <c r="AD2340" s="9">
        <v>0.96562465819721732</v>
      </c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</row>
    <row r="2341" spans="28:52">
      <c r="AB2341" s="9">
        <v>0.95023126663034052</v>
      </c>
      <c r="AC2341" s="9">
        <v>0.77483295713924638</v>
      </c>
      <c r="AD2341" s="9">
        <v>0.95921752440641206</v>
      </c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</row>
    <row r="2342" spans="28:52">
      <c r="AB2342" s="9">
        <v>0.9550324848020687</v>
      </c>
      <c r="AC2342" s="9">
        <v>0.74928626560236633</v>
      </c>
      <c r="AD2342" s="9">
        <v>0.98556728763040258</v>
      </c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</row>
    <row r="2343" spans="28:52">
      <c r="AB2343" s="9">
        <v>0.92868945240608414</v>
      </c>
      <c r="AC2343" s="9">
        <v>0.67536944493755557</v>
      </c>
      <c r="AD2343" s="9">
        <v>0.94000805130032083</v>
      </c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</row>
    <row r="2344" spans="28:52">
      <c r="AB2344" s="9">
        <v>0.97149288472889095</v>
      </c>
      <c r="AC2344" s="9">
        <v>0.9912012138464108</v>
      </c>
      <c r="AD2344" s="9">
        <v>0.95133162021956819</v>
      </c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</row>
    <row r="2345" spans="28:52">
      <c r="AB2345" s="9">
        <v>0.95682097460544735</v>
      </c>
      <c r="AC2345" s="9">
        <v>0.87163973832711517</v>
      </c>
      <c r="AD2345" s="9">
        <v>0.96326806475349525</v>
      </c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</row>
    <row r="2346" spans="28:52">
      <c r="AB2346" s="9">
        <v>0.94269573012015528</v>
      </c>
      <c r="AC2346" s="9">
        <v>0.61870694359797618</v>
      </c>
      <c r="AD2346" s="9">
        <v>0.95967266486884051</v>
      </c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</row>
    <row r="2347" spans="28:52">
      <c r="AB2347" s="9">
        <v>0.9445100244838579</v>
      </c>
      <c r="AC2347" s="9">
        <v>0.63506852577406814</v>
      </c>
      <c r="AD2347" s="9">
        <v>0.96839156222856448</v>
      </c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</row>
    <row r="2348" spans="28:52">
      <c r="AB2348" s="9">
        <v>0.93430070264652987</v>
      </c>
      <c r="AC2348" s="9">
        <v>0.57734226598411043</v>
      </c>
      <c r="AD2348" s="9">
        <v>0.9405261158824243</v>
      </c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</row>
    <row r="2349" spans="28:52">
      <c r="AB2349" s="9">
        <v>0.9587548021531126</v>
      </c>
      <c r="AC2349" s="9">
        <v>1.035363170712992</v>
      </c>
      <c r="AD2349" s="9">
        <v>0.90907943179150075</v>
      </c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</row>
    <row r="2350" spans="28:52">
      <c r="AB2350" s="9">
        <v>0.98765116031155231</v>
      </c>
      <c r="AC2350" s="9">
        <v>1.1247479331307313</v>
      </c>
      <c r="AD2350" s="9">
        <v>0.89786362259755415</v>
      </c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</row>
    <row r="2351" spans="28:52">
      <c r="AB2351" s="9">
        <v>0.99568063649705241</v>
      </c>
      <c r="AC2351" s="9">
        <v>1.0164826737831032</v>
      </c>
      <c r="AD2351" s="9">
        <v>0.91199619545832866</v>
      </c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</row>
    <row r="2352" spans="28:52">
      <c r="AB2352" s="9">
        <v>0.97605752136395074</v>
      </c>
      <c r="AC2352" s="9">
        <v>0.65185280328816386</v>
      </c>
      <c r="AD2352" s="9">
        <v>0.92880854118505929</v>
      </c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</row>
    <row r="2353" spans="28:52">
      <c r="AB2353" s="9">
        <v>0.95465643286740753</v>
      </c>
      <c r="AC2353" s="9">
        <v>0.72709698206422513</v>
      </c>
      <c r="AD2353" s="9">
        <v>0.93034707971103248</v>
      </c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</row>
    <row r="2354" spans="28:52">
      <c r="AB2354" s="9">
        <v>0.94964895430475738</v>
      </c>
      <c r="AC2354" s="9">
        <v>0.89888606941636917</v>
      </c>
      <c r="AD2354" s="9">
        <v>0.93731490575396859</v>
      </c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</row>
    <row r="2355" spans="28:52">
      <c r="AB2355" s="9">
        <v>0.93875289285830688</v>
      </c>
      <c r="AC2355" s="9">
        <v>0.54465758180713486</v>
      </c>
      <c r="AD2355" s="9">
        <v>0.94431714608717521</v>
      </c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</row>
    <row r="2356" spans="28:52">
      <c r="AB2356" s="9">
        <v>0.92760033370774464</v>
      </c>
      <c r="AC2356" s="9">
        <v>0.82155014401675841</v>
      </c>
      <c r="AD2356" s="9">
        <v>0.9211225806451615</v>
      </c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</row>
    <row r="2357" spans="28:52">
      <c r="AB2357" s="9">
        <v>0.94732667724176534</v>
      </c>
      <c r="AC2357" s="9">
        <v>0.97590997010726221</v>
      </c>
      <c r="AD2357" s="9">
        <v>0.91353014859388459</v>
      </c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</row>
    <row r="2358" spans="28:52">
      <c r="AB2358" s="9">
        <v>0.95049001069199135</v>
      </c>
      <c r="AC2358" s="9">
        <v>0.76683388212415193</v>
      </c>
      <c r="AD2358" s="9">
        <v>0.91158602415578038</v>
      </c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</row>
    <row r="2359" spans="28:52">
      <c r="AB2359" s="9">
        <v>0.94788169352370411</v>
      </c>
      <c r="AC2359" s="9">
        <v>0.56671128960285588</v>
      </c>
      <c r="AD2359" s="9">
        <v>0.92201933867735508</v>
      </c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</row>
    <row r="2360" spans="28:52">
      <c r="AB2360" s="9">
        <v>0.93510046708174621</v>
      </c>
      <c r="AC2360" s="9">
        <v>0.52650940359589826</v>
      </c>
      <c r="AD2360" s="9">
        <v>0.92581644770085936</v>
      </c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</row>
    <row r="2361" spans="28:52">
      <c r="AB2361" s="9">
        <v>0.92975619152319811</v>
      </c>
      <c r="AC2361" s="9">
        <v>0.57381446665578129</v>
      </c>
      <c r="AD2361" s="9">
        <v>0.92045822082018958</v>
      </c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</row>
    <row r="2362" spans="28:52">
      <c r="AB2362" s="9">
        <v>0.93277433569989265</v>
      </c>
      <c r="AC2362" s="9">
        <v>0.80973095654640881</v>
      </c>
      <c r="AD2362" s="9">
        <v>0.94062766040181478</v>
      </c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</row>
    <row r="2363" spans="28:52">
      <c r="AB2363" s="9">
        <v>0.91039753042131999</v>
      </c>
      <c r="AC2363" s="9">
        <v>0.57541391520719687</v>
      </c>
      <c r="AD2363" s="9">
        <v>0.92583591124791609</v>
      </c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</row>
    <row r="2364" spans="28:52">
      <c r="AB2364" s="9">
        <v>0.92197558426078774</v>
      </c>
      <c r="AC2364" s="9">
        <v>0.76123237999183535</v>
      </c>
      <c r="AD2364" s="9">
        <v>0.89218747514910535</v>
      </c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</row>
    <row r="2365" spans="28:52">
      <c r="AB2365" s="9">
        <v>0.9526740689883757</v>
      </c>
      <c r="AC2365" s="9">
        <v>1.1456863354780071</v>
      </c>
      <c r="AD2365" s="9">
        <v>0.88883148055832506</v>
      </c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</row>
    <row r="2366" spans="28:52">
      <c r="AB2366" s="9">
        <v>0.95076497241549274</v>
      </c>
      <c r="AC2366" s="9">
        <v>0.99601117825495011</v>
      </c>
      <c r="AD2366" s="9">
        <v>0.88858176573865044</v>
      </c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</row>
    <row r="2367" spans="28:52">
      <c r="AB2367" s="9">
        <v>0.9461521484796781</v>
      </c>
      <c r="AC2367" s="9">
        <v>0.75381702260252637</v>
      </c>
      <c r="AD2367" s="9">
        <v>0.89637048929663599</v>
      </c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</row>
    <row r="2368" spans="28:52">
      <c r="AB2368" s="9">
        <v>0.93283981257622106</v>
      </c>
      <c r="AC2368" s="9">
        <v>0.47907089281393661</v>
      </c>
      <c r="AD2368" s="9">
        <v>0.88965980879541096</v>
      </c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</row>
    <row r="2369" spans="28:52">
      <c r="AB2369" s="9">
        <v>0.93452488730904493</v>
      </c>
      <c r="AC2369" s="9">
        <v>0.59324314406634537</v>
      </c>
      <c r="AD2369" s="9">
        <v>0.8659973509933776</v>
      </c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</row>
    <row r="2370" spans="28:52">
      <c r="AB2370" s="9">
        <v>0.95547712967650122</v>
      </c>
      <c r="AC2370" s="9">
        <v>0.90931769988773847</v>
      </c>
      <c r="AD2370" s="9">
        <v>0.84517994658152462</v>
      </c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</row>
    <row r="2371" spans="28:52">
      <c r="AB2371" s="9">
        <v>0.97384639578471277</v>
      </c>
      <c r="AC2371" s="9">
        <v>1.2708735852123749</v>
      </c>
      <c r="AD2371" s="9">
        <v>0.83568741882541142</v>
      </c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</row>
    <row r="2372" spans="28:52">
      <c r="AB2372" s="9">
        <v>0.97951544579044292</v>
      </c>
      <c r="AC2372" s="9">
        <v>1.5550101294019003</v>
      </c>
      <c r="AD2372" s="9">
        <v>0.82690970885613357</v>
      </c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</row>
    <row r="2373" spans="28:52">
      <c r="AB2373" s="9">
        <v>0.98508377484102516</v>
      </c>
      <c r="AC2373" s="9">
        <v>1.0533757882512238</v>
      </c>
      <c r="AD2373" s="9">
        <v>0.81680966452706805</v>
      </c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</row>
    <row r="2374" spans="28:52">
      <c r="AB2374" s="9">
        <v>0.9925136082065934</v>
      </c>
      <c r="AC2374" s="9">
        <v>1.3955091694769464</v>
      </c>
      <c r="AD2374" s="9">
        <v>0.82508661562813745</v>
      </c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</row>
    <row r="2375" spans="28:52">
      <c r="AB2375" s="9">
        <v>0.97815581147730457</v>
      </c>
      <c r="AC2375" s="9">
        <v>0.99428362467357934</v>
      </c>
      <c r="AD2375" s="9">
        <v>0.82133204261351023</v>
      </c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</row>
    <row r="2376" spans="28:52">
      <c r="AB2376" s="9">
        <v>0.9781232300680176</v>
      </c>
      <c r="AC2376" s="9">
        <v>1.0519821436210761</v>
      </c>
      <c r="AD2376" s="9">
        <v>0.8227064041863944</v>
      </c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</row>
    <row r="2377" spans="28:52">
      <c r="AB2377" s="9">
        <v>0.97169667683126437</v>
      </c>
      <c r="AC2377" s="9">
        <v>0.91487397415520122</v>
      </c>
      <c r="AD2377" s="9">
        <v>0.83536076481835575</v>
      </c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</row>
    <row r="2378" spans="28:52">
      <c r="AB2378" s="9">
        <v>0.95234289219337642</v>
      </c>
      <c r="AC2378" s="9">
        <v>0.78131288976858926</v>
      </c>
      <c r="AD2378" s="9">
        <v>0.83216139183830129</v>
      </c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</row>
    <row r="2379" spans="28:52">
      <c r="AB2379" s="9">
        <v>0.95142473450174503</v>
      </c>
      <c r="AC2379" s="9">
        <v>1.0538008934329979</v>
      </c>
      <c r="AD2379" s="9">
        <v>0.85658056476203115</v>
      </c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</row>
    <row r="2380" spans="28:52">
      <c r="AB2380" s="9">
        <v>0.92119702317190932</v>
      </c>
      <c r="AC2380" s="9">
        <v>1.1595726382394302</v>
      </c>
      <c r="AD2380" s="9">
        <v>0.84378266806722702</v>
      </c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</row>
    <row r="2381" spans="28:52">
      <c r="AB2381" s="9">
        <v>0.93291041394567797</v>
      </c>
      <c r="AC2381" s="9">
        <v>1.1924404856542894</v>
      </c>
      <c r="AD2381" s="9">
        <v>0.860838699417525</v>
      </c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</row>
    <row r="2382" spans="28:52">
      <c r="AB2382" s="9">
        <v>0.91192493704204713</v>
      </c>
      <c r="AC2382" s="9">
        <v>1.3290558395744914</v>
      </c>
      <c r="AD2382" s="9">
        <v>0.82415167386952348</v>
      </c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</row>
    <row r="2383" spans="28:52">
      <c r="AB2383" s="9">
        <v>0.94955530777540142</v>
      </c>
      <c r="AC2383" s="9">
        <v>1.478386621847124</v>
      </c>
      <c r="AD2383" s="9">
        <v>0.80938444188132785</v>
      </c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</row>
    <row r="2384" spans="28:52">
      <c r="AB2384" s="9">
        <v>0.96328906960596195</v>
      </c>
      <c r="AC2384" s="9">
        <v>1.5645168606976869</v>
      </c>
      <c r="AD2384" s="9">
        <v>0.80679840719332063</v>
      </c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</row>
    <row r="2385" spans="28:52">
      <c r="AB2385" s="9">
        <v>0.9634123344647848</v>
      </c>
      <c r="AC2385" s="9">
        <v>1.146193347328595</v>
      </c>
      <c r="AD2385" s="9">
        <v>0.82081161195041796</v>
      </c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</row>
    <row r="2386" spans="28:52">
      <c r="AB2386" s="9">
        <v>0.94436067118326716</v>
      </c>
      <c r="AC2386" s="9">
        <v>1.1341295323949345</v>
      </c>
      <c r="AD2386" s="9">
        <v>0.83668584118438771</v>
      </c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</row>
    <row r="2387" spans="28:52">
      <c r="AB2387" s="9">
        <v>0.92445040428094927</v>
      </c>
      <c r="AC2387" s="9">
        <v>1.0711771596328168</v>
      </c>
      <c r="AD2387" s="9">
        <v>0.83939815392968642</v>
      </c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</row>
    <row r="2388" spans="28:52">
      <c r="AB2388" s="9">
        <v>0.91902915292208465</v>
      </c>
      <c r="AC2388" s="9">
        <v>0.91547248225249189</v>
      </c>
      <c r="AD2388" s="9">
        <v>0.83871252897068849</v>
      </c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</row>
    <row r="2389" spans="28:52">
      <c r="AB2389" s="9">
        <v>0.91739472704774061</v>
      </c>
      <c r="AC2389" s="9">
        <v>0.70622758949472952</v>
      </c>
      <c r="AD2389" s="9">
        <v>0.82803366256257593</v>
      </c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</row>
    <row r="2390" spans="28:52">
      <c r="AB2390" s="9">
        <v>0.92608744606082527</v>
      </c>
      <c r="AC2390" s="9">
        <v>1.0144575651628061</v>
      </c>
      <c r="AD2390" s="9">
        <v>0.85028794742729297</v>
      </c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</row>
    <row r="2391" spans="28:52">
      <c r="AB2391" s="9">
        <v>0.89864737737829614</v>
      </c>
      <c r="AC2391" s="9">
        <v>0.97168730020163141</v>
      </c>
      <c r="AD2391" s="9">
        <v>0.84489819706498948</v>
      </c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</row>
    <row r="2392" spans="28:52">
      <c r="AB2392" s="9">
        <v>0.90161180973110167</v>
      </c>
      <c r="AC2392" s="9">
        <v>1.22844168197517</v>
      </c>
      <c r="AD2392" s="9">
        <v>0.85148073160357274</v>
      </c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</row>
    <row r="2393" spans="28:52">
      <c r="AB2393" s="9">
        <v>0.89100192655006083</v>
      </c>
      <c r="AC2393" s="9">
        <v>1.0152027247325119</v>
      </c>
      <c r="AD2393" s="9">
        <v>0.86271169319826324</v>
      </c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</row>
    <row r="2394" spans="28:52">
      <c r="AB2394" s="9">
        <v>0.87628217138106046</v>
      </c>
      <c r="AC2394" s="9">
        <v>0.83332279855079228</v>
      </c>
      <c r="AD2394" s="9">
        <v>0.87989275319275306</v>
      </c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</row>
    <row r="2395" spans="28:52">
      <c r="AB2395" s="9">
        <v>0.85734425610795395</v>
      </c>
      <c r="AC2395" s="9">
        <v>1.0704373608205462</v>
      </c>
      <c r="AD2395" s="9">
        <v>0.85654838817515433</v>
      </c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</row>
    <row r="2396" spans="28:52">
      <c r="AB2396" s="9">
        <v>0.87879442630904414</v>
      </c>
      <c r="AC2396" s="9">
        <v>1.3196272347094253</v>
      </c>
      <c r="AD2396" s="9">
        <v>0.8464891271366437</v>
      </c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</row>
    <row r="2397" spans="28:52">
      <c r="AB2397" s="9">
        <v>0.88680967321007786</v>
      </c>
      <c r="AC2397" s="9">
        <v>0.93773093882047975</v>
      </c>
      <c r="AD2397" s="9">
        <v>0.88148352487640025</v>
      </c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</row>
    <row r="2398" spans="28:52">
      <c r="AB2398" s="9">
        <v>0.85039355374448822</v>
      </c>
      <c r="AC2398" s="9">
        <v>0.95495455798974838</v>
      </c>
      <c r="AD2398" s="9">
        <v>0.86932489299823557</v>
      </c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</row>
    <row r="2399" spans="28:52">
      <c r="AB2399" s="9">
        <v>0.86232668873116958</v>
      </c>
      <c r="AC2399" s="9">
        <v>0.92738120242336219</v>
      </c>
      <c r="AD2399" s="9">
        <v>0.85620869962053781</v>
      </c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</row>
    <row r="2400" spans="28:52">
      <c r="AB2400" s="9">
        <v>0.87556961719213033</v>
      </c>
      <c r="AC2400" s="9">
        <v>1.1832089775607029</v>
      </c>
      <c r="AD2400" s="9">
        <v>0.85602985839000478</v>
      </c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</row>
    <row r="2401" spans="28:52">
      <c r="AB2401" s="9">
        <v>0.87566355530062034</v>
      </c>
      <c r="AC2401" s="9">
        <v>1.1146514781331478</v>
      </c>
      <c r="AD2401" s="9">
        <v>0.87142389719826874</v>
      </c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</row>
    <row r="2402" spans="28:52">
      <c r="AB2402" s="9">
        <v>0.85996534343084918</v>
      </c>
      <c r="AC2402" s="9">
        <v>0.94886593775594807</v>
      </c>
      <c r="AD2402" s="9">
        <v>0.88557363082912011</v>
      </c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</row>
    <row r="2403" spans="28:52">
      <c r="AB2403" s="9">
        <v>0.84656983232459115</v>
      </c>
      <c r="AC2403" s="9">
        <v>0.84193105832169624</v>
      </c>
      <c r="AD2403" s="9">
        <v>0.91723521213747738</v>
      </c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</row>
    <row r="2404" spans="28:52">
      <c r="AB2404" s="9">
        <v>0.81830177211971755</v>
      </c>
      <c r="AC2404" s="9">
        <v>0.78482883685383409</v>
      </c>
      <c r="AD2404" s="9">
        <v>0.93840307300545944</v>
      </c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</row>
    <row r="2405" spans="28:52">
      <c r="AB2405" s="9">
        <v>0.80131728433003391</v>
      </c>
      <c r="AC2405" s="9">
        <v>0.87215753690271414</v>
      </c>
      <c r="AD2405" s="9">
        <v>0.9174840805802611</v>
      </c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</row>
    <row r="2406" spans="28:52">
      <c r="AB2406" s="9">
        <v>0.82116646850298902</v>
      </c>
      <c r="AC2406" s="9">
        <v>1.131114428510497</v>
      </c>
      <c r="AD2406" s="9">
        <v>0.93649998666204259</v>
      </c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</row>
    <row r="2407" spans="28:52">
      <c r="AB2407" s="9">
        <v>0.806293854071502</v>
      </c>
      <c r="AC2407" s="9">
        <v>0.32949264485295293</v>
      </c>
      <c r="AD2407" s="9">
        <v>0.92896738616669272</v>
      </c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</row>
    <row r="2408" spans="28:52">
      <c r="AB2408" s="9">
        <v>0.81519112339181343</v>
      </c>
      <c r="AC2408" s="9">
        <v>1.0210819705543523</v>
      </c>
      <c r="AD2408" s="9">
        <v>0.87914729597224905</v>
      </c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</row>
    <row r="2409" spans="28:52">
      <c r="AB2409" s="9">
        <v>0.8631059212304435</v>
      </c>
      <c r="AC2409" s="9">
        <v>1.2502884396456491</v>
      </c>
      <c r="AD2409" s="9">
        <v>0.87600760701696923</v>
      </c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</row>
    <row r="2410" spans="28:52">
      <c r="AB2410" s="9">
        <v>0.86672607641971744</v>
      </c>
      <c r="AC2410" s="9">
        <v>1.1672396129134246</v>
      </c>
      <c r="AD2410" s="9">
        <v>0.89299580315069671</v>
      </c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</row>
    <row r="2411" spans="28:52">
      <c r="AB2411" s="9">
        <v>0.8512314960835442</v>
      </c>
      <c r="AC2411" s="9">
        <v>0.75192969262182052</v>
      </c>
      <c r="AD2411" s="9">
        <v>0.91522752067278623</v>
      </c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</row>
    <row r="2412" spans="28:52">
      <c r="AB2412" s="9">
        <v>0.83238224407017469</v>
      </c>
      <c r="AC2412" s="9">
        <v>0.31716180357843166</v>
      </c>
      <c r="AD2412" s="9">
        <v>0.94988063758718744</v>
      </c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</row>
    <row r="2413" spans="28:52">
      <c r="AB2413" s="9">
        <v>0.80415805378626448</v>
      </c>
      <c r="AC2413" s="9">
        <v>0.73113974473620047</v>
      </c>
      <c r="AD2413" s="9">
        <v>0.9364096996142004</v>
      </c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</row>
    <row r="2414" spans="28:52">
      <c r="AB2414" s="9">
        <v>0.81836270136415001</v>
      </c>
      <c r="AC2414" s="9">
        <v>0.96703164255354512</v>
      </c>
      <c r="AD2414" s="9">
        <v>0.97454322982800401</v>
      </c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</row>
    <row r="2415" spans="28:52">
      <c r="AB2415" s="9">
        <v>0.78953488368832248</v>
      </c>
      <c r="AC2415" s="9">
        <v>1.2035439871932636</v>
      </c>
      <c r="AD2415" s="9">
        <v>0.9603190959532546</v>
      </c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</row>
    <row r="2416" spans="28:52">
      <c r="AB2416" s="9">
        <v>0.80478709418646499</v>
      </c>
      <c r="AC2416" s="9">
        <v>0.92258227043180907</v>
      </c>
      <c r="AD2416" s="9">
        <v>1.0056354388529207</v>
      </c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</row>
    <row r="2417" spans="28:52">
      <c r="AB2417" s="9">
        <v>0.77220321458340124</v>
      </c>
      <c r="AC2417" s="9">
        <v>0.72056547456292863</v>
      </c>
      <c r="AD2417" s="9">
        <v>1.0731855359279552</v>
      </c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</row>
    <row r="2418" spans="28:52">
      <c r="AB2418" s="9">
        <v>0.72804162065255884</v>
      </c>
      <c r="AC2418" s="9">
        <v>0.47860088828854191</v>
      </c>
      <c r="AD2418" s="9">
        <v>1.0079734975336647</v>
      </c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</row>
    <row r="2419" spans="28:52">
      <c r="AB2419" s="9">
        <v>0.77984562554735692</v>
      </c>
      <c r="AC2419" s="9">
        <v>0.83865196526120367</v>
      </c>
      <c r="AD2419" s="9">
        <v>0.97076003528735244</v>
      </c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</row>
    <row r="2420" spans="28:52">
      <c r="AB2420" s="9">
        <v>0.81361867955297007</v>
      </c>
      <c r="AC2420" s="9">
        <v>0.97513546289704744</v>
      </c>
      <c r="AD2420" s="9">
        <v>0.95378924299632983</v>
      </c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</row>
    <row r="2421" spans="28:52">
      <c r="AB2421" s="9">
        <v>0.83136677725507979</v>
      </c>
      <c r="AC2421" s="9">
        <v>1.1152204366694654</v>
      </c>
      <c r="AD2421" s="9">
        <v>0.91188163477020878</v>
      </c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</row>
    <row r="2422" spans="28:52">
      <c r="AB2422" s="9">
        <v>0.87191238057154652</v>
      </c>
      <c r="AC2422" s="9">
        <v>1.3603123403217026</v>
      </c>
      <c r="AD2422" s="9">
        <v>0.89223998884421429</v>
      </c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</row>
    <row r="2423" spans="28:52">
      <c r="AB2423" s="9">
        <v>0.89315318222499751</v>
      </c>
      <c r="AC2423" s="9">
        <v>1.376579641531493</v>
      </c>
      <c r="AD2423" s="9">
        <v>0.90023171234548183</v>
      </c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</row>
    <row r="2424" spans="28:52">
      <c r="AB2424" s="9">
        <v>0.88709558945600986</v>
      </c>
      <c r="AC2424" s="9">
        <v>1.2908282605886658</v>
      </c>
      <c r="AD2424" s="9">
        <v>0.91728349040596591</v>
      </c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</row>
    <row r="2425" spans="28:52">
      <c r="AB2425" s="9">
        <v>0.87271684115882087</v>
      </c>
      <c r="AC2425" s="9">
        <v>1.0143128754342212</v>
      </c>
      <c r="AD2425" s="9">
        <v>0.93788799592866701</v>
      </c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</row>
    <row r="2426" spans="28:52">
      <c r="AB2426" s="9">
        <v>0.85704139740691609</v>
      </c>
      <c r="AC2426" s="9">
        <v>0.16966500478120949</v>
      </c>
      <c r="AD2426" s="9">
        <v>0.95456810565313521</v>
      </c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</row>
    <row r="2427" spans="28:52">
      <c r="AB2427" s="9">
        <v>0.84599987804813281</v>
      </c>
      <c r="AC2427" s="9">
        <v>0.83993183207012923</v>
      </c>
      <c r="AD2427" s="9">
        <v>0.97403028928925628</v>
      </c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</row>
    <row r="2428" spans="28:52">
      <c r="AB2428" s="9">
        <v>0.83397622286443529</v>
      </c>
      <c r="AC2428" s="9">
        <v>0.54263339851616421</v>
      </c>
      <c r="AD2428" s="9">
        <v>0.93875902937747091</v>
      </c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</row>
    <row r="2429" spans="28:52">
      <c r="AB2429" s="9">
        <v>0.87075019278190835</v>
      </c>
      <c r="AC2429" s="9">
        <v>1.0451670978794432</v>
      </c>
      <c r="AD2429" s="9">
        <v>0.90971342700583857</v>
      </c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</row>
    <row r="2430" spans="28:52">
      <c r="AB2430" s="9">
        <v>0.90193831275253444</v>
      </c>
      <c r="AC2430" s="9">
        <v>1.3321848199193187</v>
      </c>
      <c r="AD2430" s="9">
        <v>0.92726651753474365</v>
      </c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</row>
    <row r="2431" spans="28:52">
      <c r="AB2431" s="9">
        <v>0.88881759658762172</v>
      </c>
      <c r="AC2431" s="9">
        <v>1.0971996797497809</v>
      </c>
      <c r="AD2431" s="9">
        <v>0.92966200499162188</v>
      </c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</row>
    <row r="2432" spans="28:52">
      <c r="AB2432" s="9">
        <v>0.890629913634017</v>
      </c>
      <c r="AC2432" s="9">
        <v>0.82435338187956397</v>
      </c>
      <c r="AD2432" s="9">
        <v>0.8938380712413041</v>
      </c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</row>
    <row r="2433" spans="28:52">
      <c r="AB2433" s="9">
        <v>0.93067088764649608</v>
      </c>
      <c r="AC2433" s="9">
        <v>1.3354965677633011</v>
      </c>
      <c r="AD2433" s="9">
        <v>0.86404928196389563</v>
      </c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</row>
    <row r="2434" spans="28:52">
      <c r="AB2434" s="9">
        <v>0.96609009347284713</v>
      </c>
      <c r="AC2434" s="9">
        <v>1.6360868564365025</v>
      </c>
      <c r="AD2434" s="9">
        <v>0.8587203323726712</v>
      </c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</row>
    <row r="2435" spans="28:52">
      <c r="AB2435" s="9">
        <v>0.97479331173859829</v>
      </c>
      <c r="AC2435" s="9">
        <v>1.5537617196909583</v>
      </c>
      <c r="AD2435" s="9">
        <v>0.85743017438747604</v>
      </c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</row>
    <row r="2436" spans="28:52">
      <c r="AB2436" s="9">
        <v>0.97943629996436288</v>
      </c>
      <c r="AC2436" s="9">
        <v>1.4545770608613295</v>
      </c>
      <c r="AD2436" s="9">
        <v>0.90001839986743815</v>
      </c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</row>
    <row r="2437" spans="28:52">
      <c r="AB2437" s="9">
        <v>0.93687970441438218</v>
      </c>
      <c r="AC2437" s="9">
        <v>0.79082332723581017</v>
      </c>
      <c r="AD2437" s="9">
        <v>0.90347945694334009</v>
      </c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</row>
    <row r="2438" spans="28:52">
      <c r="AB2438" s="9">
        <v>0.93832101931021494</v>
      </c>
      <c r="AC2438" s="9">
        <v>0.90594118012121139</v>
      </c>
      <c r="AD2438" s="9">
        <v>0.90874600402299455</v>
      </c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</row>
    <row r="2439" spans="28:52">
      <c r="AB2439" s="9">
        <v>0.93742205878277607</v>
      </c>
      <c r="AC2439" s="9">
        <v>1.165800498255692</v>
      </c>
      <c r="AD2439" s="9">
        <v>0.95608164821887265</v>
      </c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</row>
    <row r="2440" spans="28:52">
      <c r="AB2440" s="9">
        <v>0.89687507821159562</v>
      </c>
      <c r="AC2440" s="9">
        <v>0.79478418498607761</v>
      </c>
      <c r="AD2440" s="9">
        <v>0.97624360910123797</v>
      </c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</row>
    <row r="2441" spans="28:52">
      <c r="AB2441" s="9">
        <v>0.88521781725165694</v>
      </c>
      <c r="AC2441" s="9">
        <v>0.8172934449341871</v>
      </c>
      <c r="AD2441" s="9">
        <v>1.0131232449901786</v>
      </c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</row>
    <row r="2442" spans="28:52">
      <c r="AB2442" s="9">
        <v>0.8604371837145911</v>
      </c>
      <c r="AC2442" s="9">
        <v>0.6773133614280461</v>
      </c>
      <c r="AD2442" s="9">
        <v>1.0841223806604872</v>
      </c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</row>
    <row r="2443" spans="28:52">
      <c r="AB2443" s="9">
        <v>0.81277226061572971</v>
      </c>
      <c r="AC2443" s="9">
        <v>0.60995771654455844</v>
      </c>
      <c r="AD2443" s="9">
        <v>1.0336148148148145</v>
      </c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</row>
    <row r="2444" spans="28:52">
      <c r="AB2444" s="9">
        <v>0.86123707127549409</v>
      </c>
      <c r="AC2444" s="9">
        <v>0.97969602232729647</v>
      </c>
      <c r="AD2444" s="9">
        <v>1.0309605290598973</v>
      </c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</row>
    <row r="2445" spans="28:52">
      <c r="AB2445" s="9">
        <v>0.8706086578779022</v>
      </c>
      <c r="AC2445" s="9">
        <v>1.2830662149757979</v>
      </c>
      <c r="AD2445" s="9">
        <v>1.0298811327939819</v>
      </c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</row>
    <row r="2446" spans="28:52">
      <c r="AB2446" s="9">
        <v>0.87854388382106718</v>
      </c>
      <c r="AC2446" s="9">
        <v>0.82371825689347611</v>
      </c>
      <c r="AD2446" s="9">
        <v>0.98024856134420912</v>
      </c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</row>
    <row r="2447" spans="28:52">
      <c r="AB2447" s="9">
        <v>0.92991987370086382</v>
      </c>
      <c r="AC2447" s="9">
        <v>1.288093844600074</v>
      </c>
      <c r="AD2447" s="9">
        <v>0.97919267986558167</v>
      </c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</row>
    <row r="2448" spans="28:52">
      <c r="AB2448" s="9">
        <v>0.93607067512929054</v>
      </c>
      <c r="AC2448" s="9">
        <v>1.2349864803037205</v>
      </c>
      <c r="AD2448" s="9">
        <v>0.99379403460481208</v>
      </c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</row>
    <row r="2449" spans="28:52">
      <c r="AB2449" s="9">
        <v>0.92795490766223465</v>
      </c>
      <c r="AC2449" s="9">
        <v>0.70597507114317948</v>
      </c>
      <c r="AD2449" s="9">
        <v>1.004289307561294</v>
      </c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</row>
    <row r="2450" spans="28:52">
      <c r="AB2450" s="9">
        <v>0.92512560202746941</v>
      </c>
      <c r="AC2450" s="9">
        <v>0.77004413079225031</v>
      </c>
      <c r="AD2450" s="9">
        <v>1.0183968970482771</v>
      </c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</row>
    <row r="2451" spans="28:52">
      <c r="AB2451" s="9">
        <v>0.91891766035029565</v>
      </c>
      <c r="AC2451" s="9">
        <v>0.78055143894628742</v>
      </c>
      <c r="AD2451" s="9">
        <v>1.0053392511503052</v>
      </c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</row>
    <row r="2452" spans="28:52">
      <c r="AB2452" s="9">
        <v>0.93780758848102963</v>
      </c>
      <c r="AC2452" s="9">
        <v>0.78879395716948564</v>
      </c>
      <c r="AD2452" s="9">
        <v>1.0203305446862532</v>
      </c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</row>
    <row r="2453" spans="28:52">
      <c r="AB2453" s="9">
        <v>0.93021994073850289</v>
      </c>
      <c r="AC2453" s="9">
        <v>0.72213184494435589</v>
      </c>
      <c r="AD2453" s="9">
        <v>1.0432585107904488</v>
      </c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</row>
    <row r="2454" spans="28:52">
      <c r="AB2454" s="9">
        <v>0.91526882919525787</v>
      </c>
      <c r="AC2454" s="9">
        <v>0.39696600141729432</v>
      </c>
      <c r="AD2454" s="9">
        <v>1.0412717341129405</v>
      </c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</row>
    <row r="2455" spans="28:52">
      <c r="AB2455" s="9">
        <v>0.9224150184891059</v>
      </c>
      <c r="AC2455" s="9">
        <v>0.76172921586917264</v>
      </c>
      <c r="AD2455" s="9">
        <v>1.0499274748482772</v>
      </c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</row>
    <row r="2456" spans="28:52">
      <c r="AB2456" s="9">
        <v>0.92052201047809434</v>
      </c>
      <c r="AC2456" s="9">
        <v>1.0708284680887419</v>
      </c>
      <c r="AD2456" s="9">
        <v>1.0437034720770111</v>
      </c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</row>
    <row r="2457" spans="28:52">
      <c r="AB2457" s="9">
        <v>0.93062059594866842</v>
      </c>
      <c r="AC2457" s="9">
        <v>0.66418542185328999</v>
      </c>
      <c r="AD2457" s="9">
        <v>1.0376901213250762</v>
      </c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</row>
    <row r="2458" spans="28:52">
      <c r="AB2458" s="9">
        <v>0.94038793072118909</v>
      </c>
      <c r="AC2458" s="9">
        <v>0.69798741354601523</v>
      </c>
      <c r="AD2458" s="9">
        <v>1.0332417810124499</v>
      </c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</row>
    <row r="2459" spans="28:52">
      <c r="AB2459" s="9">
        <v>0.94967736657717816</v>
      </c>
      <c r="AC2459" s="9">
        <v>0.6293920921472631</v>
      </c>
      <c r="AD2459" s="9">
        <v>1.0163317843866171</v>
      </c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</row>
    <row r="2460" spans="28:52">
      <c r="AB2460" s="9">
        <v>0.97024591225297974</v>
      </c>
      <c r="AC2460" s="9">
        <v>0.95943948356683939</v>
      </c>
      <c r="AD2460" s="9">
        <v>1.016021953937593</v>
      </c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</row>
    <row r="2461" spans="28:52">
      <c r="AB2461" s="9">
        <v>0.97386665725117538</v>
      </c>
      <c r="AC2461" s="9">
        <v>0.64927629135655551</v>
      </c>
      <c r="AD2461" s="9">
        <v>1.0286771052631578</v>
      </c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</row>
    <row r="2462" spans="28:52">
      <c r="AB2462" s="9">
        <v>0.96480517663678578</v>
      </c>
      <c r="AC2462" s="9">
        <v>0.51266160878311118</v>
      </c>
      <c r="AD2462" s="9">
        <v>1.0486872511485452</v>
      </c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</row>
    <row r="2463" spans="28:52">
      <c r="AB2463" s="9">
        <v>0.94939589052607598</v>
      </c>
      <c r="AC2463" s="9">
        <v>0.44376156847883097</v>
      </c>
      <c r="AD2463" s="9">
        <v>1.068672263342423</v>
      </c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</row>
    <row r="2464" spans="28:52">
      <c r="AB2464" s="9">
        <v>0.93556310056035041</v>
      </c>
      <c r="AC2464" s="9">
        <v>0.40799177766357864</v>
      </c>
      <c r="AD2464" s="9">
        <v>1.0879175865479722</v>
      </c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</row>
    <row r="2465" spans="28:52">
      <c r="AB2465" s="9">
        <v>0.9231047026076219</v>
      </c>
      <c r="AC2465" s="9">
        <v>0.37943581880035088</v>
      </c>
      <c r="AD2465" s="9">
        <v>1.0937043599027825</v>
      </c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</row>
    <row r="2466" spans="28:52">
      <c r="AB2466" s="9">
        <v>0.92264229449757196</v>
      </c>
      <c r="AC2466" s="9">
        <v>0.47247667208080446</v>
      </c>
      <c r="AD2466" s="9">
        <v>1.1167077279405964</v>
      </c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</row>
    <row r="2467" spans="28:52">
      <c r="AB2467" s="9">
        <v>0.90734426422628423</v>
      </c>
      <c r="AC2467" s="9">
        <v>0.39810876843724557</v>
      </c>
      <c r="AD2467" s="9">
        <v>1.1496317793250046</v>
      </c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</row>
    <row r="2468" spans="28:52">
      <c r="AB2468" s="9">
        <v>0.88423834981529503</v>
      </c>
      <c r="AC2468" s="9">
        <v>0.22694617161777317</v>
      </c>
      <c r="AD2468" s="9">
        <v>1.154361014462028</v>
      </c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</row>
    <row r="2469" spans="28:52">
      <c r="AB2469" s="9">
        <v>0.88506560646627974</v>
      </c>
      <c r="AC2469" s="9">
        <v>0.71260293467511093</v>
      </c>
      <c r="AD2469" s="9">
        <v>1.1800085575090022</v>
      </c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</row>
    <row r="2470" spans="28:52">
      <c r="AB2470" s="9">
        <v>0.87128575459787327</v>
      </c>
      <c r="AC2470" s="9">
        <v>0.44500166991915852</v>
      </c>
      <c r="AD2470" s="9">
        <v>1.2118021673168615</v>
      </c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</row>
    <row r="2471" spans="28:52">
      <c r="AB2471" s="9">
        <v>0.85490514332723733</v>
      </c>
      <c r="AC2471" s="9">
        <v>0.33721761586828947</v>
      </c>
      <c r="AD2471" s="9">
        <v>1.1704471961642691</v>
      </c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</row>
    <row r="2472" spans="28:52">
      <c r="AB2472" s="9">
        <v>0.89252200521655556</v>
      </c>
      <c r="AC2472" s="9">
        <v>0.93417281328795709</v>
      </c>
      <c r="AD2472" s="9">
        <v>1.1873318996415769</v>
      </c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</row>
    <row r="2473" spans="28:52">
      <c r="AB2473" s="9">
        <v>0.88670086668606674</v>
      </c>
      <c r="AC2473" s="9">
        <v>0.70626897481937578</v>
      </c>
      <c r="AD2473" s="9">
        <v>1.1921084427601079</v>
      </c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</row>
    <row r="2474" spans="28:52">
      <c r="AB2474" s="9">
        <v>0.88997219260608074</v>
      </c>
      <c r="AC2474" s="9">
        <v>0.55597598998305642</v>
      </c>
      <c r="AD2474" s="9">
        <v>1.1483662411347515</v>
      </c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</row>
    <row r="2475" spans="28:52">
      <c r="AB2475" s="9">
        <v>0.92980172218496715</v>
      </c>
      <c r="AC2475" s="9">
        <v>1.0910024387113337</v>
      </c>
      <c r="AD2475" s="9">
        <v>1.1610521391111772</v>
      </c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</row>
    <row r="2476" spans="28:52">
      <c r="AB2476" s="9">
        <v>0.92488944404371543</v>
      </c>
      <c r="AC2476" s="9">
        <v>1.1882377528758268</v>
      </c>
      <c r="AD2476" s="9">
        <v>1.1100487928348908</v>
      </c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</row>
    <row r="2477" spans="28:52">
      <c r="AB2477" s="9">
        <v>0.97196630410834761</v>
      </c>
      <c r="AC2477" s="9">
        <v>1.4605865084523435</v>
      </c>
      <c r="AD2477" s="9">
        <v>1.0795865155807365</v>
      </c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</row>
    <row r="2478" spans="28:52">
      <c r="AB2478" s="9">
        <v>1.0025497519337847</v>
      </c>
      <c r="AC2478" s="9">
        <v>1.8464966135797556</v>
      </c>
      <c r="AD2478" s="9">
        <v>1.1041243639167309</v>
      </c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</row>
    <row r="2479" spans="28:52">
      <c r="AB2479" s="9">
        <v>0.98392272542498416</v>
      </c>
      <c r="AC2479" s="9">
        <v>1.8459705666019521</v>
      </c>
      <c r="AD2479" s="9">
        <v>1.0678617931547618</v>
      </c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</row>
    <row r="2480" spans="28:52">
      <c r="AB2480" s="9">
        <v>1.0212047777339062</v>
      </c>
      <c r="AC2480" s="9">
        <v>1.7511699777014527</v>
      </c>
      <c r="AD2480" s="9">
        <v>1.0577566225165564</v>
      </c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</row>
    <row r="2481" spans="28:52">
      <c r="AB2481" s="9">
        <v>1.0335496372480337</v>
      </c>
      <c r="AC2481" s="9">
        <v>1.9553847422515538</v>
      </c>
      <c r="AD2481" s="9">
        <v>1.0723046004842618</v>
      </c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</row>
    <row r="2482" spans="28:52">
      <c r="AB2482" s="9">
        <v>1.0219319268093456</v>
      </c>
      <c r="AC2482" s="9">
        <v>1.9357200066770091</v>
      </c>
      <c r="AD2482" s="9">
        <v>1.0792214646937628</v>
      </c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</row>
    <row r="2483" spans="28:52">
      <c r="AB2483" s="9">
        <v>1.0183102831676953</v>
      </c>
      <c r="AC2483" s="9">
        <v>1.3113442047667054</v>
      </c>
      <c r="AD2483" s="9">
        <v>1.0715938650306749</v>
      </c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</row>
    <row r="2484" spans="28:52">
      <c r="AB2484" s="9">
        <v>1.0286428164320631</v>
      </c>
      <c r="AC2484" s="9">
        <v>0.92524114391851098</v>
      </c>
      <c r="AD2484" s="9">
        <v>1.0181249381843871</v>
      </c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</row>
    <row r="2485" spans="28:52">
      <c r="AB2485" s="9">
        <v>1.0845352513606779</v>
      </c>
      <c r="AC2485" s="9">
        <v>2.0171937577250065</v>
      </c>
      <c r="AD2485" s="9">
        <v>0.99873173860287745</v>
      </c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</row>
    <row r="2486" spans="28:52">
      <c r="AB2486" s="9">
        <v>1.1063859199130017</v>
      </c>
      <c r="AC2486" s="9">
        <v>2.4013640489532126</v>
      </c>
      <c r="AD2486" s="9">
        <v>0.98414971780400229</v>
      </c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</row>
    <row r="2487" spans="28:52">
      <c r="AB2487" s="9">
        <v>1.121114882503824</v>
      </c>
      <c r="AC2487" s="9">
        <v>2.4216471276507745</v>
      </c>
      <c r="AD2487" s="9">
        <v>1.0113456690140847</v>
      </c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</row>
    <row r="2488" spans="28:52">
      <c r="AB2488" s="9">
        <v>1.0894804904350133</v>
      </c>
      <c r="AC2488" s="9">
        <v>1.781398889599612</v>
      </c>
      <c r="AD2488" s="9">
        <v>0.99105376381215482</v>
      </c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</row>
    <row r="2489" spans="28:52">
      <c r="AB2489" s="9">
        <v>1.110728935808152</v>
      </c>
      <c r="AC2489" s="9">
        <v>1.6467014502410224</v>
      </c>
      <c r="AD2489" s="9">
        <v>0.96614012803234506</v>
      </c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</row>
    <row r="2490" spans="28:52">
      <c r="AB2490" s="9">
        <v>1.136243784013379</v>
      </c>
      <c r="AC2490" s="9">
        <v>2.3575073876627095</v>
      </c>
      <c r="AD2490" s="9">
        <v>0.97088093619286775</v>
      </c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</row>
    <row r="2491" spans="28:52">
      <c r="AB2491" s="9">
        <v>1.1265992436070369</v>
      </c>
      <c r="AC2491" s="9">
        <v>1.8748739891595123</v>
      </c>
      <c r="AD2491" s="9">
        <v>0.94505265106806435</v>
      </c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</row>
    <row r="2492" spans="28:52">
      <c r="AB2492" s="9">
        <v>1.1516256680293557</v>
      </c>
      <c r="AC2492" s="9">
        <v>2.2405667707003807</v>
      </c>
      <c r="AD2492" s="9">
        <v>0.961652562373567</v>
      </c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</row>
    <row r="2493" spans="28:52">
      <c r="AB2493" s="9">
        <v>1.124648604188228</v>
      </c>
      <c r="AC2493" s="9">
        <v>1.750676703879769</v>
      </c>
      <c r="AD2493" s="9">
        <v>0.97384903402291001</v>
      </c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</row>
    <row r="2494" spans="28:52">
      <c r="AB2494" s="9">
        <v>1.1057847078576921</v>
      </c>
      <c r="AC2494" s="9">
        <v>1.8554015913666646</v>
      </c>
      <c r="AD2494" s="9">
        <v>0.99958602496144811</v>
      </c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</row>
    <row r="2495" spans="28:52">
      <c r="AB2495" s="9">
        <v>1.0741153109925266</v>
      </c>
      <c r="AC2495" s="9">
        <v>1.2190311128620817</v>
      </c>
      <c r="AD2495" s="9">
        <v>0.98806380687738804</v>
      </c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</row>
    <row r="2496" spans="28:52">
      <c r="AB2496" s="9">
        <v>1.0837695923162958</v>
      </c>
      <c r="AC2496" s="9">
        <v>1.3224052162851505</v>
      </c>
      <c r="AD2496" s="9">
        <v>0.97883480805646428</v>
      </c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</row>
    <row r="2497" spans="28:52">
      <c r="AB2497" s="9">
        <v>1.0917700274113402</v>
      </c>
      <c r="AC2497" s="9">
        <v>1.710385997877341</v>
      </c>
      <c r="AD2497" s="9">
        <v>0.97172194287668923</v>
      </c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</row>
    <row r="2498" spans="28:52">
      <c r="AB2498" s="9">
        <v>1.097207684319444</v>
      </c>
      <c r="AC2498" s="9">
        <v>1.43726223811083</v>
      </c>
      <c r="AD2498" s="9">
        <v>0.94160248880039854</v>
      </c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</row>
    <row r="2499" spans="28:52">
      <c r="AB2499" s="9">
        <v>1.1281706706024666</v>
      </c>
      <c r="AC2499" s="9">
        <v>1.8856822418096231</v>
      </c>
      <c r="AD2499" s="9">
        <v>0.96215456682428413</v>
      </c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</row>
    <row r="2500" spans="28:52">
      <c r="AB2500" s="9">
        <v>1.099752445120902</v>
      </c>
      <c r="AC2500" s="9">
        <v>2.0516778990787579</v>
      </c>
      <c r="AD2500" s="9">
        <v>0.92651123853211026</v>
      </c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</row>
    <row r="2501" spans="28:52">
      <c r="AB2501" s="9">
        <v>1.1365619811898993</v>
      </c>
      <c r="AC2501" s="9">
        <v>1.7662362796675435</v>
      </c>
      <c r="AD2501" s="9">
        <v>0.93316205128205143</v>
      </c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</row>
    <row r="2502" spans="28:52">
      <c r="AB2502" s="9">
        <v>1.1226374332002873</v>
      </c>
      <c r="AC2502" s="9">
        <v>1.9089843882409308</v>
      </c>
      <c r="AD2502" s="9">
        <v>0.94759311471544316</v>
      </c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</row>
    <row r="2503" spans="28:52">
      <c r="AB2503" s="9">
        <v>1.0999398944807632</v>
      </c>
      <c r="AC2503" s="9">
        <v>1.1000573899608157</v>
      </c>
      <c r="AD2503" s="9">
        <v>0.94046199966504773</v>
      </c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</row>
    <row r="2504" spans="28:52">
      <c r="AB2504" s="9">
        <v>1.1029262363819734</v>
      </c>
      <c r="AC2504" s="9">
        <v>1.3080760191101346</v>
      </c>
      <c r="AD2504" s="9">
        <v>0.94149581442259223</v>
      </c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</row>
    <row r="2505" spans="28:52">
      <c r="AB2505" s="9">
        <v>1.0958271256725276</v>
      </c>
      <c r="AC2505" s="9">
        <v>0.91352850661838703</v>
      </c>
      <c r="AD2505" s="9">
        <v>0.97005032088681464</v>
      </c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</row>
    <row r="2506" spans="28:52">
      <c r="AB2506" s="9">
        <v>1.0585411268769358</v>
      </c>
      <c r="AC2506" s="9">
        <v>0.94188470890969112</v>
      </c>
      <c r="AD2506" s="9">
        <v>0.9736112120153686</v>
      </c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</row>
    <row r="2507" spans="28:52">
      <c r="AB2507" s="9">
        <v>1.0504861130909393</v>
      </c>
      <c r="AC2507" s="9">
        <v>0.88249096322684251</v>
      </c>
      <c r="AD2507" s="9">
        <v>0.9735860391882436</v>
      </c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</row>
    <row r="2508" spans="28:52">
      <c r="AB2508" s="9">
        <v>1.0468724118936721</v>
      </c>
      <c r="AC2508" s="9">
        <v>0.83284161203298279</v>
      </c>
      <c r="AD2508" s="9">
        <v>0.97869954176947482</v>
      </c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</row>
    <row r="2509" spans="28:52">
      <c r="AB2509" s="9">
        <v>1.0376993579761022</v>
      </c>
      <c r="AC2509" s="9">
        <v>0.93535116016987796</v>
      </c>
      <c r="AD2509" s="9">
        <v>1.0080830421137992</v>
      </c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</row>
    <row r="2510" spans="28:52">
      <c r="AB2510" s="9">
        <v>1.0054106730021093</v>
      </c>
      <c r="AC2510" s="9">
        <v>0.79829016623647187</v>
      </c>
      <c r="AD2510" s="9">
        <v>1.0070628114202582</v>
      </c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</row>
    <row r="2511" spans="28:52">
      <c r="AB2511" s="9">
        <v>1.0048309729581513</v>
      </c>
      <c r="AC2511" s="9">
        <v>0.71537064457790878</v>
      </c>
      <c r="AD2511" s="9">
        <v>0.98609705829916217</v>
      </c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</row>
    <row r="2512" spans="28:52">
      <c r="AB2512" s="9">
        <v>1.0238498792572688</v>
      </c>
      <c r="AC2512" s="9">
        <v>0.66761668734572022</v>
      </c>
      <c r="AD2512" s="9">
        <v>0.97966630346438199</v>
      </c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</row>
    <row r="2513" spans="28:52">
      <c r="AB2513" s="9">
        <v>1.0270655033349292</v>
      </c>
      <c r="AC2513" s="9">
        <v>1.0563738482446909</v>
      </c>
      <c r="AD2513" s="9">
        <v>0.95389253938030116</v>
      </c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</row>
    <row r="2514" spans="28:52">
      <c r="AB2514" s="9">
        <v>1.0504737642131718</v>
      </c>
      <c r="AC2514" s="9">
        <v>1.1253631853916493</v>
      </c>
      <c r="AD2514" s="9">
        <v>0.96258399579758347</v>
      </c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</row>
    <row r="2515" spans="28:52">
      <c r="AB2515" s="9">
        <v>1.0360009138431454</v>
      </c>
      <c r="AC2515" s="9">
        <v>0.94386971906930783</v>
      </c>
      <c r="AD2515" s="9">
        <v>0.96511306362370453</v>
      </c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</row>
    <row r="2516" spans="28:52">
      <c r="AB2516" s="9">
        <v>1.0280675584718937</v>
      </c>
      <c r="AC2516" s="9">
        <v>0.64373370816784092</v>
      </c>
      <c r="AD2516" s="9">
        <v>0.97966116087423882</v>
      </c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</row>
    <row r="2517" spans="28:52">
      <c r="AB2517" s="9">
        <v>1.0079397920112088</v>
      </c>
      <c r="AC2517" s="9">
        <v>0.70961236696775498</v>
      </c>
      <c r="AD2517" s="9">
        <v>0.97344527629233513</v>
      </c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</row>
    <row r="2518" spans="28:52">
      <c r="AB2518" s="9">
        <v>1.0101037745687489</v>
      </c>
      <c r="AC2518" s="9">
        <v>1.0370973262605661</v>
      </c>
      <c r="AD2518" s="9">
        <v>0.96382962177447873</v>
      </c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</row>
    <row r="2519" spans="28:52">
      <c r="AB2519" s="9">
        <v>1.0156493287774992</v>
      </c>
      <c r="AC2519" s="9">
        <v>1.0204877288056295</v>
      </c>
      <c r="AD2519" s="9">
        <v>0.94790779314403939</v>
      </c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</row>
    <row r="2520" spans="28:52">
      <c r="AB2520" s="9">
        <v>1.0270931650553172</v>
      </c>
      <c r="AC2520" s="9">
        <v>1.1987082753834735</v>
      </c>
      <c r="AD2520" s="9">
        <v>0.9390131765519627</v>
      </c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</row>
    <row r="2521" spans="28:52">
      <c r="AB2521" s="9">
        <v>1.0299867745637332</v>
      </c>
      <c r="AC2521" s="9">
        <v>1.3696323910399508</v>
      </c>
      <c r="AD2521" s="9">
        <v>0.96021152277964905</v>
      </c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</row>
    <row r="2522" spans="28:52">
      <c r="AB2522" s="9">
        <v>1.0016842358873508</v>
      </c>
      <c r="AC2522" s="9">
        <v>0.70675642380132142</v>
      </c>
      <c r="AD2522" s="9">
        <v>0.95785255285590254</v>
      </c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</row>
    <row r="2523" spans="28:52">
      <c r="AB2523" s="9">
        <v>0.998794727159662</v>
      </c>
      <c r="AC2523" s="9">
        <v>0.7169477192274738</v>
      </c>
      <c r="AD2523" s="9">
        <v>0.95909311755290783</v>
      </c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</row>
    <row r="2524" spans="28:52">
      <c r="AB2524" s="9">
        <v>0.99220294003335785</v>
      </c>
      <c r="AC2524" s="9">
        <v>0.74013596857201081</v>
      </c>
      <c r="AD2524" s="9">
        <v>0.93889854212652368</v>
      </c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</row>
    <row r="2525" spans="28:52">
      <c r="AB2525" s="9">
        <v>1.0084185648890898</v>
      </c>
      <c r="AC2525" s="9">
        <v>1.0678845663353358</v>
      </c>
      <c r="AD2525" s="9">
        <v>0.92514893103448281</v>
      </c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</row>
    <row r="2526" spans="28:52">
      <c r="AB2526" s="9">
        <v>1.0173277935040674</v>
      </c>
      <c r="AC2526" s="9">
        <v>1.2954025133856766</v>
      </c>
      <c r="AD2526" s="9">
        <v>0.90759243554952507</v>
      </c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</row>
    <row r="2527" spans="28:52">
      <c r="AB2527" s="9">
        <v>1.0314164626312883</v>
      </c>
      <c r="AC2527" s="9">
        <v>1.2003164567654014</v>
      </c>
      <c r="AD2527" s="9">
        <v>0.907096270943336</v>
      </c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</row>
    <row r="2528" spans="28:52">
      <c r="AB2528" s="9">
        <v>1.0272568828461424</v>
      </c>
      <c r="AC2528" s="9">
        <v>1.3435082596710264</v>
      </c>
      <c r="AD2528" s="9">
        <v>0.914705355715977</v>
      </c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</row>
    <row r="2529" spans="28:52">
      <c r="AB2529" s="9">
        <v>1.0136853152639211</v>
      </c>
      <c r="AC2529" s="9">
        <v>0.96175397573860522</v>
      </c>
      <c r="AD2529" s="9">
        <v>0.91053649922852731</v>
      </c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</row>
    <row r="2530" spans="28:52">
      <c r="AB2530" s="9">
        <v>1.0144409574666975</v>
      </c>
      <c r="AC2530" s="9">
        <v>0.72637085384049249</v>
      </c>
      <c r="AD2530" s="9">
        <v>0.91410702458812809</v>
      </c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</row>
    <row r="2531" spans="28:52">
      <c r="AB2531" s="9">
        <v>1.007072287909786</v>
      </c>
      <c r="AC2531" s="9">
        <v>0.88606339934081824</v>
      </c>
      <c r="AD2531" s="9">
        <v>0.94333529516675596</v>
      </c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</row>
    <row r="2532" spans="28:52">
      <c r="AB2532" s="9">
        <v>0.97310579931833663</v>
      </c>
      <c r="AC2532" s="9">
        <v>0.68411043110674452</v>
      </c>
      <c r="AD2532" s="9">
        <v>0.96976147631289034</v>
      </c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</row>
    <row r="2533" spans="28:52">
      <c r="AB2533" s="9">
        <v>0.94481303024508545</v>
      </c>
      <c r="AC2533" s="9">
        <v>0.63088061171919485</v>
      </c>
      <c r="AD2533" s="9">
        <v>0.97590767807585566</v>
      </c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</row>
    <row r="2534" spans="28:52">
      <c r="AB2534" s="9">
        <v>0.93761545637135646</v>
      </c>
      <c r="AC2534" s="9">
        <v>0.62696773145934626</v>
      </c>
      <c r="AD2534" s="9">
        <v>0.95554915684496822</v>
      </c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</row>
    <row r="2535" spans="28:52">
      <c r="AB2535" s="9">
        <v>0.95718553365844439</v>
      </c>
      <c r="AC2535" s="9">
        <v>0.75409567645747855</v>
      </c>
      <c r="AD2535" s="9">
        <v>0.97407028328087386</v>
      </c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</row>
    <row r="2536" spans="28:52">
      <c r="AB2536" s="9">
        <v>0.93859861960486946</v>
      </c>
      <c r="AC2536" s="9">
        <v>0.50594438318337243</v>
      </c>
      <c r="AD2536" s="9">
        <v>0.98145219503082382</v>
      </c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</row>
    <row r="2537" spans="28:52">
      <c r="AB2537" s="9">
        <v>0.93185703596626945</v>
      </c>
      <c r="AC2537" s="9">
        <v>0.69517054285472069</v>
      </c>
      <c r="AD2537" s="9">
        <v>0.95980128040973101</v>
      </c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</row>
    <row r="2538" spans="28:52">
      <c r="AB2538" s="9">
        <v>0.95240859377419884</v>
      </c>
      <c r="AC2538" s="9">
        <v>0.76780714658567828</v>
      </c>
      <c r="AD2538" s="9">
        <v>0.94656883333755015</v>
      </c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</row>
    <row r="2539" spans="28:52">
      <c r="AB2539" s="9">
        <v>0.96481472963297454</v>
      </c>
      <c r="AC2539" s="9">
        <v>0.87066300283020504</v>
      </c>
      <c r="AD2539" s="9">
        <v>0.95086245677888992</v>
      </c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</row>
    <row r="2540" spans="28:52">
      <c r="AB2540" s="9">
        <v>0.95962622811637432</v>
      </c>
      <c r="AC2540" s="9">
        <v>0.89387128987849718</v>
      </c>
      <c r="AD2540" s="9">
        <v>0.95927636229749635</v>
      </c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</row>
    <row r="2541" spans="28:52">
      <c r="AB2541" s="9">
        <v>0.9501704184521137</v>
      </c>
      <c r="AC2541" s="9">
        <v>0.44250772470984773</v>
      </c>
      <c r="AD2541" s="9">
        <v>0.9570502673993686</v>
      </c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</row>
    <row r="2542" spans="28:52">
      <c r="AB2542" s="9">
        <v>0.95221809080268416</v>
      </c>
      <c r="AC2542" s="9">
        <v>0.41734875731819432</v>
      </c>
      <c r="AD2542" s="9">
        <v>0.9414252360203339</v>
      </c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</row>
    <row r="2543" spans="28:52">
      <c r="AB2543" s="9">
        <v>0.96698708208487882</v>
      </c>
      <c r="AC2543" s="9">
        <v>0.76690244837685917</v>
      </c>
      <c r="AD2543" s="9">
        <v>0.92240909415121264</v>
      </c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</row>
    <row r="2544" spans="28:52">
      <c r="AB2544" s="9">
        <v>0.98537695676307158</v>
      </c>
      <c r="AC2544" s="9">
        <v>1.3093986177660841</v>
      </c>
      <c r="AD2544" s="9">
        <v>0.92180668334524651</v>
      </c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</row>
    <row r="2545" spans="28:52">
      <c r="AB2545" s="9">
        <v>0.98360573904067916</v>
      </c>
      <c r="AC2545" s="9">
        <v>0.86507336006587687</v>
      </c>
      <c r="AD2545" s="9">
        <v>0.91895125960335899</v>
      </c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</row>
    <row r="2546" spans="28:52">
      <c r="AB2546" s="9">
        <v>0.98433862205325806</v>
      </c>
      <c r="AC2546" s="9">
        <v>0.59388333275738381</v>
      </c>
      <c r="AD2546" s="9">
        <v>0.91714052106330968</v>
      </c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</row>
    <row r="2547" spans="28:52">
      <c r="AB2547" s="9">
        <v>0.98375153929534132</v>
      </c>
      <c r="AC2547" s="9">
        <v>0.81869754576025922</v>
      </c>
      <c r="AD2547" s="9">
        <v>0.92614274836838284</v>
      </c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</row>
    <row r="2548" spans="28:52">
      <c r="AB2548" s="9">
        <v>0.97197583621551631</v>
      </c>
      <c r="AC2548" s="9">
        <v>0.63522904030020078</v>
      </c>
      <c r="AD2548" s="9">
        <v>0.92287484595868063</v>
      </c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</row>
    <row r="2549" spans="28:52">
      <c r="AB2549" s="9">
        <v>0.97407557350685292</v>
      </c>
      <c r="AC2549" s="9">
        <v>0.63836599045237785</v>
      </c>
      <c r="AD2549" s="9">
        <v>0.93707596011816829</v>
      </c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</row>
    <row r="2550" spans="28:52">
      <c r="AB2550" s="9">
        <v>0.95766461107093515</v>
      </c>
      <c r="AC2550" s="9">
        <v>0.49525840051524644</v>
      </c>
      <c r="AD2550" s="9">
        <v>0.94019762125998896</v>
      </c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</row>
    <row r="2551" spans="28:52">
      <c r="AB2551" s="9">
        <v>0.95391486768060885</v>
      </c>
      <c r="AC2551" s="9">
        <v>0.62732552863236235</v>
      </c>
      <c r="AD2551" s="9">
        <v>0.9507057692307691</v>
      </c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</row>
    <row r="2552" spans="28:52">
      <c r="AB2552" s="9">
        <v>0.94274150010293012</v>
      </c>
      <c r="AC2552" s="9">
        <v>0.86432626578611982</v>
      </c>
      <c r="AD2552" s="9">
        <v>0.93045761332099897</v>
      </c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</row>
    <row r="2553" spans="28:52">
      <c r="AB2553" s="9">
        <v>0.96251470884526624</v>
      </c>
      <c r="AC2553" s="9">
        <v>0.68504824914059192</v>
      </c>
      <c r="AD2553" s="9">
        <v>0.95551552250190697</v>
      </c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</row>
    <row r="2554" spans="28:52">
      <c r="AB2554" s="9">
        <v>0.93626830235809977</v>
      </c>
      <c r="AC2554" s="9">
        <v>0.7390263469998728</v>
      </c>
      <c r="AD2554" s="9">
        <v>0.95490598584815445</v>
      </c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</row>
    <row r="2555" spans="28:52">
      <c r="AB2555" s="9">
        <v>0.93599662590131949</v>
      </c>
      <c r="AC2555" s="9">
        <v>0.58263494744704425</v>
      </c>
      <c r="AD2555" s="9">
        <v>0.96136850850077271</v>
      </c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</row>
    <row r="2556" spans="28:52">
      <c r="AB2556" s="9">
        <v>0.92844751342347465</v>
      </c>
      <c r="AC2556" s="9">
        <v>0.60919024891080165</v>
      </c>
      <c r="AD2556" s="9">
        <v>0.94742037461773687</v>
      </c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</row>
    <row r="2557" spans="28:52">
      <c r="AB2557" s="9">
        <v>0.94015871791101902</v>
      </c>
      <c r="AC2557" s="9">
        <v>0.62559801593286612</v>
      </c>
      <c r="AD2557" s="9">
        <v>0.96366645386623251</v>
      </c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</row>
    <row r="2558" spans="28:52">
      <c r="AB2558" s="9">
        <v>0.92239145656876154</v>
      </c>
      <c r="AC2558" s="9">
        <v>0.49723473109258098</v>
      </c>
      <c r="AD2558" s="9">
        <v>0.93986045498325921</v>
      </c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</row>
    <row r="2559" spans="28:52">
      <c r="AB2559" s="9">
        <v>0.94379908676194424</v>
      </c>
      <c r="AC2559" s="9">
        <v>0.83662910773895771</v>
      </c>
      <c r="AD2559" s="9">
        <v>0.94598353941267399</v>
      </c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</row>
    <row r="2560" spans="28:52">
      <c r="AB2560" s="9">
        <v>0.93466071527114269</v>
      </c>
      <c r="AC2560" s="9">
        <v>0.46491341824429366</v>
      </c>
      <c r="AD2560" s="9">
        <v>0.94488293912369126</v>
      </c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</row>
    <row r="2561" spans="28:52">
      <c r="AB2561" s="9">
        <v>0.93255882135557522</v>
      </c>
      <c r="AC2561" s="9">
        <v>0.45345423447556343</v>
      </c>
      <c r="AD2561" s="9">
        <v>0.95499138134592676</v>
      </c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</row>
    <row r="2562" spans="28:52">
      <c r="AB2562" s="9">
        <v>0.92057239097249244</v>
      </c>
      <c r="AC2562" s="9">
        <v>0.45022283515128636</v>
      </c>
      <c r="AD2562" s="9">
        <v>0.94062341046082043</v>
      </c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</row>
    <row r="2563" spans="28:52">
      <c r="AB2563" s="9">
        <v>0.93328590022221025</v>
      </c>
      <c r="AC2563" s="9">
        <v>0.64695409427700346</v>
      </c>
      <c r="AD2563" s="9">
        <v>0.94329215417726464</v>
      </c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</row>
    <row r="2564" spans="28:52">
      <c r="AB2564" s="9">
        <v>0.92972623082401007</v>
      </c>
      <c r="AC2564" s="9">
        <v>0.60047779396882184</v>
      </c>
      <c r="AD2564" s="9">
        <v>0.96927515127067354</v>
      </c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</row>
    <row r="2565" spans="28:52">
      <c r="AB2565" s="9">
        <v>0.90437201669414558</v>
      </c>
      <c r="AC2565" s="9">
        <v>0.53647927930764006</v>
      </c>
      <c r="AD2565" s="9">
        <v>0.96044812662793011</v>
      </c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</row>
    <row r="2566" spans="28:52">
      <c r="AB2566" s="9">
        <v>0.91268696322037934</v>
      </c>
      <c r="AC2566" s="9">
        <v>0.60747033014760621</v>
      </c>
      <c r="AD2566" s="9">
        <v>0.91815891454269383</v>
      </c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</row>
    <row r="2567" spans="28:52">
      <c r="AB2567" s="9">
        <v>0.95402733697758002</v>
      </c>
      <c r="AC2567" s="9">
        <v>0.92556448350072706</v>
      </c>
      <c r="AD2567" s="9">
        <v>0.91274293915040161</v>
      </c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</row>
    <row r="2568" spans="28:52">
      <c r="AB2568" s="9">
        <v>0.95831038107232458</v>
      </c>
      <c r="AC2568" s="9">
        <v>0.98332206056466609</v>
      </c>
      <c r="AD2568" s="9">
        <v>0.9197077756286266</v>
      </c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</row>
    <row r="2569" spans="28:52">
      <c r="AB2569" s="9">
        <v>0.94974123684599188</v>
      </c>
      <c r="AC2569" s="9">
        <v>0.75521888558770434</v>
      </c>
      <c r="AD2569" s="9">
        <v>0.93316975782634359</v>
      </c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</row>
    <row r="2570" spans="28:52">
      <c r="AB2570" s="9">
        <v>0.93530516803340169</v>
      </c>
      <c r="AC2570" s="9">
        <v>0.45146365344821598</v>
      </c>
      <c r="AD2570" s="9">
        <v>0.92802182531893995</v>
      </c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</row>
    <row r="2571" spans="28:52">
      <c r="AB2571" s="9">
        <v>0.94063508874979751</v>
      </c>
      <c r="AC2571" s="9">
        <v>0.78044131902798086</v>
      </c>
      <c r="AD2571" s="9">
        <v>0.93242561404133206</v>
      </c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</row>
    <row r="2572" spans="28:52">
      <c r="AB2572" s="9">
        <v>0.93564982987764389</v>
      </c>
      <c r="AC2572" s="9">
        <v>0.55897075637680693</v>
      </c>
      <c r="AD2572" s="9">
        <v>0.93180237717908065</v>
      </c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</row>
    <row r="2573" spans="28:52">
      <c r="AB2573" s="9">
        <v>0.93603155182868625</v>
      </c>
      <c r="AC2573" s="9">
        <v>0.60876558823095617</v>
      </c>
      <c r="AD2573" s="9">
        <v>0.93620458807101525</v>
      </c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</row>
    <row r="2574" spans="28:52">
      <c r="AB2574" s="9">
        <v>0.93164921089702102</v>
      </c>
      <c r="AC2574" s="9">
        <v>0.53752148987482329</v>
      </c>
      <c r="AD2574" s="9">
        <v>0.93974367666912062</v>
      </c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</row>
    <row r="2575" spans="28:52">
      <c r="AB2575" s="9">
        <v>0.92904147138434623</v>
      </c>
      <c r="AC2575" s="9">
        <v>0.41151111865312473</v>
      </c>
      <c r="AD2575" s="9">
        <v>0.92348078798671662</v>
      </c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</row>
    <row r="2576" spans="28:52">
      <c r="AB2576" s="9">
        <v>0.94653407248701926</v>
      </c>
      <c r="AC2576" s="9">
        <v>0.60289225443261996</v>
      </c>
      <c r="AD2576" s="9">
        <v>0.89454739447249654</v>
      </c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</row>
    <row r="2577" spans="28:52">
      <c r="AB2577" s="9">
        <v>0.97804020185797724</v>
      </c>
      <c r="AC2577" s="9">
        <v>1.2695441546625559</v>
      </c>
      <c r="AD2577" s="9">
        <v>0.90399561420531704</v>
      </c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</row>
    <row r="2578" spans="28:52">
      <c r="AB2578" s="9">
        <v>0.96805817561856544</v>
      </c>
      <c r="AC2578" s="9">
        <v>0.87446728464530066</v>
      </c>
      <c r="AD2578" s="9">
        <v>0.88906172981247578</v>
      </c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</row>
    <row r="2579" spans="28:52">
      <c r="AB2579" s="9">
        <v>0.98396594912967594</v>
      </c>
      <c r="AC2579" s="9">
        <v>1.5123729163864457</v>
      </c>
      <c r="AD2579" s="9">
        <v>0.8789548852210205</v>
      </c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</row>
    <row r="2580" spans="28:52">
      <c r="AB2580" s="9">
        <v>0.99454342645286276</v>
      </c>
      <c r="AC2580" s="9">
        <v>0.81573371268266959</v>
      </c>
      <c r="AD2580" s="9">
        <v>0.87681382453475099</v>
      </c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</row>
    <row r="2581" spans="28:52">
      <c r="AB2581" s="9">
        <v>0.99559845657661206</v>
      </c>
      <c r="AC2581" s="9">
        <v>1.1392234985620655</v>
      </c>
      <c r="AD2581" s="9">
        <v>0.88331288155116128</v>
      </c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</row>
    <row r="2582" spans="28:52">
      <c r="AB2582" s="9">
        <v>0.98630626693586687</v>
      </c>
      <c r="AC2582" s="9">
        <v>1.2650426981232799</v>
      </c>
      <c r="AD2582" s="9">
        <v>0.89533174448134401</v>
      </c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</row>
    <row r="2583" spans="28:52">
      <c r="AB2583" s="9">
        <v>0.97046683075562756</v>
      </c>
      <c r="AC2583" s="9">
        <v>0.78360138467768825</v>
      </c>
      <c r="AD2583" s="9">
        <v>0.88560610084460401</v>
      </c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</row>
    <row r="2584" spans="28:52">
      <c r="AB2584" s="9">
        <v>0.97889436624956727</v>
      </c>
      <c r="AC2584" s="9">
        <v>0.6208286208996705</v>
      </c>
      <c r="AD2584" s="9">
        <v>0.89797025641025641</v>
      </c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</row>
    <row r="2585" spans="28:52">
      <c r="AB2585" s="9">
        <v>0.96370361449300757</v>
      </c>
      <c r="AC2585" s="9">
        <v>0.54417009540188443</v>
      </c>
      <c r="AD2585" s="9">
        <v>0.90126671958721971</v>
      </c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</row>
    <row r="2586" spans="28:52">
      <c r="AB2586" s="9">
        <v>0.95913108015632975</v>
      </c>
      <c r="AC2586" s="9">
        <v>0.56594404548017463</v>
      </c>
      <c r="AD2586" s="9">
        <v>0.90093064227480602</v>
      </c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</row>
    <row r="2587" spans="28:52">
      <c r="AB2587" s="9">
        <v>0.95840977996481813</v>
      </c>
      <c r="AC2587" s="9">
        <v>0.54263916203703533</v>
      </c>
      <c r="AD2587" s="9">
        <v>0.90698013643659692</v>
      </c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</row>
    <row r="2588" spans="28:52">
      <c r="AB2588" s="9">
        <v>0.95158567318271203</v>
      </c>
      <c r="AC2588" s="9">
        <v>0.75239820160591009</v>
      </c>
      <c r="AD2588" s="9">
        <v>0.91961753670473068</v>
      </c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</row>
    <row r="2589" spans="28:52">
      <c r="AB2589" s="9">
        <v>0.93856653330498752</v>
      </c>
      <c r="AC2589" s="9">
        <v>0.67551001926768095</v>
      </c>
      <c r="AD2589" s="9">
        <v>0.94077220480668744</v>
      </c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</row>
    <row r="2590" spans="28:52">
      <c r="AB2590" s="9">
        <v>0.91828700343510339</v>
      </c>
      <c r="AC2590" s="9">
        <v>0.68597005186309479</v>
      </c>
      <c r="AD2590" s="9">
        <v>0.93148045595854889</v>
      </c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</row>
    <row r="2591" spans="28:52">
      <c r="AB2591" s="9">
        <v>0.92812571388736909</v>
      </c>
      <c r="AC2591" s="9">
        <v>0.69932284437031933</v>
      </c>
      <c r="AD2591" s="9">
        <v>0.94057432885906023</v>
      </c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</row>
    <row r="2592" spans="28:52">
      <c r="AB2592" s="9">
        <v>0.91951004771076916</v>
      </c>
      <c r="AC2592" s="9">
        <v>0.63148429438058384</v>
      </c>
      <c r="AD2592" s="9">
        <v>0.91651476551300426</v>
      </c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</row>
    <row r="2593" spans="28:52">
      <c r="AB2593" s="9">
        <v>0.94396337259728647</v>
      </c>
      <c r="AC2593" s="9">
        <v>0.91882865201914998</v>
      </c>
      <c r="AD2593" s="9">
        <v>0.91352099877200166</v>
      </c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</row>
    <row r="2594" spans="28:52">
      <c r="AB2594" s="9">
        <v>0.94718738270414127</v>
      </c>
      <c r="AC2594" s="9">
        <v>0.63455224209119876</v>
      </c>
      <c r="AD2594" s="9">
        <v>0.91870373735288013</v>
      </c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</row>
    <row r="2595" spans="28:52">
      <c r="AB2595" s="9">
        <v>0.94160050933141071</v>
      </c>
      <c r="AC2595" s="9">
        <v>0.57796130133361012</v>
      </c>
      <c r="AD2595" s="9">
        <v>0.93510698459590624</v>
      </c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</row>
    <row r="2596" spans="28:52">
      <c r="AB2596" s="9">
        <v>0.92446462690897857</v>
      </c>
      <c r="AC2596" s="9">
        <v>0.59292681395597902</v>
      </c>
      <c r="AD2596" s="9">
        <v>0.93696844340624319</v>
      </c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</row>
    <row r="2597" spans="28:52">
      <c r="AB2597" s="9">
        <v>0.92177834748338461</v>
      </c>
      <c r="AC2597" s="9">
        <v>0.57826333274110231</v>
      </c>
      <c r="AD2597" s="9">
        <v>0.93342349691948157</v>
      </c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</row>
    <row r="2598" spans="28:52">
      <c r="AB2598" s="9">
        <v>0.9243143451112098</v>
      </c>
      <c r="AC2598" s="9">
        <v>0.9198094897335759</v>
      </c>
      <c r="AD2598" s="9">
        <v>0.93911556796220741</v>
      </c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</row>
    <row r="2599" spans="28:52">
      <c r="AB2599" s="9">
        <v>0.91759869170957764</v>
      </c>
      <c r="AC2599" s="9">
        <v>0.69762797953283251</v>
      </c>
      <c r="AD2599" s="9">
        <v>0.94284189774696703</v>
      </c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</row>
    <row r="2600" spans="28:52">
      <c r="AB2600" s="9">
        <v>0.91239660378153598</v>
      </c>
      <c r="AC2600" s="9">
        <v>0.75398756605959238</v>
      </c>
      <c r="AD2600" s="9">
        <v>0.95217862796833785</v>
      </c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</row>
    <row r="2601" spans="28:52">
      <c r="AB2601" s="9">
        <v>0.90192580196731686</v>
      </c>
      <c r="AC2601" s="9">
        <v>0.745637695292238</v>
      </c>
      <c r="AD2601" s="9">
        <v>0.93015842866393261</v>
      </c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</row>
    <row r="2602" spans="28:52">
      <c r="AB2602" s="9">
        <v>0.92123410612672585</v>
      </c>
      <c r="AC2602" s="9">
        <v>1.098658195422243</v>
      </c>
      <c r="AD2602" s="9">
        <v>0.9563600000000001</v>
      </c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</row>
    <row r="2603" spans="28:52">
      <c r="AB2603" s="9">
        <v>0.89508033909834261</v>
      </c>
      <c r="AC2603" s="9">
        <v>1.2948412476592415</v>
      </c>
      <c r="AD2603" s="9">
        <v>0.9777763736263736</v>
      </c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</row>
    <row r="2604" spans="28:52">
      <c r="AB2604" s="9">
        <v>0.87478911834434792</v>
      </c>
      <c r="AC2604" s="9">
        <v>0.88637782803035381</v>
      </c>
      <c r="AD2604" s="9">
        <v>0.97376023793182354</v>
      </c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</row>
    <row r="2605" spans="28:52">
      <c r="AB2605" s="9">
        <v>0.87840873735144676</v>
      </c>
      <c r="AC2605" s="9">
        <v>0.97872174962751124</v>
      </c>
      <c r="AD2605" s="9">
        <v>1.004676084380185</v>
      </c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</row>
    <row r="2606" spans="28:52">
      <c r="AB2606" s="9">
        <v>0.85113621540415751</v>
      </c>
      <c r="AC2606" s="9">
        <v>0.85297091546880521</v>
      </c>
      <c r="AD2606" s="9">
        <v>1.0079411933174225</v>
      </c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</row>
    <row r="2607" spans="28:52">
      <c r="AB2607" s="9">
        <v>0.84885457508507689</v>
      </c>
      <c r="AC2607" s="9">
        <v>1.135325462928402</v>
      </c>
      <c r="AD2607" s="9">
        <v>0.9973975494807279</v>
      </c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</row>
    <row r="2608" spans="28:52">
      <c r="AB2608" s="9">
        <v>0.85813484620030311</v>
      </c>
      <c r="AC2608" s="9">
        <v>0.85082475776827426</v>
      </c>
      <c r="AD2608" s="9">
        <v>1.0107707499885594</v>
      </c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</row>
    <row r="2609" spans="28:52">
      <c r="AB2609" s="9">
        <v>0.84795377054555954</v>
      </c>
      <c r="AC2609" s="9">
        <v>0.70709514614038338</v>
      </c>
      <c r="AD2609" s="9">
        <v>1.0354506195601334</v>
      </c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</row>
    <row r="2610" spans="28:52">
      <c r="AB2610" s="9">
        <v>0.82909593524533753</v>
      </c>
      <c r="AC2610" s="9">
        <v>0.83429234204402758</v>
      </c>
      <c r="AD2610" s="9">
        <v>1.0095698742746615</v>
      </c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</row>
    <row r="2611" spans="28:52">
      <c r="AB2611" s="9">
        <v>0.85220959031672316</v>
      </c>
      <c r="AC2611" s="9">
        <v>1.0160330465311596</v>
      </c>
      <c r="AD2611" s="9">
        <v>0.96945572093023258</v>
      </c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</row>
    <row r="2612" spans="28:52">
      <c r="AB2612" s="9">
        <v>0.88886570028912115</v>
      </c>
      <c r="AC2612" s="9">
        <v>1.3783023590123606</v>
      </c>
      <c r="AD2612" s="9">
        <v>0.96265962962962981</v>
      </c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</row>
    <row r="2613" spans="28:52">
      <c r="AB2613" s="9">
        <v>0.8960487609823532</v>
      </c>
      <c r="AC2613" s="9">
        <v>1.6457978616525133</v>
      </c>
      <c r="AD2613" s="9">
        <v>0.95630673431734325</v>
      </c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</row>
    <row r="2614" spans="28:52">
      <c r="AB2614" s="9">
        <v>0.90226824326666721</v>
      </c>
      <c r="AC2614" s="9">
        <v>0.432569157551498</v>
      </c>
      <c r="AD2614" s="9">
        <v>0.9498563791187089</v>
      </c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</row>
    <row r="2615" spans="28:52">
      <c r="AB2615" s="9">
        <v>0.90840351480556403</v>
      </c>
      <c r="AC2615" s="9">
        <v>1.0800312872202371</v>
      </c>
      <c r="AD2615" s="9">
        <v>0.91873666815880872</v>
      </c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</row>
    <row r="2616" spans="28:52">
      <c r="AB2616" s="9">
        <v>0.93866719581006741</v>
      </c>
      <c r="AC2616" s="9">
        <v>1.4032943152071913</v>
      </c>
      <c r="AD2616" s="9">
        <v>0.90768070135167378</v>
      </c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</row>
    <row r="2617" spans="28:52">
      <c r="AB2617" s="9">
        <v>0.94982916752148971</v>
      </c>
      <c r="AC2617" s="9">
        <v>1.5839739058856295</v>
      </c>
      <c r="AD2617" s="9">
        <v>0.91703359406629381</v>
      </c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</row>
    <row r="2618" spans="28:52">
      <c r="AB2618" s="9">
        <v>0.94023852332878755</v>
      </c>
      <c r="AC2618" s="9">
        <v>0.91606835588848712</v>
      </c>
      <c r="AD2618" s="9">
        <v>0.92822057220708487</v>
      </c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</row>
    <row r="2619" spans="28:52">
      <c r="AB2619" s="9">
        <v>0.92919837524473758</v>
      </c>
      <c r="AC2619" s="9">
        <v>0.81120374920301019</v>
      </c>
      <c r="AD2619" s="9">
        <v>0.90373203960922466</v>
      </c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</row>
    <row r="2620" spans="28:52">
      <c r="AB2620" s="9">
        <v>0.95470412103265168</v>
      </c>
      <c r="AC2620" s="9">
        <v>1.2485866573307163</v>
      </c>
      <c r="AD2620" s="9">
        <v>0.91479835990396829</v>
      </c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</row>
    <row r="2621" spans="28:52">
      <c r="AB2621" s="9">
        <v>0.94341415264590833</v>
      </c>
      <c r="AC2621" s="9">
        <v>1.1734788766649025</v>
      </c>
      <c r="AD2621" s="9">
        <v>0.90718817219912873</v>
      </c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</row>
    <row r="2622" spans="28:52">
      <c r="AB2622" s="9">
        <v>0.95177699508118918</v>
      </c>
      <c r="AC2622" s="9">
        <v>0.94445248005828508</v>
      </c>
      <c r="AD2622" s="9">
        <v>0.89656686043939549</v>
      </c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</row>
    <row r="2623" spans="28:52">
      <c r="AB2623" s="9">
        <v>0.96325879247768531</v>
      </c>
      <c r="AC2623" s="9">
        <v>0.87845080130196485</v>
      </c>
      <c r="AD2623" s="9">
        <v>0.88048208994247879</v>
      </c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</row>
    <row r="2624" spans="28:52">
      <c r="AB2624" s="9">
        <v>0.9796945204218579</v>
      </c>
      <c r="AC2624" s="9">
        <v>1.0162987102604855</v>
      </c>
      <c r="AD2624" s="9">
        <v>0.87113185712648011</v>
      </c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</row>
    <row r="2625" spans="28:52">
      <c r="AB2625" s="9">
        <v>0.98837503636569202</v>
      </c>
      <c r="AC2625" s="9">
        <v>1.4207258573375887</v>
      </c>
      <c r="AD2625" s="9">
        <v>0.85623798623096747</v>
      </c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</row>
    <row r="2626" spans="28:52">
      <c r="AB2626" s="9">
        <v>1.0037257509800466</v>
      </c>
      <c r="AC2626" s="9">
        <v>1.3638291815378378</v>
      </c>
      <c r="AD2626" s="9">
        <v>0.86230758285256026</v>
      </c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</row>
    <row r="2627" spans="28:52">
      <c r="AB2627" s="9">
        <v>0.99572173424862798</v>
      </c>
      <c r="AC2627" s="9">
        <v>1.1173043373308902</v>
      </c>
      <c r="AD2627" s="9">
        <v>0.8765319667015361</v>
      </c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</row>
    <row r="2628" spans="28:52">
      <c r="AB2628" s="9">
        <v>0.97936467548811468</v>
      </c>
      <c r="AC2628" s="9">
        <v>0.98653673220226668</v>
      </c>
      <c r="AD2628" s="9">
        <v>0.87210665544531496</v>
      </c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</row>
    <row r="2629" spans="28:52">
      <c r="AB2629" s="9">
        <v>0.984838843807188</v>
      </c>
      <c r="AC2629" s="9">
        <v>0.90585281430569675</v>
      </c>
      <c r="AD2629" s="9">
        <v>0.88491986665240518</v>
      </c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</row>
    <row r="2630" spans="28:52">
      <c r="AB2630" s="9">
        <v>0.97189232776130574</v>
      </c>
      <c r="AC2630" s="9">
        <v>1.0658867058993973</v>
      </c>
      <c r="AD2630" s="9">
        <v>0.88884733707643482</v>
      </c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</row>
    <row r="2631" spans="28:52">
      <c r="AB2631" s="9">
        <v>0.96926508018557356</v>
      </c>
      <c r="AC2631" s="9">
        <v>0.9949029534940711</v>
      </c>
      <c r="AD2631" s="9">
        <v>0.9181049666846085</v>
      </c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</row>
    <row r="2632" spans="28:52">
      <c r="AB2632" s="9">
        <v>0.9404601567741967</v>
      </c>
      <c r="AC2632" s="9">
        <v>1.0448303388595162</v>
      </c>
      <c r="AD2632" s="9">
        <v>0.90193347093772469</v>
      </c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</row>
    <row r="2633" spans="28:52">
      <c r="AB2633" s="9">
        <v>0.95973215974681669</v>
      </c>
      <c r="AC2633" s="9">
        <v>1.1080276686677955</v>
      </c>
      <c r="AD2633" s="9">
        <v>0.90413659068121388</v>
      </c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</row>
    <row r="2634" spans="28:52">
      <c r="AB2634" s="9">
        <v>0.95951219550767708</v>
      </c>
      <c r="AC2634" s="9">
        <v>0.84730245715400687</v>
      </c>
      <c r="AD2634" s="9">
        <v>0.87559770132788051</v>
      </c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</row>
    <row r="2635" spans="28:52">
      <c r="AB2635" s="9">
        <v>0.99277923092522846</v>
      </c>
      <c r="AC2635" s="9">
        <v>1.4930682145583196</v>
      </c>
      <c r="AD2635" s="9">
        <v>0.87606999329464086</v>
      </c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</row>
    <row r="2636" spans="28:52">
      <c r="AB2636" s="9">
        <v>0.99405837431707689</v>
      </c>
      <c r="AC2636" s="9">
        <v>1.4194979726266446</v>
      </c>
      <c r="AD2636" s="9">
        <v>0.87473207316207802</v>
      </c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</row>
    <row r="2637" spans="28:52">
      <c r="AB2637" s="9">
        <v>0.99757786332105503</v>
      </c>
      <c r="AC2637" s="9">
        <v>1.157720015256086</v>
      </c>
      <c r="AD2637" s="9">
        <v>0.88564294003955302</v>
      </c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</row>
    <row r="2638" spans="28:52">
      <c r="AB2638" s="9">
        <v>0.98779672129460905</v>
      </c>
      <c r="AC2638" s="9">
        <v>0.92172884731657001</v>
      </c>
      <c r="AD2638" s="9">
        <v>0.87800820290506587</v>
      </c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</row>
    <row r="2639" spans="28:52">
      <c r="AB2639" s="9">
        <v>0.99820841279590911</v>
      </c>
      <c r="AC2639" s="9">
        <v>1.1358411514014661</v>
      </c>
      <c r="AD2639" s="9">
        <v>0.89180412708959056</v>
      </c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</row>
    <row r="2640" spans="28:52">
      <c r="AB2640" s="9">
        <v>0.98454002644895444</v>
      </c>
      <c r="AC2640" s="9">
        <v>0.96423080783799897</v>
      </c>
      <c r="AD2640" s="9">
        <v>0.90973228898221881</v>
      </c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</row>
    <row r="2641" spans="28:52">
      <c r="AB2641" s="9">
        <v>0.96735572992582908</v>
      </c>
      <c r="AC2641" s="9">
        <v>0.81624530680961671</v>
      </c>
      <c r="AD2641" s="9">
        <v>0.91820657530170879</v>
      </c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</row>
    <row r="2642" spans="28:52">
      <c r="AB2642" s="9">
        <v>0.96130315504854424</v>
      </c>
      <c r="AC2642" s="9">
        <v>0.74974307287047581</v>
      </c>
      <c r="AD2642" s="9">
        <v>0.92243006691380469</v>
      </c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</row>
    <row r="2643" spans="28:52">
      <c r="AB2643" s="9">
        <v>0.96093535970585719</v>
      </c>
      <c r="AC2643" s="9">
        <v>0.60275458646108859</v>
      </c>
      <c r="AD2643" s="9">
        <v>0.94859607415015312</v>
      </c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</row>
    <row r="2644" spans="28:52">
      <c r="AB2644" s="9">
        <v>0.93878738462577205</v>
      </c>
      <c r="AC2644" s="9">
        <v>0.7281703219136747</v>
      </c>
      <c r="AD2644" s="9">
        <v>1.0038311039370118</v>
      </c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</row>
    <row r="2645" spans="28:52">
      <c r="AB2645" s="9">
        <v>0.89191356732029448</v>
      </c>
      <c r="AC2645" s="9">
        <v>0.3960503835343705</v>
      </c>
      <c r="AD2645" s="9">
        <v>1.0538542157886088</v>
      </c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</row>
    <row r="2646" spans="28:52">
      <c r="AB2646" s="9">
        <v>0.85549914912894409</v>
      </c>
      <c r="AC2646" s="9">
        <v>1.0595007966387644</v>
      </c>
      <c r="AD2646" s="9">
        <v>1.0556014810896586</v>
      </c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</row>
    <row r="2647" spans="28:52">
      <c r="AB2647" s="9">
        <v>0.86056514070706647</v>
      </c>
      <c r="AC2647" s="9">
        <v>0.57559792448243796</v>
      </c>
      <c r="AD2647" s="9">
        <v>1.0837293313579386</v>
      </c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</row>
    <row r="2648" spans="28:52">
      <c r="AB2648" s="9">
        <v>0.84574661368894744</v>
      </c>
      <c r="AC2648" s="9">
        <v>0.62103783789568123</v>
      </c>
      <c r="AD2648" s="9">
        <v>1.1219547586898111</v>
      </c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</row>
    <row r="2649" spans="28:52">
      <c r="AB2649" s="9">
        <v>0.82530317946622433</v>
      </c>
      <c r="AC2649" s="9">
        <v>0.29431027130702014</v>
      </c>
      <c r="AD2649" s="9">
        <v>1.1480220517276016</v>
      </c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</row>
    <row r="2650" spans="28:52">
      <c r="AB2650" s="9">
        <v>0.81595731346462685</v>
      </c>
      <c r="AC2650" s="9">
        <v>0.97744253086029753</v>
      </c>
      <c r="AD2650" s="9">
        <v>1.1706674146626284</v>
      </c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</row>
    <row r="2651" spans="28:52">
      <c r="AB2651" s="9">
        <v>0.81073015790509362</v>
      </c>
      <c r="AC2651" s="9">
        <v>1.3743654799866147</v>
      </c>
      <c r="AD2651" s="9">
        <v>1.1382769967425443</v>
      </c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</row>
    <row r="2652" spans="28:52">
      <c r="AB2652" s="9">
        <v>0.84525481301663452</v>
      </c>
      <c r="AC2652" s="9">
        <v>1.3358748354280459</v>
      </c>
      <c r="AD2652" s="9">
        <v>1.1662567026289155</v>
      </c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</row>
    <row r="2653" spans="28:52">
      <c r="AB2653" s="9">
        <v>0.83532915288277454</v>
      </c>
      <c r="AC2653" s="9">
        <v>0.86777390440682534</v>
      </c>
      <c r="AD2653" s="9">
        <v>1.1534144638074857</v>
      </c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</row>
    <row r="2654" spans="28:52">
      <c r="AB2654" s="9">
        <v>0.85448273690848342</v>
      </c>
      <c r="AC2654" s="9">
        <v>1.1097276340373134</v>
      </c>
      <c r="AD2654" s="9">
        <v>1.2121423662417092</v>
      </c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</row>
    <row r="2655" spans="28:52">
      <c r="AB2655" s="9">
        <v>0.8238602879108744</v>
      </c>
      <c r="AC2655" s="9">
        <v>0.52875131333490588</v>
      </c>
      <c r="AD2655" s="9">
        <v>1.2393884965150619</v>
      </c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</row>
    <row r="2656" spans="28:52">
      <c r="AB2656" s="9">
        <v>0.81601627704158208</v>
      </c>
      <c r="AC2656" s="9">
        <v>0.66168598854635408</v>
      </c>
      <c r="AD2656" s="9">
        <v>1.2342541632557253</v>
      </c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</row>
    <row r="2657" spans="28:52">
      <c r="AB2657" s="9">
        <v>0.82997675553841266</v>
      </c>
      <c r="AC2657" s="9">
        <v>0.99942960425871519</v>
      </c>
      <c r="AD2657" s="9">
        <v>1.2135999843813616</v>
      </c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</row>
    <row r="2658" spans="28:52">
      <c r="AB2658" s="9">
        <v>0.85436253026045017</v>
      </c>
      <c r="AC2658" s="9">
        <v>0.93646248041737945</v>
      </c>
      <c r="AD2658" s="9">
        <v>1.2459524763162748</v>
      </c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</row>
    <row r="2659" spans="28:52">
      <c r="AB2659" s="9">
        <v>0.84138026372641139</v>
      </c>
      <c r="AC2659" s="9">
        <v>0.60395142646396338</v>
      </c>
      <c r="AD2659" s="9">
        <v>1.2214165513010746</v>
      </c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</row>
    <row r="2660" spans="28:52">
      <c r="AB2660" s="9">
        <v>0.86668897094799491</v>
      </c>
      <c r="AC2660" s="9">
        <v>0.81721214249219543</v>
      </c>
      <c r="AD2660" s="9">
        <v>1.1752260331985021</v>
      </c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</row>
    <row r="2661" spans="28:52">
      <c r="AB2661" s="9">
        <v>0.9091483507072633</v>
      </c>
      <c r="AC2661" s="9">
        <v>1.1443073096487721</v>
      </c>
      <c r="AD2661" s="9">
        <v>1.1785901880836507</v>
      </c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</row>
    <row r="2662" spans="28:52">
      <c r="AB2662" s="9">
        <v>0.91411006005353213</v>
      </c>
      <c r="AC2662" s="9">
        <v>1.6205354509724015</v>
      </c>
      <c r="AD2662" s="9">
        <v>1.2140839577464027</v>
      </c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</row>
    <row r="2663" spans="28:52">
      <c r="AB2663" s="9">
        <v>0.89540065394185908</v>
      </c>
      <c r="AC2663" s="9">
        <v>0.73122070539362383</v>
      </c>
      <c r="AD2663" s="9">
        <v>1.1896044934283085</v>
      </c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</row>
    <row r="2664" spans="28:52">
      <c r="AB2664" s="9">
        <v>0.922866152022913</v>
      </c>
      <c r="AC2664" s="9">
        <v>1.3794701451083631</v>
      </c>
      <c r="AD2664" s="9">
        <v>1.1997221347607052</v>
      </c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</row>
    <row r="2665" spans="28:52">
      <c r="AB2665" s="9">
        <v>0.9238595902137785</v>
      </c>
      <c r="AC2665" s="9">
        <v>0.80559077480807451</v>
      </c>
      <c r="AD2665" s="9">
        <v>1.196898445504236</v>
      </c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</row>
    <row r="2666" spans="28:52">
      <c r="AB2666" s="9">
        <v>0.93512545001583947</v>
      </c>
      <c r="AC2666" s="9">
        <v>1.1789479010381299</v>
      </c>
      <c r="AD2666" s="9">
        <v>1.1879828847721643</v>
      </c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</row>
    <row r="2667" spans="28:52">
      <c r="AB2667" s="9">
        <v>0.95141491448773585</v>
      </c>
      <c r="AC2667" s="9">
        <v>1.1760028305775325</v>
      </c>
      <c r="AD2667" s="9">
        <v>1.2045369887621886</v>
      </c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</row>
    <row r="2668" spans="28:52">
      <c r="AB2668" s="9">
        <v>0.94778143623176692</v>
      </c>
      <c r="AC2668" s="9">
        <v>1.0934451464069854</v>
      </c>
      <c r="AD2668" s="9">
        <v>1.1792786460880884</v>
      </c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</row>
    <row r="2669" spans="28:52">
      <c r="AB2669" s="9">
        <v>0.9772359450219934</v>
      </c>
      <c r="AC2669" s="9">
        <v>1.3605396314304383</v>
      </c>
      <c r="AD2669" s="9">
        <v>1.1794496286326701</v>
      </c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</row>
    <row r="2670" spans="28:52">
      <c r="AB2670" s="9">
        <v>0.98591993687281554</v>
      </c>
      <c r="AC2670" s="9">
        <v>1.2402789885876886</v>
      </c>
      <c r="AD2670" s="9">
        <v>1.1783434934970829</v>
      </c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</row>
    <row r="2671" spans="28:52">
      <c r="AB2671" s="9">
        <v>0.99560993724380409</v>
      </c>
      <c r="AC2671" s="9">
        <v>1.7657184232269296</v>
      </c>
      <c r="AD2671" s="9">
        <v>1.1809157954293867</v>
      </c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</row>
    <row r="2672" spans="28:52">
      <c r="AB2672" s="9">
        <v>1.0029449588464669</v>
      </c>
      <c r="AC2672" s="9">
        <v>1.1669777958962775</v>
      </c>
      <c r="AD2672" s="9">
        <v>1.2349136916087147</v>
      </c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</row>
    <row r="2673" spans="28:52">
      <c r="AB2673" s="9">
        <v>0.968956021100005</v>
      </c>
      <c r="AC2673" s="9">
        <v>1.0782453796873988</v>
      </c>
      <c r="AD2673" s="9">
        <v>1.2487386928107926</v>
      </c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</row>
    <row r="2674" spans="28:52">
      <c r="AB2674" s="9">
        <v>0.96924807709230465</v>
      </c>
      <c r="AC2674" s="9">
        <v>1.1144082129317654</v>
      </c>
      <c r="AD2674" s="9">
        <v>1.2504280999264572</v>
      </c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</row>
    <row r="2675" spans="28:52">
      <c r="AB2675" s="9">
        <v>0.97912529556717742</v>
      </c>
      <c r="AC2675" s="9">
        <v>1.0985971178160996</v>
      </c>
      <c r="AD2675" s="9">
        <v>1.2377085292411116</v>
      </c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</row>
    <row r="2676" spans="28:52">
      <c r="AB2676" s="9">
        <v>0.99969672672377574</v>
      </c>
      <c r="AC2676" s="9">
        <v>1.4623231215657111</v>
      </c>
      <c r="AD2676" s="9">
        <v>1.2207347610960395</v>
      </c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</row>
    <row r="2677" spans="28:52">
      <c r="AB2677" s="9">
        <v>1.0230595887814473</v>
      </c>
      <c r="AC2677" s="9">
        <v>1.4806787554863496</v>
      </c>
      <c r="AD2677" s="9">
        <v>1.2274217961654892</v>
      </c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</row>
    <row r="2678" spans="28:52">
      <c r="AB2678" s="9">
        <v>1.026068841395549</v>
      </c>
      <c r="AC2678" s="9">
        <v>1.8303250450500128</v>
      </c>
      <c r="AD2678" s="9">
        <v>1.2119748445823262</v>
      </c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</row>
    <row r="2679" spans="28:52">
      <c r="AB2679" s="9">
        <v>1.0471039780558287</v>
      </c>
      <c r="AC2679" s="9">
        <v>1.610445259964786</v>
      </c>
      <c r="AD2679" s="9">
        <v>1.2252469268663102</v>
      </c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</row>
    <row r="2680" spans="28:52">
      <c r="AB2680" s="9">
        <v>1.0431337599580708</v>
      </c>
      <c r="AC2680" s="9">
        <v>1.5072977851565303</v>
      </c>
      <c r="AD2680" s="9">
        <v>1.2353200704208271</v>
      </c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</row>
    <row r="2681" spans="28:52">
      <c r="AB2681" s="9">
        <v>1.0420621883533379</v>
      </c>
      <c r="AC2681" s="9">
        <v>1.1835735376960006</v>
      </c>
      <c r="AD2681" s="9">
        <v>1.2288828868123935</v>
      </c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</row>
    <row r="2682" spans="28:52">
      <c r="AB2682" s="9">
        <v>1.0551406265820293</v>
      </c>
      <c r="AC2682" s="9">
        <v>1.1677957076628329</v>
      </c>
      <c r="AD2682" s="9">
        <v>1.2474925904258145</v>
      </c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</row>
    <row r="2683" spans="28:52">
      <c r="AB2683" s="9">
        <v>1.0473281402158923</v>
      </c>
      <c r="AC2683" s="9">
        <v>1.4293459855289687</v>
      </c>
      <c r="AD2683" s="9">
        <v>1.2139625967225376</v>
      </c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</row>
    <row r="2684" spans="28:52">
      <c r="AB2684" s="9">
        <v>1.0835659144313996</v>
      </c>
      <c r="AC2684" s="9">
        <v>1.9639461941798373</v>
      </c>
      <c r="AD2684" s="9">
        <v>1.1861804118912069</v>
      </c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</row>
    <row r="2685" spans="28:52">
      <c r="AB2685" s="9">
        <v>1.1160488112542659</v>
      </c>
      <c r="AC2685" s="9">
        <v>2.1217295412909305</v>
      </c>
      <c r="AD2685" s="9">
        <v>1.1816600474067942</v>
      </c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</row>
    <row r="2686" spans="28:52">
      <c r="AB2686" s="9">
        <v>1.1272814315684736</v>
      </c>
      <c r="AC2686" s="9">
        <v>2.1570226198779054</v>
      </c>
      <c r="AD2686" s="9">
        <v>1.1620218395428952</v>
      </c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</row>
    <row r="2687" spans="28:52">
      <c r="AB2687" s="9">
        <v>1.1529133288433056</v>
      </c>
      <c r="AC2687" s="9">
        <v>1.802527576195172</v>
      </c>
      <c r="AD2687" s="9">
        <v>1.1920549845145649</v>
      </c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</row>
    <row r="2688" spans="28:52">
      <c r="AB2688" s="9">
        <v>1.1293783816021477</v>
      </c>
      <c r="AC2688" s="9">
        <v>2.2684652896899991</v>
      </c>
      <c r="AD2688" s="9">
        <v>1.1776440043499647</v>
      </c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</row>
    <row r="2689" spans="28:52">
      <c r="AB2689" s="9">
        <v>1.1488074588086168</v>
      </c>
      <c r="AC2689" s="9">
        <v>1.5405655878239599</v>
      </c>
      <c r="AD2689" s="9">
        <v>1.2057184911528482</v>
      </c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</row>
    <row r="2690" spans="28:52">
      <c r="AB2690" s="9">
        <v>1.1275421273183428</v>
      </c>
      <c r="AC2690" s="9">
        <v>1.4221184154982089</v>
      </c>
      <c r="AD2690" s="9">
        <v>1.1935238145817288</v>
      </c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</row>
    <row r="2691" spans="28:52">
      <c r="AB2691" s="9">
        <v>1.1439922257497435</v>
      </c>
      <c r="AC2691" s="9">
        <v>1.5491949187257872</v>
      </c>
      <c r="AD2691" s="9">
        <v>1.17618676654399</v>
      </c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</row>
    <row r="2692" spans="28:52">
      <c r="AB2692" s="9">
        <v>1.1647775899412263</v>
      </c>
      <c r="AC2692" s="9">
        <v>1.8639320448246461</v>
      </c>
      <c r="AD2692" s="9">
        <v>1.1887710274150554</v>
      </c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</row>
    <row r="2693" spans="28:52">
      <c r="AB2693" s="9">
        <v>1.1560011038258005</v>
      </c>
      <c r="AC2693" s="9">
        <v>2.0988752808121212</v>
      </c>
      <c r="AD2693" s="9">
        <v>1.2303047050306009</v>
      </c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</row>
    <row r="2694" spans="28:52">
      <c r="AB2694" s="9">
        <v>1.1209657426933</v>
      </c>
      <c r="AC2694" s="9">
        <v>1.6157758484237625</v>
      </c>
      <c r="AD2694" s="9">
        <v>1.2320888166365491</v>
      </c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</row>
    <row r="2695" spans="28:52">
      <c r="AB2695" s="9">
        <v>1.122660423371211</v>
      </c>
      <c r="AC2695" s="9">
        <v>1.0671894260023946</v>
      </c>
      <c r="AD2695" s="9">
        <v>1.2452299870302987</v>
      </c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</row>
    <row r="2696" spans="28:52">
      <c r="AB2696" s="9">
        <v>1.1127198608388618</v>
      </c>
      <c r="AC2696" s="9">
        <v>1.3083848198513162</v>
      </c>
      <c r="AD2696" s="9">
        <v>1.1955462154129568</v>
      </c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</row>
    <row r="2697" spans="28:52">
      <c r="AB2697" s="9">
        <v>1.1591772508573823</v>
      </c>
      <c r="AC2697" s="9">
        <v>1.4421910652938104</v>
      </c>
      <c r="AD2697" s="9">
        <v>1.1697280354479134</v>
      </c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</row>
    <row r="2698" spans="28:52">
      <c r="AB2698" s="9">
        <v>1.1827683175325843</v>
      </c>
      <c r="AC2698" s="9">
        <v>1.8268006933669512</v>
      </c>
      <c r="AD2698" s="9">
        <v>1.1355927839238427</v>
      </c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</row>
    <row r="2699" spans="28:52">
      <c r="AB2699" s="9">
        <v>1.2139781726696952</v>
      </c>
      <c r="AC2699" s="9">
        <v>2.5322824856864083</v>
      </c>
      <c r="AD2699" s="9">
        <v>1.0758626263712214</v>
      </c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</row>
    <row r="2700" spans="28:52">
      <c r="AB2700" s="9">
        <v>1.2735429631449406</v>
      </c>
      <c r="AC2700" s="9">
        <v>2.4314915426502122</v>
      </c>
      <c r="AD2700" s="9">
        <v>1.0517266630795679</v>
      </c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</row>
    <row r="2701" spans="28:52">
      <c r="AB2701" s="9">
        <v>1.2924919576818923</v>
      </c>
      <c r="AC2701" s="9">
        <v>2.4744438426726996</v>
      </c>
      <c r="AD2701" s="9">
        <v>1.0555881291719285</v>
      </c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</row>
    <row r="2702" spans="28:52">
      <c r="AB2702" s="9">
        <v>1.2789163858133654</v>
      </c>
      <c r="AC2702" s="9">
        <v>2.1884369473825789</v>
      </c>
      <c r="AD2702" s="9">
        <v>1.0664205522594929</v>
      </c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</row>
    <row r="2703" spans="28:52">
      <c r="AB2703" s="9">
        <v>1.2572340236447168</v>
      </c>
      <c r="AC2703" s="9">
        <v>1.903943405947583</v>
      </c>
      <c r="AD2703" s="9">
        <v>1.0175040934701252</v>
      </c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</row>
    <row r="2704" spans="28:52">
      <c r="AB2704" s="9">
        <v>1.3086179731159386</v>
      </c>
      <c r="AC2704" s="9">
        <v>2.0739529991555843</v>
      </c>
      <c r="AD2704" s="9">
        <v>1.0438460741853044</v>
      </c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</row>
    <row r="2705" spans="28:52">
      <c r="AB2705" s="9">
        <v>1.2660307099435653</v>
      </c>
      <c r="AC2705" s="9">
        <v>2.669768988023995</v>
      </c>
      <c r="AD2705" s="9">
        <v>1.0312955075245183</v>
      </c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</row>
    <row r="2706" spans="28:52">
      <c r="AB2706" s="9">
        <v>1.2724137422437389</v>
      </c>
      <c r="AC2706" s="9">
        <v>1.7998041905057498</v>
      </c>
      <c r="AD2706" s="9">
        <v>1.0391335282204486</v>
      </c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</row>
    <row r="2707" spans="28:52">
      <c r="AB2707" s="9">
        <v>1.2539085318178134</v>
      </c>
      <c r="AC2707" s="9">
        <v>1.576718643416867</v>
      </c>
      <c r="AD2707" s="9">
        <v>1.0659740786123222</v>
      </c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</row>
    <row r="2708" spans="28:52">
      <c r="AB2708" s="9">
        <v>1.2149932989660641</v>
      </c>
      <c r="AC2708" s="9">
        <v>1.5861785564406816</v>
      </c>
      <c r="AD2708" s="9">
        <v>1.0911841147768273</v>
      </c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</row>
    <row r="2709" spans="28:52">
      <c r="AB2709" s="9">
        <v>1.1813798450348982</v>
      </c>
      <c r="AC2709" s="9">
        <v>1.238938280437671</v>
      </c>
      <c r="AD2709" s="9">
        <v>1.0766667420090035</v>
      </c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</row>
    <row r="2710" spans="28:52">
      <c r="AB2710" s="9">
        <v>1.1919782029034243</v>
      </c>
      <c r="AC2710" s="9">
        <v>1.0730454158423093</v>
      </c>
      <c r="AD2710" s="9">
        <v>1.1218334233662934</v>
      </c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</row>
    <row r="2711" spans="28:52">
      <c r="AB2711" s="9">
        <v>1.1403508419518518</v>
      </c>
      <c r="AC2711" s="9">
        <v>1.1455431036046753</v>
      </c>
      <c r="AD2711" s="9">
        <v>1.1135028162169174</v>
      </c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</row>
    <row r="2712" spans="28:52">
      <c r="AB2712" s="9">
        <v>1.145763563443968</v>
      </c>
      <c r="AC2712" s="9">
        <v>0.90869611223751356</v>
      </c>
      <c r="AD2712" s="9">
        <v>1.0733072265723149</v>
      </c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</row>
    <row r="2713" spans="28:52">
      <c r="AB2713" s="9">
        <v>1.1832102843614944</v>
      </c>
      <c r="AC2713" s="9">
        <v>1.2420230661426566</v>
      </c>
      <c r="AD2713" s="9">
        <v>1.0716248147866547</v>
      </c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</row>
    <row r="2714" spans="28:52">
      <c r="AB2714" s="9">
        <v>1.1793483526416546</v>
      </c>
      <c r="AC2714" s="9">
        <v>1.5640802057502339</v>
      </c>
      <c r="AD2714" s="9">
        <v>1.085499626850279</v>
      </c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</row>
    <row r="2715" spans="28:52">
      <c r="AB2715" s="9">
        <v>1.1586340415996588</v>
      </c>
      <c r="AC2715" s="9">
        <v>1.5702543106226787</v>
      </c>
      <c r="AD2715" s="9">
        <v>1.0750589817497425</v>
      </c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</row>
    <row r="2716" spans="28:52">
      <c r="AB2716" s="9">
        <v>1.1649615187720639</v>
      </c>
      <c r="AC2716" s="9">
        <v>1.1944277440033959</v>
      </c>
      <c r="AD2716" s="9">
        <v>1.0477720653403564</v>
      </c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</row>
    <row r="2717" spans="28:52">
      <c r="AB2717" s="9">
        <v>1.1894964908263597</v>
      </c>
      <c r="AC2717" s="9">
        <v>1.3391579822401225</v>
      </c>
      <c r="AD2717" s="9">
        <v>1.0407438862153016</v>
      </c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</row>
    <row r="2718" spans="28:52">
      <c r="AB2718" s="9">
        <v>1.1911465082660153</v>
      </c>
      <c r="AC2718" s="9">
        <v>1.5492450202408756</v>
      </c>
      <c r="AD2718" s="9">
        <v>1.0568697071468895</v>
      </c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</row>
    <row r="2719" spans="28:52">
      <c r="AB2719" s="9">
        <v>1.1678150220496324</v>
      </c>
      <c r="AC2719" s="9">
        <v>1.4429874416870514</v>
      </c>
      <c r="AD2719" s="9">
        <v>1.0383781943166039</v>
      </c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</row>
    <row r="2720" spans="28:52">
      <c r="AB2720" s="9">
        <v>1.1833930696874506</v>
      </c>
      <c r="AC2720" s="9">
        <v>1.44982164658838</v>
      </c>
      <c r="AD2720" s="9">
        <v>1.0051793607077424</v>
      </c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</row>
    <row r="2721" spans="28:52">
      <c r="AB2721" s="9">
        <v>1.2154651409274557</v>
      </c>
      <c r="AC2721" s="9">
        <v>1.4949412319221564</v>
      </c>
      <c r="AD2721" s="9">
        <v>1.0107626056784071</v>
      </c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</row>
    <row r="2722" spans="28:52">
      <c r="AB2722" s="9">
        <v>1.2015617026320913</v>
      </c>
      <c r="AC2722" s="9">
        <v>1.6043284247873941</v>
      </c>
      <c r="AD2722" s="9">
        <v>1.002424226925398</v>
      </c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</row>
    <row r="2723" spans="28:52">
      <c r="AB2723" s="9">
        <v>1.2033261673804923</v>
      </c>
      <c r="AC2723" s="9">
        <v>1.6008978226945831</v>
      </c>
      <c r="AD2723" s="9">
        <v>1.002537334278045</v>
      </c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</row>
    <row r="2724" spans="28:52">
      <c r="AB2724" s="9">
        <v>1.1948565699161877</v>
      </c>
      <c r="AC2724" s="9">
        <v>1.4713592047647774</v>
      </c>
      <c r="AD2724" s="9">
        <v>1.0362246575438807</v>
      </c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</row>
    <row r="2725" spans="28:52">
      <c r="AB2725" s="9">
        <v>1.1492512112865574</v>
      </c>
      <c r="AC2725" s="9">
        <v>1.5728156893495977</v>
      </c>
      <c r="AD2725" s="9">
        <v>1.052371655743372</v>
      </c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</row>
    <row r="2726" spans="28:52">
      <c r="AB2726" s="9">
        <v>1.1266034323636833</v>
      </c>
      <c r="AC2726" s="9">
        <v>0.84127877936576267</v>
      </c>
      <c r="AD2726" s="9">
        <v>1.0580979984765966</v>
      </c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</row>
    <row r="2727" spans="28:52">
      <c r="AB2727" s="9">
        <v>1.1159890371378431</v>
      </c>
      <c r="AC2727" s="9">
        <v>0.92623138982040043</v>
      </c>
      <c r="AD2727" s="9">
        <v>1.0804067539670541</v>
      </c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</row>
    <row r="2728" spans="28:52">
      <c r="AB2728" s="9">
        <v>1.089046588310296</v>
      </c>
      <c r="AC2728" s="9">
        <v>0.91710815411674385</v>
      </c>
      <c r="AD2728" s="9">
        <v>1.0800070530963641</v>
      </c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</row>
    <row r="2729" spans="28:52">
      <c r="AB2729" s="9">
        <v>1.0857994603224583</v>
      </c>
      <c r="AC2729" s="9">
        <v>0.79173823408232546</v>
      </c>
      <c r="AD2729" s="9">
        <v>1.077790396175853</v>
      </c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</row>
    <row r="2730" spans="28:52">
      <c r="AB2730" s="9">
        <v>1.0841374097643275</v>
      </c>
      <c r="AC2730" s="9">
        <v>1.0387966162768858</v>
      </c>
      <c r="AD2730" s="9">
        <v>1.0285251075792727</v>
      </c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</row>
    <row r="2731" spans="28:52">
      <c r="AB2731" s="9">
        <v>1.1307369486232512</v>
      </c>
      <c r="AC2731" s="9">
        <v>1.0163248027543381</v>
      </c>
      <c r="AD2731" s="9">
        <v>1.0287780706741789</v>
      </c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</row>
    <row r="2732" spans="28:52">
      <c r="AB2732" s="9">
        <v>1.1247595344691972</v>
      </c>
      <c r="AC2732" s="9">
        <v>1.3271910591891418</v>
      </c>
      <c r="AD2732" s="9">
        <v>1.0362559404344711</v>
      </c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</row>
    <row r="2733" spans="28:52">
      <c r="AB2733" s="9">
        <v>1.1110756357857643</v>
      </c>
      <c r="AC2733" s="9">
        <v>1.4929393785863498</v>
      </c>
      <c r="AD2733" s="9">
        <v>1.0321975828691194</v>
      </c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</row>
    <row r="2734" spans="28:52">
      <c r="AB2734" s="9">
        <v>1.1107443464305082</v>
      </c>
      <c r="AC2734" s="9">
        <v>1.0419317960112449</v>
      </c>
      <c r="AD2734" s="9">
        <v>1.0083794348170956</v>
      </c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</row>
    <row r="2735" spans="28:52">
      <c r="AB2735" s="9">
        <v>1.1325075557725677</v>
      </c>
      <c r="AC2735" s="9">
        <v>1.269409097937894</v>
      </c>
      <c r="AD2735" s="9">
        <v>1.000317012716132</v>
      </c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</row>
    <row r="2736" spans="28:52">
      <c r="AB2736" s="9">
        <v>1.1365448746723035</v>
      </c>
      <c r="AC2736" s="9">
        <v>1.0880923459543892</v>
      </c>
      <c r="AD2736" s="9">
        <v>1.0293965471529323</v>
      </c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</row>
    <row r="2737" spans="28:52">
      <c r="AB2737" s="9">
        <v>1.1006543352454026</v>
      </c>
      <c r="AC2737" s="9">
        <v>0.91723608830636227</v>
      </c>
      <c r="AD2737" s="9">
        <v>1.0374516358231243</v>
      </c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</row>
    <row r="2738" spans="28:52">
      <c r="AB2738" s="9">
        <v>1.0887808558494434</v>
      </c>
      <c r="AC2738" s="9">
        <v>0.83013830375149855</v>
      </c>
      <c r="AD2738" s="9">
        <v>1.0289111976213101</v>
      </c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</row>
    <row r="2739" spans="28:52">
      <c r="AB2739" s="9">
        <v>1.0944313299293706</v>
      </c>
      <c r="AC2739" s="9">
        <v>0.97615275049997619</v>
      </c>
      <c r="AD2739" s="9">
        <v>1.0333970873670393</v>
      </c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</row>
    <row r="2740" spans="28:52">
      <c r="AB2740" s="9">
        <v>1.0860831081170277</v>
      </c>
      <c r="AC2740" s="9">
        <v>0.94233759095763092</v>
      </c>
      <c r="AD2740" s="9">
        <v>1.0365238766805989</v>
      </c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</row>
    <row r="2741" spans="28:52">
      <c r="AB2741" s="9">
        <v>1.0792593323733521</v>
      </c>
      <c r="AC2741" s="9">
        <v>0.62510335703654718</v>
      </c>
      <c r="AD2741" s="9">
        <v>1.0390781024083502</v>
      </c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</row>
    <row r="2742" spans="28:52">
      <c r="AB2742" s="9">
        <v>1.0733313258512875</v>
      </c>
      <c r="AC2742" s="9">
        <v>0.5888728262207803</v>
      </c>
      <c r="AD2742" s="9">
        <v>1.0259475403639506</v>
      </c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</row>
    <row r="2743" spans="28:52">
      <c r="AB2743" s="9">
        <v>1.0830064833675221</v>
      </c>
      <c r="AC2743" s="9">
        <v>0.99020692667814514</v>
      </c>
      <c r="AD2743" s="9">
        <v>1.0191025381118888</v>
      </c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</row>
    <row r="2744" spans="28:52">
      <c r="AB2744" s="9">
        <v>1.0847483539244829</v>
      </c>
      <c r="AC2744" s="9">
        <v>0.86977190669750359</v>
      </c>
      <c r="AD2744" s="9">
        <v>1.037350068069455</v>
      </c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</row>
    <row r="2745" spans="28:52">
      <c r="AB2745" s="9">
        <v>1.0599333212277178</v>
      </c>
      <c r="AC2745" s="9">
        <v>0.84144501155064544</v>
      </c>
      <c r="AD2745" s="9">
        <v>1.0684061642463871</v>
      </c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</row>
    <row r="2746" spans="28:52">
      <c r="AB2746" s="9">
        <v>1.0246511534971416</v>
      </c>
      <c r="AC2746" s="9">
        <v>0.68072632601409044</v>
      </c>
      <c r="AD2746" s="9">
        <v>1.0750440409469419</v>
      </c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</row>
    <row r="2747" spans="28:52">
      <c r="AB2747" s="9">
        <v>1.0144694214261771</v>
      </c>
      <c r="AC2747" s="9">
        <v>0.62393246848576411</v>
      </c>
      <c r="AD2747" s="9">
        <v>1.0839356272828231</v>
      </c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</row>
    <row r="2748" spans="28:52">
      <c r="AB2748" s="9">
        <v>1.003135600076019</v>
      </c>
      <c r="AC2748" s="9">
        <v>0.55973298911149638</v>
      </c>
      <c r="AD2748" s="9">
        <v>1.1037993289430945</v>
      </c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</row>
    <row r="2749" spans="28:52">
      <c r="AB2749" s="9">
        <v>0.98334983875318871</v>
      </c>
      <c r="AC2749" s="9">
        <v>0.49055095400922494</v>
      </c>
      <c r="AD2749" s="9">
        <v>1.1068211331705391</v>
      </c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</row>
    <row r="2750" spans="28:52">
      <c r="AB2750" s="9">
        <v>0.98038331385207611</v>
      </c>
      <c r="AC2750" s="9">
        <v>0.67512381589298986</v>
      </c>
      <c r="AD2750" s="9">
        <v>1.069752515313082</v>
      </c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</row>
    <row r="2751" spans="28:52">
      <c r="AB2751" s="9">
        <v>1.0140695877573402</v>
      </c>
      <c r="AC2751" s="9">
        <v>0.80862283942015367</v>
      </c>
      <c r="AD2751" s="9">
        <v>1.0728008829773374</v>
      </c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</row>
    <row r="2752" spans="28:52">
      <c r="AB2752" s="9">
        <v>1.0100475261678405</v>
      </c>
      <c r="AC2752" s="9">
        <v>0.83712341027804782</v>
      </c>
      <c r="AD2752" s="9">
        <v>1.037764759959142</v>
      </c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</row>
    <row r="2753" spans="28:52">
      <c r="AB2753" s="9">
        <v>1.0421784929914473</v>
      </c>
      <c r="AC2753" s="9">
        <v>0.96520584102167617</v>
      </c>
      <c r="AD2753" s="9">
        <v>1.0232974193277664</v>
      </c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</row>
    <row r="2754" spans="28:52">
      <c r="AB2754" s="9">
        <v>1.0554704344798358</v>
      </c>
      <c r="AC2754" s="9">
        <v>1.2255528164193972</v>
      </c>
      <c r="AD2754" s="9">
        <v>0.99931861380845166</v>
      </c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</row>
    <row r="2755" spans="28:52">
      <c r="AB2755" s="9">
        <v>1.0776061953471274</v>
      </c>
      <c r="AC2755" s="9">
        <v>1.2640802341829864</v>
      </c>
      <c r="AD2755" s="9">
        <v>1.0064637616461234</v>
      </c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</row>
    <row r="2756" spans="28:52">
      <c r="AB2756" s="9">
        <v>1.0667555090170706</v>
      </c>
      <c r="AC2756" s="9">
        <v>1.3267587357493746</v>
      </c>
      <c r="AD2756" s="9">
        <v>1.0109971139371057</v>
      </c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</row>
    <row r="2757" spans="28:52">
      <c r="AB2757" s="9">
        <v>1.0582440603562355</v>
      </c>
      <c r="AC2757" s="9">
        <v>1.1319911713452746</v>
      </c>
      <c r="AD2757" s="9">
        <v>0.97904022749206787</v>
      </c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</row>
    <row r="2758" spans="28:52">
      <c r="AB2758" s="9">
        <v>1.0874218544861058</v>
      </c>
      <c r="AC2758" s="9">
        <v>1.2283640177138966</v>
      </c>
      <c r="AD2758" s="9">
        <v>0.98868812616985768</v>
      </c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</row>
    <row r="2759" spans="28:52">
      <c r="AB2759" s="9">
        <v>1.0710985405269025</v>
      </c>
      <c r="AC2759" s="9">
        <v>0.96736751528658427</v>
      </c>
      <c r="AD2759" s="9">
        <v>0.99235781838727799</v>
      </c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</row>
    <row r="2760" spans="28:52">
      <c r="AB2760" s="9">
        <v>1.0622193750625684</v>
      </c>
      <c r="AC2760" s="9">
        <v>0.95595884360349381</v>
      </c>
      <c r="AD2760" s="9">
        <v>0.99401449633473349</v>
      </c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</row>
    <row r="2761" spans="28:52">
      <c r="AB2761" s="9">
        <v>1.055566311282532</v>
      </c>
      <c r="AC2761" s="9">
        <v>0.78633088660551076</v>
      </c>
      <c r="AD2761" s="9">
        <v>1.0127506742054457</v>
      </c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</row>
    <row r="2762" spans="28:52">
      <c r="AB2762" s="9">
        <v>1.0320417180379726</v>
      </c>
      <c r="AC2762" s="9">
        <v>0.8760447386222866</v>
      </c>
      <c r="AD2762" s="9">
        <v>1.0083012536607665</v>
      </c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</row>
    <row r="2763" spans="28:52">
      <c r="AB2763" s="9">
        <v>1.0334762972285381</v>
      </c>
      <c r="AC2763" s="9">
        <v>0.53624872601781848</v>
      </c>
      <c r="AD2763" s="9">
        <v>1.0182797927110263</v>
      </c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</row>
    <row r="2764" spans="28:52">
      <c r="AB2764" s="9">
        <v>1.0203460463056861</v>
      </c>
      <c r="AC2764" s="9">
        <v>0.63850848150576855</v>
      </c>
      <c r="AD2764" s="9">
        <v>0.99211580674229993</v>
      </c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</row>
    <row r="2765" spans="28:52">
      <c r="AB2765" s="9">
        <v>1.0440410007158825</v>
      </c>
      <c r="AC2765" s="9">
        <v>0.8416707092877137</v>
      </c>
      <c r="AD2765" s="9">
        <v>0.99290302521119578</v>
      </c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</row>
    <row r="2766" spans="28:52">
      <c r="AB2766" s="9">
        <v>1.0395578789492712</v>
      </c>
      <c r="AC2766" s="9">
        <v>0.8754336911313253</v>
      </c>
      <c r="AD2766" s="9">
        <v>0.97617062025073198</v>
      </c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</row>
    <row r="2767" spans="28:52">
      <c r="AB2767" s="9">
        <v>1.0535673529565077</v>
      </c>
      <c r="AC2767" s="9">
        <v>1.1519859555807266</v>
      </c>
      <c r="AD2767" s="9">
        <v>0.96183722265189731</v>
      </c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</row>
    <row r="2768" spans="28:52">
      <c r="AB2768" s="9">
        <v>1.0648169343965712</v>
      </c>
      <c r="AC2768" s="9">
        <v>1.097184137268115</v>
      </c>
      <c r="AD2768" s="9">
        <v>0.95623418938141547</v>
      </c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</row>
    <row r="2769" spans="28:52">
      <c r="AB2769" s="9">
        <v>1.0662200274210099</v>
      </c>
      <c r="AC2769" s="9">
        <v>1.0108976132550045</v>
      </c>
      <c r="AD2769" s="9">
        <v>0.96887365296246575</v>
      </c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</row>
    <row r="2770" spans="28:52">
      <c r="AB2770" s="9">
        <v>1.0481898808053249</v>
      </c>
      <c r="AC2770" s="9">
        <v>1.227669583973352</v>
      </c>
      <c r="AD2770" s="9">
        <v>0.95687190817273016</v>
      </c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</row>
    <row r="2771" spans="28:52">
      <c r="AB2771" s="9">
        <v>1.0574375461847334</v>
      </c>
      <c r="AC2771" s="9">
        <v>0.9232028200168062</v>
      </c>
      <c r="AD2771" s="9">
        <v>0.96115256336877186</v>
      </c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</row>
    <row r="2772" spans="28:52">
      <c r="AB2772" s="9">
        <v>1.0489323763826122</v>
      </c>
      <c r="AC2772" s="9">
        <v>0.82312352577868964</v>
      </c>
      <c r="AD2772" s="9">
        <v>0.95574032884825533</v>
      </c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</row>
    <row r="2773" spans="28:52">
      <c r="AB2773" s="9">
        <v>1.0510114764804743</v>
      </c>
      <c r="AC2773" s="9">
        <v>0.76953436993512281</v>
      </c>
      <c r="AD2773" s="9">
        <v>0.94448933764290954</v>
      </c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</row>
    <row r="2774" spans="28:52">
      <c r="AB2774" s="9">
        <v>1.0593589238262862</v>
      </c>
      <c r="AC2774" s="9">
        <v>1.163118321675346</v>
      </c>
      <c r="AD2774" s="9">
        <v>0.93464177572736251</v>
      </c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</row>
    <row r="2775" spans="28:52">
      <c r="AB2775" s="9">
        <v>1.0658505326932897</v>
      </c>
      <c r="AC2775" s="9">
        <v>1.1406731359489322</v>
      </c>
      <c r="AD2775" s="9">
        <v>0.94546742515413829</v>
      </c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</row>
    <row r="2776" spans="28:52">
      <c r="AB2776" s="9">
        <v>1.0489082944342762</v>
      </c>
      <c r="AC2776" s="9">
        <v>1.1676339443420167</v>
      </c>
      <c r="AD2776" s="9">
        <v>0.94578588008393061</v>
      </c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</row>
    <row r="2777" spans="28:52">
      <c r="AB2777" s="9">
        <v>1.0440501773062081</v>
      </c>
      <c r="AC2777" s="9">
        <v>0.90503385268043057</v>
      </c>
      <c r="AD2777" s="9">
        <v>0.96247897394499038</v>
      </c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</row>
    <row r="2778" spans="28:52">
      <c r="AB2778" s="9">
        <v>1.0216436946565131</v>
      </c>
      <c r="AC2778" s="9">
        <v>0.81355160365877577</v>
      </c>
      <c r="AD2778" s="9">
        <v>0.96195477628271664</v>
      </c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</row>
    <row r="2779" spans="28:52">
      <c r="AB2779" s="9">
        <v>1.0179404654993476</v>
      </c>
      <c r="AC2779" s="9">
        <v>0.71659738761702974</v>
      </c>
      <c r="AD2779" s="9">
        <v>0.95762786148942325</v>
      </c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</row>
    <row r="2780" spans="28:52">
      <c r="AB2780" s="9">
        <v>1.018499389614048</v>
      </c>
      <c r="AC2780" s="9">
        <v>0.84104240825803267</v>
      </c>
      <c r="AD2780" s="9">
        <v>0.93878562220687456</v>
      </c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</row>
    <row r="2781" spans="28:52">
      <c r="AB2781" s="9">
        <v>1.0354135936864752</v>
      </c>
      <c r="AC2781" s="9">
        <v>0.9400355299740023</v>
      </c>
      <c r="AD2781" s="9">
        <v>0.93417604906391227</v>
      </c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</row>
    <row r="2782" spans="28:52">
      <c r="AB2782" s="9">
        <v>1.0362991022799781</v>
      </c>
      <c r="AC2782" s="9">
        <v>1.0731637423992635</v>
      </c>
      <c r="AD2782" s="9">
        <v>0.92214825503816888</v>
      </c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</row>
    <row r="2783" spans="28:52">
      <c r="AB2783" s="9">
        <v>1.0449180876111948</v>
      </c>
      <c r="AC2783" s="9">
        <v>0.87360355072769813</v>
      </c>
      <c r="AD2783" s="9">
        <v>0.89941292632395919</v>
      </c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</row>
    <row r="2784" spans="28:52">
      <c r="AB2784" s="9">
        <v>1.0650240488172407</v>
      </c>
      <c r="AC2784" s="9">
        <v>1.36220631534986</v>
      </c>
      <c r="AD2784" s="9">
        <v>0.89576929520087778</v>
      </c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</row>
    <row r="2785" spans="28:52">
      <c r="AB2785" s="9">
        <v>1.0628991273830153</v>
      </c>
      <c r="AC2785" s="9">
        <v>1.1083435758080125</v>
      </c>
      <c r="AD2785" s="9">
        <v>0.88349602977667496</v>
      </c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</row>
    <row r="2786" spans="28:52">
      <c r="AB2786" s="9">
        <v>1.0714437994327661</v>
      </c>
      <c r="AC2786" s="9">
        <v>0.99765189392606723</v>
      </c>
      <c r="AD2786" s="9">
        <v>0.87700439492417215</v>
      </c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</row>
    <row r="2787" spans="28:52">
      <c r="AB2787" s="9">
        <v>1.0715771054616272</v>
      </c>
      <c r="AC2787" s="9">
        <v>0.98335151636717666</v>
      </c>
      <c r="AD2787" s="9">
        <v>0.88229458528951488</v>
      </c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</row>
    <row r="2788" spans="28:52">
      <c r="AB2788" s="9">
        <v>1.0576124711279242</v>
      </c>
      <c r="AC2788" s="9">
        <v>0.86085426145728416</v>
      </c>
      <c r="AD2788" s="9">
        <v>0.86924901626646012</v>
      </c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</row>
    <row r="2789" spans="28:52">
      <c r="AB2789" s="9">
        <v>1.0663133235246822</v>
      </c>
      <c r="AC2789" s="9">
        <v>0.8491854800123585</v>
      </c>
      <c r="AD2789" s="9">
        <v>0.87875726199842652</v>
      </c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</row>
    <row r="2790" spans="28:52">
      <c r="AB2790" s="9">
        <v>1.0480729541896299</v>
      </c>
      <c r="AC2790" s="9">
        <v>1.1893506964873743</v>
      </c>
      <c r="AD2790" s="9">
        <v>0.88209679670155416</v>
      </c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</row>
    <row r="2791" spans="28:52">
      <c r="AB2791" s="9">
        <v>1.0384294309805226</v>
      </c>
      <c r="AC2791" s="9">
        <v>0.64449759154944619</v>
      </c>
      <c r="AD2791" s="9">
        <v>0.89346049959709906</v>
      </c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</row>
    <row r="2792" spans="28:52">
      <c r="AB2792" s="9">
        <v>1.0205848594352831</v>
      </c>
      <c r="AC2792" s="9">
        <v>0.66848630719951541</v>
      </c>
      <c r="AD2792" s="9">
        <v>0.9113903380049464</v>
      </c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</row>
    <row r="2793" spans="28:52">
      <c r="AB2793" s="9">
        <v>0.99710230397872912</v>
      </c>
      <c r="AC2793" s="9">
        <v>0.67906213476572608</v>
      </c>
      <c r="AD2793" s="9">
        <v>0.93941066984830401</v>
      </c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</row>
    <row r="2794" spans="28:52">
      <c r="AB2794" s="9">
        <v>0.96487293493427784</v>
      </c>
      <c r="AC2794" s="9">
        <v>0.82989831456558949</v>
      </c>
      <c r="AD2794" s="9">
        <v>0.93032527918781716</v>
      </c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</row>
    <row r="2795" spans="28:52">
      <c r="AB2795" s="9">
        <v>0.97179010083629525</v>
      </c>
      <c r="AC2795" s="9">
        <v>0.74222798599490281</v>
      </c>
      <c r="AD2795" s="9">
        <v>0.97276540233959585</v>
      </c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</row>
    <row r="2796" spans="28:52">
      <c r="AB2796" s="9">
        <v>0.92787558296883565</v>
      </c>
      <c r="AC2796" s="9">
        <v>0.66393616274779255</v>
      </c>
      <c r="AD2796" s="9">
        <v>0.96827872152569305</v>
      </c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</row>
    <row r="2797" spans="28:52">
      <c r="AB2797" s="9">
        <v>0.93130807786334147</v>
      </c>
      <c r="AC2797" s="9">
        <v>0.73548994209108187</v>
      </c>
      <c r="AD2797" s="9">
        <v>0.95893230607599378</v>
      </c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</row>
    <row r="2798" spans="28:52">
      <c r="AB2798" s="9">
        <v>0.93888948986291976</v>
      </c>
      <c r="AC2798" s="9">
        <v>0.77248220651750454</v>
      </c>
      <c r="AD2798" s="9">
        <v>0.95264722077016906</v>
      </c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</row>
    <row r="2799" spans="28:52">
      <c r="AB2799" s="9">
        <v>0.94278502342867609</v>
      </c>
      <c r="AC2799" s="9">
        <v>0.79984320070726511</v>
      </c>
      <c r="AD2799" s="9">
        <v>0.93977998966764242</v>
      </c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</row>
    <row r="2800" spans="28:52">
      <c r="AB2800" s="9">
        <v>0.95299394692117489</v>
      </c>
      <c r="AC2800" s="9">
        <v>0.68275597415655842</v>
      </c>
      <c r="AD2800" s="9">
        <v>0.94816830372692429</v>
      </c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</row>
    <row r="2801" spans="28:52">
      <c r="AB2801" s="9">
        <v>0.94218480349441291</v>
      </c>
      <c r="AC2801" s="9">
        <v>0.41962380430434404</v>
      </c>
      <c r="AD2801" s="9">
        <v>0.94359728931364029</v>
      </c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</row>
    <row r="2802" spans="28:52">
      <c r="AB2802" s="9">
        <v>0.94408797672874811</v>
      </c>
      <c r="AC2802" s="9">
        <v>0.53483896748145021</v>
      </c>
      <c r="AD2802" s="9">
        <v>0.91683289340101526</v>
      </c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</row>
    <row r="2803" spans="28:52">
      <c r="AB2803" s="9">
        <v>0.96940069483886138</v>
      </c>
      <c r="AC2803" s="9">
        <v>0.85447751354235579</v>
      </c>
      <c r="AD2803" s="9">
        <v>0.9310571280813652</v>
      </c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</row>
    <row r="2804" spans="28:52">
      <c r="AB2804" s="9">
        <v>0.9520112793232931</v>
      </c>
      <c r="AC2804" s="9">
        <v>0.55340941158548229</v>
      </c>
      <c r="AD2804" s="9">
        <v>0.93037526343064436</v>
      </c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</row>
    <row r="2805" spans="28:52">
      <c r="AB2805" s="9">
        <v>0.95100511663423104</v>
      </c>
      <c r="AC2805" s="9">
        <v>0.66463177095832116</v>
      </c>
      <c r="AD2805" s="9">
        <v>0.96291036957301757</v>
      </c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</row>
    <row r="2806" spans="28:52">
      <c r="AB2806" s="9">
        <v>0.91711407925102928</v>
      </c>
      <c r="AC2806" s="9">
        <v>0.53778121249564526</v>
      </c>
      <c r="AD2806" s="9">
        <v>0.9834544185191989</v>
      </c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</row>
    <row r="2807" spans="28:52">
      <c r="AB2807" s="9">
        <v>0.89723904561459122</v>
      </c>
      <c r="AC2807" s="9">
        <v>0.55615263185421293</v>
      </c>
      <c r="AD2807" s="9">
        <v>0.96447976899476628</v>
      </c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</row>
    <row r="2808" spans="28:52">
      <c r="AB2808" s="9">
        <v>0.91537110790102538</v>
      </c>
      <c r="AC2808" s="9">
        <v>0.62009854782488938</v>
      </c>
      <c r="AD2808" s="9">
        <v>0.96092312128311408</v>
      </c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</row>
    <row r="2809" spans="28:52">
      <c r="AB2809" s="9">
        <v>0.91843310975029036</v>
      </c>
      <c r="AC2809" s="9">
        <v>0.58179340288109405</v>
      </c>
      <c r="AD2809" s="9">
        <v>0.93226470382053983</v>
      </c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</row>
    <row r="2810" spans="28:52">
      <c r="AB2810" s="9">
        <v>0.94561550769659097</v>
      </c>
      <c r="AC2810" s="9">
        <v>0.83676794785775888</v>
      </c>
      <c r="AD2810" s="9">
        <v>0.92577804154302668</v>
      </c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</row>
    <row r="2811" spans="28:52">
      <c r="AB2811" s="9">
        <v>0.95050300008212585</v>
      </c>
      <c r="AC2811" s="9">
        <v>0.65957442288203694</v>
      </c>
      <c r="AD2811" s="9">
        <v>0.93172030340448042</v>
      </c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</row>
    <row r="2812" spans="28:52">
      <c r="AB2812" s="9">
        <v>0.94143068901301064</v>
      </c>
      <c r="AC2812" s="9">
        <v>0.72870988344928389</v>
      </c>
      <c r="AD2812" s="9">
        <v>0.93544058331851321</v>
      </c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</row>
    <row r="2813" spans="28:52">
      <c r="AB2813" s="9">
        <v>0.93487562928701484</v>
      </c>
      <c r="AC2813" s="9">
        <v>0.47863168890232233</v>
      </c>
      <c r="AD2813" s="9">
        <v>0.91386373779637364</v>
      </c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</row>
    <row r="2814" spans="28:52">
      <c r="AB2814" s="9">
        <v>0.95420463217773654</v>
      </c>
      <c r="AC2814" s="9">
        <v>0.92054162245558668</v>
      </c>
      <c r="AD2814" s="9">
        <v>0.92003566519823787</v>
      </c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</row>
    <row r="2815" spans="28:52">
      <c r="AB2815" s="9">
        <v>0.94526491403169555</v>
      </c>
      <c r="AC2815" s="9">
        <v>0.63724979560656703</v>
      </c>
      <c r="AD2815" s="9">
        <v>0.93425280919045051</v>
      </c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</row>
    <row r="2816" spans="28:52">
      <c r="AB2816" s="9">
        <v>0.92941429582327784</v>
      </c>
      <c r="AC2816" s="9">
        <v>0.4829931414973907</v>
      </c>
      <c r="AD2816" s="9">
        <v>0.93908854713225975</v>
      </c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</row>
    <row r="2817" spans="28:52">
      <c r="AB2817" s="9">
        <v>0.92396486345681683</v>
      </c>
      <c r="AC2817" s="9">
        <v>0.51264559849841818</v>
      </c>
      <c r="AD2817" s="9">
        <v>0.9244762278978389</v>
      </c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</row>
    <row r="2818" spans="28:52">
      <c r="AB2818" s="9">
        <v>0.93794615890861732</v>
      </c>
      <c r="AC2818" s="9">
        <v>0.70979965593395622</v>
      </c>
      <c r="AD2818" s="9">
        <v>0.92325208370595602</v>
      </c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</row>
    <row r="2819" spans="28:52">
      <c r="AB2819" s="9">
        <v>0.93865532378404193</v>
      </c>
      <c r="AC2819" s="9">
        <v>0.70200905097006694</v>
      </c>
      <c r="AD2819" s="9">
        <v>0.9476720780415977</v>
      </c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</row>
    <row r="2820" spans="28:52">
      <c r="AB2820" s="9">
        <v>0.91432352680820805</v>
      </c>
      <c r="AC2820" s="9">
        <v>0.76204361637135865</v>
      </c>
      <c r="AD2820" s="9">
        <v>0.9344285142753227</v>
      </c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</row>
    <row r="2821" spans="28:52">
      <c r="AB2821" s="9">
        <v>0.92765041989044461</v>
      </c>
      <c r="AC2821" s="9">
        <v>0.61395734041517891</v>
      </c>
      <c r="AD2821" s="9">
        <v>0.94841857539315455</v>
      </c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</row>
    <row r="2822" spans="28:52">
      <c r="AB2822" s="9">
        <v>0.91414477435101549</v>
      </c>
      <c r="AC2822" s="9">
        <v>0.67078742746423647</v>
      </c>
      <c r="AD2822" s="9">
        <v>0.94767223559918501</v>
      </c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</row>
    <row r="2823" spans="28:52">
      <c r="AB2823" s="9">
        <v>0.91556869364881577</v>
      </c>
      <c r="AC2823" s="9">
        <v>0.64138955604746017</v>
      </c>
      <c r="AD2823" s="9">
        <v>0.91805868392664514</v>
      </c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</row>
    <row r="2824" spans="28:52">
      <c r="AB2824" s="9">
        <v>0.94539547361236698</v>
      </c>
      <c r="AC2824" s="9">
        <v>1.1699974986260373</v>
      </c>
      <c r="AD2824" s="9">
        <v>0.9158598519988782</v>
      </c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</row>
    <row r="2825" spans="28:52">
      <c r="AB2825" s="9">
        <v>0.94777607489239246</v>
      </c>
      <c r="AC2825" s="9">
        <v>0.95305572269718741</v>
      </c>
      <c r="AD2825" s="9">
        <v>0.91786888206610073</v>
      </c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</row>
    <row r="2826" spans="28:52">
      <c r="AB2826" s="9">
        <v>0.94565520874813558</v>
      </c>
      <c r="AC2826" s="9">
        <v>0.93927636026025585</v>
      </c>
      <c r="AD2826" s="9">
        <v>0.91585982658959531</v>
      </c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</row>
    <row r="2827" spans="28:52">
      <c r="AB2827" s="9">
        <v>0.94760397069343005</v>
      </c>
      <c r="AC2827" s="9">
        <v>0.80138785912557975</v>
      </c>
      <c r="AD2827" s="9">
        <v>0.93666549360992768</v>
      </c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</row>
    <row r="2828" spans="28:52">
      <c r="AB2828" s="9">
        <v>0.92628081183306155</v>
      </c>
      <c r="AC2828" s="9">
        <v>0.74656814165294427</v>
      </c>
      <c r="AD2828" s="9">
        <v>0.92651184573002754</v>
      </c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</row>
    <row r="2829" spans="28:52">
      <c r="AB2829" s="9">
        <v>0.93614578002503201</v>
      </c>
      <c r="AC2829" s="9">
        <v>0.74096520379981179</v>
      </c>
      <c r="AD2829" s="9">
        <v>0.92160384615384616</v>
      </c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</row>
    <row r="2830" spans="28:52">
      <c r="AB2830" s="9">
        <v>0.94071001139086108</v>
      </c>
      <c r="AC2830" s="9">
        <v>0.94623545058586644</v>
      </c>
      <c r="AD2830" s="9">
        <v>0.93202767459138192</v>
      </c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</row>
    <row r="2831" spans="28:52">
      <c r="AB2831" s="9">
        <v>0.93017553711590428</v>
      </c>
      <c r="AC2831" s="9">
        <v>0.70703257701025479</v>
      </c>
      <c r="AD2831" s="9">
        <v>0.94116572610985705</v>
      </c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</row>
    <row r="2832" spans="28:52">
      <c r="AB2832" s="9">
        <v>0.92122857926936252</v>
      </c>
      <c r="AC2832" s="9">
        <v>0.81255410871678513</v>
      </c>
      <c r="AD2832" s="9">
        <v>0.97378040210813965</v>
      </c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</row>
    <row r="2833" spans="28:52">
      <c r="AB2833" s="9">
        <v>0.89128820495668981</v>
      </c>
      <c r="AC2833" s="9">
        <v>0.7352398726315309</v>
      </c>
      <c r="AD2833" s="9">
        <v>0.9814429106685072</v>
      </c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</row>
    <row r="2834" spans="28:52">
      <c r="AB2834" s="9">
        <v>0.88631121258315149</v>
      </c>
      <c r="AC2834" s="9">
        <v>0.73957140235042729</v>
      </c>
      <c r="AD2834" s="9">
        <v>0.96344983504754511</v>
      </c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</row>
    <row r="2835" spans="28:52">
      <c r="AB2835" s="9">
        <v>0.9045456958299829</v>
      </c>
      <c r="AC2835" s="9">
        <v>0.75228616494718048</v>
      </c>
      <c r="AD2835" s="9">
        <v>0.99663050915677209</v>
      </c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</row>
    <row r="2836" spans="28:52">
      <c r="AB2836" s="9">
        <v>0.87679945928876657</v>
      </c>
      <c r="AC2836" s="9">
        <v>0.4726221882326983</v>
      </c>
      <c r="AD2836" s="9">
        <v>0.99023763763763761</v>
      </c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</row>
    <row r="2837" spans="28:52">
      <c r="AB2837" s="9">
        <v>0.88597408833532365</v>
      </c>
      <c r="AC2837" s="9">
        <v>0.59063450552407326</v>
      </c>
      <c r="AD2837" s="9">
        <v>0.97870754903903312</v>
      </c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</row>
    <row r="2838" spans="28:52">
      <c r="AB2838" s="9">
        <v>0.89948277334545423</v>
      </c>
      <c r="AC2838" s="9">
        <v>0.94472945931641383</v>
      </c>
      <c r="AD2838" s="9">
        <v>0.96131325536062384</v>
      </c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</row>
    <row r="2839" spans="28:52">
      <c r="AB2839" s="9">
        <v>0.91861362616658548</v>
      </c>
      <c r="AC2839" s="9">
        <v>0.99769137559903287</v>
      </c>
      <c r="AD2839" s="9">
        <v>0.9363533777354901</v>
      </c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</row>
    <row r="2840" spans="28:52">
      <c r="AB2840" s="9">
        <v>0.94471869351463111</v>
      </c>
      <c r="AC2840" s="9">
        <v>1.3136000162892059</v>
      </c>
      <c r="AD2840" s="9">
        <v>0.91214004091500844</v>
      </c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</row>
    <row r="2841" spans="28:52">
      <c r="AB2841" s="9">
        <v>0.96989092055112469</v>
      </c>
      <c r="AC2841" s="9">
        <v>1.4218339747509263</v>
      </c>
      <c r="AD2841" s="9">
        <v>0.90751614699331851</v>
      </c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</row>
    <row r="2842" spans="28:52">
      <c r="AB2842" s="9">
        <v>0.97474802003856154</v>
      </c>
      <c r="AC2842" s="9">
        <v>1.0528733871894025</v>
      </c>
      <c r="AD2842" s="9">
        <v>0.92580330672748012</v>
      </c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</row>
    <row r="2843" spans="28:52">
      <c r="AB2843" s="9">
        <v>0.95472713673448917</v>
      </c>
      <c r="AC2843" s="9">
        <v>0.87622841845158694</v>
      </c>
      <c r="AD2843" s="9">
        <v>0.9335173010380623</v>
      </c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</row>
    <row r="2844" spans="28:52">
      <c r="AB2844" s="9">
        <v>0.94612396908499019</v>
      </c>
      <c r="AC2844" s="9">
        <v>0.90958912886532484</v>
      </c>
      <c r="AD2844" s="9">
        <v>0.89377714180206802</v>
      </c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</row>
    <row r="2845" spans="28:52">
      <c r="AB2845" s="9">
        <v>0.98681889817953061</v>
      </c>
      <c r="AC2845" s="9">
        <v>1.2504349338900489</v>
      </c>
      <c r="AD2845" s="9">
        <v>0.89355405154830336</v>
      </c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</row>
    <row r="2846" spans="28:52">
      <c r="AB2846" s="9">
        <v>0.98352062231013582</v>
      </c>
      <c r="AC2846" s="9">
        <v>1.2224086934964433</v>
      </c>
      <c r="AD2846" s="9">
        <v>0.90199266641594589</v>
      </c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</row>
    <row r="2847" spans="28:52">
      <c r="AB2847" s="9">
        <v>0.97106482462109112</v>
      </c>
      <c r="AC2847" s="9">
        <v>1.0608759279797138</v>
      </c>
      <c r="AD2847" s="9">
        <v>0.90935942857142849</v>
      </c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</row>
    <row r="2848" spans="28:52">
      <c r="AB2848" s="9">
        <v>0.96026472138861085</v>
      </c>
      <c r="AC2848" s="9">
        <v>0.81409538068954179</v>
      </c>
      <c r="AD2848" s="9">
        <v>0.90682506676840902</v>
      </c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</row>
    <row r="2849" spans="28:52">
      <c r="AB2849" s="9">
        <v>0.96054783403609822</v>
      </c>
      <c r="AC2849" s="9">
        <v>1.1229625003349955</v>
      </c>
      <c r="AD2849" s="9">
        <v>0.91705037783375309</v>
      </c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</row>
    <row r="2850" spans="28:52">
      <c r="AB2850" s="9">
        <v>0.9479495782662144</v>
      </c>
      <c r="AC2850" s="9">
        <v>0.92405904136855643</v>
      </c>
      <c r="AD2850" s="9">
        <v>0.9346613127106882</v>
      </c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</row>
    <row r="2851" spans="28:52">
      <c r="AB2851" s="9">
        <v>0.92866046169985483</v>
      </c>
      <c r="AC2851" s="9">
        <v>0.75955280340841647</v>
      </c>
      <c r="AD2851" s="9">
        <v>0.91023008334948641</v>
      </c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</row>
    <row r="2852" spans="28:52">
      <c r="AB2852" s="9">
        <v>0.95211160970090081</v>
      </c>
      <c r="AC2852" s="9">
        <v>0.95065820649115285</v>
      </c>
      <c r="AD2852" s="9">
        <v>0.92798511609446321</v>
      </c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</row>
    <row r="2853" spans="28:52">
      <c r="AB2853" s="9">
        <v>0.93296459600244575</v>
      </c>
      <c r="AC2853" s="9">
        <v>0.96333306147246944</v>
      </c>
      <c r="AD2853" s="9">
        <v>0.92305986124876127</v>
      </c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</row>
    <row r="2854" spans="28:52">
      <c r="AB2854" s="9">
        <v>0.93669772628834647</v>
      </c>
      <c r="AC2854" s="9">
        <v>1.1417863188102824</v>
      </c>
      <c r="AD2854" s="9">
        <v>0.95515489186405766</v>
      </c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</row>
    <row r="2855" spans="28:52">
      <c r="AB2855" s="9">
        <v>0.90455797353973233</v>
      </c>
      <c r="AC2855" s="9">
        <v>0.77616199152502219</v>
      </c>
      <c r="AD2855" s="9">
        <v>0.95073219431864964</v>
      </c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</row>
    <row r="2856" spans="28:52">
      <c r="AB2856" s="9">
        <v>0.9075382541011463</v>
      </c>
      <c r="AC2856" s="9">
        <v>0.93508165985280178</v>
      </c>
      <c r="AD2856" s="9">
        <v>0.9192361638361638</v>
      </c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</row>
    <row r="2857" spans="28:52">
      <c r="AB2857" s="9">
        <v>0.93653240578016206</v>
      </c>
      <c r="AC2857" s="9">
        <v>1.2514012168554933</v>
      </c>
      <c r="AD2857" s="9">
        <v>0.92704797570850206</v>
      </c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</row>
    <row r="2858" spans="28:52">
      <c r="AB2858" s="9">
        <v>0.92645340284459454</v>
      </c>
      <c r="AC2858" s="9">
        <v>0.8683918325246005</v>
      </c>
      <c r="AD2858" s="9">
        <v>0.92713934092758343</v>
      </c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</row>
    <row r="2859" spans="28:52">
      <c r="AB2859" s="9">
        <v>0.9241465893501617</v>
      </c>
      <c r="AC2859" s="9">
        <v>0.79358429871339042</v>
      </c>
      <c r="AD2859" s="9">
        <v>0.92229613821138212</v>
      </c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</row>
    <row r="2860" spans="28:52">
      <c r="AB2860" s="9">
        <v>0.92763986697493472</v>
      </c>
      <c r="AC2860" s="9">
        <v>0.76483055648653853</v>
      </c>
      <c r="AD2860" s="9">
        <v>0.97539193270060409</v>
      </c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</row>
    <row r="2861" spans="28:52">
      <c r="AB2861" s="9">
        <v>0.87771073653032095</v>
      </c>
      <c r="AC2861" s="9">
        <v>0.69484380871655305</v>
      </c>
      <c r="AD2861" s="9">
        <v>0.98723906386701665</v>
      </c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</row>
    <row r="2862" spans="28:52">
      <c r="AB2862" s="9">
        <v>0.86920442927717778</v>
      </c>
      <c r="AC2862" s="9">
        <v>0.84963587896114445</v>
      </c>
      <c r="AD2862" s="9">
        <v>0.95504597457627116</v>
      </c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</row>
    <row r="2863" spans="28:52">
      <c r="AB2863" s="9">
        <v>0.90043301671157905</v>
      </c>
      <c r="AC2863" s="9">
        <v>0.89210924110839396</v>
      </c>
      <c r="AD2863" s="9">
        <v>0.9579951063829788</v>
      </c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</row>
    <row r="2864" spans="28:52">
      <c r="AB2864" s="9">
        <v>0.90017579092509414</v>
      </c>
      <c r="AC2864" s="9">
        <v>1.0415138001336535</v>
      </c>
      <c r="AD2864" s="9">
        <v>0.92719789734075453</v>
      </c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</row>
    <row r="2865" spans="28:52">
      <c r="AB2865" s="9">
        <v>0.93203818132548244</v>
      </c>
      <c r="AC2865" s="9">
        <v>1.2483852408297964</v>
      </c>
      <c r="AD2865" s="9">
        <v>0.92509006595218468</v>
      </c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</row>
    <row r="2866" spans="28:52">
      <c r="AB2866" s="9">
        <v>0.93481308670503138</v>
      </c>
      <c r="AC2866" s="9">
        <v>0.84088373721826637</v>
      </c>
      <c r="AD2866" s="9">
        <v>0.93072339630475398</v>
      </c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</row>
    <row r="2867" spans="28:52">
      <c r="AB2867" s="9">
        <v>0.93061581922475711</v>
      </c>
      <c r="AC2867" s="9">
        <v>0.68095178981850524</v>
      </c>
      <c r="AD2867" s="9">
        <v>0.91639750358092908</v>
      </c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</row>
    <row r="2868" spans="28:52">
      <c r="AB2868" s="9">
        <v>0.9467439756319298</v>
      </c>
      <c r="AC2868" s="9">
        <v>0.98468416519290769</v>
      </c>
      <c r="AD2868" s="9">
        <v>0.90691028189008327</v>
      </c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</row>
    <row r="2869" spans="28:52">
      <c r="AB2869" s="9">
        <v>0.95771703565543032</v>
      </c>
      <c r="AC2869" s="9">
        <v>1.5161083528019954</v>
      </c>
      <c r="AD2869" s="9">
        <v>0.90778097174222405</v>
      </c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</row>
    <row r="2870" spans="28:52">
      <c r="AB2870" s="9">
        <v>0.95729771067477842</v>
      </c>
      <c r="AC2870" s="9">
        <v>1.1178400111605147</v>
      </c>
      <c r="AD2870" s="9">
        <v>0.9120447217675941</v>
      </c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</row>
    <row r="2871" spans="28:52">
      <c r="AB2871" s="9">
        <v>0.95353238490934344</v>
      </c>
      <c r="AC2871" s="9">
        <v>0.81569133643345759</v>
      </c>
      <c r="AD2871" s="9">
        <v>0.90471124212238274</v>
      </c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</row>
    <row r="2872" spans="28:52">
      <c r="AB2872" s="9">
        <v>0.96140270119955851</v>
      </c>
      <c r="AC2872" s="9">
        <v>0.93451424933019034</v>
      </c>
      <c r="AD2872" s="9">
        <v>0.90924383057090252</v>
      </c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</row>
    <row r="2873" spans="28:52">
      <c r="AB2873" s="9">
        <v>0.95706384796773458</v>
      </c>
      <c r="AC2873" s="9">
        <v>0.69835242661766539</v>
      </c>
      <c r="AD2873" s="9">
        <v>0.89502312348668278</v>
      </c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</row>
    <row r="2874" spans="28:52">
      <c r="AB2874" s="9">
        <v>0.97288592830042708</v>
      </c>
      <c r="AC2874" s="9">
        <v>1.2858364885204128</v>
      </c>
      <c r="AD2874" s="9">
        <v>0.8913596215781</v>
      </c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</row>
    <row r="2875" spans="28:52">
      <c r="AB2875" s="9">
        <v>0.97752172270494908</v>
      </c>
      <c r="AC2875" s="9">
        <v>1.1942411373151411</v>
      </c>
      <c r="AD2875" s="9">
        <v>0.89569090172239108</v>
      </c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</row>
    <row r="2876" spans="28:52">
      <c r="AB2876" s="9">
        <v>0.97333438523135185</v>
      </c>
      <c r="AC2876" s="9">
        <v>0.76167599124300656</v>
      </c>
      <c r="AD2876" s="9">
        <v>0.90513842401385569</v>
      </c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</row>
    <row r="2877" spans="28:52">
      <c r="AB2877" s="9">
        <v>0.96476072941238367</v>
      </c>
      <c r="AC2877" s="9">
        <v>0.84667784233996735</v>
      </c>
      <c r="AD2877" s="9">
        <v>0.92161152641470034</v>
      </c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</row>
    <row r="2878" spans="28:52">
      <c r="AB2878" s="9">
        <v>0.94928359713664823</v>
      </c>
      <c r="AC2878" s="9">
        <v>0.84170781597634892</v>
      </c>
      <c r="AD2878" s="9">
        <v>0.91959116666666663</v>
      </c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</row>
    <row r="2879" spans="28:52">
      <c r="AB2879" s="9">
        <v>0.95390322294089547</v>
      </c>
      <c r="AC2879" s="9">
        <v>0.86474764241274404</v>
      </c>
      <c r="AD2879" s="9">
        <v>0.92596926952141068</v>
      </c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</row>
    <row r="2880" spans="28:52">
      <c r="AB2880" s="9">
        <v>0.94937522381760031</v>
      </c>
      <c r="AC2880" s="9">
        <v>0.68047941712520243</v>
      </c>
      <c r="AD2880" s="9">
        <v>0.94951714039621016</v>
      </c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</row>
    <row r="2881" spans="28:52">
      <c r="AB2881" s="9">
        <v>0.92819908391307471</v>
      </c>
      <c r="AC2881" s="9">
        <v>0.64820386759563431</v>
      </c>
      <c r="AD2881" s="9">
        <v>0.96122441150828253</v>
      </c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</row>
    <row r="2882" spans="28:52">
      <c r="AB2882" s="9">
        <v>0.91968271347293085</v>
      </c>
      <c r="AC2882" s="9">
        <v>0.78761931336506996</v>
      </c>
      <c r="AD2882" s="9">
        <v>0.9730122629025143</v>
      </c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</row>
    <row r="2883" spans="28:52">
      <c r="AB2883" s="9">
        <v>0.91100941008021663</v>
      </c>
      <c r="AC2883" s="9">
        <v>0.80985207016081229</v>
      </c>
      <c r="AD2883" s="9">
        <v>0.99062964790311725</v>
      </c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</row>
    <row r="2884" spans="28:52">
      <c r="AB2884" s="9">
        <v>0.89814865357264351</v>
      </c>
      <c r="AC2884" s="9">
        <v>0.79902682307878881</v>
      </c>
      <c r="AD2884" s="9">
        <v>0.97591828810941983</v>
      </c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</row>
    <row r="2885" spans="28:52">
      <c r="AB2885" s="9">
        <v>0.91534021760179241</v>
      </c>
      <c r="AC2885" s="9">
        <v>0.69657968318734653</v>
      </c>
      <c r="AD2885" s="9">
        <v>0.94852133676092554</v>
      </c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</row>
    <row r="2886" spans="28:52">
      <c r="AB2886" s="9">
        <v>0.94374774197030997</v>
      </c>
      <c r="AC2886" s="9">
        <v>1.0676989945495765</v>
      </c>
      <c r="AD2886" s="9">
        <v>0.9500853218884121</v>
      </c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</row>
    <row r="2887" spans="28:52">
      <c r="AB2887" s="9">
        <v>0.94340825870926759</v>
      </c>
      <c r="AC2887" s="9">
        <v>0.91931008500273936</v>
      </c>
      <c r="AD2887" s="9">
        <v>0.95239457714654618</v>
      </c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</row>
    <row r="2888" spans="28:52">
      <c r="AB2888" s="9">
        <v>0.94230257220010716</v>
      </c>
      <c r="AC2888" s="9">
        <v>0.78531566091508986</v>
      </c>
      <c r="AD2888" s="9">
        <v>0.96658899563318779</v>
      </c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</row>
    <row r="2889" spans="28:52">
      <c r="AB2889" s="9">
        <v>0.93079271632344185</v>
      </c>
      <c r="AC2889" s="9">
        <v>0.77510415855984394</v>
      </c>
      <c r="AD2889" s="9">
        <v>0.9939056764639892</v>
      </c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</row>
    <row r="2890" spans="28:52">
      <c r="AB2890" s="9">
        <v>0.90874299659277447</v>
      </c>
      <c r="AC2890" s="9">
        <v>0.71507025765245158</v>
      </c>
      <c r="AD2890" s="9">
        <v>0.9570985538527953</v>
      </c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</row>
    <row r="2891" spans="28:52">
      <c r="AB2891" s="9">
        <v>0.94750247305712398</v>
      </c>
      <c r="AC2891" s="9">
        <v>1.0963185364826673</v>
      </c>
      <c r="AD2891" s="9">
        <v>0.98934350736278454</v>
      </c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</row>
    <row r="2892" spans="28:52">
      <c r="AB2892" s="9">
        <v>0.92003061842191958</v>
      </c>
      <c r="AC2892" s="9">
        <v>0.8630890053208623</v>
      </c>
      <c r="AD2892" s="9">
        <v>0.98793979069249604</v>
      </c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</row>
    <row r="2893" spans="28:52">
      <c r="AB2893" s="9">
        <v>0.92480535534580122</v>
      </c>
      <c r="AC2893" s="9">
        <v>0.84793751860479483</v>
      </c>
      <c r="AD2893" s="9">
        <v>1.0024695416572591</v>
      </c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</row>
    <row r="2894" spans="28:52">
      <c r="AB2894" s="9">
        <v>0.91495088413920556</v>
      </c>
      <c r="AC2894" s="9">
        <v>0.75589093742636226</v>
      </c>
      <c r="AD2894" s="9">
        <v>1.0270373382624769</v>
      </c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</row>
    <row r="2895" spans="28:52">
      <c r="AB2895" s="9">
        <v>0.89812338281243353</v>
      </c>
      <c r="AC2895" s="9">
        <v>0.71212551287212733</v>
      </c>
      <c r="AD2895" s="9">
        <v>1.039271488567429</v>
      </c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</row>
    <row r="2896" spans="28:52">
      <c r="AB2896" s="9">
        <v>0.89351290037914877</v>
      </c>
      <c r="AC2896" s="9">
        <v>0.81234439213839782</v>
      </c>
      <c r="AD2896" s="9">
        <v>1.0664605973715651</v>
      </c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</row>
    <row r="2897" spans="28:52">
      <c r="AB2897" s="9">
        <v>0.87659822078838545</v>
      </c>
      <c r="AC2897" s="9">
        <v>0.88812757186942692</v>
      </c>
      <c r="AD2897" s="9">
        <v>1.05981468498342</v>
      </c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</row>
    <row r="2898" spans="28:52">
      <c r="AB2898" s="9">
        <v>0.88817326404936736</v>
      </c>
      <c r="AC2898" s="9">
        <v>0.91944096627115945</v>
      </c>
      <c r="AD2898" s="9">
        <v>1.0657931558935363</v>
      </c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</row>
    <row r="2899" spans="28:52">
      <c r="AB2899" s="9">
        <v>0.88909604413533616</v>
      </c>
      <c r="AC2899" s="9">
        <v>0.77805820770504841</v>
      </c>
      <c r="AD2899" s="9">
        <v>1.0730512049630161</v>
      </c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</row>
    <row r="2900" spans="28:52">
      <c r="AB2900" s="9">
        <v>0.88914875728148335</v>
      </c>
      <c r="AC2900" s="9">
        <v>0.62895988452157525</v>
      </c>
      <c r="AD2900" s="9">
        <v>1.0832382508409419</v>
      </c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</row>
    <row r="2901" spans="28:52">
      <c r="AB2901" s="9">
        <v>0.88630941568529154</v>
      </c>
      <c r="AC2901" s="9">
        <v>0.7116278242293228</v>
      </c>
      <c r="AD2901" s="9">
        <v>1.0834758091584751</v>
      </c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</row>
    <row r="2902" spans="28:52">
      <c r="AB2902" s="9">
        <v>0.891979392303486</v>
      </c>
      <c r="AC2902" s="9">
        <v>0.87668020144006997</v>
      </c>
      <c r="AD2902" s="9">
        <v>1.1114448098159508</v>
      </c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</row>
    <row r="2903" spans="28:52">
      <c r="AB2903" s="9">
        <v>0.87505746926508265</v>
      </c>
      <c r="AC2903" s="9">
        <v>0.67443965747670365</v>
      </c>
      <c r="AD2903" s="9">
        <v>1.1161538234570938</v>
      </c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</row>
    <row r="2904" spans="28:52">
      <c r="AB2904" s="9">
        <v>0.87702330484031898</v>
      </c>
      <c r="AC2904" s="9">
        <v>0.79883448973282745</v>
      </c>
      <c r="AD2904" s="9">
        <v>1.159454026503568</v>
      </c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</row>
    <row r="2905" spans="28:52">
      <c r="AB2905" s="9">
        <v>0.84959762112666082</v>
      </c>
      <c r="AC2905" s="9">
        <v>0.63259952989384227</v>
      </c>
      <c r="AD2905" s="9">
        <v>1.1508873864783049</v>
      </c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</row>
    <row r="2906" spans="28:52">
      <c r="AB2906" s="9">
        <v>0.86159359603823438</v>
      </c>
      <c r="AC2906" s="9">
        <v>0.81816522728847718</v>
      </c>
      <c r="AD2906" s="9">
        <v>1.1587376741829236</v>
      </c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</row>
    <row r="2907" spans="28:52">
      <c r="AB2907" s="9">
        <v>0.86186246579135328</v>
      </c>
      <c r="AC2907" s="9">
        <v>0.91879100334550179</v>
      </c>
      <c r="AD2907" s="9">
        <v>1.1910591168831171</v>
      </c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</row>
    <row r="2908" spans="28:52">
      <c r="AB2908" s="9">
        <v>0.84470262847323618</v>
      </c>
      <c r="AC2908" s="9">
        <v>0.84753054710589559</v>
      </c>
      <c r="AD2908" s="9">
        <v>1.1765927365728901</v>
      </c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</row>
    <row r="2909" spans="28:52">
      <c r="AB2909" s="9">
        <v>0.86167057870986097</v>
      </c>
      <c r="AC2909" s="9">
        <v>0.78073798841095532</v>
      </c>
      <c r="AD2909" s="9">
        <v>1.1168524812394094</v>
      </c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</row>
    <row r="2910" spans="28:52">
      <c r="AB2910" s="9">
        <v>0.91355060254312492</v>
      </c>
      <c r="AC2910" s="9">
        <v>1.0294515726353999</v>
      </c>
      <c r="AD2910" s="9">
        <v>1.0944772910253375</v>
      </c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</row>
    <row r="2911" spans="28:52">
      <c r="AB2911" s="9">
        <v>0.93560498726420727</v>
      </c>
      <c r="AC2911" s="9">
        <v>1.6327917057097052</v>
      </c>
      <c r="AD2911" s="9">
        <v>1.0811209345794393</v>
      </c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10"/>
    </row>
    <row r="2912" spans="28:52">
      <c r="AB2912" s="9">
        <v>0.94946179048528367</v>
      </c>
      <c r="AC2912" s="9">
        <v>1.766057030001791</v>
      </c>
      <c r="AD2912" s="9">
        <v>1.0392412741139525</v>
      </c>
      <c r="AE2912" s="10"/>
      <c r="AF2912" s="10"/>
      <c r="AG2912" s="10"/>
      <c r="AH2912" s="10"/>
      <c r="AI2912" s="10"/>
      <c r="AJ2912" s="10"/>
      <c r="AK2912" s="10"/>
      <c r="AL2912" s="10"/>
      <c r="AM2912" s="10"/>
      <c r="AN2912" s="10"/>
      <c r="AO2912" s="10"/>
      <c r="AP2912" s="10"/>
      <c r="AQ2912" s="10"/>
      <c r="AR2912" s="10"/>
      <c r="AS2912" s="10"/>
      <c r="AT2912" s="10"/>
      <c r="AU2912" s="10"/>
      <c r="AV2912" s="10"/>
      <c r="AW2912" s="10"/>
      <c r="AX2912" s="10"/>
      <c r="AY2912" s="10"/>
      <c r="AZ2912" s="10"/>
    </row>
    <row r="2913" spans="28:52">
      <c r="AB2913" s="9">
        <v>0.99009966958921525</v>
      </c>
      <c r="AC2913" s="9">
        <v>2.1699721464690853</v>
      </c>
      <c r="AD2913" s="9">
        <v>1.0384758234371498</v>
      </c>
      <c r="AE2913" s="10"/>
      <c r="AF2913" s="10"/>
      <c r="AG2913" s="10"/>
      <c r="AH2913" s="10"/>
      <c r="AI2913" s="10"/>
      <c r="AJ2913" s="10"/>
      <c r="AK2913" s="10"/>
      <c r="AL2913" s="10"/>
      <c r="AM2913" s="10"/>
      <c r="AN2913" s="10"/>
      <c r="AO2913" s="10"/>
      <c r="AP2913" s="10"/>
      <c r="AQ2913" s="10"/>
      <c r="AR2913" s="10"/>
      <c r="AS2913" s="10"/>
      <c r="AT2913" s="10"/>
      <c r="AU2913" s="10"/>
      <c r="AV2913" s="10"/>
      <c r="AW2913" s="10"/>
      <c r="AX2913" s="10"/>
      <c r="AY2913" s="10"/>
      <c r="AZ2913" s="10"/>
    </row>
    <row r="2914" spans="28:52">
      <c r="AB2914" s="9">
        <v>0.99225472154726801</v>
      </c>
      <c r="AC2914" s="9">
        <v>1.6260490625088044</v>
      </c>
      <c r="AD2914" s="9">
        <v>1.0566797993616051</v>
      </c>
      <c r="AE2914" s="10"/>
      <c r="AF2914" s="10"/>
      <c r="AG2914" s="10"/>
      <c r="AH2914" s="10"/>
      <c r="AI2914" s="10"/>
      <c r="AJ2914" s="10"/>
      <c r="AK2914" s="10"/>
      <c r="AL2914" s="10"/>
      <c r="AM2914" s="10"/>
      <c r="AN2914" s="10"/>
      <c r="AO2914" s="10"/>
      <c r="AP2914" s="10"/>
      <c r="AQ2914" s="10"/>
      <c r="AR2914" s="10"/>
      <c r="AS2914" s="10"/>
      <c r="AT2914" s="10"/>
      <c r="AU2914" s="10"/>
      <c r="AV2914" s="10"/>
      <c r="AW2914" s="10"/>
      <c r="AX2914" s="10"/>
      <c r="AY2914" s="10"/>
      <c r="AZ2914" s="10"/>
    </row>
    <row r="2915" spans="28:52">
      <c r="AB2915" s="9">
        <v>0.97715580822882819</v>
      </c>
      <c r="AC2915" s="9">
        <v>1.9099831322138894</v>
      </c>
      <c r="AD2915" s="9">
        <v>1.0100302404420158</v>
      </c>
      <c r="AE2915" s="10"/>
      <c r="AF2915" s="10"/>
      <c r="AG2915" s="10"/>
      <c r="AH2915" s="10"/>
      <c r="AI2915" s="10"/>
      <c r="AJ2915" s="10"/>
      <c r="AK2915" s="10"/>
      <c r="AL2915" s="10"/>
      <c r="AM2915" s="10"/>
      <c r="AN2915" s="10"/>
      <c r="AO2915" s="10"/>
      <c r="AP2915" s="10"/>
      <c r="AQ2915" s="10"/>
      <c r="AR2915" s="10"/>
      <c r="AS2915" s="10"/>
      <c r="AT2915" s="10"/>
      <c r="AU2915" s="10"/>
      <c r="AV2915" s="10"/>
      <c r="AW2915" s="10"/>
      <c r="AX2915" s="10"/>
      <c r="AY2915" s="10"/>
      <c r="AZ2915" s="10"/>
    </row>
    <row r="2916" spans="28:52">
      <c r="AB2916" s="9">
        <v>1.0237739005596465</v>
      </c>
      <c r="AC2916" s="9">
        <v>2.1158214200304939</v>
      </c>
      <c r="AD2916" s="9">
        <v>1.0132526016615655</v>
      </c>
      <c r="AE2916" s="10"/>
      <c r="AF2916" s="10"/>
      <c r="AG2916" s="10"/>
      <c r="AH2916" s="10"/>
      <c r="AI2916" s="10"/>
      <c r="AJ2916" s="10"/>
      <c r="AK2916" s="10"/>
      <c r="AL2916" s="10"/>
      <c r="AM2916" s="10"/>
      <c r="AN2916" s="10"/>
      <c r="AO2916" s="10"/>
      <c r="AP2916" s="10"/>
      <c r="AQ2916" s="10"/>
      <c r="AR2916" s="10"/>
      <c r="AS2916" s="10"/>
      <c r="AT2916" s="10"/>
      <c r="AU2916" s="10"/>
      <c r="AV2916" s="10"/>
      <c r="AW2916" s="10"/>
      <c r="AX2916" s="10"/>
      <c r="AY2916" s="10"/>
      <c r="AZ2916" s="10"/>
    </row>
    <row r="2917" spans="28:52">
      <c r="AB2917" s="9">
        <v>1.0213390187723181</v>
      </c>
      <c r="AC2917" s="9">
        <v>2.0990276413964248</v>
      </c>
      <c r="AD2917" s="9">
        <v>1.015701971954426</v>
      </c>
      <c r="AE2917" s="10"/>
      <c r="AF2917" s="10"/>
      <c r="AG2917" s="10"/>
      <c r="AH2917" s="10"/>
      <c r="AI2917" s="10"/>
      <c r="AJ2917" s="10"/>
      <c r="AK2917" s="10"/>
      <c r="AL2917" s="10"/>
      <c r="AM2917" s="10"/>
      <c r="AN2917" s="10"/>
      <c r="AO2917" s="10"/>
      <c r="AP2917" s="10"/>
      <c r="AQ2917" s="10"/>
      <c r="AR2917" s="10"/>
      <c r="AS2917" s="10"/>
      <c r="AT2917" s="10"/>
      <c r="AU2917" s="10"/>
      <c r="AV2917" s="10"/>
      <c r="AW2917" s="10"/>
      <c r="AX2917" s="10"/>
      <c r="AY2917" s="10"/>
      <c r="AZ2917" s="10"/>
    </row>
    <row r="2918" spans="28:52">
      <c r="AB2918" s="9">
        <v>1.020578247470368</v>
      </c>
      <c r="AC2918" s="9">
        <v>1.4763730025565591</v>
      </c>
      <c r="AD2918" s="9">
        <v>1.0080810693327538</v>
      </c>
      <c r="AE2918" s="10"/>
      <c r="AF2918" s="10"/>
      <c r="AG2918" s="10"/>
      <c r="AH2918" s="10"/>
      <c r="AI2918" s="10"/>
      <c r="AJ2918" s="10"/>
      <c r="AK2918" s="10"/>
      <c r="AL2918" s="10"/>
      <c r="AM2918" s="10"/>
      <c r="AN2918" s="10"/>
      <c r="AO2918" s="10"/>
      <c r="AP2918" s="10"/>
      <c r="AQ2918" s="10"/>
      <c r="AR2918" s="10"/>
      <c r="AS2918" s="10"/>
      <c r="AT2918" s="10"/>
      <c r="AU2918" s="10"/>
      <c r="AV2918" s="10"/>
      <c r="AW2918" s="10"/>
      <c r="AX2918" s="10"/>
      <c r="AY2918" s="10"/>
      <c r="AZ2918" s="10"/>
    </row>
    <row r="2919" spans="28:52">
      <c r="AB2919" s="9">
        <v>1.0303726813871337</v>
      </c>
      <c r="AC2919" s="9">
        <v>1.7329186853009952</v>
      </c>
      <c r="AD2919" s="9">
        <v>1.0189245937637241</v>
      </c>
      <c r="AE2919" s="10"/>
      <c r="AF2919" s="10"/>
      <c r="AG2919" s="10"/>
      <c r="AH2919" s="10"/>
      <c r="AI2919" s="10"/>
      <c r="AJ2919" s="10"/>
      <c r="AK2919" s="10"/>
      <c r="AL2919" s="10"/>
      <c r="AM2919" s="10"/>
      <c r="AN2919" s="10"/>
      <c r="AO2919" s="10"/>
      <c r="AP2919" s="10"/>
      <c r="AQ2919" s="10"/>
      <c r="AR2919" s="10"/>
      <c r="AS2919" s="10"/>
      <c r="AT2919" s="10"/>
      <c r="AU2919" s="10"/>
      <c r="AV2919" s="10"/>
      <c r="AW2919" s="10"/>
      <c r="AX2919" s="10"/>
      <c r="AY2919" s="10"/>
      <c r="AZ2919" s="10"/>
    </row>
    <row r="2920" spans="28:52">
      <c r="AB2920" s="9">
        <v>1.0215172262931624</v>
      </c>
      <c r="AC2920" s="9">
        <v>1.1751254628778678</v>
      </c>
      <c r="AD2920" s="9">
        <v>1.0328682080924854</v>
      </c>
      <c r="AE2920" s="10"/>
      <c r="AF2920" s="10"/>
      <c r="AG2920" s="10"/>
      <c r="AH2920" s="10"/>
      <c r="AI2920" s="10"/>
      <c r="AJ2920" s="10"/>
      <c r="AK2920" s="10"/>
      <c r="AL2920" s="10"/>
      <c r="AM2920" s="10"/>
      <c r="AN2920" s="10"/>
      <c r="AO2920" s="10"/>
      <c r="AP2920" s="10"/>
      <c r="AQ2920" s="10"/>
      <c r="AR2920" s="10"/>
      <c r="AS2920" s="10"/>
      <c r="AT2920" s="10"/>
      <c r="AU2920" s="10"/>
      <c r="AV2920" s="10"/>
      <c r="AW2920" s="10"/>
      <c r="AX2920" s="10"/>
      <c r="AY2920" s="10"/>
      <c r="AZ2920" s="10"/>
    </row>
    <row r="2921" spans="28:52">
      <c r="AB2921" s="9">
        <v>1.010724147224533</v>
      </c>
      <c r="AC2921" s="9">
        <v>1.2861417900585743</v>
      </c>
      <c r="AD2921" s="9">
        <v>1.0159763703865472</v>
      </c>
      <c r="AE2921" s="10"/>
      <c r="AF2921" s="10"/>
      <c r="AG2921" s="10"/>
      <c r="AH2921" s="10"/>
      <c r="AI2921" s="10"/>
      <c r="AJ2921" s="10"/>
      <c r="AK2921" s="10"/>
      <c r="AL2921" s="10"/>
      <c r="AM2921" s="10"/>
      <c r="AN2921" s="10"/>
      <c r="AO2921" s="10"/>
      <c r="AP2921" s="10"/>
      <c r="AQ2921" s="10"/>
      <c r="AR2921" s="10"/>
      <c r="AS2921" s="10"/>
      <c r="AT2921" s="10"/>
      <c r="AU2921" s="10"/>
      <c r="AV2921" s="10"/>
      <c r="AW2921" s="10"/>
      <c r="AX2921" s="10"/>
      <c r="AY2921" s="10"/>
      <c r="AZ2921" s="10"/>
    </row>
    <row r="2922" spans="28:52">
      <c r="AB2922" s="9">
        <v>1.0304998705292474</v>
      </c>
      <c r="AC2922" s="9">
        <v>1.5023345068730214</v>
      </c>
      <c r="AD2922" s="9">
        <v>1.0350203999999998</v>
      </c>
      <c r="AE2922" s="10"/>
      <c r="AF2922" s="10"/>
      <c r="AG2922" s="10"/>
      <c r="AH2922" s="10"/>
      <c r="AI2922" s="10"/>
      <c r="AJ2922" s="10"/>
      <c r="AK2922" s="10"/>
      <c r="AL2922" s="10"/>
      <c r="AM2922" s="10"/>
      <c r="AN2922" s="10"/>
      <c r="AO2922" s="10"/>
      <c r="AP2922" s="10"/>
      <c r="AQ2922" s="10"/>
      <c r="AR2922" s="10"/>
      <c r="AS2922" s="10"/>
      <c r="AT2922" s="10"/>
      <c r="AU2922" s="10"/>
      <c r="AV2922" s="10"/>
      <c r="AW2922" s="10"/>
      <c r="AX2922" s="10"/>
      <c r="AY2922" s="10"/>
      <c r="AZ2922" s="10"/>
    </row>
    <row r="2923" spans="28:52">
      <c r="AB2923" s="9">
        <v>1.0144881075617103</v>
      </c>
      <c r="AC2923" s="9">
        <v>1.4539912923645537</v>
      </c>
      <c r="AD2923" s="9">
        <v>1.0184195941523018</v>
      </c>
      <c r="AE2923" s="10"/>
      <c r="AF2923" s="10"/>
      <c r="AG2923" s="10"/>
      <c r="AH2923" s="10"/>
      <c r="AI2923" s="10"/>
      <c r="AJ2923" s="10"/>
      <c r="AK2923" s="10"/>
      <c r="AL2923" s="10"/>
      <c r="AM2923" s="10"/>
      <c r="AN2923" s="10"/>
      <c r="AO2923" s="10"/>
      <c r="AP2923" s="10"/>
      <c r="AQ2923" s="10"/>
      <c r="AR2923" s="10"/>
      <c r="AS2923" s="10"/>
      <c r="AT2923" s="10"/>
      <c r="AU2923" s="10"/>
      <c r="AV2923" s="10"/>
      <c r="AW2923" s="10"/>
      <c r="AX2923" s="10"/>
      <c r="AY2923" s="10"/>
      <c r="AZ2923" s="10"/>
    </row>
    <row r="2924" spans="28:52">
      <c r="AB2924" s="9">
        <v>1.0349403354525484</v>
      </c>
      <c r="AC2924" s="9">
        <v>1.2952241240124507</v>
      </c>
      <c r="AD2924" s="9">
        <v>1.0240046868155934</v>
      </c>
      <c r="AE2924" s="10"/>
      <c r="AF2924" s="10"/>
      <c r="AG2924" s="10"/>
      <c r="AH2924" s="10"/>
      <c r="AI2924" s="10"/>
      <c r="AJ2924" s="10"/>
      <c r="AK2924" s="10"/>
      <c r="AL2924" s="10"/>
      <c r="AM2924" s="10"/>
      <c r="AN2924" s="10"/>
      <c r="AO2924" s="10"/>
      <c r="AP2924" s="10"/>
      <c r="AQ2924" s="10"/>
      <c r="AR2924" s="10"/>
      <c r="AS2924" s="10"/>
      <c r="AT2924" s="10"/>
      <c r="AU2924" s="10"/>
      <c r="AV2924" s="10"/>
      <c r="AW2924" s="10"/>
      <c r="AX2924" s="10"/>
      <c r="AY2924" s="10"/>
      <c r="AZ2924" s="10"/>
    </row>
    <row r="2925" spans="28:52">
      <c r="AB2925" s="9">
        <v>1.0329768469754976</v>
      </c>
      <c r="AC2925" s="9">
        <v>1.1560322707588007</v>
      </c>
      <c r="AD2925" s="9">
        <v>0.99145807407407405</v>
      </c>
      <c r="AE2925" s="10"/>
      <c r="AF2925" s="10"/>
      <c r="AG2925" s="10"/>
      <c r="AH2925" s="10"/>
      <c r="AI2925" s="10"/>
      <c r="AJ2925" s="10"/>
      <c r="AK2925" s="10"/>
      <c r="AL2925" s="10"/>
      <c r="AM2925" s="10"/>
      <c r="AN2925" s="10"/>
      <c r="AO2925" s="10"/>
      <c r="AP2925" s="10"/>
      <c r="AQ2925" s="10"/>
      <c r="AR2925" s="10"/>
      <c r="AS2925" s="10"/>
      <c r="AT2925" s="10"/>
      <c r="AU2925" s="10"/>
      <c r="AV2925" s="10"/>
      <c r="AW2925" s="10"/>
      <c r="AX2925" s="10"/>
      <c r="AY2925" s="10"/>
      <c r="AZ2925" s="10"/>
    </row>
    <row r="2926" spans="28:52">
      <c r="AB2926" s="9">
        <v>1.0699644427604802</v>
      </c>
      <c r="AC2926" s="9">
        <v>1.8052560059419418</v>
      </c>
      <c r="AD2926" s="9">
        <v>0.98570636956064761</v>
      </c>
      <c r="AE2926" s="10"/>
      <c r="AF2926" s="10"/>
      <c r="AG2926" s="10"/>
      <c r="AH2926" s="10"/>
      <c r="AI2926" s="10"/>
      <c r="AJ2926" s="10"/>
      <c r="AK2926" s="10"/>
      <c r="AL2926" s="10"/>
      <c r="AM2926" s="10"/>
      <c r="AN2926" s="10"/>
      <c r="AO2926" s="10"/>
      <c r="AP2926" s="10"/>
      <c r="AQ2926" s="10"/>
      <c r="AR2926" s="10"/>
      <c r="AS2926" s="10"/>
      <c r="AT2926" s="10"/>
      <c r="AU2926" s="10"/>
      <c r="AV2926" s="10"/>
      <c r="AW2926" s="10"/>
      <c r="AX2926" s="10"/>
      <c r="AY2926" s="10"/>
      <c r="AZ2926" s="10"/>
    </row>
    <row r="2927" spans="28:52">
      <c r="AB2927" s="9">
        <v>1.0778055525496932</v>
      </c>
      <c r="AC2927" s="9">
        <v>1.9863902173291481</v>
      </c>
      <c r="AD2927" s="9">
        <v>0.97526934109332786</v>
      </c>
      <c r="AE2927" s="10"/>
      <c r="AF2927" s="10"/>
      <c r="AG2927" s="10"/>
      <c r="AH2927" s="10"/>
      <c r="AI2927" s="10"/>
      <c r="AJ2927" s="10"/>
      <c r="AK2927" s="10"/>
      <c r="AL2927" s="10"/>
      <c r="AM2927" s="10"/>
      <c r="AN2927" s="10"/>
      <c r="AO2927" s="10"/>
      <c r="AP2927" s="10"/>
      <c r="AQ2927" s="10"/>
      <c r="AR2927" s="10"/>
      <c r="AS2927" s="10"/>
      <c r="AT2927" s="10"/>
      <c r="AU2927" s="10"/>
      <c r="AV2927" s="10"/>
      <c r="AW2927" s="10"/>
      <c r="AX2927" s="10"/>
      <c r="AY2927" s="10"/>
      <c r="AZ2927" s="10"/>
    </row>
    <row r="2928" spans="28:52">
      <c r="AB2928" s="9">
        <v>1.0899318120896841</v>
      </c>
      <c r="AC2928" s="9">
        <v>1.644118613316917</v>
      </c>
      <c r="AD2928" s="9">
        <v>1.0066083619210977</v>
      </c>
      <c r="AE2928" s="10"/>
      <c r="AF2928" s="10"/>
      <c r="AG2928" s="10"/>
      <c r="AH2928" s="10"/>
      <c r="AI2928" s="10"/>
      <c r="AJ2928" s="10"/>
      <c r="AK2928" s="10"/>
      <c r="AL2928" s="10"/>
      <c r="AM2928" s="10"/>
      <c r="AN2928" s="10"/>
      <c r="AO2928" s="10"/>
      <c r="AP2928" s="10"/>
      <c r="AQ2928" s="10"/>
      <c r="AR2928" s="10"/>
      <c r="AS2928" s="10"/>
      <c r="AT2928" s="10"/>
      <c r="AU2928" s="10"/>
      <c r="AV2928" s="10"/>
      <c r="AW2928" s="10"/>
      <c r="AX2928" s="10"/>
      <c r="AY2928" s="10"/>
      <c r="AZ2928" s="10"/>
    </row>
    <row r="2929" spans="28:52">
      <c r="AB2929" s="9">
        <v>1.0572804823665383</v>
      </c>
      <c r="AC2929" s="9">
        <v>1.3401448821111897</v>
      </c>
      <c r="AD2929" s="9">
        <v>1.0052307100085545</v>
      </c>
      <c r="AE2929" s="10"/>
      <c r="AF2929" s="10"/>
      <c r="AG2929" s="10"/>
      <c r="AH2929" s="10"/>
      <c r="AI2929" s="10"/>
      <c r="AJ2929" s="10"/>
      <c r="AK2929" s="10"/>
      <c r="AL2929" s="10"/>
      <c r="AM2929" s="10"/>
      <c r="AN2929" s="10"/>
      <c r="AO2929" s="10"/>
      <c r="AP2929" s="10"/>
      <c r="AQ2929" s="10"/>
      <c r="AR2929" s="10"/>
      <c r="AS2929" s="10"/>
      <c r="AT2929" s="10"/>
      <c r="AU2929" s="10"/>
      <c r="AV2929" s="10"/>
      <c r="AW2929" s="10"/>
      <c r="AX2929" s="10"/>
      <c r="AY2929" s="10"/>
      <c r="AZ2929" s="10"/>
    </row>
    <row r="2930" spans="28:52">
      <c r="AB2930" s="9">
        <v>1.0604238393438834</v>
      </c>
      <c r="AC2930" s="9">
        <v>1.2117755044721321</v>
      </c>
      <c r="AD2930" s="9">
        <v>1.0076652108756154</v>
      </c>
      <c r="AE2930" s="10"/>
      <c r="AF2930" s="10"/>
      <c r="AG2930" s="10"/>
      <c r="AH2930" s="10"/>
      <c r="AI2930" s="10"/>
      <c r="AJ2930" s="10"/>
      <c r="AK2930" s="10"/>
      <c r="AL2930" s="10"/>
      <c r="AM2930" s="10"/>
      <c r="AN2930" s="10"/>
      <c r="AO2930" s="10"/>
      <c r="AP2930" s="10"/>
      <c r="AQ2930" s="10"/>
      <c r="AR2930" s="10"/>
      <c r="AS2930" s="10"/>
      <c r="AT2930" s="10"/>
      <c r="AU2930" s="10"/>
      <c r="AV2930" s="10"/>
      <c r="AW2930" s="10"/>
      <c r="AX2930" s="10"/>
      <c r="AY2930" s="10"/>
      <c r="AZ2930" s="10"/>
    </row>
    <row r="2931" spans="28:52">
      <c r="AB2931" s="9">
        <v>1.0591602326442844</v>
      </c>
      <c r="AC2931" s="9">
        <v>1.4485700706640372</v>
      </c>
      <c r="AD2931" s="9">
        <v>1.010709581993569</v>
      </c>
      <c r="AE2931" s="10"/>
      <c r="AF2931" s="10"/>
      <c r="AG2931" s="10"/>
      <c r="AH2931" s="10"/>
      <c r="AI2931" s="10"/>
      <c r="AJ2931" s="10"/>
      <c r="AK2931" s="10"/>
      <c r="AL2931" s="10"/>
      <c r="AM2931" s="10"/>
      <c r="AN2931" s="10"/>
      <c r="AO2931" s="10"/>
      <c r="AP2931" s="10"/>
      <c r="AQ2931" s="10"/>
      <c r="AR2931" s="10"/>
      <c r="AS2931" s="10"/>
      <c r="AT2931" s="10"/>
      <c r="AU2931" s="10"/>
      <c r="AV2931" s="10"/>
      <c r="AW2931" s="10"/>
      <c r="AX2931" s="10"/>
      <c r="AY2931" s="10"/>
      <c r="AZ2931" s="10"/>
    </row>
    <row r="2932" spans="28:52">
      <c r="AB2932" s="9">
        <v>1.0574304652766582</v>
      </c>
      <c r="AC2932" s="9">
        <v>1.3594321842760884</v>
      </c>
      <c r="AD2932" s="9">
        <v>0.98126046125077915</v>
      </c>
      <c r="AE2932" s="10"/>
      <c r="AF2932" s="10"/>
      <c r="AG2932" s="10"/>
      <c r="AH2932" s="10"/>
      <c r="AI2932" s="10"/>
      <c r="AJ2932" s="10"/>
      <c r="AK2932" s="10"/>
      <c r="AL2932" s="10"/>
      <c r="AM2932" s="10"/>
      <c r="AN2932" s="10"/>
      <c r="AO2932" s="10"/>
      <c r="AP2932" s="10"/>
      <c r="AQ2932" s="10"/>
      <c r="AR2932" s="10"/>
      <c r="AS2932" s="10"/>
      <c r="AT2932" s="10"/>
      <c r="AU2932" s="10"/>
      <c r="AV2932" s="10"/>
      <c r="AW2932" s="10"/>
      <c r="AX2932" s="10"/>
      <c r="AY2932" s="10"/>
      <c r="AZ2932" s="10"/>
    </row>
    <row r="2933" spans="28:52">
      <c r="AB2933" s="9">
        <v>1.0895999327721595</v>
      </c>
      <c r="AC2933" s="9">
        <v>1.6401531544693486</v>
      </c>
      <c r="AD2933" s="9">
        <v>0.98663849686847593</v>
      </c>
      <c r="AE2933" s="10"/>
      <c r="AF2933" s="10"/>
      <c r="AG2933" s="10"/>
      <c r="AH2933" s="10"/>
      <c r="AI2933" s="10"/>
      <c r="AJ2933" s="10"/>
      <c r="AK2933" s="10"/>
      <c r="AL2933" s="10"/>
      <c r="AM2933" s="10"/>
      <c r="AN2933" s="10"/>
      <c r="AO2933" s="10"/>
      <c r="AP2933" s="10"/>
      <c r="AQ2933" s="10"/>
      <c r="AR2933" s="10"/>
      <c r="AS2933" s="10"/>
      <c r="AT2933" s="10"/>
      <c r="AU2933" s="10"/>
      <c r="AV2933" s="10"/>
      <c r="AW2933" s="10"/>
      <c r="AX2933" s="10"/>
      <c r="AY2933" s="10"/>
      <c r="AZ2933" s="10"/>
    </row>
    <row r="2934" spans="28:52">
      <c r="AB2934" s="9">
        <v>1.082770307843127</v>
      </c>
      <c r="AC2934" s="9">
        <v>1.4272095947593844</v>
      </c>
      <c r="AD2934" s="9">
        <v>1.0009525179856114</v>
      </c>
      <c r="AE2934" s="10"/>
      <c r="AF2934" s="10"/>
      <c r="AG2934" s="10"/>
      <c r="AH2934" s="10"/>
      <c r="AI2934" s="10"/>
      <c r="AJ2934" s="10"/>
      <c r="AK2934" s="10"/>
      <c r="AL2934" s="10"/>
      <c r="AM2934" s="10"/>
      <c r="AN2934" s="10"/>
      <c r="AO2934" s="10"/>
      <c r="AP2934" s="10"/>
      <c r="AQ2934" s="10"/>
      <c r="AR2934" s="10"/>
      <c r="AS2934" s="10"/>
      <c r="AT2934" s="10"/>
      <c r="AU2934" s="10"/>
      <c r="AV2934" s="10"/>
      <c r="AW2934" s="10"/>
      <c r="AX2934" s="10"/>
      <c r="AY2934" s="10"/>
      <c r="AZ2934" s="10"/>
    </row>
    <row r="2935" spans="28:52">
      <c r="AB2935" s="9">
        <v>1.0673719000141291</v>
      </c>
      <c r="AC2935" s="9">
        <v>0.94392798099198738</v>
      </c>
      <c r="AD2935" s="9">
        <v>1.0171186761229314</v>
      </c>
      <c r="AE2935" s="10"/>
      <c r="AF2935" s="10"/>
      <c r="AG2935" s="10"/>
      <c r="AH2935" s="10"/>
      <c r="AI2935" s="10"/>
      <c r="AJ2935" s="10"/>
      <c r="AK2935" s="10"/>
      <c r="AL2935" s="10"/>
      <c r="AM2935" s="10"/>
      <c r="AN2935" s="10"/>
      <c r="AO2935" s="10"/>
      <c r="AP2935" s="10"/>
      <c r="AQ2935" s="10"/>
      <c r="AR2935" s="10"/>
      <c r="AS2935" s="10"/>
      <c r="AT2935" s="10"/>
      <c r="AU2935" s="10"/>
      <c r="AV2935" s="10"/>
      <c r="AW2935" s="10"/>
      <c r="AX2935" s="10"/>
      <c r="AY2935" s="10"/>
      <c r="AZ2935" s="10"/>
    </row>
    <row r="2936" spans="28:52">
      <c r="AB2936" s="9">
        <v>1.0509559837137734</v>
      </c>
      <c r="AC2936" s="9">
        <v>0.94878450462397679</v>
      </c>
      <c r="AD2936" s="9">
        <v>1.0339158331513429</v>
      </c>
      <c r="AE2936" s="10"/>
      <c r="AF2936" s="10"/>
      <c r="AG2936" s="10"/>
      <c r="AH2936" s="10"/>
      <c r="AI2936" s="10"/>
      <c r="AJ2936" s="10"/>
      <c r="AK2936" s="10"/>
      <c r="AL2936" s="10"/>
      <c r="AM2936" s="10"/>
      <c r="AN2936" s="10"/>
      <c r="AO2936" s="10"/>
      <c r="AP2936" s="10"/>
      <c r="AQ2936" s="10"/>
      <c r="AR2936" s="10"/>
      <c r="AS2936" s="10"/>
      <c r="AT2936" s="10"/>
      <c r="AU2936" s="10"/>
      <c r="AV2936" s="10"/>
      <c r="AW2936" s="10"/>
      <c r="AX2936" s="10"/>
      <c r="AY2936" s="10"/>
      <c r="AZ2936" s="10"/>
    </row>
    <row r="2937" spans="28:52">
      <c r="AB2937" s="9">
        <v>1.0346204472633238</v>
      </c>
      <c r="AC2937" s="9">
        <v>1.0380038140605261</v>
      </c>
      <c r="AD2937" s="9">
        <v>1.0060756320373909</v>
      </c>
      <c r="AE2937" s="10"/>
      <c r="AF2937" s="10"/>
      <c r="AG2937" s="10"/>
      <c r="AH2937" s="10"/>
      <c r="AI2937" s="10"/>
      <c r="AJ2937" s="10"/>
      <c r="AK2937" s="10"/>
      <c r="AL2937" s="10"/>
      <c r="AM2937" s="10"/>
      <c r="AN2937" s="10"/>
      <c r="AO2937" s="10"/>
      <c r="AP2937" s="10"/>
      <c r="AQ2937" s="10"/>
      <c r="AR2937" s="10"/>
      <c r="AS2937" s="10"/>
      <c r="AT2937" s="10"/>
      <c r="AU2937" s="10"/>
      <c r="AV2937" s="10"/>
      <c r="AW2937" s="10"/>
      <c r="AX2937" s="10"/>
      <c r="AY2937" s="10"/>
      <c r="AZ2937" s="10"/>
    </row>
    <row r="2938" spans="28:52">
      <c r="AB2938" s="9">
        <v>1.0632536292932677</v>
      </c>
      <c r="AC2938" s="9">
        <v>1.2058869570523825</v>
      </c>
      <c r="AD2938" s="9">
        <v>1.0022946432352318</v>
      </c>
      <c r="AE2938" s="10"/>
      <c r="AF2938" s="10"/>
      <c r="AG2938" s="10"/>
      <c r="AH2938" s="10"/>
      <c r="AI2938" s="10"/>
      <c r="AJ2938" s="10"/>
      <c r="AK2938" s="10"/>
      <c r="AL2938" s="10"/>
      <c r="AM2938" s="10"/>
      <c r="AN2938" s="10"/>
      <c r="AO2938" s="10"/>
      <c r="AP2938" s="10"/>
      <c r="AQ2938" s="10"/>
      <c r="AR2938" s="10"/>
      <c r="AS2938" s="10"/>
      <c r="AT2938" s="10"/>
      <c r="AU2938" s="10"/>
      <c r="AV2938" s="10"/>
      <c r="AW2938" s="10"/>
      <c r="AX2938" s="10"/>
      <c r="AY2938" s="10"/>
      <c r="AZ2938" s="10"/>
    </row>
    <row r="2939" spans="28:52">
      <c r="AB2939" s="9">
        <v>1.0661790400623266</v>
      </c>
      <c r="AC2939" s="9">
        <v>0.77285275302325707</v>
      </c>
      <c r="AD2939" s="9">
        <v>1.0117329484712421</v>
      </c>
      <c r="AE2939" s="10"/>
      <c r="AF2939" s="10"/>
      <c r="AG2939" s="10"/>
      <c r="AH2939" s="10"/>
      <c r="AI2939" s="10"/>
      <c r="AJ2939" s="10"/>
      <c r="AK2939" s="10"/>
      <c r="AL2939" s="10"/>
      <c r="AM2939" s="10"/>
      <c r="AN2939" s="10"/>
      <c r="AO2939" s="10"/>
      <c r="AP2939" s="10"/>
      <c r="AQ2939" s="10"/>
      <c r="AR2939" s="10"/>
      <c r="AS2939" s="10"/>
      <c r="AT2939" s="10"/>
      <c r="AU2939" s="10"/>
      <c r="AV2939" s="10"/>
      <c r="AW2939" s="10"/>
      <c r="AX2939" s="10"/>
      <c r="AY2939" s="10"/>
      <c r="AZ2939" s="10"/>
    </row>
    <row r="2940" spans="28:52">
      <c r="AB2940" s="9">
        <v>1.054747269293824</v>
      </c>
      <c r="AC2940" s="9">
        <v>0.97562640993116778</v>
      </c>
      <c r="AD2940" s="9">
        <v>1.0206117418519318</v>
      </c>
      <c r="AE2940" s="10"/>
      <c r="AF2940" s="10"/>
      <c r="AG2940" s="10"/>
      <c r="AH2940" s="10"/>
      <c r="AI2940" s="10"/>
      <c r="AJ2940" s="10"/>
      <c r="AK2940" s="10"/>
      <c r="AL2940" s="10"/>
      <c r="AM2940" s="10"/>
      <c r="AN2940" s="10"/>
      <c r="AO2940" s="10"/>
      <c r="AP2940" s="10"/>
      <c r="AQ2940" s="10"/>
      <c r="AR2940" s="10"/>
      <c r="AS2940" s="10"/>
      <c r="AT2940" s="10"/>
      <c r="AU2940" s="10"/>
      <c r="AV2940" s="10"/>
      <c r="AW2940" s="10"/>
      <c r="AX2940" s="10"/>
      <c r="AY2940" s="10"/>
      <c r="AZ2940" s="10"/>
    </row>
    <row r="2941" spans="28:52">
      <c r="AB2941" s="9">
        <v>1.0448244812140872</v>
      </c>
      <c r="AC2941" s="9">
        <v>0.76096487186036166</v>
      </c>
      <c r="AD2941" s="9">
        <v>1.024656114483955</v>
      </c>
      <c r="AE2941" s="10"/>
      <c r="AF2941" s="10"/>
      <c r="AG2941" s="10"/>
      <c r="AH2941" s="10"/>
      <c r="AI2941" s="10"/>
      <c r="AJ2941" s="10"/>
      <c r="AK2941" s="10"/>
      <c r="AL2941" s="10"/>
      <c r="AM2941" s="10"/>
      <c r="AN2941" s="10"/>
      <c r="AO2941" s="10"/>
      <c r="AP2941" s="10"/>
      <c r="AQ2941" s="10"/>
      <c r="AR2941" s="10"/>
      <c r="AS2941" s="10"/>
      <c r="AT2941" s="10"/>
      <c r="AU2941" s="10"/>
      <c r="AV2941" s="10"/>
      <c r="AW2941" s="10"/>
      <c r="AX2941" s="10"/>
      <c r="AY2941" s="10"/>
      <c r="AZ2941" s="10"/>
    </row>
    <row r="2942" spans="28:52">
      <c r="AB2942" s="9">
        <v>1.0394791100760596</v>
      </c>
      <c r="AC2942" s="9">
        <v>1.0009656374384701</v>
      </c>
      <c r="AD2942" s="9">
        <v>1.0175582436504518</v>
      </c>
      <c r="AE2942" s="10"/>
      <c r="AF2942" s="10"/>
      <c r="AG2942" s="10"/>
      <c r="AH2942" s="10"/>
      <c r="AI2942" s="10"/>
      <c r="AJ2942" s="10"/>
      <c r="AK2942" s="10"/>
      <c r="AL2942" s="10"/>
      <c r="AM2942" s="10"/>
      <c r="AN2942" s="10"/>
      <c r="AO2942" s="10"/>
      <c r="AP2942" s="10"/>
      <c r="AQ2942" s="10"/>
      <c r="AR2942" s="10"/>
      <c r="AS2942" s="10"/>
      <c r="AT2942" s="10"/>
      <c r="AU2942" s="10"/>
      <c r="AV2942" s="10"/>
      <c r="AW2942" s="10"/>
      <c r="AX2942" s="10"/>
      <c r="AY2942" s="10"/>
      <c r="AZ2942" s="10"/>
    </row>
    <row r="2943" spans="28:52">
      <c r="AB2943" s="9">
        <v>1.0464111027145966</v>
      </c>
      <c r="AC2943" s="9">
        <v>0.82193711006912107</v>
      </c>
      <c r="AD2943" s="9">
        <v>1.0093448216954941</v>
      </c>
      <c r="AE2943" s="10"/>
      <c r="AF2943" s="10"/>
      <c r="AG2943" s="10"/>
      <c r="AH2943" s="10"/>
      <c r="AI2943" s="10"/>
      <c r="AJ2943" s="10"/>
      <c r="AK2943" s="10"/>
      <c r="AL2943" s="10"/>
      <c r="AM2943" s="10"/>
      <c r="AN2943" s="10"/>
      <c r="AO2943" s="10"/>
      <c r="AP2943" s="10"/>
      <c r="AQ2943" s="10"/>
      <c r="AR2943" s="10"/>
      <c r="AS2943" s="10"/>
      <c r="AT2943" s="10"/>
      <c r="AU2943" s="10"/>
      <c r="AV2943" s="10"/>
      <c r="AW2943" s="10"/>
      <c r="AX2943" s="10"/>
      <c r="AY2943" s="10"/>
      <c r="AZ2943" s="10"/>
    </row>
    <row r="2944" spans="28:52">
      <c r="AB2944" s="9">
        <v>1.0535391355930739</v>
      </c>
      <c r="AC2944" s="9">
        <v>0.69277869366940914</v>
      </c>
      <c r="AD2944" s="9">
        <v>0.98562870853327755</v>
      </c>
      <c r="AE2944" s="10"/>
      <c r="AF2944" s="10"/>
      <c r="AG2944" s="10"/>
      <c r="AH2944" s="10"/>
      <c r="AI2944" s="10"/>
      <c r="AJ2944" s="10"/>
      <c r="AK2944" s="10"/>
      <c r="AL2944" s="10"/>
      <c r="AM2944" s="10"/>
      <c r="AN2944" s="10"/>
      <c r="AO2944" s="10"/>
      <c r="AP2944" s="10"/>
      <c r="AQ2944" s="10"/>
      <c r="AR2944" s="10"/>
      <c r="AS2944" s="10"/>
      <c r="AT2944" s="10"/>
      <c r="AU2944" s="10"/>
      <c r="AV2944" s="10"/>
      <c r="AW2944" s="10"/>
      <c r="AX2944" s="10"/>
      <c r="AY2944" s="10"/>
      <c r="AZ2944" s="10"/>
    </row>
    <row r="2945" spans="28:52">
      <c r="AB2945" s="9">
        <v>1.0760346321061613</v>
      </c>
      <c r="AC2945" s="9">
        <v>1.3317746826941073</v>
      </c>
      <c r="AD2945" s="9">
        <v>0.99836522107044612</v>
      </c>
      <c r="AE2945" s="10"/>
      <c r="AF2945" s="10"/>
      <c r="AG2945" s="10"/>
      <c r="AH2945" s="10"/>
      <c r="AI2945" s="10"/>
      <c r="AJ2945" s="10"/>
      <c r="AK2945" s="10"/>
      <c r="AL2945" s="10"/>
      <c r="AM2945" s="10"/>
      <c r="AN2945" s="10"/>
      <c r="AO2945" s="10"/>
      <c r="AP2945" s="10"/>
      <c r="AQ2945" s="10"/>
      <c r="AR2945" s="10"/>
      <c r="AS2945" s="10"/>
      <c r="AT2945" s="10"/>
      <c r="AU2945" s="10"/>
      <c r="AV2945" s="10"/>
      <c r="AW2945" s="10"/>
      <c r="AX2945" s="10"/>
      <c r="AY2945" s="10"/>
      <c r="AZ2945" s="10"/>
    </row>
    <row r="2946" spans="28:52">
      <c r="AB2946" s="9">
        <v>1.0591203820379635</v>
      </c>
      <c r="AC2946" s="9">
        <v>0.90850940746838049</v>
      </c>
      <c r="AD2946" s="9">
        <v>0.99173488958990508</v>
      </c>
      <c r="AE2946" s="10"/>
      <c r="AF2946" s="10"/>
      <c r="AG2946" s="10"/>
      <c r="AH2946" s="10"/>
      <c r="AI2946" s="10"/>
      <c r="AJ2946" s="10"/>
      <c r="AK2946" s="10"/>
      <c r="AL2946" s="10"/>
      <c r="AM2946" s="10"/>
      <c r="AN2946" s="10"/>
      <c r="AO2946" s="10"/>
      <c r="AP2946" s="10"/>
      <c r="AQ2946" s="10"/>
      <c r="AR2946" s="10"/>
      <c r="AS2946" s="10"/>
      <c r="AT2946" s="10"/>
      <c r="AU2946" s="10"/>
      <c r="AV2946" s="10"/>
      <c r="AW2946" s="10"/>
      <c r="AX2946" s="10"/>
      <c r="AY2946" s="10"/>
      <c r="AZ2946" s="10"/>
    </row>
    <row r="2947" spans="28:52">
      <c r="AB2947" s="9">
        <v>1.0626796386737258</v>
      </c>
      <c r="AC2947" s="9">
        <v>0.80929790548111935</v>
      </c>
      <c r="AD2947" s="9">
        <v>0.99467779653862354</v>
      </c>
      <c r="AE2947" s="10"/>
      <c r="AF2947" s="10"/>
      <c r="AG2947" s="10"/>
      <c r="AH2947" s="10"/>
      <c r="AI2947" s="10"/>
      <c r="AJ2947" s="10"/>
      <c r="AK2947" s="10"/>
      <c r="AL2947" s="10"/>
      <c r="AM2947" s="10"/>
      <c r="AN2947" s="10"/>
      <c r="AO2947" s="10"/>
      <c r="AP2947" s="10"/>
      <c r="AQ2947" s="10"/>
      <c r="AR2947" s="10"/>
      <c r="AS2947" s="10"/>
      <c r="AT2947" s="10"/>
      <c r="AU2947" s="10"/>
      <c r="AV2947" s="10"/>
      <c r="AW2947" s="10"/>
      <c r="AX2947" s="10"/>
      <c r="AY2947" s="10"/>
      <c r="AZ2947" s="10"/>
    </row>
    <row r="2948" spans="28:52">
      <c r="AB2948" s="9">
        <v>1.0564437987953061</v>
      </c>
      <c r="AC2948" s="9">
        <v>0.87827867503942125</v>
      </c>
      <c r="AD2948" s="9">
        <v>0.97597147003939433</v>
      </c>
      <c r="AE2948" s="10"/>
      <c r="AF2948" s="10"/>
      <c r="AG2948" s="10"/>
      <c r="AH2948" s="10"/>
      <c r="AI2948" s="10"/>
      <c r="AJ2948" s="10"/>
      <c r="AK2948" s="10"/>
      <c r="AL2948" s="10"/>
      <c r="AM2948" s="10"/>
      <c r="AN2948" s="10"/>
      <c r="AO2948" s="10"/>
      <c r="AP2948" s="10"/>
      <c r="AQ2948" s="10"/>
      <c r="AR2948" s="10"/>
      <c r="AS2948" s="10"/>
      <c r="AT2948" s="10"/>
      <c r="AU2948" s="10"/>
      <c r="AV2948" s="10"/>
      <c r="AW2948" s="10"/>
      <c r="AX2948" s="10"/>
      <c r="AY2948" s="10"/>
      <c r="AZ2948" s="10"/>
    </row>
    <row r="2949" spans="28:52">
      <c r="AB2949" s="9">
        <v>1.0724551881392814</v>
      </c>
      <c r="AC2949" s="9">
        <v>1.2968518920320922</v>
      </c>
      <c r="AD2949" s="9">
        <v>0.98838784437434246</v>
      </c>
      <c r="AE2949" s="10"/>
      <c r="AF2949" s="10"/>
      <c r="AG2949" s="10"/>
      <c r="AH2949" s="10"/>
      <c r="AI2949" s="10"/>
      <c r="AJ2949" s="10"/>
      <c r="AK2949" s="10"/>
      <c r="AL2949" s="10"/>
      <c r="AM2949" s="10"/>
      <c r="AN2949" s="10"/>
      <c r="AO2949" s="10"/>
      <c r="AP2949" s="10"/>
      <c r="AQ2949" s="10"/>
      <c r="AR2949" s="10"/>
      <c r="AS2949" s="10"/>
      <c r="AT2949" s="10"/>
      <c r="AU2949" s="10"/>
      <c r="AV2949" s="10"/>
      <c r="AW2949" s="10"/>
      <c r="AX2949" s="10"/>
      <c r="AY2949" s="10"/>
      <c r="AZ2949" s="10"/>
    </row>
    <row r="2950" spans="28:52">
      <c r="AB2950" s="9">
        <v>1.0546891011644477</v>
      </c>
      <c r="AC2950" s="9">
        <v>1.1074169867922068</v>
      </c>
      <c r="AD2950" s="9">
        <v>0.99879408384762691</v>
      </c>
      <c r="AE2950" s="10"/>
      <c r="AF2950" s="10"/>
      <c r="AG2950" s="10"/>
      <c r="AH2950" s="10"/>
      <c r="AI2950" s="10"/>
      <c r="AJ2950" s="10"/>
      <c r="AK2950" s="10"/>
      <c r="AL2950" s="10"/>
      <c r="AM2950" s="10"/>
      <c r="AN2950" s="10"/>
      <c r="AO2950" s="10"/>
      <c r="AP2950" s="10"/>
      <c r="AQ2950" s="10"/>
      <c r="AR2950" s="10"/>
      <c r="AS2950" s="10"/>
      <c r="AT2950" s="10"/>
      <c r="AU2950" s="10"/>
      <c r="AV2950" s="10"/>
      <c r="AW2950" s="10"/>
      <c r="AX2950" s="10"/>
      <c r="AY2950" s="10"/>
      <c r="AZ2950" s="10"/>
    </row>
    <row r="2951" spans="28:52">
      <c r="AB2951" s="9">
        <v>1.0397909566554764</v>
      </c>
      <c r="AC2951" s="9">
        <v>1.3072813148344959</v>
      </c>
      <c r="AD2951" s="9">
        <v>1.0044735917755405</v>
      </c>
      <c r="AE2951" s="10"/>
      <c r="AF2951" s="10"/>
      <c r="AG2951" s="10"/>
      <c r="AH2951" s="10"/>
      <c r="AI2951" s="10"/>
      <c r="AJ2951" s="10"/>
      <c r="AK2951" s="10"/>
      <c r="AL2951" s="10"/>
      <c r="AM2951" s="10"/>
      <c r="AN2951" s="10"/>
      <c r="AO2951" s="10"/>
      <c r="AP2951" s="10"/>
      <c r="AQ2951" s="10"/>
      <c r="AR2951" s="10"/>
      <c r="AS2951" s="10"/>
      <c r="AT2951" s="10"/>
      <c r="AU2951" s="10"/>
      <c r="AV2951" s="10"/>
      <c r="AW2951" s="10"/>
      <c r="AX2951" s="10"/>
      <c r="AY2951" s="10"/>
      <c r="AZ2951" s="10"/>
    </row>
    <row r="2952" spans="28:52">
      <c r="AB2952" s="9">
        <v>1.0308805808858623</v>
      </c>
      <c r="AC2952" s="9">
        <v>0.98022492317967669</v>
      </c>
      <c r="AD2952" s="9">
        <v>1.0214692676547512</v>
      </c>
      <c r="AE2952" s="10"/>
      <c r="AF2952" s="10"/>
      <c r="AG2952" s="10"/>
      <c r="AH2952" s="10"/>
      <c r="AI2952" s="10"/>
      <c r="AJ2952" s="10"/>
      <c r="AK2952" s="10"/>
      <c r="AL2952" s="10"/>
      <c r="AM2952" s="10"/>
      <c r="AN2952" s="10"/>
      <c r="AO2952" s="10"/>
      <c r="AP2952" s="10"/>
      <c r="AQ2952" s="10"/>
      <c r="AR2952" s="10"/>
      <c r="AS2952" s="10"/>
      <c r="AT2952" s="10"/>
      <c r="AU2952" s="10"/>
      <c r="AV2952" s="10"/>
      <c r="AW2952" s="10"/>
      <c r="AX2952" s="10"/>
      <c r="AY2952" s="10"/>
      <c r="AZ2952" s="10"/>
    </row>
    <row r="2953" spans="28:52">
      <c r="AB2953" s="9">
        <v>1.0107067951042668</v>
      </c>
      <c r="AC2953" s="9">
        <v>0.92808308009356977</v>
      </c>
      <c r="AD2953" s="9">
        <v>1.0220652989960712</v>
      </c>
      <c r="AE2953" s="10"/>
      <c r="AF2953" s="10"/>
      <c r="AG2953" s="10"/>
      <c r="AH2953" s="10"/>
      <c r="AI2953" s="10"/>
      <c r="AJ2953" s="10"/>
      <c r="AK2953" s="10"/>
      <c r="AL2953" s="10"/>
      <c r="AM2953" s="10"/>
      <c r="AN2953" s="10"/>
      <c r="AO2953" s="10"/>
      <c r="AP2953" s="10"/>
      <c r="AQ2953" s="10"/>
      <c r="AR2953" s="10"/>
      <c r="AS2953" s="10"/>
      <c r="AT2953" s="10"/>
      <c r="AU2953" s="10"/>
      <c r="AV2953" s="10"/>
      <c r="AW2953" s="10"/>
      <c r="AX2953" s="10"/>
      <c r="AY2953" s="10"/>
      <c r="AZ2953" s="10"/>
    </row>
    <row r="2954" spans="28:52">
      <c r="AB2954" s="9">
        <v>1.0070999004417347</v>
      </c>
      <c r="AC2954" s="9">
        <v>0.56831557446241865</v>
      </c>
      <c r="AD2954" s="9">
        <v>1.0295735973597357</v>
      </c>
      <c r="AE2954" s="10"/>
      <c r="AF2954" s="10"/>
      <c r="AG2954" s="10"/>
      <c r="AH2954" s="10"/>
      <c r="AI2954" s="10"/>
      <c r="AJ2954" s="10"/>
      <c r="AK2954" s="10"/>
      <c r="AL2954" s="10"/>
      <c r="AM2954" s="10"/>
      <c r="AN2954" s="10"/>
      <c r="AO2954" s="10"/>
      <c r="AP2954" s="10"/>
      <c r="AQ2954" s="10"/>
      <c r="AR2954" s="10"/>
      <c r="AS2954" s="10"/>
      <c r="AT2954" s="10"/>
      <c r="AU2954" s="10"/>
      <c r="AV2954" s="10"/>
      <c r="AW2954" s="10"/>
      <c r="AX2954" s="10"/>
      <c r="AY2954" s="10"/>
      <c r="AZ2954" s="10"/>
    </row>
    <row r="2955" spans="28:52">
      <c r="AB2955" s="9">
        <v>0.99624788278145204</v>
      </c>
      <c r="AC2955" s="9">
        <v>0.65317559300534134</v>
      </c>
      <c r="AD2955" s="9">
        <v>1.0309865049614111</v>
      </c>
      <c r="AE2955" s="10"/>
      <c r="AF2955" s="10"/>
      <c r="AG2955" s="10"/>
      <c r="AH2955" s="10"/>
      <c r="AI2955" s="10"/>
      <c r="AJ2955" s="10"/>
      <c r="AK2955" s="10"/>
      <c r="AL2955" s="10"/>
      <c r="AM2955" s="10"/>
      <c r="AN2955" s="10"/>
      <c r="AO2955" s="10"/>
      <c r="AP2955" s="10"/>
      <c r="AQ2955" s="10"/>
      <c r="AR2955" s="10"/>
      <c r="AS2955" s="10"/>
      <c r="AT2955" s="10"/>
      <c r="AU2955" s="10"/>
      <c r="AV2955" s="10"/>
      <c r="AW2955" s="10"/>
      <c r="AX2955" s="10"/>
      <c r="AY2955" s="10"/>
      <c r="AZ2955" s="10"/>
    </row>
    <row r="2956" spans="28:52">
      <c r="AB2956" s="9">
        <v>0.99157378743316782</v>
      </c>
      <c r="AC2956" s="9">
        <v>0.662101588335682</v>
      </c>
      <c r="AD2956" s="9">
        <v>1.0268682347768736</v>
      </c>
      <c r="AE2956" s="10"/>
      <c r="AF2956" s="10"/>
      <c r="AG2956" s="10"/>
      <c r="AH2956" s="10"/>
      <c r="AI2956" s="10"/>
      <c r="AJ2956" s="10"/>
      <c r="AK2956" s="10"/>
      <c r="AL2956" s="10"/>
      <c r="AM2956" s="10"/>
      <c r="AN2956" s="10"/>
      <c r="AO2956" s="10"/>
      <c r="AP2956" s="10"/>
      <c r="AQ2956" s="10"/>
      <c r="AR2956" s="10"/>
      <c r="AS2956" s="10"/>
      <c r="AT2956" s="10"/>
      <c r="AU2956" s="10"/>
      <c r="AV2956" s="10"/>
      <c r="AW2956" s="10"/>
      <c r="AX2956" s="10"/>
      <c r="AY2956" s="10"/>
      <c r="AZ2956" s="10"/>
    </row>
    <row r="2957" spans="28:52">
      <c r="AB2957" s="9">
        <v>0.99202333856480795</v>
      </c>
      <c r="AC2957" s="9">
        <v>0.99840582797455879</v>
      </c>
      <c r="AD2957" s="9">
        <v>1.0153324483133839</v>
      </c>
      <c r="AE2957" s="10"/>
      <c r="AF2957" s="10"/>
      <c r="AG2957" s="10"/>
      <c r="AH2957" s="10"/>
      <c r="AI2957" s="10"/>
      <c r="AJ2957" s="10"/>
      <c r="AK2957" s="10"/>
      <c r="AL2957" s="10"/>
      <c r="AM2957" s="10"/>
      <c r="AN2957" s="10"/>
      <c r="AO2957" s="10"/>
      <c r="AP2957" s="10"/>
      <c r="AQ2957" s="10"/>
      <c r="AR2957" s="10"/>
      <c r="AS2957" s="10"/>
      <c r="AT2957" s="10"/>
      <c r="AU2957" s="10"/>
      <c r="AV2957" s="10"/>
      <c r="AW2957" s="10"/>
      <c r="AX2957" s="10"/>
      <c r="AY2957" s="10"/>
      <c r="AZ2957" s="10"/>
    </row>
    <row r="2958" spans="28:52">
      <c r="AB2958" s="9">
        <v>0.99880934101276786</v>
      </c>
      <c r="AC2958" s="9">
        <v>1.3302129953171897</v>
      </c>
      <c r="AD2958" s="9">
        <v>1.019272878390201</v>
      </c>
      <c r="AE2958" s="10"/>
      <c r="AF2958" s="10"/>
      <c r="AG2958" s="10"/>
      <c r="AH2958" s="10"/>
      <c r="AI2958" s="10"/>
      <c r="AJ2958" s="10"/>
      <c r="AK2958" s="10"/>
      <c r="AL2958" s="10"/>
      <c r="AM2958" s="10"/>
      <c r="AN2958" s="10"/>
      <c r="AO2958" s="10"/>
      <c r="AP2958" s="10"/>
      <c r="AQ2958" s="10"/>
      <c r="AR2958" s="10"/>
      <c r="AS2958" s="10"/>
      <c r="AT2958" s="10"/>
      <c r="AU2958" s="10"/>
      <c r="AV2958" s="10"/>
      <c r="AW2958" s="10"/>
      <c r="AX2958" s="10"/>
      <c r="AY2958" s="10"/>
      <c r="AZ2958" s="10"/>
    </row>
    <row r="2959" spans="28:52">
      <c r="AB2959" s="9">
        <v>0.99095792078821643</v>
      </c>
      <c r="AC2959" s="9">
        <v>0.74806225527595815</v>
      </c>
      <c r="AD2959" s="9">
        <v>1.0247040933098592</v>
      </c>
      <c r="AE2959" s="10"/>
      <c r="AF2959" s="10"/>
      <c r="AG2959" s="10"/>
      <c r="AH2959" s="10"/>
      <c r="AI2959" s="10"/>
      <c r="AJ2959" s="10"/>
      <c r="AK2959" s="10"/>
      <c r="AL2959" s="10"/>
      <c r="AM2959" s="10"/>
      <c r="AN2959" s="10"/>
      <c r="AO2959" s="10"/>
      <c r="AP2959" s="10"/>
      <c r="AQ2959" s="10"/>
      <c r="AR2959" s="10"/>
      <c r="AS2959" s="10"/>
      <c r="AT2959" s="10"/>
      <c r="AU2959" s="10"/>
      <c r="AV2959" s="10"/>
      <c r="AW2959" s="10"/>
      <c r="AX2959" s="10"/>
      <c r="AY2959" s="10"/>
      <c r="AZ2959" s="10"/>
    </row>
    <row r="2960" spans="28:52">
      <c r="AB2960" s="9">
        <v>0.98312895328614314</v>
      </c>
      <c r="AC2960" s="9">
        <v>0.74189912458189589</v>
      </c>
      <c r="AD2960" s="9">
        <v>1.0381130240856375</v>
      </c>
      <c r="AE2960" s="10"/>
      <c r="AF2960" s="10"/>
      <c r="AG2960" s="10"/>
      <c r="AH2960" s="10"/>
      <c r="AI2960" s="10"/>
      <c r="AJ2960" s="10"/>
      <c r="AK2960" s="10"/>
      <c r="AL2960" s="10"/>
      <c r="AM2960" s="10"/>
      <c r="AN2960" s="10"/>
      <c r="AO2960" s="10"/>
      <c r="AP2960" s="10"/>
      <c r="AQ2960" s="10"/>
      <c r="AR2960" s="10"/>
      <c r="AS2960" s="10"/>
      <c r="AT2960" s="10"/>
      <c r="AU2960" s="10"/>
      <c r="AV2960" s="10"/>
      <c r="AW2960" s="10"/>
      <c r="AX2960" s="10"/>
      <c r="AY2960" s="10"/>
      <c r="AZ2960" s="10"/>
    </row>
    <row r="2961" spans="28:52">
      <c r="AB2961" s="9">
        <v>0.9690530614037316</v>
      </c>
      <c r="AC2961" s="9">
        <v>0.61097777193698399</v>
      </c>
      <c r="AD2961" s="9">
        <v>1.0186946792204947</v>
      </c>
      <c r="AE2961" s="10"/>
      <c r="AF2961" s="10"/>
      <c r="AG2961" s="10"/>
      <c r="AH2961" s="10"/>
      <c r="AI2961" s="10"/>
      <c r="AJ2961" s="10"/>
      <c r="AK2961" s="10"/>
      <c r="AL2961" s="10"/>
      <c r="AM2961" s="10"/>
      <c r="AN2961" s="10"/>
      <c r="AO2961" s="10"/>
      <c r="AP2961" s="10"/>
      <c r="AQ2961" s="10"/>
      <c r="AR2961" s="10"/>
      <c r="AS2961" s="10"/>
      <c r="AT2961" s="10"/>
      <c r="AU2961" s="10"/>
      <c r="AV2961" s="10"/>
      <c r="AW2961" s="10"/>
      <c r="AX2961" s="10"/>
      <c r="AY2961" s="10"/>
      <c r="AZ2961" s="10"/>
    </row>
    <row r="2962" spans="28:52">
      <c r="AB2962" s="9">
        <v>0.98576764772312064</v>
      </c>
      <c r="AC2962" s="9">
        <v>0.57828942919568804</v>
      </c>
      <c r="AD2962" s="9">
        <v>1.0230554211568064</v>
      </c>
      <c r="AE2962" s="10"/>
      <c r="AF2962" s="10"/>
      <c r="AG2962" s="10"/>
      <c r="AH2962" s="10"/>
      <c r="AI2962" s="10"/>
      <c r="AJ2962" s="10"/>
      <c r="AK2962" s="10"/>
      <c r="AL2962" s="10"/>
      <c r="AM2962" s="10"/>
      <c r="AN2962" s="10"/>
      <c r="AO2962" s="10"/>
      <c r="AP2962" s="10"/>
      <c r="AQ2962" s="10"/>
      <c r="AR2962" s="10"/>
      <c r="AS2962" s="10"/>
      <c r="AT2962" s="10"/>
      <c r="AU2962" s="10"/>
      <c r="AV2962" s="10"/>
      <c r="AW2962" s="10"/>
      <c r="AX2962" s="10"/>
      <c r="AY2962" s="10"/>
      <c r="AZ2962" s="10"/>
    </row>
    <row r="2963" spans="28:52">
      <c r="AB2963" s="9">
        <v>0.98107379832592179</v>
      </c>
      <c r="AC2963" s="9">
        <v>0.69258472619817169</v>
      </c>
      <c r="AD2963" s="9">
        <v>1.0435706529055417</v>
      </c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0"/>
      <c r="AV2963" s="10"/>
      <c r="AW2963" s="10"/>
      <c r="AX2963" s="10"/>
      <c r="AY2963" s="10"/>
      <c r="AZ2963" s="10"/>
    </row>
    <row r="2964" spans="28:52">
      <c r="AB2964" s="9">
        <v>0.9616800388452279</v>
      </c>
      <c r="AC2964" s="9">
        <v>0.55671154679609514</v>
      </c>
      <c r="AD2964" s="9">
        <v>1.0453817160826595</v>
      </c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0"/>
      <c r="AW2964" s="10"/>
      <c r="AX2964" s="10"/>
      <c r="AY2964" s="10"/>
      <c r="AZ2964" s="10"/>
    </row>
    <row r="2965" spans="28:52">
      <c r="AB2965" s="9">
        <v>0.96032768140658931</v>
      </c>
      <c r="AC2965" s="9">
        <v>0.48716206176727783</v>
      </c>
      <c r="AD2965" s="9">
        <v>1.0291428925029891</v>
      </c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0"/>
      <c r="AW2965" s="10"/>
      <c r="AX2965" s="10"/>
      <c r="AY2965" s="10"/>
      <c r="AZ2965" s="10"/>
    </row>
    <row r="2966" spans="28:52">
      <c r="AB2966" s="9">
        <v>0.97632007336786841</v>
      </c>
      <c r="AC2966" s="9">
        <v>0.76214985647827382</v>
      </c>
      <c r="AD2966" s="9">
        <v>1.0067729858721404</v>
      </c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  <c r="AO2966" s="10"/>
      <c r="AP2966" s="10"/>
      <c r="AQ2966" s="10"/>
      <c r="AR2966" s="10"/>
      <c r="AS2966" s="10"/>
      <c r="AT2966" s="10"/>
      <c r="AU2966" s="10"/>
      <c r="AV2966" s="10"/>
      <c r="AW2966" s="10"/>
      <c r="AX2966" s="10"/>
      <c r="AY2966" s="10"/>
      <c r="AZ2966" s="10"/>
    </row>
    <row r="2967" spans="28:52">
      <c r="AB2967" s="9">
        <v>0.99798436633821452</v>
      </c>
      <c r="AC2967" s="9">
        <v>1.1741951584726729</v>
      </c>
      <c r="AD2967" s="9">
        <v>0.99258916044402179</v>
      </c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  <c r="AO2967" s="10"/>
      <c r="AP2967" s="10"/>
      <c r="AQ2967" s="10"/>
      <c r="AR2967" s="10"/>
      <c r="AS2967" s="10"/>
      <c r="AT2967" s="10"/>
      <c r="AU2967" s="10"/>
      <c r="AV2967" s="10"/>
      <c r="AW2967" s="10"/>
      <c r="AX2967" s="10"/>
      <c r="AY2967" s="10"/>
      <c r="AZ2967" s="10"/>
    </row>
    <row r="2968" spans="28:52">
      <c r="AB2968" s="9">
        <v>1.0111420835021316</v>
      </c>
      <c r="AC2968" s="9">
        <v>1.1050068672743165</v>
      </c>
      <c r="AD2968" s="9">
        <v>0.98939562823861738</v>
      </c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0"/>
      <c r="AW2968" s="10"/>
      <c r="AX2968" s="10"/>
      <c r="AY2968" s="10"/>
      <c r="AZ2968" s="10"/>
    </row>
    <row r="2969" spans="28:52">
      <c r="AB2969" s="9">
        <v>1.0131239231835405</v>
      </c>
      <c r="AC2969" s="9">
        <v>1.3784930139720559</v>
      </c>
      <c r="AD2969" s="9">
        <v>0.96083490974647123</v>
      </c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  <c r="AO2969" s="10"/>
      <c r="AP2969" s="10"/>
      <c r="AQ2969" s="10"/>
      <c r="AR2969" s="10"/>
      <c r="AS2969" s="10"/>
      <c r="AT2969" s="10"/>
      <c r="AU2969" s="10"/>
      <c r="AV2969" s="10"/>
      <c r="AW2969" s="10"/>
      <c r="AX2969" s="10"/>
      <c r="AY2969" s="10"/>
      <c r="AZ2969" s="10"/>
    </row>
    <row r="2970" spans="28:52">
      <c r="AB2970" s="9">
        <v>1.0411311518783728</v>
      </c>
      <c r="AC2970" s="9">
        <v>1.4962163228080554</v>
      </c>
      <c r="AD2970" s="9">
        <v>0.96397030992598254</v>
      </c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0"/>
      <c r="AW2970" s="10"/>
      <c r="AX2970" s="10"/>
      <c r="AY2970" s="10"/>
      <c r="AZ2970" s="10"/>
    </row>
    <row r="2971" spans="28:52">
      <c r="AB2971" s="9">
        <v>1.0347310380275743</v>
      </c>
      <c r="AC2971" s="9">
        <v>1.5106808427623879</v>
      </c>
      <c r="AD2971" s="9">
        <v>0.95457297765317051</v>
      </c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  <c r="AO2971" s="10"/>
      <c r="AP2971" s="10"/>
      <c r="AQ2971" s="10"/>
      <c r="AR2971" s="10"/>
      <c r="AS2971" s="10"/>
      <c r="AT2971" s="10"/>
      <c r="AU2971" s="10"/>
      <c r="AV2971" s="10"/>
      <c r="AW2971" s="10"/>
      <c r="AX2971" s="10"/>
      <c r="AY2971" s="10"/>
      <c r="AZ2971" s="10"/>
    </row>
    <row r="2972" spans="28:52">
      <c r="AB2972" s="9">
        <v>1.0414824244580645</v>
      </c>
      <c r="AC2972" s="9">
        <v>1.3939776284182175</v>
      </c>
      <c r="AD2972" s="9">
        <v>0.92565380284737708</v>
      </c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0"/>
      <c r="AW2972" s="10"/>
      <c r="AX2972" s="10"/>
      <c r="AY2972" s="10"/>
      <c r="AZ2972" s="10"/>
    </row>
    <row r="2973" spans="28:52">
      <c r="AB2973" s="9">
        <v>1.069383772651983</v>
      </c>
      <c r="AC2973" s="9">
        <v>1.5222256985391447</v>
      </c>
      <c r="AD2973" s="9">
        <v>0.92271579714847696</v>
      </c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  <c r="AO2973" s="10"/>
      <c r="AP2973" s="10"/>
      <c r="AQ2973" s="10"/>
      <c r="AR2973" s="10"/>
      <c r="AS2973" s="10"/>
      <c r="AT2973" s="10"/>
      <c r="AU2973" s="10"/>
      <c r="AV2973" s="10"/>
      <c r="AW2973" s="10"/>
      <c r="AX2973" s="10"/>
      <c r="AY2973" s="10"/>
      <c r="AZ2973" s="10"/>
    </row>
    <row r="2974" spans="28:52">
      <c r="AB2974" s="9">
        <v>1.0677590542606528</v>
      </c>
      <c r="AC2974" s="9">
        <v>1.6134397870924817</v>
      </c>
      <c r="AD2974" s="9">
        <v>0.91553982900532116</v>
      </c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0"/>
      <c r="AW2974" s="10"/>
      <c r="AX2974" s="10"/>
      <c r="AY2974" s="10"/>
      <c r="AZ2974" s="10"/>
    </row>
    <row r="2975" spans="28:52">
      <c r="AB2975" s="9">
        <v>1.0710963153321897</v>
      </c>
      <c r="AC2975" s="9">
        <v>1.4135645798082348</v>
      </c>
      <c r="AD2975" s="9">
        <v>0.92722332697454535</v>
      </c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  <c r="AO2975" s="10"/>
      <c r="AP2975" s="10"/>
      <c r="AQ2975" s="10"/>
      <c r="AR2975" s="10"/>
      <c r="AS2975" s="10"/>
      <c r="AT2975" s="10"/>
      <c r="AU2975" s="10"/>
      <c r="AV2975" s="10"/>
      <c r="AW2975" s="10"/>
      <c r="AX2975" s="10"/>
      <c r="AY2975" s="10"/>
      <c r="AZ2975" s="10"/>
    </row>
    <row r="2976" spans="28:52">
      <c r="AB2976" s="9">
        <v>1.0542300102375659</v>
      </c>
      <c r="AC2976" s="9">
        <v>1.6068671937128689</v>
      </c>
      <c r="AD2976" s="9">
        <v>0.93243474646377789</v>
      </c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  <c r="AO2976" s="10"/>
      <c r="AP2976" s="10"/>
      <c r="AQ2976" s="10"/>
      <c r="AR2976" s="10"/>
      <c r="AS2976" s="10"/>
      <c r="AT2976" s="10"/>
      <c r="AU2976" s="10"/>
      <c r="AV2976" s="10"/>
      <c r="AW2976" s="10"/>
      <c r="AX2976" s="10"/>
      <c r="AY2976" s="10"/>
      <c r="AZ2976" s="10"/>
    </row>
    <row r="2977" spans="28:52">
      <c r="AB2977" s="9">
        <v>1.0459842803765915</v>
      </c>
      <c r="AC2977" s="9">
        <v>1.1644901230493612</v>
      </c>
      <c r="AD2977" s="9">
        <v>0.92285403239325969</v>
      </c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  <c r="AO2977" s="10"/>
      <c r="AP2977" s="10"/>
      <c r="AQ2977" s="10"/>
      <c r="AR2977" s="10"/>
      <c r="AS2977" s="10"/>
      <c r="AT2977" s="10"/>
      <c r="AU2977" s="10"/>
      <c r="AV2977" s="10"/>
      <c r="AW2977" s="10"/>
      <c r="AX2977" s="10"/>
      <c r="AY2977" s="10"/>
      <c r="AZ2977" s="10"/>
    </row>
    <row r="2978" spans="28:52">
      <c r="AB2978" s="9">
        <v>1.054572597798928</v>
      </c>
      <c r="AC2978" s="9">
        <v>1.0033920819792679</v>
      </c>
      <c r="AD2978" s="9">
        <v>0.92214417281489403</v>
      </c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  <c r="AO2978" s="10"/>
      <c r="AP2978" s="10"/>
      <c r="AQ2978" s="10"/>
      <c r="AR2978" s="10"/>
      <c r="AS2978" s="10"/>
      <c r="AT2978" s="10"/>
      <c r="AU2978" s="10"/>
      <c r="AV2978" s="10"/>
      <c r="AW2978" s="10"/>
      <c r="AX2978" s="10"/>
      <c r="AY2978" s="10"/>
      <c r="AZ2978" s="10"/>
    </row>
    <row r="2979" spans="28:52">
      <c r="AB2979" s="9">
        <v>1.0522100523463793</v>
      </c>
      <c r="AC2979" s="9">
        <v>1.4582990042607282</v>
      </c>
      <c r="AD2979" s="9">
        <v>0.91177024274673701</v>
      </c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  <c r="AO2979" s="10"/>
      <c r="AP2979" s="10"/>
      <c r="AQ2979" s="10"/>
      <c r="AR2979" s="10"/>
      <c r="AS2979" s="10"/>
      <c r="AT2979" s="10"/>
      <c r="AU2979" s="10"/>
      <c r="AV2979" s="10"/>
      <c r="AW2979" s="10"/>
      <c r="AX2979" s="10"/>
      <c r="AY2979" s="10"/>
      <c r="AZ2979" s="10"/>
    </row>
    <row r="2980" spans="28:52">
      <c r="AB2980" s="9">
        <v>1.0608620600788963</v>
      </c>
      <c r="AC2980" s="9">
        <v>1.2593632958801499</v>
      </c>
      <c r="AD2980" s="9">
        <v>0.89459273844215159</v>
      </c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0"/>
      <c r="AW2980" s="10"/>
      <c r="AX2980" s="10"/>
      <c r="AY2980" s="10"/>
      <c r="AZ2980" s="10"/>
    </row>
    <row r="2981" spans="28:52">
      <c r="AB2981" s="9">
        <v>1.0771670988866462</v>
      </c>
      <c r="AC2981" s="9">
        <v>1.681227261140593</v>
      </c>
      <c r="AD2981" s="9">
        <v>0.89594445279317902</v>
      </c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  <c r="AO2981" s="10"/>
      <c r="AP2981" s="10"/>
      <c r="AQ2981" s="10"/>
      <c r="AR2981" s="10"/>
      <c r="AS2981" s="10"/>
      <c r="AT2981" s="10"/>
      <c r="AU2981" s="10"/>
      <c r="AV2981" s="10"/>
      <c r="AW2981" s="10"/>
      <c r="AX2981" s="10"/>
      <c r="AY2981" s="10"/>
      <c r="AZ2981" s="10"/>
    </row>
    <row r="2982" spans="28:52">
      <c r="AB2982" s="9">
        <v>1.0708293665889261</v>
      </c>
      <c r="AC2982" s="9">
        <v>1.4288674987334777</v>
      </c>
      <c r="AD2982" s="9">
        <v>0.9089193357988492</v>
      </c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0"/>
      <c r="AW2982" s="10"/>
      <c r="AX2982" s="10"/>
      <c r="AY2982" s="10"/>
      <c r="AZ2982" s="10"/>
    </row>
    <row r="2983" spans="28:52">
      <c r="AB2983" s="9">
        <v>1.0521776731875323</v>
      </c>
      <c r="AC2983" s="9">
        <v>1.0704355885078776</v>
      </c>
      <c r="AD2983" s="9">
        <v>0.8997555013199976</v>
      </c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0"/>
      <c r="AV2983" s="10"/>
      <c r="AW2983" s="10"/>
      <c r="AX2983" s="10"/>
      <c r="AY2983" s="10"/>
      <c r="AZ2983" s="10"/>
    </row>
    <row r="2984" spans="28:52">
      <c r="AB2984" s="9">
        <v>1.0601750985561447</v>
      </c>
      <c r="AC2984" s="9">
        <v>0.96877110453878568</v>
      </c>
      <c r="AD2984" s="9">
        <v>0.93170027184819537</v>
      </c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  <c r="AO2984" s="10"/>
      <c r="AP2984" s="10"/>
      <c r="AQ2984" s="10"/>
      <c r="AR2984" s="10"/>
      <c r="AS2984" s="10"/>
      <c r="AT2984" s="10"/>
      <c r="AU2984" s="10"/>
      <c r="AV2984" s="10"/>
      <c r="AW2984" s="10"/>
      <c r="AX2984" s="10"/>
      <c r="AY2984" s="10"/>
      <c r="AZ2984" s="10"/>
    </row>
    <row r="2985" spans="28:52">
      <c r="AB2985" s="9">
        <v>1.0213256276627243</v>
      </c>
      <c r="AC2985" s="9">
        <v>1.0192486085343229</v>
      </c>
      <c r="AD2985" s="9">
        <v>0.9502831246555179</v>
      </c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  <c r="AO2985" s="10"/>
      <c r="AP2985" s="10"/>
      <c r="AQ2985" s="10"/>
      <c r="AR2985" s="10"/>
      <c r="AS2985" s="10"/>
      <c r="AT2985" s="10"/>
      <c r="AU2985" s="10"/>
      <c r="AV2985" s="10"/>
      <c r="AW2985" s="10"/>
      <c r="AX2985" s="10"/>
      <c r="AY2985" s="10"/>
      <c r="AZ2985" s="10"/>
    </row>
    <row r="2986" spans="28:52">
      <c r="AB2986" s="9">
        <v>1.0002258834177111</v>
      </c>
      <c r="AC2986" s="9">
        <v>1.0546965151165475</v>
      </c>
      <c r="AD2986" s="9">
        <v>0.96863116323238996</v>
      </c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  <c r="AO2986" s="10"/>
      <c r="AP2986" s="10"/>
      <c r="AQ2986" s="10"/>
      <c r="AR2986" s="10"/>
      <c r="AS2986" s="10"/>
      <c r="AT2986" s="10"/>
      <c r="AU2986" s="10"/>
      <c r="AV2986" s="10"/>
      <c r="AW2986" s="10"/>
      <c r="AX2986" s="10"/>
      <c r="AY2986" s="10"/>
      <c r="AZ2986" s="10"/>
    </row>
    <row r="2987" spans="28:52">
      <c r="AB2987" s="9">
        <v>0.98063011260668675</v>
      </c>
      <c r="AC2987" s="9">
        <v>0.69400996408295679</v>
      </c>
      <c r="AD2987" s="9">
        <v>0.97347072297347037</v>
      </c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  <c r="AO2987" s="10"/>
      <c r="AP2987" s="10"/>
      <c r="AQ2987" s="10"/>
      <c r="AR2987" s="10"/>
      <c r="AS2987" s="10"/>
      <c r="AT2987" s="10"/>
      <c r="AU2987" s="10"/>
      <c r="AV2987" s="10"/>
      <c r="AW2987" s="10"/>
      <c r="AX2987" s="10"/>
      <c r="AY2987" s="10"/>
      <c r="AZ2987" s="10"/>
    </row>
    <row r="2988" spans="28:52">
      <c r="AB2988" s="9">
        <v>0.97573689473420033</v>
      </c>
      <c r="AC2988" s="9">
        <v>0.72778166550034995</v>
      </c>
      <c r="AD2988" s="9">
        <v>0.97199722370574726</v>
      </c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0"/>
      <c r="AT2988" s="10"/>
      <c r="AU2988" s="10"/>
      <c r="AV2988" s="10"/>
      <c r="AW2988" s="10"/>
      <c r="AX2988" s="10"/>
      <c r="AY2988" s="10"/>
      <c r="AZ2988" s="10"/>
    </row>
    <row r="2989" spans="28:52">
      <c r="AB2989" s="9">
        <v>0.97738634262316748</v>
      </c>
      <c r="AC2989" s="9">
        <v>0.72595492787060989</v>
      </c>
      <c r="AD2989" s="9">
        <v>0.99609628301937003</v>
      </c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  <c r="AO2989" s="10"/>
      <c r="AP2989" s="10"/>
      <c r="AQ2989" s="10"/>
      <c r="AR2989" s="10"/>
      <c r="AS2989" s="10"/>
      <c r="AT2989" s="10"/>
      <c r="AU2989" s="10"/>
      <c r="AV2989" s="10"/>
      <c r="AW2989" s="10"/>
      <c r="AX2989" s="10"/>
      <c r="AY2989" s="10"/>
      <c r="AZ2989" s="10"/>
    </row>
    <row r="2990" spans="28:52">
      <c r="AB2990" s="9">
        <v>0.95336058570189219</v>
      </c>
      <c r="AC2990" s="9">
        <v>0.66803940379530613</v>
      </c>
      <c r="AD2990" s="9">
        <v>0.99797146856134533</v>
      </c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0"/>
      <c r="AW2990" s="10"/>
      <c r="AX2990" s="10"/>
      <c r="AY2990" s="10"/>
      <c r="AZ2990" s="10"/>
    </row>
    <row r="2991" spans="28:52">
      <c r="AB2991" s="9">
        <v>0.95096529328689794</v>
      </c>
      <c r="AC2991" s="9">
        <v>0.64851450378105024</v>
      </c>
      <c r="AD2991" s="9">
        <v>0.95169136337745597</v>
      </c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  <c r="AO2991" s="10"/>
      <c r="AP2991" s="10"/>
      <c r="AQ2991" s="10"/>
      <c r="AR2991" s="10"/>
      <c r="AS2991" s="10"/>
      <c r="AT2991" s="10"/>
      <c r="AU2991" s="10"/>
      <c r="AV2991" s="10"/>
      <c r="AW2991" s="10"/>
      <c r="AX2991" s="10"/>
      <c r="AY2991" s="10"/>
      <c r="AZ2991" s="10"/>
    </row>
    <row r="2992" spans="28:52">
      <c r="AB2992" s="9">
        <v>0.99524162025034579</v>
      </c>
      <c r="AC2992" s="9">
        <v>0.80221429911803344</v>
      </c>
      <c r="AD2992" s="9">
        <v>0.97011684338296456</v>
      </c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  <c r="AO2992" s="10"/>
      <c r="AP2992" s="10"/>
      <c r="AQ2992" s="10"/>
      <c r="AR2992" s="10"/>
      <c r="AS2992" s="10"/>
      <c r="AT2992" s="10"/>
      <c r="AU2992" s="10"/>
      <c r="AV2992" s="10"/>
      <c r="AW2992" s="10"/>
      <c r="AX2992" s="10"/>
      <c r="AY2992" s="10"/>
      <c r="AZ2992" s="10"/>
    </row>
    <row r="2993" spans="28:52">
      <c r="AB2993" s="9">
        <v>0.97430549599516547</v>
      </c>
      <c r="AC2993" s="9">
        <v>0.72154304620221976</v>
      </c>
      <c r="AD2993" s="9">
        <v>0.97972106187223007</v>
      </c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  <c r="AO2993" s="10"/>
      <c r="AP2993" s="10"/>
      <c r="AQ2993" s="10"/>
      <c r="AR2993" s="10"/>
      <c r="AS2993" s="10"/>
      <c r="AT2993" s="10"/>
      <c r="AU2993" s="10"/>
      <c r="AV2993" s="10"/>
      <c r="AW2993" s="10"/>
      <c r="AX2993" s="10"/>
      <c r="AY2993" s="10"/>
      <c r="AZ2993" s="10"/>
    </row>
    <row r="2994" spans="28:52">
      <c r="AB2994" s="9">
        <v>0.96331836221547718</v>
      </c>
      <c r="AC2994" s="9">
        <v>0.76280506352809041</v>
      </c>
      <c r="AD2994" s="9">
        <v>0.978153646691718</v>
      </c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/>
      <c r="AT2994" s="10"/>
      <c r="AU2994" s="10"/>
      <c r="AV2994" s="10"/>
      <c r="AW2994" s="10"/>
      <c r="AX2994" s="10"/>
      <c r="AY2994" s="10"/>
      <c r="AZ2994" s="10"/>
    </row>
    <row r="2995" spans="28:52">
      <c r="AB2995" s="9">
        <v>0.96428000214609377</v>
      </c>
      <c r="AC2995" s="9">
        <v>0.73371298943736851</v>
      </c>
      <c r="AD2995" s="9">
        <v>0.97712625457583513</v>
      </c>
      <c r="AE2995" s="10"/>
      <c r="AF2995" s="10"/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/>
      <c r="AT2995" s="10"/>
      <c r="AU2995" s="10"/>
      <c r="AV2995" s="10"/>
      <c r="AW2995" s="10"/>
      <c r="AX2995" s="10"/>
      <c r="AY2995" s="10"/>
      <c r="AZ2995" s="10"/>
    </row>
    <row r="2996" spans="28:52">
      <c r="AB2996" s="9">
        <v>0.96451228422235769</v>
      </c>
      <c r="AC2996" s="9">
        <v>0.59139274178225343</v>
      </c>
      <c r="AD2996" s="9">
        <v>0.96280356677948464</v>
      </c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/>
      <c r="AT2996" s="10"/>
      <c r="AU2996" s="10"/>
      <c r="AV2996" s="10"/>
      <c r="AW2996" s="10"/>
      <c r="AX2996" s="10"/>
      <c r="AY2996" s="10"/>
      <c r="AZ2996" s="10"/>
    </row>
    <row r="2997" spans="28:52">
      <c r="AB2997" s="9">
        <v>0.97802075945183509</v>
      </c>
      <c r="AC2997" s="9">
        <v>0.5233899191660506</v>
      </c>
      <c r="AD2997" s="9">
        <v>0.99477777902499809</v>
      </c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0"/>
      <c r="AW2997" s="10"/>
      <c r="AX2997" s="10"/>
      <c r="AY2997" s="10"/>
      <c r="AZ2997" s="10"/>
    </row>
    <row r="2998" spans="28:52">
      <c r="AB2998" s="9">
        <v>0.94630242791841079</v>
      </c>
      <c r="AC2998" s="9">
        <v>0.57604590234239228</v>
      </c>
      <c r="AD2998" s="9">
        <v>0.99307477073792438</v>
      </c>
      <c r="AE2998" s="10"/>
      <c r="AF2998" s="10"/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/>
      <c r="AT2998" s="10"/>
      <c r="AU2998" s="10"/>
      <c r="AV2998" s="10"/>
      <c r="AW2998" s="10"/>
      <c r="AX2998" s="10"/>
      <c r="AY2998" s="10"/>
      <c r="AZ2998" s="10"/>
    </row>
    <row r="2999" spans="28:52">
      <c r="AB2999" s="9">
        <v>0.94827545486024678</v>
      </c>
      <c r="AC2999" s="9">
        <v>0.55647694256707436</v>
      </c>
      <c r="AD2999" s="9">
        <v>0.99754452380844938</v>
      </c>
      <c r="AE2999" s="10"/>
      <c r="AF2999" s="10"/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/>
      <c r="AT2999" s="10"/>
      <c r="AU2999" s="10"/>
      <c r="AV2999" s="10"/>
      <c r="AW2999" s="10"/>
      <c r="AX2999" s="10"/>
      <c r="AY2999" s="10"/>
      <c r="AZ2999" s="10"/>
    </row>
    <row r="3000" spans="28:52">
      <c r="AB3000" s="9">
        <v>0.94441617976681591</v>
      </c>
      <c r="AC3000" s="9">
        <v>0.51466105276423402</v>
      </c>
      <c r="AD3000" s="9">
        <v>0.97602164053646268</v>
      </c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/>
      <c r="AT3000" s="10"/>
      <c r="AU3000" s="10"/>
      <c r="AV3000" s="10"/>
      <c r="AW3000" s="10"/>
      <c r="AX3000" s="10"/>
      <c r="AY3000" s="10"/>
      <c r="AZ3000" s="10"/>
    </row>
    <row r="3001" spans="28:52">
      <c r="AB3001" s="9">
        <v>0.96520231872527795</v>
      </c>
      <c r="AC3001" s="9">
        <v>0.57294955224373056</v>
      </c>
      <c r="AD3001" s="9">
        <v>0.98102433723212057</v>
      </c>
      <c r="AE3001" s="10"/>
      <c r="AF3001" s="10"/>
      <c r="AG3001" s="10"/>
      <c r="AH3001" s="10"/>
      <c r="AI3001" s="10"/>
      <c r="AJ3001" s="10"/>
      <c r="AK3001" s="10"/>
      <c r="AL3001" s="10"/>
      <c r="AM3001" s="10"/>
      <c r="AN3001" s="10"/>
      <c r="AO3001" s="10"/>
      <c r="AP3001" s="10"/>
      <c r="AQ3001" s="10"/>
      <c r="AR3001" s="10"/>
      <c r="AS3001" s="10"/>
      <c r="AT3001" s="10"/>
      <c r="AU3001" s="10"/>
      <c r="AV3001" s="10"/>
      <c r="AW3001" s="10"/>
      <c r="AX3001" s="10"/>
      <c r="AY3001" s="10"/>
      <c r="AZ3001" s="10"/>
    </row>
    <row r="3002" spans="28:52">
      <c r="AB3002" s="9">
        <v>0.96013849138195029</v>
      </c>
      <c r="AC3002" s="9">
        <v>0.55493341152329623</v>
      </c>
      <c r="AD3002" s="9">
        <v>0.99842095375624429</v>
      </c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  <c r="AO3002" s="10"/>
      <c r="AP3002" s="10"/>
      <c r="AQ3002" s="10"/>
      <c r="AR3002" s="10"/>
      <c r="AS3002" s="10"/>
      <c r="AT3002" s="10"/>
      <c r="AU3002" s="10"/>
      <c r="AV3002" s="10"/>
      <c r="AW3002" s="10"/>
      <c r="AX3002" s="10"/>
      <c r="AY3002" s="10"/>
      <c r="AZ3002" s="10"/>
    </row>
    <row r="3003" spans="28:52">
      <c r="AB3003" s="9">
        <v>0.94341504154766453</v>
      </c>
      <c r="AC3003" s="9">
        <v>0.62050420749109569</v>
      </c>
      <c r="AD3003" s="9">
        <v>1.0027189000873236</v>
      </c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  <c r="AO3003" s="10"/>
      <c r="AP3003" s="10"/>
      <c r="AQ3003" s="10"/>
      <c r="AR3003" s="10"/>
      <c r="AS3003" s="10"/>
      <c r="AT3003" s="10"/>
      <c r="AU3003" s="10"/>
      <c r="AV3003" s="10"/>
      <c r="AW3003" s="10"/>
      <c r="AX3003" s="10"/>
      <c r="AY3003" s="10"/>
      <c r="AZ3003" s="10"/>
    </row>
    <row r="3004" spans="28:52">
      <c r="AB3004" s="9">
        <v>0.93974200177287237</v>
      </c>
      <c r="AC3004" s="9">
        <v>0.51791699423254844</v>
      </c>
      <c r="AD3004" s="9">
        <v>1.0129942835339574</v>
      </c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  <c r="AO3004" s="10"/>
      <c r="AP3004" s="10"/>
      <c r="AQ3004" s="10"/>
      <c r="AR3004" s="10"/>
      <c r="AS3004" s="10"/>
      <c r="AT3004" s="10"/>
      <c r="AU3004" s="10"/>
      <c r="AV3004" s="10"/>
      <c r="AW3004" s="10"/>
      <c r="AX3004" s="10"/>
      <c r="AY3004" s="10"/>
      <c r="AZ3004" s="10"/>
    </row>
    <row r="3005" spans="28:52">
      <c r="AB3005" s="9">
        <v>0.93050323046157979</v>
      </c>
      <c r="AC3005" s="9">
        <v>0.50367090636983369</v>
      </c>
      <c r="AD3005" s="9">
        <v>1.019730832710261</v>
      </c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  <c r="AO3005" s="10"/>
      <c r="AP3005" s="10"/>
      <c r="AQ3005" s="10"/>
      <c r="AR3005" s="10"/>
      <c r="AS3005" s="10"/>
      <c r="AT3005" s="10"/>
      <c r="AU3005" s="10"/>
      <c r="AV3005" s="10"/>
      <c r="AW3005" s="10"/>
      <c r="AX3005" s="10"/>
      <c r="AY3005" s="10"/>
      <c r="AZ3005" s="10"/>
    </row>
    <row r="3006" spans="28:52">
      <c r="AB3006" s="9">
        <v>0.9248090800020794</v>
      </c>
      <c r="AC3006" s="9">
        <v>0.40732566086050809</v>
      </c>
      <c r="AD3006" s="9">
        <v>1.0336605288173786</v>
      </c>
      <c r="AE3006" s="10"/>
      <c r="AF3006" s="10"/>
      <c r="AG3006" s="10"/>
      <c r="AH3006" s="10"/>
      <c r="AI3006" s="10"/>
      <c r="AJ3006" s="10"/>
      <c r="AK3006" s="10"/>
      <c r="AL3006" s="10"/>
      <c r="AM3006" s="10"/>
      <c r="AN3006" s="10"/>
      <c r="AO3006" s="10"/>
      <c r="AP3006" s="10"/>
      <c r="AQ3006" s="10"/>
      <c r="AR3006" s="10"/>
      <c r="AS3006" s="10"/>
      <c r="AT3006" s="10"/>
      <c r="AU3006" s="10"/>
      <c r="AV3006" s="10"/>
      <c r="AW3006" s="10"/>
      <c r="AX3006" s="10"/>
      <c r="AY3006" s="10"/>
      <c r="AZ3006" s="10"/>
    </row>
    <row r="3007" spans="28:52">
      <c r="AB3007" s="9">
        <v>0.91319114462764039</v>
      </c>
      <c r="AC3007" s="9">
        <v>0.55127779837518942</v>
      </c>
      <c r="AD3007" s="9">
        <v>1.0172897889398473</v>
      </c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  <c r="AO3007" s="10"/>
      <c r="AP3007" s="10"/>
      <c r="AQ3007" s="10"/>
      <c r="AR3007" s="10"/>
      <c r="AS3007" s="10"/>
      <c r="AT3007" s="10"/>
      <c r="AU3007" s="10"/>
      <c r="AV3007" s="10"/>
      <c r="AW3007" s="10"/>
      <c r="AX3007" s="10"/>
      <c r="AY3007" s="10"/>
      <c r="AZ3007" s="10"/>
    </row>
    <row r="3008" spans="28:52">
      <c r="AB3008" s="9">
        <v>0.92876451391034176</v>
      </c>
      <c r="AC3008" s="9">
        <v>0.54556052543397704</v>
      </c>
      <c r="AD3008" s="9">
        <v>1.0052194227436007</v>
      </c>
      <c r="AE3008" s="10"/>
      <c r="AF3008" s="10"/>
      <c r="AG3008" s="10"/>
      <c r="AH3008" s="10"/>
      <c r="AI3008" s="10"/>
      <c r="AJ3008" s="10"/>
      <c r="AK3008" s="10"/>
      <c r="AL3008" s="10"/>
      <c r="AM3008" s="10"/>
      <c r="AN3008" s="10"/>
      <c r="AO3008" s="10"/>
      <c r="AP3008" s="10"/>
      <c r="AQ3008" s="10"/>
      <c r="AR3008" s="10"/>
      <c r="AS3008" s="10"/>
      <c r="AT3008" s="10"/>
      <c r="AU3008" s="10"/>
      <c r="AV3008" s="10"/>
      <c r="AW3008" s="10"/>
      <c r="AX3008" s="10"/>
      <c r="AY3008" s="10"/>
      <c r="AZ3008" s="10"/>
    </row>
    <row r="3009" spans="28:52">
      <c r="AB3009" s="9">
        <v>0.94045313751475057</v>
      </c>
      <c r="AC3009" s="9">
        <v>0.6509171384374739</v>
      </c>
      <c r="AD3009" s="9">
        <v>0.9832639064199975</v>
      </c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  <c r="AO3009" s="10"/>
      <c r="AP3009" s="10"/>
      <c r="AQ3009" s="10"/>
      <c r="AR3009" s="10"/>
      <c r="AS3009" s="10"/>
      <c r="AT3009" s="10"/>
      <c r="AU3009" s="10"/>
      <c r="AV3009" s="10"/>
      <c r="AW3009" s="10"/>
      <c r="AX3009" s="10"/>
      <c r="AY3009" s="10"/>
      <c r="AZ3009" s="10"/>
    </row>
    <row r="3010" spans="28:52">
      <c r="AB3010" s="9">
        <v>0.96160414916002057</v>
      </c>
      <c r="AC3010" s="9">
        <v>0.93788365064861745</v>
      </c>
      <c r="AD3010" s="9">
        <v>1.009879416887143</v>
      </c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  <c r="AO3010" s="10"/>
      <c r="AP3010" s="10"/>
      <c r="AQ3010" s="10"/>
      <c r="AR3010" s="10"/>
      <c r="AS3010" s="10"/>
      <c r="AT3010" s="10"/>
      <c r="AU3010" s="10"/>
      <c r="AV3010" s="10"/>
      <c r="AW3010" s="10"/>
      <c r="AX3010" s="10"/>
      <c r="AY3010" s="10"/>
      <c r="AZ3010" s="10"/>
    </row>
    <row r="3011" spans="28:52">
      <c r="AB3011" s="9">
        <v>0.93672299154673277</v>
      </c>
      <c r="AC3011" s="9">
        <v>0.4883283576265946</v>
      </c>
      <c r="AD3011" s="9">
        <v>0.96986307525574234</v>
      </c>
      <c r="AE3011" s="10"/>
      <c r="AF3011" s="10"/>
      <c r="AG3011" s="10"/>
      <c r="AH3011" s="10"/>
      <c r="AI3011" s="10"/>
      <c r="AJ3011" s="10"/>
      <c r="AK3011" s="10"/>
      <c r="AL3011" s="10"/>
      <c r="AM3011" s="10"/>
      <c r="AN3011" s="10"/>
      <c r="AO3011" s="10"/>
      <c r="AP3011" s="10"/>
      <c r="AQ3011" s="10"/>
      <c r="AR3011" s="10"/>
      <c r="AS3011" s="10"/>
      <c r="AT3011" s="10"/>
      <c r="AU3011" s="10"/>
      <c r="AV3011" s="10"/>
      <c r="AW3011" s="10"/>
      <c r="AX3011" s="10"/>
      <c r="AY3011" s="10"/>
      <c r="AZ3011" s="10"/>
    </row>
    <row r="3012" spans="28:52">
      <c r="AB3012" s="9">
        <v>0.97589917780797408</v>
      </c>
      <c r="AC3012" s="9">
        <v>0.95482912514422358</v>
      </c>
      <c r="AD3012" s="9">
        <v>0.97486873957657361</v>
      </c>
      <c r="AE3012" s="10"/>
      <c r="AF3012" s="10"/>
      <c r="AG3012" s="10"/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10"/>
    </row>
    <row r="3013" spans="28:52">
      <c r="AB3013" s="9">
        <v>0.97073345289545421</v>
      </c>
      <c r="AC3013" s="9">
        <v>0.7369721076344069</v>
      </c>
      <c r="AD3013" s="9">
        <v>0.95714736098276887</v>
      </c>
      <c r="AE3013" s="10"/>
      <c r="AF3013" s="10"/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  <c r="AZ3013" s="10"/>
    </row>
    <row r="3014" spans="28:52">
      <c r="AB3014" s="9">
        <v>0.98822755991279321</v>
      </c>
      <c r="AC3014" s="9">
        <v>1.014326591640575</v>
      </c>
      <c r="AD3014" s="9">
        <v>0.95953123228658876</v>
      </c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  <c r="AO3014" s="10"/>
      <c r="AP3014" s="10"/>
      <c r="AQ3014" s="10"/>
      <c r="AR3014" s="10"/>
      <c r="AS3014" s="10"/>
      <c r="AT3014" s="10"/>
      <c r="AU3014" s="10"/>
      <c r="AV3014" s="10"/>
      <c r="AW3014" s="10"/>
      <c r="AX3014" s="10"/>
      <c r="AY3014" s="10"/>
      <c r="AZ3014" s="10"/>
    </row>
    <row r="3015" spans="28:52">
      <c r="AB3015" s="9">
        <v>0.9850071438421979</v>
      </c>
      <c r="AC3015" s="9">
        <v>0.67664647354971641</v>
      </c>
      <c r="AD3015" s="9">
        <v>0.96340443872684134</v>
      </c>
      <c r="AE3015" s="10"/>
      <c r="AF3015" s="10"/>
      <c r="AG3015" s="10"/>
      <c r="AH3015" s="10"/>
      <c r="AI3015" s="10"/>
      <c r="AJ3015" s="10"/>
      <c r="AK3015" s="10"/>
      <c r="AL3015" s="10"/>
      <c r="AM3015" s="10"/>
      <c r="AN3015" s="10"/>
      <c r="AO3015" s="10"/>
      <c r="AP3015" s="10"/>
      <c r="AQ3015" s="10"/>
      <c r="AR3015" s="10"/>
      <c r="AS3015" s="10"/>
      <c r="AT3015" s="10"/>
      <c r="AU3015" s="10"/>
      <c r="AV3015" s="10"/>
      <c r="AW3015" s="10"/>
      <c r="AX3015" s="10"/>
      <c r="AY3015" s="10"/>
      <c r="AZ3015" s="10"/>
    </row>
    <row r="3016" spans="28:52">
      <c r="AB3016" s="9">
        <v>0.98132665071299841</v>
      </c>
      <c r="AC3016" s="9">
        <v>0.50109533155113173</v>
      </c>
      <c r="AD3016" s="9">
        <v>0.97926825419053376</v>
      </c>
      <c r="AE3016" s="10"/>
      <c r="AF3016" s="10"/>
      <c r="AG3016" s="10"/>
      <c r="AH3016" s="10"/>
      <c r="AI3016" s="10"/>
      <c r="AJ3016" s="10"/>
      <c r="AK3016" s="10"/>
      <c r="AL3016" s="10"/>
      <c r="AM3016" s="10"/>
      <c r="AN3016" s="10"/>
      <c r="AO3016" s="10"/>
      <c r="AP3016" s="10"/>
      <c r="AQ3016" s="10"/>
      <c r="AR3016" s="10"/>
      <c r="AS3016" s="10"/>
      <c r="AT3016" s="10"/>
      <c r="AU3016" s="10"/>
      <c r="AV3016" s="10"/>
      <c r="AW3016" s="10"/>
      <c r="AX3016" s="10"/>
      <c r="AY3016" s="10"/>
      <c r="AZ3016" s="10"/>
    </row>
    <row r="3017" spans="28:52">
      <c r="AB3017" s="9">
        <v>0.96642949474686302</v>
      </c>
      <c r="AC3017" s="9">
        <v>0.44529191941875651</v>
      </c>
      <c r="AD3017" s="9">
        <v>0.98093917994684177</v>
      </c>
      <c r="AE3017" s="10"/>
      <c r="AF3017" s="10"/>
      <c r="AG3017" s="10"/>
      <c r="AH3017" s="10"/>
      <c r="AI3017" s="10"/>
      <c r="AJ3017" s="10"/>
      <c r="AK3017" s="10"/>
      <c r="AL3017" s="10"/>
      <c r="AM3017" s="10"/>
      <c r="AN3017" s="10"/>
      <c r="AO3017" s="10"/>
      <c r="AP3017" s="10"/>
      <c r="AQ3017" s="10"/>
      <c r="AR3017" s="10"/>
      <c r="AS3017" s="10"/>
      <c r="AT3017" s="10"/>
      <c r="AU3017" s="10"/>
      <c r="AV3017" s="10"/>
      <c r="AW3017" s="10"/>
      <c r="AX3017" s="10"/>
      <c r="AY3017" s="10"/>
      <c r="AZ3017" s="10"/>
    </row>
    <row r="3018" spans="28:52">
      <c r="AB3018" s="9">
        <v>0.96663719774648782</v>
      </c>
      <c r="AC3018" s="9">
        <v>0.41860407935788085</v>
      </c>
      <c r="AD3018" s="9">
        <v>0.97806930956262828</v>
      </c>
      <c r="AE3018" s="10"/>
      <c r="AF3018" s="10"/>
      <c r="AG3018" s="10"/>
      <c r="AH3018" s="10"/>
      <c r="AI3018" s="10"/>
      <c r="AJ3018" s="10"/>
      <c r="AK3018" s="10"/>
      <c r="AL3018" s="10"/>
      <c r="AM3018" s="10"/>
      <c r="AN3018" s="10"/>
      <c r="AO3018" s="10"/>
      <c r="AP3018" s="10"/>
      <c r="AQ3018" s="10"/>
      <c r="AR3018" s="10"/>
      <c r="AS3018" s="10"/>
      <c r="AT3018" s="10"/>
      <c r="AU3018" s="10"/>
      <c r="AV3018" s="10"/>
      <c r="AW3018" s="10"/>
      <c r="AX3018" s="10"/>
      <c r="AY3018" s="10"/>
      <c r="AZ3018" s="10"/>
    </row>
    <row r="3019" spans="28:52">
      <c r="AB3019" s="9">
        <v>0.97132835883583823</v>
      </c>
      <c r="AC3019" s="9">
        <v>0.49322961570011775</v>
      </c>
      <c r="AD3019" s="9">
        <v>0.98759967031567919</v>
      </c>
      <c r="AE3019" s="10"/>
      <c r="AF3019" s="10"/>
      <c r="AG3019" s="10"/>
      <c r="AH3019" s="10"/>
      <c r="AI3019" s="10"/>
      <c r="AJ3019" s="10"/>
      <c r="AK3019" s="10"/>
      <c r="AL3019" s="10"/>
      <c r="AM3019" s="10"/>
      <c r="AN3019" s="10"/>
      <c r="AO3019" s="10"/>
      <c r="AP3019" s="10"/>
      <c r="AQ3019" s="10"/>
      <c r="AR3019" s="10"/>
      <c r="AS3019" s="10"/>
      <c r="AT3019" s="10"/>
      <c r="AU3019" s="10"/>
      <c r="AV3019" s="10"/>
      <c r="AW3019" s="10"/>
      <c r="AX3019" s="10"/>
      <c r="AY3019" s="10"/>
      <c r="AZ3019" s="10"/>
    </row>
    <row r="3020" spans="28:52">
      <c r="AB3020" s="9">
        <v>0.96481196186585483</v>
      </c>
      <c r="AC3020" s="9">
        <v>0.46566335183802826</v>
      </c>
      <c r="AD3020" s="9">
        <v>1.0248488621268992</v>
      </c>
      <c r="AE3020" s="10"/>
      <c r="AF3020" s="10"/>
      <c r="AG3020" s="10"/>
      <c r="AH3020" s="10"/>
      <c r="AI3020" s="10"/>
      <c r="AJ3020" s="10"/>
      <c r="AK3020" s="10"/>
      <c r="AL3020" s="10"/>
      <c r="AM3020" s="10"/>
      <c r="AN3020" s="10"/>
      <c r="AO3020" s="10"/>
      <c r="AP3020" s="10"/>
      <c r="AQ3020" s="10"/>
      <c r="AR3020" s="10"/>
      <c r="AS3020" s="10"/>
      <c r="AT3020" s="10"/>
      <c r="AU3020" s="10"/>
      <c r="AV3020" s="10"/>
      <c r="AW3020" s="10"/>
      <c r="AX3020" s="10"/>
      <c r="AY3020" s="10"/>
      <c r="AZ3020" s="10"/>
    </row>
    <row r="3021" spans="28:52">
      <c r="AB3021" s="9">
        <v>0.93321964513716271</v>
      </c>
      <c r="AC3021" s="9">
        <v>0.5530418769408515</v>
      </c>
      <c r="AD3021" s="9">
        <v>1.0232054057418716</v>
      </c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/>
      <c r="AZ3021" s="10"/>
    </row>
    <row r="3022" spans="28:52">
      <c r="AB3022" s="9">
        <v>0.93884028903816452</v>
      </c>
      <c r="AC3022" s="9">
        <v>0.45915777877200326</v>
      </c>
      <c r="AD3022" s="9">
        <v>1.0318962046219926</v>
      </c>
      <c r="AE3022" s="10"/>
      <c r="AF3022" s="10"/>
      <c r="AG3022" s="10"/>
      <c r="AH3022" s="10"/>
      <c r="AI3022" s="10"/>
      <c r="AJ3022" s="10"/>
      <c r="AK3022" s="10"/>
      <c r="AL3022" s="10"/>
      <c r="AM3022" s="10"/>
      <c r="AN3022" s="10"/>
      <c r="AO3022" s="10"/>
      <c r="AP3022" s="10"/>
      <c r="AQ3022" s="10"/>
      <c r="AR3022" s="10"/>
      <c r="AS3022" s="10"/>
      <c r="AT3022" s="10"/>
      <c r="AU3022" s="10"/>
      <c r="AV3022" s="10"/>
      <c r="AW3022" s="10"/>
      <c r="AX3022" s="10"/>
      <c r="AY3022" s="10"/>
      <c r="AZ3022" s="10"/>
    </row>
    <row r="3023" spans="28:52">
      <c r="AB3023" s="9">
        <v>0.93595585171904372</v>
      </c>
      <c r="AC3023" s="9">
        <v>0.47543625773431419</v>
      </c>
      <c r="AD3023" s="9">
        <v>1.0234258980953974</v>
      </c>
      <c r="AE3023" s="10"/>
      <c r="AF3023" s="10"/>
      <c r="AG3023" s="10"/>
      <c r="AH3023" s="10"/>
      <c r="AI3023" s="10"/>
      <c r="AJ3023" s="10"/>
      <c r="AK3023" s="10"/>
      <c r="AL3023" s="10"/>
      <c r="AM3023" s="10"/>
      <c r="AN3023" s="10"/>
      <c r="AO3023" s="10"/>
      <c r="AP3023" s="10"/>
      <c r="AQ3023" s="10"/>
      <c r="AR3023" s="10"/>
      <c r="AS3023" s="10"/>
      <c r="AT3023" s="10"/>
      <c r="AU3023" s="10"/>
      <c r="AV3023" s="10"/>
      <c r="AW3023" s="10"/>
      <c r="AX3023" s="10"/>
      <c r="AY3023" s="10"/>
      <c r="AZ3023" s="10"/>
    </row>
    <row r="3024" spans="28:52">
      <c r="AB3024" s="9">
        <v>0.94873332360740137</v>
      </c>
      <c r="AC3024" s="9">
        <v>0.64890531717667654</v>
      </c>
      <c r="AD3024" s="9">
        <v>0.99377410994892379</v>
      </c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  <c r="AO3024" s="10"/>
      <c r="AP3024" s="10"/>
      <c r="AQ3024" s="10"/>
      <c r="AR3024" s="10"/>
      <c r="AS3024" s="10"/>
      <c r="AT3024" s="10"/>
      <c r="AU3024" s="10"/>
      <c r="AV3024" s="10"/>
      <c r="AW3024" s="10"/>
      <c r="AX3024" s="10"/>
      <c r="AY3024" s="10"/>
      <c r="AZ3024" s="10"/>
    </row>
    <row r="3025" spans="28:52">
      <c r="AB3025" s="9">
        <v>0.98159633948810421</v>
      </c>
      <c r="AC3025" s="9">
        <v>0.88962174215337664</v>
      </c>
      <c r="AD3025" s="9">
        <v>0.97919913982818418</v>
      </c>
      <c r="AE3025" s="10"/>
      <c r="AF3025" s="10"/>
      <c r="AG3025" s="10"/>
      <c r="AH3025" s="10"/>
      <c r="AI3025" s="10"/>
      <c r="AJ3025" s="10"/>
      <c r="AK3025" s="10"/>
      <c r="AL3025" s="10"/>
      <c r="AM3025" s="10"/>
      <c r="AN3025" s="10"/>
      <c r="AO3025" s="10"/>
      <c r="AP3025" s="10"/>
      <c r="AQ3025" s="10"/>
      <c r="AR3025" s="10"/>
      <c r="AS3025" s="10"/>
      <c r="AT3025" s="10"/>
      <c r="AU3025" s="10"/>
      <c r="AV3025" s="10"/>
      <c r="AW3025" s="10"/>
      <c r="AX3025" s="10"/>
      <c r="AY3025" s="10"/>
      <c r="AZ3025" s="10"/>
    </row>
    <row r="3026" spans="28:52">
      <c r="AB3026" s="9">
        <v>0.99992251186720049</v>
      </c>
      <c r="AC3026" s="9">
        <v>1.1375150993154977</v>
      </c>
      <c r="AD3026" s="9">
        <v>0.98608740348603519</v>
      </c>
      <c r="AE3026" s="10"/>
      <c r="AF3026" s="10"/>
      <c r="AG3026" s="10"/>
      <c r="AH3026" s="10"/>
      <c r="AI3026" s="10"/>
      <c r="AJ3026" s="10"/>
      <c r="AK3026" s="10"/>
      <c r="AL3026" s="10"/>
      <c r="AM3026" s="10"/>
      <c r="AN3026" s="10"/>
      <c r="AO3026" s="10"/>
      <c r="AP3026" s="10"/>
      <c r="AQ3026" s="10"/>
      <c r="AR3026" s="10"/>
      <c r="AS3026" s="10"/>
      <c r="AT3026" s="10"/>
      <c r="AU3026" s="10"/>
      <c r="AV3026" s="10"/>
      <c r="AW3026" s="10"/>
      <c r="AX3026" s="10"/>
      <c r="AY3026" s="10"/>
      <c r="AZ3026" s="10"/>
    </row>
    <row r="3027" spans="28:52">
      <c r="AB3027" s="9">
        <v>0.99636075374506616</v>
      </c>
      <c r="AC3027" s="9">
        <v>1.0383857802642575</v>
      </c>
      <c r="AD3027" s="9">
        <v>0.99154862156437951</v>
      </c>
      <c r="AE3027" s="10"/>
      <c r="AF3027" s="10"/>
      <c r="AG3027" s="10"/>
      <c r="AH3027" s="10"/>
      <c r="AI3027" s="10"/>
      <c r="AJ3027" s="10"/>
      <c r="AK3027" s="10"/>
      <c r="AL3027" s="10"/>
      <c r="AM3027" s="10"/>
      <c r="AN3027" s="10"/>
      <c r="AO3027" s="10"/>
      <c r="AP3027" s="10"/>
      <c r="AQ3027" s="10"/>
      <c r="AR3027" s="10"/>
      <c r="AS3027" s="10"/>
      <c r="AT3027" s="10"/>
      <c r="AU3027" s="10"/>
      <c r="AV3027" s="10"/>
      <c r="AW3027" s="10"/>
      <c r="AX3027" s="10"/>
      <c r="AY3027" s="10"/>
      <c r="AZ3027" s="10"/>
    </row>
    <row r="3028" spans="28:52">
      <c r="AB3028" s="9">
        <v>0.99486599427662481</v>
      </c>
      <c r="AC3028" s="9">
        <v>0.84068604845789396</v>
      </c>
      <c r="AD3028" s="9">
        <v>0.9927305036376769</v>
      </c>
      <c r="AE3028" s="10"/>
      <c r="AF3028" s="10"/>
      <c r="AG3028" s="10"/>
      <c r="AH3028" s="10"/>
      <c r="AI3028" s="10"/>
      <c r="AJ3028" s="10"/>
      <c r="AK3028" s="10"/>
      <c r="AL3028" s="10"/>
      <c r="AM3028" s="10"/>
      <c r="AN3028" s="10"/>
      <c r="AO3028" s="10"/>
      <c r="AP3028" s="10"/>
      <c r="AQ3028" s="10"/>
      <c r="AR3028" s="10"/>
      <c r="AS3028" s="10"/>
      <c r="AT3028" s="10"/>
      <c r="AU3028" s="10"/>
      <c r="AV3028" s="10"/>
      <c r="AW3028" s="10"/>
      <c r="AX3028" s="10"/>
      <c r="AY3028" s="10"/>
      <c r="AZ3028" s="10"/>
    </row>
    <row r="3029" spans="28:52">
      <c r="AB3029" s="9">
        <v>0.99750588385172356</v>
      </c>
      <c r="AC3029" s="9">
        <v>1.1416642355915667</v>
      </c>
      <c r="AD3029" s="9">
        <v>0.9968112749426099</v>
      </c>
      <c r="AE3029" s="10"/>
      <c r="AF3029" s="10"/>
      <c r="AG3029" s="10"/>
      <c r="AH3029" s="10"/>
      <c r="AI3029" s="10"/>
      <c r="AJ3029" s="10"/>
      <c r="AK3029" s="10"/>
      <c r="AL3029" s="10"/>
      <c r="AM3029" s="10"/>
      <c r="AN3029" s="10"/>
      <c r="AO3029" s="10"/>
      <c r="AP3029" s="10"/>
      <c r="AQ3029" s="10"/>
      <c r="AR3029" s="10"/>
      <c r="AS3029" s="10"/>
      <c r="AT3029" s="10"/>
      <c r="AU3029" s="10"/>
      <c r="AV3029" s="10"/>
      <c r="AW3029" s="10"/>
      <c r="AX3029" s="10"/>
      <c r="AY3029" s="10"/>
      <c r="AZ3029" s="10"/>
    </row>
    <row r="3030" spans="28:52">
      <c r="AB3030" s="9">
        <v>0.9971260654000601</v>
      </c>
      <c r="AC3030" s="9">
        <v>0.77708542699236416</v>
      </c>
      <c r="AD3030" s="9">
        <v>1.0142880526300446</v>
      </c>
      <c r="AE3030" s="10"/>
      <c r="AF3030" s="10"/>
      <c r="AG3030" s="10"/>
      <c r="AH3030" s="10"/>
      <c r="AI3030" s="10"/>
      <c r="AJ3030" s="10"/>
      <c r="AK3030" s="10"/>
      <c r="AL3030" s="10"/>
      <c r="AM3030" s="10"/>
      <c r="AN3030" s="10"/>
      <c r="AO3030" s="10"/>
      <c r="AP3030" s="10"/>
      <c r="AQ3030" s="10"/>
      <c r="AR3030" s="10"/>
      <c r="AS3030" s="10"/>
      <c r="AT3030" s="10"/>
      <c r="AU3030" s="10"/>
      <c r="AV3030" s="10"/>
      <c r="AW3030" s="10"/>
      <c r="AX3030" s="10"/>
      <c r="AY3030" s="10"/>
      <c r="AZ3030" s="10"/>
    </row>
    <row r="3031" spans="28:52">
      <c r="AB3031" s="9">
        <v>0.98427133606048445</v>
      </c>
      <c r="AC3031" s="9">
        <v>0.6588351391107079</v>
      </c>
      <c r="AD3031" s="9">
        <v>1.0101216020180095</v>
      </c>
      <c r="AE3031" s="10"/>
      <c r="AF3031" s="10"/>
      <c r="AG3031" s="10"/>
      <c r="AH3031" s="10"/>
      <c r="AI3031" s="10"/>
      <c r="AJ3031" s="10"/>
      <c r="AK3031" s="10"/>
      <c r="AL3031" s="10"/>
      <c r="AM3031" s="10"/>
      <c r="AN3031" s="10"/>
      <c r="AO3031" s="10"/>
      <c r="AP3031" s="10"/>
      <c r="AQ3031" s="10"/>
      <c r="AR3031" s="10"/>
      <c r="AS3031" s="10"/>
      <c r="AT3031" s="10"/>
      <c r="AU3031" s="10"/>
      <c r="AV3031" s="10"/>
      <c r="AW3031" s="10"/>
      <c r="AX3031" s="10"/>
      <c r="AY3031" s="10"/>
      <c r="AZ3031" s="10"/>
    </row>
    <row r="3032" spans="28:52">
      <c r="AB3032" s="9">
        <v>0.99289923683146653</v>
      </c>
      <c r="AC3032" s="9">
        <v>0.63750084465166545</v>
      </c>
      <c r="AD3032" s="9">
        <v>0.98520823028125637</v>
      </c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0"/>
      <c r="AO3032" s="10"/>
      <c r="AP3032" s="10"/>
      <c r="AQ3032" s="10"/>
      <c r="AR3032" s="10"/>
      <c r="AS3032" s="10"/>
      <c r="AT3032" s="10"/>
      <c r="AU3032" s="10"/>
      <c r="AV3032" s="10"/>
      <c r="AW3032" s="10"/>
      <c r="AX3032" s="10"/>
      <c r="AY3032" s="10"/>
      <c r="AZ3032" s="10"/>
    </row>
    <row r="3033" spans="28:52">
      <c r="AB3033" s="9">
        <v>1.0214745629272184</v>
      </c>
      <c r="AC3033" s="9">
        <v>1.317469772820905</v>
      </c>
      <c r="AD3033" s="9">
        <v>0.99558793516486888</v>
      </c>
      <c r="AE3033" s="10"/>
      <c r="AF3033" s="10"/>
      <c r="AG3033" s="10"/>
      <c r="AH3033" s="10"/>
      <c r="AI3033" s="10"/>
      <c r="AJ3033" s="10"/>
      <c r="AK3033" s="10"/>
      <c r="AL3033" s="10"/>
      <c r="AM3033" s="10"/>
      <c r="AN3033" s="10"/>
      <c r="AO3033" s="10"/>
      <c r="AP3033" s="10"/>
      <c r="AQ3033" s="10"/>
      <c r="AR3033" s="10"/>
      <c r="AS3033" s="10"/>
      <c r="AT3033" s="10"/>
      <c r="AU3033" s="10"/>
      <c r="AV3033" s="10"/>
      <c r="AW3033" s="10"/>
      <c r="AX3033" s="10"/>
      <c r="AY3033" s="10"/>
      <c r="AZ3033" s="10"/>
    </row>
    <row r="3034" spans="28:52">
      <c r="AB3034" s="9">
        <v>1.0140364011768939</v>
      </c>
      <c r="AC3034" s="9">
        <v>0.92695951305293889</v>
      </c>
      <c r="AD3034" s="9">
        <v>0.97731391280080715</v>
      </c>
      <c r="AE3034" s="10"/>
      <c r="AF3034" s="10"/>
      <c r="AG3034" s="10"/>
      <c r="AH3034" s="10"/>
      <c r="AI3034" s="10"/>
      <c r="AJ3034" s="10"/>
      <c r="AK3034" s="10"/>
      <c r="AL3034" s="10"/>
      <c r="AM3034" s="10"/>
      <c r="AN3034" s="10"/>
      <c r="AO3034" s="10"/>
      <c r="AP3034" s="10"/>
      <c r="AQ3034" s="10"/>
      <c r="AR3034" s="10"/>
      <c r="AS3034" s="10"/>
      <c r="AT3034" s="10"/>
      <c r="AU3034" s="10"/>
      <c r="AV3034" s="10"/>
      <c r="AW3034" s="10"/>
      <c r="AX3034" s="10"/>
      <c r="AY3034" s="10"/>
      <c r="AZ3034" s="10"/>
    </row>
    <row r="3035" spans="28:52">
      <c r="AB3035" s="9">
        <v>1.0351910742320203</v>
      </c>
      <c r="AC3035" s="9">
        <v>1.6266647130462457</v>
      </c>
      <c r="AD3035" s="9">
        <v>0.98100113594313398</v>
      </c>
      <c r="AE3035" s="10"/>
      <c r="AF3035" s="10"/>
      <c r="AG3035" s="10"/>
      <c r="AH3035" s="10"/>
      <c r="AI3035" s="10"/>
      <c r="AJ3035" s="10"/>
      <c r="AK3035" s="10"/>
      <c r="AL3035" s="10"/>
      <c r="AM3035" s="10"/>
      <c r="AN3035" s="10"/>
      <c r="AO3035" s="10"/>
      <c r="AP3035" s="10"/>
      <c r="AQ3035" s="10"/>
      <c r="AR3035" s="10"/>
      <c r="AS3035" s="10"/>
      <c r="AT3035" s="10"/>
      <c r="AU3035" s="10"/>
      <c r="AV3035" s="10"/>
      <c r="AW3035" s="10"/>
      <c r="AX3035" s="10"/>
      <c r="AY3035" s="10"/>
      <c r="AZ3035" s="10"/>
    </row>
    <row r="3036" spans="28:52">
      <c r="AB3036" s="9">
        <v>1.0333295303282839</v>
      </c>
      <c r="AC3036" s="9">
        <v>1.2270381219983659</v>
      </c>
      <c r="AD3036" s="9">
        <v>1.0027772436952658</v>
      </c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  <c r="AO3036" s="10"/>
      <c r="AP3036" s="10"/>
      <c r="AQ3036" s="10"/>
      <c r="AR3036" s="10"/>
      <c r="AS3036" s="10"/>
      <c r="AT3036" s="10"/>
      <c r="AU3036" s="10"/>
      <c r="AV3036" s="10"/>
      <c r="AW3036" s="10"/>
      <c r="AX3036" s="10"/>
      <c r="AY3036" s="10"/>
      <c r="AZ3036" s="10"/>
    </row>
    <row r="3037" spans="28:52">
      <c r="AB3037" s="9">
        <v>1.0132678688290819</v>
      </c>
      <c r="AC3037" s="9">
        <v>0.95084249635908913</v>
      </c>
      <c r="AD3037" s="9">
        <v>1.0031999614451916</v>
      </c>
      <c r="AE3037" s="10"/>
      <c r="AF3037" s="10"/>
      <c r="AG3037" s="10"/>
      <c r="AH3037" s="10"/>
      <c r="AI3037" s="10"/>
      <c r="AJ3037" s="10"/>
      <c r="AK3037" s="10"/>
      <c r="AL3037" s="10"/>
      <c r="AM3037" s="10"/>
      <c r="AN3037" s="10"/>
      <c r="AO3037" s="10"/>
      <c r="AP3037" s="10"/>
      <c r="AQ3037" s="10"/>
      <c r="AR3037" s="10"/>
      <c r="AS3037" s="10"/>
      <c r="AT3037" s="10"/>
      <c r="AU3037" s="10"/>
      <c r="AV3037" s="10"/>
      <c r="AW3037" s="10"/>
      <c r="AX3037" s="10"/>
      <c r="AY3037" s="10"/>
      <c r="AZ3037" s="10"/>
    </row>
    <row r="3038" spans="28:52">
      <c r="AB3038" s="9">
        <v>1.0154757767162985</v>
      </c>
      <c r="AC3038" s="9">
        <v>1.1745296926931126</v>
      </c>
      <c r="AD3038" s="9">
        <v>1.0494489067278636</v>
      </c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  <c r="AO3038" s="10"/>
      <c r="AP3038" s="10"/>
      <c r="AQ3038" s="10"/>
      <c r="AR3038" s="10"/>
      <c r="AS3038" s="10"/>
      <c r="AT3038" s="10"/>
      <c r="AU3038" s="10"/>
      <c r="AV3038" s="10"/>
      <c r="AW3038" s="10"/>
      <c r="AX3038" s="10"/>
      <c r="AY3038" s="10"/>
      <c r="AZ3038" s="10"/>
    </row>
    <row r="3039" spans="28:52">
      <c r="AB3039" s="9">
        <v>0.97429557018807966</v>
      </c>
      <c r="AC3039" s="9">
        <v>1.3104881521790519</v>
      </c>
      <c r="AD3039" s="9">
        <v>1.0889757507901188</v>
      </c>
      <c r="AE3039" s="10"/>
      <c r="AF3039" s="10"/>
      <c r="AG3039" s="10"/>
      <c r="AH3039" s="10"/>
      <c r="AI3039" s="10"/>
      <c r="AJ3039" s="10"/>
      <c r="AK3039" s="10"/>
      <c r="AL3039" s="10"/>
      <c r="AM3039" s="10"/>
      <c r="AN3039" s="10"/>
      <c r="AO3039" s="10"/>
      <c r="AP3039" s="10"/>
      <c r="AQ3039" s="10"/>
      <c r="AR3039" s="10"/>
      <c r="AS3039" s="10"/>
      <c r="AT3039" s="10"/>
      <c r="AU3039" s="10"/>
      <c r="AV3039" s="10"/>
      <c r="AW3039" s="10"/>
      <c r="AX3039" s="10"/>
      <c r="AY3039" s="10"/>
      <c r="AZ3039" s="10"/>
    </row>
    <row r="3040" spans="28:52">
      <c r="AB3040" s="9">
        <v>0.94395967173033934</v>
      </c>
      <c r="AC3040" s="9">
        <v>1.1832663708467379</v>
      </c>
      <c r="AD3040" s="9">
        <v>1.1191957965937915</v>
      </c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0"/>
      <c r="AW3040" s="10"/>
      <c r="AX3040" s="10"/>
      <c r="AY3040" s="10"/>
      <c r="AZ3040" s="10"/>
    </row>
    <row r="3041" spans="28:52">
      <c r="AB3041" s="9">
        <v>0.92445280969336607</v>
      </c>
      <c r="AC3041" s="9">
        <v>0.97009325758387832</v>
      </c>
      <c r="AD3041" s="9">
        <v>1.1087962821880237</v>
      </c>
      <c r="AE3041" s="10"/>
      <c r="AF3041" s="10"/>
      <c r="AG3041" s="10"/>
      <c r="AH3041" s="10"/>
      <c r="AI3041" s="10"/>
      <c r="AJ3041" s="10"/>
      <c r="AK3041" s="10"/>
      <c r="AL3041" s="10"/>
      <c r="AM3041" s="10"/>
      <c r="AN3041" s="10"/>
      <c r="AO3041" s="10"/>
      <c r="AP3041" s="10"/>
      <c r="AQ3041" s="10"/>
      <c r="AR3041" s="10"/>
      <c r="AS3041" s="10"/>
      <c r="AT3041" s="10"/>
      <c r="AU3041" s="10"/>
      <c r="AV3041" s="10"/>
      <c r="AW3041" s="10"/>
      <c r="AX3041" s="10"/>
      <c r="AY3041" s="10"/>
      <c r="AZ3041" s="10"/>
    </row>
    <row r="3042" spans="28:52">
      <c r="AB3042" s="9">
        <v>0.94015500811068109</v>
      </c>
      <c r="AC3042" s="9">
        <v>1.2326109214948358</v>
      </c>
      <c r="AD3042" s="9">
        <v>1.1279800967678943</v>
      </c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0"/>
      <c r="AW3042" s="10"/>
      <c r="AX3042" s="10"/>
      <c r="AY3042" s="10"/>
      <c r="AZ3042" s="10"/>
    </row>
    <row r="3043" spans="28:52">
      <c r="AB3043" s="9">
        <v>0.9303642624139179</v>
      </c>
      <c r="AC3043" s="9">
        <v>1.1517452035489324</v>
      </c>
      <c r="AD3043" s="9">
        <v>1.1224881203108061</v>
      </c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0"/>
      <c r="AO3043" s="10"/>
      <c r="AP3043" s="10"/>
      <c r="AQ3043" s="10"/>
      <c r="AR3043" s="10"/>
      <c r="AS3043" s="10"/>
      <c r="AT3043" s="10"/>
      <c r="AU3043" s="10"/>
      <c r="AV3043" s="10"/>
      <c r="AW3043" s="10"/>
      <c r="AX3043" s="10"/>
      <c r="AY3043" s="10"/>
      <c r="AZ3043" s="10"/>
    </row>
    <row r="3044" spans="28:52">
      <c r="AB3044" s="9">
        <v>0.94081172716958616</v>
      </c>
      <c r="AC3044" s="9">
        <v>0.85410020622670313</v>
      </c>
      <c r="AD3044" s="9">
        <v>1.1241993565152828</v>
      </c>
      <c r="AE3044" s="10"/>
      <c r="AF3044" s="10"/>
      <c r="AG3044" s="10"/>
      <c r="AH3044" s="10"/>
      <c r="AI3044" s="10"/>
      <c r="AJ3044" s="10"/>
      <c r="AK3044" s="10"/>
      <c r="AL3044" s="10"/>
      <c r="AM3044" s="10"/>
      <c r="AN3044" s="10"/>
      <c r="AO3044" s="10"/>
      <c r="AP3044" s="10"/>
      <c r="AQ3044" s="10"/>
      <c r="AR3044" s="10"/>
      <c r="AS3044" s="10"/>
      <c r="AT3044" s="10"/>
      <c r="AU3044" s="10"/>
      <c r="AV3044" s="10"/>
      <c r="AW3044" s="10"/>
      <c r="AX3044" s="10"/>
      <c r="AY3044" s="10"/>
      <c r="AZ3044" s="10"/>
    </row>
    <row r="3045" spans="28:52">
      <c r="AB3045" s="9">
        <v>0.94550513350524734</v>
      </c>
      <c r="AC3045" s="9">
        <v>0.7670998484309417</v>
      </c>
      <c r="AD3045" s="9">
        <v>1.1246894051582177</v>
      </c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0"/>
      <c r="AO3045" s="10"/>
      <c r="AP3045" s="10"/>
      <c r="AQ3045" s="10"/>
      <c r="AR3045" s="10"/>
      <c r="AS3045" s="10"/>
      <c r="AT3045" s="10"/>
      <c r="AU3045" s="10"/>
      <c r="AV3045" s="10"/>
      <c r="AW3045" s="10"/>
      <c r="AX3045" s="10"/>
      <c r="AY3045" s="10"/>
      <c r="AZ3045" s="10"/>
    </row>
    <row r="3046" spans="28:52">
      <c r="AB3046" s="9">
        <v>0.95103284449598391</v>
      </c>
      <c r="AC3046" s="9">
        <v>0.89174690752879082</v>
      </c>
      <c r="AD3046" s="9">
        <v>1.1156838661244037</v>
      </c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  <c r="AO3046" s="10"/>
      <c r="AP3046" s="10"/>
      <c r="AQ3046" s="10"/>
      <c r="AR3046" s="10"/>
      <c r="AS3046" s="10"/>
      <c r="AT3046" s="10"/>
      <c r="AU3046" s="10"/>
      <c r="AV3046" s="10"/>
      <c r="AW3046" s="10"/>
      <c r="AX3046" s="10"/>
      <c r="AY3046" s="10"/>
      <c r="AZ3046" s="10"/>
    </row>
    <row r="3047" spans="28:52">
      <c r="AB3047" s="9">
        <v>0.96497961990557424</v>
      </c>
      <c r="AC3047" s="9">
        <v>0.95631370154624395</v>
      </c>
      <c r="AD3047" s="9">
        <v>1.143104276767074</v>
      </c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0"/>
      <c r="AO3047" s="10"/>
      <c r="AP3047" s="10"/>
      <c r="AQ3047" s="10"/>
      <c r="AR3047" s="10"/>
      <c r="AS3047" s="10"/>
      <c r="AT3047" s="10"/>
      <c r="AU3047" s="10"/>
      <c r="AV3047" s="10"/>
      <c r="AW3047" s="10"/>
      <c r="AX3047" s="10"/>
      <c r="AY3047" s="10"/>
      <c r="AZ3047" s="10"/>
    </row>
    <row r="3048" spans="28:52">
      <c r="AB3048" s="9">
        <v>0.94699828262581653</v>
      </c>
      <c r="AC3048" s="9">
        <v>0.69951370970616211</v>
      </c>
      <c r="AD3048" s="9">
        <v>1.1340137317455903</v>
      </c>
      <c r="AE3048" s="10"/>
      <c r="AF3048" s="10"/>
      <c r="AG3048" s="10"/>
      <c r="AH3048" s="10"/>
      <c r="AI3048" s="10"/>
      <c r="AJ3048" s="10"/>
      <c r="AK3048" s="10"/>
      <c r="AL3048" s="10"/>
      <c r="AM3048" s="10"/>
      <c r="AN3048" s="10"/>
      <c r="AO3048" s="10"/>
      <c r="AP3048" s="10"/>
      <c r="AQ3048" s="10"/>
      <c r="AR3048" s="10"/>
      <c r="AS3048" s="10"/>
      <c r="AT3048" s="10"/>
      <c r="AU3048" s="10"/>
      <c r="AV3048" s="10"/>
      <c r="AW3048" s="10"/>
      <c r="AX3048" s="10"/>
      <c r="AY3048" s="10"/>
      <c r="AZ3048" s="10"/>
    </row>
    <row r="3049" spans="28:52">
      <c r="AB3049" s="9">
        <v>0.95987942037502394</v>
      </c>
      <c r="AC3049" s="9">
        <v>0.88859521003800757</v>
      </c>
      <c r="AD3049" s="9">
        <v>1.1341089222768255</v>
      </c>
      <c r="AE3049" s="10"/>
      <c r="AF3049" s="10"/>
      <c r="AG3049" s="10"/>
      <c r="AH3049" s="10"/>
      <c r="AI3049" s="10"/>
      <c r="AJ3049" s="10"/>
      <c r="AK3049" s="10"/>
      <c r="AL3049" s="10"/>
      <c r="AM3049" s="10"/>
      <c r="AN3049" s="10"/>
      <c r="AO3049" s="10"/>
      <c r="AP3049" s="10"/>
      <c r="AQ3049" s="10"/>
      <c r="AR3049" s="10"/>
      <c r="AS3049" s="10"/>
      <c r="AT3049" s="10"/>
      <c r="AU3049" s="10"/>
      <c r="AV3049" s="10"/>
      <c r="AW3049" s="10"/>
      <c r="AX3049" s="10"/>
      <c r="AY3049" s="10"/>
      <c r="AZ3049" s="10"/>
    </row>
    <row r="3050" spans="28:52">
      <c r="AB3050" s="9">
        <v>0.96443590813651903</v>
      </c>
      <c r="AC3050" s="9">
        <v>0.74645024857410958</v>
      </c>
      <c r="AD3050" s="9">
        <v>1.1194739525537591</v>
      </c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0"/>
      <c r="AO3050" s="10"/>
      <c r="AP3050" s="10"/>
      <c r="AQ3050" s="10"/>
      <c r="AR3050" s="10"/>
      <c r="AS3050" s="10"/>
      <c r="AT3050" s="10"/>
      <c r="AU3050" s="10"/>
      <c r="AV3050" s="10"/>
      <c r="AW3050" s="10"/>
      <c r="AX3050" s="10"/>
      <c r="AY3050" s="10"/>
      <c r="AZ3050" s="10"/>
    </row>
    <row r="3051" spans="28:52">
      <c r="AB3051" s="9">
        <v>0.98194157567802176</v>
      </c>
      <c r="AC3051" s="9">
        <v>1.0890264839925055</v>
      </c>
      <c r="AD3051" s="9">
        <v>1.1221871415079128</v>
      </c>
      <c r="AE3051" s="10"/>
      <c r="AF3051" s="10"/>
      <c r="AG3051" s="10"/>
      <c r="AH3051" s="10"/>
      <c r="AI3051" s="10"/>
      <c r="AJ3051" s="10"/>
      <c r="AK3051" s="10"/>
      <c r="AL3051" s="10"/>
      <c r="AM3051" s="10"/>
      <c r="AN3051" s="10"/>
      <c r="AO3051" s="10"/>
      <c r="AP3051" s="10"/>
      <c r="AQ3051" s="10"/>
      <c r="AR3051" s="10"/>
      <c r="AS3051" s="10"/>
      <c r="AT3051" s="10"/>
      <c r="AU3051" s="10"/>
      <c r="AV3051" s="10"/>
      <c r="AW3051" s="10"/>
      <c r="AX3051" s="10"/>
      <c r="AY3051" s="10"/>
      <c r="AZ3051" s="10"/>
    </row>
    <row r="3052" spans="28:52">
      <c r="AB3052" s="9">
        <v>0.98412344618172531</v>
      </c>
      <c r="AC3052" s="9">
        <v>0.79900915879527479</v>
      </c>
      <c r="AD3052" s="9">
        <v>1.1296440742143128</v>
      </c>
      <c r="AE3052" s="10"/>
      <c r="AF3052" s="10"/>
      <c r="AG3052" s="10"/>
      <c r="AH3052" s="10"/>
      <c r="AI3052" s="10"/>
      <c r="AJ3052" s="10"/>
      <c r="AK3052" s="10"/>
      <c r="AL3052" s="10"/>
      <c r="AM3052" s="10"/>
      <c r="AN3052" s="10"/>
      <c r="AO3052" s="10"/>
      <c r="AP3052" s="10"/>
      <c r="AQ3052" s="10"/>
      <c r="AR3052" s="10"/>
      <c r="AS3052" s="10"/>
      <c r="AT3052" s="10"/>
      <c r="AU3052" s="10"/>
      <c r="AV3052" s="10"/>
      <c r="AW3052" s="10"/>
      <c r="AX3052" s="10"/>
      <c r="AY3052" s="10"/>
      <c r="AZ3052" s="10"/>
    </row>
    <row r="3053" spans="28:52">
      <c r="AB3053" s="9">
        <v>0.98227507884186038</v>
      </c>
      <c r="AC3053" s="9">
        <v>0.70208023618716386</v>
      </c>
      <c r="AD3053" s="9">
        <v>1.1471273667820634</v>
      </c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  <c r="AO3053" s="10"/>
      <c r="AP3053" s="10"/>
      <c r="AQ3053" s="10"/>
      <c r="AR3053" s="10"/>
      <c r="AS3053" s="10"/>
      <c r="AT3053" s="10"/>
      <c r="AU3053" s="10"/>
      <c r="AV3053" s="10"/>
      <c r="AW3053" s="10"/>
      <c r="AX3053" s="10"/>
      <c r="AY3053" s="10"/>
      <c r="AZ3053" s="10"/>
    </row>
    <row r="3054" spans="28:52">
      <c r="AB3054" s="9">
        <v>0.97201058250521188</v>
      </c>
      <c r="AC3054" s="9">
        <v>0.77775626713867141</v>
      </c>
      <c r="AD3054" s="9">
        <v>1.1601556464119553</v>
      </c>
      <c r="AE3054" s="10"/>
      <c r="AF3054" s="10"/>
      <c r="AG3054" s="10"/>
      <c r="AH3054" s="10"/>
      <c r="AI3054" s="10"/>
      <c r="AJ3054" s="10"/>
      <c r="AK3054" s="10"/>
      <c r="AL3054" s="10"/>
      <c r="AM3054" s="10"/>
      <c r="AN3054" s="10"/>
      <c r="AO3054" s="10"/>
      <c r="AP3054" s="10"/>
      <c r="AQ3054" s="10"/>
      <c r="AR3054" s="10"/>
      <c r="AS3054" s="10"/>
      <c r="AT3054" s="10"/>
      <c r="AU3054" s="10"/>
      <c r="AV3054" s="10"/>
      <c r="AW3054" s="10"/>
      <c r="AX3054" s="10"/>
      <c r="AY3054" s="10"/>
      <c r="AZ3054" s="10"/>
    </row>
    <row r="3055" spans="28:52">
      <c r="AB3055" s="9">
        <v>0.96607961405848108</v>
      </c>
      <c r="AC3055" s="9">
        <v>0.49970198838914698</v>
      </c>
      <c r="AD3055" s="9">
        <v>1.1664162348674258</v>
      </c>
      <c r="AE3055" s="10"/>
      <c r="AF3055" s="10"/>
      <c r="AG3055" s="10"/>
      <c r="AH3055" s="10"/>
      <c r="AI3055" s="10"/>
      <c r="AJ3055" s="10"/>
      <c r="AK3055" s="10"/>
      <c r="AL3055" s="10"/>
      <c r="AM3055" s="10"/>
      <c r="AN3055" s="10"/>
      <c r="AO3055" s="10"/>
      <c r="AP3055" s="10"/>
      <c r="AQ3055" s="10"/>
      <c r="AR3055" s="10"/>
      <c r="AS3055" s="10"/>
      <c r="AT3055" s="10"/>
      <c r="AU3055" s="10"/>
      <c r="AV3055" s="10"/>
      <c r="AW3055" s="10"/>
      <c r="AX3055" s="10"/>
      <c r="AY3055" s="10"/>
      <c r="AZ3055" s="10"/>
    </row>
    <row r="3056" spans="28:52">
      <c r="AB3056" s="9">
        <v>0.96542373404779758</v>
      </c>
      <c r="AC3056" s="9">
        <v>0.59328979274567606</v>
      </c>
      <c r="AD3056" s="9">
        <v>1.1810909634211124</v>
      </c>
      <c r="AE3056" s="10"/>
      <c r="AF3056" s="10"/>
      <c r="AG3056" s="10"/>
      <c r="AH3056" s="10"/>
      <c r="AI3056" s="10"/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0"/>
      <c r="AW3056" s="10"/>
      <c r="AX3056" s="10"/>
      <c r="AY3056" s="10"/>
      <c r="AZ3056" s="10"/>
    </row>
    <row r="3057" spans="28:52">
      <c r="AB3057" s="9">
        <v>0.9576780540682559</v>
      </c>
      <c r="AC3057" s="9">
        <v>0.60298129181379256</v>
      </c>
      <c r="AD3057" s="9">
        <v>1.1711351110903001</v>
      </c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  <c r="AO3057" s="10"/>
      <c r="AP3057" s="10"/>
      <c r="AQ3057" s="10"/>
      <c r="AR3057" s="10"/>
      <c r="AS3057" s="10"/>
      <c r="AT3057" s="10"/>
      <c r="AU3057" s="10"/>
      <c r="AV3057" s="10"/>
      <c r="AW3057" s="10"/>
      <c r="AX3057" s="10"/>
      <c r="AY3057" s="10"/>
      <c r="AZ3057" s="10"/>
    </row>
    <row r="3058" spans="28:52">
      <c r="AB3058" s="9">
        <v>0.97034294113619335</v>
      </c>
      <c r="AC3058" s="9">
        <v>0.82053867326926422</v>
      </c>
      <c r="AD3058" s="9">
        <v>1.1552202541889678</v>
      </c>
      <c r="AE3058" s="10"/>
      <c r="AF3058" s="10"/>
      <c r="AG3058" s="10"/>
      <c r="AH3058" s="10"/>
      <c r="AI3058" s="10"/>
      <c r="AJ3058" s="10"/>
      <c r="AK3058" s="10"/>
      <c r="AL3058" s="10"/>
      <c r="AM3058" s="10"/>
      <c r="AN3058" s="10"/>
      <c r="AO3058" s="10"/>
      <c r="AP3058" s="10"/>
      <c r="AQ3058" s="10"/>
      <c r="AR3058" s="10"/>
      <c r="AS3058" s="10"/>
      <c r="AT3058" s="10"/>
      <c r="AU3058" s="10"/>
      <c r="AV3058" s="10"/>
      <c r="AW3058" s="10"/>
      <c r="AX3058" s="10"/>
      <c r="AY3058" s="10"/>
      <c r="AZ3058" s="10"/>
    </row>
    <row r="3059" spans="28:52">
      <c r="AB3059" s="9">
        <v>0.98824508383560661</v>
      </c>
      <c r="AC3059" s="9">
        <v>1.2383118470597057</v>
      </c>
      <c r="AD3059" s="9">
        <v>1.1298013467485672</v>
      </c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  <c r="AZ3059" s="10"/>
    </row>
    <row r="3060" spans="28:52">
      <c r="AB3060" s="9">
        <v>1.0146614290008071</v>
      </c>
      <c r="AC3060" s="9">
        <v>1.4585796947457548</v>
      </c>
      <c r="AD3060" s="9">
        <v>1.1370387611180133</v>
      </c>
      <c r="AE3060" s="10"/>
      <c r="AF3060" s="10"/>
      <c r="AG3060" s="10"/>
      <c r="AH3060" s="10"/>
      <c r="AI3060" s="10"/>
      <c r="AJ3060" s="10"/>
      <c r="AK3060" s="10"/>
      <c r="AL3060" s="10"/>
      <c r="AM3060" s="10"/>
      <c r="AN3060" s="10"/>
      <c r="AO3060" s="10"/>
      <c r="AP3060" s="10"/>
      <c r="AQ3060" s="10"/>
      <c r="AR3060" s="10"/>
      <c r="AS3060" s="10"/>
      <c r="AT3060" s="10"/>
      <c r="AU3060" s="10"/>
      <c r="AV3060" s="10"/>
      <c r="AW3060" s="10"/>
      <c r="AX3060" s="10"/>
      <c r="AY3060" s="10"/>
      <c r="AZ3060" s="10"/>
    </row>
    <row r="3061" spans="28:52">
      <c r="AB3061" s="9">
        <v>1.0109480400539028</v>
      </c>
      <c r="AC3061" s="9">
        <v>1.250611480507156</v>
      </c>
      <c r="AD3061" s="9">
        <v>1.1345806486218295</v>
      </c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  <c r="AO3061" s="10"/>
      <c r="AP3061" s="10"/>
      <c r="AQ3061" s="10"/>
      <c r="AR3061" s="10"/>
      <c r="AS3061" s="10"/>
      <c r="AT3061" s="10"/>
      <c r="AU3061" s="10"/>
      <c r="AV3061" s="10"/>
      <c r="AW3061" s="10"/>
      <c r="AX3061" s="10"/>
      <c r="AY3061" s="10"/>
      <c r="AZ3061" s="10"/>
    </row>
    <row r="3062" spans="28:52">
      <c r="AB3062" s="9">
        <v>1.0165415735357723</v>
      </c>
      <c r="AC3062" s="9">
        <v>1.5857251200173059</v>
      </c>
      <c r="AD3062" s="9">
        <v>1.1208953035852645</v>
      </c>
      <c r="AE3062" s="10"/>
      <c r="AF3062" s="10"/>
      <c r="AG3062" s="10"/>
      <c r="AH3062" s="10"/>
      <c r="AI3062" s="10"/>
      <c r="AJ3062" s="10"/>
      <c r="AK3062" s="10"/>
      <c r="AL3062" s="10"/>
      <c r="AM3062" s="10"/>
      <c r="AN3062" s="10"/>
      <c r="AO3062" s="10"/>
      <c r="AP3062" s="10"/>
      <c r="AQ3062" s="10"/>
      <c r="AR3062" s="10"/>
      <c r="AS3062" s="10"/>
      <c r="AT3062" s="10"/>
      <c r="AU3062" s="10"/>
      <c r="AV3062" s="10"/>
      <c r="AW3062" s="10"/>
      <c r="AX3062" s="10"/>
      <c r="AY3062" s="10"/>
      <c r="AZ3062" s="10"/>
    </row>
    <row r="3063" spans="28:52">
      <c r="AB3063" s="9">
        <v>1.0320024715139842</v>
      </c>
      <c r="AC3063" s="9">
        <v>1.2322320713153605</v>
      </c>
      <c r="AD3063" s="9">
        <v>1.1207582255975765</v>
      </c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0"/>
      <c r="AO3063" s="10"/>
      <c r="AP3063" s="10"/>
      <c r="AQ3063" s="10"/>
      <c r="AR3063" s="10"/>
      <c r="AS3063" s="10"/>
      <c r="AT3063" s="10"/>
      <c r="AU3063" s="10"/>
      <c r="AV3063" s="10"/>
      <c r="AW3063" s="10"/>
      <c r="AX3063" s="10"/>
      <c r="AY3063" s="10"/>
      <c r="AZ3063" s="10"/>
    </row>
    <row r="3064" spans="28:52">
      <c r="AB3064" s="9">
        <v>1.0351276318118334</v>
      </c>
      <c r="AC3064" s="9">
        <v>2.0703598934840679</v>
      </c>
      <c r="AD3064" s="9">
        <v>1.0908378116916049</v>
      </c>
      <c r="AE3064" s="10"/>
      <c r="AF3064" s="10"/>
      <c r="AG3064" s="10"/>
      <c r="AH3064" s="10"/>
      <c r="AI3064" s="10"/>
      <c r="AJ3064" s="10"/>
      <c r="AK3064" s="10"/>
      <c r="AL3064" s="10"/>
      <c r="AM3064" s="10"/>
      <c r="AN3064" s="10"/>
      <c r="AO3064" s="10"/>
      <c r="AP3064" s="10"/>
      <c r="AQ3064" s="10"/>
      <c r="AR3064" s="10"/>
      <c r="AS3064" s="10"/>
      <c r="AT3064" s="10"/>
      <c r="AU3064" s="10"/>
      <c r="AV3064" s="10"/>
      <c r="AW3064" s="10"/>
      <c r="AX3064" s="10"/>
      <c r="AY3064" s="10"/>
      <c r="AZ3064" s="10"/>
    </row>
    <row r="3065" spans="28:52">
      <c r="AB3065" s="9">
        <v>1.0657504925610664</v>
      </c>
      <c r="AC3065" s="9">
        <v>2.1685143782658534</v>
      </c>
      <c r="AD3065" s="9">
        <v>1.096706854093987</v>
      </c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/>
      <c r="AW3065" s="10"/>
      <c r="AX3065" s="10"/>
      <c r="AY3065" s="10"/>
      <c r="AZ3065" s="10"/>
    </row>
    <row r="3066" spans="28:52">
      <c r="AB3066" s="9">
        <v>1.0618578599313135</v>
      </c>
      <c r="AC3066" s="9">
        <v>1.7623957637531487</v>
      </c>
      <c r="AD3066" s="9">
        <v>1.0859850074076574</v>
      </c>
      <c r="AE3066" s="10"/>
      <c r="AF3066" s="10"/>
      <c r="AG3066" s="10"/>
      <c r="AH3066" s="10"/>
      <c r="AI3066" s="10"/>
      <c r="AJ3066" s="10"/>
      <c r="AK3066" s="10"/>
      <c r="AL3066" s="10"/>
      <c r="AM3066" s="10"/>
      <c r="AN3066" s="10"/>
      <c r="AO3066" s="10"/>
      <c r="AP3066" s="10"/>
      <c r="AQ3066" s="10"/>
      <c r="AR3066" s="10"/>
      <c r="AS3066" s="10"/>
      <c r="AT3066" s="10"/>
      <c r="AU3066" s="10"/>
      <c r="AV3066" s="10"/>
      <c r="AW3066" s="10"/>
      <c r="AX3066" s="10"/>
      <c r="AY3066" s="10"/>
      <c r="AZ3066" s="10"/>
    </row>
    <row r="3067" spans="28:52">
      <c r="AB3067" s="9">
        <v>1.0743678576556124</v>
      </c>
      <c r="AC3067" s="9">
        <v>2.0036126254925741</v>
      </c>
      <c r="AD3067" s="9">
        <v>1.0884482274889513</v>
      </c>
      <c r="AE3067" s="10"/>
      <c r="AF3067" s="10"/>
      <c r="AG3067" s="10"/>
      <c r="AH3067" s="10"/>
      <c r="AI3067" s="10"/>
      <c r="AJ3067" s="10"/>
      <c r="AK3067" s="10"/>
      <c r="AL3067" s="10"/>
      <c r="AM3067" s="10"/>
      <c r="AN3067" s="10"/>
      <c r="AO3067" s="10"/>
      <c r="AP3067" s="10"/>
      <c r="AQ3067" s="10"/>
      <c r="AR3067" s="10"/>
      <c r="AS3067" s="10"/>
      <c r="AT3067" s="10"/>
      <c r="AU3067" s="10"/>
      <c r="AV3067" s="10"/>
      <c r="AW3067" s="10"/>
      <c r="AX3067" s="10"/>
      <c r="AY3067" s="10"/>
      <c r="AZ3067" s="10"/>
    </row>
    <row r="3068" spans="28:52">
      <c r="AB3068" s="9">
        <v>1.0736563424553451</v>
      </c>
      <c r="AC3068" s="9">
        <v>1.3920986274923379</v>
      </c>
      <c r="AD3068" s="9">
        <v>1.0720456852581552</v>
      </c>
      <c r="AE3068" s="10"/>
      <c r="AF3068" s="10"/>
      <c r="AG3068" s="10"/>
      <c r="AH3068" s="10"/>
      <c r="AI3068" s="10"/>
      <c r="AJ3068" s="10"/>
      <c r="AK3068" s="10"/>
      <c r="AL3068" s="10"/>
      <c r="AM3068" s="10"/>
      <c r="AN3068" s="10"/>
      <c r="AO3068" s="10"/>
      <c r="AP3068" s="10"/>
      <c r="AQ3068" s="10"/>
      <c r="AR3068" s="10"/>
      <c r="AS3068" s="10"/>
      <c r="AT3068" s="10"/>
      <c r="AU3068" s="10"/>
      <c r="AV3068" s="10"/>
      <c r="AW3068" s="10"/>
      <c r="AX3068" s="10"/>
      <c r="AY3068" s="10"/>
      <c r="AZ3068" s="10"/>
    </row>
    <row r="3069" spans="28:52">
      <c r="AB3069" s="9">
        <v>1.0916989679686522</v>
      </c>
      <c r="AC3069" s="9">
        <v>2.1263270641416798</v>
      </c>
      <c r="AD3069" s="9">
        <v>1.0737339927983112</v>
      </c>
      <c r="AE3069" s="10"/>
      <c r="AF3069" s="10"/>
      <c r="AG3069" s="10"/>
      <c r="AH3069" s="10"/>
      <c r="AI3069" s="10"/>
      <c r="AJ3069" s="10"/>
      <c r="AK3069" s="10"/>
      <c r="AL3069" s="10"/>
      <c r="AM3069" s="10"/>
      <c r="AN3069" s="10"/>
      <c r="AO3069" s="10"/>
      <c r="AP3069" s="10"/>
      <c r="AQ3069" s="10"/>
      <c r="AR3069" s="10"/>
      <c r="AS3069" s="10"/>
      <c r="AT3069" s="10"/>
      <c r="AU3069" s="10"/>
      <c r="AV3069" s="10"/>
      <c r="AW3069" s="10"/>
      <c r="AX3069" s="10"/>
      <c r="AY3069" s="10"/>
      <c r="AZ3069" s="10"/>
    </row>
    <row r="3070" spans="28:52">
      <c r="AB3070" s="9">
        <v>1.0911355365019182</v>
      </c>
      <c r="AC3070" s="9">
        <v>1.8118465770694565</v>
      </c>
      <c r="AD3070" s="9">
        <v>1.0827212387999126</v>
      </c>
      <c r="AE3070" s="10"/>
      <c r="AF3070" s="10"/>
      <c r="AG3070" s="10"/>
      <c r="AH3070" s="10"/>
      <c r="AI3070" s="10"/>
      <c r="AJ3070" s="10"/>
      <c r="AK3070" s="10"/>
      <c r="AL3070" s="10"/>
      <c r="AM3070" s="10"/>
      <c r="AN3070" s="10"/>
      <c r="AO3070" s="10"/>
      <c r="AP3070" s="10"/>
      <c r="AQ3070" s="10"/>
      <c r="AR3070" s="10"/>
      <c r="AS3070" s="10"/>
      <c r="AT3070" s="10"/>
      <c r="AU3070" s="10"/>
      <c r="AV3070" s="10"/>
      <c r="AW3070" s="10"/>
      <c r="AX3070" s="10"/>
      <c r="AY3070" s="10"/>
      <c r="AZ3070" s="10"/>
    </row>
    <row r="3071" spans="28:52">
      <c r="AB3071" s="9">
        <v>1.082551158492979</v>
      </c>
      <c r="AC3071" s="9">
        <v>1.9263430360334741</v>
      </c>
      <c r="AD3071" s="9">
        <v>1.069375967268158</v>
      </c>
      <c r="AE3071" s="10"/>
      <c r="AF3071" s="10"/>
      <c r="AG3071" s="10"/>
      <c r="AH3071" s="10"/>
      <c r="AI3071" s="10"/>
      <c r="AJ3071" s="10"/>
      <c r="AK3071" s="10"/>
      <c r="AL3071" s="10"/>
      <c r="AM3071" s="10"/>
      <c r="AN3071" s="10"/>
      <c r="AO3071" s="10"/>
      <c r="AP3071" s="10"/>
      <c r="AQ3071" s="10"/>
      <c r="AR3071" s="10"/>
      <c r="AS3071" s="10"/>
      <c r="AT3071" s="10"/>
      <c r="AU3071" s="10"/>
      <c r="AV3071" s="10"/>
      <c r="AW3071" s="10"/>
      <c r="AX3071" s="10"/>
      <c r="AY3071" s="10"/>
      <c r="AZ3071" s="10"/>
    </row>
    <row r="3072" spans="28:52">
      <c r="AB3072" s="9">
        <v>1.0965025057751239</v>
      </c>
      <c r="AC3072" s="9">
        <v>1.866392345581777</v>
      </c>
      <c r="AD3072" s="9">
        <v>1.0716205575697986</v>
      </c>
      <c r="AE3072" s="10"/>
      <c r="AF3072" s="10"/>
      <c r="AG3072" s="10"/>
      <c r="AH3072" s="10"/>
      <c r="AI3072" s="10"/>
      <c r="AJ3072" s="10"/>
      <c r="AK3072" s="10"/>
      <c r="AL3072" s="10"/>
      <c r="AM3072" s="10"/>
      <c r="AN3072" s="10"/>
      <c r="AO3072" s="10"/>
      <c r="AP3072" s="10"/>
      <c r="AQ3072" s="10"/>
      <c r="AR3072" s="10"/>
      <c r="AS3072" s="10"/>
      <c r="AT3072" s="10"/>
      <c r="AU3072" s="10"/>
      <c r="AV3072" s="10"/>
      <c r="AW3072" s="10"/>
      <c r="AX3072" s="10"/>
      <c r="AY3072" s="10"/>
      <c r="AZ3072" s="10"/>
    </row>
    <row r="3073" spans="28:52">
      <c r="AB3073" s="9">
        <v>1.0944763637136483</v>
      </c>
      <c r="AC3073" s="9">
        <v>1.5030730459715909</v>
      </c>
      <c r="AD3073" s="9">
        <v>1.0724555838082233</v>
      </c>
      <c r="AE3073" s="10"/>
      <c r="AF3073" s="10"/>
      <c r="AG3073" s="10"/>
      <c r="AH3073" s="10"/>
      <c r="AI3073" s="10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0"/>
      <c r="AW3073" s="10"/>
      <c r="AX3073" s="10"/>
      <c r="AY3073" s="10"/>
      <c r="AZ3073" s="10"/>
    </row>
    <row r="3074" spans="28:52">
      <c r="AB3074" s="9">
        <v>1.0942016366817393</v>
      </c>
      <c r="AC3074" s="9">
        <v>1.4899992794704013</v>
      </c>
      <c r="AD3074" s="9">
        <v>1.0582198950774049</v>
      </c>
      <c r="AE3074" s="10"/>
      <c r="AF3074" s="10"/>
      <c r="AG3074" s="10"/>
      <c r="AH3074" s="10"/>
      <c r="AI3074" s="10"/>
      <c r="AJ3074" s="10"/>
      <c r="AK3074" s="10"/>
      <c r="AL3074" s="10"/>
      <c r="AM3074" s="10"/>
      <c r="AN3074" s="10"/>
      <c r="AO3074" s="10"/>
      <c r="AP3074" s="10"/>
      <c r="AQ3074" s="10"/>
      <c r="AR3074" s="10"/>
      <c r="AS3074" s="10"/>
      <c r="AT3074" s="10"/>
      <c r="AU3074" s="10"/>
      <c r="AV3074" s="10"/>
      <c r="AW3074" s="10"/>
      <c r="AX3074" s="10"/>
      <c r="AY3074" s="10"/>
      <c r="AZ3074" s="10"/>
    </row>
    <row r="3075" spans="28:52">
      <c r="AB3075" s="9">
        <v>1.1099263124572494</v>
      </c>
      <c r="AC3075" s="9">
        <v>1.994356063371894</v>
      </c>
      <c r="AD3075" s="9">
        <v>1.0550822052901838</v>
      </c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0"/>
      <c r="AO3075" s="10"/>
      <c r="AP3075" s="10"/>
      <c r="AQ3075" s="10"/>
      <c r="AR3075" s="10"/>
      <c r="AS3075" s="10"/>
      <c r="AT3075" s="10"/>
      <c r="AU3075" s="10"/>
      <c r="AV3075" s="10"/>
      <c r="AW3075" s="10"/>
      <c r="AX3075" s="10"/>
      <c r="AY3075" s="10"/>
      <c r="AZ3075" s="10"/>
    </row>
    <row r="3076" spans="28:52">
      <c r="AB3076" s="9">
        <v>1.1135984618433357</v>
      </c>
      <c r="AC3076" s="9">
        <v>2.3255748318615042</v>
      </c>
      <c r="AD3076" s="9">
        <v>1.046862986268323</v>
      </c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0"/>
      <c r="AO3076" s="10"/>
      <c r="AP3076" s="10"/>
      <c r="AQ3076" s="10"/>
      <c r="AR3076" s="10"/>
      <c r="AS3076" s="10"/>
      <c r="AT3076" s="10"/>
      <c r="AU3076" s="10"/>
      <c r="AV3076" s="10"/>
      <c r="AW3076" s="10"/>
      <c r="AX3076" s="10"/>
      <c r="AY3076" s="10"/>
      <c r="AZ3076" s="10"/>
    </row>
    <row r="3077" spans="28:52">
      <c r="AB3077" s="9">
        <v>1.1222187083883708</v>
      </c>
      <c r="AC3077" s="9">
        <v>1.9602939626804667</v>
      </c>
      <c r="AD3077" s="9">
        <v>1.0584540776959086</v>
      </c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0"/>
      <c r="AW3077" s="10"/>
      <c r="AX3077" s="10"/>
      <c r="AY3077" s="10"/>
      <c r="AZ3077" s="10"/>
    </row>
    <row r="3078" spans="28:52">
      <c r="AB3078" s="9">
        <v>1.1096263095654624</v>
      </c>
      <c r="AC3078" s="9">
        <v>2.0309438104598092</v>
      </c>
      <c r="AD3078" s="9">
        <v>1.0784778898433878</v>
      </c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  <c r="AZ3078" s="10"/>
    </row>
    <row r="3079" spans="28:52">
      <c r="AB3079" s="9">
        <v>1.0898517163749553</v>
      </c>
      <c r="AC3079" s="9">
        <v>1.3446891329073527</v>
      </c>
      <c r="AD3079" s="9">
        <v>1.084341302545571</v>
      </c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0"/>
      <c r="AW3079" s="10"/>
      <c r="AX3079" s="10"/>
      <c r="AY3079" s="10"/>
      <c r="AZ3079" s="10"/>
    </row>
    <row r="3080" spans="28:52">
      <c r="AB3080" s="9">
        <v>1.0852824739606133</v>
      </c>
      <c r="AC3080" s="9">
        <v>1.156317974066704</v>
      </c>
      <c r="AD3080" s="9">
        <v>1.0822309826725496</v>
      </c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0"/>
      <c r="AO3080" s="10"/>
      <c r="AP3080" s="10"/>
      <c r="AQ3080" s="10"/>
      <c r="AR3080" s="10"/>
      <c r="AS3080" s="10"/>
      <c r="AT3080" s="10"/>
      <c r="AU3080" s="10"/>
      <c r="AV3080" s="10"/>
      <c r="AW3080" s="10"/>
      <c r="AX3080" s="10"/>
      <c r="AY3080" s="10"/>
      <c r="AZ3080" s="10"/>
    </row>
    <row r="3081" spans="28:52">
      <c r="AB3081" s="9">
        <v>1.0884132747421162</v>
      </c>
      <c r="AC3081" s="9">
        <v>1.398967815264806</v>
      </c>
      <c r="AD3081" s="9">
        <v>1.0940492969977582</v>
      </c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  <c r="AO3081" s="10"/>
      <c r="AP3081" s="10"/>
      <c r="AQ3081" s="10"/>
      <c r="AR3081" s="10"/>
      <c r="AS3081" s="10"/>
      <c r="AT3081" s="10"/>
      <c r="AU3081" s="10"/>
      <c r="AV3081" s="10"/>
      <c r="AW3081" s="10"/>
      <c r="AX3081" s="10"/>
      <c r="AY3081" s="10"/>
      <c r="AZ3081" s="10"/>
    </row>
    <row r="3082" spans="28:52">
      <c r="AB3082" s="9">
        <v>1.0777051577357226</v>
      </c>
      <c r="AC3082" s="9">
        <v>1.0663502713814357</v>
      </c>
      <c r="AD3082" s="9">
        <v>1.1006622931999426</v>
      </c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0"/>
      <c r="AT3082" s="10"/>
      <c r="AU3082" s="10"/>
      <c r="AV3082" s="10"/>
      <c r="AW3082" s="10"/>
      <c r="AX3082" s="10"/>
      <c r="AY3082" s="10"/>
      <c r="AZ3082" s="10"/>
    </row>
    <row r="3083" spans="28:52">
      <c r="AB3083" s="9">
        <v>1.0728884976340982</v>
      </c>
      <c r="AC3083" s="9">
        <v>1.2191209678472532</v>
      </c>
      <c r="AD3083" s="9">
        <v>1.1050856808595795</v>
      </c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  <c r="AO3083" s="10"/>
      <c r="AP3083" s="10"/>
      <c r="AQ3083" s="10"/>
      <c r="AR3083" s="10"/>
      <c r="AS3083" s="10"/>
      <c r="AT3083" s="10"/>
      <c r="AU3083" s="10"/>
      <c r="AV3083" s="10"/>
      <c r="AW3083" s="10"/>
      <c r="AX3083" s="10"/>
      <c r="AY3083" s="10"/>
      <c r="AZ3083" s="10"/>
    </row>
    <row r="3084" spans="28:52">
      <c r="AB3084" s="9">
        <v>1.0701856297560786</v>
      </c>
      <c r="AC3084" s="9">
        <v>0.82253781344696353</v>
      </c>
      <c r="AD3084" s="9">
        <v>1.0764203293089771</v>
      </c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  <c r="AO3084" s="10"/>
      <c r="AP3084" s="10"/>
      <c r="AQ3084" s="10"/>
      <c r="AR3084" s="10"/>
      <c r="AS3084" s="10"/>
      <c r="AT3084" s="10"/>
      <c r="AU3084" s="10"/>
      <c r="AV3084" s="10"/>
      <c r="AW3084" s="10"/>
      <c r="AX3084" s="10"/>
      <c r="AY3084" s="10"/>
      <c r="AZ3084" s="10"/>
    </row>
    <row r="3085" spans="28:52">
      <c r="AB3085" s="9">
        <v>1.1004359610518946</v>
      </c>
      <c r="AC3085" s="9">
        <v>1.5024025792415467</v>
      </c>
      <c r="AD3085" s="9">
        <v>1.0626582064829133</v>
      </c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  <c r="AO3085" s="10"/>
      <c r="AP3085" s="10"/>
      <c r="AQ3085" s="10"/>
      <c r="AR3085" s="10"/>
      <c r="AS3085" s="10"/>
      <c r="AT3085" s="10"/>
      <c r="AU3085" s="10"/>
      <c r="AV3085" s="10"/>
      <c r="AW3085" s="10"/>
      <c r="AX3085" s="10"/>
      <c r="AY3085" s="10"/>
      <c r="AZ3085" s="10"/>
    </row>
    <row r="3086" spans="28:52">
      <c r="AB3086" s="9">
        <v>1.1152363793589732</v>
      </c>
      <c r="AC3086" s="9">
        <v>2.008312740005727</v>
      </c>
      <c r="AD3086" s="9">
        <v>1.0647168474538344</v>
      </c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  <c r="AO3086" s="10"/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  <c r="AZ3086" s="10"/>
    </row>
    <row r="3087" spans="28:52">
      <c r="AB3087" s="9">
        <v>1.1126254318776643</v>
      </c>
      <c r="AC3087" s="9">
        <v>2.2008279431752396</v>
      </c>
      <c r="AD3087" s="9">
        <v>1.0551669400312507</v>
      </c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0"/>
      <c r="AW3087" s="10"/>
      <c r="AX3087" s="10"/>
      <c r="AY3087" s="10"/>
      <c r="AZ3087" s="10"/>
    </row>
    <row r="3088" spans="28:52">
      <c r="AB3088" s="9">
        <v>1.1220954697561205</v>
      </c>
      <c r="AC3088" s="9">
        <v>1.5558647454666468</v>
      </c>
      <c r="AD3088" s="9">
        <v>1.0231535475531068</v>
      </c>
      <c r="AE3088" s="10"/>
      <c r="AF3088" s="10"/>
      <c r="AG3088" s="10"/>
      <c r="AH3088" s="10"/>
      <c r="AI3088" s="10"/>
      <c r="AJ3088" s="10"/>
      <c r="AK3088" s="10"/>
      <c r="AL3088" s="10"/>
      <c r="AM3088" s="10"/>
      <c r="AN3088" s="10"/>
      <c r="AO3088" s="10"/>
      <c r="AP3088" s="10"/>
      <c r="AQ3088" s="10"/>
      <c r="AR3088" s="10"/>
      <c r="AS3088" s="10"/>
      <c r="AT3088" s="10"/>
      <c r="AU3088" s="10"/>
      <c r="AV3088" s="10"/>
      <c r="AW3088" s="10"/>
      <c r="AX3088" s="10"/>
      <c r="AY3088" s="10"/>
      <c r="AZ3088" s="10"/>
    </row>
    <row r="3089" spans="28:52">
      <c r="AB3089" s="9">
        <v>1.1544475598400634</v>
      </c>
      <c r="AC3089" s="9">
        <v>2.1711431765690925</v>
      </c>
      <c r="AD3089" s="9">
        <v>1.0158456921331525</v>
      </c>
      <c r="AE3089" s="10"/>
      <c r="AF3089" s="10"/>
      <c r="AG3089" s="10"/>
      <c r="AH3089" s="10"/>
      <c r="AI3089" s="10"/>
      <c r="AJ3089" s="10"/>
      <c r="AK3089" s="10"/>
      <c r="AL3089" s="10"/>
      <c r="AM3089" s="10"/>
      <c r="AN3089" s="10"/>
      <c r="AO3089" s="10"/>
      <c r="AP3089" s="10"/>
      <c r="AQ3089" s="10"/>
      <c r="AR3089" s="10"/>
      <c r="AS3089" s="10"/>
      <c r="AT3089" s="10"/>
      <c r="AU3089" s="10"/>
      <c r="AV3089" s="10"/>
      <c r="AW3089" s="10"/>
      <c r="AX3089" s="10"/>
      <c r="AY3089" s="10"/>
      <c r="AZ3089" s="10"/>
    </row>
    <row r="3090" spans="28:52">
      <c r="AB3090" s="9">
        <v>1.158660289394724</v>
      </c>
      <c r="AC3090" s="9">
        <v>2.418996592633246</v>
      </c>
      <c r="AD3090" s="9">
        <v>1.0189782250494968</v>
      </c>
      <c r="AE3090" s="10"/>
      <c r="AF3090" s="10"/>
      <c r="AG3090" s="10"/>
      <c r="AH3090" s="10"/>
      <c r="AI3090" s="10"/>
      <c r="AJ3090" s="10"/>
      <c r="AK3090" s="10"/>
      <c r="AL3090" s="10"/>
      <c r="AM3090" s="10"/>
      <c r="AN3090" s="10"/>
      <c r="AO3090" s="10"/>
      <c r="AP3090" s="10"/>
      <c r="AQ3090" s="10"/>
      <c r="AR3090" s="10"/>
      <c r="AS3090" s="10"/>
      <c r="AT3090" s="10"/>
      <c r="AU3090" s="10"/>
      <c r="AV3090" s="10"/>
      <c r="AW3090" s="10"/>
      <c r="AX3090" s="10"/>
      <c r="AY3090" s="10"/>
      <c r="AZ3090" s="10"/>
    </row>
    <row r="3091" spans="28:52">
      <c r="AB3091" s="9">
        <v>1.150647568444819</v>
      </c>
      <c r="AC3091" s="9">
        <v>1.7481194649052907</v>
      </c>
      <c r="AD3091" s="9">
        <v>1.0352247661092158</v>
      </c>
      <c r="AE3091" s="10"/>
      <c r="AF3091" s="10"/>
      <c r="AG3091" s="10"/>
      <c r="AH3091" s="10"/>
      <c r="AI3091" s="10"/>
      <c r="AJ3091" s="10"/>
      <c r="AK3091" s="10"/>
      <c r="AL3091" s="10"/>
      <c r="AM3091" s="10"/>
      <c r="AN3091" s="10"/>
      <c r="AO3091" s="10"/>
      <c r="AP3091" s="10"/>
      <c r="AQ3091" s="10"/>
      <c r="AR3091" s="10"/>
      <c r="AS3091" s="10"/>
      <c r="AT3091" s="10"/>
      <c r="AU3091" s="10"/>
      <c r="AV3091" s="10"/>
      <c r="AW3091" s="10"/>
      <c r="AX3091" s="10"/>
      <c r="AY3091" s="10"/>
      <c r="AZ3091" s="10"/>
    </row>
    <row r="3092" spans="28:52">
      <c r="AB3092" s="9">
        <v>1.1289692854390709</v>
      </c>
      <c r="AC3092" s="9">
        <v>1.5241230093012408</v>
      </c>
      <c r="AD3092" s="9">
        <v>1.0454204230566644</v>
      </c>
      <c r="AE3092" s="10"/>
      <c r="AF3092" s="10"/>
      <c r="AG3092" s="10"/>
      <c r="AH3092" s="10"/>
      <c r="AI3092" s="10"/>
      <c r="AJ3092" s="10"/>
      <c r="AK3092" s="10"/>
      <c r="AL3092" s="10"/>
      <c r="AM3092" s="10"/>
      <c r="AN3092" s="10"/>
      <c r="AO3092" s="10"/>
      <c r="AP3092" s="10"/>
      <c r="AQ3092" s="10"/>
      <c r="AR3092" s="10"/>
      <c r="AS3092" s="10"/>
      <c r="AT3092" s="10"/>
      <c r="AU3092" s="10"/>
      <c r="AV3092" s="10"/>
      <c r="AW3092" s="10"/>
      <c r="AX3092" s="10"/>
      <c r="AY3092" s="10"/>
      <c r="AZ3092" s="10"/>
    </row>
    <row r="3093" spans="28:52">
      <c r="AB3093" s="9">
        <v>1.1147005404339223</v>
      </c>
      <c r="AC3093" s="9">
        <v>1.3791720677789068</v>
      </c>
      <c r="AD3093" s="9">
        <v>1.0255586043955633</v>
      </c>
      <c r="AE3093" s="10"/>
      <c r="AF3093" s="10"/>
      <c r="AG3093" s="10"/>
      <c r="AH3093" s="10"/>
      <c r="AI3093" s="10"/>
      <c r="AJ3093" s="10"/>
      <c r="AK3093" s="10"/>
      <c r="AL3093" s="10"/>
      <c r="AM3093" s="10"/>
      <c r="AN3093" s="10"/>
      <c r="AO3093" s="10"/>
      <c r="AP3093" s="10"/>
      <c r="AQ3093" s="10"/>
      <c r="AR3093" s="10"/>
      <c r="AS3093" s="10"/>
      <c r="AT3093" s="10"/>
      <c r="AU3093" s="10"/>
      <c r="AV3093" s="10"/>
      <c r="AW3093" s="10"/>
      <c r="AX3093" s="10"/>
      <c r="AY3093" s="10"/>
      <c r="AZ3093" s="10"/>
    </row>
    <row r="3094" spans="28:52">
      <c r="AB3094" s="9">
        <v>1.1324971783569275</v>
      </c>
      <c r="AC3094" s="9">
        <v>1.6293116427365371</v>
      </c>
      <c r="AD3094" s="9">
        <v>1.0295169663371979</v>
      </c>
      <c r="AE3094" s="10"/>
      <c r="AF3094" s="10"/>
      <c r="AG3094" s="10"/>
      <c r="AH3094" s="10"/>
      <c r="AI3094" s="10"/>
      <c r="AJ3094" s="10"/>
      <c r="AK3094" s="10"/>
      <c r="AL3094" s="10"/>
      <c r="AM3094" s="10"/>
      <c r="AN3094" s="10"/>
      <c r="AO3094" s="10"/>
      <c r="AP3094" s="10"/>
      <c r="AQ3094" s="10"/>
      <c r="AR3094" s="10"/>
      <c r="AS3094" s="10"/>
      <c r="AT3094" s="10"/>
      <c r="AU3094" s="10"/>
      <c r="AV3094" s="10"/>
      <c r="AW3094" s="10"/>
      <c r="AX3094" s="10"/>
      <c r="AY3094" s="10"/>
      <c r="AZ3094" s="10"/>
    </row>
    <row r="3095" spans="28:52">
      <c r="AB3095" s="9">
        <v>1.1241210042675163</v>
      </c>
      <c r="AC3095" s="9">
        <v>1.4850656442948527</v>
      </c>
      <c r="AD3095" s="9">
        <v>1.0161101762694709</v>
      </c>
      <c r="AE3095" s="10"/>
      <c r="AF3095" s="10"/>
      <c r="AG3095" s="10"/>
      <c r="AH3095" s="10"/>
      <c r="AI3095" s="10"/>
      <c r="AJ3095" s="10"/>
      <c r="AK3095" s="10"/>
      <c r="AL3095" s="10"/>
      <c r="AM3095" s="10"/>
      <c r="AN3095" s="10"/>
      <c r="AO3095" s="10"/>
      <c r="AP3095" s="10"/>
      <c r="AQ3095" s="10"/>
      <c r="AR3095" s="10"/>
      <c r="AS3095" s="10"/>
      <c r="AT3095" s="10"/>
      <c r="AU3095" s="10"/>
      <c r="AV3095" s="10"/>
      <c r="AW3095" s="10"/>
      <c r="AX3095" s="10"/>
      <c r="AY3095" s="10"/>
      <c r="AZ3095" s="10"/>
    </row>
    <row r="3096" spans="28:52">
      <c r="AB3096" s="9">
        <v>1.1348490926795698</v>
      </c>
      <c r="AC3096" s="9">
        <v>1.6452699048001718</v>
      </c>
      <c r="AD3096" s="9">
        <v>1.0390725935039276</v>
      </c>
      <c r="AE3096" s="10"/>
      <c r="AF3096" s="10"/>
      <c r="AG3096" s="10"/>
      <c r="AH3096" s="10"/>
      <c r="AI3096" s="10"/>
      <c r="AJ3096" s="10"/>
      <c r="AK3096" s="10"/>
      <c r="AL3096" s="10"/>
      <c r="AM3096" s="10"/>
      <c r="AN3096" s="10"/>
      <c r="AO3096" s="10"/>
      <c r="AP3096" s="10"/>
      <c r="AQ3096" s="10"/>
      <c r="AR3096" s="10"/>
      <c r="AS3096" s="10"/>
      <c r="AT3096" s="10"/>
      <c r="AU3096" s="10"/>
      <c r="AV3096" s="10"/>
      <c r="AW3096" s="10"/>
      <c r="AX3096" s="10"/>
      <c r="AY3096" s="10"/>
      <c r="AZ3096" s="10"/>
    </row>
    <row r="3097" spans="28:52">
      <c r="AB3097" s="9">
        <v>1.1061303278092811</v>
      </c>
      <c r="AC3097" s="9">
        <v>1.496918942451446</v>
      </c>
      <c r="AD3097" s="9">
        <v>1.0427825501477102</v>
      </c>
      <c r="AE3097" s="10"/>
      <c r="AF3097" s="10"/>
      <c r="AG3097" s="10"/>
      <c r="AH3097" s="10"/>
      <c r="AI3097" s="10"/>
      <c r="AJ3097" s="10"/>
      <c r="AK3097" s="10"/>
      <c r="AL3097" s="10"/>
      <c r="AM3097" s="10"/>
      <c r="AN3097" s="10"/>
      <c r="AO3097" s="10"/>
      <c r="AP3097" s="10"/>
      <c r="AQ3097" s="10"/>
      <c r="AR3097" s="10"/>
      <c r="AS3097" s="10"/>
      <c r="AT3097" s="10"/>
      <c r="AU3097" s="10"/>
      <c r="AV3097" s="10"/>
      <c r="AW3097" s="10"/>
      <c r="AX3097" s="10"/>
      <c r="AY3097" s="10"/>
      <c r="AZ3097" s="10"/>
    </row>
    <row r="3098" spans="28:52">
      <c r="AB3098" s="9">
        <v>1.0985717225397171</v>
      </c>
      <c r="AC3098" s="9">
        <v>1.065489368761892</v>
      </c>
      <c r="AD3098" s="9">
        <v>1.0577491234456728</v>
      </c>
      <c r="AE3098" s="10"/>
      <c r="AF3098" s="10"/>
      <c r="AG3098" s="10"/>
      <c r="AH3098" s="10"/>
      <c r="AI3098" s="10"/>
      <c r="AJ3098" s="10"/>
      <c r="AK3098" s="10"/>
      <c r="AL3098" s="10"/>
      <c r="AM3098" s="10"/>
      <c r="AN3098" s="10"/>
      <c r="AO3098" s="10"/>
      <c r="AP3098" s="10"/>
      <c r="AQ3098" s="10"/>
      <c r="AR3098" s="10"/>
      <c r="AS3098" s="10"/>
      <c r="AT3098" s="10"/>
      <c r="AU3098" s="10"/>
      <c r="AV3098" s="10"/>
      <c r="AW3098" s="10"/>
      <c r="AX3098" s="10"/>
      <c r="AY3098" s="10"/>
      <c r="AZ3098" s="10"/>
    </row>
    <row r="3099" spans="28:52">
      <c r="AB3099" s="9">
        <v>1.0800501475355992</v>
      </c>
      <c r="AC3099" s="9">
        <v>0.9837023434836516</v>
      </c>
      <c r="AD3099" s="9">
        <v>1.0508537714241184</v>
      </c>
      <c r="AE3099" s="10"/>
      <c r="AF3099" s="10"/>
      <c r="AG3099" s="10"/>
      <c r="AH3099" s="10"/>
      <c r="AI3099" s="10"/>
      <c r="AJ3099" s="10"/>
      <c r="AK3099" s="10"/>
      <c r="AL3099" s="10"/>
      <c r="AM3099" s="10"/>
      <c r="AN3099" s="10"/>
      <c r="AO3099" s="10"/>
      <c r="AP3099" s="10"/>
      <c r="AQ3099" s="10"/>
      <c r="AR3099" s="10"/>
      <c r="AS3099" s="10"/>
      <c r="AT3099" s="10"/>
      <c r="AU3099" s="10"/>
      <c r="AV3099" s="10"/>
      <c r="AW3099" s="10"/>
      <c r="AX3099" s="10"/>
      <c r="AY3099" s="10"/>
      <c r="AZ3099" s="10"/>
    </row>
    <row r="3100" spans="28:52">
      <c r="AB3100" s="9">
        <v>1.0841942745501119</v>
      </c>
      <c r="AC3100" s="9">
        <v>0.89727842489633225</v>
      </c>
      <c r="AD3100" s="9">
        <v>1.0467247238501558</v>
      </c>
      <c r="AE3100" s="10"/>
      <c r="AF3100" s="10"/>
      <c r="AG3100" s="10"/>
      <c r="AH3100" s="10"/>
      <c r="AI3100" s="10"/>
      <c r="AJ3100" s="10"/>
      <c r="AK3100" s="10"/>
      <c r="AL3100" s="10"/>
      <c r="AM3100" s="10"/>
      <c r="AN3100" s="10"/>
      <c r="AO3100" s="10"/>
      <c r="AP3100" s="10"/>
      <c r="AQ3100" s="10"/>
      <c r="AR3100" s="10"/>
      <c r="AS3100" s="10"/>
      <c r="AT3100" s="10"/>
      <c r="AU3100" s="10"/>
      <c r="AV3100" s="10"/>
      <c r="AW3100" s="10"/>
      <c r="AX3100" s="10"/>
      <c r="AY3100" s="10"/>
      <c r="AZ3100" s="10"/>
    </row>
    <row r="3101" spans="28:52">
      <c r="AB3101" s="9">
        <v>1.0854687727662209</v>
      </c>
      <c r="AC3101" s="9">
        <v>1.0513334583962974</v>
      </c>
      <c r="AD3101" s="9">
        <v>1.0259968719633521</v>
      </c>
      <c r="AE3101" s="10"/>
      <c r="AF3101" s="10"/>
      <c r="AG3101" s="10"/>
      <c r="AH3101" s="10"/>
      <c r="AI3101" s="10"/>
      <c r="AJ3101" s="10"/>
      <c r="AK3101" s="10"/>
      <c r="AL3101" s="10"/>
      <c r="AM3101" s="10"/>
      <c r="AN3101" s="10"/>
      <c r="AO3101" s="10"/>
      <c r="AP3101" s="10"/>
      <c r="AQ3101" s="10"/>
      <c r="AR3101" s="10"/>
      <c r="AS3101" s="10"/>
      <c r="AT3101" s="10"/>
      <c r="AU3101" s="10"/>
      <c r="AV3101" s="10"/>
      <c r="AW3101" s="10"/>
      <c r="AX3101" s="10"/>
      <c r="AY3101" s="10"/>
      <c r="AZ3101" s="10"/>
    </row>
    <row r="3102" spans="28:52">
      <c r="AB3102" s="9">
        <v>1.104233692577089</v>
      </c>
      <c r="AC3102" s="9">
        <v>1.3245646572777756</v>
      </c>
      <c r="AD3102" s="9">
        <v>1.0287975161036194</v>
      </c>
      <c r="AE3102" s="10"/>
      <c r="AF3102" s="10"/>
      <c r="AG3102" s="10"/>
      <c r="AH3102" s="10"/>
      <c r="AI3102" s="10"/>
      <c r="AJ3102" s="10"/>
      <c r="AK3102" s="10"/>
      <c r="AL3102" s="10"/>
      <c r="AM3102" s="10"/>
      <c r="AN3102" s="10"/>
      <c r="AO3102" s="10"/>
      <c r="AP3102" s="10"/>
      <c r="AQ3102" s="10"/>
      <c r="AR3102" s="10"/>
      <c r="AS3102" s="10"/>
      <c r="AT3102" s="10"/>
      <c r="AU3102" s="10"/>
      <c r="AV3102" s="10"/>
      <c r="AW3102" s="10"/>
      <c r="AX3102" s="10"/>
      <c r="AY3102" s="10"/>
      <c r="AZ3102" s="10"/>
    </row>
    <row r="3103" spans="28:52">
      <c r="AB3103" s="9">
        <v>1.0978260652794576</v>
      </c>
      <c r="AC3103" s="9">
        <v>1.1736206881985025</v>
      </c>
      <c r="AD3103" s="9">
        <v>1.0197062254668183</v>
      </c>
      <c r="AE3103" s="10"/>
      <c r="AF3103" s="10"/>
      <c r="AG3103" s="10"/>
      <c r="AH3103" s="10"/>
      <c r="AI3103" s="10"/>
      <c r="AJ3103" s="10"/>
      <c r="AK3103" s="10"/>
      <c r="AL3103" s="10"/>
      <c r="AM3103" s="10"/>
      <c r="AN3103" s="10"/>
      <c r="AO3103" s="10"/>
      <c r="AP3103" s="10"/>
      <c r="AQ3103" s="10"/>
      <c r="AR3103" s="10"/>
      <c r="AS3103" s="10"/>
      <c r="AT3103" s="10"/>
      <c r="AU3103" s="10"/>
      <c r="AV3103" s="10"/>
      <c r="AW3103" s="10"/>
      <c r="AX3103" s="10"/>
      <c r="AY3103" s="10"/>
      <c r="AZ3103" s="10"/>
    </row>
    <row r="3104" spans="28:52">
      <c r="AB3104" s="9">
        <v>1.1041865354621341</v>
      </c>
      <c r="AC3104" s="9">
        <v>1.4106079006659991</v>
      </c>
      <c r="AD3104" s="9">
        <v>1.0420914709703022</v>
      </c>
      <c r="AE3104" s="10"/>
      <c r="AF3104" s="10"/>
      <c r="AG3104" s="10"/>
      <c r="AH3104" s="10"/>
      <c r="AI3104" s="10"/>
      <c r="AJ3104" s="10"/>
      <c r="AK3104" s="10"/>
      <c r="AL3104" s="10"/>
      <c r="AM3104" s="10"/>
      <c r="AN3104" s="10"/>
      <c r="AO3104" s="10"/>
      <c r="AP3104" s="10"/>
      <c r="AQ3104" s="10"/>
      <c r="AR3104" s="10"/>
      <c r="AS3104" s="10"/>
      <c r="AT3104" s="10"/>
      <c r="AU3104" s="10"/>
      <c r="AV3104" s="10"/>
      <c r="AW3104" s="10"/>
      <c r="AX3104" s="10"/>
      <c r="AY3104" s="10"/>
      <c r="AZ3104" s="10"/>
    </row>
    <row r="3105" spans="28:52">
      <c r="AB3105" s="9">
        <v>1.0772992227900917</v>
      </c>
      <c r="AC3105" s="9">
        <v>0.97930326642171206</v>
      </c>
      <c r="AD3105" s="9">
        <v>1.0508252593656142</v>
      </c>
      <c r="AE3105" s="10"/>
      <c r="AF3105" s="10"/>
      <c r="AG3105" s="10"/>
      <c r="AH3105" s="10"/>
      <c r="AI3105" s="10"/>
      <c r="AJ3105" s="10"/>
      <c r="AK3105" s="10"/>
      <c r="AL3105" s="10"/>
      <c r="AM3105" s="10"/>
      <c r="AN3105" s="10"/>
      <c r="AO3105" s="10"/>
      <c r="AP3105" s="10"/>
      <c r="AQ3105" s="10"/>
      <c r="AR3105" s="10"/>
      <c r="AS3105" s="10"/>
      <c r="AT3105" s="10"/>
      <c r="AU3105" s="10"/>
      <c r="AV3105" s="10"/>
      <c r="AW3105" s="10"/>
      <c r="AX3105" s="10"/>
      <c r="AY3105" s="10"/>
      <c r="AZ3105" s="10"/>
    </row>
    <row r="3106" spans="28:52">
      <c r="AB3106" s="9">
        <v>1.0656484229641034</v>
      </c>
      <c r="AC3106" s="9">
        <v>0.80568365153811994</v>
      </c>
      <c r="AD3106" s="9">
        <v>1.0507362823738233</v>
      </c>
      <c r="AE3106" s="10"/>
      <c r="AF3106" s="10"/>
      <c r="AG3106" s="10"/>
      <c r="AH3106" s="10"/>
      <c r="AI3106" s="10"/>
      <c r="AJ3106" s="10"/>
      <c r="AK3106" s="10"/>
      <c r="AL3106" s="10"/>
      <c r="AM3106" s="10"/>
      <c r="AN3106" s="10"/>
      <c r="AO3106" s="10"/>
      <c r="AP3106" s="10"/>
      <c r="AQ3106" s="10"/>
      <c r="AR3106" s="10"/>
      <c r="AS3106" s="10"/>
      <c r="AT3106" s="10"/>
      <c r="AU3106" s="10"/>
      <c r="AV3106" s="10"/>
      <c r="AW3106" s="10"/>
      <c r="AX3106" s="10"/>
      <c r="AY3106" s="10"/>
      <c r="AZ3106" s="10"/>
    </row>
    <row r="3107" spans="28:52">
      <c r="AB3107" s="9">
        <v>1.0631854413918613</v>
      </c>
      <c r="AC3107" s="9">
        <v>0.78836594033675766</v>
      </c>
      <c r="AD3107" s="9">
        <v>1.0390956328807477</v>
      </c>
      <c r="AE3107" s="10"/>
      <c r="AF3107" s="10"/>
      <c r="AG3107" s="10"/>
      <c r="AH3107" s="10"/>
      <c r="AI3107" s="10"/>
      <c r="AJ3107" s="10"/>
      <c r="AK3107" s="10"/>
      <c r="AL3107" s="10"/>
      <c r="AM3107" s="10"/>
      <c r="AN3107" s="10"/>
      <c r="AO3107" s="10"/>
      <c r="AP3107" s="10"/>
      <c r="AQ3107" s="10"/>
      <c r="AR3107" s="10"/>
      <c r="AS3107" s="10"/>
      <c r="AT3107" s="10"/>
      <c r="AU3107" s="10"/>
      <c r="AV3107" s="10"/>
      <c r="AW3107" s="10"/>
      <c r="AX3107" s="10"/>
      <c r="AY3107" s="10"/>
      <c r="AZ3107" s="10"/>
    </row>
    <row r="3108" spans="28:52">
      <c r="AB3108" s="9">
        <v>1.072812263117999</v>
      </c>
      <c r="AC3108" s="9">
        <v>0.94587827994948359</v>
      </c>
      <c r="AD3108" s="9">
        <v>1.0437075126599582</v>
      </c>
      <c r="AE3108" s="10"/>
      <c r="AF3108" s="10"/>
      <c r="AG3108" s="10"/>
      <c r="AH3108" s="10"/>
      <c r="AI3108" s="10"/>
      <c r="AJ3108" s="10"/>
      <c r="AK3108" s="10"/>
      <c r="AL3108" s="10"/>
      <c r="AM3108" s="10"/>
      <c r="AN3108" s="10"/>
      <c r="AO3108" s="10"/>
      <c r="AP3108" s="10"/>
      <c r="AQ3108" s="10"/>
      <c r="AR3108" s="10"/>
      <c r="AS3108" s="10"/>
      <c r="AT3108" s="10"/>
      <c r="AU3108" s="10"/>
      <c r="AV3108" s="10"/>
      <c r="AW3108" s="10"/>
      <c r="AX3108" s="10"/>
      <c r="AY3108" s="10"/>
      <c r="AZ3108" s="10"/>
    </row>
    <row r="3109" spans="28:52">
      <c r="AB3109" s="9">
        <v>1.0658016608634691</v>
      </c>
      <c r="AC3109" s="9">
        <v>0.68846789113317786</v>
      </c>
      <c r="AD3109" s="9">
        <v>1.0691531243761228</v>
      </c>
      <c r="AE3109" s="10"/>
      <c r="AF3109" s="10"/>
      <c r="AG3109" s="10"/>
      <c r="AH3109" s="10"/>
      <c r="AI3109" s="10"/>
      <c r="AJ3109" s="10"/>
      <c r="AK3109" s="10"/>
      <c r="AL3109" s="10"/>
      <c r="AM3109" s="10"/>
      <c r="AN3109" s="10"/>
      <c r="AO3109" s="10"/>
      <c r="AP3109" s="10"/>
      <c r="AQ3109" s="10"/>
      <c r="AR3109" s="10"/>
      <c r="AS3109" s="10"/>
      <c r="AT3109" s="10"/>
      <c r="AU3109" s="10"/>
      <c r="AV3109" s="10"/>
      <c r="AW3109" s="10"/>
      <c r="AX3109" s="10"/>
      <c r="AY3109" s="10"/>
      <c r="AZ3109" s="10"/>
    </row>
    <row r="3110" spans="28:52">
      <c r="AB3110" s="9">
        <v>1.0391942470197</v>
      </c>
      <c r="AC3110" s="9">
        <v>0.77535762237866646</v>
      </c>
      <c r="AD3110" s="9">
        <v>1.0790024168409611</v>
      </c>
      <c r="AE3110" s="10"/>
      <c r="AF3110" s="10"/>
      <c r="AG3110" s="10"/>
      <c r="AH3110" s="10"/>
      <c r="AI3110" s="10"/>
      <c r="AJ3110" s="10"/>
      <c r="AK3110" s="10"/>
      <c r="AL3110" s="10"/>
      <c r="AM3110" s="10"/>
      <c r="AN3110" s="10"/>
      <c r="AO3110" s="10"/>
      <c r="AP3110" s="10"/>
      <c r="AQ3110" s="10"/>
      <c r="AR3110" s="10"/>
      <c r="AS3110" s="10"/>
      <c r="AT3110" s="10"/>
      <c r="AU3110" s="10"/>
      <c r="AV3110" s="10"/>
      <c r="AW3110" s="10"/>
      <c r="AX3110" s="10"/>
      <c r="AY3110" s="10"/>
      <c r="AZ3110" s="10"/>
    </row>
    <row r="3111" spans="28:52">
      <c r="AB3111" s="9">
        <v>1.0293999167549643</v>
      </c>
      <c r="AC3111" s="9">
        <v>0.5750803780402115</v>
      </c>
      <c r="AD3111" s="9">
        <v>1.0752891290665463</v>
      </c>
      <c r="AE3111" s="10"/>
      <c r="AF3111" s="10"/>
      <c r="AG3111" s="10"/>
      <c r="AH3111" s="10"/>
      <c r="AI3111" s="10"/>
      <c r="AJ3111" s="10"/>
      <c r="AK3111" s="10"/>
      <c r="AL3111" s="10"/>
      <c r="AM3111" s="10"/>
      <c r="AN3111" s="10"/>
      <c r="AO3111" s="10"/>
      <c r="AP3111" s="10"/>
      <c r="AQ3111" s="10"/>
      <c r="AR3111" s="10"/>
      <c r="AS3111" s="10"/>
      <c r="AT3111" s="10"/>
      <c r="AU3111" s="10"/>
      <c r="AV3111" s="10"/>
      <c r="AW3111" s="10"/>
      <c r="AX3111" s="10"/>
      <c r="AY3111" s="10"/>
      <c r="AZ3111" s="10"/>
    </row>
    <row r="3112" spans="28:52">
      <c r="AB3112" s="9">
        <v>1.0327550832808978</v>
      </c>
      <c r="AC3112" s="9">
        <v>0.83700030499382472</v>
      </c>
      <c r="AD3112" s="9">
        <v>1.0838687064624324</v>
      </c>
      <c r="AE3112" s="10"/>
      <c r="AF3112" s="10"/>
      <c r="AG3112" s="10"/>
      <c r="AH3112" s="10"/>
      <c r="AI3112" s="10"/>
      <c r="AJ3112" s="10"/>
      <c r="AK3112" s="10"/>
      <c r="AL3112" s="10"/>
      <c r="AM3112" s="10"/>
      <c r="AN3112" s="10"/>
      <c r="AO3112" s="10"/>
      <c r="AP3112" s="10"/>
      <c r="AQ3112" s="10"/>
      <c r="AR3112" s="10"/>
      <c r="AS3112" s="10"/>
      <c r="AT3112" s="10"/>
      <c r="AU3112" s="10"/>
      <c r="AV3112" s="10"/>
      <c r="AW3112" s="10"/>
      <c r="AX3112" s="10"/>
      <c r="AY3112" s="10"/>
      <c r="AZ3112" s="10"/>
    </row>
    <row r="3113" spans="28:52">
      <c r="AB3113" s="9">
        <v>1.0247720435222258</v>
      </c>
      <c r="AC3113" s="9">
        <v>0.5217579413373481</v>
      </c>
      <c r="AD3113" s="9">
        <v>1.090778851685652</v>
      </c>
      <c r="AE3113" s="10"/>
      <c r="AF3113" s="10"/>
      <c r="AG3113" s="10"/>
      <c r="AH3113" s="10"/>
      <c r="AI3113" s="10"/>
      <c r="AJ3113" s="10"/>
      <c r="AK3113" s="10"/>
      <c r="AL3113" s="10"/>
      <c r="AM3113" s="10"/>
      <c r="AN3113" s="10"/>
      <c r="AO3113" s="10"/>
      <c r="AP3113" s="10"/>
      <c r="AQ3113" s="10"/>
      <c r="AR3113" s="10"/>
      <c r="AS3113" s="10"/>
      <c r="AT3113" s="10"/>
      <c r="AU3113" s="10"/>
      <c r="AV3113" s="10"/>
      <c r="AW3113" s="10"/>
      <c r="AX3113" s="10"/>
      <c r="AY3113" s="10"/>
      <c r="AZ3113" s="10"/>
    </row>
    <row r="3114" spans="28:52">
      <c r="AB3114" s="9">
        <v>1.0186284813883573</v>
      </c>
      <c r="AC3114" s="9">
        <v>0.60270752291983132</v>
      </c>
      <c r="AD3114" s="9">
        <v>1.0854919280565685</v>
      </c>
      <c r="AE3114" s="10"/>
      <c r="AF3114" s="10"/>
      <c r="AG3114" s="10"/>
      <c r="AH3114" s="10"/>
      <c r="AI3114" s="10"/>
      <c r="AJ3114" s="10"/>
      <c r="AK3114" s="10"/>
      <c r="AL3114" s="10"/>
      <c r="AM3114" s="10"/>
      <c r="AN3114" s="10"/>
      <c r="AO3114" s="10"/>
      <c r="AP3114" s="10"/>
      <c r="AQ3114" s="10"/>
      <c r="AR3114" s="10"/>
      <c r="AS3114" s="10"/>
      <c r="AT3114" s="10"/>
      <c r="AU3114" s="10"/>
      <c r="AV3114" s="10"/>
      <c r="AW3114" s="10"/>
      <c r="AX3114" s="10"/>
      <c r="AY3114" s="10"/>
      <c r="AZ3114" s="10"/>
    </row>
    <row r="3115" spans="28:52">
      <c r="AB3115" s="9">
        <v>1.0243169336279179</v>
      </c>
      <c r="AC3115" s="9">
        <v>0.67038296231931238</v>
      </c>
      <c r="AD3115" s="9">
        <v>1.0507491175557258</v>
      </c>
      <c r="AE3115" s="10"/>
      <c r="AF3115" s="10"/>
      <c r="AG3115" s="10"/>
      <c r="AH3115" s="10"/>
      <c r="AI3115" s="10"/>
      <c r="AJ3115" s="10"/>
      <c r="AK3115" s="10"/>
      <c r="AL3115" s="10"/>
      <c r="AM3115" s="10"/>
      <c r="AN3115" s="10"/>
      <c r="AO3115" s="10"/>
      <c r="AP3115" s="10"/>
      <c r="AQ3115" s="10"/>
      <c r="AR3115" s="10"/>
      <c r="AS3115" s="10"/>
      <c r="AT3115" s="10"/>
      <c r="AU3115" s="10"/>
      <c r="AV3115" s="10"/>
      <c r="AW3115" s="10"/>
      <c r="AX3115" s="10"/>
      <c r="AY3115" s="10"/>
      <c r="AZ3115" s="10"/>
    </row>
    <row r="3116" spans="28:52">
      <c r="AB3116" s="9">
        <v>1.0576209233913507</v>
      </c>
      <c r="AC3116" s="9">
        <v>1.212163905724372</v>
      </c>
      <c r="AD3116" s="9">
        <v>1.0535665241182692</v>
      </c>
      <c r="AE3116" s="10"/>
      <c r="AF3116" s="10"/>
      <c r="AG3116" s="10"/>
      <c r="AH3116" s="10"/>
      <c r="AI3116" s="10"/>
      <c r="AJ3116" s="10"/>
      <c r="AK3116" s="10"/>
      <c r="AL3116" s="10"/>
      <c r="AM3116" s="10"/>
      <c r="AN3116" s="10"/>
      <c r="AO3116" s="10"/>
      <c r="AP3116" s="10"/>
      <c r="AQ3116" s="10"/>
      <c r="AR3116" s="10"/>
      <c r="AS3116" s="10"/>
      <c r="AT3116" s="10"/>
      <c r="AU3116" s="10"/>
      <c r="AV3116" s="10"/>
      <c r="AW3116" s="10"/>
      <c r="AX3116" s="10"/>
      <c r="AY3116" s="10"/>
      <c r="AZ3116" s="10"/>
    </row>
    <row r="3117" spans="28:52">
      <c r="AB3117" s="9">
        <v>1.0536879572715991</v>
      </c>
      <c r="AC3117" s="9">
        <v>1.3380886999052952</v>
      </c>
      <c r="AD3117" s="9">
        <v>1.0454883634495349</v>
      </c>
      <c r="AE3117" s="10"/>
      <c r="AF3117" s="10"/>
      <c r="AG3117" s="10"/>
      <c r="AH3117" s="10"/>
      <c r="AI3117" s="10"/>
      <c r="AJ3117" s="10"/>
      <c r="AK3117" s="10"/>
      <c r="AL3117" s="10"/>
      <c r="AM3117" s="10"/>
      <c r="AN3117" s="10"/>
      <c r="AO3117" s="10"/>
      <c r="AP3117" s="10"/>
      <c r="AQ3117" s="10"/>
      <c r="AR3117" s="10"/>
      <c r="AS3117" s="10"/>
      <c r="AT3117" s="10"/>
      <c r="AU3117" s="10"/>
      <c r="AV3117" s="10"/>
      <c r="AW3117" s="10"/>
      <c r="AX3117" s="10"/>
      <c r="AY3117" s="10"/>
      <c r="AZ3117" s="10"/>
    </row>
    <row r="3118" spans="28:52">
      <c r="AB3118" s="9">
        <v>1.0606875350962361</v>
      </c>
      <c r="AC3118" s="9">
        <v>1.0864805383342304</v>
      </c>
      <c r="AD3118" s="9">
        <v>1.0422977088167054</v>
      </c>
      <c r="AE3118" s="10"/>
      <c r="AF3118" s="10"/>
      <c r="AG3118" s="10"/>
      <c r="AH3118" s="10"/>
      <c r="AI3118" s="10"/>
      <c r="AJ3118" s="10"/>
      <c r="AK3118" s="10"/>
      <c r="AL3118" s="10"/>
      <c r="AM3118" s="10"/>
      <c r="AN3118" s="10"/>
      <c r="AO3118" s="10"/>
      <c r="AP3118" s="10"/>
      <c r="AQ3118" s="10"/>
      <c r="AR3118" s="10"/>
      <c r="AS3118" s="10"/>
      <c r="AT3118" s="10"/>
      <c r="AU3118" s="10"/>
      <c r="AV3118" s="10"/>
      <c r="AW3118" s="10"/>
      <c r="AX3118" s="10"/>
      <c r="AY3118" s="10"/>
      <c r="AZ3118" s="10"/>
    </row>
    <row r="3119" spans="28:52">
      <c r="AB3119" s="9">
        <v>1.063275082300321</v>
      </c>
      <c r="AC3119" s="9">
        <v>0.91260484511188789</v>
      </c>
      <c r="AD3119" s="9">
        <v>1.045276153086993</v>
      </c>
      <c r="AE3119" s="10"/>
      <c r="AF3119" s="10"/>
      <c r="AG3119" s="10"/>
      <c r="AH3119" s="10"/>
      <c r="AI3119" s="10"/>
      <c r="AJ3119" s="10"/>
      <c r="AK3119" s="10"/>
      <c r="AL3119" s="10"/>
      <c r="AM3119" s="10"/>
      <c r="AN3119" s="10"/>
      <c r="AO3119" s="10"/>
      <c r="AP3119" s="10"/>
      <c r="AQ3119" s="10"/>
      <c r="AR3119" s="10"/>
      <c r="AS3119" s="10"/>
      <c r="AT3119" s="10"/>
      <c r="AU3119" s="10"/>
      <c r="AV3119" s="10"/>
      <c r="AW3119" s="10"/>
      <c r="AX3119" s="10"/>
      <c r="AY3119" s="10"/>
      <c r="AZ3119" s="10"/>
    </row>
    <row r="3120" spans="28:52">
      <c r="AB3120" s="9">
        <v>1.0596035452321282</v>
      </c>
      <c r="AC3120" s="9">
        <v>1.0686479200850754</v>
      </c>
      <c r="AD3120" s="9">
        <v>1.0414962091489119</v>
      </c>
      <c r="AE3120" s="10"/>
      <c r="AF3120" s="10"/>
      <c r="AG3120" s="10"/>
      <c r="AH3120" s="10"/>
      <c r="AI3120" s="10"/>
      <c r="AJ3120" s="10"/>
      <c r="AK3120" s="10"/>
      <c r="AL3120" s="10"/>
      <c r="AM3120" s="10"/>
      <c r="AN3120" s="10"/>
      <c r="AO3120" s="10"/>
      <c r="AP3120" s="10"/>
      <c r="AQ3120" s="10"/>
      <c r="AR3120" s="10"/>
      <c r="AS3120" s="10"/>
      <c r="AT3120" s="10"/>
      <c r="AU3120" s="10"/>
      <c r="AV3120" s="10"/>
      <c r="AW3120" s="10"/>
      <c r="AX3120" s="10"/>
      <c r="AY3120" s="10"/>
      <c r="AZ3120" s="10"/>
    </row>
    <row r="3121" spans="28:52">
      <c r="AB3121" s="9">
        <v>1.0626302431811776</v>
      </c>
      <c r="AC3121" s="9">
        <v>0.77544357052057244</v>
      </c>
      <c r="AD3121" s="9">
        <v>1.0306171215960485</v>
      </c>
      <c r="AE3121" s="10"/>
      <c r="AF3121" s="10"/>
      <c r="AG3121" s="10"/>
      <c r="AH3121" s="10"/>
      <c r="AI3121" s="10"/>
      <c r="AJ3121" s="10"/>
      <c r="AK3121" s="10"/>
      <c r="AL3121" s="10"/>
      <c r="AM3121" s="10"/>
      <c r="AN3121" s="10"/>
      <c r="AO3121" s="10"/>
      <c r="AP3121" s="10"/>
      <c r="AQ3121" s="10"/>
      <c r="AR3121" s="10"/>
      <c r="AS3121" s="10"/>
      <c r="AT3121" s="10"/>
      <c r="AU3121" s="10"/>
      <c r="AV3121" s="10"/>
      <c r="AW3121" s="10"/>
      <c r="AX3121" s="10"/>
      <c r="AY3121" s="10"/>
      <c r="AZ3121" s="10"/>
    </row>
    <row r="3122" spans="28:52">
      <c r="AB3122" s="9">
        <v>1.0726966209060562</v>
      </c>
      <c r="AC3122" s="9">
        <v>0.95184884303110096</v>
      </c>
      <c r="AD3122" s="9">
        <v>1.0259572629289733</v>
      </c>
      <c r="AE3122" s="10"/>
      <c r="AF3122" s="10"/>
      <c r="AG3122" s="10"/>
      <c r="AH3122" s="10"/>
      <c r="AI3122" s="10"/>
      <c r="AJ3122" s="10"/>
      <c r="AK3122" s="10"/>
      <c r="AL3122" s="10"/>
      <c r="AM3122" s="10"/>
      <c r="AN3122" s="10"/>
      <c r="AO3122" s="10"/>
      <c r="AP3122" s="10"/>
      <c r="AQ3122" s="10"/>
      <c r="AR3122" s="10"/>
      <c r="AS3122" s="10"/>
      <c r="AT3122" s="10"/>
      <c r="AU3122" s="10"/>
      <c r="AV3122" s="10"/>
      <c r="AW3122" s="10"/>
      <c r="AX3122" s="10"/>
      <c r="AY3122" s="10"/>
      <c r="AZ3122" s="10"/>
    </row>
    <row r="3123" spans="28:52">
      <c r="AB3123" s="9">
        <v>1.0761946793562633</v>
      </c>
      <c r="AC3123" s="9">
        <v>1.2076277956198331</v>
      </c>
      <c r="AD3123" s="9">
        <v>1.0203255229169048</v>
      </c>
      <c r="AE3123" s="10"/>
      <c r="AF3123" s="10"/>
      <c r="AG3123" s="10"/>
      <c r="AH3123" s="10"/>
      <c r="AI3123" s="10"/>
      <c r="AJ3123" s="10"/>
      <c r="AK3123" s="10"/>
      <c r="AL3123" s="10"/>
      <c r="AM3123" s="10"/>
      <c r="AN3123" s="10"/>
      <c r="AO3123" s="10"/>
      <c r="AP3123" s="10"/>
      <c r="AQ3123" s="10"/>
      <c r="AR3123" s="10"/>
      <c r="AS3123" s="10"/>
      <c r="AT3123" s="10"/>
      <c r="AU3123" s="10"/>
      <c r="AV3123" s="10"/>
      <c r="AW3123" s="10"/>
      <c r="AX3123" s="10"/>
      <c r="AY3123" s="10"/>
      <c r="AZ3123" s="10"/>
    </row>
    <row r="3124" spans="28:52">
      <c r="AB3124" s="9">
        <v>1.0805896393745256</v>
      </c>
      <c r="AC3124" s="9">
        <v>0.8394920464339044</v>
      </c>
      <c r="AD3124" s="9">
        <v>1.045571465839068</v>
      </c>
      <c r="AE3124" s="10"/>
      <c r="AF3124" s="10"/>
      <c r="AG3124" s="10"/>
      <c r="AH3124" s="10"/>
      <c r="AI3124" s="10"/>
      <c r="AJ3124" s="10"/>
      <c r="AK3124" s="10"/>
      <c r="AL3124" s="10"/>
      <c r="AM3124" s="10"/>
      <c r="AN3124" s="10"/>
      <c r="AO3124" s="10"/>
      <c r="AP3124" s="10"/>
      <c r="AQ3124" s="10"/>
      <c r="AR3124" s="10"/>
      <c r="AS3124" s="10"/>
      <c r="AT3124" s="10"/>
      <c r="AU3124" s="10"/>
      <c r="AV3124" s="10"/>
      <c r="AW3124" s="10"/>
      <c r="AX3124" s="10"/>
      <c r="AY3124" s="10"/>
      <c r="AZ3124" s="10"/>
    </row>
    <row r="3125" spans="28:52">
      <c r="AB3125" s="9">
        <v>1.053810593895856</v>
      </c>
      <c r="AC3125" s="9">
        <v>0.8410030981587</v>
      </c>
      <c r="AD3125" s="9">
        <v>1.0481181179919439</v>
      </c>
      <c r="AE3125" s="10"/>
      <c r="AF3125" s="10"/>
      <c r="AG3125" s="10"/>
      <c r="AH3125" s="10"/>
      <c r="AI3125" s="10"/>
      <c r="AJ3125" s="10"/>
      <c r="AK3125" s="10"/>
      <c r="AL3125" s="10"/>
      <c r="AM3125" s="10"/>
      <c r="AN3125" s="10"/>
      <c r="AO3125" s="10"/>
      <c r="AP3125" s="10"/>
      <c r="AQ3125" s="10"/>
      <c r="AR3125" s="10"/>
      <c r="AS3125" s="10"/>
      <c r="AT3125" s="10"/>
      <c r="AU3125" s="10"/>
      <c r="AV3125" s="10"/>
      <c r="AW3125" s="10"/>
      <c r="AX3125" s="10"/>
      <c r="AY3125" s="10"/>
      <c r="AZ3125" s="10"/>
    </row>
    <row r="3126" spans="28:52">
      <c r="AB3126" s="9">
        <v>1.0506881351436392</v>
      </c>
      <c r="AC3126" s="9">
        <v>0.8758820418745511</v>
      </c>
      <c r="AD3126" s="9">
        <v>1.0556929054592334</v>
      </c>
      <c r="AE3126" s="10"/>
      <c r="AF3126" s="10"/>
      <c r="AG3126" s="10"/>
      <c r="AH3126" s="10"/>
      <c r="AI3126" s="10"/>
      <c r="AJ3126" s="10"/>
      <c r="AK3126" s="10"/>
      <c r="AL3126" s="10"/>
      <c r="AM3126" s="10"/>
      <c r="AN3126" s="10"/>
      <c r="AO3126" s="10"/>
      <c r="AP3126" s="10"/>
      <c r="AQ3126" s="10"/>
      <c r="AR3126" s="10"/>
      <c r="AS3126" s="10"/>
      <c r="AT3126" s="10"/>
      <c r="AU3126" s="10"/>
      <c r="AV3126" s="10"/>
      <c r="AW3126" s="10"/>
      <c r="AX3126" s="10"/>
      <c r="AY3126" s="10"/>
      <c r="AZ3126" s="10"/>
    </row>
    <row r="3127" spans="28:52">
      <c r="AB3127" s="9">
        <v>1.0430819165820022</v>
      </c>
      <c r="AC3127" s="9">
        <v>0.8252333399554912</v>
      </c>
      <c r="AD3127" s="9">
        <v>1.0337307616757188</v>
      </c>
      <c r="AE3127" s="10"/>
      <c r="AF3127" s="10"/>
      <c r="AG3127" s="10"/>
      <c r="AH3127" s="10"/>
      <c r="AI3127" s="10"/>
      <c r="AJ3127" s="10"/>
      <c r="AK3127" s="10"/>
      <c r="AL3127" s="10"/>
      <c r="AM3127" s="10"/>
      <c r="AN3127" s="10"/>
      <c r="AO3127" s="10"/>
      <c r="AP3127" s="10"/>
      <c r="AQ3127" s="10"/>
      <c r="AR3127" s="10"/>
      <c r="AS3127" s="10"/>
      <c r="AT3127" s="10"/>
      <c r="AU3127" s="10"/>
      <c r="AV3127" s="10"/>
      <c r="AW3127" s="10"/>
      <c r="AX3127" s="10"/>
      <c r="AY3127" s="10"/>
      <c r="AZ3127" s="10"/>
    </row>
    <row r="3128" spans="28:52">
      <c r="AB3128" s="9">
        <v>1.0645941942885773</v>
      </c>
      <c r="AC3128" s="9">
        <v>0.95894370743542201</v>
      </c>
      <c r="AD3128" s="9">
        <v>1.0275962043575049</v>
      </c>
      <c r="AE3128" s="10"/>
      <c r="AF3128" s="10"/>
      <c r="AG3128" s="10"/>
      <c r="AH3128" s="10"/>
      <c r="AI3128" s="10"/>
      <c r="AJ3128" s="10"/>
      <c r="AK3128" s="10"/>
      <c r="AL3128" s="10"/>
      <c r="AM3128" s="10"/>
      <c r="AN3128" s="10"/>
      <c r="AO3128" s="10"/>
      <c r="AP3128" s="10"/>
      <c r="AQ3128" s="10"/>
      <c r="AR3128" s="10"/>
      <c r="AS3128" s="10"/>
      <c r="AT3128" s="10"/>
      <c r="AU3128" s="10"/>
      <c r="AV3128" s="10"/>
      <c r="AW3128" s="10"/>
      <c r="AX3128" s="10"/>
      <c r="AY3128" s="10"/>
      <c r="AZ3128" s="10"/>
    </row>
    <row r="3129" spans="28:52">
      <c r="AB3129" s="9">
        <v>1.0692085213127123</v>
      </c>
      <c r="AC3129" s="9">
        <v>0.93107553309104607</v>
      </c>
      <c r="AD3129" s="9">
        <v>1.0242708561131575</v>
      </c>
      <c r="AE3129" s="10"/>
      <c r="AF3129" s="10"/>
      <c r="AG3129" s="10"/>
      <c r="AH3129" s="10"/>
      <c r="AI3129" s="10"/>
      <c r="AJ3129" s="10"/>
      <c r="AK3129" s="10"/>
      <c r="AL3129" s="10"/>
      <c r="AM3129" s="10"/>
      <c r="AN3129" s="10"/>
      <c r="AO3129" s="10"/>
      <c r="AP3129" s="10"/>
      <c r="AQ3129" s="10"/>
      <c r="AR3129" s="10"/>
      <c r="AS3129" s="10"/>
      <c r="AT3129" s="10"/>
      <c r="AU3129" s="10"/>
      <c r="AV3129" s="10"/>
      <c r="AW3129" s="10"/>
      <c r="AX3129" s="10"/>
      <c r="AY3129" s="10"/>
      <c r="AZ3129" s="10"/>
    </row>
    <row r="3130" spans="28:52">
      <c r="AB3130" s="9">
        <v>1.0705027758776835</v>
      </c>
      <c r="AC3130" s="9">
        <v>0.76690482799807946</v>
      </c>
      <c r="AD3130" s="9">
        <v>1.0331191324794915</v>
      </c>
      <c r="AE3130" s="10"/>
      <c r="AF3130" s="10"/>
      <c r="AG3130" s="10"/>
      <c r="AH3130" s="10"/>
      <c r="AI3130" s="10"/>
      <c r="AJ3130" s="10"/>
      <c r="AK3130" s="10"/>
      <c r="AL3130" s="10"/>
      <c r="AM3130" s="10"/>
      <c r="AN3130" s="10"/>
      <c r="AO3130" s="10"/>
      <c r="AP3130" s="10"/>
      <c r="AQ3130" s="10"/>
      <c r="AR3130" s="10"/>
      <c r="AS3130" s="10"/>
      <c r="AT3130" s="10"/>
      <c r="AU3130" s="10"/>
      <c r="AV3130" s="10"/>
      <c r="AW3130" s="10"/>
      <c r="AX3130" s="10"/>
      <c r="AY3130" s="10"/>
      <c r="AZ3130" s="10"/>
    </row>
    <row r="3131" spans="28:52">
      <c r="AB3131" s="9">
        <v>1.0595582060748991</v>
      </c>
      <c r="AC3131" s="9">
        <v>0.98841612518557675</v>
      </c>
      <c r="AD3131" s="9">
        <v>1.043172515789343</v>
      </c>
      <c r="AE3131" s="10"/>
      <c r="AF3131" s="10"/>
      <c r="AG3131" s="10"/>
      <c r="AH3131" s="10"/>
      <c r="AI3131" s="10"/>
      <c r="AJ3131" s="10"/>
      <c r="AK3131" s="10"/>
      <c r="AL3131" s="10"/>
      <c r="AM3131" s="10"/>
      <c r="AN3131" s="10"/>
      <c r="AO3131" s="10"/>
      <c r="AP3131" s="10"/>
      <c r="AQ3131" s="10"/>
      <c r="AR3131" s="10"/>
      <c r="AS3131" s="10"/>
      <c r="AT3131" s="10"/>
      <c r="AU3131" s="10"/>
      <c r="AV3131" s="10"/>
      <c r="AW3131" s="10"/>
      <c r="AX3131" s="10"/>
      <c r="AY3131" s="10"/>
      <c r="AZ3131" s="10"/>
    </row>
    <row r="3132" spans="28:52">
      <c r="AB3132" s="9">
        <v>1.0478139684166685</v>
      </c>
      <c r="AC3132" s="9">
        <v>0.76933845175881554</v>
      </c>
      <c r="AD3132" s="9">
        <v>1.0418523043856835</v>
      </c>
      <c r="AE3132" s="10"/>
      <c r="AF3132" s="10"/>
      <c r="AG3132" s="10"/>
      <c r="AH3132" s="10"/>
      <c r="AI3132" s="10"/>
      <c r="AJ3132" s="10"/>
      <c r="AK3132" s="10"/>
      <c r="AL3132" s="10"/>
      <c r="AM3132" s="10"/>
      <c r="AN3132" s="10"/>
      <c r="AO3132" s="10"/>
      <c r="AP3132" s="10"/>
      <c r="AQ3132" s="10"/>
      <c r="AR3132" s="10"/>
      <c r="AS3132" s="10"/>
      <c r="AT3132" s="10"/>
      <c r="AU3132" s="10"/>
      <c r="AV3132" s="10"/>
      <c r="AW3132" s="10"/>
      <c r="AX3132" s="10"/>
      <c r="AY3132" s="10"/>
      <c r="AZ3132" s="10"/>
    </row>
    <row r="3133" spans="28:52">
      <c r="AB3133" s="9">
        <v>1.0473402713360225</v>
      </c>
      <c r="AC3133" s="9">
        <v>0.72032988524225039</v>
      </c>
      <c r="AD3133" s="9">
        <v>1.0268962687335974</v>
      </c>
      <c r="AE3133" s="10"/>
      <c r="AF3133" s="10"/>
      <c r="AG3133" s="10"/>
      <c r="AH3133" s="10"/>
      <c r="AI3133" s="10"/>
      <c r="AJ3133" s="10"/>
      <c r="AK3133" s="10"/>
      <c r="AL3133" s="10"/>
      <c r="AM3133" s="10"/>
      <c r="AN3133" s="10"/>
      <c r="AO3133" s="10"/>
      <c r="AP3133" s="10"/>
      <c r="AQ3133" s="10"/>
      <c r="AR3133" s="10"/>
      <c r="AS3133" s="10"/>
      <c r="AT3133" s="10"/>
      <c r="AU3133" s="10"/>
      <c r="AV3133" s="10"/>
      <c r="AW3133" s="10"/>
      <c r="AX3133" s="10"/>
      <c r="AY3133" s="10"/>
      <c r="AZ3133" s="10"/>
    </row>
    <row r="3134" spans="28:52">
      <c r="AB3134" s="9">
        <v>1.0603138493891147</v>
      </c>
      <c r="AC3134" s="9">
        <v>0.79624976025310013</v>
      </c>
      <c r="AD3134" s="9">
        <v>1.0357571351367529</v>
      </c>
      <c r="AE3134" s="10"/>
      <c r="AF3134" s="10"/>
      <c r="AG3134" s="10"/>
      <c r="AH3134" s="10"/>
      <c r="AI3134" s="10"/>
      <c r="AJ3134" s="10"/>
      <c r="AK3134" s="10"/>
      <c r="AL3134" s="10"/>
      <c r="AM3134" s="10"/>
      <c r="AN3134" s="10"/>
      <c r="AO3134" s="10"/>
      <c r="AP3134" s="10"/>
      <c r="AQ3134" s="10"/>
      <c r="AR3134" s="10"/>
      <c r="AS3134" s="10"/>
      <c r="AT3134" s="10"/>
      <c r="AU3134" s="10"/>
      <c r="AV3134" s="10"/>
      <c r="AW3134" s="10"/>
      <c r="AX3134" s="10"/>
      <c r="AY3134" s="10"/>
      <c r="AZ3134" s="10"/>
    </row>
    <row r="3135" spans="28:52">
      <c r="AB3135" s="9">
        <v>1.0491627054811687</v>
      </c>
      <c r="AC3135" s="9">
        <v>1.1058312164342237</v>
      </c>
      <c r="AD3135" s="9">
        <v>1.0468497340591063</v>
      </c>
      <c r="AE3135" s="10"/>
      <c r="AF3135" s="10"/>
      <c r="AG3135" s="10"/>
      <c r="AH3135" s="10"/>
      <c r="AI3135" s="10"/>
      <c r="AJ3135" s="10"/>
      <c r="AK3135" s="10"/>
      <c r="AL3135" s="10"/>
      <c r="AM3135" s="10"/>
      <c r="AN3135" s="10"/>
      <c r="AO3135" s="10"/>
      <c r="AP3135" s="10"/>
      <c r="AQ3135" s="10"/>
      <c r="AR3135" s="10"/>
      <c r="AS3135" s="10"/>
      <c r="AT3135" s="10"/>
      <c r="AU3135" s="10"/>
      <c r="AV3135" s="10"/>
      <c r="AW3135" s="10"/>
      <c r="AX3135" s="10"/>
      <c r="AY3135" s="10"/>
      <c r="AZ3135" s="10"/>
    </row>
    <row r="3136" spans="28:52">
      <c r="AB3136" s="9">
        <v>1.0365650356390375</v>
      </c>
      <c r="AC3136" s="9">
        <v>0.82179849431152485</v>
      </c>
      <c r="AD3136" s="9">
        <v>1.0435299577700308</v>
      </c>
      <c r="AE3136" s="10"/>
      <c r="AF3136" s="10"/>
      <c r="AG3136" s="10"/>
      <c r="AH3136" s="10"/>
      <c r="AI3136" s="10"/>
      <c r="AJ3136" s="10"/>
      <c r="AK3136" s="10"/>
      <c r="AL3136" s="10"/>
      <c r="AM3136" s="10"/>
      <c r="AN3136" s="10"/>
      <c r="AO3136" s="10"/>
      <c r="AP3136" s="10"/>
      <c r="AQ3136" s="10"/>
      <c r="AR3136" s="10"/>
      <c r="AS3136" s="10"/>
      <c r="AT3136" s="10"/>
      <c r="AU3136" s="10"/>
      <c r="AV3136" s="10"/>
      <c r="AW3136" s="10"/>
      <c r="AX3136" s="10"/>
      <c r="AY3136" s="10"/>
      <c r="AZ3136" s="10"/>
    </row>
    <row r="3137" spans="28:52">
      <c r="AB3137" s="9">
        <v>1.038487090047431</v>
      </c>
      <c r="AC3137" s="9">
        <v>0.58106592319613903</v>
      </c>
      <c r="AD3137" s="9">
        <v>1.048250788694022</v>
      </c>
      <c r="AE3137" s="10"/>
      <c r="AF3137" s="10"/>
      <c r="AG3137" s="10"/>
      <c r="AH3137" s="10"/>
      <c r="AI3137" s="10"/>
      <c r="AJ3137" s="10"/>
      <c r="AK3137" s="10"/>
      <c r="AL3137" s="10"/>
      <c r="AM3137" s="10"/>
      <c r="AN3137" s="10"/>
      <c r="AO3137" s="10"/>
      <c r="AP3137" s="10"/>
      <c r="AQ3137" s="10"/>
      <c r="AR3137" s="10"/>
      <c r="AS3137" s="10"/>
      <c r="AT3137" s="10"/>
      <c r="AU3137" s="10"/>
      <c r="AV3137" s="10"/>
      <c r="AW3137" s="10"/>
      <c r="AX3137" s="10"/>
      <c r="AY3137" s="10"/>
      <c r="AZ3137" s="10"/>
    </row>
    <row r="3138" spans="28:52">
      <c r="AB3138" s="9">
        <v>1.0326381695881433</v>
      </c>
      <c r="AC3138" s="9">
        <v>0.57530838505150295</v>
      </c>
      <c r="AD3138" s="9">
        <v>1.0350999954380042</v>
      </c>
      <c r="AE3138" s="10"/>
      <c r="AF3138" s="10"/>
      <c r="AG3138" s="10"/>
      <c r="AH3138" s="10"/>
      <c r="AI3138" s="10"/>
      <c r="AJ3138" s="10"/>
      <c r="AK3138" s="10"/>
      <c r="AL3138" s="10"/>
      <c r="AM3138" s="10"/>
      <c r="AN3138" s="10"/>
      <c r="AO3138" s="10"/>
      <c r="AP3138" s="10"/>
      <c r="AQ3138" s="10"/>
      <c r="AR3138" s="10"/>
      <c r="AS3138" s="10"/>
      <c r="AT3138" s="10"/>
      <c r="AU3138" s="10"/>
      <c r="AV3138" s="10"/>
      <c r="AW3138" s="10"/>
      <c r="AX3138" s="10"/>
      <c r="AY3138" s="10"/>
      <c r="AZ3138" s="10"/>
    </row>
    <row r="3139" spans="28:52">
      <c r="AB3139" s="9">
        <v>1.0451548654828406</v>
      </c>
      <c r="AC3139" s="9">
        <v>0.69125219077693933</v>
      </c>
      <c r="AD3139" s="9">
        <v>1.0270379701903902</v>
      </c>
      <c r="AE3139" s="10"/>
      <c r="AF3139" s="10"/>
      <c r="AG3139" s="10"/>
      <c r="AH3139" s="10"/>
      <c r="AI3139" s="10"/>
      <c r="AJ3139" s="10"/>
      <c r="AK3139" s="10"/>
      <c r="AL3139" s="10"/>
      <c r="AM3139" s="10"/>
      <c r="AN3139" s="10"/>
      <c r="AO3139" s="10"/>
      <c r="AP3139" s="10"/>
      <c r="AQ3139" s="10"/>
      <c r="AR3139" s="10"/>
      <c r="AS3139" s="10"/>
      <c r="AT3139" s="10"/>
      <c r="AU3139" s="10"/>
      <c r="AV3139" s="10"/>
      <c r="AW3139" s="10"/>
      <c r="AX3139" s="10"/>
      <c r="AY3139" s="10"/>
      <c r="AZ3139" s="10"/>
    </row>
    <row r="3140" spans="28:52">
      <c r="AB3140" s="9">
        <v>1.0524716585827754</v>
      </c>
      <c r="AC3140" s="9">
        <v>0.94929361438662663</v>
      </c>
      <c r="AD3140" s="9">
        <v>1.0263596954168195</v>
      </c>
      <c r="AE3140" s="10"/>
      <c r="AF3140" s="10"/>
      <c r="AG3140" s="10"/>
      <c r="AH3140" s="10"/>
      <c r="AI3140" s="10"/>
      <c r="AJ3140" s="10"/>
      <c r="AK3140" s="10"/>
      <c r="AL3140" s="10"/>
      <c r="AM3140" s="10"/>
      <c r="AN3140" s="10"/>
      <c r="AO3140" s="10"/>
      <c r="AP3140" s="10"/>
      <c r="AQ3140" s="10"/>
      <c r="AR3140" s="10"/>
      <c r="AS3140" s="10"/>
      <c r="AT3140" s="10"/>
      <c r="AU3140" s="10"/>
      <c r="AV3140" s="10"/>
      <c r="AW3140" s="10"/>
      <c r="AX3140" s="10"/>
      <c r="AY3140" s="10"/>
      <c r="AZ3140" s="10"/>
    </row>
    <row r="3141" spans="28:52">
      <c r="AB3141" s="9">
        <v>1.0516342599858177</v>
      </c>
      <c r="AC3141" s="9">
        <v>0.80274546152322124</v>
      </c>
      <c r="AD3141" s="9">
        <v>1.0251669095209897</v>
      </c>
      <c r="AE3141" s="10"/>
      <c r="AF3141" s="10"/>
      <c r="AG3141" s="10"/>
      <c r="AH3141" s="10"/>
      <c r="AI3141" s="10"/>
      <c r="AJ3141" s="10"/>
      <c r="AK3141" s="10"/>
      <c r="AL3141" s="10"/>
      <c r="AM3141" s="10"/>
      <c r="AN3141" s="10"/>
      <c r="AO3141" s="10"/>
      <c r="AP3141" s="10"/>
      <c r="AQ3141" s="10"/>
      <c r="AR3141" s="10"/>
      <c r="AS3141" s="10"/>
      <c r="AT3141" s="10"/>
      <c r="AU3141" s="10"/>
      <c r="AV3141" s="10"/>
      <c r="AW3141" s="10"/>
      <c r="AX3141" s="10"/>
      <c r="AY3141" s="10"/>
      <c r="AZ3141" s="10"/>
    </row>
    <row r="3142" spans="28:52">
      <c r="AB3142" s="9">
        <v>1.0511045605799474</v>
      </c>
      <c r="AC3142" s="9">
        <v>1.1125537351528929</v>
      </c>
      <c r="AD3142" s="9">
        <v>1.0404024137779149</v>
      </c>
      <c r="AE3142" s="10"/>
      <c r="AF3142" s="10"/>
      <c r="AG3142" s="10"/>
      <c r="AH3142" s="10"/>
      <c r="AI3142" s="10"/>
      <c r="AJ3142" s="10"/>
      <c r="AK3142" s="10"/>
      <c r="AL3142" s="10"/>
      <c r="AM3142" s="10"/>
      <c r="AN3142" s="10"/>
      <c r="AO3142" s="10"/>
      <c r="AP3142" s="10"/>
      <c r="AQ3142" s="10"/>
      <c r="AR3142" s="10"/>
      <c r="AS3142" s="10"/>
      <c r="AT3142" s="10"/>
      <c r="AU3142" s="10"/>
      <c r="AV3142" s="10"/>
      <c r="AW3142" s="10"/>
      <c r="AX3142" s="10"/>
      <c r="AY3142" s="10"/>
      <c r="AZ3142" s="10"/>
    </row>
    <row r="3143" spans="28:52">
      <c r="AB3143" s="9">
        <v>1.0344603846736378</v>
      </c>
      <c r="AC3143" s="9">
        <v>0.81593929791711672</v>
      </c>
      <c r="AD3143" s="9">
        <v>1.0397198456723336</v>
      </c>
      <c r="AE3143" s="10"/>
      <c r="AF3143" s="10"/>
      <c r="AG3143" s="10"/>
      <c r="AH3143" s="10"/>
      <c r="AI3143" s="10"/>
      <c r="AJ3143" s="10"/>
      <c r="AK3143" s="10"/>
      <c r="AL3143" s="10"/>
      <c r="AM3143" s="10"/>
      <c r="AN3143" s="10"/>
      <c r="AO3143" s="10"/>
      <c r="AP3143" s="10"/>
      <c r="AQ3143" s="10"/>
      <c r="AR3143" s="10"/>
      <c r="AS3143" s="10"/>
      <c r="AT3143" s="10"/>
      <c r="AU3143" s="10"/>
      <c r="AV3143" s="10"/>
      <c r="AW3143" s="10"/>
      <c r="AX3143" s="10"/>
      <c r="AY3143" s="10"/>
      <c r="AZ3143" s="10"/>
    </row>
    <row r="3144" spans="28:52">
      <c r="AB3144" s="9">
        <v>1.0347058367791915</v>
      </c>
      <c r="AC3144" s="9">
        <v>0.71604100745302179</v>
      </c>
      <c r="AD3144" s="9">
        <v>1.033454239160067</v>
      </c>
      <c r="AE3144" s="10"/>
      <c r="AF3144" s="10"/>
      <c r="AG3144" s="10"/>
      <c r="AH3144" s="10"/>
      <c r="AI3144" s="10"/>
      <c r="AJ3144" s="10"/>
      <c r="AK3144" s="10"/>
      <c r="AL3144" s="10"/>
      <c r="AM3144" s="10"/>
      <c r="AN3144" s="10"/>
      <c r="AO3144" s="10"/>
      <c r="AP3144" s="10"/>
      <c r="AQ3144" s="10"/>
      <c r="AR3144" s="10"/>
      <c r="AS3144" s="10"/>
      <c r="AT3144" s="10"/>
      <c r="AU3144" s="10"/>
      <c r="AV3144" s="10"/>
      <c r="AW3144" s="10"/>
      <c r="AX3144" s="10"/>
      <c r="AY3144" s="10"/>
      <c r="AZ3144" s="10"/>
    </row>
    <row r="3145" spans="28:52">
      <c r="AB3145" s="9">
        <v>1.0402232401864329</v>
      </c>
      <c r="AC3145" s="9">
        <v>0.92673608416429631</v>
      </c>
      <c r="AD3145" s="9">
        <v>1.0403516032227951</v>
      </c>
      <c r="AE3145" s="10"/>
      <c r="AF3145" s="10"/>
      <c r="AG3145" s="10"/>
      <c r="AH3145" s="10"/>
      <c r="AI3145" s="10"/>
      <c r="AJ3145" s="10"/>
      <c r="AK3145" s="10"/>
      <c r="AL3145" s="10"/>
      <c r="AM3145" s="10"/>
      <c r="AN3145" s="10"/>
      <c r="AO3145" s="10"/>
      <c r="AP3145" s="10"/>
      <c r="AQ3145" s="10"/>
      <c r="AR3145" s="10"/>
      <c r="AS3145" s="10"/>
      <c r="AT3145" s="10"/>
      <c r="AU3145" s="10"/>
      <c r="AV3145" s="10"/>
      <c r="AW3145" s="10"/>
      <c r="AX3145" s="10"/>
      <c r="AY3145" s="10"/>
      <c r="AZ3145" s="10"/>
    </row>
    <row r="3146" spans="28:52">
      <c r="AB3146" s="9">
        <v>1.0329886327175823</v>
      </c>
      <c r="AC3146" s="9">
        <v>0.82013619920458658</v>
      </c>
      <c r="AD3146" s="9">
        <v>1.0481204082752371</v>
      </c>
      <c r="AE3146" s="10"/>
      <c r="AF3146" s="10"/>
      <c r="AG3146" s="10"/>
      <c r="AH3146" s="10"/>
      <c r="AI3146" s="10"/>
      <c r="AJ3146" s="10"/>
      <c r="AK3146" s="10"/>
      <c r="AL3146" s="10"/>
      <c r="AM3146" s="10"/>
      <c r="AN3146" s="10"/>
      <c r="AO3146" s="10"/>
      <c r="AP3146" s="10"/>
      <c r="AQ3146" s="10"/>
      <c r="AR3146" s="10"/>
      <c r="AS3146" s="10"/>
      <c r="AT3146" s="10"/>
      <c r="AU3146" s="10"/>
      <c r="AV3146" s="10"/>
      <c r="AW3146" s="10"/>
      <c r="AX3146" s="10"/>
      <c r="AY3146" s="10"/>
      <c r="AZ3146" s="10"/>
    </row>
    <row r="3147" spans="28:52">
      <c r="AB3147" s="9">
        <v>1.0247610829652911</v>
      </c>
      <c r="AC3147" s="9">
        <v>0.692451678174276</v>
      </c>
      <c r="AD3147" s="9">
        <v>1.0500463187738103</v>
      </c>
      <c r="AE3147" s="10"/>
      <c r="AF3147" s="10"/>
      <c r="AG3147" s="10"/>
      <c r="AH3147" s="10"/>
      <c r="AI3147" s="10"/>
      <c r="AJ3147" s="10"/>
      <c r="AK3147" s="10"/>
      <c r="AL3147" s="10"/>
      <c r="AM3147" s="10"/>
      <c r="AN3147" s="10"/>
      <c r="AO3147" s="10"/>
      <c r="AP3147" s="10"/>
      <c r="AQ3147" s="10"/>
      <c r="AR3147" s="10"/>
      <c r="AS3147" s="10"/>
      <c r="AT3147" s="10"/>
      <c r="AU3147" s="10"/>
      <c r="AV3147" s="10"/>
      <c r="AW3147" s="10"/>
      <c r="AX3147" s="10"/>
      <c r="AY3147" s="10"/>
      <c r="AZ3147" s="10"/>
    </row>
    <row r="3148" spans="28:52">
      <c r="AB3148" s="9">
        <v>1.0222417044184533</v>
      </c>
      <c r="AC3148" s="9">
        <v>0.58700973520440158</v>
      </c>
      <c r="AD3148" s="9">
        <v>1.0568212980338274</v>
      </c>
      <c r="AE3148" s="10"/>
      <c r="AF3148" s="10"/>
      <c r="AG3148" s="10"/>
      <c r="AH3148" s="10"/>
      <c r="AI3148" s="10"/>
      <c r="AJ3148" s="10"/>
      <c r="AK3148" s="10"/>
      <c r="AL3148" s="10"/>
      <c r="AM3148" s="10"/>
      <c r="AN3148" s="10"/>
      <c r="AO3148" s="10"/>
      <c r="AP3148" s="10"/>
      <c r="AQ3148" s="10"/>
      <c r="AR3148" s="10"/>
      <c r="AS3148" s="10"/>
      <c r="AT3148" s="10"/>
      <c r="AU3148" s="10"/>
      <c r="AV3148" s="10"/>
      <c r="AW3148" s="10"/>
      <c r="AX3148" s="10"/>
      <c r="AY3148" s="10"/>
      <c r="AZ3148" s="10"/>
    </row>
    <row r="3149" spans="28:52">
      <c r="AB3149" s="9">
        <v>1.0149872510926095</v>
      </c>
      <c r="AC3149" s="9">
        <v>0.54392158162547144</v>
      </c>
      <c r="AD3149" s="9">
        <v>1.0631421118448634</v>
      </c>
      <c r="AE3149" s="10"/>
      <c r="AF3149" s="10"/>
      <c r="AG3149" s="10"/>
      <c r="AH3149" s="10"/>
      <c r="AI3149" s="10"/>
      <c r="AJ3149" s="10"/>
      <c r="AK3149" s="10"/>
      <c r="AL3149" s="10"/>
      <c r="AM3149" s="10"/>
      <c r="AN3149" s="10"/>
      <c r="AO3149" s="10"/>
      <c r="AP3149" s="10"/>
      <c r="AQ3149" s="10"/>
      <c r="AR3149" s="10"/>
      <c r="AS3149" s="10"/>
      <c r="AT3149" s="10"/>
      <c r="AU3149" s="10"/>
      <c r="AV3149" s="10"/>
      <c r="AW3149" s="10"/>
      <c r="AX3149" s="10"/>
      <c r="AY3149" s="10"/>
      <c r="AZ3149" s="10"/>
    </row>
    <row r="3150" spans="28:52">
      <c r="AB3150" s="9">
        <v>1.0084363312708813</v>
      </c>
      <c r="AC3150" s="9">
        <v>0.5390398698128559</v>
      </c>
      <c r="AD3150" s="9">
        <v>1.0420967532535883</v>
      </c>
      <c r="AE3150" s="10"/>
      <c r="AF3150" s="10"/>
      <c r="AG3150" s="10"/>
      <c r="AH3150" s="10"/>
      <c r="AI3150" s="10"/>
      <c r="AJ3150" s="10"/>
      <c r="AK3150" s="10"/>
      <c r="AL3150" s="10"/>
      <c r="AM3150" s="10"/>
      <c r="AN3150" s="10"/>
      <c r="AO3150" s="10"/>
      <c r="AP3150" s="10"/>
      <c r="AQ3150" s="10"/>
      <c r="AR3150" s="10"/>
      <c r="AS3150" s="10"/>
      <c r="AT3150" s="10"/>
      <c r="AU3150" s="10"/>
      <c r="AV3150" s="10"/>
      <c r="AW3150" s="10"/>
      <c r="AX3150" s="10"/>
      <c r="AY3150" s="10"/>
      <c r="AZ3150" s="10"/>
    </row>
    <row r="3151" spans="28:52">
      <c r="AB3151" s="9">
        <v>1.0282608006206373</v>
      </c>
      <c r="AC3151" s="9">
        <v>0.83797145373649462</v>
      </c>
      <c r="AD3151" s="9">
        <v>1.033958234382258</v>
      </c>
      <c r="AE3151" s="10"/>
      <c r="AF3151" s="10"/>
      <c r="AG3151" s="10"/>
      <c r="AH3151" s="10"/>
      <c r="AI3151" s="10"/>
      <c r="AJ3151" s="10"/>
      <c r="AK3151" s="10"/>
      <c r="AL3151" s="10"/>
      <c r="AM3151" s="10"/>
      <c r="AN3151" s="10"/>
      <c r="AO3151" s="10"/>
      <c r="AP3151" s="10"/>
      <c r="AQ3151" s="10"/>
      <c r="AR3151" s="10"/>
      <c r="AS3151" s="10"/>
      <c r="AT3151" s="10"/>
      <c r="AU3151" s="10"/>
      <c r="AV3151" s="10"/>
      <c r="AW3151" s="10"/>
      <c r="AX3151" s="10"/>
      <c r="AY3151" s="10"/>
      <c r="AZ3151" s="10"/>
    </row>
    <row r="3152" spans="28:52">
      <c r="AB3152" s="9">
        <v>1.0356181704224932</v>
      </c>
      <c r="AC3152" s="9">
        <v>0.96536162933260594</v>
      </c>
      <c r="AD3152" s="9">
        <v>1.0162879067541699</v>
      </c>
      <c r="AE3152" s="10"/>
      <c r="AF3152" s="10"/>
      <c r="AG3152" s="10"/>
      <c r="AH3152" s="10"/>
      <c r="AI3152" s="10"/>
      <c r="AJ3152" s="10"/>
      <c r="AK3152" s="10"/>
      <c r="AL3152" s="10"/>
      <c r="AM3152" s="10"/>
      <c r="AN3152" s="10"/>
      <c r="AO3152" s="10"/>
      <c r="AP3152" s="10"/>
      <c r="AQ3152" s="10"/>
      <c r="AR3152" s="10"/>
      <c r="AS3152" s="10"/>
      <c r="AT3152" s="10"/>
      <c r="AU3152" s="10"/>
      <c r="AV3152" s="10"/>
      <c r="AW3152" s="10"/>
      <c r="AX3152" s="10"/>
      <c r="AY3152" s="10"/>
      <c r="AZ3152" s="10"/>
    </row>
    <row r="3153" spans="28:52">
      <c r="AB3153" s="9">
        <v>1.0525190303182754</v>
      </c>
      <c r="AC3153" s="9">
        <v>1.3778700398120309</v>
      </c>
      <c r="AD3153" s="9">
        <v>1.015460021718789</v>
      </c>
      <c r="AE3153" s="10"/>
      <c r="AF3153" s="10"/>
      <c r="AG3153" s="10"/>
      <c r="AH3153" s="10"/>
      <c r="AI3153" s="10"/>
      <c r="AJ3153" s="10"/>
      <c r="AK3153" s="10"/>
      <c r="AL3153" s="10"/>
      <c r="AM3153" s="10"/>
      <c r="AN3153" s="10"/>
      <c r="AO3153" s="10"/>
      <c r="AP3153" s="10"/>
      <c r="AQ3153" s="10"/>
      <c r="AR3153" s="10"/>
      <c r="AS3153" s="10"/>
      <c r="AT3153" s="10"/>
      <c r="AU3153" s="10"/>
      <c r="AV3153" s="10"/>
      <c r="AW3153" s="10"/>
      <c r="AX3153" s="10"/>
      <c r="AY3153" s="10"/>
      <c r="AZ3153" s="10"/>
    </row>
    <row r="3154" spans="28:52">
      <c r="AB3154" s="9">
        <v>1.0519724708352223</v>
      </c>
      <c r="AC3154" s="9">
        <v>1.1816767155121466</v>
      </c>
      <c r="AD3154" s="9">
        <v>1.0211843416125592</v>
      </c>
      <c r="AE3154" s="10"/>
      <c r="AF3154" s="10"/>
      <c r="AG3154" s="10"/>
      <c r="AH3154" s="10"/>
      <c r="AI3154" s="10"/>
      <c r="AJ3154" s="10"/>
      <c r="AK3154" s="10"/>
      <c r="AL3154" s="10"/>
      <c r="AM3154" s="10"/>
      <c r="AN3154" s="10"/>
      <c r="AO3154" s="10"/>
      <c r="AP3154" s="10"/>
      <c r="AQ3154" s="10"/>
      <c r="AR3154" s="10"/>
      <c r="AS3154" s="10"/>
      <c r="AT3154" s="10"/>
      <c r="AU3154" s="10"/>
      <c r="AV3154" s="10"/>
      <c r="AW3154" s="10"/>
      <c r="AX3154" s="10"/>
      <c r="AY3154" s="10"/>
      <c r="AZ3154" s="10"/>
    </row>
    <row r="3155" spans="28:52">
      <c r="AB3155" s="9">
        <v>1.0439097660880412</v>
      </c>
      <c r="AC3155" s="9">
        <v>1.1358779629812272</v>
      </c>
      <c r="AD3155" s="9">
        <v>1.0126391340197753</v>
      </c>
      <c r="AE3155" s="10"/>
      <c r="AF3155" s="10"/>
      <c r="AG3155" s="10"/>
      <c r="AH3155" s="10"/>
      <c r="AI3155" s="10"/>
      <c r="AJ3155" s="10"/>
      <c r="AK3155" s="10"/>
      <c r="AL3155" s="10"/>
      <c r="AM3155" s="10"/>
      <c r="AN3155" s="10"/>
      <c r="AO3155" s="10"/>
      <c r="AP3155" s="10"/>
      <c r="AQ3155" s="10"/>
      <c r="AR3155" s="10"/>
      <c r="AS3155" s="10"/>
      <c r="AT3155" s="10"/>
      <c r="AU3155" s="10"/>
      <c r="AV3155" s="10"/>
      <c r="AW3155" s="10"/>
      <c r="AX3155" s="10"/>
      <c r="AY3155" s="10"/>
      <c r="AZ3155" s="10"/>
    </row>
    <row r="3156" spans="28:52">
      <c r="AB3156" s="9">
        <v>1.0504113258630798</v>
      </c>
      <c r="AC3156" s="9">
        <v>1.2755444329687593</v>
      </c>
      <c r="AD3156" s="9">
        <v>0.99487434846889111</v>
      </c>
      <c r="AE3156" s="10"/>
      <c r="AF3156" s="10"/>
      <c r="AG3156" s="10"/>
      <c r="AH3156" s="10"/>
      <c r="AI3156" s="10"/>
      <c r="AJ3156" s="10"/>
      <c r="AK3156" s="10"/>
      <c r="AL3156" s="10"/>
      <c r="AM3156" s="10"/>
      <c r="AN3156" s="10"/>
      <c r="AO3156" s="10"/>
      <c r="AP3156" s="10"/>
      <c r="AQ3156" s="10"/>
      <c r="AR3156" s="10"/>
      <c r="AS3156" s="10"/>
      <c r="AT3156" s="10"/>
      <c r="AU3156" s="10"/>
      <c r="AV3156" s="10"/>
      <c r="AW3156" s="10"/>
      <c r="AX3156" s="10"/>
      <c r="AY3156" s="10"/>
      <c r="AZ3156" s="10"/>
    </row>
    <row r="3157" spans="28:52">
      <c r="AB3157" s="9">
        <v>1.0662734643380125</v>
      </c>
      <c r="AC3157" s="9">
        <v>1.3738799529124175</v>
      </c>
      <c r="AD3157" s="9">
        <v>1.0001161925225899</v>
      </c>
      <c r="AE3157" s="10"/>
      <c r="AF3157" s="10"/>
      <c r="AG3157" s="10"/>
      <c r="AH3157" s="10"/>
      <c r="AI3157" s="10"/>
      <c r="AJ3157" s="10"/>
      <c r="AK3157" s="10"/>
      <c r="AL3157" s="10"/>
      <c r="AM3157" s="10"/>
      <c r="AN3157" s="10"/>
      <c r="AO3157" s="10"/>
      <c r="AP3157" s="10"/>
      <c r="AQ3157" s="10"/>
      <c r="AR3157" s="10"/>
      <c r="AS3157" s="10"/>
      <c r="AT3157" s="10"/>
      <c r="AU3157" s="10"/>
      <c r="AV3157" s="10"/>
      <c r="AW3157" s="10"/>
      <c r="AX3157" s="10"/>
      <c r="AY3157" s="10"/>
      <c r="AZ3157" s="10"/>
    </row>
    <row r="3158" spans="28:52">
      <c r="AB3158" s="9">
        <v>1.058124373598325</v>
      </c>
      <c r="AC3158" s="9">
        <v>1.3254894733333593</v>
      </c>
      <c r="AD3158" s="9">
        <v>1.0021726830486899</v>
      </c>
      <c r="AE3158" s="10"/>
      <c r="AF3158" s="10"/>
      <c r="AG3158" s="10"/>
      <c r="AH3158" s="10"/>
      <c r="AI3158" s="10"/>
      <c r="AJ3158" s="10"/>
      <c r="AK3158" s="10"/>
      <c r="AL3158" s="10"/>
      <c r="AM3158" s="10"/>
      <c r="AN3158" s="10"/>
      <c r="AO3158" s="10"/>
      <c r="AP3158" s="10"/>
      <c r="AQ3158" s="10"/>
      <c r="AR3158" s="10"/>
      <c r="AS3158" s="10"/>
      <c r="AT3158" s="10"/>
      <c r="AU3158" s="10"/>
      <c r="AV3158" s="10"/>
      <c r="AW3158" s="10"/>
      <c r="AX3158" s="10"/>
      <c r="AY3158" s="10"/>
      <c r="AZ3158" s="10"/>
    </row>
    <row r="3159" spans="28:52">
      <c r="AB3159" s="9">
        <v>1.0535682319687514</v>
      </c>
      <c r="AC3159" s="9">
        <v>1.1400974004541253</v>
      </c>
      <c r="AD3159" s="9">
        <v>0.98346211069396605</v>
      </c>
      <c r="AE3159" s="10"/>
      <c r="AF3159" s="10"/>
      <c r="AG3159" s="10"/>
      <c r="AH3159" s="10"/>
      <c r="AI3159" s="10"/>
      <c r="AJ3159" s="10"/>
      <c r="AK3159" s="10"/>
      <c r="AL3159" s="10"/>
      <c r="AM3159" s="10"/>
      <c r="AN3159" s="10"/>
      <c r="AO3159" s="10"/>
      <c r="AP3159" s="10"/>
      <c r="AQ3159" s="10"/>
      <c r="AR3159" s="10"/>
      <c r="AS3159" s="10"/>
      <c r="AT3159" s="10"/>
      <c r="AU3159" s="10"/>
      <c r="AV3159" s="10"/>
      <c r="AW3159" s="10"/>
      <c r="AX3159" s="10"/>
      <c r="AY3159" s="10"/>
      <c r="AZ3159" s="10"/>
    </row>
    <row r="3160" spans="28:52">
      <c r="AB3160" s="9">
        <v>1.0704165823680252</v>
      </c>
      <c r="AC3160" s="9">
        <v>1.4540912392718206</v>
      </c>
      <c r="AD3160" s="9">
        <v>0.98172521931385082</v>
      </c>
      <c r="AE3160" s="10"/>
      <c r="AF3160" s="10"/>
      <c r="AG3160" s="10"/>
      <c r="AH3160" s="10"/>
      <c r="AI3160" s="10"/>
      <c r="AJ3160" s="10"/>
      <c r="AK3160" s="10"/>
      <c r="AL3160" s="10"/>
      <c r="AM3160" s="10"/>
      <c r="AN3160" s="10"/>
      <c r="AO3160" s="10"/>
      <c r="AP3160" s="10"/>
      <c r="AQ3160" s="10"/>
      <c r="AR3160" s="10"/>
      <c r="AS3160" s="10"/>
      <c r="AT3160" s="10"/>
      <c r="AU3160" s="10"/>
      <c r="AV3160" s="10"/>
      <c r="AW3160" s="10"/>
      <c r="AX3160" s="10"/>
      <c r="AY3160" s="10"/>
      <c r="AZ3160" s="10"/>
    </row>
    <row r="3161" spans="28:52">
      <c r="AB3161" s="9">
        <v>1.0685566355476532</v>
      </c>
      <c r="AC3161" s="9">
        <v>1.350599160042004</v>
      </c>
      <c r="AD3161" s="9">
        <v>0.97543239512396562</v>
      </c>
      <c r="AE3161" s="10"/>
      <c r="AF3161" s="10"/>
      <c r="AG3161" s="10"/>
      <c r="AH3161" s="10"/>
      <c r="AI3161" s="10"/>
      <c r="AJ3161" s="10"/>
      <c r="AK3161" s="10"/>
      <c r="AL3161" s="10"/>
      <c r="AM3161" s="10"/>
      <c r="AN3161" s="10"/>
      <c r="AO3161" s="10"/>
      <c r="AP3161" s="10"/>
      <c r="AQ3161" s="10"/>
      <c r="AR3161" s="10"/>
      <c r="AS3161" s="10"/>
      <c r="AT3161" s="10"/>
      <c r="AU3161" s="10"/>
      <c r="AV3161" s="10"/>
      <c r="AW3161" s="10"/>
      <c r="AX3161" s="10"/>
      <c r="AY3161" s="10"/>
      <c r="AZ3161" s="10"/>
    </row>
    <row r="3162" spans="28:52">
      <c r="AB3162" s="9">
        <v>1.0716741899156701</v>
      </c>
      <c r="AC3162" s="9">
        <v>1.1768572712531518</v>
      </c>
      <c r="AD3162" s="9">
        <v>0.97717559795824771</v>
      </c>
      <c r="AE3162" s="10"/>
      <c r="AF3162" s="10"/>
      <c r="AG3162" s="10"/>
      <c r="AH3162" s="10"/>
      <c r="AI3162" s="10"/>
      <c r="AJ3162" s="10"/>
      <c r="AK3162" s="10"/>
      <c r="AL3162" s="10"/>
      <c r="AM3162" s="10"/>
      <c r="AN3162" s="10"/>
      <c r="AO3162" s="10"/>
      <c r="AP3162" s="10"/>
      <c r="AQ3162" s="10"/>
      <c r="AR3162" s="10"/>
      <c r="AS3162" s="10"/>
      <c r="AT3162" s="10"/>
      <c r="AU3162" s="10"/>
      <c r="AV3162" s="10"/>
      <c r="AW3162" s="10"/>
      <c r="AX3162" s="10"/>
      <c r="AY3162" s="10"/>
      <c r="AZ3162" s="10"/>
    </row>
    <row r="3163" spans="28:52">
      <c r="AB3163" s="9">
        <v>1.0656621334895364</v>
      </c>
      <c r="AC3163" s="9">
        <v>1.3390199185855005</v>
      </c>
      <c r="AD3163" s="9">
        <v>0.97970105232494642</v>
      </c>
      <c r="AE3163" s="10"/>
      <c r="AF3163" s="10"/>
      <c r="AG3163" s="10"/>
      <c r="AH3163" s="10"/>
      <c r="AI3163" s="10"/>
      <c r="AJ3163" s="10"/>
      <c r="AK3163" s="10"/>
      <c r="AL3163" s="10"/>
      <c r="AM3163" s="10"/>
      <c r="AN3163" s="10"/>
      <c r="AO3163" s="10"/>
      <c r="AP3163" s="10"/>
      <c r="AQ3163" s="10"/>
      <c r="AR3163" s="10"/>
      <c r="AS3163" s="10"/>
      <c r="AT3163" s="10"/>
      <c r="AU3163" s="10"/>
      <c r="AV3163" s="10"/>
      <c r="AW3163" s="10"/>
      <c r="AX3163" s="10"/>
      <c r="AY3163" s="10"/>
      <c r="AZ3163" s="10"/>
    </row>
    <row r="3164" spans="28:52">
      <c r="AB3164" s="9">
        <v>1.0591354512770099</v>
      </c>
      <c r="AC3164" s="9">
        <v>1.1073190678844196</v>
      </c>
      <c r="AD3164" s="9">
        <v>0.99394566406204077</v>
      </c>
      <c r="AE3164" s="10"/>
      <c r="AF3164" s="10"/>
      <c r="AG3164" s="10"/>
      <c r="AH3164" s="10"/>
      <c r="AI3164" s="10"/>
      <c r="AJ3164" s="10"/>
      <c r="AK3164" s="10"/>
      <c r="AL3164" s="10"/>
      <c r="AM3164" s="10"/>
      <c r="AN3164" s="10"/>
      <c r="AO3164" s="10"/>
      <c r="AP3164" s="10"/>
      <c r="AQ3164" s="10"/>
      <c r="AR3164" s="10"/>
      <c r="AS3164" s="10"/>
      <c r="AT3164" s="10"/>
      <c r="AU3164" s="10"/>
      <c r="AV3164" s="10"/>
      <c r="AW3164" s="10"/>
      <c r="AX3164" s="10"/>
      <c r="AY3164" s="10"/>
      <c r="AZ3164" s="10"/>
    </row>
    <row r="3165" spans="28:52">
      <c r="AB3165" s="9">
        <v>1.0408798144339688</v>
      </c>
      <c r="AC3165" s="9">
        <v>0.96353223034634727</v>
      </c>
      <c r="AD3165" s="9">
        <v>0.99997293068430293</v>
      </c>
      <c r="AE3165" s="10"/>
      <c r="AF3165" s="10"/>
      <c r="AG3165" s="10"/>
      <c r="AH3165" s="10"/>
      <c r="AI3165" s="10"/>
      <c r="AJ3165" s="10"/>
      <c r="AK3165" s="10"/>
      <c r="AL3165" s="10"/>
      <c r="AM3165" s="10"/>
      <c r="AN3165" s="10"/>
      <c r="AO3165" s="10"/>
      <c r="AP3165" s="10"/>
      <c r="AQ3165" s="10"/>
      <c r="AR3165" s="10"/>
      <c r="AS3165" s="10"/>
      <c r="AT3165" s="10"/>
      <c r="AU3165" s="10"/>
      <c r="AV3165" s="10"/>
      <c r="AW3165" s="10"/>
      <c r="AX3165" s="10"/>
      <c r="AY3165" s="10"/>
      <c r="AZ3165" s="10"/>
    </row>
    <row r="3166" spans="28:52">
      <c r="AB3166" s="9">
        <v>1.0331988367692346</v>
      </c>
      <c r="AC3166" s="9">
        <v>0.81595981923618899</v>
      </c>
      <c r="AD3166" s="9">
        <v>0.9938870027103911</v>
      </c>
      <c r="AE3166" s="10"/>
      <c r="AF3166" s="10"/>
      <c r="AG3166" s="10"/>
      <c r="AH3166" s="10"/>
      <c r="AI3166" s="10"/>
      <c r="AJ3166" s="10"/>
      <c r="AK3166" s="10"/>
      <c r="AL3166" s="10"/>
      <c r="AM3166" s="10"/>
      <c r="AN3166" s="10"/>
      <c r="AO3166" s="10"/>
      <c r="AP3166" s="10"/>
      <c r="AQ3166" s="10"/>
      <c r="AR3166" s="10"/>
      <c r="AS3166" s="10"/>
      <c r="AT3166" s="10"/>
      <c r="AU3166" s="10"/>
      <c r="AV3166" s="10"/>
      <c r="AW3166" s="10"/>
      <c r="AX3166" s="10"/>
      <c r="AY3166" s="10"/>
      <c r="AZ3166" s="10"/>
    </row>
    <row r="3167" spans="28:52">
      <c r="AB3167" s="9">
        <v>1.0383618553266409</v>
      </c>
      <c r="AC3167" s="9">
        <v>0.62703415655854611</v>
      </c>
      <c r="AD3167" s="9">
        <v>0.97537377478211507</v>
      </c>
      <c r="AE3167" s="10"/>
      <c r="AF3167" s="10"/>
      <c r="AG3167" s="10"/>
      <c r="AH3167" s="10"/>
      <c r="AI3167" s="10"/>
      <c r="AJ3167" s="10"/>
      <c r="AK3167" s="10"/>
      <c r="AL3167" s="10"/>
      <c r="AM3167" s="10"/>
      <c r="AN3167" s="10"/>
      <c r="AO3167" s="10"/>
      <c r="AP3167" s="10"/>
      <c r="AQ3167" s="10"/>
      <c r="AR3167" s="10"/>
      <c r="AS3167" s="10"/>
      <c r="AT3167" s="10"/>
      <c r="AU3167" s="10"/>
      <c r="AV3167" s="10"/>
      <c r="AW3167" s="10"/>
      <c r="AX3167" s="10"/>
      <c r="AY3167" s="10"/>
      <c r="AZ3167" s="10"/>
    </row>
    <row r="3168" spans="28:52">
      <c r="AB3168" s="9">
        <v>1.0565728047347651</v>
      </c>
      <c r="AC3168" s="9">
        <v>1.2067322792210105</v>
      </c>
      <c r="AD3168" s="9">
        <v>0.97232234283211438</v>
      </c>
      <c r="AE3168" s="10"/>
      <c r="AF3168" s="10"/>
      <c r="AG3168" s="10"/>
      <c r="AH3168" s="10"/>
      <c r="AI3168" s="10"/>
      <c r="AJ3168" s="10"/>
      <c r="AK3168" s="10"/>
      <c r="AL3168" s="10"/>
      <c r="AM3168" s="10"/>
      <c r="AN3168" s="10"/>
      <c r="AO3168" s="10"/>
      <c r="AP3168" s="10"/>
      <c r="AQ3168" s="10"/>
      <c r="AR3168" s="10"/>
      <c r="AS3168" s="10"/>
      <c r="AT3168" s="10"/>
      <c r="AU3168" s="10"/>
      <c r="AV3168" s="10"/>
      <c r="AW3168" s="10"/>
      <c r="AX3168" s="10"/>
      <c r="AY3168" s="10"/>
      <c r="AZ3168" s="10"/>
    </row>
    <row r="3169" spans="28:52">
      <c r="AB3169" s="9">
        <v>1.0579931088051446</v>
      </c>
      <c r="AC3169" s="9">
        <v>1.2057813219799196</v>
      </c>
      <c r="AD3169" s="9">
        <v>0.97061074338627373</v>
      </c>
      <c r="AE3169" s="10"/>
      <c r="AF3169" s="10"/>
      <c r="AG3169" s="10"/>
      <c r="AH3169" s="10"/>
      <c r="AI3169" s="10"/>
      <c r="AJ3169" s="10"/>
      <c r="AK3169" s="10"/>
      <c r="AL3169" s="10"/>
      <c r="AM3169" s="10"/>
      <c r="AN3169" s="10"/>
      <c r="AO3169" s="10"/>
      <c r="AP3169" s="10"/>
      <c r="AQ3169" s="10"/>
      <c r="AR3169" s="10"/>
      <c r="AS3169" s="10"/>
      <c r="AT3169" s="10"/>
      <c r="AU3169" s="10"/>
      <c r="AV3169" s="10"/>
      <c r="AW3169" s="10"/>
      <c r="AX3169" s="10"/>
      <c r="AY3169" s="10"/>
      <c r="AZ3169" s="10"/>
    </row>
    <row r="3170" spans="28:52">
      <c r="AB3170" s="9">
        <v>1.0579323771823461</v>
      </c>
      <c r="AC3170" s="9">
        <v>0.96233446336291695</v>
      </c>
      <c r="AD3170" s="9">
        <v>0.9811209041342438</v>
      </c>
      <c r="AE3170" s="10"/>
      <c r="AF3170" s="10"/>
      <c r="AG3170" s="10"/>
      <c r="AH3170" s="10"/>
      <c r="AI3170" s="10"/>
      <c r="AJ3170" s="10"/>
      <c r="AK3170" s="10"/>
      <c r="AL3170" s="10"/>
      <c r="AM3170" s="10"/>
      <c r="AN3170" s="10"/>
      <c r="AO3170" s="10"/>
      <c r="AP3170" s="10"/>
      <c r="AQ3170" s="10"/>
      <c r="AR3170" s="10"/>
      <c r="AS3170" s="10"/>
      <c r="AT3170" s="10"/>
      <c r="AU3170" s="10"/>
      <c r="AV3170" s="10"/>
      <c r="AW3170" s="10"/>
      <c r="AX3170" s="10"/>
      <c r="AY3170" s="10"/>
      <c r="AZ3170" s="10"/>
    </row>
    <row r="3171" spans="28:52">
      <c r="AB3171" s="9">
        <v>1.045203234826829</v>
      </c>
      <c r="AC3171" s="9">
        <v>1.0809349403952611</v>
      </c>
      <c r="AD3171" s="9">
        <v>0.97487213858019384</v>
      </c>
      <c r="AE3171" s="10"/>
      <c r="AF3171" s="10"/>
      <c r="AG3171" s="10"/>
      <c r="AH3171" s="10"/>
      <c r="AI3171" s="10"/>
      <c r="AJ3171" s="10"/>
      <c r="AK3171" s="10"/>
      <c r="AL3171" s="10"/>
      <c r="AM3171" s="10"/>
      <c r="AN3171" s="10"/>
      <c r="AO3171" s="10"/>
      <c r="AP3171" s="10"/>
      <c r="AQ3171" s="10"/>
      <c r="AR3171" s="10"/>
      <c r="AS3171" s="10"/>
      <c r="AT3171" s="10"/>
      <c r="AU3171" s="10"/>
      <c r="AV3171" s="10"/>
      <c r="AW3171" s="10"/>
      <c r="AX3171" s="10"/>
      <c r="AY3171" s="10"/>
      <c r="AZ3171" s="10"/>
    </row>
    <row r="3172" spans="28:52">
      <c r="AB3172" s="9">
        <v>1.0507939769565333</v>
      </c>
      <c r="AC3172" s="9">
        <v>0.97348891107775459</v>
      </c>
      <c r="AD3172" s="9">
        <v>0.97183671932676263</v>
      </c>
      <c r="AE3172" s="10"/>
      <c r="AF3172" s="10"/>
      <c r="AG3172" s="10"/>
      <c r="AH3172" s="10"/>
      <c r="AI3172" s="10"/>
      <c r="AJ3172" s="10"/>
      <c r="AK3172" s="10"/>
      <c r="AL3172" s="10"/>
      <c r="AM3172" s="10"/>
      <c r="AN3172" s="10"/>
      <c r="AO3172" s="10"/>
      <c r="AP3172" s="10"/>
      <c r="AQ3172" s="10"/>
      <c r="AR3172" s="10"/>
      <c r="AS3172" s="10"/>
      <c r="AT3172" s="10"/>
      <c r="AU3172" s="10"/>
      <c r="AV3172" s="10"/>
      <c r="AW3172" s="10"/>
      <c r="AX3172" s="10"/>
      <c r="AY3172" s="10"/>
      <c r="AZ3172" s="10"/>
    </row>
    <row r="3173" spans="28:52">
      <c r="AB3173" s="9">
        <v>1.0528315493304174</v>
      </c>
      <c r="AC3173" s="9">
        <v>1.2247247786217801</v>
      </c>
      <c r="AD3173" s="9">
        <v>0.96710370023053183</v>
      </c>
      <c r="AE3173" s="10"/>
      <c r="AF3173" s="10"/>
      <c r="AG3173" s="10"/>
      <c r="AH3173" s="10"/>
      <c r="AI3173" s="10"/>
      <c r="AJ3173" s="10"/>
      <c r="AK3173" s="10"/>
      <c r="AL3173" s="10"/>
      <c r="AM3173" s="10"/>
      <c r="AN3173" s="10"/>
      <c r="AO3173" s="10"/>
      <c r="AP3173" s="10"/>
      <c r="AQ3173" s="10"/>
      <c r="AR3173" s="10"/>
      <c r="AS3173" s="10"/>
      <c r="AT3173" s="10"/>
      <c r="AU3173" s="10"/>
      <c r="AV3173" s="10"/>
      <c r="AW3173" s="10"/>
      <c r="AX3173" s="10"/>
      <c r="AY3173" s="10"/>
      <c r="AZ3173" s="10"/>
    </row>
    <row r="3174" spans="28:52">
      <c r="AB3174" s="9">
        <v>1.0569164055371412</v>
      </c>
      <c r="AC3174" s="9">
        <v>0.99655128173538721</v>
      </c>
      <c r="AD3174" s="9">
        <v>0.98824315694947951</v>
      </c>
      <c r="AE3174" s="10"/>
      <c r="AF3174" s="10"/>
      <c r="AG3174" s="10"/>
      <c r="AH3174" s="10"/>
      <c r="AI3174" s="10"/>
      <c r="AJ3174" s="10"/>
      <c r="AK3174" s="10"/>
      <c r="AL3174" s="10"/>
      <c r="AM3174" s="10"/>
      <c r="AN3174" s="10"/>
      <c r="AO3174" s="10"/>
      <c r="AP3174" s="10"/>
      <c r="AQ3174" s="10"/>
      <c r="AR3174" s="10"/>
      <c r="AS3174" s="10"/>
      <c r="AT3174" s="10"/>
      <c r="AU3174" s="10"/>
      <c r="AV3174" s="10"/>
      <c r="AW3174" s="10"/>
      <c r="AX3174" s="10"/>
      <c r="AY3174" s="10"/>
      <c r="AZ3174" s="10"/>
    </row>
    <row r="3175" spans="28:52">
      <c r="AB3175" s="9">
        <v>1.033114751811421</v>
      </c>
      <c r="AC3175" s="9">
        <v>1.4505817752441583</v>
      </c>
      <c r="AD3175" s="9">
        <v>0.98200339121289548</v>
      </c>
      <c r="AE3175" s="10"/>
      <c r="AF3175" s="10"/>
      <c r="AG3175" s="10"/>
      <c r="AH3175" s="10"/>
      <c r="AI3175" s="10"/>
      <c r="AJ3175" s="10"/>
      <c r="AK3175" s="10"/>
      <c r="AL3175" s="10"/>
      <c r="AM3175" s="10"/>
      <c r="AN3175" s="10"/>
      <c r="AO3175" s="10"/>
      <c r="AP3175" s="10"/>
      <c r="AQ3175" s="10"/>
      <c r="AR3175" s="10"/>
      <c r="AS3175" s="10"/>
      <c r="AT3175" s="10"/>
      <c r="AU3175" s="10"/>
      <c r="AV3175" s="10"/>
      <c r="AW3175" s="10"/>
      <c r="AX3175" s="10"/>
      <c r="AY3175" s="10"/>
      <c r="AZ3175" s="10"/>
    </row>
    <row r="3176" spans="28:52">
      <c r="AB3176" s="9">
        <v>1.0387793367356124</v>
      </c>
      <c r="AC3176" s="9">
        <v>1.0285545848331088</v>
      </c>
      <c r="AD3176" s="9">
        <v>0.9827288526381287</v>
      </c>
      <c r="AE3176" s="10"/>
      <c r="AF3176" s="10"/>
      <c r="AG3176" s="10"/>
      <c r="AH3176" s="10"/>
      <c r="AI3176" s="10"/>
      <c r="AJ3176" s="10"/>
      <c r="AK3176" s="10"/>
      <c r="AL3176" s="10"/>
      <c r="AM3176" s="10"/>
      <c r="AN3176" s="10"/>
      <c r="AO3176" s="10"/>
      <c r="AP3176" s="10"/>
      <c r="AQ3176" s="10"/>
      <c r="AR3176" s="10"/>
      <c r="AS3176" s="10"/>
      <c r="AT3176" s="10"/>
      <c r="AU3176" s="10"/>
      <c r="AV3176" s="10"/>
      <c r="AW3176" s="10"/>
      <c r="AX3176" s="10"/>
      <c r="AY3176" s="10"/>
      <c r="AZ3176" s="10"/>
    </row>
    <row r="3177" spans="28:52">
      <c r="AB3177" s="9">
        <v>1.0372499450820043</v>
      </c>
      <c r="AC3177" s="9">
        <v>0.93436070284265105</v>
      </c>
      <c r="AD3177" s="9">
        <v>0.98984536904192588</v>
      </c>
      <c r="AE3177" s="10"/>
      <c r="AF3177" s="10"/>
      <c r="AG3177" s="10"/>
      <c r="AH3177" s="10"/>
      <c r="AI3177" s="10"/>
      <c r="AJ3177" s="10"/>
      <c r="AK3177" s="10"/>
      <c r="AL3177" s="10"/>
      <c r="AM3177" s="10"/>
      <c r="AN3177" s="10"/>
      <c r="AO3177" s="10"/>
      <c r="AP3177" s="10"/>
      <c r="AQ3177" s="10"/>
      <c r="AR3177" s="10"/>
      <c r="AS3177" s="10"/>
      <c r="AT3177" s="10"/>
      <c r="AU3177" s="10"/>
      <c r="AV3177" s="10"/>
      <c r="AW3177" s="10"/>
      <c r="AX3177" s="10"/>
      <c r="AY3177" s="10"/>
      <c r="AZ3177" s="10"/>
    </row>
    <row r="3178" spans="28:52">
      <c r="AB3178" s="9">
        <v>1.029615710872156</v>
      </c>
      <c r="AC3178" s="9">
        <v>0.9313052677975715</v>
      </c>
      <c r="AD3178" s="9">
        <v>0.99732387280096979</v>
      </c>
      <c r="AE3178" s="10"/>
      <c r="AF3178" s="10"/>
      <c r="AG3178" s="10"/>
      <c r="AH3178" s="10"/>
      <c r="AI3178" s="10"/>
      <c r="AJ3178" s="10"/>
      <c r="AK3178" s="10"/>
      <c r="AL3178" s="10"/>
      <c r="AM3178" s="10"/>
      <c r="AN3178" s="10"/>
      <c r="AO3178" s="10"/>
      <c r="AP3178" s="10"/>
      <c r="AQ3178" s="10"/>
      <c r="AR3178" s="10"/>
      <c r="AS3178" s="10"/>
      <c r="AT3178" s="10"/>
      <c r="AU3178" s="10"/>
      <c r="AV3178" s="10"/>
      <c r="AW3178" s="10"/>
      <c r="AX3178" s="10"/>
      <c r="AY3178" s="10"/>
      <c r="AZ3178" s="10"/>
    </row>
    <row r="3179" spans="28:52">
      <c r="AB3179" s="9">
        <v>1.0218746333062378</v>
      </c>
      <c r="AC3179" s="9">
        <v>1.0363289714604105</v>
      </c>
      <c r="AD3179" s="9">
        <v>0.98991821640178734</v>
      </c>
      <c r="AE3179" s="10"/>
      <c r="AF3179" s="10"/>
      <c r="AG3179" s="10"/>
      <c r="AH3179" s="10"/>
      <c r="AI3179" s="10"/>
      <c r="AJ3179" s="10"/>
      <c r="AK3179" s="10"/>
      <c r="AL3179" s="10"/>
      <c r="AM3179" s="10"/>
      <c r="AN3179" s="10"/>
      <c r="AO3179" s="10"/>
      <c r="AP3179" s="10"/>
      <c r="AQ3179" s="10"/>
      <c r="AR3179" s="10"/>
      <c r="AS3179" s="10"/>
      <c r="AT3179" s="10"/>
      <c r="AU3179" s="10"/>
      <c r="AV3179" s="10"/>
      <c r="AW3179" s="10"/>
      <c r="AX3179" s="10"/>
      <c r="AY3179" s="10"/>
      <c r="AZ3179" s="10"/>
    </row>
    <row r="3180" spans="28:52">
      <c r="AB3180" s="9">
        <v>1.0297503998757356</v>
      </c>
      <c r="AC3180" s="9">
        <v>0.98947103428406624</v>
      </c>
      <c r="AD3180" s="9">
        <v>0.98933167018761692</v>
      </c>
      <c r="AE3180" s="10"/>
      <c r="AF3180" s="10"/>
      <c r="AG3180" s="10"/>
      <c r="AH3180" s="10"/>
      <c r="AI3180" s="10"/>
      <c r="AJ3180" s="10"/>
      <c r="AK3180" s="10"/>
      <c r="AL3180" s="10"/>
      <c r="AM3180" s="10"/>
      <c r="AN3180" s="10"/>
      <c r="AO3180" s="10"/>
      <c r="AP3180" s="10"/>
      <c r="AQ3180" s="10"/>
      <c r="AR3180" s="10"/>
      <c r="AS3180" s="10"/>
      <c r="AT3180" s="10"/>
      <c r="AU3180" s="10"/>
      <c r="AV3180" s="10"/>
      <c r="AW3180" s="10"/>
      <c r="AX3180" s="10"/>
      <c r="AY3180" s="10"/>
      <c r="AZ3180" s="10"/>
    </row>
    <row r="3181" spans="28:52">
      <c r="AB3181" s="9">
        <v>1.030036179927738</v>
      </c>
      <c r="AC3181" s="9">
        <v>0.89568362067227802</v>
      </c>
      <c r="AD3181" s="9">
        <v>1.0053948040427938</v>
      </c>
      <c r="AE3181" s="10"/>
      <c r="AF3181" s="10"/>
      <c r="AG3181" s="10"/>
      <c r="AH3181" s="10"/>
      <c r="AI3181" s="10"/>
      <c r="AJ3181" s="10"/>
      <c r="AK3181" s="10"/>
      <c r="AL3181" s="10"/>
      <c r="AM3181" s="10"/>
      <c r="AN3181" s="10"/>
      <c r="AO3181" s="10"/>
      <c r="AP3181" s="10"/>
      <c r="AQ3181" s="10"/>
      <c r="AR3181" s="10"/>
      <c r="AS3181" s="10"/>
      <c r="AT3181" s="10"/>
      <c r="AU3181" s="10"/>
      <c r="AV3181" s="10"/>
      <c r="AW3181" s="10"/>
      <c r="AX3181" s="10"/>
      <c r="AY3181" s="10"/>
      <c r="AZ3181" s="10"/>
    </row>
    <row r="3182" spans="28:52">
      <c r="AB3182" s="9">
        <v>1.013154573816768</v>
      </c>
      <c r="AC3182" s="9">
        <v>0.80667890219813887</v>
      </c>
      <c r="AD3182" s="9">
        <v>1.0085433548784659</v>
      </c>
      <c r="AE3182" s="10"/>
      <c r="AF3182" s="10"/>
      <c r="AG3182" s="10"/>
      <c r="AH3182" s="10"/>
      <c r="AI3182" s="10"/>
      <c r="AJ3182" s="10"/>
      <c r="AK3182" s="10"/>
      <c r="AL3182" s="10"/>
      <c r="AM3182" s="10"/>
      <c r="AN3182" s="10"/>
      <c r="AO3182" s="10"/>
      <c r="AP3182" s="10"/>
      <c r="AQ3182" s="10"/>
      <c r="AR3182" s="10"/>
      <c r="AS3182" s="10"/>
      <c r="AT3182" s="10"/>
      <c r="AU3182" s="10"/>
      <c r="AV3182" s="10"/>
      <c r="AW3182" s="10"/>
      <c r="AX3182" s="10"/>
      <c r="AY3182" s="10"/>
      <c r="AZ3182" s="10"/>
    </row>
    <row r="3183" spans="28:52">
      <c r="AB3183" s="9">
        <v>1.0099344245815352</v>
      </c>
      <c r="AC3183" s="9">
        <v>0.87899496233811092</v>
      </c>
      <c r="AD3183" s="9">
        <v>1.0223810717226636</v>
      </c>
      <c r="AE3183" s="10"/>
      <c r="AF3183" s="10"/>
      <c r="AG3183" s="10"/>
      <c r="AH3183" s="10"/>
      <c r="AI3183" s="10"/>
      <c r="AJ3183" s="10"/>
      <c r="AK3183" s="10"/>
      <c r="AL3183" s="10"/>
      <c r="AM3183" s="10"/>
      <c r="AN3183" s="10"/>
      <c r="AO3183" s="10"/>
      <c r="AP3183" s="10"/>
      <c r="AQ3183" s="10"/>
      <c r="AR3183" s="10"/>
      <c r="AS3183" s="10"/>
      <c r="AT3183" s="10"/>
      <c r="AU3183" s="10"/>
      <c r="AV3183" s="10"/>
      <c r="AW3183" s="10"/>
      <c r="AX3183" s="10"/>
      <c r="AY3183" s="10"/>
      <c r="AZ3183" s="10"/>
    </row>
    <row r="3184" spans="28:52">
      <c r="AB3184" s="9">
        <v>0.99688888937232434</v>
      </c>
      <c r="AC3184" s="9">
        <v>0.83722350630182496</v>
      </c>
      <c r="AD3184" s="9">
        <v>1.0295331011408515</v>
      </c>
      <c r="AE3184" s="10"/>
      <c r="AF3184" s="10"/>
      <c r="AG3184" s="10"/>
      <c r="AH3184" s="10"/>
      <c r="AI3184" s="10"/>
      <c r="AJ3184" s="10"/>
      <c r="AK3184" s="10"/>
      <c r="AL3184" s="10"/>
      <c r="AM3184" s="10"/>
      <c r="AN3184" s="10"/>
      <c r="AO3184" s="10"/>
      <c r="AP3184" s="10"/>
      <c r="AQ3184" s="10"/>
      <c r="AR3184" s="10"/>
      <c r="AS3184" s="10"/>
      <c r="AT3184" s="10"/>
      <c r="AU3184" s="10"/>
      <c r="AV3184" s="10"/>
      <c r="AW3184" s="10"/>
      <c r="AX3184" s="10"/>
      <c r="AY3184" s="10"/>
      <c r="AZ3184" s="10"/>
    </row>
    <row r="3185" spans="28:52">
      <c r="AB3185" s="9">
        <v>0.99105703792949151</v>
      </c>
      <c r="AC3185" s="9">
        <v>0.82608086405990833</v>
      </c>
      <c r="AD3185" s="9">
        <v>1.0324285170306997</v>
      </c>
      <c r="AE3185" s="10"/>
      <c r="AF3185" s="10"/>
      <c r="AG3185" s="10"/>
      <c r="AH3185" s="10"/>
      <c r="AI3185" s="10"/>
      <c r="AJ3185" s="10"/>
      <c r="AK3185" s="10"/>
      <c r="AL3185" s="10"/>
      <c r="AM3185" s="10"/>
      <c r="AN3185" s="10"/>
      <c r="AO3185" s="10"/>
      <c r="AP3185" s="10"/>
      <c r="AQ3185" s="10"/>
      <c r="AR3185" s="10"/>
      <c r="AS3185" s="10"/>
      <c r="AT3185" s="10"/>
      <c r="AU3185" s="10"/>
      <c r="AV3185" s="10"/>
      <c r="AW3185" s="10"/>
      <c r="AX3185" s="10"/>
      <c r="AY3185" s="10"/>
      <c r="AZ3185" s="10"/>
    </row>
    <row r="3186" spans="28:52">
      <c r="AB3186" s="9">
        <v>0.98965224826646314</v>
      </c>
      <c r="AC3186" s="9">
        <v>0.75389492666923363</v>
      </c>
      <c r="AD3186" s="9">
        <v>1.0361939198636798</v>
      </c>
      <c r="AE3186" s="10"/>
      <c r="AF3186" s="10"/>
      <c r="AG3186" s="10"/>
      <c r="AH3186" s="10"/>
      <c r="AI3186" s="10"/>
      <c r="AJ3186" s="10"/>
      <c r="AK3186" s="10"/>
      <c r="AL3186" s="10"/>
      <c r="AM3186" s="10"/>
      <c r="AN3186" s="10"/>
      <c r="AO3186" s="10"/>
      <c r="AP3186" s="10"/>
      <c r="AQ3186" s="10"/>
      <c r="AR3186" s="10"/>
      <c r="AS3186" s="10"/>
      <c r="AT3186" s="10"/>
      <c r="AU3186" s="10"/>
      <c r="AV3186" s="10"/>
      <c r="AW3186" s="10"/>
      <c r="AX3186" s="10"/>
      <c r="AY3186" s="10"/>
      <c r="AZ3186" s="10"/>
    </row>
    <row r="3187" spans="28:52">
      <c r="AB3187" s="9">
        <v>0.98762163958784421</v>
      </c>
      <c r="AC3187" s="9">
        <v>0.61590661420149584</v>
      </c>
      <c r="AD3187" s="9">
        <v>1.0313523897918169</v>
      </c>
      <c r="AE3187" s="10"/>
      <c r="AF3187" s="10"/>
      <c r="AG3187" s="10"/>
      <c r="AH3187" s="10"/>
      <c r="AI3187" s="10"/>
      <c r="AJ3187" s="10"/>
      <c r="AK3187" s="10"/>
      <c r="AL3187" s="10"/>
      <c r="AM3187" s="10"/>
      <c r="AN3187" s="10"/>
      <c r="AO3187" s="10"/>
      <c r="AP3187" s="10"/>
      <c r="AQ3187" s="10"/>
      <c r="AR3187" s="10"/>
      <c r="AS3187" s="10"/>
      <c r="AT3187" s="10"/>
      <c r="AU3187" s="10"/>
      <c r="AV3187" s="10"/>
      <c r="AW3187" s="10"/>
      <c r="AX3187" s="10"/>
      <c r="AY3187" s="10"/>
      <c r="AZ3187" s="10"/>
    </row>
    <row r="3188" spans="28:52">
      <c r="AB3188" s="9">
        <v>0.99353754273385475</v>
      </c>
      <c r="AC3188" s="9">
        <v>0.85470233782108074</v>
      </c>
      <c r="AD3188" s="9">
        <v>1.0334175793987317</v>
      </c>
      <c r="AE3188" s="10"/>
      <c r="AF3188" s="10"/>
      <c r="AG3188" s="10"/>
      <c r="AH3188" s="10"/>
      <c r="AI3188" s="10"/>
      <c r="AJ3188" s="10"/>
      <c r="AK3188" s="10"/>
      <c r="AL3188" s="10"/>
      <c r="AM3188" s="10"/>
      <c r="AN3188" s="10"/>
      <c r="AO3188" s="10"/>
      <c r="AP3188" s="10"/>
      <c r="AQ3188" s="10"/>
      <c r="AR3188" s="10"/>
      <c r="AS3188" s="10"/>
      <c r="AT3188" s="10"/>
      <c r="AU3188" s="10"/>
      <c r="AV3188" s="10"/>
      <c r="AW3188" s="10"/>
      <c r="AX3188" s="10"/>
      <c r="AY3188" s="10"/>
      <c r="AZ3188" s="10"/>
    </row>
    <row r="3189" spans="28:52">
      <c r="AB3189" s="9">
        <v>0.9928977924893575</v>
      </c>
      <c r="AC3189" s="9">
        <v>0.55641048911050006</v>
      </c>
      <c r="AD3189" s="9">
        <v>1.0574261440937052</v>
      </c>
      <c r="AE3189" s="10"/>
      <c r="AF3189" s="10"/>
      <c r="AG3189" s="10"/>
      <c r="AH3189" s="10"/>
      <c r="AI3189" s="10"/>
      <c r="AJ3189" s="10"/>
      <c r="AK3189" s="10"/>
      <c r="AL3189" s="10"/>
      <c r="AM3189" s="10"/>
      <c r="AN3189" s="10"/>
      <c r="AO3189" s="10"/>
      <c r="AP3189" s="10"/>
      <c r="AQ3189" s="10"/>
      <c r="AR3189" s="10"/>
      <c r="AS3189" s="10"/>
      <c r="AT3189" s="10"/>
      <c r="AU3189" s="10"/>
      <c r="AV3189" s="10"/>
      <c r="AW3189" s="10"/>
      <c r="AX3189" s="10"/>
      <c r="AY3189" s="10"/>
      <c r="AZ3189" s="10"/>
    </row>
    <row r="3190" spans="28:52">
      <c r="AB3190" s="9">
        <v>0.97258240529834661</v>
      </c>
      <c r="AC3190" s="9">
        <v>0.63020190903713436</v>
      </c>
      <c r="AD3190" s="9">
        <v>1.0545681480724287</v>
      </c>
      <c r="AE3190" s="10"/>
      <c r="AF3190" s="10"/>
      <c r="AG3190" s="10"/>
      <c r="AH3190" s="10"/>
      <c r="AI3190" s="10"/>
      <c r="AJ3190" s="10"/>
      <c r="AK3190" s="10"/>
      <c r="AL3190" s="10"/>
      <c r="AM3190" s="10"/>
      <c r="AN3190" s="10"/>
      <c r="AO3190" s="10"/>
      <c r="AP3190" s="10"/>
      <c r="AQ3190" s="10"/>
      <c r="AR3190" s="10"/>
      <c r="AS3190" s="10"/>
      <c r="AT3190" s="10"/>
      <c r="AU3190" s="10"/>
      <c r="AV3190" s="10"/>
      <c r="AW3190" s="10"/>
      <c r="AX3190" s="10"/>
      <c r="AY3190" s="10"/>
      <c r="AZ3190" s="10"/>
    </row>
    <row r="3191" spans="28:52">
      <c r="AB3191" s="9">
        <v>0.97779894581890259</v>
      </c>
      <c r="AC3191" s="9">
        <v>0.69811005397577119</v>
      </c>
      <c r="AD3191" s="9">
        <v>1.0397141479718648</v>
      </c>
      <c r="AE3191" s="10"/>
      <c r="AF3191" s="10"/>
      <c r="AG3191" s="10"/>
      <c r="AH3191" s="10"/>
      <c r="AI3191" s="10"/>
      <c r="AJ3191" s="10"/>
      <c r="AK3191" s="10"/>
      <c r="AL3191" s="10"/>
      <c r="AM3191" s="10"/>
      <c r="AN3191" s="10"/>
      <c r="AO3191" s="10"/>
      <c r="AP3191" s="10"/>
      <c r="AQ3191" s="10"/>
      <c r="AR3191" s="10"/>
      <c r="AS3191" s="10"/>
      <c r="AT3191" s="10"/>
      <c r="AU3191" s="10"/>
      <c r="AV3191" s="10"/>
      <c r="AW3191" s="10"/>
      <c r="AX3191" s="10"/>
      <c r="AY3191" s="10"/>
      <c r="AZ3191" s="10"/>
    </row>
    <row r="3192" spans="28:52">
      <c r="AB3192" s="9">
        <v>0.99409083457859215</v>
      </c>
      <c r="AC3192" s="9">
        <v>0.78389341848844252</v>
      </c>
      <c r="AD3192" s="9">
        <v>1.0349427636197548</v>
      </c>
      <c r="AE3192" s="10"/>
      <c r="AF3192" s="10"/>
      <c r="AG3192" s="10"/>
      <c r="AH3192" s="10"/>
      <c r="AI3192" s="10"/>
      <c r="AJ3192" s="10"/>
      <c r="AK3192" s="10"/>
      <c r="AL3192" s="10"/>
      <c r="AM3192" s="10"/>
      <c r="AN3192" s="10"/>
      <c r="AO3192" s="10"/>
      <c r="AP3192" s="10"/>
      <c r="AQ3192" s="10"/>
      <c r="AR3192" s="10"/>
      <c r="AS3192" s="10"/>
      <c r="AT3192" s="10"/>
      <c r="AU3192" s="10"/>
      <c r="AV3192" s="10"/>
      <c r="AW3192" s="10"/>
      <c r="AX3192" s="10"/>
      <c r="AY3192" s="10"/>
      <c r="AZ3192" s="10"/>
    </row>
    <row r="3193" spans="28:52">
      <c r="AB3193" s="9">
        <v>1.0002829209489763</v>
      </c>
      <c r="AC3193" s="9">
        <v>0.86884389505988846</v>
      </c>
      <c r="AD3193" s="9">
        <v>1.0422166638062726</v>
      </c>
      <c r="AE3193" s="10"/>
      <c r="AF3193" s="10"/>
      <c r="AG3193" s="10"/>
      <c r="AH3193" s="10"/>
      <c r="AI3193" s="10"/>
      <c r="AJ3193" s="10"/>
      <c r="AK3193" s="10"/>
      <c r="AL3193" s="10"/>
      <c r="AM3193" s="10"/>
      <c r="AN3193" s="10"/>
      <c r="AO3193" s="10"/>
      <c r="AP3193" s="10"/>
      <c r="AQ3193" s="10"/>
      <c r="AR3193" s="10"/>
      <c r="AS3193" s="10"/>
      <c r="AT3193" s="10"/>
      <c r="AU3193" s="10"/>
      <c r="AV3193" s="10"/>
      <c r="AW3193" s="10"/>
      <c r="AX3193" s="10"/>
      <c r="AY3193" s="10"/>
      <c r="AZ3193" s="10"/>
    </row>
    <row r="3194" spans="28:52">
      <c r="AB3194" s="9">
        <v>0.99512543311427726</v>
      </c>
      <c r="AC3194" s="9">
        <v>0.75906136321276618</v>
      </c>
      <c r="AD3194" s="9">
        <v>1.0386059866969795</v>
      </c>
      <c r="AE3194" s="10"/>
      <c r="AF3194" s="10"/>
      <c r="AG3194" s="10"/>
      <c r="AH3194" s="10"/>
      <c r="AI3194" s="10"/>
      <c r="AJ3194" s="10"/>
      <c r="AK3194" s="10"/>
      <c r="AL3194" s="10"/>
      <c r="AM3194" s="10"/>
      <c r="AN3194" s="10"/>
      <c r="AO3194" s="10"/>
      <c r="AP3194" s="10"/>
      <c r="AQ3194" s="10"/>
      <c r="AR3194" s="10"/>
      <c r="AS3194" s="10"/>
      <c r="AT3194" s="10"/>
      <c r="AU3194" s="10"/>
      <c r="AV3194" s="10"/>
      <c r="AW3194" s="10"/>
      <c r="AX3194" s="10"/>
      <c r="AY3194" s="10"/>
      <c r="AZ3194" s="10"/>
    </row>
    <row r="3195" spans="28:52">
      <c r="AB3195" s="9">
        <v>1.0004563889656073</v>
      </c>
      <c r="AC3195" s="9">
        <v>0.72092085306751674</v>
      </c>
      <c r="AD3195" s="9">
        <v>1.0447256887653493</v>
      </c>
      <c r="AE3195" s="10"/>
      <c r="AF3195" s="10"/>
      <c r="AG3195" s="10"/>
      <c r="AH3195" s="10"/>
      <c r="AI3195" s="10"/>
      <c r="AJ3195" s="10"/>
      <c r="AK3195" s="10"/>
      <c r="AL3195" s="10"/>
      <c r="AM3195" s="10"/>
      <c r="AN3195" s="10"/>
      <c r="AO3195" s="10"/>
      <c r="AP3195" s="10"/>
      <c r="AQ3195" s="10"/>
      <c r="AR3195" s="10"/>
      <c r="AS3195" s="10"/>
      <c r="AT3195" s="10"/>
      <c r="AU3195" s="10"/>
      <c r="AV3195" s="10"/>
      <c r="AW3195" s="10"/>
      <c r="AX3195" s="10"/>
      <c r="AY3195" s="10"/>
      <c r="AZ3195" s="10"/>
    </row>
    <row r="3196" spans="28:52">
      <c r="AB3196" s="9">
        <v>0.99629422217064811</v>
      </c>
      <c r="AC3196" s="9">
        <v>0.72644181110194561</v>
      </c>
      <c r="AD3196" s="9">
        <v>1.0565347904534688</v>
      </c>
      <c r="AE3196" s="10"/>
      <c r="AF3196" s="10"/>
      <c r="AG3196" s="10"/>
      <c r="AH3196" s="10"/>
      <c r="AI3196" s="10"/>
      <c r="AJ3196" s="10"/>
      <c r="AK3196" s="10"/>
      <c r="AL3196" s="10"/>
      <c r="AM3196" s="10"/>
      <c r="AN3196" s="10"/>
      <c r="AO3196" s="10"/>
      <c r="AP3196" s="10"/>
      <c r="AQ3196" s="10"/>
      <c r="AR3196" s="10"/>
      <c r="AS3196" s="10"/>
      <c r="AT3196" s="10"/>
      <c r="AU3196" s="10"/>
      <c r="AV3196" s="10"/>
      <c r="AW3196" s="10"/>
      <c r="AX3196" s="10"/>
      <c r="AY3196" s="10"/>
      <c r="AZ3196" s="10"/>
    </row>
    <row r="3197" spans="28:52">
      <c r="AB3197" s="9">
        <v>0.98670481849923342</v>
      </c>
      <c r="AC3197" s="9">
        <v>0.53121407768956508</v>
      </c>
      <c r="AD3197" s="9">
        <v>1.0570179330871259</v>
      </c>
      <c r="AE3197" s="10"/>
      <c r="AF3197" s="10"/>
      <c r="AG3197" s="10"/>
      <c r="AH3197" s="10"/>
      <c r="AI3197" s="10"/>
      <c r="AJ3197" s="10"/>
      <c r="AK3197" s="10"/>
      <c r="AL3197" s="10"/>
      <c r="AM3197" s="10"/>
      <c r="AN3197" s="10"/>
      <c r="AO3197" s="10"/>
      <c r="AP3197" s="10"/>
      <c r="AQ3197" s="10"/>
      <c r="AR3197" s="10"/>
      <c r="AS3197" s="10"/>
      <c r="AT3197" s="10"/>
      <c r="AU3197" s="10"/>
      <c r="AV3197" s="10"/>
      <c r="AW3197" s="10"/>
      <c r="AX3197" s="10"/>
      <c r="AY3197" s="10"/>
      <c r="AZ3197" s="10"/>
    </row>
    <row r="3198" spans="28:52">
      <c r="AB3198" s="9">
        <v>0.98807849426304872</v>
      </c>
      <c r="AC3198" s="9">
        <v>0.64661772780006854</v>
      </c>
      <c r="AD3198" s="9">
        <v>1.0701162073398101</v>
      </c>
      <c r="AE3198" s="10"/>
      <c r="AF3198" s="10"/>
      <c r="AG3198" s="10"/>
      <c r="AH3198" s="10"/>
      <c r="AI3198" s="10"/>
      <c r="AJ3198" s="10"/>
      <c r="AK3198" s="10"/>
      <c r="AL3198" s="10"/>
      <c r="AM3198" s="10"/>
      <c r="AN3198" s="10"/>
      <c r="AO3198" s="10"/>
      <c r="AP3198" s="10"/>
      <c r="AQ3198" s="10"/>
      <c r="AR3198" s="10"/>
      <c r="AS3198" s="10"/>
      <c r="AT3198" s="10"/>
      <c r="AU3198" s="10"/>
      <c r="AV3198" s="10"/>
      <c r="AW3198" s="10"/>
      <c r="AX3198" s="10"/>
      <c r="AY3198" s="10"/>
      <c r="AZ3198" s="10"/>
    </row>
    <row r="3199" spans="28:52">
      <c r="AB3199" s="9">
        <v>0.97797848899625495</v>
      </c>
      <c r="AC3199" s="9">
        <v>7.0751898514545219E-2</v>
      </c>
      <c r="AD3199" s="9">
        <v>1.0617390681858856</v>
      </c>
      <c r="AE3199" s="10"/>
      <c r="AF3199" s="10"/>
      <c r="AG3199" s="10"/>
      <c r="AH3199" s="10"/>
      <c r="AI3199" s="10"/>
      <c r="AJ3199" s="10"/>
      <c r="AK3199" s="10"/>
      <c r="AL3199" s="10"/>
      <c r="AM3199" s="10"/>
      <c r="AN3199" s="10"/>
      <c r="AO3199" s="10"/>
      <c r="AP3199" s="10"/>
      <c r="AQ3199" s="10"/>
      <c r="AR3199" s="10"/>
      <c r="AS3199" s="10"/>
      <c r="AT3199" s="10"/>
      <c r="AU3199" s="10"/>
      <c r="AV3199" s="10"/>
      <c r="AW3199" s="10"/>
      <c r="AX3199" s="10"/>
      <c r="AY3199" s="10"/>
      <c r="AZ3199" s="10"/>
    </row>
    <row r="3200" spans="28:52">
      <c r="AB3200" s="9">
        <v>0.98775118162116315</v>
      </c>
      <c r="AC3200" s="9">
        <v>0.77835602550994332</v>
      </c>
      <c r="AD3200" s="9">
        <v>1.0668081975720003</v>
      </c>
      <c r="AE3200" s="10"/>
      <c r="AF3200" s="10"/>
      <c r="AG3200" s="10"/>
      <c r="AH3200" s="10"/>
      <c r="AI3200" s="10"/>
      <c r="AJ3200" s="10"/>
      <c r="AK3200" s="10"/>
      <c r="AL3200" s="10"/>
      <c r="AM3200" s="10"/>
      <c r="AN3200" s="10"/>
      <c r="AO3200" s="10"/>
      <c r="AP3200" s="10"/>
      <c r="AQ3200" s="10"/>
      <c r="AR3200" s="10"/>
      <c r="AS3200" s="10"/>
      <c r="AT3200" s="10"/>
      <c r="AU3200" s="10"/>
      <c r="AV3200" s="10"/>
      <c r="AW3200" s="10"/>
      <c r="AX3200" s="10"/>
      <c r="AY3200" s="10"/>
      <c r="AZ3200" s="10"/>
    </row>
    <row r="3201" spans="28:52">
      <c r="AB3201" s="9">
        <v>0.98575548393710177</v>
      </c>
      <c r="AC3201" s="9">
        <v>0.79367075191126468</v>
      </c>
      <c r="AD3201" s="9">
        <v>1.0587083912873212</v>
      </c>
      <c r="AE3201" s="10"/>
      <c r="AF3201" s="10"/>
      <c r="AG3201" s="10"/>
      <c r="AH3201" s="10"/>
      <c r="AI3201" s="10"/>
      <c r="AJ3201" s="10"/>
      <c r="AK3201" s="10"/>
      <c r="AL3201" s="10"/>
      <c r="AM3201" s="10"/>
      <c r="AN3201" s="10"/>
      <c r="AO3201" s="10"/>
      <c r="AP3201" s="10"/>
      <c r="AQ3201" s="10"/>
      <c r="AR3201" s="10"/>
      <c r="AS3201" s="10"/>
      <c r="AT3201" s="10"/>
      <c r="AU3201" s="10"/>
      <c r="AV3201" s="10"/>
      <c r="AW3201" s="10"/>
      <c r="AX3201" s="10"/>
      <c r="AY3201" s="10"/>
      <c r="AZ3201" s="10"/>
    </row>
    <row r="3202" spans="28:52">
      <c r="AB3202" s="9">
        <v>0.99625598490326384</v>
      </c>
      <c r="AC3202" s="9">
        <v>0.65144888567041825</v>
      </c>
      <c r="AD3202" s="9">
        <v>1.0687880718096625</v>
      </c>
      <c r="AE3202" s="10"/>
      <c r="AF3202" s="10"/>
      <c r="AG3202" s="10"/>
      <c r="AH3202" s="10"/>
      <c r="AI3202" s="10"/>
      <c r="AJ3202" s="10"/>
      <c r="AK3202" s="10"/>
      <c r="AL3202" s="10"/>
      <c r="AM3202" s="10"/>
      <c r="AN3202" s="10"/>
      <c r="AO3202" s="10"/>
      <c r="AP3202" s="10"/>
      <c r="AQ3202" s="10"/>
      <c r="AR3202" s="10"/>
      <c r="AS3202" s="10"/>
      <c r="AT3202" s="10"/>
      <c r="AU3202" s="10"/>
      <c r="AV3202" s="10"/>
      <c r="AW3202" s="10"/>
      <c r="AX3202" s="10"/>
      <c r="AY3202" s="10"/>
      <c r="AZ3202" s="10"/>
    </row>
    <row r="3203" spans="28:52">
      <c r="AB3203" s="9">
        <v>0.98991220173229078</v>
      </c>
      <c r="AC3203" s="9">
        <v>0.65523028829564101</v>
      </c>
      <c r="AD3203" s="9">
        <v>1.097901185846339</v>
      </c>
      <c r="AE3203" s="10"/>
      <c r="AF3203" s="10"/>
      <c r="AG3203" s="10"/>
      <c r="AH3203" s="10"/>
      <c r="AI3203" s="10"/>
      <c r="AJ3203" s="10"/>
      <c r="AK3203" s="10"/>
      <c r="AL3203" s="10"/>
      <c r="AM3203" s="10"/>
      <c r="AN3203" s="10"/>
      <c r="AO3203" s="10"/>
      <c r="AP3203" s="10"/>
      <c r="AQ3203" s="10"/>
      <c r="AR3203" s="10"/>
      <c r="AS3203" s="10"/>
      <c r="AT3203" s="10"/>
      <c r="AU3203" s="10"/>
      <c r="AV3203" s="10"/>
      <c r="AW3203" s="10"/>
      <c r="AX3203" s="10"/>
      <c r="AY3203" s="10"/>
      <c r="AZ3203" s="10"/>
    </row>
    <row r="3204" spans="28:52">
      <c r="AB3204" s="9">
        <v>0.96751610687804901</v>
      </c>
      <c r="AC3204" s="9">
        <v>1.0962888332687211</v>
      </c>
      <c r="AD3204" s="9">
        <v>1.098844812403359</v>
      </c>
      <c r="AE3204" s="10"/>
      <c r="AF3204" s="10"/>
      <c r="AG3204" s="10"/>
      <c r="AH3204" s="10"/>
      <c r="AI3204" s="10"/>
      <c r="AJ3204" s="10"/>
      <c r="AK3204" s="10"/>
      <c r="AL3204" s="10"/>
      <c r="AM3204" s="10"/>
      <c r="AN3204" s="10"/>
      <c r="AO3204" s="10"/>
      <c r="AP3204" s="10"/>
      <c r="AQ3204" s="10"/>
      <c r="AR3204" s="10"/>
      <c r="AS3204" s="10"/>
      <c r="AT3204" s="10"/>
      <c r="AU3204" s="10"/>
      <c r="AV3204" s="10"/>
      <c r="AW3204" s="10"/>
      <c r="AX3204" s="10"/>
      <c r="AY3204" s="10"/>
      <c r="AZ3204" s="10"/>
    </row>
    <row r="3205" spans="28:52">
      <c r="AB3205" s="9">
        <v>0.97050670767650105</v>
      </c>
      <c r="AC3205" s="9">
        <v>0.69471830787521349</v>
      </c>
      <c r="AD3205" s="9">
        <v>1.1045966908770792</v>
      </c>
      <c r="AE3205" s="10"/>
      <c r="AF3205" s="10"/>
      <c r="AG3205" s="10"/>
      <c r="AH3205" s="10"/>
      <c r="AI3205" s="10"/>
      <c r="AJ3205" s="10"/>
      <c r="AK3205" s="10"/>
      <c r="AL3205" s="10"/>
      <c r="AM3205" s="10"/>
      <c r="AN3205" s="10"/>
      <c r="AO3205" s="10"/>
      <c r="AP3205" s="10"/>
      <c r="AQ3205" s="10"/>
      <c r="AR3205" s="10"/>
      <c r="AS3205" s="10"/>
      <c r="AT3205" s="10"/>
      <c r="AU3205" s="10"/>
      <c r="AV3205" s="10"/>
      <c r="AW3205" s="10"/>
      <c r="AX3205" s="10"/>
      <c r="AY3205" s="10"/>
      <c r="AZ3205" s="10"/>
    </row>
    <row r="3206" spans="28:52">
      <c r="AB3206" s="9">
        <v>0.9692642899597117</v>
      </c>
      <c r="AC3206" s="9">
        <v>0.67033838266037227</v>
      </c>
      <c r="AD3206" s="9">
        <v>1.0943957868831951</v>
      </c>
      <c r="AE3206" s="10"/>
      <c r="AF3206" s="10"/>
      <c r="AG3206" s="10"/>
      <c r="AH3206" s="10"/>
      <c r="AI3206" s="10"/>
      <c r="AJ3206" s="10"/>
      <c r="AK3206" s="10"/>
      <c r="AL3206" s="10"/>
      <c r="AM3206" s="10"/>
      <c r="AN3206" s="10"/>
      <c r="AO3206" s="10"/>
      <c r="AP3206" s="10"/>
      <c r="AQ3206" s="10"/>
      <c r="AR3206" s="10"/>
      <c r="AS3206" s="10"/>
      <c r="AT3206" s="10"/>
      <c r="AU3206" s="10"/>
      <c r="AV3206" s="10"/>
      <c r="AW3206" s="10"/>
      <c r="AX3206" s="10"/>
      <c r="AY3206" s="10"/>
      <c r="AZ3206" s="10"/>
    </row>
    <row r="3207" spans="28:52">
      <c r="AB3207" s="9">
        <v>0.98248895878338693</v>
      </c>
      <c r="AC3207" s="9">
        <v>0.72114865964409514</v>
      </c>
      <c r="AD3207" s="9">
        <v>1.0960063022730266</v>
      </c>
      <c r="AE3207" s="10"/>
      <c r="AF3207" s="10"/>
      <c r="AG3207" s="10"/>
      <c r="AH3207" s="10"/>
      <c r="AI3207" s="10"/>
      <c r="AJ3207" s="10"/>
      <c r="AK3207" s="10"/>
      <c r="AL3207" s="10"/>
      <c r="AM3207" s="10"/>
      <c r="AN3207" s="10"/>
      <c r="AO3207" s="10"/>
      <c r="AP3207" s="10"/>
      <c r="AQ3207" s="10"/>
      <c r="AR3207" s="10"/>
      <c r="AS3207" s="10"/>
      <c r="AT3207" s="10"/>
      <c r="AU3207" s="10"/>
      <c r="AV3207" s="10"/>
      <c r="AW3207" s="10"/>
      <c r="AX3207" s="10"/>
      <c r="AY3207" s="10"/>
      <c r="AZ3207" s="10"/>
    </row>
    <row r="3208" spans="28:52">
      <c r="AB3208" s="9">
        <v>0.98454810355188271</v>
      </c>
      <c r="AC3208" s="9">
        <v>0.6151232497733885</v>
      </c>
      <c r="AD3208" s="9">
        <v>1.0972226765018684</v>
      </c>
      <c r="AE3208" s="10"/>
      <c r="AF3208" s="10"/>
      <c r="AG3208" s="10"/>
      <c r="AH3208" s="10"/>
      <c r="AI3208" s="10"/>
      <c r="AJ3208" s="10"/>
      <c r="AK3208" s="10"/>
      <c r="AL3208" s="10"/>
      <c r="AM3208" s="10"/>
      <c r="AN3208" s="10"/>
      <c r="AO3208" s="10"/>
      <c r="AP3208" s="10"/>
      <c r="AQ3208" s="10"/>
      <c r="AR3208" s="10"/>
      <c r="AS3208" s="10"/>
      <c r="AT3208" s="10"/>
      <c r="AU3208" s="10"/>
      <c r="AV3208" s="10"/>
      <c r="AW3208" s="10"/>
      <c r="AX3208" s="10"/>
      <c r="AY3208" s="10"/>
      <c r="AZ3208" s="10"/>
    </row>
    <row r="3209" spans="28:52">
      <c r="AB3209" s="9">
        <v>0.98685097188615178</v>
      </c>
      <c r="AC3209" s="9">
        <v>0.79977327228897743</v>
      </c>
      <c r="AD3209" s="9">
        <v>1.1012240463296719</v>
      </c>
      <c r="AE3209" s="10"/>
      <c r="AF3209" s="10"/>
      <c r="AG3209" s="10"/>
      <c r="AH3209" s="10"/>
      <c r="AI3209" s="10"/>
      <c r="AJ3209" s="10"/>
      <c r="AK3209" s="10"/>
      <c r="AL3209" s="10"/>
      <c r="AM3209" s="10"/>
      <c r="AN3209" s="10"/>
      <c r="AO3209" s="10"/>
      <c r="AP3209" s="10"/>
      <c r="AQ3209" s="10"/>
      <c r="AR3209" s="10"/>
      <c r="AS3209" s="10"/>
      <c r="AT3209" s="10"/>
      <c r="AU3209" s="10"/>
      <c r="AV3209" s="10"/>
      <c r="AW3209" s="10"/>
      <c r="AX3209" s="10"/>
      <c r="AY3209" s="10"/>
      <c r="AZ3209" s="10"/>
    </row>
    <row r="3210" spans="28:52">
      <c r="AB3210" s="9">
        <v>0.98675369513863875</v>
      </c>
      <c r="AC3210" s="9">
        <v>0.66635834727504772</v>
      </c>
      <c r="AD3210" s="9">
        <v>1.1032352946197934</v>
      </c>
      <c r="AE3210" s="10"/>
      <c r="AF3210" s="10"/>
      <c r="AG3210" s="10"/>
      <c r="AH3210" s="10"/>
      <c r="AI3210" s="10"/>
      <c r="AJ3210" s="10"/>
      <c r="AK3210" s="10"/>
      <c r="AL3210" s="10"/>
      <c r="AM3210" s="10"/>
      <c r="AN3210" s="10"/>
      <c r="AO3210" s="10"/>
      <c r="AP3210" s="10"/>
      <c r="AQ3210" s="10"/>
      <c r="AR3210" s="10"/>
      <c r="AS3210" s="10"/>
      <c r="AT3210" s="10"/>
      <c r="AU3210" s="10"/>
      <c r="AV3210" s="10"/>
      <c r="AW3210" s="10"/>
      <c r="AX3210" s="10"/>
      <c r="AY3210" s="10"/>
      <c r="AZ3210" s="10"/>
    </row>
    <row r="3211" spans="28:52">
      <c r="AB3211" s="9">
        <v>0.98796323727803004</v>
      </c>
      <c r="AC3211" s="9">
        <v>0.57497236095178628</v>
      </c>
      <c r="AD3211" s="9">
        <v>1.1157026231332547</v>
      </c>
      <c r="AE3211" s="10"/>
      <c r="AF3211" s="10"/>
      <c r="AG3211" s="10"/>
      <c r="AH3211" s="10"/>
      <c r="AI3211" s="10"/>
      <c r="AJ3211" s="10"/>
      <c r="AK3211" s="10"/>
      <c r="AL3211" s="10"/>
      <c r="AM3211" s="10"/>
      <c r="AN3211" s="10"/>
      <c r="AO3211" s="10"/>
      <c r="AP3211" s="10"/>
      <c r="AQ3211" s="10"/>
      <c r="AR3211" s="10"/>
      <c r="AS3211" s="10"/>
      <c r="AT3211" s="10"/>
      <c r="AU3211" s="10"/>
      <c r="AV3211" s="10"/>
      <c r="AW3211" s="10"/>
      <c r="AX3211" s="10"/>
      <c r="AY3211" s="10"/>
      <c r="AZ3211" s="10"/>
    </row>
    <row r="3212" spans="28:52">
      <c r="AB3212" s="9">
        <v>0.98004075831233817</v>
      </c>
      <c r="AC3212" s="9">
        <v>0.58761302938895699</v>
      </c>
      <c r="AD3212" s="9">
        <v>1.1065739634380192</v>
      </c>
      <c r="AE3212" s="10"/>
      <c r="AF3212" s="10"/>
      <c r="AG3212" s="10"/>
      <c r="AH3212" s="10"/>
      <c r="AI3212" s="10"/>
      <c r="AJ3212" s="10"/>
      <c r="AK3212" s="10"/>
      <c r="AL3212" s="10"/>
      <c r="AM3212" s="10"/>
      <c r="AN3212" s="10"/>
      <c r="AO3212" s="10"/>
      <c r="AP3212" s="10"/>
      <c r="AQ3212" s="10"/>
      <c r="AR3212" s="10"/>
      <c r="AS3212" s="10"/>
      <c r="AT3212" s="10"/>
      <c r="AU3212" s="10"/>
      <c r="AV3212" s="10"/>
      <c r="AW3212" s="10"/>
      <c r="AX3212" s="10"/>
      <c r="AY3212" s="10"/>
      <c r="AZ3212" s="10"/>
    </row>
    <row r="3213" spans="28:52">
      <c r="AB3213" s="9">
        <v>0.99113622569581239</v>
      </c>
      <c r="AC3213" s="9">
        <v>1.0419108676350493</v>
      </c>
      <c r="AD3213" s="9">
        <v>1.105201326160433</v>
      </c>
      <c r="AE3213" s="10"/>
      <c r="AF3213" s="10"/>
      <c r="AG3213" s="10"/>
      <c r="AH3213" s="10"/>
      <c r="AI3213" s="10"/>
      <c r="AJ3213" s="10"/>
      <c r="AK3213" s="10"/>
      <c r="AL3213" s="10"/>
      <c r="AM3213" s="10"/>
      <c r="AN3213" s="10"/>
      <c r="AO3213" s="10"/>
      <c r="AP3213" s="10"/>
      <c r="AQ3213" s="10"/>
      <c r="AR3213" s="10"/>
      <c r="AS3213" s="10"/>
      <c r="AT3213" s="10"/>
      <c r="AU3213" s="10"/>
      <c r="AV3213" s="10"/>
      <c r="AW3213" s="10"/>
      <c r="AX3213" s="10"/>
      <c r="AY3213" s="10"/>
      <c r="AZ3213" s="10"/>
    </row>
    <row r="3214" spans="28:52">
      <c r="AB3214" s="9">
        <v>0.99568925504325978</v>
      </c>
      <c r="AC3214" s="9">
        <v>0.70993876499848751</v>
      </c>
      <c r="AD3214" s="9">
        <v>1.0806623454869273</v>
      </c>
      <c r="AE3214" s="10"/>
      <c r="AF3214" s="10"/>
      <c r="AG3214" s="10"/>
      <c r="AH3214" s="10"/>
      <c r="AI3214" s="10"/>
      <c r="AJ3214" s="10"/>
      <c r="AK3214" s="10"/>
      <c r="AL3214" s="10"/>
      <c r="AM3214" s="10"/>
      <c r="AN3214" s="10"/>
      <c r="AO3214" s="10"/>
      <c r="AP3214" s="10"/>
      <c r="AQ3214" s="10"/>
      <c r="AR3214" s="10"/>
      <c r="AS3214" s="10"/>
      <c r="AT3214" s="10"/>
      <c r="AU3214" s="10"/>
      <c r="AV3214" s="10"/>
      <c r="AW3214" s="10"/>
      <c r="AX3214" s="10"/>
      <c r="AY3214" s="10"/>
      <c r="AZ3214" s="10"/>
    </row>
    <row r="3215" spans="28:52">
      <c r="AB3215" s="9">
        <v>1.0208821598208226</v>
      </c>
      <c r="AC3215" s="9">
        <v>1.5055339181566563</v>
      </c>
      <c r="AD3215" s="9">
        <v>1.0669070202533051</v>
      </c>
      <c r="AE3215" s="10"/>
      <c r="AF3215" s="10"/>
      <c r="AG3215" s="10"/>
      <c r="AH3215" s="10"/>
      <c r="AI3215" s="10"/>
      <c r="AJ3215" s="10"/>
      <c r="AK3215" s="10"/>
      <c r="AL3215" s="10"/>
      <c r="AM3215" s="10"/>
      <c r="AN3215" s="10"/>
      <c r="AO3215" s="10"/>
      <c r="AP3215" s="10"/>
      <c r="AQ3215" s="10"/>
      <c r="AR3215" s="10"/>
      <c r="AS3215" s="10"/>
      <c r="AT3215" s="10"/>
      <c r="AU3215" s="10"/>
      <c r="AV3215" s="10"/>
      <c r="AW3215" s="10"/>
      <c r="AX3215" s="10"/>
      <c r="AY3215" s="10"/>
      <c r="AZ3215" s="10"/>
    </row>
    <row r="3216" spans="28:52">
      <c r="AB3216" s="9">
        <v>1.0343279796135352</v>
      </c>
      <c r="AC3216" s="9">
        <v>1.7897668625229481</v>
      </c>
      <c r="AD3216" s="9">
        <v>1.063833392198255</v>
      </c>
      <c r="AE3216" s="10"/>
      <c r="AF3216" s="10"/>
      <c r="AG3216" s="10"/>
      <c r="AH3216" s="10"/>
      <c r="AI3216" s="10"/>
      <c r="AJ3216" s="10"/>
      <c r="AK3216" s="10"/>
      <c r="AL3216" s="10"/>
      <c r="AM3216" s="10"/>
      <c r="AN3216" s="10"/>
      <c r="AO3216" s="10"/>
      <c r="AP3216" s="10"/>
      <c r="AQ3216" s="10"/>
      <c r="AR3216" s="10"/>
      <c r="AS3216" s="10"/>
      <c r="AT3216" s="10"/>
      <c r="AU3216" s="10"/>
      <c r="AV3216" s="10"/>
      <c r="AW3216" s="10"/>
      <c r="AX3216" s="10"/>
      <c r="AY3216" s="10"/>
      <c r="AZ3216" s="10"/>
    </row>
    <row r="3217" spans="28:52">
      <c r="AB3217" s="9">
        <v>1.0368176661562574</v>
      </c>
      <c r="AC3217" s="9">
        <v>1.6415110620746802</v>
      </c>
      <c r="AD3217" s="9">
        <v>1.0645380012212498</v>
      </c>
      <c r="AE3217" s="10"/>
      <c r="AF3217" s="10"/>
      <c r="AG3217" s="10"/>
      <c r="AH3217" s="10"/>
      <c r="AI3217" s="10"/>
      <c r="AJ3217" s="10"/>
      <c r="AK3217" s="10"/>
      <c r="AL3217" s="10"/>
      <c r="AM3217" s="10"/>
      <c r="AN3217" s="10"/>
      <c r="AO3217" s="10"/>
      <c r="AP3217" s="10"/>
      <c r="AQ3217" s="10"/>
      <c r="AR3217" s="10"/>
      <c r="AS3217" s="10"/>
      <c r="AT3217" s="10"/>
      <c r="AU3217" s="10"/>
      <c r="AV3217" s="10"/>
      <c r="AW3217" s="10"/>
      <c r="AX3217" s="10"/>
      <c r="AY3217" s="10"/>
      <c r="AZ3217" s="10"/>
    </row>
    <row r="3218" spans="28:52">
      <c r="AB3218" s="9">
        <v>1.0361218086815609</v>
      </c>
      <c r="AC3218" s="9">
        <v>1.6924963151430348</v>
      </c>
      <c r="AD3218" s="9">
        <v>1.0597703742967044</v>
      </c>
      <c r="AE3218" s="10"/>
      <c r="AF3218" s="10"/>
      <c r="AG3218" s="10"/>
      <c r="AH3218" s="10"/>
      <c r="AI3218" s="10"/>
      <c r="AJ3218" s="10"/>
      <c r="AK3218" s="10"/>
      <c r="AL3218" s="10"/>
      <c r="AM3218" s="10"/>
      <c r="AN3218" s="10"/>
      <c r="AO3218" s="10"/>
      <c r="AP3218" s="10"/>
      <c r="AQ3218" s="10"/>
      <c r="AR3218" s="10"/>
      <c r="AS3218" s="10"/>
      <c r="AT3218" s="10"/>
      <c r="AU3218" s="10"/>
      <c r="AV3218" s="10"/>
      <c r="AW3218" s="10"/>
      <c r="AX3218" s="10"/>
      <c r="AY3218" s="10"/>
      <c r="AZ3218" s="10"/>
    </row>
    <row r="3219" spans="28:52">
      <c r="AB3219" s="9">
        <v>1.0405749631372687</v>
      </c>
      <c r="AC3219" s="9">
        <v>1.3583450633069398</v>
      </c>
      <c r="AD3219" s="9">
        <v>1.0498142920002955</v>
      </c>
      <c r="AE3219" s="10"/>
      <c r="AF3219" s="10"/>
      <c r="AG3219" s="10"/>
      <c r="AH3219" s="10"/>
      <c r="AI3219" s="10"/>
      <c r="AJ3219" s="10"/>
      <c r="AK3219" s="10"/>
      <c r="AL3219" s="10"/>
      <c r="AM3219" s="10"/>
      <c r="AN3219" s="10"/>
      <c r="AO3219" s="10"/>
      <c r="AP3219" s="10"/>
      <c r="AQ3219" s="10"/>
      <c r="AR3219" s="10"/>
      <c r="AS3219" s="10"/>
      <c r="AT3219" s="10"/>
      <c r="AU3219" s="10"/>
      <c r="AV3219" s="10"/>
      <c r="AW3219" s="10"/>
      <c r="AX3219" s="10"/>
      <c r="AY3219" s="10"/>
      <c r="AZ3219" s="10"/>
    </row>
    <row r="3220" spans="28:52">
      <c r="AB3220" s="9">
        <v>1.0499050277174469</v>
      </c>
      <c r="AC3220" s="9">
        <v>1.8760547394311704</v>
      </c>
      <c r="AD3220" s="9">
        <v>1.0518360502338533</v>
      </c>
      <c r="AE3220" s="10"/>
      <c r="AF3220" s="10"/>
      <c r="AG3220" s="10"/>
      <c r="AH3220" s="10"/>
      <c r="AI3220" s="10"/>
      <c r="AJ3220" s="10"/>
      <c r="AK3220" s="10"/>
      <c r="AL3220" s="10"/>
      <c r="AM3220" s="10"/>
      <c r="AN3220" s="10"/>
      <c r="AO3220" s="10"/>
      <c r="AP3220" s="10"/>
      <c r="AQ3220" s="10"/>
      <c r="AR3220" s="10"/>
      <c r="AS3220" s="10"/>
      <c r="AT3220" s="10"/>
      <c r="AU3220" s="10"/>
      <c r="AV3220" s="10"/>
      <c r="AW3220" s="10"/>
      <c r="AX3220" s="10"/>
      <c r="AY3220" s="10"/>
      <c r="AZ3220" s="10"/>
    </row>
    <row r="3221" spans="28:52">
      <c r="AB3221" s="9">
        <v>1.0480622296248296</v>
      </c>
      <c r="AC3221" s="9">
        <v>1.1632612696992084</v>
      </c>
      <c r="AD3221" s="9">
        <v>1.0543290253807434</v>
      </c>
      <c r="AE3221" s="10"/>
      <c r="AF3221" s="10"/>
      <c r="AG3221" s="10"/>
      <c r="AH3221" s="10"/>
      <c r="AI3221" s="10"/>
      <c r="AJ3221" s="10"/>
      <c r="AK3221" s="10"/>
      <c r="AL3221" s="10"/>
      <c r="AM3221" s="10"/>
      <c r="AN3221" s="10"/>
      <c r="AO3221" s="10"/>
      <c r="AP3221" s="10"/>
      <c r="AQ3221" s="10"/>
      <c r="AR3221" s="10"/>
      <c r="AS3221" s="10"/>
      <c r="AT3221" s="10"/>
      <c r="AU3221" s="10"/>
      <c r="AV3221" s="10"/>
      <c r="AW3221" s="10"/>
      <c r="AX3221" s="10"/>
      <c r="AY3221" s="10"/>
      <c r="AZ3221" s="10"/>
    </row>
    <row r="3222" spans="28:52">
      <c r="AB3222" s="9">
        <v>1.0460303057089606</v>
      </c>
      <c r="AC3222" s="9">
        <v>1.149069777082665</v>
      </c>
      <c r="AD3222" s="9">
        <v>1.0444439734373232</v>
      </c>
      <c r="AE3222" s="10"/>
      <c r="AF3222" s="10"/>
      <c r="AG3222" s="10"/>
      <c r="AH3222" s="10"/>
      <c r="AI3222" s="10"/>
      <c r="AJ3222" s="10"/>
      <c r="AK3222" s="10"/>
      <c r="AL3222" s="10"/>
      <c r="AM3222" s="10"/>
      <c r="AN3222" s="10"/>
      <c r="AO3222" s="10"/>
      <c r="AP3222" s="10"/>
      <c r="AQ3222" s="10"/>
      <c r="AR3222" s="10"/>
      <c r="AS3222" s="10"/>
      <c r="AT3222" s="10"/>
      <c r="AU3222" s="10"/>
      <c r="AV3222" s="10"/>
      <c r="AW3222" s="10"/>
      <c r="AX3222" s="10"/>
      <c r="AY3222" s="10"/>
      <c r="AZ3222" s="10"/>
    </row>
    <row r="3223" spans="28:52">
      <c r="AB3223" s="9">
        <v>1.056345947393148</v>
      </c>
      <c r="AC3223" s="9">
        <v>1.4377835774104843</v>
      </c>
      <c r="AD3223" s="9">
        <v>1.0470047267322973</v>
      </c>
      <c r="AE3223" s="10"/>
      <c r="AF3223" s="10"/>
      <c r="AG3223" s="10"/>
      <c r="AH3223" s="10"/>
      <c r="AI3223" s="10"/>
      <c r="AJ3223" s="10"/>
      <c r="AK3223" s="10"/>
      <c r="AL3223" s="10"/>
      <c r="AM3223" s="10"/>
      <c r="AN3223" s="10"/>
      <c r="AO3223" s="10"/>
      <c r="AP3223" s="10"/>
      <c r="AQ3223" s="10"/>
      <c r="AR3223" s="10"/>
      <c r="AS3223" s="10"/>
      <c r="AT3223" s="10"/>
      <c r="AU3223" s="10"/>
      <c r="AV3223" s="10"/>
      <c r="AW3223" s="10"/>
      <c r="AX3223" s="10"/>
      <c r="AY3223" s="10"/>
      <c r="AZ3223" s="10"/>
    </row>
    <row r="3224" spans="28:52">
      <c r="AB3224" s="9">
        <v>1.0541283464116167</v>
      </c>
      <c r="AC3224" s="9">
        <v>1.4275349759332241</v>
      </c>
      <c r="AD3224" s="9">
        <v>1.0470098935995444</v>
      </c>
      <c r="AE3224" s="10"/>
      <c r="AF3224" s="10"/>
      <c r="AG3224" s="10"/>
      <c r="AH3224" s="10"/>
      <c r="AI3224" s="10"/>
      <c r="AJ3224" s="10"/>
      <c r="AK3224" s="10"/>
      <c r="AL3224" s="10"/>
      <c r="AM3224" s="10"/>
      <c r="AN3224" s="10"/>
      <c r="AO3224" s="10"/>
      <c r="AP3224" s="10"/>
      <c r="AQ3224" s="10"/>
      <c r="AR3224" s="10"/>
      <c r="AS3224" s="10"/>
      <c r="AT3224" s="10"/>
      <c r="AU3224" s="10"/>
      <c r="AV3224" s="10"/>
      <c r="AW3224" s="10"/>
      <c r="AX3224" s="10"/>
      <c r="AY3224" s="10"/>
      <c r="AZ3224" s="10"/>
    </row>
    <row r="3225" spans="28:52">
      <c r="AB3225" s="9">
        <v>1.0541176412039917</v>
      </c>
      <c r="AC3225" s="9">
        <v>1.3289655965290508</v>
      </c>
      <c r="AD3225" s="9">
        <v>1.0294580578670962</v>
      </c>
      <c r="AE3225" s="10"/>
      <c r="AF3225" s="10"/>
      <c r="AG3225" s="10"/>
      <c r="AH3225" s="10"/>
      <c r="AI3225" s="10"/>
      <c r="AJ3225" s="10"/>
      <c r="AK3225" s="10"/>
      <c r="AL3225" s="10"/>
      <c r="AM3225" s="10"/>
      <c r="AN3225" s="10"/>
      <c r="AO3225" s="10"/>
      <c r="AP3225" s="10"/>
      <c r="AQ3225" s="10"/>
      <c r="AR3225" s="10"/>
      <c r="AS3225" s="10"/>
      <c r="AT3225" s="10"/>
      <c r="AU3225" s="10"/>
      <c r="AV3225" s="10"/>
      <c r="AW3225" s="10"/>
      <c r="AX3225" s="10"/>
      <c r="AY3225" s="10"/>
      <c r="AZ3225" s="10"/>
    </row>
    <row r="3226" spans="28:52">
      <c r="AB3226" s="9">
        <v>1.0722570846795962</v>
      </c>
      <c r="AC3226" s="9">
        <v>1.7845949547152669</v>
      </c>
      <c r="AD3226" s="9">
        <v>1.0299826972010175</v>
      </c>
      <c r="AE3226" s="10"/>
      <c r="AF3226" s="10"/>
      <c r="AG3226" s="10"/>
      <c r="AH3226" s="10"/>
      <c r="AI3226" s="10"/>
      <c r="AJ3226" s="10"/>
      <c r="AK3226" s="10"/>
      <c r="AL3226" s="10"/>
      <c r="AM3226" s="10"/>
      <c r="AN3226" s="10"/>
      <c r="AO3226" s="10"/>
      <c r="AP3226" s="10"/>
      <c r="AQ3226" s="10"/>
      <c r="AR3226" s="10"/>
      <c r="AS3226" s="10"/>
      <c r="AT3226" s="10"/>
      <c r="AU3226" s="10"/>
      <c r="AV3226" s="10"/>
      <c r="AW3226" s="10"/>
      <c r="AX3226" s="10"/>
      <c r="AY3226" s="10"/>
      <c r="AZ3226" s="10"/>
    </row>
    <row r="3227" spans="28:52">
      <c r="AB3227" s="9">
        <v>1.0713516418920006</v>
      </c>
      <c r="AC3227" s="9">
        <v>1.899323828590773</v>
      </c>
      <c r="AD3227" s="9">
        <v>1.0428166934647096</v>
      </c>
      <c r="AE3227" s="10"/>
      <c r="AF3227" s="10"/>
      <c r="AG3227" s="10"/>
      <c r="AH3227" s="10"/>
      <c r="AI3227" s="10"/>
      <c r="AJ3227" s="10"/>
      <c r="AK3227" s="10"/>
      <c r="AL3227" s="10"/>
      <c r="AM3227" s="10"/>
      <c r="AN3227" s="10"/>
      <c r="AO3227" s="10"/>
      <c r="AP3227" s="10"/>
      <c r="AQ3227" s="10"/>
      <c r="AR3227" s="10"/>
      <c r="AS3227" s="10"/>
      <c r="AT3227" s="10"/>
      <c r="AU3227" s="10"/>
      <c r="AV3227" s="10"/>
      <c r="AW3227" s="10"/>
      <c r="AX3227" s="10"/>
      <c r="AY3227" s="10"/>
      <c r="AZ3227" s="10"/>
    </row>
    <row r="3228" spans="28:52">
      <c r="AB3228" s="9">
        <v>1.0579731368861187</v>
      </c>
      <c r="AC3228" s="9">
        <v>1.8722838724151327</v>
      </c>
      <c r="AD3228" s="9">
        <v>1.0336859920506698</v>
      </c>
      <c r="AE3228" s="10"/>
      <c r="AF3228" s="10"/>
      <c r="AG3228" s="10"/>
      <c r="AH3228" s="10"/>
      <c r="AI3228" s="10"/>
      <c r="AJ3228" s="10"/>
      <c r="AK3228" s="10"/>
      <c r="AL3228" s="10"/>
      <c r="AM3228" s="10"/>
      <c r="AN3228" s="10"/>
      <c r="AO3228" s="10"/>
      <c r="AP3228" s="10"/>
      <c r="AQ3228" s="10"/>
      <c r="AR3228" s="10"/>
      <c r="AS3228" s="10"/>
      <c r="AT3228" s="10"/>
      <c r="AU3228" s="10"/>
      <c r="AV3228" s="10"/>
      <c r="AW3228" s="10"/>
      <c r="AX3228" s="10"/>
      <c r="AY3228" s="10"/>
      <c r="AZ3228" s="10"/>
    </row>
    <row r="3229" spans="28:52">
      <c r="AB3229" s="9">
        <v>1.0670820702066344</v>
      </c>
      <c r="AC3229" s="9">
        <v>1.5391494200917306</v>
      </c>
      <c r="AD3229" s="9">
        <v>1.0435256868714358</v>
      </c>
      <c r="AE3229" s="10"/>
      <c r="AF3229" s="10"/>
      <c r="AG3229" s="10"/>
      <c r="AH3229" s="10"/>
      <c r="AI3229" s="10"/>
      <c r="AJ3229" s="10"/>
      <c r="AK3229" s="10"/>
      <c r="AL3229" s="10"/>
      <c r="AM3229" s="10"/>
      <c r="AN3229" s="10"/>
      <c r="AO3229" s="10"/>
      <c r="AP3229" s="10"/>
      <c r="AQ3229" s="10"/>
      <c r="AR3229" s="10"/>
      <c r="AS3229" s="10"/>
      <c r="AT3229" s="10"/>
      <c r="AU3229" s="10"/>
      <c r="AV3229" s="10"/>
      <c r="AW3229" s="10"/>
      <c r="AX3229" s="10"/>
      <c r="AY3229" s="10"/>
      <c r="AZ3229" s="10"/>
    </row>
    <row r="3230" spans="28:52">
      <c r="AB3230" s="9">
        <v>1.0567995919390025</v>
      </c>
      <c r="AC3230" s="9">
        <v>1.4815852530153242</v>
      </c>
      <c r="AD3230" s="9">
        <v>1.056294634074562</v>
      </c>
      <c r="AE3230" s="10"/>
      <c r="AF3230" s="10"/>
      <c r="AG3230" s="10"/>
      <c r="AH3230" s="10"/>
      <c r="AI3230" s="10"/>
      <c r="AJ3230" s="10"/>
      <c r="AK3230" s="10"/>
      <c r="AL3230" s="10"/>
      <c r="AM3230" s="10"/>
      <c r="AN3230" s="10"/>
      <c r="AO3230" s="10"/>
      <c r="AP3230" s="10"/>
      <c r="AQ3230" s="10"/>
      <c r="AR3230" s="10"/>
      <c r="AS3230" s="10"/>
      <c r="AT3230" s="10"/>
      <c r="AU3230" s="10"/>
      <c r="AV3230" s="10"/>
      <c r="AW3230" s="10"/>
      <c r="AX3230" s="10"/>
      <c r="AY3230" s="10"/>
      <c r="AZ3230" s="10"/>
    </row>
    <row r="3231" spans="28:52">
      <c r="AB3231" s="9">
        <v>1.0447491788526746</v>
      </c>
      <c r="AC3231" s="9">
        <v>1.3704593544900425</v>
      </c>
      <c r="AD3231" s="9">
        <v>1.0598663118311784</v>
      </c>
      <c r="AE3231" s="10"/>
      <c r="AF3231" s="10"/>
      <c r="AG3231" s="10"/>
      <c r="AH3231" s="10"/>
      <c r="AI3231" s="10"/>
      <c r="AJ3231" s="10"/>
      <c r="AK3231" s="10"/>
      <c r="AL3231" s="10"/>
      <c r="AM3231" s="10"/>
      <c r="AN3231" s="10"/>
      <c r="AO3231" s="10"/>
      <c r="AP3231" s="10"/>
      <c r="AQ3231" s="10"/>
      <c r="AR3231" s="10"/>
      <c r="AS3231" s="10"/>
      <c r="AT3231" s="10"/>
      <c r="AU3231" s="10"/>
      <c r="AV3231" s="10"/>
      <c r="AW3231" s="10"/>
      <c r="AX3231" s="10"/>
      <c r="AY3231" s="10"/>
      <c r="AZ3231" s="10"/>
    </row>
    <row r="3232" spans="28:52">
      <c r="AB3232" s="9">
        <v>1.0419312301582595</v>
      </c>
      <c r="AC3232" s="9">
        <v>1.4002398693095741</v>
      </c>
      <c r="AD3232" s="9">
        <v>1.0573814241545336</v>
      </c>
      <c r="AE3232" s="10"/>
      <c r="AF3232" s="10"/>
      <c r="AG3232" s="10"/>
      <c r="AH3232" s="10"/>
      <c r="AI3232" s="10"/>
      <c r="AJ3232" s="10"/>
      <c r="AK3232" s="10"/>
      <c r="AL3232" s="10"/>
      <c r="AM3232" s="10"/>
      <c r="AN3232" s="10"/>
      <c r="AO3232" s="10"/>
      <c r="AP3232" s="10"/>
      <c r="AQ3232" s="10"/>
      <c r="AR3232" s="10"/>
      <c r="AS3232" s="10"/>
      <c r="AT3232" s="10"/>
      <c r="AU3232" s="10"/>
      <c r="AV3232" s="10"/>
      <c r="AW3232" s="10"/>
      <c r="AX3232" s="10"/>
      <c r="AY3232" s="10"/>
      <c r="AZ3232" s="10"/>
    </row>
    <row r="3233" spans="28:52">
      <c r="AB3233" s="9">
        <v>1.0452498358120608</v>
      </c>
      <c r="AC3233" s="9">
        <v>1.5610539842354985</v>
      </c>
      <c r="AD3233" s="9">
        <v>1.0446752972841096</v>
      </c>
      <c r="AE3233" s="10"/>
      <c r="AF3233" s="10"/>
      <c r="AG3233" s="10"/>
      <c r="AH3233" s="10"/>
      <c r="AI3233" s="10"/>
      <c r="AJ3233" s="10"/>
      <c r="AK3233" s="10"/>
      <c r="AL3233" s="10"/>
      <c r="AM3233" s="10"/>
      <c r="AN3233" s="10"/>
      <c r="AO3233" s="10"/>
      <c r="AP3233" s="10"/>
      <c r="AQ3233" s="10"/>
      <c r="AR3233" s="10"/>
      <c r="AS3233" s="10"/>
      <c r="AT3233" s="10"/>
      <c r="AU3233" s="10"/>
      <c r="AV3233" s="10"/>
      <c r="AW3233" s="10"/>
      <c r="AX3233" s="10"/>
      <c r="AY3233" s="10"/>
      <c r="AZ3233" s="10"/>
    </row>
    <row r="3234" spans="28:52">
      <c r="AB3234" s="9">
        <v>1.0577381679365927</v>
      </c>
      <c r="AC3234" s="9">
        <v>1.72642540577015</v>
      </c>
      <c r="AD3234" s="9">
        <v>1.0283757150217618</v>
      </c>
      <c r="AE3234" s="10"/>
      <c r="AF3234" s="10"/>
      <c r="AG3234" s="10"/>
      <c r="AH3234" s="10"/>
      <c r="AI3234" s="10"/>
      <c r="AJ3234" s="10"/>
      <c r="AK3234" s="10"/>
      <c r="AL3234" s="10"/>
      <c r="AM3234" s="10"/>
      <c r="AN3234" s="10"/>
      <c r="AO3234" s="10"/>
      <c r="AP3234" s="10"/>
      <c r="AQ3234" s="10"/>
      <c r="AR3234" s="10"/>
      <c r="AS3234" s="10"/>
      <c r="AT3234" s="10"/>
      <c r="AU3234" s="10"/>
      <c r="AV3234" s="10"/>
      <c r="AW3234" s="10"/>
      <c r="AX3234" s="10"/>
      <c r="AY3234" s="10"/>
      <c r="AZ3234" s="10"/>
    </row>
    <row r="3235" spans="28:52">
      <c r="AB3235" s="9">
        <v>1.0737599159425324</v>
      </c>
      <c r="AC3235" s="9">
        <v>1.9091898306635473</v>
      </c>
      <c r="AD3235" s="9">
        <v>1.0253480243020554</v>
      </c>
      <c r="AE3235" s="10"/>
      <c r="AF3235" s="10"/>
      <c r="AG3235" s="10"/>
      <c r="AH3235" s="10"/>
      <c r="AI3235" s="10"/>
      <c r="AJ3235" s="10"/>
      <c r="AK3235" s="10"/>
      <c r="AL3235" s="10"/>
      <c r="AM3235" s="10"/>
      <c r="AN3235" s="10"/>
      <c r="AO3235" s="10"/>
      <c r="AP3235" s="10"/>
      <c r="AQ3235" s="10"/>
      <c r="AR3235" s="10"/>
      <c r="AS3235" s="10"/>
      <c r="AT3235" s="10"/>
      <c r="AU3235" s="10"/>
      <c r="AV3235" s="10"/>
      <c r="AW3235" s="10"/>
      <c r="AX3235" s="10"/>
      <c r="AY3235" s="10"/>
      <c r="AZ3235" s="10"/>
    </row>
    <row r="3236" spans="28:52">
      <c r="AB3236" s="9">
        <v>1.0756022203059408</v>
      </c>
      <c r="AC3236" s="9">
        <v>1.8375647230523295</v>
      </c>
      <c r="AD3236" s="9">
        <v>1.0317069777314354</v>
      </c>
      <c r="AE3236" s="10"/>
      <c r="AF3236" s="10"/>
      <c r="AG3236" s="10"/>
      <c r="AH3236" s="10"/>
      <c r="AI3236" s="10"/>
      <c r="AJ3236" s="10"/>
      <c r="AK3236" s="10"/>
      <c r="AL3236" s="10"/>
      <c r="AM3236" s="10"/>
      <c r="AN3236" s="10"/>
      <c r="AO3236" s="10"/>
      <c r="AP3236" s="10"/>
      <c r="AQ3236" s="10"/>
      <c r="AR3236" s="10"/>
      <c r="AS3236" s="10"/>
      <c r="AT3236" s="10"/>
      <c r="AU3236" s="10"/>
      <c r="AV3236" s="10"/>
      <c r="AW3236" s="10"/>
      <c r="AX3236" s="10"/>
      <c r="AY3236" s="10"/>
      <c r="AZ3236" s="10"/>
    </row>
    <row r="3237" spans="28:52">
      <c r="AB3237" s="9">
        <v>1.0677339832210133</v>
      </c>
      <c r="AC3237" s="9">
        <v>1.8521121794439381</v>
      </c>
      <c r="AD3237" s="9">
        <v>1.0356079198999524</v>
      </c>
      <c r="AE3237" s="10"/>
      <c r="AF3237" s="10"/>
      <c r="AG3237" s="10"/>
      <c r="AH3237" s="10"/>
      <c r="AI3237" s="10"/>
      <c r="AJ3237" s="10"/>
      <c r="AK3237" s="10"/>
      <c r="AL3237" s="10"/>
      <c r="AM3237" s="10"/>
      <c r="AN3237" s="10"/>
      <c r="AO3237" s="10"/>
      <c r="AP3237" s="10"/>
      <c r="AQ3237" s="10"/>
      <c r="AR3237" s="10"/>
      <c r="AS3237" s="10"/>
      <c r="AT3237" s="10"/>
      <c r="AU3237" s="10"/>
      <c r="AV3237" s="10"/>
      <c r="AW3237" s="10"/>
      <c r="AX3237" s="10"/>
      <c r="AY3237" s="10"/>
      <c r="AZ3237" s="10"/>
    </row>
    <row r="3238" spans="28:52">
      <c r="AB3238" s="9">
        <v>1.0628242840443323</v>
      </c>
      <c r="AC3238" s="9">
        <v>2.1461161942871461</v>
      </c>
      <c r="AD3238" s="9">
        <v>1.0187625321032556</v>
      </c>
      <c r="AE3238" s="10"/>
      <c r="AF3238" s="10"/>
      <c r="AG3238" s="10"/>
      <c r="AH3238" s="10"/>
      <c r="AI3238" s="10"/>
      <c r="AJ3238" s="10"/>
      <c r="AK3238" s="10"/>
      <c r="AL3238" s="10"/>
      <c r="AM3238" s="10"/>
      <c r="AN3238" s="10"/>
      <c r="AO3238" s="10"/>
      <c r="AP3238" s="10"/>
      <c r="AQ3238" s="10"/>
      <c r="AR3238" s="10"/>
      <c r="AS3238" s="10"/>
      <c r="AT3238" s="10"/>
      <c r="AU3238" s="10"/>
      <c r="AV3238" s="10"/>
      <c r="AW3238" s="10"/>
      <c r="AX3238" s="10"/>
      <c r="AY3238" s="10"/>
      <c r="AZ3238" s="10"/>
    </row>
    <row r="3239" spans="28:52">
      <c r="AB3239" s="9">
        <v>1.0789016717129343</v>
      </c>
      <c r="AC3239" s="9">
        <v>1.7158020343664697</v>
      </c>
      <c r="AD3239" s="9">
        <v>1.0168562624802562</v>
      </c>
      <c r="AE3239" s="10"/>
      <c r="AF3239" s="10"/>
      <c r="AG3239" s="10"/>
      <c r="AH3239" s="10"/>
      <c r="AI3239" s="10"/>
      <c r="AJ3239" s="10"/>
      <c r="AK3239" s="10"/>
      <c r="AL3239" s="10"/>
      <c r="AM3239" s="10"/>
      <c r="AN3239" s="10"/>
      <c r="AO3239" s="10"/>
      <c r="AP3239" s="10"/>
      <c r="AQ3239" s="10"/>
      <c r="AR3239" s="10"/>
      <c r="AS3239" s="10"/>
      <c r="AT3239" s="10"/>
      <c r="AU3239" s="10"/>
      <c r="AV3239" s="10"/>
      <c r="AW3239" s="10"/>
      <c r="AX3239" s="10"/>
      <c r="AY3239" s="10"/>
      <c r="AZ3239" s="10"/>
    </row>
    <row r="3240" spans="28:52">
      <c r="AB3240" s="9">
        <v>1.0786375621910815</v>
      </c>
      <c r="AC3240" s="9">
        <v>1.742864823254433</v>
      </c>
      <c r="AD3240" s="9">
        <v>1.0118891836490429</v>
      </c>
      <c r="AE3240" s="10"/>
      <c r="AF3240" s="10"/>
      <c r="AG3240" s="10"/>
      <c r="AH3240" s="10"/>
      <c r="AI3240" s="10"/>
      <c r="AJ3240" s="10"/>
      <c r="AK3240" s="10"/>
      <c r="AL3240" s="10"/>
      <c r="AM3240" s="10"/>
      <c r="AN3240" s="10"/>
      <c r="AO3240" s="10"/>
      <c r="AP3240" s="10"/>
      <c r="AQ3240" s="10"/>
      <c r="AR3240" s="10"/>
      <c r="AS3240" s="10"/>
      <c r="AT3240" s="10"/>
      <c r="AU3240" s="10"/>
      <c r="AV3240" s="10"/>
      <c r="AW3240" s="10"/>
      <c r="AX3240" s="10"/>
      <c r="AY3240" s="10"/>
      <c r="AZ3240" s="10"/>
    </row>
    <row r="3241" spans="28:52">
      <c r="AB3241" s="9">
        <v>1.0814594232220778</v>
      </c>
      <c r="AC3241" s="9">
        <v>1.6890395803969198</v>
      </c>
      <c r="AD3241" s="9">
        <v>1.0112053407207247</v>
      </c>
      <c r="AE3241" s="10"/>
      <c r="AF3241" s="10"/>
      <c r="AG3241" s="10"/>
      <c r="AH3241" s="10"/>
      <c r="AI3241" s="10"/>
      <c r="AJ3241" s="10"/>
      <c r="AK3241" s="10"/>
      <c r="AL3241" s="10"/>
      <c r="AM3241" s="10"/>
      <c r="AN3241" s="10"/>
      <c r="AO3241" s="10"/>
      <c r="AP3241" s="10"/>
      <c r="AQ3241" s="10"/>
      <c r="AR3241" s="10"/>
      <c r="AS3241" s="10"/>
      <c r="AT3241" s="10"/>
      <c r="AU3241" s="10"/>
      <c r="AV3241" s="10"/>
      <c r="AW3241" s="10"/>
      <c r="AX3241" s="10"/>
      <c r="AY3241" s="10"/>
      <c r="AZ3241" s="10"/>
    </row>
    <row r="3242" spans="28:52">
      <c r="AB3242" s="9">
        <v>1.0797379227279762</v>
      </c>
      <c r="AC3242" s="9">
        <v>1.8082422765979296</v>
      </c>
      <c r="AD3242" s="9">
        <v>0.99966007734766915</v>
      </c>
      <c r="AE3242" s="10"/>
      <c r="AF3242" s="10"/>
      <c r="AG3242" s="10"/>
      <c r="AH3242" s="10"/>
      <c r="AI3242" s="10"/>
      <c r="AJ3242" s="10"/>
      <c r="AK3242" s="10"/>
      <c r="AL3242" s="10"/>
      <c r="AM3242" s="10"/>
      <c r="AN3242" s="10"/>
      <c r="AO3242" s="10"/>
      <c r="AP3242" s="10"/>
      <c r="AQ3242" s="10"/>
      <c r="AR3242" s="10"/>
      <c r="AS3242" s="10"/>
      <c r="AT3242" s="10"/>
      <c r="AU3242" s="10"/>
      <c r="AV3242" s="10"/>
      <c r="AW3242" s="10"/>
      <c r="AX3242" s="10"/>
      <c r="AY3242" s="10"/>
      <c r="AZ3242" s="10"/>
    </row>
    <row r="3243" spans="28:52">
      <c r="AB3243" s="9">
        <v>1.08936396888793</v>
      </c>
      <c r="AC3243" s="9">
        <v>1.9382781732058982</v>
      </c>
      <c r="AD3243" s="9">
        <v>1.0012185959427142</v>
      </c>
      <c r="AE3243" s="10"/>
      <c r="AF3243" s="10"/>
      <c r="AG3243" s="10"/>
      <c r="AH3243" s="10"/>
      <c r="AI3243" s="10"/>
      <c r="AJ3243" s="10"/>
      <c r="AK3243" s="10"/>
      <c r="AL3243" s="10"/>
      <c r="AM3243" s="10"/>
      <c r="AN3243" s="10"/>
      <c r="AO3243" s="10"/>
      <c r="AP3243" s="10"/>
      <c r="AQ3243" s="10"/>
      <c r="AR3243" s="10"/>
      <c r="AS3243" s="10"/>
      <c r="AT3243" s="10"/>
      <c r="AU3243" s="10"/>
      <c r="AV3243" s="10"/>
      <c r="AW3243" s="10"/>
      <c r="AX3243" s="10"/>
      <c r="AY3243" s="10"/>
      <c r="AZ3243" s="10"/>
    </row>
    <row r="3244" spans="28:52">
      <c r="AB3244" s="9">
        <v>1.0839994605974295</v>
      </c>
      <c r="AC3244" s="9">
        <v>1.4334726123649746</v>
      </c>
      <c r="AD3244" s="9">
        <v>0.99952264438807115</v>
      </c>
      <c r="AE3244" s="10"/>
      <c r="AF3244" s="10"/>
      <c r="AG3244" s="10"/>
      <c r="AH3244" s="10"/>
      <c r="AI3244" s="10"/>
      <c r="AJ3244" s="10"/>
      <c r="AK3244" s="10"/>
      <c r="AL3244" s="10"/>
      <c r="AM3244" s="10"/>
      <c r="AN3244" s="10"/>
      <c r="AO3244" s="10"/>
      <c r="AP3244" s="10"/>
      <c r="AQ3244" s="10"/>
      <c r="AR3244" s="10"/>
      <c r="AS3244" s="10"/>
      <c r="AT3244" s="10"/>
      <c r="AU3244" s="10"/>
      <c r="AV3244" s="10"/>
      <c r="AW3244" s="10"/>
      <c r="AX3244" s="10"/>
      <c r="AY3244" s="10"/>
      <c r="AZ3244" s="10"/>
    </row>
    <row r="3245" spans="28:52">
      <c r="AB3245" s="9">
        <v>1.0814343917840261</v>
      </c>
      <c r="AC3245" s="9">
        <v>1.2818889397159654</v>
      </c>
      <c r="AD3245" s="9">
        <v>1.0092204400210647</v>
      </c>
      <c r="AE3245" s="10"/>
      <c r="AF3245" s="10"/>
      <c r="AG3245" s="10"/>
      <c r="AH3245" s="10"/>
      <c r="AI3245" s="10"/>
      <c r="AJ3245" s="10"/>
      <c r="AK3245" s="10"/>
      <c r="AL3245" s="10"/>
      <c r="AM3245" s="10"/>
      <c r="AN3245" s="10"/>
      <c r="AO3245" s="10"/>
      <c r="AP3245" s="10"/>
      <c r="AQ3245" s="10"/>
      <c r="AR3245" s="10"/>
      <c r="AS3245" s="10"/>
      <c r="AT3245" s="10"/>
      <c r="AU3245" s="10"/>
      <c r="AV3245" s="10"/>
      <c r="AW3245" s="10"/>
      <c r="AX3245" s="10"/>
      <c r="AY3245" s="10"/>
      <c r="AZ3245" s="10"/>
    </row>
    <row r="3246" spans="28:52">
      <c r="AB3246" s="9">
        <v>1.066612402826973</v>
      </c>
      <c r="AC3246" s="9">
        <v>1.3283155046873019</v>
      </c>
      <c r="AD3246" s="9">
        <v>0.99965142950026187</v>
      </c>
      <c r="AE3246" s="10"/>
      <c r="AF3246" s="10"/>
      <c r="AG3246" s="10"/>
      <c r="AH3246" s="10"/>
      <c r="AI3246" s="10"/>
      <c r="AJ3246" s="10"/>
      <c r="AK3246" s="10"/>
      <c r="AL3246" s="10"/>
      <c r="AM3246" s="10"/>
      <c r="AN3246" s="10"/>
      <c r="AO3246" s="10"/>
      <c r="AP3246" s="10"/>
      <c r="AQ3246" s="10"/>
      <c r="AR3246" s="10"/>
      <c r="AS3246" s="10"/>
      <c r="AT3246" s="10"/>
      <c r="AU3246" s="10"/>
      <c r="AV3246" s="10"/>
      <c r="AW3246" s="10"/>
      <c r="AX3246" s="10"/>
      <c r="AY3246" s="10"/>
      <c r="AZ3246" s="10"/>
    </row>
    <row r="3247" spans="28:52">
      <c r="AB3247" s="9">
        <v>1.0727550430601616</v>
      </c>
      <c r="AC3247" s="9">
        <v>1.4586118818896443</v>
      </c>
      <c r="AD3247" s="9">
        <v>0.98997691704328983</v>
      </c>
      <c r="AE3247" s="10"/>
      <c r="AF3247" s="10"/>
      <c r="AG3247" s="10"/>
      <c r="AH3247" s="10"/>
      <c r="AI3247" s="10"/>
      <c r="AJ3247" s="10"/>
      <c r="AK3247" s="10"/>
      <c r="AL3247" s="10"/>
      <c r="AM3247" s="10"/>
      <c r="AN3247" s="10"/>
      <c r="AO3247" s="10"/>
      <c r="AP3247" s="10"/>
      <c r="AQ3247" s="10"/>
      <c r="AR3247" s="10"/>
      <c r="AS3247" s="10"/>
      <c r="AT3247" s="10"/>
      <c r="AU3247" s="10"/>
      <c r="AV3247" s="10"/>
      <c r="AW3247" s="10"/>
      <c r="AX3247" s="10"/>
      <c r="AY3247" s="10"/>
      <c r="AZ3247" s="10"/>
    </row>
    <row r="3248" spans="28:52">
      <c r="AB3248" s="9">
        <v>1.0777601036517555</v>
      </c>
      <c r="AC3248" s="9">
        <v>1.4708107439112386</v>
      </c>
      <c r="AD3248" s="9">
        <v>0.9792540744888556</v>
      </c>
      <c r="AE3248" s="10"/>
      <c r="AF3248" s="10"/>
      <c r="AG3248" s="10"/>
      <c r="AH3248" s="10"/>
      <c r="AI3248" s="10"/>
      <c r="AJ3248" s="10"/>
      <c r="AK3248" s="10"/>
      <c r="AL3248" s="10"/>
      <c r="AM3248" s="10"/>
      <c r="AN3248" s="10"/>
      <c r="AO3248" s="10"/>
      <c r="AP3248" s="10"/>
      <c r="AQ3248" s="10"/>
      <c r="AR3248" s="10"/>
      <c r="AS3248" s="10"/>
      <c r="AT3248" s="10"/>
      <c r="AU3248" s="10"/>
      <c r="AV3248" s="10"/>
      <c r="AW3248" s="10"/>
      <c r="AX3248" s="10"/>
      <c r="AY3248" s="10"/>
      <c r="AZ3248" s="10"/>
    </row>
    <row r="3249" spans="28:52">
      <c r="AB3249" s="9">
        <v>1.0836796737315966</v>
      </c>
      <c r="AC3249" s="9">
        <v>1.9459578876207491</v>
      </c>
      <c r="AD3249" s="9">
        <v>0.95758949426792439</v>
      </c>
      <c r="AE3249" s="10"/>
      <c r="AF3249" s="10"/>
      <c r="AG3249" s="10"/>
      <c r="AH3249" s="10"/>
      <c r="AI3249" s="10"/>
      <c r="AJ3249" s="10"/>
      <c r="AK3249" s="10"/>
      <c r="AL3249" s="10"/>
      <c r="AM3249" s="10"/>
      <c r="AN3249" s="10"/>
      <c r="AO3249" s="10"/>
      <c r="AP3249" s="10"/>
      <c r="AQ3249" s="10"/>
      <c r="AR3249" s="10"/>
      <c r="AS3249" s="10"/>
      <c r="AT3249" s="10"/>
      <c r="AU3249" s="10"/>
      <c r="AV3249" s="10"/>
      <c r="AW3249" s="10"/>
      <c r="AX3249" s="10"/>
      <c r="AY3249" s="10"/>
      <c r="AZ3249" s="10"/>
    </row>
    <row r="3250" spans="28:52">
      <c r="AB3250" s="9">
        <v>1.1022010355114749</v>
      </c>
      <c r="AC3250" s="9">
        <v>2.0034993971674333</v>
      </c>
      <c r="AD3250" s="9">
        <v>0.94262014605907163</v>
      </c>
      <c r="AE3250" s="10"/>
      <c r="AF3250" s="10"/>
      <c r="AG3250" s="10"/>
      <c r="AH3250" s="10"/>
      <c r="AI3250" s="10"/>
      <c r="AJ3250" s="10"/>
      <c r="AK3250" s="10"/>
      <c r="AL3250" s="10"/>
      <c r="AM3250" s="10"/>
      <c r="AN3250" s="10"/>
      <c r="AO3250" s="10"/>
      <c r="AP3250" s="10"/>
      <c r="AQ3250" s="10"/>
      <c r="AR3250" s="10"/>
      <c r="AS3250" s="10"/>
      <c r="AT3250" s="10"/>
      <c r="AU3250" s="10"/>
      <c r="AV3250" s="10"/>
      <c r="AW3250" s="10"/>
      <c r="AX3250" s="10"/>
      <c r="AY3250" s="10"/>
      <c r="AZ3250" s="10"/>
    </row>
    <row r="3251" spans="28:52">
      <c r="AB3251" s="9">
        <v>1.112119359648482</v>
      </c>
      <c r="AC3251" s="9">
        <v>1.8895790146215199</v>
      </c>
      <c r="AD3251" s="9">
        <v>0.94533783793530746</v>
      </c>
      <c r="AE3251" s="10"/>
      <c r="AF3251" s="10"/>
      <c r="AG3251" s="10"/>
      <c r="AH3251" s="10"/>
      <c r="AI3251" s="10"/>
      <c r="AJ3251" s="10"/>
      <c r="AK3251" s="10"/>
      <c r="AL3251" s="10"/>
      <c r="AM3251" s="10"/>
      <c r="AN3251" s="10"/>
      <c r="AO3251" s="10"/>
      <c r="AP3251" s="10"/>
      <c r="AQ3251" s="10"/>
      <c r="AR3251" s="10"/>
      <c r="AS3251" s="10"/>
      <c r="AT3251" s="10"/>
      <c r="AU3251" s="10"/>
      <c r="AV3251" s="10"/>
      <c r="AW3251" s="10"/>
      <c r="AX3251" s="10"/>
      <c r="AY3251" s="10"/>
      <c r="AZ3251" s="10"/>
    </row>
    <row r="3252" spans="28:52">
      <c r="AB3252" s="9">
        <v>1.1017082543387202</v>
      </c>
      <c r="AC3252" s="9">
        <v>1.7381368113674469</v>
      </c>
      <c r="AD3252" s="9">
        <v>0.92887149741971231</v>
      </c>
      <c r="AE3252" s="10"/>
      <c r="AF3252" s="10"/>
      <c r="AG3252" s="10"/>
      <c r="AH3252" s="10"/>
      <c r="AI3252" s="10"/>
      <c r="AJ3252" s="10"/>
      <c r="AK3252" s="10"/>
      <c r="AL3252" s="10"/>
      <c r="AM3252" s="10"/>
      <c r="AN3252" s="10"/>
      <c r="AO3252" s="10"/>
      <c r="AP3252" s="10"/>
      <c r="AQ3252" s="10"/>
      <c r="AR3252" s="10"/>
      <c r="AS3252" s="10"/>
      <c r="AT3252" s="10"/>
      <c r="AU3252" s="10"/>
      <c r="AV3252" s="10"/>
      <c r="AW3252" s="10"/>
      <c r="AX3252" s="10"/>
      <c r="AY3252" s="10"/>
      <c r="AZ3252" s="10"/>
    </row>
    <row r="3253" spans="28:52">
      <c r="AB3253" s="9">
        <v>1.1138472875322165</v>
      </c>
      <c r="AC3253" s="9">
        <v>1.8893428661204006</v>
      </c>
      <c r="AD3253" s="9">
        <v>0.93775271901930946</v>
      </c>
      <c r="AE3253" s="10"/>
      <c r="AF3253" s="10"/>
      <c r="AG3253" s="10"/>
      <c r="AH3253" s="10"/>
      <c r="AI3253" s="10"/>
      <c r="AJ3253" s="10"/>
      <c r="AK3253" s="10"/>
      <c r="AL3253" s="10"/>
      <c r="AM3253" s="10"/>
      <c r="AN3253" s="10"/>
      <c r="AO3253" s="10"/>
      <c r="AP3253" s="10"/>
      <c r="AQ3253" s="10"/>
      <c r="AR3253" s="10"/>
      <c r="AS3253" s="10"/>
      <c r="AT3253" s="10"/>
      <c r="AU3253" s="10"/>
      <c r="AV3253" s="10"/>
      <c r="AW3253" s="10"/>
      <c r="AX3253" s="10"/>
      <c r="AY3253" s="10"/>
      <c r="AZ3253" s="10"/>
    </row>
    <row r="3254" spans="28:52">
      <c r="AB3254" s="9">
        <v>1.0953952786035337</v>
      </c>
      <c r="AC3254" s="9">
        <v>1.8457130904089123</v>
      </c>
      <c r="AD3254" s="9">
        <v>0.9401067017509287</v>
      </c>
      <c r="AE3254" s="10"/>
      <c r="AF3254" s="10"/>
      <c r="AG3254" s="10"/>
      <c r="AH3254" s="10"/>
      <c r="AI3254" s="10"/>
      <c r="AJ3254" s="10"/>
      <c r="AK3254" s="10"/>
      <c r="AL3254" s="10"/>
      <c r="AM3254" s="10"/>
      <c r="AN3254" s="10"/>
      <c r="AO3254" s="10"/>
      <c r="AP3254" s="10"/>
      <c r="AQ3254" s="10"/>
      <c r="AR3254" s="10"/>
      <c r="AS3254" s="10"/>
      <c r="AT3254" s="10"/>
      <c r="AU3254" s="10"/>
      <c r="AV3254" s="10"/>
      <c r="AW3254" s="10"/>
      <c r="AX3254" s="10"/>
      <c r="AY3254" s="10"/>
      <c r="AZ3254" s="10"/>
    </row>
    <row r="3255" spans="28:52">
      <c r="AB3255" s="9">
        <v>1.084860940592173</v>
      </c>
      <c r="AC3255" s="9">
        <v>1.0981774580927852</v>
      </c>
      <c r="AD3255" s="9">
        <v>0.92627614390799962</v>
      </c>
      <c r="AE3255" s="10"/>
      <c r="AF3255" s="10"/>
      <c r="AG3255" s="10"/>
      <c r="AH3255" s="10"/>
      <c r="AI3255" s="10"/>
      <c r="AJ3255" s="10"/>
      <c r="AK3255" s="10"/>
      <c r="AL3255" s="10"/>
      <c r="AM3255" s="10"/>
      <c r="AN3255" s="10"/>
      <c r="AO3255" s="10"/>
      <c r="AP3255" s="10"/>
      <c r="AQ3255" s="10"/>
      <c r="AR3255" s="10"/>
      <c r="AS3255" s="10"/>
      <c r="AT3255" s="10"/>
      <c r="AU3255" s="10"/>
      <c r="AV3255" s="10"/>
      <c r="AW3255" s="10"/>
      <c r="AX3255" s="10"/>
      <c r="AY3255" s="10"/>
      <c r="AZ3255" s="10"/>
    </row>
    <row r="3256" spans="28:52">
      <c r="AB3256" s="9">
        <v>1.0920744729678566</v>
      </c>
      <c r="AC3256" s="9">
        <v>0.92352311734933856</v>
      </c>
      <c r="AD3256" s="9">
        <v>0.93549338100426016</v>
      </c>
      <c r="AE3256" s="10"/>
      <c r="AF3256" s="10"/>
      <c r="AG3256" s="10"/>
      <c r="AH3256" s="10"/>
      <c r="AI3256" s="10"/>
      <c r="AJ3256" s="10"/>
      <c r="AK3256" s="10"/>
      <c r="AL3256" s="10"/>
      <c r="AM3256" s="10"/>
      <c r="AN3256" s="10"/>
      <c r="AO3256" s="10"/>
      <c r="AP3256" s="10"/>
      <c r="AQ3256" s="10"/>
      <c r="AR3256" s="10"/>
      <c r="AS3256" s="10"/>
      <c r="AT3256" s="10"/>
      <c r="AU3256" s="10"/>
      <c r="AV3256" s="10"/>
      <c r="AW3256" s="10"/>
      <c r="AX3256" s="10"/>
      <c r="AY3256" s="10"/>
      <c r="AZ3256" s="10"/>
    </row>
    <row r="3257" spans="28:52">
      <c r="AB3257" s="9">
        <v>1.0730786591157984</v>
      </c>
      <c r="AC3257" s="9">
        <v>1.1823109841963755</v>
      </c>
      <c r="AD3257" s="9">
        <v>0.93197320583622001</v>
      </c>
      <c r="AE3257" s="10"/>
      <c r="AF3257" s="10"/>
      <c r="AG3257" s="10"/>
      <c r="AH3257" s="10"/>
      <c r="AI3257" s="10"/>
      <c r="AJ3257" s="10"/>
      <c r="AK3257" s="10"/>
      <c r="AL3257" s="10"/>
      <c r="AM3257" s="10"/>
      <c r="AN3257" s="10"/>
      <c r="AO3257" s="10"/>
      <c r="AP3257" s="10"/>
      <c r="AQ3257" s="10"/>
      <c r="AR3257" s="10"/>
      <c r="AS3257" s="10"/>
      <c r="AT3257" s="10"/>
      <c r="AU3257" s="10"/>
      <c r="AV3257" s="10"/>
      <c r="AW3257" s="10"/>
      <c r="AX3257" s="10"/>
      <c r="AY3257" s="10"/>
      <c r="AZ3257" s="10"/>
    </row>
    <row r="3258" spans="28:52">
      <c r="AB3258" s="9">
        <v>1.0702808378856492</v>
      </c>
      <c r="AC3258" s="9">
        <v>0.89585106799244874</v>
      </c>
      <c r="AD3258" s="9">
        <v>0.93965368869334021</v>
      </c>
      <c r="AE3258" s="10"/>
      <c r="AF3258" s="10"/>
      <c r="AG3258" s="10"/>
      <c r="AH3258" s="10"/>
      <c r="AI3258" s="10"/>
      <c r="AJ3258" s="10"/>
      <c r="AK3258" s="10"/>
      <c r="AL3258" s="10"/>
      <c r="AM3258" s="10"/>
      <c r="AN3258" s="10"/>
      <c r="AO3258" s="10"/>
      <c r="AP3258" s="10"/>
      <c r="AQ3258" s="10"/>
      <c r="AR3258" s="10"/>
      <c r="AS3258" s="10"/>
      <c r="AT3258" s="10"/>
      <c r="AU3258" s="10"/>
      <c r="AV3258" s="10"/>
      <c r="AW3258" s="10"/>
      <c r="AX3258" s="10"/>
      <c r="AY3258" s="10"/>
      <c r="AZ3258" s="10"/>
    </row>
    <row r="3259" spans="28:52">
      <c r="AB3259" s="9">
        <v>1.0549165193351926</v>
      </c>
      <c r="AC3259" s="9">
        <v>0.99930134421526251</v>
      </c>
      <c r="AD3259" s="9">
        <v>0.96039538998007856</v>
      </c>
      <c r="AE3259" s="10"/>
      <c r="AF3259" s="10"/>
      <c r="AG3259" s="10"/>
      <c r="AH3259" s="10"/>
      <c r="AI3259" s="10"/>
      <c r="AJ3259" s="10"/>
      <c r="AK3259" s="10"/>
      <c r="AL3259" s="10"/>
      <c r="AM3259" s="10"/>
      <c r="AN3259" s="10"/>
      <c r="AO3259" s="10"/>
      <c r="AP3259" s="10"/>
      <c r="AQ3259" s="10"/>
      <c r="AR3259" s="10"/>
      <c r="AS3259" s="10"/>
      <c r="AT3259" s="10"/>
      <c r="AU3259" s="10"/>
      <c r="AV3259" s="10"/>
      <c r="AW3259" s="10"/>
      <c r="AX3259" s="10"/>
      <c r="AY3259" s="10"/>
      <c r="AZ3259" s="10"/>
    </row>
    <row r="3260" spans="28:52">
      <c r="AB3260" s="9">
        <v>1.0269424963704066</v>
      </c>
      <c r="AC3260" s="9">
        <v>1.1458326572057012</v>
      </c>
      <c r="AD3260" s="9">
        <v>0.96503138221350848</v>
      </c>
      <c r="AE3260" s="10"/>
      <c r="AF3260" s="10"/>
      <c r="AG3260" s="10"/>
      <c r="AH3260" s="10"/>
      <c r="AI3260" s="10"/>
      <c r="AJ3260" s="10"/>
      <c r="AK3260" s="10"/>
      <c r="AL3260" s="10"/>
      <c r="AM3260" s="10"/>
      <c r="AN3260" s="10"/>
      <c r="AO3260" s="10"/>
      <c r="AP3260" s="10"/>
      <c r="AQ3260" s="10"/>
      <c r="AR3260" s="10"/>
      <c r="AS3260" s="10"/>
      <c r="AT3260" s="10"/>
      <c r="AU3260" s="10"/>
      <c r="AV3260" s="10"/>
      <c r="AW3260" s="10"/>
      <c r="AX3260" s="10"/>
      <c r="AY3260" s="10"/>
      <c r="AZ3260" s="10"/>
    </row>
    <row r="3261" spans="28:52">
      <c r="AB3261" s="9">
        <v>1.0174767942900298</v>
      </c>
      <c r="AC3261" s="9">
        <v>0.96934523657691318</v>
      </c>
      <c r="AD3261" s="9">
        <v>0.96483415881471246</v>
      </c>
      <c r="AE3261" s="10"/>
      <c r="AF3261" s="10"/>
      <c r="AG3261" s="10"/>
      <c r="AH3261" s="10"/>
      <c r="AI3261" s="10"/>
      <c r="AJ3261" s="10"/>
      <c r="AK3261" s="10"/>
      <c r="AL3261" s="10"/>
      <c r="AM3261" s="10"/>
      <c r="AN3261" s="10"/>
      <c r="AO3261" s="10"/>
      <c r="AP3261" s="10"/>
      <c r="AQ3261" s="10"/>
      <c r="AR3261" s="10"/>
      <c r="AS3261" s="10"/>
      <c r="AT3261" s="10"/>
      <c r="AU3261" s="10"/>
      <c r="AV3261" s="10"/>
      <c r="AW3261" s="10"/>
      <c r="AX3261" s="10"/>
      <c r="AY3261" s="10"/>
      <c r="AZ3261" s="10"/>
    </row>
    <row r="3262" spans="28:52">
      <c r="AB3262" s="9">
        <v>1.013245116353179</v>
      </c>
      <c r="AC3262" s="9">
        <v>0.77451481326275173</v>
      </c>
      <c r="AD3262" s="9">
        <v>0.93349308902421269</v>
      </c>
      <c r="AE3262" s="10"/>
      <c r="AF3262" s="10"/>
      <c r="AG3262" s="10"/>
      <c r="AH3262" s="10"/>
      <c r="AI3262" s="10"/>
      <c r="AJ3262" s="10"/>
      <c r="AK3262" s="10"/>
      <c r="AL3262" s="10"/>
      <c r="AM3262" s="10"/>
      <c r="AN3262" s="10"/>
      <c r="AO3262" s="10"/>
      <c r="AP3262" s="10"/>
      <c r="AQ3262" s="10"/>
      <c r="AR3262" s="10"/>
      <c r="AS3262" s="10"/>
      <c r="AT3262" s="10"/>
      <c r="AU3262" s="10"/>
      <c r="AV3262" s="10"/>
      <c r="AW3262" s="10"/>
      <c r="AX3262" s="10"/>
      <c r="AY3262" s="10"/>
      <c r="AZ3262" s="10"/>
    </row>
    <row r="3263" spans="28:52">
      <c r="AB3263" s="9">
        <v>1.0424907329787987</v>
      </c>
      <c r="AC3263" s="9">
        <v>1.1355411771765178</v>
      </c>
      <c r="AD3263" s="9">
        <v>0.92743690839005799</v>
      </c>
      <c r="AE3263" s="10"/>
      <c r="AF3263" s="10"/>
      <c r="AG3263" s="10"/>
      <c r="AH3263" s="10"/>
      <c r="AI3263" s="10"/>
      <c r="AJ3263" s="10"/>
      <c r="AK3263" s="10"/>
      <c r="AL3263" s="10"/>
      <c r="AM3263" s="10"/>
      <c r="AN3263" s="10"/>
      <c r="AO3263" s="10"/>
      <c r="AP3263" s="10"/>
      <c r="AQ3263" s="10"/>
      <c r="AR3263" s="10"/>
      <c r="AS3263" s="10"/>
      <c r="AT3263" s="10"/>
      <c r="AU3263" s="10"/>
      <c r="AV3263" s="10"/>
      <c r="AW3263" s="10"/>
      <c r="AX3263" s="10"/>
      <c r="AY3263" s="10"/>
      <c r="AZ3263" s="10"/>
    </row>
    <row r="3264" spans="28:52">
      <c r="AB3264" s="9">
        <v>1.0438365109247418</v>
      </c>
      <c r="AC3264" s="9">
        <v>1.03773507310735</v>
      </c>
      <c r="AD3264" s="9">
        <v>0.9916806186241337</v>
      </c>
      <c r="AE3264" s="10"/>
      <c r="AF3264" s="10"/>
      <c r="AG3264" s="10"/>
      <c r="AH3264" s="10"/>
      <c r="AI3264" s="10"/>
      <c r="AJ3264" s="10"/>
      <c r="AK3264" s="10"/>
      <c r="AL3264" s="10"/>
      <c r="AM3264" s="10"/>
      <c r="AN3264" s="10"/>
      <c r="AO3264" s="10"/>
      <c r="AP3264" s="10"/>
      <c r="AQ3264" s="10"/>
      <c r="AR3264" s="10"/>
      <c r="AS3264" s="10"/>
      <c r="AT3264" s="10"/>
      <c r="AU3264" s="10"/>
      <c r="AV3264" s="10"/>
      <c r="AW3264" s="10"/>
      <c r="AX3264" s="10"/>
      <c r="AY3264" s="10"/>
      <c r="AZ3264" s="10"/>
    </row>
    <row r="3265" spans="28:52">
      <c r="AB3265" s="9">
        <v>0.97317110999334444</v>
      </c>
      <c r="AC3265" s="9">
        <v>0.30382866102263995</v>
      </c>
      <c r="AD3265" s="9">
        <v>1.0204892359980497</v>
      </c>
      <c r="AE3265" s="10"/>
      <c r="AF3265" s="10"/>
      <c r="AG3265" s="10"/>
      <c r="AH3265" s="10"/>
      <c r="AI3265" s="10"/>
      <c r="AJ3265" s="10"/>
      <c r="AK3265" s="10"/>
      <c r="AL3265" s="10"/>
      <c r="AM3265" s="10"/>
      <c r="AN3265" s="10"/>
      <c r="AO3265" s="10"/>
      <c r="AP3265" s="10"/>
      <c r="AQ3265" s="10"/>
      <c r="AR3265" s="10"/>
      <c r="AS3265" s="10"/>
      <c r="AT3265" s="10"/>
      <c r="AU3265" s="10"/>
      <c r="AV3265" s="10"/>
      <c r="AW3265" s="10"/>
      <c r="AX3265" s="10"/>
      <c r="AY3265" s="10"/>
      <c r="AZ3265" s="10"/>
    </row>
    <row r="3266" spans="28:52">
      <c r="AB3266" s="9">
        <v>0.94441528208349712</v>
      </c>
      <c r="AC3266" s="9">
        <v>1.586185886083046</v>
      </c>
      <c r="AD3266" s="9">
        <v>1.0132088528959244</v>
      </c>
      <c r="AE3266" s="10"/>
      <c r="AF3266" s="10"/>
      <c r="AG3266" s="10"/>
      <c r="AH3266" s="10"/>
      <c r="AI3266" s="10"/>
      <c r="AJ3266" s="10"/>
      <c r="AK3266" s="10"/>
      <c r="AL3266" s="10"/>
      <c r="AM3266" s="10"/>
      <c r="AN3266" s="10"/>
      <c r="AO3266" s="10"/>
      <c r="AP3266" s="10"/>
      <c r="AQ3266" s="10"/>
      <c r="AR3266" s="10"/>
      <c r="AS3266" s="10"/>
      <c r="AT3266" s="10"/>
      <c r="AU3266" s="10"/>
      <c r="AV3266" s="10"/>
      <c r="AW3266" s="10"/>
      <c r="AX3266" s="10"/>
      <c r="AY3266" s="10"/>
      <c r="AZ3266" s="10"/>
    </row>
    <row r="3267" spans="28:52">
      <c r="AB3267" s="9">
        <v>0.95043528246018338</v>
      </c>
      <c r="AC3267" s="9">
        <v>0.90774570189945258</v>
      </c>
      <c r="AD3267" s="9">
        <v>1.0214636990740216</v>
      </c>
      <c r="AE3267" s="10"/>
      <c r="AF3267" s="10"/>
      <c r="AG3267" s="10"/>
      <c r="AH3267" s="10"/>
      <c r="AI3267" s="10"/>
      <c r="AJ3267" s="10"/>
      <c r="AK3267" s="10"/>
      <c r="AL3267" s="10"/>
      <c r="AM3267" s="10"/>
      <c r="AN3267" s="10"/>
      <c r="AO3267" s="10"/>
      <c r="AP3267" s="10"/>
      <c r="AQ3267" s="10"/>
      <c r="AR3267" s="10"/>
      <c r="AS3267" s="10"/>
      <c r="AT3267" s="10"/>
      <c r="AU3267" s="10"/>
      <c r="AV3267" s="10"/>
      <c r="AW3267" s="10"/>
      <c r="AX3267" s="10"/>
      <c r="AY3267" s="10"/>
      <c r="AZ3267" s="10"/>
    </row>
    <row r="3268" spans="28:52">
      <c r="AB3268" s="9">
        <v>0.94169788615421002</v>
      </c>
      <c r="AC3268" s="9">
        <v>0.75894658651562219</v>
      </c>
      <c r="AD3268" s="9">
        <v>1.0238968988784565</v>
      </c>
      <c r="AE3268" s="10"/>
      <c r="AF3268" s="10"/>
      <c r="AG3268" s="10"/>
      <c r="AH3268" s="10"/>
      <c r="AI3268" s="10"/>
      <c r="AJ3268" s="10"/>
      <c r="AK3268" s="10"/>
      <c r="AL3268" s="10"/>
      <c r="AM3268" s="10"/>
      <c r="AN3268" s="10"/>
      <c r="AO3268" s="10"/>
      <c r="AP3268" s="10"/>
      <c r="AQ3268" s="10"/>
      <c r="AR3268" s="10"/>
      <c r="AS3268" s="10"/>
      <c r="AT3268" s="10"/>
      <c r="AU3268" s="10"/>
      <c r="AV3268" s="10"/>
      <c r="AW3268" s="10"/>
      <c r="AX3268" s="10"/>
      <c r="AY3268" s="10"/>
      <c r="AZ3268" s="10"/>
    </row>
    <row r="3269" spans="28:52">
      <c r="AB3269" s="9">
        <v>0.93811504992234718</v>
      </c>
      <c r="AC3269" s="9">
        <v>0.6227752340963868</v>
      </c>
      <c r="AD3269" s="9">
        <v>0.96862981938830206</v>
      </c>
      <c r="AE3269" s="10"/>
      <c r="AF3269" s="10"/>
      <c r="AG3269" s="10"/>
      <c r="AH3269" s="10"/>
      <c r="AI3269" s="10"/>
      <c r="AJ3269" s="10"/>
      <c r="AK3269" s="10"/>
      <c r="AL3269" s="10"/>
      <c r="AM3269" s="10"/>
      <c r="AN3269" s="10"/>
      <c r="AO3269" s="10"/>
      <c r="AP3269" s="10"/>
      <c r="AQ3269" s="10"/>
      <c r="AR3269" s="10"/>
      <c r="AS3269" s="10"/>
      <c r="AT3269" s="10"/>
      <c r="AU3269" s="10"/>
      <c r="AV3269" s="10"/>
      <c r="AW3269" s="10"/>
      <c r="AX3269" s="10"/>
      <c r="AY3269" s="10"/>
      <c r="AZ3269" s="10"/>
    </row>
    <row r="3270" spans="28:52">
      <c r="AB3270" s="9">
        <v>0.98960501337549045</v>
      </c>
      <c r="AC3270" s="9">
        <v>0.71921851459124841</v>
      </c>
      <c r="AD3270" s="9">
        <v>0.96389988159594508</v>
      </c>
      <c r="AE3270" s="10"/>
      <c r="AF3270" s="10"/>
      <c r="AG3270" s="10"/>
      <c r="AH3270" s="10"/>
      <c r="AI3270" s="10"/>
      <c r="AJ3270" s="10"/>
      <c r="AK3270" s="10"/>
      <c r="AL3270" s="10"/>
      <c r="AM3270" s="10"/>
      <c r="AN3270" s="10"/>
      <c r="AO3270" s="10"/>
      <c r="AP3270" s="10"/>
      <c r="AQ3270" s="10"/>
      <c r="AR3270" s="10"/>
      <c r="AS3270" s="10"/>
      <c r="AT3270" s="10"/>
      <c r="AU3270" s="10"/>
      <c r="AV3270" s="10"/>
      <c r="AW3270" s="10"/>
      <c r="AX3270" s="10"/>
      <c r="AY3270" s="10"/>
      <c r="AZ3270" s="10"/>
    </row>
    <row r="3271" spans="28:52">
      <c r="AB3271" s="9">
        <v>0.9919199283427651</v>
      </c>
      <c r="AC3271" s="9">
        <v>0.91501347708552327</v>
      </c>
      <c r="AD3271" s="9">
        <v>0.95828106816882064</v>
      </c>
      <c r="AE3271" s="10"/>
      <c r="AF3271" s="10"/>
      <c r="AG3271" s="10"/>
      <c r="AH3271" s="10"/>
      <c r="AI3271" s="10"/>
      <c r="AJ3271" s="10"/>
      <c r="AK3271" s="10"/>
      <c r="AL3271" s="10"/>
      <c r="AM3271" s="10"/>
      <c r="AN3271" s="10"/>
      <c r="AO3271" s="10"/>
      <c r="AP3271" s="10"/>
      <c r="AQ3271" s="10"/>
      <c r="AR3271" s="10"/>
      <c r="AS3271" s="10"/>
      <c r="AT3271" s="10"/>
      <c r="AU3271" s="10"/>
      <c r="AV3271" s="10"/>
      <c r="AW3271" s="10"/>
      <c r="AX3271" s="10"/>
      <c r="AY3271" s="10"/>
      <c r="AZ3271" s="10"/>
    </row>
    <row r="3272" spans="28:52">
      <c r="AB3272" s="9">
        <v>0.99516855317479869</v>
      </c>
      <c r="AC3272" s="9">
        <v>0.85897802428674519</v>
      </c>
      <c r="AD3272" s="9">
        <v>0.95638399077794256</v>
      </c>
      <c r="AE3272" s="10"/>
      <c r="AF3272" s="10"/>
      <c r="AG3272" s="10"/>
      <c r="AH3272" s="10"/>
      <c r="AI3272" s="10"/>
      <c r="AJ3272" s="10"/>
      <c r="AK3272" s="10"/>
      <c r="AL3272" s="10"/>
      <c r="AM3272" s="10"/>
      <c r="AN3272" s="10"/>
      <c r="AO3272" s="10"/>
      <c r="AP3272" s="10"/>
      <c r="AQ3272" s="10"/>
      <c r="AR3272" s="10"/>
      <c r="AS3272" s="10"/>
      <c r="AT3272" s="10"/>
      <c r="AU3272" s="10"/>
      <c r="AV3272" s="10"/>
      <c r="AW3272" s="10"/>
      <c r="AX3272" s="10"/>
      <c r="AY3272" s="10"/>
      <c r="AZ3272" s="10"/>
    </row>
    <row r="3273" spans="28:52">
      <c r="AB3273" s="9">
        <v>0.99461260210479763</v>
      </c>
      <c r="AC3273" s="9">
        <v>0.80812125550795466</v>
      </c>
      <c r="AD3273" s="9">
        <v>0.95115785710575451</v>
      </c>
      <c r="AE3273" s="10"/>
      <c r="AF3273" s="10"/>
      <c r="AG3273" s="10"/>
      <c r="AH3273" s="10"/>
      <c r="AI3273" s="10"/>
      <c r="AJ3273" s="10"/>
      <c r="AK3273" s="10"/>
      <c r="AL3273" s="10"/>
      <c r="AM3273" s="10"/>
      <c r="AN3273" s="10"/>
      <c r="AO3273" s="10"/>
      <c r="AP3273" s="10"/>
      <c r="AQ3273" s="10"/>
      <c r="AR3273" s="10"/>
      <c r="AS3273" s="10"/>
      <c r="AT3273" s="10"/>
      <c r="AU3273" s="10"/>
      <c r="AV3273" s="10"/>
      <c r="AW3273" s="10"/>
      <c r="AX3273" s="10"/>
      <c r="AY3273" s="10"/>
      <c r="AZ3273" s="10"/>
    </row>
    <row r="3274" spans="28:52">
      <c r="AB3274" s="9">
        <v>0.9971195751953813</v>
      </c>
      <c r="AC3274" s="9">
        <v>0.75853265005886006</v>
      </c>
      <c r="AD3274" s="9">
        <v>0.92920593829168618</v>
      </c>
      <c r="AE3274" s="10"/>
      <c r="AF3274" s="10"/>
      <c r="AG3274" s="10"/>
      <c r="AH3274" s="10"/>
      <c r="AI3274" s="10"/>
      <c r="AJ3274" s="10"/>
      <c r="AK3274" s="10"/>
      <c r="AL3274" s="10"/>
      <c r="AM3274" s="10"/>
      <c r="AN3274" s="10"/>
      <c r="AO3274" s="10"/>
      <c r="AP3274" s="10"/>
      <c r="AQ3274" s="10"/>
      <c r="AR3274" s="10"/>
      <c r="AS3274" s="10"/>
      <c r="AT3274" s="10"/>
      <c r="AU3274" s="10"/>
      <c r="AV3274" s="10"/>
      <c r="AW3274" s="10"/>
      <c r="AX3274" s="10"/>
      <c r="AY3274" s="10"/>
      <c r="AZ3274" s="10"/>
    </row>
    <row r="3275" spans="28:52">
      <c r="AB3275" s="9">
        <v>1.0167390954548301</v>
      </c>
      <c r="AC3275" s="9">
        <v>0.94325496610597048</v>
      </c>
      <c r="AD3275" s="9">
        <v>0.93247262468465275</v>
      </c>
      <c r="AE3275" s="10"/>
      <c r="AF3275" s="10"/>
      <c r="AG3275" s="10"/>
      <c r="AH3275" s="10"/>
      <c r="AI3275" s="10"/>
      <c r="AJ3275" s="10"/>
      <c r="AK3275" s="10"/>
      <c r="AL3275" s="10"/>
      <c r="AM3275" s="10"/>
      <c r="AN3275" s="10"/>
      <c r="AO3275" s="10"/>
      <c r="AP3275" s="10"/>
      <c r="AQ3275" s="10"/>
      <c r="AR3275" s="10"/>
      <c r="AS3275" s="10"/>
      <c r="AT3275" s="10"/>
      <c r="AU3275" s="10"/>
      <c r="AV3275" s="10"/>
      <c r="AW3275" s="10"/>
      <c r="AX3275" s="10"/>
      <c r="AY3275" s="10"/>
      <c r="AZ3275" s="10"/>
    </row>
    <row r="3276" spans="28:52">
      <c r="AB3276" s="9">
        <v>1.0087892063626238</v>
      </c>
      <c r="AC3276" s="9">
        <v>0.99907283143840764</v>
      </c>
      <c r="AD3276" s="9">
        <v>0.92792532880780665</v>
      </c>
      <c r="AE3276" s="10"/>
      <c r="AF3276" s="10"/>
      <c r="AG3276" s="10"/>
      <c r="AH3276" s="10"/>
      <c r="AI3276" s="10"/>
      <c r="AJ3276" s="10"/>
      <c r="AK3276" s="10"/>
      <c r="AL3276" s="10"/>
      <c r="AM3276" s="10"/>
      <c r="AN3276" s="10"/>
      <c r="AO3276" s="10"/>
      <c r="AP3276" s="10"/>
      <c r="AQ3276" s="10"/>
      <c r="AR3276" s="10"/>
      <c r="AS3276" s="10"/>
      <c r="AT3276" s="10"/>
      <c r="AU3276" s="10"/>
      <c r="AV3276" s="10"/>
      <c r="AW3276" s="10"/>
      <c r="AX3276" s="10"/>
      <c r="AY3276" s="10"/>
      <c r="AZ3276" s="10"/>
    </row>
    <row r="3277" spans="28:52">
      <c r="AB3277" s="9">
        <v>1.009692209106428</v>
      </c>
      <c r="AC3277" s="9">
        <v>0.6247180214480319</v>
      </c>
      <c r="AD3277" s="9">
        <v>0.92103637720557618</v>
      </c>
      <c r="AE3277" s="10"/>
      <c r="AF3277" s="10"/>
      <c r="AG3277" s="10"/>
      <c r="AH3277" s="10"/>
      <c r="AI3277" s="10"/>
      <c r="AJ3277" s="10"/>
      <c r="AK3277" s="10"/>
      <c r="AL3277" s="10"/>
      <c r="AM3277" s="10"/>
      <c r="AN3277" s="10"/>
      <c r="AO3277" s="10"/>
      <c r="AP3277" s="10"/>
      <c r="AQ3277" s="10"/>
      <c r="AR3277" s="10"/>
      <c r="AS3277" s="10"/>
      <c r="AT3277" s="10"/>
      <c r="AU3277" s="10"/>
      <c r="AV3277" s="10"/>
      <c r="AW3277" s="10"/>
      <c r="AX3277" s="10"/>
      <c r="AY3277" s="10"/>
      <c r="AZ3277" s="10"/>
    </row>
    <row r="3278" spans="28:52">
      <c r="AB3278" s="9">
        <v>1.0125519317416731</v>
      </c>
      <c r="AC3278" s="9">
        <v>0.68293995674972696</v>
      </c>
      <c r="AD3278" s="9">
        <v>0.92529357920113098</v>
      </c>
      <c r="AE3278" s="10"/>
      <c r="AF3278" s="10"/>
      <c r="AG3278" s="10"/>
      <c r="AH3278" s="10"/>
      <c r="AI3278" s="10"/>
      <c r="AJ3278" s="10"/>
      <c r="AK3278" s="10"/>
      <c r="AL3278" s="10"/>
      <c r="AM3278" s="10"/>
      <c r="AN3278" s="10"/>
      <c r="AO3278" s="10"/>
      <c r="AP3278" s="10"/>
      <c r="AQ3278" s="10"/>
      <c r="AR3278" s="10"/>
      <c r="AS3278" s="10"/>
      <c r="AT3278" s="10"/>
      <c r="AU3278" s="10"/>
      <c r="AV3278" s="10"/>
      <c r="AW3278" s="10"/>
      <c r="AX3278" s="10"/>
      <c r="AY3278" s="10"/>
      <c r="AZ3278" s="10"/>
    </row>
    <row r="3279" spans="28:52">
      <c r="AB3279" s="9">
        <v>1.0038391575633363</v>
      </c>
      <c r="AC3279" s="9">
        <v>0.69224749683082198</v>
      </c>
      <c r="AD3279" s="9">
        <v>0.90070129157334688</v>
      </c>
      <c r="AE3279" s="10"/>
      <c r="AF3279" s="10"/>
      <c r="AG3279" s="10"/>
      <c r="AH3279" s="10"/>
      <c r="AI3279" s="10"/>
      <c r="AJ3279" s="10"/>
      <c r="AK3279" s="10"/>
      <c r="AL3279" s="10"/>
      <c r="AM3279" s="10"/>
      <c r="AN3279" s="10"/>
      <c r="AO3279" s="10"/>
      <c r="AP3279" s="10"/>
      <c r="AQ3279" s="10"/>
      <c r="AR3279" s="10"/>
      <c r="AS3279" s="10"/>
      <c r="AT3279" s="10"/>
      <c r="AU3279" s="10"/>
      <c r="AV3279" s="10"/>
      <c r="AW3279" s="10"/>
      <c r="AX3279" s="10"/>
      <c r="AY3279" s="10"/>
      <c r="AZ3279" s="10"/>
    </row>
    <row r="3280" spans="28:52">
      <c r="AB3280" s="9">
        <v>1.0262837404759428</v>
      </c>
      <c r="AC3280" s="9">
        <v>0.98714427318608589</v>
      </c>
      <c r="AD3280" s="9">
        <v>0.89491243433863221</v>
      </c>
      <c r="AE3280" s="10"/>
      <c r="AF3280" s="10"/>
      <c r="AG3280" s="10"/>
      <c r="AH3280" s="10"/>
      <c r="AI3280" s="10"/>
      <c r="AJ3280" s="10"/>
      <c r="AK3280" s="10"/>
      <c r="AL3280" s="10"/>
      <c r="AM3280" s="10"/>
      <c r="AN3280" s="10"/>
      <c r="AO3280" s="10"/>
      <c r="AP3280" s="10"/>
      <c r="AQ3280" s="10"/>
      <c r="AR3280" s="10"/>
      <c r="AS3280" s="10"/>
      <c r="AT3280" s="10"/>
      <c r="AU3280" s="10"/>
      <c r="AV3280" s="10"/>
      <c r="AW3280" s="10"/>
      <c r="AX3280" s="10"/>
      <c r="AY3280" s="10"/>
      <c r="AZ3280" s="10"/>
    </row>
    <row r="3281" spans="28:52">
      <c r="AB3281" s="9">
        <v>1.0271035439095675</v>
      </c>
      <c r="AC3281" s="9">
        <v>1.1518755280213315</v>
      </c>
      <c r="AD3281" s="9">
        <v>0.88064989578760999</v>
      </c>
      <c r="AE3281" s="10"/>
      <c r="AF3281" s="10"/>
      <c r="AG3281" s="10"/>
      <c r="AH3281" s="10"/>
      <c r="AI3281" s="10"/>
      <c r="AJ3281" s="10"/>
      <c r="AK3281" s="10"/>
      <c r="AL3281" s="10"/>
      <c r="AM3281" s="10"/>
      <c r="AN3281" s="10"/>
      <c r="AO3281" s="10"/>
      <c r="AP3281" s="10"/>
      <c r="AQ3281" s="10"/>
      <c r="AR3281" s="10"/>
      <c r="AS3281" s="10"/>
      <c r="AT3281" s="10"/>
      <c r="AU3281" s="10"/>
      <c r="AV3281" s="10"/>
      <c r="AW3281" s="10"/>
      <c r="AX3281" s="10"/>
      <c r="AY3281" s="10"/>
      <c r="AZ3281" s="10"/>
    </row>
    <row r="3282" spans="28:52">
      <c r="AB3282" s="9">
        <v>1.0380766825289087</v>
      </c>
      <c r="AC3282" s="9">
        <v>1.1231380955793926</v>
      </c>
      <c r="AD3282" s="9">
        <v>0.89612530596916307</v>
      </c>
      <c r="AE3282" s="10"/>
      <c r="AF3282" s="10"/>
      <c r="AG3282" s="10"/>
      <c r="AH3282" s="10"/>
      <c r="AI3282" s="10"/>
      <c r="AJ3282" s="10"/>
      <c r="AK3282" s="10"/>
      <c r="AL3282" s="10"/>
      <c r="AM3282" s="10"/>
      <c r="AN3282" s="10"/>
      <c r="AO3282" s="10"/>
      <c r="AP3282" s="10"/>
      <c r="AQ3282" s="10"/>
      <c r="AR3282" s="10"/>
      <c r="AS3282" s="10"/>
      <c r="AT3282" s="10"/>
      <c r="AU3282" s="10"/>
      <c r="AV3282" s="10"/>
      <c r="AW3282" s="10"/>
      <c r="AX3282" s="10"/>
      <c r="AY3282" s="10"/>
      <c r="AZ3282" s="10"/>
    </row>
    <row r="3283" spans="28:52">
      <c r="AB3283" s="9">
        <v>1.015006687018861</v>
      </c>
      <c r="AC3283" s="9">
        <v>1.2256375552204344</v>
      </c>
      <c r="AD3283" s="9">
        <v>0.88268504883986953</v>
      </c>
      <c r="AE3283" s="10"/>
      <c r="AF3283" s="10"/>
      <c r="AG3283" s="10"/>
      <c r="AH3283" s="10"/>
      <c r="AI3283" s="10"/>
      <c r="AJ3283" s="10"/>
      <c r="AK3283" s="10"/>
      <c r="AL3283" s="10"/>
      <c r="AM3283" s="10"/>
      <c r="AN3283" s="10"/>
      <c r="AO3283" s="10"/>
      <c r="AP3283" s="10"/>
      <c r="AQ3283" s="10"/>
      <c r="AR3283" s="10"/>
      <c r="AS3283" s="10"/>
      <c r="AT3283" s="10"/>
      <c r="AU3283" s="10"/>
      <c r="AV3283" s="10"/>
      <c r="AW3283" s="10"/>
      <c r="AX3283" s="10"/>
      <c r="AY3283" s="10"/>
      <c r="AZ3283" s="10"/>
    </row>
    <row r="3284" spans="28:52">
      <c r="AB3284" s="9">
        <v>1.0258354912659999</v>
      </c>
      <c r="AC3284" s="9">
        <v>1.1318925713910737</v>
      </c>
      <c r="AD3284" s="9">
        <v>0.88449576497452487</v>
      </c>
      <c r="AE3284" s="10"/>
      <c r="AF3284" s="10"/>
      <c r="AG3284" s="10"/>
      <c r="AH3284" s="10"/>
      <c r="AI3284" s="10"/>
      <c r="AJ3284" s="10"/>
      <c r="AK3284" s="10"/>
      <c r="AL3284" s="10"/>
      <c r="AM3284" s="10"/>
      <c r="AN3284" s="10"/>
      <c r="AO3284" s="10"/>
      <c r="AP3284" s="10"/>
      <c r="AQ3284" s="10"/>
      <c r="AR3284" s="10"/>
      <c r="AS3284" s="10"/>
      <c r="AT3284" s="10"/>
      <c r="AU3284" s="10"/>
      <c r="AV3284" s="10"/>
      <c r="AW3284" s="10"/>
      <c r="AX3284" s="10"/>
      <c r="AY3284" s="10"/>
      <c r="AZ3284" s="10"/>
    </row>
    <row r="3285" spans="28:52">
      <c r="AB3285" s="9">
        <v>1.018995501838277</v>
      </c>
      <c r="AC3285" s="9">
        <v>1.0364096835121464</v>
      </c>
      <c r="AD3285" s="9">
        <v>0.87873958267462937</v>
      </c>
      <c r="AE3285" s="10"/>
      <c r="AF3285" s="10"/>
      <c r="AG3285" s="10"/>
      <c r="AH3285" s="10"/>
      <c r="AI3285" s="10"/>
      <c r="AJ3285" s="10"/>
      <c r="AK3285" s="10"/>
      <c r="AL3285" s="10"/>
      <c r="AM3285" s="10"/>
      <c r="AN3285" s="10"/>
      <c r="AO3285" s="10"/>
      <c r="AP3285" s="10"/>
      <c r="AQ3285" s="10"/>
      <c r="AR3285" s="10"/>
      <c r="AS3285" s="10"/>
      <c r="AT3285" s="10"/>
      <c r="AU3285" s="10"/>
      <c r="AV3285" s="10"/>
      <c r="AW3285" s="10"/>
      <c r="AX3285" s="10"/>
      <c r="AY3285" s="10"/>
      <c r="AZ3285" s="10"/>
    </row>
    <row r="3286" spans="28:52">
      <c r="AB3286" s="9">
        <v>1.021163833965717</v>
      </c>
      <c r="AC3286" s="9">
        <v>0.91642538914048755</v>
      </c>
      <c r="AD3286" s="9">
        <v>0.87459229837377517</v>
      </c>
      <c r="AE3286" s="10"/>
      <c r="AF3286" s="10"/>
      <c r="AG3286" s="10"/>
      <c r="AH3286" s="10"/>
      <c r="AI3286" s="10"/>
      <c r="AJ3286" s="10"/>
      <c r="AK3286" s="10"/>
      <c r="AL3286" s="10"/>
      <c r="AM3286" s="10"/>
      <c r="AN3286" s="10"/>
      <c r="AO3286" s="10"/>
      <c r="AP3286" s="10"/>
      <c r="AQ3286" s="10"/>
      <c r="AR3286" s="10"/>
      <c r="AS3286" s="10"/>
      <c r="AT3286" s="10"/>
      <c r="AU3286" s="10"/>
      <c r="AV3286" s="10"/>
      <c r="AW3286" s="10"/>
      <c r="AX3286" s="10"/>
      <c r="AY3286" s="10"/>
      <c r="AZ3286" s="10"/>
    </row>
    <row r="3287" spans="28:52">
      <c r="AB3287" s="9">
        <v>1.0216156944652546</v>
      </c>
      <c r="AC3287" s="9">
        <v>0.84358326796934924</v>
      </c>
      <c r="AD3287" s="9">
        <v>0.88185472862068115</v>
      </c>
      <c r="AE3287" s="10"/>
      <c r="AF3287" s="10"/>
      <c r="AG3287" s="10"/>
      <c r="AH3287" s="10"/>
      <c r="AI3287" s="10"/>
      <c r="AJ3287" s="10"/>
      <c r="AK3287" s="10"/>
      <c r="AL3287" s="10"/>
      <c r="AM3287" s="10"/>
      <c r="AN3287" s="10"/>
      <c r="AO3287" s="10"/>
      <c r="AP3287" s="10"/>
      <c r="AQ3287" s="10"/>
      <c r="AR3287" s="10"/>
      <c r="AS3287" s="10"/>
      <c r="AT3287" s="10"/>
      <c r="AU3287" s="10"/>
      <c r="AV3287" s="10"/>
      <c r="AW3287" s="10"/>
      <c r="AX3287" s="10"/>
      <c r="AY3287" s="10"/>
      <c r="AZ3287" s="10"/>
    </row>
    <row r="3288" spans="28:52">
      <c r="AB3288" s="9">
        <v>1.0089973422298171</v>
      </c>
      <c r="AC3288" s="9">
        <v>1.2414321037401086</v>
      </c>
      <c r="AD3288" s="9">
        <v>0.87684201478934853</v>
      </c>
      <c r="AE3288" s="10"/>
      <c r="AF3288" s="10"/>
      <c r="AG3288" s="10"/>
      <c r="AH3288" s="10"/>
      <c r="AI3288" s="10"/>
      <c r="AJ3288" s="10"/>
      <c r="AK3288" s="10"/>
      <c r="AL3288" s="10"/>
      <c r="AM3288" s="10"/>
      <c r="AN3288" s="10"/>
      <c r="AO3288" s="10"/>
      <c r="AP3288" s="10"/>
      <c r="AQ3288" s="10"/>
      <c r="AR3288" s="10"/>
      <c r="AS3288" s="10"/>
      <c r="AT3288" s="10"/>
      <c r="AU3288" s="10"/>
      <c r="AV3288" s="10"/>
      <c r="AW3288" s="10"/>
      <c r="AX3288" s="10"/>
      <c r="AY3288" s="10"/>
      <c r="AZ3288" s="10"/>
    </row>
    <row r="3289" spans="28:52">
      <c r="AB3289" s="9">
        <v>1.0107941872586219</v>
      </c>
      <c r="AC3289" s="9">
        <v>0.78951500514056483</v>
      </c>
      <c r="AD3289" s="9">
        <v>0.87848528469459264</v>
      </c>
      <c r="AE3289" s="10"/>
      <c r="AF3289" s="10"/>
      <c r="AG3289" s="10"/>
      <c r="AH3289" s="10"/>
      <c r="AI3289" s="10"/>
      <c r="AJ3289" s="10"/>
      <c r="AK3289" s="10"/>
      <c r="AL3289" s="10"/>
      <c r="AM3289" s="10"/>
      <c r="AN3289" s="10"/>
      <c r="AO3289" s="10"/>
      <c r="AP3289" s="10"/>
      <c r="AQ3289" s="10"/>
      <c r="AR3289" s="10"/>
      <c r="AS3289" s="10"/>
      <c r="AT3289" s="10"/>
      <c r="AU3289" s="10"/>
      <c r="AV3289" s="10"/>
      <c r="AW3289" s="10"/>
      <c r="AX3289" s="10"/>
      <c r="AY3289" s="10"/>
      <c r="AZ3289" s="10"/>
    </row>
    <row r="3290" spans="28:52">
      <c r="AB3290" s="9">
        <v>1.00475461376066</v>
      </c>
      <c r="AC3290" s="9">
        <v>0.67126082126480047</v>
      </c>
      <c r="AD3290" s="9">
        <v>0.88399058193416402</v>
      </c>
      <c r="AE3290" s="10"/>
      <c r="AF3290" s="10"/>
      <c r="AG3290" s="10"/>
      <c r="AH3290" s="10"/>
      <c r="AI3290" s="10"/>
      <c r="AJ3290" s="10"/>
      <c r="AK3290" s="10"/>
      <c r="AL3290" s="10"/>
      <c r="AM3290" s="10"/>
      <c r="AN3290" s="10"/>
      <c r="AO3290" s="10"/>
      <c r="AP3290" s="10"/>
      <c r="AQ3290" s="10"/>
      <c r="AR3290" s="10"/>
      <c r="AS3290" s="10"/>
      <c r="AT3290" s="10"/>
      <c r="AU3290" s="10"/>
      <c r="AV3290" s="10"/>
      <c r="AW3290" s="10"/>
      <c r="AX3290" s="10"/>
      <c r="AY3290" s="10"/>
      <c r="AZ3290" s="10"/>
    </row>
    <row r="3291" spans="28:52">
      <c r="AB3291" s="9">
        <v>0.99504918568185496</v>
      </c>
      <c r="AC3291" s="9">
        <v>0.67702495506805327</v>
      </c>
      <c r="AD3291" s="9">
        <v>0.89088226928780589</v>
      </c>
      <c r="AE3291" s="10"/>
      <c r="AF3291" s="10"/>
      <c r="AG3291" s="10"/>
      <c r="AH3291" s="10"/>
      <c r="AI3291" s="10"/>
      <c r="AJ3291" s="10"/>
      <c r="AK3291" s="10"/>
      <c r="AL3291" s="10"/>
      <c r="AM3291" s="10"/>
      <c r="AN3291" s="10"/>
      <c r="AO3291" s="10"/>
      <c r="AP3291" s="10"/>
      <c r="AQ3291" s="10"/>
      <c r="AR3291" s="10"/>
      <c r="AS3291" s="10"/>
      <c r="AT3291" s="10"/>
      <c r="AU3291" s="10"/>
      <c r="AV3291" s="10"/>
      <c r="AW3291" s="10"/>
      <c r="AX3291" s="10"/>
      <c r="AY3291" s="10"/>
      <c r="AZ3291" s="10"/>
    </row>
    <row r="3292" spans="28:52">
      <c r="AB3292" s="9">
        <v>0.98435470767311462</v>
      </c>
      <c r="AC3292" s="9">
        <v>0.6826566625476721</v>
      </c>
      <c r="AD3292" s="9">
        <v>0.91220078691576867</v>
      </c>
      <c r="AE3292" s="10"/>
      <c r="AF3292" s="10"/>
      <c r="AG3292" s="10"/>
      <c r="AH3292" s="10"/>
      <c r="AI3292" s="10"/>
      <c r="AJ3292" s="10"/>
      <c r="AK3292" s="10"/>
      <c r="AL3292" s="10"/>
      <c r="AM3292" s="10"/>
      <c r="AN3292" s="10"/>
      <c r="AO3292" s="10"/>
      <c r="AP3292" s="10"/>
      <c r="AQ3292" s="10"/>
      <c r="AR3292" s="10"/>
      <c r="AS3292" s="10"/>
      <c r="AT3292" s="10"/>
      <c r="AU3292" s="10"/>
      <c r="AV3292" s="10"/>
      <c r="AW3292" s="10"/>
      <c r="AX3292" s="10"/>
      <c r="AY3292" s="10"/>
      <c r="AZ3292" s="10"/>
    </row>
    <row r="3293" spans="28:52">
      <c r="AB3293" s="9">
        <v>0.95932479415426264</v>
      </c>
      <c r="AC3293" s="9">
        <v>0.83541107961812655</v>
      </c>
      <c r="AD3293" s="9">
        <v>0.95256492110738999</v>
      </c>
      <c r="AE3293" s="10"/>
      <c r="AF3293" s="10"/>
      <c r="AG3293" s="10"/>
      <c r="AH3293" s="10"/>
      <c r="AI3293" s="10"/>
      <c r="AJ3293" s="10"/>
      <c r="AK3293" s="10"/>
      <c r="AL3293" s="10"/>
      <c r="AM3293" s="10"/>
      <c r="AN3293" s="10"/>
      <c r="AO3293" s="10"/>
      <c r="AP3293" s="10"/>
      <c r="AQ3293" s="10"/>
      <c r="AR3293" s="10"/>
      <c r="AS3293" s="10"/>
      <c r="AT3293" s="10"/>
      <c r="AU3293" s="10"/>
      <c r="AV3293" s="10"/>
      <c r="AW3293" s="10"/>
      <c r="AX3293" s="10"/>
      <c r="AY3293" s="10"/>
      <c r="AZ3293" s="10"/>
    </row>
    <row r="3294" spans="28:52">
      <c r="AB3294" s="9">
        <v>0.91821673709848917</v>
      </c>
      <c r="AC3294" s="9">
        <v>1.0342357765998458</v>
      </c>
      <c r="AD3294" s="9">
        <v>0.9652822246951378</v>
      </c>
      <c r="AE3294" s="10"/>
      <c r="AF3294" s="10"/>
      <c r="AG3294" s="10"/>
      <c r="AH3294" s="10"/>
      <c r="AI3294" s="10"/>
      <c r="AJ3294" s="10"/>
      <c r="AK3294" s="10"/>
      <c r="AL3294" s="10"/>
      <c r="AM3294" s="10"/>
      <c r="AN3294" s="10"/>
      <c r="AO3294" s="10"/>
      <c r="AP3294" s="10"/>
      <c r="AQ3294" s="10"/>
      <c r="AR3294" s="10"/>
      <c r="AS3294" s="10"/>
      <c r="AT3294" s="10"/>
      <c r="AU3294" s="10"/>
      <c r="AV3294" s="10"/>
      <c r="AW3294" s="10"/>
      <c r="AX3294" s="10"/>
      <c r="AY3294" s="10"/>
      <c r="AZ3294" s="10"/>
    </row>
    <row r="3295" spans="28:52">
      <c r="AB3295" s="9">
        <v>0.90673429428178032</v>
      </c>
      <c r="AC3295" s="9">
        <v>0.58290843493162525</v>
      </c>
      <c r="AD3295" s="9">
        <v>0.93946426638009761</v>
      </c>
      <c r="AE3295" s="10"/>
      <c r="AF3295" s="10"/>
      <c r="AG3295" s="10"/>
      <c r="AH3295" s="10"/>
      <c r="AI3295" s="10"/>
      <c r="AJ3295" s="10"/>
      <c r="AK3295" s="10"/>
      <c r="AL3295" s="10"/>
      <c r="AM3295" s="10"/>
      <c r="AN3295" s="10"/>
      <c r="AO3295" s="10"/>
      <c r="AP3295" s="10"/>
      <c r="AQ3295" s="10"/>
      <c r="AR3295" s="10"/>
      <c r="AS3295" s="10"/>
      <c r="AT3295" s="10"/>
      <c r="AU3295" s="10"/>
      <c r="AV3295" s="10"/>
      <c r="AW3295" s="10"/>
      <c r="AX3295" s="10"/>
      <c r="AY3295" s="10"/>
      <c r="AZ3295" s="10"/>
    </row>
    <row r="3296" spans="28:52">
      <c r="AB3296" s="9">
        <v>0.9316747275354097</v>
      </c>
      <c r="AC3296" s="9">
        <v>0.63310676792257325</v>
      </c>
      <c r="AD3296" s="9">
        <v>0.99112194088718775</v>
      </c>
      <c r="AE3296" s="10"/>
      <c r="AF3296" s="10"/>
      <c r="AG3296" s="10"/>
      <c r="AH3296" s="10"/>
      <c r="AI3296" s="10"/>
      <c r="AJ3296" s="10"/>
      <c r="AK3296" s="10"/>
      <c r="AL3296" s="10"/>
      <c r="AM3296" s="10"/>
      <c r="AN3296" s="10"/>
      <c r="AO3296" s="10"/>
      <c r="AP3296" s="10"/>
      <c r="AQ3296" s="10"/>
      <c r="AR3296" s="10"/>
      <c r="AS3296" s="10"/>
      <c r="AT3296" s="10"/>
      <c r="AU3296" s="10"/>
      <c r="AV3296" s="10"/>
      <c r="AW3296" s="10"/>
      <c r="AX3296" s="10"/>
      <c r="AY3296" s="10"/>
      <c r="AZ3296" s="10"/>
    </row>
    <row r="3297" spans="28:52">
      <c r="AB3297" s="9">
        <v>0.88350226216892036</v>
      </c>
      <c r="AC3297" s="9">
        <v>0.76041434338696468</v>
      </c>
      <c r="AD3297" s="9">
        <v>0.98075011125606837</v>
      </c>
      <c r="AE3297" s="10"/>
      <c r="AF3297" s="10"/>
      <c r="AG3297" s="10"/>
      <c r="AH3297" s="10"/>
      <c r="AI3297" s="10"/>
      <c r="AJ3297" s="10"/>
      <c r="AK3297" s="10"/>
      <c r="AL3297" s="10"/>
      <c r="AM3297" s="10"/>
      <c r="AN3297" s="10"/>
      <c r="AO3297" s="10"/>
      <c r="AP3297" s="10"/>
      <c r="AQ3297" s="10"/>
      <c r="AR3297" s="10"/>
      <c r="AS3297" s="10"/>
      <c r="AT3297" s="10"/>
      <c r="AU3297" s="10"/>
      <c r="AV3297" s="10"/>
      <c r="AW3297" s="10"/>
      <c r="AX3297" s="10"/>
      <c r="AY3297" s="10"/>
      <c r="AZ3297" s="10"/>
    </row>
    <row r="3298" spans="28:52">
      <c r="AB3298" s="9">
        <v>0.89400129230890446</v>
      </c>
      <c r="AC3298" s="9">
        <v>0.73822527528192661</v>
      </c>
      <c r="AD3298" s="9">
        <v>0.95821607016916521</v>
      </c>
      <c r="AE3298" s="10"/>
      <c r="AF3298" s="10"/>
      <c r="AG3298" s="10"/>
      <c r="AH3298" s="10"/>
      <c r="AI3298" s="10"/>
      <c r="AJ3298" s="10"/>
      <c r="AK3298" s="10"/>
      <c r="AL3298" s="10"/>
      <c r="AM3298" s="10"/>
      <c r="AN3298" s="10"/>
      <c r="AO3298" s="10"/>
      <c r="AP3298" s="10"/>
      <c r="AQ3298" s="10"/>
      <c r="AR3298" s="10"/>
      <c r="AS3298" s="10"/>
      <c r="AT3298" s="10"/>
      <c r="AU3298" s="10"/>
      <c r="AV3298" s="10"/>
      <c r="AW3298" s="10"/>
      <c r="AX3298" s="10"/>
      <c r="AY3298" s="10"/>
      <c r="AZ3298" s="10"/>
    </row>
    <row r="3299" spans="28:52">
      <c r="AB3299" s="9">
        <v>0.91570589653738921</v>
      </c>
      <c r="AC3299" s="9">
        <v>0.61329289540776155</v>
      </c>
      <c r="AD3299" s="9">
        <v>0.99172556458742833</v>
      </c>
      <c r="AE3299" s="10"/>
      <c r="AF3299" s="10"/>
      <c r="AG3299" s="10"/>
      <c r="AH3299" s="10"/>
      <c r="AI3299" s="10"/>
      <c r="AJ3299" s="10"/>
      <c r="AK3299" s="10"/>
      <c r="AL3299" s="10"/>
      <c r="AM3299" s="10"/>
      <c r="AN3299" s="10"/>
      <c r="AO3299" s="10"/>
      <c r="AP3299" s="10"/>
      <c r="AQ3299" s="10"/>
      <c r="AR3299" s="10"/>
      <c r="AS3299" s="10"/>
      <c r="AT3299" s="10"/>
      <c r="AU3299" s="10"/>
      <c r="AV3299" s="10"/>
      <c r="AW3299" s="10"/>
      <c r="AX3299" s="10"/>
      <c r="AY3299" s="10"/>
      <c r="AZ3299" s="10"/>
    </row>
    <row r="3300" spans="28:52">
      <c r="AB3300" s="9">
        <v>0.8859363877886558</v>
      </c>
      <c r="AC3300" s="9">
        <v>0.4558879567279186</v>
      </c>
      <c r="AD3300" s="9">
        <v>0.97969944074096726</v>
      </c>
      <c r="AE3300" s="10"/>
      <c r="AF3300" s="10"/>
      <c r="AG3300" s="10"/>
      <c r="AH3300" s="10"/>
      <c r="AI3300" s="10"/>
      <c r="AJ3300" s="10"/>
      <c r="AK3300" s="10"/>
      <c r="AL3300" s="10"/>
      <c r="AM3300" s="10"/>
      <c r="AN3300" s="10"/>
      <c r="AO3300" s="10"/>
      <c r="AP3300" s="10"/>
      <c r="AQ3300" s="10"/>
      <c r="AR3300" s="10"/>
      <c r="AS3300" s="10"/>
      <c r="AT3300" s="10"/>
      <c r="AU3300" s="10"/>
      <c r="AV3300" s="10"/>
      <c r="AW3300" s="10"/>
      <c r="AX3300" s="10"/>
      <c r="AY3300" s="10"/>
      <c r="AZ3300" s="10"/>
    </row>
    <row r="3301" spans="28:52">
      <c r="AB3301" s="9">
        <v>0.89823624109383637</v>
      </c>
      <c r="AC3301" s="9">
        <v>0.62584763867947657</v>
      </c>
      <c r="AD3301" s="9">
        <v>0.96618927668201082</v>
      </c>
      <c r="AE3301" s="10"/>
      <c r="AF3301" s="10"/>
      <c r="AG3301" s="10"/>
      <c r="AH3301" s="10"/>
      <c r="AI3301" s="10"/>
      <c r="AJ3301" s="10"/>
      <c r="AK3301" s="10"/>
      <c r="AL3301" s="10"/>
      <c r="AM3301" s="10"/>
      <c r="AN3301" s="10"/>
      <c r="AO3301" s="10"/>
      <c r="AP3301" s="10"/>
      <c r="AQ3301" s="10"/>
      <c r="AR3301" s="10"/>
      <c r="AS3301" s="10"/>
      <c r="AT3301" s="10"/>
      <c r="AU3301" s="10"/>
      <c r="AV3301" s="10"/>
      <c r="AW3301" s="10"/>
      <c r="AX3301" s="10"/>
      <c r="AY3301" s="10"/>
      <c r="AZ3301" s="10"/>
    </row>
    <row r="3302" spans="28:52">
      <c r="AB3302" s="9">
        <v>0.91199804094876258</v>
      </c>
      <c r="AC3302" s="9">
        <v>0.67768782669537064</v>
      </c>
      <c r="AD3302" s="9">
        <v>0.97090486964544287</v>
      </c>
      <c r="AE3302" s="10"/>
      <c r="AF3302" s="10"/>
      <c r="AG3302" s="10"/>
      <c r="AH3302" s="10"/>
      <c r="AI3302" s="10"/>
      <c r="AJ3302" s="10"/>
      <c r="AK3302" s="10"/>
      <c r="AL3302" s="10"/>
      <c r="AM3302" s="10"/>
      <c r="AN3302" s="10"/>
      <c r="AO3302" s="10"/>
      <c r="AP3302" s="10"/>
      <c r="AQ3302" s="10"/>
      <c r="AR3302" s="10"/>
      <c r="AS3302" s="10"/>
      <c r="AT3302" s="10"/>
      <c r="AU3302" s="10"/>
      <c r="AV3302" s="10"/>
      <c r="AW3302" s="10"/>
      <c r="AX3302" s="10"/>
      <c r="AY3302" s="10"/>
      <c r="AZ3302" s="10"/>
    </row>
    <row r="3303" spans="28:52">
      <c r="AB3303" s="9">
        <v>0.9088736974723377</v>
      </c>
      <c r="AC3303" s="9">
        <v>0.50791113497092888</v>
      </c>
      <c r="AD3303" s="9">
        <v>0.99267785062970382</v>
      </c>
      <c r="AE3303" s="10"/>
      <c r="AF3303" s="10"/>
      <c r="AG3303" s="10"/>
      <c r="AH3303" s="10"/>
      <c r="AI3303" s="10"/>
      <c r="AJ3303" s="10"/>
      <c r="AK3303" s="10"/>
      <c r="AL3303" s="10"/>
      <c r="AM3303" s="10"/>
      <c r="AN3303" s="10"/>
      <c r="AO3303" s="10"/>
      <c r="AP3303" s="10"/>
      <c r="AQ3303" s="10"/>
      <c r="AR3303" s="10"/>
      <c r="AS3303" s="10"/>
      <c r="AT3303" s="10"/>
      <c r="AU3303" s="10"/>
      <c r="AV3303" s="10"/>
      <c r="AW3303" s="10"/>
      <c r="AX3303" s="10"/>
      <c r="AY3303" s="10"/>
      <c r="AZ3303" s="10"/>
    </row>
    <row r="3304" spans="28:52">
      <c r="AB3304" s="9">
        <v>0.89044487965988839</v>
      </c>
      <c r="AC3304" s="9">
        <v>0.55102103307468686</v>
      </c>
      <c r="AD3304" s="9">
        <v>1.0443456454178035</v>
      </c>
      <c r="AE3304" s="10"/>
      <c r="AF3304" s="10"/>
      <c r="AG3304" s="10"/>
      <c r="AH3304" s="10"/>
      <c r="AI3304" s="10"/>
      <c r="AJ3304" s="10"/>
      <c r="AK3304" s="10"/>
      <c r="AL3304" s="10"/>
      <c r="AM3304" s="10"/>
      <c r="AN3304" s="10"/>
      <c r="AO3304" s="10"/>
      <c r="AP3304" s="10"/>
      <c r="AQ3304" s="10"/>
      <c r="AR3304" s="10"/>
      <c r="AS3304" s="10"/>
      <c r="AT3304" s="10"/>
      <c r="AU3304" s="10"/>
      <c r="AV3304" s="10"/>
      <c r="AW3304" s="10"/>
      <c r="AX3304" s="10"/>
      <c r="AY3304" s="10"/>
      <c r="AZ3304" s="10"/>
    </row>
    <row r="3305" spans="28:52">
      <c r="AB3305" s="9">
        <v>0.84878731974632138</v>
      </c>
      <c r="AC3305" s="9">
        <v>0.58024694184177017</v>
      </c>
      <c r="AD3305" s="9">
        <v>1.0300014394495545</v>
      </c>
      <c r="AE3305" s="10"/>
      <c r="AF3305" s="10"/>
      <c r="AG3305" s="10"/>
      <c r="AH3305" s="10"/>
      <c r="AI3305" s="10"/>
      <c r="AJ3305" s="10"/>
      <c r="AK3305" s="10"/>
      <c r="AL3305" s="10"/>
      <c r="AM3305" s="10"/>
      <c r="AN3305" s="10"/>
      <c r="AO3305" s="10"/>
      <c r="AP3305" s="10"/>
      <c r="AQ3305" s="10"/>
      <c r="AR3305" s="10"/>
      <c r="AS3305" s="10"/>
      <c r="AT3305" s="10"/>
      <c r="AU3305" s="10"/>
      <c r="AV3305" s="10"/>
      <c r="AW3305" s="10"/>
      <c r="AX3305" s="10"/>
      <c r="AY3305" s="10"/>
      <c r="AZ3305" s="10"/>
    </row>
    <row r="3306" spans="28:52">
      <c r="AB3306" s="9">
        <v>0.86414336786664425</v>
      </c>
      <c r="AC3306" s="9">
        <v>0.58365968324784301</v>
      </c>
      <c r="AD3306" s="9">
        <v>0.97617235836726057</v>
      </c>
      <c r="AE3306" s="10"/>
      <c r="AF3306" s="10"/>
      <c r="AG3306" s="10"/>
      <c r="AH3306" s="10"/>
      <c r="AI3306" s="10"/>
      <c r="AJ3306" s="10"/>
      <c r="AK3306" s="10"/>
      <c r="AL3306" s="10"/>
      <c r="AM3306" s="10"/>
      <c r="AN3306" s="10"/>
      <c r="AO3306" s="10"/>
      <c r="AP3306" s="10"/>
      <c r="AQ3306" s="10"/>
      <c r="AR3306" s="10"/>
      <c r="AS3306" s="10"/>
      <c r="AT3306" s="10"/>
      <c r="AU3306" s="10"/>
      <c r="AV3306" s="10"/>
      <c r="AW3306" s="10"/>
      <c r="AX3306" s="10"/>
      <c r="AY3306" s="10"/>
      <c r="AZ3306" s="10"/>
    </row>
    <row r="3307" spans="28:52">
      <c r="AB3307" s="9">
        <v>0.91412359306359303</v>
      </c>
      <c r="AC3307" s="9">
        <v>0.71849224855574323</v>
      </c>
      <c r="AD3307" s="9">
        <v>0.9820109606849482</v>
      </c>
      <c r="AE3307" s="10"/>
      <c r="AF3307" s="10"/>
      <c r="AG3307" s="10"/>
      <c r="AH3307" s="10"/>
      <c r="AI3307" s="10"/>
      <c r="AJ3307" s="10"/>
      <c r="AK3307" s="10"/>
      <c r="AL3307" s="10"/>
      <c r="AM3307" s="10"/>
      <c r="AN3307" s="10"/>
      <c r="AO3307" s="10"/>
      <c r="AP3307" s="10"/>
      <c r="AQ3307" s="10"/>
      <c r="AR3307" s="10"/>
      <c r="AS3307" s="10"/>
      <c r="AT3307" s="10"/>
      <c r="AU3307" s="10"/>
      <c r="AV3307" s="10"/>
      <c r="AW3307" s="10"/>
      <c r="AX3307" s="10"/>
      <c r="AY3307" s="10"/>
      <c r="AZ3307" s="10"/>
    </row>
    <row r="3308" spans="28:52">
      <c r="AB3308" s="9">
        <v>0.91008572223669137</v>
      </c>
      <c r="AC3308" s="9">
        <v>0.85380509230627177</v>
      </c>
      <c r="AD3308" s="9">
        <v>0.9560569930292675</v>
      </c>
      <c r="AE3308" s="10"/>
      <c r="AF3308" s="10"/>
      <c r="AG3308" s="10"/>
      <c r="AH3308" s="10"/>
      <c r="AI3308" s="10"/>
      <c r="AJ3308" s="10"/>
      <c r="AK3308" s="10"/>
      <c r="AL3308" s="10"/>
      <c r="AM3308" s="10"/>
      <c r="AN3308" s="10"/>
      <c r="AO3308" s="10"/>
      <c r="AP3308" s="10"/>
      <c r="AQ3308" s="10"/>
      <c r="AR3308" s="10"/>
      <c r="AS3308" s="10"/>
      <c r="AT3308" s="10"/>
      <c r="AU3308" s="10"/>
      <c r="AV3308" s="10"/>
      <c r="AW3308" s="10"/>
      <c r="AX3308" s="10"/>
      <c r="AY3308" s="10"/>
      <c r="AZ3308" s="10"/>
    </row>
    <row r="3309" spans="28:52">
      <c r="AB3309" s="9">
        <v>0.93594632719826487</v>
      </c>
      <c r="AC3309" s="9">
        <v>0.85380191022591845</v>
      </c>
      <c r="AD3309" s="9">
        <v>0.95766664198395191</v>
      </c>
      <c r="AE3309" s="10"/>
      <c r="AF3309" s="10"/>
      <c r="AG3309" s="10"/>
      <c r="AH3309" s="10"/>
      <c r="AI3309" s="10"/>
      <c r="AJ3309" s="10"/>
      <c r="AK3309" s="10"/>
      <c r="AL3309" s="10"/>
      <c r="AM3309" s="10"/>
      <c r="AN3309" s="10"/>
      <c r="AO3309" s="10"/>
      <c r="AP3309" s="10"/>
      <c r="AQ3309" s="10"/>
      <c r="AR3309" s="10"/>
      <c r="AS3309" s="10"/>
      <c r="AT3309" s="10"/>
      <c r="AU3309" s="10"/>
      <c r="AV3309" s="10"/>
      <c r="AW3309" s="10"/>
      <c r="AX3309" s="10"/>
      <c r="AY3309" s="10"/>
      <c r="AZ3309" s="10"/>
    </row>
    <row r="3310" spans="28:52">
      <c r="AB3310" s="9">
        <v>0.93439411898812652</v>
      </c>
      <c r="AC3310" s="9">
        <v>0.67889019922298333</v>
      </c>
      <c r="AD3310" s="9">
        <v>0.95311722313783276</v>
      </c>
      <c r="AE3310" s="10"/>
      <c r="AF3310" s="10"/>
      <c r="AG3310" s="10"/>
      <c r="AH3310" s="10"/>
      <c r="AI3310" s="10"/>
      <c r="AJ3310" s="10"/>
      <c r="AK3310" s="10"/>
      <c r="AL3310" s="10"/>
      <c r="AM3310" s="10"/>
      <c r="AN3310" s="10"/>
      <c r="AO3310" s="10"/>
      <c r="AP3310" s="10"/>
      <c r="AQ3310" s="10"/>
      <c r="AR3310" s="10"/>
      <c r="AS3310" s="10"/>
      <c r="AT3310" s="10"/>
      <c r="AU3310" s="10"/>
      <c r="AV3310" s="10"/>
      <c r="AW3310" s="10"/>
      <c r="AX3310" s="10"/>
      <c r="AY3310" s="10"/>
      <c r="AZ3310" s="10"/>
    </row>
    <row r="3311" spans="28:52">
      <c r="AB3311" s="9">
        <v>0.93882139389289432</v>
      </c>
      <c r="AC3311" s="9">
        <v>0.62757026566784369</v>
      </c>
      <c r="AD3311" s="9">
        <v>0.94009466972609479</v>
      </c>
      <c r="AE3311" s="10"/>
      <c r="AF3311" s="10"/>
      <c r="AG3311" s="10"/>
      <c r="AH3311" s="10"/>
      <c r="AI3311" s="10"/>
      <c r="AJ3311" s="10"/>
      <c r="AK3311" s="10"/>
      <c r="AL3311" s="10"/>
      <c r="AM3311" s="10"/>
      <c r="AN3311" s="10"/>
      <c r="AO3311" s="10"/>
      <c r="AP3311" s="10"/>
      <c r="AQ3311" s="10"/>
      <c r="AR3311" s="10"/>
      <c r="AS3311" s="10"/>
      <c r="AT3311" s="10"/>
      <c r="AU3311" s="10"/>
      <c r="AV3311" s="10"/>
      <c r="AW3311" s="10"/>
      <c r="AX3311" s="10"/>
      <c r="AY3311" s="10"/>
      <c r="AZ3311" s="10"/>
    </row>
    <row r="3312" spans="28:52">
      <c r="AB3312" s="9">
        <v>0.95132688608718874</v>
      </c>
      <c r="AC3312" s="9">
        <v>0.85776794522156463</v>
      </c>
      <c r="AD3312" s="9">
        <v>0.93720608978874687</v>
      </c>
      <c r="AE3312" s="10"/>
      <c r="AF3312" s="10"/>
      <c r="AG3312" s="10"/>
      <c r="AH3312" s="10"/>
      <c r="AI3312" s="10"/>
      <c r="AJ3312" s="10"/>
      <c r="AK3312" s="10"/>
      <c r="AL3312" s="10"/>
      <c r="AM3312" s="10"/>
      <c r="AN3312" s="10"/>
      <c r="AO3312" s="10"/>
      <c r="AP3312" s="10"/>
      <c r="AQ3312" s="10"/>
      <c r="AR3312" s="10"/>
      <c r="AS3312" s="10"/>
      <c r="AT3312" s="10"/>
      <c r="AU3312" s="10"/>
      <c r="AV3312" s="10"/>
      <c r="AW3312" s="10"/>
      <c r="AX3312" s="10"/>
      <c r="AY3312" s="10"/>
      <c r="AZ3312" s="10"/>
    </row>
    <row r="3313" spans="28:52">
      <c r="AB3313" s="9">
        <v>0.95451103587874875</v>
      </c>
      <c r="AC3313" s="9">
        <v>0.61665394316734967</v>
      </c>
      <c r="AD3313" s="9">
        <v>0.91922672332604438</v>
      </c>
      <c r="AE3313" s="10"/>
      <c r="AF3313" s="10"/>
      <c r="AG3313" s="10"/>
      <c r="AH3313" s="10"/>
      <c r="AI3313" s="10"/>
      <c r="AJ3313" s="10"/>
      <c r="AK3313" s="10"/>
      <c r="AL3313" s="10"/>
      <c r="AM3313" s="10"/>
      <c r="AN3313" s="10"/>
      <c r="AO3313" s="10"/>
      <c r="AP3313" s="10"/>
      <c r="AQ3313" s="10"/>
      <c r="AR3313" s="10"/>
      <c r="AS3313" s="10"/>
      <c r="AT3313" s="10"/>
      <c r="AU3313" s="10"/>
      <c r="AV3313" s="10"/>
      <c r="AW3313" s="10"/>
      <c r="AX3313" s="10"/>
      <c r="AY3313" s="10"/>
      <c r="AZ3313" s="10"/>
    </row>
    <row r="3314" spans="28:52">
      <c r="AB3314" s="9">
        <v>0.97308559584515597</v>
      </c>
      <c r="AC3314" s="9">
        <v>0.74176084877707582</v>
      </c>
      <c r="AD3314" s="9">
        <v>0.94127263359340485</v>
      </c>
      <c r="AE3314" s="10"/>
      <c r="AF3314" s="10"/>
      <c r="AG3314" s="10"/>
      <c r="AH3314" s="10"/>
      <c r="AI3314" s="10"/>
      <c r="AJ3314" s="10"/>
      <c r="AK3314" s="10"/>
      <c r="AL3314" s="10"/>
      <c r="AM3314" s="10"/>
      <c r="AN3314" s="10"/>
      <c r="AO3314" s="10"/>
      <c r="AP3314" s="10"/>
      <c r="AQ3314" s="10"/>
      <c r="AR3314" s="10"/>
      <c r="AS3314" s="10"/>
      <c r="AT3314" s="10"/>
      <c r="AU3314" s="10"/>
      <c r="AV3314" s="10"/>
      <c r="AW3314" s="10"/>
      <c r="AX3314" s="10"/>
      <c r="AY3314" s="10"/>
      <c r="AZ3314" s="10"/>
    </row>
    <row r="3315" spans="28:52">
      <c r="AB3315" s="9">
        <v>0.94895871931783349</v>
      </c>
      <c r="AC3315" s="9">
        <v>0.61639390286195572</v>
      </c>
      <c r="AD3315" s="9">
        <v>0.93800658180481777</v>
      </c>
      <c r="AE3315" s="10"/>
      <c r="AF3315" s="10"/>
      <c r="AG3315" s="10"/>
      <c r="AH3315" s="10"/>
      <c r="AI3315" s="10"/>
      <c r="AJ3315" s="10"/>
      <c r="AK3315" s="10"/>
      <c r="AL3315" s="10"/>
      <c r="AM3315" s="10"/>
      <c r="AN3315" s="10"/>
      <c r="AO3315" s="10"/>
      <c r="AP3315" s="10"/>
      <c r="AQ3315" s="10"/>
      <c r="AR3315" s="10"/>
      <c r="AS3315" s="10"/>
      <c r="AT3315" s="10"/>
      <c r="AU3315" s="10"/>
      <c r="AV3315" s="10"/>
      <c r="AW3315" s="10"/>
      <c r="AX3315" s="10"/>
      <c r="AY3315" s="10"/>
      <c r="AZ3315" s="10"/>
    </row>
    <row r="3316" spans="28:52">
      <c r="AB3316" s="9">
        <v>0.95084942993827148</v>
      </c>
      <c r="AC3316" s="9">
        <v>0.56373369162168907</v>
      </c>
      <c r="AD3316" s="9">
        <v>0.95354534887085218</v>
      </c>
      <c r="AE3316" s="10"/>
      <c r="AF3316" s="10"/>
      <c r="AG3316" s="10"/>
      <c r="AH3316" s="10"/>
      <c r="AI3316" s="10"/>
      <c r="AJ3316" s="10"/>
      <c r="AK3316" s="10"/>
      <c r="AL3316" s="10"/>
      <c r="AM3316" s="10"/>
      <c r="AN3316" s="10"/>
      <c r="AO3316" s="10"/>
      <c r="AP3316" s="10"/>
      <c r="AQ3316" s="10"/>
      <c r="AR3316" s="10"/>
      <c r="AS3316" s="10"/>
      <c r="AT3316" s="10"/>
      <c r="AU3316" s="10"/>
      <c r="AV3316" s="10"/>
      <c r="AW3316" s="10"/>
      <c r="AX3316" s="10"/>
      <c r="AY3316" s="10"/>
      <c r="AZ3316" s="10"/>
    </row>
    <row r="3317" spans="28:52">
      <c r="AB3317" s="9">
        <v>0.93429570135281093</v>
      </c>
      <c r="AC3317" s="9">
        <v>0.47942439685819677</v>
      </c>
      <c r="AD3317" s="9">
        <v>0.98609082333442066</v>
      </c>
      <c r="AE3317" s="10"/>
      <c r="AF3317" s="10"/>
      <c r="AG3317" s="10"/>
      <c r="AH3317" s="10"/>
      <c r="AI3317" s="10"/>
      <c r="AJ3317" s="10"/>
      <c r="AK3317" s="10"/>
      <c r="AL3317" s="10"/>
      <c r="AM3317" s="10"/>
      <c r="AN3317" s="10"/>
      <c r="AO3317" s="10"/>
      <c r="AP3317" s="10"/>
      <c r="AQ3317" s="10"/>
      <c r="AR3317" s="10"/>
      <c r="AS3317" s="10"/>
      <c r="AT3317" s="10"/>
      <c r="AU3317" s="10"/>
      <c r="AV3317" s="10"/>
      <c r="AW3317" s="10"/>
      <c r="AX3317" s="10"/>
      <c r="AY3317" s="10"/>
      <c r="AZ3317" s="10"/>
    </row>
    <row r="3318" spans="28:52">
      <c r="AB3318" s="9">
        <v>0.9032164216082933</v>
      </c>
      <c r="AC3318" s="9">
        <v>0.74031052908884443</v>
      </c>
      <c r="AD3318" s="9">
        <v>0.97590248895611975</v>
      </c>
      <c r="AE3318" s="10"/>
      <c r="AF3318" s="10"/>
      <c r="AG3318" s="10"/>
      <c r="AH3318" s="10"/>
      <c r="AI3318" s="10"/>
      <c r="AJ3318" s="10"/>
      <c r="AK3318" s="10"/>
      <c r="AL3318" s="10"/>
      <c r="AM3318" s="10"/>
      <c r="AN3318" s="10"/>
      <c r="AO3318" s="10"/>
      <c r="AP3318" s="10"/>
      <c r="AQ3318" s="10"/>
      <c r="AR3318" s="10"/>
      <c r="AS3318" s="10"/>
      <c r="AT3318" s="10"/>
      <c r="AU3318" s="10"/>
      <c r="AV3318" s="10"/>
      <c r="AW3318" s="10"/>
      <c r="AX3318" s="10"/>
      <c r="AY3318" s="10"/>
      <c r="AZ3318" s="10"/>
    </row>
    <row r="3319" spans="28:52">
      <c r="AB3319" s="9">
        <v>0.91291267635100926</v>
      </c>
      <c r="AC3319" s="9">
        <v>0.6157822449874929</v>
      </c>
      <c r="AD3319" s="9">
        <v>0.93996731706823999</v>
      </c>
      <c r="AE3319" s="10"/>
      <c r="AF3319" s="10"/>
      <c r="AG3319" s="10"/>
      <c r="AH3319" s="10"/>
      <c r="AI3319" s="10"/>
      <c r="AJ3319" s="10"/>
      <c r="AK3319" s="10"/>
      <c r="AL3319" s="10"/>
      <c r="AM3319" s="10"/>
      <c r="AN3319" s="10"/>
      <c r="AO3319" s="10"/>
      <c r="AP3319" s="10"/>
      <c r="AQ3319" s="10"/>
      <c r="AR3319" s="10"/>
      <c r="AS3319" s="10"/>
      <c r="AT3319" s="10"/>
      <c r="AU3319" s="10"/>
      <c r="AV3319" s="10"/>
      <c r="AW3319" s="10"/>
      <c r="AX3319" s="10"/>
      <c r="AY3319" s="10"/>
      <c r="AZ3319" s="10"/>
    </row>
    <row r="3320" spans="28:52">
      <c r="AB3320" s="9">
        <v>0.94817616075472499</v>
      </c>
      <c r="AC3320" s="9">
        <v>0.6881388630513845</v>
      </c>
      <c r="AD3320" s="9">
        <v>0.92998720509925237</v>
      </c>
      <c r="AE3320" s="10"/>
      <c r="AF3320" s="10"/>
      <c r="AG3320" s="10"/>
      <c r="AH3320" s="10"/>
      <c r="AI3320" s="10"/>
      <c r="AJ3320" s="10"/>
      <c r="AK3320" s="10"/>
      <c r="AL3320" s="10"/>
      <c r="AM3320" s="10"/>
      <c r="AN3320" s="10"/>
      <c r="AO3320" s="10"/>
      <c r="AP3320" s="10"/>
      <c r="AQ3320" s="10"/>
      <c r="AR3320" s="10"/>
      <c r="AS3320" s="10"/>
      <c r="AT3320" s="10"/>
      <c r="AU3320" s="10"/>
      <c r="AV3320" s="10"/>
      <c r="AW3320" s="10"/>
      <c r="AX3320" s="10"/>
      <c r="AY3320" s="10"/>
      <c r="AZ3320" s="10"/>
    </row>
    <row r="3321" spans="28:52">
      <c r="AB3321" s="9">
        <v>0.95786762279564819</v>
      </c>
      <c r="AC3321" s="9">
        <v>0.86781910435341314</v>
      </c>
      <c r="AD3321" s="9">
        <v>0.93139614797928161</v>
      </c>
      <c r="AE3321" s="10"/>
      <c r="AF3321" s="10"/>
      <c r="AG3321" s="10"/>
      <c r="AH3321" s="10"/>
      <c r="AI3321" s="10"/>
      <c r="AJ3321" s="10"/>
      <c r="AK3321" s="10"/>
      <c r="AL3321" s="10"/>
      <c r="AM3321" s="10"/>
      <c r="AN3321" s="10"/>
      <c r="AO3321" s="10"/>
      <c r="AP3321" s="10"/>
      <c r="AQ3321" s="10"/>
      <c r="AR3321" s="10"/>
      <c r="AS3321" s="10"/>
      <c r="AT3321" s="10"/>
      <c r="AU3321" s="10"/>
      <c r="AV3321" s="10"/>
      <c r="AW3321" s="10"/>
      <c r="AX3321" s="10"/>
      <c r="AY3321" s="10"/>
      <c r="AZ3321" s="10"/>
    </row>
    <row r="3322" spans="28:52">
      <c r="AB3322" s="9">
        <v>0.9562008189375879</v>
      </c>
      <c r="AC3322" s="9">
        <v>0.58535555062667366</v>
      </c>
      <c r="AD3322" s="9">
        <v>0.94574628760752</v>
      </c>
      <c r="AE3322" s="10"/>
      <c r="AF3322" s="10"/>
      <c r="AG3322" s="10"/>
      <c r="AH3322" s="10"/>
      <c r="AI3322" s="10"/>
      <c r="AJ3322" s="10"/>
      <c r="AK3322" s="10"/>
      <c r="AL3322" s="10"/>
      <c r="AM3322" s="10"/>
      <c r="AN3322" s="10"/>
      <c r="AO3322" s="10"/>
      <c r="AP3322" s="10"/>
      <c r="AQ3322" s="10"/>
      <c r="AR3322" s="10"/>
      <c r="AS3322" s="10"/>
      <c r="AT3322" s="10"/>
      <c r="AU3322" s="10"/>
      <c r="AV3322" s="10"/>
      <c r="AW3322" s="10"/>
      <c r="AX3322" s="10"/>
      <c r="AY3322" s="10"/>
      <c r="AZ3322" s="10"/>
    </row>
    <row r="3323" spans="28:52">
      <c r="AB3323" s="9">
        <v>0.94244444181026255</v>
      </c>
      <c r="AC3323" s="9">
        <v>0.62305202714333463</v>
      </c>
      <c r="AD3323" s="9">
        <v>0.96673323952453938</v>
      </c>
      <c r="AE3323" s="10"/>
      <c r="AF3323" s="10"/>
      <c r="AG3323" s="10"/>
      <c r="AH3323" s="10"/>
      <c r="AI3323" s="10"/>
      <c r="AJ3323" s="10"/>
      <c r="AK3323" s="10"/>
      <c r="AL3323" s="10"/>
      <c r="AM3323" s="10"/>
      <c r="AN3323" s="10"/>
      <c r="AO3323" s="10"/>
      <c r="AP3323" s="10"/>
      <c r="AQ3323" s="10"/>
      <c r="AR3323" s="10"/>
      <c r="AS3323" s="10"/>
      <c r="AT3323" s="10"/>
      <c r="AU3323" s="10"/>
      <c r="AV3323" s="10"/>
      <c r="AW3323" s="10"/>
      <c r="AX3323" s="10"/>
      <c r="AY3323" s="10"/>
      <c r="AZ3323" s="10"/>
    </row>
    <row r="3324" spans="28:52">
      <c r="AB3324" s="9">
        <v>0.92357641009474256</v>
      </c>
      <c r="AC3324" s="9">
        <v>0.68889179469219453</v>
      </c>
      <c r="AD3324" s="9">
        <v>0.99438845513519725</v>
      </c>
      <c r="AE3324" s="10"/>
      <c r="AF3324" s="10"/>
      <c r="AG3324" s="10"/>
      <c r="AH3324" s="10"/>
      <c r="AI3324" s="10"/>
      <c r="AJ3324" s="10"/>
      <c r="AK3324" s="10"/>
      <c r="AL3324" s="10"/>
      <c r="AM3324" s="10"/>
      <c r="AN3324" s="10"/>
      <c r="AO3324" s="10"/>
      <c r="AP3324" s="10"/>
      <c r="AQ3324" s="10"/>
      <c r="AR3324" s="10"/>
      <c r="AS3324" s="10"/>
      <c r="AT3324" s="10"/>
      <c r="AU3324" s="10"/>
      <c r="AV3324" s="10"/>
      <c r="AW3324" s="10"/>
      <c r="AX3324" s="10"/>
      <c r="AY3324" s="10"/>
      <c r="AZ3324" s="10"/>
    </row>
    <row r="3325" spans="28:52">
      <c r="AB3325" s="9">
        <v>0.90086732528701507</v>
      </c>
      <c r="AC3325" s="9">
        <v>0.62049160140992443</v>
      </c>
      <c r="AD3325" s="9">
        <v>0.98248416272764139</v>
      </c>
      <c r="AE3325" s="10"/>
      <c r="AF3325" s="10"/>
      <c r="AG3325" s="10"/>
      <c r="AH3325" s="10"/>
      <c r="AI3325" s="10"/>
      <c r="AJ3325" s="10"/>
      <c r="AK3325" s="10"/>
      <c r="AL3325" s="10"/>
      <c r="AM3325" s="10"/>
      <c r="AN3325" s="10"/>
      <c r="AO3325" s="10"/>
      <c r="AP3325" s="10"/>
      <c r="AQ3325" s="10"/>
      <c r="AR3325" s="10"/>
      <c r="AS3325" s="10"/>
      <c r="AT3325" s="10"/>
      <c r="AU3325" s="10"/>
      <c r="AV3325" s="10"/>
      <c r="AW3325" s="10"/>
      <c r="AX3325" s="10"/>
      <c r="AY3325" s="10"/>
      <c r="AZ3325" s="10"/>
    </row>
    <row r="3326" spans="28:52">
      <c r="AB3326" s="9">
        <v>0.91549682616395811</v>
      </c>
      <c r="AC3326" s="9">
        <v>0.62386935670768018</v>
      </c>
      <c r="AD3326" s="9">
        <v>0.99828267531869586</v>
      </c>
      <c r="AE3326" s="10"/>
      <c r="AF3326" s="10"/>
      <c r="AG3326" s="10"/>
      <c r="AH3326" s="10"/>
      <c r="AI3326" s="10"/>
      <c r="AJ3326" s="10"/>
      <c r="AK3326" s="10"/>
      <c r="AL3326" s="10"/>
      <c r="AM3326" s="10"/>
      <c r="AN3326" s="10"/>
      <c r="AO3326" s="10"/>
      <c r="AP3326" s="10"/>
      <c r="AQ3326" s="10"/>
      <c r="AR3326" s="10"/>
      <c r="AS3326" s="10"/>
      <c r="AT3326" s="10"/>
      <c r="AU3326" s="10"/>
      <c r="AV3326" s="10"/>
      <c r="AW3326" s="10"/>
      <c r="AX3326" s="10"/>
      <c r="AY3326" s="10"/>
      <c r="AZ3326" s="10"/>
    </row>
    <row r="3327" spans="28:52">
      <c r="AB3327" s="9">
        <v>0.90468729732577569</v>
      </c>
      <c r="AC3327" s="9">
        <v>0.61219798514999102</v>
      </c>
      <c r="AD3327" s="9">
        <v>0.98072806235490384</v>
      </c>
      <c r="AE3327" s="10"/>
      <c r="AF3327" s="10"/>
      <c r="AG3327" s="10"/>
      <c r="AH3327" s="10"/>
      <c r="AI3327" s="10"/>
      <c r="AJ3327" s="10"/>
      <c r="AK3327" s="10"/>
      <c r="AL3327" s="10"/>
      <c r="AM3327" s="10"/>
      <c r="AN3327" s="10"/>
      <c r="AO3327" s="10"/>
      <c r="AP3327" s="10"/>
      <c r="AQ3327" s="10"/>
      <c r="AR3327" s="10"/>
      <c r="AS3327" s="10"/>
      <c r="AT3327" s="10"/>
      <c r="AU3327" s="10"/>
      <c r="AV3327" s="10"/>
      <c r="AW3327" s="10"/>
      <c r="AX3327" s="10"/>
      <c r="AY3327" s="10"/>
      <c r="AZ3327" s="10"/>
    </row>
    <row r="3328" spans="28:52">
      <c r="AB3328" s="9">
        <v>0.92467459554434306</v>
      </c>
      <c r="AC3328" s="9">
        <v>0.77188407660077174</v>
      </c>
      <c r="AD3328" s="9">
        <v>0.99783110593989532</v>
      </c>
      <c r="AE3328" s="10"/>
      <c r="AF3328" s="10"/>
      <c r="AG3328" s="10"/>
      <c r="AH3328" s="10"/>
      <c r="AI3328" s="10"/>
      <c r="AJ3328" s="10"/>
      <c r="AK3328" s="10"/>
      <c r="AL3328" s="10"/>
      <c r="AM3328" s="10"/>
      <c r="AN3328" s="10"/>
      <c r="AO3328" s="10"/>
      <c r="AP3328" s="10"/>
      <c r="AQ3328" s="10"/>
      <c r="AR3328" s="10"/>
      <c r="AS3328" s="10"/>
      <c r="AT3328" s="10"/>
      <c r="AU3328" s="10"/>
      <c r="AV3328" s="10"/>
      <c r="AW3328" s="10"/>
      <c r="AX3328" s="10"/>
      <c r="AY3328" s="10"/>
      <c r="AZ3328" s="10"/>
    </row>
    <row r="3329" spans="28:52">
      <c r="AB3329" s="9">
        <v>0.91228719539810554</v>
      </c>
      <c r="AC3329" s="9">
        <v>0.54527089530362083</v>
      </c>
      <c r="AD3329" s="9">
        <v>1.0011603983774073</v>
      </c>
      <c r="AE3329" s="10"/>
      <c r="AF3329" s="10"/>
      <c r="AG3329" s="10"/>
      <c r="AH3329" s="10"/>
      <c r="AI3329" s="10"/>
      <c r="AJ3329" s="10"/>
      <c r="AK3329" s="10"/>
      <c r="AL3329" s="10"/>
      <c r="AM3329" s="10"/>
      <c r="AN3329" s="10"/>
      <c r="AO3329" s="10"/>
      <c r="AP3329" s="10"/>
      <c r="AQ3329" s="10"/>
      <c r="AR3329" s="10"/>
      <c r="AS3329" s="10"/>
      <c r="AT3329" s="10"/>
      <c r="AU3329" s="10"/>
      <c r="AV3329" s="10"/>
      <c r="AW3329" s="10"/>
      <c r="AX3329" s="10"/>
      <c r="AY3329" s="10"/>
      <c r="AZ3329" s="10"/>
    </row>
    <row r="3330" spans="28:52">
      <c r="AB3330" s="9">
        <v>0.91385494446157089</v>
      </c>
      <c r="AC3330" s="9">
        <v>0.51933768988940598</v>
      </c>
      <c r="AD3330" s="9">
        <v>0.97200600422390149</v>
      </c>
      <c r="AE3330" s="10"/>
      <c r="AF3330" s="10"/>
      <c r="AG3330" s="10"/>
      <c r="AH3330" s="10"/>
      <c r="AI3330" s="10"/>
      <c r="AJ3330" s="10"/>
      <c r="AK3330" s="10"/>
      <c r="AL3330" s="10"/>
      <c r="AM3330" s="10"/>
      <c r="AN3330" s="10"/>
      <c r="AO3330" s="10"/>
      <c r="AP3330" s="10"/>
      <c r="AQ3330" s="10"/>
      <c r="AR3330" s="10"/>
      <c r="AS3330" s="10"/>
      <c r="AT3330" s="10"/>
      <c r="AU3330" s="10"/>
      <c r="AV3330" s="10"/>
      <c r="AW3330" s="10"/>
      <c r="AX3330" s="10"/>
      <c r="AY3330" s="10"/>
      <c r="AZ3330" s="10"/>
    </row>
    <row r="3331" spans="28:52">
      <c r="AB3331" s="9">
        <v>0.94558042939481857</v>
      </c>
      <c r="AC3331" s="9">
        <v>0.8597462071351214</v>
      </c>
      <c r="AD3331" s="9">
        <v>0.96374183478713771</v>
      </c>
      <c r="AE3331" s="10"/>
      <c r="AF3331" s="10"/>
      <c r="AG3331" s="10"/>
      <c r="AH3331" s="10"/>
      <c r="AI3331" s="10"/>
      <c r="AJ3331" s="10"/>
      <c r="AK3331" s="10"/>
      <c r="AL3331" s="10"/>
      <c r="AM3331" s="10"/>
      <c r="AN3331" s="10"/>
      <c r="AO3331" s="10"/>
      <c r="AP3331" s="10"/>
      <c r="AQ3331" s="10"/>
      <c r="AR3331" s="10"/>
      <c r="AS3331" s="10"/>
      <c r="AT3331" s="10"/>
      <c r="AU3331" s="10"/>
      <c r="AV3331" s="10"/>
      <c r="AW3331" s="10"/>
      <c r="AX3331" s="10"/>
      <c r="AY3331" s="10"/>
      <c r="AZ3331" s="10"/>
    </row>
    <row r="3332" spans="28:52">
      <c r="AB3332" s="9">
        <v>0.95727718101417159</v>
      </c>
      <c r="AC3332" s="9">
        <v>0.74956845613795609</v>
      </c>
      <c r="AD3332" s="9">
        <v>0.9598346933675711</v>
      </c>
      <c r="AE3332" s="10"/>
      <c r="AF3332" s="10"/>
      <c r="AG3332" s="10"/>
      <c r="AH3332" s="10"/>
      <c r="AI3332" s="10"/>
      <c r="AJ3332" s="10"/>
      <c r="AK3332" s="10"/>
      <c r="AL3332" s="10"/>
      <c r="AM3332" s="10"/>
      <c r="AN3332" s="10"/>
      <c r="AO3332" s="10"/>
      <c r="AP3332" s="10"/>
      <c r="AQ3332" s="10"/>
      <c r="AR3332" s="10"/>
      <c r="AS3332" s="10"/>
      <c r="AT3332" s="10"/>
      <c r="AU3332" s="10"/>
      <c r="AV3332" s="10"/>
      <c r="AW3332" s="10"/>
      <c r="AX3332" s="10"/>
      <c r="AY3332" s="10"/>
      <c r="AZ3332" s="10"/>
    </row>
    <row r="3333" spans="28:52">
      <c r="AB3333" s="9">
        <v>0.96414728939781802</v>
      </c>
      <c r="AC3333" s="9">
        <v>0.79408161982228243</v>
      </c>
      <c r="AD3333" s="9">
        <v>0.97557451697420605</v>
      </c>
      <c r="AE3333" s="10"/>
      <c r="AF3333" s="10"/>
      <c r="AG3333" s="10"/>
      <c r="AH3333" s="10"/>
      <c r="AI3333" s="10"/>
      <c r="AJ3333" s="10"/>
      <c r="AK3333" s="10"/>
      <c r="AL3333" s="10"/>
      <c r="AM3333" s="10"/>
      <c r="AN3333" s="10"/>
      <c r="AO3333" s="10"/>
      <c r="AP3333" s="10"/>
      <c r="AQ3333" s="10"/>
      <c r="AR3333" s="10"/>
      <c r="AS3333" s="10"/>
      <c r="AT3333" s="10"/>
      <c r="AU3333" s="10"/>
      <c r="AV3333" s="10"/>
      <c r="AW3333" s="10"/>
      <c r="AX3333" s="10"/>
      <c r="AY3333" s="10"/>
      <c r="AZ3333" s="10"/>
    </row>
    <row r="3334" spans="28:52">
      <c r="AB3334" s="9">
        <v>0.95225007488130731</v>
      </c>
      <c r="AC3334" s="9">
        <v>0.60967926969039488</v>
      </c>
      <c r="AD3334" s="9">
        <v>0.97066595605344952</v>
      </c>
      <c r="AE3334" s="10"/>
      <c r="AF3334" s="10"/>
      <c r="AG3334" s="10"/>
      <c r="AH3334" s="10"/>
      <c r="AI3334" s="10"/>
      <c r="AJ3334" s="10"/>
      <c r="AK3334" s="10"/>
      <c r="AL3334" s="10"/>
      <c r="AM3334" s="10"/>
      <c r="AN3334" s="10"/>
      <c r="AO3334" s="10"/>
      <c r="AP3334" s="10"/>
      <c r="AQ3334" s="10"/>
      <c r="AR3334" s="10"/>
      <c r="AS3334" s="10"/>
      <c r="AT3334" s="10"/>
      <c r="AU3334" s="10"/>
      <c r="AV3334" s="10"/>
      <c r="AW3334" s="10"/>
      <c r="AX3334" s="10"/>
      <c r="AY3334" s="10"/>
      <c r="AZ3334" s="10"/>
    </row>
    <row r="3335" spans="28:52">
      <c r="AB3335" s="9">
        <v>0.96085907380168589</v>
      </c>
      <c r="AC3335" s="9">
        <v>0.53670954300012608</v>
      </c>
      <c r="AD3335" s="9">
        <v>0.95473644733056628</v>
      </c>
      <c r="AE3335" s="10"/>
      <c r="AF3335" s="10"/>
      <c r="AG3335" s="10"/>
      <c r="AH3335" s="10"/>
      <c r="AI3335" s="10"/>
      <c r="AJ3335" s="10"/>
      <c r="AK3335" s="10"/>
      <c r="AL3335" s="10"/>
      <c r="AM3335" s="10"/>
      <c r="AN3335" s="10"/>
      <c r="AO3335" s="10"/>
      <c r="AP3335" s="10"/>
      <c r="AQ3335" s="10"/>
      <c r="AR3335" s="10"/>
      <c r="AS3335" s="10"/>
      <c r="AT3335" s="10"/>
      <c r="AU3335" s="10"/>
      <c r="AV3335" s="10"/>
      <c r="AW3335" s="10"/>
      <c r="AX3335" s="10"/>
      <c r="AY3335" s="10"/>
      <c r="AZ3335" s="10"/>
    </row>
    <row r="3336" spans="28:52">
      <c r="AB3336" s="9">
        <v>0.98039818124069222</v>
      </c>
      <c r="AC3336" s="9">
        <v>0.86935931186530713</v>
      </c>
      <c r="AD3336" s="9">
        <v>0.95517340510646898</v>
      </c>
      <c r="AE3336" s="10"/>
      <c r="AF3336" s="10"/>
      <c r="AG3336" s="10"/>
      <c r="AH3336" s="10"/>
      <c r="AI3336" s="10"/>
      <c r="AJ3336" s="10"/>
      <c r="AK3336" s="10"/>
      <c r="AL3336" s="10"/>
      <c r="AM3336" s="10"/>
      <c r="AN3336" s="10"/>
      <c r="AO3336" s="10"/>
      <c r="AP3336" s="10"/>
      <c r="AQ3336" s="10"/>
      <c r="AR3336" s="10"/>
      <c r="AS3336" s="10"/>
      <c r="AT3336" s="10"/>
      <c r="AU3336" s="10"/>
      <c r="AV3336" s="10"/>
      <c r="AW3336" s="10"/>
      <c r="AX3336" s="10"/>
      <c r="AY3336" s="10"/>
      <c r="AZ3336" s="10"/>
    </row>
    <row r="3337" spans="28:52">
      <c r="AB3337" s="9">
        <v>0.98318679182971791</v>
      </c>
      <c r="AC3337" s="9">
        <v>0.79179223437988266</v>
      </c>
      <c r="AD3337" s="9">
        <v>0.97048521760314621</v>
      </c>
      <c r="AE3337" s="10"/>
      <c r="AF3337" s="10"/>
      <c r="AG3337" s="10"/>
      <c r="AH3337" s="10"/>
      <c r="AI3337" s="10"/>
      <c r="AJ3337" s="10"/>
      <c r="AK3337" s="10"/>
      <c r="AL3337" s="10"/>
      <c r="AM3337" s="10"/>
      <c r="AN3337" s="10"/>
      <c r="AO3337" s="10"/>
      <c r="AP3337" s="10"/>
      <c r="AQ3337" s="10"/>
      <c r="AR3337" s="10"/>
      <c r="AS3337" s="10"/>
      <c r="AT3337" s="10"/>
      <c r="AU3337" s="10"/>
      <c r="AV3337" s="10"/>
      <c r="AW3337" s="10"/>
      <c r="AX3337" s="10"/>
      <c r="AY3337" s="10"/>
      <c r="AZ3337" s="10"/>
    </row>
    <row r="3338" spans="28:52">
      <c r="AB3338" s="9">
        <v>0.97121563403833666</v>
      </c>
      <c r="AC3338" s="9">
        <v>0.62875316394220093</v>
      </c>
      <c r="AD3338" s="9">
        <v>0.98600101063998968</v>
      </c>
      <c r="AE3338" s="10"/>
      <c r="AF3338" s="10"/>
      <c r="AG3338" s="10"/>
      <c r="AH3338" s="10"/>
      <c r="AI3338" s="10"/>
      <c r="AJ3338" s="10"/>
      <c r="AK3338" s="10"/>
      <c r="AL3338" s="10"/>
      <c r="AM3338" s="10"/>
      <c r="AN3338" s="10"/>
      <c r="AO3338" s="10"/>
      <c r="AP3338" s="10"/>
      <c r="AQ3338" s="10"/>
      <c r="AR3338" s="10"/>
      <c r="AS3338" s="10"/>
      <c r="AT3338" s="10"/>
      <c r="AU3338" s="10"/>
      <c r="AV3338" s="10"/>
      <c r="AW3338" s="10"/>
      <c r="AX3338" s="10"/>
      <c r="AY3338" s="10"/>
      <c r="AZ3338" s="10"/>
    </row>
    <row r="3339" spans="28:52">
      <c r="AB3339" s="9">
        <v>0.96005747812747955</v>
      </c>
      <c r="AC3339" s="9">
        <v>0.59157388953521228</v>
      </c>
      <c r="AD3339" s="9">
        <v>0.97404838521200598</v>
      </c>
      <c r="AE3339" s="10"/>
      <c r="AF3339" s="10"/>
      <c r="AG3339" s="10"/>
      <c r="AH3339" s="10"/>
      <c r="AI3339" s="10"/>
      <c r="AJ3339" s="10"/>
      <c r="AK3339" s="10"/>
      <c r="AL3339" s="10"/>
      <c r="AM3339" s="10"/>
      <c r="AN3339" s="10"/>
      <c r="AO3339" s="10"/>
      <c r="AP3339" s="10"/>
      <c r="AQ3339" s="10"/>
      <c r="AR3339" s="10"/>
      <c r="AS3339" s="10"/>
      <c r="AT3339" s="10"/>
      <c r="AU3339" s="10"/>
      <c r="AV3339" s="10"/>
      <c r="AW3339" s="10"/>
      <c r="AX3339" s="10"/>
      <c r="AY3339" s="10"/>
      <c r="AZ3339" s="10"/>
    </row>
    <row r="3340" spans="28:52">
      <c r="AB3340" s="9">
        <v>0.97580911347441535</v>
      </c>
      <c r="AC3340" s="9">
        <v>0.54836296413917651</v>
      </c>
      <c r="AD3340" s="9">
        <v>0.97558289599111714</v>
      </c>
      <c r="AE3340" s="10"/>
      <c r="AF3340" s="10"/>
      <c r="AG3340" s="10"/>
      <c r="AH3340" s="10"/>
      <c r="AI3340" s="10"/>
      <c r="AJ3340" s="10"/>
      <c r="AK3340" s="10"/>
      <c r="AL3340" s="10"/>
      <c r="AM3340" s="10"/>
      <c r="AN3340" s="10"/>
      <c r="AO3340" s="10"/>
      <c r="AP3340" s="10"/>
      <c r="AQ3340" s="10"/>
      <c r="AR3340" s="10"/>
      <c r="AS3340" s="10"/>
      <c r="AT3340" s="10"/>
      <c r="AU3340" s="10"/>
      <c r="AV3340" s="10"/>
      <c r="AW3340" s="10"/>
      <c r="AX3340" s="10"/>
      <c r="AY3340" s="10"/>
      <c r="AZ3340" s="10"/>
    </row>
    <row r="3341" spans="28:52">
      <c r="AB3341" s="9">
        <v>0.97788271451137021</v>
      </c>
      <c r="AC3341" s="9">
        <v>0.64321267812383698</v>
      </c>
      <c r="AD3341" s="9">
        <v>0.97835722749540965</v>
      </c>
      <c r="AE3341" s="10"/>
      <c r="AF3341" s="10"/>
      <c r="AG3341" s="10"/>
      <c r="AH3341" s="10"/>
      <c r="AI3341" s="10"/>
      <c r="AJ3341" s="10"/>
      <c r="AK3341" s="10"/>
      <c r="AL3341" s="10"/>
      <c r="AM3341" s="10"/>
      <c r="AN3341" s="10"/>
      <c r="AO3341" s="10"/>
      <c r="AP3341" s="10"/>
      <c r="AQ3341" s="10"/>
      <c r="AR3341" s="10"/>
      <c r="AS3341" s="10"/>
      <c r="AT3341" s="10"/>
      <c r="AU3341" s="10"/>
      <c r="AV3341" s="10"/>
      <c r="AW3341" s="10"/>
      <c r="AX3341" s="10"/>
      <c r="AY3341" s="10"/>
      <c r="AZ3341" s="10"/>
    </row>
    <row r="3342" spans="28:52">
      <c r="AB3342" s="9">
        <v>0.97830328619316642</v>
      </c>
      <c r="AC3342" s="9">
        <v>0.71537399464267437</v>
      </c>
      <c r="AD3342" s="9">
        <v>0.96798726833422155</v>
      </c>
      <c r="AE3342" s="10"/>
      <c r="AF3342" s="10"/>
      <c r="AG3342" s="10"/>
      <c r="AH3342" s="10"/>
      <c r="AI3342" s="10"/>
      <c r="AJ3342" s="10"/>
      <c r="AK3342" s="10"/>
      <c r="AL3342" s="10"/>
      <c r="AM3342" s="10"/>
      <c r="AN3342" s="10"/>
      <c r="AO3342" s="10"/>
      <c r="AP3342" s="10"/>
      <c r="AQ3342" s="10"/>
      <c r="AR3342" s="10"/>
      <c r="AS3342" s="10"/>
      <c r="AT3342" s="10"/>
      <c r="AU3342" s="10"/>
      <c r="AV3342" s="10"/>
      <c r="AW3342" s="10"/>
      <c r="AX3342" s="10"/>
      <c r="AY3342" s="10"/>
      <c r="AZ3342" s="10"/>
    </row>
    <row r="3343" spans="28:52">
      <c r="AB3343" s="9">
        <v>0.99143882488248325</v>
      </c>
      <c r="AC3343" s="9">
        <v>0.71448662816737996</v>
      </c>
      <c r="AD3343" s="9">
        <v>0.97177337403668151</v>
      </c>
      <c r="AE3343" s="10"/>
      <c r="AF3343" s="10"/>
      <c r="AG3343" s="10"/>
      <c r="AH3343" s="10"/>
      <c r="AI3343" s="10"/>
      <c r="AJ3343" s="10"/>
      <c r="AK3343" s="10"/>
      <c r="AL3343" s="10"/>
      <c r="AM3343" s="10"/>
      <c r="AN3343" s="10"/>
      <c r="AO3343" s="10"/>
      <c r="AP3343" s="10"/>
      <c r="AQ3343" s="10"/>
      <c r="AR3343" s="10"/>
      <c r="AS3343" s="10"/>
      <c r="AT3343" s="10"/>
      <c r="AU3343" s="10"/>
      <c r="AV3343" s="10"/>
      <c r="AW3343" s="10"/>
      <c r="AX3343" s="10"/>
      <c r="AY3343" s="10"/>
      <c r="AZ3343" s="10"/>
    </row>
    <row r="3344" spans="28:52">
      <c r="AB3344" s="9">
        <v>0.98940116071840578</v>
      </c>
      <c r="AC3344" s="9">
        <v>0.85857083418823121</v>
      </c>
      <c r="AD3344" s="9">
        <v>0.98502331340569182</v>
      </c>
      <c r="AE3344" s="10"/>
      <c r="AF3344" s="10"/>
      <c r="AG3344" s="10"/>
      <c r="AH3344" s="10"/>
      <c r="AI3344" s="10"/>
      <c r="AJ3344" s="10"/>
      <c r="AK3344" s="10"/>
      <c r="AL3344" s="10"/>
      <c r="AM3344" s="10"/>
      <c r="AN3344" s="10"/>
      <c r="AO3344" s="10"/>
      <c r="AP3344" s="10"/>
      <c r="AQ3344" s="10"/>
      <c r="AR3344" s="10"/>
      <c r="AS3344" s="10"/>
      <c r="AT3344" s="10"/>
      <c r="AU3344" s="10"/>
      <c r="AV3344" s="10"/>
      <c r="AW3344" s="10"/>
      <c r="AX3344" s="10"/>
      <c r="AY3344" s="10"/>
      <c r="AZ3344" s="10"/>
    </row>
    <row r="3345" spans="28:52">
      <c r="AB3345" s="9">
        <v>0.97798661876887583</v>
      </c>
      <c r="AC3345" s="9">
        <v>0.76425965545753505</v>
      </c>
      <c r="AD3345" s="9">
        <v>0.99676413005788045</v>
      </c>
      <c r="AE3345" s="10"/>
      <c r="AF3345" s="10"/>
      <c r="AG3345" s="10"/>
      <c r="AH3345" s="10"/>
      <c r="AI3345" s="10"/>
      <c r="AJ3345" s="10"/>
      <c r="AK3345" s="10"/>
      <c r="AL3345" s="10"/>
      <c r="AM3345" s="10"/>
      <c r="AN3345" s="10"/>
      <c r="AO3345" s="10"/>
      <c r="AP3345" s="10"/>
      <c r="AQ3345" s="10"/>
      <c r="AR3345" s="10"/>
      <c r="AS3345" s="10"/>
      <c r="AT3345" s="10"/>
      <c r="AU3345" s="10"/>
      <c r="AV3345" s="10"/>
      <c r="AW3345" s="10"/>
      <c r="AX3345" s="10"/>
      <c r="AY3345" s="10"/>
      <c r="AZ3345" s="10"/>
    </row>
    <row r="3346" spans="28:52">
      <c r="AB3346" s="9">
        <v>0.96921786867790261</v>
      </c>
      <c r="AC3346" s="9">
        <v>0.7360462101699734</v>
      </c>
      <c r="AD3346" s="9">
        <v>1.0122724615717689</v>
      </c>
      <c r="AE3346" s="10"/>
      <c r="AF3346" s="10"/>
      <c r="AG3346" s="10"/>
      <c r="AH3346" s="10"/>
      <c r="AI3346" s="10"/>
      <c r="AJ3346" s="10"/>
      <c r="AK3346" s="10"/>
      <c r="AL3346" s="10"/>
      <c r="AM3346" s="10"/>
      <c r="AN3346" s="10"/>
      <c r="AO3346" s="10"/>
      <c r="AP3346" s="10"/>
      <c r="AQ3346" s="10"/>
      <c r="AR3346" s="10"/>
      <c r="AS3346" s="10"/>
      <c r="AT3346" s="10"/>
      <c r="AU3346" s="10"/>
      <c r="AV3346" s="10"/>
      <c r="AW3346" s="10"/>
      <c r="AX3346" s="10"/>
      <c r="AY3346" s="10"/>
      <c r="AZ3346" s="10"/>
    </row>
    <row r="3347" spans="28:52">
      <c r="AB3347" s="9">
        <v>0.95631021193275279</v>
      </c>
      <c r="AC3347" s="9">
        <v>0.88594547888344122</v>
      </c>
      <c r="AD3347" s="9">
        <v>1.0208668263621063</v>
      </c>
      <c r="AE3347" s="10"/>
      <c r="AF3347" s="10"/>
      <c r="AG3347" s="10"/>
      <c r="AH3347" s="10"/>
      <c r="AI3347" s="10"/>
      <c r="AJ3347" s="10"/>
      <c r="AK3347" s="10"/>
      <c r="AL3347" s="10"/>
      <c r="AM3347" s="10"/>
      <c r="AN3347" s="10"/>
      <c r="AO3347" s="10"/>
      <c r="AP3347" s="10"/>
      <c r="AQ3347" s="10"/>
      <c r="AR3347" s="10"/>
      <c r="AS3347" s="10"/>
      <c r="AT3347" s="10"/>
      <c r="AU3347" s="10"/>
      <c r="AV3347" s="10"/>
      <c r="AW3347" s="10"/>
      <c r="AX3347" s="10"/>
      <c r="AY3347" s="10"/>
      <c r="AZ3347" s="10"/>
    </row>
    <row r="3348" spans="28:52">
      <c r="AB3348" s="9">
        <v>0.95063227186243926</v>
      </c>
      <c r="AC3348" s="9">
        <v>0.74856407629930677</v>
      </c>
      <c r="AD3348" s="9">
        <v>1.0244128181304768</v>
      </c>
      <c r="AE3348" s="10"/>
      <c r="AF3348" s="10"/>
      <c r="AG3348" s="10"/>
      <c r="AH3348" s="10"/>
      <c r="AI3348" s="10"/>
      <c r="AJ3348" s="10"/>
      <c r="AK3348" s="10"/>
      <c r="AL3348" s="10"/>
      <c r="AM3348" s="10"/>
      <c r="AN3348" s="10"/>
      <c r="AO3348" s="10"/>
      <c r="AP3348" s="10"/>
      <c r="AQ3348" s="10"/>
      <c r="AR3348" s="10"/>
      <c r="AS3348" s="10"/>
      <c r="AT3348" s="10"/>
      <c r="AU3348" s="10"/>
      <c r="AV3348" s="10"/>
      <c r="AW3348" s="10"/>
      <c r="AX3348" s="10"/>
      <c r="AY3348" s="10"/>
      <c r="AZ3348" s="10"/>
    </row>
    <row r="3349" spans="28:52">
      <c r="AB3349" s="9">
        <v>0.9501889524240803</v>
      </c>
      <c r="AC3349" s="9">
        <v>0.73685095130774036</v>
      </c>
      <c r="AD3349" s="9">
        <v>1.0571863499121239</v>
      </c>
      <c r="AE3349" s="10"/>
      <c r="AF3349" s="10"/>
      <c r="AG3349" s="10"/>
      <c r="AH3349" s="10"/>
      <c r="AI3349" s="10"/>
      <c r="AJ3349" s="10"/>
      <c r="AK3349" s="10"/>
      <c r="AL3349" s="10"/>
      <c r="AM3349" s="10"/>
      <c r="AN3349" s="10"/>
      <c r="AO3349" s="10"/>
      <c r="AP3349" s="10"/>
      <c r="AQ3349" s="10"/>
      <c r="AR3349" s="10"/>
      <c r="AS3349" s="10"/>
      <c r="AT3349" s="10"/>
      <c r="AU3349" s="10"/>
      <c r="AV3349" s="10"/>
      <c r="AW3349" s="10"/>
      <c r="AX3349" s="10"/>
      <c r="AY3349" s="10"/>
      <c r="AZ3349" s="10"/>
    </row>
    <row r="3350" spans="28:52">
      <c r="AB3350" s="9">
        <v>0.92349678601727303</v>
      </c>
      <c r="AC3350" s="9">
        <v>0.97217873162147139</v>
      </c>
      <c r="AD3350" s="9">
        <v>1.0431676813091937</v>
      </c>
      <c r="AE3350" s="10"/>
      <c r="AF3350" s="10"/>
      <c r="AG3350" s="10"/>
      <c r="AH3350" s="10"/>
      <c r="AI3350" s="10"/>
      <c r="AJ3350" s="10"/>
      <c r="AK3350" s="10"/>
      <c r="AL3350" s="10"/>
      <c r="AM3350" s="10"/>
      <c r="AN3350" s="10"/>
      <c r="AO3350" s="10"/>
      <c r="AP3350" s="10"/>
      <c r="AQ3350" s="10"/>
      <c r="AR3350" s="10"/>
      <c r="AS3350" s="10"/>
      <c r="AT3350" s="10"/>
      <c r="AU3350" s="10"/>
      <c r="AV3350" s="10"/>
      <c r="AW3350" s="10"/>
      <c r="AX3350" s="10"/>
      <c r="AY3350" s="10"/>
      <c r="AZ3350" s="10"/>
    </row>
    <row r="3351" spans="28:52">
      <c r="AB3351" s="9">
        <v>0.93952237143712214</v>
      </c>
      <c r="AC3351" s="9">
        <v>0.94409326360721946</v>
      </c>
      <c r="AD3351" s="9">
        <v>1.0497491072687994</v>
      </c>
      <c r="AE3351" s="10"/>
      <c r="AF3351" s="10"/>
      <c r="AG3351" s="10"/>
      <c r="AH3351" s="10"/>
      <c r="AI3351" s="10"/>
      <c r="AJ3351" s="10"/>
      <c r="AK3351" s="10"/>
      <c r="AL3351" s="10"/>
      <c r="AM3351" s="10"/>
      <c r="AN3351" s="10"/>
      <c r="AO3351" s="10"/>
      <c r="AP3351" s="10"/>
      <c r="AQ3351" s="10"/>
      <c r="AR3351" s="10"/>
      <c r="AS3351" s="10"/>
      <c r="AT3351" s="10"/>
      <c r="AU3351" s="10"/>
      <c r="AV3351" s="10"/>
      <c r="AW3351" s="10"/>
      <c r="AX3351" s="10"/>
      <c r="AY3351" s="10"/>
      <c r="AZ3351" s="10"/>
    </row>
    <row r="3352" spans="28:52">
      <c r="AB3352" s="9">
        <v>0.93770475460912828</v>
      </c>
      <c r="AC3352" s="9">
        <v>0.89917155043056041</v>
      </c>
      <c r="AD3352" s="9">
        <v>1.0550847530169245</v>
      </c>
      <c r="AE3352" s="10"/>
      <c r="AF3352" s="10"/>
      <c r="AG3352" s="10"/>
      <c r="AH3352" s="10"/>
      <c r="AI3352" s="10"/>
      <c r="AJ3352" s="10"/>
      <c r="AK3352" s="10"/>
      <c r="AL3352" s="10"/>
      <c r="AM3352" s="10"/>
      <c r="AN3352" s="10"/>
      <c r="AO3352" s="10"/>
      <c r="AP3352" s="10"/>
      <c r="AQ3352" s="10"/>
      <c r="AR3352" s="10"/>
      <c r="AS3352" s="10"/>
      <c r="AT3352" s="10"/>
      <c r="AU3352" s="10"/>
      <c r="AV3352" s="10"/>
      <c r="AW3352" s="10"/>
      <c r="AX3352" s="10"/>
      <c r="AY3352" s="10"/>
      <c r="AZ3352" s="10"/>
    </row>
    <row r="3353" spans="28:52">
      <c r="AB3353" s="9">
        <v>0.93702415141672801</v>
      </c>
      <c r="AC3353" s="9">
        <v>0.79516303047490455</v>
      </c>
      <c r="AD3353" s="9">
        <v>1.0659999137237397</v>
      </c>
      <c r="AE3353" s="10"/>
      <c r="AF3353" s="10"/>
      <c r="AG3353" s="10"/>
      <c r="AH3353" s="10"/>
      <c r="AI3353" s="10"/>
      <c r="AJ3353" s="10"/>
      <c r="AK3353" s="10"/>
      <c r="AL3353" s="10"/>
      <c r="AM3353" s="10"/>
      <c r="AN3353" s="10"/>
      <c r="AO3353" s="10"/>
      <c r="AP3353" s="10"/>
      <c r="AQ3353" s="10"/>
      <c r="AR3353" s="10"/>
      <c r="AS3353" s="10"/>
      <c r="AT3353" s="10"/>
      <c r="AU3353" s="10"/>
      <c r="AV3353" s="10"/>
      <c r="AW3353" s="10"/>
      <c r="AX3353" s="10"/>
      <c r="AY3353" s="10"/>
      <c r="AZ3353" s="10"/>
    </row>
    <row r="3354" spans="28:52">
      <c r="AB3354" s="9">
        <v>0.93112327272215412</v>
      </c>
      <c r="AC3354" s="9">
        <v>0.56975055609170255</v>
      </c>
      <c r="AD3354" s="9">
        <v>1.0556473240334088</v>
      </c>
      <c r="AE3354" s="10"/>
      <c r="AF3354" s="10"/>
      <c r="AG3354" s="10"/>
      <c r="AH3354" s="10"/>
      <c r="AI3354" s="10"/>
      <c r="AJ3354" s="10"/>
      <c r="AK3354" s="10"/>
      <c r="AL3354" s="10"/>
      <c r="AM3354" s="10"/>
      <c r="AN3354" s="10"/>
      <c r="AO3354" s="10"/>
      <c r="AP3354" s="10"/>
      <c r="AQ3354" s="10"/>
      <c r="AR3354" s="10"/>
      <c r="AS3354" s="10"/>
      <c r="AT3354" s="10"/>
      <c r="AU3354" s="10"/>
      <c r="AV3354" s="10"/>
      <c r="AW3354" s="10"/>
      <c r="AX3354" s="10"/>
      <c r="AY3354" s="10"/>
      <c r="AZ3354" s="10"/>
    </row>
    <row r="3355" spans="28:52">
      <c r="AB3355" s="9">
        <v>0.94308445378485961</v>
      </c>
      <c r="AC3355" s="9">
        <v>0.87617910814760747</v>
      </c>
      <c r="AD3355" s="9">
        <v>1.0612101635160311</v>
      </c>
      <c r="AE3355" s="10"/>
      <c r="AF3355" s="10"/>
      <c r="AG3355" s="10"/>
      <c r="AH3355" s="10"/>
      <c r="AI3355" s="10"/>
      <c r="AJ3355" s="10"/>
      <c r="AK3355" s="10"/>
      <c r="AL3355" s="10"/>
      <c r="AM3355" s="10"/>
      <c r="AN3355" s="10"/>
      <c r="AO3355" s="10"/>
      <c r="AP3355" s="10"/>
      <c r="AQ3355" s="10"/>
      <c r="AR3355" s="10"/>
      <c r="AS3355" s="10"/>
      <c r="AT3355" s="10"/>
      <c r="AU3355" s="10"/>
      <c r="AV3355" s="10"/>
      <c r="AW3355" s="10"/>
      <c r="AX3355" s="10"/>
      <c r="AY3355" s="10"/>
      <c r="AZ3355" s="10"/>
    </row>
    <row r="3356" spans="28:52">
      <c r="AB3356" s="9">
        <v>0.94102954687731</v>
      </c>
      <c r="AC3356" s="9">
        <v>0.74326484884073118</v>
      </c>
      <c r="AD3356" s="9">
        <v>1.0705752141257574</v>
      </c>
      <c r="AE3356" s="10"/>
      <c r="AF3356" s="10"/>
      <c r="AG3356" s="10"/>
      <c r="AH3356" s="10"/>
      <c r="AI3356" s="10"/>
      <c r="AJ3356" s="10"/>
      <c r="AK3356" s="10"/>
      <c r="AL3356" s="10"/>
      <c r="AM3356" s="10"/>
      <c r="AN3356" s="10"/>
      <c r="AO3356" s="10"/>
      <c r="AP3356" s="10"/>
      <c r="AQ3356" s="10"/>
      <c r="AR3356" s="10"/>
      <c r="AS3356" s="10"/>
      <c r="AT3356" s="10"/>
      <c r="AU3356" s="10"/>
      <c r="AV3356" s="10"/>
      <c r="AW3356" s="10"/>
      <c r="AX3356" s="10"/>
      <c r="AY3356" s="10"/>
      <c r="AZ3356" s="10"/>
    </row>
    <row r="3357" spans="28:52">
      <c r="AB3357" s="9">
        <v>0.93677540851344476</v>
      </c>
      <c r="AC3357" s="9">
        <v>0.61249178183930875</v>
      </c>
      <c r="AD3357" s="9">
        <v>1.0588944336112256</v>
      </c>
      <c r="AE3357" s="10"/>
      <c r="AF3357" s="10"/>
      <c r="AG3357" s="10"/>
      <c r="AH3357" s="10"/>
      <c r="AI3357" s="10"/>
      <c r="AJ3357" s="10"/>
      <c r="AK3357" s="10"/>
      <c r="AL3357" s="10"/>
      <c r="AM3357" s="10"/>
      <c r="AN3357" s="10"/>
      <c r="AO3357" s="10"/>
      <c r="AP3357" s="10"/>
      <c r="AQ3357" s="10"/>
      <c r="AR3357" s="10"/>
      <c r="AS3357" s="10"/>
      <c r="AT3357" s="10"/>
      <c r="AU3357" s="10"/>
      <c r="AV3357" s="10"/>
      <c r="AW3357" s="10"/>
      <c r="AX3357" s="10"/>
      <c r="AY3357" s="10"/>
      <c r="AZ3357" s="10"/>
    </row>
    <row r="3358" spans="28:52">
      <c r="AB3358" s="9">
        <v>0.95050650882950505</v>
      </c>
      <c r="AC3358" s="9">
        <v>0.84226436248750725</v>
      </c>
      <c r="AD3358" s="9">
        <v>1.0748096217105263</v>
      </c>
      <c r="AE3358" s="10"/>
      <c r="AF3358" s="10"/>
      <c r="AG3358" s="10"/>
      <c r="AH3358" s="10"/>
      <c r="AI3358" s="10"/>
      <c r="AJ3358" s="10"/>
      <c r="AK3358" s="10"/>
      <c r="AL3358" s="10"/>
      <c r="AM3358" s="10"/>
      <c r="AN3358" s="10"/>
      <c r="AO3358" s="10"/>
      <c r="AP3358" s="10"/>
      <c r="AQ3358" s="10"/>
      <c r="AR3358" s="10"/>
      <c r="AS3358" s="10"/>
      <c r="AT3358" s="10"/>
      <c r="AU3358" s="10"/>
      <c r="AV3358" s="10"/>
      <c r="AW3358" s="10"/>
      <c r="AX3358" s="10"/>
      <c r="AY3358" s="10"/>
      <c r="AZ3358" s="10"/>
    </row>
    <row r="3359" spans="28:52">
      <c r="AB3359" s="9">
        <v>0.94022846862924114</v>
      </c>
      <c r="AC3359" s="9">
        <v>0.66128525774506919</v>
      </c>
      <c r="AD3359" s="9">
        <v>1.0732324741672599</v>
      </c>
      <c r="AE3359" s="10"/>
      <c r="AF3359" s="10"/>
      <c r="AG3359" s="10"/>
      <c r="AH3359" s="10"/>
      <c r="AI3359" s="10"/>
      <c r="AJ3359" s="10"/>
      <c r="AK3359" s="10"/>
      <c r="AL3359" s="10"/>
      <c r="AM3359" s="10"/>
      <c r="AN3359" s="10"/>
      <c r="AO3359" s="10"/>
      <c r="AP3359" s="10"/>
      <c r="AQ3359" s="10"/>
      <c r="AR3359" s="10"/>
      <c r="AS3359" s="10"/>
      <c r="AT3359" s="10"/>
      <c r="AU3359" s="10"/>
      <c r="AV3359" s="10"/>
      <c r="AW3359" s="10"/>
      <c r="AX3359" s="10"/>
      <c r="AY3359" s="10"/>
      <c r="AZ3359" s="10"/>
    </row>
    <row r="3360" spans="28:52">
      <c r="AB3360" s="9">
        <v>0.94509373124791318</v>
      </c>
      <c r="AC3360" s="9">
        <v>0.72492819835726374</v>
      </c>
      <c r="AD3360" s="9">
        <v>1.0851020995435285</v>
      </c>
      <c r="AE3360" s="10"/>
      <c r="AF3360" s="10"/>
      <c r="AG3360" s="10"/>
      <c r="AH3360" s="10"/>
      <c r="AI3360" s="10"/>
      <c r="AJ3360" s="10"/>
      <c r="AK3360" s="10"/>
      <c r="AL3360" s="10"/>
      <c r="AM3360" s="10"/>
      <c r="AN3360" s="10"/>
      <c r="AO3360" s="10"/>
      <c r="AP3360" s="10"/>
      <c r="AQ3360" s="10"/>
      <c r="AR3360" s="10"/>
      <c r="AS3360" s="10"/>
      <c r="AT3360" s="10"/>
      <c r="AU3360" s="10"/>
      <c r="AV3360" s="10"/>
      <c r="AW3360" s="10"/>
      <c r="AX3360" s="10"/>
      <c r="AY3360" s="10"/>
      <c r="AZ3360" s="10"/>
    </row>
    <row r="3361" spans="28:52">
      <c r="AB3361" s="9">
        <v>0.93834772356606133</v>
      </c>
      <c r="AC3361" s="9">
        <v>0.66962762599213732</v>
      </c>
      <c r="AD3361" s="9">
        <v>1.0646402007513438</v>
      </c>
      <c r="AE3361" s="10"/>
      <c r="AF3361" s="10"/>
      <c r="AG3361" s="10"/>
      <c r="AH3361" s="10"/>
      <c r="AI3361" s="10"/>
      <c r="AJ3361" s="10"/>
      <c r="AK3361" s="10"/>
      <c r="AL3361" s="10"/>
      <c r="AM3361" s="10"/>
      <c r="AN3361" s="10"/>
      <c r="AO3361" s="10"/>
      <c r="AP3361" s="10"/>
      <c r="AQ3361" s="10"/>
      <c r="AR3361" s="10"/>
      <c r="AS3361" s="10"/>
      <c r="AT3361" s="10"/>
      <c r="AU3361" s="10"/>
      <c r="AV3361" s="10"/>
      <c r="AW3361" s="10"/>
      <c r="AX3361" s="10"/>
      <c r="AY3361" s="10"/>
      <c r="AZ3361" s="10"/>
    </row>
    <row r="3362" spans="28:52">
      <c r="AB3362" s="9">
        <v>0.95992346377156901</v>
      </c>
      <c r="AC3362" s="9">
        <v>1.1909474964862905</v>
      </c>
      <c r="AD3362" s="9">
        <v>1.0716584431652332</v>
      </c>
      <c r="AE3362" s="10"/>
      <c r="AF3362" s="10"/>
      <c r="AG3362" s="10"/>
      <c r="AH3362" s="10"/>
      <c r="AI3362" s="10"/>
      <c r="AJ3362" s="10"/>
      <c r="AK3362" s="10"/>
      <c r="AL3362" s="10"/>
      <c r="AM3362" s="10"/>
      <c r="AN3362" s="10"/>
      <c r="AO3362" s="10"/>
      <c r="AP3362" s="10"/>
      <c r="AQ3362" s="10"/>
      <c r="AR3362" s="10"/>
      <c r="AS3362" s="10"/>
      <c r="AT3362" s="10"/>
      <c r="AU3362" s="10"/>
      <c r="AV3362" s="10"/>
      <c r="AW3362" s="10"/>
      <c r="AX3362" s="10"/>
      <c r="AY3362" s="10"/>
      <c r="AZ3362" s="10"/>
    </row>
    <row r="3363" spans="28:52">
      <c r="AB3363" s="9">
        <v>0.95703767348075974</v>
      </c>
      <c r="AC3363" s="9">
        <v>1.1597365608810513</v>
      </c>
      <c r="AD3363" s="9">
        <v>1.0730424395077276</v>
      </c>
      <c r="AE3363" s="10"/>
      <c r="AF3363" s="10"/>
      <c r="AG3363" s="10"/>
      <c r="AH3363" s="10"/>
      <c r="AI3363" s="10"/>
      <c r="AJ3363" s="10"/>
      <c r="AK3363" s="10"/>
      <c r="AL3363" s="10"/>
      <c r="AM3363" s="10"/>
      <c r="AN3363" s="10"/>
      <c r="AO3363" s="10"/>
      <c r="AP3363" s="10"/>
      <c r="AQ3363" s="10"/>
      <c r="AR3363" s="10"/>
      <c r="AS3363" s="10"/>
      <c r="AT3363" s="10"/>
      <c r="AU3363" s="10"/>
      <c r="AV3363" s="10"/>
      <c r="AW3363" s="10"/>
      <c r="AX3363" s="10"/>
      <c r="AY3363" s="10"/>
      <c r="AZ3363" s="10"/>
    </row>
    <row r="3364" spans="28:52">
      <c r="AB3364" s="9">
        <v>0.95959904010416486</v>
      </c>
      <c r="AC3364" s="9">
        <v>0.67503759053422796</v>
      </c>
      <c r="AD3364" s="9">
        <v>1.075655399880973</v>
      </c>
      <c r="AE3364" s="10"/>
      <c r="AF3364" s="10"/>
      <c r="AG3364" s="10"/>
      <c r="AH3364" s="10"/>
      <c r="AI3364" s="10"/>
      <c r="AJ3364" s="10"/>
      <c r="AK3364" s="10"/>
      <c r="AL3364" s="10"/>
      <c r="AM3364" s="10"/>
      <c r="AN3364" s="10"/>
      <c r="AO3364" s="10"/>
      <c r="AP3364" s="10"/>
      <c r="AQ3364" s="10"/>
      <c r="AR3364" s="10"/>
      <c r="AS3364" s="10"/>
      <c r="AT3364" s="10"/>
      <c r="AU3364" s="10"/>
      <c r="AV3364" s="10"/>
      <c r="AW3364" s="10"/>
      <c r="AX3364" s="10"/>
      <c r="AY3364" s="10"/>
      <c r="AZ3364" s="10"/>
    </row>
    <row r="3365" spans="28:52">
      <c r="AB3365" s="9">
        <v>0.96057680235151843</v>
      </c>
      <c r="AC3365" s="9">
        <v>0.80577714015921442</v>
      </c>
      <c r="AD3365" s="9">
        <v>1.0823636289111551</v>
      </c>
      <c r="AE3365" s="10"/>
      <c r="AF3365" s="10"/>
      <c r="AG3365" s="10"/>
      <c r="AH3365" s="10"/>
      <c r="AI3365" s="10"/>
      <c r="AJ3365" s="10"/>
      <c r="AK3365" s="10"/>
      <c r="AL3365" s="10"/>
      <c r="AM3365" s="10"/>
      <c r="AN3365" s="10"/>
      <c r="AO3365" s="10"/>
      <c r="AP3365" s="10"/>
      <c r="AQ3365" s="10"/>
      <c r="AR3365" s="10"/>
      <c r="AS3365" s="10"/>
      <c r="AT3365" s="10"/>
      <c r="AU3365" s="10"/>
      <c r="AV3365" s="10"/>
      <c r="AW3365" s="10"/>
      <c r="AX3365" s="10"/>
      <c r="AY3365" s="10"/>
      <c r="AZ3365" s="10"/>
    </row>
    <row r="3366" spans="28:52">
      <c r="AB3366" s="9">
        <v>0.9579886390137301</v>
      </c>
      <c r="AC3366" s="9">
        <v>0.75391477414709418</v>
      </c>
      <c r="AD3366" s="9">
        <v>1.0833276329074779</v>
      </c>
      <c r="AE3366" s="10"/>
      <c r="AF3366" s="10"/>
      <c r="AG3366" s="10"/>
      <c r="AH3366" s="10"/>
      <c r="AI3366" s="10"/>
      <c r="AJ3366" s="10"/>
      <c r="AK3366" s="10"/>
      <c r="AL3366" s="10"/>
      <c r="AM3366" s="10"/>
      <c r="AN3366" s="10"/>
      <c r="AO3366" s="10"/>
      <c r="AP3366" s="10"/>
      <c r="AQ3366" s="10"/>
      <c r="AR3366" s="10"/>
      <c r="AS3366" s="10"/>
      <c r="AT3366" s="10"/>
      <c r="AU3366" s="10"/>
      <c r="AV3366" s="10"/>
      <c r="AW3366" s="10"/>
      <c r="AX3366" s="10"/>
      <c r="AY3366" s="10"/>
      <c r="AZ3366" s="10"/>
    </row>
    <row r="3367" spans="28:52">
      <c r="AB3367" s="9">
        <v>0.95984940576817279</v>
      </c>
      <c r="AC3367" s="9">
        <v>0.58891301748763925</v>
      </c>
      <c r="AD3367" s="9">
        <v>1.0799738401055301</v>
      </c>
      <c r="AE3367" s="10"/>
      <c r="AF3367" s="10"/>
      <c r="AG3367" s="10"/>
      <c r="AH3367" s="10"/>
      <c r="AI3367" s="10"/>
      <c r="AJ3367" s="10"/>
      <c r="AK3367" s="10"/>
      <c r="AL3367" s="10"/>
      <c r="AM3367" s="10"/>
      <c r="AN3367" s="10"/>
      <c r="AO3367" s="10"/>
      <c r="AP3367" s="10"/>
      <c r="AQ3367" s="10"/>
      <c r="AR3367" s="10"/>
      <c r="AS3367" s="10"/>
      <c r="AT3367" s="10"/>
      <c r="AU3367" s="10"/>
      <c r="AV3367" s="10"/>
      <c r="AW3367" s="10"/>
      <c r="AX3367" s="10"/>
      <c r="AY3367" s="10"/>
      <c r="AZ3367" s="10"/>
    </row>
    <row r="3368" spans="28:52">
      <c r="AB3368" s="9">
        <v>0.96473837244267613</v>
      </c>
      <c r="AC3368" s="9">
        <v>0.79159603256251787</v>
      </c>
      <c r="AD3368" s="9">
        <v>1.0887677713606663</v>
      </c>
      <c r="AE3368" s="10"/>
      <c r="AF3368" s="10"/>
      <c r="AG3368" s="10"/>
      <c r="AH3368" s="10"/>
      <c r="AI3368" s="10"/>
      <c r="AJ3368" s="10"/>
      <c r="AK3368" s="10"/>
      <c r="AL3368" s="10"/>
      <c r="AM3368" s="10"/>
      <c r="AN3368" s="10"/>
      <c r="AO3368" s="10"/>
      <c r="AP3368" s="10"/>
      <c r="AQ3368" s="10"/>
      <c r="AR3368" s="10"/>
      <c r="AS3368" s="10"/>
      <c r="AT3368" s="10"/>
      <c r="AU3368" s="10"/>
      <c r="AV3368" s="10"/>
      <c r="AW3368" s="10"/>
      <c r="AX3368" s="10"/>
      <c r="AY3368" s="10"/>
      <c r="AZ3368" s="10"/>
    </row>
    <row r="3369" spans="28:52">
      <c r="AB3369" s="9">
        <v>0.95923151790863259</v>
      </c>
      <c r="AC3369" s="9">
        <v>0.5177497977842509</v>
      </c>
      <c r="AD3369" s="9">
        <v>1.0920328161587574</v>
      </c>
      <c r="AE3369" s="10"/>
      <c r="AF3369" s="10"/>
      <c r="AG3369" s="10"/>
      <c r="AH3369" s="10"/>
      <c r="AI3369" s="10"/>
      <c r="AJ3369" s="10"/>
      <c r="AK3369" s="10"/>
      <c r="AL3369" s="10"/>
      <c r="AM3369" s="10"/>
      <c r="AN3369" s="10"/>
      <c r="AO3369" s="10"/>
      <c r="AP3369" s="10"/>
      <c r="AQ3369" s="10"/>
      <c r="AR3369" s="10"/>
      <c r="AS3369" s="10"/>
      <c r="AT3369" s="10"/>
      <c r="AU3369" s="10"/>
      <c r="AV3369" s="10"/>
      <c r="AW3369" s="10"/>
      <c r="AX3369" s="10"/>
      <c r="AY3369" s="10"/>
      <c r="AZ3369" s="10"/>
    </row>
    <row r="3370" spans="28:52">
      <c r="AB3370" s="9">
        <v>0.95956609893415301</v>
      </c>
      <c r="AC3370" s="9">
        <v>0.64933222785675049</v>
      </c>
      <c r="AD3370" s="9">
        <v>1.0760348210584496</v>
      </c>
      <c r="AE3370" s="10"/>
      <c r="AF3370" s="10"/>
      <c r="AG3370" s="10"/>
      <c r="AH3370" s="10"/>
      <c r="AI3370" s="10"/>
      <c r="AJ3370" s="10"/>
      <c r="AK3370" s="10"/>
      <c r="AL3370" s="10"/>
      <c r="AM3370" s="10"/>
      <c r="AN3370" s="10"/>
      <c r="AO3370" s="10"/>
      <c r="AP3370" s="10"/>
      <c r="AQ3370" s="10"/>
      <c r="AR3370" s="10"/>
      <c r="AS3370" s="10"/>
      <c r="AT3370" s="10"/>
      <c r="AU3370" s="10"/>
      <c r="AV3370" s="10"/>
      <c r="AW3370" s="10"/>
      <c r="AX3370" s="10"/>
      <c r="AY3370" s="10"/>
      <c r="AZ3370" s="10"/>
    </row>
    <row r="3371" spans="28:52">
      <c r="AB3371" s="9">
        <v>0.9768412451880073</v>
      </c>
      <c r="AC3371" s="9">
        <v>1.1883374152166901</v>
      </c>
      <c r="AD3371" s="9">
        <v>1.043565167883576</v>
      </c>
      <c r="AE3371" s="10"/>
      <c r="AF3371" s="10"/>
      <c r="AG3371" s="10"/>
      <c r="AH3371" s="10"/>
      <c r="AI3371" s="10"/>
      <c r="AJ3371" s="10"/>
      <c r="AK3371" s="10"/>
      <c r="AL3371" s="10"/>
      <c r="AM3371" s="10"/>
      <c r="AN3371" s="10"/>
      <c r="AO3371" s="10"/>
      <c r="AP3371" s="10"/>
      <c r="AQ3371" s="10"/>
      <c r="AR3371" s="10"/>
      <c r="AS3371" s="10"/>
      <c r="AT3371" s="10"/>
      <c r="AU3371" s="10"/>
      <c r="AV3371" s="10"/>
      <c r="AW3371" s="10"/>
      <c r="AX3371" s="10"/>
      <c r="AY3371" s="10"/>
      <c r="AZ3371" s="10"/>
    </row>
    <row r="3372" spans="28:52">
      <c r="AB3372" s="9">
        <v>1.0096976924032575</v>
      </c>
      <c r="AC3372" s="9">
        <v>1.6714476245301224</v>
      </c>
      <c r="AD3372" s="9">
        <v>1.0408017272348946</v>
      </c>
      <c r="AE3372" s="10"/>
      <c r="AF3372" s="10"/>
      <c r="AG3372" s="10"/>
      <c r="AH3372" s="10"/>
      <c r="AI3372" s="10"/>
      <c r="AJ3372" s="10"/>
      <c r="AK3372" s="10"/>
      <c r="AL3372" s="10"/>
      <c r="AM3372" s="10"/>
      <c r="AN3372" s="10"/>
      <c r="AO3372" s="10"/>
      <c r="AP3372" s="10"/>
      <c r="AQ3372" s="10"/>
      <c r="AR3372" s="10"/>
      <c r="AS3372" s="10"/>
      <c r="AT3372" s="10"/>
      <c r="AU3372" s="10"/>
      <c r="AV3372" s="10"/>
      <c r="AW3372" s="10"/>
      <c r="AX3372" s="10"/>
      <c r="AY3372" s="10"/>
      <c r="AZ3372" s="10"/>
    </row>
    <row r="3373" spans="28:52">
      <c r="AB3373" s="9">
        <v>1.014172653674881</v>
      </c>
      <c r="AC3373" s="9">
        <v>1.5477823963800159</v>
      </c>
      <c r="AD3373" s="9">
        <v>1.0346353716765853</v>
      </c>
      <c r="AE3373" s="10"/>
      <c r="AF3373" s="10"/>
      <c r="AG3373" s="10"/>
      <c r="AH3373" s="10"/>
      <c r="AI3373" s="10"/>
      <c r="AJ3373" s="10"/>
      <c r="AK3373" s="10"/>
      <c r="AL3373" s="10"/>
      <c r="AM3373" s="10"/>
      <c r="AN3373" s="10"/>
      <c r="AO3373" s="10"/>
      <c r="AP3373" s="10"/>
      <c r="AQ3373" s="10"/>
      <c r="AR3373" s="10"/>
      <c r="AS3373" s="10"/>
      <c r="AT3373" s="10"/>
      <c r="AU3373" s="10"/>
      <c r="AV3373" s="10"/>
      <c r="AW3373" s="10"/>
      <c r="AX3373" s="10"/>
      <c r="AY3373" s="10"/>
      <c r="AZ3373" s="10"/>
    </row>
    <row r="3374" spans="28:52">
      <c r="AB3374" s="9">
        <v>1.0213194022776355</v>
      </c>
      <c r="AC3374" s="9">
        <v>1.1818631813321108</v>
      </c>
      <c r="AD3374" s="9">
        <v>1.0084385530645628</v>
      </c>
      <c r="AE3374" s="10"/>
      <c r="AF3374" s="10"/>
      <c r="AG3374" s="10"/>
      <c r="AH3374" s="10"/>
      <c r="AI3374" s="10"/>
      <c r="AJ3374" s="10"/>
      <c r="AK3374" s="10"/>
      <c r="AL3374" s="10"/>
      <c r="AM3374" s="10"/>
      <c r="AN3374" s="10"/>
      <c r="AO3374" s="10"/>
      <c r="AP3374" s="10"/>
      <c r="AQ3374" s="10"/>
      <c r="AR3374" s="10"/>
      <c r="AS3374" s="10"/>
      <c r="AT3374" s="10"/>
      <c r="AU3374" s="10"/>
      <c r="AV3374" s="10"/>
      <c r="AW3374" s="10"/>
      <c r="AX3374" s="10"/>
      <c r="AY3374" s="10"/>
      <c r="AZ3374" s="10"/>
    </row>
    <row r="3375" spans="28:52">
      <c r="AB3375" s="9">
        <v>1.0479132639109583</v>
      </c>
      <c r="AC3375" s="9">
        <v>1.9686466399702216</v>
      </c>
      <c r="AD3375" s="9">
        <v>1.0115938879316142</v>
      </c>
      <c r="AE3375" s="10"/>
      <c r="AF3375" s="10"/>
      <c r="AG3375" s="10"/>
      <c r="AH3375" s="10"/>
      <c r="AI3375" s="10"/>
      <c r="AJ3375" s="10"/>
      <c r="AK3375" s="10"/>
      <c r="AL3375" s="10"/>
      <c r="AM3375" s="10"/>
      <c r="AN3375" s="10"/>
      <c r="AO3375" s="10"/>
      <c r="AP3375" s="10"/>
      <c r="AQ3375" s="10"/>
      <c r="AR3375" s="10"/>
      <c r="AS3375" s="10"/>
      <c r="AT3375" s="10"/>
      <c r="AU3375" s="10"/>
      <c r="AV3375" s="10"/>
      <c r="AW3375" s="10"/>
      <c r="AX3375" s="10"/>
      <c r="AY3375" s="10"/>
      <c r="AZ3375" s="10"/>
    </row>
    <row r="3376" spans="28:52">
      <c r="AB3376" s="9">
        <v>1.0445173661409624</v>
      </c>
      <c r="AC3376" s="9">
        <v>1.3899989494328868</v>
      </c>
      <c r="AD3376" s="9">
        <v>1.0136359678974045</v>
      </c>
      <c r="AE3376" s="10"/>
      <c r="AF3376" s="10"/>
      <c r="AG3376" s="10"/>
      <c r="AH3376" s="10"/>
      <c r="AI3376" s="10"/>
      <c r="AJ3376" s="10"/>
      <c r="AK3376" s="10"/>
      <c r="AL3376" s="10"/>
      <c r="AM3376" s="10"/>
      <c r="AN3376" s="10"/>
      <c r="AO3376" s="10"/>
      <c r="AP3376" s="10"/>
      <c r="AQ3376" s="10"/>
      <c r="AR3376" s="10"/>
      <c r="AS3376" s="10"/>
      <c r="AT3376" s="10"/>
      <c r="AU3376" s="10"/>
      <c r="AV3376" s="10"/>
      <c r="AW3376" s="10"/>
      <c r="AX3376" s="10"/>
      <c r="AY3376" s="10"/>
      <c r="AZ3376" s="10"/>
    </row>
    <row r="3377" spans="28:52">
      <c r="AB3377" s="9">
        <v>1.0420783314765101</v>
      </c>
      <c r="AC3377" s="9">
        <v>1.1389097725435953</v>
      </c>
      <c r="AD3377" s="9">
        <v>1.018303367941251</v>
      </c>
      <c r="AE3377" s="10"/>
      <c r="AF3377" s="10"/>
      <c r="AG3377" s="10"/>
      <c r="AH3377" s="10"/>
      <c r="AI3377" s="10"/>
      <c r="AJ3377" s="10"/>
      <c r="AK3377" s="10"/>
      <c r="AL3377" s="10"/>
      <c r="AM3377" s="10"/>
      <c r="AN3377" s="10"/>
      <c r="AO3377" s="10"/>
      <c r="AP3377" s="10"/>
      <c r="AQ3377" s="10"/>
      <c r="AR3377" s="10"/>
      <c r="AS3377" s="10"/>
      <c r="AT3377" s="10"/>
      <c r="AU3377" s="10"/>
      <c r="AV3377" s="10"/>
      <c r="AW3377" s="10"/>
      <c r="AX3377" s="10"/>
      <c r="AY3377" s="10"/>
      <c r="AZ3377" s="10"/>
    </row>
    <row r="3378" spans="28:52">
      <c r="AB3378" s="9">
        <v>1.0374880866495113</v>
      </c>
      <c r="AC3378" s="9">
        <v>1.6456400822558939</v>
      </c>
      <c r="AD3378" s="9">
        <v>1.0025790438603379</v>
      </c>
      <c r="AE3378" s="10"/>
      <c r="AF3378" s="10"/>
      <c r="AG3378" s="10"/>
      <c r="AH3378" s="10"/>
      <c r="AI3378" s="10"/>
      <c r="AJ3378" s="10"/>
      <c r="AK3378" s="10"/>
      <c r="AL3378" s="10"/>
      <c r="AM3378" s="10"/>
      <c r="AN3378" s="10"/>
      <c r="AO3378" s="10"/>
      <c r="AP3378" s="10"/>
      <c r="AQ3378" s="10"/>
      <c r="AR3378" s="10"/>
      <c r="AS3378" s="10"/>
      <c r="AT3378" s="10"/>
      <c r="AU3378" s="10"/>
      <c r="AV3378" s="10"/>
      <c r="AW3378" s="10"/>
      <c r="AX3378" s="10"/>
      <c r="AY3378" s="10"/>
      <c r="AZ3378" s="10"/>
    </row>
    <row r="3379" spans="28:52">
      <c r="AB3379" s="9">
        <v>1.0530564169132282</v>
      </c>
      <c r="AC3379" s="9">
        <v>1.5018071437169598</v>
      </c>
      <c r="AD3379" s="9">
        <v>1.0036868875846814</v>
      </c>
      <c r="AE3379" s="10"/>
      <c r="AF3379" s="10"/>
      <c r="AG3379" s="10"/>
      <c r="AH3379" s="10"/>
      <c r="AI3379" s="10"/>
      <c r="AJ3379" s="10"/>
      <c r="AK3379" s="10"/>
      <c r="AL3379" s="10"/>
      <c r="AM3379" s="10"/>
      <c r="AN3379" s="10"/>
      <c r="AO3379" s="10"/>
      <c r="AP3379" s="10"/>
      <c r="AQ3379" s="10"/>
      <c r="AR3379" s="10"/>
      <c r="AS3379" s="10"/>
      <c r="AT3379" s="10"/>
      <c r="AU3379" s="10"/>
      <c r="AV3379" s="10"/>
      <c r="AW3379" s="10"/>
      <c r="AX3379" s="10"/>
      <c r="AY3379" s="10"/>
      <c r="AZ3379" s="10"/>
    </row>
    <row r="3380" spans="28:52">
      <c r="AB3380" s="9">
        <v>1.0509858834235906</v>
      </c>
      <c r="AC3380" s="9">
        <v>1.526971357630172</v>
      </c>
      <c r="AD3380" s="9">
        <v>1.0198512100035757</v>
      </c>
      <c r="AE3380" s="10"/>
      <c r="AF3380" s="10"/>
      <c r="AG3380" s="10"/>
      <c r="AH3380" s="10"/>
      <c r="AI3380" s="10"/>
      <c r="AJ3380" s="10"/>
      <c r="AK3380" s="10"/>
      <c r="AL3380" s="10"/>
      <c r="AM3380" s="10"/>
      <c r="AN3380" s="10"/>
      <c r="AO3380" s="10"/>
      <c r="AP3380" s="10"/>
      <c r="AQ3380" s="10"/>
      <c r="AR3380" s="10"/>
      <c r="AS3380" s="10"/>
      <c r="AT3380" s="10"/>
      <c r="AU3380" s="10"/>
      <c r="AV3380" s="10"/>
      <c r="AW3380" s="10"/>
      <c r="AX3380" s="10"/>
      <c r="AY3380" s="10"/>
      <c r="AZ3380" s="10"/>
    </row>
    <row r="3381" spans="28:52">
      <c r="AB3381" s="9">
        <v>1.0343993989605051</v>
      </c>
      <c r="AC3381" s="9">
        <v>1.7722315297578832</v>
      </c>
      <c r="AD3381" s="9">
        <v>1.0177475722776528</v>
      </c>
      <c r="AE3381" s="10"/>
      <c r="AF3381" s="10"/>
      <c r="AG3381" s="10"/>
      <c r="AH3381" s="10"/>
      <c r="AI3381" s="10"/>
      <c r="AJ3381" s="10"/>
      <c r="AK3381" s="10"/>
      <c r="AL3381" s="10"/>
      <c r="AM3381" s="10"/>
      <c r="AN3381" s="10"/>
      <c r="AO3381" s="10"/>
      <c r="AP3381" s="10"/>
      <c r="AQ3381" s="10"/>
      <c r="AR3381" s="10"/>
      <c r="AS3381" s="10"/>
      <c r="AT3381" s="10"/>
      <c r="AU3381" s="10"/>
      <c r="AV3381" s="10"/>
      <c r="AW3381" s="10"/>
      <c r="AX3381" s="10"/>
      <c r="AY3381" s="10"/>
      <c r="AZ3381" s="10"/>
    </row>
    <row r="3382" spans="28:52">
      <c r="AB3382" s="9">
        <v>1.0370772269081499</v>
      </c>
      <c r="AC3382" s="9">
        <v>1.1776048665409844</v>
      </c>
      <c r="AD3382" s="9">
        <v>1.0062809419805263</v>
      </c>
      <c r="AE3382" s="10"/>
      <c r="AF3382" s="10"/>
      <c r="AG3382" s="10"/>
      <c r="AH3382" s="10"/>
      <c r="AI3382" s="10"/>
      <c r="AJ3382" s="10"/>
      <c r="AK3382" s="10"/>
      <c r="AL3382" s="10"/>
      <c r="AM3382" s="10"/>
      <c r="AN3382" s="10"/>
      <c r="AO3382" s="10"/>
      <c r="AP3382" s="10"/>
      <c r="AQ3382" s="10"/>
      <c r="AR3382" s="10"/>
      <c r="AS3382" s="10"/>
      <c r="AT3382" s="10"/>
      <c r="AU3382" s="10"/>
      <c r="AV3382" s="10"/>
      <c r="AW3382" s="10"/>
      <c r="AX3382" s="10"/>
      <c r="AY3382" s="10"/>
      <c r="AZ3382" s="10"/>
    </row>
    <row r="3383" spans="28:52">
      <c r="AB3383" s="9">
        <v>1.0496296263317595</v>
      </c>
      <c r="AC3383" s="9">
        <v>1.3129794380169193</v>
      </c>
      <c r="AD3383" s="9">
        <v>1.0071136944451096</v>
      </c>
      <c r="AE3383" s="10"/>
      <c r="AF3383" s="10"/>
      <c r="AG3383" s="10"/>
      <c r="AH3383" s="10"/>
      <c r="AI3383" s="10"/>
      <c r="AJ3383" s="10"/>
      <c r="AK3383" s="10"/>
      <c r="AL3383" s="10"/>
      <c r="AM3383" s="10"/>
      <c r="AN3383" s="10"/>
      <c r="AO3383" s="10"/>
      <c r="AP3383" s="10"/>
      <c r="AQ3383" s="10"/>
      <c r="AR3383" s="10"/>
      <c r="AS3383" s="10"/>
      <c r="AT3383" s="10"/>
      <c r="AU3383" s="10"/>
      <c r="AV3383" s="10"/>
      <c r="AW3383" s="10"/>
      <c r="AX3383" s="10"/>
      <c r="AY3383" s="10"/>
      <c r="AZ3383" s="10"/>
    </row>
    <row r="3384" spans="28:52">
      <c r="AB3384" s="9">
        <v>1.0489713261815956</v>
      </c>
      <c r="AC3384" s="9">
        <v>1.7068437343422045</v>
      </c>
      <c r="AD3384" s="9">
        <v>1.0082642441377869</v>
      </c>
      <c r="AE3384" s="10"/>
      <c r="AF3384" s="10"/>
      <c r="AG3384" s="10"/>
      <c r="AH3384" s="10"/>
      <c r="AI3384" s="10"/>
      <c r="AJ3384" s="10"/>
      <c r="AK3384" s="10"/>
      <c r="AL3384" s="10"/>
      <c r="AM3384" s="10"/>
      <c r="AN3384" s="10"/>
      <c r="AO3384" s="10"/>
      <c r="AP3384" s="10"/>
      <c r="AQ3384" s="10"/>
      <c r="AR3384" s="10"/>
      <c r="AS3384" s="10"/>
      <c r="AT3384" s="10"/>
      <c r="AU3384" s="10"/>
      <c r="AV3384" s="10"/>
      <c r="AW3384" s="10"/>
      <c r="AX3384" s="10"/>
      <c r="AY3384" s="10"/>
      <c r="AZ3384" s="10"/>
    </row>
    <row r="3385" spans="28:52">
      <c r="AB3385" s="9">
        <v>1.0480354686858924</v>
      </c>
      <c r="AC3385" s="9">
        <v>1.2361087747147241</v>
      </c>
      <c r="AD3385" s="9">
        <v>1.0076865787803679</v>
      </c>
      <c r="AE3385" s="10"/>
      <c r="AF3385" s="10"/>
      <c r="AG3385" s="10"/>
      <c r="AH3385" s="10"/>
      <c r="AI3385" s="10"/>
      <c r="AJ3385" s="10"/>
      <c r="AK3385" s="10"/>
      <c r="AL3385" s="10"/>
      <c r="AM3385" s="10"/>
      <c r="AN3385" s="10"/>
      <c r="AO3385" s="10"/>
      <c r="AP3385" s="10"/>
      <c r="AQ3385" s="10"/>
      <c r="AR3385" s="10"/>
      <c r="AS3385" s="10"/>
      <c r="AT3385" s="10"/>
      <c r="AU3385" s="10"/>
      <c r="AV3385" s="10"/>
      <c r="AW3385" s="10"/>
      <c r="AX3385" s="10"/>
      <c r="AY3385" s="10"/>
      <c r="AZ3385" s="10"/>
    </row>
    <row r="3386" spans="28:52">
      <c r="AB3386" s="9">
        <v>1.0485948174051467</v>
      </c>
      <c r="AC3386" s="9">
        <v>1.3208501952627125</v>
      </c>
      <c r="AD3386" s="9">
        <v>0.9937595770737252</v>
      </c>
      <c r="AE3386" s="10"/>
      <c r="AF3386" s="10"/>
      <c r="AG3386" s="10"/>
      <c r="AH3386" s="10"/>
      <c r="AI3386" s="10"/>
      <c r="AJ3386" s="10"/>
      <c r="AK3386" s="10"/>
      <c r="AL3386" s="10"/>
      <c r="AM3386" s="10"/>
      <c r="AN3386" s="10"/>
      <c r="AO3386" s="10"/>
      <c r="AP3386" s="10"/>
      <c r="AQ3386" s="10"/>
      <c r="AR3386" s="10"/>
      <c r="AS3386" s="10"/>
      <c r="AT3386" s="10"/>
      <c r="AU3386" s="10"/>
      <c r="AV3386" s="10"/>
      <c r="AW3386" s="10"/>
      <c r="AX3386" s="10"/>
      <c r="AY3386" s="10"/>
      <c r="AZ3386" s="10"/>
    </row>
    <row r="3387" spans="28:52">
      <c r="AB3387" s="9">
        <v>1.0629598524850086</v>
      </c>
      <c r="AC3387" s="9">
        <v>1.4885434680205183</v>
      </c>
      <c r="AD3387" s="9">
        <v>0.99512095909131604</v>
      </c>
      <c r="AE3387" s="10"/>
      <c r="AF3387" s="10"/>
      <c r="AG3387" s="10"/>
      <c r="AH3387" s="10"/>
      <c r="AI3387" s="10"/>
      <c r="AJ3387" s="10"/>
      <c r="AK3387" s="10"/>
      <c r="AL3387" s="10"/>
      <c r="AM3387" s="10"/>
      <c r="AN3387" s="10"/>
      <c r="AO3387" s="10"/>
      <c r="AP3387" s="10"/>
      <c r="AQ3387" s="10"/>
      <c r="AR3387" s="10"/>
      <c r="AS3387" s="10"/>
      <c r="AT3387" s="10"/>
      <c r="AU3387" s="10"/>
      <c r="AV3387" s="10"/>
      <c r="AW3387" s="10"/>
      <c r="AX3387" s="10"/>
      <c r="AY3387" s="10"/>
      <c r="AZ3387" s="10"/>
    </row>
    <row r="3388" spans="28:52">
      <c r="AB3388" s="9">
        <v>1.0607863513351949</v>
      </c>
      <c r="AC3388" s="9">
        <v>1.5829612497724672</v>
      </c>
      <c r="AD3388" s="9">
        <v>1.0031555747078469</v>
      </c>
      <c r="AE3388" s="10"/>
      <c r="AF3388" s="10"/>
      <c r="AG3388" s="10"/>
      <c r="AH3388" s="10"/>
      <c r="AI3388" s="10"/>
      <c r="AJ3388" s="10"/>
      <c r="AK3388" s="10"/>
      <c r="AL3388" s="10"/>
      <c r="AM3388" s="10"/>
      <c r="AN3388" s="10"/>
      <c r="AO3388" s="10"/>
      <c r="AP3388" s="10"/>
      <c r="AQ3388" s="10"/>
      <c r="AR3388" s="10"/>
      <c r="AS3388" s="10"/>
      <c r="AT3388" s="10"/>
      <c r="AU3388" s="10"/>
      <c r="AV3388" s="10"/>
      <c r="AW3388" s="10"/>
      <c r="AX3388" s="10"/>
      <c r="AY3388" s="10"/>
      <c r="AZ3388" s="10"/>
    </row>
    <row r="3389" spans="28:52">
      <c r="AB3389" s="9">
        <v>1.0512635550233307</v>
      </c>
      <c r="AC3389" s="9">
        <v>1.041009841404136</v>
      </c>
      <c r="AD3389" s="9">
        <v>0.99943952266573854</v>
      </c>
      <c r="AE3389" s="10"/>
      <c r="AF3389" s="10"/>
      <c r="AG3389" s="10"/>
      <c r="AH3389" s="10"/>
      <c r="AI3389" s="10"/>
      <c r="AJ3389" s="10"/>
      <c r="AK3389" s="10"/>
      <c r="AL3389" s="10"/>
      <c r="AM3389" s="10"/>
      <c r="AN3389" s="10"/>
      <c r="AO3389" s="10"/>
      <c r="AP3389" s="10"/>
      <c r="AQ3389" s="10"/>
      <c r="AR3389" s="10"/>
      <c r="AS3389" s="10"/>
      <c r="AT3389" s="10"/>
      <c r="AU3389" s="10"/>
      <c r="AV3389" s="10"/>
      <c r="AW3389" s="10"/>
      <c r="AX3389" s="10"/>
      <c r="AY3389" s="10"/>
      <c r="AZ3389" s="10"/>
    </row>
    <row r="3390" spans="28:52">
      <c r="AB3390" s="9">
        <v>1.0542465840893116</v>
      </c>
      <c r="AC3390" s="9">
        <v>1.0622109719787993</v>
      </c>
      <c r="AD3390" s="9">
        <v>1.0115568739806027</v>
      </c>
      <c r="AE3390" s="10"/>
      <c r="AF3390" s="10"/>
      <c r="AG3390" s="10"/>
      <c r="AH3390" s="10"/>
      <c r="AI3390" s="10"/>
      <c r="AJ3390" s="10"/>
      <c r="AK3390" s="10"/>
      <c r="AL3390" s="10"/>
      <c r="AM3390" s="10"/>
      <c r="AN3390" s="10"/>
      <c r="AO3390" s="10"/>
      <c r="AP3390" s="10"/>
      <c r="AQ3390" s="10"/>
      <c r="AR3390" s="10"/>
      <c r="AS3390" s="10"/>
      <c r="AT3390" s="10"/>
      <c r="AU3390" s="10"/>
      <c r="AV3390" s="10"/>
      <c r="AW3390" s="10"/>
      <c r="AX3390" s="10"/>
      <c r="AY3390" s="10"/>
      <c r="AZ3390" s="10"/>
    </row>
    <row r="3391" spans="28:52">
      <c r="AB3391" s="9">
        <v>1.0409059718808926</v>
      </c>
      <c r="AC3391" s="9">
        <v>1.1321817622051471</v>
      </c>
      <c r="AD3391" s="9">
        <v>1.0036865295487798</v>
      </c>
      <c r="AE3391" s="10"/>
      <c r="AF3391" s="10"/>
      <c r="AG3391" s="10"/>
      <c r="AH3391" s="10"/>
      <c r="AI3391" s="10"/>
      <c r="AJ3391" s="10"/>
      <c r="AK3391" s="10"/>
      <c r="AL3391" s="10"/>
      <c r="AM3391" s="10"/>
      <c r="AN3391" s="10"/>
      <c r="AO3391" s="10"/>
      <c r="AP3391" s="10"/>
      <c r="AQ3391" s="10"/>
      <c r="AR3391" s="10"/>
      <c r="AS3391" s="10"/>
      <c r="AT3391" s="10"/>
      <c r="AU3391" s="10"/>
      <c r="AV3391" s="10"/>
      <c r="AW3391" s="10"/>
      <c r="AX3391" s="10"/>
      <c r="AY3391" s="10"/>
      <c r="AZ3391" s="10"/>
    </row>
    <row r="3392" spans="28:52">
      <c r="AB3392" s="9">
        <v>1.0485950817051062</v>
      </c>
      <c r="AC3392" s="9">
        <v>1.2669826060191254</v>
      </c>
      <c r="AD3392" s="9">
        <v>0.98917199786191912</v>
      </c>
      <c r="AE3392" s="10"/>
      <c r="AF3392" s="10"/>
      <c r="AG3392" s="10"/>
      <c r="AH3392" s="10"/>
      <c r="AI3392" s="10"/>
      <c r="AJ3392" s="10"/>
      <c r="AK3392" s="10"/>
      <c r="AL3392" s="10"/>
      <c r="AM3392" s="10"/>
      <c r="AN3392" s="10"/>
      <c r="AO3392" s="10"/>
      <c r="AP3392" s="10"/>
      <c r="AQ3392" s="10"/>
      <c r="AR3392" s="10"/>
      <c r="AS3392" s="10"/>
      <c r="AT3392" s="10"/>
      <c r="AU3392" s="10"/>
      <c r="AV3392" s="10"/>
      <c r="AW3392" s="10"/>
      <c r="AX3392" s="10"/>
      <c r="AY3392" s="10"/>
      <c r="AZ3392" s="10"/>
    </row>
    <row r="3393" spans="28:52">
      <c r="AB3393" s="9">
        <v>1.0630911007992547</v>
      </c>
      <c r="AC3393" s="9">
        <v>1.4237429451000514</v>
      </c>
      <c r="AD3393" s="9">
        <v>0.98543347101762446</v>
      </c>
      <c r="AE3393" s="10"/>
      <c r="AF3393" s="10"/>
      <c r="AG3393" s="10"/>
      <c r="AH3393" s="10"/>
      <c r="AI3393" s="10"/>
      <c r="AJ3393" s="10"/>
      <c r="AK3393" s="10"/>
      <c r="AL3393" s="10"/>
      <c r="AM3393" s="10"/>
      <c r="AN3393" s="10"/>
      <c r="AO3393" s="10"/>
      <c r="AP3393" s="10"/>
      <c r="AQ3393" s="10"/>
      <c r="AR3393" s="10"/>
      <c r="AS3393" s="10"/>
      <c r="AT3393" s="10"/>
      <c r="AU3393" s="10"/>
      <c r="AV3393" s="10"/>
      <c r="AW3393" s="10"/>
      <c r="AX3393" s="10"/>
      <c r="AY3393" s="10"/>
      <c r="AZ3393" s="10"/>
    </row>
    <row r="3394" spans="28:52">
      <c r="AB3394" s="9">
        <v>1.0660238100042161</v>
      </c>
      <c r="AC3394" s="9">
        <v>1.2340334371736392</v>
      </c>
      <c r="AD3394" s="9">
        <v>0.99063994273443101</v>
      </c>
      <c r="AE3394" s="10"/>
      <c r="AF3394" s="10"/>
      <c r="AG3394" s="10"/>
      <c r="AH3394" s="10"/>
      <c r="AI3394" s="10"/>
      <c r="AJ3394" s="10"/>
      <c r="AK3394" s="10"/>
      <c r="AL3394" s="10"/>
      <c r="AM3394" s="10"/>
      <c r="AN3394" s="10"/>
      <c r="AO3394" s="10"/>
      <c r="AP3394" s="10"/>
      <c r="AQ3394" s="10"/>
      <c r="AR3394" s="10"/>
      <c r="AS3394" s="10"/>
      <c r="AT3394" s="10"/>
      <c r="AU3394" s="10"/>
      <c r="AV3394" s="10"/>
      <c r="AW3394" s="10"/>
      <c r="AX3394" s="10"/>
      <c r="AY3394" s="10"/>
      <c r="AZ3394" s="10"/>
    </row>
    <row r="3395" spans="28:52">
      <c r="AB3395" s="9">
        <v>1.0591919018278741</v>
      </c>
      <c r="AC3395" s="9">
        <v>0.9923375981312329</v>
      </c>
      <c r="AD3395" s="9">
        <v>0.99815101634191594</v>
      </c>
      <c r="AE3395" s="10"/>
      <c r="AF3395" s="10"/>
      <c r="AG3395" s="10"/>
      <c r="AH3395" s="10"/>
      <c r="AI3395" s="10"/>
      <c r="AJ3395" s="10"/>
      <c r="AK3395" s="10"/>
      <c r="AL3395" s="10"/>
      <c r="AM3395" s="10"/>
      <c r="AN3395" s="10"/>
      <c r="AO3395" s="10"/>
      <c r="AP3395" s="10"/>
      <c r="AQ3395" s="10"/>
      <c r="AR3395" s="10"/>
      <c r="AS3395" s="10"/>
      <c r="AT3395" s="10"/>
      <c r="AU3395" s="10"/>
      <c r="AV3395" s="10"/>
      <c r="AW3395" s="10"/>
      <c r="AX3395" s="10"/>
      <c r="AY3395" s="10"/>
      <c r="AZ3395" s="10"/>
    </row>
    <row r="3396" spans="28:52">
      <c r="AB3396" s="9">
        <v>1.0501506035530825</v>
      </c>
      <c r="AC3396" s="9">
        <v>1.0999911601651786</v>
      </c>
      <c r="AD3396" s="9">
        <v>1.0056001996847443</v>
      </c>
      <c r="AE3396" s="10"/>
      <c r="AF3396" s="10"/>
      <c r="AG3396" s="10"/>
      <c r="AH3396" s="10"/>
      <c r="AI3396" s="10"/>
      <c r="AJ3396" s="10"/>
      <c r="AK3396" s="10"/>
      <c r="AL3396" s="10"/>
      <c r="AM3396" s="10"/>
      <c r="AN3396" s="10"/>
      <c r="AO3396" s="10"/>
      <c r="AP3396" s="10"/>
      <c r="AQ3396" s="10"/>
      <c r="AR3396" s="10"/>
      <c r="AS3396" s="10"/>
      <c r="AT3396" s="10"/>
      <c r="AU3396" s="10"/>
      <c r="AV3396" s="10"/>
      <c r="AW3396" s="10"/>
      <c r="AX3396" s="10"/>
      <c r="AY3396" s="10"/>
      <c r="AZ3396" s="10"/>
    </row>
    <row r="3397" spans="28:52">
      <c r="AB3397" s="9">
        <v>1.0413512153441506</v>
      </c>
      <c r="AC3397" s="9">
        <v>0.85829799772621207</v>
      </c>
      <c r="AD3397" s="9">
        <v>1.0125810232798316</v>
      </c>
      <c r="AE3397" s="10"/>
      <c r="AF3397" s="10"/>
      <c r="AG3397" s="10"/>
      <c r="AH3397" s="10"/>
      <c r="AI3397" s="10"/>
      <c r="AJ3397" s="10"/>
      <c r="AK3397" s="10"/>
      <c r="AL3397" s="10"/>
      <c r="AM3397" s="10"/>
      <c r="AN3397" s="10"/>
      <c r="AO3397" s="10"/>
      <c r="AP3397" s="10"/>
      <c r="AQ3397" s="10"/>
      <c r="AR3397" s="10"/>
      <c r="AS3397" s="10"/>
      <c r="AT3397" s="10"/>
      <c r="AU3397" s="10"/>
      <c r="AV3397" s="10"/>
      <c r="AW3397" s="10"/>
      <c r="AX3397" s="10"/>
      <c r="AY3397" s="10"/>
      <c r="AZ3397" s="10"/>
    </row>
    <row r="3398" spans="28:52">
      <c r="AB3398" s="9">
        <v>1.0331926257673607</v>
      </c>
      <c r="AC3398" s="9">
        <v>1.1252919167315374</v>
      </c>
      <c r="AD3398" s="9">
        <v>1.0067121246593644</v>
      </c>
      <c r="AE3398" s="10"/>
      <c r="AF3398" s="10"/>
      <c r="AG3398" s="10"/>
      <c r="AH3398" s="10"/>
      <c r="AI3398" s="10"/>
      <c r="AJ3398" s="10"/>
      <c r="AK3398" s="10"/>
      <c r="AL3398" s="10"/>
      <c r="AM3398" s="10"/>
      <c r="AN3398" s="10"/>
      <c r="AO3398" s="10"/>
      <c r="AP3398" s="10"/>
      <c r="AQ3398" s="10"/>
      <c r="AR3398" s="10"/>
      <c r="AS3398" s="10"/>
      <c r="AT3398" s="10"/>
      <c r="AU3398" s="10"/>
      <c r="AV3398" s="10"/>
      <c r="AW3398" s="10"/>
      <c r="AX3398" s="10"/>
      <c r="AY3398" s="10"/>
      <c r="AZ3398" s="10"/>
    </row>
    <row r="3399" spans="28:52">
      <c r="AB3399" s="9">
        <v>1.0382672755363265</v>
      </c>
      <c r="AC3399" s="9">
        <v>1.0590809737207192</v>
      </c>
      <c r="AD3399" s="9">
        <v>0.99005875179762326</v>
      </c>
      <c r="AE3399" s="10"/>
      <c r="AF3399" s="10"/>
      <c r="AG3399" s="10"/>
      <c r="AH3399" s="10"/>
      <c r="AI3399" s="10"/>
      <c r="AJ3399" s="10"/>
      <c r="AK3399" s="10"/>
      <c r="AL3399" s="10"/>
      <c r="AM3399" s="10"/>
      <c r="AN3399" s="10"/>
      <c r="AO3399" s="10"/>
      <c r="AP3399" s="10"/>
      <c r="AQ3399" s="10"/>
      <c r="AR3399" s="10"/>
      <c r="AS3399" s="10"/>
      <c r="AT3399" s="10"/>
      <c r="AU3399" s="10"/>
      <c r="AV3399" s="10"/>
      <c r="AW3399" s="10"/>
      <c r="AX3399" s="10"/>
      <c r="AY3399" s="10"/>
      <c r="AZ3399" s="10"/>
    </row>
    <row r="3400" spans="28:52">
      <c r="AB3400" s="9">
        <v>1.0536488165021503</v>
      </c>
      <c r="AC3400" s="9">
        <v>1.3680988580920015</v>
      </c>
      <c r="AD3400" s="9">
        <v>0.96823878406570629</v>
      </c>
      <c r="AE3400" s="10"/>
      <c r="AF3400" s="10"/>
      <c r="AG3400" s="10"/>
      <c r="AH3400" s="10"/>
      <c r="AI3400" s="10"/>
      <c r="AJ3400" s="10"/>
      <c r="AK3400" s="10"/>
      <c r="AL3400" s="10"/>
      <c r="AM3400" s="10"/>
      <c r="AN3400" s="10"/>
      <c r="AO3400" s="10"/>
      <c r="AP3400" s="10"/>
      <c r="AQ3400" s="10"/>
      <c r="AR3400" s="10"/>
      <c r="AS3400" s="10"/>
      <c r="AT3400" s="10"/>
      <c r="AU3400" s="10"/>
      <c r="AV3400" s="10"/>
      <c r="AW3400" s="10"/>
      <c r="AX3400" s="10"/>
      <c r="AY3400" s="10"/>
      <c r="AZ3400" s="10"/>
    </row>
    <row r="3401" spans="28:52">
      <c r="AB3401" s="9">
        <v>1.0746027824368367</v>
      </c>
      <c r="AC3401" s="9">
        <v>1.9729596454391365</v>
      </c>
      <c r="AD3401" s="9">
        <v>0.96719959348858164</v>
      </c>
      <c r="AE3401" s="10"/>
      <c r="AF3401" s="10"/>
      <c r="AG3401" s="10"/>
      <c r="AH3401" s="10"/>
      <c r="AI3401" s="10"/>
      <c r="AJ3401" s="10"/>
      <c r="AK3401" s="10"/>
      <c r="AL3401" s="10"/>
      <c r="AM3401" s="10"/>
      <c r="AN3401" s="10"/>
      <c r="AO3401" s="10"/>
      <c r="AP3401" s="10"/>
      <c r="AQ3401" s="10"/>
      <c r="AR3401" s="10"/>
      <c r="AS3401" s="10"/>
      <c r="AT3401" s="10"/>
      <c r="AU3401" s="10"/>
      <c r="AV3401" s="10"/>
      <c r="AW3401" s="10"/>
      <c r="AX3401" s="10"/>
      <c r="AY3401" s="10"/>
      <c r="AZ3401" s="10"/>
    </row>
    <row r="3402" spans="28:52">
      <c r="AB3402" s="9">
        <v>1.0725136560517678</v>
      </c>
      <c r="AC3402" s="9">
        <v>1.3456718581093645</v>
      </c>
      <c r="AD3402" s="9">
        <v>0.97019636637236195</v>
      </c>
      <c r="AE3402" s="10"/>
      <c r="AF3402" s="10"/>
      <c r="AG3402" s="10"/>
      <c r="AH3402" s="10"/>
      <c r="AI3402" s="10"/>
      <c r="AJ3402" s="10"/>
      <c r="AK3402" s="10"/>
      <c r="AL3402" s="10"/>
      <c r="AM3402" s="10"/>
      <c r="AN3402" s="10"/>
      <c r="AO3402" s="10"/>
      <c r="AP3402" s="10"/>
      <c r="AQ3402" s="10"/>
      <c r="AR3402" s="10"/>
      <c r="AS3402" s="10"/>
      <c r="AT3402" s="10"/>
      <c r="AU3402" s="10"/>
      <c r="AV3402" s="10"/>
      <c r="AW3402" s="10"/>
      <c r="AX3402" s="10"/>
      <c r="AY3402" s="10"/>
      <c r="AZ3402" s="10"/>
    </row>
    <row r="3403" spans="28:52">
      <c r="AB3403" s="9">
        <v>1.0663325077067318</v>
      </c>
      <c r="AC3403" s="9">
        <v>1.8901960876246426</v>
      </c>
      <c r="AD3403" s="9">
        <v>0.96332200557103098</v>
      </c>
      <c r="AE3403" s="10"/>
      <c r="AF3403" s="10"/>
      <c r="AG3403" s="10"/>
      <c r="AH3403" s="10"/>
      <c r="AI3403" s="10"/>
      <c r="AJ3403" s="10"/>
      <c r="AK3403" s="10"/>
      <c r="AL3403" s="10"/>
      <c r="AM3403" s="10"/>
      <c r="AN3403" s="10"/>
      <c r="AO3403" s="10"/>
      <c r="AP3403" s="10"/>
      <c r="AQ3403" s="10"/>
      <c r="AR3403" s="10"/>
      <c r="AS3403" s="10"/>
      <c r="AT3403" s="10"/>
      <c r="AU3403" s="10"/>
      <c r="AV3403" s="10"/>
      <c r="AW3403" s="10"/>
      <c r="AX3403" s="10"/>
      <c r="AY3403" s="10"/>
      <c r="AZ3403" s="10"/>
    </row>
    <row r="3404" spans="28:52">
      <c r="AB3404" s="9">
        <v>1.070884330770639</v>
      </c>
      <c r="AC3404" s="9">
        <v>1.3212826024781112</v>
      </c>
      <c r="AD3404" s="9">
        <v>0.96314757397380613</v>
      </c>
      <c r="AE3404" s="10"/>
      <c r="AF3404" s="10"/>
      <c r="AG3404" s="10"/>
      <c r="AH3404" s="10"/>
      <c r="AI3404" s="10"/>
      <c r="AJ3404" s="10"/>
      <c r="AK3404" s="10"/>
      <c r="AL3404" s="10"/>
      <c r="AM3404" s="10"/>
      <c r="AN3404" s="10"/>
      <c r="AO3404" s="10"/>
      <c r="AP3404" s="10"/>
      <c r="AQ3404" s="10"/>
      <c r="AR3404" s="10"/>
      <c r="AS3404" s="10"/>
      <c r="AT3404" s="10"/>
      <c r="AU3404" s="10"/>
      <c r="AV3404" s="10"/>
      <c r="AW3404" s="10"/>
      <c r="AX3404" s="10"/>
      <c r="AY3404" s="10"/>
      <c r="AZ3404" s="10"/>
    </row>
    <row r="3405" spans="28:52">
      <c r="AB3405" s="9">
        <v>1.0680997802383687</v>
      </c>
      <c r="AC3405" s="9">
        <v>1.2388756587758312</v>
      </c>
      <c r="AD3405" s="9">
        <v>0.96480309658941643</v>
      </c>
      <c r="AE3405" s="10"/>
      <c r="AF3405" s="10"/>
      <c r="AG3405" s="10"/>
      <c r="AH3405" s="10"/>
      <c r="AI3405" s="10"/>
      <c r="AJ3405" s="10"/>
      <c r="AK3405" s="10"/>
      <c r="AL3405" s="10"/>
      <c r="AM3405" s="10"/>
      <c r="AN3405" s="10"/>
      <c r="AO3405" s="10"/>
      <c r="AP3405" s="10"/>
      <c r="AQ3405" s="10"/>
      <c r="AR3405" s="10"/>
      <c r="AS3405" s="10"/>
      <c r="AT3405" s="10"/>
      <c r="AU3405" s="10"/>
      <c r="AV3405" s="10"/>
      <c r="AW3405" s="10"/>
      <c r="AX3405" s="10"/>
      <c r="AY3405" s="10"/>
      <c r="AZ3405" s="10"/>
    </row>
    <row r="3406" spans="28:52">
      <c r="AB3406" s="9">
        <v>1.0632186326425344</v>
      </c>
      <c r="AC3406" s="9">
        <v>1.1625986834664193</v>
      </c>
      <c r="AD3406" s="9">
        <v>0.98216718286964255</v>
      </c>
      <c r="AE3406" s="10"/>
      <c r="AF3406" s="10"/>
      <c r="AG3406" s="10"/>
      <c r="AH3406" s="10"/>
      <c r="AI3406" s="10"/>
      <c r="AJ3406" s="10"/>
      <c r="AK3406" s="10"/>
      <c r="AL3406" s="10"/>
      <c r="AM3406" s="10"/>
      <c r="AN3406" s="10"/>
      <c r="AO3406" s="10"/>
      <c r="AP3406" s="10"/>
      <c r="AQ3406" s="10"/>
      <c r="AR3406" s="10"/>
      <c r="AS3406" s="10"/>
      <c r="AT3406" s="10"/>
      <c r="AU3406" s="10"/>
      <c r="AV3406" s="10"/>
      <c r="AW3406" s="10"/>
      <c r="AX3406" s="10"/>
      <c r="AY3406" s="10"/>
      <c r="AZ3406" s="10"/>
    </row>
    <row r="3407" spans="28:52">
      <c r="AB3407" s="9">
        <v>1.0417694212043274</v>
      </c>
      <c r="AC3407" s="9">
        <v>1.3096756813319173</v>
      </c>
      <c r="AD3407" s="9">
        <v>0.98495687623992356</v>
      </c>
      <c r="AE3407" s="10"/>
      <c r="AF3407" s="10"/>
      <c r="AG3407" s="10"/>
      <c r="AH3407" s="10"/>
      <c r="AI3407" s="10"/>
      <c r="AJ3407" s="10"/>
      <c r="AK3407" s="10"/>
      <c r="AL3407" s="10"/>
      <c r="AM3407" s="10"/>
      <c r="AN3407" s="10"/>
      <c r="AO3407" s="10"/>
      <c r="AP3407" s="10"/>
      <c r="AQ3407" s="10"/>
      <c r="AR3407" s="10"/>
      <c r="AS3407" s="10"/>
      <c r="AT3407" s="10"/>
      <c r="AU3407" s="10"/>
      <c r="AV3407" s="10"/>
      <c r="AW3407" s="10"/>
      <c r="AX3407" s="10"/>
      <c r="AY3407" s="10"/>
      <c r="AZ3407" s="10"/>
    </row>
    <row r="3408" spans="28:52">
      <c r="AB3408" s="9">
        <v>1.0369363774399931</v>
      </c>
      <c r="AC3408" s="9">
        <v>0.96318139990188789</v>
      </c>
      <c r="AD3408" s="9">
        <v>1.0073723690506202</v>
      </c>
      <c r="AE3408" s="10"/>
      <c r="AF3408" s="10"/>
      <c r="AG3408" s="10"/>
      <c r="AH3408" s="10"/>
      <c r="AI3408" s="10"/>
      <c r="AJ3408" s="10"/>
      <c r="AK3408" s="10"/>
      <c r="AL3408" s="10"/>
      <c r="AM3408" s="10"/>
      <c r="AN3408" s="10"/>
      <c r="AO3408" s="10"/>
      <c r="AP3408" s="10"/>
      <c r="AQ3408" s="10"/>
      <c r="AR3408" s="10"/>
      <c r="AS3408" s="10"/>
      <c r="AT3408" s="10"/>
      <c r="AU3408" s="10"/>
      <c r="AV3408" s="10"/>
      <c r="AW3408" s="10"/>
      <c r="AX3408" s="10"/>
      <c r="AY3408" s="10"/>
      <c r="AZ3408" s="10"/>
    </row>
    <row r="3409" spans="28:52">
      <c r="AB3409" s="9">
        <v>1.0122902469861332</v>
      </c>
      <c r="AC3409" s="9">
        <v>1.0431954718685228</v>
      </c>
      <c r="AD3409" s="9">
        <v>1.0097934311660557</v>
      </c>
      <c r="AE3409" s="10"/>
      <c r="AF3409" s="10"/>
      <c r="AG3409" s="10"/>
      <c r="AH3409" s="10"/>
      <c r="AI3409" s="10"/>
      <c r="AJ3409" s="10"/>
      <c r="AK3409" s="10"/>
      <c r="AL3409" s="10"/>
      <c r="AM3409" s="10"/>
      <c r="AN3409" s="10"/>
      <c r="AO3409" s="10"/>
      <c r="AP3409" s="10"/>
      <c r="AQ3409" s="10"/>
      <c r="AR3409" s="10"/>
      <c r="AS3409" s="10"/>
      <c r="AT3409" s="10"/>
      <c r="AU3409" s="10"/>
      <c r="AV3409" s="10"/>
      <c r="AW3409" s="10"/>
      <c r="AX3409" s="10"/>
      <c r="AY3409" s="10"/>
      <c r="AZ3409" s="10"/>
    </row>
    <row r="3410" spans="28:52">
      <c r="AB3410" s="9">
        <v>1.008921841897249</v>
      </c>
      <c r="AC3410" s="9">
        <v>0.93960235414701354</v>
      </c>
      <c r="AD3410" s="9">
        <v>1.018885296909974</v>
      </c>
      <c r="AE3410" s="10"/>
      <c r="AF3410" s="10"/>
      <c r="AG3410" s="10"/>
      <c r="AH3410" s="10"/>
      <c r="AI3410" s="10"/>
      <c r="AJ3410" s="10"/>
      <c r="AK3410" s="10"/>
      <c r="AL3410" s="10"/>
      <c r="AM3410" s="10"/>
      <c r="AN3410" s="10"/>
      <c r="AO3410" s="10"/>
      <c r="AP3410" s="10"/>
      <c r="AQ3410" s="10"/>
      <c r="AR3410" s="10"/>
      <c r="AS3410" s="10"/>
      <c r="AT3410" s="10"/>
      <c r="AU3410" s="10"/>
      <c r="AV3410" s="10"/>
      <c r="AW3410" s="10"/>
      <c r="AX3410" s="10"/>
      <c r="AY3410" s="10"/>
      <c r="AZ3410" s="10"/>
    </row>
    <row r="3411" spans="28:52">
      <c r="AB3411" s="9">
        <v>0.99890423936736816</v>
      </c>
      <c r="AC3411" s="9">
        <v>0.63059492853148902</v>
      </c>
      <c r="AD3411" s="9">
        <v>1.0134142591243831</v>
      </c>
      <c r="AE3411" s="10"/>
      <c r="AF3411" s="10"/>
      <c r="AG3411" s="10"/>
      <c r="AH3411" s="10"/>
      <c r="AI3411" s="10"/>
      <c r="AJ3411" s="10"/>
      <c r="AK3411" s="10"/>
      <c r="AL3411" s="10"/>
      <c r="AM3411" s="10"/>
      <c r="AN3411" s="10"/>
      <c r="AO3411" s="10"/>
      <c r="AP3411" s="10"/>
      <c r="AQ3411" s="10"/>
      <c r="AR3411" s="10"/>
      <c r="AS3411" s="10"/>
      <c r="AT3411" s="10"/>
      <c r="AU3411" s="10"/>
      <c r="AV3411" s="10"/>
      <c r="AW3411" s="10"/>
      <c r="AX3411" s="10"/>
      <c r="AY3411" s="10"/>
      <c r="AZ3411" s="10"/>
    </row>
    <row r="3412" spans="28:52">
      <c r="AB3412" s="9">
        <v>1.0037563760623516</v>
      </c>
      <c r="AC3412" s="9">
        <v>0.78649202130844664</v>
      </c>
      <c r="AD3412" s="9">
        <v>1.0177894180369502</v>
      </c>
      <c r="AE3412" s="10"/>
      <c r="AF3412" s="10"/>
      <c r="AG3412" s="10"/>
      <c r="AH3412" s="10"/>
      <c r="AI3412" s="10"/>
      <c r="AJ3412" s="10"/>
      <c r="AK3412" s="10"/>
      <c r="AL3412" s="10"/>
      <c r="AM3412" s="10"/>
      <c r="AN3412" s="10"/>
      <c r="AO3412" s="10"/>
      <c r="AP3412" s="10"/>
      <c r="AQ3412" s="10"/>
      <c r="AR3412" s="10"/>
      <c r="AS3412" s="10"/>
      <c r="AT3412" s="10"/>
      <c r="AU3412" s="10"/>
      <c r="AV3412" s="10"/>
      <c r="AW3412" s="10"/>
      <c r="AX3412" s="10"/>
      <c r="AY3412" s="10"/>
      <c r="AZ3412" s="10"/>
    </row>
    <row r="3413" spans="28:52">
      <c r="AB3413" s="9">
        <v>0.99905088836607303</v>
      </c>
      <c r="AC3413" s="9">
        <v>0.69486883749405526</v>
      </c>
      <c r="AD3413" s="9">
        <v>1.0173050624090085</v>
      </c>
      <c r="AE3413" s="10"/>
      <c r="AF3413" s="10"/>
      <c r="AG3413" s="10"/>
      <c r="AH3413" s="10"/>
      <c r="AI3413" s="10"/>
      <c r="AJ3413" s="10"/>
      <c r="AK3413" s="10"/>
      <c r="AL3413" s="10"/>
      <c r="AM3413" s="10"/>
      <c r="AN3413" s="10"/>
      <c r="AO3413" s="10"/>
      <c r="AP3413" s="10"/>
      <c r="AQ3413" s="10"/>
      <c r="AR3413" s="10"/>
      <c r="AS3413" s="10"/>
      <c r="AT3413" s="10"/>
      <c r="AU3413" s="10"/>
      <c r="AV3413" s="10"/>
      <c r="AW3413" s="10"/>
      <c r="AX3413" s="10"/>
      <c r="AY3413" s="10"/>
      <c r="AZ3413" s="10"/>
    </row>
    <row r="3414" spans="28:52">
      <c r="AB3414" s="9">
        <v>0.99921493259292804</v>
      </c>
      <c r="AC3414" s="9">
        <v>1.0170621427350075</v>
      </c>
      <c r="AD3414" s="9">
        <v>1.0224671886012537</v>
      </c>
      <c r="AE3414" s="10"/>
      <c r="AF3414" s="10"/>
      <c r="AG3414" s="10"/>
      <c r="AH3414" s="10"/>
      <c r="AI3414" s="10"/>
      <c r="AJ3414" s="10"/>
      <c r="AK3414" s="10"/>
      <c r="AL3414" s="10"/>
      <c r="AM3414" s="10"/>
      <c r="AN3414" s="10"/>
      <c r="AO3414" s="10"/>
      <c r="AP3414" s="10"/>
      <c r="AQ3414" s="10"/>
      <c r="AR3414" s="10"/>
      <c r="AS3414" s="10"/>
      <c r="AT3414" s="10"/>
      <c r="AU3414" s="10"/>
      <c r="AV3414" s="10"/>
      <c r="AW3414" s="10"/>
      <c r="AX3414" s="10"/>
      <c r="AY3414" s="10"/>
      <c r="AZ3414" s="10"/>
    </row>
    <row r="3415" spans="28:52">
      <c r="AB3415" s="9">
        <v>0.99401943080795629</v>
      </c>
      <c r="AC3415" s="9">
        <v>0.78468373266622093</v>
      </c>
      <c r="AD3415" s="9">
        <v>1.0439528296555818</v>
      </c>
      <c r="AE3415" s="10"/>
      <c r="AF3415" s="10"/>
      <c r="AG3415" s="10"/>
      <c r="AH3415" s="10"/>
      <c r="AI3415" s="10"/>
      <c r="AJ3415" s="10"/>
      <c r="AK3415" s="10"/>
      <c r="AL3415" s="10"/>
      <c r="AM3415" s="10"/>
      <c r="AN3415" s="10"/>
      <c r="AO3415" s="10"/>
      <c r="AP3415" s="10"/>
      <c r="AQ3415" s="10"/>
      <c r="AR3415" s="10"/>
      <c r="AS3415" s="10"/>
      <c r="AT3415" s="10"/>
      <c r="AU3415" s="10"/>
      <c r="AV3415" s="10"/>
      <c r="AW3415" s="10"/>
      <c r="AX3415" s="10"/>
      <c r="AY3415" s="10"/>
      <c r="AZ3415" s="10"/>
    </row>
    <row r="3416" spans="28:52">
      <c r="AB3416" s="9">
        <v>0.97378574443757593</v>
      </c>
      <c r="AC3416" s="9">
        <v>0.71840099749551234</v>
      </c>
      <c r="AD3416" s="9">
        <v>1.0475601887817492</v>
      </c>
      <c r="AE3416" s="10"/>
      <c r="AF3416" s="10"/>
      <c r="AG3416" s="10"/>
      <c r="AH3416" s="10"/>
      <c r="AI3416" s="10"/>
      <c r="AJ3416" s="10"/>
      <c r="AK3416" s="10"/>
      <c r="AL3416" s="10"/>
      <c r="AM3416" s="10"/>
      <c r="AN3416" s="10"/>
      <c r="AO3416" s="10"/>
      <c r="AP3416" s="10"/>
      <c r="AQ3416" s="10"/>
      <c r="AR3416" s="10"/>
      <c r="AS3416" s="10"/>
      <c r="AT3416" s="10"/>
      <c r="AU3416" s="10"/>
      <c r="AV3416" s="10"/>
      <c r="AW3416" s="10"/>
      <c r="AX3416" s="10"/>
      <c r="AY3416" s="10"/>
      <c r="AZ3416" s="10"/>
    </row>
    <row r="3417" spans="28:52">
      <c r="AB3417" s="9">
        <v>0.97079301067926083</v>
      </c>
      <c r="AC3417" s="9">
        <v>0.70338516471474921</v>
      </c>
      <c r="AD3417" s="9">
        <v>1.0405437217762612</v>
      </c>
      <c r="AE3417" s="10"/>
      <c r="AF3417" s="10"/>
      <c r="AG3417" s="10"/>
      <c r="AH3417" s="10"/>
      <c r="AI3417" s="10"/>
      <c r="AJ3417" s="10"/>
      <c r="AK3417" s="10"/>
      <c r="AL3417" s="10"/>
      <c r="AM3417" s="10"/>
      <c r="AN3417" s="10"/>
      <c r="AO3417" s="10"/>
      <c r="AP3417" s="10"/>
      <c r="AQ3417" s="10"/>
      <c r="AR3417" s="10"/>
      <c r="AS3417" s="10"/>
      <c r="AT3417" s="10"/>
      <c r="AU3417" s="10"/>
      <c r="AV3417" s="10"/>
      <c r="AW3417" s="10"/>
      <c r="AX3417" s="10"/>
      <c r="AY3417" s="10"/>
      <c r="AZ3417" s="10"/>
    </row>
    <row r="3418" spans="28:52">
      <c r="AB3418" s="9">
        <v>0.97742683491056281</v>
      </c>
      <c r="AC3418" s="9">
        <v>0.879486544748314</v>
      </c>
      <c r="AD3418" s="9">
        <v>1.0396570585338414</v>
      </c>
      <c r="AE3418" s="10"/>
      <c r="AF3418" s="10"/>
      <c r="AG3418" s="10"/>
      <c r="AH3418" s="10"/>
      <c r="AI3418" s="10"/>
      <c r="AJ3418" s="10"/>
      <c r="AK3418" s="10"/>
      <c r="AL3418" s="10"/>
      <c r="AM3418" s="10"/>
      <c r="AN3418" s="10"/>
      <c r="AO3418" s="10"/>
      <c r="AP3418" s="10"/>
      <c r="AQ3418" s="10"/>
      <c r="AR3418" s="10"/>
      <c r="AS3418" s="10"/>
      <c r="AT3418" s="10"/>
      <c r="AU3418" s="10"/>
      <c r="AV3418" s="10"/>
      <c r="AW3418" s="10"/>
      <c r="AX3418" s="10"/>
      <c r="AY3418" s="10"/>
      <c r="AZ3418" s="10"/>
    </row>
    <row r="3419" spans="28:52">
      <c r="AB3419" s="9">
        <v>0.97801841508200382</v>
      </c>
      <c r="AC3419" s="9">
        <v>0.77630916229207991</v>
      </c>
      <c r="AD3419" s="9">
        <v>1.0496168962389745</v>
      </c>
      <c r="AE3419" s="10"/>
      <c r="AF3419" s="10"/>
      <c r="AG3419" s="10"/>
      <c r="AH3419" s="10"/>
      <c r="AI3419" s="10"/>
      <c r="AJ3419" s="10"/>
      <c r="AK3419" s="10"/>
      <c r="AL3419" s="10"/>
      <c r="AM3419" s="10"/>
      <c r="AN3419" s="10"/>
      <c r="AO3419" s="10"/>
      <c r="AP3419" s="10"/>
      <c r="AQ3419" s="10"/>
      <c r="AR3419" s="10"/>
      <c r="AS3419" s="10"/>
      <c r="AT3419" s="10"/>
      <c r="AU3419" s="10"/>
      <c r="AV3419" s="10"/>
      <c r="AW3419" s="10"/>
      <c r="AX3419" s="10"/>
      <c r="AY3419" s="10"/>
      <c r="AZ3419" s="10"/>
    </row>
    <row r="3420" spans="28:52">
      <c r="AB3420" s="9">
        <v>0.96844796837502889</v>
      </c>
      <c r="AC3420" s="9">
        <v>0.63418577307466217</v>
      </c>
      <c r="AD3420" s="9">
        <v>1.0317617338673974</v>
      </c>
      <c r="AE3420" s="10"/>
      <c r="AF3420" s="10"/>
      <c r="AG3420" s="10"/>
      <c r="AH3420" s="10"/>
      <c r="AI3420" s="10"/>
      <c r="AJ3420" s="10"/>
      <c r="AK3420" s="10"/>
      <c r="AL3420" s="10"/>
      <c r="AM3420" s="10"/>
      <c r="AN3420" s="10"/>
      <c r="AO3420" s="10"/>
      <c r="AP3420" s="10"/>
      <c r="AQ3420" s="10"/>
      <c r="AR3420" s="10"/>
      <c r="AS3420" s="10"/>
      <c r="AT3420" s="10"/>
      <c r="AU3420" s="10"/>
      <c r="AV3420" s="10"/>
      <c r="AW3420" s="10"/>
      <c r="AX3420" s="10"/>
      <c r="AY3420" s="10"/>
      <c r="AZ3420" s="10"/>
    </row>
    <row r="3421" spans="28:52">
      <c r="AB3421" s="9">
        <v>0.98503952020401586</v>
      </c>
      <c r="AC3421" s="9">
        <v>0.6750390316158722</v>
      </c>
      <c r="AD3421" s="9">
        <v>1.0143302659969127</v>
      </c>
      <c r="AE3421" s="10"/>
      <c r="AF3421" s="10"/>
      <c r="AG3421" s="10"/>
      <c r="AH3421" s="10"/>
      <c r="AI3421" s="10"/>
      <c r="AJ3421" s="10"/>
      <c r="AK3421" s="10"/>
      <c r="AL3421" s="10"/>
      <c r="AM3421" s="10"/>
      <c r="AN3421" s="10"/>
      <c r="AO3421" s="10"/>
      <c r="AP3421" s="10"/>
      <c r="AQ3421" s="10"/>
      <c r="AR3421" s="10"/>
      <c r="AS3421" s="10"/>
      <c r="AT3421" s="10"/>
      <c r="AU3421" s="10"/>
      <c r="AV3421" s="10"/>
      <c r="AW3421" s="10"/>
      <c r="AX3421" s="10"/>
      <c r="AY3421" s="10"/>
      <c r="AZ3421" s="10"/>
    </row>
    <row r="3422" spans="28:52">
      <c r="AB3422" s="9">
        <v>1.0018057228407162</v>
      </c>
      <c r="AC3422" s="9">
        <v>0.92468879953368877</v>
      </c>
      <c r="AD3422" s="9">
        <v>1.0147525649535125</v>
      </c>
      <c r="AE3422" s="10"/>
      <c r="AF3422" s="10"/>
      <c r="AG3422" s="10"/>
      <c r="AH3422" s="10"/>
      <c r="AI3422" s="10"/>
      <c r="AJ3422" s="10"/>
      <c r="AK3422" s="10"/>
      <c r="AL3422" s="10"/>
      <c r="AM3422" s="10"/>
      <c r="AN3422" s="10"/>
      <c r="AO3422" s="10"/>
      <c r="AP3422" s="10"/>
      <c r="AQ3422" s="10"/>
      <c r="AR3422" s="10"/>
      <c r="AS3422" s="10"/>
      <c r="AT3422" s="10"/>
      <c r="AU3422" s="10"/>
      <c r="AV3422" s="10"/>
      <c r="AW3422" s="10"/>
      <c r="AX3422" s="10"/>
      <c r="AY3422" s="10"/>
      <c r="AZ3422" s="10"/>
    </row>
    <row r="3423" spans="28:52">
      <c r="AB3423" s="9">
        <v>1.0006300452320642</v>
      </c>
      <c r="AC3423" s="9">
        <v>0.83385616605876289</v>
      </c>
      <c r="AD3423" s="9">
        <v>1.0026545569191292</v>
      </c>
      <c r="AE3423" s="10"/>
      <c r="AF3423" s="10"/>
      <c r="AG3423" s="10"/>
      <c r="AH3423" s="10"/>
      <c r="AI3423" s="10"/>
      <c r="AJ3423" s="10"/>
      <c r="AK3423" s="10"/>
      <c r="AL3423" s="10"/>
      <c r="AM3423" s="10"/>
      <c r="AN3423" s="10"/>
      <c r="AO3423" s="10"/>
      <c r="AP3423" s="10"/>
      <c r="AQ3423" s="10"/>
      <c r="AR3423" s="10"/>
      <c r="AS3423" s="10"/>
      <c r="AT3423" s="10"/>
      <c r="AU3423" s="10"/>
      <c r="AV3423" s="10"/>
      <c r="AW3423" s="10"/>
      <c r="AX3423" s="10"/>
      <c r="AY3423" s="10"/>
      <c r="AZ3423" s="10"/>
    </row>
    <row r="3424" spans="28:52">
      <c r="AB3424" s="9">
        <v>1.011746529170944</v>
      </c>
      <c r="AC3424" s="9">
        <v>1.1261473151003214</v>
      </c>
      <c r="AD3424" s="9">
        <v>1.0014752436226937</v>
      </c>
      <c r="AE3424" s="10"/>
      <c r="AF3424" s="10"/>
      <c r="AG3424" s="10"/>
      <c r="AH3424" s="10"/>
      <c r="AI3424" s="10"/>
      <c r="AJ3424" s="10"/>
      <c r="AK3424" s="10"/>
      <c r="AL3424" s="10"/>
      <c r="AM3424" s="10"/>
      <c r="AN3424" s="10"/>
      <c r="AO3424" s="10"/>
      <c r="AP3424" s="10"/>
      <c r="AQ3424" s="10"/>
      <c r="AR3424" s="10"/>
      <c r="AS3424" s="10"/>
      <c r="AT3424" s="10"/>
      <c r="AU3424" s="10"/>
      <c r="AV3424" s="10"/>
      <c r="AW3424" s="10"/>
      <c r="AX3424" s="10"/>
      <c r="AY3424" s="10"/>
      <c r="AZ3424" s="10"/>
    </row>
    <row r="3425" spans="28:52">
      <c r="AB3425" s="9">
        <v>1.0123670742420028</v>
      </c>
      <c r="AC3425" s="9">
        <v>0.78460802250729877</v>
      </c>
      <c r="AD3425" s="9">
        <v>1.0001977057121709</v>
      </c>
      <c r="AE3425" s="10"/>
      <c r="AF3425" s="10"/>
      <c r="AG3425" s="10"/>
      <c r="AH3425" s="10"/>
      <c r="AI3425" s="10"/>
      <c r="AJ3425" s="10"/>
      <c r="AK3425" s="10"/>
      <c r="AL3425" s="10"/>
      <c r="AM3425" s="10"/>
      <c r="AN3425" s="10"/>
      <c r="AO3425" s="10"/>
      <c r="AP3425" s="10"/>
      <c r="AQ3425" s="10"/>
      <c r="AR3425" s="10"/>
      <c r="AS3425" s="10"/>
      <c r="AT3425" s="10"/>
      <c r="AU3425" s="10"/>
      <c r="AV3425" s="10"/>
      <c r="AW3425" s="10"/>
      <c r="AX3425" s="10"/>
      <c r="AY3425" s="10"/>
      <c r="AZ3425" s="10"/>
    </row>
    <row r="3426" spans="28:52">
      <c r="AB3426" s="9">
        <v>1.013177200111427</v>
      </c>
      <c r="AC3426" s="9">
        <v>0.6488478407866628</v>
      </c>
      <c r="AD3426" s="9">
        <v>0.99960541246602086</v>
      </c>
      <c r="AE3426" s="10"/>
      <c r="AF3426" s="10"/>
      <c r="AG3426" s="10"/>
      <c r="AH3426" s="10"/>
      <c r="AI3426" s="10"/>
      <c r="AJ3426" s="10"/>
      <c r="AK3426" s="10"/>
      <c r="AL3426" s="10"/>
      <c r="AM3426" s="10"/>
      <c r="AN3426" s="10"/>
      <c r="AO3426" s="10"/>
      <c r="AP3426" s="10"/>
      <c r="AQ3426" s="10"/>
      <c r="AR3426" s="10"/>
      <c r="AS3426" s="10"/>
      <c r="AT3426" s="10"/>
      <c r="AU3426" s="10"/>
      <c r="AV3426" s="10"/>
      <c r="AW3426" s="10"/>
      <c r="AX3426" s="10"/>
      <c r="AY3426" s="10"/>
      <c r="AZ3426" s="10"/>
    </row>
    <row r="3427" spans="28:52">
      <c r="AB3427" s="9">
        <v>1.013186900483946</v>
      </c>
      <c r="AC3427" s="9">
        <v>0.81074228127815462</v>
      </c>
      <c r="AD3427" s="9">
        <v>1.0120111941060717</v>
      </c>
      <c r="AE3427" s="10"/>
      <c r="AF3427" s="10"/>
      <c r="AG3427" s="10"/>
      <c r="AH3427" s="10"/>
      <c r="AI3427" s="10"/>
      <c r="AJ3427" s="10"/>
      <c r="AK3427" s="10"/>
      <c r="AL3427" s="10"/>
      <c r="AM3427" s="10"/>
      <c r="AN3427" s="10"/>
      <c r="AO3427" s="10"/>
      <c r="AP3427" s="10"/>
      <c r="AQ3427" s="10"/>
      <c r="AR3427" s="10"/>
      <c r="AS3427" s="10"/>
      <c r="AT3427" s="10"/>
      <c r="AU3427" s="10"/>
      <c r="AV3427" s="10"/>
      <c r="AW3427" s="10"/>
      <c r="AX3427" s="10"/>
      <c r="AY3427" s="10"/>
      <c r="AZ3427" s="10"/>
    </row>
    <row r="3428" spans="28:52">
      <c r="AB3428" s="9">
        <v>1.0002165071036329</v>
      </c>
      <c r="AC3428" s="9">
        <v>0.61195934034005395</v>
      </c>
      <c r="AD3428" s="9">
        <v>1.0047643802094246</v>
      </c>
      <c r="AE3428" s="10"/>
      <c r="AF3428" s="10"/>
      <c r="AG3428" s="10"/>
      <c r="AH3428" s="10"/>
      <c r="AI3428" s="10"/>
      <c r="AJ3428" s="10"/>
      <c r="AK3428" s="10"/>
      <c r="AL3428" s="10"/>
      <c r="AM3428" s="10"/>
      <c r="AN3428" s="10"/>
      <c r="AO3428" s="10"/>
      <c r="AP3428" s="10"/>
      <c r="AQ3428" s="10"/>
      <c r="AR3428" s="10"/>
      <c r="AS3428" s="10"/>
      <c r="AT3428" s="10"/>
      <c r="AU3428" s="10"/>
      <c r="AV3428" s="10"/>
      <c r="AW3428" s="10"/>
      <c r="AX3428" s="10"/>
      <c r="AY3428" s="10"/>
      <c r="AZ3428" s="10"/>
    </row>
    <row r="3429" spans="28:52">
      <c r="AB3429" s="9">
        <v>1.0072741029732113</v>
      </c>
      <c r="AC3429" s="9">
        <v>0.87799243231135149</v>
      </c>
      <c r="AD3429" s="9">
        <v>1.0063142978554824</v>
      </c>
      <c r="AE3429" s="10"/>
      <c r="AF3429" s="10"/>
      <c r="AG3429" s="10"/>
      <c r="AH3429" s="10"/>
      <c r="AI3429" s="10"/>
      <c r="AJ3429" s="10"/>
      <c r="AK3429" s="10"/>
      <c r="AL3429" s="10"/>
      <c r="AM3429" s="10"/>
      <c r="AN3429" s="10"/>
      <c r="AO3429" s="10"/>
      <c r="AP3429" s="10"/>
      <c r="AQ3429" s="10"/>
      <c r="AR3429" s="10"/>
      <c r="AS3429" s="10"/>
      <c r="AT3429" s="10"/>
      <c r="AU3429" s="10"/>
      <c r="AV3429" s="10"/>
      <c r="AW3429" s="10"/>
      <c r="AX3429" s="10"/>
      <c r="AY3429" s="10"/>
      <c r="AZ3429" s="10"/>
    </row>
    <row r="3430" spans="28:52">
      <c r="AB3430" s="9">
        <v>1.0053075262152757</v>
      </c>
      <c r="AC3430" s="9">
        <v>0.78485498832845058</v>
      </c>
      <c r="AD3430" s="9">
        <v>1.0051485657731116</v>
      </c>
      <c r="AE3430" s="10"/>
      <c r="AF3430" s="10"/>
      <c r="AG3430" s="10"/>
      <c r="AH3430" s="10"/>
      <c r="AI3430" s="10"/>
      <c r="AJ3430" s="10"/>
      <c r="AK3430" s="10"/>
      <c r="AL3430" s="10"/>
      <c r="AM3430" s="10"/>
      <c r="AN3430" s="10"/>
      <c r="AO3430" s="10"/>
      <c r="AP3430" s="10"/>
      <c r="AQ3430" s="10"/>
      <c r="AR3430" s="10"/>
      <c r="AS3430" s="10"/>
      <c r="AT3430" s="10"/>
      <c r="AU3430" s="10"/>
      <c r="AV3430" s="10"/>
      <c r="AW3430" s="10"/>
      <c r="AX3430" s="10"/>
      <c r="AY3430" s="10"/>
      <c r="AZ3430" s="10"/>
    </row>
    <row r="3431" spans="28:52">
      <c r="AB3431" s="9">
        <v>1.0055031387429836</v>
      </c>
      <c r="AC3431" s="9">
        <v>0.70932133867077873</v>
      </c>
      <c r="AD3431" s="9">
        <v>0.98507806020555022</v>
      </c>
      <c r="AE3431" s="10"/>
      <c r="AF3431" s="10"/>
      <c r="AG3431" s="10"/>
      <c r="AH3431" s="10"/>
      <c r="AI3431" s="10"/>
      <c r="AJ3431" s="10"/>
      <c r="AK3431" s="10"/>
      <c r="AL3431" s="10"/>
      <c r="AM3431" s="10"/>
      <c r="AN3431" s="10"/>
      <c r="AO3431" s="10"/>
      <c r="AP3431" s="10"/>
      <c r="AQ3431" s="10"/>
      <c r="AR3431" s="10"/>
      <c r="AS3431" s="10"/>
      <c r="AT3431" s="10"/>
      <c r="AU3431" s="10"/>
      <c r="AV3431" s="10"/>
      <c r="AW3431" s="10"/>
      <c r="AX3431" s="10"/>
      <c r="AY3431" s="10"/>
      <c r="AZ3431" s="10"/>
    </row>
    <row r="3432" spans="28:52">
      <c r="AB3432" s="9">
        <v>1.0246664532808878</v>
      </c>
      <c r="AC3432" s="9">
        <v>1.2471843707486789</v>
      </c>
      <c r="AD3432" s="9">
        <v>0.98105033647464468</v>
      </c>
      <c r="AE3432" s="10"/>
      <c r="AF3432" s="10"/>
      <c r="AG3432" s="10"/>
      <c r="AH3432" s="10"/>
      <c r="AI3432" s="10"/>
      <c r="AJ3432" s="10"/>
      <c r="AK3432" s="10"/>
      <c r="AL3432" s="10"/>
      <c r="AM3432" s="10"/>
      <c r="AN3432" s="10"/>
      <c r="AO3432" s="10"/>
      <c r="AP3432" s="10"/>
      <c r="AQ3432" s="10"/>
      <c r="AR3432" s="10"/>
      <c r="AS3432" s="10"/>
      <c r="AT3432" s="10"/>
      <c r="AU3432" s="10"/>
      <c r="AV3432" s="10"/>
      <c r="AW3432" s="10"/>
      <c r="AX3432" s="10"/>
      <c r="AY3432" s="10"/>
      <c r="AZ3432" s="10"/>
    </row>
    <row r="3433" spans="28:52">
      <c r="AB3433" s="9">
        <v>1.0274955861522546</v>
      </c>
      <c r="AC3433" s="9">
        <v>1.1883666794878356</v>
      </c>
      <c r="AD3433" s="9">
        <v>0.98409863022790789</v>
      </c>
      <c r="AE3433" s="10"/>
      <c r="AF3433" s="10"/>
      <c r="AG3433" s="10"/>
      <c r="AH3433" s="10"/>
      <c r="AI3433" s="10"/>
      <c r="AJ3433" s="10"/>
      <c r="AK3433" s="10"/>
      <c r="AL3433" s="10"/>
      <c r="AM3433" s="10"/>
      <c r="AN3433" s="10"/>
      <c r="AO3433" s="10"/>
      <c r="AP3433" s="10"/>
      <c r="AQ3433" s="10"/>
      <c r="AR3433" s="10"/>
      <c r="AS3433" s="10"/>
      <c r="AT3433" s="10"/>
      <c r="AU3433" s="10"/>
      <c r="AV3433" s="10"/>
      <c r="AW3433" s="10"/>
      <c r="AX3433" s="10"/>
      <c r="AY3433" s="10"/>
      <c r="AZ3433" s="10"/>
    </row>
    <row r="3434" spans="28:52">
      <c r="AB3434" s="9">
        <v>1.0229719242749387</v>
      </c>
      <c r="AC3434" s="9">
        <v>0.91966415289928405</v>
      </c>
      <c r="AD3434" s="9">
        <v>1.0153067439478487</v>
      </c>
      <c r="AE3434" s="10"/>
      <c r="AF3434" s="10"/>
      <c r="AG3434" s="10"/>
      <c r="AH3434" s="10"/>
      <c r="AI3434" s="10"/>
      <c r="AJ3434" s="10"/>
      <c r="AK3434" s="10"/>
      <c r="AL3434" s="10"/>
      <c r="AM3434" s="10"/>
      <c r="AN3434" s="10"/>
      <c r="AO3434" s="10"/>
      <c r="AP3434" s="10"/>
      <c r="AQ3434" s="10"/>
      <c r="AR3434" s="10"/>
      <c r="AS3434" s="10"/>
      <c r="AT3434" s="10"/>
      <c r="AU3434" s="10"/>
      <c r="AV3434" s="10"/>
      <c r="AW3434" s="10"/>
      <c r="AX3434" s="10"/>
      <c r="AY3434" s="10"/>
      <c r="AZ3434" s="10"/>
    </row>
    <row r="3435" spans="28:52">
      <c r="AB3435" s="9">
        <v>0.99105312137887658</v>
      </c>
      <c r="AC3435" s="9">
        <v>0.84357407951479313</v>
      </c>
      <c r="AD3435" s="9">
        <v>1.013639042231375</v>
      </c>
      <c r="AE3435" s="10"/>
      <c r="AF3435" s="10"/>
      <c r="AG3435" s="10"/>
      <c r="AH3435" s="10"/>
      <c r="AI3435" s="10"/>
      <c r="AJ3435" s="10"/>
      <c r="AK3435" s="10"/>
      <c r="AL3435" s="10"/>
      <c r="AM3435" s="10"/>
      <c r="AN3435" s="10"/>
      <c r="AO3435" s="10"/>
      <c r="AP3435" s="10"/>
      <c r="AQ3435" s="10"/>
      <c r="AR3435" s="10"/>
      <c r="AS3435" s="10"/>
      <c r="AT3435" s="10"/>
      <c r="AU3435" s="10"/>
      <c r="AV3435" s="10"/>
      <c r="AW3435" s="10"/>
      <c r="AX3435" s="10"/>
      <c r="AY3435" s="10"/>
      <c r="AZ3435" s="10"/>
    </row>
    <row r="3436" spans="28:52">
      <c r="AB3436" s="9">
        <v>0.99318895522143846</v>
      </c>
      <c r="AC3436" s="9">
        <v>0.73559421183662199</v>
      </c>
      <c r="AD3436" s="9">
        <v>1.003755884905376</v>
      </c>
      <c r="AE3436" s="10"/>
      <c r="AF3436" s="10"/>
      <c r="AG3436" s="10"/>
      <c r="AH3436" s="10"/>
      <c r="AI3436" s="10"/>
      <c r="AJ3436" s="10"/>
      <c r="AK3436" s="10"/>
      <c r="AL3436" s="10"/>
      <c r="AM3436" s="10"/>
      <c r="AN3436" s="10"/>
      <c r="AO3436" s="10"/>
      <c r="AP3436" s="10"/>
      <c r="AQ3436" s="10"/>
      <c r="AR3436" s="10"/>
      <c r="AS3436" s="10"/>
      <c r="AT3436" s="10"/>
      <c r="AU3436" s="10"/>
      <c r="AV3436" s="10"/>
      <c r="AW3436" s="10"/>
      <c r="AX3436" s="10"/>
      <c r="AY3436" s="10"/>
      <c r="AZ3436" s="10"/>
    </row>
    <row r="3437" spans="28:52">
      <c r="AB3437" s="9">
        <v>1.0034668462163052</v>
      </c>
      <c r="AC3437" s="9">
        <v>0.86841888816793567</v>
      </c>
      <c r="AD3437" s="9">
        <v>1.0137346718494884</v>
      </c>
      <c r="AE3437" s="10"/>
      <c r="AF3437" s="10"/>
      <c r="AG3437" s="10"/>
      <c r="AH3437" s="10"/>
      <c r="AI3437" s="10"/>
      <c r="AJ3437" s="10"/>
      <c r="AK3437" s="10"/>
      <c r="AL3437" s="10"/>
      <c r="AM3437" s="10"/>
      <c r="AN3437" s="10"/>
      <c r="AO3437" s="10"/>
      <c r="AP3437" s="10"/>
      <c r="AQ3437" s="10"/>
      <c r="AR3437" s="10"/>
      <c r="AS3437" s="10"/>
      <c r="AT3437" s="10"/>
      <c r="AU3437" s="10"/>
      <c r="AV3437" s="10"/>
      <c r="AW3437" s="10"/>
      <c r="AX3437" s="10"/>
      <c r="AY3437" s="10"/>
      <c r="AZ3437" s="10"/>
    </row>
    <row r="3438" spans="28:52">
      <c r="AB3438" s="9">
        <v>0.99416656142459758</v>
      </c>
      <c r="AC3438" s="9">
        <v>0.7593670688488956</v>
      </c>
      <c r="AD3438" s="9">
        <v>1.02779143917697</v>
      </c>
      <c r="AE3438" s="10"/>
      <c r="AF3438" s="10"/>
      <c r="AG3438" s="10"/>
      <c r="AH3438" s="10"/>
      <c r="AI3438" s="10"/>
      <c r="AJ3438" s="10"/>
      <c r="AK3438" s="10"/>
      <c r="AL3438" s="10"/>
      <c r="AM3438" s="10"/>
      <c r="AN3438" s="10"/>
      <c r="AO3438" s="10"/>
      <c r="AP3438" s="10"/>
      <c r="AQ3438" s="10"/>
      <c r="AR3438" s="10"/>
      <c r="AS3438" s="10"/>
      <c r="AT3438" s="10"/>
      <c r="AU3438" s="10"/>
      <c r="AV3438" s="10"/>
      <c r="AW3438" s="10"/>
      <c r="AX3438" s="10"/>
      <c r="AY3438" s="10"/>
      <c r="AZ3438" s="10"/>
    </row>
    <row r="3439" spans="28:52">
      <c r="AB3439" s="9">
        <v>0.98147030132844348</v>
      </c>
      <c r="AC3439" s="9">
        <v>1.1217297511347377</v>
      </c>
      <c r="AD3439" s="9">
        <v>1.0277709212723367</v>
      </c>
      <c r="AE3439" s="10"/>
      <c r="AF3439" s="10"/>
      <c r="AG3439" s="10"/>
      <c r="AH3439" s="10"/>
      <c r="AI3439" s="10"/>
      <c r="AJ3439" s="10"/>
      <c r="AK3439" s="10"/>
      <c r="AL3439" s="10"/>
      <c r="AM3439" s="10"/>
      <c r="AN3439" s="10"/>
      <c r="AO3439" s="10"/>
      <c r="AP3439" s="10"/>
      <c r="AQ3439" s="10"/>
      <c r="AR3439" s="10"/>
      <c r="AS3439" s="10"/>
      <c r="AT3439" s="10"/>
      <c r="AU3439" s="10"/>
      <c r="AV3439" s="10"/>
      <c r="AW3439" s="10"/>
      <c r="AX3439" s="10"/>
      <c r="AY3439" s="10"/>
      <c r="AZ3439" s="10"/>
    </row>
    <row r="3440" spans="28:52">
      <c r="AB3440" s="9">
        <v>0.98294619963013674</v>
      </c>
      <c r="AC3440" s="9">
        <v>0.79582546549153055</v>
      </c>
      <c r="AD3440" s="9">
        <v>1.0184617674635057</v>
      </c>
      <c r="AE3440" s="10"/>
      <c r="AF3440" s="10"/>
      <c r="AG3440" s="10"/>
      <c r="AH3440" s="10"/>
      <c r="AI3440" s="10"/>
      <c r="AJ3440" s="10"/>
      <c r="AK3440" s="10"/>
      <c r="AL3440" s="10"/>
      <c r="AM3440" s="10"/>
      <c r="AN3440" s="10"/>
      <c r="AO3440" s="10"/>
      <c r="AP3440" s="10"/>
      <c r="AQ3440" s="10"/>
      <c r="AR3440" s="10"/>
      <c r="AS3440" s="10"/>
      <c r="AT3440" s="10"/>
      <c r="AU3440" s="10"/>
      <c r="AV3440" s="10"/>
      <c r="AW3440" s="10"/>
      <c r="AX3440" s="10"/>
      <c r="AY3440" s="10"/>
      <c r="AZ3440" s="10"/>
    </row>
    <row r="3441" spans="28:52">
      <c r="AB3441" s="9">
        <v>0.99296658578654273</v>
      </c>
      <c r="AC3441" s="9">
        <v>0.88902847135224172</v>
      </c>
      <c r="AD3441" s="9">
        <v>1.0275960832060043</v>
      </c>
      <c r="AE3441" s="10"/>
      <c r="AF3441" s="10"/>
      <c r="AG3441" s="10"/>
      <c r="AH3441" s="10"/>
      <c r="AI3441" s="10"/>
      <c r="AJ3441" s="10"/>
      <c r="AK3441" s="10"/>
      <c r="AL3441" s="10"/>
      <c r="AM3441" s="10"/>
      <c r="AN3441" s="10"/>
      <c r="AO3441" s="10"/>
      <c r="AP3441" s="10"/>
      <c r="AQ3441" s="10"/>
      <c r="AR3441" s="10"/>
      <c r="AS3441" s="10"/>
      <c r="AT3441" s="10"/>
      <c r="AU3441" s="10"/>
      <c r="AV3441" s="10"/>
      <c r="AW3441" s="10"/>
      <c r="AX3441" s="10"/>
      <c r="AY3441" s="10"/>
      <c r="AZ3441" s="10"/>
    </row>
    <row r="3442" spans="28:52">
      <c r="AB3442" s="9">
        <v>0.9853485601158255</v>
      </c>
      <c r="AC3442" s="9">
        <v>0.74600417361297322</v>
      </c>
      <c r="AD3442" s="9">
        <v>1.0163873243637045</v>
      </c>
      <c r="AE3442" s="10"/>
      <c r="AF3442" s="10"/>
      <c r="AG3442" s="10"/>
      <c r="AH3442" s="10"/>
      <c r="AI3442" s="10"/>
      <c r="AJ3442" s="10"/>
      <c r="AK3442" s="10"/>
      <c r="AL3442" s="10"/>
      <c r="AM3442" s="10"/>
      <c r="AN3442" s="10"/>
      <c r="AO3442" s="10"/>
      <c r="AP3442" s="10"/>
      <c r="AQ3442" s="10"/>
      <c r="AR3442" s="10"/>
      <c r="AS3442" s="10"/>
      <c r="AT3442" s="10"/>
      <c r="AU3442" s="10"/>
      <c r="AV3442" s="10"/>
      <c r="AW3442" s="10"/>
      <c r="AX3442" s="10"/>
      <c r="AY3442" s="10"/>
      <c r="AZ3442" s="10"/>
    </row>
    <row r="3443" spans="28:52">
      <c r="AB3443" s="9">
        <v>0.99740529634204067</v>
      </c>
      <c r="AC3443" s="9">
        <v>0.92180460843568102</v>
      </c>
      <c r="AD3443" s="9">
        <v>1.0128603644496179</v>
      </c>
      <c r="AE3443" s="10"/>
      <c r="AF3443" s="10"/>
      <c r="AG3443" s="10"/>
      <c r="AH3443" s="10"/>
      <c r="AI3443" s="10"/>
      <c r="AJ3443" s="10"/>
      <c r="AK3443" s="10"/>
      <c r="AL3443" s="10"/>
      <c r="AM3443" s="10"/>
      <c r="AN3443" s="10"/>
      <c r="AO3443" s="10"/>
      <c r="AP3443" s="10"/>
      <c r="AQ3443" s="10"/>
      <c r="AR3443" s="10"/>
      <c r="AS3443" s="10"/>
      <c r="AT3443" s="10"/>
      <c r="AU3443" s="10"/>
      <c r="AV3443" s="10"/>
      <c r="AW3443" s="10"/>
      <c r="AX3443" s="10"/>
      <c r="AY3443" s="10"/>
      <c r="AZ3443" s="10"/>
    </row>
    <row r="3444" spans="28:52">
      <c r="AB3444" s="9">
        <v>1.0019710364918033</v>
      </c>
      <c r="AC3444" s="9">
        <v>0.7850981032465234</v>
      </c>
      <c r="AD3444" s="9">
        <v>1.0092715363809455</v>
      </c>
      <c r="AE3444" s="10"/>
      <c r="AF3444" s="10"/>
      <c r="AG3444" s="10"/>
      <c r="AH3444" s="10"/>
      <c r="AI3444" s="10"/>
      <c r="AJ3444" s="10"/>
      <c r="AK3444" s="10"/>
      <c r="AL3444" s="10"/>
      <c r="AM3444" s="10"/>
      <c r="AN3444" s="10"/>
      <c r="AO3444" s="10"/>
      <c r="AP3444" s="10"/>
      <c r="AQ3444" s="10"/>
      <c r="AR3444" s="10"/>
      <c r="AS3444" s="10"/>
      <c r="AT3444" s="10"/>
      <c r="AU3444" s="10"/>
      <c r="AV3444" s="10"/>
      <c r="AW3444" s="10"/>
      <c r="AX3444" s="10"/>
      <c r="AY3444" s="10"/>
      <c r="AZ3444" s="10"/>
    </row>
    <row r="3445" spans="28:52">
      <c r="AB3445" s="9">
        <v>1.0064364172681506</v>
      </c>
      <c r="AC3445" s="9">
        <v>0.79452168548922864</v>
      </c>
      <c r="AD3445" s="9">
        <v>1.0088653700753385</v>
      </c>
      <c r="AE3445" s="10"/>
      <c r="AF3445" s="10"/>
      <c r="AG3445" s="10"/>
      <c r="AH3445" s="10"/>
      <c r="AI3445" s="10"/>
      <c r="AJ3445" s="10"/>
      <c r="AK3445" s="10"/>
      <c r="AL3445" s="10"/>
      <c r="AM3445" s="10"/>
      <c r="AN3445" s="10"/>
      <c r="AO3445" s="10"/>
      <c r="AP3445" s="10"/>
      <c r="AQ3445" s="10"/>
      <c r="AR3445" s="10"/>
      <c r="AS3445" s="10"/>
      <c r="AT3445" s="10"/>
      <c r="AU3445" s="10"/>
      <c r="AV3445" s="10"/>
      <c r="AW3445" s="10"/>
      <c r="AX3445" s="10"/>
      <c r="AY3445" s="10"/>
      <c r="AZ3445" s="10"/>
    </row>
    <row r="3446" spans="28:52">
      <c r="AB3446" s="9">
        <v>1.0073620147566715</v>
      </c>
      <c r="AC3446" s="9">
        <v>0.71461918618187981</v>
      </c>
      <c r="AD3446" s="9">
        <v>1.0151420362460142</v>
      </c>
      <c r="AE3446" s="10"/>
      <c r="AF3446" s="10"/>
      <c r="AG3446" s="10"/>
      <c r="AH3446" s="10"/>
      <c r="AI3446" s="10"/>
      <c r="AJ3446" s="10"/>
      <c r="AK3446" s="10"/>
      <c r="AL3446" s="10"/>
      <c r="AM3446" s="10"/>
      <c r="AN3446" s="10"/>
      <c r="AO3446" s="10"/>
      <c r="AP3446" s="10"/>
      <c r="AQ3446" s="10"/>
      <c r="AR3446" s="10"/>
      <c r="AS3446" s="10"/>
      <c r="AT3446" s="10"/>
      <c r="AU3446" s="10"/>
      <c r="AV3446" s="10"/>
      <c r="AW3446" s="10"/>
      <c r="AX3446" s="10"/>
      <c r="AY3446" s="10"/>
      <c r="AZ3446" s="10"/>
    </row>
    <row r="3447" spans="28:52">
      <c r="AB3447" s="9">
        <v>1.001643321206656</v>
      </c>
      <c r="AC3447" s="9">
        <v>0.72636502922563728</v>
      </c>
      <c r="AD3447" s="9">
        <v>1.0122559296039717</v>
      </c>
      <c r="AE3447" s="10"/>
      <c r="AF3447" s="10"/>
      <c r="AG3447" s="10"/>
      <c r="AH3447" s="10"/>
      <c r="AI3447" s="10"/>
      <c r="AJ3447" s="10"/>
      <c r="AK3447" s="10"/>
      <c r="AL3447" s="10"/>
      <c r="AM3447" s="10"/>
      <c r="AN3447" s="10"/>
      <c r="AO3447" s="10"/>
      <c r="AP3447" s="10"/>
      <c r="AQ3447" s="10"/>
      <c r="AR3447" s="10"/>
      <c r="AS3447" s="10"/>
      <c r="AT3447" s="10"/>
      <c r="AU3447" s="10"/>
      <c r="AV3447" s="10"/>
      <c r="AW3447" s="10"/>
      <c r="AX3447" s="10"/>
      <c r="AY3447" s="10"/>
      <c r="AZ3447" s="10"/>
    </row>
    <row r="3448" spans="28:52">
      <c r="AB3448" s="9">
        <v>1.0049351504275246</v>
      </c>
      <c r="AC3448" s="9">
        <v>0.8680524278444558</v>
      </c>
      <c r="AD3448" s="9">
        <v>1.0136507866696667</v>
      </c>
      <c r="AE3448" s="10"/>
      <c r="AF3448" s="10"/>
      <c r="AG3448" s="10"/>
      <c r="AH3448" s="10"/>
      <c r="AI3448" s="10"/>
      <c r="AJ3448" s="10"/>
      <c r="AK3448" s="10"/>
      <c r="AL3448" s="10"/>
      <c r="AM3448" s="10"/>
      <c r="AN3448" s="10"/>
      <c r="AO3448" s="10"/>
      <c r="AP3448" s="10"/>
      <c r="AQ3448" s="10"/>
      <c r="AR3448" s="10"/>
      <c r="AS3448" s="10"/>
      <c r="AT3448" s="10"/>
      <c r="AU3448" s="10"/>
      <c r="AV3448" s="10"/>
      <c r="AW3448" s="10"/>
      <c r="AX3448" s="10"/>
      <c r="AY3448" s="10"/>
      <c r="AZ3448" s="10"/>
    </row>
    <row r="3449" spans="28:52">
      <c r="AB3449" s="9">
        <v>1.0043124600742974</v>
      </c>
      <c r="AC3449" s="9">
        <v>0.80063360622314239</v>
      </c>
      <c r="AD3449" s="9">
        <v>1.020479988569271</v>
      </c>
      <c r="AE3449" s="10"/>
      <c r="AF3449" s="10"/>
      <c r="AG3449" s="10"/>
      <c r="AH3449" s="10"/>
      <c r="AI3449" s="10"/>
      <c r="AJ3449" s="10"/>
      <c r="AK3449" s="10"/>
      <c r="AL3449" s="10"/>
      <c r="AM3449" s="10"/>
      <c r="AN3449" s="10"/>
      <c r="AO3449" s="10"/>
      <c r="AP3449" s="10"/>
      <c r="AQ3449" s="10"/>
      <c r="AR3449" s="10"/>
      <c r="AS3449" s="10"/>
      <c r="AT3449" s="10"/>
      <c r="AU3449" s="10"/>
      <c r="AV3449" s="10"/>
      <c r="AW3449" s="10"/>
      <c r="AX3449" s="10"/>
      <c r="AY3449" s="10"/>
      <c r="AZ3449" s="10"/>
    </row>
    <row r="3450" spans="28:52">
      <c r="AB3450" s="9">
        <v>0.99897592431471327</v>
      </c>
      <c r="AC3450" s="9">
        <v>1.238794820717132</v>
      </c>
      <c r="AD3450" s="9">
        <v>1.0163405277808335</v>
      </c>
      <c r="AE3450" s="10"/>
      <c r="AF3450" s="10"/>
      <c r="AG3450" s="10"/>
      <c r="AH3450" s="10"/>
      <c r="AI3450" s="10"/>
      <c r="AJ3450" s="10"/>
      <c r="AK3450" s="10"/>
      <c r="AL3450" s="10"/>
      <c r="AM3450" s="10"/>
      <c r="AN3450" s="10"/>
      <c r="AO3450" s="10"/>
      <c r="AP3450" s="10"/>
      <c r="AQ3450" s="10"/>
      <c r="AR3450" s="10"/>
      <c r="AS3450" s="10"/>
      <c r="AT3450" s="10"/>
      <c r="AU3450" s="10"/>
      <c r="AV3450" s="10"/>
      <c r="AW3450" s="10"/>
      <c r="AX3450" s="10"/>
      <c r="AY3450" s="10"/>
      <c r="AZ3450" s="10"/>
    </row>
    <row r="3451" spans="28:52">
      <c r="AB3451" s="9">
        <v>1.004777583815315</v>
      </c>
      <c r="AC3451" s="9">
        <v>0.72120482316189205</v>
      </c>
      <c r="AD3451" s="9">
        <v>1.001581220075368</v>
      </c>
      <c r="AE3451" s="10"/>
      <c r="AF3451" s="10"/>
      <c r="AG3451" s="10"/>
      <c r="AH3451" s="10"/>
      <c r="AI3451" s="10"/>
      <c r="AJ3451" s="10"/>
      <c r="AK3451" s="10"/>
      <c r="AL3451" s="10"/>
      <c r="AM3451" s="10"/>
      <c r="AN3451" s="10"/>
      <c r="AO3451" s="10"/>
      <c r="AP3451" s="10"/>
      <c r="AQ3451" s="10"/>
      <c r="AR3451" s="10"/>
      <c r="AS3451" s="10"/>
      <c r="AT3451" s="10"/>
      <c r="AU3451" s="10"/>
      <c r="AV3451" s="10"/>
      <c r="AW3451" s="10"/>
      <c r="AX3451" s="10"/>
      <c r="AY3451" s="10"/>
      <c r="AZ3451" s="10"/>
    </row>
    <row r="3452" spans="28:52">
      <c r="AB3452" s="9">
        <v>1.0208500985496247</v>
      </c>
      <c r="AC3452" s="9">
        <v>1.4873843076778368</v>
      </c>
      <c r="AD3452" s="9">
        <v>0.99944547724542876</v>
      </c>
      <c r="AE3452" s="10"/>
      <c r="AF3452" s="10"/>
      <c r="AG3452" s="10"/>
      <c r="AH3452" s="10"/>
      <c r="AI3452" s="10"/>
      <c r="AJ3452" s="10"/>
      <c r="AK3452" s="10"/>
      <c r="AL3452" s="10"/>
      <c r="AM3452" s="10"/>
      <c r="AN3452" s="10"/>
      <c r="AO3452" s="10"/>
      <c r="AP3452" s="10"/>
      <c r="AQ3452" s="10"/>
      <c r="AR3452" s="10"/>
      <c r="AS3452" s="10"/>
      <c r="AT3452" s="10"/>
      <c r="AU3452" s="10"/>
      <c r="AV3452" s="10"/>
      <c r="AW3452" s="10"/>
      <c r="AX3452" s="10"/>
      <c r="AY3452" s="10"/>
      <c r="AZ3452" s="10"/>
    </row>
    <row r="3453" spans="28:52">
      <c r="AB3453" s="9">
        <v>1.0238258421594042</v>
      </c>
      <c r="AC3453" s="9">
        <v>1.2386615791756508</v>
      </c>
      <c r="AD3453" s="9">
        <v>1.0017635938841671</v>
      </c>
      <c r="AE3453" s="10"/>
      <c r="AF3453" s="10"/>
      <c r="AG3453" s="10"/>
      <c r="AH3453" s="10"/>
      <c r="AI3453" s="10"/>
      <c r="AJ3453" s="10"/>
      <c r="AK3453" s="10"/>
      <c r="AL3453" s="10"/>
      <c r="AM3453" s="10"/>
      <c r="AN3453" s="10"/>
      <c r="AO3453" s="10"/>
      <c r="AP3453" s="10"/>
      <c r="AQ3453" s="10"/>
      <c r="AR3453" s="10"/>
      <c r="AS3453" s="10"/>
      <c r="AT3453" s="10"/>
      <c r="AU3453" s="10"/>
      <c r="AV3453" s="10"/>
      <c r="AW3453" s="10"/>
      <c r="AX3453" s="10"/>
      <c r="AY3453" s="10"/>
      <c r="AZ3453" s="10"/>
    </row>
    <row r="3454" spans="28:52">
      <c r="AB3454" s="9">
        <v>1.0224660704476147</v>
      </c>
      <c r="AC3454" s="9">
        <v>0.97840006396596635</v>
      </c>
      <c r="AD3454" s="9">
        <v>1.0062243189874944</v>
      </c>
      <c r="AE3454" s="10"/>
      <c r="AF3454" s="10"/>
      <c r="AG3454" s="10"/>
      <c r="AH3454" s="10"/>
      <c r="AI3454" s="10"/>
      <c r="AJ3454" s="10"/>
      <c r="AK3454" s="10"/>
      <c r="AL3454" s="10"/>
      <c r="AM3454" s="10"/>
      <c r="AN3454" s="10"/>
      <c r="AO3454" s="10"/>
      <c r="AP3454" s="10"/>
      <c r="AQ3454" s="10"/>
      <c r="AR3454" s="10"/>
      <c r="AS3454" s="10"/>
      <c r="AT3454" s="10"/>
      <c r="AU3454" s="10"/>
      <c r="AV3454" s="10"/>
      <c r="AW3454" s="10"/>
      <c r="AX3454" s="10"/>
      <c r="AY3454" s="10"/>
      <c r="AZ3454" s="10"/>
    </row>
    <row r="3455" spans="28:52">
      <c r="AB3455" s="9">
        <v>1.0188910004129048</v>
      </c>
      <c r="AC3455" s="9">
        <v>0.89282166510503502</v>
      </c>
      <c r="AD3455" s="9">
        <v>1.0066626919512014</v>
      </c>
      <c r="AE3455" s="10"/>
      <c r="AF3455" s="10"/>
      <c r="AG3455" s="10"/>
      <c r="AH3455" s="10"/>
      <c r="AI3455" s="10"/>
      <c r="AJ3455" s="10"/>
      <c r="AK3455" s="10"/>
      <c r="AL3455" s="10"/>
      <c r="AM3455" s="10"/>
      <c r="AN3455" s="10"/>
      <c r="AO3455" s="10"/>
      <c r="AP3455" s="10"/>
      <c r="AQ3455" s="10"/>
      <c r="AR3455" s="10"/>
      <c r="AS3455" s="10"/>
      <c r="AT3455" s="10"/>
      <c r="AU3455" s="10"/>
      <c r="AV3455" s="10"/>
      <c r="AW3455" s="10"/>
      <c r="AX3455" s="10"/>
      <c r="AY3455" s="10"/>
      <c r="AZ3455" s="10"/>
    </row>
    <row r="3456" spans="28:52">
      <c r="AB3456" s="9">
        <v>1.0195681622228752</v>
      </c>
      <c r="AC3456" s="9">
        <v>0.85707964086499833</v>
      </c>
      <c r="AD3456" s="9">
        <v>1.0050518535304394</v>
      </c>
      <c r="AE3456" s="10"/>
      <c r="AF3456" s="10"/>
      <c r="AG3456" s="10"/>
      <c r="AH3456" s="10"/>
      <c r="AI3456" s="10"/>
      <c r="AJ3456" s="10"/>
      <c r="AK3456" s="10"/>
      <c r="AL3456" s="10"/>
      <c r="AM3456" s="10"/>
      <c r="AN3456" s="10"/>
      <c r="AO3456" s="10"/>
      <c r="AP3456" s="10"/>
      <c r="AQ3456" s="10"/>
      <c r="AR3456" s="10"/>
      <c r="AS3456" s="10"/>
      <c r="AT3456" s="10"/>
      <c r="AU3456" s="10"/>
      <c r="AV3456" s="10"/>
      <c r="AW3456" s="10"/>
      <c r="AX3456" s="10"/>
      <c r="AY3456" s="10"/>
      <c r="AZ3456" s="10"/>
    </row>
    <row r="3457" spans="28:52">
      <c r="AB3457" s="9">
        <v>1.0218193762391956</v>
      </c>
      <c r="AC3457" s="9">
        <v>1.1399825250061943</v>
      </c>
      <c r="AD3457" s="9">
        <v>1.0063729748385628</v>
      </c>
      <c r="AE3457" s="10"/>
      <c r="AF3457" s="10"/>
      <c r="AG3457" s="10"/>
      <c r="AH3457" s="10"/>
      <c r="AI3457" s="10"/>
      <c r="AJ3457" s="10"/>
      <c r="AK3457" s="10"/>
      <c r="AL3457" s="10"/>
      <c r="AM3457" s="10"/>
      <c r="AN3457" s="10"/>
      <c r="AO3457" s="10"/>
      <c r="AP3457" s="10"/>
      <c r="AQ3457" s="10"/>
      <c r="AR3457" s="10"/>
      <c r="AS3457" s="10"/>
      <c r="AT3457" s="10"/>
      <c r="AU3457" s="10"/>
      <c r="AV3457" s="10"/>
      <c r="AW3457" s="10"/>
      <c r="AX3457" s="10"/>
      <c r="AY3457" s="10"/>
      <c r="AZ3457" s="10"/>
    </row>
    <row r="3458" spans="28:52">
      <c r="AB3458" s="9">
        <v>1.0210435755256655</v>
      </c>
      <c r="AC3458" s="9">
        <v>0.74233477234365874</v>
      </c>
      <c r="AD3458" s="9">
        <v>1.003261078309871</v>
      </c>
      <c r="AE3458" s="10"/>
      <c r="AF3458" s="10"/>
      <c r="AG3458" s="10"/>
      <c r="AH3458" s="10"/>
      <c r="AI3458" s="10"/>
      <c r="AJ3458" s="10"/>
      <c r="AK3458" s="10"/>
      <c r="AL3458" s="10"/>
      <c r="AM3458" s="10"/>
      <c r="AN3458" s="10"/>
      <c r="AO3458" s="10"/>
      <c r="AP3458" s="10"/>
      <c r="AQ3458" s="10"/>
      <c r="AR3458" s="10"/>
      <c r="AS3458" s="10"/>
      <c r="AT3458" s="10"/>
      <c r="AU3458" s="10"/>
      <c r="AV3458" s="10"/>
      <c r="AW3458" s="10"/>
      <c r="AX3458" s="10"/>
      <c r="AY3458" s="10"/>
      <c r="AZ3458" s="10"/>
    </row>
    <row r="3459" spans="28:52">
      <c r="AB3459" s="9">
        <v>1.0240895536577488</v>
      </c>
      <c r="AC3459" s="9">
        <v>0.837522603498836</v>
      </c>
      <c r="AD3459" s="9">
        <v>1.009019636013726</v>
      </c>
      <c r="AE3459" s="10"/>
      <c r="AF3459" s="10"/>
      <c r="AG3459" s="10"/>
      <c r="AH3459" s="10"/>
      <c r="AI3459" s="10"/>
      <c r="AJ3459" s="10"/>
      <c r="AK3459" s="10"/>
      <c r="AL3459" s="10"/>
      <c r="AM3459" s="10"/>
      <c r="AN3459" s="10"/>
      <c r="AO3459" s="10"/>
      <c r="AP3459" s="10"/>
      <c r="AQ3459" s="10"/>
      <c r="AR3459" s="10"/>
      <c r="AS3459" s="10"/>
      <c r="AT3459" s="10"/>
      <c r="AU3459" s="10"/>
      <c r="AV3459" s="10"/>
      <c r="AW3459" s="10"/>
      <c r="AX3459" s="10"/>
      <c r="AY3459" s="10"/>
      <c r="AZ3459" s="10"/>
    </row>
    <row r="3460" spans="28:52">
      <c r="AB3460" s="9">
        <v>1.0178217165883241</v>
      </c>
      <c r="AC3460" s="9">
        <v>0.81980667882875613</v>
      </c>
      <c r="AD3460" s="9">
        <v>1.0068475828129662</v>
      </c>
      <c r="AE3460" s="10"/>
      <c r="AF3460" s="10"/>
      <c r="AG3460" s="10"/>
      <c r="AH3460" s="10"/>
      <c r="AI3460" s="10"/>
      <c r="AJ3460" s="10"/>
      <c r="AK3460" s="10"/>
      <c r="AL3460" s="10"/>
      <c r="AM3460" s="10"/>
      <c r="AN3460" s="10"/>
      <c r="AO3460" s="10"/>
      <c r="AP3460" s="10"/>
      <c r="AQ3460" s="10"/>
      <c r="AR3460" s="10"/>
      <c r="AS3460" s="10"/>
      <c r="AT3460" s="10"/>
      <c r="AU3460" s="10"/>
      <c r="AV3460" s="10"/>
      <c r="AW3460" s="10"/>
      <c r="AX3460" s="10"/>
      <c r="AY3460" s="10"/>
      <c r="AZ3460" s="10"/>
    </row>
    <row r="3461" spans="28:52">
      <c r="AB3461" s="9">
        <v>1.0195172799579291</v>
      </c>
      <c r="AC3461" s="9">
        <v>0.71537849989644764</v>
      </c>
      <c r="AD3461" s="9">
        <v>0.99241312706434592</v>
      </c>
      <c r="AE3461" s="10"/>
      <c r="AF3461" s="10"/>
      <c r="AG3461" s="10"/>
      <c r="AH3461" s="10"/>
      <c r="AI3461" s="10"/>
      <c r="AJ3461" s="10"/>
      <c r="AK3461" s="10"/>
      <c r="AL3461" s="10"/>
      <c r="AM3461" s="10"/>
      <c r="AN3461" s="10"/>
      <c r="AO3461" s="10"/>
      <c r="AP3461" s="10"/>
      <c r="AQ3461" s="10"/>
      <c r="AR3461" s="10"/>
      <c r="AS3461" s="10"/>
      <c r="AT3461" s="10"/>
      <c r="AU3461" s="10"/>
      <c r="AV3461" s="10"/>
      <c r="AW3461" s="10"/>
      <c r="AX3461" s="10"/>
      <c r="AY3461" s="10"/>
      <c r="AZ3461" s="10"/>
    </row>
    <row r="3462" spans="28:52">
      <c r="AB3462" s="9">
        <v>1.0334694252783656</v>
      </c>
      <c r="AC3462" s="9">
        <v>1.4380025962649245</v>
      </c>
      <c r="AD3462" s="9">
        <v>0.99025491488085282</v>
      </c>
      <c r="AE3462" s="10"/>
      <c r="AF3462" s="10"/>
      <c r="AG3462" s="10"/>
      <c r="AH3462" s="10"/>
      <c r="AI3462" s="10"/>
      <c r="AJ3462" s="10"/>
      <c r="AK3462" s="10"/>
      <c r="AL3462" s="10"/>
      <c r="AM3462" s="10"/>
      <c r="AN3462" s="10"/>
      <c r="AO3462" s="10"/>
      <c r="AP3462" s="10"/>
      <c r="AQ3462" s="10"/>
      <c r="AR3462" s="10"/>
      <c r="AS3462" s="10"/>
      <c r="AT3462" s="10"/>
      <c r="AU3462" s="10"/>
      <c r="AV3462" s="10"/>
      <c r="AW3462" s="10"/>
      <c r="AX3462" s="10"/>
      <c r="AY3462" s="10"/>
      <c r="AZ3462" s="10"/>
    </row>
    <row r="3463" spans="28:52">
      <c r="AB3463" s="9">
        <v>1.0344716026365879</v>
      </c>
      <c r="AC3463" s="9">
        <v>1.1557779034145441</v>
      </c>
      <c r="AD3463" s="9">
        <v>0.98385563440499424</v>
      </c>
      <c r="AE3463" s="10"/>
      <c r="AF3463" s="10"/>
      <c r="AG3463" s="10"/>
      <c r="AH3463" s="10"/>
      <c r="AI3463" s="10"/>
      <c r="AJ3463" s="10"/>
      <c r="AK3463" s="10"/>
      <c r="AL3463" s="10"/>
      <c r="AM3463" s="10"/>
      <c r="AN3463" s="10"/>
      <c r="AO3463" s="10"/>
      <c r="AP3463" s="10"/>
      <c r="AQ3463" s="10"/>
      <c r="AR3463" s="10"/>
      <c r="AS3463" s="10"/>
      <c r="AT3463" s="10"/>
      <c r="AU3463" s="10"/>
      <c r="AV3463" s="10"/>
      <c r="AW3463" s="10"/>
      <c r="AX3463" s="10"/>
      <c r="AY3463" s="10"/>
      <c r="AZ3463" s="10"/>
    </row>
    <row r="3464" spans="28:52">
      <c r="AB3464" s="9">
        <v>1.0398480756063946</v>
      </c>
      <c r="AC3464" s="9">
        <v>1.3928679082080646</v>
      </c>
      <c r="AD3464" s="9">
        <v>0.9829126893174801</v>
      </c>
      <c r="AE3464" s="10"/>
      <c r="AF3464" s="10"/>
      <c r="AG3464" s="10"/>
      <c r="AH3464" s="10"/>
      <c r="AI3464" s="10"/>
      <c r="AJ3464" s="10"/>
      <c r="AK3464" s="10"/>
      <c r="AL3464" s="10"/>
      <c r="AM3464" s="10"/>
      <c r="AN3464" s="10"/>
      <c r="AO3464" s="10"/>
      <c r="AP3464" s="10"/>
      <c r="AQ3464" s="10"/>
      <c r="AR3464" s="10"/>
      <c r="AS3464" s="10"/>
      <c r="AT3464" s="10"/>
      <c r="AU3464" s="10"/>
      <c r="AV3464" s="10"/>
      <c r="AW3464" s="10"/>
      <c r="AX3464" s="10"/>
      <c r="AY3464" s="10"/>
      <c r="AZ3464" s="10"/>
    </row>
    <row r="3465" spans="28:52">
      <c r="AB3465" s="9">
        <v>1.0391321083756233</v>
      </c>
      <c r="AC3465" s="9">
        <v>1.3683570359281432</v>
      </c>
      <c r="AD3465" s="9">
        <v>0.99591087145200186</v>
      </c>
      <c r="AE3465" s="10"/>
      <c r="AF3465" s="10"/>
      <c r="AG3465" s="10"/>
      <c r="AH3465" s="10"/>
      <c r="AI3465" s="10"/>
      <c r="AJ3465" s="10"/>
      <c r="AK3465" s="10"/>
      <c r="AL3465" s="10"/>
      <c r="AM3465" s="10"/>
      <c r="AN3465" s="10"/>
      <c r="AO3465" s="10"/>
      <c r="AP3465" s="10"/>
      <c r="AQ3465" s="10"/>
      <c r="AR3465" s="10"/>
      <c r="AS3465" s="10"/>
      <c r="AT3465" s="10"/>
      <c r="AU3465" s="10"/>
      <c r="AV3465" s="10"/>
      <c r="AW3465" s="10"/>
      <c r="AX3465" s="10"/>
      <c r="AY3465" s="10"/>
      <c r="AZ3465" s="10"/>
    </row>
    <row r="3466" spans="28:52">
      <c r="AB3466" s="9">
        <v>1.0237728361720206</v>
      </c>
      <c r="AC3466" s="9">
        <v>1.0402273919208527</v>
      </c>
      <c r="AD3466" s="9">
        <v>1.0077013945364097</v>
      </c>
      <c r="AE3466" s="10"/>
      <c r="AF3466" s="10"/>
      <c r="AG3466" s="10"/>
      <c r="AH3466" s="10"/>
      <c r="AI3466" s="10"/>
      <c r="AJ3466" s="10"/>
      <c r="AK3466" s="10"/>
      <c r="AL3466" s="10"/>
      <c r="AM3466" s="10"/>
      <c r="AN3466" s="10"/>
      <c r="AO3466" s="10"/>
      <c r="AP3466" s="10"/>
      <c r="AQ3466" s="10"/>
      <c r="AR3466" s="10"/>
      <c r="AS3466" s="10"/>
      <c r="AT3466" s="10"/>
      <c r="AU3466" s="10"/>
      <c r="AV3466" s="10"/>
      <c r="AW3466" s="10"/>
      <c r="AX3466" s="10"/>
      <c r="AY3466" s="10"/>
      <c r="AZ3466" s="10"/>
    </row>
    <row r="3467" spans="28:52">
      <c r="AB3467" s="9">
        <v>1.0104430974802032</v>
      </c>
      <c r="AC3467" s="9">
        <v>0.92134494378825993</v>
      </c>
      <c r="AD3467" s="9">
        <v>1.0090134601111309</v>
      </c>
      <c r="AE3467" s="10"/>
      <c r="AF3467" s="10"/>
      <c r="AG3467" s="10"/>
      <c r="AH3467" s="10"/>
      <c r="AI3467" s="10"/>
      <c r="AJ3467" s="10"/>
      <c r="AK3467" s="10"/>
      <c r="AL3467" s="10"/>
      <c r="AM3467" s="10"/>
      <c r="AN3467" s="10"/>
      <c r="AO3467" s="10"/>
      <c r="AP3467" s="10"/>
      <c r="AQ3467" s="10"/>
      <c r="AR3467" s="10"/>
      <c r="AS3467" s="10"/>
      <c r="AT3467" s="10"/>
      <c r="AU3467" s="10"/>
      <c r="AV3467" s="10"/>
      <c r="AW3467" s="10"/>
      <c r="AX3467" s="10"/>
      <c r="AY3467" s="10"/>
      <c r="AZ3467" s="10"/>
    </row>
    <row r="3468" spans="28:52">
      <c r="AB3468" s="9">
        <v>1.0084133226292846</v>
      </c>
      <c r="AC3468" s="9">
        <v>0.77438449279604493</v>
      </c>
      <c r="AD3468" s="9">
        <v>1.0170792066698224</v>
      </c>
      <c r="AE3468" s="10"/>
      <c r="AF3468" s="10"/>
      <c r="AG3468" s="10"/>
      <c r="AH3468" s="10"/>
      <c r="AI3468" s="10"/>
      <c r="AJ3468" s="10"/>
      <c r="AK3468" s="10"/>
      <c r="AL3468" s="10"/>
      <c r="AM3468" s="10"/>
      <c r="AN3468" s="10"/>
      <c r="AO3468" s="10"/>
      <c r="AP3468" s="10"/>
      <c r="AQ3468" s="10"/>
      <c r="AR3468" s="10"/>
      <c r="AS3468" s="10"/>
      <c r="AT3468" s="10"/>
      <c r="AU3468" s="10"/>
      <c r="AV3468" s="10"/>
      <c r="AW3468" s="10"/>
      <c r="AX3468" s="10"/>
      <c r="AY3468" s="10"/>
      <c r="AZ3468" s="10"/>
    </row>
    <row r="3469" spans="28:52">
      <c r="AB3469" s="9">
        <v>0.99986160921798495</v>
      </c>
      <c r="AC3469" s="9">
        <v>0.97249949603001684</v>
      </c>
      <c r="AD3469" s="9">
        <v>1.015990139411225</v>
      </c>
      <c r="AE3469" s="10"/>
      <c r="AF3469" s="10"/>
      <c r="AG3469" s="10"/>
      <c r="AH3469" s="10"/>
      <c r="AI3469" s="10"/>
      <c r="AJ3469" s="10"/>
      <c r="AK3469" s="10"/>
      <c r="AL3469" s="10"/>
      <c r="AM3469" s="10"/>
      <c r="AN3469" s="10"/>
      <c r="AO3469" s="10"/>
      <c r="AP3469" s="10"/>
      <c r="AQ3469" s="10"/>
      <c r="AR3469" s="10"/>
      <c r="AS3469" s="10"/>
      <c r="AT3469" s="10"/>
      <c r="AU3469" s="10"/>
      <c r="AV3469" s="10"/>
      <c r="AW3469" s="10"/>
      <c r="AX3469" s="10"/>
      <c r="AY3469" s="10"/>
      <c r="AZ3469" s="10"/>
    </row>
    <row r="3470" spans="28:52">
      <c r="AB3470" s="9">
        <v>1.0000512911538308</v>
      </c>
      <c r="AC3470" s="9">
        <v>0.78247240991357137</v>
      </c>
      <c r="AD3470" s="9">
        <v>1.010462375704106</v>
      </c>
      <c r="AE3470" s="10"/>
      <c r="AF3470" s="10"/>
      <c r="AG3470" s="10"/>
      <c r="AH3470" s="10"/>
      <c r="AI3470" s="10"/>
      <c r="AJ3470" s="10"/>
      <c r="AK3470" s="10"/>
      <c r="AL3470" s="10"/>
      <c r="AM3470" s="10"/>
      <c r="AN3470" s="10"/>
      <c r="AO3470" s="10"/>
      <c r="AP3470" s="10"/>
      <c r="AQ3470" s="10"/>
      <c r="AR3470" s="10"/>
      <c r="AS3470" s="10"/>
      <c r="AT3470" s="10"/>
      <c r="AU3470" s="10"/>
      <c r="AV3470" s="10"/>
      <c r="AW3470" s="10"/>
      <c r="AX3470" s="10"/>
      <c r="AY3470" s="10"/>
      <c r="AZ3470" s="10"/>
    </row>
    <row r="3471" spans="28:52">
      <c r="AB3471" s="9">
        <v>1.0048418442641267</v>
      </c>
      <c r="AC3471" s="9">
        <v>0.81632228205925539</v>
      </c>
      <c r="AD3471" s="9">
        <v>1.0271647944916549</v>
      </c>
      <c r="AE3471" s="10"/>
      <c r="AF3471" s="10"/>
      <c r="AG3471" s="10"/>
      <c r="AH3471" s="10"/>
      <c r="AI3471" s="10"/>
      <c r="AJ3471" s="10"/>
      <c r="AK3471" s="10"/>
      <c r="AL3471" s="10"/>
      <c r="AM3471" s="10"/>
      <c r="AN3471" s="10"/>
      <c r="AO3471" s="10"/>
      <c r="AP3471" s="10"/>
      <c r="AQ3471" s="10"/>
      <c r="AR3471" s="10"/>
      <c r="AS3471" s="10"/>
      <c r="AT3471" s="10"/>
      <c r="AU3471" s="10"/>
      <c r="AV3471" s="10"/>
      <c r="AW3471" s="10"/>
      <c r="AX3471" s="10"/>
      <c r="AY3471" s="10"/>
      <c r="AZ3471" s="10"/>
    </row>
    <row r="3472" spans="28:52">
      <c r="AB3472" s="9">
        <v>0.98854739955543391</v>
      </c>
      <c r="AC3472" s="9">
        <v>0.94730613695022914</v>
      </c>
      <c r="AD3472" s="9">
        <v>1.0320873463000986</v>
      </c>
      <c r="AE3472" s="10"/>
      <c r="AF3472" s="10"/>
      <c r="AG3472" s="10"/>
      <c r="AH3472" s="10"/>
      <c r="AI3472" s="10"/>
      <c r="AJ3472" s="10"/>
      <c r="AK3472" s="10"/>
      <c r="AL3472" s="10"/>
      <c r="AM3472" s="10"/>
      <c r="AN3472" s="10"/>
      <c r="AO3472" s="10"/>
      <c r="AP3472" s="10"/>
      <c r="AQ3472" s="10"/>
      <c r="AR3472" s="10"/>
      <c r="AS3472" s="10"/>
      <c r="AT3472" s="10"/>
      <c r="AU3472" s="10"/>
      <c r="AV3472" s="10"/>
      <c r="AW3472" s="10"/>
      <c r="AX3472" s="10"/>
      <c r="AY3472" s="10"/>
      <c r="AZ3472" s="10"/>
    </row>
    <row r="3473" spans="28:52">
      <c r="AB3473" s="9">
        <v>0.98434267044780976</v>
      </c>
      <c r="AC3473" s="9">
        <v>1.0188659034262211</v>
      </c>
      <c r="AD3473" s="9">
        <v>1.0264159388201413</v>
      </c>
      <c r="AE3473" s="10"/>
      <c r="AF3473" s="10"/>
      <c r="AG3473" s="10"/>
      <c r="AH3473" s="10"/>
      <c r="AI3473" s="10"/>
      <c r="AJ3473" s="10"/>
      <c r="AK3473" s="10"/>
      <c r="AL3473" s="10"/>
      <c r="AM3473" s="10"/>
      <c r="AN3473" s="10"/>
      <c r="AO3473" s="10"/>
      <c r="AP3473" s="10"/>
      <c r="AQ3473" s="10"/>
      <c r="AR3473" s="10"/>
      <c r="AS3473" s="10"/>
      <c r="AT3473" s="10"/>
      <c r="AU3473" s="10"/>
      <c r="AV3473" s="10"/>
      <c r="AW3473" s="10"/>
      <c r="AX3473" s="10"/>
      <c r="AY3473" s="10"/>
      <c r="AZ3473" s="10"/>
    </row>
    <row r="3474" spans="28:52">
      <c r="AB3474" s="9">
        <v>0.99046466366392971</v>
      </c>
      <c r="AC3474" s="9">
        <v>1.0214920721000573</v>
      </c>
      <c r="AD3474" s="9">
        <v>1.017208066244258</v>
      </c>
      <c r="AE3474" s="10"/>
      <c r="AF3474" s="10"/>
      <c r="AG3474" s="10"/>
      <c r="AH3474" s="10"/>
      <c r="AI3474" s="10"/>
      <c r="AJ3474" s="10"/>
      <c r="AK3474" s="10"/>
      <c r="AL3474" s="10"/>
      <c r="AM3474" s="10"/>
      <c r="AN3474" s="10"/>
      <c r="AO3474" s="10"/>
      <c r="AP3474" s="10"/>
      <c r="AQ3474" s="10"/>
      <c r="AR3474" s="10"/>
      <c r="AS3474" s="10"/>
      <c r="AT3474" s="10"/>
      <c r="AU3474" s="10"/>
      <c r="AV3474" s="10"/>
      <c r="AW3474" s="10"/>
      <c r="AX3474" s="10"/>
      <c r="AY3474" s="10"/>
      <c r="AZ3474" s="10"/>
    </row>
    <row r="3475" spans="28:52">
      <c r="AB3475" s="9">
        <v>0.99981410524468428</v>
      </c>
      <c r="AC3475" s="9">
        <v>1.0472363446661839</v>
      </c>
      <c r="AD3475" s="9">
        <v>1.0193031176846319</v>
      </c>
      <c r="AE3475" s="10"/>
      <c r="AF3475" s="10"/>
      <c r="AG3475" s="10"/>
      <c r="AH3475" s="10"/>
      <c r="AI3475" s="10"/>
      <c r="AJ3475" s="10"/>
      <c r="AK3475" s="10"/>
      <c r="AL3475" s="10"/>
      <c r="AM3475" s="10"/>
      <c r="AN3475" s="10"/>
      <c r="AO3475" s="10"/>
      <c r="AP3475" s="10"/>
      <c r="AQ3475" s="10"/>
      <c r="AR3475" s="10"/>
      <c r="AS3475" s="10"/>
      <c r="AT3475" s="10"/>
      <c r="AU3475" s="10"/>
      <c r="AV3475" s="10"/>
      <c r="AW3475" s="10"/>
      <c r="AX3475" s="10"/>
      <c r="AY3475" s="10"/>
      <c r="AZ3475" s="10"/>
    </row>
    <row r="3476" spans="28:52">
      <c r="AB3476" s="9">
        <v>0.99788555363991582</v>
      </c>
      <c r="AC3476" s="9">
        <v>0.76828219778139439</v>
      </c>
      <c r="AD3476" s="9">
        <v>1.0262183585368128</v>
      </c>
      <c r="AE3476" s="10"/>
      <c r="AF3476" s="10"/>
      <c r="AG3476" s="10"/>
      <c r="AH3476" s="10"/>
      <c r="AI3476" s="10"/>
      <c r="AJ3476" s="10"/>
      <c r="AK3476" s="10"/>
      <c r="AL3476" s="10"/>
      <c r="AM3476" s="10"/>
      <c r="AN3476" s="10"/>
      <c r="AO3476" s="10"/>
      <c r="AP3476" s="10"/>
      <c r="AQ3476" s="10"/>
      <c r="AR3476" s="10"/>
      <c r="AS3476" s="10"/>
      <c r="AT3476" s="10"/>
      <c r="AU3476" s="10"/>
      <c r="AV3476" s="10"/>
      <c r="AW3476" s="10"/>
      <c r="AX3476" s="10"/>
      <c r="AY3476" s="10"/>
      <c r="AZ3476" s="10"/>
    </row>
    <row r="3477" spans="28:52">
      <c r="AB3477" s="9">
        <v>0.99163509994819254</v>
      </c>
      <c r="AC3477" s="9">
        <v>0.87856373012756828</v>
      </c>
      <c r="AD3477" s="9">
        <v>1.027767497155279</v>
      </c>
      <c r="AE3477" s="10"/>
      <c r="AF3477" s="10"/>
      <c r="AG3477" s="10"/>
      <c r="AH3477" s="10"/>
      <c r="AI3477" s="10"/>
      <c r="AJ3477" s="10"/>
      <c r="AK3477" s="10"/>
      <c r="AL3477" s="10"/>
      <c r="AM3477" s="10"/>
      <c r="AN3477" s="10"/>
      <c r="AO3477" s="10"/>
      <c r="AP3477" s="10"/>
      <c r="AQ3477" s="10"/>
      <c r="AR3477" s="10"/>
      <c r="AS3477" s="10"/>
      <c r="AT3477" s="10"/>
      <c r="AU3477" s="10"/>
      <c r="AV3477" s="10"/>
      <c r="AW3477" s="10"/>
      <c r="AX3477" s="10"/>
      <c r="AY3477" s="10"/>
      <c r="AZ3477" s="10"/>
    </row>
    <row r="3478" spans="28:52">
      <c r="AB3478" s="9">
        <v>0.99037035925680184</v>
      </c>
      <c r="AC3478" s="9">
        <v>1.031419324672467</v>
      </c>
      <c r="AD3478" s="9">
        <v>1.0350156866835016</v>
      </c>
      <c r="AE3478" s="10"/>
      <c r="AF3478" s="10"/>
      <c r="AG3478" s="10"/>
      <c r="AH3478" s="10"/>
      <c r="AI3478" s="10"/>
      <c r="AJ3478" s="10"/>
      <c r="AK3478" s="10"/>
      <c r="AL3478" s="10"/>
      <c r="AM3478" s="10"/>
      <c r="AN3478" s="10"/>
      <c r="AO3478" s="10"/>
      <c r="AP3478" s="10"/>
      <c r="AQ3478" s="10"/>
      <c r="AR3478" s="10"/>
      <c r="AS3478" s="10"/>
      <c r="AT3478" s="10"/>
      <c r="AU3478" s="10"/>
      <c r="AV3478" s="10"/>
      <c r="AW3478" s="10"/>
      <c r="AX3478" s="10"/>
      <c r="AY3478" s="10"/>
      <c r="AZ3478" s="10"/>
    </row>
    <row r="3479" spans="28:52">
      <c r="AB3479" s="9">
        <v>0.98400457363076843</v>
      </c>
      <c r="AC3479" s="9">
        <v>0.81768860196829496</v>
      </c>
      <c r="AD3479" s="9">
        <v>1.0494183467672074</v>
      </c>
      <c r="AE3479" s="10"/>
      <c r="AF3479" s="10"/>
      <c r="AG3479" s="10"/>
      <c r="AH3479" s="10"/>
      <c r="AI3479" s="10"/>
      <c r="AJ3479" s="10"/>
      <c r="AK3479" s="10"/>
      <c r="AL3479" s="10"/>
      <c r="AM3479" s="10"/>
      <c r="AN3479" s="10"/>
      <c r="AO3479" s="10"/>
      <c r="AP3479" s="10"/>
      <c r="AQ3479" s="10"/>
      <c r="AR3479" s="10"/>
      <c r="AS3479" s="10"/>
      <c r="AT3479" s="10"/>
      <c r="AU3479" s="10"/>
      <c r="AV3479" s="10"/>
      <c r="AW3479" s="10"/>
      <c r="AX3479" s="10"/>
      <c r="AY3479" s="10"/>
      <c r="AZ3479" s="10"/>
    </row>
    <row r="3480" spans="28:52">
      <c r="AB3480" s="9">
        <v>0.97141990759436081</v>
      </c>
      <c r="AC3480" s="9">
        <v>0.86041145300023825</v>
      </c>
      <c r="AD3480" s="9">
        <v>1.0480828325623623</v>
      </c>
      <c r="AE3480" s="10"/>
      <c r="AF3480" s="10"/>
      <c r="AG3480" s="10"/>
      <c r="AH3480" s="10"/>
      <c r="AI3480" s="10"/>
      <c r="AJ3480" s="10"/>
      <c r="AK3480" s="10"/>
      <c r="AL3480" s="10"/>
      <c r="AM3480" s="10"/>
      <c r="AN3480" s="10"/>
      <c r="AO3480" s="10"/>
      <c r="AP3480" s="10"/>
      <c r="AQ3480" s="10"/>
      <c r="AR3480" s="10"/>
      <c r="AS3480" s="10"/>
      <c r="AT3480" s="10"/>
      <c r="AU3480" s="10"/>
      <c r="AV3480" s="10"/>
      <c r="AW3480" s="10"/>
      <c r="AX3480" s="10"/>
      <c r="AY3480" s="10"/>
      <c r="AZ3480" s="10"/>
    </row>
    <row r="3481" spans="28:52">
      <c r="AB3481" s="9">
        <v>0.9737366992391161</v>
      </c>
      <c r="AC3481" s="9">
        <v>0.85210619151937939</v>
      </c>
      <c r="AD3481" s="9">
        <v>1.0389938255843245</v>
      </c>
      <c r="AE3481" s="10"/>
      <c r="AF3481" s="10"/>
      <c r="AG3481" s="10"/>
      <c r="AH3481" s="10"/>
      <c r="AI3481" s="10"/>
      <c r="AJ3481" s="10"/>
      <c r="AK3481" s="10"/>
      <c r="AL3481" s="10"/>
      <c r="AM3481" s="10"/>
      <c r="AN3481" s="10"/>
      <c r="AO3481" s="10"/>
      <c r="AP3481" s="10"/>
      <c r="AQ3481" s="10"/>
      <c r="AR3481" s="10"/>
      <c r="AS3481" s="10"/>
      <c r="AT3481" s="10"/>
      <c r="AU3481" s="10"/>
      <c r="AV3481" s="10"/>
      <c r="AW3481" s="10"/>
      <c r="AX3481" s="10"/>
      <c r="AY3481" s="10"/>
      <c r="AZ3481" s="10"/>
    </row>
    <row r="3482" spans="28:52">
      <c r="AB3482" s="9">
        <v>0.98323729671404592</v>
      </c>
      <c r="AC3482" s="9">
        <v>0.78345656118149076</v>
      </c>
      <c r="AD3482" s="9">
        <v>1.0372682088601961</v>
      </c>
      <c r="AE3482" s="10"/>
      <c r="AF3482" s="10"/>
      <c r="AG3482" s="10"/>
      <c r="AH3482" s="10"/>
      <c r="AI3482" s="10"/>
      <c r="AJ3482" s="10"/>
      <c r="AK3482" s="10"/>
      <c r="AL3482" s="10"/>
      <c r="AM3482" s="10"/>
      <c r="AN3482" s="10"/>
      <c r="AO3482" s="10"/>
      <c r="AP3482" s="10"/>
      <c r="AQ3482" s="10"/>
      <c r="AR3482" s="10"/>
      <c r="AS3482" s="10"/>
      <c r="AT3482" s="10"/>
      <c r="AU3482" s="10"/>
      <c r="AV3482" s="10"/>
      <c r="AW3482" s="10"/>
      <c r="AX3482" s="10"/>
      <c r="AY3482" s="10"/>
      <c r="AZ3482" s="10"/>
    </row>
    <row r="3483" spans="28:52">
      <c r="AB3483" s="9">
        <v>0.98516881492761887</v>
      </c>
      <c r="AC3483" s="9">
        <v>0.79195993502977768</v>
      </c>
      <c r="AD3483" s="9">
        <v>1.0303899876359073</v>
      </c>
      <c r="AE3483" s="10"/>
      <c r="AF3483" s="10"/>
      <c r="AG3483" s="10"/>
      <c r="AH3483" s="10"/>
      <c r="AI3483" s="10"/>
      <c r="AJ3483" s="10"/>
      <c r="AK3483" s="10"/>
      <c r="AL3483" s="10"/>
      <c r="AM3483" s="10"/>
      <c r="AN3483" s="10"/>
      <c r="AO3483" s="10"/>
      <c r="AP3483" s="10"/>
      <c r="AQ3483" s="10"/>
      <c r="AR3483" s="10"/>
      <c r="AS3483" s="10"/>
      <c r="AT3483" s="10"/>
      <c r="AU3483" s="10"/>
      <c r="AV3483" s="10"/>
      <c r="AW3483" s="10"/>
      <c r="AX3483" s="10"/>
      <c r="AY3483" s="10"/>
      <c r="AZ3483" s="10"/>
    </row>
    <row r="3484" spans="28:52">
      <c r="AB3484" s="9">
        <v>0.99192663326375841</v>
      </c>
      <c r="AC3484" s="9">
        <v>1.0346767524773945</v>
      </c>
      <c r="AD3484" s="9">
        <v>1.0101184972882256</v>
      </c>
      <c r="AE3484" s="10"/>
      <c r="AF3484" s="10"/>
      <c r="AG3484" s="10"/>
      <c r="AH3484" s="10"/>
      <c r="AI3484" s="10"/>
      <c r="AJ3484" s="10"/>
      <c r="AK3484" s="10"/>
      <c r="AL3484" s="10"/>
      <c r="AM3484" s="10"/>
      <c r="AN3484" s="10"/>
      <c r="AO3484" s="10"/>
      <c r="AP3484" s="10"/>
      <c r="AQ3484" s="10"/>
      <c r="AR3484" s="10"/>
      <c r="AS3484" s="10"/>
      <c r="AT3484" s="10"/>
      <c r="AU3484" s="10"/>
      <c r="AV3484" s="10"/>
      <c r="AW3484" s="10"/>
      <c r="AX3484" s="10"/>
      <c r="AY3484" s="10"/>
      <c r="AZ3484" s="10"/>
    </row>
    <row r="3485" spans="28:52">
      <c r="AB3485" s="9">
        <v>1.0106773952851771</v>
      </c>
      <c r="AC3485" s="9">
        <v>1.4964200285109086</v>
      </c>
      <c r="AD3485" s="9">
        <v>1.0113512239322981</v>
      </c>
      <c r="AE3485" s="10"/>
      <c r="AF3485" s="10"/>
      <c r="AG3485" s="10"/>
      <c r="AH3485" s="10"/>
      <c r="AI3485" s="10"/>
      <c r="AJ3485" s="10"/>
      <c r="AK3485" s="10"/>
      <c r="AL3485" s="10"/>
      <c r="AM3485" s="10"/>
      <c r="AN3485" s="10"/>
      <c r="AO3485" s="10"/>
      <c r="AP3485" s="10"/>
      <c r="AQ3485" s="10"/>
      <c r="AR3485" s="10"/>
      <c r="AS3485" s="10"/>
      <c r="AT3485" s="10"/>
      <c r="AU3485" s="10"/>
      <c r="AV3485" s="10"/>
      <c r="AW3485" s="10"/>
      <c r="AX3485" s="10"/>
      <c r="AY3485" s="10"/>
      <c r="AZ3485" s="10"/>
    </row>
    <row r="3486" spans="28:52">
      <c r="AB3486" s="9">
        <v>1.0080943290215199</v>
      </c>
      <c r="AC3486" s="9">
        <v>1.0669659688593802</v>
      </c>
      <c r="AD3486" s="9">
        <v>1.0043296464845342</v>
      </c>
      <c r="AE3486" s="10"/>
      <c r="AF3486" s="10"/>
      <c r="AG3486" s="10"/>
      <c r="AH3486" s="10"/>
      <c r="AI3486" s="10"/>
      <c r="AJ3486" s="10"/>
      <c r="AK3486" s="10"/>
      <c r="AL3486" s="10"/>
      <c r="AM3486" s="10"/>
      <c r="AN3486" s="10"/>
      <c r="AO3486" s="10"/>
      <c r="AP3486" s="10"/>
      <c r="AQ3486" s="10"/>
      <c r="AR3486" s="10"/>
      <c r="AS3486" s="10"/>
      <c r="AT3486" s="10"/>
      <c r="AU3486" s="10"/>
      <c r="AV3486" s="10"/>
      <c r="AW3486" s="10"/>
      <c r="AX3486" s="10"/>
      <c r="AY3486" s="10"/>
      <c r="AZ3486" s="10"/>
    </row>
    <row r="3487" spans="28:52">
      <c r="AB3487" s="9">
        <v>1.0139883690773519</v>
      </c>
      <c r="AC3487" s="9">
        <v>1.3286421586665618</v>
      </c>
      <c r="AD3487" s="9">
        <v>1.0008188115202332</v>
      </c>
      <c r="AE3487" s="10"/>
      <c r="AF3487" s="10"/>
      <c r="AG3487" s="10"/>
      <c r="AH3487" s="10"/>
      <c r="AI3487" s="10"/>
      <c r="AJ3487" s="10"/>
      <c r="AK3487" s="10"/>
      <c r="AL3487" s="10"/>
      <c r="AM3487" s="10"/>
      <c r="AN3487" s="10"/>
      <c r="AO3487" s="10"/>
      <c r="AP3487" s="10"/>
      <c r="AQ3487" s="10"/>
      <c r="AR3487" s="10"/>
      <c r="AS3487" s="10"/>
      <c r="AT3487" s="10"/>
      <c r="AU3487" s="10"/>
      <c r="AV3487" s="10"/>
      <c r="AW3487" s="10"/>
      <c r="AX3487" s="10"/>
      <c r="AY3487" s="10"/>
      <c r="AZ3487" s="10"/>
    </row>
    <row r="3488" spans="28:52">
      <c r="AB3488" s="9">
        <v>1.0160547288233681</v>
      </c>
      <c r="AC3488" s="9">
        <v>1.0570407623080991</v>
      </c>
      <c r="AD3488" s="9">
        <v>0.98732972318565537</v>
      </c>
      <c r="AE3488" s="10"/>
      <c r="AF3488" s="10"/>
      <c r="AG3488" s="10"/>
      <c r="AH3488" s="10"/>
      <c r="AI3488" s="10"/>
      <c r="AJ3488" s="10"/>
      <c r="AK3488" s="10"/>
      <c r="AL3488" s="10"/>
      <c r="AM3488" s="10"/>
      <c r="AN3488" s="10"/>
      <c r="AO3488" s="10"/>
      <c r="AP3488" s="10"/>
      <c r="AQ3488" s="10"/>
      <c r="AR3488" s="10"/>
      <c r="AS3488" s="10"/>
      <c r="AT3488" s="10"/>
      <c r="AU3488" s="10"/>
      <c r="AV3488" s="10"/>
      <c r="AW3488" s="10"/>
      <c r="AX3488" s="10"/>
      <c r="AY3488" s="10"/>
      <c r="AZ3488" s="10"/>
    </row>
    <row r="3489" spans="28:52">
      <c r="AB3489" s="9">
        <v>1.0279986854856153</v>
      </c>
      <c r="AC3489" s="9">
        <v>1.2627402894397777</v>
      </c>
      <c r="AD3489" s="9">
        <v>0.98462717990849968</v>
      </c>
      <c r="AE3489" s="10"/>
      <c r="AF3489" s="10"/>
      <c r="AG3489" s="10"/>
      <c r="AH3489" s="10"/>
      <c r="AI3489" s="10"/>
      <c r="AJ3489" s="10"/>
      <c r="AK3489" s="10"/>
      <c r="AL3489" s="10"/>
      <c r="AM3489" s="10"/>
      <c r="AN3489" s="10"/>
      <c r="AO3489" s="10"/>
      <c r="AP3489" s="10"/>
      <c r="AQ3489" s="10"/>
      <c r="AR3489" s="10"/>
      <c r="AS3489" s="10"/>
      <c r="AT3489" s="10"/>
      <c r="AU3489" s="10"/>
      <c r="AV3489" s="10"/>
      <c r="AW3489" s="10"/>
      <c r="AX3489" s="10"/>
      <c r="AY3489" s="10"/>
      <c r="AZ3489" s="10"/>
    </row>
    <row r="3490" spans="28:52">
      <c r="AB3490" s="9">
        <v>1.0285125084991351</v>
      </c>
      <c r="AC3490" s="9">
        <v>1.0060572257826612</v>
      </c>
      <c r="AD3490" s="9">
        <v>0.98033352377882943</v>
      </c>
      <c r="AE3490" s="10"/>
      <c r="AF3490" s="10"/>
      <c r="AG3490" s="10"/>
      <c r="AH3490" s="10"/>
      <c r="AI3490" s="10"/>
      <c r="AJ3490" s="10"/>
      <c r="AK3490" s="10"/>
      <c r="AL3490" s="10"/>
      <c r="AM3490" s="10"/>
      <c r="AN3490" s="10"/>
      <c r="AO3490" s="10"/>
      <c r="AP3490" s="10"/>
      <c r="AQ3490" s="10"/>
      <c r="AR3490" s="10"/>
      <c r="AS3490" s="10"/>
      <c r="AT3490" s="10"/>
      <c r="AU3490" s="10"/>
      <c r="AV3490" s="10"/>
      <c r="AW3490" s="10"/>
      <c r="AX3490" s="10"/>
      <c r="AY3490" s="10"/>
      <c r="AZ3490" s="10"/>
    </row>
    <row r="3491" spans="28:52">
      <c r="AB3491" s="9">
        <v>1.0310223179815954</v>
      </c>
      <c r="AC3491" s="9">
        <v>1.2193099526964595</v>
      </c>
      <c r="AD3491" s="9">
        <v>0.99077771336723697</v>
      </c>
      <c r="AE3491" s="10"/>
      <c r="AF3491" s="10"/>
      <c r="AG3491" s="10"/>
      <c r="AH3491" s="10"/>
      <c r="AI3491" s="10"/>
      <c r="AJ3491" s="10"/>
      <c r="AK3491" s="10"/>
      <c r="AL3491" s="10"/>
      <c r="AM3491" s="10"/>
      <c r="AN3491" s="10"/>
      <c r="AO3491" s="10"/>
      <c r="AP3491" s="10"/>
      <c r="AQ3491" s="10"/>
      <c r="AR3491" s="10"/>
      <c r="AS3491" s="10"/>
      <c r="AT3491" s="10"/>
      <c r="AU3491" s="10"/>
      <c r="AV3491" s="10"/>
      <c r="AW3491" s="10"/>
      <c r="AX3491" s="10"/>
      <c r="AY3491" s="10"/>
      <c r="AZ3491" s="10"/>
    </row>
    <row r="3492" spans="28:52">
      <c r="AB3492" s="9">
        <v>1.018116701402221</v>
      </c>
      <c r="AC3492" s="9">
        <v>1.2113303079467341</v>
      </c>
      <c r="AD3492" s="9">
        <v>0.98293693166302287</v>
      </c>
      <c r="AE3492" s="10"/>
      <c r="AF3492" s="10"/>
      <c r="AG3492" s="10"/>
      <c r="AH3492" s="10"/>
      <c r="AI3492" s="10"/>
      <c r="AJ3492" s="10"/>
      <c r="AK3492" s="10"/>
      <c r="AL3492" s="10"/>
      <c r="AM3492" s="10"/>
      <c r="AN3492" s="10"/>
      <c r="AO3492" s="10"/>
      <c r="AP3492" s="10"/>
      <c r="AQ3492" s="10"/>
      <c r="AR3492" s="10"/>
      <c r="AS3492" s="10"/>
      <c r="AT3492" s="10"/>
      <c r="AU3492" s="10"/>
      <c r="AV3492" s="10"/>
      <c r="AW3492" s="10"/>
      <c r="AX3492" s="10"/>
      <c r="AY3492" s="10"/>
      <c r="AZ3492" s="10"/>
    </row>
    <row r="3493" spans="28:52">
      <c r="AB3493" s="9">
        <v>1.0245215175938267</v>
      </c>
      <c r="AC3493" s="9">
        <v>1.1900003775505816</v>
      </c>
      <c r="AD3493" s="9">
        <v>0.97754550871103973</v>
      </c>
      <c r="AE3493" s="10"/>
      <c r="AF3493" s="10"/>
      <c r="AG3493" s="10"/>
      <c r="AH3493" s="10"/>
      <c r="AI3493" s="10"/>
      <c r="AJ3493" s="10"/>
      <c r="AK3493" s="10"/>
      <c r="AL3493" s="10"/>
      <c r="AM3493" s="10"/>
      <c r="AN3493" s="10"/>
      <c r="AO3493" s="10"/>
      <c r="AP3493" s="10"/>
      <c r="AQ3493" s="10"/>
      <c r="AR3493" s="10"/>
      <c r="AS3493" s="10"/>
      <c r="AT3493" s="10"/>
      <c r="AU3493" s="10"/>
      <c r="AV3493" s="10"/>
      <c r="AW3493" s="10"/>
      <c r="AX3493" s="10"/>
      <c r="AY3493" s="10"/>
      <c r="AZ3493" s="10"/>
    </row>
    <row r="3494" spans="28:52">
      <c r="AB3494" s="9">
        <v>1.0282438556170053</v>
      </c>
      <c r="AC3494" s="9">
        <v>1.4111179772387865</v>
      </c>
      <c r="AD3494" s="9">
        <v>0.98254042379694684</v>
      </c>
      <c r="AE3494" s="10"/>
      <c r="AF3494" s="10"/>
      <c r="AG3494" s="10"/>
      <c r="AH3494" s="10"/>
      <c r="AI3494" s="10"/>
      <c r="AJ3494" s="10"/>
      <c r="AK3494" s="10"/>
      <c r="AL3494" s="10"/>
      <c r="AM3494" s="10"/>
      <c r="AN3494" s="10"/>
      <c r="AO3494" s="10"/>
      <c r="AP3494" s="10"/>
      <c r="AQ3494" s="10"/>
      <c r="AR3494" s="10"/>
      <c r="AS3494" s="10"/>
      <c r="AT3494" s="10"/>
      <c r="AU3494" s="10"/>
      <c r="AV3494" s="10"/>
      <c r="AW3494" s="10"/>
      <c r="AX3494" s="10"/>
      <c r="AY3494" s="10"/>
      <c r="AZ3494" s="10"/>
    </row>
    <row r="3495" spans="28:52">
      <c r="AB3495" s="9">
        <v>1.0216400662329537</v>
      </c>
      <c r="AC3495" s="9">
        <v>1.0104478186648869</v>
      </c>
      <c r="AD3495" s="9">
        <v>0.97978234164063815</v>
      </c>
      <c r="AE3495" s="10"/>
      <c r="AF3495" s="10"/>
      <c r="AG3495" s="10"/>
      <c r="AH3495" s="10"/>
      <c r="AI3495" s="10"/>
      <c r="AJ3495" s="10"/>
      <c r="AK3495" s="10"/>
      <c r="AL3495" s="10"/>
      <c r="AM3495" s="10"/>
      <c r="AN3495" s="10"/>
      <c r="AO3495" s="10"/>
      <c r="AP3495" s="10"/>
      <c r="AQ3495" s="10"/>
      <c r="AR3495" s="10"/>
      <c r="AS3495" s="10"/>
      <c r="AT3495" s="10"/>
      <c r="AU3495" s="10"/>
      <c r="AV3495" s="10"/>
      <c r="AW3495" s="10"/>
      <c r="AX3495" s="10"/>
      <c r="AY3495" s="10"/>
      <c r="AZ3495" s="10"/>
    </row>
    <row r="3496" spans="28:52">
      <c r="AB3496" s="9">
        <v>1.0233687064618346</v>
      </c>
      <c r="AC3496" s="9">
        <v>1.0417211789197445</v>
      </c>
      <c r="AD3496" s="9">
        <v>0.97818720893422983</v>
      </c>
      <c r="AE3496" s="10"/>
      <c r="AF3496" s="10"/>
      <c r="AG3496" s="10"/>
      <c r="AH3496" s="10"/>
      <c r="AI3496" s="10"/>
      <c r="AJ3496" s="10"/>
      <c r="AK3496" s="10"/>
      <c r="AL3496" s="10"/>
      <c r="AM3496" s="10"/>
      <c r="AN3496" s="10"/>
      <c r="AO3496" s="10"/>
      <c r="AP3496" s="10"/>
      <c r="AQ3496" s="10"/>
      <c r="AR3496" s="10"/>
      <c r="AS3496" s="10"/>
      <c r="AT3496" s="10"/>
      <c r="AU3496" s="10"/>
      <c r="AV3496" s="10"/>
      <c r="AW3496" s="10"/>
      <c r="AX3496" s="10"/>
      <c r="AY3496" s="10"/>
      <c r="AZ3496" s="10"/>
    </row>
    <row r="3497" spans="28:52">
      <c r="AB3497" s="9">
        <v>1.0237016548301603</v>
      </c>
      <c r="AC3497" s="9">
        <v>1.2884006679145856</v>
      </c>
      <c r="AD3497" s="9">
        <v>0.9650865117118218</v>
      </c>
      <c r="AE3497" s="10"/>
      <c r="AF3497" s="10"/>
      <c r="AG3497" s="10"/>
      <c r="AH3497" s="10"/>
      <c r="AI3497" s="10"/>
      <c r="AJ3497" s="10"/>
      <c r="AK3497" s="10"/>
      <c r="AL3497" s="10"/>
      <c r="AM3497" s="10"/>
      <c r="AN3497" s="10"/>
      <c r="AO3497" s="10"/>
      <c r="AP3497" s="10"/>
      <c r="AQ3497" s="10"/>
      <c r="AR3497" s="10"/>
      <c r="AS3497" s="10"/>
      <c r="AT3497" s="10"/>
      <c r="AU3497" s="10"/>
      <c r="AV3497" s="10"/>
      <c r="AW3497" s="10"/>
      <c r="AX3497" s="10"/>
      <c r="AY3497" s="10"/>
      <c r="AZ3497" s="10"/>
    </row>
    <row r="3498" spans="28:52">
      <c r="AB3498" s="9">
        <v>1.0359629155171131</v>
      </c>
      <c r="AC3498" s="9">
        <v>1.5643110500694195</v>
      </c>
      <c r="AD3498" s="9">
        <v>0.9561622061156384</v>
      </c>
      <c r="AE3498" s="10"/>
      <c r="AF3498" s="10"/>
      <c r="AG3498" s="10"/>
      <c r="AH3498" s="10"/>
      <c r="AI3498" s="10"/>
      <c r="AJ3498" s="10"/>
      <c r="AK3498" s="10"/>
      <c r="AL3498" s="10"/>
      <c r="AM3498" s="10"/>
      <c r="AN3498" s="10"/>
      <c r="AO3498" s="10"/>
      <c r="AP3498" s="10"/>
      <c r="AQ3498" s="10"/>
      <c r="AR3498" s="10"/>
      <c r="AS3498" s="10"/>
      <c r="AT3498" s="10"/>
      <c r="AU3498" s="10"/>
      <c r="AV3498" s="10"/>
      <c r="AW3498" s="10"/>
      <c r="AX3498" s="10"/>
      <c r="AY3498" s="10"/>
      <c r="AZ3498" s="10"/>
    </row>
    <row r="3499" spans="28:52">
      <c r="AB3499" s="9">
        <v>1.0434052058430381</v>
      </c>
      <c r="AC3499" s="9">
        <v>1.3423369204624211</v>
      </c>
      <c r="AD3499" s="9">
        <v>0.96040756596120636</v>
      </c>
      <c r="AE3499" s="10"/>
      <c r="AF3499" s="10"/>
      <c r="AG3499" s="10"/>
      <c r="AH3499" s="10"/>
      <c r="AI3499" s="10"/>
      <c r="AJ3499" s="10"/>
      <c r="AK3499" s="10"/>
      <c r="AL3499" s="10"/>
      <c r="AM3499" s="10"/>
      <c r="AN3499" s="10"/>
      <c r="AO3499" s="10"/>
      <c r="AP3499" s="10"/>
      <c r="AQ3499" s="10"/>
      <c r="AR3499" s="10"/>
      <c r="AS3499" s="10"/>
      <c r="AT3499" s="10"/>
      <c r="AU3499" s="10"/>
      <c r="AV3499" s="10"/>
      <c r="AW3499" s="10"/>
      <c r="AX3499" s="10"/>
      <c r="AY3499" s="10"/>
      <c r="AZ3499" s="10"/>
    </row>
    <row r="3500" spans="28:52">
      <c r="AB3500" s="9">
        <v>1.0364677478841586</v>
      </c>
      <c r="AC3500" s="9">
        <v>1.0961167211167206</v>
      </c>
      <c r="AD3500" s="9">
        <v>0.96316281814400273</v>
      </c>
      <c r="AE3500" s="10"/>
      <c r="AF3500" s="10"/>
      <c r="AG3500" s="10"/>
      <c r="AH3500" s="10"/>
      <c r="AI3500" s="10"/>
      <c r="AJ3500" s="10"/>
      <c r="AK3500" s="10"/>
      <c r="AL3500" s="10"/>
      <c r="AM3500" s="10"/>
      <c r="AN3500" s="10"/>
      <c r="AO3500" s="10"/>
      <c r="AP3500" s="10"/>
      <c r="AQ3500" s="10"/>
      <c r="AR3500" s="10"/>
      <c r="AS3500" s="10"/>
      <c r="AT3500" s="10"/>
      <c r="AU3500" s="10"/>
      <c r="AV3500" s="10"/>
      <c r="AW3500" s="10"/>
      <c r="AX3500" s="10"/>
      <c r="AY3500" s="10"/>
      <c r="AZ3500" s="10"/>
    </row>
    <row r="3501" spans="28:52">
      <c r="AB3501" s="9">
        <v>1.0316544144835003</v>
      </c>
      <c r="AC3501" s="9">
        <v>1.0834196261096758</v>
      </c>
      <c r="AD3501" s="9">
        <v>0.96363222154410488</v>
      </c>
      <c r="AE3501" s="10"/>
      <c r="AF3501" s="10"/>
      <c r="AG3501" s="10"/>
      <c r="AH3501" s="10"/>
      <c r="AI3501" s="10"/>
      <c r="AJ3501" s="10"/>
      <c r="AK3501" s="10"/>
      <c r="AL3501" s="10"/>
      <c r="AM3501" s="10"/>
      <c r="AN3501" s="10"/>
      <c r="AO3501" s="10"/>
      <c r="AP3501" s="10"/>
      <c r="AQ3501" s="10"/>
      <c r="AR3501" s="10"/>
      <c r="AS3501" s="10"/>
      <c r="AT3501" s="10"/>
      <c r="AU3501" s="10"/>
      <c r="AV3501" s="10"/>
      <c r="AW3501" s="10"/>
      <c r="AX3501" s="10"/>
      <c r="AY3501" s="10"/>
      <c r="AZ3501" s="10"/>
    </row>
    <row r="3502" spans="28:52">
      <c r="AB3502" s="9">
        <v>1.0295430493252518</v>
      </c>
      <c r="AC3502" s="9">
        <v>1.0684919968388686</v>
      </c>
      <c r="AD3502" s="9">
        <v>0.95850179727739782</v>
      </c>
      <c r="AE3502" s="10"/>
      <c r="AF3502" s="10"/>
      <c r="AG3502" s="10"/>
      <c r="AH3502" s="10"/>
      <c r="AI3502" s="10"/>
      <c r="AJ3502" s="10"/>
      <c r="AK3502" s="10"/>
      <c r="AL3502" s="10"/>
      <c r="AM3502" s="10"/>
      <c r="AN3502" s="10"/>
      <c r="AO3502" s="10"/>
      <c r="AP3502" s="10"/>
      <c r="AQ3502" s="10"/>
      <c r="AR3502" s="10"/>
      <c r="AS3502" s="10"/>
      <c r="AT3502" s="10"/>
      <c r="AU3502" s="10"/>
      <c r="AV3502" s="10"/>
      <c r="AW3502" s="10"/>
      <c r="AX3502" s="10"/>
      <c r="AY3502" s="10"/>
      <c r="AZ3502" s="10"/>
    </row>
    <row r="3503" spans="28:52">
      <c r="AB3503" s="9">
        <v>1.0333230452640714</v>
      </c>
      <c r="AC3503" s="9">
        <v>1.162584485645191</v>
      </c>
      <c r="AD3503" s="9">
        <v>0.96475907693404206</v>
      </c>
      <c r="AE3503" s="10"/>
      <c r="AF3503" s="10"/>
      <c r="AG3503" s="10"/>
      <c r="AH3503" s="10"/>
      <c r="AI3503" s="10"/>
      <c r="AJ3503" s="10"/>
      <c r="AK3503" s="10"/>
      <c r="AL3503" s="10"/>
      <c r="AM3503" s="10"/>
      <c r="AN3503" s="10"/>
      <c r="AO3503" s="10"/>
      <c r="AP3503" s="10"/>
      <c r="AQ3503" s="10"/>
      <c r="AR3503" s="10"/>
      <c r="AS3503" s="10"/>
      <c r="AT3503" s="10"/>
      <c r="AU3503" s="10"/>
      <c r="AV3503" s="10"/>
      <c r="AW3503" s="10"/>
      <c r="AX3503" s="10"/>
      <c r="AY3503" s="10"/>
      <c r="AZ3503" s="10"/>
    </row>
    <row r="3504" spans="28:52">
      <c r="AB3504" s="9">
        <v>1.0249272213912126</v>
      </c>
      <c r="AC3504" s="9">
        <v>1.2540676461887383</v>
      </c>
      <c r="AD3504" s="9">
        <v>0.95790519661112983</v>
      </c>
      <c r="AE3504" s="10"/>
      <c r="AF3504" s="10"/>
      <c r="AG3504" s="10"/>
      <c r="AH3504" s="10"/>
      <c r="AI3504" s="10"/>
      <c r="AJ3504" s="10"/>
      <c r="AK3504" s="10"/>
      <c r="AL3504" s="10"/>
      <c r="AM3504" s="10"/>
      <c r="AN3504" s="10"/>
      <c r="AO3504" s="10"/>
      <c r="AP3504" s="10"/>
      <c r="AQ3504" s="10"/>
      <c r="AR3504" s="10"/>
      <c r="AS3504" s="10"/>
      <c r="AT3504" s="10"/>
      <c r="AU3504" s="10"/>
      <c r="AV3504" s="10"/>
      <c r="AW3504" s="10"/>
      <c r="AX3504" s="10"/>
      <c r="AY3504" s="10"/>
      <c r="AZ3504" s="10"/>
    </row>
    <row r="3505" spans="28:52">
      <c r="AB3505" s="9">
        <v>1.0307801331748392</v>
      </c>
      <c r="AC3505" s="9">
        <v>1.0961444810670971</v>
      </c>
      <c r="AD3505" s="9">
        <v>0.96027978871317565</v>
      </c>
      <c r="AE3505" s="10"/>
      <c r="AF3505" s="10"/>
      <c r="AG3505" s="10"/>
      <c r="AH3505" s="10"/>
      <c r="AI3505" s="10"/>
      <c r="AJ3505" s="10"/>
      <c r="AK3505" s="10"/>
      <c r="AL3505" s="10"/>
      <c r="AM3505" s="10"/>
      <c r="AN3505" s="10"/>
      <c r="AO3505" s="10"/>
      <c r="AP3505" s="10"/>
      <c r="AQ3505" s="10"/>
      <c r="AR3505" s="10"/>
      <c r="AS3505" s="10"/>
      <c r="AT3505" s="10"/>
      <c r="AU3505" s="10"/>
      <c r="AV3505" s="10"/>
      <c r="AW3505" s="10"/>
      <c r="AX3505" s="10"/>
      <c r="AY3505" s="10"/>
      <c r="AZ3505" s="10"/>
    </row>
    <row r="3506" spans="28:52">
      <c r="AB3506" s="9">
        <v>1.0266404997427978</v>
      </c>
      <c r="AC3506" s="9">
        <v>1.2305280415661239</v>
      </c>
      <c r="AD3506" s="9">
        <v>0.95747897805207105</v>
      </c>
      <c r="AE3506" s="10"/>
      <c r="AF3506" s="10"/>
      <c r="AG3506" s="10"/>
      <c r="AH3506" s="10"/>
      <c r="AI3506" s="10"/>
      <c r="AJ3506" s="10"/>
      <c r="AK3506" s="10"/>
      <c r="AL3506" s="10"/>
      <c r="AM3506" s="10"/>
      <c r="AN3506" s="10"/>
      <c r="AO3506" s="10"/>
      <c r="AP3506" s="10"/>
      <c r="AQ3506" s="10"/>
      <c r="AR3506" s="10"/>
      <c r="AS3506" s="10"/>
      <c r="AT3506" s="10"/>
      <c r="AU3506" s="10"/>
      <c r="AV3506" s="10"/>
      <c r="AW3506" s="10"/>
      <c r="AX3506" s="10"/>
      <c r="AY3506" s="10"/>
      <c r="AZ3506" s="10"/>
    </row>
    <row r="3507" spans="28:52">
      <c r="AB3507" s="9">
        <v>1.0278893280580017</v>
      </c>
      <c r="AC3507" s="9">
        <v>1.0492424334589654</v>
      </c>
      <c r="AD3507" s="9">
        <v>0.96409837690134514</v>
      </c>
      <c r="AE3507" s="10"/>
      <c r="AF3507" s="10"/>
      <c r="AG3507" s="10"/>
      <c r="AH3507" s="10"/>
      <c r="AI3507" s="10"/>
      <c r="AJ3507" s="10"/>
      <c r="AK3507" s="10"/>
      <c r="AL3507" s="10"/>
      <c r="AM3507" s="10"/>
      <c r="AN3507" s="10"/>
      <c r="AO3507" s="10"/>
      <c r="AP3507" s="10"/>
      <c r="AQ3507" s="10"/>
      <c r="AR3507" s="10"/>
      <c r="AS3507" s="10"/>
      <c r="AT3507" s="10"/>
      <c r="AU3507" s="10"/>
      <c r="AV3507" s="10"/>
      <c r="AW3507" s="10"/>
      <c r="AX3507" s="10"/>
      <c r="AY3507" s="10"/>
      <c r="AZ3507" s="10"/>
    </row>
    <row r="3508" spans="28:52">
      <c r="AB3508" s="9">
        <v>1.0192845238666515</v>
      </c>
      <c r="AC3508" s="9">
        <v>0.9853357469433851</v>
      </c>
      <c r="AD3508" s="9">
        <v>0.97785060724204609</v>
      </c>
      <c r="AE3508" s="10"/>
      <c r="AF3508" s="10"/>
      <c r="AG3508" s="10"/>
      <c r="AH3508" s="10"/>
      <c r="AI3508" s="10"/>
      <c r="AJ3508" s="10"/>
      <c r="AK3508" s="10"/>
      <c r="AL3508" s="10"/>
      <c r="AM3508" s="10"/>
      <c r="AN3508" s="10"/>
      <c r="AO3508" s="10"/>
      <c r="AP3508" s="10"/>
      <c r="AQ3508" s="10"/>
      <c r="AR3508" s="10"/>
      <c r="AS3508" s="10"/>
      <c r="AT3508" s="10"/>
      <c r="AU3508" s="10"/>
      <c r="AV3508" s="10"/>
      <c r="AW3508" s="10"/>
      <c r="AX3508" s="10"/>
      <c r="AY3508" s="10"/>
      <c r="AZ3508" s="10"/>
    </row>
    <row r="3509" spans="28:52">
      <c r="AB3509" s="9">
        <v>1.0038988855998516</v>
      </c>
      <c r="AC3509" s="9">
        <v>1.1198106117901838</v>
      </c>
      <c r="AD3509" s="9">
        <v>0.97601202827236855</v>
      </c>
      <c r="AE3509" s="10"/>
      <c r="AF3509" s="10"/>
      <c r="AG3509" s="10"/>
      <c r="AH3509" s="10"/>
      <c r="AI3509" s="10"/>
      <c r="AJ3509" s="10"/>
      <c r="AK3509" s="10"/>
      <c r="AL3509" s="10"/>
      <c r="AM3509" s="10"/>
      <c r="AN3509" s="10"/>
      <c r="AO3509" s="10"/>
      <c r="AP3509" s="10"/>
      <c r="AQ3509" s="10"/>
      <c r="AR3509" s="10"/>
      <c r="AS3509" s="10"/>
      <c r="AT3509" s="10"/>
      <c r="AU3509" s="10"/>
      <c r="AV3509" s="10"/>
      <c r="AW3509" s="10"/>
      <c r="AX3509" s="10"/>
      <c r="AY3509" s="10"/>
      <c r="AZ3509" s="10"/>
    </row>
    <row r="3510" spans="28:52">
      <c r="AB3510" s="9">
        <v>1.0050814847324891</v>
      </c>
      <c r="AC3510" s="9">
        <v>0.8107978519370922</v>
      </c>
      <c r="AD3510" s="9">
        <v>0.98219803828282592</v>
      </c>
      <c r="AE3510" s="10"/>
      <c r="AF3510" s="10"/>
      <c r="AG3510" s="10"/>
      <c r="AH3510" s="10"/>
      <c r="AI3510" s="10"/>
      <c r="AJ3510" s="10"/>
      <c r="AK3510" s="10"/>
      <c r="AL3510" s="10"/>
      <c r="AM3510" s="10"/>
      <c r="AN3510" s="10"/>
      <c r="AO3510" s="10"/>
      <c r="AP3510" s="10"/>
      <c r="AQ3510" s="10"/>
      <c r="AR3510" s="10"/>
      <c r="AS3510" s="10"/>
      <c r="AT3510" s="10"/>
      <c r="AU3510" s="10"/>
      <c r="AV3510" s="10"/>
      <c r="AW3510" s="10"/>
      <c r="AX3510" s="10"/>
      <c r="AY3510" s="10"/>
      <c r="AZ3510" s="10"/>
    </row>
    <row r="3511" spans="28:52">
      <c r="AB3511" s="9">
        <v>0.99837356565732771</v>
      </c>
      <c r="AC3511" s="9">
        <v>0.79337006010922406</v>
      </c>
      <c r="AD3511" s="9">
        <v>0.98025648789285147</v>
      </c>
      <c r="AE3511" s="10"/>
      <c r="AF3511" s="10"/>
      <c r="AG3511" s="10"/>
      <c r="AH3511" s="10"/>
      <c r="AI3511" s="10"/>
      <c r="AJ3511" s="10"/>
      <c r="AK3511" s="10"/>
      <c r="AL3511" s="10"/>
      <c r="AM3511" s="10"/>
      <c r="AN3511" s="10"/>
      <c r="AO3511" s="10"/>
      <c r="AP3511" s="10"/>
      <c r="AQ3511" s="10"/>
      <c r="AR3511" s="10"/>
      <c r="AS3511" s="10"/>
      <c r="AT3511" s="10"/>
      <c r="AU3511" s="10"/>
      <c r="AV3511" s="10"/>
      <c r="AW3511" s="10"/>
      <c r="AX3511" s="10"/>
      <c r="AY3511" s="10"/>
      <c r="AZ3511" s="10"/>
    </row>
    <row r="3512" spans="28:52">
      <c r="AB3512" s="9">
        <v>1.0004209946736577</v>
      </c>
      <c r="AC3512" s="9">
        <v>0.71346938775510171</v>
      </c>
      <c r="AD3512" s="9">
        <v>0.97772116006707421</v>
      </c>
      <c r="AE3512" s="10"/>
      <c r="AF3512" s="10"/>
      <c r="AG3512" s="10"/>
      <c r="AH3512" s="10"/>
      <c r="AI3512" s="10"/>
      <c r="AJ3512" s="10"/>
      <c r="AK3512" s="10"/>
      <c r="AL3512" s="10"/>
      <c r="AM3512" s="10"/>
      <c r="AN3512" s="10"/>
      <c r="AO3512" s="10"/>
      <c r="AP3512" s="10"/>
      <c r="AQ3512" s="10"/>
      <c r="AR3512" s="10"/>
      <c r="AS3512" s="10"/>
      <c r="AT3512" s="10"/>
      <c r="AU3512" s="10"/>
      <c r="AV3512" s="10"/>
      <c r="AW3512" s="10"/>
      <c r="AX3512" s="10"/>
      <c r="AY3512" s="10"/>
      <c r="AZ3512" s="10"/>
    </row>
    <row r="3513" spans="28:52">
      <c r="AB3513" s="9">
        <v>1.0030446471545744</v>
      </c>
      <c r="AC3513" s="9">
        <v>0.80082240381680925</v>
      </c>
      <c r="AD3513" s="9">
        <v>0.98395634338463378</v>
      </c>
      <c r="AE3513" s="10"/>
      <c r="AF3513" s="10"/>
      <c r="AG3513" s="10"/>
      <c r="AH3513" s="10"/>
      <c r="AI3513" s="10"/>
      <c r="AJ3513" s="10"/>
      <c r="AK3513" s="10"/>
      <c r="AL3513" s="10"/>
      <c r="AM3513" s="10"/>
      <c r="AN3513" s="10"/>
      <c r="AO3513" s="10"/>
      <c r="AP3513" s="10"/>
      <c r="AQ3513" s="10"/>
      <c r="AR3513" s="10"/>
      <c r="AS3513" s="10"/>
      <c r="AT3513" s="10"/>
      <c r="AU3513" s="10"/>
      <c r="AV3513" s="10"/>
      <c r="AW3513" s="10"/>
      <c r="AX3513" s="10"/>
      <c r="AY3513" s="10"/>
      <c r="AZ3513" s="10"/>
    </row>
    <row r="3514" spans="28:52">
      <c r="AB3514" s="9">
        <v>0.99679362088120194</v>
      </c>
      <c r="AC3514" s="9">
        <v>0.87958183231603382</v>
      </c>
      <c r="AD3514" s="9">
        <v>0.98391066352797318</v>
      </c>
      <c r="AE3514" s="10"/>
      <c r="AF3514" s="10"/>
      <c r="AG3514" s="10"/>
      <c r="AH3514" s="10"/>
      <c r="AI3514" s="10"/>
      <c r="AJ3514" s="10"/>
      <c r="AK3514" s="10"/>
      <c r="AL3514" s="10"/>
      <c r="AM3514" s="10"/>
      <c r="AN3514" s="10"/>
      <c r="AO3514" s="10"/>
      <c r="AP3514" s="10"/>
      <c r="AQ3514" s="10"/>
      <c r="AR3514" s="10"/>
      <c r="AS3514" s="10"/>
      <c r="AT3514" s="10"/>
      <c r="AU3514" s="10"/>
      <c r="AV3514" s="10"/>
      <c r="AW3514" s="10"/>
      <c r="AX3514" s="10"/>
      <c r="AY3514" s="10"/>
      <c r="AZ3514" s="10"/>
    </row>
    <row r="3515" spans="28:52">
      <c r="AB3515" s="9">
        <v>0.99731794837299148</v>
      </c>
      <c r="AC3515" s="9">
        <v>0.84549670611410543</v>
      </c>
      <c r="AD3515" s="9">
        <v>0.98723706048991844</v>
      </c>
      <c r="AE3515" s="10"/>
      <c r="AF3515" s="10"/>
      <c r="AG3515" s="10"/>
      <c r="AH3515" s="10"/>
      <c r="AI3515" s="10"/>
      <c r="AJ3515" s="10"/>
      <c r="AK3515" s="10"/>
      <c r="AL3515" s="10"/>
      <c r="AM3515" s="10"/>
      <c r="AN3515" s="10"/>
      <c r="AO3515" s="10"/>
      <c r="AP3515" s="10"/>
      <c r="AQ3515" s="10"/>
      <c r="AR3515" s="10"/>
      <c r="AS3515" s="10"/>
      <c r="AT3515" s="10"/>
      <c r="AU3515" s="10"/>
      <c r="AV3515" s="10"/>
      <c r="AW3515" s="10"/>
      <c r="AX3515" s="10"/>
      <c r="AY3515" s="10"/>
      <c r="AZ3515" s="10"/>
    </row>
    <row r="3516" spans="28:52">
      <c r="AB3516" s="9">
        <v>0.99445043298448099</v>
      </c>
      <c r="AC3516" s="9">
        <v>0.90127169808513852</v>
      </c>
      <c r="AD3516" s="9">
        <v>0.97712313568780274</v>
      </c>
      <c r="AE3516" s="10"/>
      <c r="AF3516" s="10"/>
      <c r="AG3516" s="10"/>
      <c r="AH3516" s="10"/>
      <c r="AI3516" s="10"/>
      <c r="AJ3516" s="10"/>
      <c r="AK3516" s="10"/>
      <c r="AL3516" s="10"/>
      <c r="AM3516" s="10"/>
      <c r="AN3516" s="10"/>
      <c r="AO3516" s="10"/>
      <c r="AP3516" s="10"/>
      <c r="AQ3516" s="10"/>
      <c r="AR3516" s="10"/>
      <c r="AS3516" s="10"/>
      <c r="AT3516" s="10"/>
      <c r="AU3516" s="10"/>
      <c r="AV3516" s="10"/>
      <c r="AW3516" s="10"/>
      <c r="AX3516" s="10"/>
      <c r="AY3516" s="10"/>
      <c r="AZ3516" s="10"/>
    </row>
    <row r="3517" spans="28:52">
      <c r="AB3517" s="9">
        <v>1.0049486752870211</v>
      </c>
      <c r="AC3517" s="9">
        <v>0.78763337349547224</v>
      </c>
      <c r="AD3517" s="9">
        <v>0.98002866712736858</v>
      </c>
      <c r="AE3517" s="10"/>
      <c r="AF3517" s="10"/>
      <c r="AG3517" s="10"/>
      <c r="AH3517" s="10"/>
      <c r="AI3517" s="10"/>
      <c r="AJ3517" s="10"/>
      <c r="AK3517" s="10"/>
      <c r="AL3517" s="10"/>
      <c r="AM3517" s="10"/>
      <c r="AN3517" s="10"/>
      <c r="AO3517" s="10"/>
      <c r="AP3517" s="10"/>
      <c r="AQ3517" s="10"/>
      <c r="AR3517" s="10"/>
      <c r="AS3517" s="10"/>
      <c r="AT3517" s="10"/>
      <c r="AU3517" s="10"/>
      <c r="AV3517" s="10"/>
      <c r="AW3517" s="10"/>
      <c r="AX3517" s="10"/>
      <c r="AY3517" s="10"/>
      <c r="AZ3517" s="10"/>
    </row>
    <row r="3518" spans="28:52">
      <c r="AB3518" s="9">
        <v>1.0018829384705799</v>
      </c>
      <c r="AC3518" s="9">
        <v>0.72278916847560681</v>
      </c>
      <c r="AD3518" s="9">
        <v>0.99479252638712745</v>
      </c>
      <c r="AE3518" s="10"/>
      <c r="AF3518" s="10"/>
      <c r="AG3518" s="10"/>
      <c r="AH3518" s="10"/>
      <c r="AI3518" s="10"/>
      <c r="AJ3518" s="10"/>
      <c r="AK3518" s="10"/>
      <c r="AL3518" s="10"/>
      <c r="AM3518" s="10"/>
      <c r="AN3518" s="10"/>
      <c r="AO3518" s="10"/>
      <c r="AP3518" s="10"/>
      <c r="AQ3518" s="10"/>
      <c r="AR3518" s="10"/>
      <c r="AS3518" s="10"/>
      <c r="AT3518" s="10"/>
      <c r="AU3518" s="10"/>
      <c r="AV3518" s="10"/>
      <c r="AW3518" s="10"/>
      <c r="AX3518" s="10"/>
      <c r="AY3518" s="10"/>
      <c r="AZ3518" s="10"/>
    </row>
    <row r="3519" spans="28:52">
      <c r="AB3519" s="9">
        <v>0.98730729360667679</v>
      </c>
      <c r="AC3519" s="9">
        <v>0.83191402476070941</v>
      </c>
      <c r="AD3519" s="9">
        <v>0.99595678401068821</v>
      </c>
      <c r="AE3519" s="10"/>
      <c r="AF3519" s="10"/>
      <c r="AG3519" s="10"/>
      <c r="AH3519" s="10"/>
      <c r="AI3519" s="10"/>
      <c r="AJ3519" s="10"/>
      <c r="AK3519" s="10"/>
      <c r="AL3519" s="10"/>
      <c r="AM3519" s="10"/>
      <c r="AN3519" s="10"/>
      <c r="AO3519" s="10"/>
      <c r="AP3519" s="10"/>
      <c r="AQ3519" s="10"/>
      <c r="AR3519" s="10"/>
      <c r="AS3519" s="10"/>
      <c r="AT3519" s="10"/>
      <c r="AU3519" s="10"/>
      <c r="AV3519" s="10"/>
      <c r="AW3519" s="10"/>
      <c r="AX3519" s="10"/>
      <c r="AY3519" s="10"/>
      <c r="AZ3519" s="10"/>
    </row>
    <row r="3520" spans="28:52">
      <c r="AB3520" s="9">
        <v>0.9867179174332612</v>
      </c>
      <c r="AC3520" s="9">
        <v>0.79445239131786793</v>
      </c>
      <c r="AD3520" s="9">
        <v>0.98879398189774015</v>
      </c>
      <c r="AE3520" s="10"/>
      <c r="AF3520" s="10"/>
      <c r="AG3520" s="10"/>
      <c r="AH3520" s="10"/>
      <c r="AI3520" s="10"/>
      <c r="AJ3520" s="10"/>
      <c r="AK3520" s="10"/>
      <c r="AL3520" s="10"/>
      <c r="AM3520" s="10"/>
      <c r="AN3520" s="10"/>
      <c r="AO3520" s="10"/>
      <c r="AP3520" s="10"/>
      <c r="AQ3520" s="10"/>
      <c r="AR3520" s="10"/>
      <c r="AS3520" s="10"/>
      <c r="AT3520" s="10"/>
      <c r="AU3520" s="10"/>
      <c r="AV3520" s="10"/>
      <c r="AW3520" s="10"/>
      <c r="AX3520" s="10"/>
      <c r="AY3520" s="10"/>
      <c r="AZ3520" s="10"/>
    </row>
    <row r="3521" spans="28:52">
      <c r="AB3521" s="9">
        <v>0.99455122090805059</v>
      </c>
      <c r="AC3521" s="9">
        <v>0.8947994782973433</v>
      </c>
      <c r="AD3521" s="9">
        <v>0.98578998963300835</v>
      </c>
      <c r="AE3521" s="10"/>
      <c r="AF3521" s="10"/>
      <c r="AG3521" s="10"/>
      <c r="AH3521" s="10"/>
      <c r="AI3521" s="10"/>
      <c r="AJ3521" s="10"/>
      <c r="AK3521" s="10"/>
      <c r="AL3521" s="10"/>
      <c r="AM3521" s="10"/>
      <c r="AN3521" s="10"/>
      <c r="AO3521" s="10"/>
      <c r="AP3521" s="10"/>
      <c r="AQ3521" s="10"/>
      <c r="AR3521" s="10"/>
      <c r="AS3521" s="10"/>
      <c r="AT3521" s="10"/>
      <c r="AU3521" s="10"/>
      <c r="AV3521" s="10"/>
      <c r="AW3521" s="10"/>
      <c r="AX3521" s="10"/>
      <c r="AY3521" s="10"/>
      <c r="AZ3521" s="10"/>
    </row>
    <row r="3522" spans="28:52">
      <c r="AB3522" s="9">
        <v>0.99784378020944642</v>
      </c>
      <c r="AC3522" s="9">
        <v>0.89915848544754406</v>
      </c>
      <c r="AD3522" s="9">
        <v>0.98782238331674943</v>
      </c>
      <c r="AE3522" s="10"/>
      <c r="AF3522" s="10"/>
      <c r="AG3522" s="10"/>
      <c r="AH3522" s="10"/>
      <c r="AI3522" s="10"/>
      <c r="AJ3522" s="10"/>
      <c r="AK3522" s="10"/>
      <c r="AL3522" s="10"/>
      <c r="AM3522" s="10"/>
      <c r="AN3522" s="10"/>
      <c r="AO3522" s="10"/>
      <c r="AP3522" s="10"/>
      <c r="AQ3522" s="10"/>
      <c r="AR3522" s="10"/>
      <c r="AS3522" s="10"/>
      <c r="AT3522" s="10"/>
      <c r="AU3522" s="10"/>
      <c r="AV3522" s="10"/>
      <c r="AW3522" s="10"/>
      <c r="AX3522" s="10"/>
      <c r="AY3522" s="10"/>
      <c r="AZ3522" s="10"/>
    </row>
    <row r="3523" spans="28:52">
      <c r="AB3523" s="9">
        <v>0.99583675842300801</v>
      </c>
      <c r="AC3523" s="9">
        <v>0.913206553271107</v>
      </c>
      <c r="AD3523" s="9">
        <v>0.98965243144995652</v>
      </c>
      <c r="AE3523" s="10"/>
      <c r="AF3523" s="10"/>
      <c r="AG3523" s="10"/>
      <c r="AH3523" s="10"/>
      <c r="AI3523" s="10"/>
      <c r="AJ3523" s="10"/>
      <c r="AK3523" s="10"/>
      <c r="AL3523" s="10"/>
      <c r="AM3523" s="10"/>
      <c r="AN3523" s="10"/>
      <c r="AO3523" s="10"/>
      <c r="AP3523" s="10"/>
      <c r="AQ3523" s="10"/>
      <c r="AR3523" s="10"/>
      <c r="AS3523" s="10"/>
      <c r="AT3523" s="10"/>
      <c r="AU3523" s="10"/>
      <c r="AV3523" s="10"/>
      <c r="AW3523" s="10"/>
      <c r="AX3523" s="10"/>
      <c r="AY3523" s="10"/>
      <c r="AZ3523" s="10"/>
    </row>
    <row r="3524" spans="28:52">
      <c r="AB3524" s="9">
        <v>0.99436359350950598</v>
      </c>
      <c r="AC3524" s="9">
        <v>0.83189452205305303</v>
      </c>
      <c r="AD3524" s="9">
        <v>0.99746865245756688</v>
      </c>
      <c r="AE3524" s="10"/>
      <c r="AF3524" s="10"/>
      <c r="AG3524" s="10"/>
      <c r="AH3524" s="10"/>
      <c r="AI3524" s="10"/>
      <c r="AJ3524" s="10"/>
      <c r="AK3524" s="10"/>
      <c r="AL3524" s="10"/>
      <c r="AM3524" s="10"/>
      <c r="AN3524" s="10"/>
      <c r="AO3524" s="10"/>
      <c r="AP3524" s="10"/>
      <c r="AQ3524" s="10"/>
      <c r="AR3524" s="10"/>
      <c r="AS3524" s="10"/>
      <c r="AT3524" s="10"/>
      <c r="AU3524" s="10"/>
      <c r="AV3524" s="10"/>
      <c r="AW3524" s="10"/>
      <c r="AX3524" s="10"/>
      <c r="AY3524" s="10"/>
      <c r="AZ3524" s="10"/>
    </row>
    <row r="3525" spans="28:52">
      <c r="AB3525" s="9">
        <v>0.98737680937623706</v>
      </c>
      <c r="AC3525" s="9">
        <v>1.0424237144706061</v>
      </c>
      <c r="AD3525" s="9">
        <v>0.98987551605476043</v>
      </c>
      <c r="AE3525" s="10"/>
      <c r="AF3525" s="10"/>
      <c r="AG3525" s="10"/>
      <c r="AH3525" s="10"/>
      <c r="AI3525" s="10"/>
      <c r="AJ3525" s="10"/>
      <c r="AK3525" s="10"/>
      <c r="AL3525" s="10"/>
      <c r="AM3525" s="10"/>
      <c r="AN3525" s="10"/>
      <c r="AO3525" s="10"/>
      <c r="AP3525" s="10"/>
      <c r="AQ3525" s="10"/>
      <c r="AR3525" s="10"/>
      <c r="AS3525" s="10"/>
      <c r="AT3525" s="10"/>
      <c r="AU3525" s="10"/>
      <c r="AV3525" s="10"/>
      <c r="AW3525" s="10"/>
      <c r="AX3525" s="10"/>
      <c r="AY3525" s="10"/>
      <c r="AZ3525" s="10"/>
    </row>
    <row r="3526" spans="28:52">
      <c r="AB3526" s="9">
        <v>0.99572780873467936</v>
      </c>
      <c r="AC3526" s="9">
        <v>0.79144129812281261</v>
      </c>
      <c r="AD3526" s="9">
        <v>0.99817972311695791</v>
      </c>
      <c r="AE3526" s="10"/>
      <c r="AF3526" s="10"/>
      <c r="AG3526" s="10"/>
      <c r="AH3526" s="10"/>
      <c r="AI3526" s="10"/>
      <c r="AJ3526" s="10"/>
      <c r="AK3526" s="10"/>
      <c r="AL3526" s="10"/>
      <c r="AM3526" s="10"/>
      <c r="AN3526" s="10"/>
      <c r="AO3526" s="10"/>
      <c r="AP3526" s="10"/>
      <c r="AQ3526" s="10"/>
      <c r="AR3526" s="10"/>
      <c r="AS3526" s="10"/>
      <c r="AT3526" s="10"/>
      <c r="AU3526" s="10"/>
      <c r="AV3526" s="10"/>
      <c r="AW3526" s="10"/>
      <c r="AX3526" s="10"/>
      <c r="AY3526" s="10"/>
      <c r="AZ3526" s="10"/>
    </row>
    <row r="3527" spans="28:52">
      <c r="AB3527" s="9">
        <v>0.9880729350519627</v>
      </c>
      <c r="AC3527" s="9">
        <v>0.68702822898281946</v>
      </c>
      <c r="AD3527" s="9">
        <v>0.99676780855170877</v>
      </c>
      <c r="AE3527" s="10"/>
      <c r="AF3527" s="10"/>
      <c r="AG3527" s="10"/>
      <c r="AH3527" s="10"/>
      <c r="AI3527" s="10"/>
      <c r="AJ3527" s="10"/>
      <c r="AK3527" s="10"/>
      <c r="AL3527" s="10"/>
      <c r="AM3527" s="10"/>
      <c r="AN3527" s="10"/>
      <c r="AO3527" s="10"/>
      <c r="AP3527" s="10"/>
      <c r="AQ3527" s="10"/>
      <c r="AR3527" s="10"/>
      <c r="AS3527" s="10"/>
      <c r="AT3527" s="10"/>
      <c r="AU3527" s="10"/>
      <c r="AV3527" s="10"/>
      <c r="AW3527" s="10"/>
      <c r="AX3527" s="10"/>
      <c r="AY3527" s="10"/>
      <c r="AZ3527" s="10"/>
    </row>
    <row r="3528" spans="28:52">
      <c r="AB3528" s="9">
        <v>0.99011786748550512</v>
      </c>
      <c r="AC3528" s="9">
        <v>0.61562049900106863</v>
      </c>
      <c r="AD3528" s="9">
        <v>0.99728503120998746</v>
      </c>
      <c r="AE3528" s="10"/>
      <c r="AF3528" s="10"/>
      <c r="AG3528" s="10"/>
      <c r="AH3528" s="10"/>
      <c r="AI3528" s="10"/>
      <c r="AJ3528" s="10"/>
      <c r="AK3528" s="10"/>
      <c r="AL3528" s="10"/>
      <c r="AM3528" s="10"/>
      <c r="AN3528" s="10"/>
      <c r="AO3528" s="10"/>
      <c r="AP3528" s="10"/>
      <c r="AQ3528" s="10"/>
      <c r="AR3528" s="10"/>
      <c r="AS3528" s="10"/>
      <c r="AT3528" s="10"/>
      <c r="AU3528" s="10"/>
      <c r="AV3528" s="10"/>
      <c r="AW3528" s="10"/>
      <c r="AX3528" s="10"/>
      <c r="AY3528" s="10"/>
      <c r="AZ3528" s="10"/>
    </row>
    <row r="3529" spans="28:52">
      <c r="AB3529" s="9">
        <v>0.9903219527078867</v>
      </c>
      <c r="AC3529" s="9">
        <v>0.68717627417603655</v>
      </c>
      <c r="AD3529" s="9">
        <v>1.0021133806728824</v>
      </c>
      <c r="AE3529" s="10"/>
      <c r="AF3529" s="10"/>
      <c r="AG3529" s="10"/>
      <c r="AH3529" s="10"/>
      <c r="AI3529" s="10"/>
      <c r="AJ3529" s="10"/>
      <c r="AK3529" s="10"/>
      <c r="AL3529" s="10"/>
      <c r="AM3529" s="10"/>
      <c r="AN3529" s="10"/>
      <c r="AO3529" s="10"/>
      <c r="AP3529" s="10"/>
      <c r="AQ3529" s="10"/>
      <c r="AR3529" s="10"/>
      <c r="AS3529" s="10"/>
      <c r="AT3529" s="10"/>
      <c r="AU3529" s="10"/>
      <c r="AV3529" s="10"/>
      <c r="AW3529" s="10"/>
      <c r="AX3529" s="10"/>
      <c r="AY3529" s="10"/>
      <c r="AZ3529" s="10"/>
    </row>
    <row r="3530" spans="28:52">
      <c r="AB3530" s="9">
        <v>0.98612048143471454</v>
      </c>
      <c r="AC3530" s="9">
        <v>0.77627002536147005</v>
      </c>
      <c r="AD3530" s="9">
        <v>1.0183788043210604</v>
      </c>
      <c r="AE3530" s="10"/>
      <c r="AF3530" s="10"/>
      <c r="AG3530" s="10"/>
      <c r="AH3530" s="10"/>
      <c r="AI3530" s="10"/>
      <c r="AJ3530" s="10"/>
      <c r="AK3530" s="10"/>
      <c r="AL3530" s="10"/>
      <c r="AM3530" s="10"/>
      <c r="AN3530" s="10"/>
      <c r="AO3530" s="10"/>
      <c r="AP3530" s="10"/>
      <c r="AQ3530" s="10"/>
      <c r="AR3530" s="10"/>
      <c r="AS3530" s="10"/>
      <c r="AT3530" s="10"/>
      <c r="AU3530" s="10"/>
      <c r="AV3530" s="10"/>
      <c r="AW3530" s="10"/>
      <c r="AX3530" s="10"/>
      <c r="AY3530" s="10"/>
      <c r="AZ3530" s="10"/>
    </row>
    <row r="3531" spans="28:52">
      <c r="AB3531" s="9">
        <v>0.97121129917507987</v>
      </c>
      <c r="AC3531" s="9">
        <v>1.0114021038267473</v>
      </c>
      <c r="AD3531" s="9">
        <v>1.0506938738373035</v>
      </c>
      <c r="AE3531" s="10"/>
      <c r="AF3531" s="10"/>
      <c r="AG3531" s="10"/>
      <c r="AH3531" s="10"/>
      <c r="AI3531" s="10"/>
      <c r="AJ3531" s="10"/>
      <c r="AK3531" s="10"/>
      <c r="AL3531" s="10"/>
      <c r="AM3531" s="10"/>
      <c r="AN3531" s="10"/>
      <c r="AO3531" s="10"/>
      <c r="AP3531" s="10"/>
      <c r="AQ3531" s="10"/>
      <c r="AR3531" s="10"/>
      <c r="AS3531" s="10"/>
      <c r="AT3531" s="10"/>
      <c r="AU3531" s="10"/>
      <c r="AV3531" s="10"/>
      <c r="AW3531" s="10"/>
      <c r="AX3531" s="10"/>
      <c r="AY3531" s="10"/>
      <c r="AZ3531" s="10"/>
    </row>
    <row r="3532" spans="28:52">
      <c r="AB3532" s="9">
        <v>0.94301647128924415</v>
      </c>
      <c r="AC3532" s="9">
        <v>1.0112285279191615</v>
      </c>
      <c r="AD3532" s="9">
        <v>1.0467207459531871</v>
      </c>
      <c r="AE3532" s="10"/>
      <c r="AF3532" s="10"/>
      <c r="AG3532" s="10"/>
      <c r="AH3532" s="10"/>
      <c r="AI3532" s="10"/>
      <c r="AJ3532" s="10"/>
      <c r="AK3532" s="10"/>
      <c r="AL3532" s="10"/>
      <c r="AM3532" s="10"/>
      <c r="AN3532" s="10"/>
      <c r="AO3532" s="10"/>
      <c r="AP3532" s="10"/>
      <c r="AQ3532" s="10"/>
      <c r="AR3532" s="10"/>
      <c r="AS3532" s="10"/>
      <c r="AT3532" s="10"/>
      <c r="AU3532" s="10"/>
      <c r="AV3532" s="10"/>
      <c r="AW3532" s="10"/>
      <c r="AX3532" s="10"/>
      <c r="AY3532" s="10"/>
      <c r="AZ3532" s="10"/>
    </row>
    <row r="3533" spans="28:52">
      <c r="AB3533" s="9">
        <v>0.94878851144509624</v>
      </c>
      <c r="AC3533" s="9">
        <v>0.79104778798100639</v>
      </c>
      <c r="AD3533" s="9">
        <v>1.0585934681302163</v>
      </c>
      <c r="AE3533" s="10"/>
      <c r="AF3533" s="10"/>
      <c r="AG3533" s="10"/>
      <c r="AH3533" s="10"/>
      <c r="AI3533" s="10"/>
      <c r="AJ3533" s="10"/>
      <c r="AK3533" s="10"/>
      <c r="AL3533" s="10"/>
      <c r="AM3533" s="10"/>
      <c r="AN3533" s="10"/>
      <c r="AO3533" s="10"/>
      <c r="AP3533" s="10"/>
      <c r="AQ3533" s="10"/>
      <c r="AR3533" s="10"/>
      <c r="AS3533" s="10"/>
      <c r="AT3533" s="10"/>
      <c r="AU3533" s="10"/>
      <c r="AV3533" s="10"/>
      <c r="AW3533" s="10"/>
      <c r="AX3533" s="10"/>
      <c r="AY3533" s="10"/>
      <c r="AZ3533" s="10"/>
    </row>
    <row r="3534" spans="28:52">
      <c r="AB3534" s="9">
        <v>0.94023458027080498</v>
      </c>
      <c r="AC3534" s="9">
        <v>0.86695357156671793</v>
      </c>
      <c r="AD3534" s="9">
        <v>1.0551507080578613</v>
      </c>
      <c r="AE3534" s="10"/>
      <c r="AF3534" s="10"/>
      <c r="AG3534" s="10"/>
      <c r="AH3534" s="10"/>
      <c r="AI3534" s="10"/>
      <c r="AJ3534" s="10"/>
      <c r="AK3534" s="10"/>
      <c r="AL3534" s="10"/>
      <c r="AM3534" s="10"/>
      <c r="AN3534" s="10"/>
      <c r="AO3534" s="10"/>
      <c r="AP3534" s="10"/>
      <c r="AQ3534" s="10"/>
      <c r="AR3534" s="10"/>
      <c r="AS3534" s="10"/>
      <c r="AT3534" s="10"/>
      <c r="AU3534" s="10"/>
      <c r="AV3534" s="10"/>
      <c r="AW3534" s="10"/>
      <c r="AX3534" s="10"/>
      <c r="AY3534" s="10"/>
      <c r="AZ3534" s="10"/>
    </row>
    <row r="3535" spans="28:52">
      <c r="AB3535" s="9">
        <v>0.94587136675742012</v>
      </c>
      <c r="AC3535" s="9">
        <v>0.92335504352536557</v>
      </c>
      <c r="AD3535" s="9">
        <v>1.0524569477770491</v>
      </c>
      <c r="AE3535" s="10"/>
      <c r="AF3535" s="10"/>
      <c r="AG3535" s="10"/>
      <c r="AH3535" s="10"/>
      <c r="AI3535" s="10"/>
      <c r="AJ3535" s="10"/>
      <c r="AK3535" s="10"/>
      <c r="AL3535" s="10"/>
      <c r="AM3535" s="10"/>
      <c r="AN3535" s="10"/>
      <c r="AO3535" s="10"/>
      <c r="AP3535" s="10"/>
      <c r="AQ3535" s="10"/>
      <c r="AR3535" s="10"/>
      <c r="AS3535" s="10"/>
      <c r="AT3535" s="10"/>
      <c r="AU3535" s="10"/>
      <c r="AV3535" s="10"/>
      <c r="AW3535" s="10"/>
      <c r="AX3535" s="10"/>
      <c r="AY3535" s="10"/>
      <c r="AZ3535" s="10"/>
    </row>
    <row r="3536" spans="28:52">
      <c r="AB3536" s="9">
        <v>0.95075745744802498</v>
      </c>
      <c r="AC3536" s="9">
        <v>0.86466873105694519</v>
      </c>
      <c r="AD3536" s="9">
        <v>1.0522266081541289</v>
      </c>
      <c r="AE3536" s="10"/>
      <c r="AF3536" s="10"/>
      <c r="AG3536" s="10"/>
      <c r="AH3536" s="10"/>
      <c r="AI3536" s="10"/>
      <c r="AJ3536" s="10"/>
      <c r="AK3536" s="10"/>
      <c r="AL3536" s="10"/>
      <c r="AM3536" s="10"/>
      <c r="AN3536" s="10"/>
      <c r="AO3536" s="10"/>
      <c r="AP3536" s="10"/>
      <c r="AQ3536" s="10"/>
      <c r="AR3536" s="10"/>
      <c r="AS3536" s="10"/>
      <c r="AT3536" s="10"/>
      <c r="AU3536" s="10"/>
      <c r="AV3536" s="10"/>
      <c r="AW3536" s="10"/>
      <c r="AX3536" s="10"/>
      <c r="AY3536" s="10"/>
      <c r="AZ3536" s="10"/>
    </row>
    <row r="3537" spans="28:52">
      <c r="AB3537" s="9">
        <v>0.95343500595707509</v>
      </c>
      <c r="AC3537" s="9">
        <v>0.613242452252866</v>
      </c>
      <c r="AD3537" s="9">
        <v>1.0453506050557688</v>
      </c>
      <c r="AE3537" s="10"/>
      <c r="AF3537" s="10"/>
      <c r="AG3537" s="10"/>
      <c r="AH3537" s="10"/>
      <c r="AI3537" s="10"/>
      <c r="AJ3537" s="10"/>
      <c r="AK3537" s="10"/>
      <c r="AL3537" s="10"/>
      <c r="AM3537" s="10"/>
      <c r="AN3537" s="10"/>
      <c r="AO3537" s="10"/>
      <c r="AP3537" s="10"/>
      <c r="AQ3537" s="10"/>
      <c r="AR3537" s="10"/>
      <c r="AS3537" s="10"/>
      <c r="AT3537" s="10"/>
      <c r="AU3537" s="10"/>
      <c r="AV3537" s="10"/>
      <c r="AW3537" s="10"/>
      <c r="AX3537" s="10"/>
      <c r="AY3537" s="10"/>
      <c r="AZ3537" s="10"/>
    </row>
    <row r="3538" spans="28:52">
      <c r="AB3538" s="9">
        <v>0.96193770617182162</v>
      </c>
      <c r="AC3538" s="9">
        <v>0.7604229949442427</v>
      </c>
      <c r="AD3538" s="9">
        <v>1.0516742208308025</v>
      </c>
      <c r="AE3538" s="10"/>
      <c r="AF3538" s="10"/>
      <c r="AG3538" s="10"/>
      <c r="AH3538" s="10"/>
      <c r="AI3538" s="10"/>
      <c r="AJ3538" s="10"/>
      <c r="AK3538" s="10"/>
      <c r="AL3538" s="10"/>
      <c r="AM3538" s="10"/>
      <c r="AN3538" s="10"/>
      <c r="AO3538" s="10"/>
      <c r="AP3538" s="10"/>
      <c r="AQ3538" s="10"/>
      <c r="AR3538" s="10"/>
      <c r="AS3538" s="10"/>
      <c r="AT3538" s="10"/>
      <c r="AU3538" s="10"/>
      <c r="AV3538" s="10"/>
      <c r="AW3538" s="10"/>
      <c r="AX3538" s="10"/>
      <c r="AY3538" s="10"/>
      <c r="AZ3538" s="10"/>
    </row>
    <row r="3539" spans="28:52">
      <c r="AB3539" s="9">
        <v>0.9585284777149059</v>
      </c>
      <c r="AC3539" s="9">
        <v>0.6525065602271175</v>
      </c>
      <c r="AD3539" s="9">
        <v>1.0416403555467308</v>
      </c>
      <c r="AE3539" s="10"/>
      <c r="AF3539" s="10"/>
      <c r="AG3539" s="10"/>
      <c r="AH3539" s="10"/>
      <c r="AI3539" s="10"/>
      <c r="AJ3539" s="10"/>
      <c r="AK3539" s="10"/>
      <c r="AL3539" s="10"/>
      <c r="AM3539" s="10"/>
      <c r="AN3539" s="10"/>
      <c r="AO3539" s="10"/>
      <c r="AP3539" s="10"/>
      <c r="AQ3539" s="10"/>
      <c r="AR3539" s="10"/>
      <c r="AS3539" s="10"/>
      <c r="AT3539" s="10"/>
      <c r="AU3539" s="10"/>
      <c r="AV3539" s="10"/>
      <c r="AW3539" s="10"/>
      <c r="AX3539" s="10"/>
      <c r="AY3539" s="10"/>
      <c r="AZ3539" s="10"/>
    </row>
    <row r="3540" spans="28:52">
      <c r="AB3540" s="9">
        <v>0.97004663646477551</v>
      </c>
      <c r="AC3540" s="9">
        <v>0.71963407415943403</v>
      </c>
      <c r="AD3540" s="9">
        <v>1.0472075447700011</v>
      </c>
      <c r="AE3540" s="10"/>
      <c r="AF3540" s="10"/>
      <c r="AG3540" s="10"/>
      <c r="AH3540" s="10"/>
      <c r="AI3540" s="10"/>
      <c r="AJ3540" s="10"/>
      <c r="AK3540" s="10"/>
      <c r="AL3540" s="10"/>
      <c r="AM3540" s="10"/>
      <c r="AN3540" s="10"/>
      <c r="AO3540" s="10"/>
      <c r="AP3540" s="10"/>
      <c r="AQ3540" s="10"/>
      <c r="AR3540" s="10"/>
      <c r="AS3540" s="10"/>
      <c r="AT3540" s="10"/>
      <c r="AU3540" s="10"/>
      <c r="AV3540" s="10"/>
      <c r="AW3540" s="10"/>
      <c r="AX3540" s="10"/>
      <c r="AY3540" s="10"/>
      <c r="AZ3540" s="10"/>
    </row>
    <row r="3541" spans="28:52">
      <c r="AB3541" s="9">
        <v>0.96707355295423592</v>
      </c>
      <c r="AC3541" s="9">
        <v>0.7167697804516372</v>
      </c>
      <c r="AD3541" s="9">
        <v>1.0488332514067875</v>
      </c>
      <c r="AE3541" s="10"/>
      <c r="AF3541" s="10"/>
      <c r="AG3541" s="10"/>
      <c r="AH3541" s="10"/>
      <c r="AI3541" s="10"/>
      <c r="AJ3541" s="10"/>
      <c r="AK3541" s="10"/>
      <c r="AL3541" s="10"/>
      <c r="AM3541" s="10"/>
      <c r="AN3541" s="10"/>
      <c r="AO3541" s="10"/>
      <c r="AP3541" s="10"/>
      <c r="AQ3541" s="10"/>
      <c r="AR3541" s="10"/>
      <c r="AS3541" s="10"/>
      <c r="AT3541" s="10"/>
      <c r="AU3541" s="10"/>
      <c r="AV3541" s="10"/>
      <c r="AW3541" s="10"/>
      <c r="AX3541" s="10"/>
      <c r="AY3541" s="10"/>
      <c r="AZ3541" s="10"/>
    </row>
    <row r="3542" spans="28:52">
      <c r="AB3542" s="9">
        <v>0.96791559323263265</v>
      </c>
      <c r="AC3542" s="9">
        <v>0.82621481585212164</v>
      </c>
      <c r="AD3542" s="9">
        <v>1.0533238221266505</v>
      </c>
      <c r="AE3542" s="10"/>
      <c r="AF3542" s="10"/>
      <c r="AG3542" s="10"/>
      <c r="AH3542" s="10"/>
      <c r="AI3542" s="10"/>
      <c r="AJ3542" s="10"/>
      <c r="AK3542" s="10"/>
      <c r="AL3542" s="10"/>
      <c r="AM3542" s="10"/>
      <c r="AN3542" s="10"/>
      <c r="AO3542" s="10"/>
      <c r="AP3542" s="10"/>
      <c r="AQ3542" s="10"/>
      <c r="AR3542" s="10"/>
      <c r="AS3542" s="10"/>
      <c r="AT3542" s="10"/>
      <c r="AU3542" s="10"/>
      <c r="AV3542" s="10"/>
      <c r="AW3542" s="10"/>
      <c r="AX3542" s="10"/>
      <c r="AY3542" s="10"/>
      <c r="AZ3542" s="10"/>
    </row>
    <row r="3543" spans="28:52">
      <c r="AB3543" s="9">
        <v>0.96649922970560276</v>
      </c>
      <c r="AC3543" s="9">
        <v>0.7568322232947885</v>
      </c>
      <c r="AD3543" s="9">
        <v>1.0332556052298607</v>
      </c>
      <c r="AE3543" s="10"/>
      <c r="AF3543" s="10"/>
      <c r="AG3543" s="10"/>
      <c r="AH3543" s="10"/>
      <c r="AI3543" s="10"/>
      <c r="AJ3543" s="10"/>
      <c r="AK3543" s="10"/>
      <c r="AL3543" s="10"/>
      <c r="AM3543" s="10"/>
      <c r="AN3543" s="10"/>
      <c r="AO3543" s="10"/>
      <c r="AP3543" s="10"/>
      <c r="AQ3543" s="10"/>
      <c r="AR3543" s="10"/>
      <c r="AS3543" s="10"/>
      <c r="AT3543" s="10"/>
      <c r="AU3543" s="10"/>
      <c r="AV3543" s="10"/>
      <c r="AW3543" s="10"/>
      <c r="AX3543" s="10"/>
      <c r="AY3543" s="10"/>
      <c r="AZ3543" s="10"/>
    </row>
    <row r="3544" spans="28:52">
      <c r="AB3544" s="9">
        <v>0.98782753169572335</v>
      </c>
      <c r="AC3544" s="9">
        <v>1.263829580089191</v>
      </c>
      <c r="AD3544" s="9">
        <v>1.0278955623026964</v>
      </c>
      <c r="AE3544" s="10"/>
      <c r="AF3544" s="10"/>
      <c r="AG3544" s="10"/>
      <c r="AH3544" s="10"/>
      <c r="AI3544" s="10"/>
      <c r="AJ3544" s="10"/>
      <c r="AK3544" s="10"/>
      <c r="AL3544" s="10"/>
      <c r="AM3544" s="10"/>
      <c r="AN3544" s="10"/>
      <c r="AO3544" s="10"/>
      <c r="AP3544" s="10"/>
      <c r="AQ3544" s="10"/>
      <c r="AR3544" s="10"/>
      <c r="AS3544" s="10"/>
      <c r="AT3544" s="10"/>
      <c r="AU3544" s="10"/>
      <c r="AV3544" s="10"/>
      <c r="AW3544" s="10"/>
      <c r="AX3544" s="10"/>
      <c r="AY3544" s="10"/>
      <c r="AZ3544" s="10"/>
    </row>
    <row r="3545" spans="28:52">
      <c r="AB3545" s="9">
        <v>0.99503194294027109</v>
      </c>
      <c r="AC3545" s="9">
        <v>1.037569794799569</v>
      </c>
      <c r="AD3545" s="9">
        <v>1.0295704098477423</v>
      </c>
      <c r="AE3545" s="10"/>
      <c r="AF3545" s="10"/>
      <c r="AG3545" s="10"/>
      <c r="AH3545" s="10"/>
      <c r="AI3545" s="10"/>
      <c r="AJ3545" s="10"/>
      <c r="AK3545" s="10"/>
      <c r="AL3545" s="10"/>
      <c r="AM3545" s="10"/>
      <c r="AN3545" s="10"/>
      <c r="AO3545" s="10"/>
      <c r="AP3545" s="10"/>
      <c r="AQ3545" s="10"/>
      <c r="AR3545" s="10"/>
      <c r="AS3545" s="10"/>
      <c r="AT3545" s="10"/>
      <c r="AU3545" s="10"/>
      <c r="AV3545" s="10"/>
      <c r="AW3545" s="10"/>
      <c r="AX3545" s="10"/>
      <c r="AY3545" s="10"/>
      <c r="AZ3545" s="10"/>
    </row>
    <row r="3546" spans="28:52">
      <c r="AB3546" s="9">
        <v>0.9953602402189764</v>
      </c>
      <c r="AC3546" s="9">
        <v>0.87263320587183801</v>
      </c>
      <c r="AD3546" s="9">
        <v>1.0340317321590644</v>
      </c>
      <c r="AE3546" s="10"/>
      <c r="AF3546" s="10"/>
      <c r="AG3546" s="10"/>
      <c r="AH3546" s="10"/>
      <c r="AI3546" s="10"/>
      <c r="AJ3546" s="10"/>
      <c r="AK3546" s="10"/>
      <c r="AL3546" s="10"/>
      <c r="AM3546" s="10"/>
      <c r="AN3546" s="10"/>
      <c r="AO3546" s="10"/>
      <c r="AP3546" s="10"/>
      <c r="AQ3546" s="10"/>
      <c r="AR3546" s="10"/>
      <c r="AS3546" s="10"/>
      <c r="AT3546" s="10"/>
      <c r="AU3546" s="10"/>
      <c r="AV3546" s="10"/>
      <c r="AW3546" s="10"/>
      <c r="AX3546" s="10"/>
      <c r="AY3546" s="10"/>
      <c r="AZ3546" s="10"/>
    </row>
    <row r="3547" spans="28:52">
      <c r="AB3547" s="9">
        <v>0.99310760156786104</v>
      </c>
      <c r="AC3547" s="9">
        <v>0.87933521049378482</v>
      </c>
      <c r="AD3547" s="9">
        <v>1.0413430497555405</v>
      </c>
      <c r="AE3547" s="10"/>
      <c r="AF3547" s="10"/>
      <c r="AG3547" s="10"/>
      <c r="AH3547" s="10"/>
      <c r="AI3547" s="10"/>
      <c r="AJ3547" s="10"/>
      <c r="AK3547" s="10"/>
      <c r="AL3547" s="10"/>
      <c r="AM3547" s="10"/>
      <c r="AN3547" s="10"/>
      <c r="AO3547" s="10"/>
      <c r="AP3547" s="10"/>
      <c r="AQ3547" s="10"/>
      <c r="AR3547" s="10"/>
      <c r="AS3547" s="10"/>
      <c r="AT3547" s="10"/>
      <c r="AU3547" s="10"/>
      <c r="AV3547" s="10"/>
      <c r="AW3547" s="10"/>
      <c r="AX3547" s="10"/>
      <c r="AY3547" s="10"/>
      <c r="AZ3547" s="10"/>
    </row>
    <row r="3548" spans="28:52">
      <c r="AB3548" s="9">
        <v>0.98861389753092543</v>
      </c>
      <c r="AC3548" s="9">
        <v>0.75215466810895037</v>
      </c>
      <c r="AD3548" s="9">
        <v>1.0398847774070705</v>
      </c>
      <c r="AE3548" s="10"/>
      <c r="AF3548" s="10"/>
      <c r="AG3548" s="10"/>
      <c r="AH3548" s="10"/>
      <c r="AI3548" s="10"/>
      <c r="AJ3548" s="10"/>
      <c r="AK3548" s="10"/>
      <c r="AL3548" s="10"/>
      <c r="AM3548" s="10"/>
      <c r="AN3548" s="10"/>
      <c r="AO3548" s="10"/>
      <c r="AP3548" s="10"/>
      <c r="AQ3548" s="10"/>
      <c r="AR3548" s="10"/>
      <c r="AS3548" s="10"/>
      <c r="AT3548" s="10"/>
      <c r="AU3548" s="10"/>
      <c r="AV3548" s="10"/>
      <c r="AW3548" s="10"/>
      <c r="AX3548" s="10"/>
      <c r="AY3548" s="10"/>
      <c r="AZ3548" s="10"/>
    </row>
    <row r="3549" spans="28:52">
      <c r="AB3549" s="9">
        <v>0.99261099744610004</v>
      </c>
      <c r="AC3549" s="9">
        <v>0.78917796332911339</v>
      </c>
      <c r="AD3549" s="9">
        <v>1.0332263586938351</v>
      </c>
      <c r="AE3549" s="10"/>
      <c r="AF3549" s="10"/>
      <c r="AG3549" s="10"/>
      <c r="AH3549" s="10"/>
      <c r="AI3549" s="10"/>
      <c r="AJ3549" s="10"/>
      <c r="AK3549" s="10"/>
      <c r="AL3549" s="10"/>
      <c r="AM3549" s="10"/>
      <c r="AN3549" s="10"/>
      <c r="AO3549" s="10"/>
      <c r="AP3549" s="10"/>
      <c r="AQ3549" s="10"/>
      <c r="AR3549" s="10"/>
      <c r="AS3549" s="10"/>
      <c r="AT3549" s="10"/>
      <c r="AU3549" s="10"/>
      <c r="AV3549" s="10"/>
      <c r="AW3549" s="10"/>
      <c r="AX3549" s="10"/>
      <c r="AY3549" s="10"/>
      <c r="AZ3549" s="10"/>
    </row>
    <row r="3550" spans="28:52">
      <c r="AB3550" s="9">
        <v>1.0012685511502717</v>
      </c>
      <c r="AC3550" s="9">
        <v>1.0720951120287985</v>
      </c>
      <c r="AD3550" s="9">
        <v>1.0444022153671693</v>
      </c>
      <c r="AE3550" s="10"/>
      <c r="AF3550" s="10"/>
      <c r="AG3550" s="10"/>
      <c r="AH3550" s="10"/>
      <c r="AI3550" s="10"/>
      <c r="AJ3550" s="10"/>
      <c r="AK3550" s="10"/>
      <c r="AL3550" s="10"/>
      <c r="AM3550" s="10"/>
      <c r="AN3550" s="10"/>
      <c r="AO3550" s="10"/>
      <c r="AP3550" s="10"/>
      <c r="AQ3550" s="10"/>
      <c r="AR3550" s="10"/>
      <c r="AS3550" s="10"/>
      <c r="AT3550" s="10"/>
      <c r="AU3550" s="10"/>
      <c r="AV3550" s="10"/>
      <c r="AW3550" s="10"/>
      <c r="AX3550" s="10"/>
      <c r="AY3550" s="10"/>
      <c r="AZ3550" s="10"/>
    </row>
    <row r="3551" spans="28:52">
      <c r="AB3551" s="9">
        <v>0.99288050385869075</v>
      </c>
      <c r="AC3551" s="9">
        <v>0.98993481319817334</v>
      </c>
      <c r="AD3551" s="9">
        <v>1.0515434822811636</v>
      </c>
      <c r="AE3551" s="10"/>
      <c r="AF3551" s="10"/>
      <c r="AG3551" s="10"/>
      <c r="AH3551" s="10"/>
      <c r="AI3551" s="10"/>
      <c r="AJ3551" s="10"/>
      <c r="AK3551" s="10"/>
      <c r="AL3551" s="10"/>
      <c r="AM3551" s="10"/>
      <c r="AN3551" s="10"/>
      <c r="AO3551" s="10"/>
      <c r="AP3551" s="10"/>
      <c r="AQ3551" s="10"/>
      <c r="AR3551" s="10"/>
      <c r="AS3551" s="10"/>
      <c r="AT3551" s="10"/>
      <c r="AU3551" s="10"/>
      <c r="AV3551" s="10"/>
      <c r="AW3551" s="10"/>
      <c r="AX3551" s="10"/>
      <c r="AY3551" s="10"/>
      <c r="AZ3551" s="10"/>
    </row>
    <row r="3552" spans="28:52">
      <c r="AB3552" s="9">
        <v>0.98853316887103282</v>
      </c>
      <c r="AC3552" s="9">
        <v>0.84635614550812488</v>
      </c>
      <c r="AD3552" s="9">
        <v>1.0535820249438534</v>
      </c>
      <c r="AE3552" s="10"/>
      <c r="AF3552" s="10"/>
      <c r="AG3552" s="10"/>
      <c r="AH3552" s="10"/>
      <c r="AI3552" s="10"/>
      <c r="AJ3552" s="10"/>
      <c r="AK3552" s="10"/>
      <c r="AL3552" s="10"/>
      <c r="AM3552" s="10"/>
      <c r="AN3552" s="10"/>
      <c r="AO3552" s="10"/>
      <c r="AP3552" s="10"/>
      <c r="AQ3552" s="10"/>
      <c r="AR3552" s="10"/>
      <c r="AS3552" s="10"/>
      <c r="AT3552" s="10"/>
      <c r="AU3552" s="10"/>
      <c r="AV3552" s="10"/>
      <c r="AW3552" s="10"/>
      <c r="AX3552" s="10"/>
      <c r="AY3552" s="10"/>
      <c r="AZ3552" s="10"/>
    </row>
    <row r="3553" spans="28:52">
      <c r="AB3553" s="9">
        <v>0.98909366418113964</v>
      </c>
      <c r="AC3553" s="9">
        <v>0.80256880572784539</v>
      </c>
      <c r="AD3553" s="9">
        <v>1.0411104876974431</v>
      </c>
      <c r="AE3553" s="10"/>
      <c r="AF3553" s="10"/>
      <c r="AG3553" s="10"/>
      <c r="AH3553" s="10"/>
      <c r="AI3553" s="10"/>
      <c r="AJ3553" s="10"/>
      <c r="AK3553" s="10"/>
      <c r="AL3553" s="10"/>
      <c r="AM3553" s="10"/>
      <c r="AN3553" s="10"/>
      <c r="AO3553" s="10"/>
      <c r="AP3553" s="10"/>
      <c r="AQ3553" s="10"/>
      <c r="AR3553" s="10"/>
      <c r="AS3553" s="10"/>
      <c r="AT3553" s="10"/>
      <c r="AU3553" s="10"/>
      <c r="AV3553" s="10"/>
      <c r="AW3553" s="10"/>
      <c r="AX3553" s="10"/>
      <c r="AY3553" s="10"/>
      <c r="AZ3553" s="10"/>
    </row>
    <row r="3554" spans="28:52">
      <c r="AB3554" s="9">
        <v>1.0031884493747132</v>
      </c>
      <c r="AC3554" s="9">
        <v>1.0168078530262561</v>
      </c>
      <c r="AD3554" s="9">
        <v>1.0450576268453942</v>
      </c>
      <c r="AE3554" s="10"/>
      <c r="AF3554" s="10"/>
      <c r="AG3554" s="10"/>
      <c r="AH3554" s="10"/>
      <c r="AI3554" s="10"/>
      <c r="AJ3554" s="10"/>
      <c r="AK3554" s="10"/>
      <c r="AL3554" s="10"/>
      <c r="AM3554" s="10"/>
      <c r="AN3554" s="10"/>
      <c r="AO3554" s="10"/>
      <c r="AP3554" s="10"/>
      <c r="AQ3554" s="10"/>
      <c r="AR3554" s="10"/>
      <c r="AS3554" s="10"/>
      <c r="AT3554" s="10"/>
      <c r="AU3554" s="10"/>
      <c r="AV3554" s="10"/>
      <c r="AW3554" s="10"/>
      <c r="AX3554" s="10"/>
      <c r="AY3554" s="10"/>
      <c r="AZ3554" s="10"/>
    </row>
    <row r="3555" spans="28:52">
      <c r="AB3555" s="9">
        <v>1.0013669412376702</v>
      </c>
      <c r="AC3555" s="9">
        <v>0.90723567406895067</v>
      </c>
      <c r="AD3555" s="9">
        <v>1.0585527020023957</v>
      </c>
      <c r="AE3555" s="10"/>
      <c r="AF3555" s="10"/>
      <c r="AG3555" s="10"/>
      <c r="AH3555" s="10"/>
      <c r="AI3555" s="10"/>
      <c r="AJ3555" s="10"/>
      <c r="AK3555" s="10"/>
      <c r="AL3555" s="10"/>
      <c r="AM3555" s="10"/>
      <c r="AN3555" s="10"/>
      <c r="AO3555" s="10"/>
      <c r="AP3555" s="10"/>
      <c r="AQ3555" s="10"/>
      <c r="AR3555" s="10"/>
      <c r="AS3555" s="10"/>
      <c r="AT3555" s="10"/>
      <c r="AU3555" s="10"/>
      <c r="AV3555" s="10"/>
      <c r="AW3555" s="10"/>
      <c r="AX3555" s="10"/>
      <c r="AY3555" s="10"/>
      <c r="AZ3555" s="10"/>
    </row>
    <row r="3556" spans="28:52">
      <c r="AB3556" s="9">
        <v>0.99074647889362955</v>
      </c>
      <c r="AC3556" s="9">
        <v>0.71974379484196238</v>
      </c>
      <c r="AD3556" s="9">
        <v>1.0558665109745982</v>
      </c>
      <c r="AE3556" s="10"/>
      <c r="AF3556" s="10"/>
      <c r="AG3556" s="10"/>
      <c r="AH3556" s="10"/>
      <c r="AI3556" s="10"/>
      <c r="AJ3556" s="10"/>
      <c r="AK3556" s="10"/>
      <c r="AL3556" s="10"/>
      <c r="AM3556" s="10"/>
      <c r="AN3556" s="10"/>
      <c r="AO3556" s="10"/>
      <c r="AP3556" s="10"/>
      <c r="AQ3556" s="10"/>
      <c r="AR3556" s="10"/>
      <c r="AS3556" s="10"/>
      <c r="AT3556" s="10"/>
      <c r="AU3556" s="10"/>
      <c r="AV3556" s="10"/>
      <c r="AW3556" s="10"/>
      <c r="AX3556" s="10"/>
      <c r="AY3556" s="10"/>
      <c r="AZ3556" s="10"/>
    </row>
    <row r="3557" spans="28:52">
      <c r="AB3557" s="9">
        <v>0.99571705681466405</v>
      </c>
      <c r="AC3557" s="9">
        <v>0.82207122781302722</v>
      </c>
      <c r="AD3557" s="9">
        <v>1.0614109463652217</v>
      </c>
      <c r="AE3557" s="10"/>
      <c r="AF3557" s="10"/>
      <c r="AG3557" s="10"/>
      <c r="AH3557" s="10"/>
      <c r="AI3557" s="10"/>
      <c r="AJ3557" s="10"/>
      <c r="AK3557" s="10"/>
      <c r="AL3557" s="10"/>
      <c r="AM3557" s="10"/>
      <c r="AN3557" s="10"/>
      <c r="AO3557" s="10"/>
      <c r="AP3557" s="10"/>
      <c r="AQ3557" s="10"/>
      <c r="AR3557" s="10"/>
      <c r="AS3557" s="10"/>
      <c r="AT3557" s="10"/>
      <c r="AU3557" s="10"/>
      <c r="AV3557" s="10"/>
      <c r="AW3557" s="10"/>
      <c r="AX3557" s="10"/>
      <c r="AY3557" s="10"/>
      <c r="AZ3557" s="10"/>
    </row>
    <row r="3558" spans="28:52">
      <c r="AB3558" s="9">
        <v>0.99314447926133953</v>
      </c>
      <c r="AC3558" s="9">
        <v>1.0111461296025828</v>
      </c>
      <c r="AD3558" s="9">
        <v>1.0541938101700166</v>
      </c>
      <c r="AE3558" s="10"/>
      <c r="AF3558" s="10"/>
      <c r="AG3558" s="10"/>
      <c r="AH3558" s="10"/>
      <c r="AI3558" s="10"/>
      <c r="AJ3558" s="10"/>
      <c r="AK3558" s="10"/>
      <c r="AL3558" s="10"/>
      <c r="AM3558" s="10"/>
      <c r="AN3558" s="10"/>
      <c r="AO3558" s="10"/>
      <c r="AP3558" s="10"/>
      <c r="AQ3558" s="10"/>
      <c r="AR3558" s="10"/>
      <c r="AS3558" s="10"/>
      <c r="AT3558" s="10"/>
      <c r="AU3558" s="10"/>
      <c r="AV3558" s="10"/>
      <c r="AW3558" s="10"/>
      <c r="AX3558" s="10"/>
      <c r="AY3558" s="10"/>
      <c r="AZ3558" s="10"/>
    </row>
    <row r="3559" spans="28:52">
      <c r="AB3559" s="9">
        <v>1.0021468283747419</v>
      </c>
      <c r="AC3559" s="9">
        <v>0.8722245809169672</v>
      </c>
      <c r="AD3559" s="9">
        <v>1.0464924769049746</v>
      </c>
      <c r="AE3559" s="10"/>
      <c r="AF3559" s="10"/>
      <c r="AG3559" s="10"/>
      <c r="AH3559" s="10"/>
      <c r="AI3559" s="10"/>
      <c r="AJ3559" s="10"/>
      <c r="AK3559" s="10"/>
      <c r="AL3559" s="10"/>
      <c r="AM3559" s="10"/>
      <c r="AN3559" s="10"/>
      <c r="AO3559" s="10"/>
      <c r="AP3559" s="10"/>
      <c r="AQ3559" s="10"/>
      <c r="AR3559" s="10"/>
      <c r="AS3559" s="10"/>
      <c r="AT3559" s="10"/>
      <c r="AU3559" s="10"/>
      <c r="AV3559" s="10"/>
      <c r="AW3559" s="10"/>
      <c r="AX3559" s="10"/>
      <c r="AY3559" s="10"/>
      <c r="AZ3559" s="10"/>
    </row>
    <row r="3560" spans="28:52">
      <c r="AB3560" s="9">
        <v>1.0112183797950955</v>
      </c>
      <c r="AC3560" s="9">
        <v>1.1930311535658347</v>
      </c>
      <c r="AD3560" s="9">
        <v>1.0446559791797017</v>
      </c>
      <c r="AE3560" s="10"/>
      <c r="AF3560" s="10"/>
      <c r="AG3560" s="10"/>
      <c r="AH3560" s="10"/>
      <c r="AI3560" s="10"/>
      <c r="AJ3560" s="10"/>
      <c r="AK3560" s="10"/>
      <c r="AL3560" s="10"/>
      <c r="AM3560" s="10"/>
      <c r="AN3560" s="10"/>
      <c r="AO3560" s="10"/>
      <c r="AP3560" s="10"/>
      <c r="AQ3560" s="10"/>
      <c r="AR3560" s="10"/>
      <c r="AS3560" s="10"/>
      <c r="AT3560" s="10"/>
      <c r="AU3560" s="10"/>
      <c r="AV3560" s="10"/>
      <c r="AW3560" s="10"/>
      <c r="AX3560" s="10"/>
      <c r="AY3560" s="10"/>
      <c r="AZ3560" s="10"/>
    </row>
    <row r="3561" spans="28:52">
      <c r="AB3561" s="9">
        <v>1.014329827533953</v>
      </c>
      <c r="AC3561" s="9">
        <v>1.0352045523261675</v>
      </c>
      <c r="AD3561" s="9">
        <v>1.0454569862065755</v>
      </c>
      <c r="AE3561" s="10"/>
      <c r="AF3561" s="10"/>
      <c r="AG3561" s="10"/>
      <c r="AH3561" s="10"/>
      <c r="AI3561" s="10"/>
      <c r="AJ3561" s="10"/>
      <c r="AK3561" s="10"/>
      <c r="AL3561" s="10"/>
      <c r="AM3561" s="10"/>
      <c r="AN3561" s="10"/>
      <c r="AO3561" s="10"/>
      <c r="AP3561" s="10"/>
      <c r="AQ3561" s="10"/>
      <c r="AR3561" s="10"/>
      <c r="AS3561" s="10"/>
      <c r="AT3561" s="10"/>
      <c r="AU3561" s="10"/>
      <c r="AV3561" s="10"/>
      <c r="AW3561" s="10"/>
      <c r="AX3561" s="10"/>
      <c r="AY3561" s="10"/>
      <c r="AZ3561" s="10"/>
    </row>
    <row r="3562" spans="28:52">
      <c r="AB3562" s="9">
        <v>1.0147851102775041</v>
      </c>
      <c r="AC3562" s="9">
        <v>1.243504483331126</v>
      </c>
      <c r="AD3562" s="9">
        <v>1.0535952388129188</v>
      </c>
      <c r="AE3562" s="10"/>
      <c r="AF3562" s="10"/>
      <c r="AG3562" s="10"/>
      <c r="AH3562" s="10"/>
      <c r="AI3562" s="10"/>
      <c r="AJ3562" s="10"/>
      <c r="AK3562" s="10"/>
      <c r="AL3562" s="10"/>
      <c r="AM3562" s="10"/>
      <c r="AN3562" s="10"/>
      <c r="AO3562" s="10"/>
      <c r="AP3562" s="10"/>
      <c r="AQ3562" s="10"/>
      <c r="AR3562" s="10"/>
      <c r="AS3562" s="10"/>
      <c r="AT3562" s="10"/>
      <c r="AU3562" s="10"/>
      <c r="AV3562" s="10"/>
      <c r="AW3562" s="10"/>
      <c r="AX3562" s="10"/>
      <c r="AY3562" s="10"/>
      <c r="AZ3562" s="10"/>
    </row>
    <row r="3563" spans="28:52">
      <c r="AB3563" s="9">
        <v>1.0083403428028235</v>
      </c>
      <c r="AC3563" s="9">
        <v>1.364367566509574</v>
      </c>
      <c r="AD3563" s="9">
        <v>1.0430129746269552</v>
      </c>
      <c r="AE3563" s="10"/>
      <c r="AF3563" s="10"/>
      <c r="AG3563" s="10"/>
      <c r="AH3563" s="10"/>
      <c r="AI3563" s="10"/>
      <c r="AJ3563" s="10"/>
      <c r="AK3563" s="10"/>
      <c r="AL3563" s="10"/>
      <c r="AM3563" s="10"/>
      <c r="AN3563" s="10"/>
      <c r="AO3563" s="10"/>
      <c r="AP3563" s="10"/>
      <c r="AQ3563" s="10"/>
      <c r="AR3563" s="10"/>
      <c r="AS3563" s="10"/>
      <c r="AT3563" s="10"/>
      <c r="AU3563" s="10"/>
      <c r="AV3563" s="10"/>
      <c r="AW3563" s="10"/>
      <c r="AX3563" s="10"/>
      <c r="AY3563" s="10"/>
      <c r="AZ3563" s="10"/>
    </row>
    <row r="3564" spans="28:52">
      <c r="AB3564" s="9">
        <v>1.01972762013375</v>
      </c>
      <c r="AC3564" s="9">
        <v>1.5587677086220713</v>
      </c>
      <c r="AD3564" s="9">
        <v>1.0319942042747572</v>
      </c>
      <c r="AE3564" s="10"/>
      <c r="AF3564" s="10"/>
      <c r="AG3564" s="10"/>
      <c r="AH3564" s="10"/>
      <c r="AI3564" s="10"/>
      <c r="AJ3564" s="10"/>
      <c r="AK3564" s="10"/>
      <c r="AL3564" s="10"/>
      <c r="AM3564" s="10"/>
      <c r="AN3564" s="10"/>
      <c r="AO3564" s="10"/>
      <c r="AP3564" s="10"/>
      <c r="AQ3564" s="10"/>
      <c r="AR3564" s="10"/>
      <c r="AS3564" s="10"/>
      <c r="AT3564" s="10"/>
      <c r="AU3564" s="10"/>
      <c r="AV3564" s="10"/>
      <c r="AW3564" s="10"/>
      <c r="AX3564" s="10"/>
      <c r="AY3564" s="10"/>
      <c r="AZ3564" s="10"/>
    </row>
    <row r="3565" spans="28:52">
      <c r="AB3565" s="9">
        <v>1.0309803697570132</v>
      </c>
      <c r="AC3565" s="9">
        <v>1.8460617201011142</v>
      </c>
      <c r="AD3565" s="9">
        <v>1.0274519068621626</v>
      </c>
      <c r="AE3565" s="10"/>
      <c r="AF3565" s="10"/>
      <c r="AG3565" s="10"/>
      <c r="AH3565" s="10"/>
      <c r="AI3565" s="10"/>
      <c r="AJ3565" s="10"/>
      <c r="AK3565" s="10"/>
      <c r="AL3565" s="10"/>
      <c r="AM3565" s="10"/>
      <c r="AN3565" s="10"/>
      <c r="AO3565" s="10"/>
      <c r="AP3565" s="10"/>
      <c r="AQ3565" s="10"/>
      <c r="AR3565" s="10"/>
      <c r="AS3565" s="10"/>
      <c r="AT3565" s="10"/>
      <c r="AU3565" s="10"/>
      <c r="AV3565" s="10"/>
      <c r="AW3565" s="10"/>
      <c r="AX3565" s="10"/>
      <c r="AY3565" s="10"/>
      <c r="AZ3565" s="10"/>
    </row>
    <row r="3566" spans="28:52">
      <c r="AB3566" s="9">
        <v>1.0355026141608576</v>
      </c>
      <c r="AC3566" s="9">
        <v>1.527431927578353</v>
      </c>
      <c r="AD3566" s="9">
        <v>1.0331414935659435</v>
      </c>
      <c r="AE3566" s="10"/>
      <c r="AF3566" s="10"/>
      <c r="AG3566" s="10"/>
      <c r="AH3566" s="10"/>
      <c r="AI3566" s="10"/>
      <c r="AJ3566" s="10"/>
      <c r="AK3566" s="10"/>
      <c r="AL3566" s="10"/>
      <c r="AM3566" s="10"/>
      <c r="AN3566" s="10"/>
      <c r="AO3566" s="10"/>
      <c r="AP3566" s="10"/>
      <c r="AQ3566" s="10"/>
      <c r="AR3566" s="10"/>
      <c r="AS3566" s="10"/>
      <c r="AT3566" s="10"/>
      <c r="AU3566" s="10"/>
      <c r="AV3566" s="10"/>
      <c r="AW3566" s="10"/>
      <c r="AX3566" s="10"/>
      <c r="AY3566" s="10"/>
      <c r="AZ3566" s="10"/>
    </row>
    <row r="3567" spans="28:52">
      <c r="AB3567" s="9">
        <v>1.0300022338288053</v>
      </c>
      <c r="AC3567" s="9">
        <v>1.4439117452860508</v>
      </c>
      <c r="AD3567" s="9">
        <v>1.0240959416780548</v>
      </c>
      <c r="AE3567" s="10"/>
      <c r="AF3567" s="10"/>
      <c r="AG3567" s="10"/>
      <c r="AH3567" s="10"/>
      <c r="AI3567" s="10"/>
      <c r="AJ3567" s="10"/>
      <c r="AK3567" s="10"/>
      <c r="AL3567" s="10"/>
      <c r="AM3567" s="10"/>
      <c r="AN3567" s="10"/>
      <c r="AO3567" s="10"/>
      <c r="AP3567" s="10"/>
      <c r="AQ3567" s="10"/>
      <c r="AR3567" s="10"/>
      <c r="AS3567" s="10"/>
      <c r="AT3567" s="10"/>
      <c r="AU3567" s="10"/>
      <c r="AV3567" s="10"/>
      <c r="AW3567" s="10"/>
      <c r="AX3567" s="10"/>
      <c r="AY3567" s="10"/>
      <c r="AZ3567" s="10"/>
    </row>
    <row r="3568" spans="28:52">
      <c r="AB3568" s="9">
        <v>1.0390312497207093</v>
      </c>
      <c r="AC3568" s="9">
        <v>1.3234455879842486</v>
      </c>
      <c r="AD3568" s="9">
        <v>1.0267098497865255</v>
      </c>
      <c r="AE3568" s="10"/>
      <c r="AF3568" s="10"/>
      <c r="AG3568" s="10"/>
      <c r="AH3568" s="10"/>
      <c r="AI3568" s="10"/>
      <c r="AJ3568" s="10"/>
      <c r="AK3568" s="10"/>
      <c r="AL3568" s="10"/>
      <c r="AM3568" s="10"/>
      <c r="AN3568" s="10"/>
      <c r="AO3568" s="10"/>
      <c r="AP3568" s="10"/>
      <c r="AQ3568" s="10"/>
      <c r="AR3568" s="10"/>
      <c r="AS3568" s="10"/>
      <c r="AT3568" s="10"/>
      <c r="AU3568" s="10"/>
      <c r="AV3568" s="10"/>
      <c r="AW3568" s="10"/>
      <c r="AX3568" s="10"/>
      <c r="AY3568" s="10"/>
      <c r="AZ3568" s="10"/>
    </row>
    <row r="3569" spans="28:52">
      <c r="AB3569" s="9">
        <v>1.0357319361432111</v>
      </c>
      <c r="AC3569" s="9">
        <v>1.6492530499982883</v>
      </c>
      <c r="AD3569" s="9">
        <v>1.0192077644190014</v>
      </c>
      <c r="AE3569" s="10"/>
      <c r="AF3569" s="10"/>
      <c r="AG3569" s="10"/>
      <c r="AH3569" s="10"/>
      <c r="AI3569" s="10"/>
      <c r="AJ3569" s="10"/>
      <c r="AK3569" s="10"/>
      <c r="AL3569" s="10"/>
      <c r="AM3569" s="10"/>
      <c r="AN3569" s="10"/>
      <c r="AO3569" s="10"/>
      <c r="AP3569" s="10"/>
      <c r="AQ3569" s="10"/>
      <c r="AR3569" s="10"/>
      <c r="AS3569" s="10"/>
      <c r="AT3569" s="10"/>
      <c r="AU3569" s="10"/>
      <c r="AV3569" s="10"/>
      <c r="AW3569" s="10"/>
      <c r="AX3569" s="10"/>
      <c r="AY3569" s="10"/>
      <c r="AZ3569" s="10"/>
    </row>
    <row r="3570" spans="28:52">
      <c r="AB3570" s="9">
        <v>1.0427327888932336</v>
      </c>
      <c r="AC3570" s="9">
        <v>1.3699869134734695</v>
      </c>
      <c r="AD3570" s="9">
        <v>1.0128867205366676</v>
      </c>
      <c r="AE3570" s="10"/>
      <c r="AF3570" s="10"/>
      <c r="AG3570" s="10"/>
      <c r="AH3570" s="10"/>
      <c r="AI3570" s="10"/>
      <c r="AJ3570" s="10"/>
      <c r="AK3570" s="10"/>
      <c r="AL3570" s="10"/>
      <c r="AM3570" s="10"/>
      <c r="AN3570" s="10"/>
      <c r="AO3570" s="10"/>
      <c r="AP3570" s="10"/>
      <c r="AQ3570" s="10"/>
      <c r="AR3570" s="10"/>
      <c r="AS3570" s="10"/>
      <c r="AT3570" s="10"/>
      <c r="AU3570" s="10"/>
      <c r="AV3570" s="10"/>
      <c r="AW3570" s="10"/>
      <c r="AX3570" s="10"/>
      <c r="AY3570" s="10"/>
      <c r="AZ3570" s="10"/>
    </row>
    <row r="3571" spans="28:52">
      <c r="AB3571" s="9">
        <v>1.0484544263519597</v>
      </c>
      <c r="AC3571" s="9">
        <v>1.198190358717875</v>
      </c>
      <c r="AD3571" s="9">
        <v>1.0166799231681538</v>
      </c>
      <c r="AE3571" s="10"/>
      <c r="AF3571" s="10"/>
      <c r="AG3571" s="10"/>
      <c r="AH3571" s="10"/>
      <c r="AI3571" s="10"/>
      <c r="AJ3571" s="10"/>
      <c r="AK3571" s="10"/>
      <c r="AL3571" s="10"/>
      <c r="AM3571" s="10"/>
      <c r="AN3571" s="10"/>
      <c r="AO3571" s="10"/>
      <c r="AP3571" s="10"/>
      <c r="AQ3571" s="10"/>
      <c r="AR3571" s="10"/>
      <c r="AS3571" s="10"/>
      <c r="AT3571" s="10"/>
      <c r="AU3571" s="10"/>
      <c r="AV3571" s="10"/>
      <c r="AW3571" s="10"/>
      <c r="AX3571" s="10"/>
      <c r="AY3571" s="10"/>
      <c r="AZ3571" s="10"/>
    </row>
    <row r="3572" spans="28:52">
      <c r="AB3572" s="9">
        <v>1.043577415452162</v>
      </c>
      <c r="AC3572" s="9">
        <v>1.3185258373125388</v>
      </c>
      <c r="AD3572" s="9">
        <v>1.0088369667791621</v>
      </c>
      <c r="AE3572" s="10"/>
      <c r="AF3572" s="10"/>
      <c r="AG3572" s="10"/>
      <c r="AH3572" s="10"/>
      <c r="AI3572" s="10"/>
      <c r="AJ3572" s="10"/>
      <c r="AK3572" s="10"/>
      <c r="AL3572" s="10"/>
      <c r="AM3572" s="10"/>
      <c r="AN3572" s="10"/>
      <c r="AO3572" s="10"/>
      <c r="AP3572" s="10"/>
      <c r="AQ3572" s="10"/>
      <c r="AR3572" s="10"/>
      <c r="AS3572" s="10"/>
      <c r="AT3572" s="10"/>
      <c r="AU3572" s="10"/>
      <c r="AV3572" s="10"/>
      <c r="AW3572" s="10"/>
      <c r="AX3572" s="10"/>
      <c r="AY3572" s="10"/>
      <c r="AZ3572" s="10"/>
    </row>
    <row r="3573" spans="28:52">
      <c r="AB3573" s="9">
        <v>1.0505497570684554</v>
      </c>
      <c r="AC3573" s="9">
        <v>1.1800274288711889</v>
      </c>
      <c r="AD3573" s="9">
        <v>1.0036018979977428</v>
      </c>
      <c r="AE3573" s="10"/>
      <c r="AF3573" s="10"/>
      <c r="AG3573" s="10"/>
      <c r="AH3573" s="10"/>
      <c r="AI3573" s="10"/>
      <c r="AJ3573" s="10"/>
      <c r="AK3573" s="10"/>
      <c r="AL3573" s="10"/>
      <c r="AM3573" s="10"/>
      <c r="AN3573" s="10"/>
      <c r="AO3573" s="10"/>
      <c r="AP3573" s="10"/>
      <c r="AQ3573" s="10"/>
      <c r="AR3573" s="10"/>
      <c r="AS3573" s="10"/>
      <c r="AT3573" s="10"/>
      <c r="AU3573" s="10"/>
      <c r="AV3573" s="10"/>
      <c r="AW3573" s="10"/>
      <c r="AX3573" s="10"/>
      <c r="AY3573" s="10"/>
      <c r="AZ3573" s="10"/>
    </row>
    <row r="3574" spans="28:52">
      <c r="AB3574" s="9">
        <v>1.0546896260400613</v>
      </c>
      <c r="AC3574" s="9">
        <v>1.2620873532126236</v>
      </c>
      <c r="AD3574" s="9">
        <v>1.0010835202969384</v>
      </c>
      <c r="AE3574" s="10"/>
      <c r="AF3574" s="10"/>
      <c r="AG3574" s="10"/>
      <c r="AH3574" s="10"/>
      <c r="AI3574" s="10"/>
      <c r="AJ3574" s="10"/>
      <c r="AK3574" s="10"/>
      <c r="AL3574" s="10"/>
      <c r="AM3574" s="10"/>
      <c r="AN3574" s="10"/>
      <c r="AO3574" s="10"/>
      <c r="AP3574" s="10"/>
      <c r="AQ3574" s="10"/>
      <c r="AR3574" s="10"/>
      <c r="AS3574" s="10"/>
      <c r="AT3574" s="10"/>
      <c r="AU3574" s="10"/>
      <c r="AV3574" s="10"/>
      <c r="AW3574" s="10"/>
      <c r="AX3574" s="10"/>
      <c r="AY3574" s="10"/>
      <c r="AZ3574" s="10"/>
    </row>
    <row r="3575" spans="28:52">
      <c r="AB3575" s="9">
        <v>1.0554211302301291</v>
      </c>
      <c r="AC3575" s="9">
        <v>1.631255995750994</v>
      </c>
      <c r="AD3575" s="9">
        <v>0.99972373663824521</v>
      </c>
      <c r="AE3575" s="10"/>
      <c r="AF3575" s="10"/>
      <c r="AG3575" s="10"/>
      <c r="AH3575" s="10"/>
      <c r="AI3575" s="10"/>
      <c r="AJ3575" s="10"/>
      <c r="AK3575" s="10"/>
      <c r="AL3575" s="10"/>
      <c r="AM3575" s="10"/>
      <c r="AN3575" s="10"/>
      <c r="AO3575" s="10"/>
      <c r="AP3575" s="10"/>
      <c r="AQ3575" s="10"/>
      <c r="AR3575" s="10"/>
      <c r="AS3575" s="10"/>
      <c r="AT3575" s="10"/>
      <c r="AU3575" s="10"/>
      <c r="AV3575" s="10"/>
      <c r="AW3575" s="10"/>
      <c r="AX3575" s="10"/>
      <c r="AY3575" s="10"/>
      <c r="AZ3575" s="10"/>
    </row>
    <row r="3576" spans="28:52">
      <c r="AB3576" s="9">
        <v>1.055014196279094</v>
      </c>
      <c r="AC3576" s="9">
        <v>1.0273981973502031</v>
      </c>
      <c r="AD3576" s="9">
        <v>1.0018192359272815</v>
      </c>
      <c r="AE3576" s="10"/>
      <c r="AF3576" s="10"/>
      <c r="AG3576" s="10"/>
      <c r="AH3576" s="10"/>
      <c r="AI3576" s="10"/>
      <c r="AJ3576" s="10"/>
      <c r="AK3576" s="10"/>
      <c r="AL3576" s="10"/>
      <c r="AM3576" s="10"/>
      <c r="AN3576" s="10"/>
      <c r="AO3576" s="10"/>
      <c r="AP3576" s="10"/>
      <c r="AQ3576" s="10"/>
      <c r="AR3576" s="10"/>
      <c r="AS3576" s="10"/>
      <c r="AT3576" s="10"/>
      <c r="AU3576" s="10"/>
      <c r="AV3576" s="10"/>
      <c r="AW3576" s="10"/>
      <c r="AX3576" s="10"/>
      <c r="AY3576" s="10"/>
      <c r="AZ3576" s="10"/>
    </row>
    <row r="3577" spans="28:52">
      <c r="AB3577" s="9">
        <v>1.0508733041263956</v>
      </c>
      <c r="AC3577" s="9">
        <v>1.1526190582816631</v>
      </c>
      <c r="AD3577" s="9">
        <v>0.98880180816410612</v>
      </c>
      <c r="AE3577" s="10"/>
      <c r="AF3577" s="10"/>
      <c r="AG3577" s="10"/>
      <c r="AH3577" s="10"/>
      <c r="AI3577" s="10"/>
      <c r="AJ3577" s="10"/>
      <c r="AK3577" s="10"/>
      <c r="AL3577" s="10"/>
      <c r="AM3577" s="10"/>
      <c r="AN3577" s="10"/>
      <c r="AO3577" s="10"/>
      <c r="AP3577" s="10"/>
      <c r="AQ3577" s="10"/>
      <c r="AR3577" s="10"/>
      <c r="AS3577" s="10"/>
      <c r="AT3577" s="10"/>
      <c r="AU3577" s="10"/>
      <c r="AV3577" s="10"/>
      <c r="AW3577" s="10"/>
      <c r="AX3577" s="10"/>
      <c r="AY3577" s="10"/>
      <c r="AZ3577" s="10"/>
    </row>
    <row r="3578" spans="28:52">
      <c r="AB3578" s="9">
        <v>1.0628631664667096</v>
      </c>
      <c r="AC3578" s="9">
        <v>1.4411081131621828</v>
      </c>
      <c r="AD3578" s="9">
        <v>0.98550216038632787</v>
      </c>
      <c r="AE3578" s="10"/>
      <c r="AF3578" s="10"/>
      <c r="AG3578" s="10"/>
      <c r="AH3578" s="10"/>
      <c r="AI3578" s="10"/>
      <c r="AJ3578" s="10"/>
      <c r="AK3578" s="10"/>
      <c r="AL3578" s="10"/>
      <c r="AM3578" s="10"/>
      <c r="AN3578" s="10"/>
      <c r="AO3578" s="10"/>
      <c r="AP3578" s="10"/>
      <c r="AQ3578" s="10"/>
      <c r="AR3578" s="10"/>
      <c r="AS3578" s="10"/>
      <c r="AT3578" s="10"/>
      <c r="AU3578" s="10"/>
      <c r="AV3578" s="10"/>
      <c r="AW3578" s="10"/>
      <c r="AX3578" s="10"/>
      <c r="AY3578" s="10"/>
      <c r="AZ3578" s="10"/>
    </row>
    <row r="3579" spans="28:52">
      <c r="AB3579" s="9">
        <v>1.0642058827801724</v>
      </c>
      <c r="AC3579" s="9">
        <v>1.4350866845021168</v>
      </c>
      <c r="AD3579" s="9">
        <v>0.98992040298453321</v>
      </c>
      <c r="AE3579" s="10"/>
      <c r="AF3579" s="10"/>
      <c r="AG3579" s="10"/>
      <c r="AH3579" s="10"/>
      <c r="AI3579" s="10"/>
      <c r="AJ3579" s="10"/>
      <c r="AK3579" s="10"/>
      <c r="AL3579" s="10"/>
      <c r="AM3579" s="10"/>
      <c r="AN3579" s="10"/>
      <c r="AO3579" s="10"/>
      <c r="AP3579" s="10"/>
      <c r="AQ3579" s="10"/>
      <c r="AR3579" s="10"/>
      <c r="AS3579" s="10"/>
      <c r="AT3579" s="10"/>
      <c r="AU3579" s="10"/>
      <c r="AV3579" s="10"/>
      <c r="AW3579" s="10"/>
      <c r="AX3579" s="10"/>
      <c r="AY3579" s="10"/>
      <c r="AZ3579" s="10"/>
    </row>
    <row r="3580" spans="28:52">
      <c r="AB3580" s="9">
        <v>1.0573824008546717</v>
      </c>
      <c r="AC3580" s="9">
        <v>1.063789377169428</v>
      </c>
      <c r="AD3580" s="9">
        <v>0.99520821070634735</v>
      </c>
      <c r="AE3580" s="10"/>
      <c r="AF3580" s="10"/>
      <c r="AG3580" s="10"/>
      <c r="AH3580" s="10"/>
      <c r="AI3580" s="10"/>
      <c r="AJ3580" s="10"/>
      <c r="AK3580" s="10"/>
      <c r="AL3580" s="10"/>
      <c r="AM3580" s="10"/>
      <c r="AN3580" s="10"/>
      <c r="AO3580" s="10"/>
      <c r="AP3580" s="10"/>
      <c r="AQ3580" s="10"/>
      <c r="AR3580" s="10"/>
      <c r="AS3580" s="10"/>
      <c r="AT3580" s="10"/>
      <c r="AU3580" s="10"/>
      <c r="AV3580" s="10"/>
      <c r="AW3580" s="10"/>
      <c r="AX3580" s="10"/>
      <c r="AY3580" s="10"/>
      <c r="AZ3580" s="10"/>
    </row>
    <row r="3581" spans="28:52">
      <c r="AB3581" s="9">
        <v>1.0496439930992161</v>
      </c>
      <c r="AC3581" s="9">
        <v>1.0382366160051049</v>
      </c>
      <c r="AD3581" s="9">
        <v>0.99254139728091895</v>
      </c>
      <c r="AE3581" s="10"/>
      <c r="AF3581" s="10"/>
      <c r="AG3581" s="10"/>
      <c r="AH3581" s="10"/>
      <c r="AI3581" s="10"/>
      <c r="AJ3581" s="10"/>
      <c r="AK3581" s="10"/>
      <c r="AL3581" s="10"/>
      <c r="AM3581" s="10"/>
      <c r="AN3581" s="10"/>
      <c r="AO3581" s="10"/>
      <c r="AP3581" s="10"/>
      <c r="AQ3581" s="10"/>
      <c r="AR3581" s="10"/>
      <c r="AS3581" s="10"/>
      <c r="AT3581" s="10"/>
      <c r="AU3581" s="10"/>
      <c r="AV3581" s="10"/>
      <c r="AW3581" s="10"/>
      <c r="AX3581" s="10"/>
      <c r="AY3581" s="10"/>
      <c r="AZ3581" s="10"/>
    </row>
    <row r="3582" spans="28:52">
      <c r="AB3582" s="9">
        <v>1.0498465892134923</v>
      </c>
      <c r="AC3582" s="9">
        <v>0.95457464369244005</v>
      </c>
      <c r="AD3582" s="9">
        <v>1.0054752112201424</v>
      </c>
      <c r="AE3582" s="10"/>
      <c r="AF3582" s="10"/>
      <c r="AG3582" s="10"/>
      <c r="AH3582" s="10"/>
      <c r="AI3582" s="10"/>
      <c r="AJ3582" s="10"/>
      <c r="AK3582" s="10"/>
      <c r="AL3582" s="10"/>
      <c r="AM3582" s="10"/>
      <c r="AN3582" s="10"/>
      <c r="AO3582" s="10"/>
      <c r="AP3582" s="10"/>
      <c r="AQ3582" s="10"/>
      <c r="AR3582" s="10"/>
      <c r="AS3582" s="10"/>
      <c r="AT3582" s="10"/>
      <c r="AU3582" s="10"/>
      <c r="AV3582" s="10"/>
      <c r="AW3582" s="10"/>
      <c r="AX3582" s="10"/>
      <c r="AY3582" s="10"/>
      <c r="AZ3582" s="10"/>
    </row>
    <row r="3583" spans="28:52">
      <c r="AB3583" s="9">
        <v>1.0340270420559359</v>
      </c>
      <c r="AC3583" s="9">
        <v>1.2699400237406027</v>
      </c>
      <c r="AD3583" s="9">
        <v>1.003604039769687</v>
      </c>
      <c r="AE3583" s="10"/>
      <c r="AF3583" s="10"/>
      <c r="AG3583" s="10"/>
      <c r="AH3583" s="10"/>
      <c r="AI3583" s="10"/>
      <c r="AJ3583" s="10"/>
      <c r="AK3583" s="10"/>
      <c r="AL3583" s="10"/>
      <c r="AM3583" s="10"/>
      <c r="AN3583" s="10"/>
      <c r="AO3583" s="10"/>
      <c r="AP3583" s="10"/>
      <c r="AQ3583" s="10"/>
      <c r="AR3583" s="10"/>
      <c r="AS3583" s="10"/>
      <c r="AT3583" s="10"/>
      <c r="AU3583" s="10"/>
      <c r="AV3583" s="10"/>
      <c r="AW3583" s="10"/>
      <c r="AX3583" s="10"/>
      <c r="AY3583" s="10"/>
      <c r="AZ3583" s="10"/>
    </row>
    <row r="3584" spans="28:52">
      <c r="AB3584" s="9">
        <v>1.0338511151968661</v>
      </c>
      <c r="AC3584" s="9">
        <v>0.89582918386661292</v>
      </c>
      <c r="AD3584" s="9">
        <v>0.99853941397991752</v>
      </c>
      <c r="AE3584" s="10"/>
      <c r="AF3584" s="10"/>
      <c r="AG3584" s="10"/>
      <c r="AH3584" s="10"/>
      <c r="AI3584" s="10"/>
      <c r="AJ3584" s="10"/>
      <c r="AK3584" s="10"/>
      <c r="AL3584" s="10"/>
      <c r="AM3584" s="10"/>
      <c r="AN3584" s="10"/>
      <c r="AO3584" s="10"/>
      <c r="AP3584" s="10"/>
      <c r="AQ3584" s="10"/>
      <c r="AR3584" s="10"/>
      <c r="AS3584" s="10"/>
      <c r="AT3584" s="10"/>
      <c r="AU3584" s="10"/>
      <c r="AV3584" s="10"/>
      <c r="AW3584" s="10"/>
      <c r="AX3584" s="10"/>
      <c r="AY3584" s="10"/>
      <c r="AZ3584" s="10"/>
    </row>
    <row r="3585" spans="28:52">
      <c r="AB3585" s="9">
        <v>1.0369633470736725</v>
      </c>
      <c r="AC3585" s="9">
        <v>0.8925231391267282</v>
      </c>
      <c r="AD3585" s="9">
        <v>0.99829541395586197</v>
      </c>
      <c r="AE3585" s="10"/>
      <c r="AF3585" s="10"/>
      <c r="AG3585" s="10"/>
      <c r="AH3585" s="10"/>
      <c r="AI3585" s="10"/>
      <c r="AJ3585" s="10"/>
      <c r="AK3585" s="10"/>
      <c r="AL3585" s="10"/>
      <c r="AM3585" s="10"/>
      <c r="AN3585" s="10"/>
      <c r="AO3585" s="10"/>
      <c r="AP3585" s="10"/>
      <c r="AQ3585" s="10"/>
      <c r="AR3585" s="10"/>
      <c r="AS3585" s="10"/>
      <c r="AT3585" s="10"/>
      <c r="AU3585" s="10"/>
      <c r="AV3585" s="10"/>
      <c r="AW3585" s="10"/>
      <c r="AX3585" s="10"/>
      <c r="AY3585" s="10"/>
      <c r="AZ3585" s="10"/>
    </row>
    <row r="3586" spans="28:52">
      <c r="AB3586" s="9">
        <v>1.0350142522413175</v>
      </c>
      <c r="AC3586" s="9">
        <v>0.84773292107786524</v>
      </c>
      <c r="AD3586" s="9">
        <v>1.0039629719963286</v>
      </c>
      <c r="AE3586" s="10"/>
      <c r="AF3586" s="10"/>
      <c r="AG3586" s="10"/>
      <c r="AH3586" s="10"/>
      <c r="AI3586" s="10"/>
      <c r="AJ3586" s="10"/>
      <c r="AK3586" s="10"/>
      <c r="AL3586" s="10"/>
      <c r="AM3586" s="10"/>
      <c r="AN3586" s="10"/>
      <c r="AO3586" s="10"/>
      <c r="AP3586" s="10"/>
      <c r="AQ3586" s="10"/>
      <c r="AR3586" s="10"/>
      <c r="AS3586" s="10"/>
      <c r="AT3586" s="10"/>
      <c r="AU3586" s="10"/>
      <c r="AV3586" s="10"/>
      <c r="AW3586" s="10"/>
      <c r="AX3586" s="10"/>
      <c r="AY3586" s="10"/>
      <c r="AZ3586" s="10"/>
    </row>
    <row r="3587" spans="28:52">
      <c r="AB3587" s="9">
        <v>1.026945343656682</v>
      </c>
      <c r="AC3587" s="9">
        <v>0.92059346442183099</v>
      </c>
      <c r="AD3587" s="9">
        <v>1.0049294685835051</v>
      </c>
      <c r="AE3587" s="10"/>
      <c r="AF3587" s="10"/>
      <c r="AG3587" s="10"/>
      <c r="AH3587" s="10"/>
      <c r="AI3587" s="10"/>
      <c r="AJ3587" s="10"/>
      <c r="AK3587" s="10"/>
      <c r="AL3587" s="10"/>
      <c r="AM3587" s="10"/>
      <c r="AN3587" s="10"/>
      <c r="AO3587" s="10"/>
      <c r="AP3587" s="10"/>
      <c r="AQ3587" s="10"/>
      <c r="AR3587" s="10"/>
      <c r="AS3587" s="10"/>
      <c r="AT3587" s="10"/>
      <c r="AU3587" s="10"/>
      <c r="AV3587" s="10"/>
      <c r="AW3587" s="10"/>
      <c r="AX3587" s="10"/>
      <c r="AY3587" s="10"/>
      <c r="AZ3587" s="10"/>
    </row>
    <row r="3588" spans="28:52">
      <c r="AB3588" s="9">
        <v>1.0238926776892054</v>
      </c>
      <c r="AC3588" s="9">
        <v>1.1448186228461863</v>
      </c>
      <c r="AD3588" s="9">
        <v>1.0058578051057527</v>
      </c>
      <c r="AE3588" s="10"/>
      <c r="AF3588" s="10"/>
      <c r="AG3588" s="10"/>
      <c r="AH3588" s="10"/>
      <c r="AI3588" s="10"/>
      <c r="AJ3588" s="10"/>
      <c r="AK3588" s="10"/>
      <c r="AL3588" s="10"/>
      <c r="AM3588" s="10"/>
      <c r="AN3588" s="10"/>
      <c r="AO3588" s="10"/>
      <c r="AP3588" s="10"/>
      <c r="AQ3588" s="10"/>
      <c r="AR3588" s="10"/>
      <c r="AS3588" s="10"/>
      <c r="AT3588" s="10"/>
      <c r="AU3588" s="10"/>
      <c r="AV3588" s="10"/>
      <c r="AW3588" s="10"/>
      <c r="AX3588" s="10"/>
      <c r="AY3588" s="10"/>
      <c r="AZ3588" s="10"/>
    </row>
    <row r="3589" spans="28:52">
      <c r="AB3589" s="9">
        <v>1.0208782971291213</v>
      </c>
      <c r="AC3589" s="9">
        <v>1.0014474294394113</v>
      </c>
      <c r="AD3589" s="9">
        <v>1.0073285387170636</v>
      </c>
      <c r="AE3589" s="10"/>
      <c r="AF3589" s="10"/>
      <c r="AG3589" s="10"/>
      <c r="AH3589" s="10"/>
      <c r="AI3589" s="10"/>
      <c r="AJ3589" s="10"/>
      <c r="AK3589" s="10"/>
      <c r="AL3589" s="10"/>
      <c r="AM3589" s="10"/>
      <c r="AN3589" s="10"/>
      <c r="AO3589" s="10"/>
      <c r="AP3589" s="10"/>
      <c r="AQ3589" s="10"/>
      <c r="AR3589" s="10"/>
      <c r="AS3589" s="10"/>
      <c r="AT3589" s="10"/>
      <c r="AU3589" s="10"/>
      <c r="AV3589" s="10"/>
      <c r="AW3589" s="10"/>
      <c r="AX3589" s="10"/>
      <c r="AY3589" s="10"/>
      <c r="AZ3589" s="10"/>
    </row>
    <row r="3590" spans="28:52">
      <c r="AB3590" s="9">
        <v>1.0178365456990455</v>
      </c>
      <c r="AC3590" s="9">
        <v>0.94365527534190496</v>
      </c>
      <c r="AD3590" s="9">
        <v>0.99131684146020083</v>
      </c>
      <c r="AE3590" s="10"/>
      <c r="AF3590" s="10"/>
      <c r="AG3590" s="10"/>
      <c r="AH3590" s="10"/>
      <c r="AI3590" s="10"/>
      <c r="AJ3590" s="10"/>
      <c r="AK3590" s="10"/>
      <c r="AL3590" s="10"/>
      <c r="AM3590" s="10"/>
      <c r="AN3590" s="10"/>
      <c r="AO3590" s="10"/>
      <c r="AP3590" s="10"/>
      <c r="AQ3590" s="10"/>
      <c r="AR3590" s="10"/>
      <c r="AS3590" s="10"/>
      <c r="AT3590" s="10"/>
      <c r="AU3590" s="10"/>
      <c r="AV3590" s="10"/>
      <c r="AW3590" s="10"/>
      <c r="AX3590" s="10"/>
      <c r="AY3590" s="10"/>
      <c r="AZ3590" s="10"/>
    </row>
    <row r="3591" spans="28:52">
      <c r="AB3591" s="9">
        <v>1.0322035999748687</v>
      </c>
      <c r="AC3591" s="9">
        <v>1.140579043828214</v>
      </c>
      <c r="AD3591" s="9">
        <v>0.98094297517931806</v>
      </c>
      <c r="AE3591" s="10"/>
      <c r="AF3591" s="10"/>
      <c r="AG3591" s="10"/>
      <c r="AH3591" s="10"/>
      <c r="AI3591" s="10"/>
      <c r="AJ3591" s="10"/>
      <c r="AK3591" s="10"/>
      <c r="AL3591" s="10"/>
      <c r="AM3591" s="10"/>
      <c r="AN3591" s="10"/>
      <c r="AO3591" s="10"/>
      <c r="AP3591" s="10"/>
      <c r="AQ3591" s="10"/>
      <c r="AR3591" s="10"/>
      <c r="AS3591" s="10"/>
      <c r="AT3591" s="10"/>
      <c r="AU3591" s="10"/>
      <c r="AV3591" s="10"/>
      <c r="AW3591" s="10"/>
      <c r="AX3591" s="10"/>
      <c r="AY3591" s="10"/>
      <c r="AZ3591" s="10"/>
    </row>
    <row r="3592" spans="28:52">
      <c r="AB3592" s="9">
        <v>1.0401847530630015</v>
      </c>
      <c r="AC3592" s="9">
        <v>1.2605445562461566</v>
      </c>
      <c r="AD3592" s="9">
        <v>0.97677225819300018</v>
      </c>
      <c r="AE3592" s="10"/>
      <c r="AF3592" s="10"/>
      <c r="AG3592" s="10"/>
      <c r="AH3592" s="10"/>
      <c r="AI3592" s="10"/>
      <c r="AJ3592" s="10"/>
      <c r="AK3592" s="10"/>
      <c r="AL3592" s="10"/>
      <c r="AM3592" s="10"/>
      <c r="AN3592" s="10"/>
      <c r="AO3592" s="10"/>
      <c r="AP3592" s="10"/>
      <c r="AQ3592" s="10"/>
      <c r="AR3592" s="10"/>
      <c r="AS3592" s="10"/>
      <c r="AT3592" s="10"/>
      <c r="AU3592" s="10"/>
      <c r="AV3592" s="10"/>
      <c r="AW3592" s="10"/>
      <c r="AX3592" s="10"/>
      <c r="AY3592" s="10"/>
      <c r="AZ3592" s="10"/>
    </row>
    <row r="3593" spans="28:52">
      <c r="AB3593" s="9">
        <v>1.0412217072771148</v>
      </c>
      <c r="AC3593" s="9">
        <v>1.3211163072542236</v>
      </c>
      <c r="AD3593" s="9">
        <v>0.96910059438952367</v>
      </c>
      <c r="AE3593" s="10"/>
      <c r="AF3593" s="10"/>
      <c r="AG3593" s="10"/>
      <c r="AH3593" s="10"/>
      <c r="AI3593" s="10"/>
      <c r="AJ3593" s="10"/>
      <c r="AK3593" s="10"/>
      <c r="AL3593" s="10"/>
      <c r="AM3593" s="10"/>
      <c r="AN3593" s="10"/>
      <c r="AO3593" s="10"/>
      <c r="AP3593" s="10"/>
      <c r="AQ3593" s="10"/>
      <c r="AR3593" s="10"/>
      <c r="AS3593" s="10"/>
      <c r="AT3593" s="10"/>
      <c r="AU3593" s="10"/>
      <c r="AV3593" s="10"/>
      <c r="AW3593" s="10"/>
      <c r="AX3593" s="10"/>
      <c r="AY3593" s="10"/>
      <c r="AZ3593" s="10"/>
    </row>
    <row r="3594" spans="28:52">
      <c r="AB3594" s="9">
        <v>1.0462813913759947</v>
      </c>
      <c r="AC3594" s="9">
        <v>1.3025936457888245</v>
      </c>
      <c r="AD3594" s="9">
        <v>0.96879706860054993</v>
      </c>
      <c r="AE3594" s="10"/>
      <c r="AF3594" s="10"/>
      <c r="AG3594" s="10"/>
      <c r="AH3594" s="10"/>
      <c r="AI3594" s="10"/>
      <c r="AJ3594" s="10"/>
      <c r="AK3594" s="10"/>
      <c r="AL3594" s="10"/>
      <c r="AM3594" s="10"/>
      <c r="AN3594" s="10"/>
      <c r="AO3594" s="10"/>
      <c r="AP3594" s="10"/>
      <c r="AQ3594" s="10"/>
      <c r="AR3594" s="10"/>
      <c r="AS3594" s="10"/>
      <c r="AT3594" s="10"/>
      <c r="AU3594" s="10"/>
      <c r="AV3594" s="10"/>
      <c r="AW3594" s="10"/>
      <c r="AX3594" s="10"/>
      <c r="AY3594" s="10"/>
      <c r="AZ3594" s="10"/>
    </row>
    <row r="3595" spans="28:52">
      <c r="AB3595" s="9">
        <v>1.0435105137925882</v>
      </c>
      <c r="AC3595" s="9">
        <v>1.3765944863204571</v>
      </c>
      <c r="AD3595" s="9">
        <v>0.96643516397198381</v>
      </c>
      <c r="AE3595" s="10"/>
      <c r="AF3595" s="10"/>
      <c r="AG3595" s="10"/>
      <c r="AH3595" s="10"/>
      <c r="AI3595" s="10"/>
      <c r="AJ3595" s="10"/>
      <c r="AK3595" s="10"/>
      <c r="AL3595" s="10"/>
      <c r="AM3595" s="10"/>
      <c r="AN3595" s="10"/>
      <c r="AO3595" s="10"/>
      <c r="AP3595" s="10"/>
      <c r="AQ3595" s="10"/>
      <c r="AR3595" s="10"/>
      <c r="AS3595" s="10"/>
      <c r="AT3595" s="10"/>
      <c r="AU3595" s="10"/>
      <c r="AV3595" s="10"/>
      <c r="AW3595" s="10"/>
      <c r="AX3595" s="10"/>
      <c r="AY3595" s="10"/>
      <c r="AZ3595" s="10"/>
    </row>
    <row r="3596" spans="28:52">
      <c r="AB3596" s="9">
        <v>1.0429203342759645</v>
      </c>
      <c r="AC3596" s="9">
        <v>1.1287112681417284</v>
      </c>
      <c r="AD3596" s="9">
        <v>0.96404619688315796</v>
      </c>
      <c r="AE3596" s="10"/>
      <c r="AF3596" s="10"/>
      <c r="AG3596" s="10"/>
      <c r="AH3596" s="10"/>
      <c r="AI3596" s="10"/>
      <c r="AJ3596" s="10"/>
      <c r="AK3596" s="10"/>
      <c r="AL3596" s="10"/>
      <c r="AM3596" s="10"/>
      <c r="AN3596" s="10"/>
      <c r="AO3596" s="10"/>
      <c r="AP3596" s="10"/>
      <c r="AQ3596" s="10"/>
      <c r="AR3596" s="10"/>
      <c r="AS3596" s="10"/>
      <c r="AT3596" s="10"/>
      <c r="AU3596" s="10"/>
      <c r="AV3596" s="10"/>
      <c r="AW3596" s="10"/>
      <c r="AX3596" s="10"/>
      <c r="AY3596" s="10"/>
      <c r="AZ3596" s="10"/>
    </row>
    <row r="3597" spans="28:52">
      <c r="AB3597" s="9">
        <v>1.0425280612095025</v>
      </c>
      <c r="AC3597" s="9">
        <v>1.5227221342979875</v>
      </c>
      <c r="AD3597" s="9">
        <v>0.96758157218530405</v>
      </c>
      <c r="AE3597" s="10"/>
      <c r="AF3597" s="10"/>
      <c r="AG3597" s="10"/>
      <c r="AH3597" s="10"/>
      <c r="AI3597" s="10"/>
      <c r="AJ3597" s="10"/>
      <c r="AK3597" s="10"/>
      <c r="AL3597" s="10"/>
      <c r="AM3597" s="10"/>
      <c r="AN3597" s="10"/>
      <c r="AO3597" s="10"/>
      <c r="AP3597" s="10"/>
      <c r="AQ3597" s="10"/>
      <c r="AR3597" s="10"/>
      <c r="AS3597" s="10"/>
      <c r="AT3597" s="10"/>
      <c r="AU3597" s="10"/>
      <c r="AV3597" s="10"/>
      <c r="AW3597" s="10"/>
      <c r="AX3597" s="10"/>
      <c r="AY3597" s="10"/>
      <c r="AZ3597" s="10"/>
    </row>
    <row r="3598" spans="28:52">
      <c r="AB3598" s="9">
        <v>1.0360912275828031</v>
      </c>
      <c r="AC3598" s="9">
        <v>1.2856285575711452</v>
      </c>
      <c r="AD3598" s="9">
        <v>0.96875175724407703</v>
      </c>
      <c r="AE3598" s="10"/>
      <c r="AF3598" s="10"/>
      <c r="AG3598" s="10"/>
      <c r="AH3598" s="10"/>
      <c r="AI3598" s="10"/>
      <c r="AJ3598" s="10"/>
      <c r="AK3598" s="10"/>
      <c r="AL3598" s="10"/>
      <c r="AM3598" s="10"/>
      <c r="AN3598" s="10"/>
      <c r="AO3598" s="10"/>
      <c r="AP3598" s="10"/>
      <c r="AQ3598" s="10"/>
      <c r="AR3598" s="10"/>
      <c r="AS3598" s="10"/>
      <c r="AT3598" s="10"/>
      <c r="AU3598" s="10"/>
      <c r="AV3598" s="10"/>
      <c r="AW3598" s="10"/>
      <c r="AX3598" s="10"/>
      <c r="AY3598" s="10"/>
      <c r="AZ3598" s="10"/>
    </row>
    <row r="3599" spans="28:52">
      <c r="AB3599" s="9">
        <v>1.0324433611034216</v>
      </c>
      <c r="AC3599" s="9">
        <v>1.1335251323366604</v>
      </c>
      <c r="AD3599" s="9">
        <v>0.9620153104533169</v>
      </c>
      <c r="AE3599" s="10"/>
      <c r="AF3599" s="10"/>
      <c r="AG3599" s="10"/>
      <c r="AH3599" s="10"/>
      <c r="AI3599" s="10"/>
      <c r="AJ3599" s="10"/>
      <c r="AK3599" s="10"/>
      <c r="AL3599" s="10"/>
      <c r="AM3599" s="10"/>
      <c r="AN3599" s="10"/>
      <c r="AO3599" s="10"/>
      <c r="AP3599" s="10"/>
      <c r="AQ3599" s="10"/>
      <c r="AR3599" s="10"/>
      <c r="AS3599" s="10"/>
      <c r="AT3599" s="10"/>
      <c r="AU3599" s="10"/>
      <c r="AV3599" s="10"/>
      <c r="AW3599" s="10"/>
      <c r="AX3599" s="10"/>
      <c r="AY3599" s="10"/>
      <c r="AZ3599" s="10"/>
    </row>
    <row r="3600" spans="28:52">
      <c r="AB3600" s="9">
        <v>1.0373966259052225</v>
      </c>
      <c r="AC3600" s="9">
        <v>1.079773171785201</v>
      </c>
      <c r="AD3600" s="9">
        <v>0.96932254294582598</v>
      </c>
      <c r="AE3600" s="10"/>
      <c r="AF3600" s="10"/>
      <c r="AG3600" s="10"/>
      <c r="AH3600" s="10"/>
      <c r="AI3600" s="10"/>
      <c r="AJ3600" s="10"/>
      <c r="AK3600" s="10"/>
      <c r="AL3600" s="10"/>
      <c r="AM3600" s="10"/>
      <c r="AN3600" s="10"/>
      <c r="AO3600" s="10"/>
      <c r="AP3600" s="10"/>
      <c r="AQ3600" s="10"/>
      <c r="AR3600" s="10"/>
      <c r="AS3600" s="10"/>
      <c r="AT3600" s="10"/>
      <c r="AU3600" s="10"/>
      <c r="AV3600" s="10"/>
      <c r="AW3600" s="10"/>
      <c r="AX3600" s="10"/>
      <c r="AY3600" s="10"/>
      <c r="AZ3600" s="10"/>
    </row>
    <row r="3601" spans="28:52">
      <c r="AB3601" s="9">
        <v>1.0271631850216458</v>
      </c>
      <c r="AC3601" s="9">
        <v>1.1768389724850761</v>
      </c>
      <c r="AD3601" s="9">
        <v>0.97442892251768132</v>
      </c>
      <c r="AE3601" s="10"/>
      <c r="AF3601" s="10"/>
      <c r="AG3601" s="10"/>
      <c r="AH3601" s="10"/>
      <c r="AI3601" s="10"/>
      <c r="AJ3601" s="10"/>
      <c r="AK3601" s="10"/>
      <c r="AL3601" s="10"/>
      <c r="AM3601" s="10"/>
      <c r="AN3601" s="10"/>
      <c r="AO3601" s="10"/>
      <c r="AP3601" s="10"/>
      <c r="AQ3601" s="10"/>
      <c r="AR3601" s="10"/>
      <c r="AS3601" s="10"/>
      <c r="AT3601" s="10"/>
      <c r="AU3601" s="10"/>
      <c r="AV3601" s="10"/>
      <c r="AW3601" s="10"/>
      <c r="AX3601" s="10"/>
      <c r="AY3601" s="10"/>
      <c r="AZ3601" s="10"/>
    </row>
    <row r="3602" spans="28:52">
      <c r="AB3602" s="9">
        <v>1.0194599102878501</v>
      </c>
      <c r="AC3602" s="9">
        <v>1.0528740245465369</v>
      </c>
      <c r="AD3602" s="9">
        <v>0.96626333983725554</v>
      </c>
      <c r="AE3602" s="10"/>
      <c r="AF3602" s="10"/>
      <c r="AG3602" s="10"/>
      <c r="AH3602" s="10"/>
      <c r="AI3602" s="10"/>
      <c r="AJ3602" s="10"/>
      <c r="AK3602" s="10"/>
      <c r="AL3602" s="10"/>
      <c r="AM3602" s="10"/>
      <c r="AN3602" s="10"/>
      <c r="AO3602" s="10"/>
      <c r="AP3602" s="10"/>
      <c r="AQ3602" s="10"/>
      <c r="AR3602" s="10"/>
      <c r="AS3602" s="10"/>
      <c r="AT3602" s="10"/>
      <c r="AU3602" s="10"/>
      <c r="AV3602" s="10"/>
      <c r="AW3602" s="10"/>
      <c r="AX3602" s="10"/>
      <c r="AY3602" s="10"/>
      <c r="AZ3602" s="10"/>
    </row>
    <row r="3603" spans="28:52">
      <c r="AB3603" s="9">
        <v>1.0256542582949164</v>
      </c>
      <c r="AC3603" s="9">
        <v>1.1720119839747605</v>
      </c>
      <c r="AD3603" s="9">
        <v>0.97502942024531158</v>
      </c>
      <c r="AE3603" s="10"/>
      <c r="AF3603" s="10"/>
      <c r="AG3603" s="10"/>
      <c r="AH3603" s="10"/>
      <c r="AI3603" s="10"/>
      <c r="AJ3603" s="10"/>
      <c r="AK3603" s="10"/>
      <c r="AL3603" s="10"/>
      <c r="AM3603" s="10"/>
      <c r="AN3603" s="10"/>
      <c r="AO3603" s="10"/>
      <c r="AP3603" s="10"/>
      <c r="AQ3603" s="10"/>
      <c r="AR3603" s="10"/>
      <c r="AS3603" s="10"/>
      <c r="AT3603" s="10"/>
      <c r="AU3603" s="10"/>
      <c r="AV3603" s="10"/>
      <c r="AW3603" s="10"/>
      <c r="AX3603" s="10"/>
      <c r="AY3603" s="10"/>
      <c r="AZ3603" s="10"/>
    </row>
    <row r="3604" spans="28:52">
      <c r="AB3604" s="9">
        <v>1.0142995151755083</v>
      </c>
      <c r="AC3604" s="9">
        <v>1.3553312332366487</v>
      </c>
      <c r="AD3604" s="9">
        <v>0.97462631956917745</v>
      </c>
      <c r="AE3604" s="10"/>
      <c r="AF3604" s="10"/>
      <c r="AG3604" s="10"/>
      <c r="AH3604" s="10"/>
      <c r="AI3604" s="10"/>
      <c r="AJ3604" s="10"/>
      <c r="AK3604" s="10"/>
      <c r="AL3604" s="10"/>
      <c r="AM3604" s="10"/>
      <c r="AN3604" s="10"/>
      <c r="AO3604" s="10"/>
      <c r="AP3604" s="10"/>
      <c r="AQ3604" s="10"/>
      <c r="AR3604" s="10"/>
      <c r="AS3604" s="10"/>
      <c r="AT3604" s="10"/>
      <c r="AU3604" s="10"/>
      <c r="AV3604" s="10"/>
      <c r="AW3604" s="10"/>
      <c r="AX3604" s="10"/>
      <c r="AY3604" s="10"/>
      <c r="AZ3604" s="10"/>
    </row>
    <row r="3605" spans="28:52">
      <c r="AB3605" s="9">
        <v>1.0124992395738148</v>
      </c>
      <c r="AC3605" s="9">
        <v>0.85772367652642723</v>
      </c>
      <c r="AD3605" s="9">
        <v>0.96805856036219551</v>
      </c>
      <c r="AE3605" s="10"/>
      <c r="AF3605" s="10"/>
      <c r="AG3605" s="10"/>
      <c r="AH3605" s="10"/>
      <c r="AI3605" s="10"/>
      <c r="AJ3605" s="10"/>
      <c r="AK3605" s="10"/>
      <c r="AL3605" s="10"/>
      <c r="AM3605" s="10"/>
      <c r="AN3605" s="10"/>
      <c r="AO3605" s="10"/>
      <c r="AP3605" s="10"/>
      <c r="AQ3605" s="10"/>
      <c r="AR3605" s="10"/>
      <c r="AS3605" s="10"/>
      <c r="AT3605" s="10"/>
      <c r="AU3605" s="10"/>
      <c r="AV3605" s="10"/>
      <c r="AW3605" s="10"/>
      <c r="AX3605" s="10"/>
      <c r="AY3605" s="10"/>
      <c r="AZ3605" s="10"/>
    </row>
    <row r="3606" spans="28:52">
      <c r="AB3606" s="9">
        <v>1.0167199083577876</v>
      </c>
      <c r="AC3606" s="9">
        <v>0.95725139254075831</v>
      </c>
      <c r="AD3606" s="9">
        <v>0.95009872094950609</v>
      </c>
      <c r="AE3606" s="10"/>
      <c r="AF3606" s="10"/>
      <c r="AG3606" s="10"/>
      <c r="AH3606" s="10"/>
      <c r="AI3606" s="10"/>
      <c r="AJ3606" s="10"/>
      <c r="AK3606" s="10"/>
      <c r="AL3606" s="10"/>
      <c r="AM3606" s="10"/>
      <c r="AN3606" s="10"/>
      <c r="AO3606" s="10"/>
      <c r="AP3606" s="10"/>
      <c r="AQ3606" s="10"/>
      <c r="AR3606" s="10"/>
      <c r="AS3606" s="10"/>
      <c r="AT3606" s="10"/>
      <c r="AU3606" s="10"/>
      <c r="AV3606" s="10"/>
      <c r="AW3606" s="10"/>
      <c r="AX3606" s="10"/>
      <c r="AY3606" s="10"/>
      <c r="AZ3606" s="10"/>
    </row>
    <row r="3607" spans="28:52">
      <c r="AB3607" s="9">
        <v>1.0328663781552003</v>
      </c>
      <c r="AC3607" s="9">
        <v>1.0985126588483398</v>
      </c>
      <c r="AD3607" s="9">
        <v>0.949555275278816</v>
      </c>
      <c r="AE3607" s="10"/>
      <c r="AF3607" s="10"/>
      <c r="AG3607" s="10"/>
      <c r="AH3607" s="10"/>
      <c r="AI3607" s="10"/>
      <c r="AJ3607" s="10"/>
      <c r="AK3607" s="10"/>
      <c r="AL3607" s="10"/>
      <c r="AM3607" s="10"/>
      <c r="AN3607" s="10"/>
      <c r="AO3607" s="10"/>
      <c r="AP3607" s="10"/>
      <c r="AQ3607" s="10"/>
      <c r="AR3607" s="10"/>
      <c r="AS3607" s="10"/>
      <c r="AT3607" s="10"/>
      <c r="AU3607" s="10"/>
      <c r="AV3607" s="10"/>
      <c r="AW3607" s="10"/>
      <c r="AX3607" s="10"/>
      <c r="AY3607" s="10"/>
      <c r="AZ3607" s="10"/>
    </row>
    <row r="3608" spans="28:52">
      <c r="AB3608" s="9">
        <v>1.0295002964081037</v>
      </c>
      <c r="AC3608" s="9">
        <v>1.0529305168636569</v>
      </c>
      <c r="AD3608" s="9">
        <v>0.95744665777433691</v>
      </c>
      <c r="AE3608" s="10"/>
      <c r="AF3608" s="10"/>
      <c r="AG3608" s="10"/>
      <c r="AH3608" s="10"/>
      <c r="AI3608" s="10"/>
      <c r="AJ3608" s="10"/>
      <c r="AK3608" s="10"/>
      <c r="AL3608" s="10"/>
      <c r="AM3608" s="10"/>
      <c r="AN3608" s="10"/>
      <c r="AO3608" s="10"/>
      <c r="AP3608" s="10"/>
      <c r="AQ3608" s="10"/>
      <c r="AR3608" s="10"/>
      <c r="AS3608" s="10"/>
      <c r="AT3608" s="10"/>
      <c r="AU3608" s="10"/>
      <c r="AV3608" s="10"/>
      <c r="AW3608" s="10"/>
      <c r="AX3608" s="10"/>
      <c r="AY3608" s="10"/>
      <c r="AZ3608" s="10"/>
    </row>
    <row r="3609" spans="28:52">
      <c r="AB3609" s="9">
        <v>1.0175304683552699</v>
      </c>
      <c r="AC3609" s="9">
        <v>0.82462678529113964</v>
      </c>
      <c r="AD3609" s="9">
        <v>0.9553010971786835</v>
      </c>
      <c r="AE3609" s="10"/>
      <c r="AF3609" s="10"/>
      <c r="AG3609" s="10"/>
      <c r="AH3609" s="10"/>
      <c r="AI3609" s="10"/>
      <c r="AJ3609" s="10"/>
      <c r="AK3609" s="10"/>
      <c r="AL3609" s="10"/>
      <c r="AM3609" s="10"/>
      <c r="AN3609" s="10"/>
      <c r="AO3609" s="10"/>
      <c r="AP3609" s="10"/>
      <c r="AQ3609" s="10"/>
      <c r="AR3609" s="10"/>
      <c r="AS3609" s="10"/>
      <c r="AT3609" s="10"/>
      <c r="AU3609" s="10"/>
      <c r="AV3609" s="10"/>
      <c r="AW3609" s="10"/>
      <c r="AX3609" s="10"/>
      <c r="AY3609" s="10"/>
      <c r="AZ3609" s="10"/>
    </row>
    <row r="3610" spans="28:52">
      <c r="AB3610" s="9">
        <v>1.0162664759016615</v>
      </c>
      <c r="AC3610" s="9">
        <v>0.83274367068498867</v>
      </c>
      <c r="AD3610" s="9">
        <v>0.95679315508963569</v>
      </c>
      <c r="AE3610" s="10"/>
      <c r="AF3610" s="10"/>
      <c r="AG3610" s="10"/>
      <c r="AH3610" s="10"/>
      <c r="AI3610" s="10"/>
      <c r="AJ3610" s="10"/>
      <c r="AK3610" s="10"/>
      <c r="AL3610" s="10"/>
      <c r="AM3610" s="10"/>
      <c r="AN3610" s="10"/>
      <c r="AO3610" s="10"/>
      <c r="AP3610" s="10"/>
      <c r="AQ3610" s="10"/>
      <c r="AR3610" s="10"/>
      <c r="AS3610" s="10"/>
      <c r="AT3610" s="10"/>
      <c r="AU3610" s="10"/>
      <c r="AV3610" s="10"/>
      <c r="AW3610" s="10"/>
      <c r="AX3610" s="10"/>
      <c r="AY3610" s="10"/>
      <c r="AZ3610" s="10"/>
    </row>
    <row r="3611" spans="28:52">
      <c r="AB3611" s="9">
        <v>1.011458166695238</v>
      </c>
      <c r="AC3611" s="9">
        <v>0.91608883701771249</v>
      </c>
      <c r="AD3611" s="9">
        <v>0.95531892390430151</v>
      </c>
      <c r="AE3611" s="10"/>
      <c r="AF3611" s="10"/>
      <c r="AG3611" s="10"/>
      <c r="AH3611" s="10"/>
      <c r="AI3611" s="10"/>
      <c r="AJ3611" s="10"/>
      <c r="AK3611" s="10"/>
      <c r="AL3611" s="10"/>
      <c r="AM3611" s="10"/>
      <c r="AN3611" s="10"/>
      <c r="AO3611" s="10"/>
      <c r="AP3611" s="10"/>
      <c r="AQ3611" s="10"/>
      <c r="AR3611" s="10"/>
      <c r="AS3611" s="10"/>
      <c r="AT3611" s="10"/>
      <c r="AU3611" s="10"/>
      <c r="AV3611" s="10"/>
      <c r="AW3611" s="10"/>
      <c r="AX3611" s="10"/>
      <c r="AY3611" s="10"/>
      <c r="AZ3611" s="10"/>
    </row>
    <row r="3612" spans="28:52">
      <c r="AB3612" s="9">
        <v>1.0098605928244426</v>
      </c>
      <c r="AC3612" s="9">
        <v>0.83477346156736032</v>
      </c>
      <c r="AD3612" s="9">
        <v>0.95373739155080384</v>
      </c>
      <c r="AE3612" s="10"/>
      <c r="AF3612" s="10"/>
      <c r="AG3612" s="10"/>
      <c r="AH3612" s="10"/>
      <c r="AI3612" s="10"/>
      <c r="AJ3612" s="10"/>
      <c r="AK3612" s="10"/>
      <c r="AL3612" s="10"/>
      <c r="AM3612" s="10"/>
      <c r="AN3612" s="10"/>
      <c r="AO3612" s="10"/>
      <c r="AP3612" s="10"/>
      <c r="AQ3612" s="10"/>
      <c r="AR3612" s="10"/>
      <c r="AS3612" s="10"/>
      <c r="AT3612" s="10"/>
      <c r="AU3612" s="10"/>
      <c r="AV3612" s="10"/>
      <c r="AW3612" s="10"/>
      <c r="AX3612" s="10"/>
      <c r="AY3612" s="10"/>
      <c r="AZ3612" s="10"/>
    </row>
    <row r="3613" spans="28:52">
      <c r="AB3613" s="9">
        <v>1.0081984285128269</v>
      </c>
      <c r="AC3613" s="9">
        <v>0.96772981906376754</v>
      </c>
      <c r="AD3613" s="9">
        <v>0.96787400742658658</v>
      </c>
      <c r="AE3613" s="10"/>
      <c r="AF3613" s="10"/>
      <c r="AG3613" s="10"/>
      <c r="AH3613" s="10"/>
      <c r="AI3613" s="10"/>
      <c r="AJ3613" s="10"/>
      <c r="AK3613" s="10"/>
      <c r="AL3613" s="10"/>
      <c r="AM3613" s="10"/>
      <c r="AN3613" s="10"/>
      <c r="AO3613" s="10"/>
      <c r="AP3613" s="10"/>
      <c r="AQ3613" s="10"/>
      <c r="AR3613" s="10"/>
      <c r="AS3613" s="10"/>
      <c r="AT3613" s="10"/>
      <c r="AU3613" s="10"/>
      <c r="AV3613" s="10"/>
      <c r="AW3613" s="10"/>
      <c r="AX3613" s="10"/>
      <c r="AY3613" s="10"/>
      <c r="AZ3613" s="10"/>
    </row>
    <row r="3614" spans="28:52">
      <c r="AB3614" s="9">
        <v>0.99076065513537248</v>
      </c>
      <c r="AC3614" s="9">
        <v>0.81349743983918965</v>
      </c>
      <c r="AD3614" s="9">
        <v>0.96655305651672418</v>
      </c>
      <c r="AE3614" s="10"/>
      <c r="AF3614" s="10"/>
      <c r="AG3614" s="10"/>
      <c r="AH3614" s="10"/>
      <c r="AI3614" s="10"/>
      <c r="AJ3614" s="10"/>
      <c r="AK3614" s="10"/>
      <c r="AL3614" s="10"/>
      <c r="AM3614" s="10"/>
      <c r="AN3614" s="10"/>
      <c r="AO3614" s="10"/>
      <c r="AP3614" s="10"/>
      <c r="AQ3614" s="10"/>
      <c r="AR3614" s="10"/>
      <c r="AS3614" s="10"/>
      <c r="AT3614" s="10"/>
      <c r="AU3614" s="10"/>
      <c r="AV3614" s="10"/>
      <c r="AW3614" s="10"/>
      <c r="AX3614" s="10"/>
      <c r="AY3614" s="10"/>
      <c r="AZ3614" s="10"/>
    </row>
    <row r="3615" spans="28:52">
      <c r="AB3615" s="9">
        <v>0.98990526252692201</v>
      </c>
      <c r="AC3615" s="9">
        <v>0.756683592316163</v>
      </c>
      <c r="AD3615" s="9">
        <v>0.96476507228545039</v>
      </c>
      <c r="AE3615" s="10"/>
      <c r="AF3615" s="10"/>
      <c r="AG3615" s="10"/>
      <c r="AH3615" s="10"/>
      <c r="AI3615" s="10"/>
      <c r="AJ3615" s="10"/>
      <c r="AK3615" s="10"/>
      <c r="AL3615" s="10"/>
      <c r="AM3615" s="10"/>
      <c r="AN3615" s="10"/>
      <c r="AO3615" s="10"/>
      <c r="AP3615" s="10"/>
      <c r="AQ3615" s="10"/>
      <c r="AR3615" s="10"/>
      <c r="AS3615" s="10"/>
      <c r="AT3615" s="10"/>
      <c r="AU3615" s="10"/>
      <c r="AV3615" s="10"/>
      <c r="AW3615" s="10"/>
      <c r="AX3615" s="10"/>
      <c r="AY3615" s="10"/>
      <c r="AZ3615" s="10"/>
    </row>
    <row r="3616" spans="28:52">
      <c r="AB3616" s="9">
        <v>0.98950166808150386</v>
      </c>
      <c r="AC3616" s="9">
        <v>0.7322322041197078</v>
      </c>
      <c r="AD3616" s="9">
        <v>0.96852864342015987</v>
      </c>
      <c r="AE3616" s="10"/>
      <c r="AF3616" s="10"/>
      <c r="AG3616" s="10"/>
      <c r="AH3616" s="10"/>
      <c r="AI3616" s="10"/>
      <c r="AJ3616" s="10"/>
      <c r="AK3616" s="10"/>
      <c r="AL3616" s="10"/>
      <c r="AM3616" s="10"/>
      <c r="AN3616" s="10"/>
      <c r="AO3616" s="10"/>
      <c r="AP3616" s="10"/>
      <c r="AQ3616" s="10"/>
      <c r="AR3616" s="10"/>
      <c r="AS3616" s="10"/>
      <c r="AT3616" s="10"/>
      <c r="AU3616" s="10"/>
      <c r="AV3616" s="10"/>
      <c r="AW3616" s="10"/>
      <c r="AX3616" s="10"/>
      <c r="AY3616" s="10"/>
      <c r="AZ3616" s="10"/>
    </row>
    <row r="3617" spans="28:52">
      <c r="AB3617" s="9">
        <v>0.98335359440239789</v>
      </c>
      <c r="AC3617" s="9">
        <v>0.86850556859152839</v>
      </c>
      <c r="AD3617" s="9">
        <v>0.97435461296911474</v>
      </c>
      <c r="AE3617" s="10"/>
      <c r="AF3617" s="10"/>
      <c r="AG3617" s="10"/>
      <c r="AH3617" s="10"/>
      <c r="AI3617" s="10"/>
      <c r="AJ3617" s="10"/>
      <c r="AK3617" s="10"/>
      <c r="AL3617" s="10"/>
      <c r="AM3617" s="10"/>
      <c r="AN3617" s="10"/>
      <c r="AO3617" s="10"/>
      <c r="AP3617" s="10"/>
      <c r="AQ3617" s="10"/>
      <c r="AR3617" s="10"/>
      <c r="AS3617" s="10"/>
      <c r="AT3617" s="10"/>
      <c r="AU3617" s="10"/>
      <c r="AV3617" s="10"/>
      <c r="AW3617" s="10"/>
      <c r="AX3617" s="10"/>
      <c r="AY3617" s="10"/>
      <c r="AZ3617" s="10"/>
    </row>
    <row r="3618" spans="28:52">
      <c r="AB3618" s="9">
        <v>0.97604837316871818</v>
      </c>
      <c r="AC3618" s="9">
        <v>0.71247697333637561</v>
      </c>
      <c r="AD3618" s="9">
        <v>0.96570307653887355</v>
      </c>
      <c r="AE3618" s="10"/>
      <c r="AF3618" s="10"/>
      <c r="AG3618" s="10"/>
      <c r="AH3618" s="10"/>
      <c r="AI3618" s="10"/>
      <c r="AJ3618" s="10"/>
      <c r="AK3618" s="10"/>
      <c r="AL3618" s="10"/>
      <c r="AM3618" s="10"/>
      <c r="AN3618" s="10"/>
      <c r="AO3618" s="10"/>
      <c r="AP3618" s="10"/>
      <c r="AQ3618" s="10"/>
      <c r="AR3618" s="10"/>
      <c r="AS3618" s="10"/>
      <c r="AT3618" s="10"/>
      <c r="AU3618" s="10"/>
      <c r="AV3618" s="10"/>
      <c r="AW3618" s="10"/>
      <c r="AX3618" s="10"/>
      <c r="AY3618" s="10"/>
      <c r="AZ3618" s="10"/>
    </row>
    <row r="3619" spans="28:52">
      <c r="AB3619" s="9">
        <v>0.98342000128277973</v>
      </c>
      <c r="AC3619" s="9">
        <v>0.64517584171144704</v>
      </c>
      <c r="AD3619" s="9">
        <v>0.96640539903602451</v>
      </c>
      <c r="AE3619" s="10"/>
      <c r="AF3619" s="10"/>
      <c r="AG3619" s="10"/>
      <c r="AH3619" s="10"/>
      <c r="AI3619" s="10"/>
      <c r="AJ3619" s="10"/>
      <c r="AK3619" s="10"/>
      <c r="AL3619" s="10"/>
      <c r="AM3619" s="10"/>
      <c r="AN3619" s="10"/>
      <c r="AO3619" s="10"/>
      <c r="AP3619" s="10"/>
      <c r="AQ3619" s="10"/>
      <c r="AR3619" s="10"/>
      <c r="AS3619" s="10"/>
      <c r="AT3619" s="10"/>
      <c r="AU3619" s="10"/>
      <c r="AV3619" s="10"/>
      <c r="AW3619" s="10"/>
      <c r="AX3619" s="10"/>
      <c r="AY3619" s="10"/>
      <c r="AZ3619" s="10"/>
    </row>
    <row r="3620" spans="28:52">
      <c r="AB3620" s="9">
        <v>0.98159382057822864</v>
      </c>
      <c r="AC3620" s="9">
        <v>0.75361677000295235</v>
      </c>
      <c r="AD3620" s="9">
        <v>0.97602052473870748</v>
      </c>
      <c r="AE3620" s="10"/>
      <c r="AF3620" s="10"/>
      <c r="AG3620" s="10"/>
      <c r="AH3620" s="10"/>
      <c r="AI3620" s="10"/>
      <c r="AJ3620" s="10"/>
      <c r="AK3620" s="10"/>
      <c r="AL3620" s="10"/>
      <c r="AM3620" s="10"/>
      <c r="AN3620" s="10"/>
      <c r="AO3620" s="10"/>
      <c r="AP3620" s="10"/>
      <c r="AQ3620" s="10"/>
      <c r="AR3620" s="10"/>
      <c r="AS3620" s="10"/>
      <c r="AT3620" s="10"/>
      <c r="AU3620" s="10"/>
      <c r="AV3620" s="10"/>
      <c r="AW3620" s="10"/>
      <c r="AX3620" s="10"/>
      <c r="AY3620" s="10"/>
      <c r="AZ3620" s="10"/>
    </row>
    <row r="3621" spans="28:52">
      <c r="AB3621" s="9">
        <v>0.9711485554053495</v>
      </c>
      <c r="AC3621" s="9">
        <v>0.81976455473601217</v>
      </c>
      <c r="AD3621" s="9">
        <v>0.97812349623383277</v>
      </c>
      <c r="AE3621" s="10"/>
      <c r="AF3621" s="10"/>
      <c r="AG3621" s="10"/>
      <c r="AH3621" s="10"/>
      <c r="AI3621" s="10"/>
      <c r="AJ3621" s="10"/>
      <c r="AK3621" s="10"/>
      <c r="AL3621" s="10"/>
      <c r="AM3621" s="10"/>
      <c r="AN3621" s="10"/>
      <c r="AO3621" s="10"/>
      <c r="AP3621" s="10"/>
      <c r="AQ3621" s="10"/>
      <c r="AR3621" s="10"/>
      <c r="AS3621" s="10"/>
      <c r="AT3621" s="10"/>
      <c r="AU3621" s="10"/>
      <c r="AV3621" s="10"/>
      <c r="AW3621" s="10"/>
      <c r="AX3621" s="10"/>
      <c r="AY3621" s="10"/>
      <c r="AZ3621" s="10"/>
    </row>
    <row r="3622" spans="28:52">
      <c r="AB3622" s="9">
        <v>0.96865726294924248</v>
      </c>
      <c r="AC3622" s="9">
        <v>0.88982760197548916</v>
      </c>
      <c r="AD3622" s="9">
        <v>0.97302500590722762</v>
      </c>
      <c r="AE3622" s="10"/>
      <c r="AF3622" s="10"/>
      <c r="AG3622" s="10"/>
      <c r="AH3622" s="10"/>
      <c r="AI3622" s="10"/>
      <c r="AJ3622" s="10"/>
      <c r="AK3622" s="10"/>
      <c r="AL3622" s="10"/>
      <c r="AM3622" s="10"/>
      <c r="AN3622" s="10"/>
      <c r="AO3622" s="10"/>
      <c r="AP3622" s="10"/>
      <c r="AQ3622" s="10"/>
      <c r="AR3622" s="10"/>
      <c r="AS3622" s="10"/>
      <c r="AT3622" s="10"/>
      <c r="AU3622" s="10"/>
      <c r="AV3622" s="10"/>
      <c r="AW3622" s="10"/>
      <c r="AX3622" s="10"/>
      <c r="AY3622" s="10"/>
      <c r="AZ3622" s="10"/>
    </row>
    <row r="3623" spans="28:52">
      <c r="AB3623" s="9">
        <v>0.97327715011927129</v>
      </c>
      <c r="AC3623" s="9">
        <v>0.76390778234281875</v>
      </c>
      <c r="AD3623" s="9">
        <v>0.98608767092491212</v>
      </c>
      <c r="AE3623" s="10"/>
      <c r="AF3623" s="10"/>
      <c r="AG3623" s="10"/>
      <c r="AH3623" s="10"/>
      <c r="AI3623" s="10"/>
      <c r="AJ3623" s="10"/>
      <c r="AK3623" s="10"/>
      <c r="AL3623" s="10"/>
      <c r="AM3623" s="10"/>
      <c r="AN3623" s="10"/>
      <c r="AO3623" s="10"/>
      <c r="AP3623" s="10"/>
      <c r="AQ3623" s="10"/>
      <c r="AR3623" s="10"/>
      <c r="AS3623" s="10"/>
      <c r="AT3623" s="10"/>
      <c r="AU3623" s="10"/>
      <c r="AV3623" s="10"/>
      <c r="AW3623" s="10"/>
      <c r="AX3623" s="10"/>
      <c r="AY3623" s="10"/>
      <c r="AZ3623" s="10"/>
    </row>
    <row r="3624" spans="28:52">
      <c r="AB3624" s="9">
        <v>0.96017077829220177</v>
      </c>
      <c r="AC3624" s="9">
        <v>0.74446545289903199</v>
      </c>
      <c r="AD3624" s="9">
        <v>0.98865914471197514</v>
      </c>
      <c r="AE3624" s="10"/>
      <c r="AF3624" s="10"/>
      <c r="AG3624" s="10"/>
      <c r="AH3624" s="10"/>
      <c r="AI3624" s="10"/>
      <c r="AJ3624" s="10"/>
      <c r="AK3624" s="10"/>
      <c r="AL3624" s="10"/>
      <c r="AM3624" s="10"/>
      <c r="AN3624" s="10"/>
      <c r="AO3624" s="10"/>
      <c r="AP3624" s="10"/>
      <c r="AQ3624" s="10"/>
      <c r="AR3624" s="10"/>
      <c r="AS3624" s="10"/>
      <c r="AT3624" s="10"/>
      <c r="AU3624" s="10"/>
      <c r="AV3624" s="10"/>
      <c r="AW3624" s="10"/>
      <c r="AX3624" s="10"/>
      <c r="AY3624" s="10"/>
      <c r="AZ3624" s="10"/>
    </row>
    <row r="3625" spans="28:52">
      <c r="AB3625" s="9">
        <v>0.95821697921625504</v>
      </c>
      <c r="AC3625" s="9">
        <v>0.78226560673369194</v>
      </c>
      <c r="AD3625" s="9">
        <v>0.98829290607229336</v>
      </c>
      <c r="AE3625" s="10"/>
      <c r="AF3625" s="10"/>
      <c r="AG3625" s="10"/>
      <c r="AH3625" s="10"/>
      <c r="AI3625" s="10"/>
      <c r="AJ3625" s="10"/>
      <c r="AK3625" s="10"/>
      <c r="AL3625" s="10"/>
      <c r="AM3625" s="10"/>
      <c r="AN3625" s="10"/>
      <c r="AO3625" s="10"/>
      <c r="AP3625" s="10"/>
      <c r="AQ3625" s="10"/>
      <c r="AR3625" s="10"/>
      <c r="AS3625" s="10"/>
      <c r="AT3625" s="10"/>
      <c r="AU3625" s="10"/>
      <c r="AV3625" s="10"/>
      <c r="AW3625" s="10"/>
      <c r="AX3625" s="10"/>
      <c r="AY3625" s="10"/>
      <c r="AZ3625" s="10"/>
    </row>
    <row r="3626" spans="28:52">
      <c r="AB3626" s="9">
        <v>0.95923421138902143</v>
      </c>
      <c r="AC3626" s="9">
        <v>0.86387746797075615</v>
      </c>
      <c r="AD3626" s="9">
        <v>0.97508545548188785</v>
      </c>
      <c r="AE3626" s="10"/>
      <c r="AF3626" s="10"/>
      <c r="AG3626" s="10"/>
      <c r="AH3626" s="10"/>
      <c r="AI3626" s="10"/>
      <c r="AJ3626" s="10"/>
      <c r="AK3626" s="10"/>
      <c r="AL3626" s="10"/>
      <c r="AM3626" s="10"/>
      <c r="AN3626" s="10"/>
      <c r="AO3626" s="10"/>
      <c r="AP3626" s="10"/>
      <c r="AQ3626" s="10"/>
      <c r="AR3626" s="10"/>
      <c r="AS3626" s="10"/>
      <c r="AT3626" s="10"/>
      <c r="AU3626" s="10"/>
      <c r="AV3626" s="10"/>
      <c r="AW3626" s="10"/>
      <c r="AX3626" s="10"/>
      <c r="AY3626" s="10"/>
      <c r="AZ3626" s="10"/>
    </row>
    <row r="3627" spans="28:52">
      <c r="AB3627" s="9">
        <v>0.972865637569028</v>
      </c>
      <c r="AC3627" s="9">
        <v>0.86870991302349743</v>
      </c>
      <c r="AD3627" s="9">
        <v>0.97774026936534864</v>
      </c>
      <c r="AE3627" s="10"/>
      <c r="AF3627" s="10"/>
      <c r="AG3627" s="10"/>
      <c r="AH3627" s="10"/>
      <c r="AI3627" s="10"/>
      <c r="AJ3627" s="10"/>
      <c r="AK3627" s="10"/>
      <c r="AL3627" s="10"/>
      <c r="AM3627" s="10"/>
      <c r="AN3627" s="10"/>
      <c r="AO3627" s="10"/>
      <c r="AP3627" s="10"/>
      <c r="AQ3627" s="10"/>
      <c r="AR3627" s="10"/>
      <c r="AS3627" s="10"/>
      <c r="AT3627" s="10"/>
      <c r="AU3627" s="10"/>
      <c r="AV3627" s="10"/>
      <c r="AW3627" s="10"/>
      <c r="AX3627" s="10"/>
      <c r="AY3627" s="10"/>
      <c r="AZ3627" s="10"/>
    </row>
    <row r="3628" spans="28:52">
      <c r="AB3628" s="9">
        <v>0.97091870211935694</v>
      </c>
      <c r="AC3628" s="9">
        <v>0.70677977356485933</v>
      </c>
      <c r="AD3628" s="9">
        <v>0.97093258459904808</v>
      </c>
      <c r="AE3628" s="10"/>
      <c r="AF3628" s="10"/>
      <c r="AG3628" s="10"/>
      <c r="AH3628" s="10"/>
      <c r="AI3628" s="10"/>
      <c r="AJ3628" s="10"/>
      <c r="AK3628" s="10"/>
      <c r="AL3628" s="10"/>
      <c r="AM3628" s="10"/>
      <c r="AN3628" s="10"/>
      <c r="AO3628" s="10"/>
      <c r="AP3628" s="10"/>
      <c r="AQ3628" s="10"/>
      <c r="AR3628" s="10"/>
      <c r="AS3628" s="10"/>
      <c r="AT3628" s="10"/>
      <c r="AU3628" s="10"/>
      <c r="AV3628" s="10"/>
      <c r="AW3628" s="10"/>
      <c r="AX3628" s="10"/>
      <c r="AY3628" s="10"/>
      <c r="AZ3628" s="10"/>
    </row>
    <row r="3629" spans="28:52">
      <c r="AB3629" s="9">
        <v>0.97823112569977</v>
      </c>
      <c r="AC3629" s="9">
        <v>0.70971643741427759</v>
      </c>
      <c r="AD3629" s="9">
        <v>0.97046854492814028</v>
      </c>
      <c r="AE3629" s="10"/>
      <c r="AF3629" s="10"/>
      <c r="AG3629" s="10"/>
      <c r="AH3629" s="10"/>
      <c r="AI3629" s="10"/>
      <c r="AJ3629" s="10"/>
      <c r="AK3629" s="10"/>
      <c r="AL3629" s="10"/>
      <c r="AM3629" s="10"/>
      <c r="AN3629" s="10"/>
      <c r="AO3629" s="10"/>
      <c r="AP3629" s="10"/>
      <c r="AQ3629" s="10"/>
      <c r="AR3629" s="10"/>
      <c r="AS3629" s="10"/>
      <c r="AT3629" s="10"/>
      <c r="AU3629" s="10"/>
      <c r="AV3629" s="10"/>
      <c r="AW3629" s="10"/>
      <c r="AX3629" s="10"/>
      <c r="AY3629" s="10"/>
      <c r="AZ3629" s="10"/>
    </row>
    <row r="3630" spans="28:52">
      <c r="AB3630" s="9">
        <v>0.97901293450500171</v>
      </c>
      <c r="AC3630" s="9">
        <v>0.76012495600989227</v>
      </c>
      <c r="AD3630" s="9">
        <v>0.96869844614854272</v>
      </c>
      <c r="AE3630" s="10"/>
      <c r="AF3630" s="10"/>
      <c r="AG3630" s="10"/>
      <c r="AH3630" s="10"/>
      <c r="AI3630" s="10"/>
      <c r="AJ3630" s="10"/>
      <c r="AK3630" s="10"/>
      <c r="AL3630" s="10"/>
      <c r="AM3630" s="10"/>
      <c r="AN3630" s="10"/>
      <c r="AO3630" s="10"/>
      <c r="AP3630" s="10"/>
      <c r="AQ3630" s="10"/>
      <c r="AR3630" s="10"/>
      <c r="AS3630" s="10"/>
      <c r="AT3630" s="10"/>
      <c r="AU3630" s="10"/>
      <c r="AV3630" s="10"/>
      <c r="AW3630" s="10"/>
      <c r="AX3630" s="10"/>
      <c r="AY3630" s="10"/>
      <c r="AZ3630" s="10"/>
    </row>
    <row r="3631" spans="28:52">
      <c r="AB3631" s="9">
        <v>0.9808850952510646</v>
      </c>
      <c r="AC3631" s="9">
        <v>0.7787014626959905</v>
      </c>
      <c r="AD3631" s="9">
        <v>0.97343650822185079</v>
      </c>
      <c r="AE3631" s="10"/>
      <c r="AF3631" s="10"/>
      <c r="AG3631" s="10"/>
      <c r="AH3631" s="10"/>
      <c r="AI3631" s="10"/>
      <c r="AJ3631" s="10"/>
      <c r="AK3631" s="10"/>
      <c r="AL3631" s="10"/>
      <c r="AM3631" s="10"/>
      <c r="AN3631" s="10"/>
      <c r="AO3631" s="10"/>
      <c r="AP3631" s="10"/>
      <c r="AQ3631" s="10"/>
      <c r="AR3631" s="10"/>
      <c r="AS3631" s="10"/>
      <c r="AT3631" s="10"/>
      <c r="AU3631" s="10"/>
      <c r="AV3631" s="10"/>
      <c r="AW3631" s="10"/>
      <c r="AX3631" s="10"/>
      <c r="AY3631" s="10"/>
      <c r="AZ3631" s="10"/>
    </row>
    <row r="3632" spans="28:52">
      <c r="AB3632" s="9">
        <v>0.976585541862248</v>
      </c>
      <c r="AC3632" s="9">
        <v>0.72795833166509549</v>
      </c>
      <c r="AD3632" s="9">
        <v>0.96613510506116818</v>
      </c>
      <c r="AE3632" s="10"/>
      <c r="AF3632" s="10"/>
      <c r="AG3632" s="10"/>
      <c r="AH3632" s="10"/>
      <c r="AI3632" s="10"/>
      <c r="AJ3632" s="10"/>
      <c r="AK3632" s="10"/>
      <c r="AL3632" s="10"/>
      <c r="AM3632" s="10"/>
      <c r="AN3632" s="10"/>
      <c r="AO3632" s="10"/>
      <c r="AP3632" s="10"/>
      <c r="AQ3632" s="10"/>
      <c r="AR3632" s="10"/>
      <c r="AS3632" s="10"/>
      <c r="AT3632" s="10"/>
      <c r="AU3632" s="10"/>
      <c r="AV3632" s="10"/>
      <c r="AW3632" s="10"/>
      <c r="AX3632" s="10"/>
      <c r="AY3632" s="10"/>
      <c r="AZ3632" s="10"/>
    </row>
    <row r="3633" spans="28:52">
      <c r="AB3633" s="9">
        <v>0.98412367899923692</v>
      </c>
      <c r="AC3633" s="9">
        <v>0.76064077147122877</v>
      </c>
      <c r="AD3633" s="9">
        <v>0.96515003857949633</v>
      </c>
      <c r="AE3633" s="10"/>
      <c r="AF3633" s="10"/>
      <c r="AG3633" s="10"/>
      <c r="AH3633" s="10"/>
      <c r="AI3633" s="10"/>
      <c r="AJ3633" s="10"/>
      <c r="AK3633" s="10"/>
      <c r="AL3633" s="10"/>
      <c r="AM3633" s="10"/>
      <c r="AN3633" s="10"/>
      <c r="AO3633" s="10"/>
      <c r="AP3633" s="10"/>
      <c r="AQ3633" s="10"/>
      <c r="AR3633" s="10"/>
      <c r="AS3633" s="10"/>
      <c r="AT3633" s="10"/>
      <c r="AU3633" s="10"/>
      <c r="AV3633" s="10"/>
      <c r="AW3633" s="10"/>
      <c r="AX3633" s="10"/>
      <c r="AY3633" s="10"/>
      <c r="AZ3633" s="10"/>
    </row>
    <row r="3634" spans="28:52">
      <c r="AB3634" s="9">
        <v>0.98500729445204904</v>
      </c>
      <c r="AC3634" s="9">
        <v>0.80150404487638771</v>
      </c>
      <c r="AD3634" s="9">
        <v>0.96820085546538281</v>
      </c>
      <c r="AE3634" s="10"/>
      <c r="AF3634" s="10"/>
      <c r="AG3634" s="10"/>
      <c r="AH3634" s="10"/>
      <c r="AI3634" s="10"/>
      <c r="AJ3634" s="10"/>
      <c r="AK3634" s="10"/>
      <c r="AL3634" s="10"/>
      <c r="AM3634" s="10"/>
      <c r="AN3634" s="10"/>
      <c r="AO3634" s="10"/>
      <c r="AP3634" s="10"/>
      <c r="AQ3634" s="10"/>
      <c r="AR3634" s="10"/>
      <c r="AS3634" s="10"/>
      <c r="AT3634" s="10"/>
      <c r="AU3634" s="10"/>
      <c r="AV3634" s="10"/>
      <c r="AW3634" s="10"/>
      <c r="AX3634" s="10"/>
      <c r="AY3634" s="10"/>
      <c r="AZ3634" s="10"/>
    </row>
    <row r="3635" spans="28:52">
      <c r="AB3635" s="9">
        <v>0.98214040127272673</v>
      </c>
      <c r="AC3635" s="9">
        <v>0.66543919724483103</v>
      </c>
      <c r="AD3635" s="9">
        <v>0.97860775726010085</v>
      </c>
      <c r="AE3635" s="10"/>
      <c r="AF3635" s="10"/>
      <c r="AG3635" s="10"/>
      <c r="AH3635" s="10"/>
      <c r="AI3635" s="10"/>
      <c r="AJ3635" s="10"/>
      <c r="AK3635" s="10"/>
      <c r="AL3635" s="10"/>
      <c r="AM3635" s="10"/>
      <c r="AN3635" s="10"/>
      <c r="AO3635" s="10"/>
      <c r="AP3635" s="10"/>
      <c r="AQ3635" s="10"/>
      <c r="AR3635" s="10"/>
      <c r="AS3635" s="10"/>
      <c r="AT3635" s="10"/>
      <c r="AU3635" s="10"/>
      <c r="AV3635" s="10"/>
      <c r="AW3635" s="10"/>
      <c r="AX3635" s="10"/>
      <c r="AY3635" s="10"/>
      <c r="AZ3635" s="10"/>
    </row>
    <row r="3636" spans="28:52">
      <c r="AB3636" s="9">
        <v>0.9721616253224884</v>
      </c>
      <c r="AC3636" s="9">
        <v>0.81813937487713762</v>
      </c>
      <c r="AD3636" s="9">
        <v>0.98708610501323124</v>
      </c>
      <c r="AE3636" s="10"/>
      <c r="AF3636" s="10"/>
      <c r="AG3636" s="10"/>
      <c r="AH3636" s="10"/>
      <c r="AI3636" s="10"/>
      <c r="AJ3636" s="10"/>
      <c r="AK3636" s="10"/>
      <c r="AL3636" s="10"/>
      <c r="AM3636" s="10"/>
      <c r="AN3636" s="10"/>
      <c r="AO3636" s="10"/>
      <c r="AP3636" s="10"/>
      <c r="AQ3636" s="10"/>
      <c r="AR3636" s="10"/>
      <c r="AS3636" s="10"/>
      <c r="AT3636" s="10"/>
      <c r="AU3636" s="10"/>
      <c r="AV3636" s="10"/>
      <c r="AW3636" s="10"/>
      <c r="AX3636" s="10"/>
      <c r="AY3636" s="10"/>
      <c r="AZ3636" s="10"/>
    </row>
    <row r="3637" spans="28:52">
      <c r="AB3637" s="9">
        <v>0.96457839941501333</v>
      </c>
      <c r="AC3637" s="9">
        <v>0.83541228386189281</v>
      </c>
      <c r="AD3637" s="9">
        <v>0.98694662825009671</v>
      </c>
      <c r="AE3637" s="10"/>
      <c r="AF3637" s="10"/>
      <c r="AG3637" s="10"/>
      <c r="AH3637" s="10"/>
      <c r="AI3637" s="10"/>
      <c r="AJ3637" s="10"/>
      <c r="AK3637" s="10"/>
      <c r="AL3637" s="10"/>
      <c r="AM3637" s="10"/>
      <c r="AN3637" s="10"/>
      <c r="AO3637" s="10"/>
      <c r="AP3637" s="10"/>
      <c r="AQ3637" s="10"/>
      <c r="AR3637" s="10"/>
      <c r="AS3637" s="10"/>
      <c r="AT3637" s="10"/>
      <c r="AU3637" s="10"/>
      <c r="AV3637" s="10"/>
      <c r="AW3637" s="10"/>
      <c r="AX3637" s="10"/>
      <c r="AY3637" s="10"/>
      <c r="AZ3637" s="10"/>
    </row>
    <row r="3638" spans="28:52">
      <c r="AB3638" s="9">
        <v>0.96585014140360115</v>
      </c>
      <c r="AC3638" s="9">
        <v>0.63848956575263571</v>
      </c>
      <c r="AD3638" s="9">
        <v>0.9760101550279674</v>
      </c>
      <c r="AE3638" s="10"/>
      <c r="AF3638" s="10"/>
      <c r="AG3638" s="10"/>
      <c r="AH3638" s="10"/>
      <c r="AI3638" s="10"/>
      <c r="AJ3638" s="10"/>
      <c r="AK3638" s="10"/>
      <c r="AL3638" s="10"/>
      <c r="AM3638" s="10"/>
      <c r="AN3638" s="10"/>
      <c r="AO3638" s="10"/>
      <c r="AP3638" s="10"/>
      <c r="AQ3638" s="10"/>
      <c r="AR3638" s="10"/>
      <c r="AS3638" s="10"/>
      <c r="AT3638" s="10"/>
      <c r="AU3638" s="10"/>
      <c r="AV3638" s="10"/>
      <c r="AW3638" s="10"/>
      <c r="AX3638" s="10"/>
      <c r="AY3638" s="10"/>
      <c r="AZ3638" s="10"/>
    </row>
    <row r="3639" spans="28:52">
      <c r="AB3639" s="9">
        <v>0.97734902175932881</v>
      </c>
      <c r="AC3639" s="9">
        <v>0.97603681031840472</v>
      </c>
      <c r="AD3639" s="9">
        <v>0.98244799203604893</v>
      </c>
      <c r="AE3639" s="10"/>
      <c r="AF3639" s="10"/>
      <c r="AG3639" s="10"/>
      <c r="AH3639" s="10"/>
      <c r="AI3639" s="10"/>
      <c r="AJ3639" s="10"/>
      <c r="AK3639" s="10"/>
      <c r="AL3639" s="10"/>
      <c r="AM3639" s="10"/>
      <c r="AN3639" s="10"/>
      <c r="AO3639" s="10"/>
      <c r="AP3639" s="10"/>
      <c r="AQ3639" s="10"/>
      <c r="AR3639" s="10"/>
      <c r="AS3639" s="10"/>
      <c r="AT3639" s="10"/>
      <c r="AU3639" s="10"/>
      <c r="AV3639" s="10"/>
      <c r="AW3639" s="10"/>
      <c r="AX3639" s="10"/>
      <c r="AY3639" s="10"/>
      <c r="AZ3639" s="10"/>
    </row>
    <row r="3640" spans="28:52">
      <c r="AB3640" s="9">
        <v>0.97168140629188915</v>
      </c>
      <c r="AC3640" s="9">
        <v>0.82244940590169147</v>
      </c>
      <c r="AD3640" s="9">
        <v>0.9984989434131607</v>
      </c>
      <c r="AE3640" s="10"/>
      <c r="AF3640" s="10"/>
      <c r="AG3640" s="10"/>
      <c r="AH3640" s="10"/>
      <c r="AI3640" s="10"/>
      <c r="AJ3640" s="10"/>
      <c r="AK3640" s="10"/>
      <c r="AL3640" s="10"/>
      <c r="AM3640" s="10"/>
      <c r="AN3640" s="10"/>
      <c r="AO3640" s="10"/>
      <c r="AP3640" s="10"/>
      <c r="AQ3640" s="10"/>
      <c r="AR3640" s="10"/>
      <c r="AS3640" s="10"/>
      <c r="AT3640" s="10"/>
      <c r="AU3640" s="10"/>
      <c r="AV3640" s="10"/>
      <c r="AW3640" s="10"/>
      <c r="AX3640" s="10"/>
      <c r="AY3640" s="10"/>
      <c r="AZ3640" s="10"/>
    </row>
    <row r="3641" spans="28:52">
      <c r="AB3641" s="9">
        <v>0.95742453463895749</v>
      </c>
      <c r="AC3641" s="9">
        <v>0.91840608158392889</v>
      </c>
      <c r="AD3641" s="9">
        <v>1.0072049804743535</v>
      </c>
      <c r="AE3641" s="10"/>
      <c r="AF3641" s="10"/>
      <c r="AG3641" s="10"/>
      <c r="AH3641" s="10"/>
      <c r="AI3641" s="10"/>
      <c r="AJ3641" s="10"/>
      <c r="AK3641" s="10"/>
      <c r="AL3641" s="10"/>
      <c r="AM3641" s="10"/>
      <c r="AN3641" s="10"/>
      <c r="AO3641" s="10"/>
      <c r="AP3641" s="10"/>
      <c r="AQ3641" s="10"/>
      <c r="AR3641" s="10"/>
      <c r="AS3641" s="10"/>
      <c r="AT3641" s="10"/>
      <c r="AU3641" s="10"/>
      <c r="AV3641" s="10"/>
      <c r="AW3641" s="10"/>
      <c r="AX3641" s="10"/>
      <c r="AY3641" s="10"/>
      <c r="AZ3641" s="10"/>
    </row>
    <row r="3642" spans="28:52">
      <c r="AB3642" s="9">
        <v>0.95128811616620856</v>
      </c>
      <c r="AC3642" s="9">
        <v>0.81685036611781536</v>
      </c>
      <c r="AD3642" s="9">
        <v>1.007839330882601</v>
      </c>
      <c r="AE3642" s="10"/>
      <c r="AF3642" s="10"/>
      <c r="AG3642" s="10"/>
      <c r="AH3642" s="10"/>
      <c r="AI3642" s="10"/>
      <c r="AJ3642" s="10"/>
      <c r="AK3642" s="10"/>
      <c r="AL3642" s="10"/>
      <c r="AM3642" s="10"/>
      <c r="AN3642" s="10"/>
      <c r="AO3642" s="10"/>
      <c r="AP3642" s="10"/>
      <c r="AQ3642" s="10"/>
      <c r="AR3642" s="10"/>
      <c r="AS3642" s="10"/>
      <c r="AT3642" s="10"/>
      <c r="AU3642" s="10"/>
      <c r="AV3642" s="10"/>
      <c r="AW3642" s="10"/>
      <c r="AX3642" s="10"/>
      <c r="AY3642" s="10"/>
      <c r="AZ3642" s="10"/>
    </row>
    <row r="3643" spans="28:52">
      <c r="AB3643" s="9">
        <v>0.95340425221318981</v>
      </c>
      <c r="AC3643" s="9">
        <v>0.74921226192450474</v>
      </c>
      <c r="AD3643" s="9">
        <v>1.0067358895215346</v>
      </c>
      <c r="AE3643" s="10"/>
      <c r="AF3643" s="10"/>
      <c r="AG3643" s="10"/>
      <c r="AH3643" s="10"/>
      <c r="AI3643" s="10"/>
      <c r="AJ3643" s="10"/>
      <c r="AK3643" s="10"/>
      <c r="AL3643" s="10"/>
      <c r="AM3643" s="10"/>
      <c r="AN3643" s="10"/>
      <c r="AO3643" s="10"/>
      <c r="AP3643" s="10"/>
      <c r="AQ3643" s="10"/>
      <c r="AR3643" s="10"/>
      <c r="AS3643" s="10"/>
      <c r="AT3643" s="10"/>
      <c r="AU3643" s="10"/>
      <c r="AV3643" s="10"/>
      <c r="AW3643" s="10"/>
      <c r="AX3643" s="10"/>
      <c r="AY3643" s="10"/>
      <c r="AZ3643" s="10"/>
    </row>
    <row r="3644" spans="28:52">
      <c r="AB3644" s="9">
        <v>0.95724849839647341</v>
      </c>
      <c r="AC3644" s="9">
        <v>0.76498795386057483</v>
      </c>
      <c r="AD3644" s="9">
        <v>1.0103524980695893</v>
      </c>
      <c r="AE3644" s="10"/>
      <c r="AF3644" s="10"/>
      <c r="AG3644" s="10"/>
      <c r="AH3644" s="10"/>
      <c r="AI3644" s="10"/>
      <c r="AJ3644" s="10"/>
      <c r="AK3644" s="10"/>
      <c r="AL3644" s="10"/>
      <c r="AM3644" s="10"/>
      <c r="AN3644" s="10"/>
      <c r="AO3644" s="10"/>
      <c r="AP3644" s="10"/>
      <c r="AQ3644" s="10"/>
      <c r="AR3644" s="10"/>
      <c r="AS3644" s="10"/>
      <c r="AT3644" s="10"/>
      <c r="AU3644" s="10"/>
      <c r="AV3644" s="10"/>
      <c r="AW3644" s="10"/>
      <c r="AX3644" s="10"/>
      <c r="AY3644" s="10"/>
      <c r="AZ3644" s="10"/>
    </row>
    <row r="3645" spans="28:52">
      <c r="AB3645" s="9">
        <v>0.95652352566529619</v>
      </c>
      <c r="AC3645" s="9">
        <v>0.82998731346211685</v>
      </c>
      <c r="AD3645" s="9">
        <v>0.99819480564859531</v>
      </c>
      <c r="AE3645" s="10"/>
      <c r="AF3645" s="10"/>
      <c r="AG3645" s="10"/>
      <c r="AH3645" s="10"/>
      <c r="AI3645" s="10"/>
      <c r="AJ3645" s="10"/>
      <c r="AK3645" s="10"/>
      <c r="AL3645" s="10"/>
      <c r="AM3645" s="10"/>
      <c r="AN3645" s="10"/>
      <c r="AO3645" s="10"/>
      <c r="AP3645" s="10"/>
      <c r="AQ3645" s="10"/>
      <c r="AR3645" s="10"/>
      <c r="AS3645" s="10"/>
      <c r="AT3645" s="10"/>
      <c r="AU3645" s="10"/>
      <c r="AV3645" s="10"/>
      <c r="AW3645" s="10"/>
      <c r="AX3645" s="10"/>
      <c r="AY3645" s="10"/>
      <c r="AZ3645" s="10"/>
    </row>
    <row r="3646" spans="28:52">
      <c r="AB3646" s="9">
        <v>0.97047246230555961</v>
      </c>
      <c r="AC3646" s="9">
        <v>1.0329642627845328</v>
      </c>
      <c r="AD3646" s="9">
        <v>0.98130591752048291</v>
      </c>
      <c r="AE3646" s="10"/>
      <c r="AF3646" s="10"/>
      <c r="AG3646" s="10"/>
      <c r="AH3646" s="10"/>
      <c r="AI3646" s="10"/>
      <c r="AJ3646" s="10"/>
      <c r="AK3646" s="10"/>
      <c r="AL3646" s="10"/>
      <c r="AM3646" s="10"/>
      <c r="AN3646" s="10"/>
      <c r="AO3646" s="10"/>
      <c r="AP3646" s="10"/>
      <c r="AQ3646" s="10"/>
      <c r="AR3646" s="10"/>
      <c r="AS3646" s="10"/>
      <c r="AT3646" s="10"/>
      <c r="AU3646" s="10"/>
      <c r="AV3646" s="10"/>
      <c r="AW3646" s="10"/>
      <c r="AX3646" s="10"/>
      <c r="AY3646" s="10"/>
      <c r="AZ3646" s="10"/>
    </row>
    <row r="3647" spans="28:52">
      <c r="AB3647" s="9">
        <v>0.9889868430988985</v>
      </c>
      <c r="AC3647" s="9">
        <v>1.2086959288543839</v>
      </c>
      <c r="AD3647" s="9">
        <v>0.98093734078825334</v>
      </c>
      <c r="AE3647" s="10"/>
      <c r="AF3647" s="10"/>
      <c r="AG3647" s="10"/>
      <c r="AH3647" s="10"/>
      <c r="AI3647" s="10"/>
      <c r="AJ3647" s="10"/>
      <c r="AK3647" s="10"/>
      <c r="AL3647" s="10"/>
      <c r="AM3647" s="10"/>
      <c r="AN3647" s="10"/>
      <c r="AO3647" s="10"/>
      <c r="AP3647" s="10"/>
      <c r="AQ3647" s="10"/>
      <c r="AR3647" s="10"/>
      <c r="AS3647" s="10"/>
      <c r="AT3647" s="10"/>
      <c r="AU3647" s="10"/>
      <c r="AV3647" s="10"/>
      <c r="AW3647" s="10"/>
      <c r="AX3647" s="10"/>
      <c r="AY3647" s="10"/>
      <c r="AZ3647" s="10"/>
    </row>
    <row r="3648" spans="28:52">
      <c r="AB3648" s="9">
        <v>0.99071020710481827</v>
      </c>
      <c r="AC3648" s="9">
        <v>0.99608444537225882</v>
      </c>
      <c r="AD3648" s="9">
        <v>0.9784776266175198</v>
      </c>
      <c r="AE3648" s="10"/>
      <c r="AF3648" s="10"/>
      <c r="AG3648" s="10"/>
      <c r="AH3648" s="10"/>
      <c r="AI3648" s="10"/>
      <c r="AJ3648" s="10"/>
      <c r="AK3648" s="10"/>
      <c r="AL3648" s="10"/>
      <c r="AM3648" s="10"/>
      <c r="AN3648" s="10"/>
      <c r="AO3648" s="10"/>
      <c r="AP3648" s="10"/>
      <c r="AQ3648" s="10"/>
      <c r="AR3648" s="10"/>
      <c r="AS3648" s="10"/>
      <c r="AT3648" s="10"/>
      <c r="AU3648" s="10"/>
      <c r="AV3648" s="10"/>
      <c r="AW3648" s="10"/>
      <c r="AX3648" s="10"/>
      <c r="AY3648" s="10"/>
      <c r="AZ3648" s="10"/>
    </row>
    <row r="3649" spans="28:52">
      <c r="AB3649" s="9">
        <v>0.99442227752510992</v>
      </c>
      <c r="AC3649" s="9">
        <v>1.0865678784001029</v>
      </c>
      <c r="AD3649" s="9">
        <v>0.97991553396000985</v>
      </c>
      <c r="AE3649" s="10"/>
      <c r="AF3649" s="10"/>
      <c r="AG3649" s="10"/>
      <c r="AH3649" s="10"/>
      <c r="AI3649" s="10"/>
      <c r="AJ3649" s="10"/>
      <c r="AK3649" s="10"/>
      <c r="AL3649" s="10"/>
      <c r="AM3649" s="10"/>
      <c r="AN3649" s="10"/>
      <c r="AO3649" s="10"/>
      <c r="AP3649" s="10"/>
      <c r="AQ3649" s="10"/>
      <c r="AR3649" s="10"/>
      <c r="AS3649" s="10"/>
      <c r="AT3649" s="10"/>
      <c r="AU3649" s="10"/>
      <c r="AV3649" s="10"/>
      <c r="AW3649" s="10"/>
      <c r="AX3649" s="10"/>
      <c r="AY3649" s="10"/>
      <c r="AZ3649" s="10"/>
    </row>
    <row r="3650" spans="28:52">
      <c r="AB3650" s="9">
        <v>0.99419005032424657</v>
      </c>
      <c r="AC3650" s="9">
        <v>1.1244162617842679</v>
      </c>
      <c r="AD3650" s="9">
        <v>0.98662208959924924</v>
      </c>
      <c r="AE3650" s="10"/>
      <c r="AF3650" s="10"/>
      <c r="AG3650" s="10"/>
      <c r="AH3650" s="10"/>
      <c r="AI3650" s="10"/>
      <c r="AJ3650" s="10"/>
      <c r="AK3650" s="10"/>
      <c r="AL3650" s="10"/>
      <c r="AM3650" s="10"/>
      <c r="AN3650" s="10"/>
      <c r="AO3650" s="10"/>
      <c r="AP3650" s="10"/>
      <c r="AQ3650" s="10"/>
      <c r="AR3650" s="10"/>
      <c r="AS3650" s="10"/>
      <c r="AT3650" s="10"/>
      <c r="AU3650" s="10"/>
      <c r="AV3650" s="10"/>
      <c r="AW3650" s="10"/>
      <c r="AX3650" s="10"/>
      <c r="AY3650" s="10"/>
      <c r="AZ3650" s="10"/>
    </row>
    <row r="3651" spans="28:52">
      <c r="AB3651" s="9">
        <v>0.98870393255946698</v>
      </c>
      <c r="AC3651" s="9">
        <v>0.9737276987138368</v>
      </c>
      <c r="AD3651" s="9">
        <v>0.98972653012903955</v>
      </c>
      <c r="AE3651" s="10"/>
      <c r="AF3651" s="10"/>
      <c r="AG3651" s="10"/>
      <c r="AH3651" s="10"/>
      <c r="AI3651" s="10"/>
      <c r="AJ3651" s="10"/>
      <c r="AK3651" s="10"/>
      <c r="AL3651" s="10"/>
      <c r="AM3651" s="10"/>
      <c r="AN3651" s="10"/>
      <c r="AO3651" s="10"/>
      <c r="AP3651" s="10"/>
      <c r="AQ3651" s="10"/>
      <c r="AR3651" s="10"/>
      <c r="AS3651" s="10"/>
      <c r="AT3651" s="10"/>
      <c r="AU3651" s="10"/>
      <c r="AV3651" s="10"/>
      <c r="AW3651" s="10"/>
      <c r="AX3651" s="10"/>
      <c r="AY3651" s="10"/>
      <c r="AZ3651" s="10"/>
    </row>
    <row r="3652" spans="28:52">
      <c r="AB3652" s="9">
        <v>0.98722399205057632</v>
      </c>
      <c r="AC3652" s="9">
        <v>0.89769863336249212</v>
      </c>
      <c r="AD3652" s="9">
        <v>0.99336694914276358</v>
      </c>
      <c r="AE3652" s="10"/>
      <c r="AF3652" s="10"/>
      <c r="AG3652" s="10"/>
      <c r="AH3652" s="10"/>
      <c r="AI3652" s="10"/>
      <c r="AJ3652" s="10"/>
      <c r="AK3652" s="10"/>
      <c r="AL3652" s="10"/>
      <c r="AM3652" s="10"/>
      <c r="AN3652" s="10"/>
      <c r="AO3652" s="10"/>
      <c r="AP3652" s="10"/>
      <c r="AQ3652" s="10"/>
      <c r="AR3652" s="10"/>
      <c r="AS3652" s="10"/>
      <c r="AT3652" s="10"/>
      <c r="AU3652" s="10"/>
      <c r="AV3652" s="10"/>
      <c r="AW3652" s="10"/>
      <c r="AX3652" s="10"/>
      <c r="AY3652" s="10"/>
      <c r="AZ3652" s="10"/>
    </row>
    <row r="3653" spans="28:52">
      <c r="AB3653" s="9">
        <v>0.98573757278206797</v>
      </c>
      <c r="AC3653" s="9">
        <v>0.79524544449852397</v>
      </c>
      <c r="AD3653" s="9">
        <v>1.0077120285933794</v>
      </c>
      <c r="AE3653" s="10"/>
      <c r="AF3653" s="10"/>
      <c r="AG3653" s="10"/>
      <c r="AH3653" s="10"/>
      <c r="AI3653" s="10"/>
      <c r="AJ3653" s="10"/>
      <c r="AK3653" s="10"/>
      <c r="AL3653" s="10"/>
      <c r="AM3653" s="10"/>
      <c r="AN3653" s="10"/>
      <c r="AO3653" s="10"/>
      <c r="AP3653" s="10"/>
      <c r="AQ3653" s="10"/>
      <c r="AR3653" s="10"/>
      <c r="AS3653" s="10"/>
      <c r="AT3653" s="10"/>
      <c r="AU3653" s="10"/>
      <c r="AV3653" s="10"/>
      <c r="AW3653" s="10"/>
      <c r="AX3653" s="10"/>
      <c r="AY3653" s="10"/>
      <c r="AZ3653" s="10"/>
    </row>
    <row r="3654" spans="28:52">
      <c r="AB3654" s="9">
        <v>0.97389754826814423</v>
      </c>
      <c r="AC3654" s="9">
        <v>1.0990237138173407</v>
      </c>
      <c r="AD3654" s="9">
        <v>1.0139518901496785</v>
      </c>
      <c r="AE3654" s="10"/>
      <c r="AF3654" s="10"/>
      <c r="AG3654" s="10"/>
      <c r="AH3654" s="10"/>
      <c r="AI3654" s="10"/>
      <c r="AJ3654" s="10"/>
      <c r="AK3654" s="10"/>
      <c r="AL3654" s="10"/>
      <c r="AM3654" s="10"/>
      <c r="AN3654" s="10"/>
      <c r="AO3654" s="10"/>
      <c r="AP3654" s="10"/>
      <c r="AQ3654" s="10"/>
      <c r="AR3654" s="10"/>
      <c r="AS3654" s="10"/>
      <c r="AT3654" s="10"/>
      <c r="AU3654" s="10"/>
      <c r="AV3654" s="10"/>
      <c r="AW3654" s="10"/>
      <c r="AX3654" s="10"/>
      <c r="AY3654" s="10"/>
      <c r="AZ3654" s="10"/>
    </row>
    <row r="3655" spans="28:52">
      <c r="AB3655" s="9">
        <v>0.9705568134745709</v>
      </c>
      <c r="AC3655" s="9">
        <v>0.97777896555022292</v>
      </c>
      <c r="AD3655" s="9">
        <v>1.0139614043728755</v>
      </c>
      <c r="AE3655" s="10"/>
      <c r="AF3655" s="10"/>
      <c r="AG3655" s="10"/>
      <c r="AH3655" s="10"/>
      <c r="AI3655" s="10"/>
      <c r="AJ3655" s="10"/>
      <c r="AK3655" s="10"/>
      <c r="AL3655" s="10"/>
      <c r="AM3655" s="10"/>
      <c r="AN3655" s="10"/>
      <c r="AO3655" s="10"/>
      <c r="AP3655" s="10"/>
      <c r="AQ3655" s="10"/>
      <c r="AR3655" s="10"/>
      <c r="AS3655" s="10"/>
      <c r="AT3655" s="10"/>
      <c r="AU3655" s="10"/>
      <c r="AV3655" s="10"/>
      <c r="AW3655" s="10"/>
      <c r="AX3655" s="10"/>
      <c r="AY3655" s="10"/>
      <c r="AZ3655" s="10"/>
    </row>
    <row r="3656" spans="28:52">
      <c r="AB3656" s="9">
        <v>0.97320278666966797</v>
      </c>
      <c r="AC3656" s="9">
        <v>0.98163524359594101</v>
      </c>
      <c r="AD3656" s="9">
        <v>1.040679165229212</v>
      </c>
      <c r="AE3656" s="10"/>
      <c r="AF3656" s="10"/>
      <c r="AG3656" s="10"/>
      <c r="AH3656" s="10"/>
      <c r="AI3656" s="10"/>
      <c r="AJ3656" s="10"/>
      <c r="AK3656" s="10"/>
      <c r="AL3656" s="10"/>
      <c r="AM3656" s="10"/>
      <c r="AN3656" s="10"/>
      <c r="AO3656" s="10"/>
      <c r="AP3656" s="10"/>
      <c r="AQ3656" s="10"/>
      <c r="AR3656" s="10"/>
      <c r="AS3656" s="10"/>
      <c r="AT3656" s="10"/>
      <c r="AU3656" s="10"/>
      <c r="AV3656" s="10"/>
      <c r="AW3656" s="10"/>
      <c r="AX3656" s="10"/>
      <c r="AY3656" s="10"/>
      <c r="AZ3656" s="10"/>
    </row>
    <row r="3657" spans="28:52">
      <c r="AB3657" s="9">
        <v>0.95187381711551211</v>
      </c>
      <c r="AC3657" s="9">
        <v>1.0781314286771853</v>
      </c>
      <c r="AD3657" s="9">
        <v>1.0423026382359855</v>
      </c>
      <c r="AE3657" s="10"/>
      <c r="AF3657" s="10"/>
      <c r="AG3657" s="10"/>
      <c r="AH3657" s="10"/>
      <c r="AI3657" s="10"/>
      <c r="AJ3657" s="10"/>
      <c r="AK3657" s="10"/>
      <c r="AL3657" s="10"/>
      <c r="AM3657" s="10"/>
      <c r="AN3657" s="10"/>
      <c r="AO3657" s="10"/>
      <c r="AP3657" s="10"/>
      <c r="AQ3657" s="10"/>
      <c r="AR3657" s="10"/>
      <c r="AS3657" s="10"/>
      <c r="AT3657" s="10"/>
      <c r="AU3657" s="10"/>
      <c r="AV3657" s="10"/>
      <c r="AW3657" s="10"/>
      <c r="AX3657" s="10"/>
      <c r="AY3657" s="10"/>
      <c r="AZ3657" s="10"/>
    </row>
    <row r="3658" spans="28:52">
      <c r="AB3658" s="9">
        <v>0.95453111991569017</v>
      </c>
      <c r="AC3658" s="9">
        <v>0.92762378855638439</v>
      </c>
      <c r="AD3658" s="9">
        <v>1.0697739087064646</v>
      </c>
      <c r="AE3658" s="10"/>
      <c r="AF3658" s="10"/>
      <c r="AG3658" s="10"/>
      <c r="AH3658" s="10"/>
      <c r="AI3658" s="10"/>
      <c r="AJ3658" s="10"/>
      <c r="AK3658" s="10"/>
      <c r="AL3658" s="10"/>
      <c r="AM3658" s="10"/>
      <c r="AN3658" s="10"/>
      <c r="AO3658" s="10"/>
      <c r="AP3658" s="10"/>
      <c r="AQ3658" s="10"/>
      <c r="AR3658" s="10"/>
      <c r="AS3658" s="10"/>
      <c r="AT3658" s="10"/>
      <c r="AU3658" s="10"/>
      <c r="AV3658" s="10"/>
      <c r="AW3658" s="10"/>
      <c r="AX3658" s="10"/>
      <c r="AY3658" s="10"/>
      <c r="AZ3658" s="10"/>
    </row>
    <row r="3659" spans="28:52">
      <c r="AB3659" s="9">
        <v>0.93426205626055292</v>
      </c>
      <c r="AC3659" s="9">
        <v>1.1616958980394405</v>
      </c>
      <c r="AD3659" s="9">
        <v>1.0626424147529581</v>
      </c>
      <c r="AE3659" s="10"/>
      <c r="AF3659" s="10"/>
      <c r="AG3659" s="10"/>
      <c r="AH3659" s="10"/>
      <c r="AI3659" s="10"/>
      <c r="AJ3659" s="10"/>
      <c r="AK3659" s="10"/>
      <c r="AL3659" s="10"/>
      <c r="AM3659" s="10"/>
      <c r="AN3659" s="10"/>
      <c r="AO3659" s="10"/>
      <c r="AP3659" s="10"/>
      <c r="AQ3659" s="10"/>
      <c r="AR3659" s="10"/>
      <c r="AS3659" s="10"/>
      <c r="AT3659" s="10"/>
      <c r="AU3659" s="10"/>
      <c r="AV3659" s="10"/>
      <c r="AW3659" s="10"/>
      <c r="AX3659" s="10"/>
      <c r="AY3659" s="10"/>
      <c r="AZ3659" s="10"/>
    </row>
    <row r="3660" spans="28:52">
      <c r="AB3660" s="9">
        <v>0.94505572918661918</v>
      </c>
      <c r="AC3660" s="9">
        <v>1.3324922956471295</v>
      </c>
      <c r="AD3660" s="9">
        <v>1.0672373822916454</v>
      </c>
      <c r="AE3660" s="10"/>
      <c r="AF3660" s="10"/>
      <c r="AG3660" s="10"/>
      <c r="AH3660" s="10"/>
      <c r="AI3660" s="10"/>
      <c r="AJ3660" s="10"/>
      <c r="AK3660" s="10"/>
      <c r="AL3660" s="10"/>
      <c r="AM3660" s="10"/>
      <c r="AN3660" s="10"/>
      <c r="AO3660" s="10"/>
      <c r="AP3660" s="10"/>
      <c r="AQ3660" s="10"/>
      <c r="AR3660" s="10"/>
      <c r="AS3660" s="10"/>
      <c r="AT3660" s="10"/>
      <c r="AU3660" s="10"/>
      <c r="AV3660" s="10"/>
      <c r="AW3660" s="10"/>
      <c r="AX3660" s="10"/>
      <c r="AY3660" s="10"/>
      <c r="AZ3660" s="10"/>
    </row>
    <row r="3661" spans="28:52">
      <c r="AB3661" s="9">
        <v>0.94545811363020138</v>
      </c>
      <c r="AC3661" s="9">
        <v>1.0204769637743945</v>
      </c>
      <c r="AD3661" s="9">
        <v>1.0740790725659759</v>
      </c>
      <c r="AE3661" s="10"/>
      <c r="AF3661" s="10"/>
      <c r="AG3661" s="10"/>
      <c r="AH3661" s="10"/>
      <c r="AI3661" s="10"/>
      <c r="AJ3661" s="10"/>
      <c r="AK3661" s="10"/>
      <c r="AL3661" s="10"/>
      <c r="AM3661" s="10"/>
      <c r="AN3661" s="10"/>
      <c r="AO3661" s="10"/>
      <c r="AP3661" s="10"/>
      <c r="AQ3661" s="10"/>
      <c r="AR3661" s="10"/>
      <c r="AS3661" s="10"/>
      <c r="AT3661" s="10"/>
      <c r="AU3661" s="10"/>
      <c r="AV3661" s="10"/>
      <c r="AW3661" s="10"/>
      <c r="AX3661" s="10"/>
      <c r="AY3661" s="10"/>
      <c r="AZ3661" s="10"/>
    </row>
    <row r="3662" spans="28:52">
      <c r="AB3662" s="9">
        <v>0.94389867822354578</v>
      </c>
      <c r="AC3662" s="9">
        <v>0.94126386773356663</v>
      </c>
      <c r="AD3662" s="9">
        <v>1.0759260379178901</v>
      </c>
      <c r="AE3662" s="10"/>
      <c r="AF3662" s="10"/>
      <c r="AG3662" s="10"/>
      <c r="AH3662" s="10"/>
      <c r="AI3662" s="10"/>
      <c r="AJ3662" s="10"/>
      <c r="AK3662" s="10"/>
      <c r="AL3662" s="10"/>
      <c r="AM3662" s="10"/>
      <c r="AN3662" s="10"/>
      <c r="AO3662" s="10"/>
      <c r="AP3662" s="10"/>
      <c r="AQ3662" s="10"/>
      <c r="AR3662" s="10"/>
      <c r="AS3662" s="10"/>
      <c r="AT3662" s="10"/>
      <c r="AU3662" s="10"/>
      <c r="AV3662" s="10"/>
      <c r="AW3662" s="10"/>
      <c r="AX3662" s="10"/>
      <c r="AY3662" s="10"/>
      <c r="AZ3662" s="10"/>
    </row>
    <row r="3663" spans="28:52">
      <c r="AB3663" s="9">
        <v>0.94653171420824145</v>
      </c>
      <c r="AC3663" s="9">
        <v>0.98193637011748736</v>
      </c>
      <c r="AD3663" s="9">
        <v>1.0828659537742606</v>
      </c>
      <c r="AE3663" s="10"/>
      <c r="AF3663" s="10"/>
      <c r="AG3663" s="10"/>
      <c r="AH3663" s="10"/>
      <c r="AI3663" s="10"/>
      <c r="AJ3663" s="10"/>
      <c r="AK3663" s="10"/>
      <c r="AL3663" s="10"/>
      <c r="AM3663" s="10"/>
      <c r="AN3663" s="10"/>
      <c r="AO3663" s="10"/>
      <c r="AP3663" s="10"/>
      <c r="AQ3663" s="10"/>
      <c r="AR3663" s="10"/>
      <c r="AS3663" s="10"/>
      <c r="AT3663" s="10"/>
      <c r="AU3663" s="10"/>
      <c r="AV3663" s="10"/>
      <c r="AW3663" s="10"/>
      <c r="AX3663" s="10"/>
      <c r="AY3663" s="10"/>
      <c r="AZ3663" s="10"/>
    </row>
    <row r="3664" spans="28:52">
      <c r="AB3664" s="9">
        <v>0.94482726661786032</v>
      </c>
      <c r="AC3664" s="9">
        <v>1.0434661526210669</v>
      </c>
      <c r="AD3664" s="9">
        <v>1.0936642184138297</v>
      </c>
      <c r="AE3664" s="10"/>
      <c r="AF3664" s="10"/>
      <c r="AG3664" s="10"/>
      <c r="AH3664" s="10"/>
      <c r="AI3664" s="10"/>
      <c r="AJ3664" s="10"/>
      <c r="AK3664" s="10"/>
      <c r="AL3664" s="10"/>
      <c r="AM3664" s="10"/>
      <c r="AN3664" s="10"/>
      <c r="AO3664" s="10"/>
      <c r="AP3664" s="10"/>
      <c r="AQ3664" s="10"/>
      <c r="AR3664" s="10"/>
      <c r="AS3664" s="10"/>
      <c r="AT3664" s="10"/>
      <c r="AU3664" s="10"/>
      <c r="AV3664" s="10"/>
      <c r="AW3664" s="10"/>
      <c r="AX3664" s="10"/>
      <c r="AY3664" s="10"/>
      <c r="AZ3664" s="10"/>
    </row>
    <row r="3665" spans="28:52">
      <c r="AB3665" s="9">
        <v>0.94008515196912457</v>
      </c>
      <c r="AC3665" s="9">
        <v>1.0473396963048196</v>
      </c>
      <c r="AD3665" s="9">
        <v>1.1028647054750873</v>
      </c>
      <c r="AE3665" s="10"/>
      <c r="AF3665" s="10"/>
      <c r="AG3665" s="10"/>
      <c r="AH3665" s="10"/>
      <c r="AI3665" s="10"/>
      <c r="AJ3665" s="10"/>
      <c r="AK3665" s="10"/>
      <c r="AL3665" s="10"/>
      <c r="AM3665" s="10"/>
      <c r="AN3665" s="10"/>
      <c r="AO3665" s="10"/>
      <c r="AP3665" s="10"/>
      <c r="AQ3665" s="10"/>
      <c r="AR3665" s="10"/>
      <c r="AS3665" s="10"/>
      <c r="AT3665" s="10"/>
      <c r="AU3665" s="10"/>
      <c r="AV3665" s="10"/>
      <c r="AW3665" s="10"/>
      <c r="AX3665" s="10"/>
      <c r="AY3665" s="10"/>
      <c r="AZ3665" s="10"/>
    </row>
    <row r="3666" spans="28:52">
      <c r="AB3666" s="9">
        <v>0.93729626010976663</v>
      </c>
      <c r="AC3666" s="9">
        <v>1.0632866723263446</v>
      </c>
      <c r="AD3666" s="9">
        <v>1.0814219939975369</v>
      </c>
      <c r="AE3666" s="10"/>
      <c r="AF3666" s="10"/>
      <c r="AG3666" s="10"/>
      <c r="AH3666" s="10"/>
      <c r="AI3666" s="10"/>
      <c r="AJ3666" s="10"/>
      <c r="AK3666" s="10"/>
      <c r="AL3666" s="10"/>
      <c r="AM3666" s="10"/>
      <c r="AN3666" s="10"/>
      <c r="AO3666" s="10"/>
      <c r="AP3666" s="10"/>
      <c r="AQ3666" s="10"/>
      <c r="AR3666" s="10"/>
      <c r="AS3666" s="10"/>
      <c r="AT3666" s="10"/>
      <c r="AU3666" s="10"/>
      <c r="AV3666" s="10"/>
      <c r="AW3666" s="10"/>
      <c r="AX3666" s="10"/>
      <c r="AY3666" s="10"/>
      <c r="AZ3666" s="10"/>
    </row>
    <row r="3667" spans="28:52">
      <c r="AB3667" s="9">
        <v>0.96055791846134242</v>
      </c>
      <c r="AC3667" s="9">
        <v>1.1319193742478941</v>
      </c>
      <c r="AD3667" s="9">
        <v>1.0784340189810657</v>
      </c>
      <c r="AE3667" s="10"/>
      <c r="AF3667" s="10"/>
      <c r="AG3667" s="10"/>
      <c r="AH3667" s="10"/>
      <c r="AI3667" s="10"/>
      <c r="AJ3667" s="10"/>
      <c r="AK3667" s="10"/>
      <c r="AL3667" s="10"/>
      <c r="AM3667" s="10"/>
      <c r="AN3667" s="10"/>
      <c r="AO3667" s="10"/>
      <c r="AP3667" s="10"/>
      <c r="AQ3667" s="10"/>
      <c r="AR3667" s="10"/>
      <c r="AS3667" s="10"/>
      <c r="AT3667" s="10"/>
      <c r="AU3667" s="10"/>
      <c r="AV3667" s="10"/>
      <c r="AW3667" s="10"/>
      <c r="AX3667" s="10"/>
      <c r="AY3667" s="10"/>
      <c r="AZ3667" s="10"/>
    </row>
    <row r="3668" spans="28:52">
      <c r="AB3668" s="9">
        <v>0.96740438130789241</v>
      </c>
      <c r="AC3668" s="9">
        <v>1.0836578371824463</v>
      </c>
      <c r="AD3668" s="9">
        <v>1.0683112648776827</v>
      </c>
      <c r="AE3668" s="10"/>
      <c r="AF3668" s="10"/>
      <c r="AG3668" s="10"/>
      <c r="AH3668" s="10"/>
      <c r="AI3668" s="10"/>
      <c r="AJ3668" s="10"/>
      <c r="AK3668" s="10"/>
      <c r="AL3668" s="10"/>
      <c r="AM3668" s="10"/>
      <c r="AN3668" s="10"/>
      <c r="AO3668" s="10"/>
      <c r="AP3668" s="10"/>
      <c r="AQ3668" s="10"/>
      <c r="AR3668" s="10"/>
      <c r="AS3668" s="10"/>
      <c r="AT3668" s="10"/>
      <c r="AU3668" s="10"/>
      <c r="AV3668" s="10"/>
      <c r="AW3668" s="10"/>
      <c r="AX3668" s="10"/>
      <c r="AY3668" s="10"/>
      <c r="AZ3668" s="10"/>
    </row>
    <row r="3669" spans="28:52">
      <c r="AB3669" s="9">
        <v>0.98051038578998306</v>
      </c>
      <c r="AC3669" s="9">
        <v>1.0101300256949044</v>
      </c>
      <c r="AD3669" s="9">
        <v>1.0735203251616166</v>
      </c>
      <c r="AE3669" s="10"/>
      <c r="AF3669" s="10"/>
      <c r="AG3669" s="10"/>
      <c r="AH3669" s="10"/>
      <c r="AI3669" s="10"/>
      <c r="AJ3669" s="10"/>
      <c r="AK3669" s="10"/>
      <c r="AL3669" s="10"/>
      <c r="AM3669" s="10"/>
      <c r="AN3669" s="10"/>
      <c r="AO3669" s="10"/>
      <c r="AP3669" s="10"/>
      <c r="AQ3669" s="10"/>
      <c r="AR3669" s="10"/>
      <c r="AS3669" s="10"/>
      <c r="AT3669" s="10"/>
      <c r="AU3669" s="10"/>
      <c r="AV3669" s="10"/>
      <c r="AW3669" s="10"/>
      <c r="AX3669" s="10"/>
      <c r="AY3669" s="10"/>
      <c r="AZ3669" s="10"/>
    </row>
    <row r="3670" spans="28:52">
      <c r="AB3670" s="9">
        <v>0.97954922753194185</v>
      </c>
      <c r="AC3670" s="9">
        <v>0.99604509396489382</v>
      </c>
      <c r="AD3670" s="9">
        <v>1.0666986031185406</v>
      </c>
      <c r="AE3670" s="10"/>
      <c r="AF3670" s="10"/>
      <c r="AG3670" s="10"/>
      <c r="AH3670" s="10"/>
      <c r="AI3670" s="10"/>
      <c r="AJ3670" s="10"/>
      <c r="AK3670" s="10"/>
      <c r="AL3670" s="10"/>
      <c r="AM3670" s="10"/>
      <c r="AN3670" s="10"/>
      <c r="AO3670" s="10"/>
      <c r="AP3670" s="10"/>
      <c r="AQ3670" s="10"/>
      <c r="AR3670" s="10"/>
      <c r="AS3670" s="10"/>
      <c r="AT3670" s="10"/>
      <c r="AU3670" s="10"/>
      <c r="AV3670" s="10"/>
      <c r="AW3670" s="10"/>
      <c r="AX3670" s="10"/>
      <c r="AY3670" s="10"/>
      <c r="AZ3670" s="10"/>
    </row>
    <row r="3671" spans="28:52">
      <c r="AB3671" s="9">
        <v>0.98924665687862912</v>
      </c>
      <c r="AC3671" s="9">
        <v>1.1207418898767958</v>
      </c>
      <c r="AD3671" s="9">
        <v>1.0786751393678577</v>
      </c>
      <c r="AE3671" s="10"/>
      <c r="AF3671" s="10"/>
      <c r="AG3671" s="10"/>
      <c r="AH3671" s="10"/>
      <c r="AI3671" s="10"/>
      <c r="AJ3671" s="10"/>
      <c r="AK3671" s="10"/>
      <c r="AL3671" s="10"/>
      <c r="AM3671" s="10"/>
      <c r="AN3671" s="10"/>
      <c r="AO3671" s="10"/>
      <c r="AP3671" s="10"/>
      <c r="AQ3671" s="10"/>
      <c r="AR3671" s="10"/>
      <c r="AS3671" s="10"/>
      <c r="AT3671" s="10"/>
      <c r="AU3671" s="10"/>
      <c r="AV3671" s="10"/>
      <c r="AW3671" s="10"/>
      <c r="AX3671" s="10"/>
      <c r="AY3671" s="10"/>
      <c r="AZ3671" s="10"/>
    </row>
    <row r="3672" spans="28:52">
      <c r="AB3672" s="9">
        <v>0.98147273615015607</v>
      </c>
      <c r="AC3672" s="9">
        <v>0.87929644769416782</v>
      </c>
      <c r="AD3672" s="9">
        <v>1.0836126045578949</v>
      </c>
      <c r="AE3672" s="10"/>
      <c r="AF3672" s="10"/>
      <c r="AG3672" s="10"/>
      <c r="AH3672" s="10"/>
      <c r="AI3672" s="10"/>
      <c r="AJ3672" s="10"/>
      <c r="AK3672" s="10"/>
      <c r="AL3672" s="10"/>
      <c r="AM3672" s="10"/>
      <c r="AN3672" s="10"/>
      <c r="AO3672" s="10"/>
      <c r="AP3672" s="10"/>
      <c r="AQ3672" s="10"/>
      <c r="AR3672" s="10"/>
      <c r="AS3672" s="10"/>
      <c r="AT3672" s="10"/>
      <c r="AU3672" s="10"/>
      <c r="AV3672" s="10"/>
      <c r="AW3672" s="10"/>
      <c r="AX3672" s="10"/>
      <c r="AY3672" s="10"/>
      <c r="AZ3672" s="10"/>
    </row>
    <row r="3673" spans="28:52">
      <c r="AB3673" s="9">
        <v>0.98061310870631324</v>
      </c>
      <c r="AC3673" s="9">
        <v>0.90545071532623744</v>
      </c>
      <c r="AD3673" s="9">
        <v>1.0644610839616415</v>
      </c>
      <c r="AE3673" s="10"/>
      <c r="AF3673" s="10"/>
      <c r="AG3673" s="10"/>
      <c r="AH3673" s="10"/>
      <c r="AI3673" s="10"/>
      <c r="AJ3673" s="10"/>
      <c r="AK3673" s="10"/>
      <c r="AL3673" s="10"/>
      <c r="AM3673" s="10"/>
      <c r="AN3673" s="10"/>
      <c r="AO3673" s="10"/>
      <c r="AP3673" s="10"/>
      <c r="AQ3673" s="10"/>
      <c r="AR3673" s="10"/>
      <c r="AS3673" s="10"/>
      <c r="AT3673" s="10"/>
      <c r="AU3673" s="10"/>
      <c r="AV3673" s="10"/>
      <c r="AW3673" s="10"/>
      <c r="AX3673" s="10"/>
      <c r="AY3673" s="10"/>
      <c r="AZ3673" s="10"/>
    </row>
    <row r="3674" spans="28:52">
      <c r="AB3674" s="9">
        <v>1.0012323535618917</v>
      </c>
      <c r="AC3674" s="9">
        <v>1.2179610218095667</v>
      </c>
      <c r="AD3674" s="9">
        <v>1.0631471001290835</v>
      </c>
      <c r="AE3674" s="10"/>
      <c r="AF3674" s="10"/>
      <c r="AG3674" s="10"/>
      <c r="AH3674" s="10"/>
      <c r="AI3674" s="10"/>
      <c r="AJ3674" s="10"/>
      <c r="AK3674" s="10"/>
      <c r="AL3674" s="10"/>
      <c r="AM3674" s="10"/>
      <c r="AN3674" s="10"/>
      <c r="AO3674" s="10"/>
      <c r="AP3674" s="10"/>
      <c r="AQ3674" s="10"/>
      <c r="AR3674" s="10"/>
      <c r="AS3674" s="10"/>
      <c r="AT3674" s="10"/>
      <c r="AU3674" s="10"/>
      <c r="AV3674" s="10"/>
      <c r="AW3674" s="10"/>
      <c r="AX3674" s="10"/>
      <c r="AY3674" s="10"/>
      <c r="AZ3674" s="10"/>
    </row>
    <row r="3675" spans="28:52">
      <c r="AB3675" s="9">
        <v>1.0042822579244008</v>
      </c>
      <c r="AC3675" s="9">
        <v>1.293503249228948</v>
      </c>
      <c r="AD3675" s="9">
        <v>1.0496664504893616</v>
      </c>
      <c r="AE3675" s="10"/>
      <c r="AF3675" s="10"/>
      <c r="AG3675" s="10"/>
      <c r="AH3675" s="10"/>
      <c r="AI3675" s="10"/>
      <c r="AJ3675" s="10"/>
      <c r="AK3675" s="10"/>
      <c r="AL3675" s="10"/>
      <c r="AM3675" s="10"/>
      <c r="AN3675" s="10"/>
      <c r="AO3675" s="10"/>
      <c r="AP3675" s="10"/>
      <c r="AQ3675" s="10"/>
      <c r="AR3675" s="10"/>
      <c r="AS3675" s="10"/>
      <c r="AT3675" s="10"/>
      <c r="AU3675" s="10"/>
      <c r="AV3675" s="10"/>
      <c r="AW3675" s="10"/>
      <c r="AX3675" s="10"/>
      <c r="AY3675" s="10"/>
      <c r="AZ3675" s="10"/>
    </row>
    <row r="3676" spans="28:52">
      <c r="AB3676" s="9">
        <v>1.0187113931193459</v>
      </c>
      <c r="AC3676" s="9">
        <v>1.2606238313785483</v>
      </c>
      <c r="AD3676" s="9">
        <v>1.0495764035229023</v>
      </c>
      <c r="AE3676" s="10"/>
      <c r="AF3676" s="10"/>
      <c r="AG3676" s="10"/>
      <c r="AH3676" s="10"/>
      <c r="AI3676" s="10"/>
      <c r="AJ3676" s="10"/>
      <c r="AK3676" s="10"/>
      <c r="AL3676" s="10"/>
      <c r="AM3676" s="10"/>
      <c r="AN3676" s="10"/>
      <c r="AO3676" s="10"/>
      <c r="AP3676" s="10"/>
      <c r="AQ3676" s="10"/>
      <c r="AR3676" s="10"/>
      <c r="AS3676" s="10"/>
      <c r="AT3676" s="10"/>
      <c r="AU3676" s="10"/>
      <c r="AV3676" s="10"/>
      <c r="AW3676" s="10"/>
      <c r="AX3676" s="10"/>
      <c r="AY3676" s="10"/>
      <c r="AZ3676" s="10"/>
    </row>
    <row r="3677" spans="28:52">
      <c r="AB3677" s="9">
        <v>1.0202241722101077</v>
      </c>
      <c r="AC3677" s="9">
        <v>0.95424695601820619</v>
      </c>
      <c r="AD3677" s="9">
        <v>1.0597689504107286</v>
      </c>
      <c r="AE3677" s="10"/>
      <c r="AF3677" s="10"/>
      <c r="AG3677" s="10"/>
      <c r="AH3677" s="10"/>
      <c r="AI3677" s="10"/>
      <c r="AJ3677" s="10"/>
      <c r="AK3677" s="10"/>
      <c r="AL3677" s="10"/>
      <c r="AM3677" s="10"/>
      <c r="AN3677" s="10"/>
      <c r="AO3677" s="10"/>
      <c r="AP3677" s="10"/>
      <c r="AQ3677" s="10"/>
      <c r="AR3677" s="10"/>
      <c r="AS3677" s="10"/>
      <c r="AT3677" s="10"/>
      <c r="AU3677" s="10"/>
      <c r="AV3677" s="10"/>
      <c r="AW3677" s="10"/>
      <c r="AX3677" s="10"/>
      <c r="AY3677" s="10"/>
      <c r="AZ3677" s="10"/>
    </row>
    <row r="3678" spans="28:52">
      <c r="AB3678" s="9">
        <v>1.0115870373060398</v>
      </c>
      <c r="AC3678" s="9">
        <v>0.96190741844636396</v>
      </c>
      <c r="AD3678" s="9">
        <v>1.0584524163937679</v>
      </c>
      <c r="AE3678" s="10"/>
      <c r="AF3678" s="10"/>
      <c r="AG3678" s="10"/>
      <c r="AH3678" s="10"/>
      <c r="AI3678" s="10"/>
      <c r="AJ3678" s="10"/>
      <c r="AK3678" s="10"/>
      <c r="AL3678" s="10"/>
      <c r="AM3678" s="10"/>
      <c r="AN3678" s="10"/>
      <c r="AO3678" s="10"/>
      <c r="AP3678" s="10"/>
      <c r="AQ3678" s="10"/>
      <c r="AR3678" s="10"/>
      <c r="AS3678" s="10"/>
      <c r="AT3678" s="10"/>
      <c r="AU3678" s="10"/>
      <c r="AV3678" s="10"/>
      <c r="AW3678" s="10"/>
      <c r="AX3678" s="10"/>
      <c r="AY3678" s="10"/>
      <c r="AZ3678" s="10"/>
    </row>
    <row r="3679" spans="28:52">
      <c r="AB3679" s="9">
        <v>1.0144999905365686</v>
      </c>
      <c r="AC3679" s="9">
        <v>1.0498127071535011</v>
      </c>
      <c r="AD3679" s="9">
        <v>1.0645073028463992</v>
      </c>
      <c r="AE3679" s="10"/>
      <c r="AF3679" s="10"/>
      <c r="AG3679" s="10"/>
      <c r="AH3679" s="10"/>
      <c r="AI3679" s="10"/>
      <c r="AJ3679" s="10"/>
      <c r="AK3679" s="10"/>
      <c r="AL3679" s="10"/>
      <c r="AM3679" s="10"/>
      <c r="AN3679" s="10"/>
      <c r="AO3679" s="10"/>
      <c r="AP3679" s="10"/>
      <c r="AQ3679" s="10"/>
      <c r="AR3679" s="10"/>
      <c r="AS3679" s="10"/>
      <c r="AT3679" s="10"/>
      <c r="AU3679" s="10"/>
      <c r="AV3679" s="10"/>
      <c r="AW3679" s="10"/>
      <c r="AX3679" s="10"/>
      <c r="AY3679" s="10"/>
      <c r="AZ3679" s="10"/>
    </row>
    <row r="3680" spans="28:52">
      <c r="AB3680" s="9">
        <v>1.0106692553665209</v>
      </c>
      <c r="AC3680" s="9">
        <v>0.96796850477931817</v>
      </c>
      <c r="AD3680" s="9">
        <v>1.0514296989883305</v>
      </c>
      <c r="AE3680" s="10"/>
      <c r="AF3680" s="10"/>
      <c r="AG3680" s="10"/>
      <c r="AH3680" s="10"/>
      <c r="AI3680" s="10"/>
      <c r="AJ3680" s="10"/>
      <c r="AK3680" s="10"/>
      <c r="AL3680" s="10"/>
      <c r="AM3680" s="10"/>
      <c r="AN3680" s="10"/>
      <c r="AO3680" s="10"/>
      <c r="AP3680" s="10"/>
      <c r="AQ3680" s="10"/>
      <c r="AR3680" s="10"/>
      <c r="AS3680" s="10"/>
      <c r="AT3680" s="10"/>
      <c r="AU3680" s="10"/>
      <c r="AV3680" s="10"/>
      <c r="AW3680" s="10"/>
      <c r="AX3680" s="10"/>
      <c r="AY3680" s="10"/>
      <c r="AZ3680" s="10"/>
    </row>
    <row r="3681" spans="28:52">
      <c r="AB3681" s="9">
        <v>1.0252200430439511</v>
      </c>
      <c r="AC3681" s="9">
        <v>1.3864575261054026</v>
      </c>
      <c r="AD3681" s="9">
        <v>1.0540110626501205</v>
      </c>
      <c r="AE3681" s="10"/>
      <c r="AF3681" s="10"/>
      <c r="AG3681" s="10"/>
      <c r="AH3681" s="10"/>
      <c r="AI3681" s="10"/>
      <c r="AJ3681" s="10"/>
      <c r="AK3681" s="10"/>
      <c r="AL3681" s="10"/>
      <c r="AM3681" s="10"/>
      <c r="AN3681" s="10"/>
      <c r="AO3681" s="10"/>
      <c r="AP3681" s="10"/>
      <c r="AQ3681" s="10"/>
      <c r="AR3681" s="10"/>
      <c r="AS3681" s="10"/>
      <c r="AT3681" s="10"/>
      <c r="AU3681" s="10"/>
      <c r="AV3681" s="10"/>
      <c r="AW3681" s="10"/>
      <c r="AX3681" s="10"/>
      <c r="AY3681" s="10"/>
      <c r="AZ3681" s="10"/>
    </row>
    <row r="3682" spans="28:52">
      <c r="AB3682" s="9">
        <v>1.02471648215652</v>
      </c>
      <c r="AC3682" s="9">
        <v>1.0273159557113605</v>
      </c>
      <c r="AD3682" s="9">
        <v>1.063740433952393</v>
      </c>
      <c r="AE3682" s="10"/>
      <c r="AF3682" s="10"/>
      <c r="AG3682" s="10"/>
      <c r="AH3682" s="10"/>
      <c r="AI3682" s="10"/>
      <c r="AJ3682" s="10"/>
      <c r="AK3682" s="10"/>
      <c r="AL3682" s="10"/>
      <c r="AM3682" s="10"/>
      <c r="AN3682" s="10"/>
      <c r="AO3682" s="10"/>
      <c r="AP3682" s="10"/>
      <c r="AQ3682" s="10"/>
      <c r="AR3682" s="10"/>
      <c r="AS3682" s="10"/>
      <c r="AT3682" s="10"/>
      <c r="AU3682" s="10"/>
      <c r="AV3682" s="10"/>
      <c r="AW3682" s="10"/>
      <c r="AX3682" s="10"/>
      <c r="AY3682" s="10"/>
      <c r="AZ3682" s="10"/>
    </row>
    <row r="3683" spans="28:52">
      <c r="AB3683" s="9">
        <v>1.017652107851013</v>
      </c>
      <c r="AC3683" s="9">
        <v>0.89654368673415019</v>
      </c>
      <c r="AD3683" s="9">
        <v>1.0544105024561035</v>
      </c>
      <c r="AE3683" s="10"/>
      <c r="AF3683" s="10"/>
      <c r="AG3683" s="10"/>
      <c r="AH3683" s="10"/>
      <c r="AI3683" s="10"/>
      <c r="AJ3683" s="10"/>
      <c r="AK3683" s="10"/>
      <c r="AL3683" s="10"/>
      <c r="AM3683" s="10"/>
      <c r="AN3683" s="10"/>
      <c r="AO3683" s="10"/>
      <c r="AP3683" s="10"/>
      <c r="AQ3683" s="10"/>
      <c r="AR3683" s="10"/>
      <c r="AS3683" s="10"/>
      <c r="AT3683" s="10"/>
      <c r="AU3683" s="10"/>
      <c r="AV3683" s="10"/>
      <c r="AW3683" s="10"/>
      <c r="AX3683" s="10"/>
      <c r="AY3683" s="10"/>
      <c r="AZ3683" s="10"/>
    </row>
    <row r="3684" spans="28:52">
      <c r="AB3684" s="9">
        <v>1.0286138664188127</v>
      </c>
      <c r="AC3684" s="9">
        <v>1.0178090630342549</v>
      </c>
      <c r="AD3684" s="9">
        <v>1.0580746708464974</v>
      </c>
      <c r="AE3684" s="10"/>
      <c r="AF3684" s="10"/>
      <c r="AG3684" s="10"/>
      <c r="AH3684" s="10"/>
      <c r="AI3684" s="10"/>
      <c r="AJ3684" s="10"/>
      <c r="AK3684" s="10"/>
      <c r="AL3684" s="10"/>
      <c r="AM3684" s="10"/>
      <c r="AN3684" s="10"/>
      <c r="AO3684" s="10"/>
      <c r="AP3684" s="10"/>
      <c r="AQ3684" s="10"/>
      <c r="AR3684" s="10"/>
      <c r="AS3684" s="10"/>
      <c r="AT3684" s="10"/>
      <c r="AU3684" s="10"/>
      <c r="AV3684" s="10"/>
      <c r="AW3684" s="10"/>
      <c r="AX3684" s="10"/>
      <c r="AY3684" s="10"/>
      <c r="AZ3684" s="10"/>
    </row>
    <row r="3685" spans="28:52">
      <c r="AB3685" s="9">
        <v>1.0267872652702243</v>
      </c>
      <c r="AC3685" s="9">
        <v>1.0982931475744222</v>
      </c>
      <c r="AD3685" s="9">
        <v>1.0568350576025587</v>
      </c>
      <c r="AE3685" s="10"/>
      <c r="AF3685" s="10"/>
      <c r="AG3685" s="10"/>
      <c r="AH3685" s="10"/>
      <c r="AI3685" s="10"/>
      <c r="AJ3685" s="10"/>
      <c r="AK3685" s="10"/>
      <c r="AL3685" s="10"/>
      <c r="AM3685" s="10"/>
      <c r="AN3685" s="10"/>
      <c r="AO3685" s="10"/>
      <c r="AP3685" s="10"/>
      <c r="AQ3685" s="10"/>
      <c r="AR3685" s="10"/>
      <c r="AS3685" s="10"/>
      <c r="AT3685" s="10"/>
      <c r="AU3685" s="10"/>
      <c r="AV3685" s="10"/>
      <c r="AW3685" s="10"/>
      <c r="AX3685" s="10"/>
      <c r="AY3685" s="10"/>
      <c r="AZ3685" s="10"/>
    </row>
    <row r="3686" spans="28:52">
      <c r="AB3686" s="9">
        <v>1.0293694652620307</v>
      </c>
      <c r="AC3686" s="9">
        <v>1.0534654985252034</v>
      </c>
      <c r="AD3686" s="9">
        <v>1.0453490741218341</v>
      </c>
      <c r="AE3686" s="10"/>
      <c r="AF3686" s="10"/>
      <c r="AG3686" s="10"/>
      <c r="AH3686" s="10"/>
      <c r="AI3686" s="10"/>
      <c r="AJ3686" s="10"/>
      <c r="AK3686" s="10"/>
      <c r="AL3686" s="10"/>
      <c r="AM3686" s="10"/>
      <c r="AN3686" s="10"/>
      <c r="AO3686" s="10"/>
      <c r="AP3686" s="10"/>
      <c r="AQ3686" s="10"/>
      <c r="AR3686" s="10"/>
      <c r="AS3686" s="10"/>
      <c r="AT3686" s="10"/>
      <c r="AU3686" s="10"/>
      <c r="AV3686" s="10"/>
      <c r="AW3686" s="10"/>
      <c r="AX3686" s="10"/>
      <c r="AY3686" s="10"/>
      <c r="AZ3686" s="10"/>
    </row>
    <row r="3687" spans="28:52">
      <c r="AB3687" s="9">
        <v>1.0414710220841197</v>
      </c>
      <c r="AC3687" s="9">
        <v>1.2943009128879095</v>
      </c>
      <c r="AD3687" s="9">
        <v>1.0576350555663236</v>
      </c>
      <c r="AE3687" s="10"/>
      <c r="AF3687" s="10"/>
      <c r="AG3687" s="10"/>
      <c r="AH3687" s="10"/>
      <c r="AI3687" s="10"/>
      <c r="AJ3687" s="10"/>
      <c r="AK3687" s="10"/>
      <c r="AL3687" s="10"/>
      <c r="AM3687" s="10"/>
      <c r="AN3687" s="10"/>
      <c r="AO3687" s="10"/>
      <c r="AP3687" s="10"/>
      <c r="AQ3687" s="10"/>
      <c r="AR3687" s="10"/>
      <c r="AS3687" s="10"/>
      <c r="AT3687" s="10"/>
      <c r="AU3687" s="10"/>
      <c r="AV3687" s="10"/>
      <c r="AW3687" s="10"/>
      <c r="AX3687" s="10"/>
      <c r="AY3687" s="10"/>
      <c r="AZ3687" s="10"/>
    </row>
    <row r="3688" spans="28:52">
      <c r="AB3688" s="9">
        <v>1.0303121208811663</v>
      </c>
      <c r="AC3688" s="9">
        <v>1.2094303929554804</v>
      </c>
      <c r="AD3688" s="9">
        <v>1.0482102113816942</v>
      </c>
      <c r="AE3688" s="10"/>
      <c r="AF3688" s="10"/>
      <c r="AG3688" s="10"/>
      <c r="AH3688" s="10"/>
      <c r="AI3688" s="10"/>
      <c r="AJ3688" s="10"/>
      <c r="AK3688" s="10"/>
      <c r="AL3688" s="10"/>
      <c r="AM3688" s="10"/>
      <c r="AN3688" s="10"/>
      <c r="AO3688" s="10"/>
      <c r="AP3688" s="10"/>
      <c r="AQ3688" s="10"/>
      <c r="AR3688" s="10"/>
      <c r="AS3688" s="10"/>
      <c r="AT3688" s="10"/>
      <c r="AU3688" s="10"/>
      <c r="AV3688" s="10"/>
      <c r="AW3688" s="10"/>
      <c r="AX3688" s="10"/>
      <c r="AY3688" s="10"/>
      <c r="AZ3688" s="10"/>
    </row>
    <row r="3689" spans="28:52">
      <c r="AB3689" s="9">
        <v>1.0407029471991054</v>
      </c>
      <c r="AC3689" s="9">
        <v>1.2578865146466238</v>
      </c>
      <c r="AD3689" s="9">
        <v>1.0537766148528598</v>
      </c>
      <c r="AE3689" s="10"/>
      <c r="AF3689" s="10"/>
      <c r="AG3689" s="10"/>
      <c r="AH3689" s="10"/>
      <c r="AI3689" s="10"/>
      <c r="AJ3689" s="10"/>
      <c r="AK3689" s="10"/>
      <c r="AL3689" s="10"/>
      <c r="AM3689" s="10"/>
      <c r="AN3689" s="10"/>
      <c r="AO3689" s="10"/>
      <c r="AP3689" s="10"/>
      <c r="AQ3689" s="10"/>
      <c r="AR3689" s="10"/>
      <c r="AS3689" s="10"/>
      <c r="AT3689" s="10"/>
      <c r="AU3689" s="10"/>
      <c r="AV3689" s="10"/>
      <c r="AW3689" s="10"/>
      <c r="AX3689" s="10"/>
      <c r="AY3689" s="10"/>
      <c r="AZ3689" s="10"/>
    </row>
    <row r="3690" spans="28:52">
      <c r="AB3690" s="9">
        <v>1.0363442772911438</v>
      </c>
      <c r="AC3690" s="9">
        <v>1.0712797110123122</v>
      </c>
      <c r="AD3690" s="9">
        <v>1.0470510118077685</v>
      </c>
      <c r="AE3690" s="10"/>
      <c r="AF3690" s="10"/>
      <c r="AG3690" s="10"/>
      <c r="AH3690" s="10"/>
      <c r="AI3690" s="10"/>
      <c r="AJ3690" s="10"/>
      <c r="AK3690" s="10"/>
      <c r="AL3690" s="10"/>
      <c r="AM3690" s="10"/>
      <c r="AN3690" s="10"/>
      <c r="AO3690" s="10"/>
      <c r="AP3690" s="10"/>
      <c r="AQ3690" s="10"/>
      <c r="AR3690" s="10"/>
      <c r="AS3690" s="10"/>
      <c r="AT3690" s="10"/>
      <c r="AU3690" s="10"/>
      <c r="AV3690" s="10"/>
      <c r="AW3690" s="10"/>
      <c r="AX3690" s="10"/>
      <c r="AY3690" s="10"/>
      <c r="AZ3690" s="10"/>
    </row>
    <row r="3691" spans="28:52">
      <c r="AB3691" s="9">
        <v>1.0436840489515709</v>
      </c>
      <c r="AC3691" s="9">
        <v>1.3840784602624003</v>
      </c>
      <c r="AD3691" s="9">
        <v>1.0288061547088907</v>
      </c>
      <c r="AE3691" s="10"/>
      <c r="AF3691" s="10"/>
      <c r="AG3691" s="10"/>
      <c r="AH3691" s="10"/>
      <c r="AI3691" s="10"/>
      <c r="AJ3691" s="10"/>
      <c r="AK3691" s="10"/>
      <c r="AL3691" s="10"/>
      <c r="AM3691" s="10"/>
      <c r="AN3691" s="10"/>
      <c r="AO3691" s="10"/>
      <c r="AP3691" s="10"/>
      <c r="AQ3691" s="10"/>
      <c r="AR3691" s="10"/>
      <c r="AS3691" s="10"/>
      <c r="AT3691" s="10"/>
      <c r="AU3691" s="10"/>
      <c r="AV3691" s="10"/>
      <c r="AW3691" s="10"/>
      <c r="AX3691" s="10"/>
      <c r="AY3691" s="10"/>
      <c r="AZ3691" s="10"/>
    </row>
    <row r="3692" spans="28:52">
      <c r="AB3692" s="9">
        <v>1.0621784423508882</v>
      </c>
      <c r="AC3692" s="9">
        <v>1.4589263861894761</v>
      </c>
      <c r="AD3692" s="9">
        <v>1.0293400225493341</v>
      </c>
      <c r="AE3692" s="10"/>
      <c r="AF3692" s="10"/>
      <c r="AG3692" s="10"/>
      <c r="AH3692" s="10"/>
      <c r="AI3692" s="10"/>
      <c r="AJ3692" s="10"/>
      <c r="AK3692" s="10"/>
      <c r="AL3692" s="10"/>
      <c r="AM3692" s="10"/>
      <c r="AN3692" s="10"/>
      <c r="AO3692" s="10"/>
      <c r="AP3692" s="10"/>
      <c r="AQ3692" s="10"/>
      <c r="AR3692" s="10"/>
      <c r="AS3692" s="10"/>
      <c r="AT3692" s="10"/>
      <c r="AU3692" s="10"/>
      <c r="AV3692" s="10"/>
      <c r="AW3692" s="10"/>
      <c r="AX3692" s="10"/>
      <c r="AY3692" s="10"/>
      <c r="AZ3692" s="10"/>
    </row>
    <row r="3693" spans="28:52">
      <c r="AB3693" s="9">
        <v>1.0610558040914706</v>
      </c>
      <c r="AC3693" s="9">
        <v>1.4645617475903538</v>
      </c>
      <c r="AD3693" s="9">
        <v>1.0333244859009842</v>
      </c>
      <c r="AE3693" s="10"/>
      <c r="AF3693" s="10"/>
      <c r="AG3693" s="10"/>
      <c r="AH3693" s="10"/>
      <c r="AI3693" s="10"/>
      <c r="AJ3693" s="10"/>
      <c r="AK3693" s="10"/>
      <c r="AL3693" s="10"/>
      <c r="AM3693" s="10"/>
      <c r="AN3693" s="10"/>
      <c r="AO3693" s="10"/>
      <c r="AP3693" s="10"/>
      <c r="AQ3693" s="10"/>
      <c r="AR3693" s="10"/>
      <c r="AS3693" s="10"/>
      <c r="AT3693" s="10"/>
      <c r="AU3693" s="10"/>
      <c r="AV3693" s="10"/>
      <c r="AW3693" s="10"/>
      <c r="AX3693" s="10"/>
      <c r="AY3693" s="10"/>
      <c r="AZ3693" s="10"/>
    </row>
    <row r="3694" spans="28:52">
      <c r="AB3694" s="9">
        <v>1.0561901390548893</v>
      </c>
      <c r="AC3694" s="9">
        <v>1.3031803905904036</v>
      </c>
      <c r="AD3694" s="9">
        <v>1.0470719245214177</v>
      </c>
      <c r="AE3694" s="10"/>
      <c r="AF3694" s="10"/>
      <c r="AG3694" s="10"/>
      <c r="AH3694" s="10"/>
      <c r="AI3694" s="10"/>
      <c r="AJ3694" s="10"/>
      <c r="AK3694" s="10"/>
      <c r="AL3694" s="10"/>
      <c r="AM3694" s="10"/>
      <c r="AN3694" s="10"/>
      <c r="AO3694" s="10"/>
      <c r="AP3694" s="10"/>
      <c r="AQ3694" s="10"/>
      <c r="AR3694" s="10"/>
      <c r="AS3694" s="10"/>
      <c r="AT3694" s="10"/>
      <c r="AU3694" s="10"/>
      <c r="AV3694" s="10"/>
      <c r="AW3694" s="10"/>
      <c r="AX3694" s="10"/>
      <c r="AY3694" s="10"/>
      <c r="AZ3694" s="10"/>
    </row>
    <row r="3695" spans="28:52">
      <c r="AB3695" s="9">
        <v>1.0416808353622904</v>
      </c>
      <c r="AC3695" s="9">
        <v>1.1774794390759522</v>
      </c>
      <c r="AD3695" s="9">
        <v>1.0454590732333391</v>
      </c>
      <c r="AE3695" s="10"/>
      <c r="AF3695" s="10"/>
      <c r="AG3695" s="10"/>
      <c r="AH3695" s="10"/>
      <c r="AI3695" s="10"/>
      <c r="AJ3695" s="10"/>
      <c r="AK3695" s="10"/>
      <c r="AL3695" s="10"/>
      <c r="AM3695" s="10"/>
      <c r="AN3695" s="10"/>
      <c r="AO3695" s="10"/>
      <c r="AP3695" s="10"/>
      <c r="AQ3695" s="10"/>
      <c r="AR3695" s="10"/>
      <c r="AS3695" s="10"/>
      <c r="AT3695" s="10"/>
      <c r="AU3695" s="10"/>
      <c r="AV3695" s="10"/>
      <c r="AW3695" s="10"/>
      <c r="AX3695" s="10"/>
      <c r="AY3695" s="10"/>
      <c r="AZ3695" s="10"/>
    </row>
    <row r="3696" spans="28:52">
      <c r="AB3696" s="9">
        <v>1.0433247690352605</v>
      </c>
      <c r="AC3696" s="9">
        <v>1.0313969457435972</v>
      </c>
      <c r="AD3696" s="9">
        <v>1.0460858657993806</v>
      </c>
      <c r="AE3696" s="10"/>
      <c r="AF3696" s="10"/>
      <c r="AG3696" s="10"/>
      <c r="AH3696" s="10"/>
      <c r="AI3696" s="10"/>
      <c r="AJ3696" s="10"/>
      <c r="AK3696" s="10"/>
      <c r="AL3696" s="10"/>
      <c r="AM3696" s="10"/>
      <c r="AN3696" s="10"/>
      <c r="AO3696" s="10"/>
      <c r="AP3696" s="10"/>
      <c r="AQ3696" s="10"/>
      <c r="AR3696" s="10"/>
      <c r="AS3696" s="10"/>
      <c r="AT3696" s="10"/>
      <c r="AU3696" s="10"/>
      <c r="AV3696" s="10"/>
      <c r="AW3696" s="10"/>
      <c r="AX3696" s="10"/>
      <c r="AY3696" s="10"/>
      <c r="AZ3696" s="10"/>
    </row>
    <row r="3697" spans="28:52">
      <c r="AB3697" s="9">
        <v>1.0431330711516005</v>
      </c>
      <c r="AC3697" s="9">
        <v>0.99531801794823305</v>
      </c>
      <c r="AD3697" s="9">
        <v>1.0480483551023929</v>
      </c>
      <c r="AE3697" s="10"/>
      <c r="AF3697" s="10"/>
      <c r="AG3697" s="10"/>
      <c r="AH3697" s="10"/>
      <c r="AI3697" s="10"/>
      <c r="AJ3697" s="10"/>
      <c r="AK3697" s="10"/>
      <c r="AL3697" s="10"/>
      <c r="AM3697" s="10"/>
      <c r="AN3697" s="10"/>
      <c r="AO3697" s="10"/>
      <c r="AP3697" s="10"/>
      <c r="AQ3697" s="10"/>
      <c r="AR3697" s="10"/>
      <c r="AS3697" s="10"/>
      <c r="AT3697" s="10"/>
      <c r="AU3697" s="10"/>
      <c r="AV3697" s="10"/>
      <c r="AW3697" s="10"/>
      <c r="AX3697" s="10"/>
      <c r="AY3697" s="10"/>
      <c r="AZ3697" s="10"/>
    </row>
    <row r="3698" spans="28:52">
      <c r="AB3698" s="9">
        <v>1.0418063314246579</v>
      </c>
      <c r="AC3698" s="9">
        <v>1.0896263921034379</v>
      </c>
      <c r="AD3698" s="9">
        <v>1.0536144723231253</v>
      </c>
      <c r="AE3698" s="10"/>
      <c r="AF3698" s="10"/>
      <c r="AG3698" s="10"/>
      <c r="AH3698" s="10"/>
      <c r="AI3698" s="10"/>
      <c r="AJ3698" s="10"/>
      <c r="AK3698" s="10"/>
      <c r="AL3698" s="10"/>
      <c r="AM3698" s="10"/>
      <c r="AN3698" s="10"/>
      <c r="AO3698" s="10"/>
      <c r="AP3698" s="10"/>
      <c r="AQ3698" s="10"/>
      <c r="AR3698" s="10"/>
      <c r="AS3698" s="10"/>
      <c r="AT3698" s="10"/>
      <c r="AU3698" s="10"/>
      <c r="AV3698" s="10"/>
      <c r="AW3698" s="10"/>
      <c r="AX3698" s="10"/>
      <c r="AY3698" s="10"/>
      <c r="AZ3698" s="10"/>
    </row>
    <row r="3699" spans="28:52">
      <c r="AB3699" s="9">
        <v>1.0371866516464077</v>
      </c>
      <c r="AC3699" s="9">
        <v>1.0789697334540695</v>
      </c>
      <c r="AD3699" s="9">
        <v>1.0507394299245663</v>
      </c>
      <c r="AE3699" s="10"/>
      <c r="AF3699" s="10"/>
      <c r="AG3699" s="10"/>
      <c r="AH3699" s="10"/>
      <c r="AI3699" s="10"/>
      <c r="AJ3699" s="10"/>
      <c r="AK3699" s="10"/>
      <c r="AL3699" s="10"/>
      <c r="AM3699" s="10"/>
      <c r="AN3699" s="10"/>
      <c r="AO3699" s="10"/>
      <c r="AP3699" s="10"/>
      <c r="AQ3699" s="10"/>
      <c r="AR3699" s="10"/>
      <c r="AS3699" s="10"/>
      <c r="AT3699" s="10"/>
      <c r="AU3699" s="10"/>
      <c r="AV3699" s="10"/>
      <c r="AW3699" s="10"/>
      <c r="AX3699" s="10"/>
      <c r="AY3699" s="10"/>
      <c r="AZ3699" s="10"/>
    </row>
    <row r="3700" spans="28:52">
      <c r="AB3700" s="9">
        <v>1.0406050233139208</v>
      </c>
      <c r="AC3700" s="9">
        <v>0.92591418492415967</v>
      </c>
      <c r="AD3700" s="9">
        <v>1.0364806658804007</v>
      </c>
      <c r="AE3700" s="10"/>
      <c r="AF3700" s="10"/>
      <c r="AG3700" s="10"/>
      <c r="AH3700" s="10"/>
      <c r="AI3700" s="10"/>
      <c r="AJ3700" s="10"/>
      <c r="AK3700" s="10"/>
      <c r="AL3700" s="10"/>
      <c r="AM3700" s="10"/>
      <c r="AN3700" s="10"/>
      <c r="AO3700" s="10"/>
      <c r="AP3700" s="10"/>
      <c r="AQ3700" s="10"/>
      <c r="AR3700" s="10"/>
      <c r="AS3700" s="10"/>
      <c r="AT3700" s="10"/>
      <c r="AU3700" s="10"/>
      <c r="AV3700" s="10"/>
      <c r="AW3700" s="10"/>
      <c r="AX3700" s="10"/>
      <c r="AY3700" s="10"/>
      <c r="AZ3700" s="10"/>
    </row>
    <row r="3701" spans="28:52">
      <c r="AB3701" s="9">
        <v>1.0550443382803061</v>
      </c>
      <c r="AC3701" s="9">
        <v>1.4019020074513704</v>
      </c>
      <c r="AD3701" s="9">
        <v>1.023916429031225</v>
      </c>
      <c r="AE3701" s="10"/>
      <c r="AF3701" s="10"/>
      <c r="AG3701" s="10"/>
      <c r="AH3701" s="10"/>
      <c r="AI3701" s="10"/>
      <c r="AJ3701" s="10"/>
      <c r="AK3701" s="10"/>
      <c r="AL3701" s="10"/>
      <c r="AM3701" s="10"/>
      <c r="AN3701" s="10"/>
      <c r="AO3701" s="10"/>
      <c r="AP3701" s="10"/>
      <c r="AQ3701" s="10"/>
      <c r="AR3701" s="10"/>
      <c r="AS3701" s="10"/>
      <c r="AT3701" s="10"/>
      <c r="AU3701" s="10"/>
      <c r="AV3701" s="10"/>
      <c r="AW3701" s="10"/>
      <c r="AX3701" s="10"/>
      <c r="AY3701" s="10"/>
      <c r="AZ3701" s="10"/>
    </row>
    <row r="3702" spans="28:52">
      <c r="AB3702" s="9">
        <v>1.0672164743169583</v>
      </c>
      <c r="AC3702" s="9">
        <v>1.3888165062253226</v>
      </c>
      <c r="AD3702" s="9">
        <v>1.0245742893413652</v>
      </c>
      <c r="AE3702" s="10"/>
      <c r="AF3702" s="10"/>
      <c r="AG3702" s="10"/>
      <c r="AH3702" s="10"/>
      <c r="AI3702" s="10"/>
      <c r="AJ3702" s="10"/>
      <c r="AK3702" s="10"/>
      <c r="AL3702" s="10"/>
      <c r="AM3702" s="10"/>
      <c r="AN3702" s="10"/>
      <c r="AO3702" s="10"/>
      <c r="AP3702" s="10"/>
      <c r="AQ3702" s="10"/>
      <c r="AR3702" s="10"/>
      <c r="AS3702" s="10"/>
      <c r="AT3702" s="10"/>
      <c r="AU3702" s="10"/>
      <c r="AV3702" s="10"/>
      <c r="AW3702" s="10"/>
      <c r="AX3702" s="10"/>
      <c r="AY3702" s="10"/>
      <c r="AZ3702" s="10"/>
    </row>
    <row r="3703" spans="28:52">
      <c r="AB3703" s="9">
        <v>1.0653451726381127</v>
      </c>
      <c r="AC3703" s="9">
        <v>1.1906327144754745</v>
      </c>
      <c r="AD3703" s="9">
        <v>1.0177818535234686</v>
      </c>
      <c r="AE3703" s="10"/>
      <c r="AF3703" s="10"/>
      <c r="AG3703" s="10"/>
      <c r="AH3703" s="10"/>
      <c r="AI3703" s="10"/>
      <c r="AJ3703" s="10"/>
      <c r="AK3703" s="10"/>
      <c r="AL3703" s="10"/>
      <c r="AM3703" s="10"/>
      <c r="AN3703" s="10"/>
      <c r="AO3703" s="10"/>
      <c r="AP3703" s="10"/>
      <c r="AQ3703" s="10"/>
      <c r="AR3703" s="10"/>
      <c r="AS3703" s="10"/>
      <c r="AT3703" s="10"/>
      <c r="AU3703" s="10"/>
      <c r="AV3703" s="10"/>
      <c r="AW3703" s="10"/>
      <c r="AX3703" s="10"/>
      <c r="AY3703" s="10"/>
      <c r="AZ3703" s="10"/>
    </row>
    <row r="3704" spans="28:52">
      <c r="AB3704" s="9">
        <v>1.0709260994156669</v>
      </c>
      <c r="AC3704" s="9">
        <v>1.3349283696972361</v>
      </c>
      <c r="AD3704" s="9">
        <v>1.0265143676369755</v>
      </c>
      <c r="AE3704" s="10"/>
      <c r="AF3704" s="10"/>
      <c r="AG3704" s="10"/>
      <c r="AH3704" s="10"/>
      <c r="AI3704" s="10"/>
      <c r="AJ3704" s="10"/>
      <c r="AK3704" s="10"/>
      <c r="AL3704" s="10"/>
      <c r="AM3704" s="10"/>
      <c r="AN3704" s="10"/>
      <c r="AO3704" s="10"/>
      <c r="AP3704" s="10"/>
      <c r="AQ3704" s="10"/>
      <c r="AR3704" s="10"/>
      <c r="AS3704" s="10"/>
      <c r="AT3704" s="10"/>
      <c r="AU3704" s="10"/>
      <c r="AV3704" s="10"/>
      <c r="AW3704" s="10"/>
      <c r="AX3704" s="10"/>
      <c r="AY3704" s="10"/>
      <c r="AZ3704" s="10"/>
    </row>
    <row r="3705" spans="28:52">
      <c r="AB3705" s="9">
        <v>1.060272454266374</v>
      </c>
      <c r="AC3705" s="9">
        <v>1.1487134239974213</v>
      </c>
      <c r="AD3705" s="9">
        <v>1.0118641163400961</v>
      </c>
      <c r="AE3705" s="10"/>
      <c r="AF3705" s="10"/>
      <c r="AG3705" s="10"/>
      <c r="AH3705" s="10"/>
      <c r="AI3705" s="10"/>
      <c r="AJ3705" s="10"/>
      <c r="AK3705" s="10"/>
      <c r="AL3705" s="10"/>
      <c r="AM3705" s="10"/>
      <c r="AN3705" s="10"/>
      <c r="AO3705" s="10"/>
      <c r="AP3705" s="10"/>
      <c r="AQ3705" s="10"/>
      <c r="AR3705" s="10"/>
      <c r="AS3705" s="10"/>
      <c r="AT3705" s="10"/>
      <c r="AU3705" s="10"/>
      <c r="AV3705" s="10"/>
      <c r="AW3705" s="10"/>
      <c r="AX3705" s="10"/>
      <c r="AY3705" s="10"/>
      <c r="AZ3705" s="10"/>
    </row>
    <row r="3706" spans="28:52">
      <c r="AB3706" s="9">
        <v>1.0741104423749146</v>
      </c>
      <c r="AC3706" s="9">
        <v>1.2727700844669076</v>
      </c>
      <c r="AD3706" s="9">
        <v>1.0082748436440763</v>
      </c>
      <c r="AE3706" s="10"/>
      <c r="AF3706" s="10"/>
      <c r="AG3706" s="10"/>
      <c r="AH3706" s="10"/>
      <c r="AI3706" s="10"/>
      <c r="AJ3706" s="10"/>
      <c r="AK3706" s="10"/>
      <c r="AL3706" s="10"/>
      <c r="AM3706" s="10"/>
      <c r="AN3706" s="10"/>
      <c r="AO3706" s="10"/>
      <c r="AP3706" s="10"/>
      <c r="AQ3706" s="10"/>
      <c r="AR3706" s="10"/>
      <c r="AS3706" s="10"/>
      <c r="AT3706" s="10"/>
      <c r="AU3706" s="10"/>
      <c r="AV3706" s="10"/>
      <c r="AW3706" s="10"/>
      <c r="AX3706" s="10"/>
      <c r="AY3706" s="10"/>
      <c r="AZ3706" s="10"/>
    </row>
    <row r="3707" spans="28:52">
      <c r="AB3707" s="9">
        <v>1.075249054381018</v>
      </c>
      <c r="AC3707" s="9">
        <v>1.3361478640927011</v>
      </c>
      <c r="AD3707" s="9">
        <v>1.0087165299720284</v>
      </c>
      <c r="AE3707" s="10"/>
      <c r="AF3707" s="10"/>
      <c r="AG3707" s="10"/>
      <c r="AH3707" s="10"/>
      <c r="AI3707" s="10"/>
      <c r="AJ3707" s="10"/>
      <c r="AK3707" s="10"/>
      <c r="AL3707" s="10"/>
      <c r="AM3707" s="10"/>
      <c r="AN3707" s="10"/>
      <c r="AO3707" s="10"/>
      <c r="AP3707" s="10"/>
      <c r="AQ3707" s="10"/>
      <c r="AR3707" s="10"/>
      <c r="AS3707" s="10"/>
      <c r="AT3707" s="10"/>
      <c r="AU3707" s="10"/>
      <c r="AV3707" s="10"/>
      <c r="AW3707" s="10"/>
      <c r="AX3707" s="10"/>
      <c r="AY3707" s="10"/>
      <c r="AZ3707" s="10"/>
    </row>
    <row r="3708" spans="28:52">
      <c r="AB3708" s="9">
        <v>1.0722529451787923</v>
      </c>
      <c r="AC3708" s="9">
        <v>1.3971597101629896</v>
      </c>
      <c r="AD3708" s="9">
        <v>1.0097465820611859</v>
      </c>
      <c r="AE3708" s="10"/>
      <c r="AF3708" s="10"/>
      <c r="AG3708" s="10"/>
      <c r="AH3708" s="10"/>
      <c r="AI3708" s="10"/>
      <c r="AJ3708" s="10"/>
      <c r="AK3708" s="10"/>
      <c r="AL3708" s="10"/>
      <c r="AM3708" s="10"/>
      <c r="AN3708" s="10"/>
      <c r="AO3708" s="10"/>
      <c r="AP3708" s="10"/>
      <c r="AQ3708" s="10"/>
      <c r="AR3708" s="10"/>
      <c r="AS3708" s="10"/>
      <c r="AT3708" s="10"/>
      <c r="AU3708" s="10"/>
      <c r="AV3708" s="10"/>
      <c r="AW3708" s="10"/>
      <c r="AX3708" s="10"/>
      <c r="AY3708" s="10"/>
      <c r="AZ3708" s="10"/>
    </row>
    <row r="3709" spans="28:52">
      <c r="AB3709" s="9">
        <v>1.0681608913167733</v>
      </c>
      <c r="AC3709" s="9">
        <v>1.136724336442293</v>
      </c>
      <c r="AD3709" s="9">
        <v>1.001907678924741</v>
      </c>
      <c r="AE3709" s="10"/>
      <c r="AF3709" s="10"/>
      <c r="AG3709" s="10"/>
      <c r="AH3709" s="10"/>
      <c r="AI3709" s="10"/>
      <c r="AJ3709" s="10"/>
      <c r="AK3709" s="10"/>
      <c r="AL3709" s="10"/>
      <c r="AM3709" s="10"/>
      <c r="AN3709" s="10"/>
      <c r="AO3709" s="10"/>
      <c r="AP3709" s="10"/>
      <c r="AQ3709" s="10"/>
      <c r="AR3709" s="10"/>
      <c r="AS3709" s="10"/>
      <c r="AT3709" s="10"/>
      <c r="AU3709" s="10"/>
      <c r="AV3709" s="10"/>
      <c r="AW3709" s="10"/>
      <c r="AX3709" s="10"/>
      <c r="AY3709" s="10"/>
      <c r="AZ3709" s="10"/>
    </row>
    <row r="3710" spans="28:52">
      <c r="AB3710" s="9">
        <v>1.0736226670223019</v>
      </c>
      <c r="AC3710" s="9">
        <v>1.5521464349073126</v>
      </c>
      <c r="AD3710" s="9">
        <v>1.0058875684524631</v>
      </c>
      <c r="AE3710" s="10"/>
      <c r="AF3710" s="10"/>
      <c r="AG3710" s="10"/>
      <c r="AH3710" s="10"/>
      <c r="AI3710" s="10"/>
      <c r="AJ3710" s="10"/>
      <c r="AK3710" s="10"/>
      <c r="AL3710" s="10"/>
      <c r="AM3710" s="10"/>
      <c r="AN3710" s="10"/>
      <c r="AO3710" s="10"/>
      <c r="AP3710" s="10"/>
      <c r="AQ3710" s="10"/>
      <c r="AR3710" s="10"/>
      <c r="AS3710" s="10"/>
      <c r="AT3710" s="10"/>
      <c r="AU3710" s="10"/>
      <c r="AV3710" s="10"/>
      <c r="AW3710" s="10"/>
      <c r="AX3710" s="10"/>
      <c r="AY3710" s="10"/>
      <c r="AZ3710" s="10"/>
    </row>
    <row r="3711" spans="28:52">
      <c r="AB3711" s="9">
        <v>1.0663640703602197</v>
      </c>
      <c r="AC3711" s="9">
        <v>1.4531790331688847</v>
      </c>
      <c r="AD3711" s="9">
        <v>1.0190384490394706</v>
      </c>
      <c r="AE3711" s="10"/>
      <c r="AF3711" s="10"/>
      <c r="AG3711" s="10"/>
      <c r="AH3711" s="10"/>
      <c r="AI3711" s="10"/>
      <c r="AJ3711" s="10"/>
      <c r="AK3711" s="10"/>
      <c r="AL3711" s="10"/>
      <c r="AM3711" s="10"/>
      <c r="AN3711" s="10"/>
      <c r="AO3711" s="10"/>
      <c r="AP3711" s="10"/>
      <c r="AQ3711" s="10"/>
      <c r="AR3711" s="10"/>
      <c r="AS3711" s="10"/>
      <c r="AT3711" s="10"/>
      <c r="AU3711" s="10"/>
      <c r="AV3711" s="10"/>
      <c r="AW3711" s="10"/>
      <c r="AX3711" s="10"/>
      <c r="AY3711" s="10"/>
      <c r="AZ3711" s="10"/>
    </row>
    <row r="3712" spans="28:52">
      <c r="AB3712" s="9">
        <v>1.0497674158078749</v>
      </c>
      <c r="AC3712" s="9">
        <v>1.3240759713494232</v>
      </c>
      <c r="AD3712" s="9">
        <v>0.99877143771703214</v>
      </c>
      <c r="AE3712" s="10"/>
      <c r="AF3712" s="10"/>
      <c r="AG3712" s="10"/>
      <c r="AH3712" s="10"/>
      <c r="AI3712" s="10"/>
      <c r="AJ3712" s="10"/>
      <c r="AK3712" s="10"/>
      <c r="AL3712" s="10"/>
      <c r="AM3712" s="10"/>
      <c r="AN3712" s="10"/>
      <c r="AO3712" s="10"/>
      <c r="AP3712" s="10"/>
      <c r="AQ3712" s="10"/>
      <c r="AR3712" s="10"/>
      <c r="AS3712" s="10"/>
      <c r="AT3712" s="10"/>
      <c r="AU3712" s="10"/>
      <c r="AV3712" s="10"/>
      <c r="AW3712" s="10"/>
      <c r="AX3712" s="10"/>
      <c r="AY3712" s="10"/>
      <c r="AZ3712" s="10"/>
    </row>
    <row r="3713" spans="28:52">
      <c r="AB3713" s="9">
        <v>1.0678189794469422</v>
      </c>
      <c r="AC3713" s="9">
        <v>1.4462083294722379</v>
      </c>
      <c r="AD3713" s="9">
        <v>0.99436074384412187</v>
      </c>
      <c r="AE3713" s="10"/>
      <c r="AF3713" s="10"/>
      <c r="AG3713" s="10"/>
      <c r="AH3713" s="10"/>
      <c r="AI3713" s="10"/>
      <c r="AJ3713" s="10"/>
      <c r="AK3713" s="10"/>
      <c r="AL3713" s="10"/>
      <c r="AM3713" s="10"/>
      <c r="AN3713" s="10"/>
      <c r="AO3713" s="10"/>
      <c r="AP3713" s="10"/>
      <c r="AQ3713" s="10"/>
      <c r="AR3713" s="10"/>
      <c r="AS3713" s="10"/>
      <c r="AT3713" s="10"/>
      <c r="AU3713" s="10"/>
      <c r="AV3713" s="10"/>
      <c r="AW3713" s="10"/>
      <c r="AX3713" s="10"/>
      <c r="AY3713" s="10"/>
      <c r="AZ3713" s="10"/>
    </row>
    <row r="3714" spans="28:52">
      <c r="AB3714" s="9">
        <v>1.0686448849458035</v>
      </c>
      <c r="AC3714" s="9">
        <v>1.6152604532677441</v>
      </c>
      <c r="AD3714" s="9">
        <v>0.97980017496613225</v>
      </c>
      <c r="AE3714" s="10"/>
      <c r="AF3714" s="10"/>
      <c r="AG3714" s="10"/>
      <c r="AH3714" s="10"/>
      <c r="AI3714" s="10"/>
      <c r="AJ3714" s="10"/>
      <c r="AK3714" s="10"/>
      <c r="AL3714" s="10"/>
      <c r="AM3714" s="10"/>
      <c r="AN3714" s="10"/>
      <c r="AO3714" s="10"/>
      <c r="AP3714" s="10"/>
      <c r="AQ3714" s="10"/>
      <c r="AR3714" s="10"/>
      <c r="AS3714" s="10"/>
      <c r="AT3714" s="10"/>
      <c r="AU3714" s="10"/>
      <c r="AV3714" s="10"/>
      <c r="AW3714" s="10"/>
      <c r="AX3714" s="10"/>
      <c r="AY3714" s="10"/>
      <c r="AZ3714" s="10"/>
    </row>
    <row r="3715" spans="28:52">
      <c r="AB3715" s="9">
        <v>1.0800762822275005</v>
      </c>
      <c r="AC3715" s="9">
        <v>1.5730311580444341</v>
      </c>
      <c r="AD3715" s="9">
        <v>0.98114234587337701</v>
      </c>
      <c r="AE3715" s="10"/>
      <c r="AF3715" s="10"/>
      <c r="AG3715" s="10"/>
      <c r="AH3715" s="10"/>
      <c r="AI3715" s="10"/>
      <c r="AJ3715" s="10"/>
      <c r="AK3715" s="10"/>
      <c r="AL3715" s="10"/>
      <c r="AM3715" s="10"/>
      <c r="AN3715" s="10"/>
      <c r="AO3715" s="10"/>
      <c r="AP3715" s="10"/>
      <c r="AQ3715" s="10"/>
      <c r="AR3715" s="10"/>
      <c r="AS3715" s="10"/>
      <c r="AT3715" s="10"/>
      <c r="AU3715" s="10"/>
      <c r="AV3715" s="10"/>
      <c r="AW3715" s="10"/>
      <c r="AX3715" s="10"/>
      <c r="AY3715" s="10"/>
      <c r="AZ3715" s="10"/>
    </row>
    <row r="3716" spans="28:52">
      <c r="AB3716" s="9">
        <v>1.0739823186475548</v>
      </c>
      <c r="AC3716" s="9">
        <v>1.5640656878868016</v>
      </c>
      <c r="AD3716" s="9">
        <v>0.97350524072324507</v>
      </c>
      <c r="AE3716" s="10"/>
      <c r="AF3716" s="10"/>
      <c r="AG3716" s="10"/>
      <c r="AH3716" s="10"/>
      <c r="AI3716" s="10"/>
      <c r="AJ3716" s="10"/>
      <c r="AK3716" s="10"/>
      <c r="AL3716" s="10"/>
      <c r="AM3716" s="10"/>
      <c r="AN3716" s="10"/>
      <c r="AO3716" s="10"/>
      <c r="AP3716" s="10"/>
      <c r="AQ3716" s="10"/>
      <c r="AR3716" s="10"/>
      <c r="AS3716" s="10"/>
      <c r="AT3716" s="10"/>
      <c r="AU3716" s="10"/>
      <c r="AV3716" s="10"/>
      <c r="AW3716" s="10"/>
      <c r="AX3716" s="10"/>
      <c r="AY3716" s="10"/>
      <c r="AZ3716" s="10"/>
    </row>
    <row r="3717" spans="28:52">
      <c r="AB3717" s="9">
        <v>1.078229897748715</v>
      </c>
      <c r="AC3717" s="9">
        <v>1.4049220106901499</v>
      </c>
      <c r="AD3717" s="9">
        <v>0.97785502579240835</v>
      </c>
      <c r="AE3717" s="10"/>
      <c r="AF3717" s="10"/>
      <c r="AG3717" s="10"/>
      <c r="AH3717" s="10"/>
      <c r="AI3717" s="10"/>
      <c r="AJ3717" s="10"/>
      <c r="AK3717" s="10"/>
      <c r="AL3717" s="10"/>
      <c r="AM3717" s="10"/>
      <c r="AN3717" s="10"/>
      <c r="AO3717" s="10"/>
      <c r="AP3717" s="10"/>
      <c r="AQ3717" s="10"/>
      <c r="AR3717" s="10"/>
      <c r="AS3717" s="10"/>
      <c r="AT3717" s="10"/>
      <c r="AU3717" s="10"/>
      <c r="AV3717" s="10"/>
      <c r="AW3717" s="10"/>
      <c r="AX3717" s="10"/>
      <c r="AY3717" s="10"/>
      <c r="AZ3717" s="10"/>
    </row>
    <row r="3718" spans="28:52">
      <c r="AB3718" s="9">
        <v>1.0695249583249775</v>
      </c>
      <c r="AC3718" s="9">
        <v>1.1617387892832882</v>
      </c>
      <c r="AD3718" s="9">
        <v>0.97324006181811185</v>
      </c>
      <c r="AE3718" s="10"/>
      <c r="AF3718" s="10"/>
      <c r="AG3718" s="10"/>
      <c r="AH3718" s="10"/>
      <c r="AI3718" s="10"/>
      <c r="AJ3718" s="10"/>
      <c r="AK3718" s="10"/>
      <c r="AL3718" s="10"/>
      <c r="AM3718" s="10"/>
      <c r="AN3718" s="10"/>
      <c r="AO3718" s="10"/>
      <c r="AP3718" s="10"/>
      <c r="AQ3718" s="10"/>
      <c r="AR3718" s="10"/>
      <c r="AS3718" s="10"/>
      <c r="AT3718" s="10"/>
      <c r="AU3718" s="10"/>
      <c r="AV3718" s="10"/>
      <c r="AW3718" s="10"/>
      <c r="AX3718" s="10"/>
      <c r="AY3718" s="10"/>
      <c r="AZ3718" s="10"/>
    </row>
    <row r="3719" spans="28:52">
      <c r="AB3719" s="9">
        <v>1.0711113126721659</v>
      </c>
      <c r="AC3719" s="9">
        <v>1.3169290729685426</v>
      </c>
      <c r="AD3719" s="9">
        <v>0.97436509104750368</v>
      </c>
      <c r="AE3719" s="10"/>
      <c r="AF3719" s="10"/>
      <c r="AG3719" s="10"/>
      <c r="AH3719" s="10"/>
      <c r="AI3719" s="10"/>
      <c r="AJ3719" s="10"/>
      <c r="AK3719" s="10"/>
      <c r="AL3719" s="10"/>
      <c r="AM3719" s="10"/>
      <c r="AN3719" s="10"/>
      <c r="AO3719" s="10"/>
      <c r="AP3719" s="10"/>
      <c r="AQ3719" s="10"/>
      <c r="AR3719" s="10"/>
      <c r="AS3719" s="10"/>
      <c r="AT3719" s="10"/>
      <c r="AU3719" s="10"/>
      <c r="AV3719" s="10"/>
      <c r="AW3719" s="10"/>
      <c r="AX3719" s="10"/>
      <c r="AY3719" s="10"/>
      <c r="AZ3719" s="10"/>
    </row>
    <row r="3720" spans="28:52">
      <c r="AB3720" s="9">
        <v>1.0665338121289591</v>
      </c>
      <c r="AC3720" s="9">
        <v>1.5035606776194241</v>
      </c>
      <c r="AD3720" s="9">
        <v>0.98047881359102729</v>
      </c>
      <c r="AE3720" s="10"/>
      <c r="AF3720" s="10"/>
      <c r="AG3720" s="10"/>
      <c r="AH3720" s="10"/>
      <c r="AI3720" s="10"/>
      <c r="AJ3720" s="10"/>
      <c r="AK3720" s="10"/>
      <c r="AL3720" s="10"/>
      <c r="AM3720" s="10"/>
      <c r="AN3720" s="10"/>
      <c r="AO3720" s="10"/>
      <c r="AP3720" s="10"/>
      <c r="AQ3720" s="10"/>
      <c r="AR3720" s="10"/>
      <c r="AS3720" s="10"/>
      <c r="AT3720" s="10"/>
      <c r="AU3720" s="10"/>
      <c r="AV3720" s="10"/>
      <c r="AW3720" s="10"/>
      <c r="AX3720" s="10"/>
      <c r="AY3720" s="10"/>
      <c r="AZ3720" s="10"/>
    </row>
    <row r="3721" spans="28:52">
      <c r="AB3721" s="9">
        <v>1.0570901613346417</v>
      </c>
      <c r="AC3721" s="9">
        <v>0.95790884040751323</v>
      </c>
      <c r="AD3721" s="9">
        <v>0.97432959855328083</v>
      </c>
      <c r="AE3721" s="10"/>
      <c r="AF3721" s="10"/>
      <c r="AG3721" s="10"/>
      <c r="AH3721" s="10"/>
      <c r="AI3721" s="10"/>
      <c r="AJ3721" s="10"/>
      <c r="AK3721" s="10"/>
      <c r="AL3721" s="10"/>
      <c r="AM3721" s="10"/>
      <c r="AN3721" s="10"/>
      <c r="AO3721" s="10"/>
      <c r="AP3721" s="10"/>
      <c r="AQ3721" s="10"/>
      <c r="AR3721" s="10"/>
      <c r="AS3721" s="10"/>
      <c r="AT3721" s="10"/>
      <c r="AU3721" s="10"/>
      <c r="AV3721" s="10"/>
      <c r="AW3721" s="10"/>
      <c r="AX3721" s="10"/>
      <c r="AY3721" s="10"/>
      <c r="AZ3721" s="10"/>
    </row>
    <row r="3722" spans="28:52">
      <c r="AB3722" s="9">
        <v>1.0608082423035723</v>
      </c>
      <c r="AC3722" s="9">
        <v>0.77453821535670198</v>
      </c>
      <c r="AD3722" s="9">
        <v>0.97634649771123394</v>
      </c>
      <c r="AE3722" s="10"/>
      <c r="AF3722" s="10"/>
      <c r="AG3722" s="10"/>
      <c r="AH3722" s="10"/>
      <c r="AI3722" s="10"/>
      <c r="AJ3722" s="10"/>
      <c r="AK3722" s="10"/>
      <c r="AL3722" s="10"/>
      <c r="AM3722" s="10"/>
      <c r="AN3722" s="10"/>
      <c r="AO3722" s="10"/>
      <c r="AP3722" s="10"/>
      <c r="AQ3722" s="10"/>
      <c r="AR3722" s="10"/>
      <c r="AS3722" s="10"/>
      <c r="AT3722" s="10"/>
      <c r="AU3722" s="10"/>
      <c r="AV3722" s="10"/>
      <c r="AW3722" s="10"/>
      <c r="AX3722" s="10"/>
      <c r="AY3722" s="10"/>
      <c r="AZ3722" s="10"/>
    </row>
    <row r="3723" spans="28:52">
      <c r="AB3723" s="9">
        <v>1.0558655095586649</v>
      </c>
      <c r="AC3723" s="9">
        <v>0.97223932383718203</v>
      </c>
      <c r="AD3723" s="9">
        <v>1.0084319240735384</v>
      </c>
      <c r="AE3723" s="10"/>
      <c r="AF3723" s="10"/>
      <c r="AG3723" s="10"/>
      <c r="AH3723" s="10"/>
      <c r="AI3723" s="10"/>
      <c r="AJ3723" s="10"/>
      <c r="AK3723" s="10"/>
      <c r="AL3723" s="10"/>
      <c r="AM3723" s="10"/>
      <c r="AN3723" s="10"/>
      <c r="AO3723" s="10"/>
      <c r="AP3723" s="10"/>
      <c r="AQ3723" s="10"/>
      <c r="AR3723" s="10"/>
      <c r="AS3723" s="10"/>
      <c r="AT3723" s="10"/>
      <c r="AU3723" s="10"/>
      <c r="AV3723" s="10"/>
      <c r="AW3723" s="10"/>
      <c r="AX3723" s="10"/>
      <c r="AY3723" s="10"/>
      <c r="AZ3723" s="10"/>
    </row>
    <row r="3724" spans="28:52">
      <c r="AB3724" s="9">
        <v>1.0207965792039988</v>
      </c>
      <c r="AC3724" s="9">
        <v>1.1418844551655232</v>
      </c>
      <c r="AD3724" s="9">
        <v>1.0072267666212655</v>
      </c>
      <c r="AE3724" s="10"/>
      <c r="AF3724" s="10"/>
      <c r="AG3724" s="10"/>
      <c r="AH3724" s="10"/>
      <c r="AI3724" s="10"/>
      <c r="AJ3724" s="10"/>
      <c r="AK3724" s="10"/>
      <c r="AL3724" s="10"/>
      <c r="AM3724" s="10"/>
      <c r="AN3724" s="10"/>
      <c r="AO3724" s="10"/>
      <c r="AP3724" s="10"/>
      <c r="AQ3724" s="10"/>
      <c r="AR3724" s="10"/>
      <c r="AS3724" s="10"/>
      <c r="AT3724" s="10"/>
      <c r="AU3724" s="10"/>
      <c r="AV3724" s="10"/>
      <c r="AW3724" s="10"/>
      <c r="AX3724" s="10"/>
      <c r="AY3724" s="10"/>
      <c r="AZ3724" s="10"/>
    </row>
    <row r="3725" spans="28:52">
      <c r="AB3725" s="9">
        <v>1.0212158494799888</v>
      </c>
      <c r="AC3725" s="9">
        <v>0.96822315844293183</v>
      </c>
      <c r="AD3725" s="9">
        <v>1.011966213580858</v>
      </c>
      <c r="AE3725" s="10"/>
      <c r="AF3725" s="10"/>
      <c r="AG3725" s="10"/>
      <c r="AH3725" s="10"/>
      <c r="AI3725" s="10"/>
      <c r="AJ3725" s="10"/>
      <c r="AK3725" s="10"/>
      <c r="AL3725" s="10"/>
      <c r="AM3725" s="10"/>
      <c r="AN3725" s="10"/>
      <c r="AO3725" s="10"/>
      <c r="AP3725" s="10"/>
      <c r="AQ3725" s="10"/>
      <c r="AR3725" s="10"/>
      <c r="AS3725" s="10"/>
      <c r="AT3725" s="10"/>
      <c r="AU3725" s="10"/>
      <c r="AV3725" s="10"/>
      <c r="AW3725" s="10"/>
      <c r="AX3725" s="10"/>
      <c r="AY3725" s="10"/>
      <c r="AZ3725" s="10"/>
    </row>
    <row r="3726" spans="28:52">
      <c r="AB3726" s="9">
        <v>1.0158813535750666</v>
      </c>
      <c r="AC3726" s="9">
        <v>0.72287318533852252</v>
      </c>
      <c r="AD3726" s="9">
        <v>1.0295704617853108</v>
      </c>
      <c r="AE3726" s="10"/>
      <c r="AF3726" s="10"/>
      <c r="AG3726" s="10"/>
      <c r="AH3726" s="10"/>
      <c r="AI3726" s="10"/>
      <c r="AJ3726" s="10"/>
      <c r="AK3726" s="10"/>
      <c r="AL3726" s="10"/>
      <c r="AM3726" s="10"/>
      <c r="AN3726" s="10"/>
      <c r="AO3726" s="10"/>
      <c r="AP3726" s="10"/>
      <c r="AQ3726" s="10"/>
      <c r="AR3726" s="10"/>
      <c r="AS3726" s="10"/>
      <c r="AT3726" s="10"/>
      <c r="AU3726" s="10"/>
      <c r="AV3726" s="10"/>
      <c r="AW3726" s="10"/>
      <c r="AX3726" s="10"/>
      <c r="AY3726" s="10"/>
      <c r="AZ3726" s="10"/>
    </row>
    <row r="3727" spans="28:52">
      <c r="AB3727" s="9">
        <v>0.99855723291636933</v>
      </c>
      <c r="AC3727" s="9">
        <v>0.6894523852241693</v>
      </c>
      <c r="AD3727" s="9">
        <v>1.0198735884090679</v>
      </c>
      <c r="AE3727" s="10"/>
      <c r="AF3727" s="10"/>
      <c r="AG3727" s="10"/>
      <c r="AH3727" s="10"/>
      <c r="AI3727" s="10"/>
      <c r="AJ3727" s="10"/>
      <c r="AK3727" s="10"/>
      <c r="AL3727" s="10"/>
      <c r="AM3727" s="10"/>
      <c r="AN3727" s="10"/>
      <c r="AO3727" s="10"/>
      <c r="AP3727" s="10"/>
      <c r="AQ3727" s="10"/>
      <c r="AR3727" s="10"/>
      <c r="AS3727" s="10"/>
      <c r="AT3727" s="10"/>
      <c r="AU3727" s="10"/>
      <c r="AV3727" s="10"/>
      <c r="AW3727" s="10"/>
      <c r="AX3727" s="10"/>
      <c r="AY3727" s="10"/>
      <c r="AZ3727" s="10"/>
    </row>
    <row r="3728" spans="28:52">
      <c r="AB3728" s="9">
        <v>1.008176273103929</v>
      </c>
      <c r="AC3728" s="9">
        <v>0.65505863019053434</v>
      </c>
      <c r="AD3728" s="9">
        <v>1.0088783836330291</v>
      </c>
      <c r="AE3728" s="10"/>
      <c r="AF3728" s="10"/>
      <c r="AG3728" s="10"/>
      <c r="AH3728" s="10"/>
      <c r="AI3728" s="10"/>
      <c r="AJ3728" s="10"/>
      <c r="AK3728" s="10"/>
      <c r="AL3728" s="10"/>
      <c r="AM3728" s="10"/>
      <c r="AN3728" s="10"/>
      <c r="AO3728" s="10"/>
      <c r="AP3728" s="10"/>
      <c r="AQ3728" s="10"/>
      <c r="AR3728" s="10"/>
      <c r="AS3728" s="10"/>
      <c r="AT3728" s="10"/>
      <c r="AU3728" s="10"/>
      <c r="AV3728" s="10"/>
      <c r="AW3728" s="10"/>
      <c r="AX3728" s="10"/>
      <c r="AY3728" s="10"/>
      <c r="AZ3728" s="10"/>
    </row>
    <row r="3729" spans="28:52">
      <c r="AB3729" s="9">
        <v>1.0191666386086322</v>
      </c>
      <c r="AC3729" s="9">
        <v>0.68561667563517492</v>
      </c>
      <c r="AD3729" s="9">
        <v>1.0007480969277895</v>
      </c>
      <c r="AE3729" s="10"/>
      <c r="AF3729" s="10"/>
      <c r="AG3729" s="10"/>
      <c r="AH3729" s="10"/>
      <c r="AI3729" s="10"/>
      <c r="AJ3729" s="10"/>
      <c r="AK3729" s="10"/>
      <c r="AL3729" s="10"/>
      <c r="AM3729" s="10"/>
      <c r="AN3729" s="10"/>
      <c r="AO3729" s="10"/>
      <c r="AP3729" s="10"/>
      <c r="AQ3729" s="10"/>
      <c r="AR3729" s="10"/>
      <c r="AS3729" s="10"/>
      <c r="AT3729" s="10"/>
      <c r="AU3729" s="10"/>
      <c r="AV3729" s="10"/>
      <c r="AW3729" s="10"/>
      <c r="AX3729" s="10"/>
      <c r="AY3729" s="10"/>
      <c r="AZ3729" s="10"/>
    </row>
    <row r="3730" spans="28:52">
      <c r="AB3730" s="9">
        <v>1.0270670304132141</v>
      </c>
      <c r="AC3730" s="9">
        <v>0.89242751418697763</v>
      </c>
      <c r="AD3730" s="9">
        <v>0.9832544538955591</v>
      </c>
      <c r="AE3730" s="10"/>
      <c r="AF3730" s="10"/>
      <c r="AG3730" s="10"/>
      <c r="AH3730" s="10"/>
      <c r="AI3730" s="10"/>
      <c r="AJ3730" s="10"/>
      <c r="AK3730" s="10"/>
      <c r="AL3730" s="10"/>
      <c r="AM3730" s="10"/>
      <c r="AN3730" s="10"/>
      <c r="AO3730" s="10"/>
      <c r="AP3730" s="10"/>
      <c r="AQ3730" s="10"/>
      <c r="AR3730" s="10"/>
      <c r="AS3730" s="10"/>
      <c r="AT3730" s="10"/>
      <c r="AU3730" s="10"/>
      <c r="AV3730" s="10"/>
      <c r="AW3730" s="10"/>
      <c r="AX3730" s="10"/>
      <c r="AY3730" s="10"/>
      <c r="AZ3730" s="10"/>
    </row>
    <row r="3731" spans="28:52">
      <c r="AB3731" s="9">
        <v>1.0445957687215139</v>
      </c>
      <c r="AC3731" s="9">
        <v>0.97263397834148979</v>
      </c>
      <c r="AD3731" s="9">
        <v>0.98418575374102713</v>
      </c>
      <c r="AE3731" s="10"/>
      <c r="AF3731" s="10"/>
      <c r="AG3731" s="10"/>
      <c r="AH3731" s="10"/>
      <c r="AI3731" s="10"/>
      <c r="AJ3731" s="10"/>
      <c r="AK3731" s="10"/>
      <c r="AL3731" s="10"/>
      <c r="AM3731" s="10"/>
      <c r="AN3731" s="10"/>
      <c r="AO3731" s="10"/>
      <c r="AP3731" s="10"/>
      <c r="AQ3731" s="10"/>
      <c r="AR3731" s="10"/>
      <c r="AS3731" s="10"/>
      <c r="AT3731" s="10"/>
      <c r="AU3731" s="10"/>
      <c r="AV3731" s="10"/>
      <c r="AW3731" s="10"/>
      <c r="AX3731" s="10"/>
      <c r="AY3731" s="10"/>
      <c r="AZ3731" s="10"/>
    </row>
    <row r="3732" spans="28:52">
      <c r="AB3732" s="9">
        <v>1.0426155661209457</v>
      </c>
      <c r="AC3732" s="9">
        <v>1.0508534200538149</v>
      </c>
      <c r="AD3732" s="9">
        <v>0.99959997644966669</v>
      </c>
      <c r="AE3732" s="10"/>
      <c r="AF3732" s="10"/>
      <c r="AG3732" s="10"/>
      <c r="AH3732" s="10"/>
      <c r="AI3732" s="10"/>
      <c r="AJ3732" s="10"/>
      <c r="AK3732" s="10"/>
      <c r="AL3732" s="10"/>
      <c r="AM3732" s="10"/>
      <c r="AN3732" s="10"/>
      <c r="AO3732" s="10"/>
      <c r="AP3732" s="10"/>
      <c r="AQ3732" s="10"/>
      <c r="AR3732" s="10"/>
      <c r="AS3732" s="10"/>
      <c r="AT3732" s="10"/>
      <c r="AU3732" s="10"/>
      <c r="AV3732" s="10"/>
      <c r="AW3732" s="10"/>
      <c r="AX3732" s="10"/>
      <c r="AY3732" s="10"/>
      <c r="AZ3732" s="10"/>
    </row>
    <row r="3733" spans="28:52">
      <c r="AB3733" s="9">
        <v>1.0259275018934584</v>
      </c>
      <c r="AC3733" s="9">
        <v>0.76062399457464569</v>
      </c>
      <c r="AD3733" s="9">
        <v>1.0001069360630941</v>
      </c>
      <c r="AE3733" s="10"/>
      <c r="AF3733" s="10"/>
      <c r="AG3733" s="10"/>
      <c r="AH3733" s="10"/>
      <c r="AI3733" s="10"/>
      <c r="AJ3733" s="10"/>
      <c r="AK3733" s="10"/>
      <c r="AL3733" s="10"/>
      <c r="AM3733" s="10"/>
      <c r="AN3733" s="10"/>
      <c r="AO3733" s="10"/>
      <c r="AP3733" s="10"/>
      <c r="AQ3733" s="10"/>
      <c r="AR3733" s="10"/>
      <c r="AS3733" s="10"/>
      <c r="AT3733" s="10"/>
      <c r="AU3733" s="10"/>
      <c r="AV3733" s="10"/>
      <c r="AW3733" s="10"/>
      <c r="AX3733" s="10"/>
      <c r="AY3733" s="10"/>
      <c r="AZ3733" s="10"/>
    </row>
    <row r="3734" spans="28:52">
      <c r="AB3734" s="9">
        <v>1.0252509882730907</v>
      </c>
      <c r="AC3734" s="9">
        <v>0.87070397342532235</v>
      </c>
      <c r="AD3734" s="9">
        <v>1.0068594008721865</v>
      </c>
      <c r="AE3734" s="10"/>
      <c r="AF3734" s="10"/>
      <c r="AG3734" s="10"/>
      <c r="AH3734" s="10"/>
      <c r="AI3734" s="10"/>
      <c r="AJ3734" s="10"/>
      <c r="AK3734" s="10"/>
      <c r="AL3734" s="10"/>
      <c r="AM3734" s="10"/>
      <c r="AN3734" s="10"/>
      <c r="AO3734" s="10"/>
      <c r="AP3734" s="10"/>
      <c r="AQ3734" s="10"/>
      <c r="AR3734" s="10"/>
      <c r="AS3734" s="10"/>
      <c r="AT3734" s="10"/>
      <c r="AU3734" s="10"/>
      <c r="AV3734" s="10"/>
      <c r="AW3734" s="10"/>
      <c r="AX3734" s="10"/>
      <c r="AY3734" s="10"/>
      <c r="AZ3734" s="10"/>
    </row>
    <row r="3735" spans="28:52">
      <c r="AB3735" s="9">
        <v>1.0182851018558399</v>
      </c>
      <c r="AC3735" s="9">
        <v>0.84886918865439231</v>
      </c>
      <c r="AD3735" s="9">
        <v>1.0132831069641852</v>
      </c>
      <c r="AE3735" s="10"/>
      <c r="AF3735" s="10"/>
      <c r="AG3735" s="10"/>
      <c r="AH3735" s="10"/>
      <c r="AI3735" s="10"/>
      <c r="AJ3735" s="10"/>
      <c r="AK3735" s="10"/>
      <c r="AL3735" s="10"/>
      <c r="AM3735" s="10"/>
      <c r="AN3735" s="10"/>
      <c r="AO3735" s="10"/>
      <c r="AP3735" s="10"/>
      <c r="AQ3735" s="10"/>
      <c r="AR3735" s="10"/>
      <c r="AS3735" s="10"/>
      <c r="AT3735" s="10"/>
      <c r="AU3735" s="10"/>
      <c r="AV3735" s="10"/>
      <c r="AW3735" s="10"/>
      <c r="AX3735" s="10"/>
      <c r="AY3735" s="10"/>
      <c r="AZ3735" s="10"/>
    </row>
    <row r="3736" spans="28:52">
      <c r="AB3736" s="9">
        <v>1.0118904361983319</v>
      </c>
      <c r="AC3736" s="9">
        <v>0.72552441543110613</v>
      </c>
      <c r="AD3736" s="9">
        <v>1.0073524301486323</v>
      </c>
      <c r="AE3736" s="10"/>
      <c r="AF3736" s="10"/>
      <c r="AG3736" s="10"/>
      <c r="AH3736" s="10"/>
      <c r="AI3736" s="10"/>
      <c r="AJ3736" s="10"/>
      <c r="AK3736" s="10"/>
      <c r="AL3736" s="10"/>
      <c r="AM3736" s="10"/>
      <c r="AN3736" s="10"/>
      <c r="AO3736" s="10"/>
      <c r="AP3736" s="10"/>
      <c r="AQ3736" s="10"/>
      <c r="AR3736" s="10"/>
      <c r="AS3736" s="10"/>
      <c r="AT3736" s="10"/>
      <c r="AU3736" s="10"/>
      <c r="AV3736" s="10"/>
      <c r="AW3736" s="10"/>
      <c r="AX3736" s="10"/>
      <c r="AY3736" s="10"/>
      <c r="AZ3736" s="10"/>
    </row>
    <row r="3737" spans="28:52">
      <c r="AB3737" s="9">
        <v>1.0184201987229726</v>
      </c>
      <c r="AC3737" s="9">
        <v>0.69044101173221661</v>
      </c>
      <c r="AD3737" s="9">
        <v>1.011148944682799</v>
      </c>
      <c r="AE3737" s="10"/>
      <c r="AF3737" s="10"/>
      <c r="AG3737" s="10"/>
      <c r="AH3737" s="10"/>
      <c r="AI3737" s="10"/>
      <c r="AJ3737" s="10"/>
      <c r="AK3737" s="10"/>
      <c r="AL3737" s="10"/>
      <c r="AM3737" s="10"/>
      <c r="AN3737" s="10"/>
      <c r="AO3737" s="10"/>
      <c r="AP3737" s="10"/>
      <c r="AQ3737" s="10"/>
      <c r="AR3737" s="10"/>
      <c r="AS3737" s="10"/>
      <c r="AT3737" s="10"/>
      <c r="AU3737" s="10"/>
      <c r="AV3737" s="10"/>
      <c r="AW3737" s="10"/>
      <c r="AX3737" s="10"/>
      <c r="AY3737" s="10"/>
      <c r="AZ3737" s="10"/>
    </row>
    <row r="3738" spans="28:52">
      <c r="AB3738" s="9">
        <v>1.0147556787265581</v>
      </c>
      <c r="AC3738" s="9">
        <v>0.77588125608977987</v>
      </c>
      <c r="AD3738" s="9">
        <v>0.99993892814556717</v>
      </c>
      <c r="AE3738" s="10"/>
      <c r="AF3738" s="10"/>
      <c r="AG3738" s="10"/>
      <c r="AH3738" s="10"/>
      <c r="AI3738" s="10"/>
      <c r="AJ3738" s="10"/>
      <c r="AK3738" s="10"/>
      <c r="AL3738" s="10"/>
      <c r="AM3738" s="10"/>
      <c r="AN3738" s="10"/>
      <c r="AO3738" s="10"/>
      <c r="AP3738" s="10"/>
      <c r="AQ3738" s="10"/>
      <c r="AR3738" s="10"/>
      <c r="AS3738" s="10"/>
      <c r="AT3738" s="10"/>
      <c r="AU3738" s="10"/>
      <c r="AV3738" s="10"/>
      <c r="AW3738" s="10"/>
      <c r="AX3738" s="10"/>
      <c r="AY3738" s="10"/>
      <c r="AZ3738" s="10"/>
    </row>
    <row r="3739" spans="28:52">
      <c r="AB3739" s="9">
        <v>1.0263784165407253</v>
      </c>
      <c r="AC3739" s="9">
        <v>0.84604020288714854</v>
      </c>
      <c r="AD3739" s="9">
        <v>1.0030095823187866</v>
      </c>
      <c r="AE3739" s="10"/>
      <c r="AF3739" s="10"/>
      <c r="AG3739" s="10"/>
      <c r="AH3739" s="10"/>
      <c r="AI3739" s="10"/>
      <c r="AJ3739" s="10"/>
      <c r="AK3739" s="10"/>
      <c r="AL3739" s="10"/>
      <c r="AM3739" s="10"/>
      <c r="AN3739" s="10"/>
      <c r="AO3739" s="10"/>
      <c r="AP3739" s="10"/>
      <c r="AQ3739" s="10"/>
      <c r="AR3739" s="10"/>
      <c r="AS3739" s="10"/>
      <c r="AT3739" s="10"/>
      <c r="AU3739" s="10"/>
      <c r="AV3739" s="10"/>
      <c r="AW3739" s="10"/>
      <c r="AX3739" s="10"/>
      <c r="AY3739" s="10"/>
      <c r="AZ3739" s="10"/>
    </row>
    <row r="3740" spans="28:52">
      <c r="AB3740" s="9">
        <v>1.0232629468464138</v>
      </c>
      <c r="AC3740" s="9">
        <v>0.809138906223688</v>
      </c>
      <c r="AD3740" s="9">
        <v>1.0027903178769322</v>
      </c>
      <c r="AE3740" s="10"/>
      <c r="AF3740" s="10"/>
      <c r="AG3740" s="10"/>
      <c r="AH3740" s="10"/>
      <c r="AI3740" s="10"/>
      <c r="AJ3740" s="10"/>
      <c r="AK3740" s="10"/>
      <c r="AL3740" s="10"/>
      <c r="AM3740" s="10"/>
      <c r="AN3740" s="10"/>
      <c r="AO3740" s="10"/>
      <c r="AP3740" s="10"/>
      <c r="AQ3740" s="10"/>
      <c r="AR3740" s="10"/>
      <c r="AS3740" s="10"/>
      <c r="AT3740" s="10"/>
      <c r="AU3740" s="10"/>
      <c r="AV3740" s="10"/>
      <c r="AW3740" s="10"/>
      <c r="AX3740" s="10"/>
      <c r="AY3740" s="10"/>
      <c r="AZ3740" s="10"/>
    </row>
    <row r="3741" spans="28:52">
      <c r="AB3741" s="9">
        <v>1.0237889003954019</v>
      </c>
      <c r="AC3741" s="9">
        <v>0.68955163432465827</v>
      </c>
      <c r="AD3741" s="9">
        <v>1.0130991885709286</v>
      </c>
      <c r="AE3741" s="10"/>
      <c r="AF3741" s="10"/>
      <c r="AG3741" s="10"/>
      <c r="AH3741" s="10"/>
      <c r="AI3741" s="10"/>
      <c r="AJ3741" s="10"/>
      <c r="AK3741" s="10"/>
      <c r="AL3741" s="10"/>
      <c r="AM3741" s="10"/>
      <c r="AN3741" s="10"/>
      <c r="AO3741" s="10"/>
      <c r="AP3741" s="10"/>
      <c r="AQ3741" s="10"/>
      <c r="AR3741" s="10"/>
      <c r="AS3741" s="10"/>
      <c r="AT3741" s="10"/>
      <c r="AU3741" s="10"/>
      <c r="AV3741" s="10"/>
      <c r="AW3741" s="10"/>
      <c r="AX3741" s="10"/>
      <c r="AY3741" s="10"/>
      <c r="AZ3741" s="10"/>
    </row>
    <row r="3742" spans="28:52">
      <c r="AB3742" s="9">
        <v>1.0144818499886585</v>
      </c>
      <c r="AC3742" s="9">
        <v>0.68327112782000277</v>
      </c>
      <c r="AD3742" s="9">
        <v>1.0310006584286524</v>
      </c>
      <c r="AE3742" s="10"/>
      <c r="AF3742" s="10"/>
      <c r="AG3742" s="10"/>
      <c r="AH3742" s="10"/>
      <c r="AI3742" s="10"/>
      <c r="AJ3742" s="10"/>
      <c r="AK3742" s="10"/>
      <c r="AL3742" s="10"/>
      <c r="AM3742" s="10"/>
      <c r="AN3742" s="10"/>
      <c r="AO3742" s="10"/>
      <c r="AP3742" s="10"/>
      <c r="AQ3742" s="10"/>
      <c r="AR3742" s="10"/>
      <c r="AS3742" s="10"/>
      <c r="AT3742" s="10"/>
      <c r="AU3742" s="10"/>
      <c r="AV3742" s="10"/>
      <c r="AW3742" s="10"/>
      <c r="AX3742" s="10"/>
      <c r="AY3742" s="10"/>
      <c r="AZ3742" s="10"/>
    </row>
    <row r="3743" spans="28:52">
      <c r="AB3743" s="9">
        <v>0.99850958221822139</v>
      </c>
      <c r="AC3743" s="9">
        <v>0.82868060274677369</v>
      </c>
      <c r="AD3743" s="9">
        <v>1.0428334020624925</v>
      </c>
      <c r="AE3743" s="10"/>
      <c r="AF3743" s="10"/>
      <c r="AG3743" s="10"/>
      <c r="AH3743" s="10"/>
      <c r="AI3743" s="10"/>
      <c r="AJ3743" s="10"/>
      <c r="AK3743" s="10"/>
      <c r="AL3743" s="10"/>
      <c r="AM3743" s="10"/>
      <c r="AN3743" s="10"/>
      <c r="AO3743" s="10"/>
      <c r="AP3743" s="10"/>
      <c r="AQ3743" s="10"/>
      <c r="AR3743" s="10"/>
      <c r="AS3743" s="10"/>
      <c r="AT3743" s="10"/>
      <c r="AU3743" s="10"/>
      <c r="AV3743" s="10"/>
      <c r="AW3743" s="10"/>
      <c r="AX3743" s="10"/>
      <c r="AY3743" s="10"/>
      <c r="AZ3743" s="10"/>
    </row>
    <row r="3744" spans="28:52">
      <c r="AB3744" s="9">
        <v>0.9895066922433664</v>
      </c>
      <c r="AC3744" s="9">
        <v>0.76235129261621126</v>
      </c>
      <c r="AD3744" s="9">
        <v>1.0354971230701933</v>
      </c>
      <c r="AE3744" s="10"/>
      <c r="AF3744" s="10"/>
      <c r="AG3744" s="10"/>
      <c r="AH3744" s="10"/>
      <c r="AI3744" s="10"/>
      <c r="AJ3744" s="10"/>
      <c r="AK3744" s="10"/>
      <c r="AL3744" s="10"/>
      <c r="AM3744" s="10"/>
      <c r="AN3744" s="10"/>
      <c r="AO3744" s="10"/>
      <c r="AP3744" s="10"/>
      <c r="AQ3744" s="10"/>
      <c r="AR3744" s="10"/>
      <c r="AS3744" s="10"/>
      <c r="AT3744" s="10"/>
      <c r="AU3744" s="10"/>
      <c r="AV3744" s="10"/>
      <c r="AW3744" s="10"/>
      <c r="AX3744" s="10"/>
      <c r="AY3744" s="10"/>
      <c r="AZ3744" s="10"/>
    </row>
    <row r="3745" spans="28:52">
      <c r="AB3745" s="9">
        <v>0.99833382500154233</v>
      </c>
      <c r="AC3745" s="9">
        <v>0.71035779848432457</v>
      </c>
      <c r="AD3745" s="9">
        <v>1.0342000082296625</v>
      </c>
      <c r="AE3745" s="10"/>
      <c r="AF3745" s="10"/>
      <c r="AG3745" s="10"/>
      <c r="AH3745" s="10"/>
      <c r="AI3745" s="10"/>
      <c r="AJ3745" s="10"/>
      <c r="AK3745" s="10"/>
      <c r="AL3745" s="10"/>
      <c r="AM3745" s="10"/>
      <c r="AN3745" s="10"/>
      <c r="AO3745" s="10"/>
      <c r="AP3745" s="10"/>
      <c r="AQ3745" s="10"/>
      <c r="AR3745" s="10"/>
      <c r="AS3745" s="10"/>
      <c r="AT3745" s="10"/>
      <c r="AU3745" s="10"/>
      <c r="AV3745" s="10"/>
      <c r="AW3745" s="10"/>
      <c r="AX3745" s="10"/>
      <c r="AY3745" s="10"/>
      <c r="AZ3745" s="10"/>
    </row>
    <row r="3746" spans="28:52">
      <c r="AB3746" s="9">
        <v>1.0009996220639592</v>
      </c>
      <c r="AC3746" s="9">
        <v>0.68206522575897088</v>
      </c>
      <c r="AD3746" s="9">
        <v>1.0285245842147521</v>
      </c>
      <c r="AE3746" s="10"/>
      <c r="AF3746" s="10"/>
      <c r="AG3746" s="10"/>
      <c r="AH3746" s="10"/>
      <c r="AI3746" s="10"/>
      <c r="AJ3746" s="10"/>
      <c r="AK3746" s="10"/>
      <c r="AL3746" s="10"/>
      <c r="AM3746" s="10"/>
      <c r="AN3746" s="10"/>
      <c r="AO3746" s="10"/>
      <c r="AP3746" s="10"/>
      <c r="AQ3746" s="10"/>
      <c r="AR3746" s="10"/>
      <c r="AS3746" s="10"/>
      <c r="AT3746" s="10"/>
      <c r="AU3746" s="10"/>
      <c r="AV3746" s="10"/>
      <c r="AW3746" s="10"/>
      <c r="AX3746" s="10"/>
      <c r="AY3746" s="10"/>
      <c r="AZ3746" s="10"/>
    </row>
    <row r="3747" spans="28:52">
      <c r="AB3747" s="9">
        <v>1.0078284742651018</v>
      </c>
      <c r="AC3747" s="9">
        <v>0.78850636082675341</v>
      </c>
      <c r="AD3747" s="9">
        <v>1.0259501186218194</v>
      </c>
      <c r="AE3747" s="10"/>
      <c r="AF3747" s="10"/>
      <c r="AG3747" s="10"/>
      <c r="AH3747" s="10"/>
      <c r="AI3747" s="10"/>
      <c r="AJ3747" s="10"/>
      <c r="AK3747" s="10"/>
      <c r="AL3747" s="10"/>
      <c r="AM3747" s="10"/>
      <c r="AN3747" s="10"/>
      <c r="AO3747" s="10"/>
      <c r="AP3747" s="10"/>
      <c r="AQ3747" s="10"/>
      <c r="AR3747" s="10"/>
      <c r="AS3747" s="10"/>
      <c r="AT3747" s="10"/>
      <c r="AU3747" s="10"/>
      <c r="AV3747" s="10"/>
      <c r="AW3747" s="10"/>
      <c r="AX3747" s="10"/>
      <c r="AY3747" s="10"/>
      <c r="AZ3747" s="10"/>
    </row>
    <row r="3748" spans="28:52">
      <c r="AB3748" s="9">
        <v>1.0111581201752604</v>
      </c>
      <c r="AC3748" s="9">
        <v>0.79092064047238186</v>
      </c>
      <c r="AD3748" s="9">
        <v>1.0415574503407257</v>
      </c>
      <c r="AE3748" s="10"/>
      <c r="AF3748" s="10"/>
      <c r="AG3748" s="10"/>
      <c r="AH3748" s="10"/>
      <c r="AI3748" s="10"/>
      <c r="AJ3748" s="10"/>
      <c r="AK3748" s="10"/>
      <c r="AL3748" s="10"/>
      <c r="AM3748" s="10"/>
      <c r="AN3748" s="10"/>
      <c r="AO3748" s="10"/>
      <c r="AP3748" s="10"/>
      <c r="AQ3748" s="10"/>
      <c r="AR3748" s="10"/>
      <c r="AS3748" s="10"/>
      <c r="AT3748" s="10"/>
      <c r="AU3748" s="10"/>
      <c r="AV3748" s="10"/>
      <c r="AW3748" s="10"/>
      <c r="AX3748" s="10"/>
      <c r="AY3748" s="10"/>
      <c r="AZ3748" s="10"/>
    </row>
    <row r="3749" spans="28:52">
      <c r="AB3749" s="9">
        <v>0.99659958517165359</v>
      </c>
      <c r="AC3749" s="9">
        <v>0.77692540815127409</v>
      </c>
      <c r="AD3749" s="9">
        <v>1.0396239229414612</v>
      </c>
      <c r="AE3749" s="10"/>
      <c r="AF3749" s="10"/>
      <c r="AG3749" s="10"/>
      <c r="AH3749" s="10"/>
      <c r="AI3749" s="10"/>
      <c r="AJ3749" s="10"/>
      <c r="AK3749" s="10"/>
      <c r="AL3749" s="10"/>
      <c r="AM3749" s="10"/>
      <c r="AN3749" s="10"/>
      <c r="AO3749" s="10"/>
      <c r="AP3749" s="10"/>
      <c r="AQ3749" s="10"/>
      <c r="AR3749" s="10"/>
      <c r="AS3749" s="10"/>
      <c r="AT3749" s="10"/>
      <c r="AU3749" s="10"/>
      <c r="AV3749" s="10"/>
      <c r="AW3749" s="10"/>
      <c r="AX3749" s="10"/>
      <c r="AY3749" s="10"/>
      <c r="AZ3749" s="10"/>
    </row>
    <row r="3750" spans="28:52">
      <c r="AB3750" s="9">
        <v>0.99899923544225122</v>
      </c>
      <c r="AC3750" s="9">
        <v>0.58961386032119012</v>
      </c>
      <c r="AD3750" s="9">
        <v>1.054358029919235</v>
      </c>
      <c r="AE3750" s="10"/>
      <c r="AF3750" s="10"/>
      <c r="AG3750" s="10"/>
      <c r="AH3750" s="10"/>
      <c r="AI3750" s="10"/>
      <c r="AJ3750" s="10"/>
      <c r="AK3750" s="10"/>
      <c r="AL3750" s="10"/>
      <c r="AM3750" s="10"/>
      <c r="AN3750" s="10"/>
      <c r="AO3750" s="10"/>
      <c r="AP3750" s="10"/>
      <c r="AQ3750" s="10"/>
      <c r="AR3750" s="10"/>
      <c r="AS3750" s="10"/>
      <c r="AT3750" s="10"/>
      <c r="AU3750" s="10"/>
      <c r="AV3750" s="10"/>
      <c r="AW3750" s="10"/>
      <c r="AX3750" s="10"/>
      <c r="AY3750" s="10"/>
      <c r="AZ3750" s="10"/>
    </row>
    <row r="3751" spans="28:52">
      <c r="AB3751" s="9">
        <v>0.98616805962598197</v>
      </c>
      <c r="AC3751" s="9">
        <v>0.6530877084097384</v>
      </c>
      <c r="AD3751" s="9">
        <v>1.0616738885096071</v>
      </c>
      <c r="AE3751" s="10"/>
      <c r="AF3751" s="10"/>
      <c r="AG3751" s="10"/>
      <c r="AH3751" s="10"/>
      <c r="AI3751" s="10"/>
      <c r="AJ3751" s="10"/>
      <c r="AK3751" s="10"/>
      <c r="AL3751" s="10"/>
      <c r="AM3751" s="10"/>
      <c r="AN3751" s="10"/>
      <c r="AO3751" s="10"/>
      <c r="AP3751" s="10"/>
      <c r="AQ3751" s="10"/>
      <c r="AR3751" s="10"/>
      <c r="AS3751" s="10"/>
      <c r="AT3751" s="10"/>
      <c r="AU3751" s="10"/>
      <c r="AV3751" s="10"/>
      <c r="AW3751" s="10"/>
      <c r="AX3751" s="10"/>
      <c r="AY3751" s="10"/>
      <c r="AZ3751" s="10"/>
    </row>
    <row r="3752" spans="28:52">
      <c r="AB3752" s="9">
        <v>0.98083306391527592</v>
      </c>
      <c r="AC3752" s="9">
        <v>0.70382868034627621</v>
      </c>
      <c r="AD3752" s="9">
        <v>1.0591659870468841</v>
      </c>
      <c r="AE3752" s="10"/>
      <c r="AF3752" s="10"/>
      <c r="AG3752" s="10"/>
      <c r="AH3752" s="10"/>
      <c r="AI3752" s="10"/>
      <c r="AJ3752" s="10"/>
      <c r="AK3752" s="10"/>
      <c r="AL3752" s="10"/>
      <c r="AM3752" s="10"/>
      <c r="AN3752" s="10"/>
      <c r="AO3752" s="10"/>
      <c r="AP3752" s="10"/>
      <c r="AQ3752" s="10"/>
      <c r="AR3752" s="10"/>
      <c r="AS3752" s="10"/>
      <c r="AT3752" s="10"/>
      <c r="AU3752" s="10"/>
      <c r="AV3752" s="10"/>
      <c r="AW3752" s="10"/>
      <c r="AX3752" s="10"/>
      <c r="AY3752" s="10"/>
      <c r="AZ3752" s="10"/>
    </row>
    <row r="3753" spans="28:52">
      <c r="AB3753" s="9">
        <v>0.98474227658042934</v>
      </c>
      <c r="AC3753" s="9">
        <v>0.57633007230603339</v>
      </c>
      <c r="AD3753" s="9">
        <v>1.059871107495671</v>
      </c>
      <c r="AE3753" s="10"/>
      <c r="AF3753" s="10"/>
      <c r="AG3753" s="10"/>
      <c r="AH3753" s="10"/>
      <c r="AI3753" s="10"/>
      <c r="AJ3753" s="10"/>
      <c r="AK3753" s="10"/>
      <c r="AL3753" s="10"/>
      <c r="AM3753" s="10"/>
      <c r="AN3753" s="10"/>
      <c r="AO3753" s="10"/>
      <c r="AP3753" s="10"/>
      <c r="AQ3753" s="10"/>
      <c r="AR3753" s="10"/>
      <c r="AS3753" s="10"/>
      <c r="AT3753" s="10"/>
      <c r="AU3753" s="10"/>
      <c r="AV3753" s="10"/>
      <c r="AW3753" s="10"/>
      <c r="AX3753" s="10"/>
      <c r="AY3753" s="10"/>
      <c r="AZ3753" s="10"/>
    </row>
    <row r="3754" spans="28:52">
      <c r="AB3754" s="9">
        <v>0.98532520219062381</v>
      </c>
      <c r="AC3754" s="9">
        <v>0.62638152613034925</v>
      </c>
      <c r="AD3754" s="9">
        <v>1.0522138302700079</v>
      </c>
      <c r="AE3754" s="10"/>
      <c r="AF3754" s="10"/>
      <c r="AG3754" s="10"/>
      <c r="AH3754" s="10"/>
      <c r="AI3754" s="10"/>
      <c r="AJ3754" s="10"/>
      <c r="AK3754" s="10"/>
      <c r="AL3754" s="10"/>
      <c r="AM3754" s="10"/>
      <c r="AN3754" s="10"/>
      <c r="AO3754" s="10"/>
      <c r="AP3754" s="10"/>
      <c r="AQ3754" s="10"/>
      <c r="AR3754" s="10"/>
      <c r="AS3754" s="10"/>
      <c r="AT3754" s="10"/>
      <c r="AU3754" s="10"/>
      <c r="AV3754" s="10"/>
      <c r="AW3754" s="10"/>
      <c r="AX3754" s="10"/>
      <c r="AY3754" s="10"/>
      <c r="AZ3754" s="10"/>
    </row>
    <row r="3755" spans="28:52">
      <c r="AB3755" s="9">
        <v>0.99313090891289557</v>
      </c>
      <c r="AC3755" s="9">
        <v>0.6458594941128758</v>
      </c>
      <c r="AD3755" s="9">
        <v>1.0670258714769794</v>
      </c>
      <c r="AE3755" s="10"/>
      <c r="AF3755" s="10"/>
      <c r="AG3755" s="10"/>
      <c r="AH3755" s="10"/>
      <c r="AI3755" s="10"/>
      <c r="AJ3755" s="10"/>
      <c r="AK3755" s="10"/>
      <c r="AL3755" s="10"/>
      <c r="AM3755" s="10"/>
      <c r="AN3755" s="10"/>
      <c r="AO3755" s="10"/>
      <c r="AP3755" s="10"/>
      <c r="AQ3755" s="10"/>
      <c r="AR3755" s="10"/>
      <c r="AS3755" s="10"/>
      <c r="AT3755" s="10"/>
      <c r="AU3755" s="10"/>
      <c r="AV3755" s="10"/>
      <c r="AW3755" s="10"/>
      <c r="AX3755" s="10"/>
      <c r="AY3755" s="10"/>
      <c r="AZ3755" s="10"/>
    </row>
    <row r="3756" spans="28:52">
      <c r="AB3756" s="9">
        <v>0.98044661611516015</v>
      </c>
      <c r="AC3756" s="9">
        <v>0.72561336423625189</v>
      </c>
      <c r="AD3756" s="9">
        <v>1.0586513568656331</v>
      </c>
      <c r="AE3756" s="10"/>
      <c r="AF3756" s="10"/>
      <c r="AG3756" s="10"/>
      <c r="AH3756" s="10"/>
      <c r="AI3756" s="10"/>
      <c r="AJ3756" s="10"/>
      <c r="AK3756" s="10"/>
      <c r="AL3756" s="10"/>
      <c r="AM3756" s="10"/>
      <c r="AN3756" s="10"/>
      <c r="AO3756" s="10"/>
      <c r="AP3756" s="10"/>
      <c r="AQ3756" s="10"/>
      <c r="AR3756" s="10"/>
      <c r="AS3756" s="10"/>
      <c r="AT3756" s="10"/>
      <c r="AU3756" s="10"/>
      <c r="AV3756" s="10"/>
      <c r="AW3756" s="10"/>
      <c r="AX3756" s="10"/>
      <c r="AY3756" s="10"/>
      <c r="AZ3756" s="10"/>
    </row>
    <row r="3757" spans="28:52">
      <c r="AB3757" s="9">
        <v>0.98940235890205908</v>
      </c>
      <c r="AC3757" s="9">
        <v>0.75668727347420173</v>
      </c>
      <c r="AD3757" s="9">
        <v>1.0619935495574164</v>
      </c>
      <c r="AE3757" s="10"/>
      <c r="AF3757" s="10"/>
      <c r="AG3757" s="10"/>
      <c r="AH3757" s="10"/>
      <c r="AI3757" s="10"/>
      <c r="AJ3757" s="10"/>
      <c r="AK3757" s="10"/>
      <c r="AL3757" s="10"/>
      <c r="AM3757" s="10"/>
      <c r="AN3757" s="10"/>
      <c r="AO3757" s="10"/>
      <c r="AP3757" s="10"/>
      <c r="AQ3757" s="10"/>
      <c r="AR3757" s="10"/>
      <c r="AS3757" s="10"/>
      <c r="AT3757" s="10"/>
      <c r="AU3757" s="10"/>
      <c r="AV3757" s="10"/>
      <c r="AW3757" s="10"/>
      <c r="AX3757" s="10"/>
      <c r="AY3757" s="10"/>
      <c r="AZ3757" s="10"/>
    </row>
    <row r="3758" spans="28:52">
      <c r="AB3758" s="9">
        <v>0.98739970879739847</v>
      </c>
      <c r="AC3758" s="9">
        <v>0.94318313319506131</v>
      </c>
      <c r="AD3758" s="9">
        <v>1.0593016234795676</v>
      </c>
      <c r="AE3758" s="10"/>
      <c r="AF3758" s="10"/>
      <c r="AG3758" s="10"/>
      <c r="AH3758" s="10"/>
      <c r="AI3758" s="10"/>
      <c r="AJ3758" s="10"/>
      <c r="AK3758" s="10"/>
      <c r="AL3758" s="10"/>
      <c r="AM3758" s="10"/>
      <c r="AN3758" s="10"/>
      <c r="AO3758" s="10"/>
      <c r="AP3758" s="10"/>
      <c r="AQ3758" s="10"/>
      <c r="AR3758" s="10"/>
      <c r="AS3758" s="10"/>
      <c r="AT3758" s="10"/>
      <c r="AU3758" s="10"/>
      <c r="AV3758" s="10"/>
      <c r="AW3758" s="10"/>
      <c r="AX3758" s="10"/>
      <c r="AY3758" s="10"/>
      <c r="AZ3758" s="10"/>
    </row>
    <row r="3759" spans="28:52">
      <c r="AB3759" s="9">
        <v>0.99096792173251214</v>
      </c>
      <c r="AC3759" s="9">
        <v>0.7552744884563859</v>
      </c>
      <c r="AD3759" s="9">
        <v>1.0622375746564119</v>
      </c>
      <c r="AE3759" s="10"/>
      <c r="AF3759" s="10"/>
      <c r="AG3759" s="10"/>
      <c r="AH3759" s="10"/>
      <c r="AI3759" s="10"/>
      <c r="AJ3759" s="10"/>
      <c r="AK3759" s="10"/>
      <c r="AL3759" s="10"/>
      <c r="AM3759" s="10"/>
      <c r="AN3759" s="10"/>
      <c r="AO3759" s="10"/>
      <c r="AP3759" s="10"/>
      <c r="AQ3759" s="10"/>
      <c r="AR3759" s="10"/>
      <c r="AS3759" s="10"/>
      <c r="AT3759" s="10"/>
      <c r="AU3759" s="10"/>
      <c r="AV3759" s="10"/>
      <c r="AW3759" s="10"/>
      <c r="AX3759" s="10"/>
      <c r="AY3759" s="10"/>
      <c r="AZ3759" s="10"/>
    </row>
    <row r="3760" spans="28:52">
      <c r="AB3760" s="9">
        <v>0.9893160870454597</v>
      </c>
      <c r="AC3760" s="9">
        <v>0.77109088469960119</v>
      </c>
      <c r="AD3760" s="9">
        <v>1.0729616926524037</v>
      </c>
      <c r="AE3760" s="10"/>
      <c r="AF3760" s="10"/>
      <c r="AG3760" s="10"/>
      <c r="AH3760" s="10"/>
      <c r="AI3760" s="10"/>
      <c r="AJ3760" s="10"/>
      <c r="AK3760" s="10"/>
      <c r="AL3760" s="10"/>
      <c r="AM3760" s="10"/>
      <c r="AN3760" s="10"/>
      <c r="AO3760" s="10"/>
      <c r="AP3760" s="10"/>
      <c r="AQ3760" s="10"/>
      <c r="AR3760" s="10"/>
      <c r="AS3760" s="10"/>
      <c r="AT3760" s="10"/>
      <c r="AU3760" s="10"/>
      <c r="AV3760" s="10"/>
      <c r="AW3760" s="10"/>
      <c r="AX3760" s="10"/>
      <c r="AY3760" s="10"/>
      <c r="AZ3760" s="10"/>
    </row>
    <row r="3761" spans="28:52">
      <c r="AB3761" s="9">
        <v>0.98070525288076627</v>
      </c>
      <c r="AC3761" s="9">
        <v>0.69801077893939734</v>
      </c>
      <c r="AD3761" s="9">
        <v>1.0857406833707286</v>
      </c>
      <c r="AE3761" s="10"/>
      <c r="AF3761" s="10"/>
      <c r="AG3761" s="10"/>
      <c r="AH3761" s="10"/>
      <c r="AI3761" s="10"/>
      <c r="AJ3761" s="10"/>
      <c r="AK3761" s="10"/>
      <c r="AL3761" s="10"/>
      <c r="AM3761" s="10"/>
      <c r="AN3761" s="10"/>
      <c r="AO3761" s="10"/>
      <c r="AP3761" s="10"/>
      <c r="AQ3761" s="10"/>
      <c r="AR3761" s="10"/>
      <c r="AS3761" s="10"/>
      <c r="AT3761" s="10"/>
      <c r="AU3761" s="10"/>
      <c r="AV3761" s="10"/>
      <c r="AW3761" s="10"/>
      <c r="AX3761" s="10"/>
      <c r="AY3761" s="10"/>
      <c r="AZ3761" s="10"/>
    </row>
    <row r="3762" spans="28:52">
      <c r="AB3762" s="9">
        <v>0.97077442319571328</v>
      </c>
      <c r="AC3762" s="9">
        <v>0.70019967270987549</v>
      </c>
      <c r="AD3762" s="9">
        <v>1.0913067906859821</v>
      </c>
      <c r="AE3762" s="10"/>
      <c r="AF3762" s="10"/>
      <c r="AG3762" s="10"/>
      <c r="AH3762" s="10"/>
      <c r="AI3762" s="10"/>
      <c r="AJ3762" s="10"/>
      <c r="AK3762" s="10"/>
      <c r="AL3762" s="10"/>
      <c r="AM3762" s="10"/>
      <c r="AN3762" s="10"/>
      <c r="AO3762" s="10"/>
      <c r="AP3762" s="10"/>
      <c r="AQ3762" s="10"/>
      <c r="AR3762" s="10"/>
      <c r="AS3762" s="10"/>
      <c r="AT3762" s="10"/>
      <c r="AU3762" s="10"/>
      <c r="AV3762" s="10"/>
      <c r="AW3762" s="10"/>
      <c r="AX3762" s="10"/>
      <c r="AY3762" s="10"/>
      <c r="AZ3762" s="10"/>
    </row>
    <row r="3763" spans="28:52">
      <c r="AB3763" s="9">
        <v>0.96739260985976827</v>
      </c>
      <c r="AC3763" s="9">
        <v>0.70324374597118477</v>
      </c>
      <c r="AD3763" s="9">
        <v>1.0903965737334205</v>
      </c>
      <c r="AE3763" s="10"/>
      <c r="AF3763" s="10"/>
      <c r="AG3763" s="10"/>
      <c r="AH3763" s="10"/>
      <c r="AI3763" s="10"/>
      <c r="AJ3763" s="10"/>
      <c r="AK3763" s="10"/>
      <c r="AL3763" s="10"/>
      <c r="AM3763" s="10"/>
      <c r="AN3763" s="10"/>
      <c r="AO3763" s="10"/>
      <c r="AP3763" s="10"/>
      <c r="AQ3763" s="10"/>
      <c r="AR3763" s="10"/>
      <c r="AS3763" s="10"/>
      <c r="AT3763" s="10"/>
      <c r="AU3763" s="10"/>
      <c r="AV3763" s="10"/>
      <c r="AW3763" s="10"/>
      <c r="AX3763" s="10"/>
      <c r="AY3763" s="10"/>
      <c r="AZ3763" s="10"/>
    </row>
    <row r="3764" spans="28:52">
      <c r="AB3764" s="9">
        <v>0.96992670798878722</v>
      </c>
      <c r="AC3764" s="9">
        <v>0.68736500357964614</v>
      </c>
      <c r="AD3764" s="9">
        <v>1.0834521204948733</v>
      </c>
      <c r="AE3764" s="10"/>
      <c r="AF3764" s="10"/>
      <c r="AG3764" s="10"/>
      <c r="AH3764" s="10"/>
      <c r="AI3764" s="10"/>
      <c r="AJ3764" s="10"/>
      <c r="AK3764" s="10"/>
      <c r="AL3764" s="10"/>
      <c r="AM3764" s="10"/>
      <c r="AN3764" s="10"/>
      <c r="AO3764" s="10"/>
      <c r="AP3764" s="10"/>
      <c r="AQ3764" s="10"/>
      <c r="AR3764" s="10"/>
      <c r="AS3764" s="10"/>
      <c r="AT3764" s="10"/>
      <c r="AU3764" s="10"/>
      <c r="AV3764" s="10"/>
      <c r="AW3764" s="10"/>
      <c r="AX3764" s="10"/>
      <c r="AY3764" s="10"/>
      <c r="AZ3764" s="10"/>
    </row>
    <row r="3765" spans="28:52">
      <c r="AB3765" s="9">
        <v>0.97766311865012212</v>
      </c>
      <c r="AC3765" s="9">
        <v>0.65505658917909915</v>
      </c>
      <c r="AD3765" s="9">
        <v>1.0778010334916368</v>
      </c>
      <c r="AE3765" s="10"/>
      <c r="AF3765" s="10"/>
      <c r="AG3765" s="10"/>
      <c r="AH3765" s="10"/>
      <c r="AI3765" s="10"/>
      <c r="AJ3765" s="10"/>
      <c r="AK3765" s="10"/>
      <c r="AL3765" s="10"/>
      <c r="AM3765" s="10"/>
      <c r="AN3765" s="10"/>
      <c r="AO3765" s="10"/>
      <c r="AP3765" s="10"/>
      <c r="AQ3765" s="10"/>
      <c r="AR3765" s="10"/>
      <c r="AS3765" s="10"/>
      <c r="AT3765" s="10"/>
      <c r="AU3765" s="10"/>
      <c r="AV3765" s="10"/>
      <c r="AW3765" s="10"/>
      <c r="AX3765" s="10"/>
      <c r="AY3765" s="10"/>
      <c r="AZ3765" s="10"/>
    </row>
    <row r="3766" spans="28:52">
      <c r="AB3766" s="9">
        <v>0.98325622296515769</v>
      </c>
      <c r="AC3766" s="9">
        <v>0.66244313000239441</v>
      </c>
      <c r="AD3766" s="9">
        <v>1.0704447040102927</v>
      </c>
      <c r="AE3766" s="10"/>
      <c r="AF3766" s="10"/>
      <c r="AG3766" s="10"/>
      <c r="AH3766" s="10"/>
      <c r="AI3766" s="10"/>
      <c r="AJ3766" s="10"/>
      <c r="AK3766" s="10"/>
      <c r="AL3766" s="10"/>
      <c r="AM3766" s="10"/>
      <c r="AN3766" s="10"/>
      <c r="AO3766" s="10"/>
      <c r="AP3766" s="10"/>
      <c r="AQ3766" s="10"/>
      <c r="AR3766" s="10"/>
      <c r="AS3766" s="10"/>
      <c r="AT3766" s="10"/>
      <c r="AU3766" s="10"/>
      <c r="AV3766" s="10"/>
      <c r="AW3766" s="10"/>
      <c r="AX3766" s="10"/>
      <c r="AY3766" s="10"/>
      <c r="AZ3766" s="10"/>
    </row>
    <row r="3767" spans="28:52">
      <c r="AB3767" s="9">
        <v>0.99072479737652164</v>
      </c>
      <c r="AC3767" s="9">
        <v>0.78226807121014685</v>
      </c>
      <c r="AD3767" s="9">
        <v>1.0624221592835998</v>
      </c>
      <c r="AE3767" s="10"/>
      <c r="AF3767" s="10"/>
      <c r="AG3767" s="10"/>
      <c r="AH3767" s="10"/>
      <c r="AI3767" s="10"/>
      <c r="AJ3767" s="10"/>
      <c r="AK3767" s="10"/>
      <c r="AL3767" s="10"/>
      <c r="AM3767" s="10"/>
      <c r="AN3767" s="10"/>
      <c r="AO3767" s="10"/>
      <c r="AP3767" s="10"/>
      <c r="AQ3767" s="10"/>
      <c r="AR3767" s="10"/>
      <c r="AS3767" s="10"/>
      <c r="AT3767" s="10"/>
      <c r="AU3767" s="10"/>
      <c r="AV3767" s="10"/>
      <c r="AW3767" s="10"/>
      <c r="AX3767" s="10"/>
      <c r="AY3767" s="10"/>
      <c r="AZ3767" s="10"/>
    </row>
    <row r="3768" spans="28:52">
      <c r="AB3768" s="9">
        <v>0.99853896752688276</v>
      </c>
      <c r="AC3768" s="9">
        <v>1.0914769748496824</v>
      </c>
      <c r="AD3768" s="9">
        <v>1.0508820269822818</v>
      </c>
      <c r="AE3768" s="10"/>
      <c r="AF3768" s="10"/>
      <c r="AG3768" s="10"/>
      <c r="AH3768" s="10"/>
      <c r="AI3768" s="10"/>
      <c r="AJ3768" s="10"/>
      <c r="AK3768" s="10"/>
      <c r="AL3768" s="10"/>
      <c r="AM3768" s="10"/>
      <c r="AN3768" s="10"/>
      <c r="AO3768" s="10"/>
      <c r="AP3768" s="10"/>
      <c r="AQ3768" s="10"/>
      <c r="AR3768" s="10"/>
      <c r="AS3768" s="10"/>
      <c r="AT3768" s="10"/>
      <c r="AU3768" s="10"/>
      <c r="AV3768" s="10"/>
      <c r="AW3768" s="10"/>
      <c r="AX3768" s="10"/>
      <c r="AY3768" s="10"/>
      <c r="AZ3768" s="10"/>
    </row>
    <row r="3769" spans="28:52">
      <c r="AB3769" s="9">
        <v>1.0092733937174749</v>
      </c>
      <c r="AC3769" s="9">
        <v>1.0553729884890068</v>
      </c>
      <c r="AD3769" s="9">
        <v>1.0430646052402432</v>
      </c>
      <c r="AE3769" s="10"/>
      <c r="AF3769" s="10"/>
      <c r="AG3769" s="10"/>
      <c r="AH3769" s="10"/>
      <c r="AI3769" s="10"/>
      <c r="AJ3769" s="10"/>
      <c r="AK3769" s="10"/>
      <c r="AL3769" s="10"/>
      <c r="AM3769" s="10"/>
      <c r="AN3769" s="10"/>
      <c r="AO3769" s="10"/>
      <c r="AP3769" s="10"/>
      <c r="AQ3769" s="10"/>
      <c r="AR3769" s="10"/>
      <c r="AS3769" s="10"/>
      <c r="AT3769" s="10"/>
      <c r="AU3769" s="10"/>
      <c r="AV3769" s="10"/>
      <c r="AW3769" s="10"/>
      <c r="AX3769" s="10"/>
      <c r="AY3769" s="10"/>
      <c r="AZ3769" s="10"/>
    </row>
    <row r="3770" spans="28:52">
      <c r="AB3770" s="9">
        <v>1.0166146242772289</v>
      </c>
      <c r="AC3770" s="9">
        <v>1.0990662418390507</v>
      </c>
      <c r="AD3770" s="9">
        <v>1.0416039966394628</v>
      </c>
      <c r="AE3770" s="10"/>
      <c r="AF3770" s="10"/>
      <c r="AG3770" s="10"/>
      <c r="AH3770" s="10"/>
      <c r="AI3770" s="10"/>
      <c r="AJ3770" s="10"/>
      <c r="AK3770" s="10"/>
      <c r="AL3770" s="10"/>
      <c r="AM3770" s="10"/>
      <c r="AN3770" s="10"/>
      <c r="AO3770" s="10"/>
      <c r="AP3770" s="10"/>
      <c r="AQ3770" s="10"/>
      <c r="AR3770" s="10"/>
      <c r="AS3770" s="10"/>
      <c r="AT3770" s="10"/>
      <c r="AU3770" s="10"/>
      <c r="AV3770" s="10"/>
      <c r="AW3770" s="10"/>
      <c r="AX3770" s="10"/>
      <c r="AY3770" s="10"/>
      <c r="AZ3770" s="10"/>
    </row>
    <row r="3771" spans="28:52">
      <c r="AB3771" s="9">
        <v>1.0174053611230387</v>
      </c>
      <c r="AC3771" s="9">
        <v>1.038880303598734</v>
      </c>
      <c r="AD3771" s="9">
        <v>1.0266682148023469</v>
      </c>
      <c r="AE3771" s="10"/>
      <c r="AF3771" s="10"/>
      <c r="AG3771" s="10"/>
      <c r="AH3771" s="10"/>
      <c r="AI3771" s="10"/>
      <c r="AJ3771" s="10"/>
      <c r="AK3771" s="10"/>
      <c r="AL3771" s="10"/>
      <c r="AM3771" s="10"/>
      <c r="AN3771" s="10"/>
      <c r="AO3771" s="10"/>
      <c r="AP3771" s="10"/>
      <c r="AQ3771" s="10"/>
      <c r="AR3771" s="10"/>
      <c r="AS3771" s="10"/>
      <c r="AT3771" s="10"/>
      <c r="AU3771" s="10"/>
      <c r="AV3771" s="10"/>
      <c r="AW3771" s="10"/>
      <c r="AX3771" s="10"/>
      <c r="AY3771" s="10"/>
      <c r="AZ3771" s="10"/>
    </row>
    <row r="3772" spans="28:52">
      <c r="AB3772" s="9">
        <v>1.031823876695275</v>
      </c>
      <c r="AC3772" s="9">
        <v>1.1637348132877061</v>
      </c>
      <c r="AD3772" s="9">
        <v>1.0229467379540371</v>
      </c>
      <c r="AE3772" s="10"/>
      <c r="AF3772" s="10"/>
      <c r="AG3772" s="10"/>
      <c r="AH3772" s="10"/>
      <c r="AI3772" s="10"/>
      <c r="AJ3772" s="10"/>
      <c r="AK3772" s="10"/>
      <c r="AL3772" s="10"/>
      <c r="AM3772" s="10"/>
      <c r="AN3772" s="10"/>
      <c r="AO3772" s="10"/>
      <c r="AP3772" s="10"/>
      <c r="AQ3772" s="10"/>
      <c r="AR3772" s="10"/>
      <c r="AS3772" s="10"/>
      <c r="AT3772" s="10"/>
      <c r="AU3772" s="10"/>
      <c r="AV3772" s="10"/>
      <c r="AW3772" s="10"/>
      <c r="AX3772" s="10"/>
      <c r="AY3772" s="10"/>
      <c r="AZ3772" s="10"/>
    </row>
    <row r="3773" spans="28:52">
      <c r="AB3773" s="9">
        <v>1.0348232234085613</v>
      </c>
      <c r="AC3773" s="9">
        <v>1.1579322560840912</v>
      </c>
      <c r="AD3773" s="9">
        <v>1.0219087873711039</v>
      </c>
      <c r="AE3773" s="10"/>
      <c r="AF3773" s="10"/>
      <c r="AG3773" s="10"/>
      <c r="AH3773" s="10"/>
      <c r="AI3773" s="10"/>
      <c r="AJ3773" s="10"/>
      <c r="AK3773" s="10"/>
      <c r="AL3773" s="10"/>
      <c r="AM3773" s="10"/>
      <c r="AN3773" s="10"/>
      <c r="AO3773" s="10"/>
      <c r="AP3773" s="10"/>
      <c r="AQ3773" s="10"/>
      <c r="AR3773" s="10"/>
      <c r="AS3773" s="10"/>
      <c r="AT3773" s="10"/>
      <c r="AU3773" s="10"/>
      <c r="AV3773" s="10"/>
      <c r="AW3773" s="10"/>
      <c r="AX3773" s="10"/>
      <c r="AY3773" s="10"/>
      <c r="AZ3773" s="10"/>
    </row>
    <row r="3774" spans="28:52">
      <c r="AB3774" s="9">
        <v>1.0337361332355839</v>
      </c>
      <c r="AC3774" s="9">
        <v>1.0801911581160086</v>
      </c>
      <c r="AD3774" s="9">
        <v>1.0240344108554327</v>
      </c>
      <c r="AE3774" s="10"/>
      <c r="AF3774" s="10"/>
      <c r="AG3774" s="10"/>
      <c r="AH3774" s="10"/>
      <c r="AI3774" s="10"/>
      <c r="AJ3774" s="10"/>
      <c r="AK3774" s="10"/>
      <c r="AL3774" s="10"/>
      <c r="AM3774" s="10"/>
      <c r="AN3774" s="10"/>
      <c r="AO3774" s="10"/>
      <c r="AP3774" s="10"/>
      <c r="AQ3774" s="10"/>
      <c r="AR3774" s="10"/>
      <c r="AS3774" s="10"/>
      <c r="AT3774" s="10"/>
      <c r="AU3774" s="10"/>
      <c r="AV3774" s="10"/>
      <c r="AW3774" s="10"/>
      <c r="AX3774" s="10"/>
      <c r="AY3774" s="10"/>
      <c r="AZ3774" s="10"/>
    </row>
    <row r="3775" spans="28:52">
      <c r="AB3775" s="9">
        <v>1.0293894334073543</v>
      </c>
      <c r="AC3775" s="9">
        <v>1.0712157965632487</v>
      </c>
      <c r="AD3775" s="9">
        <v>1.0155150473672621</v>
      </c>
      <c r="AE3775" s="10"/>
      <c r="AF3775" s="10"/>
      <c r="AG3775" s="10"/>
      <c r="AH3775" s="10"/>
      <c r="AI3775" s="10"/>
      <c r="AJ3775" s="10"/>
      <c r="AK3775" s="10"/>
      <c r="AL3775" s="10"/>
      <c r="AM3775" s="10"/>
      <c r="AN3775" s="10"/>
      <c r="AO3775" s="10"/>
      <c r="AP3775" s="10"/>
      <c r="AQ3775" s="10"/>
      <c r="AR3775" s="10"/>
      <c r="AS3775" s="10"/>
      <c r="AT3775" s="10"/>
      <c r="AU3775" s="10"/>
      <c r="AV3775" s="10"/>
      <c r="AW3775" s="10"/>
      <c r="AX3775" s="10"/>
      <c r="AY3775" s="10"/>
      <c r="AZ3775" s="10"/>
    </row>
    <row r="3776" spans="28:52">
      <c r="AB3776" s="9">
        <v>1.0361928929266735</v>
      </c>
      <c r="AC3776" s="9">
        <v>1.317244537395857</v>
      </c>
      <c r="AD3776" s="9">
        <v>1.0074784633022844</v>
      </c>
      <c r="AE3776" s="10"/>
      <c r="AF3776" s="10"/>
      <c r="AG3776" s="10"/>
      <c r="AH3776" s="10"/>
      <c r="AI3776" s="10"/>
      <c r="AJ3776" s="10"/>
      <c r="AK3776" s="10"/>
      <c r="AL3776" s="10"/>
      <c r="AM3776" s="10"/>
      <c r="AN3776" s="10"/>
      <c r="AO3776" s="10"/>
      <c r="AP3776" s="10"/>
      <c r="AQ3776" s="10"/>
      <c r="AR3776" s="10"/>
      <c r="AS3776" s="10"/>
      <c r="AT3776" s="10"/>
      <c r="AU3776" s="10"/>
      <c r="AV3776" s="10"/>
      <c r="AW3776" s="10"/>
      <c r="AX3776" s="10"/>
      <c r="AY3776" s="10"/>
      <c r="AZ3776" s="10"/>
    </row>
    <row r="3777" spans="28:52">
      <c r="AB3777" s="9">
        <v>1.0418799339201799</v>
      </c>
      <c r="AC3777" s="9">
        <v>1.5235286807296622</v>
      </c>
      <c r="AD3777" s="9">
        <v>0.99249615248527923</v>
      </c>
      <c r="AE3777" s="10"/>
      <c r="AF3777" s="10"/>
      <c r="AG3777" s="10"/>
      <c r="AH3777" s="10"/>
      <c r="AI3777" s="10"/>
      <c r="AJ3777" s="10"/>
      <c r="AK3777" s="10"/>
      <c r="AL3777" s="10"/>
      <c r="AM3777" s="10"/>
      <c r="AN3777" s="10"/>
      <c r="AO3777" s="10"/>
      <c r="AP3777" s="10"/>
      <c r="AQ3777" s="10"/>
      <c r="AR3777" s="10"/>
      <c r="AS3777" s="10"/>
      <c r="AT3777" s="10"/>
      <c r="AU3777" s="10"/>
      <c r="AV3777" s="10"/>
      <c r="AW3777" s="10"/>
      <c r="AX3777" s="10"/>
      <c r="AY3777" s="10"/>
      <c r="AZ3777" s="10"/>
    </row>
    <row r="3778" spans="28:52">
      <c r="AB3778" s="9">
        <v>1.0549856094872865</v>
      </c>
      <c r="AC3778" s="9">
        <v>1.4700150565421211</v>
      </c>
      <c r="AD3778" s="9">
        <v>0.98466822569424128</v>
      </c>
      <c r="AE3778" s="10"/>
      <c r="AF3778" s="10"/>
      <c r="AG3778" s="10"/>
      <c r="AH3778" s="10"/>
      <c r="AI3778" s="10"/>
      <c r="AJ3778" s="10"/>
      <c r="AK3778" s="10"/>
      <c r="AL3778" s="10"/>
      <c r="AM3778" s="10"/>
      <c r="AN3778" s="10"/>
      <c r="AO3778" s="10"/>
      <c r="AP3778" s="10"/>
      <c r="AQ3778" s="10"/>
      <c r="AR3778" s="10"/>
      <c r="AS3778" s="10"/>
      <c r="AT3778" s="10"/>
      <c r="AU3778" s="10"/>
      <c r="AV3778" s="10"/>
      <c r="AW3778" s="10"/>
      <c r="AX3778" s="10"/>
      <c r="AY3778" s="10"/>
      <c r="AZ3778" s="10"/>
    </row>
    <row r="3779" spans="28:52">
      <c r="AB3779" s="9">
        <v>1.0606946848696908</v>
      </c>
      <c r="AC3779" s="9">
        <v>1.6099932886789228</v>
      </c>
      <c r="AD3779" s="9">
        <v>0.98485190558355029</v>
      </c>
      <c r="AE3779" s="10"/>
      <c r="AF3779" s="10"/>
      <c r="AG3779" s="10"/>
      <c r="AH3779" s="10"/>
      <c r="AI3779" s="10"/>
      <c r="AJ3779" s="10"/>
      <c r="AK3779" s="10"/>
      <c r="AL3779" s="10"/>
      <c r="AM3779" s="10"/>
      <c r="AN3779" s="10"/>
      <c r="AO3779" s="10"/>
      <c r="AP3779" s="10"/>
      <c r="AQ3779" s="10"/>
      <c r="AR3779" s="10"/>
      <c r="AS3779" s="10"/>
      <c r="AT3779" s="10"/>
      <c r="AU3779" s="10"/>
      <c r="AV3779" s="10"/>
      <c r="AW3779" s="10"/>
      <c r="AX3779" s="10"/>
      <c r="AY3779" s="10"/>
      <c r="AZ3779" s="10"/>
    </row>
    <row r="3780" spans="28:52">
      <c r="AB3780" s="9">
        <v>1.057818147949976</v>
      </c>
      <c r="AC3780" s="9">
        <v>1.2961105524207628</v>
      </c>
      <c r="AD3780" s="9">
        <v>0.97686553635715312</v>
      </c>
      <c r="AE3780" s="10"/>
      <c r="AF3780" s="10"/>
      <c r="AG3780" s="10"/>
      <c r="AH3780" s="10"/>
      <c r="AI3780" s="10"/>
      <c r="AJ3780" s="10"/>
      <c r="AK3780" s="10"/>
      <c r="AL3780" s="10"/>
      <c r="AM3780" s="10"/>
      <c r="AN3780" s="10"/>
      <c r="AO3780" s="10"/>
      <c r="AP3780" s="10"/>
      <c r="AQ3780" s="10"/>
      <c r="AR3780" s="10"/>
      <c r="AS3780" s="10"/>
      <c r="AT3780" s="10"/>
      <c r="AU3780" s="10"/>
      <c r="AV3780" s="10"/>
      <c r="AW3780" s="10"/>
      <c r="AX3780" s="10"/>
      <c r="AY3780" s="10"/>
      <c r="AZ3780" s="10"/>
    </row>
    <row r="3781" spans="28:52">
      <c r="AB3781" s="9">
        <v>1.0642554280764465</v>
      </c>
      <c r="AC3781" s="9">
        <v>1.5625591482907206</v>
      </c>
      <c r="AD3781" s="9">
        <v>0.96712736211659167</v>
      </c>
      <c r="AE3781" s="10"/>
      <c r="AF3781" s="10"/>
      <c r="AG3781" s="10"/>
      <c r="AH3781" s="10"/>
      <c r="AI3781" s="10"/>
      <c r="AJ3781" s="10"/>
      <c r="AK3781" s="10"/>
      <c r="AL3781" s="10"/>
      <c r="AM3781" s="10"/>
      <c r="AN3781" s="10"/>
      <c r="AO3781" s="10"/>
      <c r="AP3781" s="10"/>
      <c r="AQ3781" s="10"/>
      <c r="AR3781" s="10"/>
      <c r="AS3781" s="10"/>
      <c r="AT3781" s="10"/>
      <c r="AU3781" s="10"/>
      <c r="AV3781" s="10"/>
      <c r="AW3781" s="10"/>
      <c r="AX3781" s="10"/>
      <c r="AY3781" s="10"/>
      <c r="AZ3781" s="10"/>
    </row>
    <row r="3782" spans="28:52">
      <c r="AB3782" s="9">
        <v>1.0726848437448886</v>
      </c>
      <c r="AC3782" s="9">
        <v>1.4118227269406203</v>
      </c>
      <c r="AD3782" s="9">
        <v>0.96736515321335703</v>
      </c>
      <c r="AE3782" s="10"/>
      <c r="AF3782" s="10"/>
      <c r="AG3782" s="10"/>
      <c r="AH3782" s="10"/>
      <c r="AI3782" s="10"/>
      <c r="AJ3782" s="10"/>
      <c r="AK3782" s="10"/>
      <c r="AL3782" s="10"/>
      <c r="AM3782" s="10"/>
      <c r="AN3782" s="10"/>
      <c r="AO3782" s="10"/>
      <c r="AP3782" s="10"/>
      <c r="AQ3782" s="10"/>
      <c r="AR3782" s="10"/>
      <c r="AS3782" s="10"/>
      <c r="AT3782" s="10"/>
      <c r="AU3782" s="10"/>
      <c r="AV3782" s="10"/>
      <c r="AW3782" s="10"/>
      <c r="AX3782" s="10"/>
      <c r="AY3782" s="10"/>
      <c r="AZ3782" s="10"/>
    </row>
    <row r="3783" spans="28:52">
      <c r="AB3783" s="9">
        <v>1.0697062619074296</v>
      </c>
      <c r="AC3783" s="9">
        <v>1.7106508510496024</v>
      </c>
      <c r="AD3783" s="9">
        <v>0.96594700706309455</v>
      </c>
      <c r="AE3783" s="10"/>
      <c r="AF3783" s="10"/>
      <c r="AG3783" s="10"/>
      <c r="AH3783" s="10"/>
      <c r="AI3783" s="10"/>
      <c r="AJ3783" s="10"/>
      <c r="AK3783" s="10"/>
      <c r="AL3783" s="10"/>
      <c r="AM3783" s="10"/>
      <c r="AN3783" s="10"/>
      <c r="AO3783" s="10"/>
      <c r="AP3783" s="10"/>
      <c r="AQ3783" s="10"/>
      <c r="AR3783" s="10"/>
      <c r="AS3783" s="10"/>
      <c r="AT3783" s="10"/>
      <c r="AU3783" s="10"/>
      <c r="AV3783" s="10"/>
      <c r="AW3783" s="10"/>
      <c r="AX3783" s="10"/>
      <c r="AY3783" s="10"/>
      <c r="AZ3783" s="10"/>
    </row>
    <row r="3784" spans="28:52">
      <c r="AB3784" s="9">
        <v>1.0686554227963156</v>
      </c>
      <c r="AC3784" s="9">
        <v>1.261390807310641</v>
      </c>
      <c r="AD3784" s="9">
        <v>0.96965087521990301</v>
      </c>
      <c r="AE3784" s="10"/>
      <c r="AF3784" s="10"/>
      <c r="AG3784" s="10"/>
      <c r="AH3784" s="10"/>
      <c r="AI3784" s="10"/>
      <c r="AJ3784" s="10"/>
      <c r="AK3784" s="10"/>
      <c r="AL3784" s="10"/>
      <c r="AM3784" s="10"/>
      <c r="AN3784" s="10"/>
      <c r="AO3784" s="10"/>
      <c r="AP3784" s="10"/>
      <c r="AQ3784" s="10"/>
      <c r="AR3784" s="10"/>
      <c r="AS3784" s="10"/>
      <c r="AT3784" s="10"/>
      <c r="AU3784" s="10"/>
      <c r="AV3784" s="10"/>
      <c r="AW3784" s="10"/>
      <c r="AX3784" s="10"/>
      <c r="AY3784" s="10"/>
      <c r="AZ3784" s="10"/>
    </row>
    <row r="3785" spans="28:52">
      <c r="AB3785" s="9">
        <v>1.0617317117714979</v>
      </c>
      <c r="AC3785" s="9">
        <v>1.5037866642236573</v>
      </c>
      <c r="AD3785" s="9">
        <v>0.95378416455339565</v>
      </c>
      <c r="AE3785" s="10"/>
      <c r="AF3785" s="10"/>
      <c r="AG3785" s="10"/>
      <c r="AH3785" s="10"/>
      <c r="AI3785" s="10"/>
      <c r="AJ3785" s="10"/>
      <c r="AK3785" s="10"/>
      <c r="AL3785" s="10"/>
      <c r="AM3785" s="10"/>
      <c r="AN3785" s="10"/>
      <c r="AO3785" s="10"/>
      <c r="AP3785" s="10"/>
      <c r="AQ3785" s="10"/>
      <c r="AR3785" s="10"/>
      <c r="AS3785" s="10"/>
      <c r="AT3785" s="10"/>
      <c r="AU3785" s="10"/>
      <c r="AV3785" s="10"/>
      <c r="AW3785" s="10"/>
      <c r="AX3785" s="10"/>
      <c r="AY3785" s="10"/>
      <c r="AZ3785" s="10"/>
    </row>
    <row r="3786" spans="28:52">
      <c r="AB3786" s="9">
        <v>1.0761662746232077</v>
      </c>
      <c r="AC3786" s="9">
        <v>1.3785537291694252</v>
      </c>
      <c r="AD3786" s="9">
        <v>0.95673924954562706</v>
      </c>
      <c r="AE3786" s="10"/>
      <c r="AF3786" s="10"/>
      <c r="AG3786" s="10"/>
      <c r="AH3786" s="10"/>
      <c r="AI3786" s="10"/>
      <c r="AJ3786" s="10"/>
      <c r="AK3786" s="10"/>
      <c r="AL3786" s="10"/>
      <c r="AM3786" s="10"/>
      <c r="AN3786" s="10"/>
      <c r="AO3786" s="10"/>
      <c r="AP3786" s="10"/>
      <c r="AQ3786" s="10"/>
      <c r="AR3786" s="10"/>
      <c r="AS3786" s="10"/>
      <c r="AT3786" s="10"/>
      <c r="AU3786" s="10"/>
      <c r="AV3786" s="10"/>
      <c r="AW3786" s="10"/>
      <c r="AX3786" s="10"/>
      <c r="AY3786" s="10"/>
      <c r="AZ3786" s="10"/>
    </row>
    <row r="3787" spans="28:52">
      <c r="AB3787" s="9">
        <v>1.0695668300875518</v>
      </c>
      <c r="AC3787" s="9">
        <v>1.9590370272613691</v>
      </c>
      <c r="AD3787" s="9">
        <v>0.95073004293221897</v>
      </c>
      <c r="AE3787" s="10"/>
      <c r="AF3787" s="10"/>
      <c r="AG3787" s="10"/>
      <c r="AH3787" s="10"/>
      <c r="AI3787" s="10"/>
      <c r="AJ3787" s="10"/>
      <c r="AK3787" s="10"/>
      <c r="AL3787" s="10"/>
      <c r="AM3787" s="10"/>
      <c r="AN3787" s="10"/>
      <c r="AO3787" s="10"/>
      <c r="AP3787" s="10"/>
      <c r="AQ3787" s="10"/>
      <c r="AR3787" s="10"/>
      <c r="AS3787" s="10"/>
      <c r="AT3787" s="10"/>
      <c r="AU3787" s="10"/>
      <c r="AV3787" s="10"/>
      <c r="AW3787" s="10"/>
      <c r="AX3787" s="10"/>
      <c r="AY3787" s="10"/>
      <c r="AZ3787" s="10"/>
    </row>
    <row r="3788" spans="28:52">
      <c r="AB3788" s="9">
        <v>1.0730525334712007</v>
      </c>
      <c r="AC3788" s="9">
        <v>1.4123582569670716</v>
      </c>
      <c r="AD3788" s="9">
        <v>0.94557536529807218</v>
      </c>
      <c r="AE3788" s="10"/>
      <c r="AF3788" s="10"/>
      <c r="AG3788" s="10"/>
      <c r="AH3788" s="10"/>
      <c r="AI3788" s="10"/>
      <c r="AJ3788" s="10"/>
      <c r="AK3788" s="10"/>
      <c r="AL3788" s="10"/>
      <c r="AM3788" s="10"/>
      <c r="AN3788" s="10"/>
      <c r="AO3788" s="10"/>
      <c r="AP3788" s="10"/>
      <c r="AQ3788" s="10"/>
      <c r="AR3788" s="10"/>
      <c r="AS3788" s="10"/>
      <c r="AT3788" s="10"/>
      <c r="AU3788" s="10"/>
      <c r="AV3788" s="10"/>
      <c r="AW3788" s="10"/>
      <c r="AX3788" s="10"/>
      <c r="AY3788" s="10"/>
      <c r="AZ3788" s="10"/>
    </row>
    <row r="3789" spans="28:52">
      <c r="AB3789" s="9">
        <v>1.0755568048642725</v>
      </c>
      <c r="AC3789" s="9">
        <v>1.5045103833856142</v>
      </c>
      <c r="AD3789" s="9">
        <v>0.93842957484911693</v>
      </c>
      <c r="AE3789" s="10"/>
      <c r="AF3789" s="10"/>
      <c r="AG3789" s="10"/>
      <c r="AH3789" s="10"/>
      <c r="AI3789" s="10"/>
      <c r="AJ3789" s="10"/>
      <c r="AK3789" s="10"/>
      <c r="AL3789" s="10"/>
      <c r="AM3789" s="10"/>
      <c r="AN3789" s="10"/>
      <c r="AO3789" s="10"/>
      <c r="AP3789" s="10"/>
      <c r="AQ3789" s="10"/>
      <c r="AR3789" s="10"/>
      <c r="AS3789" s="10"/>
      <c r="AT3789" s="10"/>
      <c r="AU3789" s="10"/>
      <c r="AV3789" s="10"/>
      <c r="AW3789" s="10"/>
      <c r="AX3789" s="10"/>
      <c r="AY3789" s="10"/>
      <c r="AZ3789" s="10"/>
    </row>
    <row r="3790" spans="28:52">
      <c r="AB3790" s="9">
        <v>1.0801112257881469</v>
      </c>
      <c r="AC3790" s="9">
        <v>1.5939720700651792</v>
      </c>
      <c r="AD3790" s="9">
        <v>0.92347472580135714</v>
      </c>
      <c r="AE3790" s="10"/>
      <c r="AF3790" s="10"/>
      <c r="AG3790" s="10"/>
      <c r="AH3790" s="10"/>
      <c r="AI3790" s="10"/>
      <c r="AJ3790" s="10"/>
      <c r="AK3790" s="10"/>
      <c r="AL3790" s="10"/>
      <c r="AM3790" s="10"/>
      <c r="AN3790" s="10"/>
      <c r="AO3790" s="10"/>
      <c r="AP3790" s="10"/>
      <c r="AQ3790" s="10"/>
      <c r="AR3790" s="10"/>
      <c r="AS3790" s="10"/>
      <c r="AT3790" s="10"/>
      <c r="AU3790" s="10"/>
      <c r="AV3790" s="10"/>
      <c r="AW3790" s="10"/>
      <c r="AX3790" s="10"/>
      <c r="AY3790" s="10"/>
      <c r="AZ3790" s="10"/>
    </row>
    <row r="3791" spans="28:52">
      <c r="AB3791" s="9">
        <v>1.0932758853350515</v>
      </c>
      <c r="AC3791" s="9">
        <v>1.7711657384245327</v>
      </c>
      <c r="AD3791" s="9">
        <v>0.91780390315910587</v>
      </c>
      <c r="AE3791" s="10"/>
      <c r="AF3791" s="10"/>
      <c r="AG3791" s="10"/>
      <c r="AH3791" s="10"/>
      <c r="AI3791" s="10"/>
      <c r="AJ3791" s="10"/>
      <c r="AK3791" s="10"/>
      <c r="AL3791" s="10"/>
      <c r="AM3791" s="10"/>
      <c r="AN3791" s="10"/>
      <c r="AO3791" s="10"/>
      <c r="AP3791" s="10"/>
      <c r="AQ3791" s="10"/>
      <c r="AR3791" s="10"/>
      <c r="AS3791" s="10"/>
      <c r="AT3791" s="10"/>
      <c r="AU3791" s="10"/>
      <c r="AV3791" s="10"/>
      <c r="AW3791" s="10"/>
      <c r="AX3791" s="10"/>
      <c r="AY3791" s="10"/>
      <c r="AZ3791" s="10"/>
    </row>
    <row r="3792" spans="28:52">
      <c r="AB3792" s="9">
        <v>1.0946486313401917</v>
      </c>
      <c r="AC3792" s="9">
        <v>2.0016588491019327</v>
      </c>
      <c r="AD3792" s="9">
        <v>0.90210338437660964</v>
      </c>
      <c r="AE3792" s="10"/>
      <c r="AF3792" s="10"/>
      <c r="AG3792" s="10"/>
      <c r="AH3792" s="10"/>
      <c r="AI3792" s="10"/>
      <c r="AJ3792" s="10"/>
      <c r="AK3792" s="10"/>
      <c r="AL3792" s="10"/>
      <c r="AM3792" s="10"/>
      <c r="AN3792" s="10"/>
      <c r="AO3792" s="10"/>
      <c r="AP3792" s="10"/>
      <c r="AQ3792" s="10"/>
      <c r="AR3792" s="10"/>
      <c r="AS3792" s="10"/>
      <c r="AT3792" s="10"/>
      <c r="AU3792" s="10"/>
      <c r="AV3792" s="10"/>
      <c r="AW3792" s="10"/>
      <c r="AX3792" s="10"/>
      <c r="AY3792" s="10"/>
      <c r="AZ3792" s="10"/>
    </row>
    <row r="3793" spans="28:52">
      <c r="AB3793" s="9">
        <v>1.1069349141731302</v>
      </c>
      <c r="AC3793" s="9">
        <v>1.6016453753441968</v>
      </c>
      <c r="AD3793" s="9">
        <v>0.90927670274762029</v>
      </c>
      <c r="AE3793" s="10"/>
      <c r="AF3793" s="10"/>
      <c r="AG3793" s="10"/>
      <c r="AH3793" s="10"/>
      <c r="AI3793" s="10"/>
      <c r="AJ3793" s="10"/>
      <c r="AK3793" s="10"/>
      <c r="AL3793" s="10"/>
      <c r="AM3793" s="10"/>
      <c r="AN3793" s="10"/>
      <c r="AO3793" s="10"/>
      <c r="AP3793" s="10"/>
      <c r="AQ3793" s="10"/>
      <c r="AR3793" s="10"/>
      <c r="AS3793" s="10"/>
      <c r="AT3793" s="10"/>
      <c r="AU3793" s="10"/>
      <c r="AV3793" s="10"/>
      <c r="AW3793" s="10"/>
      <c r="AX3793" s="10"/>
      <c r="AY3793" s="10"/>
      <c r="AZ3793" s="10"/>
    </row>
    <row r="3794" spans="28:52">
      <c r="AB3794" s="9">
        <v>1.0913742772116128</v>
      </c>
      <c r="AC3794" s="9">
        <v>1.7272181204409087</v>
      </c>
      <c r="AD3794" s="9">
        <v>0.91421462419672594</v>
      </c>
      <c r="AE3794" s="10"/>
      <c r="AF3794" s="10"/>
      <c r="AG3794" s="10"/>
      <c r="AH3794" s="10"/>
      <c r="AI3794" s="10"/>
      <c r="AJ3794" s="10"/>
      <c r="AK3794" s="10"/>
      <c r="AL3794" s="10"/>
      <c r="AM3794" s="10"/>
      <c r="AN3794" s="10"/>
      <c r="AO3794" s="10"/>
      <c r="AP3794" s="10"/>
      <c r="AQ3794" s="10"/>
      <c r="AR3794" s="10"/>
      <c r="AS3794" s="10"/>
      <c r="AT3794" s="10"/>
      <c r="AU3794" s="10"/>
      <c r="AV3794" s="10"/>
      <c r="AW3794" s="10"/>
      <c r="AX3794" s="10"/>
      <c r="AY3794" s="10"/>
      <c r="AZ3794" s="10"/>
    </row>
    <row r="3795" spans="28:52">
      <c r="AB3795" s="9">
        <v>1.0793794870992319</v>
      </c>
      <c r="AC3795" s="9">
        <v>1.7971216104918089</v>
      </c>
      <c r="AD3795" s="9">
        <v>0.90725843414001328</v>
      </c>
      <c r="AE3795" s="10"/>
      <c r="AF3795" s="10"/>
      <c r="AG3795" s="10"/>
      <c r="AH3795" s="10"/>
      <c r="AI3795" s="10"/>
      <c r="AJ3795" s="10"/>
      <c r="AK3795" s="10"/>
      <c r="AL3795" s="10"/>
      <c r="AM3795" s="10"/>
      <c r="AN3795" s="10"/>
      <c r="AO3795" s="10"/>
      <c r="AP3795" s="10"/>
      <c r="AQ3795" s="10"/>
      <c r="AR3795" s="10"/>
      <c r="AS3795" s="10"/>
      <c r="AT3795" s="10"/>
      <c r="AU3795" s="10"/>
      <c r="AV3795" s="10"/>
      <c r="AW3795" s="10"/>
      <c r="AX3795" s="10"/>
      <c r="AY3795" s="10"/>
      <c r="AZ3795" s="10"/>
    </row>
    <row r="3796" spans="28:52">
      <c r="AB3796" s="9">
        <v>1.0822424268316675</v>
      </c>
      <c r="AC3796" s="9">
        <v>1.3162196901234207</v>
      </c>
      <c r="AD3796" s="9">
        <v>0.91495334498334946</v>
      </c>
      <c r="AE3796" s="10"/>
      <c r="AF3796" s="10"/>
      <c r="AG3796" s="10"/>
      <c r="AH3796" s="10"/>
      <c r="AI3796" s="10"/>
      <c r="AJ3796" s="10"/>
      <c r="AK3796" s="10"/>
      <c r="AL3796" s="10"/>
      <c r="AM3796" s="10"/>
      <c r="AN3796" s="10"/>
      <c r="AO3796" s="10"/>
      <c r="AP3796" s="10"/>
      <c r="AQ3796" s="10"/>
      <c r="AR3796" s="10"/>
      <c r="AS3796" s="10"/>
      <c r="AT3796" s="10"/>
      <c r="AU3796" s="10"/>
      <c r="AV3796" s="10"/>
      <c r="AW3796" s="10"/>
      <c r="AX3796" s="10"/>
      <c r="AY3796" s="10"/>
      <c r="AZ3796" s="10"/>
    </row>
    <row r="3797" spans="28:52">
      <c r="AB3797" s="9">
        <v>1.0680250756469341</v>
      </c>
      <c r="AC3797" s="9">
        <v>1.245506970970409</v>
      </c>
      <c r="AD3797" s="9">
        <v>0.92547356246559898</v>
      </c>
      <c r="AE3797" s="10"/>
      <c r="AF3797" s="10"/>
      <c r="AG3797" s="10"/>
      <c r="AH3797" s="10"/>
      <c r="AI3797" s="10"/>
      <c r="AJ3797" s="10"/>
      <c r="AK3797" s="10"/>
      <c r="AL3797" s="10"/>
      <c r="AM3797" s="10"/>
      <c r="AN3797" s="10"/>
      <c r="AO3797" s="10"/>
      <c r="AP3797" s="10"/>
      <c r="AQ3797" s="10"/>
      <c r="AR3797" s="10"/>
      <c r="AS3797" s="10"/>
      <c r="AT3797" s="10"/>
      <c r="AU3797" s="10"/>
      <c r="AV3797" s="10"/>
      <c r="AW3797" s="10"/>
      <c r="AX3797" s="10"/>
      <c r="AY3797" s="10"/>
      <c r="AZ3797" s="10"/>
    </row>
    <row r="3798" spans="28:52">
      <c r="AB3798" s="9">
        <v>1.0513237492326049</v>
      </c>
      <c r="AC3798" s="9">
        <v>1.216780341763211</v>
      </c>
      <c r="AD3798" s="9">
        <v>0.93718652314742779</v>
      </c>
      <c r="AE3798" s="10"/>
      <c r="AF3798" s="10"/>
      <c r="AG3798" s="10"/>
      <c r="AH3798" s="10"/>
      <c r="AI3798" s="10"/>
      <c r="AJ3798" s="10"/>
      <c r="AK3798" s="10"/>
      <c r="AL3798" s="10"/>
      <c r="AM3798" s="10"/>
      <c r="AN3798" s="10"/>
      <c r="AO3798" s="10"/>
      <c r="AP3798" s="10"/>
      <c r="AQ3798" s="10"/>
      <c r="AR3798" s="10"/>
      <c r="AS3798" s="10"/>
      <c r="AT3798" s="10"/>
      <c r="AU3798" s="10"/>
      <c r="AV3798" s="10"/>
      <c r="AW3798" s="10"/>
      <c r="AX3798" s="10"/>
      <c r="AY3798" s="10"/>
      <c r="AZ3798" s="10"/>
    </row>
    <row r="3799" spans="28:52">
      <c r="AB3799" s="9">
        <v>1.0341647521183195</v>
      </c>
      <c r="AC3799" s="9">
        <v>1.2183192576482647</v>
      </c>
      <c r="AD3799" s="9">
        <v>0.92905757198078365</v>
      </c>
      <c r="AE3799" s="10"/>
      <c r="AF3799" s="10"/>
      <c r="AG3799" s="10"/>
      <c r="AH3799" s="10"/>
      <c r="AI3799" s="10"/>
      <c r="AJ3799" s="10"/>
      <c r="AK3799" s="10"/>
      <c r="AL3799" s="10"/>
      <c r="AM3799" s="10"/>
      <c r="AN3799" s="10"/>
      <c r="AO3799" s="10"/>
      <c r="AP3799" s="10"/>
      <c r="AQ3799" s="10"/>
      <c r="AR3799" s="10"/>
      <c r="AS3799" s="10"/>
      <c r="AT3799" s="10"/>
      <c r="AU3799" s="10"/>
      <c r="AV3799" s="10"/>
      <c r="AW3799" s="10"/>
      <c r="AX3799" s="10"/>
      <c r="AY3799" s="10"/>
      <c r="AZ3799" s="10"/>
    </row>
    <row r="3800" spans="28:52">
      <c r="AB3800" s="9">
        <v>1.0393843332867154</v>
      </c>
      <c r="AC3800" s="9">
        <v>1.0076744101689816</v>
      </c>
      <c r="AD3800" s="9">
        <v>0.93812411945925722</v>
      </c>
      <c r="AE3800" s="10"/>
      <c r="AF3800" s="10"/>
      <c r="AG3800" s="10"/>
      <c r="AH3800" s="10"/>
      <c r="AI3800" s="10"/>
      <c r="AJ3800" s="10"/>
      <c r="AK3800" s="10"/>
      <c r="AL3800" s="10"/>
      <c r="AM3800" s="10"/>
      <c r="AN3800" s="10"/>
      <c r="AO3800" s="10"/>
      <c r="AP3800" s="10"/>
      <c r="AQ3800" s="10"/>
      <c r="AR3800" s="10"/>
      <c r="AS3800" s="10"/>
      <c r="AT3800" s="10"/>
      <c r="AU3800" s="10"/>
      <c r="AV3800" s="10"/>
      <c r="AW3800" s="10"/>
      <c r="AX3800" s="10"/>
      <c r="AY3800" s="10"/>
      <c r="AZ3800" s="10"/>
    </row>
    <row r="3801" spans="28:52">
      <c r="AB3801" s="9">
        <v>1.0256742941279533</v>
      </c>
      <c r="AC3801" s="9">
        <v>1.0004733289430354</v>
      </c>
      <c r="AD3801" s="9">
        <v>0.93123753383798769</v>
      </c>
      <c r="AE3801" s="10"/>
      <c r="AF3801" s="10"/>
      <c r="AG3801" s="10"/>
      <c r="AH3801" s="10"/>
      <c r="AI3801" s="10"/>
      <c r="AJ3801" s="10"/>
      <c r="AK3801" s="10"/>
      <c r="AL3801" s="10"/>
      <c r="AM3801" s="10"/>
      <c r="AN3801" s="10"/>
      <c r="AO3801" s="10"/>
      <c r="AP3801" s="10"/>
      <c r="AQ3801" s="10"/>
      <c r="AR3801" s="10"/>
      <c r="AS3801" s="10"/>
      <c r="AT3801" s="10"/>
      <c r="AU3801" s="10"/>
      <c r="AV3801" s="10"/>
      <c r="AW3801" s="10"/>
      <c r="AX3801" s="10"/>
      <c r="AY3801" s="10"/>
      <c r="AZ3801" s="10"/>
    </row>
    <row r="3802" spans="28:52">
      <c r="AB3802" s="9">
        <v>1.0296789268929487</v>
      </c>
      <c r="AC3802" s="9">
        <v>0.8639984251790892</v>
      </c>
      <c r="AD3802" s="9">
        <v>0.94769042958897476</v>
      </c>
      <c r="AE3802" s="10"/>
      <c r="AF3802" s="10"/>
      <c r="AG3802" s="10"/>
      <c r="AH3802" s="10"/>
      <c r="AI3802" s="10"/>
      <c r="AJ3802" s="10"/>
      <c r="AK3802" s="10"/>
      <c r="AL3802" s="10"/>
      <c r="AM3802" s="10"/>
      <c r="AN3802" s="10"/>
      <c r="AO3802" s="10"/>
      <c r="AP3802" s="10"/>
      <c r="AQ3802" s="10"/>
      <c r="AR3802" s="10"/>
      <c r="AS3802" s="10"/>
      <c r="AT3802" s="10"/>
      <c r="AU3802" s="10"/>
      <c r="AV3802" s="10"/>
      <c r="AW3802" s="10"/>
      <c r="AX3802" s="10"/>
      <c r="AY3802" s="10"/>
      <c r="AZ3802" s="10"/>
    </row>
    <row r="3803" spans="28:52">
      <c r="AB3803" s="9">
        <v>1.0085729558898</v>
      </c>
      <c r="AC3803" s="9">
        <v>0.99197900904736847</v>
      </c>
      <c r="AD3803" s="9">
        <v>0.95929365661501076</v>
      </c>
      <c r="AE3803" s="10"/>
      <c r="AF3803" s="10"/>
      <c r="AG3803" s="10"/>
      <c r="AH3803" s="10"/>
      <c r="AI3803" s="10"/>
      <c r="AJ3803" s="10"/>
      <c r="AK3803" s="10"/>
      <c r="AL3803" s="10"/>
      <c r="AM3803" s="10"/>
      <c r="AN3803" s="10"/>
      <c r="AO3803" s="10"/>
      <c r="AP3803" s="10"/>
      <c r="AQ3803" s="10"/>
      <c r="AR3803" s="10"/>
      <c r="AS3803" s="10"/>
      <c r="AT3803" s="10"/>
      <c r="AU3803" s="10"/>
      <c r="AV3803" s="10"/>
      <c r="AW3803" s="10"/>
      <c r="AX3803" s="10"/>
      <c r="AY3803" s="10"/>
      <c r="AZ3803" s="10"/>
    </row>
    <row r="3804" spans="28:52">
      <c r="AB3804" s="9">
        <v>0.99384721967813905</v>
      </c>
      <c r="AC3804" s="9">
        <v>0.86426964566157216</v>
      </c>
      <c r="AD3804" s="9">
        <v>0.95360271397017016</v>
      </c>
      <c r="AE3804" s="10"/>
      <c r="AF3804" s="10"/>
      <c r="AG3804" s="10"/>
      <c r="AH3804" s="10"/>
      <c r="AI3804" s="10"/>
      <c r="AJ3804" s="10"/>
      <c r="AK3804" s="10"/>
      <c r="AL3804" s="10"/>
      <c r="AM3804" s="10"/>
      <c r="AN3804" s="10"/>
      <c r="AO3804" s="10"/>
      <c r="AP3804" s="10"/>
      <c r="AQ3804" s="10"/>
      <c r="AR3804" s="10"/>
      <c r="AS3804" s="10"/>
      <c r="AT3804" s="10"/>
      <c r="AU3804" s="10"/>
      <c r="AV3804" s="10"/>
      <c r="AW3804" s="10"/>
      <c r="AX3804" s="10"/>
      <c r="AY3804" s="10"/>
      <c r="AZ3804" s="10"/>
    </row>
    <row r="3805" spans="28:52">
      <c r="AB3805" s="9">
        <v>0.99768057375558705</v>
      </c>
      <c r="AC3805" s="9">
        <v>0.94989995243475789</v>
      </c>
      <c r="AD3805" s="9">
        <v>0.95452866293092797</v>
      </c>
      <c r="AE3805" s="10"/>
      <c r="AF3805" s="10"/>
      <c r="AG3805" s="10"/>
      <c r="AH3805" s="10"/>
      <c r="AI3805" s="10"/>
      <c r="AJ3805" s="10"/>
      <c r="AK3805" s="10"/>
      <c r="AL3805" s="10"/>
      <c r="AM3805" s="10"/>
      <c r="AN3805" s="10"/>
      <c r="AO3805" s="10"/>
      <c r="AP3805" s="10"/>
      <c r="AQ3805" s="10"/>
      <c r="AR3805" s="10"/>
      <c r="AS3805" s="10"/>
      <c r="AT3805" s="10"/>
      <c r="AU3805" s="10"/>
      <c r="AV3805" s="10"/>
      <c r="AW3805" s="10"/>
      <c r="AX3805" s="10"/>
      <c r="AY3805" s="10"/>
      <c r="AZ3805" s="10"/>
    </row>
    <row r="3806" spans="28:52">
      <c r="AB3806" s="9">
        <v>0.99429351899990093</v>
      </c>
      <c r="AC3806" s="9">
        <v>0.8889121976314982</v>
      </c>
      <c r="AD3806" s="9">
        <v>0.95083237032870072</v>
      </c>
      <c r="AE3806" s="10"/>
      <c r="AF3806" s="10"/>
      <c r="AG3806" s="10"/>
      <c r="AH3806" s="10"/>
      <c r="AI3806" s="10"/>
      <c r="AJ3806" s="10"/>
      <c r="AK3806" s="10"/>
      <c r="AL3806" s="10"/>
      <c r="AM3806" s="10"/>
      <c r="AN3806" s="10"/>
      <c r="AO3806" s="10"/>
      <c r="AP3806" s="10"/>
      <c r="AQ3806" s="10"/>
      <c r="AR3806" s="10"/>
      <c r="AS3806" s="10"/>
      <c r="AT3806" s="10"/>
      <c r="AU3806" s="10"/>
      <c r="AV3806" s="10"/>
      <c r="AW3806" s="10"/>
      <c r="AX3806" s="10"/>
      <c r="AY3806" s="10"/>
      <c r="AZ3806" s="10"/>
    </row>
    <row r="3807" spans="28:52">
      <c r="AB3807" s="9">
        <v>0.99584021809990897</v>
      </c>
      <c r="AC3807" s="9">
        <v>1.0730857893808357</v>
      </c>
      <c r="AD3807" s="9">
        <v>0.94957359337566571</v>
      </c>
      <c r="AE3807" s="10"/>
      <c r="AF3807" s="10"/>
      <c r="AG3807" s="10"/>
      <c r="AH3807" s="10"/>
      <c r="AI3807" s="10"/>
      <c r="AJ3807" s="10"/>
      <c r="AK3807" s="10"/>
      <c r="AL3807" s="10"/>
      <c r="AM3807" s="10"/>
      <c r="AN3807" s="10"/>
      <c r="AO3807" s="10"/>
      <c r="AP3807" s="10"/>
      <c r="AQ3807" s="10"/>
      <c r="AR3807" s="10"/>
      <c r="AS3807" s="10"/>
      <c r="AT3807" s="10"/>
      <c r="AU3807" s="10"/>
      <c r="AV3807" s="10"/>
      <c r="AW3807" s="10"/>
      <c r="AX3807" s="10"/>
      <c r="AY3807" s="10"/>
      <c r="AZ3807" s="10"/>
    </row>
    <row r="3808" spans="28:52">
      <c r="AB3808" s="9">
        <v>0.99467231547443868</v>
      </c>
      <c r="AC3808" s="9">
        <v>0.65836723731460545</v>
      </c>
      <c r="AD3808" s="9">
        <v>0.95290136484127952</v>
      </c>
      <c r="AE3808" s="10"/>
      <c r="AF3808" s="10"/>
      <c r="AG3808" s="10"/>
      <c r="AH3808" s="10"/>
      <c r="AI3808" s="10"/>
      <c r="AJ3808" s="10"/>
      <c r="AK3808" s="10"/>
      <c r="AL3808" s="10"/>
      <c r="AM3808" s="10"/>
      <c r="AN3808" s="10"/>
      <c r="AO3808" s="10"/>
      <c r="AP3808" s="10"/>
      <c r="AQ3808" s="10"/>
      <c r="AR3808" s="10"/>
      <c r="AS3808" s="10"/>
      <c r="AT3808" s="10"/>
      <c r="AU3808" s="10"/>
      <c r="AV3808" s="10"/>
      <c r="AW3808" s="10"/>
      <c r="AX3808" s="10"/>
      <c r="AY3808" s="10"/>
      <c r="AZ3808" s="10"/>
    </row>
    <row r="3809" spans="28:52">
      <c r="AB3809" s="9">
        <v>0.98914455403686863</v>
      </c>
      <c r="AC3809" s="9">
        <v>0.83951182711915118</v>
      </c>
      <c r="AD3809" s="9">
        <v>0.94851522805710586</v>
      </c>
      <c r="AE3809" s="10"/>
      <c r="AF3809" s="10"/>
      <c r="AG3809" s="10"/>
      <c r="AH3809" s="10"/>
      <c r="AI3809" s="10"/>
      <c r="AJ3809" s="10"/>
      <c r="AK3809" s="10"/>
      <c r="AL3809" s="10"/>
      <c r="AM3809" s="10"/>
      <c r="AN3809" s="10"/>
      <c r="AO3809" s="10"/>
      <c r="AP3809" s="10"/>
      <c r="AQ3809" s="10"/>
      <c r="AR3809" s="10"/>
      <c r="AS3809" s="10"/>
      <c r="AT3809" s="10"/>
      <c r="AU3809" s="10"/>
      <c r="AV3809" s="10"/>
      <c r="AW3809" s="10"/>
      <c r="AX3809" s="10"/>
      <c r="AY3809" s="10"/>
      <c r="AZ3809" s="10"/>
    </row>
    <row r="3810" spans="28:52">
      <c r="AB3810" s="9">
        <v>0.99186361383190813</v>
      </c>
      <c r="AC3810" s="9">
        <v>0.67222608843921783</v>
      </c>
      <c r="AD3810" s="9">
        <v>0.93583989976493021</v>
      </c>
      <c r="AE3810" s="10"/>
      <c r="AF3810" s="10"/>
      <c r="AG3810" s="10"/>
      <c r="AH3810" s="10"/>
      <c r="AI3810" s="10"/>
      <c r="AJ3810" s="10"/>
      <c r="AK3810" s="10"/>
      <c r="AL3810" s="10"/>
      <c r="AM3810" s="10"/>
      <c r="AN3810" s="10"/>
      <c r="AO3810" s="10"/>
      <c r="AP3810" s="10"/>
      <c r="AQ3810" s="10"/>
      <c r="AR3810" s="10"/>
      <c r="AS3810" s="10"/>
      <c r="AT3810" s="10"/>
      <c r="AU3810" s="10"/>
      <c r="AV3810" s="10"/>
      <c r="AW3810" s="10"/>
      <c r="AX3810" s="10"/>
      <c r="AY3810" s="10"/>
      <c r="AZ3810" s="10"/>
    </row>
    <row r="3811" spans="28:52">
      <c r="AB3811" s="9">
        <v>1.0029382133604905</v>
      </c>
      <c r="AC3811" s="9">
        <v>0.7154011775166127</v>
      </c>
      <c r="AD3811" s="9">
        <v>0.96873811477423799</v>
      </c>
      <c r="AE3811" s="10"/>
      <c r="AF3811" s="10"/>
      <c r="AG3811" s="10"/>
      <c r="AH3811" s="10"/>
      <c r="AI3811" s="10"/>
      <c r="AJ3811" s="10"/>
      <c r="AK3811" s="10"/>
      <c r="AL3811" s="10"/>
      <c r="AM3811" s="10"/>
      <c r="AN3811" s="10"/>
      <c r="AO3811" s="10"/>
      <c r="AP3811" s="10"/>
      <c r="AQ3811" s="10"/>
      <c r="AR3811" s="10"/>
      <c r="AS3811" s="10"/>
      <c r="AT3811" s="10"/>
      <c r="AU3811" s="10"/>
      <c r="AV3811" s="10"/>
      <c r="AW3811" s="10"/>
      <c r="AX3811" s="10"/>
      <c r="AY3811" s="10"/>
      <c r="AZ3811" s="10"/>
    </row>
    <row r="3812" spans="28:52">
      <c r="AB3812" s="9">
        <v>0.96681973526415743</v>
      </c>
      <c r="AC3812" s="9">
        <v>0.82880568515128239</v>
      </c>
      <c r="AD3812" s="9">
        <v>0.96627187319379426</v>
      </c>
      <c r="AE3812" s="10"/>
      <c r="AF3812" s="10"/>
      <c r="AG3812" s="10"/>
      <c r="AH3812" s="10"/>
      <c r="AI3812" s="10"/>
      <c r="AJ3812" s="10"/>
      <c r="AK3812" s="10"/>
      <c r="AL3812" s="10"/>
      <c r="AM3812" s="10"/>
      <c r="AN3812" s="10"/>
      <c r="AO3812" s="10"/>
      <c r="AP3812" s="10"/>
      <c r="AQ3812" s="10"/>
      <c r="AR3812" s="10"/>
      <c r="AS3812" s="10"/>
      <c r="AT3812" s="10"/>
      <c r="AU3812" s="10"/>
      <c r="AV3812" s="10"/>
      <c r="AW3812" s="10"/>
      <c r="AX3812" s="10"/>
      <c r="AY3812" s="10"/>
      <c r="AZ3812" s="10"/>
    </row>
    <row r="3813" spans="28:52">
      <c r="AB3813" s="9">
        <v>0.96796013648466994</v>
      </c>
      <c r="AC3813" s="9">
        <v>0.74387900156869435</v>
      </c>
      <c r="AD3813" s="9">
        <v>0.9830974452345016</v>
      </c>
      <c r="AE3813" s="10"/>
      <c r="AF3813" s="10"/>
      <c r="AG3813" s="10"/>
      <c r="AH3813" s="10"/>
      <c r="AI3813" s="10"/>
      <c r="AJ3813" s="10"/>
      <c r="AK3813" s="10"/>
      <c r="AL3813" s="10"/>
      <c r="AM3813" s="10"/>
      <c r="AN3813" s="10"/>
      <c r="AO3813" s="10"/>
      <c r="AP3813" s="10"/>
      <c r="AQ3813" s="10"/>
      <c r="AR3813" s="10"/>
      <c r="AS3813" s="10"/>
      <c r="AT3813" s="10"/>
      <c r="AU3813" s="10"/>
      <c r="AV3813" s="10"/>
      <c r="AW3813" s="10"/>
      <c r="AX3813" s="10"/>
      <c r="AY3813" s="10"/>
      <c r="AZ3813" s="10"/>
    </row>
    <row r="3814" spans="28:52">
      <c r="AB3814" s="9">
        <v>0.9504112454469944</v>
      </c>
      <c r="AC3814" s="9">
        <v>0.61539139892413064</v>
      </c>
      <c r="AD3814" s="9">
        <v>1.0269805316331346</v>
      </c>
      <c r="AE3814" s="10"/>
      <c r="AF3814" s="10"/>
      <c r="AG3814" s="10"/>
      <c r="AH3814" s="10"/>
      <c r="AI3814" s="10"/>
      <c r="AJ3814" s="10"/>
      <c r="AK3814" s="10"/>
      <c r="AL3814" s="10"/>
      <c r="AM3814" s="10"/>
      <c r="AN3814" s="10"/>
      <c r="AO3814" s="10"/>
      <c r="AP3814" s="10"/>
      <c r="AQ3814" s="10"/>
      <c r="AR3814" s="10"/>
      <c r="AS3814" s="10"/>
      <c r="AT3814" s="10"/>
      <c r="AU3814" s="10"/>
      <c r="AV3814" s="10"/>
      <c r="AW3814" s="10"/>
      <c r="AX3814" s="10"/>
      <c r="AY3814" s="10"/>
      <c r="AZ3814" s="10"/>
    </row>
    <row r="3815" spans="28:52">
      <c r="AB3815" s="9">
        <v>0.91027038055475307</v>
      </c>
      <c r="AC3815" s="9">
        <v>0.94812531202710282</v>
      </c>
      <c r="AD3815" s="9">
        <v>1.0102486255999181</v>
      </c>
      <c r="AE3815" s="10"/>
      <c r="AF3815" s="10"/>
      <c r="AG3815" s="10"/>
      <c r="AH3815" s="10"/>
      <c r="AI3815" s="10"/>
      <c r="AJ3815" s="10"/>
      <c r="AK3815" s="10"/>
      <c r="AL3815" s="10"/>
      <c r="AM3815" s="10"/>
      <c r="AN3815" s="10"/>
      <c r="AO3815" s="10"/>
      <c r="AP3815" s="10"/>
      <c r="AQ3815" s="10"/>
      <c r="AR3815" s="10"/>
      <c r="AS3815" s="10"/>
      <c r="AT3815" s="10"/>
      <c r="AU3815" s="10"/>
      <c r="AV3815" s="10"/>
      <c r="AW3815" s="10"/>
      <c r="AX3815" s="10"/>
      <c r="AY3815" s="10"/>
      <c r="AZ3815" s="10"/>
    </row>
    <row r="3816" spans="28:52">
      <c r="AB3816" s="9">
        <v>0.92651411233170056</v>
      </c>
      <c r="AC3816" s="9">
        <v>0.85174061407112911</v>
      </c>
      <c r="AD3816" s="9">
        <v>1.0113780440484874</v>
      </c>
      <c r="AE3816" s="10"/>
      <c r="AF3816" s="10"/>
      <c r="AG3816" s="10"/>
      <c r="AH3816" s="10"/>
      <c r="AI3816" s="10"/>
      <c r="AJ3816" s="10"/>
      <c r="AK3816" s="10"/>
      <c r="AL3816" s="10"/>
      <c r="AM3816" s="10"/>
      <c r="AN3816" s="10"/>
      <c r="AO3816" s="10"/>
      <c r="AP3816" s="10"/>
      <c r="AQ3816" s="10"/>
      <c r="AR3816" s="10"/>
      <c r="AS3816" s="10"/>
      <c r="AT3816" s="10"/>
      <c r="AU3816" s="10"/>
      <c r="AV3816" s="10"/>
      <c r="AW3816" s="10"/>
      <c r="AX3816" s="10"/>
      <c r="AY3816" s="10"/>
      <c r="AZ3816" s="10"/>
    </row>
    <row r="3817" spans="28:52">
      <c r="AB3817" s="9">
        <v>0.92641224918037879</v>
      </c>
      <c r="AC3817" s="9">
        <v>0.53750362004054442</v>
      </c>
      <c r="AD3817" s="9">
        <v>1.0284443785198847</v>
      </c>
      <c r="AE3817" s="10"/>
      <c r="AF3817" s="10"/>
      <c r="AG3817" s="10"/>
      <c r="AH3817" s="10"/>
      <c r="AI3817" s="10"/>
      <c r="AJ3817" s="10"/>
      <c r="AK3817" s="10"/>
      <c r="AL3817" s="10"/>
      <c r="AM3817" s="10"/>
      <c r="AN3817" s="10"/>
      <c r="AO3817" s="10"/>
      <c r="AP3817" s="10"/>
      <c r="AQ3817" s="10"/>
      <c r="AR3817" s="10"/>
      <c r="AS3817" s="10"/>
      <c r="AT3817" s="10"/>
      <c r="AU3817" s="10"/>
      <c r="AV3817" s="10"/>
      <c r="AW3817" s="10"/>
      <c r="AX3817" s="10"/>
      <c r="AY3817" s="10"/>
      <c r="AZ3817" s="10"/>
    </row>
    <row r="3818" spans="28:52">
      <c r="AB3818" s="9">
        <v>0.91176289391002519</v>
      </c>
      <c r="AC3818" s="9">
        <v>0.59650473238721147</v>
      </c>
      <c r="AD3818" s="9">
        <v>1.0082729505751267</v>
      </c>
      <c r="AE3818" s="10"/>
      <c r="AF3818" s="10"/>
      <c r="AG3818" s="10"/>
      <c r="AH3818" s="10"/>
      <c r="AI3818" s="10"/>
      <c r="AJ3818" s="10"/>
      <c r="AK3818" s="10"/>
      <c r="AL3818" s="10"/>
      <c r="AM3818" s="10"/>
      <c r="AN3818" s="10"/>
      <c r="AO3818" s="10"/>
      <c r="AP3818" s="10"/>
      <c r="AQ3818" s="10"/>
      <c r="AR3818" s="10"/>
      <c r="AS3818" s="10"/>
      <c r="AT3818" s="10"/>
      <c r="AU3818" s="10"/>
      <c r="AV3818" s="10"/>
      <c r="AW3818" s="10"/>
      <c r="AX3818" s="10"/>
      <c r="AY3818" s="10"/>
      <c r="AZ3818" s="10"/>
    </row>
    <row r="3819" spans="28:52">
      <c r="AB3819" s="9">
        <v>0.93111393958463051</v>
      </c>
      <c r="AC3819" s="9">
        <v>0.78353453163845366</v>
      </c>
      <c r="AD3819" s="9">
        <v>1.0152315997006098</v>
      </c>
      <c r="AE3819" s="10"/>
      <c r="AF3819" s="10"/>
      <c r="AG3819" s="10"/>
      <c r="AH3819" s="10"/>
      <c r="AI3819" s="10"/>
      <c r="AJ3819" s="10"/>
      <c r="AK3819" s="10"/>
      <c r="AL3819" s="10"/>
      <c r="AM3819" s="10"/>
      <c r="AN3819" s="10"/>
      <c r="AO3819" s="10"/>
      <c r="AP3819" s="10"/>
      <c r="AQ3819" s="10"/>
      <c r="AR3819" s="10"/>
      <c r="AS3819" s="10"/>
      <c r="AT3819" s="10"/>
      <c r="AU3819" s="10"/>
      <c r="AV3819" s="10"/>
      <c r="AW3819" s="10"/>
      <c r="AX3819" s="10"/>
      <c r="AY3819" s="10"/>
      <c r="AZ3819" s="10"/>
    </row>
    <row r="3820" spans="28:52">
      <c r="AB3820" s="9">
        <v>0.92560393503847249</v>
      </c>
      <c r="AC3820" s="9">
        <v>0.73904100285254115</v>
      </c>
      <c r="AD3820" s="9">
        <v>0.99254675878262177</v>
      </c>
      <c r="AE3820" s="10"/>
      <c r="AF3820" s="10"/>
      <c r="AG3820" s="10"/>
      <c r="AH3820" s="10"/>
      <c r="AI3820" s="10"/>
      <c r="AJ3820" s="10"/>
      <c r="AK3820" s="10"/>
      <c r="AL3820" s="10"/>
      <c r="AM3820" s="10"/>
      <c r="AN3820" s="10"/>
      <c r="AO3820" s="10"/>
      <c r="AP3820" s="10"/>
      <c r="AQ3820" s="10"/>
      <c r="AR3820" s="10"/>
      <c r="AS3820" s="10"/>
      <c r="AT3820" s="10"/>
      <c r="AU3820" s="10"/>
      <c r="AV3820" s="10"/>
      <c r="AW3820" s="10"/>
      <c r="AX3820" s="10"/>
      <c r="AY3820" s="10"/>
      <c r="AZ3820" s="10"/>
    </row>
    <row r="3821" spans="28:52">
      <c r="AB3821" s="9">
        <v>0.94736453877249438</v>
      </c>
      <c r="AC3821" s="9">
        <v>0.9464126279823909</v>
      </c>
      <c r="AD3821" s="9">
        <v>0.99130009843476574</v>
      </c>
      <c r="AE3821" s="10"/>
      <c r="AF3821" s="10"/>
      <c r="AG3821" s="10"/>
      <c r="AH3821" s="10"/>
      <c r="AI3821" s="10"/>
      <c r="AJ3821" s="10"/>
      <c r="AK3821" s="10"/>
      <c r="AL3821" s="10"/>
      <c r="AM3821" s="10"/>
      <c r="AN3821" s="10"/>
      <c r="AO3821" s="10"/>
      <c r="AP3821" s="10"/>
      <c r="AQ3821" s="10"/>
      <c r="AR3821" s="10"/>
      <c r="AS3821" s="10"/>
      <c r="AT3821" s="10"/>
      <c r="AU3821" s="10"/>
      <c r="AV3821" s="10"/>
      <c r="AW3821" s="10"/>
      <c r="AX3821" s="10"/>
      <c r="AY3821" s="10"/>
      <c r="AZ3821" s="10"/>
    </row>
    <row r="3822" spans="28:52">
      <c r="AB3822" s="9">
        <v>0.94889799493580085</v>
      </c>
      <c r="AC3822" s="9">
        <v>0.72979625351245314</v>
      </c>
      <c r="AD3822" s="9">
        <v>1.0250571772045478</v>
      </c>
      <c r="AE3822" s="10"/>
      <c r="AF3822" s="10"/>
      <c r="AG3822" s="10"/>
      <c r="AH3822" s="10"/>
      <c r="AI3822" s="10"/>
      <c r="AJ3822" s="10"/>
      <c r="AK3822" s="10"/>
      <c r="AL3822" s="10"/>
      <c r="AM3822" s="10"/>
      <c r="AN3822" s="10"/>
      <c r="AO3822" s="10"/>
      <c r="AP3822" s="10"/>
      <c r="AQ3822" s="10"/>
      <c r="AR3822" s="10"/>
      <c r="AS3822" s="10"/>
      <c r="AT3822" s="10"/>
      <c r="AU3822" s="10"/>
      <c r="AV3822" s="10"/>
      <c r="AW3822" s="10"/>
      <c r="AX3822" s="10"/>
      <c r="AY3822" s="10"/>
      <c r="AZ3822" s="10"/>
    </row>
    <row r="3823" spans="28:52">
      <c r="AB3823" s="9">
        <v>0.91836778283470577</v>
      </c>
      <c r="AC3823" s="9">
        <v>0.87401425509027464</v>
      </c>
      <c r="AD3823" s="9">
        <v>1.0358340463426987</v>
      </c>
      <c r="AE3823" s="10"/>
      <c r="AF3823" s="10"/>
      <c r="AG3823" s="10"/>
      <c r="AH3823" s="10"/>
      <c r="AI3823" s="10"/>
      <c r="AJ3823" s="10"/>
      <c r="AK3823" s="10"/>
      <c r="AL3823" s="10"/>
      <c r="AM3823" s="10"/>
      <c r="AN3823" s="10"/>
      <c r="AO3823" s="10"/>
      <c r="AP3823" s="10"/>
      <c r="AQ3823" s="10"/>
      <c r="AR3823" s="10"/>
      <c r="AS3823" s="10"/>
      <c r="AT3823" s="10"/>
      <c r="AU3823" s="10"/>
      <c r="AV3823" s="10"/>
      <c r="AW3823" s="10"/>
      <c r="AX3823" s="10"/>
      <c r="AY3823" s="10"/>
      <c r="AZ3823" s="10"/>
    </row>
    <row r="3824" spans="28:52">
      <c r="AB3824" s="9">
        <v>0.91040134172409914</v>
      </c>
      <c r="AC3824" s="9">
        <v>0.72421534866024295</v>
      </c>
      <c r="AD3824" s="9">
        <v>1.0070823959353294</v>
      </c>
      <c r="AE3824" s="10"/>
      <c r="AF3824" s="10"/>
      <c r="AG3824" s="10"/>
      <c r="AH3824" s="10"/>
      <c r="AI3824" s="10"/>
      <c r="AJ3824" s="10"/>
      <c r="AK3824" s="10"/>
      <c r="AL3824" s="10"/>
      <c r="AM3824" s="10"/>
      <c r="AN3824" s="10"/>
      <c r="AO3824" s="10"/>
      <c r="AP3824" s="10"/>
      <c r="AQ3824" s="10"/>
      <c r="AR3824" s="10"/>
      <c r="AS3824" s="10"/>
      <c r="AT3824" s="10"/>
      <c r="AU3824" s="10"/>
      <c r="AV3824" s="10"/>
      <c r="AW3824" s="10"/>
      <c r="AX3824" s="10"/>
      <c r="AY3824" s="10"/>
      <c r="AZ3824" s="10"/>
    </row>
    <row r="3825" spans="28:52">
      <c r="AB3825" s="9">
        <v>0.93795547098290288</v>
      </c>
      <c r="AC3825" s="9">
        <v>0.71738673389210295</v>
      </c>
      <c r="AD3825" s="9">
        <v>1.0126005725081404</v>
      </c>
      <c r="AE3825" s="10"/>
      <c r="AF3825" s="10"/>
      <c r="AG3825" s="10"/>
      <c r="AH3825" s="10"/>
      <c r="AI3825" s="10"/>
      <c r="AJ3825" s="10"/>
      <c r="AK3825" s="10"/>
      <c r="AL3825" s="10"/>
      <c r="AM3825" s="10"/>
      <c r="AN3825" s="10"/>
      <c r="AO3825" s="10"/>
      <c r="AP3825" s="10"/>
      <c r="AQ3825" s="10"/>
      <c r="AR3825" s="10"/>
      <c r="AS3825" s="10"/>
      <c r="AT3825" s="10"/>
      <c r="AU3825" s="10"/>
      <c r="AV3825" s="10"/>
      <c r="AW3825" s="10"/>
      <c r="AX3825" s="10"/>
      <c r="AY3825" s="10"/>
      <c r="AZ3825" s="10"/>
    </row>
    <row r="3826" spans="28:52">
      <c r="AB3826" s="9">
        <v>0.93416827633559052</v>
      </c>
      <c r="AC3826" s="9">
        <v>0.70045080782308788</v>
      </c>
      <c r="AD3826" s="9">
        <v>1.0021331211831359</v>
      </c>
      <c r="AE3826" s="10"/>
      <c r="AF3826" s="10"/>
      <c r="AG3826" s="10"/>
      <c r="AH3826" s="10"/>
      <c r="AI3826" s="10"/>
      <c r="AJ3826" s="10"/>
      <c r="AK3826" s="10"/>
      <c r="AL3826" s="10"/>
      <c r="AM3826" s="10"/>
      <c r="AN3826" s="10"/>
      <c r="AO3826" s="10"/>
      <c r="AP3826" s="10"/>
      <c r="AQ3826" s="10"/>
      <c r="AR3826" s="10"/>
      <c r="AS3826" s="10"/>
      <c r="AT3826" s="10"/>
      <c r="AU3826" s="10"/>
      <c r="AV3826" s="10"/>
      <c r="AW3826" s="10"/>
      <c r="AX3826" s="10"/>
      <c r="AY3826" s="10"/>
      <c r="AZ3826" s="10"/>
    </row>
    <row r="3827" spans="28:52">
      <c r="AB3827" s="9">
        <v>0.94541028326426324</v>
      </c>
      <c r="AC3827" s="9">
        <v>0.64271418647996226</v>
      </c>
      <c r="AD3827" s="9">
        <v>0.99539707777536046</v>
      </c>
      <c r="AE3827" s="10"/>
      <c r="AF3827" s="10"/>
      <c r="AG3827" s="10"/>
      <c r="AH3827" s="10"/>
      <c r="AI3827" s="10"/>
      <c r="AJ3827" s="10"/>
      <c r="AK3827" s="10"/>
      <c r="AL3827" s="10"/>
      <c r="AM3827" s="10"/>
      <c r="AN3827" s="10"/>
      <c r="AO3827" s="10"/>
      <c r="AP3827" s="10"/>
      <c r="AQ3827" s="10"/>
      <c r="AR3827" s="10"/>
      <c r="AS3827" s="10"/>
      <c r="AT3827" s="10"/>
      <c r="AU3827" s="10"/>
      <c r="AV3827" s="10"/>
      <c r="AW3827" s="10"/>
      <c r="AX3827" s="10"/>
      <c r="AY3827" s="10"/>
      <c r="AZ3827" s="10"/>
    </row>
    <row r="3828" spans="28:52">
      <c r="AB3828" s="9">
        <v>0.953519938047514</v>
      </c>
      <c r="AC3828" s="9">
        <v>0.83122572464376421</v>
      </c>
      <c r="AD3828" s="9">
        <v>1.0006810346540937</v>
      </c>
      <c r="AE3828" s="10"/>
      <c r="AF3828" s="10"/>
      <c r="AG3828" s="10"/>
      <c r="AH3828" s="10"/>
      <c r="AI3828" s="10"/>
      <c r="AJ3828" s="10"/>
      <c r="AK3828" s="10"/>
      <c r="AL3828" s="10"/>
      <c r="AM3828" s="10"/>
      <c r="AN3828" s="10"/>
      <c r="AO3828" s="10"/>
      <c r="AP3828" s="10"/>
      <c r="AQ3828" s="10"/>
      <c r="AR3828" s="10"/>
      <c r="AS3828" s="10"/>
      <c r="AT3828" s="10"/>
      <c r="AU3828" s="10"/>
      <c r="AV3828" s="10"/>
      <c r="AW3828" s="10"/>
      <c r="AX3828" s="10"/>
      <c r="AY3828" s="10"/>
      <c r="AZ3828" s="10"/>
    </row>
    <row r="3829" spans="28:52">
      <c r="AB3829" s="9">
        <v>0.95022170866538525</v>
      </c>
      <c r="AC3829" s="9">
        <v>0.70480713587292743</v>
      </c>
      <c r="AD3829" s="9">
        <v>0.9910621289192858</v>
      </c>
      <c r="AE3829" s="10"/>
      <c r="AF3829" s="10"/>
      <c r="AG3829" s="10"/>
      <c r="AH3829" s="10"/>
      <c r="AI3829" s="10"/>
      <c r="AJ3829" s="10"/>
      <c r="AK3829" s="10"/>
      <c r="AL3829" s="10"/>
      <c r="AM3829" s="10"/>
      <c r="AN3829" s="10"/>
      <c r="AO3829" s="10"/>
      <c r="AP3829" s="10"/>
      <c r="AQ3829" s="10"/>
      <c r="AR3829" s="10"/>
      <c r="AS3829" s="10"/>
      <c r="AT3829" s="10"/>
      <c r="AU3829" s="10"/>
      <c r="AV3829" s="10"/>
      <c r="AW3829" s="10"/>
      <c r="AX3829" s="10"/>
      <c r="AY3829" s="10"/>
      <c r="AZ3829" s="10"/>
    </row>
    <row r="3830" spans="28:52">
      <c r="AB3830" s="9">
        <v>0.96094329829677416</v>
      </c>
      <c r="AC3830" s="9">
        <v>0.86461946541522161</v>
      </c>
      <c r="AD3830" s="9">
        <v>0.97695260283902707</v>
      </c>
      <c r="AE3830" s="10"/>
      <c r="AF3830" s="10"/>
      <c r="AG3830" s="10"/>
      <c r="AH3830" s="10"/>
      <c r="AI3830" s="10"/>
      <c r="AJ3830" s="10"/>
      <c r="AK3830" s="10"/>
      <c r="AL3830" s="10"/>
      <c r="AM3830" s="10"/>
      <c r="AN3830" s="10"/>
      <c r="AO3830" s="10"/>
      <c r="AP3830" s="10"/>
      <c r="AQ3830" s="10"/>
      <c r="AR3830" s="10"/>
      <c r="AS3830" s="10"/>
      <c r="AT3830" s="10"/>
      <c r="AU3830" s="10"/>
      <c r="AV3830" s="10"/>
      <c r="AW3830" s="10"/>
      <c r="AX3830" s="10"/>
      <c r="AY3830" s="10"/>
      <c r="AZ3830" s="10"/>
    </row>
    <row r="3831" spans="28:52">
      <c r="AB3831" s="9">
        <v>0.97600260593064081</v>
      </c>
      <c r="AC3831" s="9">
        <v>0.97028160876227831</v>
      </c>
      <c r="AD3831" s="9">
        <v>0.97487010493413706</v>
      </c>
      <c r="AE3831" s="10"/>
      <c r="AF3831" s="10"/>
      <c r="AG3831" s="10"/>
      <c r="AH3831" s="10"/>
      <c r="AI3831" s="10"/>
      <c r="AJ3831" s="10"/>
      <c r="AK3831" s="10"/>
      <c r="AL3831" s="10"/>
      <c r="AM3831" s="10"/>
      <c r="AN3831" s="10"/>
      <c r="AO3831" s="10"/>
      <c r="AP3831" s="10"/>
      <c r="AQ3831" s="10"/>
      <c r="AR3831" s="10"/>
      <c r="AS3831" s="10"/>
      <c r="AT3831" s="10"/>
      <c r="AU3831" s="10"/>
      <c r="AV3831" s="10"/>
      <c r="AW3831" s="10"/>
      <c r="AX3831" s="10"/>
      <c r="AY3831" s="10"/>
      <c r="AZ3831" s="10"/>
    </row>
    <row r="3832" spans="28:52">
      <c r="AB3832" s="9">
        <v>0.9791491724910627</v>
      </c>
      <c r="AC3832" s="9">
        <v>0.66132364060970117</v>
      </c>
      <c r="AD3832" s="9">
        <v>0.972479423150311</v>
      </c>
      <c r="AE3832" s="10"/>
      <c r="AF3832" s="10"/>
      <c r="AG3832" s="10"/>
      <c r="AH3832" s="10"/>
      <c r="AI3832" s="10"/>
      <c r="AJ3832" s="10"/>
      <c r="AK3832" s="10"/>
      <c r="AL3832" s="10"/>
      <c r="AM3832" s="10"/>
      <c r="AN3832" s="10"/>
      <c r="AO3832" s="10"/>
      <c r="AP3832" s="10"/>
      <c r="AQ3832" s="10"/>
      <c r="AR3832" s="10"/>
      <c r="AS3832" s="10"/>
      <c r="AT3832" s="10"/>
      <c r="AU3832" s="10"/>
      <c r="AV3832" s="10"/>
      <c r="AW3832" s="10"/>
      <c r="AX3832" s="10"/>
      <c r="AY3832" s="10"/>
      <c r="AZ3832" s="10"/>
    </row>
    <row r="3833" spans="28:52">
      <c r="AB3833" s="9">
        <v>0.98250924596068845</v>
      </c>
      <c r="AC3833" s="9">
        <v>0.82473001617700259</v>
      </c>
      <c r="AD3833" s="9">
        <v>0.98303845668742784</v>
      </c>
      <c r="AE3833" s="10"/>
      <c r="AF3833" s="10"/>
      <c r="AG3833" s="10"/>
      <c r="AH3833" s="10"/>
      <c r="AI3833" s="10"/>
      <c r="AJ3833" s="10"/>
      <c r="AK3833" s="10"/>
      <c r="AL3833" s="10"/>
      <c r="AM3833" s="10"/>
      <c r="AN3833" s="10"/>
      <c r="AO3833" s="10"/>
      <c r="AP3833" s="10"/>
      <c r="AQ3833" s="10"/>
      <c r="AR3833" s="10"/>
      <c r="AS3833" s="10"/>
      <c r="AT3833" s="10"/>
      <c r="AU3833" s="10"/>
      <c r="AV3833" s="10"/>
      <c r="AW3833" s="10"/>
      <c r="AX3833" s="10"/>
      <c r="AY3833" s="10"/>
      <c r="AZ3833" s="10"/>
    </row>
    <row r="3834" spans="28:52">
      <c r="AB3834" s="9">
        <v>0.97287090816583932</v>
      </c>
      <c r="AC3834" s="9">
        <v>0.78793030524130847</v>
      </c>
      <c r="AD3834" s="9">
        <v>0.98318458883898208</v>
      </c>
      <c r="AE3834" s="10"/>
      <c r="AF3834" s="10"/>
      <c r="AG3834" s="10"/>
      <c r="AH3834" s="10"/>
      <c r="AI3834" s="10"/>
      <c r="AJ3834" s="10"/>
      <c r="AK3834" s="10"/>
      <c r="AL3834" s="10"/>
      <c r="AM3834" s="10"/>
      <c r="AN3834" s="10"/>
      <c r="AO3834" s="10"/>
      <c r="AP3834" s="10"/>
      <c r="AQ3834" s="10"/>
      <c r="AR3834" s="10"/>
      <c r="AS3834" s="10"/>
      <c r="AT3834" s="10"/>
      <c r="AU3834" s="10"/>
      <c r="AV3834" s="10"/>
      <c r="AW3834" s="10"/>
      <c r="AX3834" s="10"/>
      <c r="AY3834" s="10"/>
      <c r="AZ3834" s="10"/>
    </row>
    <row r="3835" spans="28:52">
      <c r="AB3835" s="9">
        <v>0.97388147254361679</v>
      </c>
      <c r="AC3835" s="9">
        <v>0.67929467384699904</v>
      </c>
      <c r="AD3835" s="9">
        <v>0.98277650245247805</v>
      </c>
      <c r="AE3835" s="10"/>
      <c r="AF3835" s="10"/>
      <c r="AG3835" s="10"/>
      <c r="AH3835" s="10"/>
      <c r="AI3835" s="10"/>
      <c r="AJ3835" s="10"/>
      <c r="AK3835" s="10"/>
      <c r="AL3835" s="10"/>
      <c r="AM3835" s="10"/>
      <c r="AN3835" s="10"/>
      <c r="AO3835" s="10"/>
      <c r="AP3835" s="10"/>
      <c r="AQ3835" s="10"/>
      <c r="AR3835" s="10"/>
      <c r="AS3835" s="10"/>
      <c r="AT3835" s="10"/>
      <c r="AU3835" s="10"/>
      <c r="AV3835" s="10"/>
      <c r="AW3835" s="10"/>
      <c r="AX3835" s="10"/>
      <c r="AY3835" s="10"/>
      <c r="AZ3835" s="10"/>
    </row>
    <row r="3836" spans="28:52">
      <c r="AB3836" s="9">
        <v>0.97555732103216464</v>
      </c>
      <c r="AC3836" s="9">
        <v>0.76230156150728345</v>
      </c>
      <c r="AD3836" s="9">
        <v>0.97962435989141716</v>
      </c>
      <c r="AE3836" s="10"/>
      <c r="AF3836" s="10"/>
      <c r="AG3836" s="10"/>
      <c r="AH3836" s="10"/>
      <c r="AI3836" s="10"/>
      <c r="AJ3836" s="10"/>
      <c r="AK3836" s="10"/>
      <c r="AL3836" s="10"/>
      <c r="AM3836" s="10"/>
      <c r="AN3836" s="10"/>
      <c r="AO3836" s="10"/>
      <c r="AP3836" s="10"/>
      <c r="AQ3836" s="10"/>
      <c r="AR3836" s="10"/>
      <c r="AS3836" s="10"/>
      <c r="AT3836" s="10"/>
      <c r="AU3836" s="10"/>
      <c r="AV3836" s="10"/>
      <c r="AW3836" s="10"/>
      <c r="AX3836" s="10"/>
      <c r="AY3836" s="10"/>
      <c r="AZ3836" s="10"/>
    </row>
    <row r="3837" spans="28:52">
      <c r="AB3837" s="9">
        <v>0.98006029903831626</v>
      </c>
      <c r="AC3837" s="9">
        <v>0.65963385424804866</v>
      </c>
      <c r="AD3837" s="9">
        <v>0.98662038550231723</v>
      </c>
      <c r="AE3837" s="10"/>
      <c r="AF3837" s="10"/>
      <c r="AG3837" s="10"/>
      <c r="AH3837" s="10"/>
      <c r="AI3837" s="10"/>
      <c r="AJ3837" s="10"/>
      <c r="AK3837" s="10"/>
      <c r="AL3837" s="10"/>
      <c r="AM3837" s="10"/>
      <c r="AN3837" s="10"/>
      <c r="AO3837" s="10"/>
      <c r="AP3837" s="10"/>
      <c r="AQ3837" s="10"/>
      <c r="AR3837" s="10"/>
      <c r="AS3837" s="10"/>
      <c r="AT3837" s="10"/>
      <c r="AU3837" s="10"/>
      <c r="AV3837" s="10"/>
      <c r="AW3837" s="10"/>
      <c r="AX3837" s="10"/>
      <c r="AY3837" s="10"/>
      <c r="AZ3837" s="10"/>
    </row>
    <row r="3838" spans="28:52">
      <c r="AB3838" s="9">
        <v>0.97522910751729297</v>
      </c>
      <c r="AC3838" s="9">
        <v>0.65141411395441784</v>
      </c>
      <c r="AD3838" s="9">
        <v>0.98810172909924321</v>
      </c>
      <c r="AE3838" s="10"/>
      <c r="AF3838" s="10"/>
      <c r="AG3838" s="10"/>
      <c r="AH3838" s="10"/>
      <c r="AI3838" s="10"/>
      <c r="AJ3838" s="10"/>
      <c r="AK3838" s="10"/>
      <c r="AL3838" s="10"/>
      <c r="AM3838" s="10"/>
      <c r="AN3838" s="10"/>
      <c r="AO3838" s="10"/>
      <c r="AP3838" s="10"/>
      <c r="AQ3838" s="10"/>
      <c r="AR3838" s="10"/>
      <c r="AS3838" s="10"/>
      <c r="AT3838" s="10"/>
      <c r="AU3838" s="10"/>
      <c r="AV3838" s="10"/>
      <c r="AW3838" s="10"/>
      <c r="AX3838" s="10"/>
      <c r="AY3838" s="10"/>
      <c r="AZ3838" s="10"/>
    </row>
    <row r="3839" spans="28:52">
      <c r="AB3839" s="9">
        <v>0.97611045477213709</v>
      </c>
      <c r="AC3839" s="9">
        <v>0.84210952512267001</v>
      </c>
      <c r="AD3839" s="9">
        <v>0.99884728058956074</v>
      </c>
      <c r="AE3839" s="10"/>
      <c r="AF3839" s="10"/>
      <c r="AG3839" s="10"/>
      <c r="AH3839" s="10"/>
      <c r="AI3839" s="10"/>
      <c r="AJ3839" s="10"/>
      <c r="AK3839" s="10"/>
      <c r="AL3839" s="10"/>
      <c r="AM3839" s="10"/>
      <c r="AN3839" s="10"/>
      <c r="AO3839" s="10"/>
      <c r="AP3839" s="10"/>
      <c r="AQ3839" s="10"/>
      <c r="AR3839" s="10"/>
      <c r="AS3839" s="10"/>
      <c r="AT3839" s="10"/>
      <c r="AU3839" s="10"/>
      <c r="AV3839" s="10"/>
      <c r="AW3839" s="10"/>
      <c r="AX3839" s="10"/>
      <c r="AY3839" s="10"/>
      <c r="AZ3839" s="10"/>
    </row>
    <row r="3840" spans="28:52">
      <c r="AB3840" s="9">
        <v>0.96825002092007395</v>
      </c>
      <c r="AC3840" s="9">
        <v>0.67221564277493273</v>
      </c>
      <c r="AD3840" s="9">
        <v>1.0215377339558154</v>
      </c>
      <c r="AE3840" s="10"/>
      <c r="AF3840" s="10"/>
      <c r="AG3840" s="10"/>
      <c r="AH3840" s="10"/>
      <c r="AI3840" s="10"/>
      <c r="AJ3840" s="10"/>
      <c r="AK3840" s="10"/>
      <c r="AL3840" s="10"/>
      <c r="AM3840" s="10"/>
      <c r="AN3840" s="10"/>
      <c r="AO3840" s="10"/>
      <c r="AP3840" s="10"/>
      <c r="AQ3840" s="10"/>
      <c r="AR3840" s="10"/>
      <c r="AS3840" s="10"/>
      <c r="AT3840" s="10"/>
      <c r="AU3840" s="10"/>
      <c r="AV3840" s="10"/>
      <c r="AW3840" s="10"/>
      <c r="AX3840" s="10"/>
      <c r="AY3840" s="10"/>
      <c r="AZ3840" s="10"/>
    </row>
    <row r="3841" spans="28:52">
      <c r="AB3841" s="9">
        <v>0.95024278234991699</v>
      </c>
      <c r="AC3841" s="9">
        <v>0.8408518822298271</v>
      </c>
      <c r="AD3841" s="9">
        <v>1.0507888714883824</v>
      </c>
      <c r="AE3841" s="10"/>
      <c r="AF3841" s="10"/>
      <c r="AG3841" s="10"/>
      <c r="AH3841" s="10"/>
      <c r="AI3841" s="10"/>
      <c r="AJ3841" s="10"/>
      <c r="AK3841" s="10"/>
      <c r="AL3841" s="10"/>
      <c r="AM3841" s="10"/>
      <c r="AN3841" s="10"/>
      <c r="AO3841" s="10"/>
      <c r="AP3841" s="10"/>
      <c r="AQ3841" s="10"/>
      <c r="AR3841" s="10"/>
      <c r="AS3841" s="10"/>
      <c r="AT3841" s="10"/>
      <c r="AU3841" s="10"/>
      <c r="AV3841" s="10"/>
      <c r="AW3841" s="10"/>
      <c r="AX3841" s="10"/>
      <c r="AY3841" s="10"/>
      <c r="AZ3841" s="10"/>
    </row>
    <row r="3842" spans="28:52">
      <c r="AB3842" s="9">
        <v>0.92813119098343799</v>
      </c>
      <c r="AC3842" s="9">
        <v>0.81306889618930067</v>
      </c>
      <c r="AD3842" s="9">
        <v>1.048268868202205</v>
      </c>
      <c r="AE3842" s="10"/>
      <c r="AF3842" s="10"/>
      <c r="AG3842" s="10"/>
      <c r="AH3842" s="10"/>
      <c r="AI3842" s="10"/>
      <c r="AJ3842" s="10"/>
      <c r="AK3842" s="10"/>
      <c r="AL3842" s="10"/>
      <c r="AM3842" s="10"/>
      <c r="AN3842" s="10"/>
      <c r="AO3842" s="10"/>
      <c r="AP3842" s="10"/>
      <c r="AQ3842" s="10"/>
      <c r="AR3842" s="10"/>
      <c r="AS3842" s="10"/>
      <c r="AT3842" s="10"/>
      <c r="AU3842" s="10"/>
      <c r="AV3842" s="10"/>
      <c r="AW3842" s="10"/>
      <c r="AX3842" s="10"/>
      <c r="AY3842" s="10"/>
      <c r="AZ3842" s="10"/>
    </row>
    <row r="3843" spans="28:52">
      <c r="AB3843" s="9">
        <v>0.93551013895621848</v>
      </c>
      <c r="AC3843" s="9">
        <v>0.6914936357062168</v>
      </c>
      <c r="AD3843" s="9">
        <v>1.0515805672556731</v>
      </c>
      <c r="AE3843" s="10"/>
      <c r="AF3843" s="10"/>
      <c r="AG3843" s="10"/>
      <c r="AH3843" s="10"/>
      <c r="AI3843" s="10"/>
      <c r="AJ3843" s="10"/>
      <c r="AK3843" s="10"/>
      <c r="AL3843" s="10"/>
      <c r="AM3843" s="10"/>
      <c r="AN3843" s="10"/>
      <c r="AO3843" s="10"/>
      <c r="AP3843" s="10"/>
      <c r="AQ3843" s="10"/>
      <c r="AR3843" s="10"/>
      <c r="AS3843" s="10"/>
      <c r="AT3843" s="10"/>
      <c r="AU3843" s="10"/>
      <c r="AV3843" s="10"/>
      <c r="AW3843" s="10"/>
      <c r="AX3843" s="10"/>
      <c r="AY3843" s="10"/>
      <c r="AZ3843" s="10"/>
    </row>
    <row r="3844" spans="28:52">
      <c r="AB3844" s="9">
        <v>0.93741119238415738</v>
      </c>
      <c r="AC3844" s="9">
        <v>0.72452028112716849</v>
      </c>
      <c r="AD3844" s="9">
        <v>1.0264852709761725</v>
      </c>
      <c r="AE3844" s="10"/>
      <c r="AF3844" s="10"/>
      <c r="AG3844" s="10"/>
      <c r="AH3844" s="10"/>
      <c r="AI3844" s="10"/>
      <c r="AJ3844" s="10"/>
      <c r="AK3844" s="10"/>
      <c r="AL3844" s="10"/>
      <c r="AM3844" s="10"/>
      <c r="AN3844" s="10"/>
      <c r="AO3844" s="10"/>
      <c r="AP3844" s="10"/>
      <c r="AQ3844" s="10"/>
      <c r="AR3844" s="10"/>
      <c r="AS3844" s="10"/>
      <c r="AT3844" s="10"/>
      <c r="AU3844" s="10"/>
      <c r="AV3844" s="10"/>
      <c r="AW3844" s="10"/>
      <c r="AX3844" s="10"/>
      <c r="AY3844" s="10"/>
      <c r="AZ3844" s="10"/>
    </row>
    <row r="3845" spans="28:52">
      <c r="AB3845" s="9">
        <v>0.96481406905400802</v>
      </c>
      <c r="AC3845" s="9">
        <v>0.91581251004587094</v>
      </c>
      <c r="AD3845" s="9">
        <v>1.0316544366753324</v>
      </c>
      <c r="AE3845" s="10"/>
      <c r="AF3845" s="10"/>
      <c r="AG3845" s="10"/>
      <c r="AH3845" s="10"/>
      <c r="AI3845" s="10"/>
      <c r="AJ3845" s="10"/>
      <c r="AK3845" s="10"/>
      <c r="AL3845" s="10"/>
      <c r="AM3845" s="10"/>
      <c r="AN3845" s="10"/>
      <c r="AO3845" s="10"/>
      <c r="AP3845" s="10"/>
      <c r="AQ3845" s="10"/>
      <c r="AR3845" s="10"/>
      <c r="AS3845" s="10"/>
      <c r="AT3845" s="10"/>
      <c r="AU3845" s="10"/>
      <c r="AV3845" s="10"/>
      <c r="AW3845" s="10"/>
      <c r="AX3845" s="10"/>
      <c r="AY3845" s="10"/>
      <c r="AZ3845" s="10"/>
    </row>
    <row r="3846" spans="28:52">
      <c r="AB3846" s="9">
        <v>0.96397866589404335</v>
      </c>
      <c r="AC3846" s="9">
        <v>0.78568792877098814</v>
      </c>
      <c r="AD3846" s="9">
        <v>1.0429054205983683</v>
      </c>
      <c r="AE3846" s="10"/>
      <c r="AF3846" s="10"/>
      <c r="AG3846" s="10"/>
      <c r="AH3846" s="10"/>
      <c r="AI3846" s="10"/>
      <c r="AJ3846" s="10"/>
      <c r="AK3846" s="10"/>
      <c r="AL3846" s="10"/>
      <c r="AM3846" s="10"/>
      <c r="AN3846" s="10"/>
      <c r="AO3846" s="10"/>
      <c r="AP3846" s="10"/>
      <c r="AQ3846" s="10"/>
      <c r="AR3846" s="10"/>
      <c r="AS3846" s="10"/>
      <c r="AT3846" s="10"/>
      <c r="AU3846" s="10"/>
      <c r="AV3846" s="10"/>
      <c r="AW3846" s="10"/>
      <c r="AX3846" s="10"/>
      <c r="AY3846" s="10"/>
      <c r="AZ3846" s="10"/>
    </row>
    <row r="3847" spans="28:52">
      <c r="AB3847" s="9">
        <v>0.95755608556122851</v>
      </c>
      <c r="AC3847" s="9">
        <v>0.68879938988774625</v>
      </c>
      <c r="AD3847" s="9">
        <v>1.0396697538253075</v>
      </c>
      <c r="AE3847" s="10"/>
      <c r="AF3847" s="10"/>
      <c r="AG3847" s="10"/>
      <c r="AH3847" s="10"/>
      <c r="AI3847" s="10"/>
      <c r="AJ3847" s="10"/>
      <c r="AK3847" s="10"/>
      <c r="AL3847" s="10"/>
      <c r="AM3847" s="10"/>
      <c r="AN3847" s="10"/>
      <c r="AO3847" s="10"/>
      <c r="AP3847" s="10"/>
      <c r="AQ3847" s="10"/>
      <c r="AR3847" s="10"/>
      <c r="AS3847" s="10"/>
      <c r="AT3847" s="10"/>
      <c r="AU3847" s="10"/>
      <c r="AV3847" s="10"/>
      <c r="AW3847" s="10"/>
      <c r="AX3847" s="10"/>
      <c r="AY3847" s="10"/>
      <c r="AZ3847" s="10"/>
    </row>
    <row r="3848" spans="28:52">
      <c r="AB3848" s="9">
        <v>0.96455907688337206</v>
      </c>
      <c r="AC3848" s="9">
        <v>0.85144087510349153</v>
      </c>
      <c r="AD3848" s="9">
        <v>1.0438252365366614</v>
      </c>
      <c r="AE3848" s="10"/>
      <c r="AF3848" s="10"/>
      <c r="AG3848" s="10"/>
      <c r="AH3848" s="10"/>
      <c r="AI3848" s="10"/>
      <c r="AJ3848" s="10"/>
      <c r="AK3848" s="10"/>
      <c r="AL3848" s="10"/>
      <c r="AM3848" s="10"/>
      <c r="AN3848" s="10"/>
      <c r="AO3848" s="10"/>
      <c r="AP3848" s="10"/>
      <c r="AQ3848" s="10"/>
      <c r="AR3848" s="10"/>
      <c r="AS3848" s="10"/>
      <c r="AT3848" s="10"/>
      <c r="AU3848" s="10"/>
      <c r="AV3848" s="10"/>
      <c r="AW3848" s="10"/>
      <c r="AX3848" s="10"/>
      <c r="AY3848" s="10"/>
      <c r="AZ3848" s="10"/>
    </row>
    <row r="3849" spans="28:52">
      <c r="AB3849" s="9">
        <v>0.96437435472843025</v>
      </c>
      <c r="AC3849" s="9">
        <v>0.79375896935184731</v>
      </c>
      <c r="AD3849" s="9">
        <v>1.0319787281805164</v>
      </c>
      <c r="AE3849" s="10"/>
      <c r="AF3849" s="10"/>
      <c r="AG3849" s="10"/>
      <c r="AH3849" s="10"/>
      <c r="AI3849" s="10"/>
      <c r="AJ3849" s="10"/>
      <c r="AK3849" s="10"/>
      <c r="AL3849" s="10"/>
      <c r="AM3849" s="10"/>
      <c r="AN3849" s="10"/>
      <c r="AO3849" s="10"/>
      <c r="AP3849" s="10"/>
      <c r="AQ3849" s="10"/>
      <c r="AR3849" s="10"/>
      <c r="AS3849" s="10"/>
      <c r="AT3849" s="10"/>
      <c r="AU3849" s="10"/>
      <c r="AV3849" s="10"/>
      <c r="AW3849" s="10"/>
      <c r="AX3849" s="10"/>
      <c r="AY3849" s="10"/>
      <c r="AZ3849" s="10"/>
    </row>
    <row r="3850" spans="28:52">
      <c r="AB3850" s="9">
        <v>0.97885322425318633</v>
      </c>
      <c r="AC3850" s="9">
        <v>0.8801772509456417</v>
      </c>
      <c r="AD3850" s="9">
        <v>1.0303234995918256</v>
      </c>
      <c r="AE3850" s="10"/>
      <c r="AF3850" s="10"/>
      <c r="AG3850" s="10"/>
      <c r="AH3850" s="10"/>
      <c r="AI3850" s="10"/>
      <c r="AJ3850" s="10"/>
      <c r="AK3850" s="10"/>
      <c r="AL3850" s="10"/>
      <c r="AM3850" s="10"/>
      <c r="AN3850" s="10"/>
      <c r="AO3850" s="10"/>
      <c r="AP3850" s="10"/>
      <c r="AQ3850" s="10"/>
      <c r="AR3850" s="10"/>
      <c r="AS3850" s="10"/>
      <c r="AT3850" s="10"/>
      <c r="AU3850" s="10"/>
      <c r="AV3850" s="10"/>
      <c r="AW3850" s="10"/>
      <c r="AX3850" s="10"/>
      <c r="AY3850" s="10"/>
      <c r="AZ3850" s="10"/>
    </row>
    <row r="3851" spans="28:52">
      <c r="AB3851" s="9">
        <v>0.98365988565988138</v>
      </c>
      <c r="AC3851" s="9">
        <v>0.95620656402753268</v>
      </c>
      <c r="AD3851" s="9">
        <v>1.0360240945189307</v>
      </c>
      <c r="AE3851" s="10"/>
      <c r="AF3851" s="10"/>
      <c r="AG3851" s="10"/>
      <c r="AH3851" s="10"/>
      <c r="AI3851" s="10"/>
      <c r="AJ3851" s="10"/>
      <c r="AK3851" s="10"/>
      <c r="AL3851" s="10"/>
      <c r="AM3851" s="10"/>
      <c r="AN3851" s="10"/>
      <c r="AO3851" s="10"/>
      <c r="AP3851" s="10"/>
      <c r="AQ3851" s="10"/>
      <c r="AR3851" s="10"/>
      <c r="AS3851" s="10"/>
      <c r="AT3851" s="10"/>
      <c r="AU3851" s="10"/>
      <c r="AV3851" s="10"/>
      <c r="AW3851" s="10"/>
      <c r="AX3851" s="10"/>
      <c r="AY3851" s="10"/>
      <c r="AZ3851" s="10"/>
    </row>
    <row r="3852" spans="28:52">
      <c r="AB3852" s="9">
        <v>0.98163700743747528</v>
      </c>
      <c r="AC3852" s="9">
        <v>0.9159380568088622</v>
      </c>
      <c r="AD3852" s="9">
        <v>1.0397798635713023</v>
      </c>
      <c r="AE3852" s="10"/>
      <c r="AF3852" s="10"/>
      <c r="AG3852" s="10"/>
      <c r="AH3852" s="10"/>
      <c r="AI3852" s="10"/>
      <c r="AJ3852" s="10"/>
      <c r="AK3852" s="10"/>
      <c r="AL3852" s="10"/>
      <c r="AM3852" s="10"/>
      <c r="AN3852" s="10"/>
      <c r="AO3852" s="10"/>
      <c r="AP3852" s="10"/>
      <c r="AQ3852" s="10"/>
      <c r="AR3852" s="10"/>
      <c r="AS3852" s="10"/>
      <c r="AT3852" s="10"/>
      <c r="AU3852" s="10"/>
      <c r="AV3852" s="10"/>
      <c r="AW3852" s="10"/>
      <c r="AX3852" s="10"/>
      <c r="AY3852" s="10"/>
      <c r="AZ3852" s="10"/>
    </row>
    <row r="3853" spans="28:52">
      <c r="AB3853" s="9">
        <v>0.9811242494082526</v>
      </c>
      <c r="AC3853" s="9">
        <v>0.82280879946800656</v>
      </c>
      <c r="AD3853" s="9">
        <v>1.0369049142228444</v>
      </c>
      <c r="AE3853" s="10"/>
      <c r="AF3853" s="10"/>
      <c r="AG3853" s="10"/>
      <c r="AH3853" s="10"/>
      <c r="AI3853" s="10"/>
      <c r="AJ3853" s="10"/>
      <c r="AK3853" s="10"/>
      <c r="AL3853" s="10"/>
      <c r="AM3853" s="10"/>
      <c r="AN3853" s="10"/>
      <c r="AO3853" s="10"/>
      <c r="AP3853" s="10"/>
      <c r="AQ3853" s="10"/>
      <c r="AR3853" s="10"/>
      <c r="AS3853" s="10"/>
      <c r="AT3853" s="10"/>
      <c r="AU3853" s="10"/>
      <c r="AV3853" s="10"/>
      <c r="AW3853" s="10"/>
      <c r="AX3853" s="10"/>
      <c r="AY3853" s="10"/>
      <c r="AZ3853" s="10"/>
    </row>
    <row r="3854" spans="28:52">
      <c r="AB3854" s="9">
        <v>0.98680752481947287</v>
      </c>
      <c r="AC3854" s="9">
        <v>0.86598265456755796</v>
      </c>
      <c r="AD3854" s="9">
        <v>1.0404695527302885</v>
      </c>
      <c r="AE3854" s="10"/>
      <c r="AF3854" s="10"/>
      <c r="AG3854" s="10"/>
      <c r="AH3854" s="10"/>
      <c r="AI3854" s="10"/>
      <c r="AJ3854" s="10"/>
      <c r="AK3854" s="10"/>
      <c r="AL3854" s="10"/>
      <c r="AM3854" s="10"/>
      <c r="AN3854" s="10"/>
      <c r="AO3854" s="10"/>
      <c r="AP3854" s="10"/>
      <c r="AQ3854" s="10"/>
      <c r="AR3854" s="10"/>
      <c r="AS3854" s="10"/>
      <c r="AT3854" s="10"/>
      <c r="AU3854" s="10"/>
      <c r="AV3854" s="10"/>
      <c r="AW3854" s="10"/>
      <c r="AX3854" s="10"/>
      <c r="AY3854" s="10"/>
      <c r="AZ3854" s="10"/>
    </row>
    <row r="3855" spans="28:52">
      <c r="AB3855" s="9">
        <v>0.98666772850593809</v>
      </c>
      <c r="AC3855" s="9">
        <v>1.0136421125013813</v>
      </c>
      <c r="AD3855" s="9">
        <v>1.045555046790043</v>
      </c>
      <c r="AE3855" s="10"/>
      <c r="AF3855" s="10"/>
      <c r="AG3855" s="10"/>
      <c r="AH3855" s="10"/>
      <c r="AI3855" s="10"/>
      <c r="AJ3855" s="10"/>
      <c r="AK3855" s="10"/>
      <c r="AL3855" s="10"/>
      <c r="AM3855" s="10"/>
      <c r="AN3855" s="10"/>
      <c r="AO3855" s="10"/>
      <c r="AP3855" s="10"/>
      <c r="AQ3855" s="10"/>
      <c r="AR3855" s="10"/>
      <c r="AS3855" s="10"/>
      <c r="AT3855" s="10"/>
      <c r="AU3855" s="10"/>
      <c r="AV3855" s="10"/>
      <c r="AW3855" s="10"/>
      <c r="AX3855" s="10"/>
      <c r="AY3855" s="10"/>
      <c r="AZ3855" s="10"/>
    </row>
    <row r="3856" spans="28:52">
      <c r="AB3856" s="9">
        <v>0.98491868723534148</v>
      </c>
      <c r="AC3856" s="9">
        <v>0.93114686610175279</v>
      </c>
      <c r="AD3856" s="9">
        <v>1.0515838113895031</v>
      </c>
      <c r="AE3856" s="10"/>
      <c r="AF3856" s="10"/>
      <c r="AG3856" s="10"/>
      <c r="AH3856" s="10"/>
      <c r="AI3856" s="10"/>
      <c r="AJ3856" s="10"/>
      <c r="AK3856" s="10"/>
      <c r="AL3856" s="10"/>
      <c r="AM3856" s="10"/>
      <c r="AN3856" s="10"/>
      <c r="AO3856" s="10"/>
      <c r="AP3856" s="10"/>
      <c r="AQ3856" s="10"/>
      <c r="AR3856" s="10"/>
      <c r="AS3856" s="10"/>
      <c r="AT3856" s="10"/>
      <c r="AU3856" s="10"/>
      <c r="AV3856" s="10"/>
      <c r="AW3856" s="10"/>
      <c r="AX3856" s="10"/>
      <c r="AY3856" s="10"/>
      <c r="AZ3856" s="10"/>
    </row>
    <row r="3857" spans="28:52">
      <c r="AB3857" s="9">
        <v>0.98233423904839723</v>
      </c>
      <c r="AC3857" s="9">
        <v>0.77115238405560982</v>
      </c>
      <c r="AD3857" s="9">
        <v>1.0395327692113672</v>
      </c>
      <c r="AE3857" s="10"/>
      <c r="AF3857" s="10"/>
      <c r="AG3857" s="10"/>
      <c r="AH3857" s="10"/>
      <c r="AI3857" s="10"/>
      <c r="AJ3857" s="10"/>
      <c r="AK3857" s="10"/>
      <c r="AL3857" s="10"/>
      <c r="AM3857" s="10"/>
      <c r="AN3857" s="10"/>
      <c r="AO3857" s="10"/>
      <c r="AP3857" s="10"/>
      <c r="AQ3857" s="10"/>
      <c r="AR3857" s="10"/>
      <c r="AS3857" s="10"/>
      <c r="AT3857" s="10"/>
      <c r="AU3857" s="10"/>
      <c r="AV3857" s="10"/>
      <c r="AW3857" s="10"/>
      <c r="AX3857" s="10"/>
      <c r="AY3857" s="10"/>
      <c r="AZ3857" s="10"/>
    </row>
    <row r="3858" spans="28:52">
      <c r="AB3858" s="9">
        <v>0.9965778052708667</v>
      </c>
      <c r="AC3858" s="9">
        <v>0.80769536751046422</v>
      </c>
      <c r="AD3858" s="9">
        <v>1.0299263070458615</v>
      </c>
      <c r="AE3858" s="10"/>
      <c r="AF3858" s="10"/>
      <c r="AG3858" s="10"/>
      <c r="AH3858" s="10"/>
      <c r="AI3858" s="10"/>
      <c r="AJ3858" s="10"/>
      <c r="AK3858" s="10"/>
      <c r="AL3858" s="10"/>
      <c r="AM3858" s="10"/>
      <c r="AN3858" s="10"/>
      <c r="AO3858" s="10"/>
      <c r="AP3858" s="10"/>
      <c r="AQ3858" s="10"/>
      <c r="AR3858" s="10"/>
      <c r="AS3858" s="10"/>
      <c r="AT3858" s="10"/>
      <c r="AU3858" s="10"/>
      <c r="AV3858" s="10"/>
      <c r="AW3858" s="10"/>
      <c r="AX3858" s="10"/>
      <c r="AY3858" s="10"/>
      <c r="AZ3858" s="10"/>
    </row>
    <row r="3859" spans="28:52">
      <c r="AB3859" s="9">
        <v>1.0083182474153143</v>
      </c>
      <c r="AC3859" s="9">
        <v>1.0202109738320191</v>
      </c>
      <c r="AD3859" s="9">
        <v>1.0305023401600033</v>
      </c>
      <c r="AE3859" s="10"/>
      <c r="AF3859" s="10"/>
      <c r="AG3859" s="10"/>
      <c r="AH3859" s="10"/>
      <c r="AI3859" s="10"/>
      <c r="AJ3859" s="10"/>
      <c r="AK3859" s="10"/>
      <c r="AL3859" s="10"/>
      <c r="AM3859" s="10"/>
      <c r="AN3859" s="10"/>
      <c r="AO3859" s="10"/>
      <c r="AP3859" s="10"/>
      <c r="AQ3859" s="10"/>
      <c r="AR3859" s="10"/>
      <c r="AS3859" s="10"/>
      <c r="AT3859" s="10"/>
      <c r="AU3859" s="10"/>
      <c r="AV3859" s="10"/>
      <c r="AW3859" s="10"/>
      <c r="AX3859" s="10"/>
      <c r="AY3859" s="10"/>
      <c r="AZ3859" s="10"/>
    </row>
    <row r="3860" spans="28:52">
      <c r="AB3860" s="9">
        <v>1.0100568257051072</v>
      </c>
      <c r="AC3860" s="9">
        <v>1.1822650486884705</v>
      </c>
      <c r="AD3860" s="9">
        <v>1.0332591499140171</v>
      </c>
      <c r="AE3860" s="10"/>
      <c r="AF3860" s="10"/>
      <c r="AG3860" s="10"/>
      <c r="AH3860" s="10"/>
      <c r="AI3860" s="10"/>
      <c r="AJ3860" s="10"/>
      <c r="AK3860" s="10"/>
      <c r="AL3860" s="10"/>
      <c r="AM3860" s="10"/>
      <c r="AN3860" s="10"/>
      <c r="AO3860" s="10"/>
      <c r="AP3860" s="10"/>
      <c r="AQ3860" s="10"/>
      <c r="AR3860" s="10"/>
      <c r="AS3860" s="10"/>
      <c r="AT3860" s="10"/>
      <c r="AU3860" s="10"/>
      <c r="AV3860" s="10"/>
      <c r="AW3860" s="10"/>
      <c r="AX3860" s="10"/>
      <c r="AY3860" s="10"/>
      <c r="AZ3860" s="10"/>
    </row>
    <row r="3861" spans="28:52">
      <c r="AB3861" s="9">
        <v>1.0101089290056877</v>
      </c>
      <c r="AC3861" s="9">
        <v>1.0699750009743496</v>
      </c>
      <c r="AD3861" s="9">
        <v>1.0283617417081323</v>
      </c>
      <c r="AE3861" s="10"/>
      <c r="AF3861" s="10"/>
      <c r="AG3861" s="10"/>
      <c r="AH3861" s="10"/>
      <c r="AI3861" s="10"/>
      <c r="AJ3861" s="10"/>
      <c r="AK3861" s="10"/>
      <c r="AL3861" s="10"/>
      <c r="AM3861" s="10"/>
      <c r="AN3861" s="10"/>
      <c r="AO3861" s="10"/>
      <c r="AP3861" s="10"/>
      <c r="AQ3861" s="10"/>
      <c r="AR3861" s="10"/>
      <c r="AS3861" s="10"/>
      <c r="AT3861" s="10"/>
      <c r="AU3861" s="10"/>
      <c r="AV3861" s="10"/>
      <c r="AW3861" s="10"/>
      <c r="AX3861" s="10"/>
      <c r="AY3861" s="10"/>
      <c r="AZ3861" s="10"/>
    </row>
    <row r="3862" spans="28:52">
      <c r="AB3862" s="9">
        <v>1.0167038105411148</v>
      </c>
      <c r="AC3862" s="9">
        <v>0.92067413969678824</v>
      </c>
      <c r="AD3862" s="9">
        <v>1.0292773989324473</v>
      </c>
      <c r="AE3862" s="10"/>
      <c r="AF3862" s="10"/>
      <c r="AG3862" s="10"/>
      <c r="AH3862" s="10"/>
      <c r="AI3862" s="10"/>
      <c r="AJ3862" s="10"/>
      <c r="AK3862" s="10"/>
      <c r="AL3862" s="10"/>
      <c r="AM3862" s="10"/>
      <c r="AN3862" s="10"/>
      <c r="AO3862" s="10"/>
      <c r="AP3862" s="10"/>
      <c r="AQ3862" s="10"/>
      <c r="AR3862" s="10"/>
      <c r="AS3862" s="10"/>
      <c r="AT3862" s="10"/>
      <c r="AU3862" s="10"/>
      <c r="AV3862" s="10"/>
      <c r="AW3862" s="10"/>
      <c r="AX3862" s="10"/>
      <c r="AY3862" s="10"/>
      <c r="AZ3862" s="10"/>
    </row>
    <row r="3863" spans="28:52">
      <c r="AB3863" s="9">
        <v>1.0175608007164723</v>
      </c>
      <c r="AC3863" s="9">
        <v>0.93579137245660837</v>
      </c>
      <c r="AD3863" s="9">
        <v>1.0181592831020976</v>
      </c>
      <c r="AE3863" s="10"/>
      <c r="AF3863" s="10"/>
      <c r="AG3863" s="10"/>
      <c r="AH3863" s="10"/>
      <c r="AI3863" s="10"/>
      <c r="AJ3863" s="10"/>
      <c r="AK3863" s="10"/>
      <c r="AL3863" s="10"/>
      <c r="AM3863" s="10"/>
      <c r="AN3863" s="10"/>
      <c r="AO3863" s="10"/>
      <c r="AP3863" s="10"/>
      <c r="AQ3863" s="10"/>
      <c r="AR3863" s="10"/>
      <c r="AS3863" s="10"/>
      <c r="AT3863" s="10"/>
      <c r="AU3863" s="10"/>
      <c r="AV3863" s="10"/>
      <c r="AW3863" s="10"/>
      <c r="AX3863" s="10"/>
      <c r="AY3863" s="10"/>
      <c r="AZ3863" s="10"/>
    </row>
    <row r="3864" spans="28:52">
      <c r="AB3864" s="9">
        <v>1.0298316119211544</v>
      </c>
      <c r="AC3864" s="9">
        <v>1.3299458098159427</v>
      </c>
      <c r="AD3864" s="9">
        <v>1.0134770831043773</v>
      </c>
      <c r="AE3864" s="10"/>
      <c r="AF3864" s="10"/>
      <c r="AG3864" s="10"/>
      <c r="AH3864" s="10"/>
      <c r="AI3864" s="10"/>
      <c r="AJ3864" s="10"/>
      <c r="AK3864" s="10"/>
      <c r="AL3864" s="10"/>
      <c r="AM3864" s="10"/>
      <c r="AN3864" s="10"/>
      <c r="AO3864" s="10"/>
      <c r="AP3864" s="10"/>
      <c r="AQ3864" s="10"/>
      <c r="AR3864" s="10"/>
      <c r="AS3864" s="10"/>
      <c r="AT3864" s="10"/>
      <c r="AU3864" s="10"/>
      <c r="AV3864" s="10"/>
      <c r="AW3864" s="10"/>
      <c r="AX3864" s="10"/>
      <c r="AY3864" s="10"/>
      <c r="AZ3864" s="10"/>
    </row>
    <row r="3865" spans="28:52">
      <c r="AB3865" s="9">
        <v>1.0342178463547562</v>
      </c>
      <c r="AC3865" s="9">
        <v>1.3629194199515005</v>
      </c>
      <c r="AD3865" s="9">
        <v>1.0162004618305391</v>
      </c>
      <c r="AE3865" s="10"/>
      <c r="AF3865" s="10"/>
      <c r="AG3865" s="10"/>
      <c r="AH3865" s="10"/>
      <c r="AI3865" s="10"/>
      <c r="AJ3865" s="10"/>
      <c r="AK3865" s="10"/>
      <c r="AL3865" s="10"/>
      <c r="AM3865" s="10"/>
      <c r="AN3865" s="10"/>
      <c r="AO3865" s="10"/>
      <c r="AP3865" s="10"/>
      <c r="AQ3865" s="10"/>
      <c r="AR3865" s="10"/>
      <c r="AS3865" s="10"/>
      <c r="AT3865" s="10"/>
      <c r="AU3865" s="10"/>
      <c r="AV3865" s="10"/>
      <c r="AW3865" s="10"/>
      <c r="AX3865" s="10"/>
      <c r="AY3865" s="10"/>
      <c r="AZ3865" s="10"/>
    </row>
    <row r="3866" spans="28:52">
      <c r="AB3866" s="9">
        <v>1.0314404347706787</v>
      </c>
      <c r="AC3866" s="9">
        <v>1.0105218784721641</v>
      </c>
      <c r="AD3866" s="9">
        <v>1.050708093551719</v>
      </c>
      <c r="AE3866" s="10"/>
      <c r="AF3866" s="10"/>
      <c r="AG3866" s="10"/>
      <c r="AH3866" s="10"/>
      <c r="AI3866" s="10"/>
      <c r="AJ3866" s="10"/>
      <c r="AK3866" s="10"/>
      <c r="AL3866" s="10"/>
      <c r="AM3866" s="10"/>
      <c r="AN3866" s="10"/>
      <c r="AO3866" s="10"/>
      <c r="AP3866" s="10"/>
      <c r="AQ3866" s="10"/>
      <c r="AR3866" s="10"/>
      <c r="AS3866" s="10"/>
      <c r="AT3866" s="10"/>
      <c r="AU3866" s="10"/>
      <c r="AV3866" s="10"/>
      <c r="AW3866" s="10"/>
      <c r="AX3866" s="10"/>
      <c r="AY3866" s="10"/>
      <c r="AZ3866" s="10"/>
    </row>
    <row r="3867" spans="28:52">
      <c r="AB3867" s="9">
        <v>0.99822814626784528</v>
      </c>
      <c r="AC3867" s="9">
        <v>1.1620273745701517</v>
      </c>
      <c r="AD3867" s="9">
        <v>1.0390073745865074</v>
      </c>
      <c r="AE3867" s="10"/>
      <c r="AF3867" s="10"/>
      <c r="AG3867" s="10"/>
      <c r="AH3867" s="10"/>
      <c r="AI3867" s="10"/>
      <c r="AJ3867" s="10"/>
      <c r="AK3867" s="10"/>
      <c r="AL3867" s="10"/>
      <c r="AM3867" s="10"/>
      <c r="AN3867" s="10"/>
      <c r="AO3867" s="10"/>
      <c r="AP3867" s="10"/>
      <c r="AQ3867" s="10"/>
      <c r="AR3867" s="10"/>
      <c r="AS3867" s="10"/>
      <c r="AT3867" s="10"/>
      <c r="AU3867" s="10"/>
      <c r="AV3867" s="10"/>
      <c r="AW3867" s="10"/>
      <c r="AX3867" s="10"/>
      <c r="AY3867" s="10"/>
      <c r="AZ3867" s="10"/>
    </row>
    <row r="3868" spans="28:52">
      <c r="AB3868" s="9">
        <v>1.010375149340107</v>
      </c>
      <c r="AC3868" s="9">
        <v>0.84554545958224847</v>
      </c>
      <c r="AD3868" s="9">
        <v>1.046117965386123</v>
      </c>
      <c r="AE3868" s="10"/>
      <c r="AF3868" s="10"/>
      <c r="AG3868" s="10"/>
      <c r="AH3868" s="10"/>
      <c r="AI3868" s="10"/>
      <c r="AJ3868" s="10"/>
      <c r="AK3868" s="10"/>
      <c r="AL3868" s="10"/>
      <c r="AM3868" s="10"/>
      <c r="AN3868" s="10"/>
      <c r="AO3868" s="10"/>
      <c r="AP3868" s="10"/>
      <c r="AQ3868" s="10"/>
      <c r="AR3868" s="10"/>
      <c r="AS3868" s="10"/>
      <c r="AT3868" s="10"/>
      <c r="AU3868" s="10"/>
      <c r="AV3868" s="10"/>
      <c r="AW3868" s="10"/>
      <c r="AX3868" s="10"/>
      <c r="AY3868" s="10"/>
      <c r="AZ3868" s="10"/>
    </row>
    <row r="3869" spans="28:52">
      <c r="AB3869" s="9">
        <v>1.0049133128095686</v>
      </c>
      <c r="AC3869" s="9">
        <v>0.9608530045676823</v>
      </c>
      <c r="AD3869" s="9">
        <v>1.0487489466678064</v>
      </c>
      <c r="AE3869" s="10"/>
      <c r="AF3869" s="10"/>
      <c r="AG3869" s="10"/>
      <c r="AH3869" s="10"/>
      <c r="AI3869" s="10"/>
      <c r="AJ3869" s="10"/>
      <c r="AK3869" s="10"/>
      <c r="AL3869" s="10"/>
      <c r="AM3869" s="10"/>
      <c r="AN3869" s="10"/>
      <c r="AO3869" s="10"/>
      <c r="AP3869" s="10"/>
      <c r="AQ3869" s="10"/>
      <c r="AR3869" s="10"/>
      <c r="AS3869" s="10"/>
      <c r="AT3869" s="10"/>
      <c r="AU3869" s="10"/>
      <c r="AV3869" s="10"/>
      <c r="AW3869" s="10"/>
      <c r="AX3869" s="10"/>
      <c r="AY3869" s="10"/>
      <c r="AZ3869" s="10"/>
    </row>
    <row r="3870" spans="28:52">
      <c r="AB3870" s="9">
        <v>1.0036589062455374</v>
      </c>
      <c r="AC3870" s="9">
        <v>0.78800725478086153</v>
      </c>
      <c r="AD3870" s="9">
        <v>1.054616148398307</v>
      </c>
      <c r="AE3870" s="10"/>
      <c r="AF3870" s="10"/>
      <c r="AG3870" s="10"/>
      <c r="AH3870" s="10"/>
      <c r="AI3870" s="10"/>
      <c r="AJ3870" s="10"/>
      <c r="AK3870" s="10"/>
      <c r="AL3870" s="10"/>
      <c r="AM3870" s="10"/>
      <c r="AN3870" s="10"/>
      <c r="AO3870" s="10"/>
      <c r="AP3870" s="10"/>
      <c r="AQ3870" s="10"/>
      <c r="AR3870" s="10"/>
      <c r="AS3870" s="10"/>
      <c r="AT3870" s="10"/>
      <c r="AU3870" s="10"/>
      <c r="AV3870" s="10"/>
      <c r="AW3870" s="10"/>
      <c r="AX3870" s="10"/>
      <c r="AY3870" s="10"/>
      <c r="AZ3870" s="10"/>
    </row>
    <row r="3871" spans="28:52">
      <c r="AB3871" s="9">
        <v>1.0000692332283576</v>
      </c>
      <c r="AC3871" s="9">
        <v>0.77555286516822153</v>
      </c>
      <c r="AD3871" s="9">
        <v>1.0699699290586462</v>
      </c>
      <c r="AE3871" s="10"/>
      <c r="AF3871" s="10"/>
      <c r="AG3871" s="10"/>
      <c r="AH3871" s="10"/>
      <c r="AI3871" s="10"/>
      <c r="AJ3871" s="10"/>
      <c r="AK3871" s="10"/>
      <c r="AL3871" s="10"/>
      <c r="AM3871" s="10"/>
      <c r="AN3871" s="10"/>
      <c r="AO3871" s="10"/>
      <c r="AP3871" s="10"/>
      <c r="AQ3871" s="10"/>
      <c r="AR3871" s="10"/>
      <c r="AS3871" s="10"/>
      <c r="AT3871" s="10"/>
      <c r="AU3871" s="10"/>
      <c r="AV3871" s="10"/>
      <c r="AW3871" s="10"/>
      <c r="AX3871" s="10"/>
      <c r="AY3871" s="10"/>
      <c r="AZ3871" s="10"/>
    </row>
    <row r="3872" spans="28:52">
      <c r="AB3872" s="9">
        <v>0.98800512512443284</v>
      </c>
      <c r="AC3872" s="9">
        <v>0.82038285006815792</v>
      </c>
      <c r="AD3872" s="9">
        <v>1.0663461066588888</v>
      </c>
      <c r="AE3872" s="10"/>
      <c r="AF3872" s="10"/>
      <c r="AG3872" s="10"/>
      <c r="AH3872" s="10"/>
      <c r="AI3872" s="10"/>
      <c r="AJ3872" s="10"/>
      <c r="AK3872" s="10"/>
      <c r="AL3872" s="10"/>
      <c r="AM3872" s="10"/>
      <c r="AN3872" s="10"/>
      <c r="AO3872" s="10"/>
      <c r="AP3872" s="10"/>
      <c r="AQ3872" s="10"/>
      <c r="AR3872" s="10"/>
      <c r="AS3872" s="10"/>
      <c r="AT3872" s="10"/>
      <c r="AU3872" s="10"/>
      <c r="AV3872" s="10"/>
      <c r="AW3872" s="10"/>
      <c r="AX3872" s="10"/>
      <c r="AY3872" s="10"/>
      <c r="AZ3872" s="10"/>
    </row>
    <row r="3873" spans="28:52">
      <c r="AB3873" s="9">
        <v>0.99303946292492351</v>
      </c>
      <c r="AC3873" s="9">
        <v>0.77940878676771552</v>
      </c>
      <c r="AD3873" s="9">
        <v>1.0510985984770282</v>
      </c>
      <c r="AE3873" s="10"/>
      <c r="AF3873" s="10"/>
      <c r="AG3873" s="10"/>
      <c r="AH3873" s="10"/>
      <c r="AI3873" s="10"/>
      <c r="AJ3873" s="10"/>
      <c r="AK3873" s="10"/>
      <c r="AL3873" s="10"/>
      <c r="AM3873" s="10"/>
      <c r="AN3873" s="10"/>
      <c r="AO3873" s="10"/>
      <c r="AP3873" s="10"/>
      <c r="AQ3873" s="10"/>
      <c r="AR3873" s="10"/>
      <c r="AS3873" s="10"/>
      <c r="AT3873" s="10"/>
      <c r="AU3873" s="10"/>
      <c r="AV3873" s="10"/>
      <c r="AW3873" s="10"/>
      <c r="AX3873" s="10"/>
      <c r="AY3873" s="10"/>
      <c r="AZ3873" s="10"/>
    </row>
    <row r="3874" spans="28:52">
      <c r="AB3874" s="9">
        <v>1.0085804486498129</v>
      </c>
      <c r="AC3874" s="9">
        <v>1.0644165962801444</v>
      </c>
      <c r="AD3874" s="9">
        <v>1.0488403861598332</v>
      </c>
      <c r="AE3874" s="10"/>
      <c r="AF3874" s="10"/>
      <c r="AG3874" s="10"/>
      <c r="AH3874" s="10"/>
      <c r="AI3874" s="10"/>
      <c r="AJ3874" s="10"/>
      <c r="AK3874" s="10"/>
      <c r="AL3874" s="10"/>
      <c r="AM3874" s="10"/>
      <c r="AN3874" s="10"/>
      <c r="AO3874" s="10"/>
      <c r="AP3874" s="10"/>
      <c r="AQ3874" s="10"/>
      <c r="AR3874" s="10"/>
      <c r="AS3874" s="10"/>
      <c r="AT3874" s="10"/>
      <c r="AU3874" s="10"/>
      <c r="AV3874" s="10"/>
      <c r="AW3874" s="10"/>
      <c r="AX3874" s="10"/>
      <c r="AY3874" s="10"/>
      <c r="AZ3874" s="10"/>
    </row>
    <row r="3875" spans="28:52">
      <c r="AB3875" s="9">
        <v>1.0119623250401371</v>
      </c>
      <c r="AC3875" s="9">
        <v>1.0453429822847096</v>
      </c>
      <c r="AD3875" s="9">
        <v>1.044362711344577</v>
      </c>
      <c r="AE3875" s="10"/>
      <c r="AF3875" s="10"/>
      <c r="AG3875" s="10"/>
      <c r="AH3875" s="10"/>
      <c r="AI3875" s="10"/>
      <c r="AJ3875" s="10"/>
      <c r="AK3875" s="10"/>
      <c r="AL3875" s="10"/>
      <c r="AM3875" s="10"/>
      <c r="AN3875" s="10"/>
      <c r="AO3875" s="10"/>
      <c r="AP3875" s="10"/>
      <c r="AQ3875" s="10"/>
      <c r="AR3875" s="10"/>
      <c r="AS3875" s="10"/>
      <c r="AT3875" s="10"/>
      <c r="AU3875" s="10"/>
      <c r="AV3875" s="10"/>
      <c r="AW3875" s="10"/>
      <c r="AX3875" s="10"/>
      <c r="AY3875" s="10"/>
      <c r="AZ3875" s="10"/>
    </row>
    <row r="3876" spans="28:52">
      <c r="AB3876" s="9">
        <v>1.0174168308172247</v>
      </c>
      <c r="AC3876" s="9">
        <v>0.91959370507897487</v>
      </c>
      <c r="AD3876" s="9">
        <v>1.0307319450493129</v>
      </c>
      <c r="AE3876" s="10"/>
      <c r="AF3876" s="10"/>
      <c r="AG3876" s="10"/>
      <c r="AH3876" s="10"/>
      <c r="AI3876" s="10"/>
      <c r="AJ3876" s="10"/>
      <c r="AK3876" s="10"/>
      <c r="AL3876" s="10"/>
      <c r="AM3876" s="10"/>
      <c r="AN3876" s="10"/>
      <c r="AO3876" s="10"/>
      <c r="AP3876" s="10"/>
      <c r="AQ3876" s="10"/>
      <c r="AR3876" s="10"/>
      <c r="AS3876" s="10"/>
      <c r="AT3876" s="10"/>
      <c r="AU3876" s="10"/>
      <c r="AV3876" s="10"/>
      <c r="AW3876" s="10"/>
      <c r="AX3876" s="10"/>
      <c r="AY3876" s="10"/>
      <c r="AZ3876" s="10"/>
    </row>
    <row r="3877" spans="28:52">
      <c r="AB3877" s="9">
        <v>1.0318920521668007</v>
      </c>
      <c r="AC3877" s="9">
        <v>1.0926050639782086</v>
      </c>
      <c r="AD3877" s="9">
        <v>1.0346930908885732</v>
      </c>
      <c r="AE3877" s="10"/>
      <c r="AF3877" s="10"/>
      <c r="AG3877" s="10"/>
      <c r="AH3877" s="10"/>
      <c r="AI3877" s="10"/>
      <c r="AJ3877" s="10"/>
      <c r="AK3877" s="10"/>
      <c r="AL3877" s="10"/>
      <c r="AM3877" s="10"/>
      <c r="AN3877" s="10"/>
      <c r="AO3877" s="10"/>
      <c r="AP3877" s="10"/>
      <c r="AQ3877" s="10"/>
      <c r="AR3877" s="10"/>
      <c r="AS3877" s="10"/>
      <c r="AT3877" s="10"/>
      <c r="AU3877" s="10"/>
      <c r="AV3877" s="10"/>
      <c r="AW3877" s="10"/>
      <c r="AX3877" s="10"/>
      <c r="AY3877" s="10"/>
      <c r="AZ3877" s="10"/>
    </row>
    <row r="3878" spans="28:52">
      <c r="AB3878" s="9">
        <v>1.0289280785731061</v>
      </c>
      <c r="AC3878" s="9">
        <v>0.98240754765974969</v>
      </c>
      <c r="AD3878" s="9">
        <v>1.0434296393756355</v>
      </c>
      <c r="AE3878" s="10"/>
      <c r="AF3878" s="10"/>
      <c r="AG3878" s="10"/>
      <c r="AH3878" s="10"/>
      <c r="AI3878" s="10"/>
      <c r="AJ3878" s="10"/>
      <c r="AK3878" s="10"/>
      <c r="AL3878" s="10"/>
      <c r="AM3878" s="10"/>
      <c r="AN3878" s="10"/>
      <c r="AO3878" s="10"/>
      <c r="AP3878" s="10"/>
      <c r="AQ3878" s="10"/>
      <c r="AR3878" s="10"/>
      <c r="AS3878" s="10"/>
      <c r="AT3878" s="10"/>
      <c r="AU3878" s="10"/>
      <c r="AV3878" s="10"/>
      <c r="AW3878" s="10"/>
      <c r="AX3878" s="10"/>
      <c r="AY3878" s="10"/>
      <c r="AZ3878" s="10"/>
    </row>
    <row r="3879" spans="28:52">
      <c r="AB3879" s="9">
        <v>1.021389562597143</v>
      </c>
      <c r="AC3879" s="9">
        <v>0.97052890287346472</v>
      </c>
      <c r="AD3879" s="9">
        <v>1.0456388785426978</v>
      </c>
      <c r="AE3879" s="10"/>
      <c r="AF3879" s="10"/>
      <c r="AG3879" s="10"/>
      <c r="AH3879" s="10"/>
      <c r="AI3879" s="10"/>
      <c r="AJ3879" s="10"/>
      <c r="AK3879" s="10"/>
      <c r="AL3879" s="10"/>
      <c r="AM3879" s="10"/>
      <c r="AN3879" s="10"/>
      <c r="AO3879" s="10"/>
      <c r="AP3879" s="10"/>
      <c r="AQ3879" s="10"/>
      <c r="AR3879" s="10"/>
      <c r="AS3879" s="10"/>
      <c r="AT3879" s="10"/>
      <c r="AU3879" s="10"/>
      <c r="AV3879" s="10"/>
      <c r="AW3879" s="10"/>
      <c r="AX3879" s="10"/>
      <c r="AY3879" s="10"/>
      <c r="AZ3879" s="10"/>
    </row>
    <row r="3880" spans="28:52">
      <c r="AB3880" s="9">
        <v>1.0206628177678929</v>
      </c>
      <c r="AC3880" s="9">
        <v>0.80170731671774353</v>
      </c>
      <c r="AD3880" s="9">
        <v>1.0462737949921637</v>
      </c>
      <c r="AE3880" s="10"/>
      <c r="AF3880" s="10"/>
      <c r="AG3880" s="10"/>
      <c r="AH3880" s="10"/>
      <c r="AI3880" s="10"/>
      <c r="AJ3880" s="10"/>
      <c r="AK3880" s="10"/>
      <c r="AL3880" s="10"/>
      <c r="AM3880" s="10"/>
      <c r="AN3880" s="10"/>
      <c r="AO3880" s="10"/>
      <c r="AP3880" s="10"/>
      <c r="AQ3880" s="10"/>
      <c r="AR3880" s="10"/>
      <c r="AS3880" s="10"/>
      <c r="AT3880" s="10"/>
      <c r="AU3880" s="10"/>
      <c r="AV3880" s="10"/>
      <c r="AW3880" s="10"/>
      <c r="AX3880" s="10"/>
      <c r="AY3880" s="10"/>
      <c r="AZ3880" s="10"/>
    </row>
    <row r="3881" spans="28:52">
      <c r="AB3881" s="9">
        <v>1.0219011513383098</v>
      </c>
      <c r="AC3881" s="9">
        <v>0.85698579746839187</v>
      </c>
      <c r="AD3881" s="9">
        <v>1.04811242508082</v>
      </c>
      <c r="AE3881" s="10"/>
      <c r="AF3881" s="10"/>
      <c r="AG3881" s="10"/>
      <c r="AH3881" s="10"/>
      <c r="AI3881" s="10"/>
      <c r="AJ3881" s="10"/>
      <c r="AK3881" s="10"/>
      <c r="AL3881" s="10"/>
      <c r="AM3881" s="10"/>
      <c r="AN3881" s="10"/>
      <c r="AO3881" s="10"/>
      <c r="AP3881" s="10"/>
      <c r="AQ3881" s="10"/>
      <c r="AR3881" s="10"/>
      <c r="AS3881" s="10"/>
      <c r="AT3881" s="10"/>
      <c r="AU3881" s="10"/>
      <c r="AV3881" s="10"/>
      <c r="AW3881" s="10"/>
      <c r="AX3881" s="10"/>
      <c r="AY3881" s="10"/>
      <c r="AZ3881" s="10"/>
    </row>
    <row r="3882" spans="28:52">
      <c r="AB3882" s="9">
        <v>1.0220955551574729</v>
      </c>
      <c r="AC3882" s="9">
        <v>1.0079021412491185</v>
      </c>
      <c r="AD3882" s="9">
        <v>1.0609781865545382</v>
      </c>
      <c r="AE3882" s="10"/>
      <c r="AF3882" s="10"/>
      <c r="AG3882" s="10"/>
      <c r="AH3882" s="10"/>
      <c r="AI3882" s="10"/>
      <c r="AJ3882" s="10"/>
      <c r="AK3882" s="10"/>
      <c r="AL3882" s="10"/>
      <c r="AM3882" s="10"/>
      <c r="AN3882" s="10"/>
      <c r="AO3882" s="10"/>
      <c r="AP3882" s="10"/>
      <c r="AQ3882" s="10"/>
      <c r="AR3882" s="10"/>
      <c r="AS3882" s="10"/>
      <c r="AT3882" s="10"/>
      <c r="AU3882" s="10"/>
      <c r="AV3882" s="10"/>
      <c r="AW3882" s="10"/>
      <c r="AX3882" s="10"/>
      <c r="AY3882" s="10"/>
      <c r="AZ3882" s="10"/>
    </row>
    <row r="3883" spans="28:52">
      <c r="AB3883" s="9">
        <v>1.0120258497758847</v>
      </c>
      <c r="AC3883" s="9">
        <v>0.89678062420670845</v>
      </c>
      <c r="AD3883" s="9">
        <v>1.0571530427450195</v>
      </c>
      <c r="AE3883" s="10"/>
      <c r="AF3883" s="10"/>
      <c r="AG3883" s="10"/>
      <c r="AH3883" s="10"/>
      <c r="AI3883" s="10"/>
      <c r="AJ3883" s="10"/>
      <c r="AK3883" s="10"/>
      <c r="AL3883" s="10"/>
      <c r="AM3883" s="10"/>
      <c r="AN3883" s="10"/>
      <c r="AO3883" s="10"/>
      <c r="AP3883" s="10"/>
      <c r="AQ3883" s="10"/>
      <c r="AR3883" s="10"/>
      <c r="AS3883" s="10"/>
      <c r="AT3883" s="10"/>
      <c r="AU3883" s="10"/>
      <c r="AV3883" s="10"/>
      <c r="AW3883" s="10"/>
      <c r="AX3883" s="10"/>
      <c r="AY3883" s="10"/>
      <c r="AZ3883" s="10"/>
    </row>
    <row r="3884" spans="28:52">
      <c r="AB3884" s="9">
        <v>1.017988894311141</v>
      </c>
      <c r="AC3884" s="9">
        <v>0.86251960271824368</v>
      </c>
      <c r="AD3884" s="9">
        <v>1.0702519067658554</v>
      </c>
      <c r="AE3884" s="10"/>
      <c r="AF3884" s="10"/>
      <c r="AG3884" s="10"/>
      <c r="AH3884" s="10"/>
      <c r="AI3884" s="10"/>
      <c r="AJ3884" s="10"/>
      <c r="AK3884" s="10"/>
      <c r="AL3884" s="10"/>
      <c r="AM3884" s="10"/>
      <c r="AN3884" s="10"/>
      <c r="AO3884" s="10"/>
      <c r="AP3884" s="10"/>
      <c r="AQ3884" s="10"/>
      <c r="AR3884" s="10"/>
      <c r="AS3884" s="10"/>
      <c r="AT3884" s="10"/>
      <c r="AU3884" s="10"/>
      <c r="AV3884" s="10"/>
      <c r="AW3884" s="10"/>
      <c r="AX3884" s="10"/>
      <c r="AY3884" s="10"/>
      <c r="AZ3884" s="10"/>
    </row>
    <row r="3885" spans="28:52">
      <c r="AB3885" s="9">
        <v>1.0080934742115322</v>
      </c>
      <c r="AC3885" s="9">
        <v>1.0909371838280408</v>
      </c>
      <c r="AD3885" s="9">
        <v>1.0596137157260264</v>
      </c>
      <c r="AE3885" s="10"/>
      <c r="AF3885" s="10"/>
      <c r="AG3885" s="10"/>
      <c r="AH3885" s="10"/>
      <c r="AI3885" s="10"/>
      <c r="AJ3885" s="10"/>
      <c r="AK3885" s="10"/>
      <c r="AL3885" s="10"/>
      <c r="AM3885" s="10"/>
      <c r="AN3885" s="10"/>
      <c r="AO3885" s="10"/>
      <c r="AP3885" s="10"/>
      <c r="AQ3885" s="10"/>
      <c r="AR3885" s="10"/>
      <c r="AS3885" s="10"/>
      <c r="AT3885" s="10"/>
      <c r="AU3885" s="10"/>
      <c r="AV3885" s="10"/>
      <c r="AW3885" s="10"/>
      <c r="AX3885" s="10"/>
      <c r="AY3885" s="10"/>
      <c r="AZ3885" s="10"/>
    </row>
    <row r="3886" spans="28:52">
      <c r="AB3886" s="9">
        <v>1.0205901635497765</v>
      </c>
      <c r="AC3886" s="9">
        <v>0.83481278304274409</v>
      </c>
      <c r="AD3886" s="9">
        <v>1.0309127814392487</v>
      </c>
      <c r="AE3886" s="10"/>
      <c r="AF3886" s="10"/>
      <c r="AG3886" s="10"/>
      <c r="AH3886" s="10"/>
      <c r="AI3886" s="10"/>
      <c r="AJ3886" s="10"/>
      <c r="AK3886" s="10"/>
      <c r="AL3886" s="10"/>
      <c r="AM3886" s="10"/>
      <c r="AN3886" s="10"/>
      <c r="AO3886" s="10"/>
      <c r="AP3886" s="10"/>
      <c r="AQ3886" s="10"/>
      <c r="AR3886" s="10"/>
      <c r="AS3886" s="10"/>
      <c r="AT3886" s="10"/>
      <c r="AU3886" s="10"/>
      <c r="AV3886" s="10"/>
      <c r="AW3886" s="10"/>
      <c r="AX3886" s="10"/>
      <c r="AY3886" s="10"/>
      <c r="AZ3886" s="10"/>
    </row>
    <row r="3887" spans="28:52">
      <c r="AB3887" s="9">
        <v>1.0507120207147733</v>
      </c>
      <c r="AC3887" s="9">
        <v>1.3146591306305506</v>
      </c>
      <c r="AD3887" s="9">
        <v>1.0329955956738501</v>
      </c>
      <c r="AE3887" s="10"/>
      <c r="AF3887" s="10"/>
      <c r="AG3887" s="10"/>
      <c r="AH3887" s="10"/>
      <c r="AI3887" s="10"/>
      <c r="AJ3887" s="10"/>
      <c r="AK3887" s="10"/>
      <c r="AL3887" s="10"/>
      <c r="AM3887" s="10"/>
      <c r="AN3887" s="10"/>
      <c r="AO3887" s="10"/>
      <c r="AP3887" s="10"/>
      <c r="AQ3887" s="10"/>
      <c r="AR3887" s="10"/>
      <c r="AS3887" s="10"/>
      <c r="AT3887" s="10"/>
      <c r="AU3887" s="10"/>
      <c r="AV3887" s="10"/>
      <c r="AW3887" s="10"/>
      <c r="AX3887" s="10"/>
      <c r="AY3887" s="10"/>
      <c r="AZ3887" s="10"/>
    </row>
    <row r="3888" spans="28:52">
      <c r="AB3888" s="9">
        <v>1.0498407985970373</v>
      </c>
      <c r="AC3888" s="9">
        <v>1.181361477323926</v>
      </c>
      <c r="AD3888" s="9">
        <v>1.0357391131136982</v>
      </c>
      <c r="AE3888" s="10"/>
      <c r="AF3888" s="10"/>
      <c r="AG3888" s="10"/>
      <c r="AH3888" s="10"/>
      <c r="AI3888" s="10"/>
      <c r="AJ3888" s="10"/>
      <c r="AK3888" s="10"/>
      <c r="AL3888" s="10"/>
      <c r="AM3888" s="10"/>
      <c r="AN3888" s="10"/>
      <c r="AO3888" s="10"/>
      <c r="AP3888" s="10"/>
      <c r="AQ3888" s="10"/>
      <c r="AR3888" s="10"/>
      <c r="AS3888" s="10"/>
      <c r="AT3888" s="10"/>
      <c r="AU3888" s="10"/>
      <c r="AV3888" s="10"/>
      <c r="AW3888" s="10"/>
      <c r="AX3888" s="10"/>
      <c r="AY3888" s="10"/>
      <c r="AZ3888" s="10"/>
    </row>
    <row r="3889" spans="28:52">
      <c r="AB3889" s="9">
        <v>1.0484358499978677</v>
      </c>
      <c r="AC3889" s="9">
        <v>1.0038633978118732</v>
      </c>
      <c r="AD3889" s="9">
        <v>1.0361500981873442</v>
      </c>
      <c r="AE3889" s="10"/>
      <c r="AF3889" s="10"/>
      <c r="AG3889" s="10"/>
      <c r="AH3889" s="10"/>
      <c r="AI3889" s="10"/>
      <c r="AJ3889" s="10"/>
      <c r="AK3889" s="10"/>
      <c r="AL3889" s="10"/>
      <c r="AM3889" s="10"/>
      <c r="AN3889" s="10"/>
      <c r="AO3889" s="10"/>
      <c r="AP3889" s="10"/>
      <c r="AQ3889" s="10"/>
      <c r="AR3889" s="10"/>
      <c r="AS3889" s="10"/>
      <c r="AT3889" s="10"/>
      <c r="AU3889" s="10"/>
      <c r="AV3889" s="10"/>
      <c r="AW3889" s="10"/>
      <c r="AX3889" s="10"/>
      <c r="AY3889" s="10"/>
      <c r="AZ3889" s="10"/>
    </row>
    <row r="3890" spans="28:52">
      <c r="AB3890" s="9">
        <v>1.049252420842159</v>
      </c>
      <c r="AC3890" s="9">
        <v>1.2434409169524818</v>
      </c>
      <c r="AD3890" s="9">
        <v>1.0388870105727896</v>
      </c>
      <c r="AE3890" s="10"/>
      <c r="AF3890" s="10"/>
      <c r="AG3890" s="10"/>
      <c r="AH3890" s="10"/>
      <c r="AI3890" s="10"/>
      <c r="AJ3890" s="10"/>
      <c r="AK3890" s="10"/>
      <c r="AL3890" s="10"/>
      <c r="AM3890" s="10"/>
      <c r="AN3890" s="10"/>
      <c r="AO3890" s="10"/>
      <c r="AP3890" s="10"/>
      <c r="AQ3890" s="10"/>
      <c r="AR3890" s="10"/>
      <c r="AS3890" s="10"/>
      <c r="AT3890" s="10"/>
      <c r="AU3890" s="10"/>
      <c r="AV3890" s="10"/>
      <c r="AW3890" s="10"/>
      <c r="AX3890" s="10"/>
      <c r="AY3890" s="10"/>
      <c r="AZ3890" s="10"/>
    </row>
    <row r="3891" spans="28:52">
      <c r="AB3891" s="9">
        <v>1.0471397509098221</v>
      </c>
      <c r="AC3891" s="9">
        <v>0.94480109489319375</v>
      </c>
      <c r="AD3891" s="9">
        <v>1.0373747867594825</v>
      </c>
      <c r="AE3891" s="10"/>
      <c r="AF3891" s="10"/>
      <c r="AG3891" s="10"/>
      <c r="AH3891" s="10"/>
      <c r="AI3891" s="10"/>
      <c r="AJ3891" s="10"/>
      <c r="AK3891" s="10"/>
      <c r="AL3891" s="10"/>
      <c r="AM3891" s="10"/>
      <c r="AN3891" s="10"/>
      <c r="AO3891" s="10"/>
      <c r="AP3891" s="10"/>
      <c r="AQ3891" s="10"/>
      <c r="AR3891" s="10"/>
      <c r="AS3891" s="10"/>
      <c r="AT3891" s="10"/>
      <c r="AU3891" s="10"/>
      <c r="AV3891" s="10"/>
      <c r="AW3891" s="10"/>
      <c r="AX3891" s="10"/>
      <c r="AY3891" s="10"/>
      <c r="AZ3891" s="10"/>
    </row>
    <row r="3892" spans="28:52">
      <c r="AB3892" s="9">
        <v>1.0489497859272521</v>
      </c>
      <c r="AC3892" s="9">
        <v>1.0398095140108619</v>
      </c>
      <c r="AD3892" s="9">
        <v>1.0410433875466369</v>
      </c>
      <c r="AE3892" s="10"/>
      <c r="AF3892" s="10"/>
      <c r="AG3892" s="10"/>
      <c r="AH3892" s="10"/>
      <c r="AI3892" s="10"/>
      <c r="AJ3892" s="10"/>
      <c r="AK3892" s="10"/>
      <c r="AL3892" s="10"/>
      <c r="AM3892" s="10"/>
      <c r="AN3892" s="10"/>
      <c r="AO3892" s="10"/>
      <c r="AP3892" s="10"/>
      <c r="AQ3892" s="10"/>
      <c r="AR3892" s="10"/>
      <c r="AS3892" s="10"/>
      <c r="AT3892" s="10"/>
      <c r="AU3892" s="10"/>
      <c r="AV3892" s="10"/>
      <c r="AW3892" s="10"/>
      <c r="AX3892" s="10"/>
      <c r="AY3892" s="10"/>
      <c r="AZ3892" s="10"/>
    </row>
    <row r="3893" spans="28:52">
      <c r="AB3893" s="9">
        <v>1.0455575405002338</v>
      </c>
      <c r="AC3893" s="9">
        <v>0.99208879546523954</v>
      </c>
      <c r="AD3893" s="9">
        <v>1.0364860853378866</v>
      </c>
      <c r="AE3893" s="10"/>
      <c r="AF3893" s="10"/>
      <c r="AG3893" s="10"/>
      <c r="AH3893" s="10"/>
      <c r="AI3893" s="10"/>
      <c r="AJ3893" s="10"/>
      <c r="AK3893" s="10"/>
      <c r="AL3893" s="10"/>
      <c r="AM3893" s="10"/>
      <c r="AN3893" s="10"/>
      <c r="AO3893" s="10"/>
      <c r="AP3893" s="10"/>
      <c r="AQ3893" s="10"/>
      <c r="AR3893" s="10"/>
      <c r="AS3893" s="10"/>
      <c r="AT3893" s="10"/>
      <c r="AU3893" s="10"/>
      <c r="AV3893" s="10"/>
      <c r="AW3893" s="10"/>
      <c r="AX3893" s="10"/>
      <c r="AY3893" s="10"/>
      <c r="AZ3893" s="10"/>
    </row>
    <row r="3894" spans="28:52">
      <c r="AB3894" s="9">
        <v>1.050173196249482</v>
      </c>
      <c r="AC3894" s="9">
        <v>1.2348239115344821</v>
      </c>
      <c r="AD3894" s="9">
        <v>1.0476257784904259</v>
      </c>
      <c r="AE3894" s="10"/>
      <c r="AF3894" s="10"/>
      <c r="AG3894" s="10"/>
      <c r="AH3894" s="10"/>
      <c r="AI3894" s="10"/>
      <c r="AJ3894" s="10"/>
      <c r="AK3894" s="10"/>
      <c r="AL3894" s="10"/>
      <c r="AM3894" s="10"/>
      <c r="AN3894" s="10"/>
      <c r="AO3894" s="10"/>
      <c r="AP3894" s="10"/>
      <c r="AQ3894" s="10"/>
      <c r="AR3894" s="10"/>
      <c r="AS3894" s="10"/>
      <c r="AT3894" s="10"/>
      <c r="AU3894" s="10"/>
      <c r="AV3894" s="10"/>
      <c r="AW3894" s="10"/>
      <c r="AX3894" s="10"/>
      <c r="AY3894" s="10"/>
      <c r="AZ3894" s="10"/>
    </row>
    <row r="3895" spans="28:52">
      <c r="AB3895" s="9">
        <v>1.0395408477172727</v>
      </c>
      <c r="AC3895" s="9">
        <v>1.2033529283692577</v>
      </c>
      <c r="AD3895" s="9">
        <v>1.0496070782574587</v>
      </c>
      <c r="AE3895" s="10"/>
      <c r="AF3895" s="10"/>
      <c r="AG3895" s="10"/>
      <c r="AH3895" s="10"/>
      <c r="AI3895" s="10"/>
      <c r="AJ3895" s="10"/>
      <c r="AK3895" s="10"/>
      <c r="AL3895" s="10"/>
      <c r="AM3895" s="10"/>
      <c r="AN3895" s="10"/>
      <c r="AO3895" s="10"/>
      <c r="AP3895" s="10"/>
      <c r="AQ3895" s="10"/>
      <c r="AR3895" s="10"/>
      <c r="AS3895" s="10"/>
      <c r="AT3895" s="10"/>
      <c r="AU3895" s="10"/>
      <c r="AV3895" s="10"/>
      <c r="AW3895" s="10"/>
      <c r="AX3895" s="10"/>
      <c r="AY3895" s="10"/>
      <c r="AZ3895" s="10"/>
    </row>
    <row r="3896" spans="28:52">
      <c r="AB3896" s="9">
        <v>1.0377772603922693</v>
      </c>
      <c r="AC3896" s="9">
        <v>0.97402550339267324</v>
      </c>
      <c r="AD3896" s="9">
        <v>1.0394907304319096</v>
      </c>
      <c r="AE3896" s="10"/>
      <c r="AF3896" s="10"/>
      <c r="AG3896" s="10"/>
      <c r="AH3896" s="10"/>
      <c r="AI3896" s="10"/>
      <c r="AJ3896" s="10"/>
      <c r="AK3896" s="10"/>
      <c r="AL3896" s="10"/>
      <c r="AM3896" s="10"/>
      <c r="AN3896" s="10"/>
      <c r="AO3896" s="10"/>
      <c r="AP3896" s="10"/>
      <c r="AQ3896" s="10"/>
      <c r="AR3896" s="10"/>
      <c r="AS3896" s="10"/>
      <c r="AT3896" s="10"/>
      <c r="AU3896" s="10"/>
      <c r="AV3896" s="10"/>
      <c r="AW3896" s="10"/>
      <c r="AX3896" s="10"/>
      <c r="AY3896" s="10"/>
      <c r="AZ3896" s="10"/>
    </row>
    <row r="3897" spans="28:52">
      <c r="AB3897" s="9">
        <v>1.0476228602852966</v>
      </c>
      <c r="AC3897" s="9">
        <v>1.2451016572158029</v>
      </c>
      <c r="AD3897" s="9">
        <v>1.0415922367498074</v>
      </c>
      <c r="AE3897" s="10"/>
      <c r="AF3897" s="10"/>
      <c r="AG3897" s="10"/>
      <c r="AH3897" s="10"/>
      <c r="AI3897" s="10"/>
      <c r="AJ3897" s="10"/>
      <c r="AK3897" s="10"/>
      <c r="AL3897" s="10"/>
      <c r="AM3897" s="10"/>
      <c r="AN3897" s="10"/>
      <c r="AO3897" s="10"/>
      <c r="AP3897" s="10"/>
      <c r="AQ3897" s="10"/>
      <c r="AR3897" s="10"/>
      <c r="AS3897" s="10"/>
      <c r="AT3897" s="10"/>
      <c r="AU3897" s="10"/>
      <c r="AV3897" s="10"/>
      <c r="AW3897" s="10"/>
      <c r="AX3897" s="10"/>
      <c r="AY3897" s="10"/>
      <c r="AZ3897" s="10"/>
    </row>
    <row r="3898" spans="28:52">
      <c r="AB3898" s="9">
        <v>1.0452299551575541</v>
      </c>
      <c r="AC3898" s="9">
        <v>1.1274188610358433</v>
      </c>
      <c r="AD3898" s="9">
        <v>1.0556933983807955</v>
      </c>
      <c r="AE3898" s="10"/>
      <c r="AF3898" s="10"/>
      <c r="AG3898" s="10"/>
      <c r="AH3898" s="10"/>
      <c r="AI3898" s="10"/>
      <c r="AJ3898" s="10"/>
      <c r="AK3898" s="10"/>
      <c r="AL3898" s="10"/>
      <c r="AM3898" s="10"/>
      <c r="AN3898" s="10"/>
      <c r="AO3898" s="10"/>
      <c r="AP3898" s="10"/>
      <c r="AQ3898" s="10"/>
      <c r="AR3898" s="10"/>
      <c r="AS3898" s="10"/>
      <c r="AT3898" s="10"/>
      <c r="AU3898" s="10"/>
      <c r="AV3898" s="10"/>
      <c r="AW3898" s="10"/>
      <c r="AX3898" s="10"/>
      <c r="AY3898" s="10"/>
      <c r="AZ3898" s="10"/>
    </row>
    <row r="3899" spans="28:52">
      <c r="AB3899" s="9">
        <v>1.031379748887479</v>
      </c>
      <c r="AC3899" s="9">
        <v>1.1392979545845787</v>
      </c>
      <c r="AD3899" s="9">
        <v>1.0393903596275103</v>
      </c>
      <c r="AE3899" s="10"/>
      <c r="AF3899" s="10"/>
      <c r="AG3899" s="10"/>
      <c r="AH3899" s="10"/>
      <c r="AI3899" s="10"/>
      <c r="AJ3899" s="10"/>
      <c r="AK3899" s="10"/>
      <c r="AL3899" s="10"/>
      <c r="AM3899" s="10"/>
      <c r="AN3899" s="10"/>
      <c r="AO3899" s="10"/>
      <c r="AP3899" s="10"/>
      <c r="AQ3899" s="10"/>
      <c r="AR3899" s="10"/>
      <c r="AS3899" s="10"/>
      <c r="AT3899" s="10"/>
      <c r="AU3899" s="10"/>
      <c r="AV3899" s="10"/>
      <c r="AW3899" s="10"/>
      <c r="AX3899" s="10"/>
      <c r="AY3899" s="10"/>
      <c r="AZ3899" s="10"/>
    </row>
    <row r="3900" spans="28:52">
      <c r="AB3900" s="9">
        <v>1.0480294038476412</v>
      </c>
      <c r="AC3900" s="9">
        <v>1.4186255902133433</v>
      </c>
      <c r="AD3900" s="9">
        <v>1.0397088203097908</v>
      </c>
      <c r="AE3900" s="10"/>
      <c r="AF3900" s="10"/>
      <c r="AG3900" s="10"/>
      <c r="AH3900" s="10"/>
      <c r="AI3900" s="10"/>
      <c r="AJ3900" s="10"/>
      <c r="AK3900" s="10"/>
      <c r="AL3900" s="10"/>
      <c r="AM3900" s="10"/>
      <c r="AN3900" s="10"/>
      <c r="AO3900" s="10"/>
      <c r="AP3900" s="10"/>
      <c r="AQ3900" s="10"/>
      <c r="AR3900" s="10"/>
      <c r="AS3900" s="10"/>
      <c r="AT3900" s="10"/>
      <c r="AU3900" s="10"/>
      <c r="AV3900" s="10"/>
      <c r="AW3900" s="10"/>
      <c r="AX3900" s="10"/>
      <c r="AY3900" s="10"/>
      <c r="AZ3900" s="10"/>
    </row>
    <row r="3901" spans="28:52">
      <c r="AB3901" s="9">
        <v>1.0477889639581304</v>
      </c>
      <c r="AC3901" s="9">
        <v>1.3231161695996909</v>
      </c>
      <c r="AD3901" s="9">
        <v>1.04483450687085</v>
      </c>
      <c r="AE3901" s="10"/>
      <c r="AF3901" s="10"/>
      <c r="AG3901" s="10"/>
      <c r="AH3901" s="10"/>
      <c r="AI3901" s="10"/>
      <c r="AJ3901" s="10"/>
      <c r="AK3901" s="10"/>
      <c r="AL3901" s="10"/>
      <c r="AM3901" s="10"/>
      <c r="AN3901" s="10"/>
      <c r="AO3901" s="10"/>
      <c r="AP3901" s="10"/>
      <c r="AQ3901" s="10"/>
      <c r="AR3901" s="10"/>
      <c r="AS3901" s="10"/>
      <c r="AT3901" s="10"/>
      <c r="AU3901" s="10"/>
      <c r="AV3901" s="10"/>
      <c r="AW3901" s="10"/>
      <c r="AX3901" s="10"/>
      <c r="AY3901" s="10"/>
      <c r="AZ3901" s="10"/>
    </row>
    <row r="3902" spans="28:52">
      <c r="AB3902" s="9">
        <v>1.0428325519009478</v>
      </c>
      <c r="AC3902" s="9">
        <v>1.2867657285274796</v>
      </c>
      <c r="AD3902" s="9">
        <v>1.0341864814395656</v>
      </c>
      <c r="AE3902" s="10"/>
      <c r="AF3902" s="10"/>
      <c r="AG3902" s="10"/>
      <c r="AH3902" s="10"/>
      <c r="AI3902" s="10"/>
      <c r="AJ3902" s="10"/>
      <c r="AK3902" s="10"/>
      <c r="AL3902" s="10"/>
      <c r="AM3902" s="10"/>
      <c r="AN3902" s="10"/>
      <c r="AO3902" s="10"/>
      <c r="AP3902" s="10"/>
      <c r="AQ3902" s="10"/>
      <c r="AR3902" s="10"/>
      <c r="AS3902" s="10"/>
      <c r="AT3902" s="10"/>
      <c r="AU3902" s="10"/>
      <c r="AV3902" s="10"/>
      <c r="AW3902" s="10"/>
      <c r="AX3902" s="10"/>
      <c r="AY3902" s="10"/>
      <c r="AZ3902" s="10"/>
    </row>
    <row r="3903" spans="28:52">
      <c r="AB3903" s="9">
        <v>1.0534336201503873</v>
      </c>
      <c r="AC3903" s="9">
        <v>1.438676911915048</v>
      </c>
      <c r="AD3903" s="9">
        <v>1.0238708955703903</v>
      </c>
      <c r="AE3903" s="10"/>
      <c r="AF3903" s="10"/>
      <c r="AG3903" s="10"/>
      <c r="AH3903" s="10"/>
      <c r="AI3903" s="10"/>
      <c r="AJ3903" s="10"/>
      <c r="AK3903" s="10"/>
      <c r="AL3903" s="10"/>
      <c r="AM3903" s="10"/>
      <c r="AN3903" s="10"/>
      <c r="AO3903" s="10"/>
      <c r="AP3903" s="10"/>
      <c r="AQ3903" s="10"/>
      <c r="AR3903" s="10"/>
      <c r="AS3903" s="10"/>
      <c r="AT3903" s="10"/>
      <c r="AU3903" s="10"/>
      <c r="AV3903" s="10"/>
      <c r="AW3903" s="10"/>
      <c r="AX3903" s="10"/>
      <c r="AY3903" s="10"/>
      <c r="AZ3903" s="10"/>
    </row>
    <row r="3904" spans="28:52">
      <c r="AB3904" s="9">
        <v>1.0635904992011125</v>
      </c>
      <c r="AC3904" s="9">
        <v>1.6031494400077981</v>
      </c>
      <c r="AD3904" s="9">
        <v>1.0363115024034895</v>
      </c>
      <c r="AE3904" s="10"/>
      <c r="AF3904" s="10"/>
      <c r="AG3904" s="10"/>
      <c r="AH3904" s="10"/>
      <c r="AI3904" s="10"/>
      <c r="AJ3904" s="10"/>
      <c r="AK3904" s="10"/>
      <c r="AL3904" s="10"/>
      <c r="AM3904" s="10"/>
      <c r="AN3904" s="10"/>
      <c r="AO3904" s="10"/>
      <c r="AP3904" s="10"/>
      <c r="AQ3904" s="10"/>
      <c r="AR3904" s="10"/>
      <c r="AS3904" s="10"/>
      <c r="AT3904" s="10"/>
      <c r="AU3904" s="10"/>
      <c r="AV3904" s="10"/>
      <c r="AW3904" s="10"/>
      <c r="AX3904" s="10"/>
      <c r="AY3904" s="10"/>
      <c r="AZ3904" s="10"/>
    </row>
    <row r="3905" spans="28:52">
      <c r="AB3905" s="9">
        <v>1.0503297796764821</v>
      </c>
      <c r="AC3905" s="9">
        <v>1.2226482738171454</v>
      </c>
      <c r="AD3905" s="9">
        <v>1.0466666381668945</v>
      </c>
      <c r="AE3905" s="10"/>
      <c r="AF3905" s="10"/>
      <c r="AG3905" s="10"/>
      <c r="AH3905" s="10"/>
      <c r="AI3905" s="10"/>
      <c r="AJ3905" s="10"/>
      <c r="AK3905" s="10"/>
      <c r="AL3905" s="10"/>
      <c r="AM3905" s="10"/>
      <c r="AN3905" s="10"/>
      <c r="AO3905" s="10"/>
      <c r="AP3905" s="10"/>
      <c r="AQ3905" s="10"/>
      <c r="AR3905" s="10"/>
      <c r="AS3905" s="10"/>
      <c r="AT3905" s="10"/>
      <c r="AU3905" s="10"/>
      <c r="AV3905" s="10"/>
      <c r="AW3905" s="10"/>
      <c r="AX3905" s="10"/>
      <c r="AY3905" s="10"/>
      <c r="AZ3905" s="10"/>
    </row>
    <row r="3906" spans="28:52">
      <c r="AB3906" s="9">
        <v>1.0400137340618965</v>
      </c>
      <c r="AC3906" s="9">
        <v>1.0891695451542027</v>
      </c>
      <c r="AD3906" s="9">
        <v>1.0519694446548871</v>
      </c>
      <c r="AE3906" s="10"/>
      <c r="AF3906" s="10"/>
      <c r="AG3906" s="10"/>
      <c r="AH3906" s="10"/>
      <c r="AI3906" s="10"/>
      <c r="AJ3906" s="10"/>
      <c r="AK3906" s="10"/>
      <c r="AL3906" s="10"/>
      <c r="AM3906" s="10"/>
      <c r="AN3906" s="10"/>
      <c r="AO3906" s="10"/>
      <c r="AP3906" s="10"/>
      <c r="AQ3906" s="10"/>
      <c r="AR3906" s="10"/>
      <c r="AS3906" s="10"/>
      <c r="AT3906" s="10"/>
      <c r="AU3906" s="10"/>
      <c r="AV3906" s="10"/>
      <c r="AW3906" s="10"/>
      <c r="AX3906" s="10"/>
      <c r="AY3906" s="10"/>
      <c r="AZ3906" s="10"/>
    </row>
    <row r="3907" spans="28:52">
      <c r="AB3907" s="9">
        <v>1.0350104796617867</v>
      </c>
      <c r="AC3907" s="9">
        <v>1.028136216031448</v>
      </c>
      <c r="AD3907" s="9">
        <v>1.0475570114939259</v>
      </c>
      <c r="AE3907" s="10"/>
      <c r="AF3907" s="10"/>
      <c r="AG3907" s="10"/>
      <c r="AH3907" s="10"/>
      <c r="AI3907" s="10"/>
      <c r="AJ3907" s="10"/>
      <c r="AK3907" s="10"/>
      <c r="AL3907" s="10"/>
      <c r="AM3907" s="10"/>
      <c r="AN3907" s="10"/>
      <c r="AO3907" s="10"/>
      <c r="AP3907" s="10"/>
      <c r="AQ3907" s="10"/>
      <c r="AR3907" s="10"/>
      <c r="AS3907" s="10"/>
      <c r="AT3907" s="10"/>
      <c r="AU3907" s="10"/>
      <c r="AV3907" s="10"/>
      <c r="AW3907" s="10"/>
      <c r="AX3907" s="10"/>
      <c r="AY3907" s="10"/>
      <c r="AZ3907" s="10"/>
    </row>
    <row r="3908" spans="28:52">
      <c r="AB3908" s="9">
        <v>1.0397991873537524</v>
      </c>
      <c r="AC3908" s="9">
        <v>1.0235611692376365</v>
      </c>
      <c r="AD3908" s="9">
        <v>1.0496527685057082</v>
      </c>
      <c r="AE3908" s="10"/>
      <c r="AF3908" s="10"/>
      <c r="AG3908" s="10"/>
      <c r="AH3908" s="10"/>
      <c r="AI3908" s="10"/>
      <c r="AJ3908" s="10"/>
      <c r="AK3908" s="10"/>
      <c r="AL3908" s="10"/>
      <c r="AM3908" s="10"/>
      <c r="AN3908" s="10"/>
      <c r="AO3908" s="10"/>
      <c r="AP3908" s="10"/>
      <c r="AQ3908" s="10"/>
      <c r="AR3908" s="10"/>
      <c r="AS3908" s="10"/>
      <c r="AT3908" s="10"/>
      <c r="AU3908" s="10"/>
      <c r="AV3908" s="10"/>
      <c r="AW3908" s="10"/>
      <c r="AX3908" s="10"/>
      <c r="AY3908" s="10"/>
      <c r="AZ3908" s="10"/>
    </row>
    <row r="3909" spans="28:52">
      <c r="AB3909" s="9">
        <v>1.0384977858245275</v>
      </c>
      <c r="AC3909" s="9">
        <v>1.0473006130087299</v>
      </c>
      <c r="AD3909" s="9">
        <v>1.0436805487064309</v>
      </c>
      <c r="AE3909" s="10"/>
      <c r="AF3909" s="10"/>
      <c r="AG3909" s="10"/>
      <c r="AH3909" s="10"/>
      <c r="AI3909" s="10"/>
      <c r="AJ3909" s="10"/>
      <c r="AK3909" s="10"/>
      <c r="AL3909" s="10"/>
      <c r="AM3909" s="10"/>
      <c r="AN3909" s="10"/>
      <c r="AO3909" s="10"/>
      <c r="AP3909" s="10"/>
      <c r="AQ3909" s="10"/>
      <c r="AR3909" s="10"/>
      <c r="AS3909" s="10"/>
      <c r="AT3909" s="10"/>
      <c r="AU3909" s="10"/>
      <c r="AV3909" s="10"/>
      <c r="AW3909" s="10"/>
      <c r="AX3909" s="10"/>
      <c r="AY3909" s="10"/>
      <c r="AZ3909" s="10"/>
    </row>
    <row r="3910" spans="28:52">
      <c r="AB3910" s="9">
        <v>1.0453294111277502</v>
      </c>
      <c r="AC3910" s="9">
        <v>1.2258716898023152</v>
      </c>
      <c r="AD3910" s="9">
        <v>1.0515513414514952</v>
      </c>
      <c r="AE3910" s="10"/>
      <c r="AF3910" s="10"/>
      <c r="AG3910" s="10"/>
      <c r="AH3910" s="10"/>
      <c r="AI3910" s="10"/>
      <c r="AJ3910" s="10"/>
      <c r="AK3910" s="10"/>
      <c r="AL3910" s="10"/>
      <c r="AM3910" s="10"/>
      <c r="AN3910" s="10"/>
      <c r="AO3910" s="10"/>
      <c r="AP3910" s="10"/>
      <c r="AQ3910" s="10"/>
      <c r="AR3910" s="10"/>
      <c r="AS3910" s="10"/>
      <c r="AT3910" s="10"/>
      <c r="AU3910" s="10"/>
      <c r="AV3910" s="10"/>
      <c r="AW3910" s="10"/>
      <c r="AX3910" s="10"/>
      <c r="AY3910" s="10"/>
      <c r="AZ3910" s="10"/>
    </row>
    <row r="3911" spans="28:52">
      <c r="AB3911" s="9">
        <v>1.0383069156583096</v>
      </c>
      <c r="AC3911" s="9">
        <v>1.1188569194518119</v>
      </c>
      <c r="AD3911" s="9">
        <v>1.0509105134419074</v>
      </c>
      <c r="AE3911" s="10"/>
      <c r="AF3911" s="10"/>
      <c r="AG3911" s="10"/>
      <c r="AH3911" s="10"/>
      <c r="AI3911" s="10"/>
      <c r="AJ3911" s="10"/>
      <c r="AK3911" s="10"/>
      <c r="AL3911" s="10"/>
      <c r="AM3911" s="10"/>
      <c r="AN3911" s="10"/>
      <c r="AO3911" s="10"/>
      <c r="AP3911" s="10"/>
      <c r="AQ3911" s="10"/>
      <c r="AR3911" s="10"/>
      <c r="AS3911" s="10"/>
      <c r="AT3911" s="10"/>
      <c r="AU3911" s="10"/>
      <c r="AV3911" s="10"/>
      <c r="AW3911" s="10"/>
      <c r="AX3911" s="10"/>
      <c r="AY3911" s="10"/>
      <c r="AZ3911" s="10"/>
    </row>
    <row r="3912" spans="28:52">
      <c r="AB3912" s="9">
        <v>1.0399535965480458</v>
      </c>
      <c r="AC3912" s="9">
        <v>1.1467480240710048</v>
      </c>
      <c r="AD3912" s="9">
        <v>1.0521655655491802</v>
      </c>
      <c r="AE3912" s="10"/>
      <c r="AF3912" s="10"/>
      <c r="AG3912" s="10"/>
      <c r="AH3912" s="10"/>
      <c r="AI3912" s="10"/>
      <c r="AJ3912" s="10"/>
      <c r="AK3912" s="10"/>
      <c r="AL3912" s="10"/>
      <c r="AM3912" s="10"/>
      <c r="AN3912" s="10"/>
      <c r="AO3912" s="10"/>
      <c r="AP3912" s="10"/>
      <c r="AQ3912" s="10"/>
      <c r="AR3912" s="10"/>
      <c r="AS3912" s="10"/>
      <c r="AT3912" s="10"/>
      <c r="AU3912" s="10"/>
      <c r="AV3912" s="10"/>
      <c r="AW3912" s="10"/>
      <c r="AX3912" s="10"/>
      <c r="AY3912" s="10"/>
      <c r="AZ3912" s="10"/>
    </row>
    <row r="3913" spans="28:52">
      <c r="AB3913" s="9">
        <v>1.0393802737247582</v>
      </c>
      <c r="AC3913" s="9">
        <v>1.0967538648202</v>
      </c>
      <c r="AD3913" s="9">
        <v>1.0677926578225068</v>
      </c>
      <c r="AE3913" s="10"/>
      <c r="AF3913" s="10"/>
      <c r="AG3913" s="10"/>
      <c r="AH3913" s="10"/>
      <c r="AI3913" s="10"/>
      <c r="AJ3913" s="10"/>
      <c r="AK3913" s="10"/>
      <c r="AL3913" s="10"/>
      <c r="AM3913" s="10"/>
      <c r="AN3913" s="10"/>
      <c r="AO3913" s="10"/>
      <c r="AP3913" s="10"/>
      <c r="AQ3913" s="10"/>
      <c r="AR3913" s="10"/>
      <c r="AS3913" s="10"/>
      <c r="AT3913" s="10"/>
      <c r="AU3913" s="10"/>
      <c r="AV3913" s="10"/>
      <c r="AW3913" s="10"/>
      <c r="AX3913" s="10"/>
      <c r="AY3913" s="10"/>
      <c r="AZ3913" s="10"/>
    </row>
    <row r="3914" spans="28:52">
      <c r="AB3914" s="9">
        <v>1.025056770695451</v>
      </c>
      <c r="AC3914" s="9">
        <v>0.92766978982820658</v>
      </c>
      <c r="AD3914" s="9">
        <v>1.0660843545088385</v>
      </c>
      <c r="AE3914" s="10"/>
      <c r="AF3914" s="10"/>
      <c r="AG3914" s="10"/>
      <c r="AH3914" s="10"/>
      <c r="AI3914" s="10"/>
      <c r="AJ3914" s="10"/>
      <c r="AK3914" s="10"/>
      <c r="AL3914" s="10"/>
      <c r="AM3914" s="10"/>
      <c r="AN3914" s="10"/>
      <c r="AO3914" s="10"/>
      <c r="AP3914" s="10"/>
      <c r="AQ3914" s="10"/>
      <c r="AR3914" s="10"/>
      <c r="AS3914" s="10"/>
      <c r="AT3914" s="10"/>
      <c r="AU3914" s="10"/>
      <c r="AV3914" s="10"/>
      <c r="AW3914" s="10"/>
      <c r="AX3914" s="10"/>
      <c r="AY3914" s="10"/>
      <c r="AZ3914" s="10"/>
    </row>
    <row r="3915" spans="28:52">
      <c r="AB3915" s="9">
        <v>1.0280170412596283</v>
      </c>
      <c r="AC3915" s="9">
        <v>0.79537915621339716</v>
      </c>
      <c r="AD3915" s="9">
        <v>1.06912946839103</v>
      </c>
      <c r="AE3915" s="10"/>
      <c r="AF3915" s="10"/>
      <c r="AG3915" s="10"/>
      <c r="AH3915" s="10"/>
      <c r="AI3915" s="10"/>
      <c r="AJ3915" s="10"/>
      <c r="AK3915" s="10"/>
      <c r="AL3915" s="10"/>
      <c r="AM3915" s="10"/>
      <c r="AN3915" s="10"/>
      <c r="AO3915" s="10"/>
      <c r="AP3915" s="10"/>
      <c r="AQ3915" s="10"/>
      <c r="AR3915" s="10"/>
      <c r="AS3915" s="10"/>
      <c r="AT3915" s="10"/>
      <c r="AU3915" s="10"/>
      <c r="AV3915" s="10"/>
      <c r="AW3915" s="10"/>
      <c r="AX3915" s="10"/>
      <c r="AY3915" s="10"/>
      <c r="AZ3915" s="10"/>
    </row>
    <row r="3916" spans="28:52">
      <c r="AB3916" s="9">
        <v>1.0260637534372599</v>
      </c>
      <c r="AC3916" s="9">
        <v>1.0144045984216834</v>
      </c>
      <c r="AD3916" s="9">
        <v>1.0611540667693304</v>
      </c>
      <c r="AE3916" s="10"/>
      <c r="AF3916" s="10"/>
      <c r="AG3916" s="10"/>
      <c r="AH3916" s="10"/>
      <c r="AI3916" s="10"/>
      <c r="AJ3916" s="10"/>
      <c r="AK3916" s="10"/>
      <c r="AL3916" s="10"/>
      <c r="AM3916" s="10"/>
      <c r="AN3916" s="10"/>
      <c r="AO3916" s="10"/>
      <c r="AP3916" s="10"/>
      <c r="AQ3916" s="10"/>
      <c r="AR3916" s="10"/>
      <c r="AS3916" s="10"/>
      <c r="AT3916" s="10"/>
      <c r="AU3916" s="10"/>
      <c r="AV3916" s="10"/>
      <c r="AW3916" s="10"/>
      <c r="AX3916" s="10"/>
      <c r="AY3916" s="10"/>
      <c r="AZ3916" s="10"/>
    </row>
    <row r="3917" spans="28:52">
      <c r="AB3917" s="9">
        <v>1.0337117889848715</v>
      </c>
      <c r="AC3917" s="9">
        <v>1.1157726142665905</v>
      </c>
      <c r="AD3917" s="9">
        <v>1.0506892723842822</v>
      </c>
      <c r="AE3917" s="10"/>
      <c r="AF3917" s="10"/>
      <c r="AG3917" s="10"/>
      <c r="AH3917" s="10"/>
      <c r="AI3917" s="10"/>
      <c r="AJ3917" s="10"/>
      <c r="AK3917" s="10"/>
      <c r="AL3917" s="10"/>
      <c r="AM3917" s="10"/>
      <c r="AN3917" s="10"/>
      <c r="AO3917" s="10"/>
      <c r="AP3917" s="10"/>
      <c r="AQ3917" s="10"/>
      <c r="AR3917" s="10"/>
      <c r="AS3917" s="10"/>
      <c r="AT3917" s="10"/>
      <c r="AU3917" s="10"/>
      <c r="AV3917" s="10"/>
      <c r="AW3917" s="10"/>
      <c r="AX3917" s="10"/>
      <c r="AY3917" s="10"/>
      <c r="AZ3917" s="10"/>
    </row>
    <row r="3918" spans="28:52">
      <c r="AB3918" s="9">
        <v>1.044165168106479</v>
      </c>
      <c r="AC3918" s="9">
        <v>1.4874017490985343</v>
      </c>
      <c r="AD3918" s="9">
        <v>1.0585110751582769</v>
      </c>
      <c r="AE3918" s="10"/>
      <c r="AF3918" s="10"/>
      <c r="AG3918" s="10"/>
      <c r="AH3918" s="10"/>
      <c r="AI3918" s="10"/>
      <c r="AJ3918" s="10"/>
      <c r="AK3918" s="10"/>
      <c r="AL3918" s="10"/>
      <c r="AM3918" s="10"/>
      <c r="AN3918" s="10"/>
      <c r="AO3918" s="10"/>
      <c r="AP3918" s="10"/>
      <c r="AQ3918" s="10"/>
      <c r="AR3918" s="10"/>
      <c r="AS3918" s="10"/>
      <c r="AT3918" s="10"/>
      <c r="AU3918" s="10"/>
      <c r="AV3918" s="10"/>
      <c r="AW3918" s="10"/>
      <c r="AX3918" s="10"/>
      <c r="AY3918" s="10"/>
      <c r="AZ3918" s="10"/>
    </row>
    <row r="3919" spans="28:52">
      <c r="AB3919" s="9">
        <v>1.0364576485906036</v>
      </c>
      <c r="AC3919" s="9">
        <v>1.2458913615510783</v>
      </c>
      <c r="AD3919" s="9">
        <v>1.0509206989902085</v>
      </c>
      <c r="AE3919" s="10"/>
      <c r="AF3919" s="10"/>
      <c r="AG3919" s="10"/>
      <c r="AH3919" s="10"/>
      <c r="AI3919" s="10"/>
      <c r="AJ3919" s="10"/>
      <c r="AK3919" s="10"/>
      <c r="AL3919" s="10"/>
      <c r="AM3919" s="10"/>
      <c r="AN3919" s="10"/>
      <c r="AO3919" s="10"/>
      <c r="AP3919" s="10"/>
      <c r="AQ3919" s="10"/>
      <c r="AR3919" s="10"/>
      <c r="AS3919" s="10"/>
      <c r="AT3919" s="10"/>
      <c r="AU3919" s="10"/>
      <c r="AV3919" s="10"/>
      <c r="AW3919" s="10"/>
      <c r="AX3919" s="10"/>
      <c r="AY3919" s="10"/>
      <c r="AZ3919" s="10"/>
    </row>
    <row r="3920" spans="28:52">
      <c r="AB3920" s="9">
        <v>1.043877386305899</v>
      </c>
      <c r="AC3920" s="9">
        <v>1.4617327552954418</v>
      </c>
      <c r="AD3920" s="9">
        <v>1.0536536302264869</v>
      </c>
      <c r="AE3920" s="10"/>
      <c r="AF3920" s="10"/>
      <c r="AG3920" s="10"/>
      <c r="AH3920" s="10"/>
      <c r="AI3920" s="10"/>
      <c r="AJ3920" s="10"/>
      <c r="AK3920" s="10"/>
      <c r="AL3920" s="10"/>
      <c r="AM3920" s="10"/>
      <c r="AN3920" s="10"/>
      <c r="AO3920" s="10"/>
      <c r="AP3920" s="10"/>
      <c r="AQ3920" s="10"/>
      <c r="AR3920" s="10"/>
      <c r="AS3920" s="10"/>
      <c r="AT3920" s="10"/>
      <c r="AU3920" s="10"/>
      <c r="AV3920" s="10"/>
      <c r="AW3920" s="10"/>
      <c r="AX3920" s="10"/>
      <c r="AY3920" s="10"/>
      <c r="AZ3920" s="10"/>
    </row>
    <row r="3921" spans="28:52">
      <c r="AB3921" s="9">
        <v>1.0409879525780952</v>
      </c>
      <c r="AC3921" s="9">
        <v>1.3215870179763169</v>
      </c>
      <c r="AD3921" s="9">
        <v>1.0596676049799121</v>
      </c>
      <c r="AE3921" s="10"/>
      <c r="AF3921" s="10"/>
      <c r="AG3921" s="10"/>
      <c r="AH3921" s="10"/>
      <c r="AI3921" s="10"/>
      <c r="AJ3921" s="10"/>
      <c r="AK3921" s="10"/>
      <c r="AL3921" s="10"/>
      <c r="AM3921" s="10"/>
      <c r="AN3921" s="10"/>
      <c r="AO3921" s="10"/>
      <c r="AP3921" s="10"/>
      <c r="AQ3921" s="10"/>
      <c r="AR3921" s="10"/>
      <c r="AS3921" s="10"/>
      <c r="AT3921" s="10"/>
      <c r="AU3921" s="10"/>
      <c r="AV3921" s="10"/>
      <c r="AW3921" s="10"/>
      <c r="AX3921" s="10"/>
      <c r="AY3921" s="10"/>
      <c r="AZ3921" s="10"/>
    </row>
    <row r="3922" spans="28:52">
      <c r="AB3922" s="9">
        <v>1.0349217436246014</v>
      </c>
      <c r="AC3922" s="9">
        <v>1.7107627739806306</v>
      </c>
      <c r="AD3922" s="9">
        <v>1.0581806751972345</v>
      </c>
      <c r="AE3922" s="10"/>
      <c r="AF3922" s="10"/>
      <c r="AG3922" s="10"/>
      <c r="AH3922" s="10"/>
      <c r="AI3922" s="10"/>
      <c r="AJ3922" s="10"/>
      <c r="AK3922" s="10"/>
      <c r="AL3922" s="10"/>
      <c r="AM3922" s="10"/>
      <c r="AN3922" s="10"/>
      <c r="AO3922" s="10"/>
      <c r="AP3922" s="10"/>
      <c r="AQ3922" s="10"/>
      <c r="AR3922" s="10"/>
      <c r="AS3922" s="10"/>
      <c r="AT3922" s="10"/>
      <c r="AU3922" s="10"/>
      <c r="AV3922" s="10"/>
      <c r="AW3922" s="10"/>
      <c r="AX3922" s="10"/>
      <c r="AY3922" s="10"/>
      <c r="AZ3922" s="10"/>
    </row>
    <row r="3923" spans="28:52">
      <c r="AB3923" s="9">
        <v>1.036178191451794</v>
      </c>
      <c r="AC3923" s="9">
        <v>1.0542268756783901</v>
      </c>
      <c r="AD3923" s="9">
        <v>1.0657092569288933</v>
      </c>
      <c r="AE3923" s="10"/>
      <c r="AF3923" s="10"/>
      <c r="AG3923" s="10"/>
      <c r="AH3923" s="10"/>
      <c r="AI3923" s="10"/>
      <c r="AJ3923" s="10"/>
      <c r="AK3923" s="10"/>
      <c r="AL3923" s="10"/>
      <c r="AM3923" s="10"/>
      <c r="AN3923" s="10"/>
      <c r="AO3923" s="10"/>
      <c r="AP3923" s="10"/>
      <c r="AQ3923" s="10"/>
      <c r="AR3923" s="10"/>
      <c r="AS3923" s="10"/>
      <c r="AT3923" s="10"/>
      <c r="AU3923" s="10"/>
      <c r="AV3923" s="10"/>
      <c r="AW3923" s="10"/>
      <c r="AX3923" s="10"/>
      <c r="AY3923" s="10"/>
      <c r="AZ3923" s="10"/>
    </row>
    <row r="3924" spans="28:52">
      <c r="AB3924" s="9">
        <v>1.0290378602860393</v>
      </c>
      <c r="AC3924" s="9">
        <v>1.1465555567803121</v>
      </c>
      <c r="AD3924" s="9">
        <v>1.0576414345284035</v>
      </c>
      <c r="AE3924" s="10"/>
      <c r="AF3924" s="10"/>
      <c r="AG3924" s="10"/>
      <c r="AH3924" s="10"/>
      <c r="AI3924" s="10"/>
      <c r="AJ3924" s="10"/>
      <c r="AK3924" s="10"/>
      <c r="AL3924" s="10"/>
      <c r="AM3924" s="10"/>
      <c r="AN3924" s="10"/>
      <c r="AO3924" s="10"/>
      <c r="AP3924" s="10"/>
      <c r="AQ3924" s="10"/>
      <c r="AR3924" s="10"/>
      <c r="AS3924" s="10"/>
      <c r="AT3924" s="10"/>
      <c r="AU3924" s="10"/>
      <c r="AV3924" s="10"/>
      <c r="AW3924" s="10"/>
      <c r="AX3924" s="10"/>
      <c r="AY3924" s="10"/>
      <c r="AZ3924" s="10"/>
    </row>
    <row r="3925" spans="28:52">
      <c r="AB3925" s="9">
        <v>1.0370692918520203</v>
      </c>
      <c r="AC3925" s="9">
        <v>1.4840224085568752</v>
      </c>
      <c r="AD3925" s="9">
        <v>1.0548679605076794</v>
      </c>
      <c r="AE3925" s="10"/>
      <c r="AF3925" s="10"/>
      <c r="AG3925" s="10"/>
      <c r="AH3925" s="10"/>
      <c r="AI3925" s="10"/>
      <c r="AJ3925" s="10"/>
      <c r="AK3925" s="10"/>
      <c r="AL3925" s="10"/>
      <c r="AM3925" s="10"/>
      <c r="AN3925" s="10"/>
      <c r="AO3925" s="10"/>
      <c r="AP3925" s="10"/>
      <c r="AQ3925" s="10"/>
      <c r="AR3925" s="10"/>
      <c r="AS3925" s="10"/>
      <c r="AT3925" s="10"/>
      <c r="AU3925" s="10"/>
      <c r="AV3925" s="10"/>
      <c r="AW3925" s="10"/>
      <c r="AX3925" s="10"/>
      <c r="AY3925" s="10"/>
      <c r="AZ3925" s="10"/>
    </row>
    <row r="3926" spans="28:52">
      <c r="AB3926" s="9">
        <v>1.0400396099901403</v>
      </c>
      <c r="AC3926" s="9">
        <v>1.4691638416192119</v>
      </c>
      <c r="AD3926" s="9">
        <v>1.0537624078881376</v>
      </c>
      <c r="AE3926" s="10"/>
      <c r="AF3926" s="10"/>
      <c r="AG3926" s="10"/>
      <c r="AH3926" s="10"/>
      <c r="AI3926" s="10"/>
      <c r="AJ3926" s="10"/>
      <c r="AK3926" s="10"/>
      <c r="AL3926" s="10"/>
      <c r="AM3926" s="10"/>
      <c r="AN3926" s="10"/>
      <c r="AO3926" s="10"/>
      <c r="AP3926" s="10"/>
      <c r="AQ3926" s="10"/>
      <c r="AR3926" s="10"/>
      <c r="AS3926" s="10"/>
      <c r="AT3926" s="10"/>
      <c r="AU3926" s="10"/>
      <c r="AV3926" s="10"/>
      <c r="AW3926" s="10"/>
      <c r="AX3926" s="10"/>
      <c r="AY3926" s="10"/>
      <c r="AZ3926" s="10"/>
    </row>
    <row r="3927" spans="28:52">
      <c r="AB3927" s="9">
        <v>1.0414876137757498</v>
      </c>
      <c r="AC3927" s="9">
        <v>1.3878783297268187</v>
      </c>
      <c r="AD3927" s="9">
        <v>1.0550167641475907</v>
      </c>
      <c r="AE3927" s="10"/>
      <c r="AF3927" s="10"/>
      <c r="AG3927" s="10"/>
      <c r="AH3927" s="10"/>
      <c r="AI3927" s="10"/>
      <c r="AJ3927" s="10"/>
      <c r="AK3927" s="10"/>
      <c r="AL3927" s="10"/>
      <c r="AM3927" s="10"/>
      <c r="AN3927" s="10"/>
      <c r="AO3927" s="10"/>
      <c r="AP3927" s="10"/>
      <c r="AQ3927" s="10"/>
      <c r="AR3927" s="10"/>
      <c r="AS3927" s="10"/>
      <c r="AT3927" s="10"/>
      <c r="AU3927" s="10"/>
      <c r="AV3927" s="10"/>
      <c r="AW3927" s="10"/>
      <c r="AX3927" s="10"/>
      <c r="AY3927" s="10"/>
      <c r="AZ3927" s="10"/>
    </row>
    <row r="3928" spans="28:52">
      <c r="AB3928" s="9">
        <v>1.040216397061601</v>
      </c>
      <c r="AC3928" s="9">
        <v>1.2697992984689401</v>
      </c>
      <c r="AD3928" s="9">
        <v>1.0560906867470543</v>
      </c>
      <c r="AE3928" s="10"/>
      <c r="AF3928" s="10"/>
      <c r="AG3928" s="10"/>
      <c r="AH3928" s="10"/>
      <c r="AI3928" s="10"/>
      <c r="AJ3928" s="10"/>
      <c r="AK3928" s="10"/>
      <c r="AL3928" s="10"/>
      <c r="AM3928" s="10"/>
      <c r="AN3928" s="10"/>
      <c r="AO3928" s="10"/>
      <c r="AP3928" s="10"/>
      <c r="AQ3928" s="10"/>
      <c r="AR3928" s="10"/>
      <c r="AS3928" s="10"/>
      <c r="AT3928" s="10"/>
      <c r="AU3928" s="10"/>
      <c r="AV3928" s="10"/>
      <c r="AW3928" s="10"/>
      <c r="AX3928" s="10"/>
      <c r="AY3928" s="10"/>
      <c r="AZ3928" s="10"/>
    </row>
    <row r="3929" spans="28:52">
      <c r="AB3929" s="9">
        <v>1.0387883478683515</v>
      </c>
      <c r="AC3929" s="9">
        <v>1.1968450766976335</v>
      </c>
      <c r="AD3929" s="9">
        <v>1.0504344233476384</v>
      </c>
      <c r="AE3929" s="10"/>
      <c r="AF3929" s="10"/>
      <c r="AG3929" s="10"/>
      <c r="AH3929" s="10"/>
      <c r="AI3929" s="10"/>
      <c r="AJ3929" s="10"/>
      <c r="AK3929" s="10"/>
      <c r="AL3929" s="10"/>
      <c r="AM3929" s="10"/>
      <c r="AN3929" s="10"/>
      <c r="AO3929" s="10"/>
      <c r="AP3929" s="10"/>
      <c r="AQ3929" s="10"/>
      <c r="AR3929" s="10"/>
      <c r="AS3929" s="10"/>
      <c r="AT3929" s="10"/>
      <c r="AU3929" s="10"/>
      <c r="AV3929" s="10"/>
      <c r="AW3929" s="10"/>
      <c r="AX3929" s="10"/>
      <c r="AY3929" s="10"/>
      <c r="AZ3929" s="10"/>
    </row>
    <row r="3930" spans="28:52">
      <c r="AB3930" s="9">
        <v>1.0438200831390116</v>
      </c>
      <c r="AC3930" s="9">
        <v>1.1935353609515247</v>
      </c>
      <c r="AD3930" s="9">
        <v>1.0459095875908484</v>
      </c>
      <c r="AE3930" s="10"/>
      <c r="AF3930" s="10"/>
      <c r="AG3930" s="10"/>
      <c r="AH3930" s="10"/>
      <c r="AI3930" s="10"/>
      <c r="AJ3930" s="10"/>
      <c r="AK3930" s="10"/>
      <c r="AL3930" s="10"/>
      <c r="AM3930" s="10"/>
      <c r="AN3930" s="10"/>
      <c r="AO3930" s="10"/>
      <c r="AP3930" s="10"/>
      <c r="AQ3930" s="10"/>
      <c r="AR3930" s="10"/>
      <c r="AS3930" s="10"/>
      <c r="AT3930" s="10"/>
      <c r="AU3930" s="10"/>
      <c r="AV3930" s="10"/>
      <c r="AW3930" s="10"/>
      <c r="AX3930" s="10"/>
      <c r="AY3930" s="10"/>
      <c r="AZ3930" s="10"/>
    </row>
    <row r="3931" spans="28:52">
      <c r="AB3931" s="9">
        <v>1.0474392963633037</v>
      </c>
      <c r="AC3931" s="9">
        <v>1.3034941025129998</v>
      </c>
      <c r="AD3931" s="9">
        <v>1.0417775695391409</v>
      </c>
      <c r="AE3931" s="10"/>
      <c r="AF3931" s="10"/>
      <c r="AG3931" s="10"/>
      <c r="AH3931" s="10"/>
      <c r="AI3931" s="10"/>
      <c r="AJ3931" s="10"/>
      <c r="AK3931" s="10"/>
      <c r="AL3931" s="10"/>
      <c r="AM3931" s="10"/>
      <c r="AN3931" s="10"/>
      <c r="AO3931" s="10"/>
      <c r="AP3931" s="10"/>
      <c r="AQ3931" s="10"/>
      <c r="AR3931" s="10"/>
      <c r="AS3931" s="10"/>
      <c r="AT3931" s="10"/>
      <c r="AU3931" s="10"/>
      <c r="AV3931" s="10"/>
      <c r="AW3931" s="10"/>
      <c r="AX3931" s="10"/>
      <c r="AY3931" s="10"/>
      <c r="AZ3931" s="10"/>
    </row>
    <row r="3932" spans="28:52">
      <c r="AB3932" s="9">
        <v>1.0504903798212029</v>
      </c>
      <c r="AC3932" s="9">
        <v>1.4539844276977918</v>
      </c>
      <c r="AD3932" s="9">
        <v>1.0368490553844165</v>
      </c>
      <c r="AE3932" s="10"/>
      <c r="AF3932" s="10"/>
      <c r="AG3932" s="10"/>
      <c r="AH3932" s="10"/>
      <c r="AI3932" s="10"/>
      <c r="AJ3932" s="10"/>
      <c r="AK3932" s="10"/>
      <c r="AL3932" s="10"/>
      <c r="AM3932" s="10"/>
      <c r="AN3932" s="10"/>
      <c r="AO3932" s="10"/>
      <c r="AP3932" s="10"/>
      <c r="AQ3932" s="10"/>
      <c r="AR3932" s="10"/>
      <c r="AS3932" s="10"/>
      <c r="AT3932" s="10"/>
      <c r="AU3932" s="10"/>
      <c r="AV3932" s="10"/>
      <c r="AW3932" s="10"/>
      <c r="AX3932" s="10"/>
      <c r="AY3932" s="10"/>
      <c r="AZ3932" s="10"/>
    </row>
    <row r="3933" spans="28:52">
      <c r="AB3933" s="9">
        <v>1.054156103144523</v>
      </c>
      <c r="AC3933" s="9">
        <v>1.2387843672820937</v>
      </c>
      <c r="AD3933" s="9">
        <v>1.0280090955769088</v>
      </c>
      <c r="AE3933" s="10"/>
      <c r="AF3933" s="10"/>
      <c r="AG3933" s="10"/>
      <c r="AH3933" s="10"/>
      <c r="AI3933" s="10"/>
      <c r="AJ3933" s="10"/>
      <c r="AK3933" s="10"/>
      <c r="AL3933" s="10"/>
      <c r="AM3933" s="10"/>
      <c r="AN3933" s="10"/>
      <c r="AO3933" s="10"/>
      <c r="AP3933" s="10"/>
      <c r="AQ3933" s="10"/>
      <c r="AR3933" s="10"/>
      <c r="AS3933" s="10"/>
      <c r="AT3933" s="10"/>
      <c r="AU3933" s="10"/>
      <c r="AV3933" s="10"/>
      <c r="AW3933" s="10"/>
      <c r="AX3933" s="10"/>
      <c r="AY3933" s="10"/>
      <c r="AZ3933" s="10"/>
    </row>
    <row r="3934" spans="28:52">
      <c r="AB3934" s="9">
        <v>1.0616919911058667</v>
      </c>
      <c r="AC3934" s="9">
        <v>1.5152961079240459</v>
      </c>
      <c r="AD3934" s="9">
        <v>1.0363707968096449</v>
      </c>
      <c r="AE3934" s="10"/>
      <c r="AF3934" s="10"/>
      <c r="AG3934" s="10"/>
      <c r="AH3934" s="10"/>
      <c r="AI3934" s="10"/>
      <c r="AJ3934" s="10"/>
      <c r="AK3934" s="10"/>
      <c r="AL3934" s="10"/>
      <c r="AM3934" s="10"/>
      <c r="AN3934" s="10"/>
      <c r="AO3934" s="10"/>
      <c r="AP3934" s="10"/>
      <c r="AQ3934" s="10"/>
      <c r="AR3934" s="10"/>
      <c r="AS3934" s="10"/>
      <c r="AT3934" s="10"/>
      <c r="AU3934" s="10"/>
      <c r="AV3934" s="10"/>
      <c r="AW3934" s="10"/>
      <c r="AX3934" s="10"/>
      <c r="AY3934" s="10"/>
      <c r="AZ3934" s="10"/>
    </row>
    <row r="3935" spans="28:52">
      <c r="AB3935" s="9">
        <v>1.0516380924382787</v>
      </c>
      <c r="AC3935" s="9">
        <v>1.3472939919984817</v>
      </c>
      <c r="AD3935" s="9">
        <v>1.0333990439097747</v>
      </c>
      <c r="AE3935" s="10"/>
      <c r="AF3935" s="10"/>
      <c r="AG3935" s="10"/>
      <c r="AH3935" s="10"/>
      <c r="AI3935" s="10"/>
      <c r="AJ3935" s="10"/>
      <c r="AK3935" s="10"/>
      <c r="AL3935" s="10"/>
      <c r="AM3935" s="10"/>
      <c r="AN3935" s="10"/>
      <c r="AO3935" s="10"/>
      <c r="AP3935" s="10"/>
      <c r="AQ3935" s="10"/>
      <c r="AR3935" s="10"/>
      <c r="AS3935" s="10"/>
      <c r="AT3935" s="10"/>
      <c r="AU3935" s="10"/>
      <c r="AV3935" s="10"/>
      <c r="AW3935" s="10"/>
      <c r="AX3935" s="10"/>
      <c r="AY3935" s="10"/>
      <c r="AZ3935" s="10"/>
    </row>
    <row r="3936" spans="28:52">
      <c r="AB3936" s="9">
        <v>1.053409550852751</v>
      </c>
      <c r="AC3936" s="9">
        <v>1.3909170714825336</v>
      </c>
      <c r="AD3936" s="9">
        <v>1.0215998213464554</v>
      </c>
      <c r="AE3936" s="10"/>
      <c r="AF3936" s="10"/>
      <c r="AG3936" s="10"/>
      <c r="AH3936" s="10"/>
      <c r="AI3936" s="10"/>
      <c r="AJ3936" s="10"/>
      <c r="AK3936" s="10"/>
      <c r="AL3936" s="10"/>
      <c r="AM3936" s="10"/>
      <c r="AN3936" s="10"/>
      <c r="AO3936" s="10"/>
      <c r="AP3936" s="10"/>
      <c r="AQ3936" s="10"/>
      <c r="AR3936" s="10"/>
      <c r="AS3936" s="10"/>
      <c r="AT3936" s="10"/>
      <c r="AU3936" s="10"/>
      <c r="AV3936" s="10"/>
      <c r="AW3936" s="10"/>
      <c r="AX3936" s="10"/>
      <c r="AY3936" s="10"/>
      <c r="AZ3936" s="10"/>
    </row>
    <row r="3937" spans="28:52">
      <c r="AB3937" s="9">
        <v>1.0645354313934845</v>
      </c>
      <c r="AC3937" s="9">
        <v>1.4934730315301503</v>
      </c>
      <c r="AD3937" s="9">
        <v>1.0162141544636745</v>
      </c>
      <c r="AE3937" s="10"/>
      <c r="AF3937" s="10"/>
      <c r="AG3937" s="10"/>
      <c r="AH3937" s="10"/>
      <c r="AI3937" s="10"/>
      <c r="AJ3937" s="10"/>
      <c r="AK3937" s="10"/>
      <c r="AL3937" s="10"/>
      <c r="AM3937" s="10"/>
      <c r="AN3937" s="10"/>
      <c r="AO3937" s="10"/>
      <c r="AP3937" s="10"/>
      <c r="AQ3937" s="10"/>
      <c r="AR3937" s="10"/>
      <c r="AS3937" s="10"/>
      <c r="AT3937" s="10"/>
      <c r="AU3937" s="10"/>
      <c r="AV3937" s="10"/>
      <c r="AW3937" s="10"/>
      <c r="AX3937" s="10"/>
      <c r="AY3937" s="10"/>
      <c r="AZ3937" s="10"/>
    </row>
    <row r="3938" spans="28:52">
      <c r="AB3938" s="9">
        <v>1.0687849250532253</v>
      </c>
      <c r="AC3938" s="9">
        <v>1.6071547754121336</v>
      </c>
      <c r="AD3938" s="9">
        <v>1.012196060944081</v>
      </c>
      <c r="AE3938" s="10"/>
      <c r="AF3938" s="10"/>
      <c r="AG3938" s="10"/>
      <c r="AH3938" s="10"/>
      <c r="AI3938" s="10"/>
      <c r="AJ3938" s="10"/>
      <c r="AK3938" s="10"/>
      <c r="AL3938" s="10"/>
      <c r="AM3938" s="10"/>
      <c r="AN3938" s="10"/>
      <c r="AO3938" s="10"/>
      <c r="AP3938" s="10"/>
      <c r="AQ3938" s="10"/>
      <c r="AR3938" s="10"/>
      <c r="AS3938" s="10"/>
      <c r="AT3938" s="10"/>
      <c r="AU3938" s="10"/>
      <c r="AV3938" s="10"/>
      <c r="AW3938" s="10"/>
      <c r="AX3938" s="10"/>
      <c r="AY3938" s="10"/>
      <c r="AZ3938" s="10"/>
    </row>
    <row r="3939" spans="28:52">
      <c r="AB3939" s="9">
        <v>1.0711657980667828</v>
      </c>
      <c r="AC3939" s="9">
        <v>1.5312920816366087</v>
      </c>
      <c r="AD3939" s="9">
        <v>1.0173681388717326</v>
      </c>
      <c r="AE3939" s="10"/>
      <c r="AF3939" s="10"/>
      <c r="AG3939" s="10"/>
      <c r="AH3939" s="10"/>
      <c r="AI3939" s="10"/>
      <c r="AJ3939" s="10"/>
      <c r="AK3939" s="10"/>
      <c r="AL3939" s="10"/>
      <c r="AM3939" s="10"/>
      <c r="AN3939" s="10"/>
      <c r="AO3939" s="10"/>
      <c r="AP3939" s="10"/>
      <c r="AQ3939" s="10"/>
      <c r="AR3939" s="10"/>
      <c r="AS3939" s="10"/>
      <c r="AT3939" s="10"/>
      <c r="AU3939" s="10"/>
      <c r="AV3939" s="10"/>
      <c r="AW3939" s="10"/>
      <c r="AX3939" s="10"/>
      <c r="AY3939" s="10"/>
      <c r="AZ3939" s="10"/>
    </row>
    <row r="3940" spans="28:52">
      <c r="AB3940" s="9">
        <v>1.0638216970027119</v>
      </c>
      <c r="AC3940" s="9">
        <v>1.5329584066312048</v>
      </c>
      <c r="AD3940" s="9">
        <v>1.0068540930910279</v>
      </c>
      <c r="AE3940" s="10"/>
      <c r="AF3940" s="10"/>
      <c r="AG3940" s="10"/>
      <c r="AH3940" s="10"/>
      <c r="AI3940" s="10"/>
      <c r="AJ3940" s="10"/>
      <c r="AK3940" s="10"/>
      <c r="AL3940" s="10"/>
      <c r="AM3940" s="10"/>
      <c r="AN3940" s="10"/>
      <c r="AO3940" s="10"/>
      <c r="AP3940" s="10"/>
      <c r="AQ3940" s="10"/>
      <c r="AR3940" s="10"/>
      <c r="AS3940" s="10"/>
      <c r="AT3940" s="10"/>
      <c r="AU3940" s="10"/>
      <c r="AV3940" s="10"/>
      <c r="AW3940" s="10"/>
      <c r="AX3940" s="10"/>
      <c r="AY3940" s="10"/>
      <c r="AZ3940" s="10"/>
    </row>
    <row r="3941" spans="28:52">
      <c r="AB3941" s="9">
        <v>1.0730614274466261</v>
      </c>
      <c r="AC3941" s="9">
        <v>1.1513516016555976</v>
      </c>
      <c r="AD3941" s="9">
        <v>1.0082843991819443</v>
      </c>
      <c r="AE3941" s="10"/>
      <c r="AF3941" s="10"/>
      <c r="AG3941" s="10"/>
      <c r="AH3941" s="10"/>
      <c r="AI3941" s="10"/>
      <c r="AJ3941" s="10"/>
      <c r="AK3941" s="10"/>
      <c r="AL3941" s="10"/>
      <c r="AM3941" s="10"/>
      <c r="AN3941" s="10"/>
      <c r="AO3941" s="10"/>
      <c r="AP3941" s="10"/>
      <c r="AQ3941" s="10"/>
      <c r="AR3941" s="10"/>
      <c r="AS3941" s="10"/>
      <c r="AT3941" s="10"/>
      <c r="AU3941" s="10"/>
      <c r="AV3941" s="10"/>
      <c r="AW3941" s="10"/>
      <c r="AX3941" s="10"/>
      <c r="AY3941" s="10"/>
      <c r="AZ3941" s="10"/>
    </row>
    <row r="3942" spans="28:52">
      <c r="AB3942" s="9">
        <v>1.0697978177155549</v>
      </c>
      <c r="AC3942" s="9">
        <v>1.2380120868177293</v>
      </c>
      <c r="AD3942" s="9">
        <v>1.015479617092047</v>
      </c>
      <c r="AE3942" s="10"/>
      <c r="AF3942" s="10"/>
      <c r="AG3942" s="10"/>
      <c r="AH3942" s="10"/>
      <c r="AI3942" s="10"/>
      <c r="AJ3942" s="10"/>
      <c r="AK3942" s="10"/>
      <c r="AL3942" s="10"/>
      <c r="AM3942" s="10"/>
      <c r="AN3942" s="10"/>
      <c r="AO3942" s="10"/>
      <c r="AP3942" s="10"/>
      <c r="AQ3942" s="10"/>
      <c r="AR3942" s="10"/>
      <c r="AS3942" s="10"/>
      <c r="AT3942" s="10"/>
      <c r="AU3942" s="10"/>
      <c r="AV3942" s="10"/>
      <c r="AW3942" s="10"/>
      <c r="AX3942" s="10"/>
      <c r="AY3942" s="10"/>
      <c r="AZ3942" s="10"/>
    </row>
    <row r="3943" spans="28:52">
      <c r="AB3943" s="9">
        <v>1.0606396183447442</v>
      </c>
      <c r="AC3943" s="9">
        <v>1.0610228267782138</v>
      </c>
      <c r="AD3943" s="9">
        <v>1.0188166240153858</v>
      </c>
      <c r="AE3943" s="10"/>
      <c r="AF3943" s="10"/>
      <c r="AG3943" s="10"/>
      <c r="AH3943" s="10"/>
      <c r="AI3943" s="10"/>
      <c r="AJ3943" s="10"/>
      <c r="AK3943" s="10"/>
      <c r="AL3943" s="10"/>
      <c r="AM3943" s="10"/>
      <c r="AN3943" s="10"/>
      <c r="AO3943" s="10"/>
      <c r="AP3943" s="10"/>
      <c r="AQ3943" s="10"/>
      <c r="AR3943" s="10"/>
      <c r="AS3943" s="10"/>
      <c r="AT3943" s="10"/>
      <c r="AU3943" s="10"/>
      <c r="AV3943" s="10"/>
      <c r="AW3943" s="10"/>
      <c r="AX3943" s="10"/>
      <c r="AY3943" s="10"/>
      <c r="AZ3943" s="10"/>
    </row>
    <row r="3944" spans="28:52">
      <c r="AB3944" s="9">
        <v>1.055329153526787</v>
      </c>
      <c r="AC3944" s="9">
        <v>0.99196756204913861</v>
      </c>
      <c r="AD3944" s="9">
        <v>1.0399497221983867</v>
      </c>
      <c r="AE3944" s="10"/>
      <c r="AF3944" s="10"/>
      <c r="AG3944" s="10"/>
      <c r="AH3944" s="10"/>
      <c r="AI3944" s="10"/>
      <c r="AJ3944" s="10"/>
      <c r="AK3944" s="10"/>
      <c r="AL3944" s="10"/>
      <c r="AM3944" s="10"/>
      <c r="AN3944" s="10"/>
      <c r="AO3944" s="10"/>
      <c r="AP3944" s="10"/>
      <c r="AQ3944" s="10"/>
      <c r="AR3944" s="10"/>
      <c r="AS3944" s="10"/>
      <c r="AT3944" s="10"/>
      <c r="AU3944" s="10"/>
      <c r="AV3944" s="10"/>
      <c r="AW3944" s="10"/>
      <c r="AX3944" s="10"/>
      <c r="AY3944" s="10"/>
      <c r="AZ3944" s="10"/>
    </row>
    <row r="3945" spans="28:52">
      <c r="AB3945" s="9">
        <v>1.0323983756380026</v>
      </c>
      <c r="AC3945" s="9">
        <v>1.2031701182824357</v>
      </c>
      <c r="AD3945" s="9">
        <v>1.040796665906071</v>
      </c>
      <c r="AE3945" s="10"/>
      <c r="AF3945" s="10"/>
      <c r="AG3945" s="10"/>
      <c r="AH3945" s="10"/>
      <c r="AI3945" s="10"/>
      <c r="AJ3945" s="10"/>
      <c r="AK3945" s="10"/>
      <c r="AL3945" s="10"/>
      <c r="AM3945" s="10"/>
      <c r="AN3945" s="10"/>
      <c r="AO3945" s="10"/>
      <c r="AP3945" s="10"/>
      <c r="AQ3945" s="10"/>
      <c r="AR3945" s="10"/>
      <c r="AS3945" s="10"/>
      <c r="AT3945" s="10"/>
      <c r="AU3945" s="10"/>
      <c r="AV3945" s="10"/>
      <c r="AW3945" s="10"/>
      <c r="AX3945" s="10"/>
      <c r="AY3945" s="10"/>
      <c r="AZ3945" s="10"/>
    </row>
    <row r="3946" spans="28:52">
      <c r="AB3946" s="9">
        <v>1.0296381499709155</v>
      </c>
      <c r="AC3946" s="9">
        <v>1.0870573535397519</v>
      </c>
      <c r="AD3946" s="9">
        <v>1.036609303500744</v>
      </c>
      <c r="AE3946" s="10"/>
      <c r="AF3946" s="10"/>
      <c r="AG3946" s="10"/>
      <c r="AH3946" s="10"/>
      <c r="AI3946" s="10"/>
      <c r="AJ3946" s="10"/>
      <c r="AK3946" s="10"/>
      <c r="AL3946" s="10"/>
      <c r="AM3946" s="10"/>
      <c r="AN3946" s="10"/>
      <c r="AO3946" s="10"/>
      <c r="AP3946" s="10"/>
      <c r="AQ3946" s="10"/>
      <c r="AR3946" s="10"/>
      <c r="AS3946" s="10"/>
      <c r="AT3946" s="10"/>
      <c r="AU3946" s="10"/>
      <c r="AV3946" s="10"/>
      <c r="AW3946" s="10"/>
      <c r="AX3946" s="10"/>
      <c r="AY3946" s="10"/>
      <c r="AZ3946" s="10"/>
    </row>
    <row r="3947" spans="28:52">
      <c r="AB3947" s="9">
        <v>1.0323171813345977</v>
      </c>
      <c r="AC3947" s="9">
        <v>0.89844920286437691</v>
      </c>
      <c r="AD3947" s="9">
        <v>1.0285790349152788</v>
      </c>
      <c r="AE3947" s="10"/>
      <c r="AF3947" s="10"/>
      <c r="AG3947" s="10"/>
      <c r="AH3947" s="10"/>
      <c r="AI3947" s="10"/>
      <c r="AJ3947" s="10"/>
      <c r="AK3947" s="10"/>
      <c r="AL3947" s="10"/>
      <c r="AM3947" s="10"/>
      <c r="AN3947" s="10"/>
      <c r="AO3947" s="10"/>
      <c r="AP3947" s="10"/>
      <c r="AQ3947" s="10"/>
      <c r="AR3947" s="10"/>
      <c r="AS3947" s="10"/>
      <c r="AT3947" s="10"/>
      <c r="AU3947" s="10"/>
      <c r="AV3947" s="10"/>
      <c r="AW3947" s="10"/>
      <c r="AX3947" s="10"/>
      <c r="AY3947" s="10"/>
      <c r="AZ3947" s="10"/>
    </row>
    <row r="3948" spans="28:52">
      <c r="AB3948" s="9">
        <v>1.0387095609718056</v>
      </c>
      <c r="AC3948" s="9">
        <v>1.0110889380393719</v>
      </c>
      <c r="AD3948" s="9">
        <v>1.017096353654346</v>
      </c>
      <c r="AE3948" s="10"/>
      <c r="AF3948" s="10"/>
      <c r="AG3948" s="10"/>
      <c r="AH3948" s="10"/>
      <c r="AI3948" s="10"/>
      <c r="AJ3948" s="10"/>
      <c r="AK3948" s="10"/>
      <c r="AL3948" s="10"/>
      <c r="AM3948" s="10"/>
      <c r="AN3948" s="10"/>
      <c r="AO3948" s="10"/>
      <c r="AP3948" s="10"/>
      <c r="AQ3948" s="10"/>
      <c r="AR3948" s="10"/>
      <c r="AS3948" s="10"/>
      <c r="AT3948" s="10"/>
      <c r="AU3948" s="10"/>
      <c r="AV3948" s="10"/>
      <c r="AW3948" s="10"/>
      <c r="AX3948" s="10"/>
      <c r="AY3948" s="10"/>
      <c r="AZ3948" s="10"/>
    </row>
    <row r="3949" spans="28:52">
      <c r="AB3949" s="9">
        <v>1.0483655695573455</v>
      </c>
      <c r="AC3949" s="9">
        <v>1.0028673392662755</v>
      </c>
      <c r="AD3949" s="9">
        <v>1.0203931105636621</v>
      </c>
      <c r="AE3949" s="10"/>
      <c r="AF3949" s="10"/>
      <c r="AG3949" s="10"/>
      <c r="AH3949" s="10"/>
      <c r="AI3949" s="10"/>
      <c r="AJ3949" s="10"/>
      <c r="AK3949" s="10"/>
      <c r="AL3949" s="10"/>
      <c r="AM3949" s="10"/>
      <c r="AN3949" s="10"/>
      <c r="AO3949" s="10"/>
      <c r="AP3949" s="10"/>
      <c r="AQ3949" s="10"/>
      <c r="AR3949" s="10"/>
      <c r="AS3949" s="10"/>
      <c r="AT3949" s="10"/>
      <c r="AU3949" s="10"/>
      <c r="AV3949" s="10"/>
      <c r="AW3949" s="10"/>
      <c r="AX3949" s="10"/>
      <c r="AY3949" s="10"/>
      <c r="AZ3949" s="10"/>
    </row>
    <row r="3950" spans="28:52">
      <c r="AB3950" s="9">
        <v>1.0431005980235875</v>
      </c>
      <c r="AC3950" s="9">
        <v>1.0793205228038927</v>
      </c>
      <c r="AD3950" s="9">
        <v>1.0138722992540876</v>
      </c>
      <c r="AE3950" s="10"/>
      <c r="AF3950" s="10"/>
      <c r="AG3950" s="10"/>
      <c r="AH3950" s="10"/>
      <c r="AI3950" s="10"/>
      <c r="AJ3950" s="10"/>
      <c r="AK3950" s="10"/>
      <c r="AL3950" s="10"/>
      <c r="AM3950" s="10"/>
      <c r="AN3950" s="10"/>
      <c r="AO3950" s="10"/>
      <c r="AP3950" s="10"/>
      <c r="AQ3950" s="10"/>
      <c r="AR3950" s="10"/>
      <c r="AS3950" s="10"/>
      <c r="AT3950" s="10"/>
      <c r="AU3950" s="10"/>
      <c r="AV3950" s="10"/>
      <c r="AW3950" s="10"/>
      <c r="AX3950" s="10"/>
      <c r="AY3950" s="10"/>
      <c r="AZ3950" s="10"/>
    </row>
    <row r="3951" spans="28:52">
      <c r="AB3951" s="9">
        <v>1.0480450483083081</v>
      </c>
      <c r="AC3951" s="9">
        <v>1.1279050130555088</v>
      </c>
      <c r="AD3951" s="9">
        <v>1.017612420515055</v>
      </c>
      <c r="AE3951" s="10"/>
      <c r="AF3951" s="10"/>
      <c r="AG3951" s="10"/>
      <c r="AH3951" s="10"/>
      <c r="AI3951" s="10"/>
      <c r="AJ3951" s="10"/>
      <c r="AK3951" s="10"/>
      <c r="AL3951" s="10"/>
      <c r="AM3951" s="10"/>
      <c r="AN3951" s="10"/>
      <c r="AO3951" s="10"/>
      <c r="AP3951" s="10"/>
      <c r="AQ3951" s="10"/>
      <c r="AR3951" s="10"/>
      <c r="AS3951" s="10"/>
      <c r="AT3951" s="10"/>
      <c r="AU3951" s="10"/>
      <c r="AV3951" s="10"/>
      <c r="AW3951" s="10"/>
      <c r="AX3951" s="10"/>
      <c r="AY3951" s="10"/>
      <c r="AZ3951" s="10"/>
    </row>
    <row r="3952" spans="28:52">
      <c r="AB3952" s="9">
        <v>1.0424710224014162</v>
      </c>
      <c r="AC3952" s="9">
        <v>1.0912558238328094</v>
      </c>
      <c r="AD3952" s="9">
        <v>1.0132871870128211</v>
      </c>
      <c r="AE3952" s="10"/>
      <c r="AF3952" s="10"/>
      <c r="AG3952" s="10"/>
      <c r="AH3952" s="10"/>
      <c r="AI3952" s="10"/>
      <c r="AJ3952" s="10"/>
      <c r="AK3952" s="10"/>
      <c r="AL3952" s="10"/>
      <c r="AM3952" s="10"/>
      <c r="AN3952" s="10"/>
      <c r="AO3952" s="10"/>
      <c r="AP3952" s="10"/>
      <c r="AQ3952" s="10"/>
      <c r="AR3952" s="10"/>
      <c r="AS3952" s="10"/>
      <c r="AT3952" s="10"/>
      <c r="AU3952" s="10"/>
      <c r="AV3952" s="10"/>
      <c r="AW3952" s="10"/>
      <c r="AX3952" s="10"/>
      <c r="AY3952" s="10"/>
      <c r="AZ3952" s="10"/>
    </row>
    <row r="3953" spans="28:52">
      <c r="AB3953" s="9">
        <v>1.0451151733044703</v>
      </c>
      <c r="AC3953" s="9">
        <v>0.84133513692180772</v>
      </c>
      <c r="AD3953" s="9">
        <v>1.0141509466038783</v>
      </c>
      <c r="AE3953" s="10"/>
      <c r="AF3953" s="10"/>
      <c r="AG3953" s="10"/>
      <c r="AH3953" s="10"/>
      <c r="AI3953" s="10"/>
      <c r="AJ3953" s="10"/>
      <c r="AK3953" s="10"/>
      <c r="AL3953" s="10"/>
      <c r="AM3953" s="10"/>
      <c r="AN3953" s="10"/>
      <c r="AO3953" s="10"/>
      <c r="AP3953" s="10"/>
      <c r="AQ3953" s="10"/>
      <c r="AR3953" s="10"/>
      <c r="AS3953" s="10"/>
      <c r="AT3953" s="10"/>
      <c r="AU3953" s="10"/>
      <c r="AV3953" s="10"/>
      <c r="AW3953" s="10"/>
      <c r="AX3953" s="10"/>
      <c r="AY3953" s="10"/>
      <c r="AZ3953" s="10"/>
    </row>
    <row r="3954" spans="28:52">
      <c r="AB3954" s="9">
        <v>1.0429309523820565</v>
      </c>
      <c r="AC3954" s="9">
        <v>0.88038991220279761</v>
      </c>
      <c r="AD3954" s="9">
        <v>1.0037384747379199</v>
      </c>
      <c r="AE3954" s="10"/>
      <c r="AF3954" s="10"/>
      <c r="AG3954" s="10"/>
      <c r="AH3954" s="10"/>
      <c r="AI3954" s="10"/>
      <c r="AJ3954" s="10"/>
      <c r="AK3954" s="10"/>
      <c r="AL3954" s="10"/>
      <c r="AM3954" s="10"/>
      <c r="AN3954" s="10"/>
      <c r="AO3954" s="10"/>
      <c r="AP3954" s="10"/>
      <c r="AQ3954" s="10"/>
      <c r="AR3954" s="10"/>
      <c r="AS3954" s="10"/>
      <c r="AT3954" s="10"/>
      <c r="AU3954" s="10"/>
      <c r="AV3954" s="10"/>
      <c r="AW3954" s="10"/>
      <c r="AX3954" s="10"/>
      <c r="AY3954" s="10"/>
      <c r="AZ3954" s="10"/>
    </row>
    <row r="3955" spans="28:52">
      <c r="AB3955" s="9">
        <v>1.0520759193647762</v>
      </c>
      <c r="AC3955" s="9">
        <v>1.176420058578542</v>
      </c>
      <c r="AD3955" s="9">
        <v>1.0030384395552674</v>
      </c>
      <c r="AE3955" s="10"/>
      <c r="AF3955" s="10"/>
      <c r="AG3955" s="10"/>
      <c r="AH3955" s="10"/>
      <c r="AI3955" s="10"/>
      <c r="AJ3955" s="10"/>
      <c r="AK3955" s="10"/>
      <c r="AL3955" s="10"/>
      <c r="AM3955" s="10"/>
      <c r="AN3955" s="10"/>
      <c r="AO3955" s="10"/>
      <c r="AP3955" s="10"/>
      <c r="AQ3955" s="10"/>
      <c r="AR3955" s="10"/>
      <c r="AS3955" s="10"/>
      <c r="AT3955" s="10"/>
      <c r="AU3955" s="10"/>
      <c r="AV3955" s="10"/>
      <c r="AW3955" s="10"/>
      <c r="AX3955" s="10"/>
      <c r="AY3955" s="10"/>
      <c r="AZ3955" s="10"/>
    </row>
    <row r="3956" spans="28:52">
      <c r="AB3956" s="9">
        <v>1.0507895522017736</v>
      </c>
      <c r="AC3956" s="9">
        <v>1.1754832873059711</v>
      </c>
      <c r="AD3956" s="9">
        <v>1.0030786778103515</v>
      </c>
      <c r="AE3956" s="10"/>
      <c r="AF3956" s="10"/>
      <c r="AG3956" s="10"/>
      <c r="AH3956" s="10"/>
      <c r="AI3956" s="10"/>
      <c r="AJ3956" s="10"/>
      <c r="AK3956" s="10"/>
      <c r="AL3956" s="10"/>
      <c r="AM3956" s="10"/>
      <c r="AN3956" s="10"/>
      <c r="AO3956" s="10"/>
      <c r="AP3956" s="10"/>
      <c r="AQ3956" s="10"/>
      <c r="AR3956" s="10"/>
      <c r="AS3956" s="10"/>
      <c r="AT3956" s="10"/>
      <c r="AU3956" s="10"/>
      <c r="AV3956" s="10"/>
      <c r="AW3956" s="10"/>
      <c r="AX3956" s="10"/>
      <c r="AY3956" s="10"/>
      <c r="AZ3956" s="10"/>
    </row>
    <row r="3957" spans="28:52">
      <c r="AB3957" s="9">
        <v>1.0486549661225648</v>
      </c>
      <c r="AC3957" s="9">
        <v>1.0323775427413397</v>
      </c>
      <c r="AD3957" s="9">
        <v>0.99150010480947737</v>
      </c>
      <c r="AE3957" s="10"/>
      <c r="AF3957" s="10"/>
      <c r="AG3957" s="10"/>
      <c r="AH3957" s="10"/>
      <c r="AI3957" s="10"/>
      <c r="AJ3957" s="10"/>
      <c r="AK3957" s="10"/>
      <c r="AL3957" s="10"/>
      <c r="AM3957" s="10"/>
      <c r="AN3957" s="10"/>
      <c r="AO3957" s="10"/>
      <c r="AP3957" s="10"/>
      <c r="AQ3957" s="10"/>
      <c r="AR3957" s="10"/>
      <c r="AS3957" s="10"/>
      <c r="AT3957" s="10"/>
      <c r="AU3957" s="10"/>
      <c r="AV3957" s="10"/>
      <c r="AW3957" s="10"/>
      <c r="AX3957" s="10"/>
      <c r="AY3957" s="10"/>
      <c r="AZ3957" s="10"/>
    </row>
    <row r="3958" spans="28:52">
      <c r="AB3958" s="9">
        <v>1.0587147057433706</v>
      </c>
      <c r="AC3958" s="9">
        <v>1.1084109333744674</v>
      </c>
      <c r="AD3958" s="9">
        <v>0.97934781840218199</v>
      </c>
      <c r="AE3958" s="10"/>
      <c r="AF3958" s="10"/>
      <c r="AG3958" s="10"/>
      <c r="AH3958" s="10"/>
      <c r="AI3958" s="10"/>
      <c r="AJ3958" s="10"/>
      <c r="AK3958" s="10"/>
      <c r="AL3958" s="10"/>
      <c r="AM3958" s="10"/>
      <c r="AN3958" s="10"/>
      <c r="AO3958" s="10"/>
      <c r="AP3958" s="10"/>
      <c r="AQ3958" s="10"/>
      <c r="AR3958" s="10"/>
      <c r="AS3958" s="10"/>
      <c r="AT3958" s="10"/>
      <c r="AU3958" s="10"/>
      <c r="AV3958" s="10"/>
      <c r="AW3958" s="10"/>
      <c r="AX3958" s="10"/>
      <c r="AY3958" s="10"/>
      <c r="AZ3958" s="10"/>
    </row>
    <row r="3959" spans="28:52">
      <c r="AB3959" s="9">
        <v>1.0693034105497623</v>
      </c>
      <c r="AC3959" s="9">
        <v>1.273176739386924</v>
      </c>
      <c r="AD3959" s="9">
        <v>0.9796254531216454</v>
      </c>
      <c r="AE3959" s="10"/>
      <c r="AF3959" s="10"/>
      <c r="AG3959" s="10"/>
      <c r="AH3959" s="10"/>
      <c r="AI3959" s="10"/>
      <c r="AJ3959" s="10"/>
      <c r="AK3959" s="10"/>
      <c r="AL3959" s="10"/>
      <c r="AM3959" s="10"/>
      <c r="AN3959" s="10"/>
      <c r="AO3959" s="10"/>
      <c r="AP3959" s="10"/>
      <c r="AQ3959" s="10"/>
      <c r="AR3959" s="10"/>
      <c r="AS3959" s="10"/>
      <c r="AT3959" s="10"/>
      <c r="AU3959" s="10"/>
      <c r="AV3959" s="10"/>
      <c r="AW3959" s="10"/>
      <c r="AX3959" s="10"/>
      <c r="AY3959" s="10"/>
      <c r="AZ3959" s="10"/>
    </row>
    <row r="3960" spans="28:52">
      <c r="AB3960" s="9">
        <v>1.0664701034376192</v>
      </c>
      <c r="AC3960" s="9">
        <v>1.3137029142775407</v>
      </c>
      <c r="AD3960" s="9">
        <v>0.97740112495919773</v>
      </c>
      <c r="AE3960" s="10"/>
      <c r="AF3960" s="10"/>
      <c r="AG3960" s="10"/>
      <c r="AH3960" s="10"/>
      <c r="AI3960" s="10"/>
      <c r="AJ3960" s="10"/>
      <c r="AK3960" s="10"/>
      <c r="AL3960" s="10"/>
      <c r="AM3960" s="10"/>
      <c r="AN3960" s="10"/>
      <c r="AO3960" s="10"/>
      <c r="AP3960" s="10"/>
      <c r="AQ3960" s="10"/>
      <c r="AR3960" s="10"/>
      <c r="AS3960" s="10"/>
      <c r="AT3960" s="10"/>
      <c r="AU3960" s="10"/>
      <c r="AV3960" s="10"/>
      <c r="AW3960" s="10"/>
      <c r="AX3960" s="10"/>
      <c r="AY3960" s="10"/>
      <c r="AZ3960" s="10"/>
    </row>
    <row r="3961" spans="28:52">
      <c r="AB3961" s="9">
        <v>1.0662759013537533</v>
      </c>
      <c r="AC3961" s="9">
        <v>1.2492057818209468</v>
      </c>
      <c r="AD3961" s="9">
        <v>0.98951476408225614</v>
      </c>
      <c r="AE3961" s="10"/>
      <c r="AF3961" s="10"/>
      <c r="AG3961" s="10"/>
      <c r="AH3961" s="10"/>
      <c r="AI3961" s="10"/>
      <c r="AJ3961" s="10"/>
      <c r="AK3961" s="10"/>
      <c r="AL3961" s="10"/>
      <c r="AM3961" s="10"/>
      <c r="AN3961" s="10"/>
      <c r="AO3961" s="10"/>
      <c r="AP3961" s="10"/>
      <c r="AQ3961" s="10"/>
      <c r="AR3961" s="10"/>
      <c r="AS3961" s="10"/>
      <c r="AT3961" s="10"/>
      <c r="AU3961" s="10"/>
      <c r="AV3961" s="10"/>
      <c r="AW3961" s="10"/>
      <c r="AX3961" s="10"/>
      <c r="AY3961" s="10"/>
      <c r="AZ3961" s="10"/>
    </row>
    <row r="3962" spans="28:52">
      <c r="AB3962" s="9">
        <v>1.0508482632116489</v>
      </c>
      <c r="AC3962" s="9">
        <v>1.1238006994311376</v>
      </c>
      <c r="AD3962" s="9">
        <v>1.0020362143598509</v>
      </c>
      <c r="AE3962" s="10"/>
      <c r="AF3962" s="10"/>
      <c r="AG3962" s="10"/>
      <c r="AH3962" s="10"/>
      <c r="AI3962" s="10"/>
      <c r="AJ3962" s="10"/>
      <c r="AK3962" s="10"/>
      <c r="AL3962" s="10"/>
      <c r="AM3962" s="10"/>
      <c r="AN3962" s="10"/>
      <c r="AO3962" s="10"/>
      <c r="AP3962" s="10"/>
      <c r="AQ3962" s="10"/>
      <c r="AR3962" s="10"/>
      <c r="AS3962" s="10"/>
      <c r="AT3962" s="10"/>
      <c r="AU3962" s="10"/>
      <c r="AV3962" s="10"/>
      <c r="AW3962" s="10"/>
      <c r="AX3962" s="10"/>
      <c r="AY3962" s="10"/>
      <c r="AZ3962" s="10"/>
    </row>
    <row r="3963" spans="28:52">
      <c r="AB3963" s="9">
        <v>1.0357841285522558</v>
      </c>
      <c r="AC3963" s="9">
        <v>0.92721560549399673</v>
      </c>
      <c r="AD3963" s="9">
        <v>0.99546675806577933</v>
      </c>
      <c r="AE3963" s="10"/>
      <c r="AF3963" s="10"/>
      <c r="AG3963" s="10"/>
      <c r="AH3963" s="10"/>
      <c r="AI3963" s="10"/>
      <c r="AJ3963" s="10"/>
      <c r="AK3963" s="10"/>
      <c r="AL3963" s="10"/>
      <c r="AM3963" s="10"/>
      <c r="AN3963" s="10"/>
      <c r="AO3963" s="10"/>
      <c r="AP3963" s="10"/>
      <c r="AQ3963" s="10"/>
      <c r="AR3963" s="10"/>
      <c r="AS3963" s="10"/>
      <c r="AT3963" s="10"/>
      <c r="AU3963" s="10"/>
      <c r="AV3963" s="10"/>
      <c r="AW3963" s="10"/>
      <c r="AX3963" s="10"/>
      <c r="AY3963" s="10"/>
      <c r="AZ3963" s="10"/>
    </row>
    <row r="3964" spans="28:52">
      <c r="AB3964" s="9">
        <v>1.0407050900192718</v>
      </c>
      <c r="AC3964" s="9">
        <v>0.9684179104989713</v>
      </c>
      <c r="AD3964" s="9">
        <v>1.0075422288959439</v>
      </c>
      <c r="AE3964" s="10"/>
      <c r="AF3964" s="10"/>
      <c r="AG3964" s="10"/>
      <c r="AH3964" s="10"/>
      <c r="AI3964" s="10"/>
      <c r="AJ3964" s="10"/>
      <c r="AK3964" s="10"/>
      <c r="AL3964" s="10"/>
      <c r="AM3964" s="10"/>
      <c r="AN3964" s="10"/>
      <c r="AO3964" s="10"/>
      <c r="AP3964" s="10"/>
      <c r="AQ3964" s="10"/>
      <c r="AR3964" s="10"/>
      <c r="AS3964" s="10"/>
      <c r="AT3964" s="10"/>
      <c r="AU3964" s="10"/>
      <c r="AV3964" s="10"/>
      <c r="AW3964" s="10"/>
      <c r="AX3964" s="10"/>
      <c r="AY3964" s="10"/>
      <c r="AZ3964" s="10"/>
    </row>
    <row r="3965" spans="28:52">
      <c r="AB3965" s="9">
        <v>1.0266249149171061</v>
      </c>
      <c r="AC3965" s="9">
        <v>1.0921313643376684</v>
      </c>
      <c r="AD3965" s="9">
        <v>1.0186076615628961</v>
      </c>
      <c r="AE3965" s="10"/>
      <c r="AF3965" s="10"/>
      <c r="AG3965" s="10"/>
      <c r="AH3965" s="10"/>
      <c r="AI3965" s="10"/>
      <c r="AJ3965" s="10"/>
      <c r="AK3965" s="10"/>
      <c r="AL3965" s="10"/>
      <c r="AM3965" s="10"/>
      <c r="AN3965" s="10"/>
      <c r="AO3965" s="10"/>
      <c r="AP3965" s="10"/>
      <c r="AQ3965" s="10"/>
      <c r="AR3965" s="10"/>
      <c r="AS3965" s="10"/>
      <c r="AT3965" s="10"/>
      <c r="AU3965" s="10"/>
      <c r="AV3965" s="10"/>
      <c r="AW3965" s="10"/>
      <c r="AX3965" s="10"/>
      <c r="AY3965" s="10"/>
      <c r="AZ3965" s="10"/>
    </row>
    <row r="3966" spans="28:52">
      <c r="AB3966" s="9">
        <v>1.0143251298576619</v>
      </c>
      <c r="AC3966" s="9">
        <v>1.201864845631385</v>
      </c>
      <c r="AD3966" s="9">
        <v>1.0006300931109253</v>
      </c>
      <c r="AE3966" s="10"/>
      <c r="AF3966" s="10"/>
      <c r="AG3966" s="10"/>
      <c r="AH3966" s="10"/>
      <c r="AI3966" s="10"/>
      <c r="AJ3966" s="10"/>
      <c r="AK3966" s="10"/>
      <c r="AL3966" s="10"/>
      <c r="AM3966" s="10"/>
      <c r="AN3966" s="10"/>
      <c r="AO3966" s="10"/>
      <c r="AP3966" s="10"/>
      <c r="AQ3966" s="10"/>
      <c r="AR3966" s="10"/>
      <c r="AS3966" s="10"/>
      <c r="AT3966" s="10"/>
      <c r="AU3966" s="10"/>
      <c r="AV3966" s="10"/>
      <c r="AW3966" s="10"/>
      <c r="AX3966" s="10"/>
      <c r="AY3966" s="10"/>
      <c r="AZ3966" s="10"/>
    </row>
    <row r="3967" spans="28:52">
      <c r="AB3967" s="9">
        <v>1.0315076357009494</v>
      </c>
      <c r="AC3967" s="9">
        <v>0.93412291393955171</v>
      </c>
      <c r="AD3967" s="9">
        <v>0.99845295818076696</v>
      </c>
      <c r="AE3967" s="10"/>
      <c r="AF3967" s="10"/>
      <c r="AG3967" s="10"/>
      <c r="AH3967" s="10"/>
      <c r="AI3967" s="10"/>
      <c r="AJ3967" s="10"/>
      <c r="AK3967" s="10"/>
      <c r="AL3967" s="10"/>
      <c r="AM3967" s="10"/>
      <c r="AN3967" s="10"/>
      <c r="AO3967" s="10"/>
      <c r="AP3967" s="10"/>
      <c r="AQ3967" s="10"/>
      <c r="AR3967" s="10"/>
      <c r="AS3967" s="10"/>
      <c r="AT3967" s="10"/>
      <c r="AU3967" s="10"/>
      <c r="AV3967" s="10"/>
      <c r="AW3967" s="10"/>
      <c r="AX3967" s="10"/>
      <c r="AY3967" s="10"/>
      <c r="AZ3967" s="10"/>
    </row>
    <row r="3968" spans="28:52">
      <c r="AB3968" s="9">
        <v>1.0326964691267206</v>
      </c>
      <c r="AC3968" s="9">
        <v>0.79866977632392655</v>
      </c>
      <c r="AD3968" s="9">
        <v>0.99805440909230914</v>
      </c>
      <c r="AE3968" s="10"/>
      <c r="AF3968" s="10"/>
      <c r="AG3968" s="10"/>
      <c r="AH3968" s="10"/>
      <c r="AI3968" s="10"/>
      <c r="AJ3968" s="10"/>
      <c r="AK3968" s="10"/>
      <c r="AL3968" s="10"/>
      <c r="AM3968" s="10"/>
      <c r="AN3968" s="10"/>
      <c r="AO3968" s="10"/>
      <c r="AP3968" s="10"/>
      <c r="AQ3968" s="10"/>
      <c r="AR3968" s="10"/>
      <c r="AS3968" s="10"/>
      <c r="AT3968" s="10"/>
      <c r="AU3968" s="10"/>
      <c r="AV3968" s="10"/>
      <c r="AW3968" s="10"/>
      <c r="AX3968" s="10"/>
      <c r="AY3968" s="10"/>
      <c r="AZ3968" s="10"/>
    </row>
    <row r="3969" spans="28:52">
      <c r="AB3969" s="9">
        <v>1.031995587469509</v>
      </c>
      <c r="AC3969" s="9">
        <v>0.78347626047676611</v>
      </c>
      <c r="AD3969" s="9">
        <v>0.99337067493151632</v>
      </c>
      <c r="AE3969" s="10"/>
      <c r="AF3969" s="10"/>
      <c r="AG3969" s="10"/>
      <c r="AH3969" s="10"/>
      <c r="AI3969" s="10"/>
      <c r="AJ3969" s="10"/>
      <c r="AK3969" s="10"/>
      <c r="AL3969" s="10"/>
      <c r="AM3969" s="10"/>
      <c r="AN3969" s="10"/>
      <c r="AO3969" s="10"/>
      <c r="AP3969" s="10"/>
      <c r="AQ3969" s="10"/>
      <c r="AR3969" s="10"/>
      <c r="AS3969" s="10"/>
      <c r="AT3969" s="10"/>
      <c r="AU3969" s="10"/>
      <c r="AV3969" s="10"/>
      <c r="AW3969" s="10"/>
      <c r="AX3969" s="10"/>
      <c r="AY3969" s="10"/>
      <c r="AZ3969" s="10"/>
    </row>
    <row r="3970" spans="28:52">
      <c r="AB3970" s="9">
        <v>1.0357634127341313</v>
      </c>
      <c r="AC3970" s="9">
        <v>0.84253636041744639</v>
      </c>
      <c r="AD3970" s="9">
        <v>0.98630498608011474</v>
      </c>
      <c r="AE3970" s="10"/>
      <c r="AF3970" s="10"/>
      <c r="AG3970" s="10"/>
      <c r="AH3970" s="10"/>
      <c r="AI3970" s="10"/>
      <c r="AJ3970" s="10"/>
      <c r="AK3970" s="10"/>
      <c r="AL3970" s="10"/>
      <c r="AM3970" s="10"/>
      <c r="AN3970" s="10"/>
      <c r="AO3970" s="10"/>
      <c r="AP3970" s="10"/>
      <c r="AQ3970" s="10"/>
      <c r="AR3970" s="10"/>
      <c r="AS3970" s="10"/>
      <c r="AT3970" s="10"/>
      <c r="AU3970" s="10"/>
      <c r="AV3970" s="10"/>
      <c r="AW3970" s="10"/>
      <c r="AX3970" s="10"/>
      <c r="AY3970" s="10"/>
      <c r="AZ3970" s="10"/>
    </row>
    <row r="3971" spans="28:52">
      <c r="AB3971" s="9">
        <v>1.0418800085639397</v>
      </c>
      <c r="AC3971" s="9">
        <v>0.88858802331316744</v>
      </c>
      <c r="AD3971" s="9">
        <v>0.9936959571841103</v>
      </c>
      <c r="AE3971" s="10"/>
      <c r="AF3971" s="10"/>
      <c r="AG3971" s="10"/>
      <c r="AH3971" s="10"/>
      <c r="AI3971" s="10"/>
      <c r="AJ3971" s="10"/>
      <c r="AK3971" s="10"/>
      <c r="AL3971" s="10"/>
      <c r="AM3971" s="10"/>
      <c r="AN3971" s="10"/>
      <c r="AO3971" s="10"/>
      <c r="AP3971" s="10"/>
      <c r="AQ3971" s="10"/>
      <c r="AR3971" s="10"/>
      <c r="AS3971" s="10"/>
      <c r="AT3971" s="10"/>
      <c r="AU3971" s="10"/>
      <c r="AV3971" s="10"/>
      <c r="AW3971" s="10"/>
      <c r="AX3971" s="10"/>
      <c r="AY3971" s="10"/>
      <c r="AZ3971" s="10"/>
    </row>
    <row r="3972" spans="28:52">
      <c r="AB3972" s="9">
        <v>1.032730940321696</v>
      </c>
      <c r="AC3972" s="9">
        <v>0.92397254674226426</v>
      </c>
      <c r="AD3972" s="9">
        <v>0.99380682361551897</v>
      </c>
      <c r="AE3972" s="10"/>
      <c r="AF3972" s="10"/>
      <c r="AG3972" s="10"/>
      <c r="AH3972" s="10"/>
      <c r="AI3972" s="10"/>
      <c r="AJ3972" s="10"/>
      <c r="AK3972" s="10"/>
      <c r="AL3972" s="10"/>
      <c r="AM3972" s="10"/>
      <c r="AN3972" s="10"/>
      <c r="AO3972" s="10"/>
      <c r="AP3972" s="10"/>
      <c r="AQ3972" s="10"/>
      <c r="AR3972" s="10"/>
      <c r="AS3972" s="10"/>
      <c r="AT3972" s="10"/>
      <c r="AU3972" s="10"/>
      <c r="AV3972" s="10"/>
      <c r="AW3972" s="10"/>
      <c r="AX3972" s="10"/>
      <c r="AY3972" s="10"/>
      <c r="AZ3972" s="10"/>
    </row>
    <row r="3973" spans="28:52">
      <c r="AB3973" s="9">
        <v>1.0312302283776396</v>
      </c>
      <c r="AC3973" s="9">
        <v>0.90212083422558687</v>
      </c>
      <c r="AD3973" s="9">
        <v>0.99306725621341851</v>
      </c>
      <c r="AE3973" s="10"/>
      <c r="AF3973" s="10"/>
      <c r="AG3973" s="10"/>
      <c r="AH3973" s="10"/>
      <c r="AI3973" s="10"/>
      <c r="AJ3973" s="10"/>
      <c r="AK3973" s="10"/>
      <c r="AL3973" s="10"/>
      <c r="AM3973" s="10"/>
      <c r="AN3973" s="10"/>
      <c r="AO3973" s="10"/>
      <c r="AP3973" s="10"/>
      <c r="AQ3973" s="10"/>
      <c r="AR3973" s="10"/>
      <c r="AS3973" s="10"/>
      <c r="AT3973" s="10"/>
      <c r="AU3973" s="10"/>
      <c r="AV3973" s="10"/>
      <c r="AW3973" s="10"/>
      <c r="AX3973" s="10"/>
      <c r="AY3973" s="10"/>
      <c r="AZ3973" s="10"/>
    </row>
    <row r="3974" spans="28:52">
      <c r="AB3974" s="9">
        <v>1.0305893020600132</v>
      </c>
      <c r="AC3974" s="9">
        <v>0.79664399496582439</v>
      </c>
      <c r="AD3974" s="9">
        <v>0.98292746303339129</v>
      </c>
      <c r="AE3974" s="10"/>
      <c r="AF3974" s="10"/>
      <c r="AG3974" s="10"/>
      <c r="AH3974" s="10"/>
      <c r="AI3974" s="10"/>
      <c r="AJ3974" s="10"/>
      <c r="AK3974" s="10"/>
      <c r="AL3974" s="10"/>
      <c r="AM3974" s="10"/>
      <c r="AN3974" s="10"/>
      <c r="AO3974" s="10"/>
      <c r="AP3974" s="10"/>
      <c r="AQ3974" s="10"/>
      <c r="AR3974" s="10"/>
      <c r="AS3974" s="10"/>
      <c r="AT3974" s="10"/>
      <c r="AU3974" s="10"/>
      <c r="AV3974" s="10"/>
      <c r="AW3974" s="10"/>
      <c r="AX3974" s="10"/>
      <c r="AY3974" s="10"/>
      <c r="AZ3974" s="10"/>
    </row>
    <row r="3975" spans="28:52">
      <c r="AB3975" s="9">
        <v>1.0395103370991046</v>
      </c>
      <c r="AC3975" s="9">
        <v>0.94383976759775035</v>
      </c>
      <c r="AD3975" s="9">
        <v>0.98455856240148287</v>
      </c>
      <c r="AE3975" s="10"/>
      <c r="AF3975" s="10"/>
      <c r="AG3975" s="10"/>
      <c r="AH3975" s="10"/>
      <c r="AI3975" s="10"/>
      <c r="AJ3975" s="10"/>
      <c r="AK3975" s="10"/>
      <c r="AL3975" s="10"/>
      <c r="AM3975" s="10"/>
      <c r="AN3975" s="10"/>
      <c r="AO3975" s="10"/>
      <c r="AP3975" s="10"/>
      <c r="AQ3975" s="10"/>
      <c r="AR3975" s="10"/>
      <c r="AS3975" s="10"/>
      <c r="AT3975" s="10"/>
      <c r="AU3975" s="10"/>
      <c r="AV3975" s="10"/>
      <c r="AW3975" s="10"/>
      <c r="AX3975" s="10"/>
      <c r="AY3975" s="10"/>
      <c r="AZ3975" s="10"/>
    </row>
    <row r="3976" spans="28:52">
      <c r="AB3976" s="9">
        <v>1.0361039081812691</v>
      </c>
      <c r="AC3976" s="9">
        <v>0.91418814949094651</v>
      </c>
      <c r="AD3976" s="9">
        <v>0.99736525292405853</v>
      </c>
      <c r="AE3976" s="10"/>
      <c r="AF3976" s="10"/>
      <c r="AG3976" s="10"/>
      <c r="AH3976" s="10"/>
      <c r="AI3976" s="10"/>
      <c r="AJ3976" s="10"/>
      <c r="AK3976" s="10"/>
      <c r="AL3976" s="10"/>
      <c r="AM3976" s="10"/>
      <c r="AN3976" s="10"/>
      <c r="AO3976" s="10"/>
      <c r="AP3976" s="10"/>
      <c r="AQ3976" s="10"/>
      <c r="AR3976" s="10"/>
      <c r="AS3976" s="10"/>
      <c r="AT3976" s="10"/>
      <c r="AU3976" s="10"/>
      <c r="AV3976" s="10"/>
      <c r="AW3976" s="10"/>
      <c r="AX3976" s="10"/>
      <c r="AY3976" s="10"/>
      <c r="AZ3976" s="10"/>
    </row>
    <row r="3977" spans="28:52">
      <c r="AB3977" s="9">
        <v>1.0212018472956637</v>
      </c>
      <c r="AC3977" s="9">
        <v>0.73424525639254445</v>
      </c>
      <c r="AD3977" s="9">
        <v>1.0066242506569449</v>
      </c>
      <c r="AE3977" s="10"/>
      <c r="AF3977" s="10"/>
      <c r="AG3977" s="10"/>
      <c r="AH3977" s="10"/>
      <c r="AI3977" s="10"/>
      <c r="AJ3977" s="10"/>
      <c r="AK3977" s="10"/>
      <c r="AL3977" s="10"/>
      <c r="AM3977" s="10"/>
      <c r="AN3977" s="10"/>
      <c r="AO3977" s="10"/>
      <c r="AP3977" s="10"/>
      <c r="AQ3977" s="10"/>
      <c r="AR3977" s="10"/>
      <c r="AS3977" s="10"/>
      <c r="AT3977" s="10"/>
      <c r="AU3977" s="10"/>
      <c r="AV3977" s="10"/>
      <c r="AW3977" s="10"/>
      <c r="AX3977" s="10"/>
      <c r="AY3977" s="10"/>
      <c r="AZ3977" s="10"/>
    </row>
    <row r="3978" spans="28:52">
      <c r="AB3978" s="9">
        <v>1.0108242229984545</v>
      </c>
      <c r="AC3978" s="9">
        <v>0.6694989108609779</v>
      </c>
      <c r="AD3978" s="9">
        <v>1.0088377255032681</v>
      </c>
      <c r="AE3978" s="10"/>
      <c r="AF3978" s="10"/>
      <c r="AG3978" s="10"/>
      <c r="AH3978" s="10"/>
      <c r="AI3978" s="10"/>
      <c r="AJ3978" s="10"/>
      <c r="AK3978" s="10"/>
      <c r="AL3978" s="10"/>
      <c r="AM3978" s="10"/>
      <c r="AN3978" s="10"/>
      <c r="AO3978" s="10"/>
      <c r="AP3978" s="10"/>
      <c r="AQ3978" s="10"/>
      <c r="AR3978" s="10"/>
      <c r="AS3978" s="10"/>
      <c r="AT3978" s="10"/>
      <c r="AU3978" s="10"/>
      <c r="AV3978" s="10"/>
      <c r="AW3978" s="10"/>
      <c r="AX3978" s="10"/>
      <c r="AY3978" s="10"/>
      <c r="AZ3978" s="10"/>
    </row>
    <row r="3979" spans="28:52">
      <c r="AB3979" s="9">
        <v>1.0080173474769971</v>
      </c>
      <c r="AC3979" s="9">
        <v>0.64410818620846688</v>
      </c>
      <c r="AD3979" s="9">
        <v>1.0149065670602779</v>
      </c>
      <c r="AE3979" s="10"/>
      <c r="AF3979" s="10"/>
      <c r="AG3979" s="10"/>
      <c r="AH3979" s="10"/>
      <c r="AI3979" s="10"/>
      <c r="AJ3979" s="10"/>
      <c r="AK3979" s="10"/>
      <c r="AL3979" s="10"/>
      <c r="AM3979" s="10"/>
      <c r="AN3979" s="10"/>
      <c r="AO3979" s="10"/>
      <c r="AP3979" s="10"/>
      <c r="AQ3979" s="10"/>
      <c r="AR3979" s="10"/>
      <c r="AS3979" s="10"/>
      <c r="AT3979" s="10"/>
      <c r="AU3979" s="10"/>
      <c r="AV3979" s="10"/>
      <c r="AW3979" s="10"/>
      <c r="AX3979" s="10"/>
      <c r="AY3979" s="10"/>
      <c r="AZ3979" s="10"/>
    </row>
    <row r="3980" spans="28:52">
      <c r="AB3980" s="9">
        <v>1.0017552352940335</v>
      </c>
      <c r="AC3980" s="9">
        <v>0.68335720069384409</v>
      </c>
      <c r="AD3980" s="9">
        <v>1.0153963233327359</v>
      </c>
      <c r="AE3980" s="10"/>
      <c r="AF3980" s="10"/>
      <c r="AG3980" s="10"/>
      <c r="AH3980" s="10"/>
      <c r="AI3980" s="10"/>
      <c r="AJ3980" s="10"/>
      <c r="AK3980" s="10"/>
      <c r="AL3980" s="10"/>
      <c r="AM3980" s="10"/>
      <c r="AN3980" s="10"/>
      <c r="AO3980" s="10"/>
      <c r="AP3980" s="10"/>
      <c r="AQ3980" s="10"/>
      <c r="AR3980" s="10"/>
      <c r="AS3980" s="10"/>
      <c r="AT3980" s="10"/>
      <c r="AU3980" s="10"/>
      <c r="AV3980" s="10"/>
      <c r="AW3980" s="10"/>
      <c r="AX3980" s="10"/>
      <c r="AY3980" s="10"/>
      <c r="AZ3980" s="10"/>
    </row>
    <row r="3981" spans="28:52">
      <c r="AB3981" s="9">
        <v>1.0010835016940407</v>
      </c>
      <c r="AC3981" s="9">
        <v>0.58641025752133003</v>
      </c>
      <c r="AD3981" s="9">
        <v>1.0063077293002598</v>
      </c>
      <c r="AE3981" s="10"/>
      <c r="AF3981" s="10"/>
      <c r="AG3981" s="10"/>
      <c r="AH3981" s="10"/>
      <c r="AI3981" s="10"/>
      <c r="AJ3981" s="10"/>
      <c r="AK3981" s="10"/>
      <c r="AL3981" s="10"/>
      <c r="AM3981" s="10"/>
      <c r="AN3981" s="10"/>
      <c r="AO3981" s="10"/>
      <c r="AP3981" s="10"/>
      <c r="AQ3981" s="10"/>
      <c r="AR3981" s="10"/>
      <c r="AS3981" s="10"/>
      <c r="AT3981" s="10"/>
      <c r="AU3981" s="10"/>
      <c r="AV3981" s="10"/>
      <c r="AW3981" s="10"/>
      <c r="AX3981" s="10"/>
      <c r="AY3981" s="10"/>
      <c r="AZ3981" s="10"/>
    </row>
    <row r="3982" spans="28:52">
      <c r="AB3982" s="9">
        <v>1.0098660297181248</v>
      </c>
      <c r="AC3982" s="9">
        <v>0.68534000279837692</v>
      </c>
      <c r="AD3982" s="9">
        <v>1.005963315482737</v>
      </c>
      <c r="AE3982" s="10"/>
      <c r="AF3982" s="10"/>
      <c r="AG3982" s="10"/>
      <c r="AH3982" s="10"/>
      <c r="AI3982" s="10"/>
      <c r="AJ3982" s="10"/>
      <c r="AK3982" s="10"/>
      <c r="AL3982" s="10"/>
      <c r="AM3982" s="10"/>
      <c r="AN3982" s="10"/>
      <c r="AO3982" s="10"/>
      <c r="AP3982" s="10"/>
      <c r="AQ3982" s="10"/>
      <c r="AR3982" s="10"/>
      <c r="AS3982" s="10"/>
      <c r="AT3982" s="10"/>
      <c r="AU3982" s="10"/>
      <c r="AV3982" s="10"/>
      <c r="AW3982" s="10"/>
      <c r="AX3982" s="10"/>
      <c r="AY3982" s="10"/>
      <c r="AZ3982" s="10"/>
    </row>
    <row r="3983" spans="28:52">
      <c r="AB3983" s="9">
        <v>1.0097239208536029</v>
      </c>
      <c r="AC3983" s="9">
        <v>0.61369503352393362</v>
      </c>
      <c r="AD3983" s="9">
        <v>0.99436614925562639</v>
      </c>
      <c r="AE3983" s="10"/>
      <c r="AF3983" s="10"/>
      <c r="AG3983" s="10"/>
      <c r="AH3983" s="10"/>
      <c r="AI3983" s="10"/>
      <c r="AJ3983" s="10"/>
      <c r="AK3983" s="10"/>
      <c r="AL3983" s="10"/>
      <c r="AM3983" s="10"/>
      <c r="AN3983" s="10"/>
      <c r="AO3983" s="10"/>
      <c r="AP3983" s="10"/>
      <c r="AQ3983" s="10"/>
      <c r="AR3983" s="10"/>
      <c r="AS3983" s="10"/>
      <c r="AT3983" s="10"/>
      <c r="AU3983" s="10"/>
      <c r="AV3983" s="10"/>
      <c r="AW3983" s="10"/>
      <c r="AX3983" s="10"/>
      <c r="AY3983" s="10"/>
      <c r="AZ3983" s="10"/>
    </row>
    <row r="3984" spans="28:52">
      <c r="AB3984" s="9">
        <v>1.020740985052021</v>
      </c>
      <c r="AC3984" s="9">
        <v>0.77759785443638507</v>
      </c>
      <c r="AD3984" s="9">
        <v>0.99768982657457383</v>
      </c>
      <c r="AE3984" s="10"/>
      <c r="AF3984" s="10"/>
      <c r="AG3984" s="10"/>
      <c r="AH3984" s="10"/>
      <c r="AI3984" s="10"/>
      <c r="AJ3984" s="10"/>
      <c r="AK3984" s="10"/>
      <c r="AL3984" s="10"/>
      <c r="AM3984" s="10"/>
      <c r="AN3984" s="10"/>
      <c r="AO3984" s="10"/>
      <c r="AP3984" s="10"/>
      <c r="AQ3984" s="10"/>
      <c r="AR3984" s="10"/>
      <c r="AS3984" s="10"/>
      <c r="AT3984" s="10"/>
      <c r="AU3984" s="10"/>
      <c r="AV3984" s="10"/>
      <c r="AW3984" s="10"/>
      <c r="AX3984" s="10"/>
      <c r="AY3984" s="10"/>
      <c r="AZ3984" s="10"/>
    </row>
    <row r="3985" spans="28:52">
      <c r="AB3985" s="9">
        <v>1.016344138900789</v>
      </c>
      <c r="AC3985" s="9">
        <v>0.72039702517983051</v>
      </c>
      <c r="AD3985" s="9">
        <v>0.99888258681852815</v>
      </c>
      <c r="AE3985" s="10"/>
      <c r="AF3985" s="10"/>
      <c r="AG3985" s="10"/>
      <c r="AH3985" s="10"/>
      <c r="AI3985" s="10"/>
      <c r="AJ3985" s="10"/>
      <c r="AK3985" s="10"/>
      <c r="AL3985" s="10"/>
      <c r="AM3985" s="10"/>
      <c r="AN3985" s="10"/>
      <c r="AO3985" s="10"/>
      <c r="AP3985" s="10"/>
      <c r="AQ3985" s="10"/>
      <c r="AR3985" s="10"/>
      <c r="AS3985" s="10"/>
      <c r="AT3985" s="10"/>
      <c r="AU3985" s="10"/>
      <c r="AV3985" s="10"/>
      <c r="AW3985" s="10"/>
      <c r="AX3985" s="10"/>
      <c r="AY3985" s="10"/>
      <c r="AZ3985" s="10"/>
    </row>
    <row r="3986" spans="28:52">
      <c r="AB3986" s="9">
        <v>1.0143624362506878</v>
      </c>
      <c r="AC3986" s="9">
        <v>0.65584941016140719</v>
      </c>
      <c r="AD3986" s="9">
        <v>0.99725222755050225</v>
      </c>
      <c r="AE3986" s="10"/>
      <c r="AF3986" s="10"/>
      <c r="AG3986" s="10"/>
      <c r="AH3986" s="10"/>
      <c r="AI3986" s="10"/>
      <c r="AJ3986" s="10"/>
      <c r="AK3986" s="10"/>
      <c r="AL3986" s="10"/>
      <c r="AM3986" s="10"/>
      <c r="AN3986" s="10"/>
      <c r="AO3986" s="10"/>
      <c r="AP3986" s="10"/>
      <c r="AQ3986" s="10"/>
      <c r="AR3986" s="10"/>
      <c r="AS3986" s="10"/>
      <c r="AT3986" s="10"/>
      <c r="AU3986" s="10"/>
      <c r="AV3986" s="10"/>
      <c r="AW3986" s="10"/>
      <c r="AX3986" s="10"/>
      <c r="AY3986" s="10"/>
      <c r="AZ3986" s="10"/>
    </row>
    <row r="3987" spans="28:52">
      <c r="AB3987" s="9">
        <v>1.0158345768788224</v>
      </c>
      <c r="AC3987" s="9">
        <v>0.77015726467544132</v>
      </c>
      <c r="AD3987" s="9">
        <v>1.0085758118194115</v>
      </c>
      <c r="AE3987" s="10"/>
      <c r="AF3987" s="10"/>
      <c r="AG3987" s="10"/>
      <c r="AH3987" s="10"/>
      <c r="AI3987" s="10"/>
      <c r="AJ3987" s="10"/>
      <c r="AK3987" s="10"/>
      <c r="AL3987" s="10"/>
      <c r="AM3987" s="10"/>
      <c r="AN3987" s="10"/>
      <c r="AO3987" s="10"/>
      <c r="AP3987" s="10"/>
      <c r="AQ3987" s="10"/>
      <c r="AR3987" s="10"/>
      <c r="AS3987" s="10"/>
      <c r="AT3987" s="10"/>
      <c r="AU3987" s="10"/>
      <c r="AV3987" s="10"/>
      <c r="AW3987" s="10"/>
      <c r="AX3987" s="10"/>
      <c r="AY3987" s="10"/>
      <c r="AZ3987" s="10"/>
    </row>
    <row r="3988" spans="28:52">
      <c r="AB3988" s="9">
        <v>1.0046621867387788</v>
      </c>
      <c r="AC3988" s="9">
        <v>0.64848881397515501</v>
      </c>
      <c r="AD3988" s="9">
        <v>1.0145548241333984</v>
      </c>
      <c r="AE3988" s="10"/>
      <c r="AF3988" s="10"/>
      <c r="AG3988" s="10"/>
      <c r="AH3988" s="10"/>
      <c r="AI3988" s="10"/>
      <c r="AJ3988" s="10"/>
      <c r="AK3988" s="10"/>
      <c r="AL3988" s="10"/>
      <c r="AM3988" s="10"/>
      <c r="AN3988" s="10"/>
      <c r="AO3988" s="10"/>
      <c r="AP3988" s="10"/>
      <c r="AQ3988" s="10"/>
      <c r="AR3988" s="10"/>
      <c r="AS3988" s="10"/>
      <c r="AT3988" s="10"/>
      <c r="AU3988" s="10"/>
      <c r="AV3988" s="10"/>
      <c r="AW3988" s="10"/>
      <c r="AX3988" s="10"/>
      <c r="AY3988" s="10"/>
      <c r="AZ3988" s="10"/>
    </row>
    <row r="3989" spans="28:52">
      <c r="AB3989" s="9">
        <v>0.99932320424184273</v>
      </c>
      <c r="AC3989" s="9">
        <v>0.65602483262647193</v>
      </c>
      <c r="AD3989" s="9">
        <v>1.0059294316501164</v>
      </c>
      <c r="AE3989" s="10"/>
      <c r="AF3989" s="10"/>
      <c r="AG3989" s="10"/>
      <c r="AH3989" s="10"/>
      <c r="AI3989" s="10"/>
      <c r="AJ3989" s="10"/>
      <c r="AK3989" s="10"/>
      <c r="AL3989" s="10"/>
      <c r="AM3989" s="10"/>
      <c r="AN3989" s="10"/>
      <c r="AO3989" s="10"/>
      <c r="AP3989" s="10"/>
      <c r="AQ3989" s="10"/>
      <c r="AR3989" s="10"/>
      <c r="AS3989" s="10"/>
      <c r="AT3989" s="10"/>
      <c r="AU3989" s="10"/>
      <c r="AV3989" s="10"/>
      <c r="AW3989" s="10"/>
      <c r="AX3989" s="10"/>
      <c r="AY3989" s="10"/>
      <c r="AZ3989" s="10"/>
    </row>
    <row r="3990" spans="28:52">
      <c r="AB3990" s="9">
        <v>1.0081834111087795</v>
      </c>
      <c r="AC3990" s="9">
        <v>0.72112017102316439</v>
      </c>
      <c r="AD3990" s="9">
        <v>0.99510187083871315</v>
      </c>
      <c r="AE3990" s="10"/>
      <c r="AF3990" s="10"/>
      <c r="AG3990" s="10"/>
      <c r="AH3990" s="10"/>
      <c r="AI3990" s="10"/>
      <c r="AJ3990" s="10"/>
      <c r="AK3990" s="10"/>
      <c r="AL3990" s="10"/>
      <c r="AM3990" s="10"/>
      <c r="AN3990" s="10"/>
      <c r="AO3990" s="10"/>
      <c r="AP3990" s="10"/>
      <c r="AQ3990" s="10"/>
      <c r="AR3990" s="10"/>
      <c r="AS3990" s="10"/>
      <c r="AT3990" s="10"/>
      <c r="AU3990" s="10"/>
      <c r="AV3990" s="10"/>
      <c r="AW3990" s="10"/>
      <c r="AX3990" s="10"/>
      <c r="AY3990" s="10"/>
      <c r="AZ3990" s="10"/>
    </row>
    <row r="3991" spans="28:52">
      <c r="AB3991" s="9">
        <v>1.0193545759900695</v>
      </c>
      <c r="AC3991" s="9">
        <v>1.0027162308257576</v>
      </c>
      <c r="AD3991" s="9">
        <v>0.99521265610051179</v>
      </c>
      <c r="AE3991" s="10"/>
      <c r="AF3991" s="10"/>
      <c r="AG3991" s="10"/>
      <c r="AH3991" s="10"/>
      <c r="AI3991" s="10"/>
      <c r="AJ3991" s="10"/>
      <c r="AK3991" s="10"/>
      <c r="AL3991" s="10"/>
      <c r="AM3991" s="10"/>
      <c r="AN3991" s="10"/>
      <c r="AO3991" s="10"/>
      <c r="AP3991" s="10"/>
      <c r="AQ3991" s="10"/>
      <c r="AR3991" s="10"/>
      <c r="AS3991" s="10"/>
      <c r="AT3991" s="10"/>
      <c r="AU3991" s="10"/>
      <c r="AV3991" s="10"/>
      <c r="AW3991" s="10"/>
      <c r="AX3991" s="10"/>
      <c r="AY3991" s="10"/>
      <c r="AZ3991" s="10"/>
    </row>
    <row r="3992" spans="28:52">
      <c r="AB3992" s="9"/>
      <c r="AC3992" s="9"/>
      <c r="AD3992" s="9"/>
      <c r="AE3992" s="10"/>
      <c r="AF3992" s="10"/>
      <c r="AG3992" s="10"/>
      <c r="AH3992" s="10"/>
      <c r="AI3992" s="10"/>
      <c r="AJ3992" s="10"/>
      <c r="AK3992" s="10"/>
      <c r="AL3992" s="10"/>
      <c r="AM3992" s="10"/>
      <c r="AN3992" s="10"/>
      <c r="AO3992" s="10"/>
      <c r="AP3992" s="10"/>
      <c r="AQ3992" s="10"/>
      <c r="AR3992" s="10"/>
      <c r="AS3992" s="10"/>
      <c r="AT3992" s="10"/>
      <c r="AU3992" s="10"/>
      <c r="AV3992" s="10"/>
      <c r="AW3992" s="10"/>
      <c r="AX3992" s="10"/>
      <c r="AY3992" s="10"/>
      <c r="AZ3992" s="10"/>
    </row>
    <row r="3993" spans="28:52">
      <c r="AB3993" s="9"/>
      <c r="AC3993" s="9"/>
      <c r="AD3993" s="9"/>
      <c r="AE3993" s="10"/>
      <c r="AF3993" s="10"/>
      <c r="AG3993" s="10"/>
      <c r="AH3993" s="10"/>
      <c r="AI3993" s="10"/>
      <c r="AJ3993" s="10"/>
      <c r="AK3993" s="10"/>
      <c r="AL3993" s="10"/>
      <c r="AM3993" s="10"/>
      <c r="AN3993" s="10"/>
      <c r="AO3993" s="10"/>
      <c r="AP3993" s="10"/>
      <c r="AQ3993" s="10"/>
      <c r="AR3993" s="10"/>
      <c r="AS3993" s="10"/>
      <c r="AT3993" s="10"/>
      <c r="AU3993" s="10"/>
      <c r="AV3993" s="10"/>
      <c r="AW3993" s="10"/>
      <c r="AX3993" s="10"/>
      <c r="AY3993" s="10"/>
      <c r="AZ3993" s="10"/>
    </row>
    <row r="3994" spans="28:52">
      <c r="AB3994" s="9"/>
      <c r="AC3994" s="9"/>
      <c r="AD3994" s="9"/>
      <c r="AE3994" s="10"/>
      <c r="AF3994" s="10"/>
      <c r="AG3994" s="10"/>
      <c r="AH3994" s="10"/>
      <c r="AI3994" s="10"/>
      <c r="AJ3994" s="10"/>
      <c r="AK3994" s="10"/>
      <c r="AL3994" s="10"/>
      <c r="AM3994" s="10"/>
      <c r="AN3994" s="10"/>
      <c r="AO3994" s="10"/>
      <c r="AP3994" s="10"/>
      <c r="AQ3994" s="10"/>
      <c r="AR3994" s="10"/>
      <c r="AS3994" s="10"/>
      <c r="AT3994" s="10"/>
      <c r="AU3994" s="10"/>
      <c r="AV3994" s="10"/>
      <c r="AW3994" s="10"/>
      <c r="AX3994" s="10"/>
      <c r="AY3994" s="10"/>
      <c r="AZ3994" s="10"/>
    </row>
    <row r="3995" spans="28:52">
      <c r="AB3995" s="9"/>
      <c r="AC3995" s="9"/>
      <c r="AD3995" s="9"/>
      <c r="AE3995" s="10"/>
      <c r="AF3995" s="10"/>
      <c r="AG3995" s="10"/>
      <c r="AH3995" s="10"/>
      <c r="AI3995" s="10"/>
      <c r="AJ3995" s="10"/>
      <c r="AK3995" s="10"/>
      <c r="AL3995" s="10"/>
      <c r="AM3995" s="10"/>
      <c r="AN3995" s="10"/>
      <c r="AO3995" s="10"/>
      <c r="AP3995" s="10"/>
      <c r="AQ3995" s="10"/>
      <c r="AR3995" s="10"/>
      <c r="AS3995" s="10"/>
      <c r="AT3995" s="10"/>
      <c r="AU3995" s="10"/>
      <c r="AV3995" s="10"/>
      <c r="AW3995" s="10"/>
      <c r="AX3995" s="10"/>
      <c r="AY3995" s="10"/>
      <c r="AZ3995" s="10"/>
    </row>
    <row r="3996" spans="28:52">
      <c r="AB3996" s="9"/>
      <c r="AC3996" s="9"/>
      <c r="AD3996" s="9"/>
      <c r="AE3996" s="10"/>
      <c r="AF3996" s="10"/>
      <c r="AG3996" s="10"/>
      <c r="AH3996" s="10"/>
      <c r="AI3996" s="10"/>
      <c r="AJ3996" s="10"/>
      <c r="AK3996" s="10"/>
      <c r="AL3996" s="10"/>
      <c r="AM3996" s="10"/>
      <c r="AN3996" s="10"/>
      <c r="AO3996" s="10"/>
      <c r="AP3996" s="10"/>
      <c r="AQ3996" s="10"/>
      <c r="AR3996" s="10"/>
      <c r="AS3996" s="10"/>
      <c r="AT3996" s="10"/>
      <c r="AU3996" s="10"/>
      <c r="AV3996" s="10"/>
      <c r="AW3996" s="10"/>
      <c r="AX3996" s="10"/>
      <c r="AY3996" s="10"/>
      <c r="AZ3996" s="10"/>
    </row>
    <row r="3997" spans="28:52">
      <c r="AB3997" s="9"/>
      <c r="AC3997" s="9"/>
      <c r="AD3997" s="9"/>
      <c r="AE3997" s="10"/>
      <c r="AF3997" s="10"/>
      <c r="AG3997" s="10"/>
      <c r="AH3997" s="10"/>
      <c r="AI3997" s="10"/>
      <c r="AJ3997" s="10"/>
      <c r="AK3997" s="10"/>
      <c r="AL3997" s="10"/>
      <c r="AM3997" s="10"/>
      <c r="AN3997" s="10"/>
      <c r="AO3997" s="10"/>
      <c r="AP3997" s="10"/>
      <c r="AQ3997" s="10"/>
      <c r="AR3997" s="10"/>
      <c r="AS3997" s="10"/>
      <c r="AT3997" s="10"/>
      <c r="AU3997" s="10"/>
      <c r="AV3997" s="10"/>
      <c r="AW3997" s="10"/>
      <c r="AX3997" s="10"/>
      <c r="AY3997" s="10"/>
      <c r="AZ3997" s="10"/>
    </row>
    <row r="3998" spans="28:52">
      <c r="AB3998" s="9"/>
      <c r="AC3998" s="9"/>
      <c r="AD3998" s="9"/>
      <c r="AE3998" s="10"/>
      <c r="AF3998" s="10"/>
      <c r="AG3998" s="10"/>
      <c r="AH3998" s="10"/>
      <c r="AI3998" s="10"/>
      <c r="AJ3998" s="10"/>
      <c r="AK3998" s="10"/>
      <c r="AL3998" s="10"/>
      <c r="AM3998" s="10"/>
      <c r="AN3998" s="10"/>
      <c r="AO3998" s="10"/>
      <c r="AP3998" s="10"/>
      <c r="AQ3998" s="10"/>
      <c r="AR3998" s="10"/>
      <c r="AS3998" s="10"/>
      <c r="AT3998" s="10"/>
      <c r="AU3998" s="10"/>
      <c r="AV3998" s="10"/>
      <c r="AW3998" s="10"/>
      <c r="AX3998" s="10"/>
      <c r="AY3998" s="10"/>
      <c r="AZ3998" s="10"/>
    </row>
    <row r="3999" spans="28:52">
      <c r="AB3999" s="9"/>
      <c r="AC3999" s="9"/>
      <c r="AD3999" s="9"/>
      <c r="AE3999" s="10"/>
      <c r="AF3999" s="10"/>
      <c r="AG3999" s="10"/>
      <c r="AH3999" s="10"/>
      <c r="AI3999" s="10"/>
      <c r="AJ3999" s="10"/>
      <c r="AK3999" s="10"/>
      <c r="AL3999" s="10"/>
      <c r="AM3999" s="10"/>
      <c r="AN3999" s="10"/>
      <c r="AO3999" s="10"/>
      <c r="AP3999" s="10"/>
      <c r="AQ3999" s="10"/>
      <c r="AR3999" s="10"/>
      <c r="AS3999" s="10"/>
      <c r="AT3999" s="10"/>
      <c r="AU3999" s="10"/>
      <c r="AV3999" s="10"/>
      <c r="AW3999" s="10"/>
      <c r="AX3999" s="10"/>
      <c r="AY3999" s="10"/>
      <c r="AZ3999" s="10"/>
    </row>
    <row r="4000" spans="28:52">
      <c r="AB4000" s="9"/>
      <c r="AC4000" s="9"/>
      <c r="AD4000" s="9"/>
      <c r="AE4000" s="10"/>
      <c r="AF4000" s="10"/>
      <c r="AG4000" s="10"/>
      <c r="AH4000" s="10"/>
      <c r="AI4000" s="10"/>
      <c r="AJ4000" s="10"/>
      <c r="AK4000" s="10"/>
      <c r="AL4000" s="10"/>
      <c r="AM4000" s="10"/>
      <c r="AN4000" s="10"/>
      <c r="AO4000" s="10"/>
      <c r="AP4000" s="10"/>
      <c r="AQ4000" s="10"/>
      <c r="AR4000" s="10"/>
      <c r="AS4000" s="10"/>
      <c r="AT4000" s="10"/>
      <c r="AU4000" s="10"/>
      <c r="AV4000" s="10"/>
      <c r="AW4000" s="10"/>
      <c r="AX4000" s="10"/>
      <c r="AY4000" s="10"/>
      <c r="AZ4000" s="10"/>
    </row>
    <row r="4001" spans="28:52">
      <c r="AB4001" s="9"/>
      <c r="AC4001" s="9"/>
      <c r="AD4001" s="9"/>
      <c r="AE4001" s="10"/>
      <c r="AF4001" s="10"/>
      <c r="AG4001" s="10"/>
      <c r="AH4001" s="10"/>
      <c r="AI4001" s="10"/>
      <c r="AJ4001" s="10"/>
      <c r="AK4001" s="10"/>
      <c r="AL4001" s="10"/>
      <c r="AM4001" s="10"/>
      <c r="AN4001" s="10"/>
      <c r="AO4001" s="10"/>
      <c r="AP4001" s="10"/>
      <c r="AQ4001" s="10"/>
      <c r="AR4001" s="10"/>
      <c r="AS4001" s="10"/>
      <c r="AT4001" s="10"/>
      <c r="AU4001" s="10"/>
      <c r="AV4001" s="10"/>
      <c r="AW4001" s="10"/>
      <c r="AX4001" s="10"/>
      <c r="AY4001" s="10"/>
      <c r="AZ4001" s="10"/>
    </row>
    <row r="4002" spans="28:52">
      <c r="AB4002" s="9"/>
      <c r="AC4002" s="9"/>
      <c r="AD4002" s="9"/>
      <c r="AE4002" s="10"/>
      <c r="AF4002" s="10"/>
      <c r="AG4002" s="10"/>
      <c r="AH4002" s="10"/>
      <c r="AI4002" s="10"/>
      <c r="AJ4002" s="10"/>
      <c r="AK4002" s="10"/>
      <c r="AL4002" s="10"/>
      <c r="AM4002" s="10"/>
      <c r="AN4002" s="10"/>
      <c r="AO4002" s="10"/>
      <c r="AP4002" s="10"/>
      <c r="AQ4002" s="10"/>
      <c r="AR4002" s="10"/>
      <c r="AS4002" s="10"/>
      <c r="AT4002" s="10"/>
      <c r="AU4002" s="10"/>
      <c r="AV4002" s="10"/>
      <c r="AW4002" s="10"/>
      <c r="AX4002" s="10"/>
      <c r="AY4002" s="10"/>
      <c r="AZ4002" s="10"/>
    </row>
    <row r="4003" spans="28:52">
      <c r="AB4003" s="9"/>
      <c r="AC4003" s="9"/>
      <c r="AD4003" s="9"/>
      <c r="AE4003" s="10"/>
      <c r="AF4003" s="10"/>
      <c r="AG4003" s="10"/>
      <c r="AH4003" s="10"/>
      <c r="AI4003" s="10"/>
      <c r="AJ4003" s="10"/>
      <c r="AK4003" s="10"/>
      <c r="AL4003" s="10"/>
      <c r="AM4003" s="10"/>
      <c r="AN4003" s="10"/>
      <c r="AO4003" s="10"/>
      <c r="AP4003" s="10"/>
      <c r="AQ4003" s="10"/>
      <c r="AR4003" s="10"/>
      <c r="AS4003" s="10"/>
      <c r="AT4003" s="10"/>
      <c r="AU4003" s="10"/>
      <c r="AV4003" s="10"/>
      <c r="AW4003" s="10"/>
      <c r="AX4003" s="10"/>
      <c r="AY4003" s="10"/>
      <c r="AZ4003" s="10"/>
    </row>
    <row r="4004" spans="28:52">
      <c r="AB4004" s="9"/>
      <c r="AC4004" s="9"/>
      <c r="AD4004" s="9"/>
      <c r="AE4004" s="10"/>
      <c r="AF4004" s="10"/>
      <c r="AG4004" s="10"/>
      <c r="AH4004" s="10"/>
      <c r="AI4004" s="10"/>
      <c r="AJ4004" s="10"/>
      <c r="AK4004" s="10"/>
      <c r="AL4004" s="10"/>
      <c r="AM4004" s="10"/>
      <c r="AN4004" s="10"/>
      <c r="AO4004" s="10"/>
      <c r="AP4004" s="10"/>
      <c r="AQ4004" s="10"/>
      <c r="AR4004" s="10"/>
      <c r="AS4004" s="10"/>
      <c r="AT4004" s="10"/>
      <c r="AU4004" s="10"/>
      <c r="AV4004" s="10"/>
      <c r="AW4004" s="10"/>
      <c r="AX4004" s="10"/>
      <c r="AY4004" s="10"/>
      <c r="AZ4004" s="10"/>
    </row>
    <row r="4005" spans="28:52">
      <c r="AB4005" s="9"/>
      <c r="AC4005" s="9"/>
      <c r="AD4005" s="9"/>
      <c r="AE4005" s="10"/>
      <c r="AF4005" s="10"/>
      <c r="AG4005" s="10"/>
      <c r="AH4005" s="10"/>
      <c r="AI4005" s="10"/>
      <c r="AJ4005" s="10"/>
      <c r="AK4005" s="10"/>
      <c r="AL4005" s="10"/>
      <c r="AM4005" s="10"/>
      <c r="AN4005" s="10"/>
      <c r="AO4005" s="10"/>
      <c r="AP4005" s="10"/>
      <c r="AQ4005" s="10"/>
      <c r="AR4005" s="10"/>
      <c r="AS4005" s="10"/>
      <c r="AT4005" s="10"/>
      <c r="AU4005" s="10"/>
      <c r="AV4005" s="10"/>
      <c r="AW4005" s="10"/>
      <c r="AX4005" s="10"/>
      <c r="AY4005" s="10"/>
      <c r="AZ4005" s="10"/>
    </row>
    <row r="4006" spans="28:52">
      <c r="AB4006" s="9"/>
      <c r="AC4006" s="9"/>
      <c r="AD4006" s="9"/>
      <c r="AE4006" s="10"/>
      <c r="AF4006" s="10"/>
      <c r="AG4006" s="10"/>
      <c r="AH4006" s="10"/>
      <c r="AI4006" s="10"/>
      <c r="AJ4006" s="10"/>
      <c r="AK4006" s="10"/>
      <c r="AL4006" s="10"/>
      <c r="AM4006" s="10"/>
      <c r="AN4006" s="10"/>
      <c r="AO4006" s="10"/>
      <c r="AP4006" s="10"/>
      <c r="AQ4006" s="10"/>
      <c r="AR4006" s="10"/>
      <c r="AS4006" s="10"/>
      <c r="AT4006" s="10"/>
      <c r="AU4006" s="10"/>
      <c r="AV4006" s="10"/>
      <c r="AW4006" s="10"/>
      <c r="AX4006" s="10"/>
      <c r="AY4006" s="10"/>
      <c r="AZ4006" s="10"/>
    </row>
    <row r="4007" spans="28:52">
      <c r="AB4007" s="9"/>
      <c r="AC4007" s="9"/>
      <c r="AD4007" s="9"/>
      <c r="AE4007" s="10"/>
      <c r="AF4007" s="10"/>
      <c r="AG4007" s="10"/>
      <c r="AH4007" s="10"/>
      <c r="AI4007" s="10"/>
      <c r="AJ4007" s="10"/>
      <c r="AK4007" s="10"/>
      <c r="AL4007" s="10"/>
      <c r="AM4007" s="10"/>
      <c r="AN4007" s="10"/>
      <c r="AO4007" s="10"/>
      <c r="AP4007" s="10"/>
      <c r="AQ4007" s="10"/>
      <c r="AR4007" s="10"/>
      <c r="AS4007" s="10"/>
      <c r="AT4007" s="10"/>
      <c r="AU4007" s="10"/>
      <c r="AV4007" s="10"/>
      <c r="AW4007" s="10"/>
      <c r="AX4007" s="10"/>
      <c r="AY4007" s="10"/>
      <c r="AZ4007" s="10"/>
    </row>
    <row r="4008" spans="28:52">
      <c r="AB4008" s="9"/>
      <c r="AC4008" s="9"/>
      <c r="AD4008" s="9"/>
      <c r="AE4008" s="10"/>
      <c r="AF4008" s="10"/>
      <c r="AG4008" s="10"/>
      <c r="AH4008" s="10"/>
      <c r="AI4008" s="10"/>
      <c r="AJ4008" s="10"/>
      <c r="AK4008" s="10"/>
      <c r="AL4008" s="10"/>
      <c r="AM4008" s="10"/>
      <c r="AN4008" s="10"/>
      <c r="AO4008" s="10"/>
      <c r="AP4008" s="10"/>
      <c r="AQ4008" s="10"/>
      <c r="AR4008" s="10"/>
      <c r="AS4008" s="10"/>
      <c r="AT4008" s="10"/>
      <c r="AU4008" s="10"/>
      <c r="AV4008" s="10"/>
      <c r="AW4008" s="10"/>
      <c r="AX4008" s="10"/>
      <c r="AY4008" s="10"/>
      <c r="AZ4008" s="10"/>
    </row>
    <row r="4009" spans="28:52">
      <c r="AB4009" s="9"/>
      <c r="AC4009" s="9"/>
      <c r="AD4009" s="9"/>
      <c r="AE4009" s="10"/>
      <c r="AF4009" s="10"/>
      <c r="AG4009" s="10"/>
      <c r="AH4009" s="10"/>
      <c r="AI4009" s="10"/>
      <c r="AJ4009" s="10"/>
      <c r="AK4009" s="10"/>
      <c r="AL4009" s="10"/>
      <c r="AM4009" s="10"/>
      <c r="AN4009" s="10"/>
      <c r="AO4009" s="10"/>
      <c r="AP4009" s="10"/>
      <c r="AQ4009" s="10"/>
      <c r="AR4009" s="10"/>
      <c r="AS4009" s="10"/>
      <c r="AT4009" s="10"/>
      <c r="AU4009" s="10"/>
      <c r="AV4009" s="10"/>
      <c r="AW4009" s="10"/>
      <c r="AX4009" s="10"/>
      <c r="AY4009" s="10"/>
      <c r="AZ4009" s="10"/>
    </row>
    <row r="4010" spans="28:52">
      <c r="AB4010" s="9"/>
      <c r="AC4010" s="9"/>
      <c r="AD4010" s="9"/>
      <c r="AE4010" s="10"/>
      <c r="AF4010" s="10"/>
      <c r="AG4010" s="10"/>
      <c r="AH4010" s="10"/>
      <c r="AI4010" s="10"/>
      <c r="AJ4010" s="10"/>
      <c r="AK4010" s="10"/>
      <c r="AL4010" s="10"/>
      <c r="AM4010" s="10"/>
      <c r="AN4010" s="10"/>
      <c r="AO4010" s="10"/>
      <c r="AP4010" s="10"/>
      <c r="AQ4010" s="10"/>
      <c r="AR4010" s="10"/>
      <c r="AS4010" s="10"/>
      <c r="AT4010" s="10"/>
      <c r="AU4010" s="10"/>
      <c r="AV4010" s="10"/>
      <c r="AW4010" s="10"/>
      <c r="AX4010" s="10"/>
      <c r="AY4010" s="10"/>
      <c r="AZ4010" s="10"/>
    </row>
    <row r="4011" spans="28:52">
      <c r="AB4011" s="9"/>
      <c r="AC4011" s="9"/>
      <c r="AD4011" s="9"/>
      <c r="AE4011" s="10"/>
      <c r="AF4011" s="10"/>
      <c r="AG4011" s="10"/>
      <c r="AH4011" s="10"/>
      <c r="AI4011" s="10"/>
      <c r="AJ4011" s="10"/>
      <c r="AK4011" s="10"/>
      <c r="AL4011" s="10"/>
      <c r="AM4011" s="10"/>
      <c r="AN4011" s="10"/>
      <c r="AO4011" s="10"/>
      <c r="AP4011" s="10"/>
      <c r="AQ4011" s="10"/>
      <c r="AR4011" s="10"/>
      <c r="AS4011" s="10"/>
      <c r="AT4011" s="10"/>
      <c r="AU4011" s="10"/>
      <c r="AV4011" s="10"/>
      <c r="AW4011" s="10"/>
      <c r="AX4011" s="10"/>
      <c r="AY4011" s="10"/>
      <c r="AZ4011" s="10"/>
    </row>
    <row r="4012" spans="28:52">
      <c r="AB4012" s="9"/>
      <c r="AC4012" s="9"/>
      <c r="AD4012" s="9"/>
      <c r="AE4012" s="10"/>
      <c r="AF4012" s="10"/>
      <c r="AG4012" s="10"/>
      <c r="AH4012" s="10"/>
      <c r="AI4012" s="10"/>
      <c r="AJ4012" s="10"/>
      <c r="AK4012" s="10"/>
      <c r="AL4012" s="10"/>
      <c r="AM4012" s="10"/>
      <c r="AN4012" s="10"/>
      <c r="AO4012" s="10"/>
      <c r="AP4012" s="10"/>
      <c r="AQ4012" s="10"/>
      <c r="AR4012" s="10"/>
      <c r="AS4012" s="10"/>
      <c r="AT4012" s="10"/>
      <c r="AU4012" s="10"/>
      <c r="AV4012" s="10"/>
      <c r="AW4012" s="10"/>
      <c r="AX4012" s="10"/>
      <c r="AY4012" s="10"/>
      <c r="AZ4012" s="10"/>
    </row>
    <row r="4013" spans="28:52">
      <c r="AB4013" s="9"/>
      <c r="AC4013" s="9"/>
      <c r="AD4013" s="9"/>
      <c r="AE4013" s="10"/>
      <c r="AF4013" s="10"/>
      <c r="AG4013" s="10"/>
      <c r="AH4013" s="10"/>
      <c r="AI4013" s="10"/>
      <c r="AJ4013" s="10"/>
      <c r="AK4013" s="10"/>
      <c r="AL4013" s="10"/>
      <c r="AM4013" s="10"/>
      <c r="AN4013" s="10"/>
      <c r="AO4013" s="10"/>
      <c r="AP4013" s="10"/>
      <c r="AQ4013" s="10"/>
      <c r="AR4013" s="10"/>
      <c r="AS4013" s="10"/>
      <c r="AT4013" s="10"/>
      <c r="AU4013" s="10"/>
      <c r="AV4013" s="10"/>
      <c r="AW4013" s="10"/>
      <c r="AX4013" s="10"/>
      <c r="AY4013" s="10"/>
      <c r="AZ4013" s="10"/>
    </row>
    <row r="4014" spans="28:52">
      <c r="AB4014" s="9"/>
      <c r="AC4014" s="9"/>
      <c r="AD4014" s="9"/>
      <c r="AE4014" s="10"/>
      <c r="AF4014" s="10"/>
      <c r="AG4014" s="10"/>
      <c r="AH4014" s="10"/>
      <c r="AI4014" s="10"/>
      <c r="AJ4014" s="10"/>
      <c r="AK4014" s="10"/>
      <c r="AL4014" s="10"/>
      <c r="AM4014" s="10"/>
      <c r="AN4014" s="10"/>
      <c r="AO4014" s="10"/>
      <c r="AP4014" s="10"/>
      <c r="AQ4014" s="10"/>
      <c r="AR4014" s="10"/>
      <c r="AS4014" s="10"/>
      <c r="AT4014" s="10"/>
      <c r="AU4014" s="10"/>
      <c r="AV4014" s="10"/>
      <c r="AW4014" s="10"/>
      <c r="AX4014" s="10"/>
      <c r="AY4014" s="10"/>
      <c r="AZ4014" s="10"/>
    </row>
    <row r="4015" spans="28:52">
      <c r="AB4015" s="9"/>
      <c r="AC4015" s="9"/>
      <c r="AD4015" s="9"/>
      <c r="AE4015" s="10"/>
      <c r="AF4015" s="10"/>
      <c r="AG4015" s="10"/>
      <c r="AH4015" s="10"/>
      <c r="AI4015" s="10"/>
      <c r="AJ4015" s="10"/>
      <c r="AK4015" s="10"/>
      <c r="AL4015" s="10"/>
      <c r="AM4015" s="10"/>
      <c r="AN4015" s="10"/>
      <c r="AO4015" s="10"/>
      <c r="AP4015" s="10"/>
      <c r="AQ4015" s="10"/>
      <c r="AR4015" s="10"/>
      <c r="AS4015" s="10"/>
      <c r="AT4015" s="10"/>
      <c r="AU4015" s="10"/>
      <c r="AV4015" s="10"/>
      <c r="AW4015" s="10"/>
      <c r="AX4015" s="10"/>
      <c r="AY4015" s="10"/>
      <c r="AZ4015" s="10"/>
    </row>
    <row r="4016" spans="28:52">
      <c r="AB4016" s="9"/>
      <c r="AC4016" s="9"/>
      <c r="AD4016" s="9"/>
      <c r="AE4016" s="10"/>
      <c r="AF4016" s="10"/>
      <c r="AG4016" s="10"/>
      <c r="AH4016" s="10"/>
      <c r="AI4016" s="10"/>
      <c r="AJ4016" s="10"/>
      <c r="AK4016" s="10"/>
      <c r="AL4016" s="10"/>
      <c r="AM4016" s="10"/>
      <c r="AN4016" s="10"/>
      <c r="AO4016" s="10"/>
      <c r="AP4016" s="10"/>
      <c r="AQ4016" s="10"/>
      <c r="AR4016" s="10"/>
      <c r="AS4016" s="10"/>
      <c r="AT4016" s="10"/>
      <c r="AU4016" s="10"/>
      <c r="AV4016" s="10"/>
      <c r="AW4016" s="10"/>
      <c r="AX4016" s="10"/>
      <c r="AY4016" s="10"/>
      <c r="AZ4016" s="10"/>
    </row>
    <row r="4017" spans="28:52">
      <c r="AB4017" s="9"/>
      <c r="AC4017" s="9"/>
      <c r="AD4017" s="9"/>
      <c r="AE4017" s="10"/>
      <c r="AF4017" s="10"/>
      <c r="AG4017" s="10"/>
      <c r="AH4017" s="10"/>
      <c r="AI4017" s="10"/>
      <c r="AJ4017" s="10"/>
      <c r="AK4017" s="10"/>
      <c r="AL4017" s="10"/>
      <c r="AM4017" s="10"/>
      <c r="AN4017" s="10"/>
      <c r="AO4017" s="10"/>
      <c r="AP4017" s="10"/>
      <c r="AQ4017" s="10"/>
      <c r="AR4017" s="10"/>
      <c r="AS4017" s="10"/>
      <c r="AT4017" s="10"/>
      <c r="AU4017" s="10"/>
      <c r="AV4017" s="10"/>
      <c r="AW4017" s="10"/>
      <c r="AX4017" s="10"/>
      <c r="AY4017" s="10"/>
      <c r="AZ4017" s="10"/>
    </row>
    <row r="4018" spans="28:52">
      <c r="AB4018" s="9"/>
      <c r="AC4018" s="9"/>
      <c r="AD4018" s="9"/>
      <c r="AE4018" s="10"/>
      <c r="AF4018" s="10"/>
      <c r="AG4018" s="10"/>
      <c r="AH4018" s="10"/>
      <c r="AI4018" s="10"/>
      <c r="AJ4018" s="10"/>
      <c r="AK4018" s="10"/>
      <c r="AL4018" s="10"/>
      <c r="AM4018" s="10"/>
      <c r="AN4018" s="10"/>
      <c r="AO4018" s="10"/>
      <c r="AP4018" s="10"/>
      <c r="AQ4018" s="10"/>
      <c r="AR4018" s="10"/>
      <c r="AS4018" s="10"/>
      <c r="AT4018" s="10"/>
      <c r="AU4018" s="10"/>
      <c r="AV4018" s="10"/>
      <c r="AW4018" s="10"/>
      <c r="AX4018" s="10"/>
      <c r="AY4018" s="10"/>
      <c r="AZ4018" s="10"/>
    </row>
    <row r="4019" spans="28:52">
      <c r="AB4019" s="9"/>
      <c r="AC4019" s="9"/>
      <c r="AD4019" s="9"/>
      <c r="AE4019" s="10"/>
      <c r="AF4019" s="10"/>
      <c r="AG4019" s="10"/>
      <c r="AH4019" s="10"/>
      <c r="AI4019" s="10"/>
      <c r="AJ4019" s="10"/>
      <c r="AK4019" s="10"/>
      <c r="AL4019" s="10"/>
      <c r="AM4019" s="10"/>
      <c r="AN4019" s="10"/>
      <c r="AO4019" s="10"/>
      <c r="AP4019" s="10"/>
      <c r="AQ4019" s="10"/>
      <c r="AR4019" s="10"/>
      <c r="AS4019" s="10"/>
      <c r="AT4019" s="10"/>
      <c r="AU4019" s="10"/>
      <c r="AV4019" s="10"/>
      <c r="AW4019" s="10"/>
      <c r="AX4019" s="10"/>
      <c r="AY4019" s="10"/>
      <c r="AZ4019" s="10"/>
    </row>
    <row r="4020" spans="28:52">
      <c r="AB4020" s="9"/>
      <c r="AC4020" s="9"/>
      <c r="AD4020" s="9"/>
      <c r="AE4020" s="10"/>
      <c r="AF4020" s="10"/>
      <c r="AG4020" s="10"/>
      <c r="AH4020" s="10"/>
      <c r="AI4020" s="10"/>
      <c r="AJ4020" s="10"/>
      <c r="AK4020" s="10"/>
      <c r="AL4020" s="10"/>
      <c r="AM4020" s="10"/>
      <c r="AN4020" s="10"/>
      <c r="AO4020" s="10"/>
      <c r="AP4020" s="10"/>
      <c r="AQ4020" s="10"/>
      <c r="AR4020" s="10"/>
      <c r="AS4020" s="10"/>
      <c r="AT4020" s="10"/>
      <c r="AU4020" s="10"/>
      <c r="AV4020" s="10"/>
      <c r="AW4020" s="10"/>
      <c r="AX4020" s="10"/>
      <c r="AY4020" s="10"/>
      <c r="AZ4020" s="10"/>
    </row>
    <row r="4021" spans="28:52">
      <c r="AB4021" s="9"/>
      <c r="AC4021" s="9"/>
      <c r="AD4021" s="9"/>
      <c r="AE4021" s="10"/>
      <c r="AF4021" s="10"/>
      <c r="AG4021" s="10"/>
      <c r="AH4021" s="10"/>
      <c r="AI4021" s="10"/>
      <c r="AJ4021" s="10"/>
      <c r="AK4021" s="10"/>
      <c r="AL4021" s="10"/>
      <c r="AM4021" s="10"/>
      <c r="AN4021" s="10"/>
      <c r="AO4021" s="10"/>
      <c r="AP4021" s="10"/>
      <c r="AQ4021" s="10"/>
      <c r="AR4021" s="10"/>
      <c r="AS4021" s="10"/>
      <c r="AT4021" s="10"/>
      <c r="AU4021" s="10"/>
      <c r="AV4021" s="10"/>
      <c r="AW4021" s="10"/>
      <c r="AX4021" s="10"/>
      <c r="AY4021" s="10"/>
      <c r="AZ4021" s="10"/>
    </row>
    <row r="4022" spans="28:52">
      <c r="AB4022" s="9"/>
      <c r="AC4022" s="9"/>
      <c r="AD4022" s="9"/>
      <c r="AE4022" s="10"/>
      <c r="AF4022" s="10"/>
      <c r="AG4022" s="10"/>
      <c r="AH4022" s="10"/>
      <c r="AI4022" s="10"/>
      <c r="AJ4022" s="10"/>
      <c r="AK4022" s="10"/>
      <c r="AL4022" s="10"/>
      <c r="AM4022" s="10"/>
      <c r="AN4022" s="10"/>
      <c r="AO4022" s="10"/>
      <c r="AP4022" s="10"/>
      <c r="AQ4022" s="10"/>
      <c r="AR4022" s="10"/>
      <c r="AS4022" s="10"/>
      <c r="AT4022" s="10"/>
      <c r="AU4022" s="10"/>
      <c r="AV4022" s="10"/>
      <c r="AW4022" s="10"/>
      <c r="AX4022" s="10"/>
      <c r="AY4022" s="10"/>
      <c r="AZ4022" s="10"/>
    </row>
    <row r="4023" spans="28:52">
      <c r="AB4023" s="9"/>
      <c r="AC4023" s="9"/>
      <c r="AD4023" s="9"/>
      <c r="AE4023" s="10"/>
      <c r="AF4023" s="10"/>
      <c r="AG4023" s="10"/>
      <c r="AH4023" s="10"/>
      <c r="AI4023" s="10"/>
      <c r="AJ4023" s="10"/>
      <c r="AK4023" s="10"/>
      <c r="AL4023" s="10"/>
      <c r="AM4023" s="10"/>
      <c r="AN4023" s="10"/>
      <c r="AO4023" s="10"/>
      <c r="AP4023" s="10"/>
      <c r="AQ4023" s="10"/>
      <c r="AR4023" s="10"/>
      <c r="AS4023" s="10"/>
      <c r="AT4023" s="10"/>
      <c r="AU4023" s="10"/>
      <c r="AV4023" s="10"/>
      <c r="AW4023" s="10"/>
      <c r="AX4023" s="10"/>
      <c r="AY4023" s="10"/>
      <c r="AZ4023" s="10"/>
    </row>
    <row r="4024" spans="28:52">
      <c r="AB4024" s="9"/>
      <c r="AC4024" s="9"/>
      <c r="AD4024" s="9"/>
      <c r="AE4024" s="10"/>
      <c r="AF4024" s="10"/>
      <c r="AG4024" s="10"/>
      <c r="AH4024" s="10"/>
      <c r="AI4024" s="10"/>
      <c r="AJ4024" s="10"/>
      <c r="AK4024" s="10"/>
      <c r="AL4024" s="10"/>
      <c r="AM4024" s="10"/>
      <c r="AN4024" s="10"/>
      <c r="AO4024" s="10"/>
      <c r="AP4024" s="10"/>
      <c r="AQ4024" s="10"/>
      <c r="AR4024" s="10"/>
      <c r="AS4024" s="10"/>
      <c r="AT4024" s="10"/>
      <c r="AU4024" s="10"/>
      <c r="AV4024" s="10"/>
      <c r="AW4024" s="10"/>
      <c r="AX4024" s="10"/>
      <c r="AY4024" s="10"/>
      <c r="AZ4024" s="10"/>
    </row>
    <row r="4025" spans="28:52">
      <c r="AB4025" s="9"/>
      <c r="AC4025" s="9"/>
      <c r="AD4025" s="9"/>
      <c r="AE4025" s="10"/>
      <c r="AF4025" s="10"/>
      <c r="AG4025" s="10"/>
      <c r="AH4025" s="10"/>
      <c r="AI4025" s="10"/>
      <c r="AJ4025" s="10"/>
      <c r="AK4025" s="10"/>
      <c r="AL4025" s="10"/>
      <c r="AM4025" s="10"/>
      <c r="AN4025" s="10"/>
      <c r="AO4025" s="10"/>
      <c r="AP4025" s="10"/>
      <c r="AQ4025" s="10"/>
      <c r="AR4025" s="10"/>
      <c r="AS4025" s="10"/>
      <c r="AT4025" s="10"/>
      <c r="AU4025" s="10"/>
      <c r="AV4025" s="10"/>
      <c r="AW4025" s="10"/>
      <c r="AX4025" s="10"/>
      <c r="AY4025" s="10"/>
      <c r="AZ4025" s="10"/>
    </row>
    <row r="4026" spans="28:52">
      <c r="AB4026" s="9"/>
      <c r="AC4026" s="9"/>
      <c r="AD4026" s="9"/>
      <c r="AE4026" s="10"/>
      <c r="AF4026" s="10"/>
      <c r="AG4026" s="10"/>
      <c r="AH4026" s="10"/>
      <c r="AI4026" s="10"/>
      <c r="AJ4026" s="10"/>
      <c r="AK4026" s="10"/>
      <c r="AL4026" s="10"/>
      <c r="AM4026" s="10"/>
      <c r="AN4026" s="10"/>
      <c r="AO4026" s="10"/>
      <c r="AP4026" s="10"/>
      <c r="AQ4026" s="10"/>
      <c r="AR4026" s="10"/>
      <c r="AS4026" s="10"/>
      <c r="AT4026" s="10"/>
      <c r="AU4026" s="10"/>
      <c r="AV4026" s="10"/>
      <c r="AW4026" s="10"/>
      <c r="AX4026" s="10"/>
      <c r="AY4026" s="10"/>
      <c r="AZ4026" s="10"/>
    </row>
    <row r="4027" spans="28:52">
      <c r="AB4027" s="9"/>
      <c r="AC4027" s="9"/>
      <c r="AD4027" s="9"/>
      <c r="AE4027" s="10"/>
      <c r="AF4027" s="10"/>
      <c r="AG4027" s="10"/>
      <c r="AH4027" s="10"/>
      <c r="AI4027" s="10"/>
      <c r="AJ4027" s="10"/>
      <c r="AK4027" s="10"/>
      <c r="AL4027" s="10"/>
      <c r="AM4027" s="10"/>
      <c r="AN4027" s="10"/>
      <c r="AO4027" s="10"/>
      <c r="AP4027" s="10"/>
      <c r="AQ4027" s="10"/>
      <c r="AR4027" s="10"/>
      <c r="AS4027" s="10"/>
      <c r="AT4027" s="10"/>
      <c r="AU4027" s="10"/>
      <c r="AV4027" s="10"/>
      <c r="AW4027" s="10"/>
      <c r="AX4027" s="10"/>
      <c r="AY4027" s="10"/>
      <c r="AZ4027" s="10"/>
    </row>
    <row r="4028" spans="28:52">
      <c r="AB4028" s="9"/>
      <c r="AC4028" s="9"/>
      <c r="AD4028" s="9"/>
      <c r="AE4028" s="10"/>
      <c r="AF4028" s="10"/>
      <c r="AG4028" s="10"/>
      <c r="AH4028" s="10"/>
      <c r="AI4028" s="10"/>
      <c r="AJ4028" s="10"/>
      <c r="AK4028" s="10"/>
      <c r="AL4028" s="10"/>
      <c r="AM4028" s="10"/>
      <c r="AN4028" s="10"/>
      <c r="AO4028" s="10"/>
      <c r="AP4028" s="10"/>
      <c r="AQ4028" s="10"/>
      <c r="AR4028" s="10"/>
      <c r="AS4028" s="10"/>
      <c r="AT4028" s="10"/>
      <c r="AU4028" s="10"/>
      <c r="AV4028" s="10"/>
      <c r="AW4028" s="10"/>
      <c r="AX4028" s="10"/>
      <c r="AY4028" s="10"/>
      <c r="AZ4028" s="10"/>
    </row>
    <row r="4029" spans="28:52">
      <c r="AB4029" s="9"/>
      <c r="AC4029" s="9"/>
      <c r="AD4029" s="9"/>
      <c r="AE4029" s="10"/>
      <c r="AF4029" s="10"/>
      <c r="AG4029" s="10"/>
      <c r="AH4029" s="10"/>
      <c r="AI4029" s="10"/>
      <c r="AJ4029" s="10"/>
      <c r="AK4029" s="10"/>
      <c r="AL4029" s="10"/>
      <c r="AM4029" s="10"/>
      <c r="AN4029" s="10"/>
      <c r="AO4029" s="10"/>
      <c r="AP4029" s="10"/>
      <c r="AQ4029" s="10"/>
      <c r="AR4029" s="10"/>
      <c r="AS4029" s="10"/>
      <c r="AT4029" s="10"/>
      <c r="AU4029" s="10"/>
      <c r="AV4029" s="10"/>
      <c r="AW4029" s="10"/>
      <c r="AX4029" s="10"/>
      <c r="AY4029" s="10"/>
      <c r="AZ4029" s="10"/>
    </row>
    <row r="4030" spans="28:52">
      <c r="AB4030" s="9"/>
      <c r="AC4030" s="9"/>
      <c r="AD4030" s="9"/>
      <c r="AE4030" s="10"/>
      <c r="AF4030" s="10"/>
      <c r="AG4030" s="10"/>
      <c r="AH4030" s="10"/>
      <c r="AI4030" s="10"/>
      <c r="AJ4030" s="10"/>
      <c r="AK4030" s="10"/>
      <c r="AL4030" s="10"/>
      <c r="AM4030" s="10"/>
      <c r="AN4030" s="10"/>
      <c r="AO4030" s="10"/>
      <c r="AP4030" s="10"/>
      <c r="AQ4030" s="10"/>
      <c r="AR4030" s="10"/>
      <c r="AS4030" s="10"/>
      <c r="AT4030" s="10"/>
      <c r="AU4030" s="10"/>
      <c r="AV4030" s="10"/>
      <c r="AW4030" s="10"/>
      <c r="AX4030" s="10"/>
      <c r="AY4030" s="10"/>
      <c r="AZ4030" s="10"/>
    </row>
    <row r="4031" spans="28:52">
      <c r="AB4031" s="9"/>
      <c r="AC4031" s="9"/>
      <c r="AD4031" s="9"/>
      <c r="AE4031" s="10"/>
      <c r="AF4031" s="10"/>
      <c r="AG4031" s="10"/>
      <c r="AH4031" s="10"/>
      <c r="AI4031" s="10"/>
      <c r="AJ4031" s="10"/>
      <c r="AK4031" s="10"/>
      <c r="AL4031" s="10"/>
      <c r="AM4031" s="10"/>
      <c r="AN4031" s="10"/>
      <c r="AO4031" s="10"/>
      <c r="AP4031" s="10"/>
      <c r="AQ4031" s="10"/>
      <c r="AR4031" s="10"/>
      <c r="AS4031" s="10"/>
      <c r="AT4031" s="10"/>
      <c r="AU4031" s="10"/>
      <c r="AV4031" s="10"/>
      <c r="AW4031" s="10"/>
      <c r="AX4031" s="10"/>
      <c r="AY4031" s="10"/>
      <c r="AZ4031" s="10"/>
    </row>
    <row r="4032" spans="28:52">
      <c r="AB4032" s="9"/>
      <c r="AC4032" s="9"/>
      <c r="AD4032" s="9"/>
      <c r="AE4032" s="10"/>
      <c r="AF4032" s="10"/>
      <c r="AG4032" s="10"/>
      <c r="AH4032" s="10"/>
      <c r="AI4032" s="10"/>
      <c r="AJ4032" s="10"/>
      <c r="AK4032" s="10"/>
      <c r="AL4032" s="10"/>
      <c r="AM4032" s="10"/>
      <c r="AN4032" s="10"/>
      <c r="AO4032" s="10"/>
      <c r="AP4032" s="10"/>
      <c r="AQ4032" s="10"/>
      <c r="AR4032" s="10"/>
      <c r="AS4032" s="10"/>
      <c r="AT4032" s="10"/>
      <c r="AU4032" s="10"/>
      <c r="AV4032" s="10"/>
      <c r="AW4032" s="10"/>
      <c r="AX4032" s="10"/>
      <c r="AY4032" s="10"/>
      <c r="AZ4032" s="10"/>
    </row>
    <row r="4033" spans="28:52">
      <c r="AB4033" s="9"/>
      <c r="AC4033" s="9"/>
      <c r="AD4033" s="9"/>
      <c r="AE4033" s="10"/>
      <c r="AF4033" s="10"/>
      <c r="AG4033" s="10"/>
      <c r="AH4033" s="10"/>
      <c r="AI4033" s="10"/>
      <c r="AJ4033" s="10"/>
      <c r="AK4033" s="10"/>
      <c r="AL4033" s="10"/>
      <c r="AM4033" s="10"/>
      <c r="AN4033" s="10"/>
      <c r="AO4033" s="10"/>
      <c r="AP4033" s="10"/>
      <c r="AQ4033" s="10"/>
      <c r="AR4033" s="10"/>
      <c r="AS4033" s="10"/>
      <c r="AT4033" s="10"/>
      <c r="AU4033" s="10"/>
      <c r="AV4033" s="10"/>
      <c r="AW4033" s="10"/>
      <c r="AX4033" s="10"/>
      <c r="AY4033" s="10"/>
      <c r="AZ4033" s="10"/>
    </row>
    <row r="4034" spans="28:52">
      <c r="AB4034" s="9"/>
      <c r="AC4034" s="9"/>
      <c r="AD4034" s="9"/>
      <c r="AE4034" s="10"/>
      <c r="AF4034" s="10"/>
      <c r="AG4034" s="10"/>
      <c r="AH4034" s="10"/>
      <c r="AI4034" s="10"/>
      <c r="AJ4034" s="10"/>
      <c r="AK4034" s="10"/>
      <c r="AL4034" s="10"/>
      <c r="AM4034" s="10"/>
      <c r="AN4034" s="10"/>
      <c r="AO4034" s="10"/>
      <c r="AP4034" s="10"/>
      <c r="AQ4034" s="10"/>
      <c r="AR4034" s="10"/>
      <c r="AS4034" s="10"/>
      <c r="AT4034" s="10"/>
      <c r="AU4034" s="10"/>
      <c r="AV4034" s="10"/>
      <c r="AW4034" s="10"/>
      <c r="AX4034" s="10"/>
      <c r="AY4034" s="10"/>
      <c r="AZ4034" s="10"/>
    </row>
    <row r="4035" spans="28:52">
      <c r="AB4035" s="9"/>
      <c r="AC4035" s="9"/>
      <c r="AD4035" s="9"/>
      <c r="AE4035" s="10"/>
      <c r="AF4035" s="10"/>
      <c r="AG4035" s="10"/>
      <c r="AH4035" s="10"/>
      <c r="AI4035" s="10"/>
      <c r="AJ4035" s="10"/>
      <c r="AK4035" s="10"/>
      <c r="AL4035" s="10"/>
      <c r="AM4035" s="10"/>
      <c r="AN4035" s="10"/>
      <c r="AO4035" s="10"/>
      <c r="AP4035" s="10"/>
      <c r="AQ4035" s="10"/>
      <c r="AR4035" s="10"/>
      <c r="AS4035" s="10"/>
      <c r="AT4035" s="10"/>
      <c r="AU4035" s="10"/>
      <c r="AV4035" s="10"/>
      <c r="AW4035" s="10"/>
      <c r="AX4035" s="10"/>
      <c r="AY4035" s="10"/>
      <c r="AZ4035" s="10"/>
    </row>
    <row r="4036" spans="28:52">
      <c r="AB4036" s="9"/>
      <c r="AC4036" s="9"/>
      <c r="AD4036" s="9"/>
      <c r="AE4036" s="10"/>
      <c r="AF4036" s="10"/>
      <c r="AG4036" s="10"/>
      <c r="AH4036" s="10"/>
      <c r="AI4036" s="10"/>
      <c r="AJ4036" s="10"/>
      <c r="AK4036" s="10"/>
      <c r="AL4036" s="10"/>
      <c r="AM4036" s="10"/>
      <c r="AN4036" s="10"/>
      <c r="AO4036" s="10"/>
      <c r="AP4036" s="10"/>
      <c r="AQ4036" s="10"/>
      <c r="AR4036" s="10"/>
      <c r="AS4036" s="10"/>
      <c r="AT4036" s="10"/>
      <c r="AU4036" s="10"/>
      <c r="AV4036" s="10"/>
      <c r="AW4036" s="10"/>
      <c r="AX4036" s="10"/>
      <c r="AY4036" s="10"/>
      <c r="AZ4036" s="10"/>
    </row>
    <row r="4037" spans="28:52">
      <c r="AB4037" s="9"/>
      <c r="AC4037" s="9"/>
      <c r="AD4037" s="9"/>
      <c r="AE4037" s="10"/>
      <c r="AF4037" s="10"/>
      <c r="AG4037" s="10"/>
      <c r="AH4037" s="10"/>
      <c r="AI4037" s="10"/>
      <c r="AJ4037" s="10"/>
      <c r="AK4037" s="10"/>
      <c r="AL4037" s="10"/>
      <c r="AM4037" s="10"/>
      <c r="AN4037" s="10"/>
      <c r="AO4037" s="10"/>
      <c r="AP4037" s="10"/>
      <c r="AQ4037" s="10"/>
      <c r="AR4037" s="10"/>
      <c r="AS4037" s="10"/>
      <c r="AT4037" s="10"/>
      <c r="AU4037" s="10"/>
      <c r="AV4037" s="10"/>
      <c r="AW4037" s="10"/>
      <c r="AX4037" s="10"/>
      <c r="AY4037" s="10"/>
      <c r="AZ4037" s="10"/>
    </row>
    <row r="4038" spans="28:52">
      <c r="AB4038" s="9"/>
      <c r="AC4038" s="9"/>
      <c r="AD4038" s="9"/>
      <c r="AE4038" s="10"/>
      <c r="AF4038" s="10"/>
      <c r="AG4038" s="10"/>
      <c r="AH4038" s="10"/>
      <c r="AI4038" s="10"/>
      <c r="AJ4038" s="10"/>
      <c r="AK4038" s="10"/>
      <c r="AL4038" s="10"/>
      <c r="AM4038" s="10"/>
      <c r="AN4038" s="10"/>
      <c r="AO4038" s="10"/>
      <c r="AP4038" s="10"/>
      <c r="AQ4038" s="10"/>
      <c r="AR4038" s="10"/>
      <c r="AS4038" s="10"/>
      <c r="AT4038" s="10"/>
      <c r="AU4038" s="10"/>
      <c r="AV4038" s="10"/>
      <c r="AW4038" s="10"/>
      <c r="AX4038" s="10"/>
      <c r="AY4038" s="10"/>
      <c r="AZ4038" s="10"/>
    </row>
    <row r="4039" spans="28:52">
      <c r="AB4039" s="9"/>
      <c r="AC4039" s="9"/>
      <c r="AD4039" s="9"/>
      <c r="AE4039" s="10"/>
      <c r="AF4039" s="10"/>
      <c r="AG4039" s="10"/>
      <c r="AH4039" s="10"/>
      <c r="AI4039" s="10"/>
      <c r="AJ4039" s="10"/>
      <c r="AK4039" s="10"/>
      <c r="AL4039" s="10"/>
      <c r="AM4039" s="10"/>
      <c r="AN4039" s="10"/>
      <c r="AO4039" s="10"/>
      <c r="AP4039" s="10"/>
      <c r="AQ4039" s="10"/>
      <c r="AR4039" s="10"/>
      <c r="AS4039" s="10"/>
      <c r="AT4039" s="10"/>
      <c r="AU4039" s="10"/>
      <c r="AV4039" s="10"/>
      <c r="AW4039" s="10"/>
      <c r="AX4039" s="10"/>
      <c r="AY4039" s="10"/>
      <c r="AZ4039" s="10"/>
    </row>
    <row r="4040" spans="28:52">
      <c r="AB4040" s="9"/>
      <c r="AC4040" s="9"/>
      <c r="AD4040" s="9"/>
      <c r="AE4040" s="10"/>
      <c r="AF4040" s="10"/>
      <c r="AG4040" s="10"/>
      <c r="AH4040" s="10"/>
      <c r="AI4040" s="10"/>
      <c r="AJ4040" s="10"/>
      <c r="AK4040" s="10"/>
      <c r="AL4040" s="10"/>
      <c r="AM4040" s="10"/>
      <c r="AN4040" s="10"/>
      <c r="AO4040" s="10"/>
      <c r="AP4040" s="10"/>
      <c r="AQ4040" s="10"/>
      <c r="AR4040" s="10"/>
      <c r="AS4040" s="10"/>
      <c r="AT4040" s="10"/>
      <c r="AU4040" s="10"/>
      <c r="AV4040" s="10"/>
      <c r="AW4040" s="10"/>
      <c r="AX4040" s="10"/>
      <c r="AY4040" s="10"/>
      <c r="AZ4040" s="10"/>
    </row>
    <row r="4041" spans="28:52">
      <c r="AB4041" s="9"/>
      <c r="AC4041" s="9"/>
      <c r="AD4041" s="9"/>
      <c r="AE4041" s="10"/>
      <c r="AF4041" s="10"/>
      <c r="AG4041" s="10"/>
      <c r="AH4041" s="10"/>
      <c r="AI4041" s="10"/>
      <c r="AJ4041" s="10"/>
      <c r="AK4041" s="10"/>
      <c r="AL4041" s="10"/>
      <c r="AM4041" s="10"/>
      <c r="AN4041" s="10"/>
      <c r="AO4041" s="10"/>
      <c r="AP4041" s="10"/>
      <c r="AQ4041" s="10"/>
      <c r="AR4041" s="10"/>
      <c r="AS4041" s="10"/>
      <c r="AT4041" s="10"/>
      <c r="AU4041" s="10"/>
      <c r="AV4041" s="10"/>
      <c r="AW4041" s="10"/>
      <c r="AX4041" s="10"/>
      <c r="AY4041" s="10"/>
      <c r="AZ4041" s="10"/>
    </row>
    <row r="4042" spans="28:52">
      <c r="AB4042" s="9"/>
      <c r="AC4042" s="9"/>
      <c r="AD4042" s="9"/>
      <c r="AE4042" s="10"/>
      <c r="AF4042" s="10"/>
      <c r="AG4042" s="10"/>
      <c r="AH4042" s="10"/>
      <c r="AI4042" s="10"/>
      <c r="AJ4042" s="10"/>
      <c r="AK4042" s="10"/>
      <c r="AL4042" s="10"/>
      <c r="AM4042" s="10"/>
      <c r="AN4042" s="10"/>
      <c r="AO4042" s="10"/>
      <c r="AP4042" s="10"/>
      <c r="AQ4042" s="10"/>
      <c r="AR4042" s="10"/>
      <c r="AS4042" s="10"/>
      <c r="AT4042" s="10"/>
      <c r="AU4042" s="10"/>
      <c r="AV4042" s="10"/>
      <c r="AW4042" s="10"/>
      <c r="AX4042" s="10"/>
      <c r="AY4042" s="10"/>
      <c r="AZ4042" s="10"/>
    </row>
    <row r="4043" spans="28:52">
      <c r="AB4043" s="9"/>
      <c r="AC4043" s="9"/>
      <c r="AD4043" s="9"/>
      <c r="AE4043" s="10"/>
      <c r="AF4043" s="10"/>
      <c r="AG4043" s="10"/>
      <c r="AH4043" s="10"/>
      <c r="AI4043" s="10"/>
      <c r="AJ4043" s="10"/>
      <c r="AK4043" s="10"/>
      <c r="AL4043" s="10"/>
      <c r="AM4043" s="10"/>
      <c r="AN4043" s="10"/>
      <c r="AO4043" s="10"/>
      <c r="AP4043" s="10"/>
      <c r="AQ4043" s="10"/>
      <c r="AR4043" s="10"/>
      <c r="AS4043" s="10"/>
      <c r="AT4043" s="10"/>
      <c r="AU4043" s="10"/>
      <c r="AV4043" s="10"/>
      <c r="AW4043" s="10"/>
      <c r="AX4043" s="10"/>
      <c r="AY4043" s="10"/>
      <c r="AZ4043" s="10"/>
    </row>
    <row r="4044" spans="28:52">
      <c r="AB4044" s="9"/>
      <c r="AC4044" s="9"/>
      <c r="AD4044" s="9"/>
      <c r="AE4044" s="10"/>
      <c r="AF4044" s="10"/>
      <c r="AG4044" s="10"/>
      <c r="AH4044" s="10"/>
      <c r="AI4044" s="10"/>
      <c r="AJ4044" s="10"/>
      <c r="AK4044" s="10"/>
      <c r="AL4044" s="10"/>
      <c r="AM4044" s="10"/>
      <c r="AN4044" s="10"/>
      <c r="AO4044" s="10"/>
      <c r="AP4044" s="10"/>
      <c r="AQ4044" s="10"/>
      <c r="AR4044" s="10"/>
      <c r="AS4044" s="10"/>
      <c r="AT4044" s="10"/>
      <c r="AU4044" s="10"/>
      <c r="AV4044" s="10"/>
      <c r="AW4044" s="10"/>
      <c r="AX4044" s="10"/>
      <c r="AY4044" s="10"/>
      <c r="AZ4044" s="10"/>
    </row>
    <row r="4045" spans="28:52">
      <c r="AB4045" s="9"/>
      <c r="AC4045" s="9"/>
      <c r="AD4045" s="9"/>
      <c r="AE4045" s="10"/>
      <c r="AF4045" s="10"/>
      <c r="AG4045" s="10"/>
      <c r="AH4045" s="10"/>
      <c r="AI4045" s="10"/>
      <c r="AJ4045" s="10"/>
      <c r="AK4045" s="10"/>
      <c r="AL4045" s="10"/>
      <c r="AM4045" s="10"/>
      <c r="AN4045" s="10"/>
      <c r="AO4045" s="10"/>
      <c r="AP4045" s="10"/>
      <c r="AQ4045" s="10"/>
      <c r="AR4045" s="10"/>
      <c r="AS4045" s="10"/>
      <c r="AT4045" s="10"/>
      <c r="AU4045" s="10"/>
      <c r="AV4045" s="10"/>
      <c r="AW4045" s="10"/>
      <c r="AX4045" s="10"/>
      <c r="AY4045" s="10"/>
      <c r="AZ4045" s="10"/>
    </row>
    <row r="4046" spans="28:52">
      <c r="AB4046" s="9"/>
      <c r="AC4046" s="9"/>
      <c r="AD4046" s="9"/>
      <c r="AE4046" s="10"/>
      <c r="AF4046" s="10"/>
      <c r="AG4046" s="10"/>
      <c r="AH4046" s="10"/>
      <c r="AI4046" s="10"/>
      <c r="AJ4046" s="10"/>
      <c r="AK4046" s="10"/>
      <c r="AL4046" s="10"/>
      <c r="AM4046" s="10"/>
      <c r="AN4046" s="10"/>
      <c r="AO4046" s="10"/>
      <c r="AP4046" s="10"/>
      <c r="AQ4046" s="10"/>
      <c r="AR4046" s="10"/>
      <c r="AS4046" s="10"/>
      <c r="AT4046" s="10"/>
      <c r="AU4046" s="10"/>
      <c r="AV4046" s="10"/>
      <c r="AW4046" s="10"/>
      <c r="AX4046" s="10"/>
      <c r="AY4046" s="10"/>
      <c r="AZ4046" s="10"/>
    </row>
    <row r="4047" spans="28:52">
      <c r="AB4047" s="9"/>
      <c r="AC4047" s="9"/>
      <c r="AD4047" s="9"/>
      <c r="AE4047" s="10"/>
      <c r="AF4047" s="10"/>
      <c r="AG4047" s="10"/>
      <c r="AH4047" s="10"/>
      <c r="AI4047" s="10"/>
      <c r="AJ4047" s="10"/>
      <c r="AK4047" s="10"/>
      <c r="AL4047" s="10"/>
      <c r="AM4047" s="10"/>
      <c r="AN4047" s="10"/>
      <c r="AO4047" s="10"/>
      <c r="AP4047" s="10"/>
      <c r="AQ4047" s="10"/>
      <c r="AR4047" s="10"/>
      <c r="AS4047" s="10"/>
      <c r="AT4047" s="10"/>
      <c r="AU4047" s="10"/>
      <c r="AV4047" s="10"/>
      <c r="AW4047" s="10"/>
      <c r="AX4047" s="10"/>
      <c r="AY4047" s="10"/>
      <c r="AZ4047" s="10"/>
    </row>
    <row r="4048" spans="28:52">
      <c r="AB4048" s="9"/>
      <c r="AC4048" s="9"/>
      <c r="AD4048" s="9"/>
      <c r="AE4048" s="10"/>
      <c r="AF4048" s="10"/>
      <c r="AG4048" s="10"/>
      <c r="AH4048" s="10"/>
      <c r="AI4048" s="10"/>
      <c r="AJ4048" s="10"/>
      <c r="AK4048" s="10"/>
      <c r="AL4048" s="10"/>
      <c r="AM4048" s="10"/>
      <c r="AN4048" s="10"/>
      <c r="AO4048" s="10"/>
      <c r="AP4048" s="10"/>
      <c r="AQ4048" s="10"/>
      <c r="AR4048" s="10"/>
      <c r="AS4048" s="10"/>
      <c r="AT4048" s="10"/>
      <c r="AU4048" s="10"/>
      <c r="AV4048" s="10"/>
      <c r="AW4048" s="10"/>
      <c r="AX4048" s="10"/>
      <c r="AY4048" s="10"/>
      <c r="AZ4048" s="10"/>
    </row>
    <row r="4049" spans="28:52">
      <c r="AB4049" s="9"/>
      <c r="AC4049" s="9"/>
      <c r="AD4049" s="9"/>
      <c r="AE4049" s="10"/>
      <c r="AF4049" s="10"/>
      <c r="AG4049" s="10"/>
      <c r="AH4049" s="10"/>
      <c r="AI4049" s="10"/>
      <c r="AJ4049" s="10"/>
      <c r="AK4049" s="10"/>
      <c r="AL4049" s="10"/>
      <c r="AM4049" s="10"/>
      <c r="AN4049" s="10"/>
      <c r="AO4049" s="10"/>
      <c r="AP4049" s="10"/>
      <c r="AQ4049" s="10"/>
      <c r="AR4049" s="10"/>
      <c r="AS4049" s="10"/>
      <c r="AT4049" s="10"/>
      <c r="AU4049" s="10"/>
      <c r="AV4049" s="10"/>
      <c r="AW4049" s="10"/>
      <c r="AX4049" s="10"/>
      <c r="AY4049" s="10"/>
      <c r="AZ4049" s="10"/>
    </row>
    <row r="4050" spans="28:52">
      <c r="AB4050" s="9"/>
      <c r="AC4050" s="9"/>
      <c r="AD4050" s="9"/>
      <c r="AE4050" s="10"/>
      <c r="AF4050" s="10"/>
      <c r="AG4050" s="10"/>
      <c r="AH4050" s="10"/>
      <c r="AI4050" s="10"/>
      <c r="AJ4050" s="10"/>
      <c r="AK4050" s="10"/>
      <c r="AL4050" s="10"/>
      <c r="AM4050" s="10"/>
      <c r="AN4050" s="10"/>
      <c r="AO4050" s="10"/>
      <c r="AP4050" s="10"/>
      <c r="AQ4050" s="10"/>
      <c r="AR4050" s="10"/>
      <c r="AS4050" s="10"/>
      <c r="AT4050" s="10"/>
      <c r="AU4050" s="10"/>
      <c r="AV4050" s="10"/>
      <c r="AW4050" s="10"/>
      <c r="AX4050" s="10"/>
      <c r="AY4050" s="10"/>
      <c r="AZ4050" s="10"/>
    </row>
    <row r="4051" spans="28:52">
      <c r="AB4051" s="9"/>
      <c r="AC4051" s="9"/>
      <c r="AD4051" s="9"/>
      <c r="AE4051" s="10"/>
      <c r="AF4051" s="10"/>
      <c r="AG4051" s="10"/>
      <c r="AH4051" s="10"/>
      <c r="AI4051" s="10"/>
      <c r="AJ4051" s="10"/>
      <c r="AK4051" s="10"/>
      <c r="AL4051" s="10"/>
      <c r="AM4051" s="10"/>
      <c r="AN4051" s="10"/>
      <c r="AO4051" s="10"/>
      <c r="AP4051" s="10"/>
      <c r="AQ4051" s="10"/>
      <c r="AR4051" s="10"/>
      <c r="AS4051" s="10"/>
      <c r="AT4051" s="10"/>
      <c r="AU4051" s="10"/>
      <c r="AV4051" s="10"/>
      <c r="AW4051" s="10"/>
      <c r="AX4051" s="10"/>
      <c r="AY4051" s="10"/>
      <c r="AZ4051" s="10"/>
    </row>
    <row r="4052" spans="28:52">
      <c r="AB4052" s="9"/>
      <c r="AC4052" s="9"/>
      <c r="AD4052" s="9"/>
      <c r="AE4052" s="10"/>
      <c r="AF4052" s="10"/>
      <c r="AG4052" s="10"/>
      <c r="AH4052" s="10"/>
      <c r="AI4052" s="10"/>
      <c r="AJ4052" s="10"/>
      <c r="AK4052" s="10"/>
      <c r="AL4052" s="10"/>
      <c r="AM4052" s="10"/>
      <c r="AN4052" s="10"/>
      <c r="AO4052" s="10"/>
      <c r="AP4052" s="10"/>
      <c r="AQ4052" s="10"/>
      <c r="AR4052" s="10"/>
      <c r="AS4052" s="10"/>
      <c r="AT4052" s="10"/>
      <c r="AU4052" s="10"/>
      <c r="AV4052" s="10"/>
      <c r="AW4052" s="10"/>
      <c r="AX4052" s="10"/>
      <c r="AY4052" s="10"/>
      <c r="AZ4052" s="10"/>
    </row>
    <row r="4053" spans="28:52">
      <c r="AB4053" s="9"/>
      <c r="AC4053" s="9"/>
      <c r="AD4053" s="9"/>
      <c r="AE4053" s="10"/>
      <c r="AF4053" s="10"/>
      <c r="AG4053" s="10"/>
      <c r="AH4053" s="10"/>
      <c r="AI4053" s="10"/>
      <c r="AJ4053" s="10"/>
      <c r="AK4053" s="10"/>
      <c r="AL4053" s="10"/>
      <c r="AM4053" s="10"/>
      <c r="AN4053" s="10"/>
      <c r="AO4053" s="10"/>
      <c r="AP4053" s="10"/>
      <c r="AQ4053" s="10"/>
      <c r="AR4053" s="10"/>
      <c r="AS4053" s="10"/>
      <c r="AT4053" s="10"/>
      <c r="AU4053" s="10"/>
      <c r="AV4053" s="10"/>
      <c r="AW4053" s="10"/>
      <c r="AX4053" s="10"/>
      <c r="AY4053" s="10"/>
      <c r="AZ4053" s="10"/>
    </row>
    <row r="4054" spans="28:52">
      <c r="AB4054" s="9"/>
      <c r="AC4054" s="9"/>
      <c r="AD4054" s="9"/>
      <c r="AE4054" s="10"/>
      <c r="AF4054" s="10"/>
      <c r="AG4054" s="10"/>
      <c r="AH4054" s="10"/>
      <c r="AI4054" s="10"/>
      <c r="AJ4054" s="10"/>
      <c r="AK4054" s="10"/>
      <c r="AL4054" s="10"/>
      <c r="AM4054" s="10"/>
      <c r="AN4054" s="10"/>
      <c r="AO4054" s="10"/>
      <c r="AP4054" s="10"/>
      <c r="AQ4054" s="10"/>
      <c r="AR4054" s="10"/>
      <c r="AS4054" s="10"/>
      <c r="AT4054" s="10"/>
      <c r="AU4054" s="10"/>
      <c r="AV4054" s="10"/>
      <c r="AW4054" s="10"/>
      <c r="AX4054" s="10"/>
      <c r="AY4054" s="10"/>
      <c r="AZ4054" s="10"/>
    </row>
    <row r="4055" spans="28:52">
      <c r="AB4055" s="9"/>
      <c r="AC4055" s="9"/>
      <c r="AD4055" s="9"/>
      <c r="AE4055" s="10"/>
      <c r="AF4055" s="10"/>
      <c r="AG4055" s="10"/>
      <c r="AH4055" s="10"/>
      <c r="AI4055" s="10"/>
      <c r="AJ4055" s="10"/>
      <c r="AK4055" s="10"/>
      <c r="AL4055" s="10"/>
      <c r="AM4055" s="10"/>
      <c r="AN4055" s="10"/>
      <c r="AO4055" s="10"/>
      <c r="AP4055" s="10"/>
      <c r="AQ4055" s="10"/>
      <c r="AR4055" s="10"/>
      <c r="AS4055" s="10"/>
      <c r="AT4055" s="10"/>
      <c r="AU4055" s="10"/>
      <c r="AV4055" s="10"/>
      <c r="AW4055" s="10"/>
      <c r="AX4055" s="10"/>
      <c r="AY4055" s="10"/>
      <c r="AZ4055" s="10"/>
    </row>
    <row r="4056" spans="28:52">
      <c r="AB4056" s="9"/>
      <c r="AC4056" s="9"/>
      <c r="AD4056" s="9"/>
      <c r="AE4056" s="10"/>
      <c r="AF4056" s="10"/>
      <c r="AG4056" s="10"/>
      <c r="AH4056" s="10"/>
      <c r="AI4056" s="10"/>
      <c r="AJ4056" s="10"/>
      <c r="AK4056" s="10"/>
      <c r="AL4056" s="10"/>
      <c r="AM4056" s="10"/>
      <c r="AN4056" s="10"/>
      <c r="AO4056" s="10"/>
      <c r="AP4056" s="10"/>
      <c r="AQ4056" s="10"/>
      <c r="AR4056" s="10"/>
      <c r="AS4056" s="10"/>
      <c r="AT4056" s="10"/>
      <c r="AU4056" s="10"/>
      <c r="AV4056" s="10"/>
      <c r="AW4056" s="10"/>
      <c r="AX4056" s="10"/>
      <c r="AY4056" s="10"/>
      <c r="AZ4056" s="10"/>
    </row>
    <row r="4057" spans="28:52">
      <c r="AB4057" s="9"/>
      <c r="AC4057" s="9"/>
      <c r="AD4057" s="9"/>
      <c r="AE4057" s="10"/>
      <c r="AF4057" s="10"/>
      <c r="AG4057" s="10"/>
      <c r="AH4057" s="10"/>
      <c r="AI4057" s="10"/>
      <c r="AJ4057" s="10"/>
      <c r="AK4057" s="10"/>
      <c r="AL4057" s="10"/>
      <c r="AM4057" s="10"/>
      <c r="AN4057" s="10"/>
      <c r="AO4057" s="10"/>
      <c r="AP4057" s="10"/>
      <c r="AQ4057" s="10"/>
      <c r="AR4057" s="10"/>
      <c r="AS4057" s="10"/>
      <c r="AT4057" s="10"/>
      <c r="AU4057" s="10"/>
      <c r="AV4057" s="10"/>
      <c r="AW4057" s="10"/>
      <c r="AX4057" s="10"/>
      <c r="AY4057" s="10"/>
      <c r="AZ4057" s="10"/>
    </row>
    <row r="4058" spans="28:52">
      <c r="AB4058" s="9"/>
      <c r="AC4058" s="9"/>
      <c r="AD4058" s="9"/>
      <c r="AE4058" s="10"/>
      <c r="AF4058" s="10"/>
      <c r="AG4058" s="10"/>
      <c r="AH4058" s="10"/>
      <c r="AI4058" s="10"/>
      <c r="AJ4058" s="10"/>
      <c r="AK4058" s="10"/>
      <c r="AL4058" s="10"/>
      <c r="AM4058" s="10"/>
      <c r="AN4058" s="10"/>
      <c r="AO4058" s="10"/>
      <c r="AP4058" s="10"/>
      <c r="AQ4058" s="10"/>
      <c r="AR4058" s="10"/>
      <c r="AS4058" s="10"/>
      <c r="AT4058" s="10"/>
      <c r="AU4058" s="10"/>
      <c r="AV4058" s="10"/>
      <c r="AW4058" s="10"/>
      <c r="AX4058" s="10"/>
      <c r="AY4058" s="10"/>
      <c r="AZ4058" s="10"/>
    </row>
    <row r="4059" spans="28:52">
      <c r="AB4059" s="9"/>
      <c r="AC4059" s="9"/>
      <c r="AD4059" s="9"/>
      <c r="AE4059" s="10"/>
      <c r="AF4059" s="10"/>
      <c r="AG4059" s="10"/>
      <c r="AH4059" s="10"/>
      <c r="AI4059" s="10"/>
      <c r="AJ4059" s="10"/>
      <c r="AK4059" s="10"/>
      <c r="AL4059" s="10"/>
      <c r="AM4059" s="10"/>
      <c r="AN4059" s="10"/>
      <c r="AO4059" s="10"/>
      <c r="AP4059" s="10"/>
      <c r="AQ4059" s="10"/>
      <c r="AR4059" s="10"/>
      <c r="AS4059" s="10"/>
      <c r="AT4059" s="10"/>
      <c r="AU4059" s="10"/>
      <c r="AV4059" s="10"/>
      <c r="AW4059" s="10"/>
      <c r="AX4059" s="10"/>
      <c r="AY4059" s="10"/>
      <c r="AZ4059" s="10"/>
    </row>
    <row r="4060" spans="28:52">
      <c r="AB4060" s="9"/>
      <c r="AC4060" s="9"/>
      <c r="AD4060" s="9"/>
      <c r="AE4060" s="10"/>
      <c r="AF4060" s="10"/>
      <c r="AG4060" s="10"/>
      <c r="AH4060" s="10"/>
      <c r="AI4060" s="10"/>
      <c r="AJ4060" s="10"/>
      <c r="AK4060" s="10"/>
      <c r="AL4060" s="10"/>
      <c r="AM4060" s="10"/>
      <c r="AN4060" s="10"/>
      <c r="AO4060" s="10"/>
      <c r="AP4060" s="10"/>
      <c r="AQ4060" s="10"/>
      <c r="AR4060" s="10"/>
      <c r="AS4060" s="10"/>
      <c r="AT4060" s="10"/>
      <c r="AU4060" s="10"/>
      <c r="AV4060" s="10"/>
      <c r="AW4060" s="10"/>
      <c r="AX4060" s="10"/>
      <c r="AY4060" s="10"/>
      <c r="AZ4060" s="10"/>
    </row>
    <row r="4061" spans="28:52">
      <c r="AB4061" s="9"/>
      <c r="AC4061" s="9"/>
      <c r="AD4061" s="9"/>
      <c r="AE4061" s="10"/>
      <c r="AF4061" s="10"/>
      <c r="AG4061" s="10"/>
      <c r="AH4061" s="10"/>
      <c r="AI4061" s="10"/>
      <c r="AJ4061" s="10"/>
      <c r="AK4061" s="10"/>
      <c r="AL4061" s="10"/>
      <c r="AM4061" s="10"/>
      <c r="AN4061" s="10"/>
      <c r="AO4061" s="10"/>
      <c r="AP4061" s="10"/>
      <c r="AQ4061" s="10"/>
      <c r="AR4061" s="10"/>
      <c r="AS4061" s="10"/>
      <c r="AT4061" s="10"/>
      <c r="AU4061" s="10"/>
      <c r="AV4061" s="10"/>
      <c r="AW4061" s="10"/>
      <c r="AX4061" s="10"/>
      <c r="AY4061" s="10"/>
      <c r="AZ4061" s="10"/>
    </row>
    <row r="4062" spans="28:52">
      <c r="AB4062" s="9"/>
      <c r="AC4062" s="9"/>
      <c r="AD4062" s="9"/>
      <c r="AE4062" s="10"/>
      <c r="AF4062" s="10"/>
      <c r="AG4062" s="10"/>
      <c r="AH4062" s="10"/>
      <c r="AI4062" s="10"/>
      <c r="AJ4062" s="10"/>
      <c r="AK4062" s="10"/>
      <c r="AL4062" s="10"/>
      <c r="AM4062" s="10"/>
      <c r="AN4062" s="10"/>
      <c r="AO4062" s="10"/>
      <c r="AP4062" s="10"/>
      <c r="AQ4062" s="10"/>
      <c r="AR4062" s="10"/>
      <c r="AS4062" s="10"/>
      <c r="AT4062" s="10"/>
      <c r="AU4062" s="10"/>
      <c r="AV4062" s="10"/>
      <c r="AW4062" s="10"/>
      <c r="AX4062" s="10"/>
      <c r="AY4062" s="10"/>
      <c r="AZ4062" s="10"/>
    </row>
    <row r="4063" spans="28:52">
      <c r="AB4063" s="9"/>
      <c r="AC4063" s="9"/>
      <c r="AD4063" s="9"/>
      <c r="AE4063" s="10"/>
      <c r="AF4063" s="10"/>
      <c r="AG4063" s="10"/>
      <c r="AH4063" s="10"/>
      <c r="AI4063" s="10"/>
      <c r="AJ4063" s="10"/>
      <c r="AK4063" s="10"/>
      <c r="AL4063" s="10"/>
      <c r="AM4063" s="10"/>
      <c r="AN4063" s="10"/>
      <c r="AO4063" s="10"/>
      <c r="AP4063" s="10"/>
      <c r="AQ4063" s="10"/>
      <c r="AR4063" s="10"/>
      <c r="AS4063" s="10"/>
      <c r="AT4063" s="10"/>
      <c r="AU4063" s="10"/>
      <c r="AV4063" s="10"/>
      <c r="AW4063" s="10"/>
      <c r="AX4063" s="10"/>
      <c r="AY4063" s="10"/>
      <c r="AZ4063" s="10"/>
    </row>
    <row r="4064" spans="28:52">
      <c r="AB4064" s="9"/>
      <c r="AC4064" s="9"/>
      <c r="AD4064" s="9"/>
      <c r="AE4064" s="10"/>
      <c r="AF4064" s="10"/>
      <c r="AG4064" s="10"/>
      <c r="AH4064" s="10"/>
      <c r="AI4064" s="10"/>
      <c r="AJ4064" s="10"/>
      <c r="AK4064" s="10"/>
      <c r="AL4064" s="10"/>
      <c r="AM4064" s="10"/>
      <c r="AN4064" s="10"/>
      <c r="AO4064" s="10"/>
      <c r="AP4064" s="10"/>
      <c r="AQ4064" s="10"/>
      <c r="AR4064" s="10"/>
      <c r="AS4064" s="10"/>
      <c r="AT4064" s="10"/>
      <c r="AU4064" s="10"/>
      <c r="AV4064" s="10"/>
      <c r="AW4064" s="10"/>
      <c r="AX4064" s="10"/>
      <c r="AY4064" s="10"/>
      <c r="AZ4064" s="10"/>
    </row>
    <row r="4065" spans="28:52">
      <c r="AB4065" s="9"/>
      <c r="AC4065" s="9"/>
      <c r="AD4065" s="9"/>
      <c r="AE4065" s="10"/>
      <c r="AF4065" s="10"/>
      <c r="AG4065" s="10"/>
      <c r="AH4065" s="10"/>
      <c r="AI4065" s="10"/>
      <c r="AJ4065" s="10"/>
      <c r="AK4065" s="10"/>
      <c r="AL4065" s="10"/>
      <c r="AM4065" s="10"/>
      <c r="AN4065" s="10"/>
      <c r="AO4065" s="10"/>
      <c r="AP4065" s="10"/>
      <c r="AQ4065" s="10"/>
      <c r="AR4065" s="10"/>
      <c r="AS4065" s="10"/>
      <c r="AT4065" s="10"/>
      <c r="AU4065" s="10"/>
      <c r="AV4065" s="10"/>
      <c r="AW4065" s="10"/>
      <c r="AX4065" s="10"/>
      <c r="AY4065" s="10"/>
      <c r="AZ4065" s="10"/>
    </row>
    <row r="4066" spans="28:52">
      <c r="AB4066" s="9"/>
      <c r="AC4066" s="9"/>
      <c r="AD4066" s="9"/>
      <c r="AE4066" s="10"/>
      <c r="AF4066" s="10"/>
      <c r="AG4066" s="10"/>
      <c r="AH4066" s="10"/>
      <c r="AI4066" s="10"/>
      <c r="AJ4066" s="10"/>
      <c r="AK4066" s="10"/>
      <c r="AL4066" s="10"/>
      <c r="AM4066" s="10"/>
      <c r="AN4066" s="10"/>
      <c r="AO4066" s="10"/>
      <c r="AP4066" s="10"/>
      <c r="AQ4066" s="10"/>
      <c r="AR4066" s="10"/>
      <c r="AS4066" s="10"/>
      <c r="AT4066" s="10"/>
      <c r="AU4066" s="10"/>
      <c r="AV4066" s="10"/>
      <c r="AW4066" s="10"/>
      <c r="AX4066" s="10"/>
      <c r="AY4066" s="10"/>
      <c r="AZ4066" s="10"/>
    </row>
    <row r="4067" spans="28:52">
      <c r="AB4067" s="9"/>
      <c r="AC4067" s="9"/>
      <c r="AD4067" s="9"/>
      <c r="AE4067" s="10"/>
      <c r="AF4067" s="10"/>
      <c r="AG4067" s="10"/>
      <c r="AH4067" s="10"/>
      <c r="AI4067" s="10"/>
      <c r="AJ4067" s="10"/>
      <c r="AK4067" s="10"/>
      <c r="AL4067" s="10"/>
      <c r="AM4067" s="10"/>
      <c r="AN4067" s="10"/>
      <c r="AO4067" s="10"/>
      <c r="AP4067" s="10"/>
      <c r="AQ4067" s="10"/>
      <c r="AR4067" s="10"/>
      <c r="AS4067" s="10"/>
      <c r="AT4067" s="10"/>
      <c r="AU4067" s="10"/>
      <c r="AV4067" s="10"/>
      <c r="AW4067" s="10"/>
      <c r="AX4067" s="10"/>
      <c r="AY4067" s="10"/>
      <c r="AZ4067" s="10"/>
    </row>
    <row r="4068" spans="28:52">
      <c r="AB4068" s="9"/>
      <c r="AC4068" s="9"/>
      <c r="AD4068" s="9"/>
      <c r="AE4068" s="10"/>
      <c r="AF4068" s="10"/>
      <c r="AG4068" s="10"/>
      <c r="AH4068" s="10"/>
      <c r="AI4068" s="10"/>
      <c r="AJ4068" s="10"/>
      <c r="AK4068" s="10"/>
      <c r="AL4068" s="10"/>
      <c r="AM4068" s="10"/>
      <c r="AN4068" s="10"/>
      <c r="AO4068" s="10"/>
      <c r="AP4068" s="10"/>
      <c r="AQ4068" s="10"/>
      <c r="AR4068" s="10"/>
      <c r="AS4068" s="10"/>
      <c r="AT4068" s="10"/>
      <c r="AU4068" s="10"/>
      <c r="AV4068" s="10"/>
      <c r="AW4068" s="10"/>
      <c r="AX4068" s="10"/>
      <c r="AY4068" s="10"/>
      <c r="AZ4068" s="10"/>
    </row>
    <row r="4069" spans="28:52">
      <c r="AB4069" s="9"/>
      <c r="AC4069" s="9"/>
      <c r="AD4069" s="9"/>
      <c r="AE4069" s="10"/>
      <c r="AF4069" s="10"/>
      <c r="AG4069" s="10"/>
      <c r="AH4069" s="10"/>
      <c r="AI4069" s="10"/>
      <c r="AJ4069" s="10"/>
      <c r="AK4069" s="10"/>
      <c r="AL4069" s="10"/>
      <c r="AM4069" s="10"/>
      <c r="AN4069" s="10"/>
      <c r="AO4069" s="10"/>
      <c r="AP4069" s="10"/>
      <c r="AQ4069" s="10"/>
      <c r="AR4069" s="10"/>
      <c r="AS4069" s="10"/>
      <c r="AT4069" s="10"/>
      <c r="AU4069" s="10"/>
      <c r="AV4069" s="10"/>
      <c r="AW4069" s="10"/>
      <c r="AX4069" s="10"/>
      <c r="AY4069" s="10"/>
      <c r="AZ4069" s="10"/>
    </row>
    <row r="4070" spans="28:52">
      <c r="AB4070" s="9"/>
      <c r="AC4070" s="9"/>
      <c r="AD4070" s="9"/>
      <c r="AE4070" s="10"/>
      <c r="AF4070" s="10"/>
      <c r="AG4070" s="10"/>
      <c r="AH4070" s="10"/>
      <c r="AI4070" s="10"/>
      <c r="AJ4070" s="10"/>
      <c r="AK4070" s="10"/>
      <c r="AL4070" s="10"/>
      <c r="AM4070" s="10"/>
      <c r="AN4070" s="10"/>
      <c r="AO4070" s="10"/>
      <c r="AP4070" s="10"/>
      <c r="AQ4070" s="10"/>
      <c r="AR4070" s="10"/>
      <c r="AS4070" s="10"/>
      <c r="AT4070" s="10"/>
      <c r="AU4070" s="10"/>
      <c r="AV4070" s="10"/>
      <c r="AW4070" s="10"/>
      <c r="AX4070" s="10"/>
      <c r="AY4070" s="10"/>
      <c r="AZ4070" s="10"/>
    </row>
    <row r="4071" spans="28:52">
      <c r="AB4071" s="9"/>
      <c r="AC4071" s="9"/>
      <c r="AD4071" s="9"/>
      <c r="AE4071" s="10"/>
      <c r="AF4071" s="10"/>
      <c r="AG4071" s="10"/>
      <c r="AH4071" s="10"/>
      <c r="AI4071" s="10"/>
      <c r="AJ4071" s="10"/>
      <c r="AK4071" s="10"/>
      <c r="AL4071" s="10"/>
      <c r="AM4071" s="10"/>
      <c r="AN4071" s="10"/>
      <c r="AO4071" s="10"/>
      <c r="AP4071" s="10"/>
      <c r="AQ4071" s="10"/>
      <c r="AR4071" s="10"/>
      <c r="AS4071" s="10"/>
      <c r="AT4071" s="10"/>
      <c r="AU4071" s="10"/>
      <c r="AV4071" s="10"/>
      <c r="AW4071" s="10"/>
      <c r="AX4071" s="10"/>
      <c r="AY4071" s="10"/>
      <c r="AZ4071" s="10"/>
    </row>
    <row r="4072" spans="28:52">
      <c r="AB4072" s="9"/>
      <c r="AC4072" s="9"/>
      <c r="AD4072" s="9"/>
      <c r="AE4072" s="10"/>
      <c r="AF4072" s="10"/>
      <c r="AG4072" s="10"/>
      <c r="AH4072" s="10"/>
      <c r="AI4072" s="10"/>
      <c r="AJ4072" s="10"/>
      <c r="AK4072" s="10"/>
      <c r="AL4072" s="10"/>
      <c r="AM4072" s="10"/>
      <c r="AN4072" s="10"/>
      <c r="AO4072" s="10"/>
      <c r="AP4072" s="10"/>
      <c r="AQ4072" s="10"/>
      <c r="AR4072" s="10"/>
      <c r="AS4072" s="10"/>
      <c r="AT4072" s="10"/>
      <c r="AU4072" s="10"/>
      <c r="AV4072" s="10"/>
      <c r="AW4072" s="10"/>
      <c r="AX4072" s="10"/>
      <c r="AY4072" s="10"/>
      <c r="AZ4072" s="10"/>
    </row>
    <row r="4073" spans="28:52">
      <c r="AB4073" s="9"/>
      <c r="AC4073" s="9"/>
      <c r="AD4073" s="9"/>
      <c r="AE4073" s="10"/>
      <c r="AF4073" s="10"/>
      <c r="AG4073" s="10"/>
      <c r="AH4073" s="10"/>
      <c r="AI4073" s="10"/>
      <c r="AJ4073" s="10"/>
      <c r="AK4073" s="10"/>
      <c r="AL4073" s="10"/>
      <c r="AM4073" s="10"/>
      <c r="AN4073" s="10"/>
      <c r="AO4073" s="10"/>
      <c r="AP4073" s="10"/>
      <c r="AQ4073" s="10"/>
      <c r="AR4073" s="10"/>
      <c r="AS4073" s="10"/>
      <c r="AT4073" s="10"/>
      <c r="AU4073" s="10"/>
      <c r="AV4073" s="10"/>
      <c r="AW4073" s="10"/>
      <c r="AX4073" s="10"/>
      <c r="AY4073" s="10"/>
      <c r="AZ4073" s="10"/>
    </row>
    <row r="4074" spans="28:52">
      <c r="AB4074" s="9"/>
      <c r="AC4074" s="9"/>
      <c r="AD4074" s="9"/>
      <c r="AE4074" s="10"/>
      <c r="AF4074" s="10"/>
      <c r="AG4074" s="10"/>
      <c r="AH4074" s="10"/>
      <c r="AI4074" s="10"/>
      <c r="AJ4074" s="10"/>
      <c r="AK4074" s="10"/>
      <c r="AL4074" s="10"/>
      <c r="AM4074" s="10"/>
      <c r="AN4074" s="10"/>
      <c r="AO4074" s="10"/>
      <c r="AP4074" s="10"/>
      <c r="AQ4074" s="10"/>
      <c r="AR4074" s="10"/>
      <c r="AS4074" s="10"/>
      <c r="AT4074" s="10"/>
      <c r="AU4074" s="10"/>
      <c r="AV4074" s="10"/>
      <c r="AW4074" s="10"/>
      <c r="AX4074" s="10"/>
      <c r="AY4074" s="10"/>
      <c r="AZ4074" s="10"/>
    </row>
    <row r="4075" spans="28:52">
      <c r="AB4075" s="9"/>
      <c r="AC4075" s="9"/>
      <c r="AD4075" s="9"/>
      <c r="AE4075" s="10"/>
      <c r="AF4075" s="10"/>
      <c r="AG4075" s="10"/>
      <c r="AH4075" s="10"/>
      <c r="AI4075" s="10"/>
      <c r="AJ4075" s="10"/>
      <c r="AK4075" s="10"/>
      <c r="AL4075" s="10"/>
      <c r="AM4075" s="10"/>
      <c r="AN4075" s="10"/>
      <c r="AO4075" s="10"/>
      <c r="AP4075" s="10"/>
      <c r="AQ4075" s="10"/>
      <c r="AR4075" s="10"/>
      <c r="AS4075" s="10"/>
      <c r="AT4075" s="10"/>
      <c r="AU4075" s="10"/>
      <c r="AV4075" s="10"/>
      <c r="AW4075" s="10"/>
      <c r="AX4075" s="10"/>
      <c r="AY4075" s="10"/>
      <c r="AZ4075" s="10"/>
    </row>
    <row r="4076" spans="28:52">
      <c r="AB4076" s="9"/>
      <c r="AC4076" s="9"/>
      <c r="AD4076" s="9"/>
      <c r="AE4076" s="10"/>
      <c r="AF4076" s="10"/>
      <c r="AG4076" s="10"/>
      <c r="AH4076" s="10"/>
      <c r="AI4076" s="10"/>
      <c r="AJ4076" s="10"/>
      <c r="AK4076" s="10"/>
      <c r="AL4076" s="10"/>
      <c r="AM4076" s="10"/>
      <c r="AN4076" s="10"/>
      <c r="AO4076" s="10"/>
      <c r="AP4076" s="10"/>
      <c r="AQ4076" s="10"/>
      <c r="AR4076" s="10"/>
      <c r="AS4076" s="10"/>
      <c r="AT4076" s="10"/>
      <c r="AU4076" s="10"/>
      <c r="AV4076" s="10"/>
      <c r="AW4076" s="10"/>
      <c r="AX4076" s="10"/>
      <c r="AY4076" s="10"/>
      <c r="AZ4076" s="10"/>
    </row>
    <row r="4077" spans="28:52">
      <c r="AB4077" s="9"/>
      <c r="AC4077" s="9"/>
      <c r="AD4077" s="9"/>
      <c r="AE4077" s="10"/>
      <c r="AF4077" s="10"/>
      <c r="AG4077" s="10"/>
      <c r="AH4077" s="10"/>
      <c r="AI4077" s="10"/>
      <c r="AJ4077" s="10"/>
      <c r="AK4077" s="10"/>
      <c r="AL4077" s="10"/>
      <c r="AM4077" s="10"/>
      <c r="AN4077" s="10"/>
      <c r="AO4077" s="10"/>
      <c r="AP4077" s="10"/>
      <c r="AQ4077" s="10"/>
      <c r="AR4077" s="10"/>
      <c r="AS4077" s="10"/>
      <c r="AT4077" s="10"/>
      <c r="AU4077" s="10"/>
      <c r="AV4077" s="10"/>
      <c r="AW4077" s="10"/>
      <c r="AX4077" s="10"/>
      <c r="AY4077" s="10"/>
      <c r="AZ4077" s="10"/>
    </row>
    <row r="4078" spans="28:52">
      <c r="AB4078" s="9"/>
      <c r="AC4078" s="9"/>
      <c r="AD4078" s="9"/>
      <c r="AE4078" s="10"/>
      <c r="AF4078" s="10"/>
      <c r="AG4078" s="10"/>
      <c r="AH4078" s="10"/>
      <c r="AI4078" s="10"/>
      <c r="AJ4078" s="10"/>
      <c r="AK4078" s="10"/>
      <c r="AL4078" s="10"/>
      <c r="AM4078" s="10"/>
      <c r="AN4078" s="10"/>
      <c r="AO4078" s="10"/>
      <c r="AP4078" s="10"/>
      <c r="AQ4078" s="10"/>
      <c r="AR4078" s="10"/>
      <c r="AS4078" s="10"/>
      <c r="AT4078" s="10"/>
      <c r="AU4078" s="10"/>
      <c r="AV4078" s="10"/>
      <c r="AW4078" s="10"/>
      <c r="AX4078" s="10"/>
      <c r="AY4078" s="10"/>
      <c r="AZ4078" s="10"/>
    </row>
    <row r="4079" spans="28:52">
      <c r="AB4079" s="9"/>
      <c r="AC4079" s="9"/>
      <c r="AD4079" s="9"/>
      <c r="AE4079" s="10"/>
      <c r="AF4079" s="10"/>
      <c r="AG4079" s="10"/>
      <c r="AH4079" s="10"/>
      <c r="AI4079" s="10"/>
      <c r="AJ4079" s="10"/>
      <c r="AK4079" s="10"/>
      <c r="AL4079" s="10"/>
      <c r="AM4079" s="10"/>
      <c r="AN4079" s="10"/>
      <c r="AO4079" s="10"/>
      <c r="AP4079" s="10"/>
      <c r="AQ4079" s="10"/>
      <c r="AR4079" s="10"/>
      <c r="AS4079" s="10"/>
      <c r="AT4079" s="10"/>
      <c r="AU4079" s="10"/>
      <c r="AV4079" s="10"/>
      <c r="AW4079" s="10"/>
      <c r="AX4079" s="10"/>
      <c r="AY4079" s="10"/>
      <c r="AZ4079" s="10"/>
    </row>
    <row r="4080" spans="28:52">
      <c r="AB4080" s="9"/>
      <c r="AC4080" s="9"/>
      <c r="AD4080" s="9"/>
      <c r="AE4080" s="10"/>
      <c r="AF4080" s="10"/>
      <c r="AG4080" s="10"/>
      <c r="AH4080" s="10"/>
      <c r="AI4080" s="10"/>
      <c r="AJ4080" s="10"/>
      <c r="AK4080" s="10"/>
      <c r="AL4080" s="10"/>
      <c r="AM4080" s="10"/>
      <c r="AN4080" s="10"/>
      <c r="AO4080" s="10"/>
      <c r="AP4080" s="10"/>
      <c r="AQ4080" s="10"/>
      <c r="AR4080" s="10"/>
      <c r="AS4080" s="10"/>
      <c r="AT4080" s="10"/>
      <c r="AU4080" s="10"/>
      <c r="AV4080" s="10"/>
      <c r="AW4080" s="10"/>
      <c r="AX4080" s="10"/>
      <c r="AY4080" s="10"/>
      <c r="AZ4080" s="10"/>
    </row>
    <row r="4081" spans="28:52">
      <c r="AB4081" s="9"/>
      <c r="AC4081" s="9"/>
      <c r="AD4081" s="9"/>
      <c r="AE4081" s="10"/>
      <c r="AF4081" s="10"/>
      <c r="AG4081" s="10"/>
      <c r="AH4081" s="10"/>
      <c r="AI4081" s="10"/>
      <c r="AJ4081" s="10"/>
      <c r="AK4081" s="10"/>
      <c r="AL4081" s="10"/>
      <c r="AM4081" s="10"/>
      <c r="AN4081" s="10"/>
      <c r="AO4081" s="10"/>
      <c r="AP4081" s="10"/>
      <c r="AQ4081" s="10"/>
      <c r="AR4081" s="10"/>
      <c r="AS4081" s="10"/>
      <c r="AT4081" s="10"/>
      <c r="AU4081" s="10"/>
      <c r="AV4081" s="10"/>
      <c r="AW4081" s="10"/>
      <c r="AX4081" s="10"/>
      <c r="AY4081" s="10"/>
      <c r="AZ4081" s="10"/>
    </row>
    <row r="4082" spans="28:52">
      <c r="AB4082" s="9"/>
      <c r="AC4082" s="9"/>
      <c r="AD4082" s="9"/>
      <c r="AE4082" s="10"/>
      <c r="AF4082" s="10"/>
      <c r="AG4082" s="10"/>
      <c r="AH4082" s="10"/>
      <c r="AI4082" s="10"/>
      <c r="AJ4082" s="10"/>
      <c r="AK4082" s="10"/>
      <c r="AL4082" s="10"/>
      <c r="AM4082" s="10"/>
      <c r="AN4082" s="10"/>
      <c r="AO4082" s="10"/>
      <c r="AP4082" s="10"/>
      <c r="AQ4082" s="10"/>
      <c r="AR4082" s="10"/>
      <c r="AS4082" s="10"/>
      <c r="AT4082" s="10"/>
      <c r="AU4082" s="10"/>
      <c r="AV4082" s="10"/>
      <c r="AW4082" s="10"/>
      <c r="AX4082" s="10"/>
      <c r="AY4082" s="10"/>
      <c r="AZ4082" s="10"/>
    </row>
    <row r="4083" spans="28:52">
      <c r="AB4083" s="9"/>
      <c r="AC4083" s="9"/>
      <c r="AD4083" s="9"/>
      <c r="AE4083" s="10"/>
      <c r="AF4083" s="10"/>
      <c r="AG4083" s="10"/>
      <c r="AH4083" s="10"/>
      <c r="AI4083" s="10"/>
      <c r="AJ4083" s="10"/>
      <c r="AK4083" s="10"/>
      <c r="AL4083" s="10"/>
      <c r="AM4083" s="10"/>
      <c r="AN4083" s="10"/>
      <c r="AO4083" s="10"/>
      <c r="AP4083" s="10"/>
      <c r="AQ4083" s="10"/>
      <c r="AR4083" s="10"/>
      <c r="AS4083" s="10"/>
      <c r="AT4083" s="10"/>
      <c r="AU4083" s="10"/>
      <c r="AV4083" s="10"/>
      <c r="AW4083" s="10"/>
      <c r="AX4083" s="10"/>
      <c r="AY4083" s="10"/>
      <c r="AZ4083" s="10"/>
    </row>
    <row r="4084" spans="28:52">
      <c r="AB4084" s="9"/>
      <c r="AC4084" s="9"/>
      <c r="AD4084" s="9"/>
      <c r="AE4084" s="10"/>
      <c r="AF4084" s="10"/>
      <c r="AG4084" s="10"/>
      <c r="AH4084" s="10"/>
      <c r="AI4084" s="10"/>
      <c r="AJ4084" s="10"/>
      <c r="AK4084" s="10"/>
      <c r="AL4084" s="10"/>
      <c r="AM4084" s="10"/>
      <c r="AN4084" s="10"/>
      <c r="AO4084" s="10"/>
      <c r="AP4084" s="10"/>
      <c r="AQ4084" s="10"/>
      <c r="AR4084" s="10"/>
      <c r="AS4084" s="10"/>
      <c r="AT4084" s="10"/>
      <c r="AU4084" s="10"/>
      <c r="AV4084" s="10"/>
      <c r="AW4084" s="10"/>
      <c r="AX4084" s="10"/>
      <c r="AY4084" s="10"/>
      <c r="AZ4084" s="10"/>
    </row>
    <row r="4085" spans="28:52">
      <c r="AB4085" s="9"/>
      <c r="AC4085" s="9"/>
      <c r="AD4085" s="9"/>
      <c r="AE4085" s="10"/>
      <c r="AF4085" s="10"/>
      <c r="AG4085" s="10"/>
      <c r="AH4085" s="10"/>
      <c r="AI4085" s="10"/>
      <c r="AJ4085" s="10"/>
      <c r="AK4085" s="10"/>
      <c r="AL4085" s="10"/>
      <c r="AM4085" s="10"/>
      <c r="AN4085" s="10"/>
      <c r="AO4085" s="10"/>
      <c r="AP4085" s="10"/>
      <c r="AQ4085" s="10"/>
      <c r="AR4085" s="10"/>
      <c r="AS4085" s="10"/>
      <c r="AT4085" s="10"/>
      <c r="AU4085" s="10"/>
      <c r="AV4085" s="10"/>
      <c r="AW4085" s="10"/>
      <c r="AX4085" s="10"/>
      <c r="AY4085" s="10"/>
      <c r="AZ4085" s="10"/>
    </row>
    <row r="4086" spans="28:52">
      <c r="AB4086" s="9"/>
      <c r="AC4086" s="9"/>
      <c r="AD4086" s="9"/>
      <c r="AE4086" s="10"/>
      <c r="AF4086" s="10"/>
      <c r="AG4086" s="10"/>
      <c r="AH4086" s="10"/>
      <c r="AI4086" s="10"/>
      <c r="AJ4086" s="10"/>
      <c r="AK4086" s="10"/>
      <c r="AL4086" s="10"/>
      <c r="AM4086" s="10"/>
      <c r="AN4086" s="10"/>
      <c r="AO4086" s="10"/>
      <c r="AP4086" s="10"/>
      <c r="AQ4086" s="10"/>
      <c r="AR4086" s="10"/>
      <c r="AS4086" s="10"/>
      <c r="AT4086" s="10"/>
      <c r="AU4086" s="10"/>
      <c r="AV4086" s="10"/>
      <c r="AW4086" s="10"/>
      <c r="AX4086" s="10"/>
      <c r="AY4086" s="10"/>
      <c r="AZ4086" s="10"/>
    </row>
    <row r="4087" spans="28:52">
      <c r="AB4087" s="9"/>
      <c r="AC4087" s="9"/>
      <c r="AD4087" s="9"/>
      <c r="AE4087" s="10"/>
      <c r="AF4087" s="10"/>
      <c r="AG4087" s="10"/>
      <c r="AH4087" s="10"/>
      <c r="AI4087" s="10"/>
      <c r="AJ4087" s="10"/>
      <c r="AK4087" s="10"/>
      <c r="AL4087" s="10"/>
      <c r="AM4087" s="10"/>
      <c r="AN4087" s="10"/>
      <c r="AO4087" s="10"/>
      <c r="AP4087" s="10"/>
      <c r="AQ4087" s="10"/>
      <c r="AR4087" s="10"/>
      <c r="AS4087" s="10"/>
      <c r="AT4087" s="10"/>
      <c r="AU4087" s="10"/>
      <c r="AV4087" s="10"/>
      <c r="AW4087" s="10"/>
      <c r="AX4087" s="10"/>
      <c r="AY4087" s="10"/>
      <c r="AZ4087" s="10"/>
    </row>
    <row r="4088" spans="28:52">
      <c r="AB4088" s="9"/>
      <c r="AC4088" s="9"/>
      <c r="AD4088" s="9"/>
      <c r="AE4088" s="10"/>
      <c r="AF4088" s="10"/>
      <c r="AG4088" s="10"/>
      <c r="AH4088" s="10"/>
      <c r="AI4088" s="10"/>
      <c r="AJ4088" s="10"/>
      <c r="AK4088" s="10"/>
      <c r="AL4088" s="10"/>
      <c r="AM4088" s="10"/>
      <c r="AN4088" s="10"/>
      <c r="AO4088" s="10"/>
      <c r="AP4088" s="10"/>
      <c r="AQ4088" s="10"/>
      <c r="AR4088" s="10"/>
      <c r="AS4088" s="10"/>
      <c r="AT4088" s="10"/>
      <c r="AU4088" s="10"/>
      <c r="AV4088" s="10"/>
      <c r="AW4088" s="10"/>
      <c r="AX4088" s="10"/>
      <c r="AY4088" s="10"/>
      <c r="AZ4088" s="10"/>
    </row>
    <row r="4089" spans="28:52">
      <c r="AB4089" s="9"/>
      <c r="AC4089" s="9"/>
      <c r="AD4089" s="9"/>
      <c r="AE4089" s="10"/>
      <c r="AF4089" s="10"/>
      <c r="AG4089" s="10"/>
      <c r="AH4089" s="10"/>
      <c r="AI4089" s="10"/>
      <c r="AJ4089" s="10"/>
      <c r="AK4089" s="10"/>
      <c r="AL4089" s="10"/>
      <c r="AM4089" s="10"/>
      <c r="AN4089" s="10"/>
      <c r="AO4089" s="10"/>
      <c r="AP4089" s="10"/>
      <c r="AQ4089" s="10"/>
      <c r="AR4089" s="10"/>
      <c r="AS4089" s="10"/>
      <c r="AT4089" s="10"/>
      <c r="AU4089" s="10"/>
      <c r="AV4089" s="10"/>
      <c r="AW4089" s="10"/>
      <c r="AX4089" s="10"/>
      <c r="AY4089" s="10"/>
      <c r="AZ4089" s="10"/>
    </row>
    <row r="4090" spans="28:52">
      <c r="AB4090" s="9"/>
      <c r="AC4090" s="9"/>
      <c r="AD4090" s="9"/>
      <c r="AE4090" s="10"/>
      <c r="AF4090" s="10"/>
      <c r="AG4090" s="10"/>
      <c r="AH4090" s="10"/>
      <c r="AI4090" s="10"/>
      <c r="AJ4090" s="10"/>
      <c r="AK4090" s="10"/>
      <c r="AL4090" s="10"/>
      <c r="AM4090" s="10"/>
      <c r="AN4090" s="10"/>
      <c r="AO4090" s="10"/>
      <c r="AP4090" s="10"/>
      <c r="AQ4090" s="10"/>
      <c r="AR4090" s="10"/>
      <c r="AS4090" s="10"/>
      <c r="AT4090" s="10"/>
      <c r="AU4090" s="10"/>
      <c r="AV4090" s="10"/>
      <c r="AW4090" s="10"/>
      <c r="AX4090" s="10"/>
      <c r="AY4090" s="10"/>
      <c r="AZ4090" s="10"/>
    </row>
    <row r="4091" spans="28:52">
      <c r="AE4091" s="10"/>
      <c r="AF4091" s="10"/>
      <c r="AG4091" s="10"/>
      <c r="AH4091" s="10"/>
      <c r="AI4091" s="10"/>
      <c r="AJ4091" s="10"/>
      <c r="AK4091" s="10"/>
      <c r="AL4091" s="10"/>
      <c r="AM4091" s="10"/>
      <c r="AN4091" s="10"/>
      <c r="AO4091" s="10"/>
      <c r="AP4091" s="10"/>
      <c r="AQ4091" s="10"/>
      <c r="AR4091" s="10"/>
      <c r="AS4091" s="10"/>
      <c r="AT4091" s="10"/>
      <c r="AU4091" s="10"/>
      <c r="AV4091" s="10"/>
      <c r="AW4091" s="10"/>
      <c r="AX4091" s="10"/>
      <c r="AY4091" s="10"/>
      <c r="AZ4091" s="10"/>
    </row>
    <row r="4092" spans="28:52">
      <c r="AE4092" s="10"/>
      <c r="AF4092" s="10"/>
      <c r="AG4092" s="10"/>
      <c r="AH4092" s="10"/>
      <c r="AI4092" s="10"/>
      <c r="AJ4092" s="10"/>
      <c r="AK4092" s="10"/>
      <c r="AL4092" s="10"/>
      <c r="AM4092" s="10"/>
      <c r="AN4092" s="10"/>
      <c r="AO4092" s="10"/>
      <c r="AP4092" s="10"/>
      <c r="AQ4092" s="10"/>
      <c r="AR4092" s="10"/>
      <c r="AS4092" s="10"/>
      <c r="AT4092" s="10"/>
      <c r="AU4092" s="10"/>
      <c r="AV4092" s="10"/>
      <c r="AW4092" s="10"/>
      <c r="AX4092" s="10"/>
      <c r="AY4092" s="10"/>
      <c r="AZ4092" s="10"/>
    </row>
    <row r="4093" spans="28:52">
      <c r="AE4093" s="10"/>
      <c r="AF4093" s="10"/>
      <c r="AG4093" s="10"/>
      <c r="AH4093" s="10"/>
      <c r="AI4093" s="10"/>
      <c r="AJ4093" s="10"/>
      <c r="AK4093" s="10"/>
      <c r="AL4093" s="10"/>
      <c r="AM4093" s="10"/>
      <c r="AN4093" s="10"/>
      <c r="AO4093" s="10"/>
      <c r="AP4093" s="10"/>
      <c r="AQ4093" s="10"/>
      <c r="AR4093" s="10"/>
      <c r="AS4093" s="10"/>
      <c r="AT4093" s="10"/>
      <c r="AU4093" s="10"/>
      <c r="AV4093" s="10"/>
      <c r="AW4093" s="10"/>
      <c r="AX4093" s="10"/>
      <c r="AY4093" s="10"/>
      <c r="AZ4093" s="10"/>
    </row>
    <row r="4094" spans="28:52">
      <c r="AE4094" s="10"/>
      <c r="AF4094" s="10"/>
      <c r="AG4094" s="10"/>
      <c r="AH4094" s="10"/>
      <c r="AI4094" s="10"/>
      <c r="AJ4094" s="10"/>
      <c r="AK4094" s="10"/>
      <c r="AL4094" s="10"/>
      <c r="AM4094" s="10"/>
      <c r="AN4094" s="10"/>
      <c r="AO4094" s="10"/>
      <c r="AP4094" s="10"/>
      <c r="AQ4094" s="10"/>
      <c r="AR4094" s="10"/>
      <c r="AS4094" s="10"/>
      <c r="AT4094" s="10"/>
      <c r="AU4094" s="10"/>
      <c r="AV4094" s="10"/>
      <c r="AW4094" s="10"/>
      <c r="AX4094" s="10"/>
      <c r="AY4094" s="10"/>
      <c r="AZ4094" s="10"/>
    </row>
    <row r="4095" spans="28:52">
      <c r="AE4095" s="10"/>
      <c r="AF4095" s="10"/>
      <c r="AG4095" s="10"/>
      <c r="AH4095" s="10"/>
      <c r="AI4095" s="10"/>
      <c r="AJ4095" s="10"/>
      <c r="AK4095" s="10"/>
      <c r="AL4095" s="10"/>
      <c r="AM4095" s="10"/>
      <c r="AN4095" s="10"/>
      <c r="AO4095" s="10"/>
      <c r="AP4095" s="10"/>
      <c r="AQ4095" s="10"/>
      <c r="AR4095" s="10"/>
      <c r="AS4095" s="10"/>
      <c r="AT4095" s="10"/>
      <c r="AU4095" s="10"/>
      <c r="AV4095" s="10"/>
      <c r="AW4095" s="10"/>
      <c r="AX4095" s="10"/>
      <c r="AY4095" s="10"/>
      <c r="AZ4095" s="10"/>
    </row>
    <row r="4096" spans="28:52">
      <c r="AE4096" s="10"/>
      <c r="AF4096" s="10"/>
      <c r="AG4096" s="10"/>
      <c r="AH4096" s="10"/>
      <c r="AI4096" s="10"/>
      <c r="AJ4096" s="10"/>
      <c r="AK4096" s="10"/>
      <c r="AL4096" s="10"/>
      <c r="AM4096" s="10"/>
      <c r="AN4096" s="10"/>
      <c r="AO4096" s="10"/>
      <c r="AP4096" s="10"/>
      <c r="AQ4096" s="10"/>
      <c r="AR4096" s="10"/>
      <c r="AS4096" s="10"/>
      <c r="AT4096" s="10"/>
      <c r="AU4096" s="10"/>
      <c r="AV4096" s="10"/>
      <c r="AW4096" s="10"/>
      <c r="AX4096" s="10"/>
      <c r="AY4096" s="10"/>
      <c r="AZ4096" s="10"/>
    </row>
    <row r="4097" spans="31:52">
      <c r="AE4097" s="10"/>
      <c r="AF4097" s="10"/>
      <c r="AG4097" s="10"/>
      <c r="AH4097" s="10"/>
      <c r="AI4097" s="10"/>
      <c r="AJ4097" s="10"/>
      <c r="AK4097" s="10"/>
      <c r="AL4097" s="10"/>
      <c r="AM4097" s="10"/>
      <c r="AN4097" s="10"/>
      <c r="AO4097" s="10"/>
      <c r="AP4097" s="10"/>
      <c r="AQ4097" s="10"/>
      <c r="AR4097" s="10"/>
      <c r="AS4097" s="10"/>
      <c r="AT4097" s="10"/>
      <c r="AU4097" s="10"/>
      <c r="AV4097" s="10"/>
      <c r="AW4097" s="10"/>
      <c r="AX4097" s="10"/>
      <c r="AY4097" s="10"/>
      <c r="AZ4097" s="10"/>
    </row>
    <row r="4098" spans="31:52">
      <c r="AE4098" s="10"/>
      <c r="AF4098" s="10"/>
      <c r="AG4098" s="10"/>
      <c r="AH4098" s="10"/>
      <c r="AI4098" s="10"/>
      <c r="AJ4098" s="10"/>
      <c r="AK4098" s="10"/>
      <c r="AL4098" s="10"/>
      <c r="AM4098" s="10"/>
      <c r="AN4098" s="10"/>
      <c r="AO4098" s="10"/>
      <c r="AP4098" s="10"/>
      <c r="AQ4098" s="10"/>
      <c r="AR4098" s="10"/>
      <c r="AS4098" s="10"/>
      <c r="AT4098" s="10"/>
      <c r="AU4098" s="10"/>
      <c r="AV4098" s="10"/>
      <c r="AW4098" s="10"/>
      <c r="AX4098" s="10"/>
      <c r="AY4098" s="10"/>
      <c r="AZ4098" s="10"/>
    </row>
    <row r="4099" spans="31:52">
      <c r="AE4099" s="10"/>
      <c r="AF4099" s="10"/>
      <c r="AG4099" s="10"/>
      <c r="AH4099" s="10"/>
      <c r="AI4099" s="10"/>
      <c r="AJ4099" s="10"/>
      <c r="AK4099" s="10"/>
      <c r="AL4099" s="10"/>
      <c r="AM4099" s="10"/>
      <c r="AN4099" s="10"/>
      <c r="AO4099" s="10"/>
      <c r="AP4099" s="10"/>
      <c r="AQ4099" s="10"/>
      <c r="AR4099" s="10"/>
      <c r="AS4099" s="10"/>
      <c r="AT4099" s="10"/>
      <c r="AU4099" s="10"/>
      <c r="AV4099" s="10"/>
      <c r="AW4099" s="10"/>
      <c r="AX4099" s="10"/>
      <c r="AY4099" s="10"/>
      <c r="AZ4099" s="10"/>
    </row>
    <row r="4100" spans="31:52">
      <c r="AE4100" s="10"/>
      <c r="AF4100" s="10"/>
      <c r="AG4100" s="10"/>
      <c r="AH4100" s="10"/>
      <c r="AI4100" s="10"/>
      <c r="AJ4100" s="10"/>
      <c r="AK4100" s="10"/>
      <c r="AL4100" s="10"/>
      <c r="AM4100" s="10"/>
      <c r="AN4100" s="10"/>
      <c r="AO4100" s="10"/>
      <c r="AP4100" s="10"/>
      <c r="AQ4100" s="10"/>
      <c r="AR4100" s="10"/>
      <c r="AS4100" s="10"/>
      <c r="AT4100" s="10"/>
      <c r="AU4100" s="10"/>
      <c r="AV4100" s="10"/>
      <c r="AW4100" s="10"/>
      <c r="AX4100" s="10"/>
      <c r="AY4100" s="10"/>
      <c r="AZ4100" s="10"/>
    </row>
    <row r="4101" spans="31:52">
      <c r="AE4101" s="10"/>
      <c r="AF4101" s="10"/>
      <c r="AG4101" s="10"/>
      <c r="AH4101" s="10"/>
      <c r="AI4101" s="10"/>
      <c r="AJ4101" s="10"/>
      <c r="AK4101" s="10"/>
      <c r="AL4101" s="10"/>
      <c r="AM4101" s="10"/>
      <c r="AN4101" s="10"/>
      <c r="AO4101" s="10"/>
      <c r="AP4101" s="10"/>
      <c r="AQ4101" s="10"/>
      <c r="AR4101" s="10"/>
      <c r="AS4101" s="10"/>
      <c r="AT4101" s="10"/>
      <c r="AU4101" s="10"/>
      <c r="AV4101" s="10"/>
      <c r="AW4101" s="10"/>
      <c r="AX4101" s="10"/>
      <c r="AY4101" s="10"/>
      <c r="AZ4101" s="10"/>
    </row>
    <row r="4102" spans="31:52">
      <c r="AE4102" s="10"/>
      <c r="AF4102" s="10"/>
      <c r="AG4102" s="10"/>
      <c r="AH4102" s="10"/>
      <c r="AI4102" s="10"/>
      <c r="AJ4102" s="10"/>
      <c r="AK4102" s="10"/>
      <c r="AL4102" s="10"/>
      <c r="AM4102" s="10"/>
      <c r="AN4102" s="10"/>
      <c r="AO4102" s="10"/>
      <c r="AP4102" s="10"/>
      <c r="AQ4102" s="10"/>
      <c r="AR4102" s="10"/>
      <c r="AS4102" s="10"/>
      <c r="AT4102" s="10"/>
      <c r="AU4102" s="10"/>
      <c r="AV4102" s="10"/>
      <c r="AW4102" s="10"/>
      <c r="AX4102" s="10"/>
      <c r="AY4102" s="10"/>
      <c r="AZ4102" s="10"/>
    </row>
    <row r="4103" spans="31:52">
      <c r="AE4103" s="10"/>
      <c r="AF4103" s="10"/>
      <c r="AG4103" s="10"/>
      <c r="AH4103" s="10"/>
      <c r="AI4103" s="10"/>
      <c r="AJ4103" s="10"/>
      <c r="AK4103" s="10"/>
      <c r="AL4103" s="10"/>
      <c r="AM4103" s="10"/>
      <c r="AN4103" s="10"/>
      <c r="AO4103" s="10"/>
      <c r="AP4103" s="10"/>
      <c r="AQ4103" s="10"/>
      <c r="AR4103" s="10"/>
      <c r="AS4103" s="10"/>
      <c r="AT4103" s="10"/>
      <c r="AU4103" s="10"/>
      <c r="AV4103" s="10"/>
      <c r="AW4103" s="10"/>
      <c r="AX4103" s="10"/>
      <c r="AY4103" s="10"/>
      <c r="AZ4103" s="10"/>
    </row>
    <row r="4104" spans="31:52">
      <c r="AE4104" s="10"/>
      <c r="AF4104" s="10"/>
      <c r="AG4104" s="10"/>
      <c r="AH4104" s="10"/>
      <c r="AI4104" s="10"/>
      <c r="AJ4104" s="10"/>
      <c r="AK4104" s="10"/>
      <c r="AL4104" s="10"/>
      <c r="AM4104" s="10"/>
      <c r="AN4104" s="10"/>
      <c r="AO4104" s="10"/>
      <c r="AP4104" s="10"/>
      <c r="AQ4104" s="10"/>
      <c r="AR4104" s="10"/>
      <c r="AS4104" s="10"/>
      <c r="AT4104" s="10"/>
      <c r="AU4104" s="10"/>
      <c r="AV4104" s="10"/>
      <c r="AW4104" s="10"/>
      <c r="AX4104" s="10"/>
      <c r="AY4104" s="10"/>
      <c r="AZ4104" s="10"/>
    </row>
    <row r="4105" spans="31:52">
      <c r="AE4105" s="10"/>
      <c r="AF4105" s="10"/>
      <c r="AG4105" s="10"/>
      <c r="AH4105" s="10"/>
      <c r="AI4105" s="10"/>
      <c r="AJ4105" s="10"/>
      <c r="AK4105" s="10"/>
      <c r="AL4105" s="10"/>
      <c r="AM4105" s="10"/>
      <c r="AN4105" s="10"/>
      <c r="AO4105" s="10"/>
      <c r="AP4105" s="10"/>
      <c r="AQ4105" s="10"/>
      <c r="AR4105" s="10"/>
      <c r="AS4105" s="10"/>
      <c r="AT4105" s="10"/>
      <c r="AU4105" s="10"/>
      <c r="AV4105" s="10"/>
      <c r="AW4105" s="10"/>
      <c r="AX4105" s="10"/>
      <c r="AY4105" s="10"/>
      <c r="AZ4105" s="10"/>
    </row>
    <row r="4106" spans="31:52">
      <c r="AE4106" s="10"/>
      <c r="AF4106" s="10"/>
      <c r="AG4106" s="10"/>
      <c r="AH4106" s="10"/>
      <c r="AI4106" s="10"/>
      <c r="AJ4106" s="10"/>
      <c r="AK4106" s="10"/>
      <c r="AL4106" s="10"/>
      <c r="AM4106" s="10"/>
      <c r="AN4106" s="10"/>
      <c r="AO4106" s="10"/>
      <c r="AP4106" s="10"/>
      <c r="AQ4106" s="10"/>
      <c r="AR4106" s="10"/>
      <c r="AS4106" s="10"/>
      <c r="AT4106" s="10"/>
      <c r="AU4106" s="10"/>
      <c r="AV4106" s="10"/>
      <c r="AW4106" s="10"/>
      <c r="AX4106" s="10"/>
      <c r="AY4106" s="10"/>
      <c r="AZ4106" s="10"/>
    </row>
    <row r="4107" spans="31:52">
      <c r="AE4107" s="10"/>
      <c r="AF4107" s="10"/>
      <c r="AG4107" s="10"/>
      <c r="AH4107" s="10"/>
      <c r="AI4107" s="10"/>
      <c r="AJ4107" s="10"/>
      <c r="AK4107" s="10"/>
      <c r="AL4107" s="10"/>
      <c r="AM4107" s="10"/>
      <c r="AN4107" s="10"/>
      <c r="AO4107" s="10"/>
      <c r="AP4107" s="10"/>
      <c r="AQ4107" s="10"/>
      <c r="AR4107" s="10"/>
      <c r="AS4107" s="10"/>
      <c r="AT4107" s="10"/>
      <c r="AU4107" s="10"/>
      <c r="AV4107" s="10"/>
      <c r="AW4107" s="10"/>
      <c r="AX4107" s="10"/>
      <c r="AY4107" s="10"/>
      <c r="AZ4107" s="10"/>
    </row>
    <row r="4108" spans="31:52">
      <c r="AE4108" s="10"/>
      <c r="AF4108" s="10"/>
      <c r="AG4108" s="10"/>
      <c r="AH4108" s="10"/>
      <c r="AI4108" s="10"/>
      <c r="AJ4108" s="10"/>
      <c r="AK4108" s="10"/>
      <c r="AL4108" s="10"/>
      <c r="AM4108" s="10"/>
      <c r="AN4108" s="10"/>
      <c r="AO4108" s="10"/>
      <c r="AP4108" s="10"/>
      <c r="AQ4108" s="10"/>
      <c r="AR4108" s="10"/>
      <c r="AS4108" s="10"/>
      <c r="AT4108" s="10"/>
      <c r="AU4108" s="10"/>
      <c r="AV4108" s="10"/>
      <c r="AW4108" s="10"/>
      <c r="AX4108" s="10"/>
      <c r="AY4108" s="10"/>
      <c r="AZ4108" s="10"/>
    </row>
    <row r="4109" spans="31:52">
      <c r="AE4109" s="10"/>
      <c r="AF4109" s="10"/>
      <c r="AG4109" s="10"/>
      <c r="AH4109" s="10"/>
      <c r="AI4109" s="10"/>
      <c r="AJ4109" s="10"/>
      <c r="AK4109" s="10"/>
      <c r="AL4109" s="10"/>
      <c r="AM4109" s="10"/>
      <c r="AN4109" s="10"/>
      <c r="AO4109" s="10"/>
      <c r="AP4109" s="10"/>
      <c r="AQ4109" s="10"/>
      <c r="AR4109" s="10"/>
      <c r="AS4109" s="10"/>
      <c r="AT4109" s="10"/>
      <c r="AU4109" s="10"/>
      <c r="AV4109" s="10"/>
      <c r="AW4109" s="10"/>
      <c r="AX4109" s="10"/>
      <c r="AY4109" s="10"/>
      <c r="AZ4109" s="10"/>
    </row>
    <row r="4110" spans="31:52">
      <c r="AE4110" s="10"/>
      <c r="AF4110" s="10"/>
      <c r="AG4110" s="10"/>
      <c r="AH4110" s="10"/>
      <c r="AI4110" s="10"/>
      <c r="AJ4110" s="10"/>
      <c r="AK4110" s="10"/>
      <c r="AL4110" s="10"/>
      <c r="AM4110" s="10"/>
      <c r="AN4110" s="10"/>
      <c r="AO4110" s="10"/>
      <c r="AP4110" s="10"/>
      <c r="AQ4110" s="10"/>
      <c r="AR4110" s="10"/>
      <c r="AS4110" s="10"/>
      <c r="AT4110" s="10"/>
      <c r="AU4110" s="10"/>
      <c r="AV4110" s="10"/>
      <c r="AW4110" s="10"/>
      <c r="AX4110" s="10"/>
      <c r="AY4110" s="10"/>
      <c r="AZ4110" s="10"/>
    </row>
    <row r="4111" spans="31:52">
      <c r="AE4111" s="10"/>
      <c r="AF4111" s="10"/>
      <c r="AG4111" s="10"/>
      <c r="AH4111" s="10"/>
      <c r="AI4111" s="10"/>
      <c r="AJ4111" s="10"/>
      <c r="AK4111" s="10"/>
      <c r="AL4111" s="10"/>
      <c r="AM4111" s="10"/>
      <c r="AN4111" s="10"/>
      <c r="AO4111" s="10"/>
      <c r="AP4111" s="10"/>
      <c r="AQ4111" s="10"/>
      <c r="AR4111" s="10"/>
      <c r="AS4111" s="10"/>
      <c r="AT4111" s="10"/>
      <c r="AU4111" s="10"/>
      <c r="AV4111" s="10"/>
      <c r="AW4111" s="10"/>
      <c r="AX4111" s="10"/>
      <c r="AY4111" s="10"/>
      <c r="AZ4111" s="10"/>
    </row>
    <row r="4112" spans="31:52">
      <c r="AE4112" s="10"/>
      <c r="AF4112" s="10"/>
      <c r="AG4112" s="10"/>
      <c r="AH4112" s="10"/>
      <c r="AI4112" s="10"/>
      <c r="AJ4112" s="10"/>
      <c r="AK4112" s="10"/>
      <c r="AL4112" s="10"/>
      <c r="AM4112" s="10"/>
      <c r="AN4112" s="10"/>
      <c r="AO4112" s="10"/>
      <c r="AP4112" s="10"/>
      <c r="AQ4112" s="10"/>
      <c r="AR4112" s="10"/>
      <c r="AS4112" s="10"/>
      <c r="AT4112" s="10"/>
      <c r="AU4112" s="10"/>
      <c r="AV4112" s="10"/>
      <c r="AW4112" s="10"/>
      <c r="AX4112" s="10"/>
      <c r="AY4112" s="10"/>
      <c r="AZ4112" s="10"/>
    </row>
    <row r="4113" spans="31:52">
      <c r="AE4113" s="10"/>
      <c r="AF4113" s="10"/>
      <c r="AG4113" s="10"/>
      <c r="AH4113" s="10"/>
      <c r="AI4113" s="10"/>
      <c r="AJ4113" s="10"/>
      <c r="AK4113" s="10"/>
      <c r="AL4113" s="10"/>
      <c r="AM4113" s="10"/>
      <c r="AN4113" s="10"/>
      <c r="AO4113" s="10"/>
      <c r="AP4113" s="10"/>
      <c r="AQ4113" s="10"/>
      <c r="AR4113" s="10"/>
      <c r="AS4113" s="10"/>
      <c r="AT4113" s="10"/>
      <c r="AU4113" s="10"/>
      <c r="AV4113" s="10"/>
      <c r="AW4113" s="10"/>
      <c r="AX4113" s="10"/>
      <c r="AY4113" s="10"/>
      <c r="AZ4113" s="10"/>
    </row>
    <row r="4114" spans="31:52">
      <c r="AE4114" s="10"/>
      <c r="AF4114" s="10"/>
      <c r="AG4114" s="10"/>
      <c r="AH4114" s="10"/>
      <c r="AI4114" s="10"/>
      <c r="AJ4114" s="10"/>
      <c r="AK4114" s="10"/>
      <c r="AL4114" s="10"/>
      <c r="AM4114" s="10"/>
      <c r="AN4114" s="10"/>
      <c r="AO4114" s="10"/>
      <c r="AP4114" s="10"/>
      <c r="AQ4114" s="10"/>
      <c r="AR4114" s="10"/>
      <c r="AS4114" s="10"/>
      <c r="AT4114" s="10"/>
      <c r="AU4114" s="10"/>
      <c r="AV4114" s="10"/>
      <c r="AW4114" s="10"/>
      <c r="AX4114" s="10"/>
      <c r="AY4114" s="10"/>
      <c r="AZ4114" s="10"/>
    </row>
    <row r="4115" spans="31:52">
      <c r="AE4115" s="10"/>
      <c r="AF4115" s="10"/>
      <c r="AG4115" s="10"/>
      <c r="AH4115" s="10"/>
      <c r="AI4115" s="10"/>
      <c r="AJ4115" s="10"/>
      <c r="AK4115" s="10"/>
      <c r="AL4115" s="10"/>
      <c r="AM4115" s="10"/>
      <c r="AN4115" s="10"/>
      <c r="AO4115" s="10"/>
      <c r="AP4115" s="10"/>
      <c r="AQ4115" s="10"/>
      <c r="AR4115" s="10"/>
      <c r="AS4115" s="10"/>
      <c r="AT4115" s="10"/>
      <c r="AU4115" s="10"/>
      <c r="AV4115" s="10"/>
      <c r="AW4115" s="10"/>
      <c r="AX4115" s="10"/>
      <c r="AY4115" s="10"/>
      <c r="AZ4115" s="10"/>
    </row>
    <row r="4116" spans="31:52">
      <c r="AE4116" s="10"/>
      <c r="AF4116" s="10"/>
      <c r="AG4116" s="10"/>
      <c r="AH4116" s="10"/>
      <c r="AI4116" s="10"/>
      <c r="AJ4116" s="10"/>
      <c r="AK4116" s="10"/>
      <c r="AL4116" s="10"/>
      <c r="AM4116" s="10"/>
      <c r="AN4116" s="10"/>
      <c r="AO4116" s="10"/>
      <c r="AP4116" s="10"/>
      <c r="AQ4116" s="10"/>
      <c r="AR4116" s="10"/>
      <c r="AS4116" s="10"/>
      <c r="AT4116" s="10"/>
      <c r="AU4116" s="10"/>
      <c r="AV4116" s="10"/>
      <c r="AW4116" s="10"/>
      <c r="AX4116" s="10"/>
      <c r="AY4116" s="10"/>
      <c r="AZ4116" s="10"/>
    </row>
    <row r="4117" spans="31:52">
      <c r="AE4117" s="10"/>
      <c r="AF4117" s="10"/>
      <c r="AG4117" s="10"/>
      <c r="AH4117" s="10"/>
      <c r="AI4117" s="10"/>
      <c r="AJ4117" s="10"/>
      <c r="AK4117" s="10"/>
      <c r="AL4117" s="10"/>
      <c r="AM4117" s="10"/>
      <c r="AN4117" s="10"/>
      <c r="AO4117" s="10"/>
      <c r="AP4117" s="10"/>
      <c r="AQ4117" s="10"/>
      <c r="AR4117" s="10"/>
      <c r="AS4117" s="10"/>
      <c r="AT4117" s="10"/>
      <c r="AU4117" s="10"/>
      <c r="AV4117" s="10"/>
      <c r="AW4117" s="10"/>
      <c r="AX4117" s="10"/>
      <c r="AY4117" s="10"/>
      <c r="AZ4117" s="10"/>
    </row>
    <row r="4118" spans="31:52">
      <c r="AE4118" s="10"/>
      <c r="AF4118" s="10"/>
      <c r="AG4118" s="10"/>
      <c r="AH4118" s="10"/>
      <c r="AI4118" s="10"/>
      <c r="AJ4118" s="10"/>
      <c r="AK4118" s="10"/>
      <c r="AL4118" s="10"/>
      <c r="AM4118" s="10"/>
      <c r="AN4118" s="10"/>
      <c r="AO4118" s="10"/>
      <c r="AP4118" s="10"/>
      <c r="AQ4118" s="10"/>
      <c r="AR4118" s="10"/>
      <c r="AS4118" s="10"/>
      <c r="AT4118" s="10"/>
      <c r="AU4118" s="10"/>
      <c r="AV4118" s="10"/>
      <c r="AW4118" s="10"/>
      <c r="AX4118" s="10"/>
      <c r="AY4118" s="10"/>
      <c r="AZ4118" s="10"/>
    </row>
    <row r="4119" spans="31:52">
      <c r="AE4119" s="10"/>
      <c r="AF4119" s="10"/>
      <c r="AG4119" s="10"/>
      <c r="AH4119" s="10"/>
      <c r="AI4119" s="10"/>
      <c r="AJ4119" s="10"/>
      <c r="AK4119" s="10"/>
      <c r="AL4119" s="10"/>
      <c r="AM4119" s="10"/>
      <c r="AN4119" s="10"/>
      <c r="AO4119" s="10"/>
      <c r="AP4119" s="10"/>
      <c r="AQ4119" s="10"/>
      <c r="AR4119" s="10"/>
      <c r="AS4119" s="10"/>
      <c r="AT4119" s="10"/>
      <c r="AU4119" s="10"/>
      <c r="AV4119" s="10"/>
      <c r="AW4119" s="10"/>
      <c r="AX4119" s="10"/>
      <c r="AY4119" s="10"/>
      <c r="AZ4119" s="10"/>
    </row>
    <row r="4120" spans="31:52">
      <c r="AE4120" s="10"/>
      <c r="AF4120" s="10"/>
      <c r="AG4120" s="10"/>
      <c r="AH4120" s="10"/>
      <c r="AI4120" s="10"/>
      <c r="AJ4120" s="10"/>
      <c r="AK4120" s="10"/>
      <c r="AL4120" s="10"/>
      <c r="AM4120" s="10"/>
      <c r="AN4120" s="10"/>
      <c r="AO4120" s="10"/>
      <c r="AP4120" s="10"/>
      <c r="AQ4120" s="10"/>
      <c r="AR4120" s="10"/>
      <c r="AS4120" s="10"/>
      <c r="AT4120" s="10"/>
      <c r="AU4120" s="10"/>
      <c r="AV4120" s="10"/>
      <c r="AW4120" s="10"/>
      <c r="AX4120" s="10"/>
      <c r="AY4120" s="10"/>
      <c r="AZ4120" s="10"/>
    </row>
    <row r="4121" spans="31:52">
      <c r="AE4121" s="10"/>
      <c r="AF4121" s="10"/>
      <c r="AG4121" s="10"/>
      <c r="AH4121" s="10"/>
      <c r="AI4121" s="10"/>
      <c r="AJ4121" s="10"/>
      <c r="AK4121" s="10"/>
      <c r="AL4121" s="10"/>
      <c r="AM4121" s="10"/>
      <c r="AN4121" s="10"/>
      <c r="AO4121" s="10"/>
      <c r="AP4121" s="10"/>
      <c r="AQ4121" s="10"/>
      <c r="AR4121" s="10"/>
      <c r="AS4121" s="10"/>
      <c r="AT4121" s="10"/>
      <c r="AU4121" s="10"/>
      <c r="AV4121" s="10"/>
      <c r="AW4121" s="10"/>
      <c r="AX4121" s="10"/>
      <c r="AY4121" s="10"/>
      <c r="AZ4121" s="10"/>
    </row>
    <row r="4122" spans="31:52">
      <c r="AE4122" s="10"/>
      <c r="AF4122" s="10"/>
      <c r="AG4122" s="10"/>
      <c r="AH4122" s="10"/>
      <c r="AI4122" s="10"/>
      <c r="AJ4122" s="10"/>
      <c r="AK4122" s="10"/>
      <c r="AL4122" s="10"/>
      <c r="AM4122" s="10"/>
      <c r="AN4122" s="10"/>
      <c r="AO4122" s="10"/>
      <c r="AP4122" s="10"/>
      <c r="AQ4122" s="10"/>
      <c r="AR4122" s="10"/>
      <c r="AS4122" s="10"/>
      <c r="AT4122" s="10"/>
      <c r="AU4122" s="10"/>
      <c r="AV4122" s="10"/>
      <c r="AW4122" s="10"/>
      <c r="AX4122" s="10"/>
      <c r="AY4122" s="10"/>
      <c r="AZ4122" s="10"/>
    </row>
    <row r="4123" spans="31:52">
      <c r="AE4123" s="10"/>
      <c r="AF4123" s="10"/>
      <c r="AG4123" s="10"/>
      <c r="AH4123" s="10"/>
      <c r="AI4123" s="10"/>
      <c r="AJ4123" s="10"/>
      <c r="AK4123" s="10"/>
      <c r="AL4123" s="10"/>
      <c r="AM4123" s="10"/>
      <c r="AN4123" s="10"/>
      <c r="AO4123" s="10"/>
      <c r="AP4123" s="10"/>
      <c r="AQ4123" s="10"/>
      <c r="AR4123" s="10"/>
      <c r="AS4123" s="10"/>
      <c r="AT4123" s="10"/>
      <c r="AU4123" s="10"/>
      <c r="AV4123" s="10"/>
      <c r="AW4123" s="10"/>
      <c r="AX4123" s="10"/>
      <c r="AY4123" s="10"/>
      <c r="AZ4123" s="10"/>
    </row>
    <row r="4124" spans="31:52">
      <c r="AE4124" s="10"/>
      <c r="AF4124" s="10"/>
      <c r="AG4124" s="10"/>
      <c r="AH4124" s="10"/>
      <c r="AI4124" s="10"/>
      <c r="AJ4124" s="10"/>
      <c r="AK4124" s="10"/>
      <c r="AL4124" s="10"/>
      <c r="AM4124" s="10"/>
      <c r="AN4124" s="10"/>
      <c r="AO4124" s="10"/>
      <c r="AP4124" s="10"/>
      <c r="AQ4124" s="10"/>
      <c r="AR4124" s="10"/>
      <c r="AS4124" s="10"/>
      <c r="AT4124" s="10"/>
      <c r="AU4124" s="10"/>
      <c r="AV4124" s="10"/>
      <c r="AW4124" s="10"/>
      <c r="AX4124" s="10"/>
      <c r="AY4124" s="10"/>
      <c r="AZ4124" s="10"/>
    </row>
    <row r="4125" spans="31:52">
      <c r="AE4125" s="10"/>
      <c r="AF4125" s="10"/>
      <c r="AG4125" s="10"/>
      <c r="AH4125" s="10"/>
      <c r="AI4125" s="10"/>
      <c r="AJ4125" s="10"/>
      <c r="AK4125" s="10"/>
      <c r="AL4125" s="10"/>
      <c r="AM4125" s="10"/>
      <c r="AN4125" s="10"/>
      <c r="AO4125" s="10"/>
      <c r="AP4125" s="10"/>
      <c r="AQ4125" s="10"/>
      <c r="AR4125" s="10"/>
      <c r="AS4125" s="10"/>
      <c r="AT4125" s="10"/>
      <c r="AU4125" s="10"/>
      <c r="AV4125" s="10"/>
      <c r="AW4125" s="10"/>
      <c r="AX4125" s="10"/>
      <c r="AY4125" s="10"/>
      <c r="AZ4125" s="10"/>
    </row>
    <row r="4126" spans="31:52">
      <c r="AE4126" s="10"/>
      <c r="AF4126" s="10"/>
      <c r="AG4126" s="10"/>
      <c r="AH4126" s="10"/>
      <c r="AI4126" s="10"/>
      <c r="AJ4126" s="10"/>
      <c r="AK4126" s="10"/>
      <c r="AL4126" s="10"/>
      <c r="AM4126" s="10"/>
      <c r="AN4126" s="10"/>
      <c r="AO4126" s="10"/>
      <c r="AP4126" s="10"/>
      <c r="AQ4126" s="10"/>
      <c r="AR4126" s="10"/>
      <c r="AS4126" s="10"/>
      <c r="AT4126" s="10"/>
      <c r="AU4126" s="10"/>
      <c r="AV4126" s="10"/>
      <c r="AW4126" s="10"/>
      <c r="AX4126" s="10"/>
      <c r="AY4126" s="10"/>
      <c r="AZ4126" s="10"/>
    </row>
    <row r="4127" spans="31:52">
      <c r="AE4127" s="10"/>
      <c r="AF4127" s="10"/>
      <c r="AG4127" s="10"/>
      <c r="AH4127" s="10"/>
      <c r="AI4127" s="10"/>
      <c r="AJ4127" s="10"/>
      <c r="AK4127" s="10"/>
      <c r="AL4127" s="10"/>
      <c r="AM4127" s="10"/>
      <c r="AN4127" s="10"/>
      <c r="AO4127" s="10"/>
      <c r="AP4127" s="10"/>
      <c r="AQ4127" s="10"/>
      <c r="AR4127" s="10"/>
      <c r="AS4127" s="10"/>
      <c r="AT4127" s="10"/>
      <c r="AU4127" s="10"/>
      <c r="AV4127" s="10"/>
      <c r="AW4127" s="10"/>
      <c r="AX4127" s="10"/>
      <c r="AY4127" s="10"/>
      <c r="AZ4127" s="10"/>
    </row>
    <row r="4128" spans="31:52">
      <c r="AE4128" s="10"/>
      <c r="AF4128" s="10"/>
      <c r="AG4128" s="10"/>
      <c r="AH4128" s="10"/>
      <c r="AI4128" s="10"/>
      <c r="AJ4128" s="10"/>
      <c r="AK4128" s="10"/>
      <c r="AL4128" s="10"/>
      <c r="AM4128" s="10"/>
      <c r="AN4128" s="10"/>
      <c r="AO4128" s="10"/>
      <c r="AP4128" s="10"/>
      <c r="AQ4128" s="10"/>
      <c r="AR4128" s="10"/>
      <c r="AS4128" s="10"/>
      <c r="AT4128" s="10"/>
      <c r="AU4128" s="10"/>
      <c r="AV4128" s="10"/>
      <c r="AW4128" s="10"/>
      <c r="AX4128" s="10"/>
      <c r="AY4128" s="10"/>
      <c r="AZ4128" s="10"/>
    </row>
    <row r="4129" spans="31:52">
      <c r="AE4129" s="10"/>
      <c r="AF4129" s="10"/>
      <c r="AG4129" s="10"/>
      <c r="AH4129" s="10"/>
      <c r="AI4129" s="10"/>
      <c r="AJ4129" s="10"/>
      <c r="AK4129" s="10"/>
      <c r="AL4129" s="10"/>
      <c r="AM4129" s="10"/>
      <c r="AN4129" s="10"/>
      <c r="AO4129" s="10"/>
      <c r="AP4129" s="10"/>
      <c r="AQ4129" s="10"/>
      <c r="AR4129" s="10"/>
      <c r="AS4129" s="10"/>
      <c r="AT4129" s="10"/>
      <c r="AU4129" s="10"/>
      <c r="AV4129" s="10"/>
      <c r="AW4129" s="10"/>
      <c r="AX4129" s="10"/>
      <c r="AY4129" s="10"/>
      <c r="AZ4129" s="10"/>
    </row>
    <row r="4130" spans="31:52">
      <c r="AE4130" s="10"/>
      <c r="AF4130" s="10"/>
      <c r="AG4130" s="10"/>
      <c r="AH4130" s="10"/>
      <c r="AI4130" s="10"/>
      <c r="AJ4130" s="10"/>
      <c r="AK4130" s="10"/>
      <c r="AL4130" s="10"/>
      <c r="AM4130" s="10"/>
      <c r="AN4130" s="10"/>
      <c r="AO4130" s="10"/>
      <c r="AP4130" s="10"/>
      <c r="AQ4130" s="10"/>
      <c r="AR4130" s="10"/>
      <c r="AS4130" s="10"/>
      <c r="AT4130" s="10"/>
      <c r="AU4130" s="10"/>
      <c r="AV4130" s="10"/>
      <c r="AW4130" s="10"/>
      <c r="AX4130" s="10"/>
      <c r="AY4130" s="10"/>
      <c r="AZ4130" s="10"/>
    </row>
    <row r="4131" spans="31:52">
      <c r="AE4131" s="10"/>
      <c r="AF4131" s="10"/>
      <c r="AG4131" s="10"/>
      <c r="AH4131" s="10"/>
      <c r="AI4131" s="10"/>
      <c r="AJ4131" s="10"/>
      <c r="AK4131" s="10"/>
      <c r="AL4131" s="10"/>
      <c r="AM4131" s="10"/>
      <c r="AN4131" s="10"/>
      <c r="AO4131" s="10"/>
      <c r="AP4131" s="10"/>
      <c r="AQ4131" s="10"/>
      <c r="AR4131" s="10"/>
      <c r="AS4131" s="10"/>
      <c r="AT4131" s="10"/>
      <c r="AU4131" s="10"/>
      <c r="AV4131" s="10"/>
      <c r="AW4131" s="10"/>
      <c r="AX4131" s="10"/>
      <c r="AY4131" s="10"/>
      <c r="AZ4131" s="10"/>
    </row>
    <row r="4132" spans="31:52">
      <c r="AE4132" s="10"/>
      <c r="AF4132" s="10"/>
      <c r="AG4132" s="10"/>
      <c r="AH4132" s="10"/>
      <c r="AI4132" s="10"/>
      <c r="AJ4132" s="10"/>
      <c r="AK4132" s="10"/>
      <c r="AL4132" s="10"/>
      <c r="AM4132" s="10"/>
      <c r="AN4132" s="10"/>
      <c r="AO4132" s="10"/>
      <c r="AP4132" s="10"/>
      <c r="AQ4132" s="10"/>
      <c r="AR4132" s="10"/>
      <c r="AS4132" s="10"/>
      <c r="AT4132" s="10"/>
      <c r="AU4132" s="10"/>
      <c r="AV4132" s="10"/>
      <c r="AW4132" s="10"/>
      <c r="AX4132" s="10"/>
      <c r="AY4132" s="10"/>
      <c r="AZ4132" s="10"/>
    </row>
    <row r="4133" spans="31:52">
      <c r="AE4133" s="10"/>
      <c r="AF4133" s="10"/>
      <c r="AG4133" s="10"/>
      <c r="AH4133" s="10"/>
      <c r="AI4133" s="10"/>
      <c r="AJ4133" s="10"/>
      <c r="AK4133" s="10"/>
      <c r="AL4133" s="10"/>
      <c r="AM4133" s="10"/>
      <c r="AN4133" s="10"/>
      <c r="AO4133" s="10"/>
      <c r="AP4133" s="10"/>
      <c r="AQ4133" s="10"/>
      <c r="AR4133" s="10"/>
      <c r="AS4133" s="10"/>
      <c r="AT4133" s="10"/>
      <c r="AU4133" s="10"/>
      <c r="AV4133" s="10"/>
      <c r="AW4133" s="10"/>
      <c r="AX4133" s="10"/>
      <c r="AY4133" s="10"/>
      <c r="AZ4133" s="10"/>
    </row>
    <row r="4134" spans="31:52">
      <c r="AE4134" s="10"/>
      <c r="AF4134" s="10"/>
      <c r="AG4134" s="10"/>
      <c r="AH4134" s="10"/>
      <c r="AI4134" s="10"/>
      <c r="AJ4134" s="10"/>
      <c r="AK4134" s="10"/>
      <c r="AL4134" s="10"/>
      <c r="AM4134" s="10"/>
      <c r="AN4134" s="10"/>
      <c r="AO4134" s="10"/>
      <c r="AP4134" s="10"/>
      <c r="AQ4134" s="10"/>
      <c r="AR4134" s="10"/>
      <c r="AS4134" s="10"/>
      <c r="AT4134" s="10"/>
      <c r="AU4134" s="10"/>
      <c r="AV4134" s="10"/>
      <c r="AW4134" s="10"/>
      <c r="AX4134" s="10"/>
      <c r="AY4134" s="10"/>
      <c r="AZ4134" s="10"/>
    </row>
    <row r="4135" spans="31:52">
      <c r="AE4135" s="10"/>
      <c r="AF4135" s="10"/>
      <c r="AG4135" s="10"/>
      <c r="AH4135" s="10"/>
      <c r="AI4135" s="10"/>
      <c r="AJ4135" s="10"/>
      <c r="AK4135" s="10"/>
      <c r="AL4135" s="10"/>
      <c r="AM4135" s="10"/>
      <c r="AN4135" s="10"/>
      <c r="AO4135" s="10"/>
      <c r="AP4135" s="10"/>
      <c r="AQ4135" s="10"/>
      <c r="AR4135" s="10"/>
      <c r="AS4135" s="10"/>
      <c r="AT4135" s="10"/>
      <c r="AU4135" s="10"/>
      <c r="AV4135" s="10"/>
      <c r="AW4135" s="10"/>
      <c r="AX4135" s="10"/>
      <c r="AY4135" s="10"/>
      <c r="AZ4135" s="10"/>
    </row>
    <row r="4136" spans="31:52">
      <c r="AE4136" s="10"/>
      <c r="AF4136" s="10"/>
      <c r="AG4136" s="10"/>
      <c r="AH4136" s="10"/>
      <c r="AI4136" s="10"/>
      <c r="AJ4136" s="10"/>
      <c r="AK4136" s="10"/>
      <c r="AL4136" s="10"/>
      <c r="AM4136" s="10"/>
      <c r="AN4136" s="10"/>
      <c r="AO4136" s="10"/>
      <c r="AP4136" s="10"/>
      <c r="AQ4136" s="10"/>
      <c r="AR4136" s="10"/>
      <c r="AS4136" s="10"/>
      <c r="AT4136" s="10"/>
      <c r="AU4136" s="10"/>
      <c r="AV4136" s="10"/>
      <c r="AW4136" s="10"/>
      <c r="AX4136" s="10"/>
      <c r="AY4136" s="10"/>
      <c r="AZ4136" s="10"/>
    </row>
    <row r="4137" spans="31:52">
      <c r="AE4137" s="10"/>
      <c r="AF4137" s="10"/>
      <c r="AG4137" s="10"/>
      <c r="AH4137" s="10"/>
      <c r="AI4137" s="10"/>
      <c r="AJ4137" s="10"/>
      <c r="AK4137" s="10"/>
      <c r="AL4137" s="10"/>
      <c r="AM4137" s="10"/>
      <c r="AN4137" s="10"/>
      <c r="AO4137" s="10"/>
      <c r="AP4137" s="10"/>
      <c r="AQ4137" s="10"/>
      <c r="AR4137" s="10"/>
      <c r="AS4137" s="10"/>
      <c r="AT4137" s="10"/>
      <c r="AU4137" s="10"/>
      <c r="AV4137" s="10"/>
      <c r="AW4137" s="10"/>
      <c r="AX4137" s="10"/>
      <c r="AY4137" s="10"/>
      <c r="AZ4137" s="10"/>
    </row>
    <row r="4138" spans="31:52">
      <c r="AE4138" s="10"/>
      <c r="AF4138" s="10"/>
      <c r="AG4138" s="10"/>
      <c r="AH4138" s="10"/>
      <c r="AI4138" s="10"/>
      <c r="AJ4138" s="10"/>
      <c r="AK4138" s="10"/>
      <c r="AL4138" s="10"/>
      <c r="AM4138" s="10"/>
      <c r="AN4138" s="10"/>
      <c r="AO4138" s="10"/>
      <c r="AP4138" s="10"/>
      <c r="AQ4138" s="10"/>
      <c r="AR4138" s="10"/>
      <c r="AS4138" s="10"/>
      <c r="AT4138" s="10"/>
      <c r="AU4138" s="10"/>
      <c r="AV4138" s="10"/>
      <c r="AW4138" s="10"/>
      <c r="AX4138" s="10"/>
      <c r="AY4138" s="10"/>
      <c r="AZ4138" s="10"/>
    </row>
    <row r="4139" spans="31:52">
      <c r="AE4139" s="10"/>
      <c r="AF4139" s="10"/>
      <c r="AG4139" s="10"/>
      <c r="AH4139" s="10"/>
      <c r="AI4139" s="10"/>
      <c r="AJ4139" s="10"/>
      <c r="AK4139" s="10"/>
      <c r="AL4139" s="10"/>
      <c r="AM4139" s="10"/>
      <c r="AN4139" s="10"/>
      <c r="AO4139" s="10"/>
      <c r="AP4139" s="10"/>
      <c r="AQ4139" s="10"/>
      <c r="AR4139" s="10"/>
      <c r="AS4139" s="10"/>
      <c r="AT4139" s="10"/>
      <c r="AU4139" s="10"/>
      <c r="AV4139" s="10"/>
      <c r="AW4139" s="10"/>
      <c r="AX4139" s="10"/>
      <c r="AY4139" s="10"/>
      <c r="AZ4139" s="10"/>
    </row>
    <row r="4140" spans="31:52">
      <c r="AE4140" s="10"/>
      <c r="AF4140" s="10"/>
      <c r="AG4140" s="10"/>
      <c r="AH4140" s="10"/>
      <c r="AI4140" s="10"/>
      <c r="AJ4140" s="10"/>
      <c r="AK4140" s="10"/>
      <c r="AL4140" s="10"/>
      <c r="AM4140" s="10"/>
      <c r="AN4140" s="10"/>
      <c r="AO4140" s="10"/>
      <c r="AP4140" s="10"/>
      <c r="AQ4140" s="10"/>
      <c r="AR4140" s="10"/>
      <c r="AS4140" s="10"/>
      <c r="AT4140" s="10"/>
      <c r="AU4140" s="10"/>
      <c r="AV4140" s="10"/>
      <c r="AW4140" s="10"/>
      <c r="AX4140" s="10"/>
      <c r="AY4140" s="10"/>
      <c r="AZ4140" s="10"/>
    </row>
    <row r="4141" spans="31:52">
      <c r="AE4141" s="10"/>
      <c r="AF4141" s="10"/>
      <c r="AG4141" s="10"/>
      <c r="AH4141" s="10"/>
      <c r="AI4141" s="10"/>
      <c r="AJ4141" s="10"/>
      <c r="AK4141" s="10"/>
      <c r="AL4141" s="10"/>
      <c r="AM4141" s="10"/>
      <c r="AN4141" s="10"/>
      <c r="AO4141" s="10"/>
      <c r="AP4141" s="10"/>
      <c r="AQ4141" s="10"/>
      <c r="AR4141" s="10"/>
      <c r="AS4141" s="10"/>
      <c r="AT4141" s="10"/>
      <c r="AU4141" s="10"/>
      <c r="AV4141" s="10"/>
      <c r="AW4141" s="10"/>
      <c r="AX4141" s="10"/>
      <c r="AY4141" s="10"/>
      <c r="AZ4141" s="10"/>
    </row>
    <row r="4142" spans="31:52">
      <c r="AE4142" s="10"/>
      <c r="AF4142" s="10"/>
      <c r="AG4142" s="10"/>
      <c r="AH4142" s="10"/>
      <c r="AI4142" s="10"/>
      <c r="AJ4142" s="10"/>
      <c r="AK4142" s="10"/>
      <c r="AL4142" s="10"/>
      <c r="AM4142" s="10"/>
      <c r="AN4142" s="10"/>
      <c r="AO4142" s="10"/>
      <c r="AP4142" s="10"/>
      <c r="AQ4142" s="10"/>
      <c r="AR4142" s="10"/>
      <c r="AS4142" s="10"/>
      <c r="AT4142" s="10"/>
      <c r="AU4142" s="10"/>
      <c r="AV4142" s="10"/>
      <c r="AW4142" s="10"/>
      <c r="AX4142" s="10"/>
      <c r="AY4142" s="10"/>
      <c r="AZ4142" s="10"/>
    </row>
    <row r="4143" spans="31:52">
      <c r="AE4143" s="10"/>
      <c r="AF4143" s="10"/>
      <c r="AG4143" s="10"/>
      <c r="AH4143" s="10"/>
      <c r="AI4143" s="10"/>
      <c r="AJ4143" s="10"/>
      <c r="AK4143" s="10"/>
      <c r="AL4143" s="10"/>
      <c r="AM4143" s="10"/>
      <c r="AN4143" s="10"/>
      <c r="AO4143" s="10"/>
      <c r="AP4143" s="10"/>
      <c r="AQ4143" s="10"/>
      <c r="AR4143" s="10"/>
      <c r="AS4143" s="10"/>
      <c r="AT4143" s="10"/>
      <c r="AU4143" s="10"/>
      <c r="AV4143" s="10"/>
      <c r="AW4143" s="10"/>
      <c r="AX4143" s="10"/>
      <c r="AY4143" s="10"/>
      <c r="AZ4143" s="10"/>
    </row>
    <row r="4144" spans="31:52">
      <c r="AE4144" s="10"/>
      <c r="AF4144" s="10"/>
      <c r="AG4144" s="10"/>
      <c r="AH4144" s="10"/>
      <c r="AI4144" s="10"/>
      <c r="AJ4144" s="10"/>
      <c r="AK4144" s="10"/>
      <c r="AL4144" s="10"/>
      <c r="AM4144" s="10"/>
      <c r="AN4144" s="10"/>
      <c r="AO4144" s="10"/>
      <c r="AP4144" s="10"/>
      <c r="AQ4144" s="10"/>
      <c r="AR4144" s="10"/>
      <c r="AS4144" s="10"/>
      <c r="AT4144" s="10"/>
      <c r="AU4144" s="10"/>
      <c r="AV4144" s="10"/>
      <c r="AW4144" s="10"/>
      <c r="AX4144" s="10"/>
      <c r="AY4144" s="10"/>
      <c r="AZ4144" s="10"/>
    </row>
    <row r="4145" spans="31:52">
      <c r="AE4145" s="10"/>
      <c r="AF4145" s="10"/>
      <c r="AG4145" s="10"/>
      <c r="AH4145" s="10"/>
      <c r="AI4145" s="10"/>
      <c r="AJ4145" s="10"/>
      <c r="AK4145" s="10"/>
      <c r="AL4145" s="10"/>
      <c r="AM4145" s="10"/>
      <c r="AN4145" s="10"/>
      <c r="AO4145" s="10"/>
      <c r="AP4145" s="10"/>
      <c r="AQ4145" s="10"/>
      <c r="AR4145" s="10"/>
      <c r="AS4145" s="10"/>
      <c r="AT4145" s="10"/>
      <c r="AU4145" s="10"/>
      <c r="AV4145" s="10"/>
      <c r="AW4145" s="10"/>
      <c r="AX4145" s="10"/>
      <c r="AY4145" s="10"/>
      <c r="AZ4145" s="10"/>
    </row>
    <row r="4146" spans="31:52">
      <c r="AE4146" s="10"/>
      <c r="AF4146" s="10"/>
      <c r="AG4146" s="10"/>
      <c r="AH4146" s="10"/>
      <c r="AI4146" s="10"/>
      <c r="AJ4146" s="10"/>
      <c r="AK4146" s="10"/>
      <c r="AL4146" s="10"/>
      <c r="AM4146" s="10"/>
      <c r="AN4146" s="10"/>
      <c r="AO4146" s="10"/>
      <c r="AP4146" s="10"/>
      <c r="AQ4146" s="10"/>
      <c r="AR4146" s="10"/>
      <c r="AS4146" s="10"/>
      <c r="AT4146" s="10"/>
      <c r="AU4146" s="10"/>
      <c r="AV4146" s="10"/>
      <c r="AW4146" s="10"/>
      <c r="AX4146" s="10"/>
      <c r="AY4146" s="10"/>
      <c r="AZ4146" s="10"/>
    </row>
    <row r="4147" spans="31:52">
      <c r="AE4147" s="10"/>
      <c r="AF4147" s="10"/>
      <c r="AG4147" s="10"/>
      <c r="AH4147" s="10"/>
      <c r="AI4147" s="10"/>
      <c r="AJ4147" s="10"/>
      <c r="AK4147" s="10"/>
      <c r="AL4147" s="10"/>
      <c r="AM4147" s="10"/>
      <c r="AN4147" s="10"/>
      <c r="AO4147" s="10"/>
      <c r="AP4147" s="10"/>
      <c r="AQ4147" s="10"/>
      <c r="AR4147" s="10"/>
      <c r="AS4147" s="10"/>
      <c r="AT4147" s="10"/>
      <c r="AU4147" s="10"/>
      <c r="AV4147" s="10"/>
      <c r="AW4147" s="10"/>
      <c r="AX4147" s="10"/>
      <c r="AY4147" s="10"/>
      <c r="AZ4147" s="10"/>
    </row>
    <row r="4148" spans="31:52">
      <c r="AE4148" s="10"/>
      <c r="AF4148" s="10"/>
      <c r="AG4148" s="10"/>
      <c r="AH4148" s="10"/>
      <c r="AI4148" s="10"/>
      <c r="AJ4148" s="10"/>
      <c r="AK4148" s="10"/>
      <c r="AL4148" s="10"/>
      <c r="AM4148" s="10"/>
      <c r="AN4148" s="10"/>
      <c r="AO4148" s="10"/>
      <c r="AP4148" s="10"/>
      <c r="AQ4148" s="10"/>
      <c r="AR4148" s="10"/>
      <c r="AS4148" s="10"/>
      <c r="AT4148" s="10"/>
      <c r="AU4148" s="10"/>
      <c r="AV4148" s="10"/>
      <c r="AW4148" s="10"/>
      <c r="AX4148" s="10"/>
      <c r="AY4148" s="10"/>
      <c r="AZ4148" s="10"/>
    </row>
    <row r="4149" spans="31:52">
      <c r="AE4149" s="10"/>
      <c r="AF4149" s="10"/>
      <c r="AG4149" s="10"/>
      <c r="AH4149" s="10"/>
      <c r="AI4149" s="10"/>
      <c r="AJ4149" s="10"/>
      <c r="AK4149" s="10"/>
      <c r="AL4149" s="10"/>
      <c r="AM4149" s="10"/>
      <c r="AN4149" s="10"/>
      <c r="AO4149" s="10"/>
      <c r="AP4149" s="10"/>
      <c r="AQ4149" s="10"/>
      <c r="AR4149" s="10"/>
      <c r="AS4149" s="10"/>
      <c r="AT4149" s="10"/>
      <c r="AU4149" s="10"/>
      <c r="AV4149" s="10"/>
      <c r="AW4149" s="10"/>
      <c r="AX4149" s="10"/>
      <c r="AY4149" s="10"/>
      <c r="AZ4149" s="10"/>
    </row>
    <row r="4150" spans="31:52">
      <c r="AE4150" s="10"/>
      <c r="AF4150" s="10"/>
      <c r="AG4150" s="10"/>
      <c r="AH4150" s="10"/>
      <c r="AI4150" s="10"/>
      <c r="AJ4150" s="10"/>
      <c r="AK4150" s="10"/>
      <c r="AL4150" s="10"/>
      <c r="AM4150" s="10"/>
      <c r="AN4150" s="10"/>
      <c r="AO4150" s="10"/>
      <c r="AP4150" s="10"/>
      <c r="AQ4150" s="10"/>
      <c r="AR4150" s="10"/>
      <c r="AS4150" s="10"/>
      <c r="AT4150" s="10"/>
      <c r="AU4150" s="10"/>
      <c r="AV4150" s="10"/>
      <c r="AW4150" s="10"/>
      <c r="AX4150" s="10"/>
      <c r="AY4150" s="10"/>
      <c r="AZ4150" s="10"/>
    </row>
    <row r="4151" spans="31:52">
      <c r="AE4151" s="10"/>
      <c r="AF4151" s="10"/>
      <c r="AG4151" s="10"/>
      <c r="AH4151" s="10"/>
      <c r="AI4151" s="10"/>
      <c r="AJ4151" s="10"/>
      <c r="AK4151" s="10"/>
      <c r="AL4151" s="10"/>
      <c r="AM4151" s="10"/>
      <c r="AN4151" s="10"/>
      <c r="AO4151" s="10"/>
      <c r="AP4151" s="10"/>
      <c r="AQ4151" s="10"/>
      <c r="AR4151" s="10"/>
      <c r="AS4151" s="10"/>
      <c r="AT4151" s="10"/>
      <c r="AU4151" s="10"/>
      <c r="AV4151" s="10"/>
      <c r="AW4151" s="10"/>
      <c r="AX4151" s="10"/>
      <c r="AY4151" s="10"/>
      <c r="AZ4151" s="10"/>
    </row>
    <row r="4152" spans="31:52">
      <c r="AE4152" s="10"/>
      <c r="AF4152" s="10"/>
      <c r="AG4152" s="10"/>
      <c r="AH4152" s="10"/>
      <c r="AI4152" s="10"/>
      <c r="AJ4152" s="10"/>
      <c r="AK4152" s="10"/>
      <c r="AL4152" s="10"/>
      <c r="AM4152" s="10"/>
      <c r="AN4152" s="10"/>
      <c r="AO4152" s="10"/>
      <c r="AP4152" s="10"/>
      <c r="AQ4152" s="10"/>
      <c r="AR4152" s="10"/>
      <c r="AS4152" s="10"/>
      <c r="AT4152" s="10"/>
      <c r="AU4152" s="10"/>
      <c r="AV4152" s="10"/>
      <c r="AW4152" s="10"/>
      <c r="AX4152" s="10"/>
      <c r="AY4152" s="10"/>
      <c r="AZ4152" s="10"/>
    </row>
    <row r="4153" spans="31:52">
      <c r="AE4153" s="10"/>
      <c r="AF4153" s="10"/>
      <c r="AG4153" s="10"/>
      <c r="AH4153" s="10"/>
      <c r="AI4153" s="10"/>
      <c r="AJ4153" s="10"/>
      <c r="AK4153" s="10"/>
      <c r="AL4153" s="10"/>
      <c r="AM4153" s="10"/>
      <c r="AN4153" s="10"/>
      <c r="AO4153" s="10"/>
      <c r="AP4153" s="10"/>
      <c r="AQ4153" s="10"/>
      <c r="AR4153" s="10"/>
      <c r="AS4153" s="10"/>
      <c r="AT4153" s="10"/>
      <c r="AU4153" s="10"/>
      <c r="AV4153" s="10"/>
      <c r="AW4153" s="10"/>
      <c r="AX4153" s="10"/>
      <c r="AY4153" s="10"/>
      <c r="AZ4153" s="10"/>
    </row>
    <row r="4154" spans="31:52">
      <c r="AE4154" s="10"/>
      <c r="AF4154" s="10"/>
      <c r="AG4154" s="10"/>
      <c r="AH4154" s="10"/>
      <c r="AI4154" s="10"/>
      <c r="AJ4154" s="10"/>
      <c r="AK4154" s="10"/>
      <c r="AL4154" s="10"/>
      <c r="AM4154" s="10"/>
      <c r="AN4154" s="10"/>
      <c r="AO4154" s="10"/>
      <c r="AP4154" s="10"/>
      <c r="AQ4154" s="10"/>
      <c r="AR4154" s="10"/>
      <c r="AS4154" s="10"/>
      <c r="AT4154" s="10"/>
      <c r="AU4154" s="10"/>
      <c r="AV4154" s="10"/>
      <c r="AW4154" s="10"/>
      <c r="AX4154" s="10"/>
      <c r="AY4154" s="10"/>
      <c r="AZ4154" s="10"/>
    </row>
    <row r="4155" spans="31:52">
      <c r="AE4155" s="10"/>
      <c r="AF4155" s="10"/>
      <c r="AG4155" s="10"/>
      <c r="AH4155" s="10"/>
      <c r="AI4155" s="10"/>
      <c r="AJ4155" s="10"/>
      <c r="AK4155" s="10"/>
      <c r="AL4155" s="10"/>
      <c r="AM4155" s="10"/>
      <c r="AN4155" s="10"/>
      <c r="AO4155" s="10"/>
      <c r="AP4155" s="10"/>
      <c r="AQ4155" s="10"/>
      <c r="AR4155" s="10"/>
      <c r="AS4155" s="10"/>
      <c r="AT4155" s="10"/>
      <c r="AU4155" s="10"/>
      <c r="AV4155" s="10"/>
      <c r="AW4155" s="10"/>
      <c r="AX4155" s="10"/>
      <c r="AY4155" s="10"/>
      <c r="AZ4155" s="10"/>
    </row>
    <row r="4156" spans="31:52">
      <c r="AE4156" s="10"/>
      <c r="AF4156" s="10"/>
      <c r="AG4156" s="10"/>
      <c r="AH4156" s="10"/>
      <c r="AI4156" s="10"/>
      <c r="AJ4156" s="10"/>
      <c r="AK4156" s="10"/>
      <c r="AL4156" s="10"/>
      <c r="AM4156" s="10"/>
      <c r="AN4156" s="10"/>
      <c r="AO4156" s="10"/>
      <c r="AP4156" s="10"/>
      <c r="AQ4156" s="10"/>
      <c r="AR4156" s="10"/>
      <c r="AS4156" s="10"/>
      <c r="AT4156" s="10"/>
      <c r="AU4156" s="10"/>
      <c r="AV4156" s="10"/>
      <c r="AW4156" s="10"/>
      <c r="AX4156" s="10"/>
      <c r="AY4156" s="10"/>
      <c r="AZ4156" s="10"/>
    </row>
    <row r="4157" spans="31:52">
      <c r="AE4157" s="10"/>
      <c r="AF4157" s="10"/>
      <c r="AG4157" s="10"/>
      <c r="AH4157" s="10"/>
      <c r="AI4157" s="10"/>
      <c r="AJ4157" s="10"/>
      <c r="AK4157" s="10"/>
      <c r="AL4157" s="10"/>
      <c r="AM4157" s="10"/>
      <c r="AN4157" s="10"/>
      <c r="AO4157" s="10"/>
      <c r="AP4157" s="10"/>
      <c r="AQ4157" s="10"/>
      <c r="AR4157" s="10"/>
      <c r="AS4157" s="10"/>
      <c r="AT4157" s="10"/>
      <c r="AU4157" s="10"/>
      <c r="AV4157" s="10"/>
      <c r="AW4157" s="10"/>
      <c r="AX4157" s="10"/>
      <c r="AY4157" s="10"/>
      <c r="AZ4157" s="10"/>
    </row>
    <row r="4158" spans="31:52">
      <c r="AE4158" s="10"/>
      <c r="AF4158" s="10"/>
      <c r="AG4158" s="10"/>
      <c r="AH4158" s="10"/>
      <c r="AI4158" s="10"/>
      <c r="AJ4158" s="10"/>
      <c r="AK4158" s="10"/>
      <c r="AL4158" s="10"/>
      <c r="AM4158" s="10"/>
      <c r="AN4158" s="10"/>
      <c r="AO4158" s="10"/>
      <c r="AP4158" s="10"/>
      <c r="AQ4158" s="10"/>
      <c r="AR4158" s="10"/>
      <c r="AS4158" s="10"/>
      <c r="AT4158" s="10"/>
      <c r="AU4158" s="10"/>
      <c r="AV4158" s="10"/>
      <c r="AW4158" s="10"/>
      <c r="AX4158" s="10"/>
      <c r="AY4158" s="10"/>
      <c r="AZ4158" s="10"/>
    </row>
    <row r="4159" spans="31:52">
      <c r="AE4159" s="10"/>
      <c r="AF4159" s="10"/>
      <c r="AG4159" s="10"/>
      <c r="AH4159" s="10"/>
      <c r="AI4159" s="10"/>
      <c r="AJ4159" s="10"/>
      <c r="AK4159" s="10"/>
      <c r="AL4159" s="10"/>
      <c r="AM4159" s="10"/>
      <c r="AN4159" s="10"/>
      <c r="AO4159" s="10"/>
      <c r="AP4159" s="10"/>
      <c r="AQ4159" s="10"/>
      <c r="AR4159" s="10"/>
      <c r="AS4159" s="10"/>
      <c r="AT4159" s="10"/>
      <c r="AU4159" s="10"/>
      <c r="AV4159" s="10"/>
      <c r="AW4159" s="10"/>
      <c r="AX4159" s="10"/>
      <c r="AY4159" s="10"/>
      <c r="AZ4159" s="10"/>
    </row>
    <row r="4160" spans="31:52">
      <c r="AE4160" s="10"/>
      <c r="AF4160" s="10"/>
      <c r="AG4160" s="10"/>
      <c r="AH4160" s="10"/>
      <c r="AI4160" s="10"/>
      <c r="AJ4160" s="10"/>
      <c r="AK4160" s="10"/>
      <c r="AL4160" s="10"/>
      <c r="AM4160" s="10"/>
      <c r="AN4160" s="10"/>
      <c r="AO4160" s="10"/>
      <c r="AP4160" s="10"/>
      <c r="AQ4160" s="10"/>
      <c r="AR4160" s="10"/>
      <c r="AS4160" s="10"/>
      <c r="AT4160" s="10"/>
      <c r="AU4160" s="10"/>
      <c r="AV4160" s="10"/>
      <c r="AW4160" s="10"/>
      <c r="AX4160" s="10"/>
      <c r="AY4160" s="10"/>
      <c r="AZ4160" s="10"/>
    </row>
    <row r="4161" spans="31:52">
      <c r="AE4161" s="10"/>
      <c r="AF4161" s="10"/>
      <c r="AG4161" s="10"/>
      <c r="AH4161" s="10"/>
      <c r="AI4161" s="10"/>
      <c r="AJ4161" s="10"/>
      <c r="AK4161" s="10"/>
      <c r="AL4161" s="10"/>
      <c r="AM4161" s="10"/>
      <c r="AN4161" s="10"/>
      <c r="AO4161" s="10"/>
      <c r="AP4161" s="10"/>
      <c r="AQ4161" s="10"/>
      <c r="AR4161" s="10"/>
      <c r="AS4161" s="10"/>
      <c r="AT4161" s="10"/>
      <c r="AU4161" s="10"/>
      <c r="AV4161" s="10"/>
      <c r="AW4161" s="10"/>
      <c r="AX4161" s="10"/>
      <c r="AY4161" s="10"/>
      <c r="AZ4161" s="10"/>
    </row>
    <row r="4162" spans="31:52">
      <c r="AE4162" s="10"/>
      <c r="AF4162" s="10"/>
      <c r="AG4162" s="10"/>
      <c r="AH4162" s="10"/>
      <c r="AI4162" s="10"/>
      <c r="AJ4162" s="10"/>
      <c r="AK4162" s="10"/>
      <c r="AL4162" s="10"/>
      <c r="AM4162" s="10"/>
      <c r="AN4162" s="10"/>
      <c r="AO4162" s="10"/>
      <c r="AP4162" s="10"/>
      <c r="AQ4162" s="10"/>
      <c r="AR4162" s="10"/>
      <c r="AS4162" s="10"/>
      <c r="AT4162" s="10"/>
      <c r="AU4162" s="10"/>
      <c r="AV4162" s="10"/>
      <c r="AW4162" s="10"/>
      <c r="AX4162" s="10"/>
      <c r="AY4162" s="10"/>
      <c r="AZ4162" s="10"/>
    </row>
    <row r="4163" spans="31:52">
      <c r="AE4163" s="10"/>
      <c r="AF4163" s="10"/>
      <c r="AG4163" s="10"/>
      <c r="AH4163" s="10"/>
      <c r="AI4163" s="10"/>
      <c r="AJ4163" s="10"/>
      <c r="AK4163" s="10"/>
      <c r="AL4163" s="10"/>
      <c r="AM4163" s="10"/>
      <c r="AN4163" s="10"/>
      <c r="AO4163" s="10"/>
      <c r="AP4163" s="10"/>
      <c r="AQ4163" s="10"/>
      <c r="AR4163" s="10"/>
      <c r="AS4163" s="10"/>
      <c r="AT4163" s="10"/>
      <c r="AU4163" s="10"/>
      <c r="AV4163" s="10"/>
      <c r="AW4163" s="10"/>
      <c r="AX4163" s="10"/>
      <c r="AY4163" s="10"/>
      <c r="AZ4163" s="10"/>
    </row>
    <row r="4164" spans="31:52">
      <c r="AE4164" s="10"/>
      <c r="AF4164" s="10"/>
      <c r="AG4164" s="10"/>
      <c r="AH4164" s="10"/>
      <c r="AI4164" s="10"/>
      <c r="AJ4164" s="10"/>
      <c r="AK4164" s="10"/>
      <c r="AL4164" s="10"/>
      <c r="AM4164" s="10"/>
      <c r="AN4164" s="10"/>
      <c r="AO4164" s="10"/>
      <c r="AP4164" s="10"/>
      <c r="AQ4164" s="10"/>
      <c r="AR4164" s="10"/>
      <c r="AS4164" s="10"/>
      <c r="AT4164" s="10"/>
      <c r="AU4164" s="10"/>
      <c r="AV4164" s="10"/>
      <c r="AW4164" s="10"/>
      <c r="AX4164" s="10"/>
      <c r="AY4164" s="10"/>
      <c r="AZ4164" s="10"/>
    </row>
    <row r="4165" spans="31:52">
      <c r="AE4165" s="10"/>
      <c r="AF4165" s="10"/>
      <c r="AG4165" s="10"/>
      <c r="AH4165" s="10"/>
      <c r="AI4165" s="10"/>
      <c r="AJ4165" s="10"/>
      <c r="AK4165" s="10"/>
      <c r="AL4165" s="10"/>
      <c r="AM4165" s="10"/>
      <c r="AN4165" s="10"/>
      <c r="AO4165" s="10"/>
      <c r="AP4165" s="10"/>
      <c r="AQ4165" s="10"/>
      <c r="AR4165" s="10"/>
      <c r="AS4165" s="10"/>
      <c r="AT4165" s="10"/>
      <c r="AU4165" s="10"/>
      <c r="AV4165" s="10"/>
      <c r="AW4165" s="10"/>
      <c r="AX4165" s="10"/>
      <c r="AY4165" s="10"/>
      <c r="AZ4165" s="10"/>
    </row>
    <row r="4166" spans="31:52">
      <c r="AE4166" s="10"/>
      <c r="AF4166" s="10"/>
      <c r="AG4166" s="10"/>
      <c r="AH4166" s="10"/>
      <c r="AI4166" s="10"/>
      <c r="AJ4166" s="10"/>
      <c r="AK4166" s="10"/>
      <c r="AL4166" s="10"/>
      <c r="AM4166" s="10"/>
      <c r="AN4166" s="10"/>
      <c r="AO4166" s="10"/>
      <c r="AP4166" s="10"/>
      <c r="AQ4166" s="10"/>
      <c r="AR4166" s="10"/>
      <c r="AS4166" s="10"/>
      <c r="AT4166" s="10"/>
      <c r="AU4166" s="10"/>
      <c r="AV4166" s="10"/>
      <c r="AW4166" s="10"/>
      <c r="AX4166" s="10"/>
      <c r="AY4166" s="10"/>
      <c r="AZ4166" s="10"/>
    </row>
    <row r="4167" spans="31:52">
      <c r="AE4167" s="10"/>
      <c r="AF4167" s="10"/>
      <c r="AG4167" s="10"/>
      <c r="AH4167" s="10"/>
      <c r="AI4167" s="10"/>
      <c r="AJ4167" s="10"/>
      <c r="AK4167" s="10"/>
      <c r="AL4167" s="10"/>
      <c r="AM4167" s="10"/>
      <c r="AN4167" s="10"/>
      <c r="AO4167" s="10"/>
      <c r="AP4167" s="10"/>
      <c r="AQ4167" s="10"/>
      <c r="AR4167" s="10"/>
      <c r="AS4167" s="10"/>
      <c r="AT4167" s="10"/>
      <c r="AU4167" s="10"/>
      <c r="AV4167" s="10"/>
      <c r="AW4167" s="10"/>
      <c r="AX4167" s="10"/>
      <c r="AY4167" s="10"/>
      <c r="AZ4167" s="10"/>
    </row>
    <row r="4168" spans="31:52">
      <c r="AE4168" s="10"/>
      <c r="AF4168" s="10"/>
      <c r="AG4168" s="10"/>
      <c r="AH4168" s="10"/>
      <c r="AI4168" s="10"/>
      <c r="AJ4168" s="10"/>
      <c r="AK4168" s="10"/>
      <c r="AL4168" s="10"/>
      <c r="AM4168" s="10"/>
      <c r="AN4168" s="10"/>
      <c r="AO4168" s="10"/>
      <c r="AP4168" s="10"/>
      <c r="AQ4168" s="10"/>
      <c r="AR4168" s="10"/>
      <c r="AS4168" s="10"/>
      <c r="AT4168" s="10"/>
      <c r="AU4168" s="10"/>
      <c r="AV4168" s="10"/>
      <c r="AW4168" s="10"/>
      <c r="AX4168" s="10"/>
      <c r="AY4168" s="10"/>
      <c r="AZ4168" s="10"/>
    </row>
    <row r="4169" spans="31:52">
      <c r="AE4169" s="10"/>
      <c r="AF4169" s="10"/>
      <c r="AG4169" s="10"/>
      <c r="AH4169" s="10"/>
      <c r="AI4169" s="10"/>
      <c r="AJ4169" s="10"/>
      <c r="AK4169" s="10"/>
      <c r="AL4169" s="10"/>
      <c r="AM4169" s="10"/>
      <c r="AN4169" s="10"/>
      <c r="AO4169" s="10"/>
      <c r="AP4169" s="10"/>
      <c r="AQ4169" s="10"/>
      <c r="AR4169" s="10"/>
      <c r="AS4169" s="10"/>
      <c r="AT4169" s="10"/>
      <c r="AU4169" s="10"/>
      <c r="AV4169" s="10"/>
      <c r="AW4169" s="10"/>
      <c r="AX4169" s="10"/>
      <c r="AY4169" s="10"/>
      <c r="AZ4169" s="10"/>
    </row>
    <row r="4170" spans="31:52">
      <c r="AE4170" s="10"/>
      <c r="AF4170" s="10"/>
      <c r="AG4170" s="10"/>
      <c r="AH4170" s="10"/>
      <c r="AI4170" s="10"/>
      <c r="AJ4170" s="10"/>
      <c r="AK4170" s="10"/>
      <c r="AL4170" s="10"/>
      <c r="AM4170" s="10"/>
      <c r="AN4170" s="10"/>
      <c r="AO4170" s="10"/>
      <c r="AP4170" s="10"/>
      <c r="AQ4170" s="10"/>
      <c r="AR4170" s="10"/>
      <c r="AS4170" s="10"/>
      <c r="AT4170" s="10"/>
      <c r="AU4170" s="10"/>
      <c r="AV4170" s="10"/>
      <c r="AW4170" s="10"/>
      <c r="AX4170" s="10"/>
      <c r="AY4170" s="10"/>
      <c r="AZ4170" s="10"/>
    </row>
    <row r="4171" spans="31:52">
      <c r="AE4171" s="10"/>
      <c r="AF4171" s="10"/>
      <c r="AG4171" s="10"/>
      <c r="AH4171" s="10"/>
      <c r="AI4171" s="10"/>
      <c r="AJ4171" s="10"/>
      <c r="AK4171" s="10"/>
      <c r="AL4171" s="10"/>
      <c r="AM4171" s="10"/>
      <c r="AN4171" s="10"/>
      <c r="AO4171" s="10"/>
      <c r="AP4171" s="10"/>
      <c r="AQ4171" s="10"/>
      <c r="AR4171" s="10"/>
      <c r="AS4171" s="10"/>
      <c r="AT4171" s="10"/>
      <c r="AU4171" s="10"/>
      <c r="AV4171" s="10"/>
      <c r="AW4171" s="10"/>
      <c r="AX4171" s="10"/>
      <c r="AY4171" s="10"/>
      <c r="AZ4171" s="10"/>
    </row>
    <row r="4172" spans="31:52">
      <c r="AE4172" s="10"/>
      <c r="AF4172" s="10"/>
      <c r="AG4172" s="10"/>
      <c r="AH4172" s="10"/>
      <c r="AI4172" s="10"/>
      <c r="AJ4172" s="10"/>
      <c r="AK4172" s="10"/>
      <c r="AL4172" s="10"/>
      <c r="AM4172" s="10"/>
      <c r="AN4172" s="10"/>
      <c r="AO4172" s="10"/>
      <c r="AP4172" s="10"/>
      <c r="AQ4172" s="10"/>
      <c r="AR4172" s="10"/>
      <c r="AS4172" s="10"/>
      <c r="AT4172" s="10"/>
      <c r="AU4172" s="10"/>
      <c r="AV4172" s="10"/>
      <c r="AW4172" s="10"/>
      <c r="AX4172" s="10"/>
      <c r="AY4172" s="10"/>
      <c r="AZ4172" s="10"/>
    </row>
    <row r="4173" spans="31:52">
      <c r="AE4173" s="10"/>
      <c r="AF4173" s="10"/>
      <c r="AG4173" s="10"/>
      <c r="AH4173" s="10"/>
      <c r="AI4173" s="10"/>
      <c r="AJ4173" s="10"/>
      <c r="AK4173" s="10"/>
      <c r="AL4173" s="10"/>
      <c r="AM4173" s="10"/>
      <c r="AN4173" s="10"/>
      <c r="AO4173" s="10"/>
      <c r="AP4173" s="10"/>
      <c r="AQ4173" s="10"/>
      <c r="AR4173" s="10"/>
      <c r="AS4173" s="10"/>
      <c r="AT4173" s="10"/>
      <c r="AU4173" s="10"/>
      <c r="AV4173" s="10"/>
      <c r="AW4173" s="10"/>
      <c r="AX4173" s="10"/>
      <c r="AY4173" s="10"/>
      <c r="AZ4173" s="10"/>
    </row>
    <row r="4174" spans="31:52">
      <c r="AE4174" s="10"/>
      <c r="AF4174" s="10"/>
      <c r="AG4174" s="10"/>
      <c r="AH4174" s="10"/>
      <c r="AI4174" s="10"/>
      <c r="AJ4174" s="10"/>
      <c r="AK4174" s="10"/>
      <c r="AL4174" s="10"/>
      <c r="AM4174" s="10"/>
      <c r="AN4174" s="10"/>
      <c r="AO4174" s="10"/>
      <c r="AP4174" s="10"/>
      <c r="AQ4174" s="10"/>
      <c r="AR4174" s="10"/>
      <c r="AS4174" s="10"/>
      <c r="AT4174" s="10"/>
      <c r="AU4174" s="10"/>
      <c r="AV4174" s="10"/>
      <c r="AW4174" s="10"/>
      <c r="AX4174" s="10"/>
      <c r="AY4174" s="10"/>
      <c r="AZ4174" s="10"/>
    </row>
    <row r="4175" spans="31:52">
      <c r="AE4175" s="10"/>
      <c r="AF4175" s="10"/>
      <c r="AG4175" s="10"/>
      <c r="AH4175" s="10"/>
      <c r="AI4175" s="10"/>
      <c r="AJ4175" s="10"/>
      <c r="AK4175" s="10"/>
      <c r="AL4175" s="10"/>
      <c r="AM4175" s="10"/>
      <c r="AN4175" s="10"/>
      <c r="AO4175" s="10"/>
      <c r="AP4175" s="10"/>
      <c r="AQ4175" s="10"/>
      <c r="AR4175" s="10"/>
      <c r="AS4175" s="10"/>
      <c r="AT4175" s="10"/>
      <c r="AU4175" s="10"/>
      <c r="AV4175" s="10"/>
      <c r="AW4175" s="10"/>
      <c r="AX4175" s="10"/>
      <c r="AY4175" s="10"/>
      <c r="AZ4175" s="10"/>
    </row>
    <row r="4176" spans="31:52">
      <c r="AE4176" s="10"/>
      <c r="AF4176" s="10"/>
      <c r="AG4176" s="10"/>
      <c r="AH4176" s="10"/>
      <c r="AI4176" s="10"/>
      <c r="AJ4176" s="10"/>
      <c r="AK4176" s="10"/>
      <c r="AL4176" s="10"/>
      <c r="AM4176" s="10"/>
      <c r="AN4176" s="10"/>
      <c r="AO4176" s="10"/>
      <c r="AP4176" s="10"/>
      <c r="AQ4176" s="10"/>
      <c r="AR4176" s="10"/>
      <c r="AS4176" s="10"/>
      <c r="AT4176" s="10"/>
      <c r="AU4176" s="10"/>
      <c r="AV4176" s="10"/>
      <c r="AW4176" s="10"/>
      <c r="AX4176" s="10"/>
      <c r="AY4176" s="10"/>
      <c r="AZ4176" s="10"/>
    </row>
    <row r="4177" spans="31:52">
      <c r="AE4177" s="10"/>
      <c r="AF4177" s="10"/>
      <c r="AG4177" s="10"/>
      <c r="AH4177" s="10"/>
      <c r="AI4177" s="10"/>
      <c r="AJ4177" s="10"/>
      <c r="AK4177" s="10"/>
      <c r="AL4177" s="10"/>
      <c r="AM4177" s="10"/>
      <c r="AN4177" s="10"/>
      <c r="AO4177" s="10"/>
      <c r="AP4177" s="10"/>
      <c r="AQ4177" s="10"/>
      <c r="AR4177" s="10"/>
      <c r="AS4177" s="10"/>
      <c r="AT4177" s="10"/>
      <c r="AU4177" s="10"/>
      <c r="AV4177" s="10"/>
      <c r="AW4177" s="10"/>
      <c r="AX4177" s="10"/>
      <c r="AY4177" s="10"/>
      <c r="AZ4177" s="10"/>
    </row>
    <row r="4178" spans="31:52">
      <c r="AE4178" s="10"/>
      <c r="AF4178" s="10"/>
      <c r="AG4178" s="10"/>
      <c r="AH4178" s="10"/>
      <c r="AI4178" s="10"/>
      <c r="AJ4178" s="10"/>
      <c r="AK4178" s="10"/>
      <c r="AL4178" s="10"/>
      <c r="AM4178" s="10"/>
      <c r="AN4178" s="10"/>
      <c r="AO4178" s="10"/>
      <c r="AP4178" s="10"/>
      <c r="AQ4178" s="10"/>
      <c r="AR4178" s="10"/>
      <c r="AS4178" s="10"/>
      <c r="AT4178" s="10"/>
      <c r="AU4178" s="10"/>
      <c r="AV4178" s="10"/>
      <c r="AW4178" s="10"/>
      <c r="AX4178" s="10"/>
      <c r="AY4178" s="10"/>
      <c r="AZ4178" s="10"/>
    </row>
    <row r="4179" spans="31:52">
      <c r="AE4179" s="10"/>
      <c r="AF4179" s="10"/>
      <c r="AG4179" s="10"/>
      <c r="AH4179" s="10"/>
      <c r="AI4179" s="10"/>
      <c r="AJ4179" s="10"/>
      <c r="AK4179" s="10"/>
      <c r="AL4179" s="10"/>
      <c r="AM4179" s="10"/>
      <c r="AN4179" s="10"/>
      <c r="AO4179" s="10"/>
      <c r="AP4179" s="10"/>
      <c r="AQ4179" s="10"/>
      <c r="AR4179" s="10"/>
      <c r="AS4179" s="10"/>
      <c r="AT4179" s="10"/>
      <c r="AU4179" s="10"/>
      <c r="AV4179" s="10"/>
      <c r="AW4179" s="10"/>
      <c r="AX4179" s="10"/>
      <c r="AY4179" s="10"/>
      <c r="AZ4179" s="10"/>
    </row>
    <row r="4180" spans="31:52">
      <c r="AE4180" s="10"/>
      <c r="AF4180" s="10"/>
      <c r="AG4180" s="10"/>
      <c r="AH4180" s="10"/>
      <c r="AI4180" s="10"/>
      <c r="AJ4180" s="10"/>
      <c r="AK4180" s="10"/>
      <c r="AL4180" s="10"/>
      <c r="AM4180" s="10"/>
      <c r="AN4180" s="10"/>
      <c r="AO4180" s="10"/>
      <c r="AP4180" s="10"/>
      <c r="AQ4180" s="10"/>
      <c r="AR4180" s="10"/>
      <c r="AS4180" s="10"/>
      <c r="AT4180" s="10"/>
      <c r="AU4180" s="10"/>
      <c r="AV4180" s="10"/>
      <c r="AW4180" s="10"/>
      <c r="AX4180" s="10"/>
      <c r="AY4180" s="10"/>
      <c r="AZ4180" s="10"/>
    </row>
    <row r="4181" spans="31:52">
      <c r="AE4181" s="10"/>
      <c r="AF4181" s="10"/>
      <c r="AG4181" s="10"/>
      <c r="AH4181" s="10"/>
      <c r="AI4181" s="10"/>
      <c r="AJ4181" s="10"/>
      <c r="AK4181" s="10"/>
      <c r="AL4181" s="10"/>
      <c r="AM4181" s="10"/>
      <c r="AN4181" s="10"/>
      <c r="AO4181" s="10"/>
      <c r="AP4181" s="10"/>
      <c r="AQ4181" s="10"/>
      <c r="AR4181" s="10"/>
      <c r="AS4181" s="10"/>
      <c r="AT4181" s="10"/>
      <c r="AU4181" s="10"/>
      <c r="AV4181" s="10"/>
      <c r="AW4181" s="10"/>
      <c r="AX4181" s="10"/>
      <c r="AY4181" s="10"/>
      <c r="AZ4181" s="10"/>
    </row>
    <row r="4182" spans="31:52">
      <c r="AE4182" s="10"/>
      <c r="AF4182" s="10"/>
      <c r="AG4182" s="10"/>
      <c r="AH4182" s="10"/>
      <c r="AI4182" s="10"/>
      <c r="AJ4182" s="10"/>
      <c r="AK4182" s="10"/>
      <c r="AL4182" s="10"/>
      <c r="AM4182" s="10"/>
      <c r="AN4182" s="10"/>
      <c r="AO4182" s="10"/>
      <c r="AP4182" s="10"/>
      <c r="AQ4182" s="10"/>
      <c r="AR4182" s="10"/>
      <c r="AS4182" s="10"/>
      <c r="AT4182" s="10"/>
      <c r="AU4182" s="10"/>
      <c r="AV4182" s="10"/>
      <c r="AW4182" s="10"/>
      <c r="AX4182" s="10"/>
      <c r="AY4182" s="10"/>
      <c r="AZ4182" s="10"/>
    </row>
    <row r="4183" spans="31:52">
      <c r="AE4183" s="10"/>
      <c r="AF4183" s="10"/>
      <c r="AG4183" s="10"/>
      <c r="AH4183" s="10"/>
      <c r="AI4183" s="10"/>
      <c r="AJ4183" s="10"/>
      <c r="AK4183" s="10"/>
      <c r="AL4183" s="10"/>
      <c r="AM4183" s="10"/>
      <c r="AN4183" s="10"/>
      <c r="AO4183" s="10"/>
      <c r="AP4183" s="10"/>
      <c r="AQ4183" s="10"/>
      <c r="AR4183" s="10"/>
      <c r="AS4183" s="10"/>
      <c r="AT4183" s="10"/>
      <c r="AU4183" s="10"/>
      <c r="AV4183" s="10"/>
      <c r="AW4183" s="10"/>
      <c r="AX4183" s="10"/>
      <c r="AY4183" s="10"/>
      <c r="AZ4183" s="10"/>
    </row>
    <row r="4184" spans="31:52">
      <c r="AE4184" s="10"/>
      <c r="AF4184" s="10"/>
      <c r="AG4184" s="10"/>
      <c r="AH4184" s="10"/>
      <c r="AI4184" s="10"/>
      <c r="AJ4184" s="10"/>
      <c r="AK4184" s="10"/>
      <c r="AL4184" s="10"/>
      <c r="AM4184" s="10"/>
      <c r="AN4184" s="10"/>
      <c r="AO4184" s="10"/>
      <c r="AP4184" s="10"/>
      <c r="AQ4184" s="10"/>
      <c r="AR4184" s="10"/>
      <c r="AS4184" s="10"/>
      <c r="AT4184" s="10"/>
      <c r="AU4184" s="10"/>
      <c r="AV4184" s="10"/>
      <c r="AW4184" s="10"/>
      <c r="AX4184" s="10"/>
      <c r="AY4184" s="10"/>
      <c r="AZ4184" s="10"/>
    </row>
    <row r="4185" spans="31:52">
      <c r="AE4185" s="10"/>
      <c r="AF4185" s="10"/>
      <c r="AG4185" s="10"/>
      <c r="AH4185" s="10"/>
      <c r="AI4185" s="10"/>
      <c r="AJ4185" s="10"/>
      <c r="AK4185" s="10"/>
      <c r="AL4185" s="10"/>
      <c r="AM4185" s="10"/>
      <c r="AN4185" s="10"/>
      <c r="AO4185" s="10"/>
      <c r="AP4185" s="10"/>
      <c r="AQ4185" s="10"/>
      <c r="AR4185" s="10"/>
      <c r="AS4185" s="10"/>
      <c r="AT4185" s="10"/>
      <c r="AU4185" s="10"/>
      <c r="AV4185" s="10"/>
      <c r="AW4185" s="10"/>
      <c r="AX4185" s="10"/>
      <c r="AY4185" s="10"/>
      <c r="AZ4185" s="10"/>
    </row>
    <row r="4186" spans="31:52">
      <c r="AE4186" s="10"/>
      <c r="AF4186" s="10"/>
      <c r="AG4186" s="10"/>
      <c r="AH4186" s="10"/>
      <c r="AI4186" s="10"/>
      <c r="AJ4186" s="10"/>
      <c r="AK4186" s="10"/>
      <c r="AL4186" s="10"/>
      <c r="AM4186" s="10"/>
      <c r="AN4186" s="10"/>
      <c r="AO4186" s="10"/>
      <c r="AP4186" s="10"/>
      <c r="AQ4186" s="10"/>
      <c r="AR4186" s="10"/>
      <c r="AS4186" s="10"/>
      <c r="AT4186" s="10"/>
      <c r="AU4186" s="10"/>
      <c r="AV4186" s="10"/>
      <c r="AW4186" s="10"/>
      <c r="AX4186" s="10"/>
      <c r="AY4186" s="10"/>
      <c r="AZ4186" s="10"/>
    </row>
    <row r="4187" spans="31:52">
      <c r="AE4187" s="10"/>
      <c r="AF4187" s="10"/>
      <c r="AG4187" s="10"/>
      <c r="AH4187" s="10"/>
      <c r="AI4187" s="10"/>
      <c r="AJ4187" s="10"/>
      <c r="AK4187" s="10"/>
      <c r="AL4187" s="10"/>
      <c r="AM4187" s="10"/>
      <c r="AN4187" s="10"/>
      <c r="AO4187" s="10"/>
      <c r="AP4187" s="10"/>
      <c r="AQ4187" s="10"/>
      <c r="AR4187" s="10"/>
      <c r="AS4187" s="10"/>
      <c r="AT4187" s="10"/>
      <c r="AU4187" s="10"/>
      <c r="AV4187" s="10"/>
      <c r="AW4187" s="10"/>
      <c r="AX4187" s="10"/>
      <c r="AY4187" s="10"/>
      <c r="AZ4187" s="10"/>
    </row>
    <row r="4188" spans="31:52">
      <c r="AE4188" s="10"/>
      <c r="AF4188" s="10"/>
      <c r="AG4188" s="10"/>
      <c r="AH4188" s="10"/>
      <c r="AI4188" s="10"/>
      <c r="AJ4188" s="10"/>
      <c r="AK4188" s="10"/>
      <c r="AL4188" s="10"/>
      <c r="AM4188" s="10"/>
      <c r="AN4188" s="10"/>
      <c r="AO4188" s="10"/>
      <c r="AP4188" s="10"/>
      <c r="AQ4188" s="10"/>
      <c r="AR4188" s="10"/>
      <c r="AS4188" s="10"/>
      <c r="AT4188" s="10"/>
      <c r="AU4188" s="10"/>
      <c r="AV4188" s="10"/>
      <c r="AW4188" s="10"/>
      <c r="AX4188" s="10"/>
      <c r="AY4188" s="10"/>
      <c r="AZ4188" s="10"/>
    </row>
    <row r="4189" spans="31:52">
      <c r="AE4189" s="10"/>
      <c r="AF4189" s="10"/>
      <c r="AG4189" s="10"/>
      <c r="AH4189" s="10"/>
      <c r="AI4189" s="10"/>
      <c r="AJ4189" s="10"/>
      <c r="AK4189" s="10"/>
      <c r="AL4189" s="10"/>
      <c r="AM4189" s="10"/>
      <c r="AN4189" s="10"/>
      <c r="AO4189" s="10"/>
      <c r="AP4189" s="10"/>
      <c r="AQ4189" s="10"/>
      <c r="AR4189" s="10"/>
      <c r="AS4189" s="10"/>
      <c r="AT4189" s="10"/>
      <c r="AU4189" s="10"/>
      <c r="AV4189" s="10"/>
      <c r="AW4189" s="10"/>
      <c r="AX4189" s="10"/>
      <c r="AY4189" s="10"/>
      <c r="AZ4189" s="10"/>
    </row>
    <row r="4190" spans="31:52">
      <c r="AE4190" s="10"/>
      <c r="AF4190" s="10"/>
      <c r="AG4190" s="10"/>
      <c r="AH4190" s="10"/>
      <c r="AI4190" s="10"/>
      <c r="AJ4190" s="10"/>
      <c r="AK4190" s="10"/>
      <c r="AL4190" s="10"/>
      <c r="AM4190" s="10"/>
      <c r="AN4190" s="10"/>
      <c r="AO4190" s="10"/>
      <c r="AP4190" s="10"/>
      <c r="AQ4190" s="10"/>
      <c r="AR4190" s="10"/>
      <c r="AS4190" s="10"/>
      <c r="AT4190" s="10"/>
      <c r="AU4190" s="10"/>
      <c r="AV4190" s="10"/>
      <c r="AW4190" s="10"/>
      <c r="AX4190" s="10"/>
      <c r="AY4190" s="10"/>
      <c r="AZ4190" s="10"/>
    </row>
    <row r="4191" spans="31:52">
      <c r="AE4191" s="10"/>
      <c r="AF4191" s="10"/>
      <c r="AG4191" s="10"/>
      <c r="AH4191" s="10"/>
      <c r="AI4191" s="10"/>
      <c r="AJ4191" s="10"/>
      <c r="AK4191" s="10"/>
      <c r="AL4191" s="10"/>
      <c r="AM4191" s="10"/>
      <c r="AN4191" s="10"/>
      <c r="AO4191" s="10"/>
      <c r="AP4191" s="10"/>
      <c r="AQ4191" s="10"/>
      <c r="AR4191" s="10"/>
      <c r="AS4191" s="10"/>
      <c r="AT4191" s="10"/>
      <c r="AU4191" s="10"/>
      <c r="AV4191" s="10"/>
      <c r="AW4191" s="10"/>
      <c r="AX4191" s="10"/>
      <c r="AY4191" s="10"/>
      <c r="AZ4191" s="10"/>
    </row>
    <row r="4192" spans="31:52">
      <c r="AE4192" s="10"/>
      <c r="AF4192" s="10"/>
      <c r="AG4192" s="10"/>
      <c r="AH4192" s="10"/>
      <c r="AI4192" s="10"/>
      <c r="AJ4192" s="10"/>
      <c r="AK4192" s="10"/>
      <c r="AL4192" s="10"/>
      <c r="AM4192" s="10"/>
      <c r="AN4192" s="10"/>
      <c r="AO4192" s="10"/>
      <c r="AP4192" s="10"/>
      <c r="AQ4192" s="10"/>
      <c r="AR4192" s="10"/>
      <c r="AS4192" s="10"/>
      <c r="AT4192" s="10"/>
      <c r="AU4192" s="10"/>
      <c r="AV4192" s="10"/>
      <c r="AW4192" s="10"/>
      <c r="AX4192" s="10"/>
      <c r="AY4192" s="10"/>
      <c r="AZ4192" s="10"/>
    </row>
    <row r="4193" spans="31:52">
      <c r="AE4193" s="10"/>
      <c r="AF4193" s="10"/>
      <c r="AG4193" s="10"/>
      <c r="AH4193" s="10"/>
      <c r="AI4193" s="10"/>
      <c r="AJ4193" s="10"/>
      <c r="AK4193" s="10"/>
      <c r="AL4193" s="10"/>
      <c r="AM4193" s="10"/>
      <c r="AN4193" s="10"/>
      <c r="AO4193" s="10"/>
      <c r="AP4193" s="10"/>
      <c r="AQ4193" s="10"/>
      <c r="AR4193" s="10"/>
      <c r="AS4193" s="10"/>
      <c r="AT4193" s="10"/>
      <c r="AU4193" s="10"/>
      <c r="AV4193" s="10"/>
      <c r="AW4193" s="10"/>
      <c r="AX4193" s="10"/>
      <c r="AY4193" s="10"/>
      <c r="AZ4193" s="10"/>
    </row>
    <row r="4194" spans="31:52">
      <c r="AE4194" s="10"/>
      <c r="AF4194" s="10"/>
      <c r="AG4194" s="10"/>
      <c r="AH4194" s="10"/>
      <c r="AI4194" s="10"/>
      <c r="AJ4194" s="10"/>
      <c r="AK4194" s="10"/>
      <c r="AL4194" s="10"/>
      <c r="AM4194" s="10"/>
      <c r="AN4194" s="10"/>
      <c r="AO4194" s="10"/>
      <c r="AP4194" s="10"/>
      <c r="AQ4194" s="10"/>
      <c r="AR4194" s="10"/>
      <c r="AS4194" s="10"/>
      <c r="AT4194" s="10"/>
      <c r="AU4194" s="10"/>
      <c r="AV4194" s="10"/>
      <c r="AW4194" s="10"/>
      <c r="AX4194" s="10"/>
      <c r="AY4194" s="10"/>
      <c r="AZ4194" s="10"/>
    </row>
    <row r="4195" spans="31:52">
      <c r="AE4195" s="10"/>
      <c r="AF4195" s="10"/>
      <c r="AG4195" s="10"/>
      <c r="AH4195" s="10"/>
      <c r="AI4195" s="10"/>
      <c r="AJ4195" s="10"/>
      <c r="AK4195" s="10"/>
      <c r="AL4195" s="10"/>
      <c r="AM4195" s="10"/>
      <c r="AN4195" s="10"/>
      <c r="AO4195" s="10"/>
      <c r="AP4195" s="10"/>
      <c r="AQ4195" s="10"/>
      <c r="AR4195" s="10"/>
      <c r="AS4195" s="10"/>
      <c r="AT4195" s="10"/>
      <c r="AU4195" s="10"/>
      <c r="AV4195" s="10"/>
      <c r="AW4195" s="10"/>
      <c r="AX4195" s="10"/>
      <c r="AY4195" s="10"/>
      <c r="AZ4195" s="10"/>
    </row>
    <row r="4196" spans="31:52">
      <c r="AE4196" s="10"/>
      <c r="AF4196" s="10"/>
      <c r="AG4196" s="10"/>
      <c r="AH4196" s="10"/>
      <c r="AI4196" s="10"/>
      <c r="AJ4196" s="10"/>
      <c r="AK4196" s="10"/>
      <c r="AL4196" s="10"/>
      <c r="AM4196" s="10"/>
      <c r="AN4196" s="10"/>
      <c r="AO4196" s="10"/>
      <c r="AP4196" s="10"/>
      <c r="AQ4196" s="10"/>
      <c r="AR4196" s="10"/>
      <c r="AS4196" s="10"/>
      <c r="AT4196" s="10"/>
      <c r="AU4196" s="10"/>
      <c r="AV4196" s="10"/>
      <c r="AW4196" s="10"/>
      <c r="AX4196" s="10"/>
      <c r="AY4196" s="10"/>
      <c r="AZ4196" s="10"/>
    </row>
    <row r="4197" spans="31:52">
      <c r="AE4197" s="10"/>
      <c r="AF4197" s="10"/>
      <c r="AG4197" s="10"/>
      <c r="AH4197" s="10"/>
      <c r="AI4197" s="10"/>
      <c r="AJ4197" s="10"/>
      <c r="AK4197" s="10"/>
      <c r="AL4197" s="10"/>
      <c r="AM4197" s="10"/>
      <c r="AN4197" s="10"/>
      <c r="AO4197" s="10"/>
      <c r="AP4197" s="10"/>
      <c r="AQ4197" s="10"/>
      <c r="AR4197" s="10"/>
      <c r="AS4197" s="10"/>
      <c r="AT4197" s="10"/>
      <c r="AU4197" s="10"/>
      <c r="AV4197" s="10"/>
      <c r="AW4197" s="10"/>
      <c r="AX4197" s="10"/>
      <c r="AY4197" s="10"/>
      <c r="AZ4197" s="10"/>
    </row>
    <row r="4198" spans="31:52">
      <c r="AE4198" s="10"/>
      <c r="AF4198" s="10"/>
      <c r="AG4198" s="10"/>
      <c r="AH4198" s="10"/>
      <c r="AI4198" s="10"/>
      <c r="AJ4198" s="10"/>
      <c r="AK4198" s="10"/>
      <c r="AL4198" s="10"/>
      <c r="AM4198" s="10"/>
      <c r="AN4198" s="10"/>
      <c r="AO4198" s="10"/>
      <c r="AP4198" s="10"/>
      <c r="AQ4198" s="10"/>
      <c r="AR4198" s="10"/>
      <c r="AS4198" s="10"/>
      <c r="AT4198" s="10"/>
      <c r="AU4198" s="10"/>
      <c r="AV4198" s="10"/>
      <c r="AW4198" s="10"/>
      <c r="AX4198" s="10"/>
      <c r="AY4198" s="10"/>
      <c r="AZ4198" s="10"/>
    </row>
    <row r="4199" spans="31:52">
      <c r="AE4199" s="10"/>
      <c r="AF4199" s="10"/>
      <c r="AG4199" s="10"/>
      <c r="AH4199" s="10"/>
      <c r="AI4199" s="10"/>
      <c r="AJ4199" s="10"/>
      <c r="AK4199" s="10"/>
      <c r="AL4199" s="10"/>
      <c r="AM4199" s="10"/>
      <c r="AN4199" s="10"/>
      <c r="AO4199" s="10"/>
      <c r="AP4199" s="10"/>
      <c r="AQ4199" s="10"/>
      <c r="AR4199" s="10"/>
      <c r="AS4199" s="10"/>
      <c r="AT4199" s="10"/>
      <c r="AU4199" s="10"/>
      <c r="AV4199" s="10"/>
      <c r="AW4199" s="10"/>
      <c r="AX4199" s="10"/>
      <c r="AY4199" s="10"/>
      <c r="AZ4199" s="10"/>
    </row>
    <row r="4200" spans="31:52">
      <c r="AE4200" s="10"/>
      <c r="AF4200" s="10"/>
      <c r="AG4200" s="10"/>
      <c r="AH4200" s="10"/>
      <c r="AI4200" s="10"/>
      <c r="AJ4200" s="10"/>
      <c r="AK4200" s="10"/>
      <c r="AL4200" s="10"/>
      <c r="AM4200" s="10"/>
      <c r="AN4200" s="10"/>
      <c r="AO4200" s="10"/>
      <c r="AP4200" s="10"/>
      <c r="AQ4200" s="10"/>
      <c r="AR4200" s="10"/>
      <c r="AS4200" s="10"/>
      <c r="AT4200" s="10"/>
      <c r="AU4200" s="10"/>
      <c r="AV4200" s="10"/>
      <c r="AW4200" s="10"/>
      <c r="AX4200" s="10"/>
      <c r="AY4200" s="10"/>
      <c r="AZ4200" s="10"/>
    </row>
    <row r="4201" spans="31:52">
      <c r="AE4201" s="10"/>
      <c r="AF4201" s="10"/>
      <c r="AG4201" s="10"/>
      <c r="AH4201" s="10"/>
      <c r="AI4201" s="10"/>
      <c r="AJ4201" s="10"/>
      <c r="AK4201" s="10"/>
      <c r="AL4201" s="10"/>
      <c r="AM4201" s="10"/>
      <c r="AN4201" s="10"/>
      <c r="AO4201" s="10"/>
      <c r="AP4201" s="10"/>
      <c r="AQ4201" s="10"/>
      <c r="AR4201" s="10"/>
      <c r="AS4201" s="10"/>
      <c r="AT4201" s="10"/>
      <c r="AU4201" s="10"/>
      <c r="AV4201" s="10"/>
      <c r="AW4201" s="10"/>
      <c r="AX4201" s="10"/>
      <c r="AY4201" s="10"/>
      <c r="AZ4201" s="10"/>
    </row>
    <row r="4202" spans="31:52">
      <c r="AE4202" s="10"/>
      <c r="AF4202" s="10"/>
      <c r="AG4202" s="10"/>
      <c r="AH4202" s="10"/>
      <c r="AI4202" s="10"/>
      <c r="AJ4202" s="10"/>
      <c r="AK4202" s="10"/>
      <c r="AL4202" s="10"/>
      <c r="AM4202" s="10"/>
      <c r="AN4202" s="10"/>
      <c r="AO4202" s="10"/>
      <c r="AP4202" s="10"/>
      <c r="AQ4202" s="10"/>
      <c r="AR4202" s="10"/>
      <c r="AS4202" s="10"/>
      <c r="AT4202" s="10"/>
      <c r="AU4202" s="10"/>
      <c r="AV4202" s="10"/>
      <c r="AW4202" s="10"/>
      <c r="AX4202" s="10"/>
      <c r="AY4202" s="10"/>
      <c r="AZ4202" s="10"/>
    </row>
    <row r="4203" spans="31:52">
      <c r="AE4203" s="10"/>
      <c r="AF4203" s="10"/>
      <c r="AG4203" s="10"/>
      <c r="AH4203" s="10"/>
      <c r="AI4203" s="10"/>
      <c r="AJ4203" s="10"/>
      <c r="AK4203" s="10"/>
      <c r="AL4203" s="10"/>
      <c r="AM4203" s="10"/>
      <c r="AN4203" s="10"/>
      <c r="AO4203" s="10"/>
      <c r="AP4203" s="10"/>
      <c r="AQ4203" s="10"/>
      <c r="AR4203" s="10"/>
      <c r="AS4203" s="10"/>
      <c r="AT4203" s="10"/>
      <c r="AU4203" s="10"/>
      <c r="AV4203" s="10"/>
      <c r="AW4203" s="10"/>
      <c r="AX4203" s="10"/>
      <c r="AY4203" s="10"/>
      <c r="AZ4203" s="10"/>
    </row>
    <row r="4204" spans="31:52">
      <c r="AE4204" s="10"/>
      <c r="AF4204" s="10"/>
      <c r="AG4204" s="10"/>
      <c r="AH4204" s="10"/>
      <c r="AI4204" s="10"/>
      <c r="AJ4204" s="10"/>
      <c r="AK4204" s="10"/>
      <c r="AL4204" s="10"/>
      <c r="AM4204" s="10"/>
      <c r="AN4204" s="10"/>
      <c r="AO4204" s="10"/>
      <c r="AP4204" s="10"/>
      <c r="AQ4204" s="10"/>
      <c r="AR4204" s="10"/>
      <c r="AS4204" s="10"/>
      <c r="AT4204" s="10"/>
      <c r="AU4204" s="10"/>
      <c r="AV4204" s="10"/>
      <c r="AW4204" s="10"/>
      <c r="AX4204" s="10"/>
      <c r="AY4204" s="10"/>
      <c r="AZ4204" s="10"/>
    </row>
    <row r="4205" spans="31:52">
      <c r="AE4205" s="10"/>
      <c r="AF4205" s="10"/>
      <c r="AG4205" s="10"/>
      <c r="AH4205" s="10"/>
      <c r="AI4205" s="10"/>
      <c r="AJ4205" s="10"/>
      <c r="AK4205" s="10"/>
      <c r="AL4205" s="10"/>
      <c r="AM4205" s="10"/>
      <c r="AN4205" s="10"/>
      <c r="AO4205" s="10"/>
      <c r="AP4205" s="10"/>
      <c r="AQ4205" s="10"/>
      <c r="AR4205" s="10"/>
      <c r="AS4205" s="10"/>
      <c r="AT4205" s="10"/>
      <c r="AU4205" s="10"/>
      <c r="AV4205" s="10"/>
      <c r="AW4205" s="10"/>
      <c r="AX4205" s="10"/>
      <c r="AY4205" s="10"/>
      <c r="AZ4205" s="10"/>
    </row>
    <row r="4206" spans="31:52">
      <c r="AE4206" s="10"/>
      <c r="AF4206" s="10"/>
      <c r="AG4206" s="10"/>
      <c r="AH4206" s="10"/>
      <c r="AI4206" s="10"/>
      <c r="AJ4206" s="10"/>
      <c r="AK4206" s="10"/>
      <c r="AL4206" s="10"/>
      <c r="AM4206" s="10"/>
      <c r="AN4206" s="10"/>
      <c r="AO4206" s="10"/>
      <c r="AP4206" s="10"/>
      <c r="AQ4206" s="10"/>
      <c r="AR4206" s="10"/>
      <c r="AS4206" s="10"/>
      <c r="AT4206" s="10"/>
      <c r="AU4206" s="10"/>
      <c r="AV4206" s="10"/>
      <c r="AW4206" s="10"/>
      <c r="AX4206" s="10"/>
      <c r="AY4206" s="10"/>
      <c r="AZ4206" s="10"/>
    </row>
    <row r="4207" spans="31:52">
      <c r="AE4207" s="10"/>
      <c r="AF4207" s="10"/>
      <c r="AG4207" s="10"/>
      <c r="AH4207" s="10"/>
      <c r="AI4207" s="10"/>
      <c r="AJ4207" s="10"/>
      <c r="AK4207" s="10"/>
      <c r="AL4207" s="10"/>
      <c r="AM4207" s="10"/>
      <c r="AN4207" s="10"/>
      <c r="AO4207" s="10"/>
      <c r="AP4207" s="10"/>
      <c r="AQ4207" s="10"/>
      <c r="AR4207" s="10"/>
      <c r="AS4207" s="10"/>
      <c r="AT4207" s="10"/>
      <c r="AU4207" s="10"/>
      <c r="AV4207" s="10"/>
      <c r="AW4207" s="10"/>
      <c r="AX4207" s="10"/>
      <c r="AY4207" s="10"/>
      <c r="AZ4207" s="10"/>
    </row>
    <row r="4208" spans="31:52">
      <c r="AE4208" s="10"/>
      <c r="AF4208" s="10"/>
      <c r="AG4208" s="10"/>
      <c r="AH4208" s="10"/>
      <c r="AI4208" s="10"/>
      <c r="AJ4208" s="10"/>
      <c r="AK4208" s="10"/>
      <c r="AL4208" s="10"/>
      <c r="AM4208" s="10"/>
      <c r="AN4208" s="10"/>
      <c r="AO4208" s="10"/>
      <c r="AP4208" s="10"/>
      <c r="AQ4208" s="10"/>
      <c r="AR4208" s="10"/>
      <c r="AS4208" s="10"/>
      <c r="AT4208" s="10"/>
      <c r="AU4208" s="10"/>
      <c r="AV4208" s="10"/>
      <c r="AW4208" s="10"/>
      <c r="AX4208" s="10"/>
      <c r="AY4208" s="10"/>
      <c r="AZ4208" s="10"/>
    </row>
    <row r="4209" spans="31:52">
      <c r="AE4209" s="10"/>
      <c r="AF4209" s="10"/>
      <c r="AG4209" s="10"/>
      <c r="AH4209" s="10"/>
      <c r="AI4209" s="10"/>
      <c r="AJ4209" s="10"/>
      <c r="AK4209" s="10"/>
      <c r="AL4209" s="10"/>
      <c r="AM4209" s="10"/>
      <c r="AN4209" s="10"/>
      <c r="AO4209" s="10"/>
      <c r="AP4209" s="10"/>
      <c r="AQ4209" s="10"/>
      <c r="AR4209" s="10"/>
      <c r="AS4209" s="10"/>
      <c r="AT4209" s="10"/>
      <c r="AU4209" s="10"/>
      <c r="AV4209" s="10"/>
      <c r="AW4209" s="10"/>
      <c r="AX4209" s="10"/>
      <c r="AY4209" s="10"/>
      <c r="AZ4209" s="10"/>
    </row>
    <row r="4210" spans="31:52">
      <c r="AE4210" s="10"/>
      <c r="AF4210" s="10"/>
      <c r="AG4210" s="10"/>
      <c r="AH4210" s="10"/>
      <c r="AI4210" s="10"/>
      <c r="AJ4210" s="10"/>
      <c r="AK4210" s="10"/>
      <c r="AL4210" s="10"/>
      <c r="AM4210" s="10"/>
      <c r="AN4210" s="10"/>
      <c r="AO4210" s="10"/>
      <c r="AP4210" s="10"/>
      <c r="AQ4210" s="10"/>
      <c r="AR4210" s="10"/>
      <c r="AS4210" s="10"/>
      <c r="AT4210" s="10"/>
      <c r="AU4210" s="10"/>
      <c r="AV4210" s="10"/>
      <c r="AW4210" s="10"/>
      <c r="AX4210" s="10"/>
      <c r="AY4210" s="10"/>
      <c r="AZ4210" s="10"/>
    </row>
    <row r="4211" spans="31:52">
      <c r="AE4211" s="10"/>
      <c r="AF4211" s="10"/>
      <c r="AG4211" s="10"/>
      <c r="AH4211" s="10"/>
      <c r="AI4211" s="10"/>
      <c r="AJ4211" s="10"/>
      <c r="AK4211" s="10"/>
      <c r="AL4211" s="10"/>
      <c r="AM4211" s="10"/>
      <c r="AN4211" s="10"/>
      <c r="AO4211" s="10"/>
      <c r="AP4211" s="10"/>
      <c r="AQ4211" s="10"/>
      <c r="AR4211" s="10"/>
      <c r="AS4211" s="10"/>
      <c r="AT4211" s="10"/>
      <c r="AU4211" s="10"/>
      <c r="AV4211" s="10"/>
      <c r="AW4211" s="10"/>
      <c r="AX4211" s="10"/>
      <c r="AY4211" s="10"/>
      <c r="AZ4211" s="10"/>
    </row>
    <row r="4212" spans="31:52">
      <c r="AE4212" s="10"/>
      <c r="AF4212" s="10"/>
      <c r="AG4212" s="10"/>
      <c r="AH4212" s="10"/>
      <c r="AI4212" s="10"/>
      <c r="AJ4212" s="10"/>
      <c r="AK4212" s="10"/>
      <c r="AL4212" s="10"/>
      <c r="AM4212" s="10"/>
      <c r="AN4212" s="10"/>
      <c r="AO4212" s="10"/>
      <c r="AP4212" s="10"/>
      <c r="AQ4212" s="10"/>
      <c r="AR4212" s="10"/>
      <c r="AS4212" s="10"/>
      <c r="AT4212" s="10"/>
      <c r="AU4212" s="10"/>
      <c r="AV4212" s="10"/>
      <c r="AW4212" s="10"/>
      <c r="AX4212" s="10"/>
      <c r="AY4212" s="10"/>
      <c r="AZ4212" s="10"/>
    </row>
    <row r="4213" spans="31:52">
      <c r="AE4213" s="10"/>
      <c r="AF4213" s="10"/>
      <c r="AG4213" s="10"/>
      <c r="AH4213" s="10"/>
      <c r="AI4213" s="10"/>
      <c r="AJ4213" s="10"/>
      <c r="AK4213" s="10"/>
      <c r="AL4213" s="10"/>
      <c r="AM4213" s="10"/>
      <c r="AN4213" s="10"/>
      <c r="AO4213" s="10"/>
      <c r="AP4213" s="10"/>
      <c r="AQ4213" s="10"/>
      <c r="AR4213" s="10"/>
      <c r="AS4213" s="10"/>
      <c r="AT4213" s="10"/>
      <c r="AU4213" s="10"/>
      <c r="AV4213" s="10"/>
      <c r="AW4213" s="10"/>
      <c r="AX4213" s="10"/>
      <c r="AY4213" s="10"/>
      <c r="AZ4213" s="10"/>
    </row>
    <row r="4214" spans="31:52">
      <c r="AE4214" s="10"/>
      <c r="AF4214" s="10"/>
      <c r="AG4214" s="10"/>
      <c r="AH4214" s="10"/>
      <c r="AI4214" s="10"/>
      <c r="AJ4214" s="10"/>
      <c r="AK4214" s="10"/>
      <c r="AL4214" s="10"/>
      <c r="AM4214" s="10"/>
      <c r="AN4214" s="10"/>
      <c r="AO4214" s="10"/>
      <c r="AP4214" s="10"/>
      <c r="AQ4214" s="10"/>
      <c r="AR4214" s="10"/>
      <c r="AS4214" s="10"/>
      <c r="AT4214" s="10"/>
      <c r="AU4214" s="10"/>
      <c r="AV4214" s="10"/>
      <c r="AW4214" s="10"/>
      <c r="AX4214" s="10"/>
      <c r="AY4214" s="10"/>
      <c r="AZ4214" s="10"/>
    </row>
    <row r="4215" spans="31:52">
      <c r="AE4215" s="10"/>
      <c r="AF4215" s="10"/>
      <c r="AG4215" s="10"/>
      <c r="AH4215" s="10"/>
      <c r="AI4215" s="10"/>
      <c r="AJ4215" s="10"/>
      <c r="AK4215" s="10"/>
      <c r="AL4215" s="10"/>
      <c r="AM4215" s="10"/>
      <c r="AN4215" s="10"/>
      <c r="AO4215" s="10"/>
      <c r="AP4215" s="10"/>
      <c r="AQ4215" s="10"/>
      <c r="AR4215" s="10"/>
      <c r="AS4215" s="10"/>
      <c r="AT4215" s="10"/>
      <c r="AU4215" s="10"/>
      <c r="AV4215" s="10"/>
      <c r="AW4215" s="10"/>
      <c r="AX4215" s="10"/>
      <c r="AY4215" s="10"/>
      <c r="AZ4215" s="10"/>
    </row>
    <row r="4216" spans="31:52">
      <c r="AE4216" s="10"/>
      <c r="AF4216" s="10"/>
      <c r="AG4216" s="10"/>
      <c r="AH4216" s="10"/>
      <c r="AI4216" s="10"/>
      <c r="AJ4216" s="10"/>
      <c r="AK4216" s="10"/>
      <c r="AL4216" s="10"/>
      <c r="AM4216" s="10"/>
      <c r="AN4216" s="10"/>
      <c r="AO4216" s="10"/>
      <c r="AP4216" s="10"/>
      <c r="AQ4216" s="10"/>
      <c r="AR4216" s="10"/>
      <c r="AS4216" s="10"/>
      <c r="AT4216" s="10"/>
      <c r="AU4216" s="10"/>
      <c r="AV4216" s="10"/>
      <c r="AW4216" s="10"/>
      <c r="AX4216" s="10"/>
      <c r="AY4216" s="10"/>
      <c r="AZ4216" s="10"/>
    </row>
    <row r="4217" spans="31:52">
      <c r="AE4217" s="10"/>
      <c r="AF4217" s="10"/>
      <c r="AG4217" s="10"/>
      <c r="AH4217" s="10"/>
      <c r="AI4217" s="10"/>
      <c r="AJ4217" s="10"/>
      <c r="AK4217" s="10"/>
      <c r="AL4217" s="10"/>
      <c r="AM4217" s="10"/>
      <c r="AN4217" s="10"/>
      <c r="AO4217" s="10"/>
      <c r="AP4217" s="10"/>
      <c r="AQ4217" s="10"/>
      <c r="AR4217" s="10"/>
      <c r="AS4217" s="10"/>
      <c r="AT4217" s="10"/>
      <c r="AU4217" s="10"/>
      <c r="AV4217" s="10"/>
      <c r="AW4217" s="10"/>
      <c r="AX4217" s="10"/>
      <c r="AY4217" s="10"/>
      <c r="AZ4217" s="10"/>
    </row>
    <row r="4218" spans="31:52">
      <c r="AE4218" s="10"/>
      <c r="AF4218" s="10"/>
      <c r="AG4218" s="10"/>
      <c r="AH4218" s="10"/>
      <c r="AI4218" s="10"/>
      <c r="AJ4218" s="10"/>
      <c r="AK4218" s="10"/>
      <c r="AL4218" s="10"/>
      <c r="AM4218" s="10"/>
      <c r="AN4218" s="10"/>
      <c r="AO4218" s="10"/>
      <c r="AP4218" s="10"/>
      <c r="AQ4218" s="10"/>
      <c r="AR4218" s="10"/>
      <c r="AS4218" s="10"/>
      <c r="AT4218" s="10"/>
      <c r="AU4218" s="10"/>
      <c r="AV4218" s="10"/>
      <c r="AW4218" s="10"/>
      <c r="AX4218" s="10"/>
      <c r="AY4218" s="10"/>
      <c r="AZ4218" s="10"/>
    </row>
    <row r="4219" spans="31:52">
      <c r="AE4219" s="10"/>
      <c r="AF4219" s="10"/>
      <c r="AG4219" s="10"/>
      <c r="AH4219" s="10"/>
      <c r="AI4219" s="10"/>
      <c r="AJ4219" s="10"/>
      <c r="AK4219" s="10"/>
      <c r="AL4219" s="10"/>
      <c r="AM4219" s="10"/>
      <c r="AN4219" s="10"/>
      <c r="AO4219" s="10"/>
      <c r="AP4219" s="10"/>
      <c r="AQ4219" s="10"/>
      <c r="AR4219" s="10"/>
      <c r="AS4219" s="10"/>
      <c r="AT4219" s="10"/>
      <c r="AU4219" s="10"/>
      <c r="AV4219" s="10"/>
      <c r="AW4219" s="10"/>
      <c r="AX4219" s="10"/>
      <c r="AY4219" s="10"/>
      <c r="AZ4219" s="10"/>
    </row>
    <row r="4220" spans="31:52">
      <c r="AE4220" s="10"/>
      <c r="AF4220" s="10"/>
      <c r="AG4220" s="10"/>
      <c r="AH4220" s="10"/>
      <c r="AI4220" s="10"/>
      <c r="AJ4220" s="10"/>
      <c r="AK4220" s="10"/>
      <c r="AL4220" s="10"/>
      <c r="AM4220" s="10"/>
      <c r="AN4220" s="10"/>
      <c r="AO4220" s="10"/>
      <c r="AP4220" s="10"/>
      <c r="AQ4220" s="10"/>
      <c r="AR4220" s="10"/>
      <c r="AS4220" s="10"/>
      <c r="AT4220" s="10"/>
      <c r="AU4220" s="10"/>
      <c r="AV4220" s="10"/>
      <c r="AW4220" s="10"/>
      <c r="AX4220" s="10"/>
      <c r="AY4220" s="10"/>
      <c r="AZ4220" s="10"/>
    </row>
    <row r="4221" spans="31:52">
      <c r="AE4221" s="10"/>
      <c r="AF4221" s="10"/>
      <c r="AG4221" s="10"/>
      <c r="AH4221" s="10"/>
      <c r="AI4221" s="10"/>
      <c r="AJ4221" s="10"/>
      <c r="AK4221" s="10"/>
      <c r="AL4221" s="10"/>
      <c r="AM4221" s="10"/>
      <c r="AN4221" s="10"/>
      <c r="AO4221" s="10"/>
      <c r="AP4221" s="10"/>
      <c r="AQ4221" s="10"/>
      <c r="AR4221" s="10"/>
      <c r="AS4221" s="10"/>
      <c r="AT4221" s="10"/>
      <c r="AU4221" s="10"/>
      <c r="AV4221" s="10"/>
      <c r="AW4221" s="10"/>
      <c r="AX4221" s="10"/>
      <c r="AY4221" s="10"/>
      <c r="AZ4221" s="10"/>
    </row>
    <row r="4222" spans="31:52">
      <c r="AE4222" s="10"/>
      <c r="AF4222" s="10"/>
      <c r="AG4222" s="10"/>
      <c r="AH4222" s="10"/>
      <c r="AI4222" s="10"/>
      <c r="AJ4222" s="10"/>
      <c r="AK4222" s="10"/>
      <c r="AL4222" s="10"/>
      <c r="AM4222" s="10"/>
      <c r="AN4222" s="10"/>
      <c r="AO4222" s="10"/>
      <c r="AP4222" s="10"/>
      <c r="AQ4222" s="10"/>
      <c r="AR4222" s="10"/>
      <c r="AS4222" s="10"/>
      <c r="AT4222" s="10"/>
      <c r="AU4222" s="10"/>
      <c r="AV4222" s="10"/>
      <c r="AW4222" s="10"/>
      <c r="AX4222" s="10"/>
      <c r="AY4222" s="10"/>
      <c r="AZ4222" s="10"/>
    </row>
    <row r="4223" spans="31:52">
      <c r="AE4223" s="10"/>
      <c r="AF4223" s="10"/>
      <c r="AG4223" s="10"/>
      <c r="AH4223" s="10"/>
      <c r="AI4223" s="10"/>
      <c r="AJ4223" s="10"/>
      <c r="AK4223" s="10"/>
      <c r="AL4223" s="10"/>
      <c r="AM4223" s="10"/>
      <c r="AN4223" s="10"/>
      <c r="AO4223" s="10"/>
      <c r="AP4223" s="10"/>
      <c r="AQ4223" s="10"/>
      <c r="AR4223" s="10"/>
      <c r="AS4223" s="10"/>
      <c r="AT4223" s="10"/>
      <c r="AU4223" s="10"/>
      <c r="AV4223" s="10"/>
      <c r="AW4223" s="10"/>
      <c r="AX4223" s="10"/>
      <c r="AY4223" s="10"/>
      <c r="AZ4223" s="10"/>
    </row>
    <row r="4224" spans="31:52">
      <c r="AE4224" s="10"/>
      <c r="AF4224" s="10"/>
      <c r="AG4224" s="10"/>
      <c r="AH4224" s="10"/>
      <c r="AI4224" s="10"/>
      <c r="AJ4224" s="10"/>
      <c r="AK4224" s="10"/>
      <c r="AL4224" s="10"/>
      <c r="AM4224" s="10"/>
      <c r="AN4224" s="10"/>
      <c r="AO4224" s="10"/>
      <c r="AP4224" s="10"/>
      <c r="AQ4224" s="10"/>
      <c r="AR4224" s="10"/>
      <c r="AS4224" s="10"/>
      <c r="AT4224" s="10"/>
      <c r="AU4224" s="10"/>
      <c r="AV4224" s="10"/>
      <c r="AW4224" s="10"/>
      <c r="AX4224" s="10"/>
      <c r="AY4224" s="10"/>
      <c r="AZ4224" s="10"/>
    </row>
    <row r="4225" spans="31:52">
      <c r="AE4225" s="10"/>
      <c r="AF4225" s="10"/>
      <c r="AG4225" s="10"/>
      <c r="AH4225" s="10"/>
      <c r="AI4225" s="10"/>
      <c r="AJ4225" s="10"/>
      <c r="AK4225" s="10"/>
      <c r="AL4225" s="10"/>
      <c r="AM4225" s="10"/>
      <c r="AN4225" s="10"/>
      <c r="AO4225" s="10"/>
      <c r="AP4225" s="10"/>
      <c r="AQ4225" s="10"/>
      <c r="AR4225" s="10"/>
      <c r="AS4225" s="10"/>
      <c r="AT4225" s="10"/>
      <c r="AU4225" s="10"/>
      <c r="AV4225" s="10"/>
      <c r="AW4225" s="10"/>
      <c r="AX4225" s="10"/>
      <c r="AY4225" s="10"/>
      <c r="AZ4225" s="10"/>
    </row>
    <row r="4226" spans="31:52">
      <c r="AE4226" s="10"/>
      <c r="AF4226" s="10"/>
      <c r="AG4226" s="10"/>
      <c r="AH4226" s="10"/>
      <c r="AI4226" s="10"/>
      <c r="AJ4226" s="10"/>
      <c r="AK4226" s="10"/>
      <c r="AL4226" s="10"/>
      <c r="AM4226" s="10"/>
      <c r="AN4226" s="10"/>
      <c r="AO4226" s="10"/>
      <c r="AP4226" s="10"/>
      <c r="AQ4226" s="10"/>
      <c r="AR4226" s="10"/>
      <c r="AS4226" s="10"/>
      <c r="AT4226" s="10"/>
      <c r="AU4226" s="10"/>
      <c r="AV4226" s="10"/>
      <c r="AW4226" s="10"/>
      <c r="AX4226" s="10"/>
      <c r="AY4226" s="10"/>
      <c r="AZ4226" s="10"/>
    </row>
    <row r="4227" spans="31:52">
      <c r="AE4227" s="10"/>
      <c r="AF4227" s="10"/>
      <c r="AG4227" s="10"/>
      <c r="AH4227" s="10"/>
      <c r="AI4227" s="10"/>
      <c r="AJ4227" s="10"/>
      <c r="AK4227" s="10"/>
      <c r="AL4227" s="10"/>
      <c r="AM4227" s="10"/>
      <c r="AN4227" s="10"/>
      <c r="AO4227" s="10"/>
      <c r="AP4227" s="10"/>
      <c r="AQ4227" s="10"/>
      <c r="AR4227" s="10"/>
      <c r="AS4227" s="10"/>
      <c r="AT4227" s="10"/>
      <c r="AU4227" s="10"/>
      <c r="AV4227" s="10"/>
      <c r="AW4227" s="10"/>
      <c r="AX4227" s="10"/>
      <c r="AY4227" s="10"/>
      <c r="AZ4227" s="10"/>
    </row>
    <row r="4228" spans="31:52">
      <c r="AE4228" s="10"/>
      <c r="AF4228" s="10"/>
      <c r="AG4228" s="10"/>
      <c r="AH4228" s="10"/>
      <c r="AI4228" s="10"/>
      <c r="AJ4228" s="10"/>
      <c r="AK4228" s="10"/>
      <c r="AL4228" s="10"/>
      <c r="AM4228" s="10"/>
      <c r="AN4228" s="10"/>
      <c r="AO4228" s="10"/>
      <c r="AP4228" s="10"/>
      <c r="AQ4228" s="10"/>
      <c r="AR4228" s="10"/>
      <c r="AS4228" s="10"/>
      <c r="AT4228" s="10"/>
      <c r="AU4228" s="10"/>
      <c r="AV4228" s="10"/>
      <c r="AW4228" s="10"/>
      <c r="AX4228" s="10"/>
      <c r="AY4228" s="10"/>
      <c r="AZ4228" s="10"/>
    </row>
    <row r="4229" spans="31:52">
      <c r="AE4229" s="10"/>
      <c r="AF4229" s="10"/>
      <c r="AG4229" s="10"/>
      <c r="AH4229" s="10"/>
      <c r="AI4229" s="10"/>
      <c r="AJ4229" s="10"/>
      <c r="AK4229" s="10"/>
      <c r="AL4229" s="10"/>
      <c r="AM4229" s="10"/>
      <c r="AN4229" s="10"/>
      <c r="AO4229" s="10"/>
      <c r="AP4229" s="10"/>
      <c r="AQ4229" s="10"/>
      <c r="AR4229" s="10"/>
      <c r="AS4229" s="10"/>
      <c r="AT4229" s="10"/>
      <c r="AU4229" s="10"/>
      <c r="AV4229" s="10"/>
      <c r="AW4229" s="10"/>
      <c r="AX4229" s="10"/>
      <c r="AY4229" s="10"/>
      <c r="AZ4229" s="10"/>
    </row>
    <row r="4230" spans="31:52">
      <c r="AE4230" s="10"/>
      <c r="AF4230" s="10"/>
      <c r="AG4230" s="10"/>
      <c r="AH4230" s="10"/>
      <c r="AI4230" s="10"/>
      <c r="AJ4230" s="10"/>
      <c r="AK4230" s="10"/>
      <c r="AL4230" s="10"/>
      <c r="AM4230" s="10"/>
      <c r="AN4230" s="10"/>
      <c r="AO4230" s="10"/>
      <c r="AP4230" s="10"/>
      <c r="AQ4230" s="10"/>
      <c r="AR4230" s="10"/>
      <c r="AS4230" s="10"/>
      <c r="AT4230" s="10"/>
      <c r="AU4230" s="10"/>
      <c r="AV4230" s="10"/>
      <c r="AW4230" s="10"/>
      <c r="AX4230" s="10"/>
      <c r="AY4230" s="10"/>
      <c r="AZ4230" s="10"/>
    </row>
    <row r="4231" spans="31:52">
      <c r="AE4231" s="10"/>
      <c r="AF4231" s="10"/>
      <c r="AG4231" s="10"/>
      <c r="AH4231" s="10"/>
      <c r="AI4231" s="10"/>
      <c r="AJ4231" s="10"/>
      <c r="AK4231" s="10"/>
      <c r="AL4231" s="10"/>
      <c r="AM4231" s="10"/>
      <c r="AN4231" s="10"/>
      <c r="AO4231" s="10"/>
      <c r="AP4231" s="10"/>
      <c r="AQ4231" s="10"/>
      <c r="AR4231" s="10"/>
      <c r="AS4231" s="10"/>
      <c r="AT4231" s="10"/>
      <c r="AU4231" s="10"/>
      <c r="AV4231" s="10"/>
      <c r="AW4231" s="10"/>
      <c r="AX4231" s="10"/>
      <c r="AY4231" s="10"/>
      <c r="AZ4231" s="10"/>
    </row>
    <row r="4232" spans="31:52">
      <c r="AE4232" s="10"/>
      <c r="AF4232" s="10"/>
      <c r="AG4232" s="10"/>
      <c r="AH4232" s="10"/>
      <c r="AI4232" s="10"/>
      <c r="AJ4232" s="10"/>
      <c r="AK4232" s="10"/>
      <c r="AL4232" s="10"/>
      <c r="AM4232" s="10"/>
      <c r="AN4232" s="10"/>
      <c r="AO4232" s="10"/>
      <c r="AP4232" s="10"/>
      <c r="AQ4232" s="10"/>
      <c r="AR4232" s="10"/>
      <c r="AS4232" s="10"/>
      <c r="AT4232" s="10"/>
      <c r="AU4232" s="10"/>
      <c r="AV4232" s="10"/>
      <c r="AW4232" s="10"/>
      <c r="AX4232" s="10"/>
      <c r="AY4232" s="10"/>
      <c r="AZ4232" s="10"/>
    </row>
    <row r="4233" spans="31:52">
      <c r="AE4233" s="10"/>
      <c r="AF4233" s="10"/>
      <c r="AG4233" s="10"/>
      <c r="AH4233" s="10"/>
      <c r="AI4233" s="10"/>
      <c r="AJ4233" s="10"/>
      <c r="AK4233" s="10"/>
      <c r="AL4233" s="10"/>
      <c r="AM4233" s="10"/>
      <c r="AN4233" s="10"/>
      <c r="AO4233" s="10"/>
      <c r="AP4233" s="10"/>
      <c r="AQ4233" s="10"/>
      <c r="AR4233" s="10"/>
      <c r="AS4233" s="10"/>
      <c r="AT4233" s="10"/>
      <c r="AU4233" s="10"/>
      <c r="AV4233" s="10"/>
      <c r="AW4233" s="10"/>
      <c r="AX4233" s="10"/>
      <c r="AY4233" s="10"/>
      <c r="AZ4233" s="10"/>
    </row>
    <row r="4234" spans="31:52">
      <c r="AE4234" s="10"/>
      <c r="AF4234" s="10"/>
      <c r="AG4234" s="10"/>
      <c r="AH4234" s="10"/>
      <c r="AI4234" s="10"/>
      <c r="AJ4234" s="10"/>
      <c r="AK4234" s="10"/>
      <c r="AL4234" s="10"/>
      <c r="AM4234" s="10"/>
      <c r="AN4234" s="10"/>
      <c r="AO4234" s="10"/>
      <c r="AP4234" s="10"/>
      <c r="AQ4234" s="10"/>
      <c r="AR4234" s="10"/>
      <c r="AS4234" s="10"/>
      <c r="AT4234" s="10"/>
      <c r="AU4234" s="10"/>
      <c r="AV4234" s="10"/>
      <c r="AW4234" s="10"/>
      <c r="AX4234" s="10"/>
      <c r="AY4234" s="10"/>
      <c r="AZ4234" s="10"/>
    </row>
    <row r="4235" spans="31:52">
      <c r="AE4235" s="10"/>
      <c r="AF4235" s="10"/>
      <c r="AG4235" s="10"/>
      <c r="AH4235" s="10"/>
      <c r="AI4235" s="10"/>
      <c r="AJ4235" s="10"/>
      <c r="AK4235" s="10"/>
      <c r="AL4235" s="10"/>
      <c r="AM4235" s="10"/>
      <c r="AN4235" s="10"/>
      <c r="AO4235" s="10"/>
      <c r="AP4235" s="10"/>
      <c r="AQ4235" s="10"/>
      <c r="AR4235" s="10"/>
      <c r="AS4235" s="10"/>
      <c r="AT4235" s="10"/>
      <c r="AU4235" s="10"/>
      <c r="AV4235" s="10"/>
      <c r="AW4235" s="10"/>
      <c r="AX4235" s="10"/>
      <c r="AY4235" s="10"/>
      <c r="AZ4235" s="10"/>
    </row>
    <row r="4236" spans="31:52">
      <c r="AE4236" s="10"/>
      <c r="AF4236" s="10"/>
      <c r="AG4236" s="10"/>
      <c r="AH4236" s="10"/>
      <c r="AI4236" s="10"/>
      <c r="AJ4236" s="10"/>
      <c r="AK4236" s="10"/>
      <c r="AL4236" s="10"/>
      <c r="AM4236" s="10"/>
      <c r="AN4236" s="10"/>
      <c r="AO4236" s="10"/>
      <c r="AP4236" s="10"/>
      <c r="AQ4236" s="10"/>
      <c r="AR4236" s="10"/>
      <c r="AS4236" s="10"/>
      <c r="AT4236" s="10"/>
      <c r="AU4236" s="10"/>
      <c r="AV4236" s="10"/>
      <c r="AW4236" s="10"/>
      <c r="AX4236" s="10"/>
      <c r="AY4236" s="10"/>
      <c r="AZ4236" s="10"/>
    </row>
    <row r="4237" spans="31:52">
      <c r="AE4237" s="10"/>
      <c r="AF4237" s="10"/>
      <c r="AG4237" s="10"/>
      <c r="AH4237" s="10"/>
      <c r="AI4237" s="10"/>
      <c r="AJ4237" s="10"/>
      <c r="AK4237" s="10"/>
      <c r="AL4237" s="10"/>
      <c r="AM4237" s="10"/>
      <c r="AN4237" s="10"/>
      <c r="AO4237" s="10"/>
      <c r="AP4237" s="10"/>
      <c r="AQ4237" s="10"/>
      <c r="AR4237" s="10"/>
      <c r="AS4237" s="10"/>
      <c r="AT4237" s="10"/>
      <c r="AU4237" s="10"/>
      <c r="AV4237" s="10"/>
      <c r="AW4237" s="10"/>
      <c r="AX4237" s="10"/>
      <c r="AY4237" s="10"/>
      <c r="AZ4237" s="10"/>
    </row>
    <row r="4238" spans="31:52">
      <c r="AE4238" s="10"/>
      <c r="AF4238" s="10"/>
      <c r="AG4238" s="10"/>
      <c r="AH4238" s="10"/>
      <c r="AI4238" s="10"/>
      <c r="AJ4238" s="10"/>
      <c r="AK4238" s="10"/>
      <c r="AL4238" s="10"/>
      <c r="AM4238" s="10"/>
      <c r="AN4238" s="10"/>
      <c r="AO4238" s="10"/>
      <c r="AP4238" s="10"/>
      <c r="AQ4238" s="10"/>
      <c r="AR4238" s="10"/>
      <c r="AS4238" s="10"/>
      <c r="AT4238" s="10"/>
      <c r="AU4238" s="10"/>
      <c r="AV4238" s="10"/>
      <c r="AW4238" s="10"/>
      <c r="AX4238" s="10"/>
      <c r="AY4238" s="10"/>
      <c r="AZ4238" s="10"/>
    </row>
    <row r="4239" spans="31:52">
      <c r="AE4239" s="10"/>
      <c r="AF4239" s="10"/>
      <c r="AG4239" s="10"/>
      <c r="AH4239" s="10"/>
      <c r="AI4239" s="10"/>
      <c r="AJ4239" s="10"/>
      <c r="AK4239" s="10"/>
      <c r="AL4239" s="10"/>
      <c r="AM4239" s="10"/>
      <c r="AN4239" s="10"/>
      <c r="AO4239" s="10"/>
      <c r="AP4239" s="10"/>
      <c r="AQ4239" s="10"/>
      <c r="AR4239" s="10"/>
      <c r="AS4239" s="10"/>
      <c r="AT4239" s="10"/>
      <c r="AU4239" s="10"/>
      <c r="AV4239" s="10"/>
      <c r="AW4239" s="10"/>
      <c r="AX4239" s="10"/>
      <c r="AY4239" s="10"/>
      <c r="AZ4239" s="10"/>
    </row>
    <row r="4240" spans="31:52">
      <c r="AE4240" s="10"/>
      <c r="AF4240" s="10"/>
      <c r="AG4240" s="10"/>
      <c r="AH4240" s="10"/>
      <c r="AI4240" s="10"/>
      <c r="AJ4240" s="10"/>
      <c r="AK4240" s="10"/>
      <c r="AL4240" s="10"/>
      <c r="AM4240" s="10"/>
      <c r="AN4240" s="10"/>
      <c r="AO4240" s="10"/>
      <c r="AP4240" s="10"/>
      <c r="AQ4240" s="10"/>
      <c r="AR4240" s="10"/>
      <c r="AS4240" s="10"/>
      <c r="AT4240" s="10"/>
      <c r="AU4240" s="10"/>
      <c r="AV4240" s="10"/>
      <c r="AW4240" s="10"/>
      <c r="AX4240" s="10"/>
      <c r="AY4240" s="10"/>
      <c r="AZ4240" s="10"/>
    </row>
    <row r="4241" spans="31:52">
      <c r="AE4241" s="10"/>
      <c r="AF4241" s="10"/>
      <c r="AG4241" s="10"/>
      <c r="AH4241" s="10"/>
      <c r="AI4241" s="10"/>
      <c r="AJ4241" s="10"/>
      <c r="AK4241" s="10"/>
      <c r="AL4241" s="10"/>
      <c r="AM4241" s="10"/>
      <c r="AN4241" s="10"/>
      <c r="AO4241" s="10"/>
      <c r="AP4241" s="10"/>
      <c r="AQ4241" s="10"/>
      <c r="AR4241" s="10"/>
      <c r="AS4241" s="10"/>
      <c r="AT4241" s="10"/>
      <c r="AU4241" s="10"/>
      <c r="AV4241" s="10"/>
      <c r="AW4241" s="10"/>
      <c r="AX4241" s="10"/>
      <c r="AY4241" s="10"/>
      <c r="AZ4241" s="10"/>
    </row>
    <row r="4242" spans="31:52">
      <c r="AE4242" s="10"/>
      <c r="AF4242" s="10"/>
      <c r="AG4242" s="10"/>
      <c r="AH4242" s="10"/>
      <c r="AI4242" s="10"/>
      <c r="AJ4242" s="10"/>
      <c r="AK4242" s="10"/>
      <c r="AL4242" s="10"/>
      <c r="AM4242" s="10"/>
      <c r="AN4242" s="10"/>
      <c r="AO4242" s="10"/>
      <c r="AP4242" s="10"/>
      <c r="AQ4242" s="10"/>
      <c r="AR4242" s="10"/>
      <c r="AS4242" s="10"/>
      <c r="AT4242" s="10"/>
      <c r="AU4242" s="10"/>
      <c r="AV4242" s="10"/>
      <c r="AW4242" s="10"/>
      <c r="AX4242" s="10"/>
      <c r="AY4242" s="10"/>
      <c r="AZ4242" s="10"/>
    </row>
    <row r="4243" spans="31:52">
      <c r="AE4243" s="10"/>
      <c r="AF4243" s="10"/>
      <c r="AG4243" s="10"/>
      <c r="AH4243" s="10"/>
      <c r="AI4243" s="10"/>
      <c r="AJ4243" s="10"/>
      <c r="AK4243" s="10"/>
      <c r="AL4243" s="10"/>
      <c r="AM4243" s="10"/>
      <c r="AN4243" s="10"/>
      <c r="AO4243" s="10"/>
      <c r="AP4243" s="10"/>
      <c r="AQ4243" s="10"/>
      <c r="AR4243" s="10"/>
      <c r="AS4243" s="10"/>
      <c r="AT4243" s="10"/>
      <c r="AU4243" s="10"/>
      <c r="AV4243" s="10"/>
      <c r="AW4243" s="10"/>
      <c r="AX4243" s="10"/>
      <c r="AY4243" s="10"/>
      <c r="AZ4243" s="10"/>
    </row>
    <row r="4244" spans="31:52">
      <c r="AE4244" s="10"/>
      <c r="AF4244" s="10"/>
      <c r="AG4244" s="10"/>
      <c r="AH4244" s="10"/>
      <c r="AI4244" s="10"/>
      <c r="AJ4244" s="10"/>
      <c r="AK4244" s="10"/>
      <c r="AL4244" s="10"/>
      <c r="AM4244" s="10"/>
      <c r="AN4244" s="10"/>
      <c r="AO4244" s="10"/>
      <c r="AP4244" s="10"/>
      <c r="AQ4244" s="10"/>
      <c r="AR4244" s="10"/>
      <c r="AS4244" s="10"/>
      <c r="AT4244" s="10"/>
      <c r="AU4244" s="10"/>
      <c r="AV4244" s="10"/>
      <c r="AW4244" s="10"/>
      <c r="AX4244" s="10"/>
      <c r="AY4244" s="10"/>
      <c r="AZ4244" s="10"/>
    </row>
    <row r="4245" spans="31:52">
      <c r="AE4245" s="10"/>
      <c r="AF4245" s="10"/>
      <c r="AG4245" s="10"/>
      <c r="AH4245" s="10"/>
      <c r="AI4245" s="10"/>
      <c r="AJ4245" s="10"/>
      <c r="AK4245" s="10"/>
      <c r="AL4245" s="10"/>
      <c r="AM4245" s="10"/>
      <c r="AN4245" s="10"/>
      <c r="AO4245" s="10"/>
      <c r="AP4245" s="10"/>
      <c r="AQ4245" s="10"/>
      <c r="AR4245" s="10"/>
      <c r="AS4245" s="10"/>
      <c r="AT4245" s="10"/>
      <c r="AU4245" s="10"/>
      <c r="AV4245" s="10"/>
      <c r="AW4245" s="10"/>
      <c r="AX4245" s="10"/>
      <c r="AY4245" s="10"/>
      <c r="AZ4245" s="10"/>
    </row>
    <row r="4246" spans="31:52">
      <c r="AE4246" s="10"/>
      <c r="AF4246" s="10"/>
      <c r="AG4246" s="10"/>
      <c r="AH4246" s="10"/>
      <c r="AI4246" s="10"/>
      <c r="AJ4246" s="10"/>
      <c r="AK4246" s="10"/>
      <c r="AL4246" s="10"/>
      <c r="AM4246" s="10"/>
      <c r="AN4246" s="10"/>
      <c r="AO4246" s="10"/>
      <c r="AP4246" s="10"/>
      <c r="AQ4246" s="10"/>
      <c r="AR4246" s="10"/>
      <c r="AS4246" s="10"/>
      <c r="AT4246" s="10"/>
      <c r="AU4246" s="10"/>
      <c r="AV4246" s="10"/>
      <c r="AW4246" s="10"/>
      <c r="AX4246" s="10"/>
      <c r="AY4246" s="10"/>
      <c r="AZ4246" s="10"/>
    </row>
    <row r="4247" spans="31:52">
      <c r="AE4247" s="10"/>
      <c r="AF4247" s="10"/>
      <c r="AG4247" s="10"/>
      <c r="AH4247" s="10"/>
      <c r="AI4247" s="10"/>
      <c r="AJ4247" s="10"/>
      <c r="AK4247" s="10"/>
      <c r="AL4247" s="10"/>
      <c r="AM4247" s="10"/>
      <c r="AN4247" s="10"/>
      <c r="AO4247" s="10"/>
      <c r="AP4247" s="10"/>
      <c r="AQ4247" s="10"/>
      <c r="AR4247" s="10"/>
      <c r="AS4247" s="10"/>
      <c r="AT4247" s="10"/>
      <c r="AU4247" s="10"/>
      <c r="AV4247" s="10"/>
      <c r="AW4247" s="10"/>
      <c r="AX4247" s="10"/>
      <c r="AY4247" s="10"/>
      <c r="AZ4247" s="10"/>
    </row>
    <row r="4248" spans="31:52">
      <c r="AE4248" s="10"/>
      <c r="AF4248" s="10"/>
      <c r="AG4248" s="10"/>
      <c r="AH4248" s="10"/>
      <c r="AI4248" s="10"/>
      <c r="AJ4248" s="10"/>
      <c r="AK4248" s="10"/>
      <c r="AL4248" s="10"/>
      <c r="AM4248" s="10"/>
      <c r="AN4248" s="10"/>
      <c r="AO4248" s="10"/>
      <c r="AP4248" s="10"/>
      <c r="AQ4248" s="10"/>
      <c r="AR4248" s="10"/>
      <c r="AS4248" s="10"/>
      <c r="AT4248" s="10"/>
      <c r="AU4248" s="10"/>
      <c r="AV4248" s="10"/>
      <c r="AW4248" s="10"/>
      <c r="AX4248" s="10"/>
      <c r="AY4248" s="10"/>
      <c r="AZ4248" s="10"/>
    </row>
    <row r="4249" spans="31:52">
      <c r="AE4249" s="10"/>
      <c r="AF4249" s="10"/>
      <c r="AG4249" s="10"/>
      <c r="AH4249" s="10"/>
      <c r="AI4249" s="10"/>
      <c r="AJ4249" s="10"/>
      <c r="AK4249" s="10"/>
      <c r="AL4249" s="10"/>
      <c r="AM4249" s="10"/>
      <c r="AN4249" s="10"/>
      <c r="AO4249" s="10"/>
      <c r="AP4249" s="10"/>
      <c r="AQ4249" s="10"/>
      <c r="AR4249" s="10"/>
      <c r="AS4249" s="10"/>
      <c r="AT4249" s="10"/>
      <c r="AU4249" s="10"/>
      <c r="AV4249" s="10"/>
      <c r="AW4249" s="10"/>
      <c r="AX4249" s="10"/>
      <c r="AY4249" s="10"/>
      <c r="AZ4249" s="10"/>
    </row>
    <row r="4250" spans="31:52">
      <c r="AE4250" s="10"/>
      <c r="AF4250" s="10"/>
      <c r="AG4250" s="10"/>
      <c r="AH4250" s="10"/>
      <c r="AI4250" s="10"/>
      <c r="AJ4250" s="10"/>
      <c r="AK4250" s="10"/>
      <c r="AL4250" s="10"/>
      <c r="AM4250" s="10"/>
      <c r="AN4250" s="10"/>
      <c r="AO4250" s="10"/>
      <c r="AP4250" s="10"/>
      <c r="AQ4250" s="10"/>
      <c r="AR4250" s="10"/>
      <c r="AS4250" s="10"/>
      <c r="AT4250" s="10"/>
      <c r="AU4250" s="10"/>
      <c r="AV4250" s="10"/>
      <c r="AW4250" s="10"/>
      <c r="AX4250" s="10"/>
      <c r="AY4250" s="10"/>
      <c r="AZ4250" s="10"/>
    </row>
    <row r="4251" spans="31:52">
      <c r="AE4251" s="10"/>
      <c r="AF4251" s="10"/>
      <c r="AG4251" s="10"/>
      <c r="AH4251" s="10"/>
      <c r="AI4251" s="10"/>
      <c r="AJ4251" s="10"/>
      <c r="AK4251" s="10"/>
      <c r="AL4251" s="10"/>
      <c r="AM4251" s="10"/>
      <c r="AN4251" s="10"/>
      <c r="AO4251" s="10"/>
      <c r="AP4251" s="10"/>
      <c r="AQ4251" s="10"/>
      <c r="AR4251" s="10"/>
      <c r="AS4251" s="10"/>
      <c r="AT4251" s="10"/>
      <c r="AU4251" s="10"/>
      <c r="AV4251" s="10"/>
      <c r="AW4251" s="10"/>
      <c r="AX4251" s="10"/>
      <c r="AY4251" s="10"/>
      <c r="AZ4251" s="10"/>
    </row>
    <row r="4252" spans="31:52">
      <c r="AE4252" s="10"/>
      <c r="AF4252" s="10"/>
      <c r="AG4252" s="10"/>
      <c r="AH4252" s="10"/>
      <c r="AI4252" s="10"/>
      <c r="AJ4252" s="10"/>
      <c r="AK4252" s="10"/>
      <c r="AL4252" s="10"/>
      <c r="AM4252" s="10"/>
      <c r="AN4252" s="10"/>
      <c r="AO4252" s="10"/>
      <c r="AP4252" s="10"/>
      <c r="AQ4252" s="10"/>
      <c r="AR4252" s="10"/>
      <c r="AS4252" s="10"/>
      <c r="AT4252" s="10"/>
      <c r="AU4252" s="10"/>
      <c r="AV4252" s="10"/>
      <c r="AW4252" s="10"/>
      <c r="AX4252" s="10"/>
      <c r="AY4252" s="10"/>
      <c r="AZ4252" s="10"/>
    </row>
    <row r="4253" spans="31:52">
      <c r="AE4253" s="10"/>
      <c r="AF4253" s="10"/>
      <c r="AG4253" s="10"/>
      <c r="AH4253" s="10"/>
      <c r="AI4253" s="10"/>
      <c r="AJ4253" s="10"/>
      <c r="AK4253" s="10"/>
      <c r="AL4253" s="10"/>
      <c r="AM4253" s="10"/>
      <c r="AN4253" s="10"/>
      <c r="AO4253" s="10"/>
      <c r="AP4253" s="10"/>
      <c r="AQ4253" s="10"/>
      <c r="AR4253" s="10"/>
      <c r="AS4253" s="10"/>
      <c r="AT4253" s="10"/>
      <c r="AU4253" s="10"/>
      <c r="AV4253" s="10"/>
      <c r="AW4253" s="10"/>
      <c r="AX4253" s="10"/>
      <c r="AY4253" s="10"/>
      <c r="AZ4253" s="10"/>
    </row>
    <row r="4254" spans="31:52">
      <c r="AE4254" s="10"/>
      <c r="AF4254" s="10"/>
      <c r="AG4254" s="10"/>
      <c r="AH4254" s="10"/>
      <c r="AI4254" s="10"/>
      <c r="AJ4254" s="10"/>
      <c r="AK4254" s="10"/>
      <c r="AL4254" s="10"/>
      <c r="AM4254" s="10"/>
      <c r="AN4254" s="10"/>
      <c r="AO4254" s="10"/>
      <c r="AP4254" s="10"/>
      <c r="AQ4254" s="10"/>
      <c r="AR4254" s="10"/>
      <c r="AS4254" s="10"/>
      <c r="AT4254" s="10"/>
      <c r="AU4254" s="10"/>
      <c r="AV4254" s="10"/>
      <c r="AW4254" s="10"/>
      <c r="AX4254" s="10"/>
      <c r="AY4254" s="10"/>
      <c r="AZ4254" s="10"/>
    </row>
    <row r="4255" spans="31:52">
      <c r="AE4255" s="10"/>
      <c r="AF4255" s="10"/>
      <c r="AG4255" s="10"/>
      <c r="AH4255" s="10"/>
      <c r="AI4255" s="10"/>
      <c r="AJ4255" s="10"/>
      <c r="AK4255" s="10"/>
      <c r="AL4255" s="10"/>
      <c r="AM4255" s="10"/>
      <c r="AN4255" s="10"/>
      <c r="AO4255" s="10"/>
      <c r="AP4255" s="10"/>
      <c r="AQ4255" s="10"/>
      <c r="AR4255" s="10"/>
      <c r="AS4255" s="10"/>
      <c r="AT4255" s="10"/>
      <c r="AU4255" s="10"/>
      <c r="AV4255" s="10"/>
      <c r="AW4255" s="10"/>
      <c r="AX4255" s="10"/>
      <c r="AY4255" s="10"/>
      <c r="AZ4255" s="10"/>
    </row>
    <row r="4256" spans="31:52">
      <c r="AE4256" s="10"/>
      <c r="AF4256" s="10"/>
      <c r="AG4256" s="10"/>
      <c r="AH4256" s="10"/>
      <c r="AI4256" s="10"/>
      <c r="AJ4256" s="10"/>
      <c r="AK4256" s="10"/>
      <c r="AL4256" s="10"/>
      <c r="AM4256" s="10"/>
      <c r="AN4256" s="10"/>
      <c r="AO4256" s="10"/>
      <c r="AP4256" s="10"/>
      <c r="AQ4256" s="10"/>
      <c r="AR4256" s="10"/>
      <c r="AS4256" s="10"/>
      <c r="AT4256" s="10"/>
      <c r="AU4256" s="10"/>
      <c r="AV4256" s="10"/>
      <c r="AW4256" s="10"/>
      <c r="AX4256" s="10"/>
      <c r="AY4256" s="10"/>
      <c r="AZ4256" s="10"/>
    </row>
    <row r="4257" spans="31:52">
      <c r="AE4257" s="10"/>
      <c r="AF4257" s="10"/>
      <c r="AG4257" s="10"/>
      <c r="AH4257" s="10"/>
      <c r="AI4257" s="10"/>
      <c r="AJ4257" s="10"/>
      <c r="AK4257" s="10"/>
      <c r="AL4257" s="10"/>
      <c r="AM4257" s="10"/>
      <c r="AN4257" s="10"/>
      <c r="AO4257" s="10"/>
      <c r="AP4257" s="10"/>
      <c r="AQ4257" s="10"/>
      <c r="AR4257" s="10"/>
      <c r="AS4257" s="10"/>
      <c r="AT4257" s="10"/>
      <c r="AU4257" s="10"/>
      <c r="AV4257" s="10"/>
      <c r="AW4257" s="10"/>
      <c r="AX4257" s="10"/>
      <c r="AY4257" s="10"/>
      <c r="AZ4257" s="10"/>
    </row>
    <row r="4258" spans="31:52">
      <c r="AE4258" s="10"/>
      <c r="AF4258" s="10"/>
      <c r="AG4258" s="10"/>
      <c r="AH4258" s="10"/>
      <c r="AI4258" s="10"/>
      <c r="AJ4258" s="10"/>
      <c r="AK4258" s="10"/>
      <c r="AL4258" s="10"/>
      <c r="AM4258" s="10"/>
      <c r="AN4258" s="10"/>
      <c r="AO4258" s="10"/>
      <c r="AP4258" s="10"/>
      <c r="AQ4258" s="10"/>
      <c r="AR4258" s="10"/>
      <c r="AS4258" s="10"/>
      <c r="AT4258" s="10"/>
      <c r="AU4258" s="10"/>
      <c r="AV4258" s="10"/>
      <c r="AW4258" s="10"/>
      <c r="AX4258" s="10"/>
      <c r="AY4258" s="10"/>
      <c r="AZ4258" s="10"/>
    </row>
    <row r="4259" spans="31:52">
      <c r="AE4259" s="10"/>
      <c r="AF4259" s="10"/>
      <c r="AG4259" s="10"/>
      <c r="AH4259" s="10"/>
      <c r="AI4259" s="10"/>
      <c r="AJ4259" s="10"/>
      <c r="AK4259" s="10"/>
      <c r="AL4259" s="10"/>
      <c r="AM4259" s="10"/>
      <c r="AN4259" s="10"/>
      <c r="AO4259" s="10"/>
      <c r="AP4259" s="10"/>
      <c r="AQ4259" s="10"/>
      <c r="AR4259" s="10"/>
      <c r="AS4259" s="10"/>
      <c r="AT4259" s="10"/>
      <c r="AU4259" s="10"/>
      <c r="AV4259" s="10"/>
      <c r="AW4259" s="10"/>
      <c r="AX4259" s="10"/>
      <c r="AY4259" s="10"/>
      <c r="AZ4259" s="10"/>
    </row>
    <row r="4260" spans="31:52">
      <c r="AE4260" s="10"/>
      <c r="AF4260" s="10"/>
      <c r="AG4260" s="10"/>
      <c r="AH4260" s="10"/>
      <c r="AI4260" s="10"/>
      <c r="AJ4260" s="10"/>
      <c r="AK4260" s="10"/>
      <c r="AL4260" s="10"/>
      <c r="AM4260" s="10"/>
      <c r="AN4260" s="10"/>
      <c r="AO4260" s="10"/>
      <c r="AP4260" s="10"/>
      <c r="AQ4260" s="10"/>
      <c r="AR4260" s="10"/>
      <c r="AS4260" s="10"/>
      <c r="AT4260" s="10"/>
      <c r="AU4260" s="10"/>
      <c r="AV4260" s="10"/>
      <c r="AW4260" s="10"/>
      <c r="AX4260" s="10"/>
      <c r="AY4260" s="10"/>
      <c r="AZ4260" s="10"/>
    </row>
    <row r="4261" spans="31:52">
      <c r="AE4261" s="10"/>
      <c r="AF4261" s="10"/>
      <c r="AG4261" s="10"/>
      <c r="AH4261" s="10"/>
      <c r="AI4261" s="10"/>
      <c r="AJ4261" s="10"/>
      <c r="AK4261" s="10"/>
      <c r="AL4261" s="10"/>
      <c r="AM4261" s="10"/>
      <c r="AN4261" s="10"/>
      <c r="AO4261" s="10"/>
      <c r="AP4261" s="10"/>
      <c r="AQ4261" s="10"/>
      <c r="AR4261" s="10"/>
      <c r="AS4261" s="10"/>
      <c r="AT4261" s="10"/>
      <c r="AU4261" s="10"/>
      <c r="AV4261" s="10"/>
      <c r="AW4261" s="10"/>
      <c r="AX4261" s="10"/>
      <c r="AY4261" s="10"/>
      <c r="AZ4261" s="10"/>
    </row>
    <row r="4262" spans="31:52">
      <c r="AE4262" s="10"/>
      <c r="AF4262" s="10"/>
      <c r="AG4262" s="10"/>
      <c r="AH4262" s="10"/>
      <c r="AI4262" s="10"/>
      <c r="AJ4262" s="10"/>
      <c r="AK4262" s="10"/>
      <c r="AL4262" s="10"/>
      <c r="AM4262" s="10"/>
      <c r="AN4262" s="10"/>
      <c r="AO4262" s="10"/>
      <c r="AP4262" s="10"/>
      <c r="AQ4262" s="10"/>
      <c r="AR4262" s="10"/>
      <c r="AS4262" s="10"/>
      <c r="AT4262" s="10"/>
      <c r="AU4262" s="10"/>
      <c r="AV4262" s="10"/>
      <c r="AW4262" s="10"/>
      <c r="AX4262" s="10"/>
      <c r="AY4262" s="10"/>
      <c r="AZ4262" s="10"/>
    </row>
    <row r="4263" spans="31:52">
      <c r="AE4263" s="10"/>
      <c r="AF4263" s="10"/>
      <c r="AG4263" s="10"/>
      <c r="AH4263" s="10"/>
      <c r="AI4263" s="10"/>
      <c r="AJ4263" s="10"/>
      <c r="AK4263" s="10"/>
      <c r="AL4263" s="10"/>
      <c r="AM4263" s="10"/>
      <c r="AN4263" s="10"/>
      <c r="AO4263" s="10"/>
      <c r="AP4263" s="10"/>
      <c r="AQ4263" s="10"/>
      <c r="AR4263" s="10"/>
      <c r="AS4263" s="10"/>
      <c r="AT4263" s="10"/>
      <c r="AU4263" s="10"/>
      <c r="AV4263" s="10"/>
      <c r="AW4263" s="10"/>
      <c r="AX4263" s="10"/>
      <c r="AY4263" s="10"/>
      <c r="AZ4263" s="10"/>
    </row>
    <row r="4264" spans="31:52">
      <c r="AE4264" s="10"/>
      <c r="AF4264" s="10"/>
      <c r="AG4264" s="10"/>
      <c r="AH4264" s="10"/>
      <c r="AI4264" s="10"/>
      <c r="AJ4264" s="10"/>
      <c r="AK4264" s="10"/>
      <c r="AL4264" s="10"/>
      <c r="AM4264" s="10"/>
      <c r="AN4264" s="10"/>
      <c r="AO4264" s="10"/>
      <c r="AP4264" s="10"/>
      <c r="AQ4264" s="10"/>
      <c r="AR4264" s="10"/>
      <c r="AS4264" s="10"/>
      <c r="AT4264" s="10"/>
      <c r="AU4264" s="10"/>
      <c r="AV4264" s="10"/>
      <c r="AW4264" s="10"/>
      <c r="AX4264" s="10"/>
      <c r="AY4264" s="10"/>
      <c r="AZ4264" s="10"/>
    </row>
    <row r="4265" spans="31:52">
      <c r="AE4265" s="10"/>
      <c r="AF4265" s="10"/>
      <c r="AG4265" s="10"/>
      <c r="AH4265" s="10"/>
      <c r="AI4265" s="10"/>
      <c r="AJ4265" s="10"/>
      <c r="AK4265" s="10"/>
      <c r="AL4265" s="10"/>
      <c r="AM4265" s="10"/>
      <c r="AN4265" s="10"/>
      <c r="AO4265" s="10"/>
      <c r="AP4265" s="10"/>
      <c r="AQ4265" s="10"/>
      <c r="AR4265" s="10"/>
      <c r="AS4265" s="10"/>
      <c r="AT4265" s="10"/>
      <c r="AU4265" s="10"/>
      <c r="AV4265" s="10"/>
      <c r="AW4265" s="10"/>
      <c r="AX4265" s="10"/>
      <c r="AY4265" s="10"/>
      <c r="AZ4265" s="10"/>
    </row>
    <row r="4266" spans="31:52">
      <c r="AE4266" s="10"/>
      <c r="AF4266" s="10"/>
      <c r="AG4266" s="10"/>
      <c r="AH4266" s="10"/>
      <c r="AI4266" s="10"/>
      <c r="AJ4266" s="10"/>
      <c r="AK4266" s="10"/>
      <c r="AL4266" s="10"/>
      <c r="AM4266" s="10"/>
      <c r="AN4266" s="10"/>
      <c r="AO4266" s="10"/>
      <c r="AP4266" s="10"/>
      <c r="AQ4266" s="10"/>
      <c r="AR4266" s="10"/>
      <c r="AS4266" s="10"/>
      <c r="AT4266" s="10"/>
      <c r="AU4266" s="10"/>
      <c r="AV4266" s="10"/>
      <c r="AW4266" s="10"/>
      <c r="AX4266" s="10"/>
      <c r="AY4266" s="10"/>
      <c r="AZ4266" s="10"/>
    </row>
    <row r="4267" spans="31:52">
      <c r="AE4267" s="10"/>
      <c r="AF4267" s="10"/>
      <c r="AG4267" s="10"/>
      <c r="AH4267" s="10"/>
      <c r="AI4267" s="10"/>
      <c r="AJ4267" s="10"/>
      <c r="AK4267" s="10"/>
      <c r="AL4267" s="10"/>
      <c r="AM4267" s="10"/>
      <c r="AN4267" s="10"/>
      <c r="AO4267" s="10"/>
      <c r="AP4267" s="10"/>
      <c r="AQ4267" s="10"/>
      <c r="AR4267" s="10"/>
      <c r="AS4267" s="10"/>
      <c r="AT4267" s="10"/>
      <c r="AU4267" s="10"/>
      <c r="AV4267" s="10"/>
      <c r="AW4267" s="10"/>
      <c r="AX4267" s="10"/>
      <c r="AY4267" s="10"/>
      <c r="AZ4267" s="10"/>
    </row>
    <row r="4268" spans="31:52">
      <c r="AE4268" s="10"/>
      <c r="AF4268" s="10"/>
      <c r="AG4268" s="10"/>
      <c r="AH4268" s="10"/>
      <c r="AI4268" s="10"/>
      <c r="AJ4268" s="10"/>
      <c r="AK4268" s="10"/>
      <c r="AL4268" s="10"/>
      <c r="AM4268" s="10"/>
      <c r="AN4268" s="10"/>
      <c r="AO4268" s="10"/>
      <c r="AP4268" s="10"/>
      <c r="AQ4268" s="10"/>
      <c r="AR4268" s="10"/>
      <c r="AS4268" s="10"/>
      <c r="AT4268" s="10"/>
      <c r="AU4268" s="10"/>
      <c r="AV4268" s="10"/>
      <c r="AW4268" s="10"/>
      <c r="AX4268" s="10"/>
      <c r="AY4268" s="10"/>
      <c r="AZ4268" s="10"/>
    </row>
    <row r="4269" spans="31:52">
      <c r="AE4269" s="10"/>
      <c r="AF4269" s="10"/>
      <c r="AG4269" s="10"/>
      <c r="AH4269" s="10"/>
      <c r="AI4269" s="10"/>
      <c r="AJ4269" s="10"/>
      <c r="AK4269" s="10"/>
      <c r="AL4269" s="10"/>
      <c r="AM4269" s="10"/>
      <c r="AN4269" s="10"/>
      <c r="AO4269" s="10"/>
      <c r="AP4269" s="10"/>
      <c r="AQ4269" s="10"/>
      <c r="AR4269" s="10"/>
      <c r="AS4269" s="10"/>
      <c r="AT4269" s="10"/>
      <c r="AU4269" s="10"/>
      <c r="AV4269" s="10"/>
      <c r="AW4269" s="10"/>
      <c r="AX4269" s="10"/>
      <c r="AY4269" s="10"/>
      <c r="AZ4269" s="10"/>
    </row>
    <row r="4270" spans="31:52">
      <c r="AE4270" s="10"/>
      <c r="AF4270" s="10"/>
      <c r="AG4270" s="10"/>
      <c r="AH4270" s="10"/>
      <c r="AI4270" s="10"/>
      <c r="AJ4270" s="10"/>
      <c r="AK4270" s="10"/>
      <c r="AL4270" s="10"/>
      <c r="AM4270" s="10"/>
      <c r="AN4270" s="10"/>
      <c r="AO4270" s="10"/>
      <c r="AP4270" s="10"/>
      <c r="AQ4270" s="10"/>
      <c r="AR4270" s="10"/>
      <c r="AS4270" s="10"/>
      <c r="AT4270" s="10"/>
      <c r="AU4270" s="10"/>
      <c r="AV4270" s="10"/>
      <c r="AW4270" s="10"/>
      <c r="AX4270" s="10"/>
      <c r="AY4270" s="10"/>
      <c r="AZ4270" s="10"/>
    </row>
    <row r="4271" spans="31:52">
      <c r="AE4271" s="10"/>
      <c r="AF4271" s="10"/>
      <c r="AG4271" s="10"/>
      <c r="AH4271" s="10"/>
      <c r="AI4271" s="10"/>
      <c r="AJ4271" s="10"/>
      <c r="AK4271" s="10"/>
      <c r="AL4271" s="10"/>
      <c r="AM4271" s="10"/>
      <c r="AN4271" s="10"/>
      <c r="AO4271" s="10"/>
      <c r="AP4271" s="10"/>
      <c r="AQ4271" s="10"/>
      <c r="AR4271" s="10"/>
      <c r="AS4271" s="10"/>
      <c r="AT4271" s="10"/>
      <c r="AU4271" s="10"/>
      <c r="AV4271" s="10"/>
      <c r="AW4271" s="10"/>
      <c r="AX4271" s="10"/>
      <c r="AY4271" s="10"/>
      <c r="AZ4271" s="10"/>
    </row>
    <row r="4272" spans="31:52">
      <c r="AE4272" s="10"/>
      <c r="AF4272" s="10"/>
      <c r="AG4272" s="10"/>
      <c r="AH4272" s="10"/>
      <c r="AI4272" s="10"/>
      <c r="AJ4272" s="10"/>
      <c r="AK4272" s="10"/>
      <c r="AL4272" s="10"/>
      <c r="AM4272" s="10"/>
      <c r="AN4272" s="10"/>
      <c r="AO4272" s="10"/>
      <c r="AP4272" s="10"/>
      <c r="AQ4272" s="10"/>
      <c r="AR4272" s="10"/>
      <c r="AS4272" s="10"/>
      <c r="AT4272" s="10"/>
      <c r="AU4272" s="10"/>
      <c r="AV4272" s="10"/>
      <c r="AW4272" s="10"/>
      <c r="AX4272" s="10"/>
      <c r="AY4272" s="10"/>
      <c r="AZ4272" s="10"/>
    </row>
    <row r="4273" spans="31:52">
      <c r="AE4273" s="10"/>
      <c r="AF4273" s="10"/>
      <c r="AG4273" s="10"/>
      <c r="AH4273" s="10"/>
      <c r="AI4273" s="10"/>
      <c r="AJ4273" s="10"/>
      <c r="AK4273" s="10"/>
      <c r="AL4273" s="10"/>
      <c r="AM4273" s="10"/>
      <c r="AN4273" s="10"/>
      <c r="AO4273" s="10"/>
      <c r="AP4273" s="10"/>
      <c r="AQ4273" s="10"/>
      <c r="AR4273" s="10"/>
      <c r="AS4273" s="10"/>
      <c r="AT4273" s="10"/>
      <c r="AU4273" s="10"/>
      <c r="AV4273" s="10"/>
      <c r="AW4273" s="10"/>
      <c r="AX4273" s="10"/>
      <c r="AY4273" s="10"/>
      <c r="AZ4273" s="10"/>
    </row>
    <row r="4274" spans="31:52">
      <c r="AE4274" s="10"/>
      <c r="AF4274" s="10"/>
      <c r="AG4274" s="10"/>
      <c r="AH4274" s="10"/>
      <c r="AI4274" s="10"/>
      <c r="AJ4274" s="10"/>
      <c r="AK4274" s="10"/>
      <c r="AL4274" s="10"/>
      <c r="AM4274" s="10"/>
      <c r="AN4274" s="10"/>
      <c r="AO4274" s="10"/>
      <c r="AP4274" s="10"/>
      <c r="AQ4274" s="10"/>
      <c r="AR4274" s="10"/>
      <c r="AS4274" s="10"/>
      <c r="AT4274" s="10"/>
      <c r="AU4274" s="10"/>
      <c r="AV4274" s="10"/>
      <c r="AW4274" s="10"/>
      <c r="AX4274" s="10"/>
      <c r="AY4274" s="10"/>
      <c r="AZ4274" s="10"/>
    </row>
    <row r="4275" spans="31:52">
      <c r="AE4275" s="10"/>
      <c r="AF4275" s="10"/>
      <c r="AG4275" s="10"/>
      <c r="AH4275" s="10"/>
      <c r="AI4275" s="10"/>
      <c r="AJ4275" s="10"/>
      <c r="AK4275" s="10"/>
      <c r="AL4275" s="10"/>
      <c r="AM4275" s="10"/>
      <c r="AN4275" s="10"/>
      <c r="AO4275" s="10"/>
      <c r="AP4275" s="10"/>
      <c r="AQ4275" s="10"/>
      <c r="AR4275" s="10"/>
      <c r="AS4275" s="10"/>
      <c r="AT4275" s="10"/>
      <c r="AU4275" s="10"/>
      <c r="AV4275" s="10"/>
      <c r="AW4275" s="10"/>
      <c r="AX4275" s="10"/>
      <c r="AY4275" s="10"/>
      <c r="AZ4275" s="10"/>
    </row>
    <row r="4276" spans="31:52">
      <c r="AE4276" s="10"/>
      <c r="AF4276" s="10"/>
      <c r="AG4276" s="10"/>
      <c r="AH4276" s="10"/>
      <c r="AI4276" s="10"/>
      <c r="AJ4276" s="10"/>
      <c r="AK4276" s="10"/>
      <c r="AL4276" s="10"/>
      <c r="AM4276" s="10"/>
      <c r="AN4276" s="10"/>
      <c r="AO4276" s="10"/>
      <c r="AP4276" s="10"/>
      <c r="AQ4276" s="10"/>
      <c r="AR4276" s="10"/>
      <c r="AS4276" s="10"/>
      <c r="AT4276" s="10"/>
      <c r="AU4276" s="10"/>
      <c r="AV4276" s="10"/>
      <c r="AW4276" s="10"/>
      <c r="AX4276" s="10"/>
      <c r="AY4276" s="10"/>
      <c r="AZ4276" s="10"/>
    </row>
    <row r="4277" spans="31:52">
      <c r="AE4277" s="10"/>
      <c r="AF4277" s="10"/>
      <c r="AG4277" s="10"/>
      <c r="AH4277" s="10"/>
      <c r="AI4277" s="10"/>
      <c r="AJ4277" s="10"/>
      <c r="AK4277" s="10"/>
      <c r="AL4277" s="10"/>
      <c r="AM4277" s="10"/>
      <c r="AN4277" s="10"/>
      <c r="AO4277" s="10"/>
      <c r="AP4277" s="10"/>
      <c r="AQ4277" s="10"/>
      <c r="AR4277" s="10"/>
      <c r="AS4277" s="10"/>
      <c r="AT4277" s="10"/>
      <c r="AU4277" s="10"/>
      <c r="AV4277" s="10"/>
      <c r="AW4277" s="10"/>
      <c r="AX4277" s="10"/>
      <c r="AY4277" s="10"/>
      <c r="AZ4277" s="10"/>
    </row>
    <row r="4278" spans="31:52">
      <c r="AE4278" s="10"/>
      <c r="AF4278" s="10"/>
      <c r="AG4278" s="10"/>
      <c r="AH4278" s="10"/>
      <c r="AI4278" s="10"/>
      <c r="AJ4278" s="10"/>
      <c r="AK4278" s="10"/>
      <c r="AL4278" s="10"/>
      <c r="AM4278" s="10"/>
      <c r="AN4278" s="10"/>
      <c r="AO4278" s="10"/>
      <c r="AP4278" s="10"/>
      <c r="AQ4278" s="10"/>
      <c r="AR4278" s="10"/>
      <c r="AS4278" s="10"/>
      <c r="AT4278" s="10"/>
      <c r="AU4278" s="10"/>
      <c r="AV4278" s="10"/>
      <c r="AW4278" s="10"/>
      <c r="AX4278" s="10"/>
      <c r="AY4278" s="10"/>
      <c r="AZ4278" s="10"/>
    </row>
    <row r="4279" spans="31:52">
      <c r="AE4279" s="10"/>
      <c r="AF4279" s="10"/>
      <c r="AG4279" s="10"/>
      <c r="AH4279" s="10"/>
      <c r="AI4279" s="10"/>
      <c r="AJ4279" s="10"/>
      <c r="AK4279" s="10"/>
      <c r="AL4279" s="10"/>
      <c r="AM4279" s="10"/>
      <c r="AN4279" s="10"/>
      <c r="AO4279" s="10"/>
      <c r="AP4279" s="10"/>
      <c r="AQ4279" s="10"/>
      <c r="AR4279" s="10"/>
      <c r="AS4279" s="10"/>
      <c r="AT4279" s="10"/>
      <c r="AU4279" s="10"/>
      <c r="AV4279" s="10"/>
      <c r="AW4279" s="10"/>
      <c r="AX4279" s="10"/>
      <c r="AY4279" s="10"/>
      <c r="AZ4279" s="10"/>
    </row>
    <row r="4280" spans="31:52">
      <c r="AE4280" s="10"/>
      <c r="AF4280" s="10"/>
      <c r="AG4280" s="10"/>
      <c r="AH4280" s="10"/>
      <c r="AI4280" s="10"/>
      <c r="AJ4280" s="10"/>
      <c r="AK4280" s="10"/>
      <c r="AL4280" s="10"/>
      <c r="AM4280" s="10"/>
      <c r="AN4280" s="10"/>
      <c r="AO4280" s="10"/>
      <c r="AP4280" s="10"/>
      <c r="AQ4280" s="10"/>
      <c r="AR4280" s="10"/>
      <c r="AS4280" s="10"/>
      <c r="AT4280" s="10"/>
      <c r="AU4280" s="10"/>
      <c r="AV4280" s="10"/>
      <c r="AW4280" s="10"/>
      <c r="AX4280" s="10"/>
      <c r="AY4280" s="10"/>
      <c r="AZ4280" s="10"/>
    </row>
    <row r="4281" spans="31:52">
      <c r="AE4281" s="10"/>
      <c r="AF4281" s="10"/>
      <c r="AG4281" s="10"/>
      <c r="AH4281" s="10"/>
      <c r="AI4281" s="10"/>
      <c r="AJ4281" s="10"/>
      <c r="AK4281" s="10"/>
      <c r="AL4281" s="10"/>
      <c r="AM4281" s="10"/>
      <c r="AN4281" s="10"/>
      <c r="AO4281" s="10"/>
      <c r="AP4281" s="10"/>
      <c r="AQ4281" s="10"/>
      <c r="AR4281" s="10"/>
      <c r="AS4281" s="10"/>
      <c r="AT4281" s="10"/>
      <c r="AU4281" s="10"/>
      <c r="AV4281" s="10"/>
      <c r="AW4281" s="10"/>
      <c r="AX4281" s="10"/>
      <c r="AY4281" s="10"/>
      <c r="AZ4281" s="10"/>
    </row>
    <row r="4282" spans="31:52">
      <c r="AE4282" s="10"/>
      <c r="AF4282" s="10"/>
      <c r="AG4282" s="10"/>
      <c r="AH4282" s="10"/>
      <c r="AI4282" s="10"/>
      <c r="AJ4282" s="10"/>
      <c r="AK4282" s="10"/>
      <c r="AL4282" s="10"/>
      <c r="AM4282" s="10"/>
      <c r="AN4282" s="10"/>
      <c r="AO4282" s="10"/>
      <c r="AP4282" s="10"/>
      <c r="AQ4282" s="10"/>
      <c r="AR4282" s="10"/>
      <c r="AS4282" s="10"/>
      <c r="AT4282" s="10"/>
      <c r="AU4282" s="10"/>
      <c r="AV4282" s="10"/>
      <c r="AW4282" s="10"/>
      <c r="AX4282" s="10"/>
      <c r="AY4282" s="10"/>
      <c r="AZ4282" s="10"/>
    </row>
    <row r="4283" spans="31:52">
      <c r="AE4283" s="10"/>
      <c r="AF4283" s="10"/>
      <c r="AG4283" s="10"/>
      <c r="AH4283" s="10"/>
      <c r="AI4283" s="10"/>
      <c r="AJ4283" s="10"/>
      <c r="AK4283" s="10"/>
      <c r="AL4283" s="10"/>
      <c r="AM4283" s="10"/>
      <c r="AN4283" s="10"/>
      <c r="AO4283" s="10"/>
      <c r="AP4283" s="10"/>
      <c r="AQ4283" s="10"/>
      <c r="AR4283" s="10"/>
      <c r="AS4283" s="10"/>
      <c r="AT4283" s="10"/>
      <c r="AU4283" s="10"/>
      <c r="AV4283" s="10"/>
      <c r="AW4283" s="10"/>
      <c r="AX4283" s="10"/>
      <c r="AY4283" s="10"/>
      <c r="AZ4283" s="10"/>
    </row>
    <row r="4284" spans="31:52">
      <c r="AE4284" s="10"/>
      <c r="AF4284" s="10"/>
      <c r="AG4284" s="10"/>
      <c r="AH4284" s="10"/>
      <c r="AI4284" s="10"/>
      <c r="AJ4284" s="10"/>
      <c r="AK4284" s="10"/>
      <c r="AL4284" s="10"/>
      <c r="AM4284" s="10"/>
      <c r="AN4284" s="10"/>
      <c r="AO4284" s="10"/>
      <c r="AP4284" s="10"/>
      <c r="AQ4284" s="10"/>
      <c r="AR4284" s="10"/>
      <c r="AS4284" s="10"/>
      <c r="AT4284" s="10"/>
      <c r="AU4284" s="10"/>
      <c r="AV4284" s="10"/>
      <c r="AW4284" s="10"/>
      <c r="AX4284" s="10"/>
      <c r="AY4284" s="10"/>
      <c r="AZ4284" s="10"/>
    </row>
    <row r="4285" spans="31:52">
      <c r="AE4285" s="10"/>
      <c r="AF4285" s="10"/>
      <c r="AG4285" s="10"/>
      <c r="AH4285" s="10"/>
      <c r="AI4285" s="10"/>
      <c r="AJ4285" s="10"/>
      <c r="AK4285" s="10"/>
      <c r="AL4285" s="10"/>
      <c r="AM4285" s="10"/>
      <c r="AN4285" s="10"/>
      <c r="AO4285" s="10"/>
      <c r="AP4285" s="10"/>
      <c r="AQ4285" s="10"/>
      <c r="AR4285" s="10"/>
      <c r="AS4285" s="10"/>
      <c r="AT4285" s="10"/>
      <c r="AU4285" s="10"/>
      <c r="AV4285" s="10"/>
      <c r="AW4285" s="10"/>
      <c r="AX4285" s="10"/>
      <c r="AY4285" s="10"/>
      <c r="AZ4285" s="10"/>
    </row>
    <row r="4286" spans="31:52">
      <c r="AE4286" s="10"/>
      <c r="AF4286" s="10"/>
      <c r="AG4286" s="10"/>
      <c r="AH4286" s="10"/>
      <c r="AI4286" s="10"/>
      <c r="AJ4286" s="10"/>
      <c r="AK4286" s="10"/>
      <c r="AL4286" s="10"/>
      <c r="AM4286" s="10"/>
      <c r="AN4286" s="10"/>
      <c r="AO4286" s="10"/>
      <c r="AP4286" s="10"/>
      <c r="AQ4286" s="10"/>
      <c r="AR4286" s="10"/>
      <c r="AS4286" s="10"/>
      <c r="AT4286" s="10"/>
      <c r="AU4286" s="10"/>
      <c r="AV4286" s="10"/>
      <c r="AW4286" s="10"/>
      <c r="AX4286" s="10"/>
      <c r="AY4286" s="10"/>
      <c r="AZ4286" s="10"/>
    </row>
    <row r="4287" spans="31:52">
      <c r="AE4287" s="10"/>
      <c r="AF4287" s="10"/>
      <c r="AG4287" s="10"/>
      <c r="AH4287" s="10"/>
      <c r="AI4287" s="10"/>
      <c r="AJ4287" s="10"/>
      <c r="AK4287" s="10"/>
      <c r="AL4287" s="10"/>
      <c r="AM4287" s="10"/>
      <c r="AN4287" s="10"/>
      <c r="AO4287" s="10"/>
      <c r="AP4287" s="10"/>
      <c r="AQ4287" s="10"/>
      <c r="AR4287" s="10"/>
      <c r="AS4287" s="10"/>
      <c r="AT4287" s="10"/>
      <c r="AU4287" s="10"/>
      <c r="AV4287" s="10"/>
      <c r="AW4287" s="10"/>
      <c r="AX4287" s="10"/>
      <c r="AY4287" s="10"/>
      <c r="AZ4287" s="10"/>
    </row>
    <row r="4288" spans="31:52">
      <c r="AE4288" s="10"/>
      <c r="AF4288" s="10"/>
      <c r="AG4288" s="10"/>
      <c r="AH4288" s="10"/>
      <c r="AI4288" s="10"/>
      <c r="AJ4288" s="10"/>
      <c r="AK4288" s="10"/>
      <c r="AL4288" s="10"/>
      <c r="AM4288" s="10"/>
      <c r="AN4288" s="10"/>
      <c r="AO4288" s="10"/>
      <c r="AP4288" s="10"/>
      <c r="AQ4288" s="10"/>
      <c r="AR4288" s="10"/>
      <c r="AS4288" s="10"/>
      <c r="AT4288" s="10"/>
      <c r="AU4288" s="10"/>
      <c r="AV4288" s="10"/>
      <c r="AW4288" s="10"/>
      <c r="AX4288" s="10"/>
      <c r="AY4288" s="10"/>
      <c r="AZ4288" s="10"/>
    </row>
    <row r="4289" spans="31:52">
      <c r="AE4289" s="10"/>
      <c r="AF4289" s="10"/>
      <c r="AG4289" s="10"/>
      <c r="AH4289" s="10"/>
      <c r="AI4289" s="10"/>
      <c r="AJ4289" s="10"/>
      <c r="AK4289" s="10"/>
      <c r="AL4289" s="10"/>
      <c r="AM4289" s="10"/>
      <c r="AN4289" s="10"/>
      <c r="AO4289" s="10"/>
      <c r="AP4289" s="10"/>
      <c r="AQ4289" s="10"/>
      <c r="AR4289" s="10"/>
      <c r="AS4289" s="10"/>
      <c r="AT4289" s="10"/>
      <c r="AU4289" s="10"/>
      <c r="AV4289" s="10"/>
      <c r="AW4289" s="10"/>
      <c r="AX4289" s="10"/>
      <c r="AY4289" s="10"/>
      <c r="AZ4289" s="10"/>
    </row>
    <row r="4290" spans="31:52">
      <c r="AE4290" s="10"/>
      <c r="AF4290" s="10"/>
      <c r="AG4290" s="10"/>
      <c r="AH4290" s="10"/>
      <c r="AI4290" s="10"/>
      <c r="AJ4290" s="10"/>
      <c r="AK4290" s="10"/>
      <c r="AL4290" s="10"/>
      <c r="AM4290" s="10"/>
      <c r="AN4290" s="10"/>
      <c r="AO4290" s="10"/>
      <c r="AP4290" s="10"/>
      <c r="AQ4290" s="10"/>
      <c r="AR4290" s="10"/>
      <c r="AS4290" s="10"/>
      <c r="AT4290" s="10"/>
      <c r="AU4290" s="10"/>
      <c r="AV4290" s="10"/>
      <c r="AW4290" s="10"/>
      <c r="AX4290" s="10"/>
      <c r="AY4290" s="10"/>
      <c r="AZ4290" s="10"/>
    </row>
    <row r="4291" spans="31:52">
      <c r="AE4291" s="10"/>
      <c r="AF4291" s="10"/>
      <c r="AG4291" s="10"/>
      <c r="AH4291" s="10"/>
      <c r="AI4291" s="10"/>
      <c r="AJ4291" s="10"/>
      <c r="AK4291" s="10"/>
      <c r="AL4291" s="10"/>
      <c r="AM4291" s="10"/>
      <c r="AN4291" s="10"/>
      <c r="AO4291" s="10"/>
      <c r="AP4291" s="10"/>
      <c r="AQ4291" s="10"/>
      <c r="AR4291" s="10"/>
      <c r="AS4291" s="10"/>
      <c r="AT4291" s="10"/>
      <c r="AU4291" s="10"/>
      <c r="AV4291" s="10"/>
      <c r="AW4291" s="10"/>
      <c r="AX4291" s="10"/>
      <c r="AY4291" s="10"/>
      <c r="AZ4291" s="10"/>
    </row>
    <row r="4292" spans="31:52">
      <c r="AE4292" s="10"/>
      <c r="AF4292" s="10"/>
      <c r="AG4292" s="10"/>
      <c r="AH4292" s="10"/>
      <c r="AI4292" s="10"/>
      <c r="AJ4292" s="10"/>
      <c r="AK4292" s="10"/>
      <c r="AL4292" s="10"/>
      <c r="AM4292" s="10"/>
      <c r="AN4292" s="10"/>
      <c r="AO4292" s="10"/>
      <c r="AP4292" s="10"/>
      <c r="AQ4292" s="10"/>
      <c r="AR4292" s="10"/>
      <c r="AS4292" s="10"/>
      <c r="AT4292" s="10"/>
      <c r="AU4292" s="10"/>
      <c r="AV4292" s="10"/>
      <c r="AW4292" s="10"/>
      <c r="AX4292" s="10"/>
      <c r="AY4292" s="10"/>
      <c r="AZ4292" s="10"/>
    </row>
    <row r="4293" spans="31:52">
      <c r="AE4293" s="10"/>
      <c r="AF4293" s="10"/>
      <c r="AG4293" s="10"/>
      <c r="AH4293" s="10"/>
      <c r="AI4293" s="10"/>
      <c r="AJ4293" s="10"/>
      <c r="AK4293" s="10"/>
      <c r="AL4293" s="10"/>
      <c r="AM4293" s="10"/>
      <c r="AN4293" s="10"/>
      <c r="AO4293" s="10"/>
      <c r="AP4293" s="10"/>
      <c r="AQ4293" s="10"/>
      <c r="AR4293" s="10"/>
      <c r="AS4293" s="10"/>
      <c r="AT4293" s="10"/>
      <c r="AU4293" s="10"/>
      <c r="AV4293" s="10"/>
      <c r="AW4293" s="10"/>
      <c r="AX4293" s="10"/>
      <c r="AY4293" s="10"/>
      <c r="AZ4293" s="10"/>
    </row>
    <row r="4294" spans="31:52">
      <c r="AE4294" s="10"/>
      <c r="AF4294" s="10"/>
      <c r="AG4294" s="10"/>
      <c r="AH4294" s="10"/>
      <c r="AI4294" s="10"/>
      <c r="AJ4294" s="10"/>
      <c r="AK4294" s="10"/>
      <c r="AL4294" s="10"/>
      <c r="AM4294" s="10"/>
      <c r="AN4294" s="10"/>
      <c r="AO4294" s="10"/>
      <c r="AP4294" s="10"/>
      <c r="AQ4294" s="10"/>
      <c r="AR4294" s="10"/>
      <c r="AS4294" s="10"/>
      <c r="AT4294" s="10"/>
      <c r="AU4294" s="10"/>
      <c r="AV4294" s="10"/>
      <c r="AW4294" s="10"/>
      <c r="AX4294" s="10"/>
      <c r="AY4294" s="10"/>
      <c r="AZ4294" s="10"/>
    </row>
    <row r="4295" spans="31:52">
      <c r="AE4295" s="10"/>
      <c r="AF4295" s="10"/>
      <c r="AG4295" s="10"/>
      <c r="AH4295" s="10"/>
      <c r="AI4295" s="10"/>
      <c r="AJ4295" s="10"/>
      <c r="AK4295" s="10"/>
      <c r="AL4295" s="10"/>
      <c r="AM4295" s="10"/>
      <c r="AN4295" s="10"/>
      <c r="AO4295" s="10"/>
      <c r="AP4295" s="10"/>
      <c r="AQ4295" s="10"/>
      <c r="AR4295" s="10"/>
      <c r="AS4295" s="10"/>
      <c r="AT4295" s="10"/>
      <c r="AU4295" s="10"/>
      <c r="AV4295" s="10"/>
      <c r="AW4295" s="10"/>
      <c r="AX4295" s="10"/>
      <c r="AY4295" s="10"/>
      <c r="AZ4295" s="10"/>
    </row>
    <row r="4296" spans="31:52">
      <c r="AE4296" s="10"/>
      <c r="AF4296" s="10"/>
      <c r="AG4296" s="10"/>
      <c r="AH4296" s="10"/>
      <c r="AI4296" s="10"/>
      <c r="AJ4296" s="10"/>
      <c r="AK4296" s="10"/>
      <c r="AL4296" s="10"/>
      <c r="AM4296" s="10"/>
      <c r="AN4296" s="10"/>
      <c r="AO4296" s="10"/>
      <c r="AP4296" s="10"/>
      <c r="AQ4296" s="10"/>
      <c r="AR4296" s="10"/>
      <c r="AS4296" s="10"/>
      <c r="AT4296" s="10"/>
      <c r="AU4296" s="10"/>
      <c r="AV4296" s="10"/>
      <c r="AW4296" s="10"/>
      <c r="AX4296" s="10"/>
      <c r="AY4296" s="10"/>
      <c r="AZ4296" s="10"/>
    </row>
    <row r="4297" spans="31:52">
      <c r="AE4297" s="10"/>
      <c r="AF4297" s="10"/>
      <c r="AG4297" s="10"/>
      <c r="AH4297" s="10"/>
      <c r="AI4297" s="10"/>
      <c r="AJ4297" s="10"/>
      <c r="AK4297" s="10"/>
      <c r="AL4297" s="10"/>
      <c r="AM4297" s="10"/>
      <c r="AN4297" s="10"/>
      <c r="AO4297" s="10"/>
      <c r="AP4297" s="10"/>
      <c r="AQ4297" s="10"/>
      <c r="AR4297" s="10"/>
      <c r="AS4297" s="10"/>
      <c r="AT4297" s="10"/>
      <c r="AU4297" s="10"/>
      <c r="AV4297" s="10"/>
      <c r="AW4297" s="10"/>
      <c r="AX4297" s="10"/>
      <c r="AY4297" s="10"/>
      <c r="AZ4297" s="10"/>
    </row>
    <row r="4298" spans="31:52">
      <c r="AE4298" s="10"/>
      <c r="AF4298" s="10"/>
      <c r="AG4298" s="10"/>
      <c r="AH4298" s="10"/>
      <c r="AI4298" s="10"/>
      <c r="AJ4298" s="10"/>
      <c r="AK4298" s="10"/>
      <c r="AL4298" s="10"/>
      <c r="AM4298" s="10"/>
      <c r="AN4298" s="10"/>
      <c r="AO4298" s="10"/>
      <c r="AP4298" s="10"/>
      <c r="AQ4298" s="10"/>
      <c r="AR4298" s="10"/>
      <c r="AS4298" s="10"/>
      <c r="AT4298" s="10"/>
      <c r="AU4298" s="10"/>
      <c r="AV4298" s="10"/>
      <c r="AW4298" s="10"/>
      <c r="AX4298" s="10"/>
      <c r="AY4298" s="10"/>
      <c r="AZ4298" s="10"/>
    </row>
    <row r="4299" spans="31:52">
      <c r="AE4299" s="10"/>
      <c r="AF4299" s="10"/>
      <c r="AG4299" s="10"/>
      <c r="AH4299" s="10"/>
      <c r="AI4299" s="10"/>
      <c r="AJ4299" s="10"/>
      <c r="AK4299" s="10"/>
      <c r="AL4299" s="10"/>
      <c r="AM4299" s="10"/>
      <c r="AN4299" s="10"/>
      <c r="AO4299" s="10"/>
      <c r="AP4299" s="10"/>
      <c r="AQ4299" s="10"/>
      <c r="AR4299" s="10"/>
      <c r="AS4299" s="10"/>
      <c r="AT4299" s="10"/>
      <c r="AU4299" s="10"/>
      <c r="AV4299" s="10"/>
      <c r="AW4299" s="10"/>
      <c r="AX4299" s="10"/>
      <c r="AY4299" s="10"/>
      <c r="AZ4299" s="10"/>
    </row>
    <row r="4300" spans="31:52">
      <c r="AE4300" s="10"/>
      <c r="AF4300" s="10"/>
      <c r="AG4300" s="10"/>
      <c r="AH4300" s="10"/>
      <c r="AI4300" s="10"/>
      <c r="AJ4300" s="10"/>
      <c r="AK4300" s="10"/>
      <c r="AL4300" s="10"/>
      <c r="AM4300" s="10"/>
      <c r="AN4300" s="10"/>
      <c r="AO4300" s="10"/>
      <c r="AP4300" s="10"/>
      <c r="AQ4300" s="10"/>
      <c r="AR4300" s="10"/>
      <c r="AS4300" s="10"/>
      <c r="AT4300" s="10"/>
      <c r="AU4300" s="10"/>
      <c r="AV4300" s="10"/>
      <c r="AW4300" s="10"/>
      <c r="AX4300" s="10"/>
      <c r="AY4300" s="10"/>
      <c r="AZ4300" s="10"/>
    </row>
    <row r="4301" spans="31:52">
      <c r="AE4301" s="10"/>
      <c r="AF4301" s="10"/>
      <c r="AG4301" s="10"/>
      <c r="AH4301" s="10"/>
      <c r="AI4301" s="10"/>
      <c r="AJ4301" s="10"/>
      <c r="AK4301" s="10"/>
      <c r="AL4301" s="10"/>
      <c r="AM4301" s="10"/>
      <c r="AN4301" s="10"/>
      <c r="AO4301" s="10"/>
      <c r="AP4301" s="10"/>
      <c r="AQ4301" s="10"/>
      <c r="AR4301" s="10"/>
      <c r="AS4301" s="10"/>
      <c r="AT4301" s="10"/>
      <c r="AU4301" s="10"/>
      <c r="AV4301" s="10"/>
      <c r="AW4301" s="10"/>
      <c r="AX4301" s="10"/>
      <c r="AY4301" s="10"/>
      <c r="AZ4301" s="10"/>
    </row>
    <row r="4302" spans="31:52">
      <c r="AE4302" s="10"/>
      <c r="AF4302" s="10"/>
      <c r="AG4302" s="10"/>
      <c r="AH4302" s="10"/>
      <c r="AI4302" s="10"/>
      <c r="AJ4302" s="10"/>
      <c r="AK4302" s="10"/>
      <c r="AL4302" s="10"/>
      <c r="AM4302" s="10"/>
      <c r="AN4302" s="10"/>
      <c r="AO4302" s="10"/>
      <c r="AP4302" s="10"/>
      <c r="AQ4302" s="10"/>
      <c r="AR4302" s="10"/>
      <c r="AS4302" s="10"/>
      <c r="AT4302" s="10"/>
      <c r="AU4302" s="10"/>
      <c r="AV4302" s="10"/>
      <c r="AW4302" s="10"/>
      <c r="AX4302" s="10"/>
      <c r="AY4302" s="10"/>
      <c r="AZ4302" s="10"/>
    </row>
    <row r="4303" spans="31:52">
      <c r="AE4303" s="10"/>
      <c r="AF4303" s="10"/>
      <c r="AG4303" s="10"/>
      <c r="AH4303" s="10"/>
      <c r="AI4303" s="10"/>
      <c r="AJ4303" s="10"/>
      <c r="AK4303" s="10"/>
      <c r="AL4303" s="10"/>
      <c r="AM4303" s="10"/>
      <c r="AN4303" s="10"/>
      <c r="AO4303" s="10"/>
      <c r="AP4303" s="10"/>
      <c r="AQ4303" s="10"/>
      <c r="AR4303" s="10"/>
      <c r="AS4303" s="10"/>
      <c r="AT4303" s="10"/>
      <c r="AU4303" s="10"/>
      <c r="AV4303" s="10"/>
      <c r="AW4303" s="10"/>
      <c r="AX4303" s="10"/>
      <c r="AY4303" s="10"/>
      <c r="AZ4303" s="10"/>
    </row>
    <row r="4304" spans="31:52">
      <c r="AE4304" s="10"/>
      <c r="AF4304" s="10"/>
      <c r="AG4304" s="10"/>
      <c r="AH4304" s="10"/>
      <c r="AI4304" s="10"/>
      <c r="AJ4304" s="10"/>
      <c r="AK4304" s="10"/>
      <c r="AL4304" s="10"/>
      <c r="AM4304" s="10"/>
      <c r="AN4304" s="10"/>
      <c r="AO4304" s="10"/>
      <c r="AP4304" s="10"/>
      <c r="AQ4304" s="10"/>
      <c r="AR4304" s="10"/>
      <c r="AS4304" s="10"/>
      <c r="AT4304" s="10"/>
      <c r="AU4304" s="10"/>
      <c r="AV4304" s="10"/>
      <c r="AW4304" s="10"/>
      <c r="AX4304" s="10"/>
      <c r="AY4304" s="10"/>
      <c r="AZ4304" s="10"/>
    </row>
    <row r="4305" spans="31:52">
      <c r="AE4305" s="10"/>
      <c r="AF4305" s="10"/>
      <c r="AG4305" s="10"/>
      <c r="AH4305" s="10"/>
      <c r="AI4305" s="10"/>
      <c r="AJ4305" s="10"/>
      <c r="AK4305" s="10"/>
      <c r="AL4305" s="10"/>
      <c r="AM4305" s="10"/>
      <c r="AN4305" s="10"/>
      <c r="AO4305" s="10"/>
      <c r="AP4305" s="10"/>
      <c r="AQ4305" s="10"/>
      <c r="AR4305" s="10"/>
      <c r="AS4305" s="10"/>
      <c r="AT4305" s="10"/>
      <c r="AU4305" s="10"/>
      <c r="AV4305" s="10"/>
      <c r="AW4305" s="10"/>
      <c r="AX4305" s="10"/>
      <c r="AY4305" s="10"/>
      <c r="AZ4305" s="10"/>
    </row>
    <row r="4306" spans="31:52">
      <c r="AE4306" s="10"/>
      <c r="AF4306" s="10"/>
      <c r="AG4306" s="10"/>
      <c r="AH4306" s="10"/>
      <c r="AI4306" s="10"/>
      <c r="AJ4306" s="10"/>
      <c r="AK4306" s="10"/>
      <c r="AL4306" s="10"/>
      <c r="AM4306" s="10"/>
      <c r="AN4306" s="10"/>
      <c r="AO4306" s="10"/>
      <c r="AP4306" s="10"/>
      <c r="AQ4306" s="10"/>
      <c r="AR4306" s="10"/>
      <c r="AS4306" s="10"/>
      <c r="AT4306" s="10"/>
      <c r="AU4306" s="10"/>
      <c r="AV4306" s="10"/>
      <c r="AW4306" s="10"/>
      <c r="AX4306" s="10"/>
      <c r="AY4306" s="10"/>
      <c r="AZ4306" s="10"/>
    </row>
    <row r="4307" spans="31:52">
      <c r="AE4307" s="10"/>
      <c r="AF4307" s="10"/>
      <c r="AG4307" s="10"/>
      <c r="AH4307" s="10"/>
      <c r="AI4307" s="10"/>
      <c r="AJ4307" s="10"/>
      <c r="AK4307" s="10"/>
      <c r="AL4307" s="10"/>
      <c r="AM4307" s="10"/>
      <c r="AN4307" s="10"/>
      <c r="AO4307" s="10"/>
      <c r="AP4307" s="10"/>
      <c r="AQ4307" s="10"/>
      <c r="AR4307" s="10"/>
      <c r="AS4307" s="10"/>
      <c r="AT4307" s="10"/>
      <c r="AU4307" s="10"/>
      <c r="AV4307" s="10"/>
      <c r="AW4307" s="10"/>
      <c r="AX4307" s="10"/>
      <c r="AY4307" s="10"/>
      <c r="AZ4307" s="10"/>
    </row>
    <row r="4308" spans="31:52">
      <c r="AE4308" s="10"/>
      <c r="AF4308" s="10"/>
      <c r="AG4308" s="10"/>
      <c r="AH4308" s="10"/>
      <c r="AI4308" s="10"/>
      <c r="AJ4308" s="10"/>
      <c r="AK4308" s="10"/>
      <c r="AL4308" s="10"/>
      <c r="AM4308" s="10"/>
      <c r="AN4308" s="10"/>
      <c r="AO4308" s="10"/>
      <c r="AP4308" s="10"/>
      <c r="AQ4308" s="10"/>
      <c r="AR4308" s="10"/>
      <c r="AS4308" s="10"/>
      <c r="AT4308" s="10"/>
      <c r="AU4308" s="10"/>
      <c r="AV4308" s="10"/>
      <c r="AW4308" s="10"/>
      <c r="AX4308" s="10"/>
      <c r="AY4308" s="10"/>
      <c r="AZ4308" s="10"/>
    </row>
    <row r="4309" spans="31:52">
      <c r="AE4309" s="10"/>
      <c r="AF4309" s="10"/>
      <c r="AG4309" s="10"/>
      <c r="AH4309" s="10"/>
      <c r="AI4309" s="10"/>
      <c r="AJ4309" s="10"/>
      <c r="AK4309" s="10"/>
      <c r="AL4309" s="10"/>
      <c r="AM4309" s="10"/>
      <c r="AN4309" s="10"/>
      <c r="AO4309" s="10"/>
      <c r="AP4309" s="10"/>
      <c r="AQ4309" s="10"/>
      <c r="AR4309" s="10"/>
      <c r="AS4309" s="10"/>
      <c r="AT4309" s="10"/>
      <c r="AU4309" s="10"/>
      <c r="AV4309" s="10"/>
      <c r="AW4309" s="10"/>
      <c r="AX4309" s="10"/>
      <c r="AY4309" s="10"/>
      <c r="AZ4309" s="10"/>
    </row>
    <row r="4310" spans="31:52">
      <c r="AE4310" s="10"/>
      <c r="AF4310" s="10"/>
      <c r="AG4310" s="10"/>
      <c r="AH4310" s="10"/>
      <c r="AI4310" s="10"/>
      <c r="AJ4310" s="10"/>
      <c r="AK4310" s="10"/>
      <c r="AL4310" s="10"/>
      <c r="AM4310" s="10"/>
      <c r="AN4310" s="10"/>
      <c r="AO4310" s="10"/>
      <c r="AP4310" s="10"/>
      <c r="AQ4310" s="10"/>
      <c r="AR4310" s="10"/>
      <c r="AS4310" s="10"/>
      <c r="AT4310" s="10"/>
      <c r="AU4310" s="10"/>
      <c r="AV4310" s="10"/>
      <c r="AW4310" s="10"/>
      <c r="AX4310" s="10"/>
      <c r="AY4310" s="10"/>
      <c r="AZ4310" s="10"/>
    </row>
    <row r="4311" spans="31:52">
      <c r="AE4311" s="10"/>
      <c r="AF4311" s="10"/>
      <c r="AG4311" s="10"/>
      <c r="AH4311" s="10"/>
      <c r="AI4311" s="10"/>
      <c r="AJ4311" s="10"/>
      <c r="AK4311" s="10"/>
      <c r="AL4311" s="10"/>
      <c r="AM4311" s="10"/>
      <c r="AN4311" s="10"/>
      <c r="AO4311" s="10"/>
      <c r="AP4311" s="10"/>
      <c r="AQ4311" s="10"/>
      <c r="AR4311" s="10"/>
      <c r="AS4311" s="10"/>
      <c r="AT4311" s="10"/>
      <c r="AU4311" s="10"/>
      <c r="AV4311" s="10"/>
      <c r="AW4311" s="10"/>
      <c r="AX4311" s="10"/>
      <c r="AY4311" s="10"/>
      <c r="AZ4311" s="10"/>
    </row>
    <row r="4312" spans="31:52">
      <c r="AE4312" s="10"/>
      <c r="AF4312" s="10"/>
      <c r="AG4312" s="10"/>
      <c r="AH4312" s="10"/>
      <c r="AI4312" s="10"/>
      <c r="AJ4312" s="10"/>
      <c r="AK4312" s="10"/>
      <c r="AL4312" s="10"/>
      <c r="AM4312" s="10"/>
      <c r="AN4312" s="10"/>
      <c r="AO4312" s="10"/>
      <c r="AP4312" s="10"/>
      <c r="AQ4312" s="10"/>
      <c r="AR4312" s="10"/>
      <c r="AS4312" s="10"/>
      <c r="AT4312" s="10"/>
      <c r="AU4312" s="10"/>
      <c r="AV4312" s="10"/>
      <c r="AW4312" s="10"/>
      <c r="AX4312" s="10"/>
      <c r="AY4312" s="10"/>
      <c r="AZ4312" s="10"/>
    </row>
    <row r="4313" spans="31:52">
      <c r="AE4313" s="10"/>
      <c r="AF4313" s="10"/>
      <c r="AG4313" s="10"/>
      <c r="AH4313" s="10"/>
      <c r="AI4313" s="10"/>
      <c r="AJ4313" s="10"/>
      <c r="AK4313" s="10"/>
      <c r="AL4313" s="10"/>
      <c r="AM4313" s="10"/>
      <c r="AN4313" s="10"/>
      <c r="AO4313" s="10"/>
      <c r="AP4313" s="10"/>
      <c r="AQ4313" s="10"/>
      <c r="AR4313" s="10"/>
      <c r="AS4313" s="10"/>
      <c r="AT4313" s="10"/>
      <c r="AU4313" s="10"/>
      <c r="AV4313" s="10"/>
      <c r="AW4313" s="10"/>
      <c r="AX4313" s="10"/>
      <c r="AY4313" s="10"/>
      <c r="AZ4313" s="10"/>
    </row>
    <row r="4314" spans="31:52">
      <c r="AE4314" s="10"/>
      <c r="AF4314" s="10"/>
      <c r="AG4314" s="10"/>
      <c r="AH4314" s="10"/>
      <c r="AI4314" s="10"/>
      <c r="AJ4314" s="10"/>
      <c r="AK4314" s="10"/>
      <c r="AL4314" s="10"/>
      <c r="AM4314" s="10"/>
      <c r="AN4314" s="10"/>
      <c r="AO4314" s="10"/>
      <c r="AP4314" s="10"/>
      <c r="AQ4314" s="10"/>
      <c r="AR4314" s="10"/>
      <c r="AS4314" s="10"/>
      <c r="AT4314" s="10"/>
      <c r="AU4314" s="10"/>
      <c r="AV4314" s="10"/>
      <c r="AW4314" s="10"/>
      <c r="AX4314" s="10"/>
      <c r="AY4314" s="10"/>
      <c r="AZ4314" s="10"/>
    </row>
    <row r="4315" spans="31:52">
      <c r="AE4315" s="10"/>
      <c r="AF4315" s="10"/>
      <c r="AG4315" s="10"/>
      <c r="AH4315" s="10"/>
      <c r="AI4315" s="10"/>
      <c r="AJ4315" s="10"/>
      <c r="AK4315" s="10"/>
      <c r="AL4315" s="10"/>
      <c r="AM4315" s="10"/>
      <c r="AN4315" s="10"/>
      <c r="AO4315" s="10"/>
      <c r="AP4315" s="10"/>
      <c r="AQ4315" s="10"/>
      <c r="AR4315" s="10"/>
      <c r="AS4315" s="10"/>
      <c r="AT4315" s="10"/>
      <c r="AU4315" s="10"/>
      <c r="AV4315" s="10"/>
      <c r="AW4315" s="10"/>
      <c r="AX4315" s="10"/>
      <c r="AY4315" s="10"/>
      <c r="AZ4315" s="10"/>
    </row>
    <row r="4316" spans="31:52">
      <c r="AE4316" s="10"/>
      <c r="AF4316" s="10"/>
      <c r="AG4316" s="10"/>
      <c r="AH4316" s="10"/>
      <c r="AI4316" s="10"/>
      <c r="AJ4316" s="10"/>
      <c r="AK4316" s="10"/>
      <c r="AL4316" s="10"/>
      <c r="AM4316" s="10"/>
      <c r="AN4316" s="10"/>
      <c r="AO4316" s="10"/>
      <c r="AP4316" s="10"/>
      <c r="AQ4316" s="10"/>
      <c r="AR4316" s="10"/>
      <c r="AS4316" s="10"/>
      <c r="AT4316" s="10"/>
      <c r="AU4316" s="10"/>
      <c r="AV4316" s="10"/>
      <c r="AW4316" s="10"/>
      <c r="AX4316" s="10"/>
      <c r="AY4316" s="10"/>
      <c r="AZ4316" s="10"/>
    </row>
    <row r="4317" spans="31:52">
      <c r="AE4317" s="10"/>
      <c r="AF4317" s="10"/>
      <c r="AG4317" s="10"/>
      <c r="AH4317" s="10"/>
      <c r="AI4317" s="10"/>
      <c r="AJ4317" s="10"/>
      <c r="AK4317" s="10"/>
      <c r="AL4317" s="10"/>
      <c r="AM4317" s="10"/>
      <c r="AN4317" s="10"/>
      <c r="AO4317" s="10"/>
      <c r="AP4317" s="10"/>
      <c r="AQ4317" s="10"/>
      <c r="AR4317" s="10"/>
      <c r="AS4317" s="10"/>
      <c r="AT4317" s="10"/>
      <c r="AU4317" s="10"/>
      <c r="AV4317" s="10"/>
      <c r="AW4317" s="10"/>
      <c r="AX4317" s="10"/>
      <c r="AY4317" s="10"/>
      <c r="AZ4317" s="10"/>
    </row>
    <row r="4318" spans="31:52">
      <c r="AE4318" s="10"/>
      <c r="AF4318" s="10"/>
      <c r="AG4318" s="10"/>
      <c r="AH4318" s="10"/>
      <c r="AI4318" s="10"/>
      <c r="AJ4318" s="10"/>
      <c r="AK4318" s="10"/>
      <c r="AL4318" s="10"/>
      <c r="AM4318" s="10"/>
      <c r="AN4318" s="10"/>
      <c r="AO4318" s="10"/>
      <c r="AP4318" s="10"/>
      <c r="AQ4318" s="10"/>
      <c r="AR4318" s="10"/>
      <c r="AS4318" s="10"/>
      <c r="AT4318" s="10"/>
      <c r="AU4318" s="10"/>
      <c r="AV4318" s="10"/>
      <c r="AW4318" s="10"/>
      <c r="AX4318" s="10"/>
      <c r="AY4318" s="10"/>
      <c r="AZ4318" s="10"/>
    </row>
    <row r="4319" spans="31:52">
      <c r="AE4319" s="10"/>
      <c r="AF4319" s="10"/>
      <c r="AG4319" s="10"/>
      <c r="AH4319" s="10"/>
      <c r="AI4319" s="10"/>
      <c r="AJ4319" s="10"/>
      <c r="AK4319" s="10"/>
      <c r="AL4319" s="10"/>
      <c r="AM4319" s="10"/>
      <c r="AN4319" s="10"/>
      <c r="AO4319" s="10"/>
      <c r="AP4319" s="10"/>
      <c r="AQ4319" s="10"/>
      <c r="AR4319" s="10"/>
      <c r="AS4319" s="10"/>
      <c r="AT4319" s="10"/>
      <c r="AU4319" s="10"/>
      <c r="AV4319" s="10"/>
      <c r="AW4319" s="10"/>
      <c r="AX4319" s="10"/>
      <c r="AY4319" s="10"/>
      <c r="AZ4319" s="10"/>
    </row>
    <row r="4320" spans="31:52">
      <c r="AE4320" s="10"/>
      <c r="AF4320" s="10"/>
      <c r="AG4320" s="10"/>
      <c r="AH4320" s="10"/>
      <c r="AI4320" s="10"/>
      <c r="AJ4320" s="10"/>
      <c r="AK4320" s="10"/>
      <c r="AL4320" s="10"/>
      <c r="AM4320" s="10"/>
      <c r="AN4320" s="10"/>
      <c r="AO4320" s="10"/>
      <c r="AP4320" s="10"/>
      <c r="AQ4320" s="10"/>
      <c r="AR4320" s="10"/>
      <c r="AS4320" s="10"/>
      <c r="AT4320" s="10"/>
      <c r="AU4320" s="10"/>
      <c r="AV4320" s="10"/>
      <c r="AW4320" s="10"/>
      <c r="AX4320" s="10"/>
      <c r="AY4320" s="10"/>
      <c r="AZ4320" s="10"/>
    </row>
    <row r="4321" spans="31:52">
      <c r="AE4321" s="10"/>
      <c r="AF4321" s="10"/>
      <c r="AG4321" s="10"/>
      <c r="AH4321" s="10"/>
      <c r="AI4321" s="10"/>
      <c r="AJ4321" s="10"/>
      <c r="AK4321" s="10"/>
      <c r="AL4321" s="10"/>
      <c r="AM4321" s="10"/>
      <c r="AN4321" s="10"/>
      <c r="AO4321" s="10"/>
      <c r="AP4321" s="10"/>
      <c r="AQ4321" s="10"/>
      <c r="AR4321" s="10"/>
      <c r="AS4321" s="10"/>
      <c r="AT4321" s="10"/>
      <c r="AU4321" s="10"/>
      <c r="AV4321" s="10"/>
      <c r="AW4321" s="10"/>
      <c r="AX4321" s="10"/>
      <c r="AY4321" s="10"/>
      <c r="AZ4321" s="10"/>
    </row>
    <row r="4322" spans="31:52">
      <c r="AE4322" s="10"/>
      <c r="AF4322" s="10"/>
      <c r="AG4322" s="10"/>
      <c r="AH4322" s="10"/>
      <c r="AI4322" s="10"/>
      <c r="AJ4322" s="10"/>
      <c r="AK4322" s="10"/>
      <c r="AL4322" s="10"/>
      <c r="AM4322" s="10"/>
      <c r="AN4322" s="10"/>
      <c r="AO4322" s="10"/>
      <c r="AP4322" s="10"/>
      <c r="AQ4322" s="10"/>
      <c r="AR4322" s="10"/>
      <c r="AS4322" s="10"/>
      <c r="AT4322" s="10"/>
      <c r="AU4322" s="10"/>
      <c r="AV4322" s="10"/>
      <c r="AW4322" s="10"/>
      <c r="AX4322" s="10"/>
      <c r="AY4322" s="10"/>
      <c r="AZ4322" s="10"/>
    </row>
    <row r="4323" spans="31:52">
      <c r="AE4323" s="10"/>
      <c r="AF4323" s="10"/>
      <c r="AG4323" s="10"/>
      <c r="AH4323" s="10"/>
      <c r="AI4323" s="10"/>
      <c r="AJ4323" s="10"/>
      <c r="AK4323" s="10"/>
      <c r="AL4323" s="10"/>
      <c r="AM4323" s="10"/>
      <c r="AN4323" s="10"/>
      <c r="AO4323" s="10"/>
      <c r="AP4323" s="10"/>
      <c r="AQ4323" s="10"/>
      <c r="AR4323" s="10"/>
      <c r="AS4323" s="10"/>
      <c r="AT4323" s="10"/>
      <c r="AU4323" s="10"/>
      <c r="AV4323" s="10"/>
      <c r="AW4323" s="10"/>
      <c r="AX4323" s="10"/>
      <c r="AY4323" s="10"/>
      <c r="AZ4323" s="10"/>
    </row>
    <row r="4324" spans="31:52">
      <c r="AE4324" s="10"/>
      <c r="AF4324" s="10"/>
      <c r="AG4324" s="10"/>
      <c r="AH4324" s="10"/>
      <c r="AI4324" s="10"/>
      <c r="AJ4324" s="10"/>
      <c r="AK4324" s="10"/>
      <c r="AL4324" s="10"/>
      <c r="AM4324" s="10"/>
      <c r="AN4324" s="10"/>
      <c r="AO4324" s="10"/>
      <c r="AP4324" s="10"/>
      <c r="AQ4324" s="10"/>
      <c r="AR4324" s="10"/>
      <c r="AS4324" s="10"/>
      <c r="AT4324" s="10"/>
      <c r="AU4324" s="10"/>
      <c r="AV4324" s="10"/>
      <c r="AW4324" s="10"/>
      <c r="AX4324" s="10"/>
      <c r="AY4324" s="10"/>
      <c r="AZ4324" s="10"/>
    </row>
    <row r="4325" spans="31:52">
      <c r="AE4325" s="10"/>
      <c r="AF4325" s="10"/>
      <c r="AG4325" s="10"/>
      <c r="AH4325" s="10"/>
      <c r="AI4325" s="10"/>
      <c r="AJ4325" s="10"/>
      <c r="AK4325" s="10"/>
      <c r="AL4325" s="10"/>
      <c r="AM4325" s="10"/>
      <c r="AN4325" s="10"/>
      <c r="AO4325" s="10"/>
      <c r="AP4325" s="10"/>
      <c r="AQ4325" s="10"/>
      <c r="AR4325" s="10"/>
      <c r="AS4325" s="10"/>
      <c r="AT4325" s="10"/>
      <c r="AU4325" s="10"/>
      <c r="AV4325" s="10"/>
      <c r="AW4325" s="10"/>
      <c r="AX4325" s="10"/>
      <c r="AY4325" s="10"/>
      <c r="AZ4325" s="10"/>
    </row>
    <row r="4326" spans="31:52">
      <c r="AE4326" s="10"/>
      <c r="AF4326" s="10"/>
      <c r="AG4326" s="10"/>
      <c r="AH4326" s="10"/>
      <c r="AI4326" s="10"/>
      <c r="AJ4326" s="10"/>
      <c r="AK4326" s="10"/>
      <c r="AL4326" s="10"/>
      <c r="AM4326" s="10"/>
      <c r="AN4326" s="10"/>
      <c r="AO4326" s="10"/>
      <c r="AP4326" s="10"/>
      <c r="AQ4326" s="10"/>
      <c r="AR4326" s="10"/>
      <c r="AS4326" s="10"/>
      <c r="AT4326" s="10"/>
      <c r="AU4326" s="10"/>
      <c r="AV4326" s="10"/>
      <c r="AW4326" s="10"/>
      <c r="AX4326" s="10"/>
      <c r="AY4326" s="10"/>
      <c r="AZ4326" s="10"/>
    </row>
    <row r="4327" spans="31:52">
      <c r="AE4327" s="10"/>
      <c r="AF4327" s="10"/>
      <c r="AG4327" s="10"/>
      <c r="AH4327" s="10"/>
      <c r="AI4327" s="10"/>
      <c r="AJ4327" s="10"/>
      <c r="AK4327" s="10"/>
      <c r="AL4327" s="10"/>
      <c r="AM4327" s="10"/>
      <c r="AN4327" s="10"/>
      <c r="AO4327" s="10"/>
      <c r="AP4327" s="10"/>
      <c r="AQ4327" s="10"/>
      <c r="AR4327" s="10"/>
      <c r="AS4327" s="10"/>
      <c r="AT4327" s="10"/>
      <c r="AU4327" s="10"/>
      <c r="AV4327" s="10"/>
      <c r="AW4327" s="10"/>
      <c r="AX4327" s="10"/>
      <c r="AY4327" s="10"/>
      <c r="AZ4327" s="10"/>
    </row>
    <row r="4328" spans="31:52">
      <c r="AE4328" s="10"/>
      <c r="AF4328" s="10"/>
      <c r="AG4328" s="10"/>
      <c r="AH4328" s="10"/>
      <c r="AI4328" s="10"/>
      <c r="AJ4328" s="10"/>
      <c r="AK4328" s="10"/>
      <c r="AL4328" s="10"/>
      <c r="AM4328" s="10"/>
      <c r="AN4328" s="10"/>
      <c r="AO4328" s="10"/>
      <c r="AP4328" s="10"/>
      <c r="AQ4328" s="10"/>
      <c r="AR4328" s="10"/>
      <c r="AS4328" s="10"/>
      <c r="AT4328" s="10"/>
      <c r="AU4328" s="10"/>
      <c r="AV4328" s="10"/>
      <c r="AW4328" s="10"/>
      <c r="AX4328" s="10"/>
      <c r="AY4328" s="10"/>
      <c r="AZ4328" s="10"/>
    </row>
    <row r="4329" spans="31:52">
      <c r="AE4329" s="10"/>
      <c r="AF4329" s="10"/>
      <c r="AG4329" s="10"/>
      <c r="AH4329" s="10"/>
      <c r="AI4329" s="10"/>
      <c r="AJ4329" s="10"/>
      <c r="AK4329" s="10"/>
      <c r="AL4329" s="10"/>
      <c r="AM4329" s="10"/>
      <c r="AN4329" s="10"/>
      <c r="AO4329" s="10"/>
      <c r="AP4329" s="10"/>
      <c r="AQ4329" s="10"/>
      <c r="AR4329" s="10"/>
      <c r="AS4329" s="10"/>
      <c r="AT4329" s="10"/>
      <c r="AU4329" s="10"/>
      <c r="AV4329" s="10"/>
      <c r="AW4329" s="10"/>
      <c r="AX4329" s="10"/>
      <c r="AY4329" s="10"/>
      <c r="AZ4329" s="10"/>
    </row>
    <row r="4330" spans="31:52">
      <c r="AE4330" s="10"/>
      <c r="AF4330" s="10"/>
      <c r="AG4330" s="10"/>
      <c r="AH4330" s="10"/>
      <c r="AI4330" s="10"/>
      <c r="AJ4330" s="10"/>
      <c r="AK4330" s="10"/>
      <c r="AL4330" s="10"/>
      <c r="AM4330" s="10"/>
      <c r="AN4330" s="10"/>
      <c r="AO4330" s="10"/>
      <c r="AP4330" s="10"/>
      <c r="AQ4330" s="10"/>
      <c r="AR4330" s="10"/>
      <c r="AS4330" s="10"/>
      <c r="AT4330" s="10"/>
      <c r="AU4330" s="10"/>
      <c r="AV4330" s="10"/>
      <c r="AW4330" s="10"/>
      <c r="AX4330" s="10"/>
      <c r="AY4330" s="10"/>
      <c r="AZ4330" s="10"/>
    </row>
    <row r="4331" spans="31:52">
      <c r="AE4331" s="10"/>
      <c r="AF4331" s="10"/>
      <c r="AG4331" s="10"/>
      <c r="AH4331" s="10"/>
      <c r="AI4331" s="10"/>
      <c r="AJ4331" s="10"/>
      <c r="AK4331" s="10"/>
      <c r="AL4331" s="10"/>
      <c r="AM4331" s="10"/>
      <c r="AN4331" s="10"/>
      <c r="AO4331" s="10"/>
      <c r="AP4331" s="10"/>
      <c r="AQ4331" s="10"/>
      <c r="AR4331" s="10"/>
      <c r="AS4331" s="10"/>
      <c r="AT4331" s="10"/>
      <c r="AU4331" s="10"/>
      <c r="AV4331" s="10"/>
      <c r="AW4331" s="10"/>
      <c r="AX4331" s="10"/>
      <c r="AY4331" s="10"/>
      <c r="AZ4331" s="10"/>
    </row>
    <row r="4332" spans="31:52">
      <c r="AE4332" s="10"/>
      <c r="AF4332" s="10"/>
      <c r="AG4332" s="10"/>
      <c r="AH4332" s="10"/>
      <c r="AI4332" s="10"/>
      <c r="AJ4332" s="10"/>
      <c r="AK4332" s="10"/>
      <c r="AL4332" s="10"/>
      <c r="AM4332" s="10"/>
      <c r="AN4332" s="10"/>
      <c r="AO4332" s="10"/>
      <c r="AP4332" s="10"/>
      <c r="AQ4332" s="10"/>
      <c r="AR4332" s="10"/>
      <c r="AS4332" s="10"/>
      <c r="AT4332" s="10"/>
      <c r="AU4332" s="10"/>
      <c r="AV4332" s="10"/>
      <c r="AW4332" s="10"/>
      <c r="AX4332" s="10"/>
      <c r="AY4332" s="10"/>
      <c r="AZ4332" s="10"/>
    </row>
    <row r="4333" spans="31:52">
      <c r="AE4333" s="10"/>
      <c r="AF4333" s="10"/>
      <c r="AG4333" s="10"/>
      <c r="AH4333" s="10"/>
      <c r="AI4333" s="10"/>
      <c r="AJ4333" s="10"/>
      <c r="AK4333" s="10"/>
      <c r="AL4333" s="10"/>
      <c r="AM4333" s="10"/>
      <c r="AN4333" s="10"/>
      <c r="AO4333" s="10"/>
      <c r="AP4333" s="10"/>
      <c r="AQ4333" s="10"/>
      <c r="AR4333" s="10"/>
      <c r="AS4333" s="10"/>
      <c r="AT4333" s="10"/>
      <c r="AU4333" s="10"/>
      <c r="AV4333" s="10"/>
      <c r="AW4333" s="10"/>
      <c r="AX4333" s="10"/>
      <c r="AY4333" s="10"/>
      <c r="AZ4333" s="10"/>
    </row>
    <row r="4334" spans="31:52">
      <c r="AE4334" s="10"/>
      <c r="AF4334" s="10"/>
      <c r="AG4334" s="10"/>
      <c r="AH4334" s="10"/>
      <c r="AI4334" s="10"/>
      <c r="AJ4334" s="10"/>
      <c r="AK4334" s="10"/>
      <c r="AL4334" s="10"/>
      <c r="AM4334" s="10"/>
      <c r="AN4334" s="10"/>
      <c r="AO4334" s="10"/>
      <c r="AP4334" s="10"/>
      <c r="AQ4334" s="10"/>
      <c r="AR4334" s="10"/>
      <c r="AS4334" s="10"/>
      <c r="AT4334" s="10"/>
      <c r="AU4334" s="10"/>
      <c r="AV4334" s="10"/>
      <c r="AW4334" s="10"/>
      <c r="AX4334" s="10"/>
      <c r="AY4334" s="10"/>
      <c r="AZ4334" s="10"/>
    </row>
    <row r="4335" spans="31:52">
      <c r="AE4335" s="10"/>
      <c r="AF4335" s="10"/>
      <c r="AG4335" s="10"/>
      <c r="AH4335" s="10"/>
      <c r="AI4335" s="10"/>
      <c r="AJ4335" s="10"/>
      <c r="AK4335" s="10"/>
      <c r="AL4335" s="10"/>
      <c r="AM4335" s="10"/>
      <c r="AN4335" s="10"/>
      <c r="AO4335" s="10"/>
      <c r="AP4335" s="10"/>
      <c r="AQ4335" s="10"/>
      <c r="AR4335" s="10"/>
      <c r="AS4335" s="10"/>
      <c r="AT4335" s="10"/>
      <c r="AU4335" s="10"/>
      <c r="AV4335" s="10"/>
      <c r="AW4335" s="10"/>
      <c r="AX4335" s="10"/>
      <c r="AY4335" s="10"/>
      <c r="AZ4335" s="10"/>
    </row>
    <row r="4336" spans="31:52">
      <c r="AE4336" s="10"/>
      <c r="AF4336" s="10"/>
      <c r="AG4336" s="10"/>
      <c r="AH4336" s="10"/>
      <c r="AI4336" s="10"/>
      <c r="AJ4336" s="10"/>
      <c r="AK4336" s="10"/>
      <c r="AL4336" s="10"/>
      <c r="AM4336" s="10"/>
      <c r="AN4336" s="10"/>
      <c r="AO4336" s="10"/>
      <c r="AP4336" s="10"/>
      <c r="AQ4336" s="10"/>
      <c r="AR4336" s="10"/>
      <c r="AS4336" s="10"/>
      <c r="AT4336" s="10"/>
      <c r="AU4336" s="10"/>
      <c r="AV4336" s="10"/>
      <c r="AW4336" s="10"/>
      <c r="AX4336" s="10"/>
      <c r="AY4336" s="10"/>
      <c r="AZ4336" s="10"/>
    </row>
    <row r="4337" spans="31:52">
      <c r="AE4337" s="10"/>
      <c r="AF4337" s="10"/>
      <c r="AG4337" s="10"/>
      <c r="AH4337" s="10"/>
      <c r="AI4337" s="10"/>
      <c r="AJ4337" s="10"/>
      <c r="AK4337" s="10"/>
      <c r="AL4337" s="10"/>
      <c r="AM4337" s="10"/>
      <c r="AN4337" s="10"/>
      <c r="AO4337" s="10"/>
      <c r="AP4337" s="10"/>
      <c r="AQ4337" s="10"/>
      <c r="AR4337" s="10"/>
      <c r="AS4337" s="10"/>
      <c r="AT4337" s="10"/>
      <c r="AU4337" s="10"/>
      <c r="AV4337" s="10"/>
      <c r="AW4337" s="10"/>
      <c r="AX4337" s="10"/>
      <c r="AY4337" s="10"/>
      <c r="AZ4337" s="10"/>
    </row>
    <row r="4338" spans="31:52">
      <c r="AE4338" s="10"/>
      <c r="AF4338" s="10"/>
      <c r="AG4338" s="10"/>
      <c r="AH4338" s="10"/>
      <c r="AI4338" s="10"/>
      <c r="AJ4338" s="10"/>
      <c r="AK4338" s="10"/>
      <c r="AL4338" s="10"/>
      <c r="AM4338" s="10"/>
      <c r="AN4338" s="10"/>
      <c r="AO4338" s="10"/>
      <c r="AP4338" s="10"/>
      <c r="AQ4338" s="10"/>
      <c r="AR4338" s="10"/>
      <c r="AS4338" s="10"/>
      <c r="AT4338" s="10"/>
      <c r="AU4338" s="10"/>
      <c r="AV4338" s="10"/>
      <c r="AW4338" s="10"/>
      <c r="AX4338" s="10"/>
      <c r="AY4338" s="10"/>
      <c r="AZ4338" s="10"/>
    </row>
    <row r="4339" spans="31:52">
      <c r="AE4339" s="10"/>
      <c r="AF4339" s="10"/>
      <c r="AG4339" s="10"/>
      <c r="AH4339" s="10"/>
      <c r="AI4339" s="10"/>
      <c r="AJ4339" s="10"/>
      <c r="AK4339" s="10"/>
      <c r="AL4339" s="10"/>
      <c r="AM4339" s="10"/>
      <c r="AN4339" s="10"/>
      <c r="AO4339" s="10"/>
      <c r="AP4339" s="10"/>
      <c r="AQ4339" s="10"/>
      <c r="AR4339" s="10"/>
      <c r="AS4339" s="10"/>
      <c r="AT4339" s="10"/>
      <c r="AU4339" s="10"/>
      <c r="AV4339" s="10"/>
      <c r="AW4339" s="10"/>
      <c r="AX4339" s="10"/>
      <c r="AY4339" s="10"/>
      <c r="AZ4339" s="10"/>
    </row>
    <row r="4340" spans="31:52">
      <c r="AE4340" s="10"/>
      <c r="AF4340" s="10"/>
      <c r="AG4340" s="10"/>
      <c r="AH4340" s="10"/>
      <c r="AI4340" s="10"/>
      <c r="AJ4340" s="10"/>
      <c r="AK4340" s="10"/>
      <c r="AL4340" s="10"/>
      <c r="AM4340" s="10"/>
      <c r="AN4340" s="10"/>
      <c r="AO4340" s="10"/>
      <c r="AP4340" s="10"/>
      <c r="AQ4340" s="10"/>
      <c r="AR4340" s="10"/>
      <c r="AS4340" s="10"/>
      <c r="AT4340" s="10"/>
      <c r="AU4340" s="10"/>
      <c r="AV4340" s="10"/>
      <c r="AW4340" s="10"/>
      <c r="AX4340" s="10"/>
      <c r="AY4340" s="10"/>
      <c r="AZ4340" s="10"/>
    </row>
    <row r="4341" spans="31:52">
      <c r="AE4341" s="10"/>
      <c r="AF4341" s="10"/>
      <c r="AG4341" s="10"/>
      <c r="AH4341" s="10"/>
      <c r="AI4341" s="10"/>
      <c r="AJ4341" s="10"/>
      <c r="AK4341" s="10"/>
      <c r="AL4341" s="10"/>
      <c r="AM4341" s="10"/>
      <c r="AN4341" s="10"/>
      <c r="AO4341" s="10"/>
      <c r="AP4341" s="10"/>
      <c r="AQ4341" s="10"/>
      <c r="AR4341" s="10"/>
      <c r="AS4341" s="10"/>
      <c r="AT4341" s="10"/>
      <c r="AU4341" s="10"/>
      <c r="AV4341" s="10"/>
      <c r="AW4341" s="10"/>
      <c r="AX4341" s="10"/>
      <c r="AY4341" s="10"/>
      <c r="AZ4341" s="10"/>
    </row>
    <row r="4342" spans="31:52">
      <c r="AE4342" s="10"/>
      <c r="AF4342" s="10"/>
      <c r="AG4342" s="10"/>
      <c r="AH4342" s="10"/>
      <c r="AI4342" s="10"/>
      <c r="AJ4342" s="10"/>
      <c r="AK4342" s="10"/>
      <c r="AL4342" s="10"/>
      <c r="AM4342" s="10"/>
      <c r="AN4342" s="10"/>
      <c r="AO4342" s="10"/>
      <c r="AP4342" s="10"/>
      <c r="AQ4342" s="10"/>
      <c r="AR4342" s="10"/>
      <c r="AS4342" s="10"/>
      <c r="AT4342" s="10"/>
      <c r="AU4342" s="10"/>
      <c r="AV4342" s="10"/>
      <c r="AW4342" s="10"/>
      <c r="AX4342" s="10"/>
      <c r="AY4342" s="10"/>
      <c r="AZ4342" s="10"/>
    </row>
    <row r="4343" spans="31:52">
      <c r="AE4343" s="10"/>
      <c r="AF4343" s="10"/>
      <c r="AG4343" s="10"/>
      <c r="AH4343" s="10"/>
      <c r="AI4343" s="10"/>
      <c r="AJ4343" s="10"/>
      <c r="AK4343" s="10"/>
      <c r="AL4343" s="10"/>
      <c r="AM4343" s="10"/>
      <c r="AN4343" s="10"/>
      <c r="AO4343" s="10"/>
      <c r="AP4343" s="10"/>
      <c r="AQ4343" s="10"/>
      <c r="AR4343" s="10"/>
      <c r="AS4343" s="10"/>
      <c r="AT4343" s="10"/>
      <c r="AU4343" s="10"/>
      <c r="AV4343" s="10"/>
      <c r="AW4343" s="10"/>
      <c r="AX4343" s="10"/>
      <c r="AY4343" s="10"/>
      <c r="AZ4343" s="10"/>
    </row>
    <row r="4344" spans="31:52">
      <c r="AE4344" s="10"/>
      <c r="AF4344" s="10"/>
      <c r="AG4344" s="10"/>
      <c r="AH4344" s="10"/>
      <c r="AI4344" s="10"/>
      <c r="AJ4344" s="10"/>
      <c r="AK4344" s="10"/>
      <c r="AL4344" s="10"/>
      <c r="AM4344" s="10"/>
      <c r="AN4344" s="10"/>
      <c r="AO4344" s="10"/>
      <c r="AP4344" s="10"/>
      <c r="AQ4344" s="10"/>
      <c r="AR4344" s="10"/>
      <c r="AS4344" s="10"/>
      <c r="AT4344" s="10"/>
      <c r="AU4344" s="10"/>
      <c r="AV4344" s="10"/>
      <c r="AW4344" s="10"/>
      <c r="AX4344" s="10"/>
      <c r="AY4344" s="10"/>
      <c r="AZ4344" s="10"/>
    </row>
    <row r="4345" spans="31:52">
      <c r="AE4345" s="10"/>
      <c r="AF4345" s="10"/>
      <c r="AG4345" s="10"/>
      <c r="AH4345" s="10"/>
      <c r="AI4345" s="10"/>
      <c r="AJ4345" s="10"/>
      <c r="AK4345" s="10"/>
      <c r="AL4345" s="10"/>
      <c r="AM4345" s="10"/>
      <c r="AN4345" s="10"/>
      <c r="AO4345" s="10"/>
      <c r="AP4345" s="10"/>
      <c r="AQ4345" s="10"/>
      <c r="AR4345" s="10"/>
      <c r="AS4345" s="10"/>
      <c r="AT4345" s="10"/>
      <c r="AU4345" s="10"/>
      <c r="AV4345" s="10"/>
      <c r="AW4345" s="10"/>
      <c r="AX4345" s="10"/>
      <c r="AY4345" s="10"/>
      <c r="AZ4345" s="10"/>
    </row>
    <row r="4346" spans="31:52">
      <c r="AE4346" s="10"/>
      <c r="AF4346" s="10"/>
      <c r="AG4346" s="10"/>
      <c r="AH4346" s="10"/>
      <c r="AI4346" s="10"/>
      <c r="AJ4346" s="10"/>
      <c r="AK4346" s="10"/>
      <c r="AL4346" s="10"/>
      <c r="AM4346" s="10"/>
      <c r="AN4346" s="10"/>
      <c r="AO4346" s="10"/>
      <c r="AP4346" s="10"/>
      <c r="AQ4346" s="10"/>
      <c r="AR4346" s="10"/>
      <c r="AS4346" s="10"/>
      <c r="AT4346" s="10"/>
      <c r="AU4346" s="10"/>
      <c r="AV4346" s="10"/>
      <c r="AW4346" s="10"/>
      <c r="AX4346" s="10"/>
      <c r="AY4346" s="10"/>
      <c r="AZ4346" s="10"/>
    </row>
    <row r="4347" spans="31:52">
      <c r="AE4347" s="10"/>
      <c r="AF4347" s="10"/>
      <c r="AG4347" s="10"/>
      <c r="AH4347" s="10"/>
      <c r="AI4347" s="10"/>
      <c r="AJ4347" s="10"/>
      <c r="AK4347" s="10"/>
      <c r="AL4347" s="10"/>
      <c r="AM4347" s="10"/>
      <c r="AN4347" s="10"/>
      <c r="AO4347" s="10"/>
      <c r="AP4347" s="10"/>
      <c r="AQ4347" s="10"/>
      <c r="AR4347" s="10"/>
      <c r="AS4347" s="10"/>
      <c r="AT4347" s="10"/>
      <c r="AU4347" s="10"/>
      <c r="AV4347" s="10"/>
      <c r="AW4347" s="10"/>
      <c r="AX4347" s="10"/>
      <c r="AY4347" s="10"/>
      <c r="AZ4347" s="10"/>
    </row>
    <row r="4348" spans="31:52">
      <c r="AE4348" s="10"/>
      <c r="AF4348" s="10"/>
      <c r="AG4348" s="10"/>
      <c r="AH4348" s="10"/>
      <c r="AI4348" s="10"/>
      <c r="AJ4348" s="10"/>
      <c r="AK4348" s="10"/>
      <c r="AL4348" s="10"/>
      <c r="AM4348" s="10"/>
      <c r="AN4348" s="10"/>
      <c r="AO4348" s="10"/>
      <c r="AP4348" s="10"/>
      <c r="AQ4348" s="10"/>
      <c r="AR4348" s="10"/>
      <c r="AS4348" s="10"/>
      <c r="AT4348" s="10"/>
      <c r="AU4348" s="10"/>
      <c r="AV4348" s="10"/>
      <c r="AW4348" s="10"/>
      <c r="AX4348" s="10"/>
      <c r="AY4348" s="10"/>
      <c r="AZ4348" s="10"/>
    </row>
    <row r="4349" spans="31:52">
      <c r="AE4349" s="10"/>
      <c r="AF4349" s="10"/>
      <c r="AG4349" s="10"/>
      <c r="AH4349" s="10"/>
      <c r="AI4349" s="10"/>
      <c r="AJ4349" s="10"/>
      <c r="AK4349" s="10"/>
      <c r="AL4349" s="10"/>
      <c r="AM4349" s="10"/>
      <c r="AN4349" s="10"/>
      <c r="AO4349" s="10"/>
      <c r="AP4349" s="10"/>
      <c r="AQ4349" s="10"/>
      <c r="AR4349" s="10"/>
      <c r="AS4349" s="10"/>
      <c r="AT4349" s="10"/>
      <c r="AU4349" s="10"/>
      <c r="AV4349" s="10"/>
      <c r="AW4349" s="10"/>
      <c r="AX4349" s="10"/>
      <c r="AY4349" s="10"/>
      <c r="AZ4349" s="10"/>
    </row>
    <row r="4350" spans="31:52">
      <c r="AE4350" s="10"/>
      <c r="AF4350" s="10"/>
      <c r="AG4350" s="10"/>
      <c r="AH4350" s="10"/>
      <c r="AI4350" s="10"/>
      <c r="AJ4350" s="10"/>
      <c r="AK4350" s="10"/>
      <c r="AL4350" s="10"/>
      <c r="AM4350" s="10"/>
      <c r="AN4350" s="10"/>
      <c r="AO4350" s="10"/>
      <c r="AP4350" s="10"/>
      <c r="AQ4350" s="10"/>
      <c r="AR4350" s="10"/>
      <c r="AS4350" s="10"/>
      <c r="AT4350" s="10"/>
      <c r="AU4350" s="10"/>
      <c r="AV4350" s="10"/>
      <c r="AW4350" s="10"/>
      <c r="AX4350" s="10"/>
      <c r="AY4350" s="10"/>
      <c r="AZ4350" s="10"/>
    </row>
    <row r="4351" spans="31:52">
      <c r="AE4351" s="10"/>
      <c r="AF4351" s="10"/>
      <c r="AG4351" s="10"/>
      <c r="AH4351" s="10"/>
      <c r="AI4351" s="10"/>
      <c r="AJ4351" s="10"/>
      <c r="AK4351" s="10"/>
      <c r="AL4351" s="10"/>
      <c r="AM4351" s="10"/>
      <c r="AN4351" s="10"/>
      <c r="AO4351" s="10"/>
      <c r="AP4351" s="10"/>
      <c r="AQ4351" s="10"/>
      <c r="AR4351" s="10"/>
      <c r="AS4351" s="10"/>
      <c r="AT4351" s="10"/>
      <c r="AU4351" s="10"/>
      <c r="AV4351" s="10"/>
      <c r="AW4351" s="10"/>
      <c r="AX4351" s="10"/>
      <c r="AY4351" s="10"/>
      <c r="AZ4351" s="10"/>
    </row>
    <row r="4352" spans="31:52">
      <c r="AE4352" s="10"/>
      <c r="AF4352" s="10"/>
      <c r="AG4352" s="10"/>
      <c r="AH4352" s="10"/>
      <c r="AI4352" s="10"/>
      <c r="AJ4352" s="10"/>
      <c r="AK4352" s="10"/>
      <c r="AL4352" s="10"/>
      <c r="AM4352" s="10"/>
      <c r="AN4352" s="10"/>
      <c r="AO4352" s="10"/>
      <c r="AP4352" s="10"/>
      <c r="AQ4352" s="10"/>
      <c r="AR4352" s="10"/>
      <c r="AS4352" s="10"/>
      <c r="AT4352" s="10"/>
      <c r="AU4352" s="10"/>
      <c r="AV4352" s="10"/>
      <c r="AW4352" s="10"/>
      <c r="AX4352" s="10"/>
      <c r="AY4352" s="10"/>
      <c r="AZ4352" s="10"/>
    </row>
    <row r="4353" spans="31:52">
      <c r="AE4353" s="10"/>
      <c r="AF4353" s="10"/>
      <c r="AG4353" s="10"/>
      <c r="AH4353" s="10"/>
      <c r="AI4353" s="10"/>
      <c r="AJ4353" s="10"/>
      <c r="AK4353" s="10"/>
      <c r="AL4353" s="10"/>
      <c r="AM4353" s="10"/>
      <c r="AN4353" s="10"/>
      <c r="AO4353" s="10"/>
      <c r="AP4353" s="10"/>
      <c r="AQ4353" s="10"/>
      <c r="AR4353" s="10"/>
      <c r="AS4353" s="10"/>
      <c r="AT4353" s="10"/>
      <c r="AU4353" s="10"/>
      <c r="AV4353" s="10"/>
      <c r="AW4353" s="10"/>
      <c r="AX4353" s="10"/>
      <c r="AY4353" s="10"/>
      <c r="AZ4353" s="10"/>
    </row>
    <row r="4354" spans="31:52">
      <c r="AE4354" s="10"/>
      <c r="AF4354" s="10"/>
      <c r="AG4354" s="10"/>
      <c r="AH4354" s="10"/>
      <c r="AI4354" s="10"/>
      <c r="AJ4354" s="10"/>
      <c r="AK4354" s="10"/>
      <c r="AL4354" s="10"/>
      <c r="AM4354" s="10"/>
      <c r="AN4354" s="10"/>
      <c r="AO4354" s="10"/>
      <c r="AP4354" s="10"/>
      <c r="AQ4354" s="10"/>
      <c r="AR4354" s="10"/>
      <c r="AS4354" s="10"/>
      <c r="AT4354" s="10"/>
      <c r="AU4354" s="10"/>
      <c r="AV4354" s="10"/>
      <c r="AW4354" s="10"/>
      <c r="AX4354" s="10"/>
      <c r="AY4354" s="10"/>
      <c r="AZ4354" s="10"/>
    </row>
    <row r="4355" spans="31:52">
      <c r="AE4355" s="10"/>
      <c r="AF4355" s="10"/>
      <c r="AG4355" s="10"/>
      <c r="AH4355" s="10"/>
      <c r="AI4355" s="10"/>
      <c r="AJ4355" s="10"/>
      <c r="AK4355" s="10"/>
      <c r="AL4355" s="10"/>
      <c r="AM4355" s="10"/>
      <c r="AN4355" s="10"/>
      <c r="AO4355" s="10"/>
      <c r="AP4355" s="10"/>
      <c r="AQ4355" s="10"/>
      <c r="AR4355" s="10"/>
      <c r="AS4355" s="10"/>
      <c r="AT4355" s="10"/>
      <c r="AU4355" s="10"/>
      <c r="AV4355" s="10"/>
      <c r="AW4355" s="10"/>
      <c r="AX4355" s="10"/>
      <c r="AY4355" s="10"/>
      <c r="AZ4355" s="10"/>
    </row>
    <row r="4356" spans="31:52">
      <c r="AE4356" s="10"/>
      <c r="AF4356" s="10"/>
      <c r="AG4356" s="10"/>
      <c r="AH4356" s="10"/>
      <c r="AI4356" s="10"/>
      <c r="AJ4356" s="10"/>
      <c r="AK4356" s="10"/>
      <c r="AL4356" s="10"/>
      <c r="AM4356" s="10"/>
      <c r="AN4356" s="10"/>
      <c r="AO4356" s="10"/>
      <c r="AP4356" s="10"/>
      <c r="AQ4356" s="10"/>
      <c r="AR4356" s="10"/>
      <c r="AS4356" s="10"/>
      <c r="AT4356" s="10"/>
      <c r="AU4356" s="10"/>
      <c r="AV4356" s="10"/>
      <c r="AW4356" s="10"/>
      <c r="AX4356" s="10"/>
      <c r="AY4356" s="10"/>
      <c r="AZ4356" s="10"/>
    </row>
    <row r="4357" spans="31:52">
      <c r="AE4357" s="10"/>
      <c r="AF4357" s="10"/>
      <c r="AG4357" s="10"/>
      <c r="AH4357" s="10"/>
      <c r="AI4357" s="10"/>
      <c r="AJ4357" s="10"/>
      <c r="AK4357" s="10"/>
      <c r="AL4357" s="10"/>
      <c r="AM4357" s="10"/>
      <c r="AN4357" s="10"/>
      <c r="AO4357" s="10"/>
      <c r="AP4357" s="10"/>
      <c r="AQ4357" s="10"/>
      <c r="AR4357" s="10"/>
      <c r="AS4357" s="10"/>
      <c r="AT4357" s="10"/>
      <c r="AU4357" s="10"/>
      <c r="AV4357" s="10"/>
      <c r="AW4357" s="10"/>
      <c r="AX4357" s="10"/>
      <c r="AY4357" s="10"/>
      <c r="AZ4357" s="10"/>
    </row>
    <row r="4358" spans="31:52">
      <c r="AE4358" s="10"/>
      <c r="AF4358" s="10"/>
      <c r="AG4358" s="10"/>
      <c r="AH4358" s="10"/>
      <c r="AI4358" s="10"/>
      <c r="AJ4358" s="10"/>
      <c r="AK4358" s="10"/>
      <c r="AL4358" s="10"/>
      <c r="AM4358" s="10"/>
      <c r="AN4358" s="10"/>
      <c r="AO4358" s="10"/>
      <c r="AP4358" s="10"/>
      <c r="AQ4358" s="10"/>
      <c r="AR4358" s="10"/>
      <c r="AS4358" s="10"/>
      <c r="AT4358" s="10"/>
      <c r="AU4358" s="10"/>
      <c r="AV4358" s="10"/>
      <c r="AW4358" s="10"/>
      <c r="AX4358" s="10"/>
      <c r="AY4358" s="10"/>
      <c r="AZ4358" s="10"/>
    </row>
    <row r="4359" spans="31:52">
      <c r="AE4359" s="10"/>
      <c r="AF4359" s="10"/>
      <c r="AG4359" s="10"/>
      <c r="AH4359" s="10"/>
      <c r="AI4359" s="10"/>
      <c r="AJ4359" s="10"/>
      <c r="AK4359" s="10"/>
      <c r="AL4359" s="10"/>
      <c r="AM4359" s="10"/>
      <c r="AN4359" s="10"/>
      <c r="AO4359" s="10"/>
      <c r="AP4359" s="10"/>
      <c r="AQ4359" s="10"/>
      <c r="AR4359" s="10"/>
      <c r="AS4359" s="10"/>
      <c r="AT4359" s="10"/>
      <c r="AU4359" s="10"/>
      <c r="AV4359" s="10"/>
      <c r="AW4359" s="10"/>
      <c r="AX4359" s="10"/>
      <c r="AY4359" s="10"/>
      <c r="AZ4359" s="10"/>
    </row>
    <row r="4360" spans="31:52">
      <c r="AE4360" s="10"/>
      <c r="AF4360" s="10"/>
      <c r="AG4360" s="10"/>
      <c r="AH4360" s="10"/>
      <c r="AI4360" s="10"/>
      <c r="AJ4360" s="10"/>
      <c r="AK4360" s="10"/>
      <c r="AL4360" s="10"/>
      <c r="AM4360" s="10"/>
      <c r="AN4360" s="10"/>
      <c r="AO4360" s="10"/>
      <c r="AP4360" s="10"/>
      <c r="AQ4360" s="10"/>
      <c r="AR4360" s="10"/>
      <c r="AS4360" s="10"/>
      <c r="AT4360" s="10"/>
      <c r="AU4360" s="10"/>
      <c r="AV4360" s="10"/>
      <c r="AW4360" s="10"/>
      <c r="AX4360" s="10"/>
      <c r="AY4360" s="10"/>
      <c r="AZ4360" s="10"/>
    </row>
    <row r="4361" spans="31:52">
      <c r="AE4361" s="10"/>
      <c r="AF4361" s="10"/>
      <c r="AG4361" s="10"/>
      <c r="AH4361" s="10"/>
      <c r="AI4361" s="10"/>
      <c r="AJ4361" s="10"/>
      <c r="AK4361" s="10"/>
      <c r="AL4361" s="10"/>
      <c r="AM4361" s="10"/>
      <c r="AN4361" s="10"/>
      <c r="AO4361" s="10"/>
      <c r="AP4361" s="10"/>
      <c r="AQ4361" s="10"/>
      <c r="AR4361" s="10"/>
      <c r="AS4361" s="10"/>
      <c r="AT4361" s="10"/>
      <c r="AU4361" s="10"/>
      <c r="AV4361" s="10"/>
      <c r="AW4361" s="10"/>
      <c r="AX4361" s="10"/>
      <c r="AY4361" s="10"/>
      <c r="AZ4361" s="10"/>
    </row>
    <row r="4362" spans="31:52">
      <c r="AE4362" s="10"/>
      <c r="AF4362" s="10"/>
      <c r="AG4362" s="10"/>
      <c r="AH4362" s="10"/>
      <c r="AI4362" s="10"/>
      <c r="AJ4362" s="10"/>
      <c r="AK4362" s="10"/>
      <c r="AL4362" s="10"/>
      <c r="AM4362" s="10"/>
      <c r="AN4362" s="10"/>
      <c r="AO4362" s="10"/>
      <c r="AP4362" s="10"/>
      <c r="AQ4362" s="10"/>
      <c r="AR4362" s="10"/>
      <c r="AS4362" s="10"/>
      <c r="AT4362" s="10"/>
      <c r="AU4362" s="10"/>
      <c r="AV4362" s="10"/>
      <c r="AW4362" s="10"/>
      <c r="AX4362" s="10"/>
      <c r="AY4362" s="10"/>
      <c r="AZ4362" s="10"/>
    </row>
    <row r="4363" spans="31:52">
      <c r="AE4363" s="10"/>
      <c r="AF4363" s="10"/>
      <c r="AG4363" s="10"/>
      <c r="AH4363" s="10"/>
      <c r="AI4363" s="10"/>
      <c r="AJ4363" s="10"/>
      <c r="AK4363" s="10"/>
      <c r="AL4363" s="10"/>
      <c r="AM4363" s="10"/>
      <c r="AN4363" s="10"/>
      <c r="AO4363" s="10"/>
      <c r="AP4363" s="10"/>
      <c r="AQ4363" s="10"/>
      <c r="AR4363" s="10"/>
      <c r="AS4363" s="10"/>
      <c r="AT4363" s="10"/>
      <c r="AU4363" s="10"/>
      <c r="AV4363" s="10"/>
      <c r="AW4363" s="10"/>
      <c r="AX4363" s="10"/>
      <c r="AY4363" s="10"/>
      <c r="AZ4363" s="10"/>
    </row>
    <row r="4364" spans="31:52">
      <c r="AE4364" s="10"/>
      <c r="AF4364" s="10"/>
      <c r="AG4364" s="10"/>
      <c r="AH4364" s="10"/>
      <c r="AI4364" s="10"/>
      <c r="AJ4364" s="10"/>
      <c r="AK4364" s="10"/>
      <c r="AL4364" s="10"/>
      <c r="AM4364" s="10"/>
      <c r="AN4364" s="10"/>
      <c r="AO4364" s="10"/>
      <c r="AP4364" s="10"/>
      <c r="AQ4364" s="10"/>
      <c r="AR4364" s="10"/>
      <c r="AS4364" s="10"/>
      <c r="AT4364" s="10"/>
      <c r="AU4364" s="10"/>
      <c r="AV4364" s="10"/>
      <c r="AW4364" s="10"/>
      <c r="AX4364" s="10"/>
      <c r="AY4364" s="10"/>
      <c r="AZ4364" s="10"/>
    </row>
    <row r="4365" spans="31:52">
      <c r="AE4365" s="10"/>
      <c r="AF4365" s="10"/>
      <c r="AG4365" s="10"/>
      <c r="AH4365" s="10"/>
      <c r="AI4365" s="10"/>
      <c r="AJ4365" s="10"/>
      <c r="AK4365" s="10"/>
      <c r="AL4365" s="10"/>
      <c r="AM4365" s="10"/>
      <c r="AN4365" s="10"/>
      <c r="AO4365" s="10"/>
      <c r="AP4365" s="10"/>
      <c r="AQ4365" s="10"/>
      <c r="AR4365" s="10"/>
      <c r="AS4365" s="10"/>
      <c r="AT4365" s="10"/>
      <c r="AU4365" s="10"/>
      <c r="AV4365" s="10"/>
      <c r="AW4365" s="10"/>
      <c r="AX4365" s="10"/>
      <c r="AY4365" s="10"/>
      <c r="AZ4365" s="10"/>
    </row>
    <row r="4366" spans="31:52">
      <c r="AE4366" s="10"/>
      <c r="AF4366" s="10"/>
      <c r="AG4366" s="10"/>
      <c r="AH4366" s="10"/>
      <c r="AI4366" s="10"/>
      <c r="AJ4366" s="10"/>
      <c r="AK4366" s="10"/>
      <c r="AL4366" s="10"/>
      <c r="AM4366" s="10"/>
      <c r="AN4366" s="10"/>
      <c r="AO4366" s="10"/>
      <c r="AP4366" s="10"/>
      <c r="AQ4366" s="10"/>
      <c r="AR4366" s="10"/>
      <c r="AS4366" s="10"/>
      <c r="AT4366" s="10"/>
      <c r="AU4366" s="10"/>
      <c r="AV4366" s="10"/>
      <c r="AW4366" s="10"/>
      <c r="AX4366" s="10"/>
      <c r="AY4366" s="10"/>
      <c r="AZ4366" s="10"/>
    </row>
    <row r="4367" spans="31:52">
      <c r="AE4367" s="10"/>
      <c r="AF4367" s="10"/>
      <c r="AG4367" s="10"/>
      <c r="AH4367" s="10"/>
      <c r="AI4367" s="10"/>
      <c r="AJ4367" s="10"/>
      <c r="AK4367" s="10"/>
      <c r="AL4367" s="10"/>
      <c r="AM4367" s="10"/>
      <c r="AN4367" s="10"/>
      <c r="AO4367" s="10"/>
      <c r="AP4367" s="10"/>
      <c r="AQ4367" s="10"/>
      <c r="AR4367" s="10"/>
      <c r="AS4367" s="10"/>
      <c r="AT4367" s="10"/>
      <c r="AU4367" s="10"/>
      <c r="AV4367" s="10"/>
      <c r="AW4367" s="10"/>
      <c r="AX4367" s="10"/>
      <c r="AY4367" s="10"/>
      <c r="AZ4367" s="10"/>
    </row>
    <row r="4368" spans="31:52">
      <c r="AE4368" s="10"/>
      <c r="AF4368" s="10"/>
      <c r="AG4368" s="10"/>
      <c r="AH4368" s="10"/>
      <c r="AI4368" s="10"/>
      <c r="AJ4368" s="10"/>
      <c r="AK4368" s="10"/>
      <c r="AL4368" s="10"/>
      <c r="AM4368" s="10"/>
      <c r="AN4368" s="10"/>
      <c r="AO4368" s="10"/>
      <c r="AP4368" s="10"/>
      <c r="AQ4368" s="10"/>
      <c r="AR4368" s="10"/>
      <c r="AS4368" s="10"/>
      <c r="AT4368" s="10"/>
      <c r="AU4368" s="10"/>
      <c r="AV4368" s="10"/>
      <c r="AW4368" s="10"/>
      <c r="AX4368" s="10"/>
      <c r="AY4368" s="10"/>
      <c r="AZ4368" s="10"/>
    </row>
    <row r="4369" spans="31:52">
      <c r="AE4369" s="10"/>
      <c r="AF4369" s="10"/>
      <c r="AG4369" s="10"/>
      <c r="AH4369" s="10"/>
      <c r="AI4369" s="10"/>
      <c r="AJ4369" s="10"/>
      <c r="AK4369" s="10"/>
      <c r="AL4369" s="10"/>
      <c r="AM4369" s="10"/>
      <c r="AN4369" s="10"/>
      <c r="AO4369" s="10"/>
      <c r="AP4369" s="10"/>
      <c r="AQ4369" s="10"/>
      <c r="AR4369" s="10"/>
      <c r="AS4369" s="10"/>
      <c r="AT4369" s="10"/>
      <c r="AU4369" s="10"/>
      <c r="AV4369" s="10"/>
      <c r="AW4369" s="10"/>
      <c r="AX4369" s="10"/>
      <c r="AY4369" s="10"/>
      <c r="AZ4369" s="10"/>
    </row>
    <row r="4370" spans="31:52">
      <c r="AE4370" s="10"/>
      <c r="AF4370" s="10"/>
      <c r="AG4370" s="10"/>
      <c r="AH4370" s="10"/>
      <c r="AI4370" s="10"/>
      <c r="AJ4370" s="10"/>
      <c r="AK4370" s="10"/>
      <c r="AL4370" s="10"/>
      <c r="AM4370" s="10"/>
      <c r="AN4370" s="10"/>
      <c r="AO4370" s="10"/>
      <c r="AP4370" s="10"/>
      <c r="AQ4370" s="10"/>
      <c r="AR4370" s="10"/>
      <c r="AS4370" s="10"/>
      <c r="AT4370" s="10"/>
      <c r="AU4370" s="10"/>
      <c r="AV4370" s="10"/>
      <c r="AW4370" s="10"/>
      <c r="AX4370" s="10"/>
      <c r="AY4370" s="10"/>
      <c r="AZ4370" s="10"/>
    </row>
    <row r="4371" spans="31:52">
      <c r="AE4371" s="10"/>
      <c r="AF4371" s="10"/>
      <c r="AG4371" s="10"/>
      <c r="AH4371" s="10"/>
      <c r="AI4371" s="10"/>
      <c r="AJ4371" s="10"/>
      <c r="AK4371" s="10"/>
      <c r="AL4371" s="10"/>
      <c r="AM4371" s="10"/>
      <c r="AN4371" s="10"/>
      <c r="AO4371" s="10"/>
      <c r="AP4371" s="10"/>
      <c r="AQ4371" s="10"/>
      <c r="AR4371" s="10"/>
      <c r="AS4371" s="10"/>
      <c r="AT4371" s="10"/>
      <c r="AU4371" s="10"/>
      <c r="AV4371" s="10"/>
      <c r="AW4371" s="10"/>
      <c r="AX4371" s="10"/>
      <c r="AY4371" s="10"/>
      <c r="AZ4371" s="10"/>
    </row>
    <row r="4372" spans="31:52">
      <c r="AE4372" s="10"/>
      <c r="AF4372" s="10"/>
      <c r="AG4372" s="10"/>
      <c r="AH4372" s="10"/>
      <c r="AI4372" s="10"/>
      <c r="AJ4372" s="10"/>
      <c r="AK4372" s="10"/>
      <c r="AL4372" s="10"/>
      <c r="AM4372" s="10"/>
      <c r="AN4372" s="10"/>
      <c r="AO4372" s="10"/>
      <c r="AP4372" s="10"/>
      <c r="AQ4372" s="10"/>
      <c r="AR4372" s="10"/>
      <c r="AS4372" s="10"/>
      <c r="AT4372" s="10"/>
      <c r="AU4372" s="10"/>
      <c r="AV4372" s="10"/>
      <c r="AW4372" s="10"/>
      <c r="AX4372" s="10"/>
      <c r="AY4372" s="10"/>
      <c r="AZ4372" s="10"/>
    </row>
    <row r="4373" spans="31:52">
      <c r="AE4373" s="10"/>
      <c r="AF4373" s="10"/>
      <c r="AG4373" s="10"/>
      <c r="AH4373" s="10"/>
      <c r="AI4373" s="10"/>
      <c r="AJ4373" s="10"/>
      <c r="AK4373" s="10"/>
      <c r="AL4373" s="10"/>
      <c r="AM4373" s="10"/>
      <c r="AN4373" s="10"/>
      <c r="AO4373" s="10"/>
      <c r="AP4373" s="10"/>
      <c r="AQ4373" s="10"/>
      <c r="AR4373" s="10"/>
      <c r="AS4373" s="10"/>
      <c r="AT4373" s="10"/>
      <c r="AU4373" s="10"/>
      <c r="AV4373" s="10"/>
      <c r="AW4373" s="10"/>
      <c r="AX4373" s="10"/>
      <c r="AY4373" s="10"/>
      <c r="AZ4373" s="10"/>
    </row>
    <row r="4374" spans="31:52">
      <c r="AE4374" s="10"/>
      <c r="AF4374" s="10"/>
      <c r="AG4374" s="10"/>
      <c r="AH4374" s="10"/>
      <c r="AI4374" s="10"/>
      <c r="AJ4374" s="10"/>
      <c r="AK4374" s="10"/>
      <c r="AL4374" s="10"/>
      <c r="AM4374" s="10"/>
      <c r="AN4374" s="10"/>
      <c r="AO4374" s="10"/>
      <c r="AP4374" s="10"/>
      <c r="AQ4374" s="10"/>
      <c r="AR4374" s="10"/>
      <c r="AS4374" s="10"/>
      <c r="AT4374" s="10"/>
      <c r="AU4374" s="10"/>
      <c r="AV4374" s="10"/>
      <c r="AW4374" s="10"/>
      <c r="AX4374" s="10"/>
      <c r="AY4374" s="10"/>
      <c r="AZ4374" s="10"/>
    </row>
    <row r="4375" spans="31:52">
      <c r="AE4375" s="10"/>
      <c r="AF4375" s="10"/>
      <c r="AG4375" s="10"/>
      <c r="AH4375" s="10"/>
      <c r="AI4375" s="10"/>
      <c r="AJ4375" s="10"/>
      <c r="AK4375" s="10"/>
      <c r="AL4375" s="10"/>
      <c r="AM4375" s="10"/>
      <c r="AN4375" s="10"/>
      <c r="AO4375" s="10"/>
      <c r="AP4375" s="10"/>
      <c r="AQ4375" s="10"/>
      <c r="AR4375" s="10"/>
      <c r="AS4375" s="10"/>
      <c r="AT4375" s="10"/>
      <c r="AU4375" s="10"/>
      <c r="AV4375" s="10"/>
      <c r="AW4375" s="10"/>
      <c r="AX4375" s="10"/>
      <c r="AY4375" s="10"/>
      <c r="AZ4375" s="10"/>
    </row>
    <row r="4376" spans="31:52">
      <c r="AE4376" s="10"/>
      <c r="AF4376" s="10"/>
      <c r="AG4376" s="10"/>
      <c r="AH4376" s="10"/>
      <c r="AI4376" s="10"/>
      <c r="AJ4376" s="10"/>
      <c r="AK4376" s="10"/>
      <c r="AL4376" s="10"/>
      <c r="AM4376" s="10"/>
      <c r="AN4376" s="10"/>
      <c r="AO4376" s="10"/>
      <c r="AP4376" s="10"/>
      <c r="AQ4376" s="10"/>
      <c r="AR4376" s="10"/>
      <c r="AS4376" s="10"/>
      <c r="AT4376" s="10"/>
      <c r="AU4376" s="10"/>
      <c r="AV4376" s="10"/>
      <c r="AW4376" s="10"/>
      <c r="AX4376" s="10"/>
      <c r="AY4376" s="10"/>
      <c r="AZ4376" s="10"/>
    </row>
    <row r="4377" spans="31:52">
      <c r="AE4377" s="10"/>
      <c r="AF4377" s="10"/>
      <c r="AG4377" s="10"/>
      <c r="AH4377" s="10"/>
      <c r="AI4377" s="10"/>
      <c r="AJ4377" s="10"/>
      <c r="AK4377" s="10"/>
      <c r="AL4377" s="10"/>
      <c r="AM4377" s="10"/>
      <c r="AN4377" s="10"/>
      <c r="AO4377" s="10"/>
      <c r="AP4377" s="10"/>
      <c r="AQ4377" s="10"/>
      <c r="AR4377" s="10"/>
      <c r="AS4377" s="10"/>
      <c r="AT4377" s="10"/>
      <c r="AU4377" s="10"/>
      <c r="AV4377" s="10"/>
      <c r="AW4377" s="10"/>
      <c r="AX4377" s="10"/>
      <c r="AY4377" s="10"/>
      <c r="AZ4377" s="10"/>
    </row>
    <row r="4378" spans="31:52">
      <c r="AE4378" s="10"/>
      <c r="AF4378" s="10"/>
      <c r="AG4378" s="10"/>
      <c r="AH4378" s="10"/>
      <c r="AI4378" s="10"/>
      <c r="AJ4378" s="10"/>
      <c r="AK4378" s="10"/>
      <c r="AL4378" s="10"/>
      <c r="AM4378" s="10"/>
      <c r="AN4378" s="10"/>
      <c r="AO4378" s="10"/>
      <c r="AP4378" s="10"/>
      <c r="AQ4378" s="10"/>
      <c r="AR4378" s="10"/>
      <c r="AS4378" s="10"/>
      <c r="AT4378" s="10"/>
      <c r="AU4378" s="10"/>
      <c r="AV4378" s="10"/>
      <c r="AW4378" s="10"/>
      <c r="AX4378" s="10"/>
      <c r="AY4378" s="10"/>
      <c r="AZ4378" s="10"/>
    </row>
    <row r="4379" spans="31:52">
      <c r="AE4379" s="10"/>
      <c r="AF4379" s="10"/>
      <c r="AG4379" s="10"/>
      <c r="AH4379" s="10"/>
      <c r="AI4379" s="10"/>
      <c r="AJ4379" s="10"/>
      <c r="AK4379" s="10"/>
      <c r="AL4379" s="10"/>
      <c r="AM4379" s="10"/>
      <c r="AN4379" s="10"/>
      <c r="AO4379" s="10"/>
      <c r="AP4379" s="10"/>
      <c r="AQ4379" s="10"/>
      <c r="AR4379" s="10"/>
      <c r="AS4379" s="10"/>
      <c r="AT4379" s="10"/>
      <c r="AU4379" s="10"/>
      <c r="AV4379" s="10"/>
      <c r="AW4379" s="10"/>
      <c r="AX4379" s="10"/>
      <c r="AY4379" s="10"/>
      <c r="AZ4379" s="10"/>
    </row>
    <row r="4380" spans="31:52">
      <c r="AE4380" s="10"/>
      <c r="AF4380" s="10"/>
      <c r="AG4380" s="10"/>
      <c r="AH4380" s="10"/>
      <c r="AI4380" s="10"/>
      <c r="AJ4380" s="10"/>
      <c r="AK4380" s="10"/>
      <c r="AL4380" s="10"/>
      <c r="AM4380" s="10"/>
      <c r="AN4380" s="10"/>
      <c r="AO4380" s="10"/>
      <c r="AP4380" s="10"/>
      <c r="AQ4380" s="10"/>
      <c r="AR4380" s="10"/>
      <c r="AS4380" s="10"/>
      <c r="AT4380" s="10"/>
      <c r="AU4380" s="10"/>
      <c r="AV4380" s="10"/>
      <c r="AW4380" s="10"/>
      <c r="AX4380" s="10"/>
      <c r="AY4380" s="10"/>
      <c r="AZ4380" s="10"/>
    </row>
    <row r="4381" spans="31:52">
      <c r="AE4381" s="10"/>
      <c r="AF4381" s="10"/>
      <c r="AG4381" s="10"/>
      <c r="AH4381" s="10"/>
      <c r="AI4381" s="10"/>
      <c r="AJ4381" s="10"/>
      <c r="AK4381" s="10"/>
      <c r="AL4381" s="10"/>
      <c r="AM4381" s="10"/>
      <c r="AN4381" s="10"/>
      <c r="AO4381" s="10"/>
      <c r="AP4381" s="10"/>
      <c r="AQ4381" s="10"/>
      <c r="AR4381" s="10"/>
      <c r="AS4381" s="10"/>
      <c r="AT4381" s="10"/>
      <c r="AU4381" s="10"/>
      <c r="AV4381" s="10"/>
      <c r="AW4381" s="10"/>
      <c r="AX4381" s="10"/>
      <c r="AY4381" s="10"/>
      <c r="AZ4381" s="10"/>
    </row>
    <row r="4382" spans="31:52">
      <c r="AE4382" s="10"/>
      <c r="AF4382" s="10"/>
      <c r="AG4382" s="10"/>
      <c r="AH4382" s="10"/>
      <c r="AI4382" s="10"/>
      <c r="AJ4382" s="10"/>
      <c r="AK4382" s="10"/>
      <c r="AL4382" s="10"/>
      <c r="AM4382" s="10"/>
      <c r="AN4382" s="10"/>
      <c r="AO4382" s="10"/>
      <c r="AP4382" s="10"/>
      <c r="AQ4382" s="10"/>
      <c r="AR4382" s="10"/>
      <c r="AS4382" s="10"/>
      <c r="AT4382" s="10"/>
      <c r="AU4382" s="10"/>
      <c r="AV4382" s="10"/>
      <c r="AW4382" s="10"/>
      <c r="AX4382" s="10"/>
      <c r="AY4382" s="10"/>
      <c r="AZ4382" s="10"/>
    </row>
    <row r="4383" spans="31:52">
      <c r="AE4383" s="10"/>
      <c r="AF4383" s="10"/>
      <c r="AG4383" s="10"/>
      <c r="AH4383" s="10"/>
      <c r="AI4383" s="10"/>
      <c r="AJ4383" s="10"/>
      <c r="AK4383" s="10"/>
      <c r="AL4383" s="10"/>
      <c r="AM4383" s="10"/>
      <c r="AN4383" s="10"/>
      <c r="AO4383" s="10"/>
      <c r="AP4383" s="10"/>
      <c r="AQ4383" s="10"/>
      <c r="AR4383" s="10"/>
      <c r="AS4383" s="10"/>
      <c r="AT4383" s="10"/>
      <c r="AU4383" s="10"/>
      <c r="AV4383" s="10"/>
      <c r="AW4383" s="10"/>
      <c r="AX4383" s="10"/>
      <c r="AY4383" s="10"/>
      <c r="AZ4383" s="10"/>
    </row>
    <row r="4384" spans="31:52">
      <c r="AE4384" s="10"/>
      <c r="AF4384" s="10"/>
      <c r="AG4384" s="10"/>
      <c r="AH4384" s="10"/>
      <c r="AI4384" s="10"/>
      <c r="AJ4384" s="10"/>
      <c r="AK4384" s="10"/>
      <c r="AL4384" s="10"/>
      <c r="AM4384" s="10"/>
      <c r="AN4384" s="10"/>
      <c r="AO4384" s="10"/>
      <c r="AP4384" s="10"/>
      <c r="AQ4384" s="10"/>
      <c r="AR4384" s="10"/>
      <c r="AS4384" s="10"/>
      <c r="AT4384" s="10"/>
      <c r="AU4384" s="10"/>
      <c r="AV4384" s="10"/>
      <c r="AW4384" s="10"/>
      <c r="AX4384" s="10"/>
      <c r="AY4384" s="10"/>
      <c r="AZ4384" s="10"/>
    </row>
    <row r="4385" spans="31:52">
      <c r="AE4385" s="10"/>
      <c r="AF4385" s="10"/>
      <c r="AG4385" s="10"/>
      <c r="AH4385" s="10"/>
      <c r="AI4385" s="10"/>
      <c r="AJ4385" s="10"/>
      <c r="AK4385" s="10"/>
      <c r="AL4385" s="10"/>
      <c r="AM4385" s="10"/>
      <c r="AN4385" s="10"/>
      <c r="AO4385" s="10"/>
      <c r="AP4385" s="10"/>
      <c r="AQ4385" s="10"/>
      <c r="AR4385" s="10"/>
      <c r="AS4385" s="10"/>
      <c r="AT4385" s="10"/>
      <c r="AU4385" s="10"/>
      <c r="AV4385" s="10"/>
      <c r="AW4385" s="10"/>
      <c r="AX4385" s="10"/>
      <c r="AY4385" s="10"/>
      <c r="AZ4385" s="10"/>
    </row>
    <row r="4386" spans="31:52">
      <c r="AE4386" s="10"/>
      <c r="AF4386" s="10"/>
      <c r="AG4386" s="10"/>
      <c r="AH4386" s="10"/>
      <c r="AI4386" s="10"/>
      <c r="AJ4386" s="10"/>
      <c r="AK4386" s="10"/>
      <c r="AL4386" s="10"/>
      <c r="AM4386" s="10"/>
      <c r="AN4386" s="10"/>
      <c r="AO4386" s="10"/>
      <c r="AP4386" s="10"/>
      <c r="AQ4386" s="10"/>
      <c r="AR4386" s="10"/>
      <c r="AS4386" s="10"/>
      <c r="AT4386" s="10"/>
      <c r="AU4386" s="10"/>
      <c r="AV4386" s="10"/>
      <c r="AW4386" s="10"/>
      <c r="AX4386" s="10"/>
      <c r="AY4386" s="10"/>
      <c r="AZ4386" s="10"/>
    </row>
    <row r="4387" spans="31:52">
      <c r="AE4387" s="10"/>
      <c r="AF4387" s="10"/>
      <c r="AG4387" s="10"/>
      <c r="AH4387" s="10"/>
      <c r="AI4387" s="10"/>
      <c r="AJ4387" s="10"/>
      <c r="AK4387" s="10"/>
      <c r="AL4387" s="10"/>
      <c r="AM4387" s="10"/>
      <c r="AN4387" s="10"/>
      <c r="AO4387" s="10"/>
      <c r="AP4387" s="10"/>
      <c r="AQ4387" s="10"/>
      <c r="AR4387" s="10"/>
      <c r="AS4387" s="10"/>
      <c r="AT4387" s="10"/>
      <c r="AU4387" s="10"/>
      <c r="AV4387" s="10"/>
      <c r="AW4387" s="10"/>
      <c r="AX4387" s="10"/>
      <c r="AY4387" s="10"/>
      <c r="AZ4387" s="10"/>
    </row>
    <row r="4388" spans="31:52">
      <c r="AE4388" s="10"/>
      <c r="AF4388" s="10"/>
      <c r="AG4388" s="10"/>
      <c r="AH4388" s="10"/>
      <c r="AI4388" s="10"/>
      <c r="AJ4388" s="10"/>
      <c r="AK4388" s="10"/>
      <c r="AL4388" s="10"/>
      <c r="AM4388" s="10"/>
      <c r="AN4388" s="10"/>
      <c r="AO4388" s="10"/>
      <c r="AP4388" s="10"/>
      <c r="AQ4388" s="10"/>
      <c r="AR4388" s="10"/>
      <c r="AS4388" s="10"/>
      <c r="AT4388" s="10"/>
      <c r="AU4388" s="10"/>
      <c r="AV4388" s="10"/>
      <c r="AW4388" s="10"/>
      <c r="AX4388" s="10"/>
      <c r="AY4388" s="10"/>
      <c r="AZ4388" s="10"/>
    </row>
    <row r="4389" spans="31:52">
      <c r="AE4389" s="10"/>
      <c r="AF4389" s="10"/>
      <c r="AG4389" s="10"/>
      <c r="AH4389" s="10"/>
      <c r="AI4389" s="10"/>
      <c r="AJ4389" s="10"/>
      <c r="AK4389" s="10"/>
      <c r="AL4389" s="10"/>
      <c r="AM4389" s="10"/>
      <c r="AN4389" s="10"/>
      <c r="AO4389" s="10"/>
      <c r="AP4389" s="10"/>
      <c r="AQ4389" s="10"/>
      <c r="AR4389" s="10"/>
      <c r="AS4389" s="10"/>
      <c r="AT4389" s="10"/>
      <c r="AU4389" s="10"/>
      <c r="AV4389" s="10"/>
      <c r="AW4389" s="10"/>
      <c r="AX4389" s="10"/>
      <c r="AY4389" s="10"/>
      <c r="AZ4389" s="10"/>
    </row>
    <row r="4390" spans="31:52">
      <c r="AE4390" s="10"/>
      <c r="AF4390" s="10"/>
      <c r="AG4390" s="10"/>
      <c r="AH4390" s="10"/>
      <c r="AI4390" s="10"/>
      <c r="AJ4390" s="10"/>
      <c r="AK4390" s="10"/>
      <c r="AL4390" s="10"/>
      <c r="AM4390" s="10"/>
      <c r="AN4390" s="10"/>
      <c r="AO4390" s="10"/>
      <c r="AP4390" s="10"/>
      <c r="AQ4390" s="10"/>
      <c r="AR4390" s="10"/>
      <c r="AS4390" s="10"/>
      <c r="AT4390" s="10"/>
      <c r="AU4390" s="10"/>
      <c r="AV4390" s="10"/>
      <c r="AW4390" s="10"/>
      <c r="AX4390" s="10"/>
      <c r="AY4390" s="10"/>
      <c r="AZ4390" s="10"/>
    </row>
    <row r="4391" spans="31:52">
      <c r="AE4391" s="10"/>
      <c r="AF4391" s="10"/>
      <c r="AG4391" s="10"/>
      <c r="AH4391" s="10"/>
      <c r="AI4391" s="10"/>
      <c r="AJ4391" s="10"/>
      <c r="AK4391" s="10"/>
      <c r="AL4391" s="10"/>
      <c r="AM4391" s="10"/>
      <c r="AN4391" s="10"/>
      <c r="AO4391" s="10"/>
      <c r="AP4391" s="10"/>
      <c r="AQ4391" s="10"/>
      <c r="AR4391" s="10"/>
      <c r="AS4391" s="10"/>
      <c r="AT4391" s="10"/>
      <c r="AU4391" s="10"/>
      <c r="AV4391" s="10"/>
      <c r="AW4391" s="10"/>
      <c r="AX4391" s="10"/>
      <c r="AY4391" s="10"/>
      <c r="AZ4391" s="10"/>
    </row>
    <row r="4392" spans="31:52">
      <c r="AE4392" s="10"/>
      <c r="AF4392" s="10"/>
      <c r="AG4392" s="10"/>
      <c r="AH4392" s="10"/>
      <c r="AI4392" s="10"/>
      <c r="AJ4392" s="10"/>
      <c r="AK4392" s="10"/>
      <c r="AL4392" s="10"/>
      <c r="AM4392" s="10"/>
      <c r="AN4392" s="10"/>
      <c r="AO4392" s="10"/>
      <c r="AP4392" s="10"/>
      <c r="AQ4392" s="10"/>
      <c r="AR4392" s="10"/>
      <c r="AS4392" s="10"/>
      <c r="AT4392" s="10"/>
      <c r="AU4392" s="10"/>
      <c r="AV4392" s="10"/>
      <c r="AW4392" s="10"/>
      <c r="AX4392" s="10"/>
      <c r="AY4392" s="10"/>
      <c r="AZ4392" s="10"/>
    </row>
    <row r="4393" spans="31:52">
      <c r="AE4393" s="10"/>
      <c r="AF4393" s="10"/>
      <c r="AG4393" s="10"/>
      <c r="AH4393" s="10"/>
      <c r="AI4393" s="10"/>
      <c r="AJ4393" s="10"/>
      <c r="AK4393" s="10"/>
      <c r="AL4393" s="10"/>
      <c r="AM4393" s="10"/>
      <c r="AN4393" s="10"/>
      <c r="AO4393" s="10"/>
      <c r="AP4393" s="10"/>
      <c r="AQ4393" s="10"/>
      <c r="AR4393" s="10"/>
      <c r="AS4393" s="10"/>
      <c r="AT4393" s="10"/>
      <c r="AU4393" s="10"/>
      <c r="AV4393" s="10"/>
      <c r="AW4393" s="10"/>
      <c r="AX4393" s="10"/>
      <c r="AY4393" s="10"/>
      <c r="AZ4393" s="10"/>
    </row>
    <row r="4394" spans="31:52">
      <c r="AE4394" s="10"/>
      <c r="AF4394" s="10"/>
      <c r="AG4394" s="10"/>
      <c r="AH4394" s="10"/>
      <c r="AI4394" s="10"/>
      <c r="AJ4394" s="10"/>
      <c r="AK4394" s="10"/>
      <c r="AL4394" s="10"/>
      <c r="AM4394" s="10"/>
      <c r="AN4394" s="10"/>
      <c r="AO4394" s="10"/>
      <c r="AP4394" s="10"/>
      <c r="AQ4394" s="10"/>
      <c r="AR4394" s="10"/>
      <c r="AS4394" s="10"/>
      <c r="AT4394" s="10"/>
      <c r="AU4394" s="10"/>
      <c r="AV4394" s="10"/>
      <c r="AW4394" s="10"/>
      <c r="AX4394" s="10"/>
      <c r="AY4394" s="10"/>
      <c r="AZ4394" s="10"/>
    </row>
    <row r="4395" spans="31:52">
      <c r="AE4395" s="10"/>
      <c r="AF4395" s="10"/>
      <c r="AG4395" s="10"/>
      <c r="AH4395" s="10"/>
      <c r="AI4395" s="10"/>
      <c r="AJ4395" s="10"/>
      <c r="AK4395" s="10"/>
      <c r="AL4395" s="10"/>
      <c r="AM4395" s="10"/>
      <c r="AN4395" s="10"/>
      <c r="AO4395" s="10"/>
      <c r="AP4395" s="10"/>
      <c r="AQ4395" s="10"/>
      <c r="AR4395" s="10"/>
      <c r="AS4395" s="10"/>
      <c r="AT4395" s="10"/>
      <c r="AU4395" s="10"/>
      <c r="AV4395" s="10"/>
      <c r="AW4395" s="10"/>
      <c r="AX4395" s="10"/>
      <c r="AY4395" s="10"/>
      <c r="AZ4395" s="10"/>
    </row>
    <row r="4396" spans="31:52">
      <c r="AE4396" s="10"/>
      <c r="AF4396" s="10"/>
      <c r="AG4396" s="10"/>
      <c r="AH4396" s="10"/>
      <c r="AI4396" s="10"/>
      <c r="AJ4396" s="10"/>
      <c r="AK4396" s="10"/>
      <c r="AL4396" s="10"/>
      <c r="AM4396" s="10"/>
      <c r="AN4396" s="10"/>
      <c r="AO4396" s="10"/>
      <c r="AP4396" s="10"/>
      <c r="AQ4396" s="10"/>
      <c r="AR4396" s="10"/>
      <c r="AS4396" s="10"/>
      <c r="AT4396" s="10"/>
      <c r="AU4396" s="10"/>
      <c r="AV4396" s="10"/>
      <c r="AW4396" s="10"/>
      <c r="AX4396" s="10"/>
      <c r="AY4396" s="10"/>
      <c r="AZ4396" s="10"/>
    </row>
    <row r="4397" spans="31:52">
      <c r="AE4397" s="10"/>
      <c r="AF4397" s="10"/>
      <c r="AG4397" s="10"/>
      <c r="AH4397" s="10"/>
      <c r="AI4397" s="10"/>
      <c r="AJ4397" s="10"/>
      <c r="AK4397" s="10"/>
      <c r="AL4397" s="10"/>
      <c r="AM4397" s="10"/>
      <c r="AN4397" s="10"/>
      <c r="AO4397" s="10"/>
      <c r="AP4397" s="10"/>
      <c r="AQ4397" s="10"/>
      <c r="AR4397" s="10"/>
      <c r="AS4397" s="10"/>
      <c r="AT4397" s="10"/>
      <c r="AU4397" s="10"/>
      <c r="AV4397" s="10"/>
      <c r="AW4397" s="10"/>
      <c r="AX4397" s="10"/>
      <c r="AY4397" s="10"/>
      <c r="AZ4397" s="10"/>
    </row>
    <row r="4398" spans="31:52">
      <c r="AE4398" s="10"/>
      <c r="AF4398" s="10"/>
      <c r="AG4398" s="10"/>
      <c r="AH4398" s="10"/>
      <c r="AI4398" s="10"/>
      <c r="AJ4398" s="10"/>
      <c r="AK4398" s="10"/>
      <c r="AL4398" s="10"/>
      <c r="AM4398" s="10"/>
      <c r="AN4398" s="10"/>
      <c r="AO4398" s="10"/>
      <c r="AP4398" s="10"/>
      <c r="AQ4398" s="10"/>
      <c r="AR4398" s="10"/>
      <c r="AS4398" s="10"/>
      <c r="AT4398" s="10"/>
      <c r="AU4398" s="10"/>
      <c r="AV4398" s="10"/>
      <c r="AW4398" s="10"/>
      <c r="AX4398" s="10"/>
      <c r="AY4398" s="10"/>
      <c r="AZ4398" s="10"/>
    </row>
    <row r="4399" spans="31:52">
      <c r="AE4399" s="10"/>
      <c r="AF4399" s="10"/>
      <c r="AG4399" s="10"/>
      <c r="AH4399" s="10"/>
      <c r="AI4399" s="10"/>
      <c r="AJ4399" s="10"/>
      <c r="AK4399" s="10"/>
      <c r="AL4399" s="10"/>
      <c r="AM4399" s="10"/>
      <c r="AN4399" s="10"/>
      <c r="AO4399" s="10"/>
      <c r="AP4399" s="10"/>
      <c r="AQ4399" s="10"/>
      <c r="AR4399" s="10"/>
      <c r="AS4399" s="10"/>
      <c r="AT4399" s="10"/>
      <c r="AU4399" s="10"/>
      <c r="AV4399" s="10"/>
      <c r="AW4399" s="10"/>
      <c r="AX4399" s="10"/>
      <c r="AY4399" s="10"/>
      <c r="AZ4399" s="10"/>
    </row>
    <row r="4400" spans="31:52">
      <c r="AE4400" s="10"/>
      <c r="AF4400" s="10"/>
      <c r="AG4400" s="10"/>
      <c r="AH4400" s="10"/>
      <c r="AI4400" s="10"/>
      <c r="AJ4400" s="10"/>
      <c r="AK4400" s="10"/>
      <c r="AL4400" s="10"/>
      <c r="AM4400" s="10"/>
      <c r="AN4400" s="10"/>
      <c r="AO4400" s="10"/>
      <c r="AP4400" s="10"/>
      <c r="AQ4400" s="10"/>
      <c r="AR4400" s="10"/>
      <c r="AS4400" s="10"/>
      <c r="AT4400" s="10"/>
      <c r="AU4400" s="10"/>
      <c r="AV4400" s="10"/>
      <c r="AW4400" s="10"/>
      <c r="AX4400" s="10"/>
      <c r="AY4400" s="10"/>
      <c r="AZ4400" s="10"/>
    </row>
    <row r="4401" spans="31:52">
      <c r="AE4401" s="10"/>
      <c r="AF4401" s="10"/>
      <c r="AG4401" s="10"/>
      <c r="AH4401" s="10"/>
      <c r="AI4401" s="10"/>
      <c r="AJ4401" s="10"/>
      <c r="AK4401" s="10"/>
      <c r="AL4401" s="10"/>
      <c r="AM4401" s="10"/>
      <c r="AN4401" s="10"/>
      <c r="AO4401" s="10"/>
      <c r="AP4401" s="10"/>
      <c r="AQ4401" s="10"/>
      <c r="AR4401" s="10"/>
      <c r="AS4401" s="10"/>
      <c r="AT4401" s="10"/>
      <c r="AU4401" s="10"/>
      <c r="AV4401" s="10"/>
      <c r="AW4401" s="10"/>
      <c r="AX4401" s="10"/>
      <c r="AY4401" s="10"/>
      <c r="AZ4401" s="10"/>
    </row>
    <row r="4402" spans="31:52">
      <c r="AE4402" s="10"/>
      <c r="AF4402" s="10"/>
      <c r="AG4402" s="10"/>
      <c r="AH4402" s="10"/>
      <c r="AI4402" s="10"/>
      <c r="AJ4402" s="10"/>
      <c r="AK4402" s="10"/>
      <c r="AL4402" s="10"/>
      <c r="AM4402" s="10"/>
      <c r="AN4402" s="10"/>
      <c r="AO4402" s="10"/>
      <c r="AP4402" s="10"/>
      <c r="AQ4402" s="10"/>
      <c r="AR4402" s="10"/>
      <c r="AS4402" s="10"/>
      <c r="AT4402" s="10"/>
      <c r="AU4402" s="10"/>
      <c r="AV4402" s="10"/>
      <c r="AW4402" s="10"/>
      <c r="AX4402" s="10"/>
      <c r="AY4402" s="10"/>
      <c r="AZ4402" s="10"/>
    </row>
    <row r="4403" spans="31:52">
      <c r="AE4403" s="10"/>
      <c r="AF4403" s="10"/>
      <c r="AG4403" s="10"/>
      <c r="AH4403" s="10"/>
      <c r="AI4403" s="10"/>
      <c r="AJ4403" s="10"/>
      <c r="AK4403" s="10"/>
      <c r="AL4403" s="10"/>
      <c r="AM4403" s="10"/>
      <c r="AN4403" s="10"/>
      <c r="AO4403" s="10"/>
      <c r="AP4403" s="10"/>
      <c r="AQ4403" s="10"/>
      <c r="AR4403" s="10"/>
      <c r="AS4403" s="10"/>
      <c r="AT4403" s="10"/>
      <c r="AU4403" s="10"/>
      <c r="AV4403" s="10"/>
      <c r="AW4403" s="10"/>
      <c r="AX4403" s="10"/>
      <c r="AY4403" s="10"/>
      <c r="AZ4403" s="10"/>
    </row>
    <row r="4404" spans="31:52">
      <c r="AE4404" s="10"/>
      <c r="AF4404" s="10"/>
      <c r="AG4404" s="10"/>
      <c r="AH4404" s="10"/>
      <c r="AI4404" s="10"/>
      <c r="AJ4404" s="10"/>
      <c r="AK4404" s="10"/>
      <c r="AL4404" s="10"/>
      <c r="AM4404" s="10"/>
      <c r="AN4404" s="10"/>
      <c r="AO4404" s="10"/>
      <c r="AP4404" s="10"/>
      <c r="AQ4404" s="10"/>
      <c r="AR4404" s="10"/>
      <c r="AS4404" s="10"/>
      <c r="AT4404" s="10"/>
      <c r="AU4404" s="10"/>
      <c r="AV4404" s="10"/>
      <c r="AW4404" s="10"/>
      <c r="AX4404" s="10"/>
      <c r="AY4404" s="10"/>
      <c r="AZ4404" s="10"/>
    </row>
    <row r="4405" spans="31:52">
      <c r="AE4405" s="10"/>
      <c r="AF4405" s="10"/>
      <c r="AG4405" s="10"/>
      <c r="AH4405" s="10"/>
      <c r="AI4405" s="10"/>
      <c r="AJ4405" s="10"/>
      <c r="AK4405" s="10"/>
      <c r="AL4405" s="10"/>
      <c r="AM4405" s="10"/>
      <c r="AN4405" s="10"/>
      <c r="AO4405" s="10"/>
      <c r="AP4405" s="10"/>
      <c r="AQ4405" s="10"/>
      <c r="AR4405" s="10"/>
      <c r="AS4405" s="10"/>
      <c r="AT4405" s="10"/>
      <c r="AU4405" s="10"/>
      <c r="AV4405" s="10"/>
      <c r="AW4405" s="10"/>
      <c r="AX4405" s="10"/>
      <c r="AY4405" s="10"/>
      <c r="AZ4405" s="10"/>
    </row>
    <row r="4406" spans="31:52">
      <c r="AE4406" s="10"/>
      <c r="AF4406" s="10"/>
      <c r="AG4406" s="10"/>
      <c r="AH4406" s="10"/>
      <c r="AI4406" s="10"/>
      <c r="AJ4406" s="10"/>
      <c r="AK4406" s="10"/>
      <c r="AL4406" s="10"/>
      <c r="AM4406" s="10"/>
      <c r="AN4406" s="10"/>
      <c r="AO4406" s="10"/>
      <c r="AP4406" s="10"/>
      <c r="AQ4406" s="10"/>
      <c r="AR4406" s="10"/>
      <c r="AS4406" s="10"/>
      <c r="AT4406" s="10"/>
      <c r="AU4406" s="10"/>
      <c r="AV4406" s="10"/>
      <c r="AW4406" s="10"/>
      <c r="AX4406" s="10"/>
      <c r="AY4406" s="10"/>
      <c r="AZ4406" s="10"/>
    </row>
    <row r="4407" spans="31:52">
      <c r="AE4407" s="10"/>
      <c r="AF4407" s="10"/>
      <c r="AG4407" s="10"/>
      <c r="AH4407" s="10"/>
      <c r="AI4407" s="10"/>
      <c r="AJ4407" s="10"/>
      <c r="AK4407" s="10"/>
      <c r="AL4407" s="10"/>
      <c r="AM4407" s="10"/>
      <c r="AN4407" s="10"/>
      <c r="AO4407" s="10"/>
      <c r="AP4407" s="10"/>
      <c r="AQ4407" s="10"/>
      <c r="AR4407" s="10"/>
      <c r="AS4407" s="10"/>
      <c r="AT4407" s="10"/>
      <c r="AU4407" s="10"/>
      <c r="AV4407" s="10"/>
      <c r="AW4407" s="10"/>
      <c r="AX4407" s="10"/>
      <c r="AY4407" s="10"/>
      <c r="AZ4407" s="10"/>
    </row>
    <row r="4408" spans="31:52">
      <c r="AE4408" s="10"/>
      <c r="AF4408" s="10"/>
      <c r="AG4408" s="10"/>
      <c r="AH4408" s="10"/>
      <c r="AI4408" s="10"/>
      <c r="AJ4408" s="10"/>
      <c r="AK4408" s="10"/>
      <c r="AL4408" s="10"/>
      <c r="AM4408" s="10"/>
      <c r="AN4408" s="10"/>
      <c r="AO4408" s="10"/>
      <c r="AP4408" s="10"/>
      <c r="AQ4408" s="10"/>
      <c r="AR4408" s="10"/>
      <c r="AS4408" s="10"/>
      <c r="AT4408" s="10"/>
      <c r="AU4408" s="10"/>
      <c r="AV4408" s="10"/>
      <c r="AW4408" s="10"/>
      <c r="AX4408" s="10"/>
      <c r="AY4408" s="10"/>
      <c r="AZ4408" s="10"/>
    </row>
    <row r="4409" spans="31:52">
      <c r="AE4409" s="10"/>
      <c r="AF4409" s="10"/>
      <c r="AG4409" s="10"/>
      <c r="AH4409" s="10"/>
      <c r="AI4409" s="10"/>
      <c r="AJ4409" s="10"/>
      <c r="AK4409" s="10"/>
      <c r="AL4409" s="10"/>
      <c r="AM4409" s="10"/>
      <c r="AN4409" s="10"/>
      <c r="AO4409" s="10"/>
      <c r="AP4409" s="10"/>
      <c r="AQ4409" s="10"/>
      <c r="AR4409" s="10"/>
      <c r="AS4409" s="10"/>
      <c r="AT4409" s="10"/>
      <c r="AU4409" s="10"/>
      <c r="AV4409" s="10"/>
      <c r="AW4409" s="10"/>
      <c r="AX4409" s="10"/>
      <c r="AY4409" s="10"/>
      <c r="AZ4409" s="10"/>
    </row>
    <row r="4410" spans="31:52">
      <c r="AE4410" s="10"/>
      <c r="AF4410" s="10"/>
      <c r="AG4410" s="10"/>
      <c r="AH4410" s="10"/>
      <c r="AI4410" s="10"/>
      <c r="AJ4410" s="10"/>
      <c r="AK4410" s="10"/>
      <c r="AL4410" s="10"/>
      <c r="AM4410" s="10"/>
      <c r="AN4410" s="10"/>
      <c r="AO4410" s="10"/>
      <c r="AP4410" s="10"/>
      <c r="AQ4410" s="10"/>
      <c r="AR4410" s="10"/>
      <c r="AS4410" s="10"/>
      <c r="AT4410" s="10"/>
      <c r="AU4410" s="10"/>
      <c r="AV4410" s="10"/>
      <c r="AW4410" s="10"/>
      <c r="AX4410" s="10"/>
      <c r="AY4410" s="10"/>
      <c r="AZ4410" s="10"/>
    </row>
    <row r="4411" spans="31:52">
      <c r="AE4411" s="10"/>
      <c r="AF4411" s="10"/>
      <c r="AG4411" s="10"/>
      <c r="AH4411" s="10"/>
      <c r="AI4411" s="10"/>
      <c r="AJ4411" s="10"/>
      <c r="AK4411" s="10"/>
      <c r="AL4411" s="10"/>
      <c r="AM4411" s="10"/>
      <c r="AN4411" s="10"/>
      <c r="AO4411" s="10"/>
      <c r="AP4411" s="10"/>
      <c r="AQ4411" s="10"/>
      <c r="AR4411" s="10"/>
      <c r="AS4411" s="10"/>
      <c r="AT4411" s="10"/>
      <c r="AU4411" s="10"/>
      <c r="AV4411" s="10"/>
      <c r="AW4411" s="10"/>
      <c r="AX4411" s="10"/>
      <c r="AY4411" s="10"/>
      <c r="AZ4411" s="10"/>
    </row>
    <row r="4412" spans="31:52">
      <c r="AE4412" s="10"/>
      <c r="AF4412" s="10"/>
      <c r="AG4412" s="10"/>
      <c r="AH4412" s="10"/>
      <c r="AI4412" s="10"/>
      <c r="AJ4412" s="10"/>
      <c r="AK4412" s="10"/>
      <c r="AL4412" s="10"/>
      <c r="AM4412" s="10"/>
      <c r="AN4412" s="10"/>
      <c r="AO4412" s="10"/>
      <c r="AP4412" s="10"/>
      <c r="AQ4412" s="10"/>
      <c r="AR4412" s="10"/>
      <c r="AS4412" s="10"/>
      <c r="AT4412" s="10"/>
      <c r="AU4412" s="10"/>
      <c r="AV4412" s="10"/>
      <c r="AW4412" s="10"/>
      <c r="AX4412" s="10"/>
      <c r="AY4412" s="10"/>
      <c r="AZ4412" s="10"/>
    </row>
    <row r="4413" spans="31:52">
      <c r="AE4413" s="10"/>
      <c r="AF4413" s="10"/>
      <c r="AG4413" s="10"/>
      <c r="AH4413" s="10"/>
      <c r="AI4413" s="10"/>
      <c r="AJ4413" s="10"/>
      <c r="AK4413" s="10"/>
      <c r="AL4413" s="10"/>
      <c r="AM4413" s="10"/>
      <c r="AN4413" s="10"/>
      <c r="AO4413" s="10"/>
      <c r="AP4413" s="10"/>
      <c r="AQ4413" s="10"/>
      <c r="AR4413" s="10"/>
      <c r="AS4413" s="10"/>
      <c r="AT4413" s="10"/>
      <c r="AU4413" s="10"/>
      <c r="AV4413" s="10"/>
      <c r="AW4413" s="10"/>
      <c r="AX4413" s="10"/>
      <c r="AY4413" s="10"/>
      <c r="AZ4413" s="10"/>
    </row>
    <row r="4414" spans="31:52">
      <c r="AE4414" s="10"/>
      <c r="AF4414" s="10"/>
      <c r="AG4414" s="10"/>
      <c r="AH4414" s="10"/>
      <c r="AI4414" s="10"/>
      <c r="AJ4414" s="10"/>
      <c r="AK4414" s="10"/>
      <c r="AL4414" s="10"/>
      <c r="AM4414" s="10"/>
      <c r="AN4414" s="10"/>
      <c r="AO4414" s="10"/>
      <c r="AP4414" s="10"/>
      <c r="AQ4414" s="10"/>
      <c r="AR4414" s="10"/>
      <c r="AS4414" s="10"/>
      <c r="AT4414" s="10"/>
      <c r="AU4414" s="10"/>
      <c r="AV4414" s="10"/>
      <c r="AW4414" s="10"/>
      <c r="AX4414" s="10"/>
      <c r="AY4414" s="10"/>
      <c r="AZ4414" s="10"/>
    </row>
    <row r="4415" spans="31:52">
      <c r="AE4415" s="10"/>
      <c r="AF4415" s="10"/>
      <c r="AG4415" s="10"/>
      <c r="AH4415" s="10"/>
      <c r="AI4415" s="10"/>
      <c r="AJ4415" s="10"/>
      <c r="AK4415" s="10"/>
      <c r="AL4415" s="10"/>
      <c r="AM4415" s="10"/>
      <c r="AN4415" s="10"/>
      <c r="AO4415" s="10"/>
      <c r="AP4415" s="10"/>
      <c r="AQ4415" s="10"/>
      <c r="AR4415" s="10"/>
      <c r="AS4415" s="10"/>
      <c r="AT4415" s="10"/>
      <c r="AU4415" s="10"/>
      <c r="AV4415" s="10"/>
      <c r="AW4415" s="10"/>
      <c r="AX4415" s="10"/>
      <c r="AY4415" s="10"/>
      <c r="AZ4415" s="10"/>
    </row>
    <row r="4416" spans="31:52">
      <c r="AE4416" s="10"/>
      <c r="AF4416" s="10"/>
      <c r="AG4416" s="10"/>
      <c r="AH4416" s="10"/>
      <c r="AI4416" s="10"/>
      <c r="AJ4416" s="10"/>
      <c r="AK4416" s="10"/>
      <c r="AL4416" s="10"/>
      <c r="AM4416" s="10"/>
      <c r="AN4416" s="10"/>
      <c r="AO4416" s="10"/>
      <c r="AP4416" s="10"/>
      <c r="AQ4416" s="10"/>
      <c r="AR4416" s="10"/>
      <c r="AS4416" s="10"/>
      <c r="AT4416" s="10"/>
      <c r="AU4416" s="10"/>
      <c r="AV4416" s="10"/>
      <c r="AW4416" s="10"/>
      <c r="AX4416" s="10"/>
      <c r="AY4416" s="10"/>
      <c r="AZ4416" s="10"/>
    </row>
    <row r="4417" spans="31:52">
      <c r="AE4417" s="10"/>
      <c r="AF4417" s="10"/>
      <c r="AG4417" s="10"/>
      <c r="AH4417" s="10"/>
      <c r="AI4417" s="10"/>
      <c r="AJ4417" s="10"/>
      <c r="AK4417" s="10"/>
      <c r="AL4417" s="10"/>
      <c r="AM4417" s="10"/>
      <c r="AN4417" s="10"/>
      <c r="AO4417" s="10"/>
      <c r="AP4417" s="10"/>
      <c r="AQ4417" s="10"/>
      <c r="AR4417" s="10"/>
      <c r="AS4417" s="10"/>
      <c r="AT4417" s="10"/>
      <c r="AU4417" s="10"/>
      <c r="AV4417" s="10"/>
      <c r="AW4417" s="10"/>
      <c r="AX4417" s="10"/>
      <c r="AY4417" s="10"/>
      <c r="AZ4417" s="10"/>
    </row>
    <row r="4418" spans="31:52">
      <c r="AE4418" s="10"/>
      <c r="AF4418" s="10"/>
      <c r="AG4418" s="10"/>
      <c r="AH4418" s="10"/>
      <c r="AI4418" s="10"/>
      <c r="AJ4418" s="10"/>
      <c r="AK4418" s="10"/>
      <c r="AL4418" s="10"/>
      <c r="AM4418" s="10"/>
      <c r="AN4418" s="10"/>
      <c r="AO4418" s="10"/>
      <c r="AP4418" s="10"/>
      <c r="AQ4418" s="10"/>
      <c r="AR4418" s="10"/>
      <c r="AS4418" s="10"/>
      <c r="AT4418" s="10"/>
      <c r="AU4418" s="10"/>
      <c r="AV4418" s="10"/>
      <c r="AW4418" s="10"/>
      <c r="AX4418" s="10"/>
      <c r="AY4418" s="10"/>
      <c r="AZ4418" s="10"/>
    </row>
    <row r="4419" spans="31:52">
      <c r="AE4419" s="10"/>
      <c r="AF4419" s="10"/>
      <c r="AG4419" s="10"/>
      <c r="AH4419" s="10"/>
      <c r="AI4419" s="10"/>
      <c r="AJ4419" s="10"/>
      <c r="AK4419" s="10"/>
      <c r="AL4419" s="10"/>
      <c r="AM4419" s="10"/>
      <c r="AN4419" s="10"/>
      <c r="AO4419" s="10"/>
      <c r="AP4419" s="10"/>
      <c r="AQ4419" s="10"/>
      <c r="AR4419" s="10"/>
      <c r="AS4419" s="10"/>
      <c r="AT4419" s="10"/>
      <c r="AU4419" s="10"/>
      <c r="AV4419" s="10"/>
      <c r="AW4419" s="10"/>
      <c r="AX4419" s="10"/>
      <c r="AY4419" s="10"/>
      <c r="AZ4419" s="10"/>
    </row>
    <row r="4420" spans="31:52">
      <c r="AE4420" s="10"/>
      <c r="AF4420" s="10"/>
      <c r="AG4420" s="10"/>
      <c r="AH4420" s="10"/>
      <c r="AI4420" s="10"/>
      <c r="AJ4420" s="10"/>
      <c r="AK4420" s="10"/>
      <c r="AL4420" s="10"/>
      <c r="AM4420" s="10"/>
      <c r="AN4420" s="10"/>
      <c r="AO4420" s="10"/>
      <c r="AP4420" s="10"/>
      <c r="AQ4420" s="10"/>
      <c r="AR4420" s="10"/>
      <c r="AS4420" s="10"/>
      <c r="AT4420" s="10"/>
      <c r="AU4420" s="10"/>
      <c r="AV4420" s="10"/>
      <c r="AW4420" s="10"/>
      <c r="AX4420" s="10"/>
      <c r="AY4420" s="10"/>
      <c r="AZ4420" s="10"/>
    </row>
    <row r="4421" spans="31:52">
      <c r="AE4421" s="10"/>
      <c r="AF4421" s="10"/>
      <c r="AG4421" s="10"/>
      <c r="AH4421" s="10"/>
      <c r="AI4421" s="10"/>
      <c r="AJ4421" s="10"/>
      <c r="AK4421" s="10"/>
      <c r="AL4421" s="10"/>
      <c r="AM4421" s="10"/>
      <c r="AN4421" s="10"/>
      <c r="AO4421" s="10"/>
      <c r="AP4421" s="10"/>
      <c r="AQ4421" s="10"/>
      <c r="AR4421" s="10"/>
      <c r="AS4421" s="10"/>
      <c r="AT4421" s="10"/>
      <c r="AU4421" s="10"/>
      <c r="AV4421" s="10"/>
      <c r="AW4421" s="10"/>
      <c r="AX4421" s="10"/>
      <c r="AY4421" s="10"/>
      <c r="AZ4421" s="10"/>
    </row>
    <row r="4422" spans="31:52">
      <c r="AE4422" s="10"/>
      <c r="AF4422" s="10"/>
      <c r="AG4422" s="10"/>
      <c r="AH4422" s="10"/>
      <c r="AI4422" s="10"/>
      <c r="AJ4422" s="10"/>
      <c r="AK4422" s="10"/>
      <c r="AL4422" s="10"/>
      <c r="AM4422" s="10"/>
      <c r="AN4422" s="10"/>
      <c r="AO4422" s="10"/>
      <c r="AP4422" s="10"/>
      <c r="AQ4422" s="10"/>
      <c r="AR4422" s="10"/>
      <c r="AS4422" s="10"/>
      <c r="AT4422" s="10"/>
      <c r="AU4422" s="10"/>
      <c r="AV4422" s="10"/>
      <c r="AW4422" s="10"/>
      <c r="AX4422" s="10"/>
      <c r="AY4422" s="10"/>
      <c r="AZ4422" s="10"/>
    </row>
    <row r="4423" spans="31:52">
      <c r="AE4423" s="10"/>
      <c r="AF4423" s="10"/>
      <c r="AG4423" s="10"/>
      <c r="AH4423" s="10"/>
      <c r="AI4423" s="10"/>
      <c r="AJ4423" s="10"/>
      <c r="AK4423" s="10"/>
      <c r="AL4423" s="10"/>
      <c r="AM4423" s="10"/>
      <c r="AN4423" s="10"/>
      <c r="AO4423" s="10"/>
      <c r="AP4423" s="10"/>
      <c r="AQ4423" s="10"/>
      <c r="AR4423" s="10"/>
      <c r="AS4423" s="10"/>
      <c r="AT4423" s="10"/>
      <c r="AU4423" s="10"/>
      <c r="AV4423" s="10"/>
      <c r="AW4423" s="10"/>
      <c r="AX4423" s="10"/>
      <c r="AY4423" s="10"/>
      <c r="AZ4423" s="10"/>
    </row>
    <row r="4424" spans="31:52">
      <c r="AE4424" s="10"/>
      <c r="AF4424" s="10"/>
      <c r="AG4424" s="10"/>
      <c r="AH4424" s="10"/>
      <c r="AI4424" s="10"/>
      <c r="AJ4424" s="10"/>
      <c r="AK4424" s="10"/>
      <c r="AL4424" s="10"/>
      <c r="AM4424" s="10"/>
      <c r="AN4424" s="10"/>
      <c r="AO4424" s="10"/>
      <c r="AP4424" s="10"/>
      <c r="AQ4424" s="10"/>
      <c r="AR4424" s="10"/>
      <c r="AS4424" s="10"/>
      <c r="AT4424" s="10"/>
      <c r="AU4424" s="10"/>
      <c r="AV4424" s="10"/>
      <c r="AW4424" s="10"/>
      <c r="AX4424" s="10"/>
      <c r="AY4424" s="10"/>
      <c r="AZ4424" s="10"/>
    </row>
    <row r="4425" spans="31:52">
      <c r="AE4425" s="10"/>
      <c r="AF4425" s="10"/>
      <c r="AG4425" s="10"/>
      <c r="AH4425" s="10"/>
      <c r="AI4425" s="10"/>
      <c r="AJ4425" s="10"/>
      <c r="AK4425" s="10"/>
      <c r="AL4425" s="10"/>
      <c r="AM4425" s="10"/>
      <c r="AN4425" s="10"/>
      <c r="AO4425" s="10"/>
      <c r="AP4425" s="10"/>
      <c r="AQ4425" s="10"/>
      <c r="AR4425" s="10"/>
      <c r="AS4425" s="10"/>
      <c r="AT4425" s="10"/>
      <c r="AU4425" s="10"/>
      <c r="AV4425" s="10"/>
      <c r="AW4425" s="10"/>
      <c r="AX4425" s="10"/>
      <c r="AY4425" s="10"/>
      <c r="AZ4425" s="10"/>
    </row>
    <row r="4426" spans="31:52">
      <c r="AE4426" s="10"/>
      <c r="AF4426" s="10"/>
      <c r="AG4426" s="10"/>
      <c r="AH4426" s="10"/>
      <c r="AI4426" s="10"/>
      <c r="AJ4426" s="10"/>
      <c r="AK4426" s="10"/>
      <c r="AL4426" s="10"/>
      <c r="AM4426" s="10"/>
      <c r="AN4426" s="10"/>
      <c r="AO4426" s="10"/>
      <c r="AP4426" s="10"/>
      <c r="AQ4426" s="10"/>
      <c r="AR4426" s="10"/>
      <c r="AS4426" s="10"/>
      <c r="AT4426" s="10"/>
      <c r="AU4426" s="10"/>
      <c r="AV4426" s="10"/>
      <c r="AW4426" s="10"/>
      <c r="AX4426" s="10"/>
      <c r="AY4426" s="10"/>
      <c r="AZ4426" s="10"/>
    </row>
    <row r="4427" spans="31:52">
      <c r="AE4427" s="10"/>
      <c r="AF4427" s="10"/>
      <c r="AG4427" s="10"/>
      <c r="AH4427" s="10"/>
      <c r="AI4427" s="10"/>
      <c r="AJ4427" s="10"/>
      <c r="AK4427" s="10"/>
      <c r="AL4427" s="10"/>
      <c r="AM4427" s="10"/>
      <c r="AN4427" s="10"/>
      <c r="AO4427" s="10"/>
      <c r="AP4427" s="10"/>
      <c r="AQ4427" s="10"/>
      <c r="AR4427" s="10"/>
      <c r="AS4427" s="10"/>
      <c r="AT4427" s="10"/>
      <c r="AU4427" s="10"/>
      <c r="AV4427" s="10"/>
      <c r="AW4427" s="10"/>
      <c r="AX4427" s="10"/>
      <c r="AY4427" s="10"/>
      <c r="AZ4427" s="10"/>
    </row>
    <row r="4428" spans="31:52">
      <c r="AE4428" s="10"/>
      <c r="AF4428" s="10"/>
      <c r="AG4428" s="10"/>
      <c r="AH4428" s="10"/>
      <c r="AI4428" s="10"/>
      <c r="AJ4428" s="10"/>
      <c r="AK4428" s="10"/>
      <c r="AL4428" s="10"/>
      <c r="AM4428" s="10"/>
      <c r="AN4428" s="10"/>
      <c r="AO4428" s="10"/>
      <c r="AP4428" s="10"/>
      <c r="AQ4428" s="10"/>
      <c r="AR4428" s="10"/>
      <c r="AS4428" s="10"/>
      <c r="AT4428" s="10"/>
      <c r="AU4428" s="10"/>
      <c r="AV4428" s="10"/>
      <c r="AW4428" s="10"/>
      <c r="AX4428" s="10"/>
      <c r="AY4428" s="10"/>
      <c r="AZ4428" s="10"/>
    </row>
    <row r="4429" spans="31:52">
      <c r="AE4429" s="10"/>
      <c r="AF4429" s="10"/>
      <c r="AG4429" s="10"/>
      <c r="AH4429" s="10"/>
      <c r="AI4429" s="10"/>
      <c r="AJ4429" s="10"/>
      <c r="AK4429" s="10"/>
      <c r="AL4429" s="10"/>
      <c r="AM4429" s="10"/>
      <c r="AN4429" s="10"/>
      <c r="AO4429" s="10"/>
      <c r="AP4429" s="10"/>
      <c r="AQ4429" s="10"/>
      <c r="AR4429" s="10"/>
      <c r="AS4429" s="10"/>
      <c r="AT4429" s="10"/>
      <c r="AU4429" s="10"/>
      <c r="AV4429" s="10"/>
      <c r="AW4429" s="10"/>
      <c r="AX4429" s="10"/>
      <c r="AY4429" s="10"/>
      <c r="AZ4429" s="10"/>
    </row>
    <row r="4430" spans="31:52">
      <c r="AE4430" s="10"/>
      <c r="AF4430" s="10"/>
      <c r="AG4430" s="10"/>
      <c r="AH4430" s="10"/>
      <c r="AI4430" s="10"/>
      <c r="AJ4430" s="10"/>
      <c r="AK4430" s="10"/>
      <c r="AL4430" s="10"/>
      <c r="AM4430" s="10"/>
      <c r="AN4430" s="10"/>
      <c r="AO4430" s="10"/>
      <c r="AP4430" s="10"/>
      <c r="AQ4430" s="10"/>
      <c r="AR4430" s="10"/>
      <c r="AS4430" s="10"/>
      <c r="AT4430" s="10"/>
      <c r="AU4430" s="10"/>
      <c r="AV4430" s="10"/>
      <c r="AW4430" s="10"/>
      <c r="AX4430" s="10"/>
      <c r="AY4430" s="10"/>
      <c r="AZ4430" s="10"/>
    </row>
    <row r="4431" spans="31:52">
      <c r="AE4431" s="10"/>
      <c r="AF4431" s="10"/>
      <c r="AG4431" s="10"/>
      <c r="AH4431" s="10"/>
      <c r="AI4431" s="10"/>
      <c r="AJ4431" s="10"/>
      <c r="AK4431" s="10"/>
      <c r="AL4431" s="10"/>
      <c r="AM4431" s="10"/>
      <c r="AN4431" s="10"/>
      <c r="AO4431" s="10"/>
      <c r="AP4431" s="10"/>
      <c r="AQ4431" s="10"/>
      <c r="AR4431" s="10"/>
      <c r="AS4431" s="10"/>
      <c r="AT4431" s="10"/>
      <c r="AU4431" s="10"/>
      <c r="AV4431" s="10"/>
      <c r="AW4431" s="10"/>
      <c r="AX4431" s="10"/>
      <c r="AY4431" s="10"/>
      <c r="AZ4431" s="10"/>
    </row>
    <row r="4432" spans="31:52">
      <c r="AE4432" s="10"/>
      <c r="AF4432" s="10"/>
      <c r="AG4432" s="10"/>
      <c r="AH4432" s="10"/>
      <c r="AI4432" s="10"/>
      <c r="AJ4432" s="10"/>
      <c r="AK4432" s="10"/>
      <c r="AL4432" s="10"/>
      <c r="AM4432" s="10"/>
      <c r="AN4432" s="10"/>
      <c r="AO4432" s="10"/>
      <c r="AP4432" s="10"/>
      <c r="AQ4432" s="10"/>
      <c r="AR4432" s="10"/>
      <c r="AS4432" s="10"/>
      <c r="AT4432" s="10"/>
      <c r="AU4432" s="10"/>
      <c r="AV4432" s="10"/>
      <c r="AW4432" s="10"/>
      <c r="AX4432" s="10"/>
      <c r="AY4432" s="10"/>
      <c r="AZ4432" s="10"/>
    </row>
    <row r="4433" spans="31:52">
      <c r="AE4433" s="10"/>
      <c r="AF4433" s="10"/>
      <c r="AG4433" s="10"/>
      <c r="AH4433" s="10"/>
      <c r="AI4433" s="10"/>
      <c r="AJ4433" s="10"/>
      <c r="AK4433" s="10"/>
      <c r="AL4433" s="10"/>
      <c r="AM4433" s="10"/>
      <c r="AN4433" s="10"/>
      <c r="AO4433" s="10"/>
      <c r="AP4433" s="10"/>
      <c r="AQ4433" s="10"/>
      <c r="AR4433" s="10"/>
      <c r="AS4433" s="10"/>
      <c r="AT4433" s="10"/>
      <c r="AU4433" s="10"/>
      <c r="AV4433" s="10"/>
      <c r="AW4433" s="10"/>
      <c r="AX4433" s="10"/>
      <c r="AY4433" s="10"/>
      <c r="AZ4433" s="10"/>
    </row>
    <row r="4434" spans="31:52">
      <c r="AE4434" s="10"/>
      <c r="AF4434" s="10"/>
      <c r="AG4434" s="10"/>
      <c r="AH4434" s="10"/>
      <c r="AI4434" s="10"/>
      <c r="AJ4434" s="10"/>
      <c r="AK4434" s="10"/>
      <c r="AL4434" s="10"/>
      <c r="AM4434" s="10"/>
      <c r="AN4434" s="10"/>
      <c r="AO4434" s="10"/>
      <c r="AP4434" s="10"/>
      <c r="AQ4434" s="10"/>
      <c r="AR4434" s="10"/>
      <c r="AS4434" s="10"/>
      <c r="AT4434" s="10"/>
      <c r="AU4434" s="10"/>
      <c r="AV4434" s="10"/>
      <c r="AW4434" s="10"/>
      <c r="AX4434" s="10"/>
      <c r="AY4434" s="10"/>
      <c r="AZ4434" s="10"/>
    </row>
    <row r="4435" spans="31:52">
      <c r="AE4435" s="10"/>
      <c r="AF4435" s="10"/>
      <c r="AG4435" s="10"/>
      <c r="AH4435" s="10"/>
      <c r="AI4435" s="10"/>
      <c r="AJ4435" s="10"/>
      <c r="AK4435" s="10"/>
      <c r="AL4435" s="10"/>
      <c r="AM4435" s="10"/>
      <c r="AN4435" s="10"/>
      <c r="AO4435" s="10"/>
      <c r="AP4435" s="10"/>
      <c r="AQ4435" s="10"/>
      <c r="AR4435" s="10"/>
      <c r="AS4435" s="10"/>
      <c r="AT4435" s="10"/>
      <c r="AU4435" s="10"/>
      <c r="AV4435" s="10"/>
      <c r="AW4435" s="10"/>
      <c r="AX4435" s="10"/>
      <c r="AY4435" s="10"/>
      <c r="AZ4435" s="10"/>
    </row>
    <row r="4436" spans="31:52">
      <c r="AE4436" s="10"/>
      <c r="AF4436" s="10"/>
      <c r="AG4436" s="10"/>
      <c r="AH4436" s="10"/>
      <c r="AI4436" s="10"/>
      <c r="AJ4436" s="10"/>
      <c r="AK4436" s="10"/>
      <c r="AL4436" s="10"/>
      <c r="AM4436" s="10"/>
      <c r="AN4436" s="10"/>
      <c r="AO4436" s="10"/>
      <c r="AP4436" s="10"/>
      <c r="AQ4436" s="10"/>
      <c r="AR4436" s="10"/>
      <c r="AS4436" s="10"/>
      <c r="AT4436" s="10"/>
      <c r="AU4436" s="10"/>
      <c r="AV4436" s="10"/>
      <c r="AW4436" s="10"/>
      <c r="AX4436" s="10"/>
      <c r="AY4436" s="10"/>
      <c r="AZ4436" s="10"/>
    </row>
    <row r="4437" spans="31:52">
      <c r="AE4437" s="10"/>
      <c r="AF4437" s="10"/>
      <c r="AG4437" s="10"/>
      <c r="AH4437" s="10"/>
      <c r="AI4437" s="10"/>
      <c r="AJ4437" s="10"/>
      <c r="AK4437" s="10"/>
      <c r="AL4437" s="10"/>
      <c r="AM4437" s="10"/>
      <c r="AN4437" s="10"/>
      <c r="AO4437" s="10"/>
      <c r="AP4437" s="10"/>
      <c r="AQ4437" s="10"/>
      <c r="AR4437" s="10"/>
      <c r="AS4437" s="10"/>
      <c r="AT4437" s="10"/>
      <c r="AU4437" s="10"/>
      <c r="AV4437" s="10"/>
      <c r="AW4437" s="10"/>
      <c r="AX4437" s="10"/>
      <c r="AY4437" s="10"/>
      <c r="AZ4437" s="10"/>
    </row>
    <row r="4438" spans="31:52">
      <c r="AE4438" s="10"/>
      <c r="AF4438" s="10"/>
      <c r="AG4438" s="10"/>
      <c r="AH4438" s="10"/>
      <c r="AI4438" s="10"/>
      <c r="AJ4438" s="10"/>
      <c r="AK4438" s="10"/>
      <c r="AL4438" s="10"/>
      <c r="AM4438" s="10"/>
      <c r="AN4438" s="10"/>
      <c r="AO4438" s="10"/>
      <c r="AP4438" s="10"/>
      <c r="AQ4438" s="10"/>
      <c r="AR4438" s="10"/>
      <c r="AS4438" s="10"/>
      <c r="AT4438" s="10"/>
      <c r="AU4438" s="10"/>
      <c r="AV4438" s="10"/>
      <c r="AW4438" s="10"/>
      <c r="AX4438" s="10"/>
      <c r="AY4438" s="10"/>
      <c r="AZ4438" s="10"/>
    </row>
    <row r="4439" spans="31:52">
      <c r="AE4439" s="10"/>
      <c r="AF4439" s="10"/>
      <c r="AG4439" s="10"/>
      <c r="AH4439" s="10"/>
      <c r="AI4439" s="10"/>
      <c r="AJ4439" s="10"/>
      <c r="AK4439" s="10"/>
      <c r="AL4439" s="10"/>
      <c r="AM4439" s="10"/>
      <c r="AN4439" s="10"/>
      <c r="AO4439" s="10"/>
      <c r="AP4439" s="10"/>
      <c r="AQ4439" s="10"/>
      <c r="AR4439" s="10"/>
      <c r="AS4439" s="10"/>
      <c r="AT4439" s="10"/>
      <c r="AU4439" s="10"/>
      <c r="AV4439" s="10"/>
      <c r="AW4439" s="10"/>
      <c r="AX4439" s="10"/>
      <c r="AY4439" s="10"/>
      <c r="AZ4439" s="10"/>
    </row>
    <row r="4440" spans="31:52">
      <c r="AE4440" s="10"/>
      <c r="AF4440" s="10"/>
      <c r="AG4440" s="10"/>
      <c r="AH4440" s="10"/>
      <c r="AI4440" s="10"/>
      <c r="AJ4440" s="10"/>
      <c r="AK4440" s="10"/>
      <c r="AL4440" s="10"/>
      <c r="AM4440" s="10"/>
      <c r="AN4440" s="10"/>
      <c r="AO4440" s="10"/>
      <c r="AP4440" s="10"/>
      <c r="AQ4440" s="10"/>
      <c r="AR4440" s="10"/>
      <c r="AS4440" s="10"/>
      <c r="AT4440" s="10"/>
      <c r="AU4440" s="10"/>
      <c r="AV4440" s="10"/>
      <c r="AW4440" s="10"/>
      <c r="AX4440" s="10"/>
      <c r="AY4440" s="10"/>
      <c r="AZ4440" s="10"/>
    </row>
    <row r="4441" spans="31:52">
      <c r="AE4441" s="10"/>
      <c r="AF4441" s="10"/>
      <c r="AG4441" s="10"/>
      <c r="AH4441" s="10"/>
      <c r="AI4441" s="10"/>
      <c r="AJ4441" s="10"/>
      <c r="AK4441" s="10"/>
      <c r="AL4441" s="10"/>
      <c r="AM4441" s="10"/>
      <c r="AN4441" s="10"/>
      <c r="AO4441" s="10"/>
      <c r="AP4441" s="10"/>
      <c r="AQ4441" s="10"/>
      <c r="AR4441" s="10"/>
      <c r="AS4441" s="10"/>
      <c r="AT4441" s="10"/>
      <c r="AU4441" s="10"/>
      <c r="AV4441" s="10"/>
      <c r="AW4441" s="10"/>
      <c r="AX4441" s="10"/>
      <c r="AY4441" s="10"/>
      <c r="AZ4441" s="10"/>
    </row>
    <row r="4442" spans="31:52">
      <c r="AE4442" s="10"/>
      <c r="AF4442" s="10"/>
      <c r="AG4442" s="10"/>
      <c r="AH4442" s="10"/>
      <c r="AI4442" s="10"/>
      <c r="AJ4442" s="10"/>
      <c r="AK4442" s="10"/>
      <c r="AL4442" s="10"/>
      <c r="AM4442" s="10"/>
      <c r="AN4442" s="10"/>
      <c r="AO4442" s="10"/>
      <c r="AP4442" s="10"/>
      <c r="AQ4442" s="10"/>
      <c r="AR4442" s="10"/>
      <c r="AS4442" s="10"/>
      <c r="AT4442" s="10"/>
      <c r="AU4442" s="10"/>
      <c r="AV4442" s="10"/>
      <c r="AW4442" s="10"/>
      <c r="AX4442" s="10"/>
      <c r="AY4442" s="10"/>
      <c r="AZ4442" s="10"/>
    </row>
    <row r="4443" spans="31:52">
      <c r="AE4443" s="10"/>
      <c r="AF4443" s="10"/>
      <c r="AG4443" s="10"/>
      <c r="AH4443" s="10"/>
      <c r="AI4443" s="10"/>
      <c r="AJ4443" s="10"/>
      <c r="AK4443" s="10"/>
      <c r="AL4443" s="10"/>
      <c r="AM4443" s="10"/>
      <c r="AN4443" s="10"/>
      <c r="AO4443" s="10"/>
      <c r="AP4443" s="10"/>
      <c r="AQ4443" s="10"/>
      <c r="AR4443" s="10"/>
      <c r="AS4443" s="10"/>
      <c r="AT4443" s="10"/>
      <c r="AU4443" s="10"/>
      <c r="AV4443" s="10"/>
      <c r="AW4443" s="10"/>
      <c r="AX4443" s="10"/>
      <c r="AY4443" s="10"/>
      <c r="AZ4443" s="10"/>
    </row>
    <row r="4444" spans="31:52">
      <c r="AE4444" s="10"/>
      <c r="AF4444" s="10"/>
      <c r="AG4444" s="10"/>
      <c r="AH4444" s="10"/>
      <c r="AI4444" s="10"/>
      <c r="AJ4444" s="10"/>
      <c r="AK4444" s="10"/>
      <c r="AL4444" s="10"/>
      <c r="AM4444" s="10"/>
      <c r="AN4444" s="10"/>
      <c r="AO4444" s="10"/>
      <c r="AP4444" s="10"/>
      <c r="AQ4444" s="10"/>
      <c r="AR4444" s="10"/>
      <c r="AS4444" s="10"/>
      <c r="AT4444" s="10"/>
      <c r="AU4444" s="10"/>
      <c r="AV4444" s="10"/>
      <c r="AW4444" s="10"/>
      <c r="AX4444" s="10"/>
      <c r="AY4444" s="10"/>
      <c r="AZ4444" s="10"/>
    </row>
    <row r="4445" spans="31:52">
      <c r="AE4445" s="10"/>
      <c r="AF4445" s="10"/>
      <c r="AG4445" s="10"/>
      <c r="AH4445" s="10"/>
      <c r="AI4445" s="10"/>
      <c r="AJ4445" s="10"/>
      <c r="AK4445" s="10"/>
      <c r="AL4445" s="10"/>
      <c r="AM4445" s="10"/>
      <c r="AN4445" s="10"/>
      <c r="AO4445" s="10"/>
      <c r="AP4445" s="10"/>
      <c r="AQ4445" s="10"/>
      <c r="AR4445" s="10"/>
      <c r="AS4445" s="10"/>
      <c r="AT4445" s="10"/>
      <c r="AU4445" s="10"/>
      <c r="AV4445" s="10"/>
      <c r="AW4445" s="10"/>
      <c r="AX4445" s="10"/>
      <c r="AY4445" s="10"/>
      <c r="AZ4445" s="10"/>
    </row>
    <row r="4446" spans="31:52">
      <c r="AE4446" s="10"/>
      <c r="AF4446" s="10"/>
      <c r="AG4446" s="10"/>
      <c r="AH4446" s="10"/>
      <c r="AI4446" s="10"/>
      <c r="AJ4446" s="10"/>
      <c r="AK4446" s="10"/>
      <c r="AL4446" s="10"/>
      <c r="AM4446" s="10"/>
      <c r="AN4446" s="10"/>
      <c r="AO4446" s="10"/>
      <c r="AP4446" s="10"/>
      <c r="AQ4446" s="10"/>
      <c r="AR4446" s="10"/>
      <c r="AS4446" s="10"/>
      <c r="AT4446" s="10"/>
      <c r="AU4446" s="10"/>
      <c r="AV4446" s="10"/>
      <c r="AW4446" s="10"/>
      <c r="AX4446" s="10"/>
      <c r="AY4446" s="10"/>
      <c r="AZ4446" s="10"/>
    </row>
    <row r="4447" spans="31:52">
      <c r="AE4447" s="10"/>
      <c r="AF4447" s="10"/>
      <c r="AG4447" s="10"/>
      <c r="AH4447" s="10"/>
      <c r="AI4447" s="10"/>
      <c r="AJ4447" s="10"/>
      <c r="AK4447" s="10"/>
      <c r="AL4447" s="10"/>
      <c r="AM4447" s="10"/>
      <c r="AN4447" s="10"/>
      <c r="AO4447" s="10"/>
      <c r="AP4447" s="10"/>
      <c r="AQ4447" s="10"/>
      <c r="AR4447" s="10"/>
      <c r="AS4447" s="10"/>
      <c r="AT4447" s="10"/>
      <c r="AU4447" s="10"/>
      <c r="AV4447" s="10"/>
      <c r="AW4447" s="10"/>
      <c r="AX4447" s="10"/>
      <c r="AY4447" s="10"/>
      <c r="AZ4447" s="10"/>
    </row>
    <row r="4448" spans="31:52">
      <c r="AE4448" s="10"/>
      <c r="AF4448" s="10"/>
      <c r="AG4448" s="10"/>
      <c r="AH4448" s="10"/>
      <c r="AI4448" s="10"/>
      <c r="AJ4448" s="10"/>
      <c r="AK4448" s="10"/>
      <c r="AL4448" s="10"/>
      <c r="AM4448" s="10"/>
      <c r="AN4448" s="10"/>
      <c r="AO4448" s="10"/>
      <c r="AP4448" s="10"/>
      <c r="AQ4448" s="10"/>
      <c r="AR4448" s="10"/>
      <c r="AS4448" s="10"/>
      <c r="AT4448" s="10"/>
      <c r="AU4448" s="10"/>
      <c r="AV4448" s="10"/>
      <c r="AW4448" s="10"/>
      <c r="AX4448" s="10"/>
      <c r="AY4448" s="10"/>
      <c r="AZ4448" s="10"/>
    </row>
    <row r="4449" spans="31:52">
      <c r="AE4449" s="10"/>
      <c r="AF4449" s="10"/>
      <c r="AG4449" s="10"/>
      <c r="AH4449" s="10"/>
      <c r="AI4449" s="10"/>
      <c r="AJ4449" s="10"/>
      <c r="AK4449" s="10"/>
      <c r="AL4449" s="10"/>
      <c r="AM4449" s="10"/>
      <c r="AN4449" s="10"/>
      <c r="AO4449" s="10"/>
      <c r="AP4449" s="10"/>
      <c r="AQ4449" s="10"/>
      <c r="AR4449" s="10"/>
      <c r="AS4449" s="10"/>
      <c r="AT4449" s="10"/>
      <c r="AU4449" s="10"/>
      <c r="AV4449" s="10"/>
      <c r="AW4449" s="10"/>
      <c r="AX4449" s="10"/>
      <c r="AY4449" s="10"/>
      <c r="AZ4449" s="10"/>
    </row>
    <row r="4450" spans="31:52">
      <c r="AE4450" s="10"/>
      <c r="AF4450" s="10"/>
      <c r="AG4450" s="10"/>
      <c r="AH4450" s="10"/>
      <c r="AI4450" s="10"/>
      <c r="AJ4450" s="10"/>
      <c r="AK4450" s="10"/>
      <c r="AL4450" s="10"/>
      <c r="AM4450" s="10"/>
      <c r="AN4450" s="10"/>
      <c r="AO4450" s="10"/>
      <c r="AP4450" s="10"/>
      <c r="AQ4450" s="10"/>
      <c r="AR4450" s="10"/>
      <c r="AS4450" s="10"/>
      <c r="AT4450" s="10"/>
      <c r="AU4450" s="10"/>
      <c r="AV4450" s="10"/>
      <c r="AW4450" s="10"/>
      <c r="AX4450" s="10"/>
      <c r="AY4450" s="10"/>
      <c r="AZ4450" s="10"/>
    </row>
    <row r="4451" spans="31:52">
      <c r="AE4451" s="10"/>
      <c r="AF4451" s="10"/>
      <c r="AG4451" s="10"/>
      <c r="AH4451" s="10"/>
      <c r="AI4451" s="10"/>
      <c r="AJ4451" s="10"/>
      <c r="AK4451" s="10"/>
      <c r="AL4451" s="10"/>
      <c r="AM4451" s="10"/>
      <c r="AN4451" s="10"/>
      <c r="AO4451" s="10"/>
      <c r="AP4451" s="10"/>
      <c r="AQ4451" s="10"/>
      <c r="AR4451" s="10"/>
      <c r="AS4451" s="10"/>
      <c r="AT4451" s="10"/>
      <c r="AU4451" s="10"/>
      <c r="AV4451" s="10"/>
      <c r="AW4451" s="10"/>
      <c r="AX4451" s="10"/>
      <c r="AY4451" s="10"/>
      <c r="AZ4451" s="10"/>
    </row>
    <row r="4452" spans="31:52">
      <c r="AE4452" s="10"/>
      <c r="AF4452" s="10"/>
      <c r="AG4452" s="10"/>
      <c r="AH4452" s="10"/>
      <c r="AI4452" s="10"/>
      <c r="AJ4452" s="10"/>
      <c r="AK4452" s="10"/>
      <c r="AL4452" s="10"/>
      <c r="AM4452" s="10"/>
      <c r="AN4452" s="10"/>
      <c r="AO4452" s="10"/>
      <c r="AP4452" s="10"/>
      <c r="AQ4452" s="10"/>
      <c r="AR4452" s="10"/>
      <c r="AS4452" s="10"/>
      <c r="AT4452" s="10"/>
      <c r="AU4452" s="10"/>
      <c r="AV4452" s="10"/>
      <c r="AW4452" s="10"/>
      <c r="AX4452" s="10"/>
      <c r="AY4452" s="10"/>
      <c r="AZ4452" s="10"/>
    </row>
    <row r="4453" spans="31:52">
      <c r="AE4453" s="10"/>
      <c r="AF4453" s="10"/>
      <c r="AG4453" s="10"/>
      <c r="AH4453" s="10"/>
      <c r="AI4453" s="10"/>
      <c r="AJ4453" s="10"/>
      <c r="AK4453" s="10"/>
      <c r="AL4453" s="10"/>
      <c r="AM4453" s="10"/>
      <c r="AN4453" s="10"/>
      <c r="AO4453" s="10"/>
      <c r="AP4453" s="10"/>
      <c r="AQ4453" s="10"/>
      <c r="AR4453" s="10"/>
      <c r="AS4453" s="10"/>
      <c r="AT4453" s="10"/>
      <c r="AU4453" s="10"/>
      <c r="AV4453" s="10"/>
      <c r="AW4453" s="10"/>
      <c r="AX4453" s="10"/>
      <c r="AY4453" s="10"/>
      <c r="AZ4453" s="10"/>
    </row>
    <row r="4454" spans="31:52">
      <c r="AE4454" s="10"/>
      <c r="AF4454" s="10"/>
      <c r="AG4454" s="10"/>
      <c r="AH4454" s="10"/>
      <c r="AI4454" s="10"/>
      <c r="AJ4454" s="10"/>
      <c r="AK4454" s="10"/>
      <c r="AL4454" s="10"/>
      <c r="AM4454" s="10"/>
      <c r="AN4454" s="10"/>
      <c r="AO4454" s="10"/>
      <c r="AP4454" s="10"/>
      <c r="AQ4454" s="10"/>
      <c r="AR4454" s="10"/>
      <c r="AS4454" s="10"/>
      <c r="AT4454" s="10"/>
      <c r="AU4454" s="10"/>
      <c r="AV4454" s="10"/>
      <c r="AW4454" s="10"/>
      <c r="AX4454" s="10"/>
      <c r="AY4454" s="10"/>
      <c r="AZ4454" s="10"/>
    </row>
    <row r="4455" spans="31:52">
      <c r="AE4455" s="10"/>
      <c r="AF4455" s="10"/>
      <c r="AG4455" s="10"/>
      <c r="AH4455" s="10"/>
      <c r="AI4455" s="10"/>
      <c r="AJ4455" s="10"/>
      <c r="AK4455" s="10"/>
      <c r="AL4455" s="10"/>
      <c r="AM4455" s="10"/>
      <c r="AN4455" s="10"/>
      <c r="AO4455" s="10"/>
      <c r="AP4455" s="10"/>
      <c r="AQ4455" s="10"/>
      <c r="AR4455" s="10"/>
      <c r="AS4455" s="10"/>
      <c r="AT4455" s="10"/>
      <c r="AU4455" s="10"/>
      <c r="AV4455" s="10"/>
      <c r="AW4455" s="10"/>
      <c r="AX4455" s="10"/>
      <c r="AY4455" s="10"/>
      <c r="AZ4455" s="10"/>
    </row>
    <row r="4456" spans="31:52">
      <c r="AE4456" s="10"/>
      <c r="AF4456" s="10"/>
      <c r="AG4456" s="10"/>
      <c r="AH4456" s="10"/>
      <c r="AI4456" s="10"/>
      <c r="AJ4456" s="10"/>
      <c r="AK4456" s="10"/>
      <c r="AL4456" s="10"/>
      <c r="AM4456" s="10"/>
      <c r="AN4456" s="10"/>
      <c r="AO4456" s="10"/>
      <c r="AP4456" s="10"/>
      <c r="AQ4456" s="10"/>
      <c r="AR4456" s="10"/>
      <c r="AS4456" s="10"/>
      <c r="AT4456" s="10"/>
      <c r="AU4456" s="10"/>
      <c r="AV4456" s="10"/>
      <c r="AW4456" s="10"/>
      <c r="AX4456" s="10"/>
      <c r="AY4456" s="10"/>
      <c r="AZ4456" s="10"/>
    </row>
    <row r="4457" spans="31:52">
      <c r="AE4457" s="10"/>
      <c r="AF4457" s="10"/>
      <c r="AG4457" s="10"/>
      <c r="AH4457" s="10"/>
      <c r="AI4457" s="10"/>
      <c r="AJ4457" s="10"/>
      <c r="AK4457" s="10"/>
      <c r="AL4457" s="10"/>
      <c r="AM4457" s="10"/>
      <c r="AN4457" s="10"/>
      <c r="AO4457" s="10"/>
      <c r="AP4457" s="10"/>
      <c r="AQ4457" s="10"/>
      <c r="AR4457" s="10"/>
      <c r="AS4457" s="10"/>
      <c r="AT4457" s="10"/>
      <c r="AU4457" s="10"/>
      <c r="AV4457" s="10"/>
      <c r="AW4457" s="10"/>
      <c r="AX4457" s="10"/>
      <c r="AY4457" s="10"/>
      <c r="AZ4457" s="10"/>
    </row>
    <row r="4458" spans="31:52">
      <c r="AE4458" s="10"/>
      <c r="AF4458" s="10"/>
      <c r="AG4458" s="10"/>
      <c r="AH4458" s="10"/>
      <c r="AI4458" s="10"/>
      <c r="AJ4458" s="10"/>
      <c r="AK4458" s="10"/>
      <c r="AL4458" s="10"/>
      <c r="AM4458" s="10"/>
      <c r="AN4458" s="10"/>
      <c r="AO4458" s="10"/>
      <c r="AP4458" s="10"/>
      <c r="AQ4458" s="10"/>
      <c r="AR4458" s="10"/>
      <c r="AS4458" s="10"/>
      <c r="AT4458" s="10"/>
      <c r="AU4458" s="10"/>
      <c r="AV4458" s="10"/>
      <c r="AW4458" s="10"/>
      <c r="AX4458" s="10"/>
      <c r="AY4458" s="10"/>
      <c r="AZ4458" s="10"/>
    </row>
    <row r="4459" spans="31:52">
      <c r="AE4459" s="10"/>
      <c r="AF4459" s="10"/>
      <c r="AG4459" s="10"/>
      <c r="AH4459" s="10"/>
      <c r="AI4459" s="10"/>
      <c r="AJ4459" s="10"/>
      <c r="AK4459" s="10"/>
      <c r="AL4459" s="10"/>
      <c r="AM4459" s="10"/>
      <c r="AN4459" s="10"/>
      <c r="AO4459" s="10"/>
      <c r="AP4459" s="10"/>
      <c r="AQ4459" s="10"/>
      <c r="AR4459" s="10"/>
      <c r="AS4459" s="10"/>
      <c r="AT4459" s="10"/>
      <c r="AU4459" s="10"/>
      <c r="AV4459" s="10"/>
      <c r="AW4459" s="10"/>
      <c r="AX4459" s="10"/>
      <c r="AY4459" s="10"/>
      <c r="AZ4459" s="10"/>
    </row>
    <row r="4460" spans="31:52">
      <c r="AE4460" s="10"/>
      <c r="AF4460" s="10"/>
      <c r="AG4460" s="10"/>
      <c r="AH4460" s="10"/>
      <c r="AI4460" s="10"/>
      <c r="AJ4460" s="10"/>
      <c r="AK4460" s="10"/>
      <c r="AL4460" s="10"/>
      <c r="AM4460" s="10"/>
      <c r="AN4460" s="10"/>
      <c r="AO4460" s="10"/>
      <c r="AP4460" s="10"/>
      <c r="AQ4460" s="10"/>
      <c r="AR4460" s="10"/>
      <c r="AS4460" s="10"/>
      <c r="AT4460" s="10"/>
      <c r="AU4460" s="10"/>
      <c r="AV4460" s="10"/>
      <c r="AW4460" s="10"/>
      <c r="AX4460" s="10"/>
      <c r="AY4460" s="10"/>
      <c r="AZ4460" s="10"/>
    </row>
    <row r="4461" spans="31:52">
      <c r="AE4461" s="10"/>
      <c r="AF4461" s="10"/>
      <c r="AG4461" s="10"/>
      <c r="AH4461" s="10"/>
      <c r="AI4461" s="10"/>
      <c r="AJ4461" s="10"/>
      <c r="AK4461" s="10"/>
      <c r="AL4461" s="10"/>
      <c r="AM4461" s="10"/>
      <c r="AN4461" s="10"/>
      <c r="AO4461" s="10"/>
      <c r="AP4461" s="10"/>
      <c r="AQ4461" s="10"/>
      <c r="AR4461" s="10"/>
      <c r="AS4461" s="10"/>
      <c r="AT4461" s="10"/>
      <c r="AU4461" s="10"/>
      <c r="AV4461" s="10"/>
      <c r="AW4461" s="10"/>
      <c r="AX4461" s="10"/>
      <c r="AY4461" s="10"/>
      <c r="AZ4461" s="10"/>
    </row>
    <row r="4462" spans="31:52">
      <c r="AE4462" s="10"/>
      <c r="AF4462" s="10"/>
      <c r="AG4462" s="10"/>
      <c r="AH4462" s="10"/>
      <c r="AI4462" s="10"/>
      <c r="AJ4462" s="10"/>
      <c r="AK4462" s="10"/>
      <c r="AL4462" s="10"/>
      <c r="AM4462" s="10"/>
      <c r="AN4462" s="10"/>
      <c r="AO4462" s="10"/>
      <c r="AP4462" s="10"/>
      <c r="AQ4462" s="10"/>
      <c r="AR4462" s="10"/>
      <c r="AS4462" s="10"/>
      <c r="AT4462" s="10"/>
      <c r="AU4462" s="10"/>
      <c r="AV4462" s="10"/>
      <c r="AW4462" s="10"/>
      <c r="AX4462" s="10"/>
      <c r="AY4462" s="10"/>
      <c r="AZ4462" s="10"/>
    </row>
    <row r="4463" spans="31:52">
      <c r="AE4463" s="10"/>
      <c r="AF4463" s="10"/>
      <c r="AG4463" s="10"/>
      <c r="AH4463" s="10"/>
      <c r="AI4463" s="10"/>
      <c r="AJ4463" s="10"/>
      <c r="AK4463" s="10"/>
      <c r="AL4463" s="10"/>
      <c r="AM4463" s="10"/>
      <c r="AN4463" s="10"/>
      <c r="AO4463" s="10"/>
      <c r="AP4463" s="10"/>
      <c r="AQ4463" s="10"/>
      <c r="AR4463" s="10"/>
      <c r="AS4463" s="10"/>
      <c r="AT4463" s="10"/>
      <c r="AU4463" s="10"/>
      <c r="AV4463" s="10"/>
      <c r="AW4463" s="10"/>
      <c r="AX4463" s="10"/>
      <c r="AY4463" s="10"/>
      <c r="AZ4463" s="10"/>
    </row>
    <row r="4464" spans="31:52">
      <c r="AE4464" s="10"/>
      <c r="AF4464" s="10"/>
      <c r="AG4464" s="10"/>
      <c r="AH4464" s="10"/>
      <c r="AI4464" s="10"/>
      <c r="AJ4464" s="10"/>
      <c r="AK4464" s="10"/>
      <c r="AL4464" s="10"/>
      <c r="AM4464" s="10"/>
      <c r="AN4464" s="10"/>
      <c r="AO4464" s="10"/>
      <c r="AP4464" s="10"/>
      <c r="AQ4464" s="10"/>
      <c r="AR4464" s="10"/>
      <c r="AS4464" s="10"/>
      <c r="AT4464" s="10"/>
      <c r="AU4464" s="10"/>
      <c r="AV4464" s="10"/>
      <c r="AW4464" s="10"/>
      <c r="AX4464" s="10"/>
      <c r="AY4464" s="10"/>
      <c r="AZ4464" s="10"/>
    </row>
    <row r="4465" spans="31:52">
      <c r="AE4465" s="10"/>
      <c r="AF4465" s="10"/>
      <c r="AG4465" s="10"/>
      <c r="AH4465" s="10"/>
      <c r="AI4465" s="10"/>
      <c r="AJ4465" s="10"/>
      <c r="AK4465" s="10"/>
      <c r="AL4465" s="10"/>
      <c r="AM4465" s="10"/>
      <c r="AN4465" s="10"/>
      <c r="AO4465" s="10"/>
      <c r="AP4465" s="10"/>
      <c r="AQ4465" s="10"/>
      <c r="AR4465" s="10"/>
      <c r="AS4465" s="10"/>
      <c r="AT4465" s="10"/>
      <c r="AU4465" s="10"/>
      <c r="AV4465" s="10"/>
      <c r="AW4465" s="10"/>
      <c r="AX4465" s="10"/>
      <c r="AY4465" s="10"/>
      <c r="AZ4465" s="10"/>
    </row>
    <row r="4466" spans="31:52">
      <c r="AE4466" s="10"/>
      <c r="AF4466" s="10"/>
      <c r="AG4466" s="10"/>
      <c r="AH4466" s="10"/>
      <c r="AI4466" s="10"/>
      <c r="AJ4466" s="10"/>
      <c r="AK4466" s="10"/>
      <c r="AL4466" s="10"/>
      <c r="AM4466" s="10"/>
      <c r="AN4466" s="10"/>
      <c r="AO4466" s="10"/>
      <c r="AP4466" s="10"/>
      <c r="AQ4466" s="10"/>
      <c r="AR4466" s="10"/>
      <c r="AS4466" s="10"/>
      <c r="AT4466" s="10"/>
      <c r="AU4466" s="10"/>
      <c r="AV4466" s="10"/>
      <c r="AW4466" s="10"/>
      <c r="AX4466" s="10"/>
      <c r="AY4466" s="10"/>
      <c r="AZ4466" s="10"/>
    </row>
    <row r="4467" spans="31:52">
      <c r="AE4467" s="10"/>
      <c r="AF4467" s="10"/>
      <c r="AG4467" s="10"/>
      <c r="AH4467" s="10"/>
      <c r="AI4467" s="10"/>
      <c r="AJ4467" s="10"/>
      <c r="AK4467" s="10"/>
      <c r="AL4467" s="10"/>
      <c r="AM4467" s="10"/>
      <c r="AN4467" s="10"/>
      <c r="AO4467" s="10"/>
      <c r="AP4467" s="10"/>
      <c r="AQ4467" s="10"/>
      <c r="AR4467" s="10"/>
      <c r="AS4467" s="10"/>
      <c r="AT4467" s="10"/>
      <c r="AU4467" s="10"/>
      <c r="AV4467" s="10"/>
      <c r="AW4467" s="10"/>
      <c r="AX4467" s="10"/>
      <c r="AY4467" s="10"/>
      <c r="AZ4467" s="10"/>
    </row>
    <row r="4468" spans="31:52">
      <c r="AE4468" s="10"/>
      <c r="AF4468" s="10"/>
      <c r="AG4468" s="10"/>
      <c r="AH4468" s="10"/>
      <c r="AI4468" s="10"/>
      <c r="AJ4468" s="10"/>
      <c r="AK4468" s="10"/>
      <c r="AL4468" s="10"/>
      <c r="AM4468" s="10"/>
      <c r="AN4468" s="10"/>
      <c r="AO4468" s="10"/>
      <c r="AP4468" s="10"/>
      <c r="AQ4468" s="10"/>
      <c r="AR4468" s="10"/>
      <c r="AS4468" s="10"/>
      <c r="AT4468" s="10"/>
      <c r="AU4468" s="10"/>
      <c r="AV4468" s="10"/>
      <c r="AW4468" s="10"/>
      <c r="AX4468" s="10"/>
      <c r="AY4468" s="10"/>
      <c r="AZ4468" s="10"/>
    </row>
    <row r="4469" spans="31:52">
      <c r="AE4469" s="10"/>
      <c r="AF4469" s="10"/>
      <c r="AG4469" s="10"/>
      <c r="AH4469" s="10"/>
      <c r="AI4469" s="10"/>
      <c r="AJ4469" s="10"/>
      <c r="AK4469" s="10"/>
      <c r="AL4469" s="10"/>
      <c r="AM4469" s="10"/>
      <c r="AN4469" s="10"/>
      <c r="AO4469" s="10"/>
      <c r="AP4469" s="10"/>
      <c r="AQ4469" s="10"/>
      <c r="AR4469" s="10"/>
      <c r="AS4469" s="10"/>
      <c r="AT4469" s="10"/>
      <c r="AU4469" s="10"/>
      <c r="AV4469" s="10"/>
      <c r="AW4469" s="10"/>
      <c r="AX4469" s="10"/>
      <c r="AY4469" s="10"/>
      <c r="AZ4469" s="10"/>
    </row>
    <row r="4470" spans="31:52">
      <c r="AE4470" s="10"/>
      <c r="AF4470" s="10"/>
      <c r="AG4470" s="10"/>
      <c r="AH4470" s="10"/>
      <c r="AI4470" s="10"/>
      <c r="AJ4470" s="10"/>
      <c r="AK4470" s="10"/>
      <c r="AL4470" s="10"/>
      <c r="AM4470" s="10"/>
      <c r="AN4470" s="10"/>
      <c r="AO4470" s="10"/>
      <c r="AP4470" s="10"/>
      <c r="AQ4470" s="10"/>
      <c r="AR4470" s="10"/>
      <c r="AS4470" s="10"/>
      <c r="AT4470" s="10"/>
      <c r="AU4470" s="10"/>
      <c r="AV4470" s="10"/>
      <c r="AW4470" s="10"/>
      <c r="AX4470" s="10"/>
      <c r="AY4470" s="10"/>
      <c r="AZ4470" s="10"/>
    </row>
    <row r="4471" spans="31:52">
      <c r="AE4471" s="10"/>
      <c r="AF4471" s="10"/>
      <c r="AG4471" s="10"/>
      <c r="AH4471" s="10"/>
      <c r="AI4471" s="10"/>
      <c r="AJ4471" s="10"/>
      <c r="AK4471" s="10"/>
      <c r="AL4471" s="10"/>
      <c r="AM4471" s="10"/>
      <c r="AN4471" s="10"/>
      <c r="AO4471" s="10"/>
      <c r="AP4471" s="10"/>
      <c r="AQ4471" s="10"/>
      <c r="AR4471" s="10"/>
      <c r="AS4471" s="10"/>
      <c r="AT4471" s="10"/>
      <c r="AU4471" s="10"/>
      <c r="AV4471" s="10"/>
      <c r="AW4471" s="10"/>
      <c r="AX4471" s="10"/>
      <c r="AY4471" s="10"/>
      <c r="AZ4471" s="10"/>
    </row>
    <row r="4472" spans="31:52">
      <c r="AE4472" s="10"/>
      <c r="AF4472" s="10"/>
      <c r="AG4472" s="10"/>
      <c r="AH4472" s="10"/>
      <c r="AI4472" s="10"/>
      <c r="AJ4472" s="10"/>
      <c r="AK4472" s="10"/>
      <c r="AL4472" s="10"/>
      <c r="AM4472" s="10"/>
      <c r="AN4472" s="10"/>
      <c r="AO4472" s="10"/>
      <c r="AP4472" s="10"/>
      <c r="AQ4472" s="10"/>
      <c r="AR4472" s="10"/>
      <c r="AS4472" s="10"/>
      <c r="AT4472" s="10"/>
      <c r="AU4472" s="10"/>
      <c r="AV4472" s="10"/>
      <c r="AW4472" s="10"/>
      <c r="AX4472" s="10"/>
      <c r="AY4472" s="10"/>
      <c r="AZ4472" s="10"/>
    </row>
    <row r="4473" spans="31:52">
      <c r="AE4473" s="10"/>
      <c r="AF4473" s="10"/>
      <c r="AG4473" s="10"/>
      <c r="AH4473" s="10"/>
      <c r="AI4473" s="10"/>
      <c r="AJ4473" s="10"/>
      <c r="AK4473" s="10"/>
      <c r="AL4473" s="10"/>
      <c r="AM4473" s="10"/>
      <c r="AN4473" s="10"/>
      <c r="AO4473" s="10"/>
      <c r="AP4473" s="10"/>
      <c r="AQ4473" s="10"/>
      <c r="AR4473" s="10"/>
      <c r="AS4473" s="10"/>
      <c r="AT4473" s="10"/>
      <c r="AU4473" s="10"/>
      <c r="AV4473" s="10"/>
      <c r="AW4473" s="10"/>
      <c r="AX4473" s="10"/>
      <c r="AY4473" s="10"/>
      <c r="AZ4473" s="10"/>
    </row>
    <row r="4474" spans="31:52">
      <c r="AE4474" s="10"/>
      <c r="AF4474" s="10"/>
      <c r="AG4474" s="10"/>
      <c r="AH4474" s="10"/>
      <c r="AI4474" s="10"/>
      <c r="AJ4474" s="10"/>
      <c r="AK4474" s="10"/>
      <c r="AL4474" s="10"/>
      <c r="AM4474" s="10"/>
      <c r="AN4474" s="10"/>
      <c r="AO4474" s="10"/>
      <c r="AP4474" s="10"/>
      <c r="AQ4474" s="10"/>
      <c r="AR4474" s="10"/>
      <c r="AS4474" s="10"/>
      <c r="AT4474" s="10"/>
      <c r="AU4474" s="10"/>
      <c r="AV4474" s="10"/>
      <c r="AW4474" s="10"/>
      <c r="AX4474" s="10"/>
      <c r="AY4474" s="10"/>
      <c r="AZ4474" s="10"/>
    </row>
    <row r="4475" spans="31:52">
      <c r="AE4475" s="10"/>
      <c r="AF4475" s="10"/>
      <c r="AG4475" s="10"/>
      <c r="AH4475" s="10"/>
      <c r="AI4475" s="10"/>
      <c r="AJ4475" s="10"/>
      <c r="AK4475" s="10"/>
      <c r="AL4475" s="10"/>
      <c r="AM4475" s="10"/>
      <c r="AN4475" s="10"/>
      <c r="AO4475" s="10"/>
      <c r="AP4475" s="10"/>
      <c r="AQ4475" s="10"/>
      <c r="AR4475" s="10"/>
      <c r="AS4475" s="10"/>
      <c r="AT4475" s="10"/>
      <c r="AU4475" s="10"/>
      <c r="AV4475" s="10"/>
      <c r="AW4475" s="10"/>
      <c r="AX4475" s="10"/>
      <c r="AY4475" s="10"/>
      <c r="AZ4475" s="10"/>
    </row>
    <row r="4476" spans="31:52">
      <c r="AE4476" s="10"/>
      <c r="AF4476" s="10"/>
      <c r="AG4476" s="10"/>
      <c r="AH4476" s="10"/>
      <c r="AI4476" s="10"/>
      <c r="AJ4476" s="10"/>
      <c r="AK4476" s="10"/>
      <c r="AL4476" s="10"/>
      <c r="AM4476" s="10"/>
      <c r="AN4476" s="10"/>
      <c r="AO4476" s="10"/>
      <c r="AP4476" s="10"/>
      <c r="AQ4476" s="10"/>
      <c r="AR4476" s="10"/>
      <c r="AS4476" s="10"/>
      <c r="AT4476" s="10"/>
      <c r="AU4476" s="10"/>
      <c r="AV4476" s="10"/>
      <c r="AW4476" s="10"/>
      <c r="AX4476" s="10"/>
      <c r="AY4476" s="10"/>
      <c r="AZ4476" s="10"/>
    </row>
    <row r="4477" spans="31:52">
      <c r="AE4477" s="10"/>
      <c r="AF4477" s="10"/>
      <c r="AG4477" s="10"/>
      <c r="AH4477" s="10"/>
      <c r="AI4477" s="10"/>
      <c r="AJ4477" s="10"/>
      <c r="AK4477" s="10"/>
      <c r="AL4477" s="10"/>
      <c r="AM4477" s="10"/>
      <c r="AN4477" s="10"/>
      <c r="AO4477" s="10"/>
      <c r="AP4477" s="10"/>
      <c r="AQ4477" s="10"/>
      <c r="AR4477" s="10"/>
      <c r="AS4477" s="10"/>
      <c r="AT4477" s="10"/>
      <c r="AU4477" s="10"/>
      <c r="AV4477" s="10"/>
      <c r="AW4477" s="10"/>
      <c r="AX4477" s="10"/>
      <c r="AY4477" s="10"/>
      <c r="AZ4477" s="10"/>
    </row>
    <row r="4478" spans="31:52">
      <c r="AE4478" s="10"/>
      <c r="AF4478" s="10"/>
      <c r="AG4478" s="10"/>
      <c r="AH4478" s="10"/>
      <c r="AI4478" s="10"/>
      <c r="AJ4478" s="10"/>
      <c r="AK4478" s="10"/>
      <c r="AL4478" s="10"/>
      <c r="AM4478" s="10"/>
      <c r="AN4478" s="10"/>
      <c r="AO4478" s="10"/>
      <c r="AP4478" s="10"/>
      <c r="AQ4478" s="10"/>
      <c r="AR4478" s="10"/>
      <c r="AS4478" s="10"/>
      <c r="AT4478" s="10"/>
      <c r="AU4478" s="10"/>
      <c r="AV4478" s="10"/>
      <c r="AW4478" s="10"/>
      <c r="AX4478" s="10"/>
      <c r="AY4478" s="10"/>
      <c r="AZ4478" s="10"/>
    </row>
    <row r="4479" spans="31:52">
      <c r="AE4479" s="10"/>
      <c r="AF4479" s="10"/>
      <c r="AG4479" s="10"/>
      <c r="AH4479" s="10"/>
      <c r="AI4479" s="10"/>
      <c r="AJ4479" s="10"/>
      <c r="AK4479" s="10"/>
      <c r="AL4479" s="10"/>
      <c r="AM4479" s="10"/>
      <c r="AN4479" s="10"/>
      <c r="AO4479" s="10"/>
      <c r="AP4479" s="10"/>
      <c r="AQ4479" s="10"/>
      <c r="AR4479" s="10"/>
      <c r="AS4479" s="10"/>
      <c r="AT4479" s="10"/>
      <c r="AU4479" s="10"/>
      <c r="AV4479" s="10"/>
      <c r="AW4479" s="10"/>
      <c r="AX4479" s="10"/>
      <c r="AY4479" s="10"/>
      <c r="AZ4479" s="10"/>
    </row>
    <row r="4480" spans="31:52">
      <c r="AE4480" s="10"/>
      <c r="AF4480" s="10"/>
      <c r="AG4480" s="10"/>
      <c r="AH4480" s="10"/>
      <c r="AI4480" s="10"/>
      <c r="AJ4480" s="10"/>
      <c r="AK4480" s="10"/>
      <c r="AL4480" s="10"/>
      <c r="AM4480" s="10"/>
      <c r="AN4480" s="10"/>
      <c r="AO4480" s="10"/>
      <c r="AP4480" s="10"/>
      <c r="AQ4480" s="10"/>
      <c r="AR4480" s="10"/>
      <c r="AS4480" s="10"/>
      <c r="AT4480" s="10"/>
      <c r="AU4480" s="10"/>
      <c r="AV4480" s="10"/>
      <c r="AW4480" s="10"/>
      <c r="AX4480" s="10"/>
      <c r="AY4480" s="10"/>
      <c r="AZ4480" s="10"/>
    </row>
    <row r="4481" spans="31:52">
      <c r="AE4481" s="10"/>
      <c r="AF4481" s="10"/>
      <c r="AG4481" s="10"/>
      <c r="AH4481" s="10"/>
      <c r="AI4481" s="10"/>
      <c r="AJ4481" s="10"/>
      <c r="AK4481" s="10"/>
      <c r="AL4481" s="10"/>
      <c r="AM4481" s="10"/>
      <c r="AN4481" s="10"/>
      <c r="AO4481" s="10"/>
      <c r="AP4481" s="10"/>
      <c r="AQ4481" s="10"/>
      <c r="AR4481" s="10"/>
      <c r="AS4481" s="10"/>
      <c r="AT4481" s="10"/>
      <c r="AU4481" s="10"/>
      <c r="AV4481" s="10"/>
      <c r="AW4481" s="10"/>
      <c r="AX4481" s="10"/>
      <c r="AY4481" s="10"/>
      <c r="AZ4481" s="10"/>
    </row>
    <row r="4482" spans="31:52">
      <c r="AE4482" s="10"/>
      <c r="AF4482" s="10"/>
      <c r="AG4482" s="10"/>
      <c r="AH4482" s="10"/>
      <c r="AI4482" s="10"/>
      <c r="AJ4482" s="10"/>
      <c r="AK4482" s="10"/>
      <c r="AL4482" s="10"/>
      <c r="AM4482" s="10"/>
      <c r="AN4482" s="10"/>
      <c r="AO4482" s="10"/>
      <c r="AP4482" s="10"/>
      <c r="AQ4482" s="10"/>
      <c r="AR4482" s="10"/>
      <c r="AS4482" s="10"/>
      <c r="AT4482" s="10"/>
      <c r="AU4482" s="10"/>
      <c r="AV4482" s="10"/>
      <c r="AW4482" s="10"/>
      <c r="AX4482" s="10"/>
      <c r="AY4482" s="10"/>
      <c r="AZ4482" s="10"/>
    </row>
    <row r="4483" spans="31:52">
      <c r="AE4483" s="10"/>
      <c r="AF4483" s="10"/>
      <c r="AG4483" s="10"/>
      <c r="AH4483" s="10"/>
      <c r="AI4483" s="10"/>
      <c r="AJ4483" s="10"/>
      <c r="AK4483" s="10"/>
      <c r="AL4483" s="10"/>
      <c r="AM4483" s="10"/>
      <c r="AN4483" s="10"/>
      <c r="AO4483" s="10"/>
      <c r="AP4483" s="10"/>
      <c r="AQ4483" s="10"/>
      <c r="AR4483" s="10"/>
      <c r="AS4483" s="10"/>
      <c r="AT4483" s="10"/>
      <c r="AU4483" s="10"/>
      <c r="AV4483" s="10"/>
      <c r="AW4483" s="10"/>
      <c r="AX4483" s="10"/>
      <c r="AY4483" s="10"/>
      <c r="AZ4483" s="10"/>
    </row>
    <row r="4484" spans="31:52">
      <c r="AE4484" s="10"/>
      <c r="AF4484" s="10"/>
      <c r="AG4484" s="10"/>
      <c r="AH4484" s="10"/>
      <c r="AI4484" s="10"/>
      <c r="AJ4484" s="10"/>
      <c r="AK4484" s="10"/>
      <c r="AL4484" s="10"/>
      <c r="AM4484" s="10"/>
      <c r="AN4484" s="10"/>
      <c r="AO4484" s="10"/>
      <c r="AP4484" s="10"/>
      <c r="AQ4484" s="10"/>
      <c r="AR4484" s="10"/>
      <c r="AS4484" s="10"/>
      <c r="AT4484" s="10"/>
      <c r="AU4484" s="10"/>
      <c r="AV4484" s="10"/>
      <c r="AW4484" s="10"/>
      <c r="AX4484" s="10"/>
      <c r="AY4484" s="10"/>
      <c r="AZ4484" s="10"/>
    </row>
    <row r="4485" spans="31:52">
      <c r="AE4485" s="10"/>
      <c r="AF4485" s="10"/>
      <c r="AG4485" s="10"/>
      <c r="AH4485" s="10"/>
      <c r="AI4485" s="10"/>
      <c r="AJ4485" s="10"/>
      <c r="AK4485" s="10"/>
      <c r="AL4485" s="10"/>
      <c r="AM4485" s="10"/>
      <c r="AN4485" s="10"/>
      <c r="AO4485" s="10"/>
      <c r="AP4485" s="10"/>
      <c r="AQ4485" s="10"/>
      <c r="AR4485" s="10"/>
      <c r="AS4485" s="10"/>
      <c r="AT4485" s="10"/>
      <c r="AU4485" s="10"/>
      <c r="AV4485" s="10"/>
      <c r="AW4485" s="10"/>
      <c r="AX4485" s="10"/>
      <c r="AY4485" s="10"/>
      <c r="AZ4485" s="10"/>
    </row>
    <row r="4486" spans="31:52">
      <c r="AE4486" s="10"/>
      <c r="AF4486" s="10"/>
      <c r="AG4486" s="10"/>
      <c r="AH4486" s="10"/>
      <c r="AI4486" s="10"/>
      <c r="AJ4486" s="10"/>
      <c r="AK4486" s="10"/>
      <c r="AL4486" s="10"/>
      <c r="AM4486" s="10"/>
      <c r="AN4486" s="10"/>
      <c r="AO4486" s="10"/>
      <c r="AP4486" s="10"/>
      <c r="AQ4486" s="10"/>
      <c r="AR4486" s="10"/>
      <c r="AS4486" s="10"/>
      <c r="AT4486" s="10"/>
      <c r="AU4486" s="10"/>
      <c r="AV4486" s="10"/>
      <c r="AW4486" s="10"/>
      <c r="AX4486" s="10"/>
      <c r="AY4486" s="10"/>
      <c r="AZ4486" s="10"/>
    </row>
    <row r="4487" spans="31:52">
      <c r="AE4487" s="10"/>
      <c r="AF4487" s="10"/>
      <c r="AG4487" s="10"/>
      <c r="AH4487" s="10"/>
      <c r="AI4487" s="10"/>
      <c r="AJ4487" s="10"/>
      <c r="AK4487" s="10"/>
      <c r="AL4487" s="10"/>
      <c r="AM4487" s="10"/>
      <c r="AN4487" s="10"/>
      <c r="AO4487" s="10"/>
      <c r="AP4487" s="10"/>
      <c r="AQ4487" s="10"/>
      <c r="AR4487" s="10"/>
      <c r="AS4487" s="10"/>
      <c r="AT4487" s="10"/>
      <c r="AU4487" s="10"/>
      <c r="AV4487" s="10"/>
      <c r="AW4487" s="10"/>
      <c r="AX4487" s="10"/>
      <c r="AY4487" s="10"/>
      <c r="AZ4487" s="10"/>
    </row>
    <row r="4488" spans="31:52">
      <c r="AE4488" s="10"/>
      <c r="AF4488" s="10"/>
      <c r="AG4488" s="10"/>
      <c r="AH4488" s="10"/>
      <c r="AI4488" s="10"/>
      <c r="AJ4488" s="10"/>
      <c r="AK4488" s="10"/>
      <c r="AL4488" s="10"/>
      <c r="AM4488" s="10"/>
      <c r="AN4488" s="10"/>
      <c r="AO4488" s="10"/>
      <c r="AP4488" s="10"/>
      <c r="AQ4488" s="10"/>
      <c r="AR4488" s="10"/>
      <c r="AS4488" s="10"/>
      <c r="AT4488" s="10"/>
      <c r="AU4488" s="10"/>
      <c r="AV4488" s="10"/>
      <c r="AW4488" s="10"/>
      <c r="AX4488" s="10"/>
      <c r="AY4488" s="10"/>
      <c r="AZ4488" s="10"/>
    </row>
    <row r="4489" spans="31:52">
      <c r="AE4489" s="10"/>
      <c r="AF4489" s="10"/>
      <c r="AG4489" s="10"/>
      <c r="AH4489" s="10"/>
      <c r="AI4489" s="10"/>
      <c r="AJ4489" s="10"/>
      <c r="AK4489" s="10"/>
      <c r="AL4489" s="10"/>
      <c r="AM4489" s="10"/>
      <c r="AN4489" s="10"/>
      <c r="AO4489" s="10"/>
      <c r="AP4489" s="10"/>
      <c r="AQ4489" s="10"/>
      <c r="AR4489" s="10"/>
      <c r="AS4489" s="10"/>
      <c r="AT4489" s="10"/>
      <c r="AU4489" s="10"/>
      <c r="AV4489" s="10"/>
      <c r="AW4489" s="10"/>
      <c r="AX4489" s="10"/>
      <c r="AY4489" s="10"/>
      <c r="AZ4489" s="10"/>
    </row>
    <row r="4490" spans="31:52">
      <c r="AE4490" s="10"/>
      <c r="AF4490" s="10"/>
      <c r="AG4490" s="10"/>
      <c r="AH4490" s="10"/>
      <c r="AI4490" s="10"/>
      <c r="AJ4490" s="10"/>
      <c r="AK4490" s="10"/>
      <c r="AL4490" s="10"/>
      <c r="AM4490" s="10"/>
      <c r="AN4490" s="10"/>
      <c r="AO4490" s="10"/>
      <c r="AP4490" s="10"/>
      <c r="AQ4490" s="10"/>
      <c r="AR4490" s="10"/>
      <c r="AS4490" s="10"/>
      <c r="AT4490" s="10"/>
      <c r="AU4490" s="10"/>
      <c r="AV4490" s="10"/>
      <c r="AW4490" s="10"/>
      <c r="AX4490" s="10"/>
      <c r="AY4490" s="10"/>
      <c r="AZ4490" s="10"/>
    </row>
    <row r="4491" spans="31:52">
      <c r="AE4491" s="10"/>
      <c r="AF4491" s="10"/>
      <c r="AG4491" s="10"/>
      <c r="AH4491" s="10"/>
      <c r="AI4491" s="10"/>
      <c r="AJ4491" s="10"/>
      <c r="AK4491" s="10"/>
      <c r="AL4491" s="10"/>
      <c r="AM4491" s="10"/>
      <c r="AN4491" s="10"/>
      <c r="AO4491" s="10"/>
      <c r="AP4491" s="10"/>
      <c r="AQ4491" s="10"/>
      <c r="AR4491" s="10"/>
      <c r="AS4491" s="10"/>
      <c r="AT4491" s="10"/>
      <c r="AU4491" s="10"/>
      <c r="AV4491" s="10"/>
      <c r="AW4491" s="10"/>
      <c r="AX4491" s="10"/>
      <c r="AY4491" s="10"/>
      <c r="AZ4491" s="10"/>
    </row>
    <row r="4492" spans="31:52">
      <c r="AE4492" s="10"/>
      <c r="AF4492" s="10"/>
      <c r="AG4492" s="10"/>
      <c r="AH4492" s="10"/>
      <c r="AI4492" s="10"/>
      <c r="AJ4492" s="10"/>
      <c r="AK4492" s="10"/>
      <c r="AL4492" s="10"/>
      <c r="AM4492" s="10"/>
      <c r="AN4492" s="10"/>
      <c r="AO4492" s="10"/>
      <c r="AP4492" s="10"/>
      <c r="AQ4492" s="10"/>
      <c r="AR4492" s="10"/>
      <c r="AS4492" s="10"/>
      <c r="AT4492" s="10"/>
      <c r="AU4492" s="10"/>
      <c r="AV4492" s="10"/>
      <c r="AW4492" s="10"/>
      <c r="AX4492" s="10"/>
      <c r="AY4492" s="10"/>
      <c r="AZ4492" s="10"/>
    </row>
    <row r="4493" spans="31:52">
      <c r="AE4493" s="10"/>
      <c r="AF4493" s="10"/>
      <c r="AG4493" s="10"/>
      <c r="AH4493" s="10"/>
      <c r="AI4493" s="10"/>
      <c r="AJ4493" s="10"/>
      <c r="AK4493" s="10"/>
      <c r="AL4493" s="10"/>
      <c r="AM4493" s="10"/>
      <c r="AN4493" s="10"/>
      <c r="AO4493" s="10"/>
      <c r="AP4493" s="10"/>
      <c r="AQ4493" s="10"/>
      <c r="AR4493" s="10"/>
      <c r="AS4493" s="10"/>
      <c r="AT4493" s="10"/>
      <c r="AU4493" s="10"/>
      <c r="AV4493" s="10"/>
      <c r="AW4493" s="10"/>
      <c r="AX4493" s="10"/>
      <c r="AY4493" s="10"/>
      <c r="AZ4493" s="10"/>
    </row>
    <row r="4494" spans="31:52">
      <c r="AE4494" s="10"/>
      <c r="AF4494" s="10"/>
      <c r="AG4494" s="10"/>
      <c r="AH4494" s="10"/>
      <c r="AI4494" s="10"/>
      <c r="AJ4494" s="10"/>
      <c r="AK4494" s="10"/>
      <c r="AL4494" s="10"/>
      <c r="AM4494" s="10"/>
      <c r="AN4494" s="10"/>
      <c r="AO4494" s="10"/>
      <c r="AP4494" s="10"/>
      <c r="AQ4494" s="10"/>
      <c r="AR4494" s="10"/>
      <c r="AS4494" s="10"/>
      <c r="AT4494" s="10"/>
      <c r="AU4494" s="10"/>
      <c r="AV4494" s="10"/>
      <c r="AW4494" s="10"/>
      <c r="AX4494" s="10"/>
      <c r="AY4494" s="10"/>
      <c r="AZ4494" s="10"/>
    </row>
    <row r="4495" spans="31:52">
      <c r="AE4495" s="10"/>
      <c r="AF4495" s="10"/>
      <c r="AG4495" s="10"/>
      <c r="AH4495" s="10"/>
      <c r="AI4495" s="10"/>
      <c r="AJ4495" s="10"/>
      <c r="AK4495" s="10"/>
      <c r="AL4495" s="10"/>
      <c r="AM4495" s="10"/>
      <c r="AN4495" s="10"/>
      <c r="AO4495" s="10"/>
      <c r="AP4495" s="10"/>
      <c r="AQ4495" s="10"/>
      <c r="AR4495" s="10"/>
      <c r="AS4495" s="10"/>
      <c r="AT4495" s="10"/>
      <c r="AU4495" s="10"/>
      <c r="AV4495" s="10"/>
      <c r="AW4495" s="10"/>
      <c r="AX4495" s="10"/>
      <c r="AY4495" s="10"/>
      <c r="AZ4495" s="10"/>
    </row>
    <row r="4496" spans="31:52">
      <c r="AE4496" s="10"/>
      <c r="AF4496" s="10"/>
      <c r="AG4496" s="10"/>
      <c r="AH4496" s="10"/>
      <c r="AI4496" s="10"/>
      <c r="AJ4496" s="10"/>
      <c r="AK4496" s="10"/>
      <c r="AL4496" s="10"/>
      <c r="AM4496" s="10"/>
      <c r="AN4496" s="10"/>
      <c r="AO4496" s="10"/>
      <c r="AP4496" s="10"/>
      <c r="AQ4496" s="10"/>
      <c r="AR4496" s="10"/>
      <c r="AS4496" s="10"/>
      <c r="AT4496" s="10"/>
      <c r="AU4496" s="10"/>
      <c r="AV4496" s="10"/>
      <c r="AW4496" s="10"/>
      <c r="AX4496" s="10"/>
      <c r="AY4496" s="10"/>
      <c r="AZ4496" s="10"/>
    </row>
    <row r="4497" spans="31:52">
      <c r="AE4497" s="10"/>
      <c r="AF4497" s="10"/>
      <c r="AG4497" s="10"/>
      <c r="AH4497" s="10"/>
      <c r="AI4497" s="10"/>
      <c r="AJ4497" s="10"/>
      <c r="AK4497" s="10"/>
      <c r="AL4497" s="10"/>
      <c r="AM4497" s="10"/>
      <c r="AN4497" s="10"/>
      <c r="AO4497" s="10"/>
      <c r="AP4497" s="10"/>
      <c r="AQ4497" s="10"/>
      <c r="AR4497" s="10"/>
      <c r="AS4497" s="10"/>
      <c r="AT4497" s="10"/>
      <c r="AU4497" s="10"/>
      <c r="AV4497" s="10"/>
      <c r="AW4497" s="10"/>
      <c r="AX4497" s="10"/>
      <c r="AY4497" s="10"/>
      <c r="AZ4497" s="10"/>
    </row>
    <row r="4498" spans="31:52">
      <c r="AE4498" s="10"/>
      <c r="AF4498" s="10"/>
      <c r="AG4498" s="10"/>
      <c r="AH4498" s="10"/>
      <c r="AI4498" s="10"/>
      <c r="AJ4498" s="10"/>
      <c r="AK4498" s="10"/>
      <c r="AL4498" s="10"/>
      <c r="AM4498" s="10"/>
      <c r="AN4498" s="10"/>
      <c r="AO4498" s="10"/>
      <c r="AP4498" s="10"/>
      <c r="AQ4498" s="10"/>
      <c r="AR4498" s="10"/>
      <c r="AS4498" s="10"/>
      <c r="AT4498" s="10"/>
      <c r="AU4498" s="10"/>
      <c r="AV4498" s="10"/>
      <c r="AW4498" s="10"/>
      <c r="AX4498" s="10"/>
      <c r="AY4498" s="10"/>
      <c r="AZ4498" s="10"/>
    </row>
    <row r="4499" spans="31:52">
      <c r="AE4499" s="10"/>
      <c r="AF4499" s="10"/>
      <c r="AG4499" s="10"/>
      <c r="AH4499" s="10"/>
      <c r="AI4499" s="10"/>
      <c r="AJ4499" s="10"/>
      <c r="AK4499" s="10"/>
      <c r="AL4499" s="10"/>
      <c r="AM4499" s="10"/>
      <c r="AN4499" s="10"/>
      <c r="AO4499" s="10"/>
      <c r="AP4499" s="10"/>
      <c r="AQ4499" s="10"/>
      <c r="AR4499" s="10"/>
      <c r="AS4499" s="10"/>
      <c r="AT4499" s="10"/>
      <c r="AU4499" s="10"/>
      <c r="AV4499" s="10"/>
      <c r="AW4499" s="10"/>
      <c r="AX4499" s="10"/>
      <c r="AY4499" s="10"/>
      <c r="AZ4499" s="10"/>
    </row>
    <row r="4500" spans="31:52">
      <c r="AE4500" s="10"/>
      <c r="AF4500" s="10"/>
      <c r="AG4500" s="10"/>
      <c r="AH4500" s="10"/>
      <c r="AI4500" s="10"/>
      <c r="AJ4500" s="10"/>
      <c r="AK4500" s="10"/>
      <c r="AL4500" s="10"/>
      <c r="AM4500" s="10"/>
      <c r="AN4500" s="10"/>
      <c r="AO4500" s="10"/>
      <c r="AP4500" s="10"/>
      <c r="AQ4500" s="10"/>
      <c r="AR4500" s="10"/>
      <c r="AS4500" s="10"/>
      <c r="AT4500" s="10"/>
      <c r="AU4500" s="10"/>
      <c r="AV4500" s="10"/>
      <c r="AW4500" s="10"/>
      <c r="AX4500" s="10"/>
      <c r="AY4500" s="10"/>
      <c r="AZ4500" s="10"/>
    </row>
    <row r="4501" spans="31:52">
      <c r="AE4501" s="10"/>
      <c r="AF4501" s="10"/>
      <c r="AG4501" s="10"/>
      <c r="AH4501" s="10"/>
      <c r="AI4501" s="10"/>
      <c r="AJ4501" s="10"/>
      <c r="AK4501" s="10"/>
      <c r="AL4501" s="10"/>
      <c r="AM4501" s="10"/>
      <c r="AN4501" s="10"/>
      <c r="AO4501" s="10"/>
      <c r="AP4501" s="10"/>
      <c r="AQ4501" s="10"/>
      <c r="AR4501" s="10"/>
      <c r="AS4501" s="10"/>
      <c r="AT4501" s="10"/>
      <c r="AU4501" s="10"/>
      <c r="AV4501" s="10"/>
      <c r="AW4501" s="10"/>
      <c r="AX4501" s="10"/>
      <c r="AY4501" s="10"/>
      <c r="AZ4501" s="10"/>
    </row>
    <row r="4502" spans="31:52">
      <c r="AE4502" s="10"/>
      <c r="AF4502" s="10"/>
      <c r="AG4502" s="10"/>
      <c r="AH4502" s="10"/>
      <c r="AI4502" s="10"/>
      <c r="AJ4502" s="10"/>
      <c r="AK4502" s="10"/>
      <c r="AL4502" s="10"/>
      <c r="AM4502" s="10"/>
      <c r="AN4502" s="10"/>
      <c r="AO4502" s="10"/>
      <c r="AP4502" s="10"/>
      <c r="AQ4502" s="10"/>
      <c r="AR4502" s="10"/>
      <c r="AS4502" s="10"/>
      <c r="AT4502" s="10"/>
      <c r="AU4502" s="10"/>
      <c r="AV4502" s="10"/>
      <c r="AW4502" s="10"/>
      <c r="AX4502" s="10"/>
      <c r="AY4502" s="10"/>
      <c r="AZ4502" s="10"/>
    </row>
    <row r="4503" spans="31:52">
      <c r="AE4503" s="10"/>
      <c r="AF4503" s="10"/>
      <c r="AG4503" s="10"/>
      <c r="AH4503" s="10"/>
      <c r="AI4503" s="10"/>
      <c r="AJ4503" s="10"/>
      <c r="AK4503" s="10"/>
      <c r="AL4503" s="10"/>
      <c r="AM4503" s="10"/>
      <c r="AN4503" s="10"/>
      <c r="AO4503" s="10"/>
      <c r="AP4503" s="10"/>
      <c r="AQ4503" s="10"/>
      <c r="AR4503" s="10"/>
      <c r="AS4503" s="10"/>
      <c r="AT4503" s="10"/>
      <c r="AU4503" s="10"/>
      <c r="AV4503" s="10"/>
      <c r="AW4503" s="10"/>
      <c r="AX4503" s="10"/>
      <c r="AY4503" s="10"/>
      <c r="AZ4503" s="10"/>
    </row>
    <row r="4504" spans="31:52">
      <c r="AE4504" s="10"/>
      <c r="AF4504" s="10"/>
      <c r="AG4504" s="10"/>
      <c r="AH4504" s="10"/>
      <c r="AI4504" s="10"/>
      <c r="AJ4504" s="10"/>
      <c r="AK4504" s="10"/>
      <c r="AL4504" s="10"/>
      <c r="AM4504" s="10"/>
      <c r="AN4504" s="10"/>
      <c r="AO4504" s="10"/>
      <c r="AP4504" s="10"/>
      <c r="AQ4504" s="10"/>
      <c r="AR4504" s="10"/>
      <c r="AS4504" s="10"/>
      <c r="AT4504" s="10"/>
      <c r="AU4504" s="10"/>
      <c r="AV4504" s="10"/>
      <c r="AW4504" s="10"/>
      <c r="AX4504" s="10"/>
      <c r="AY4504" s="10"/>
      <c r="AZ4504" s="10"/>
    </row>
    <row r="4505" spans="31:52">
      <c r="AE4505" s="10"/>
      <c r="AF4505" s="10"/>
      <c r="AG4505" s="10"/>
      <c r="AH4505" s="10"/>
      <c r="AI4505" s="10"/>
      <c r="AJ4505" s="10"/>
      <c r="AK4505" s="10"/>
      <c r="AL4505" s="10"/>
      <c r="AM4505" s="10"/>
      <c r="AN4505" s="10"/>
      <c r="AO4505" s="10"/>
      <c r="AP4505" s="10"/>
      <c r="AQ4505" s="10"/>
      <c r="AR4505" s="10"/>
      <c r="AS4505" s="10"/>
      <c r="AT4505" s="10"/>
      <c r="AU4505" s="10"/>
      <c r="AV4505" s="10"/>
      <c r="AW4505" s="10"/>
      <c r="AX4505" s="10"/>
      <c r="AY4505" s="10"/>
      <c r="AZ4505" s="10"/>
    </row>
    <row r="4506" spans="31:52">
      <c r="AE4506" s="10"/>
      <c r="AF4506" s="10"/>
      <c r="AG4506" s="10"/>
      <c r="AH4506" s="10"/>
      <c r="AI4506" s="10"/>
      <c r="AJ4506" s="10"/>
      <c r="AK4506" s="10"/>
      <c r="AL4506" s="10"/>
      <c r="AM4506" s="10"/>
      <c r="AN4506" s="10"/>
      <c r="AO4506" s="10"/>
      <c r="AP4506" s="10"/>
      <c r="AQ4506" s="10"/>
      <c r="AR4506" s="10"/>
      <c r="AS4506" s="10"/>
      <c r="AT4506" s="10"/>
      <c r="AU4506" s="10"/>
      <c r="AV4506" s="10"/>
      <c r="AW4506" s="10"/>
      <c r="AX4506" s="10"/>
      <c r="AY4506" s="10"/>
      <c r="AZ4506" s="10"/>
    </row>
    <row r="4507" spans="31:52">
      <c r="AE4507" s="10"/>
      <c r="AF4507" s="10"/>
      <c r="AG4507" s="10"/>
      <c r="AH4507" s="10"/>
      <c r="AI4507" s="10"/>
      <c r="AJ4507" s="10"/>
      <c r="AK4507" s="10"/>
      <c r="AL4507" s="10"/>
      <c r="AM4507" s="10"/>
      <c r="AN4507" s="10"/>
      <c r="AO4507" s="10"/>
      <c r="AP4507" s="10"/>
      <c r="AQ4507" s="10"/>
      <c r="AR4507" s="10"/>
      <c r="AS4507" s="10"/>
      <c r="AT4507" s="10"/>
      <c r="AU4507" s="10"/>
      <c r="AV4507" s="10"/>
      <c r="AW4507" s="10"/>
      <c r="AX4507" s="10"/>
      <c r="AY4507" s="10"/>
      <c r="AZ4507" s="10"/>
    </row>
    <row r="4508" spans="31:52">
      <c r="AE4508" s="10"/>
      <c r="AF4508" s="10"/>
      <c r="AG4508" s="10"/>
      <c r="AH4508" s="10"/>
      <c r="AI4508" s="10"/>
      <c r="AJ4508" s="10"/>
      <c r="AK4508" s="10"/>
      <c r="AL4508" s="10"/>
      <c r="AM4508" s="10"/>
      <c r="AN4508" s="10"/>
      <c r="AO4508" s="10"/>
      <c r="AP4508" s="10"/>
      <c r="AQ4508" s="10"/>
      <c r="AR4508" s="10"/>
      <c r="AS4508" s="10"/>
      <c r="AT4508" s="10"/>
      <c r="AU4508" s="10"/>
      <c r="AV4508" s="10"/>
      <c r="AW4508" s="10"/>
      <c r="AX4508" s="10"/>
      <c r="AY4508" s="10"/>
      <c r="AZ4508" s="10"/>
    </row>
    <row r="4509" spans="31:52">
      <c r="AE4509" s="10"/>
      <c r="AF4509" s="10"/>
      <c r="AG4509" s="10"/>
      <c r="AH4509" s="10"/>
      <c r="AI4509" s="10"/>
      <c r="AJ4509" s="10"/>
      <c r="AK4509" s="10"/>
      <c r="AL4509" s="10"/>
      <c r="AM4509" s="10"/>
      <c r="AN4509" s="10"/>
      <c r="AO4509" s="10"/>
      <c r="AP4509" s="10"/>
      <c r="AQ4509" s="10"/>
      <c r="AR4509" s="10"/>
      <c r="AS4509" s="10"/>
      <c r="AT4509" s="10"/>
      <c r="AU4509" s="10"/>
      <c r="AV4509" s="10"/>
      <c r="AW4509" s="10"/>
      <c r="AX4509" s="10"/>
      <c r="AY4509" s="10"/>
      <c r="AZ4509" s="10"/>
    </row>
    <row r="4510" spans="31:52">
      <c r="AE4510" s="10"/>
      <c r="AF4510" s="10"/>
      <c r="AG4510" s="10"/>
      <c r="AH4510" s="10"/>
      <c r="AI4510" s="10"/>
      <c r="AJ4510" s="10"/>
      <c r="AK4510" s="10"/>
      <c r="AL4510" s="10"/>
      <c r="AM4510" s="10"/>
      <c r="AN4510" s="10"/>
      <c r="AO4510" s="10"/>
      <c r="AP4510" s="10"/>
      <c r="AQ4510" s="10"/>
      <c r="AR4510" s="10"/>
      <c r="AS4510" s="10"/>
      <c r="AT4510" s="10"/>
      <c r="AU4510" s="10"/>
      <c r="AV4510" s="10"/>
      <c r="AW4510" s="10"/>
      <c r="AX4510" s="10"/>
      <c r="AY4510" s="10"/>
      <c r="AZ4510" s="10"/>
    </row>
    <row r="4511" spans="31:52">
      <c r="AE4511" s="10"/>
      <c r="AF4511" s="10"/>
      <c r="AG4511" s="10"/>
      <c r="AH4511" s="10"/>
      <c r="AI4511" s="10"/>
      <c r="AJ4511" s="10"/>
      <c r="AK4511" s="10"/>
      <c r="AL4511" s="10"/>
      <c r="AM4511" s="10"/>
      <c r="AN4511" s="10"/>
      <c r="AO4511" s="10"/>
      <c r="AP4511" s="10"/>
      <c r="AQ4511" s="10"/>
      <c r="AR4511" s="10"/>
      <c r="AS4511" s="10"/>
      <c r="AT4511" s="10"/>
      <c r="AU4511" s="10"/>
      <c r="AV4511" s="10"/>
      <c r="AW4511" s="10"/>
      <c r="AX4511" s="10"/>
      <c r="AY4511" s="10"/>
      <c r="AZ4511" s="10"/>
    </row>
    <row r="4512" spans="31:52">
      <c r="AE4512" s="10"/>
      <c r="AF4512" s="10"/>
      <c r="AG4512" s="10"/>
      <c r="AH4512" s="10"/>
      <c r="AI4512" s="10"/>
      <c r="AJ4512" s="10"/>
      <c r="AK4512" s="10"/>
      <c r="AL4512" s="10"/>
      <c r="AM4512" s="10"/>
      <c r="AN4512" s="10"/>
      <c r="AO4512" s="10"/>
      <c r="AP4512" s="10"/>
      <c r="AQ4512" s="10"/>
      <c r="AR4512" s="10"/>
      <c r="AS4512" s="10"/>
      <c r="AT4512" s="10"/>
      <c r="AU4512" s="10"/>
      <c r="AV4512" s="10"/>
      <c r="AW4512" s="10"/>
      <c r="AX4512" s="10"/>
      <c r="AY4512" s="10"/>
      <c r="AZ4512" s="10"/>
    </row>
    <row r="4513" spans="31:52">
      <c r="AE4513" s="10"/>
      <c r="AF4513" s="10"/>
      <c r="AG4513" s="10"/>
      <c r="AH4513" s="10"/>
      <c r="AI4513" s="10"/>
      <c r="AJ4513" s="10"/>
      <c r="AK4513" s="10"/>
      <c r="AL4513" s="10"/>
      <c r="AM4513" s="10"/>
      <c r="AN4513" s="10"/>
      <c r="AO4513" s="10"/>
      <c r="AP4513" s="10"/>
      <c r="AQ4513" s="10"/>
      <c r="AR4513" s="10"/>
      <c r="AS4513" s="10"/>
      <c r="AT4513" s="10"/>
      <c r="AU4513" s="10"/>
      <c r="AV4513" s="10"/>
      <c r="AW4513" s="10"/>
      <c r="AX4513" s="10"/>
      <c r="AY4513" s="10"/>
      <c r="AZ4513" s="10"/>
    </row>
    <row r="4514" spans="31:52">
      <c r="AE4514" s="10"/>
      <c r="AF4514" s="10"/>
      <c r="AG4514" s="10"/>
      <c r="AH4514" s="10"/>
      <c r="AI4514" s="10"/>
      <c r="AJ4514" s="10"/>
      <c r="AK4514" s="10"/>
      <c r="AL4514" s="10"/>
      <c r="AM4514" s="10"/>
      <c r="AN4514" s="10"/>
      <c r="AO4514" s="10"/>
      <c r="AP4514" s="10"/>
      <c r="AQ4514" s="10"/>
      <c r="AR4514" s="10"/>
      <c r="AS4514" s="10"/>
      <c r="AT4514" s="10"/>
      <c r="AU4514" s="10"/>
      <c r="AV4514" s="10"/>
      <c r="AW4514" s="10"/>
      <c r="AX4514" s="10"/>
      <c r="AY4514" s="10"/>
      <c r="AZ4514" s="10"/>
    </row>
    <row r="4515" spans="31:52">
      <c r="AE4515" s="10"/>
      <c r="AF4515" s="10"/>
      <c r="AG4515" s="10"/>
      <c r="AH4515" s="10"/>
      <c r="AI4515" s="10"/>
      <c r="AJ4515" s="10"/>
      <c r="AK4515" s="10"/>
      <c r="AL4515" s="10"/>
      <c r="AM4515" s="10"/>
      <c r="AN4515" s="10"/>
      <c r="AO4515" s="10"/>
      <c r="AP4515" s="10"/>
      <c r="AQ4515" s="10"/>
      <c r="AR4515" s="10"/>
      <c r="AS4515" s="10"/>
      <c r="AT4515" s="10"/>
      <c r="AU4515" s="10"/>
      <c r="AV4515" s="10"/>
      <c r="AW4515" s="10"/>
      <c r="AX4515" s="10"/>
      <c r="AY4515" s="10"/>
      <c r="AZ4515" s="10"/>
    </row>
    <row r="4516" spans="31:52">
      <c r="AE4516" s="10"/>
      <c r="AF4516" s="10"/>
      <c r="AG4516" s="10"/>
      <c r="AH4516" s="10"/>
      <c r="AI4516" s="10"/>
      <c r="AJ4516" s="10"/>
      <c r="AK4516" s="10"/>
      <c r="AL4516" s="10"/>
      <c r="AM4516" s="10"/>
      <c r="AN4516" s="10"/>
      <c r="AO4516" s="10"/>
      <c r="AP4516" s="10"/>
      <c r="AQ4516" s="10"/>
      <c r="AR4516" s="10"/>
      <c r="AS4516" s="10"/>
      <c r="AT4516" s="10"/>
      <c r="AU4516" s="10"/>
      <c r="AV4516" s="10"/>
      <c r="AW4516" s="10"/>
      <c r="AX4516" s="10"/>
      <c r="AY4516" s="10"/>
      <c r="AZ4516" s="10"/>
    </row>
    <row r="4517" spans="31:52">
      <c r="AE4517" s="10"/>
      <c r="AF4517" s="10"/>
      <c r="AG4517" s="10"/>
      <c r="AH4517" s="10"/>
      <c r="AI4517" s="10"/>
      <c r="AJ4517" s="10"/>
      <c r="AK4517" s="10"/>
      <c r="AL4517" s="10"/>
      <c r="AM4517" s="10"/>
      <c r="AN4517" s="10"/>
      <c r="AO4517" s="10"/>
      <c r="AP4517" s="10"/>
      <c r="AQ4517" s="10"/>
      <c r="AR4517" s="10"/>
      <c r="AS4517" s="10"/>
      <c r="AT4517" s="10"/>
      <c r="AU4517" s="10"/>
      <c r="AV4517" s="10"/>
      <c r="AW4517" s="10"/>
      <c r="AX4517" s="10"/>
      <c r="AY4517" s="10"/>
      <c r="AZ4517" s="10"/>
    </row>
    <row r="4518" spans="31:52">
      <c r="AE4518" s="10"/>
      <c r="AF4518" s="10"/>
      <c r="AG4518" s="10"/>
      <c r="AH4518" s="10"/>
      <c r="AI4518" s="10"/>
      <c r="AJ4518" s="10"/>
      <c r="AK4518" s="10"/>
      <c r="AL4518" s="10"/>
      <c r="AM4518" s="10"/>
      <c r="AN4518" s="10"/>
      <c r="AO4518" s="10"/>
      <c r="AP4518" s="10"/>
      <c r="AQ4518" s="10"/>
      <c r="AR4518" s="10"/>
      <c r="AS4518" s="10"/>
      <c r="AT4518" s="10"/>
      <c r="AU4518" s="10"/>
      <c r="AV4518" s="10"/>
      <c r="AW4518" s="10"/>
      <c r="AX4518" s="10"/>
      <c r="AY4518" s="10"/>
      <c r="AZ4518" s="10"/>
    </row>
    <row r="4519" spans="31:52">
      <c r="AE4519" s="10"/>
      <c r="AF4519" s="10"/>
      <c r="AG4519" s="10"/>
      <c r="AH4519" s="10"/>
      <c r="AI4519" s="10"/>
      <c r="AJ4519" s="10"/>
      <c r="AK4519" s="10"/>
      <c r="AL4519" s="10"/>
      <c r="AM4519" s="10"/>
      <c r="AN4519" s="10"/>
      <c r="AO4519" s="10"/>
      <c r="AP4519" s="10"/>
      <c r="AQ4519" s="10"/>
      <c r="AR4519" s="10"/>
      <c r="AS4519" s="10"/>
      <c r="AT4519" s="10"/>
      <c r="AU4519" s="10"/>
      <c r="AV4519" s="10"/>
      <c r="AW4519" s="10"/>
      <c r="AX4519" s="10"/>
      <c r="AY4519" s="10"/>
      <c r="AZ4519" s="10"/>
    </row>
    <row r="4520" spans="31:52">
      <c r="AE4520" s="10"/>
      <c r="AF4520" s="10"/>
      <c r="AG4520" s="10"/>
      <c r="AH4520" s="10"/>
      <c r="AI4520" s="10"/>
      <c r="AJ4520" s="10"/>
      <c r="AK4520" s="10"/>
      <c r="AL4520" s="10"/>
      <c r="AM4520" s="10"/>
      <c r="AN4520" s="10"/>
      <c r="AO4520" s="10"/>
      <c r="AP4520" s="10"/>
      <c r="AQ4520" s="10"/>
      <c r="AR4520" s="10"/>
      <c r="AS4520" s="10"/>
      <c r="AT4520" s="10"/>
      <c r="AU4520" s="10"/>
      <c r="AV4520" s="10"/>
      <c r="AW4520" s="10"/>
      <c r="AX4520" s="10"/>
      <c r="AY4520" s="10"/>
      <c r="AZ4520" s="10"/>
    </row>
    <row r="4521" spans="31:52">
      <c r="AE4521" s="10"/>
      <c r="AF4521" s="10"/>
      <c r="AG4521" s="10"/>
      <c r="AH4521" s="10"/>
      <c r="AI4521" s="10"/>
      <c r="AJ4521" s="10"/>
      <c r="AK4521" s="10"/>
      <c r="AL4521" s="10"/>
      <c r="AM4521" s="10"/>
      <c r="AN4521" s="10"/>
      <c r="AO4521" s="10"/>
      <c r="AP4521" s="10"/>
      <c r="AQ4521" s="10"/>
      <c r="AR4521" s="10"/>
      <c r="AS4521" s="10"/>
      <c r="AT4521" s="10"/>
      <c r="AU4521" s="10"/>
      <c r="AV4521" s="10"/>
      <c r="AW4521" s="10"/>
      <c r="AX4521" s="10"/>
      <c r="AY4521" s="10"/>
      <c r="AZ4521" s="10"/>
    </row>
    <row r="4522" spans="31:52">
      <c r="AE4522" s="10"/>
      <c r="AF4522" s="10"/>
      <c r="AG4522" s="10"/>
      <c r="AH4522" s="10"/>
      <c r="AI4522" s="10"/>
      <c r="AJ4522" s="10"/>
      <c r="AK4522" s="10"/>
      <c r="AL4522" s="10"/>
      <c r="AM4522" s="10"/>
      <c r="AN4522" s="10"/>
      <c r="AO4522" s="10"/>
      <c r="AP4522" s="10"/>
      <c r="AQ4522" s="10"/>
      <c r="AR4522" s="10"/>
      <c r="AS4522" s="10"/>
      <c r="AT4522" s="10"/>
      <c r="AU4522" s="10"/>
      <c r="AV4522" s="10"/>
      <c r="AW4522" s="10"/>
      <c r="AX4522" s="10"/>
      <c r="AY4522" s="10"/>
      <c r="AZ4522" s="10"/>
    </row>
    <row r="4523" spans="31:52">
      <c r="AE4523" s="10"/>
      <c r="AF4523" s="10"/>
      <c r="AG4523" s="10"/>
      <c r="AH4523" s="10"/>
      <c r="AI4523" s="10"/>
      <c r="AJ4523" s="10"/>
      <c r="AK4523" s="10"/>
      <c r="AL4523" s="10"/>
      <c r="AM4523" s="10"/>
      <c r="AN4523" s="10"/>
      <c r="AO4523" s="10"/>
      <c r="AP4523" s="10"/>
      <c r="AQ4523" s="10"/>
      <c r="AR4523" s="10"/>
      <c r="AS4523" s="10"/>
      <c r="AT4523" s="10"/>
      <c r="AU4523" s="10"/>
      <c r="AV4523" s="10"/>
      <c r="AW4523" s="10"/>
      <c r="AX4523" s="10"/>
      <c r="AY4523" s="10"/>
      <c r="AZ4523" s="10"/>
    </row>
    <row r="4524" spans="31:52">
      <c r="AE4524" s="10"/>
      <c r="AF4524" s="10"/>
      <c r="AG4524" s="10"/>
      <c r="AH4524" s="10"/>
      <c r="AI4524" s="10"/>
      <c r="AJ4524" s="10"/>
      <c r="AK4524" s="10"/>
      <c r="AL4524" s="10"/>
      <c r="AM4524" s="10"/>
      <c r="AN4524" s="10"/>
      <c r="AO4524" s="10"/>
      <c r="AP4524" s="10"/>
      <c r="AQ4524" s="10"/>
      <c r="AR4524" s="10"/>
      <c r="AS4524" s="10"/>
      <c r="AT4524" s="10"/>
      <c r="AU4524" s="10"/>
      <c r="AV4524" s="10"/>
      <c r="AW4524" s="10"/>
      <c r="AX4524" s="10"/>
      <c r="AY4524" s="10"/>
      <c r="AZ4524" s="10"/>
    </row>
    <row r="4525" spans="31:52">
      <c r="AE4525" s="10"/>
      <c r="AF4525" s="10"/>
      <c r="AG4525" s="10"/>
      <c r="AH4525" s="10"/>
      <c r="AI4525" s="10"/>
      <c r="AJ4525" s="10"/>
      <c r="AK4525" s="10"/>
      <c r="AL4525" s="10"/>
      <c r="AM4525" s="10"/>
      <c r="AN4525" s="10"/>
      <c r="AO4525" s="10"/>
      <c r="AP4525" s="10"/>
      <c r="AQ4525" s="10"/>
      <c r="AR4525" s="10"/>
      <c r="AS4525" s="10"/>
      <c r="AT4525" s="10"/>
      <c r="AU4525" s="10"/>
      <c r="AV4525" s="10"/>
      <c r="AW4525" s="10"/>
      <c r="AX4525" s="10"/>
      <c r="AY4525" s="10"/>
      <c r="AZ4525" s="10"/>
    </row>
    <row r="4526" spans="31:52">
      <c r="AE4526" s="10"/>
      <c r="AF4526" s="10"/>
      <c r="AG4526" s="10"/>
      <c r="AH4526" s="10"/>
      <c r="AI4526" s="10"/>
      <c r="AJ4526" s="10"/>
      <c r="AK4526" s="10"/>
      <c r="AL4526" s="10"/>
      <c r="AM4526" s="10"/>
      <c r="AN4526" s="10"/>
      <c r="AO4526" s="10"/>
      <c r="AP4526" s="10"/>
      <c r="AQ4526" s="10"/>
      <c r="AR4526" s="10"/>
      <c r="AS4526" s="10"/>
      <c r="AT4526" s="10"/>
      <c r="AU4526" s="10"/>
      <c r="AV4526" s="10"/>
      <c r="AW4526" s="10"/>
      <c r="AX4526" s="10"/>
      <c r="AY4526" s="10"/>
      <c r="AZ4526" s="10"/>
    </row>
    <row r="4527" spans="31:52">
      <c r="AE4527" s="10"/>
      <c r="AF4527" s="10"/>
      <c r="AG4527" s="10"/>
      <c r="AH4527" s="10"/>
      <c r="AI4527" s="10"/>
      <c r="AJ4527" s="10"/>
      <c r="AK4527" s="10"/>
      <c r="AL4527" s="10"/>
      <c r="AM4527" s="10"/>
      <c r="AN4527" s="10"/>
      <c r="AO4527" s="10"/>
      <c r="AP4527" s="10"/>
      <c r="AQ4527" s="10"/>
      <c r="AR4527" s="10"/>
      <c r="AS4527" s="10"/>
      <c r="AT4527" s="10"/>
      <c r="AU4527" s="10"/>
      <c r="AV4527" s="10"/>
      <c r="AW4527" s="10"/>
      <c r="AX4527" s="10"/>
      <c r="AY4527" s="10"/>
      <c r="AZ4527" s="10"/>
    </row>
    <row r="4528" spans="31:52">
      <c r="AE4528" s="10"/>
      <c r="AF4528" s="10"/>
      <c r="AG4528" s="10"/>
      <c r="AH4528" s="10"/>
      <c r="AI4528" s="10"/>
      <c r="AJ4528" s="10"/>
      <c r="AK4528" s="10"/>
      <c r="AL4528" s="10"/>
      <c r="AM4528" s="10"/>
      <c r="AN4528" s="10"/>
      <c r="AO4528" s="10"/>
      <c r="AP4528" s="10"/>
      <c r="AQ4528" s="10"/>
      <c r="AR4528" s="10"/>
      <c r="AS4528" s="10"/>
      <c r="AT4528" s="10"/>
      <c r="AU4528" s="10"/>
      <c r="AV4528" s="10"/>
      <c r="AW4528" s="10"/>
      <c r="AX4528" s="10"/>
      <c r="AY4528" s="10"/>
      <c r="AZ4528" s="10"/>
    </row>
    <row r="4529" spans="31:52">
      <c r="AE4529" s="10"/>
      <c r="AF4529" s="10"/>
      <c r="AG4529" s="10"/>
      <c r="AH4529" s="10"/>
      <c r="AI4529" s="10"/>
      <c r="AJ4529" s="10"/>
      <c r="AK4529" s="10"/>
      <c r="AL4529" s="10"/>
      <c r="AM4529" s="10"/>
      <c r="AN4529" s="10"/>
      <c r="AO4529" s="10"/>
      <c r="AP4529" s="10"/>
      <c r="AQ4529" s="10"/>
      <c r="AR4529" s="10"/>
      <c r="AS4529" s="10"/>
      <c r="AT4529" s="10"/>
      <c r="AU4529" s="10"/>
      <c r="AV4529" s="10"/>
      <c r="AW4529" s="10"/>
      <c r="AX4529" s="10"/>
      <c r="AY4529" s="10"/>
      <c r="AZ4529" s="10"/>
    </row>
    <row r="4530" spans="31:52">
      <c r="AE4530" s="10"/>
      <c r="AF4530" s="10"/>
      <c r="AG4530" s="10"/>
      <c r="AH4530" s="10"/>
      <c r="AI4530" s="10"/>
      <c r="AJ4530" s="10"/>
      <c r="AK4530" s="10"/>
      <c r="AL4530" s="10"/>
      <c r="AM4530" s="10"/>
      <c r="AN4530" s="10"/>
      <c r="AO4530" s="10"/>
      <c r="AP4530" s="10"/>
      <c r="AQ4530" s="10"/>
      <c r="AR4530" s="10"/>
      <c r="AS4530" s="10"/>
      <c r="AT4530" s="10"/>
      <c r="AU4530" s="10"/>
      <c r="AV4530" s="10"/>
      <c r="AW4530" s="10"/>
      <c r="AX4530" s="10"/>
      <c r="AY4530" s="10"/>
      <c r="AZ4530" s="10"/>
    </row>
    <row r="4531" spans="31:52">
      <c r="AE4531" s="10"/>
      <c r="AF4531" s="10"/>
      <c r="AG4531" s="10"/>
      <c r="AH4531" s="10"/>
      <c r="AI4531" s="10"/>
      <c r="AJ4531" s="10"/>
      <c r="AK4531" s="10"/>
      <c r="AL4531" s="10"/>
      <c r="AM4531" s="10"/>
      <c r="AN4531" s="10"/>
      <c r="AO4531" s="10"/>
      <c r="AP4531" s="10"/>
      <c r="AQ4531" s="10"/>
      <c r="AR4531" s="10"/>
      <c r="AS4531" s="10"/>
      <c r="AT4531" s="10"/>
      <c r="AU4531" s="10"/>
      <c r="AV4531" s="10"/>
      <c r="AW4531" s="10"/>
      <c r="AX4531" s="10"/>
      <c r="AY4531" s="10"/>
      <c r="AZ4531" s="10"/>
    </row>
    <row r="4532" spans="31:52">
      <c r="AE4532" s="10"/>
      <c r="AF4532" s="10"/>
      <c r="AG4532" s="10"/>
      <c r="AH4532" s="10"/>
      <c r="AI4532" s="10"/>
      <c r="AJ4532" s="10"/>
      <c r="AK4532" s="10"/>
      <c r="AL4532" s="10"/>
      <c r="AM4532" s="10"/>
      <c r="AN4532" s="10"/>
      <c r="AO4532" s="10"/>
      <c r="AP4532" s="10"/>
      <c r="AQ4532" s="10"/>
      <c r="AR4532" s="10"/>
      <c r="AS4532" s="10"/>
      <c r="AT4532" s="10"/>
      <c r="AU4532" s="10"/>
      <c r="AV4532" s="10"/>
      <c r="AW4532" s="10"/>
      <c r="AX4532" s="10"/>
      <c r="AY4532" s="10"/>
      <c r="AZ4532" s="10"/>
    </row>
    <row r="4533" spans="31:52">
      <c r="AE4533" s="10"/>
      <c r="AF4533" s="10"/>
      <c r="AG4533" s="10"/>
      <c r="AH4533" s="10"/>
      <c r="AI4533" s="10"/>
      <c r="AJ4533" s="10"/>
      <c r="AK4533" s="10"/>
      <c r="AL4533" s="10"/>
      <c r="AM4533" s="10"/>
      <c r="AN4533" s="10"/>
      <c r="AO4533" s="10"/>
      <c r="AP4533" s="10"/>
      <c r="AQ4533" s="10"/>
      <c r="AR4533" s="10"/>
      <c r="AS4533" s="10"/>
      <c r="AT4533" s="10"/>
      <c r="AU4533" s="10"/>
      <c r="AV4533" s="10"/>
      <c r="AW4533" s="10"/>
      <c r="AX4533" s="10"/>
      <c r="AY4533" s="10"/>
      <c r="AZ4533" s="10"/>
    </row>
    <row r="4534" spans="31:52">
      <c r="AE4534" s="10"/>
      <c r="AF4534" s="10"/>
      <c r="AG4534" s="10"/>
      <c r="AH4534" s="10"/>
      <c r="AI4534" s="10"/>
      <c r="AJ4534" s="10"/>
      <c r="AK4534" s="10"/>
      <c r="AL4534" s="10"/>
      <c r="AM4534" s="10"/>
      <c r="AN4534" s="10"/>
      <c r="AO4534" s="10"/>
      <c r="AP4534" s="10"/>
      <c r="AQ4534" s="10"/>
      <c r="AR4534" s="10"/>
      <c r="AS4534" s="10"/>
      <c r="AT4534" s="10"/>
      <c r="AU4534" s="10"/>
      <c r="AV4534" s="10"/>
      <c r="AW4534" s="10"/>
      <c r="AX4534" s="10"/>
      <c r="AY4534" s="10"/>
      <c r="AZ4534" s="10"/>
    </row>
    <row r="4535" spans="31:52">
      <c r="AE4535" s="10"/>
      <c r="AF4535" s="10"/>
      <c r="AG4535" s="10"/>
      <c r="AH4535" s="10"/>
      <c r="AI4535" s="10"/>
      <c r="AJ4535" s="10"/>
      <c r="AK4535" s="10"/>
      <c r="AL4535" s="10"/>
      <c r="AM4535" s="10"/>
      <c r="AN4535" s="10"/>
      <c r="AO4535" s="10"/>
      <c r="AP4535" s="10"/>
      <c r="AQ4535" s="10"/>
      <c r="AR4535" s="10"/>
      <c r="AS4535" s="10"/>
      <c r="AT4535" s="10"/>
      <c r="AU4535" s="10"/>
      <c r="AV4535" s="10"/>
      <c r="AW4535" s="10"/>
      <c r="AX4535" s="10"/>
      <c r="AY4535" s="10"/>
      <c r="AZ4535" s="10"/>
    </row>
    <row r="4536" spans="31:52">
      <c r="AE4536" s="10"/>
      <c r="AF4536" s="10"/>
      <c r="AG4536" s="10"/>
      <c r="AH4536" s="10"/>
      <c r="AI4536" s="10"/>
      <c r="AJ4536" s="10"/>
      <c r="AK4536" s="10"/>
      <c r="AL4536" s="10"/>
      <c r="AM4536" s="10"/>
      <c r="AN4536" s="10"/>
      <c r="AO4536" s="10"/>
      <c r="AP4536" s="10"/>
      <c r="AQ4536" s="10"/>
      <c r="AR4536" s="10"/>
      <c r="AS4536" s="10"/>
      <c r="AT4536" s="10"/>
      <c r="AU4536" s="10"/>
      <c r="AV4536" s="10"/>
      <c r="AW4536" s="10"/>
      <c r="AX4536" s="10"/>
      <c r="AY4536" s="10"/>
      <c r="AZ4536" s="10"/>
    </row>
    <row r="4537" spans="31:52">
      <c r="AE4537" s="10"/>
      <c r="AF4537" s="10"/>
      <c r="AG4537" s="10"/>
      <c r="AH4537" s="10"/>
      <c r="AI4537" s="10"/>
      <c r="AJ4537" s="10"/>
      <c r="AK4537" s="10"/>
      <c r="AL4537" s="10"/>
      <c r="AM4537" s="10"/>
      <c r="AN4537" s="10"/>
      <c r="AO4537" s="10"/>
      <c r="AP4537" s="10"/>
      <c r="AQ4537" s="10"/>
      <c r="AR4537" s="10"/>
      <c r="AS4537" s="10"/>
      <c r="AT4537" s="10"/>
      <c r="AU4537" s="10"/>
      <c r="AV4537" s="10"/>
      <c r="AW4537" s="10"/>
      <c r="AX4537" s="10"/>
      <c r="AY4537" s="10"/>
      <c r="AZ4537" s="10"/>
    </row>
    <row r="4538" spans="31:52">
      <c r="AE4538" s="10"/>
      <c r="AF4538" s="10"/>
      <c r="AG4538" s="10"/>
      <c r="AH4538" s="10"/>
      <c r="AI4538" s="10"/>
      <c r="AJ4538" s="10"/>
      <c r="AK4538" s="10"/>
      <c r="AL4538" s="10"/>
      <c r="AM4538" s="10"/>
      <c r="AN4538" s="10"/>
      <c r="AO4538" s="10"/>
      <c r="AP4538" s="10"/>
      <c r="AQ4538" s="10"/>
      <c r="AR4538" s="10"/>
      <c r="AS4538" s="10"/>
      <c r="AT4538" s="10"/>
      <c r="AU4538" s="10"/>
      <c r="AV4538" s="10"/>
      <c r="AW4538" s="10"/>
      <c r="AX4538" s="10"/>
      <c r="AY4538" s="10"/>
      <c r="AZ4538" s="10"/>
    </row>
    <row r="4539" spans="31:52">
      <c r="AE4539" s="10"/>
      <c r="AF4539" s="10"/>
      <c r="AG4539" s="10"/>
      <c r="AH4539" s="10"/>
      <c r="AI4539" s="10"/>
      <c r="AJ4539" s="10"/>
      <c r="AK4539" s="10"/>
      <c r="AL4539" s="10"/>
      <c r="AM4539" s="10"/>
      <c r="AN4539" s="10"/>
      <c r="AO4539" s="10"/>
      <c r="AP4539" s="10"/>
      <c r="AQ4539" s="10"/>
      <c r="AR4539" s="10"/>
      <c r="AS4539" s="10"/>
      <c r="AT4539" s="10"/>
      <c r="AU4539" s="10"/>
      <c r="AV4539" s="10"/>
      <c r="AW4539" s="10"/>
      <c r="AX4539" s="10"/>
      <c r="AY4539" s="10"/>
      <c r="AZ4539" s="10"/>
    </row>
    <row r="4540" spans="31:52">
      <c r="AE4540" s="10"/>
      <c r="AF4540" s="10"/>
      <c r="AG4540" s="10"/>
      <c r="AH4540" s="10"/>
      <c r="AI4540" s="10"/>
      <c r="AJ4540" s="10"/>
      <c r="AK4540" s="10"/>
      <c r="AL4540" s="10"/>
      <c r="AM4540" s="10"/>
      <c r="AN4540" s="10"/>
      <c r="AO4540" s="10"/>
      <c r="AP4540" s="10"/>
      <c r="AQ4540" s="10"/>
      <c r="AR4540" s="10"/>
      <c r="AS4540" s="10"/>
      <c r="AT4540" s="10"/>
      <c r="AU4540" s="10"/>
      <c r="AV4540" s="10"/>
      <c r="AW4540" s="10"/>
      <c r="AX4540" s="10"/>
      <c r="AY4540" s="10"/>
      <c r="AZ4540" s="10"/>
    </row>
    <row r="4541" spans="31:52">
      <c r="AE4541" s="10"/>
      <c r="AF4541" s="10"/>
      <c r="AG4541" s="10"/>
      <c r="AH4541" s="10"/>
      <c r="AI4541" s="10"/>
      <c r="AJ4541" s="10"/>
      <c r="AK4541" s="10"/>
      <c r="AL4541" s="10"/>
      <c r="AM4541" s="10"/>
      <c r="AN4541" s="10"/>
      <c r="AO4541" s="10"/>
      <c r="AP4541" s="10"/>
      <c r="AQ4541" s="10"/>
      <c r="AR4541" s="10"/>
      <c r="AS4541" s="10"/>
      <c r="AT4541" s="10"/>
      <c r="AU4541" s="10"/>
      <c r="AV4541" s="10"/>
      <c r="AW4541" s="10"/>
      <c r="AX4541" s="10"/>
      <c r="AY4541" s="10"/>
      <c r="AZ4541" s="10"/>
    </row>
    <row r="4542" spans="31:52">
      <c r="AE4542" s="10"/>
      <c r="AF4542" s="10"/>
      <c r="AG4542" s="10"/>
      <c r="AH4542" s="10"/>
      <c r="AI4542" s="10"/>
      <c r="AJ4542" s="10"/>
      <c r="AK4542" s="10"/>
      <c r="AL4542" s="10"/>
      <c r="AM4542" s="10"/>
      <c r="AN4542" s="10"/>
      <c r="AO4542" s="10"/>
      <c r="AP4542" s="10"/>
      <c r="AQ4542" s="10"/>
      <c r="AR4542" s="10"/>
      <c r="AS4542" s="10"/>
      <c r="AT4542" s="10"/>
      <c r="AU4542" s="10"/>
      <c r="AV4542" s="10"/>
      <c r="AW4542" s="10"/>
      <c r="AX4542" s="10"/>
      <c r="AY4542" s="10"/>
      <c r="AZ4542" s="10"/>
    </row>
    <row r="4543" spans="31:52">
      <c r="AE4543" s="10"/>
      <c r="AF4543" s="10"/>
      <c r="AG4543" s="10"/>
      <c r="AH4543" s="10"/>
      <c r="AI4543" s="10"/>
      <c r="AJ4543" s="10"/>
      <c r="AK4543" s="10"/>
      <c r="AL4543" s="10"/>
      <c r="AM4543" s="10"/>
      <c r="AN4543" s="10"/>
      <c r="AO4543" s="10"/>
      <c r="AP4543" s="10"/>
      <c r="AQ4543" s="10"/>
      <c r="AR4543" s="10"/>
      <c r="AS4543" s="10"/>
      <c r="AT4543" s="10"/>
      <c r="AU4543" s="10"/>
      <c r="AV4543" s="10"/>
      <c r="AW4543" s="10"/>
      <c r="AX4543" s="10"/>
      <c r="AY4543" s="10"/>
      <c r="AZ4543" s="10"/>
    </row>
    <row r="4544" spans="31:52">
      <c r="AE4544" s="10"/>
      <c r="AF4544" s="10"/>
      <c r="AG4544" s="10"/>
      <c r="AH4544" s="10"/>
      <c r="AI4544" s="10"/>
      <c r="AJ4544" s="10"/>
      <c r="AK4544" s="10"/>
      <c r="AL4544" s="10"/>
      <c r="AM4544" s="10"/>
      <c r="AN4544" s="10"/>
      <c r="AO4544" s="10"/>
      <c r="AP4544" s="10"/>
      <c r="AQ4544" s="10"/>
      <c r="AR4544" s="10"/>
      <c r="AS4544" s="10"/>
      <c r="AT4544" s="10"/>
      <c r="AU4544" s="10"/>
      <c r="AV4544" s="10"/>
      <c r="AW4544" s="10"/>
      <c r="AX4544" s="10"/>
      <c r="AY4544" s="10"/>
      <c r="AZ4544" s="10"/>
    </row>
    <row r="4545" spans="31:52">
      <c r="AE4545" s="10"/>
      <c r="AF4545" s="10"/>
      <c r="AG4545" s="10"/>
      <c r="AH4545" s="10"/>
      <c r="AI4545" s="10"/>
      <c r="AJ4545" s="10"/>
      <c r="AK4545" s="10"/>
      <c r="AL4545" s="10"/>
      <c r="AM4545" s="10"/>
      <c r="AN4545" s="10"/>
      <c r="AO4545" s="10"/>
      <c r="AP4545" s="10"/>
      <c r="AQ4545" s="10"/>
      <c r="AR4545" s="10"/>
      <c r="AS4545" s="10"/>
      <c r="AT4545" s="10"/>
      <c r="AU4545" s="10"/>
      <c r="AV4545" s="10"/>
      <c r="AW4545" s="10"/>
      <c r="AX4545" s="10"/>
      <c r="AY4545" s="10"/>
      <c r="AZ4545" s="10"/>
    </row>
    <row r="4546" spans="31:52">
      <c r="AE4546" s="10"/>
      <c r="AF4546" s="10"/>
      <c r="AG4546" s="10"/>
      <c r="AH4546" s="10"/>
      <c r="AI4546" s="10"/>
      <c r="AJ4546" s="10"/>
      <c r="AK4546" s="10"/>
      <c r="AL4546" s="10"/>
      <c r="AM4546" s="10"/>
      <c r="AN4546" s="10"/>
      <c r="AO4546" s="10"/>
      <c r="AP4546" s="10"/>
      <c r="AQ4546" s="10"/>
      <c r="AR4546" s="10"/>
      <c r="AS4546" s="10"/>
      <c r="AT4546" s="10"/>
      <c r="AU4546" s="10"/>
      <c r="AV4546" s="10"/>
      <c r="AW4546" s="10"/>
      <c r="AX4546" s="10"/>
      <c r="AY4546" s="10"/>
      <c r="AZ4546" s="10"/>
    </row>
    <row r="4547" spans="31:52">
      <c r="AE4547" s="10"/>
      <c r="AF4547" s="10"/>
      <c r="AG4547" s="10"/>
      <c r="AH4547" s="10"/>
      <c r="AI4547" s="10"/>
      <c r="AJ4547" s="10"/>
      <c r="AK4547" s="10"/>
      <c r="AL4547" s="10"/>
      <c r="AM4547" s="10"/>
      <c r="AN4547" s="10"/>
      <c r="AO4547" s="10"/>
      <c r="AP4547" s="10"/>
      <c r="AQ4547" s="10"/>
      <c r="AR4547" s="10"/>
      <c r="AS4547" s="10"/>
      <c r="AT4547" s="10"/>
      <c r="AU4547" s="10"/>
      <c r="AV4547" s="10"/>
      <c r="AW4547" s="10"/>
      <c r="AX4547" s="10"/>
      <c r="AY4547" s="10"/>
      <c r="AZ4547" s="10"/>
    </row>
    <row r="4548" spans="31:52">
      <c r="AE4548" s="10"/>
      <c r="AF4548" s="10"/>
      <c r="AG4548" s="10"/>
      <c r="AH4548" s="10"/>
      <c r="AI4548" s="10"/>
      <c r="AJ4548" s="10"/>
      <c r="AK4548" s="10"/>
      <c r="AL4548" s="10"/>
      <c r="AM4548" s="10"/>
      <c r="AN4548" s="10"/>
      <c r="AO4548" s="10"/>
      <c r="AP4548" s="10"/>
      <c r="AQ4548" s="10"/>
      <c r="AR4548" s="10"/>
      <c r="AS4548" s="10"/>
      <c r="AT4548" s="10"/>
      <c r="AU4548" s="10"/>
      <c r="AV4548" s="10"/>
      <c r="AW4548" s="10"/>
      <c r="AX4548" s="10"/>
      <c r="AY4548" s="10"/>
      <c r="AZ4548" s="10"/>
    </row>
    <row r="4549" spans="31:52">
      <c r="AE4549" s="10"/>
      <c r="AF4549" s="10"/>
      <c r="AG4549" s="10"/>
      <c r="AH4549" s="10"/>
      <c r="AI4549" s="10"/>
      <c r="AJ4549" s="10"/>
      <c r="AK4549" s="10"/>
      <c r="AL4549" s="10"/>
      <c r="AM4549" s="10"/>
      <c r="AN4549" s="10"/>
      <c r="AO4549" s="10"/>
      <c r="AP4549" s="10"/>
      <c r="AQ4549" s="10"/>
      <c r="AR4549" s="10"/>
      <c r="AS4549" s="10"/>
      <c r="AT4549" s="10"/>
      <c r="AU4549" s="10"/>
      <c r="AV4549" s="10"/>
      <c r="AW4549" s="10"/>
      <c r="AX4549" s="10"/>
      <c r="AY4549" s="10"/>
      <c r="AZ4549" s="10"/>
    </row>
    <row r="4550" spans="31:52">
      <c r="AE4550" s="10"/>
      <c r="AF4550" s="10"/>
      <c r="AG4550" s="10"/>
      <c r="AH4550" s="10"/>
      <c r="AI4550" s="10"/>
      <c r="AJ4550" s="10"/>
      <c r="AK4550" s="10"/>
      <c r="AL4550" s="10"/>
      <c r="AM4550" s="10"/>
      <c r="AN4550" s="10"/>
      <c r="AO4550" s="10"/>
      <c r="AP4550" s="10"/>
      <c r="AQ4550" s="10"/>
      <c r="AR4550" s="10"/>
      <c r="AS4550" s="10"/>
      <c r="AT4550" s="10"/>
      <c r="AU4550" s="10"/>
      <c r="AV4550" s="10"/>
      <c r="AW4550" s="10"/>
      <c r="AX4550" s="10"/>
      <c r="AY4550" s="10"/>
      <c r="AZ4550" s="10"/>
    </row>
    <row r="4551" spans="31:52">
      <c r="AE4551" s="10"/>
      <c r="AF4551" s="10"/>
      <c r="AG4551" s="10"/>
      <c r="AH4551" s="10"/>
      <c r="AI4551" s="10"/>
      <c r="AJ4551" s="10"/>
      <c r="AK4551" s="10"/>
      <c r="AL4551" s="10"/>
      <c r="AM4551" s="10"/>
      <c r="AN4551" s="10"/>
      <c r="AO4551" s="10"/>
      <c r="AP4551" s="10"/>
      <c r="AQ4551" s="10"/>
      <c r="AR4551" s="10"/>
      <c r="AS4551" s="10"/>
      <c r="AT4551" s="10"/>
      <c r="AU4551" s="10"/>
      <c r="AV4551" s="10"/>
      <c r="AW4551" s="10"/>
      <c r="AX4551" s="10"/>
      <c r="AY4551" s="10"/>
      <c r="AZ4551" s="10"/>
    </row>
    <row r="4552" spans="31:52">
      <c r="AE4552" s="10"/>
      <c r="AF4552" s="10"/>
      <c r="AG4552" s="10"/>
      <c r="AH4552" s="10"/>
      <c r="AI4552" s="10"/>
      <c r="AJ4552" s="10"/>
      <c r="AK4552" s="10"/>
      <c r="AL4552" s="10"/>
      <c r="AM4552" s="10"/>
      <c r="AN4552" s="10"/>
      <c r="AO4552" s="10"/>
      <c r="AP4552" s="10"/>
      <c r="AQ4552" s="10"/>
      <c r="AR4552" s="10"/>
      <c r="AS4552" s="10"/>
      <c r="AT4552" s="10"/>
      <c r="AU4552" s="10"/>
      <c r="AV4552" s="10"/>
      <c r="AW4552" s="10"/>
      <c r="AX4552" s="10"/>
      <c r="AY4552" s="10"/>
      <c r="AZ4552" s="10"/>
    </row>
    <row r="4553" spans="31:52">
      <c r="AE4553" s="10"/>
      <c r="AF4553" s="10"/>
      <c r="AG4553" s="10"/>
      <c r="AH4553" s="10"/>
      <c r="AI4553" s="10"/>
      <c r="AJ4553" s="10"/>
      <c r="AK4553" s="10"/>
      <c r="AL4553" s="10"/>
      <c r="AM4553" s="10"/>
      <c r="AN4553" s="10"/>
      <c r="AO4553" s="10"/>
      <c r="AP4553" s="10"/>
      <c r="AQ4553" s="10"/>
      <c r="AR4553" s="10"/>
      <c r="AS4553" s="10"/>
      <c r="AT4553" s="10"/>
      <c r="AU4553" s="10"/>
      <c r="AV4553" s="10"/>
      <c r="AW4553" s="10"/>
      <c r="AX4553" s="10"/>
      <c r="AY4553" s="10"/>
      <c r="AZ4553" s="10"/>
    </row>
    <row r="4554" spans="31:52">
      <c r="AE4554" s="10"/>
      <c r="AF4554" s="10"/>
      <c r="AG4554" s="10"/>
      <c r="AH4554" s="10"/>
      <c r="AI4554" s="10"/>
      <c r="AJ4554" s="10"/>
      <c r="AK4554" s="10"/>
      <c r="AL4554" s="10"/>
      <c r="AM4554" s="10"/>
      <c r="AN4554" s="10"/>
      <c r="AO4554" s="10"/>
      <c r="AP4554" s="10"/>
      <c r="AQ4554" s="10"/>
      <c r="AR4554" s="10"/>
      <c r="AS4554" s="10"/>
      <c r="AT4554" s="10"/>
      <c r="AU4554" s="10"/>
      <c r="AV4554" s="10"/>
      <c r="AW4554" s="10"/>
      <c r="AX4554" s="10"/>
      <c r="AY4554" s="10"/>
      <c r="AZ4554" s="10"/>
    </row>
    <row r="4555" spans="31:52">
      <c r="AE4555" s="10"/>
      <c r="AF4555" s="10"/>
      <c r="AG4555" s="10"/>
      <c r="AH4555" s="10"/>
      <c r="AI4555" s="10"/>
      <c r="AJ4555" s="10"/>
      <c r="AK4555" s="10"/>
      <c r="AL4555" s="10"/>
      <c r="AM4555" s="10"/>
      <c r="AN4555" s="10"/>
      <c r="AO4555" s="10"/>
      <c r="AP4555" s="10"/>
      <c r="AQ4555" s="10"/>
      <c r="AR4555" s="10"/>
      <c r="AS4555" s="10"/>
      <c r="AT4555" s="10"/>
      <c r="AU4555" s="10"/>
      <c r="AV4555" s="10"/>
      <c r="AW4555" s="10"/>
      <c r="AX4555" s="10"/>
      <c r="AY4555" s="10"/>
      <c r="AZ4555" s="10"/>
    </row>
    <row r="4556" spans="31:52">
      <c r="AE4556" s="10"/>
      <c r="AF4556" s="10"/>
      <c r="AG4556" s="10"/>
      <c r="AH4556" s="10"/>
      <c r="AI4556" s="10"/>
      <c r="AJ4556" s="10"/>
      <c r="AK4556" s="10"/>
      <c r="AL4556" s="10"/>
      <c r="AM4556" s="10"/>
      <c r="AN4556" s="10"/>
      <c r="AO4556" s="10"/>
      <c r="AP4556" s="10"/>
      <c r="AQ4556" s="10"/>
      <c r="AR4556" s="10"/>
      <c r="AS4556" s="10"/>
      <c r="AT4556" s="10"/>
      <c r="AU4556" s="10"/>
      <c r="AV4556" s="10"/>
      <c r="AW4556" s="10"/>
      <c r="AX4556" s="10"/>
      <c r="AY4556" s="10"/>
      <c r="AZ4556" s="10"/>
    </row>
    <row r="4557" spans="31:52">
      <c r="AE4557" s="10"/>
      <c r="AF4557" s="10"/>
      <c r="AG4557" s="10"/>
      <c r="AH4557" s="10"/>
      <c r="AI4557" s="10"/>
      <c r="AJ4557" s="10"/>
      <c r="AK4557" s="10"/>
      <c r="AL4557" s="10"/>
      <c r="AM4557" s="10"/>
      <c r="AN4557" s="10"/>
      <c r="AO4557" s="10"/>
      <c r="AP4557" s="10"/>
      <c r="AQ4557" s="10"/>
      <c r="AR4557" s="10"/>
      <c r="AS4557" s="10"/>
      <c r="AT4557" s="10"/>
      <c r="AU4557" s="10"/>
      <c r="AV4557" s="10"/>
      <c r="AW4557" s="10"/>
      <c r="AX4557" s="10"/>
      <c r="AY4557" s="10"/>
      <c r="AZ4557" s="10"/>
    </row>
    <row r="4558" spans="31:52">
      <c r="AE4558" s="10"/>
      <c r="AF4558" s="10"/>
      <c r="AG4558" s="10"/>
      <c r="AH4558" s="10"/>
      <c r="AI4558" s="10"/>
      <c r="AJ4558" s="10"/>
      <c r="AK4558" s="10"/>
      <c r="AL4558" s="10"/>
      <c r="AM4558" s="10"/>
      <c r="AN4558" s="10"/>
      <c r="AO4558" s="10"/>
      <c r="AP4558" s="10"/>
      <c r="AQ4558" s="10"/>
      <c r="AR4558" s="10"/>
      <c r="AS4558" s="10"/>
      <c r="AT4558" s="10"/>
      <c r="AU4558" s="10"/>
      <c r="AV4558" s="10"/>
      <c r="AW4558" s="10"/>
      <c r="AX4558" s="10"/>
      <c r="AY4558" s="10"/>
      <c r="AZ4558" s="10"/>
    </row>
    <row r="4559" spans="31:52">
      <c r="AE4559" s="10"/>
      <c r="AF4559" s="10"/>
      <c r="AG4559" s="10"/>
      <c r="AH4559" s="10"/>
      <c r="AI4559" s="10"/>
      <c r="AJ4559" s="10"/>
      <c r="AK4559" s="10"/>
      <c r="AL4559" s="10"/>
      <c r="AM4559" s="10"/>
      <c r="AN4559" s="10"/>
      <c r="AO4559" s="10"/>
      <c r="AP4559" s="10"/>
      <c r="AQ4559" s="10"/>
      <c r="AR4559" s="10"/>
      <c r="AS4559" s="10"/>
      <c r="AT4559" s="10"/>
      <c r="AU4559" s="10"/>
      <c r="AV4559" s="10"/>
      <c r="AW4559" s="10"/>
      <c r="AX4559" s="10"/>
      <c r="AY4559" s="10"/>
      <c r="AZ4559" s="10"/>
    </row>
    <row r="4560" spans="31:52">
      <c r="AE4560" s="10"/>
      <c r="AF4560" s="10"/>
      <c r="AG4560" s="10"/>
      <c r="AH4560" s="10"/>
      <c r="AI4560" s="10"/>
      <c r="AJ4560" s="10"/>
      <c r="AK4560" s="10"/>
      <c r="AL4560" s="10"/>
      <c r="AM4560" s="10"/>
      <c r="AN4560" s="10"/>
      <c r="AO4560" s="10"/>
      <c r="AP4560" s="10"/>
      <c r="AQ4560" s="10"/>
      <c r="AR4560" s="10"/>
      <c r="AS4560" s="10"/>
      <c r="AT4560" s="10"/>
      <c r="AU4560" s="10"/>
      <c r="AV4560" s="10"/>
      <c r="AW4560" s="10"/>
      <c r="AX4560" s="10"/>
      <c r="AY4560" s="10"/>
      <c r="AZ4560" s="10"/>
    </row>
    <row r="4561" spans="31:52">
      <c r="AE4561" s="10"/>
      <c r="AF4561" s="10"/>
      <c r="AG4561" s="10"/>
      <c r="AH4561" s="10"/>
      <c r="AI4561" s="10"/>
      <c r="AJ4561" s="10"/>
      <c r="AK4561" s="10"/>
      <c r="AL4561" s="10"/>
      <c r="AM4561" s="10"/>
      <c r="AN4561" s="10"/>
      <c r="AO4561" s="10"/>
      <c r="AP4561" s="10"/>
      <c r="AQ4561" s="10"/>
      <c r="AR4561" s="10"/>
      <c r="AS4561" s="10"/>
      <c r="AT4561" s="10"/>
      <c r="AU4561" s="10"/>
      <c r="AV4561" s="10"/>
      <c r="AW4561" s="10"/>
      <c r="AX4561" s="10"/>
      <c r="AY4561" s="10"/>
      <c r="AZ4561" s="10"/>
    </row>
    <row r="4562" spans="31:52">
      <c r="AE4562" s="10"/>
      <c r="AF4562" s="10"/>
      <c r="AG4562" s="10"/>
      <c r="AH4562" s="10"/>
      <c r="AI4562" s="10"/>
      <c r="AJ4562" s="10"/>
      <c r="AK4562" s="10"/>
      <c r="AL4562" s="10"/>
      <c r="AM4562" s="10"/>
      <c r="AN4562" s="10"/>
      <c r="AO4562" s="10"/>
      <c r="AP4562" s="10"/>
      <c r="AQ4562" s="10"/>
      <c r="AR4562" s="10"/>
      <c r="AS4562" s="10"/>
      <c r="AT4562" s="10"/>
      <c r="AU4562" s="10"/>
      <c r="AV4562" s="10"/>
      <c r="AW4562" s="10"/>
      <c r="AX4562" s="10"/>
      <c r="AY4562" s="10"/>
      <c r="AZ4562" s="10"/>
    </row>
    <row r="4563" spans="31:52">
      <c r="AE4563" s="10"/>
      <c r="AF4563" s="10"/>
      <c r="AG4563" s="10"/>
      <c r="AH4563" s="10"/>
      <c r="AI4563" s="10"/>
      <c r="AJ4563" s="10"/>
      <c r="AK4563" s="10"/>
      <c r="AL4563" s="10"/>
      <c r="AM4563" s="10"/>
      <c r="AN4563" s="10"/>
      <c r="AO4563" s="10"/>
      <c r="AP4563" s="10"/>
      <c r="AQ4563" s="10"/>
      <c r="AR4563" s="10"/>
      <c r="AS4563" s="10"/>
      <c r="AT4563" s="10"/>
      <c r="AU4563" s="10"/>
      <c r="AV4563" s="10"/>
      <c r="AW4563" s="10"/>
      <c r="AX4563" s="10"/>
      <c r="AY4563" s="10"/>
      <c r="AZ4563" s="10"/>
    </row>
    <row r="4564" spans="31:52">
      <c r="AE4564" s="10"/>
      <c r="AF4564" s="10"/>
      <c r="AG4564" s="10"/>
      <c r="AH4564" s="10"/>
      <c r="AI4564" s="10"/>
      <c r="AJ4564" s="10"/>
      <c r="AK4564" s="10"/>
      <c r="AL4564" s="10"/>
      <c r="AM4564" s="10"/>
      <c r="AN4564" s="10"/>
      <c r="AO4564" s="10"/>
      <c r="AP4564" s="10"/>
      <c r="AQ4564" s="10"/>
      <c r="AR4564" s="10"/>
      <c r="AS4564" s="10"/>
      <c r="AT4564" s="10"/>
      <c r="AU4564" s="10"/>
      <c r="AV4564" s="10"/>
      <c r="AW4564" s="10"/>
      <c r="AX4564" s="10"/>
      <c r="AY4564" s="10"/>
      <c r="AZ4564" s="10"/>
    </row>
    <row r="4565" spans="31:52">
      <c r="AE4565" s="10"/>
      <c r="AF4565" s="10"/>
      <c r="AG4565" s="10"/>
      <c r="AH4565" s="10"/>
      <c r="AI4565" s="10"/>
      <c r="AJ4565" s="10"/>
      <c r="AK4565" s="10"/>
      <c r="AL4565" s="10"/>
      <c r="AM4565" s="10"/>
      <c r="AN4565" s="10"/>
      <c r="AO4565" s="10"/>
      <c r="AP4565" s="10"/>
      <c r="AQ4565" s="10"/>
      <c r="AR4565" s="10"/>
      <c r="AS4565" s="10"/>
      <c r="AT4565" s="10"/>
      <c r="AU4565" s="10"/>
      <c r="AV4565" s="10"/>
      <c r="AW4565" s="10"/>
      <c r="AX4565" s="10"/>
      <c r="AY4565" s="10"/>
      <c r="AZ4565" s="10"/>
    </row>
    <row r="4566" spans="31:52">
      <c r="AE4566" s="10"/>
      <c r="AF4566" s="10"/>
      <c r="AG4566" s="10"/>
      <c r="AH4566" s="10"/>
      <c r="AI4566" s="10"/>
      <c r="AJ4566" s="10"/>
      <c r="AK4566" s="10"/>
      <c r="AL4566" s="10"/>
      <c r="AM4566" s="10"/>
      <c r="AN4566" s="10"/>
      <c r="AO4566" s="10"/>
      <c r="AP4566" s="10"/>
      <c r="AQ4566" s="10"/>
      <c r="AR4566" s="10"/>
      <c r="AS4566" s="10"/>
      <c r="AT4566" s="10"/>
      <c r="AU4566" s="10"/>
      <c r="AV4566" s="10"/>
      <c r="AW4566" s="10"/>
      <c r="AX4566" s="10"/>
      <c r="AY4566" s="10"/>
      <c r="AZ4566" s="10"/>
    </row>
    <row r="4567" spans="31:52">
      <c r="AE4567" s="10"/>
      <c r="AF4567" s="10"/>
      <c r="AG4567" s="10"/>
      <c r="AH4567" s="10"/>
      <c r="AI4567" s="10"/>
      <c r="AJ4567" s="10"/>
      <c r="AK4567" s="10"/>
      <c r="AL4567" s="10"/>
      <c r="AM4567" s="10"/>
      <c r="AN4567" s="10"/>
      <c r="AO4567" s="10"/>
      <c r="AP4567" s="10"/>
      <c r="AQ4567" s="10"/>
      <c r="AR4567" s="10"/>
      <c r="AS4567" s="10"/>
      <c r="AT4567" s="10"/>
      <c r="AU4567" s="10"/>
      <c r="AV4567" s="10"/>
      <c r="AW4567" s="10"/>
      <c r="AX4567" s="10"/>
      <c r="AY4567" s="10"/>
      <c r="AZ4567" s="10"/>
    </row>
    <row r="4568" spans="31:52">
      <c r="AE4568" s="10"/>
      <c r="AF4568" s="10"/>
      <c r="AG4568" s="10"/>
      <c r="AH4568" s="10"/>
      <c r="AI4568" s="10"/>
      <c r="AJ4568" s="10"/>
      <c r="AK4568" s="10"/>
      <c r="AL4568" s="10"/>
      <c r="AM4568" s="10"/>
      <c r="AN4568" s="10"/>
      <c r="AO4568" s="10"/>
      <c r="AP4568" s="10"/>
      <c r="AQ4568" s="10"/>
      <c r="AR4568" s="10"/>
      <c r="AS4568" s="10"/>
      <c r="AT4568" s="10"/>
      <c r="AU4568" s="10"/>
      <c r="AV4568" s="10"/>
      <c r="AW4568" s="10"/>
      <c r="AX4568" s="10"/>
      <c r="AY4568" s="10"/>
      <c r="AZ4568" s="10"/>
    </row>
    <row r="4569" spans="31:52">
      <c r="AE4569" s="10"/>
      <c r="AF4569" s="10"/>
      <c r="AG4569" s="10"/>
      <c r="AH4569" s="10"/>
      <c r="AI4569" s="10"/>
      <c r="AJ4569" s="10"/>
      <c r="AK4569" s="10"/>
      <c r="AL4569" s="10"/>
      <c r="AM4569" s="10"/>
      <c r="AN4569" s="10"/>
      <c r="AO4569" s="10"/>
      <c r="AP4569" s="10"/>
      <c r="AQ4569" s="10"/>
      <c r="AR4569" s="10"/>
      <c r="AS4569" s="10"/>
      <c r="AT4569" s="10"/>
      <c r="AU4569" s="10"/>
      <c r="AV4569" s="10"/>
      <c r="AW4569" s="10"/>
      <c r="AX4569" s="10"/>
      <c r="AY4569" s="10"/>
      <c r="AZ4569" s="10"/>
    </row>
    <row r="4570" spans="31:52">
      <c r="AE4570" s="10"/>
      <c r="AF4570" s="10"/>
      <c r="AG4570" s="10"/>
      <c r="AH4570" s="10"/>
      <c r="AI4570" s="10"/>
      <c r="AJ4570" s="10"/>
      <c r="AK4570" s="10"/>
      <c r="AL4570" s="10"/>
      <c r="AM4570" s="10"/>
      <c r="AN4570" s="10"/>
      <c r="AO4570" s="10"/>
      <c r="AP4570" s="10"/>
      <c r="AQ4570" s="10"/>
      <c r="AR4570" s="10"/>
      <c r="AS4570" s="10"/>
      <c r="AT4570" s="10"/>
      <c r="AU4570" s="10"/>
      <c r="AV4570" s="10"/>
      <c r="AW4570" s="10"/>
      <c r="AX4570" s="10"/>
      <c r="AY4570" s="10"/>
      <c r="AZ4570" s="10"/>
    </row>
    <row r="4571" spans="31:52">
      <c r="AE4571" s="10"/>
      <c r="AF4571" s="10"/>
      <c r="AG4571" s="10"/>
      <c r="AH4571" s="10"/>
      <c r="AI4571" s="10"/>
      <c r="AJ4571" s="10"/>
      <c r="AK4571" s="10"/>
      <c r="AL4571" s="10"/>
      <c r="AM4571" s="10"/>
      <c r="AN4571" s="10"/>
      <c r="AO4571" s="10"/>
      <c r="AP4571" s="10"/>
      <c r="AQ4571" s="10"/>
      <c r="AR4571" s="10"/>
      <c r="AS4571" s="10"/>
      <c r="AT4571" s="10"/>
      <c r="AU4571" s="10"/>
      <c r="AV4571" s="10"/>
      <c r="AW4571" s="10"/>
      <c r="AX4571" s="10"/>
      <c r="AY4571" s="10"/>
      <c r="AZ4571" s="10"/>
    </row>
    <row r="4572" spans="31:52">
      <c r="AE4572" s="10"/>
      <c r="AF4572" s="10"/>
      <c r="AG4572" s="10"/>
      <c r="AH4572" s="10"/>
      <c r="AI4572" s="10"/>
      <c r="AJ4572" s="10"/>
      <c r="AK4572" s="10"/>
      <c r="AL4572" s="10"/>
      <c r="AM4572" s="10"/>
      <c r="AN4572" s="10"/>
      <c r="AO4572" s="10"/>
      <c r="AP4572" s="10"/>
      <c r="AQ4572" s="10"/>
      <c r="AR4572" s="10"/>
      <c r="AS4572" s="10"/>
      <c r="AT4572" s="10"/>
      <c r="AU4572" s="10"/>
      <c r="AV4572" s="10"/>
      <c r="AW4572" s="10"/>
      <c r="AX4572" s="10"/>
      <c r="AY4572" s="10"/>
      <c r="AZ4572" s="10"/>
    </row>
    <row r="4573" spans="31:52">
      <c r="AE4573" s="10"/>
      <c r="AF4573" s="10"/>
      <c r="AG4573" s="10"/>
      <c r="AH4573" s="10"/>
      <c r="AI4573" s="10"/>
      <c r="AJ4573" s="10"/>
      <c r="AK4573" s="10"/>
      <c r="AL4573" s="10"/>
      <c r="AM4573" s="10"/>
      <c r="AN4573" s="10"/>
      <c r="AO4573" s="10"/>
      <c r="AP4573" s="10"/>
      <c r="AQ4573" s="10"/>
      <c r="AR4573" s="10"/>
      <c r="AS4573" s="10"/>
      <c r="AT4573" s="10"/>
      <c r="AU4573" s="10"/>
      <c r="AV4573" s="10"/>
      <c r="AW4573" s="10"/>
      <c r="AX4573" s="10"/>
      <c r="AY4573" s="10"/>
      <c r="AZ4573" s="10"/>
    </row>
    <row r="4574" spans="31:52">
      <c r="AE4574" s="10"/>
      <c r="AF4574" s="10"/>
      <c r="AG4574" s="10"/>
      <c r="AH4574" s="10"/>
      <c r="AI4574" s="10"/>
      <c r="AJ4574" s="10"/>
      <c r="AK4574" s="10"/>
      <c r="AL4574" s="10"/>
      <c r="AM4574" s="10"/>
      <c r="AN4574" s="10"/>
      <c r="AO4574" s="10"/>
      <c r="AP4574" s="10"/>
      <c r="AQ4574" s="10"/>
      <c r="AR4574" s="10"/>
      <c r="AS4574" s="10"/>
      <c r="AT4574" s="10"/>
      <c r="AU4574" s="10"/>
      <c r="AV4574" s="10"/>
      <c r="AW4574" s="10"/>
      <c r="AX4574" s="10"/>
      <c r="AY4574" s="10"/>
      <c r="AZ4574" s="10"/>
    </row>
    <row r="4575" spans="31:52">
      <c r="AE4575" s="10"/>
      <c r="AF4575" s="10"/>
      <c r="AG4575" s="10"/>
      <c r="AH4575" s="10"/>
      <c r="AI4575" s="10"/>
      <c r="AJ4575" s="10"/>
      <c r="AK4575" s="10"/>
      <c r="AL4575" s="10"/>
      <c r="AM4575" s="10"/>
      <c r="AN4575" s="10"/>
      <c r="AO4575" s="10"/>
      <c r="AP4575" s="10"/>
      <c r="AQ4575" s="10"/>
      <c r="AR4575" s="10"/>
      <c r="AS4575" s="10"/>
      <c r="AT4575" s="10"/>
      <c r="AU4575" s="10"/>
      <c r="AV4575" s="10"/>
      <c r="AW4575" s="10"/>
      <c r="AX4575" s="10"/>
      <c r="AY4575" s="10"/>
      <c r="AZ4575" s="10"/>
    </row>
    <row r="4576" spans="31:52">
      <c r="AE4576" s="10"/>
      <c r="AF4576" s="10"/>
      <c r="AG4576" s="10"/>
      <c r="AH4576" s="10"/>
      <c r="AI4576" s="10"/>
      <c r="AJ4576" s="10"/>
      <c r="AK4576" s="10"/>
      <c r="AL4576" s="10"/>
      <c r="AM4576" s="10"/>
      <c r="AN4576" s="10"/>
      <c r="AO4576" s="10"/>
      <c r="AP4576" s="10"/>
      <c r="AQ4576" s="10"/>
      <c r="AR4576" s="10"/>
      <c r="AS4576" s="10"/>
      <c r="AT4576" s="10"/>
      <c r="AU4576" s="10"/>
      <c r="AV4576" s="10"/>
      <c r="AW4576" s="10"/>
      <c r="AX4576" s="10"/>
      <c r="AY4576" s="10"/>
      <c r="AZ4576" s="10"/>
    </row>
    <row r="4577" spans="31:52">
      <c r="AE4577" s="10"/>
      <c r="AF4577" s="10"/>
      <c r="AG4577" s="10"/>
      <c r="AH4577" s="10"/>
      <c r="AI4577" s="10"/>
      <c r="AJ4577" s="10"/>
      <c r="AK4577" s="10"/>
      <c r="AL4577" s="10"/>
      <c r="AM4577" s="10"/>
      <c r="AN4577" s="10"/>
      <c r="AO4577" s="10"/>
      <c r="AP4577" s="10"/>
      <c r="AQ4577" s="10"/>
      <c r="AR4577" s="10"/>
      <c r="AS4577" s="10"/>
      <c r="AT4577" s="10"/>
      <c r="AU4577" s="10"/>
      <c r="AV4577" s="10"/>
      <c r="AW4577" s="10"/>
      <c r="AX4577" s="10"/>
      <c r="AY4577" s="10"/>
      <c r="AZ4577" s="10"/>
    </row>
    <row r="4578" spans="31:52">
      <c r="AE4578" s="10"/>
      <c r="AF4578" s="10"/>
      <c r="AG4578" s="10"/>
      <c r="AH4578" s="10"/>
      <c r="AI4578" s="10"/>
      <c r="AJ4578" s="10"/>
      <c r="AK4578" s="10"/>
      <c r="AL4578" s="10"/>
      <c r="AM4578" s="10"/>
      <c r="AN4578" s="10"/>
      <c r="AO4578" s="10"/>
      <c r="AP4578" s="10"/>
      <c r="AQ4578" s="10"/>
      <c r="AR4578" s="10"/>
      <c r="AS4578" s="10"/>
      <c r="AT4578" s="10"/>
      <c r="AU4578" s="10"/>
      <c r="AV4578" s="10"/>
      <c r="AW4578" s="10"/>
      <c r="AX4578" s="10"/>
      <c r="AY4578" s="10"/>
      <c r="AZ4578" s="10"/>
    </row>
    <row r="4579" spans="31:52">
      <c r="AE4579" s="10"/>
      <c r="AF4579" s="10"/>
      <c r="AG4579" s="10"/>
      <c r="AH4579" s="10"/>
      <c r="AI4579" s="10"/>
      <c r="AJ4579" s="10"/>
      <c r="AK4579" s="10"/>
      <c r="AL4579" s="10"/>
      <c r="AM4579" s="10"/>
      <c r="AN4579" s="10"/>
      <c r="AO4579" s="10"/>
      <c r="AP4579" s="10"/>
      <c r="AQ4579" s="10"/>
      <c r="AR4579" s="10"/>
      <c r="AS4579" s="10"/>
      <c r="AT4579" s="10"/>
      <c r="AU4579" s="10"/>
      <c r="AV4579" s="10"/>
      <c r="AW4579" s="10"/>
      <c r="AX4579" s="10"/>
      <c r="AY4579" s="10"/>
      <c r="AZ4579" s="10"/>
    </row>
    <row r="4580" spans="31:52">
      <c r="AE4580" s="10"/>
      <c r="AF4580" s="10"/>
      <c r="AG4580" s="10"/>
      <c r="AH4580" s="10"/>
      <c r="AI4580" s="10"/>
      <c r="AJ4580" s="10"/>
      <c r="AK4580" s="10"/>
      <c r="AL4580" s="10"/>
      <c r="AM4580" s="10"/>
      <c r="AN4580" s="10"/>
      <c r="AO4580" s="10"/>
      <c r="AP4580" s="10"/>
      <c r="AQ4580" s="10"/>
      <c r="AR4580" s="10"/>
      <c r="AS4580" s="10"/>
      <c r="AT4580" s="10"/>
      <c r="AU4580" s="10"/>
      <c r="AV4580" s="10"/>
      <c r="AW4580" s="10"/>
      <c r="AX4580" s="10"/>
      <c r="AY4580" s="10"/>
      <c r="AZ4580" s="10"/>
    </row>
    <row r="4581" spans="31:52">
      <c r="AE4581" s="10"/>
      <c r="AF4581" s="10"/>
      <c r="AG4581" s="10"/>
      <c r="AH4581" s="10"/>
      <c r="AI4581" s="10"/>
      <c r="AJ4581" s="10"/>
      <c r="AK4581" s="10"/>
      <c r="AL4581" s="10"/>
      <c r="AM4581" s="10"/>
      <c r="AN4581" s="10"/>
      <c r="AO4581" s="10"/>
      <c r="AP4581" s="10"/>
      <c r="AQ4581" s="10"/>
      <c r="AR4581" s="10"/>
      <c r="AS4581" s="10"/>
      <c r="AT4581" s="10"/>
      <c r="AU4581" s="10"/>
      <c r="AV4581" s="10"/>
      <c r="AW4581" s="10"/>
      <c r="AX4581" s="10"/>
      <c r="AY4581" s="10"/>
      <c r="AZ4581" s="10"/>
    </row>
    <row r="4582" spans="31:52">
      <c r="AE4582" s="10"/>
      <c r="AF4582" s="10"/>
      <c r="AG4582" s="10"/>
      <c r="AH4582" s="10"/>
      <c r="AI4582" s="10"/>
      <c r="AJ4582" s="10"/>
      <c r="AK4582" s="10"/>
      <c r="AL4582" s="10"/>
      <c r="AM4582" s="10"/>
      <c r="AN4582" s="10"/>
      <c r="AO4582" s="10"/>
      <c r="AP4582" s="10"/>
      <c r="AQ4582" s="10"/>
      <c r="AR4582" s="10"/>
      <c r="AS4582" s="10"/>
      <c r="AT4582" s="10"/>
      <c r="AU4582" s="10"/>
      <c r="AV4582" s="10"/>
      <c r="AW4582" s="10"/>
      <c r="AX4582" s="10"/>
      <c r="AY4582" s="10"/>
      <c r="AZ4582" s="10"/>
    </row>
    <row r="4583" spans="31:52">
      <c r="AE4583" s="10"/>
      <c r="AF4583" s="10"/>
      <c r="AG4583" s="10"/>
      <c r="AH4583" s="10"/>
      <c r="AI4583" s="10"/>
      <c r="AJ4583" s="10"/>
      <c r="AK4583" s="10"/>
      <c r="AL4583" s="10"/>
      <c r="AM4583" s="10"/>
      <c r="AN4583" s="10"/>
      <c r="AO4583" s="10"/>
      <c r="AP4583" s="10"/>
      <c r="AQ4583" s="10"/>
      <c r="AR4583" s="10"/>
      <c r="AS4583" s="10"/>
      <c r="AT4583" s="10"/>
      <c r="AU4583" s="10"/>
      <c r="AV4583" s="10"/>
      <c r="AW4583" s="10"/>
      <c r="AX4583" s="10"/>
      <c r="AY4583" s="10"/>
      <c r="AZ4583" s="10"/>
    </row>
    <row r="4584" spans="31:52">
      <c r="AE4584" s="10"/>
      <c r="AF4584" s="10"/>
      <c r="AG4584" s="10"/>
      <c r="AH4584" s="10"/>
      <c r="AI4584" s="10"/>
      <c r="AJ4584" s="10"/>
      <c r="AK4584" s="10"/>
      <c r="AL4584" s="10"/>
      <c r="AM4584" s="10"/>
      <c r="AN4584" s="10"/>
      <c r="AO4584" s="10"/>
      <c r="AP4584" s="10"/>
      <c r="AQ4584" s="10"/>
      <c r="AR4584" s="10"/>
      <c r="AS4584" s="10"/>
      <c r="AT4584" s="10"/>
      <c r="AU4584" s="10"/>
      <c r="AV4584" s="10"/>
      <c r="AW4584" s="10"/>
      <c r="AX4584" s="10"/>
      <c r="AY4584" s="10"/>
      <c r="AZ4584" s="10"/>
    </row>
    <row r="4585" spans="31:52">
      <c r="AE4585" s="10"/>
      <c r="AF4585" s="10"/>
      <c r="AG4585" s="10"/>
      <c r="AH4585" s="10"/>
      <c r="AI4585" s="10"/>
      <c r="AJ4585" s="10"/>
      <c r="AK4585" s="10"/>
      <c r="AL4585" s="10"/>
      <c r="AM4585" s="10"/>
      <c r="AN4585" s="10"/>
      <c r="AO4585" s="10"/>
      <c r="AP4585" s="10"/>
      <c r="AQ4585" s="10"/>
      <c r="AR4585" s="10"/>
      <c r="AS4585" s="10"/>
      <c r="AT4585" s="10"/>
      <c r="AU4585" s="10"/>
      <c r="AV4585" s="10"/>
      <c r="AW4585" s="10"/>
      <c r="AX4585" s="10"/>
      <c r="AY4585" s="10"/>
      <c r="AZ4585" s="10"/>
    </row>
    <row r="4586" spans="31:52">
      <c r="AE4586" s="10"/>
      <c r="AF4586" s="10"/>
      <c r="AG4586" s="10"/>
      <c r="AH4586" s="10"/>
      <c r="AI4586" s="10"/>
      <c r="AJ4586" s="10"/>
      <c r="AK4586" s="10"/>
      <c r="AL4586" s="10"/>
      <c r="AM4586" s="10"/>
      <c r="AN4586" s="10"/>
      <c r="AO4586" s="10"/>
      <c r="AP4586" s="10"/>
      <c r="AQ4586" s="10"/>
      <c r="AR4586" s="10"/>
      <c r="AS4586" s="10"/>
      <c r="AT4586" s="10"/>
      <c r="AU4586" s="10"/>
      <c r="AV4586" s="10"/>
      <c r="AW4586" s="10"/>
      <c r="AX4586" s="10"/>
      <c r="AY4586" s="10"/>
      <c r="AZ4586" s="10"/>
    </row>
    <row r="4587" spans="31:52">
      <c r="AE4587" s="10"/>
      <c r="AF4587" s="10"/>
      <c r="AG4587" s="10"/>
      <c r="AH4587" s="10"/>
      <c r="AI4587" s="10"/>
      <c r="AJ4587" s="10"/>
      <c r="AK4587" s="10"/>
      <c r="AL4587" s="10"/>
      <c r="AM4587" s="10"/>
      <c r="AN4587" s="10"/>
      <c r="AO4587" s="10"/>
      <c r="AP4587" s="10"/>
      <c r="AQ4587" s="10"/>
      <c r="AR4587" s="10"/>
      <c r="AS4587" s="10"/>
      <c r="AT4587" s="10"/>
      <c r="AU4587" s="10"/>
      <c r="AV4587" s="10"/>
      <c r="AW4587" s="10"/>
      <c r="AX4587" s="10"/>
      <c r="AY4587" s="10"/>
      <c r="AZ4587" s="10"/>
    </row>
    <row r="4588" spans="31:52">
      <c r="AE4588" s="10"/>
      <c r="AF4588" s="10"/>
      <c r="AG4588" s="10"/>
      <c r="AH4588" s="10"/>
      <c r="AI4588" s="10"/>
      <c r="AJ4588" s="10"/>
      <c r="AK4588" s="10"/>
      <c r="AL4588" s="10"/>
      <c r="AM4588" s="10"/>
      <c r="AN4588" s="10"/>
      <c r="AO4588" s="10"/>
      <c r="AP4588" s="10"/>
      <c r="AQ4588" s="10"/>
      <c r="AR4588" s="10"/>
      <c r="AS4588" s="10"/>
      <c r="AT4588" s="10"/>
      <c r="AU4588" s="10"/>
      <c r="AV4588" s="10"/>
      <c r="AW4588" s="10"/>
      <c r="AX4588" s="10"/>
      <c r="AY4588" s="10"/>
      <c r="AZ4588" s="10"/>
    </row>
    <row r="4589" spans="31:52">
      <c r="AE4589" s="10"/>
      <c r="AF4589" s="10"/>
      <c r="AG4589" s="10"/>
      <c r="AH4589" s="10"/>
      <c r="AI4589" s="10"/>
      <c r="AJ4589" s="10"/>
      <c r="AK4589" s="10"/>
      <c r="AL4589" s="10"/>
      <c r="AM4589" s="10"/>
      <c r="AN4589" s="10"/>
      <c r="AO4589" s="10"/>
      <c r="AP4589" s="10"/>
      <c r="AQ4589" s="10"/>
      <c r="AR4589" s="10"/>
      <c r="AS4589" s="10"/>
      <c r="AT4589" s="10"/>
      <c r="AU4589" s="10"/>
      <c r="AV4589" s="10"/>
      <c r="AW4589" s="10"/>
      <c r="AX4589" s="10"/>
      <c r="AY4589" s="10"/>
      <c r="AZ4589" s="10"/>
    </row>
    <row r="4590" spans="31:52">
      <c r="AE4590" s="10"/>
      <c r="AF4590" s="10"/>
      <c r="AG4590" s="10"/>
      <c r="AH4590" s="10"/>
      <c r="AI4590" s="10"/>
      <c r="AJ4590" s="10"/>
      <c r="AK4590" s="10"/>
      <c r="AL4590" s="10"/>
      <c r="AM4590" s="10"/>
      <c r="AN4590" s="10"/>
      <c r="AO4590" s="10"/>
      <c r="AP4590" s="10"/>
      <c r="AQ4590" s="10"/>
      <c r="AR4590" s="10"/>
      <c r="AS4590" s="10"/>
      <c r="AT4590" s="10"/>
      <c r="AU4590" s="10"/>
      <c r="AV4590" s="10"/>
      <c r="AW4590" s="10"/>
      <c r="AX4590" s="10"/>
      <c r="AY4590" s="10"/>
      <c r="AZ4590" s="10"/>
    </row>
    <row r="4591" spans="31:52">
      <c r="AE4591" s="10"/>
      <c r="AF4591" s="10"/>
      <c r="AG4591" s="10"/>
      <c r="AH4591" s="10"/>
      <c r="AI4591" s="10"/>
      <c r="AJ4591" s="10"/>
      <c r="AK4591" s="10"/>
      <c r="AL4591" s="10"/>
      <c r="AM4591" s="10"/>
      <c r="AN4591" s="10"/>
      <c r="AO4591" s="10"/>
      <c r="AP4591" s="10"/>
      <c r="AQ4591" s="10"/>
      <c r="AR4591" s="10"/>
      <c r="AS4591" s="10"/>
      <c r="AT4591" s="10"/>
      <c r="AU4591" s="10"/>
      <c r="AV4591" s="10"/>
      <c r="AW4591" s="10"/>
      <c r="AX4591" s="10"/>
      <c r="AY4591" s="10"/>
      <c r="AZ4591" s="10"/>
    </row>
    <row r="4592" spans="31:52">
      <c r="AE4592" s="10"/>
      <c r="AF4592" s="10"/>
      <c r="AG4592" s="10"/>
      <c r="AH4592" s="10"/>
      <c r="AI4592" s="10"/>
      <c r="AJ4592" s="10"/>
      <c r="AK4592" s="10"/>
      <c r="AL4592" s="10"/>
      <c r="AM4592" s="10"/>
      <c r="AN4592" s="10"/>
      <c r="AO4592" s="10"/>
      <c r="AP4592" s="10"/>
      <c r="AQ4592" s="10"/>
      <c r="AR4592" s="10"/>
      <c r="AS4592" s="10"/>
      <c r="AT4592" s="10"/>
      <c r="AU4592" s="10"/>
      <c r="AV4592" s="10"/>
      <c r="AW4592" s="10"/>
      <c r="AX4592" s="10"/>
      <c r="AY4592" s="10"/>
      <c r="AZ4592" s="10"/>
    </row>
    <row r="4593" spans="31:52">
      <c r="AE4593" s="10"/>
      <c r="AF4593" s="10"/>
      <c r="AG4593" s="10"/>
      <c r="AH4593" s="10"/>
      <c r="AI4593" s="10"/>
      <c r="AJ4593" s="10"/>
      <c r="AK4593" s="10"/>
      <c r="AL4593" s="10"/>
      <c r="AM4593" s="10"/>
      <c r="AN4593" s="10"/>
      <c r="AO4593" s="10"/>
      <c r="AP4593" s="10"/>
      <c r="AQ4593" s="10"/>
      <c r="AR4593" s="10"/>
      <c r="AS4593" s="10"/>
      <c r="AT4593" s="10"/>
      <c r="AU4593" s="10"/>
      <c r="AV4593" s="10"/>
      <c r="AW4593" s="10"/>
      <c r="AX4593" s="10"/>
      <c r="AY4593" s="10"/>
      <c r="AZ4593" s="10"/>
    </row>
    <row r="4594" spans="31:52">
      <c r="AE4594" s="10"/>
      <c r="AF4594" s="10"/>
      <c r="AG4594" s="10"/>
      <c r="AH4594" s="10"/>
      <c r="AI4594" s="10"/>
      <c r="AJ4594" s="10"/>
      <c r="AK4594" s="10"/>
      <c r="AL4594" s="10"/>
      <c r="AM4594" s="10"/>
      <c r="AN4594" s="10"/>
      <c r="AO4594" s="10"/>
      <c r="AP4594" s="10"/>
      <c r="AQ4594" s="10"/>
      <c r="AR4594" s="10"/>
      <c r="AS4594" s="10"/>
      <c r="AT4594" s="10"/>
      <c r="AU4594" s="10"/>
      <c r="AV4594" s="10"/>
      <c r="AW4594" s="10"/>
      <c r="AX4594" s="10"/>
      <c r="AY4594" s="10"/>
      <c r="AZ4594" s="10"/>
    </row>
    <row r="4595" spans="31:52">
      <c r="AE4595" s="10"/>
      <c r="AF4595" s="10"/>
      <c r="AG4595" s="10"/>
      <c r="AH4595" s="10"/>
      <c r="AI4595" s="10"/>
      <c r="AJ4595" s="10"/>
      <c r="AK4595" s="10"/>
      <c r="AL4595" s="10"/>
      <c r="AM4595" s="10"/>
      <c r="AN4595" s="10"/>
      <c r="AO4595" s="10"/>
      <c r="AP4595" s="10"/>
      <c r="AQ4595" s="10"/>
      <c r="AR4595" s="10"/>
      <c r="AS4595" s="10"/>
      <c r="AT4595" s="10"/>
      <c r="AU4595" s="10"/>
      <c r="AV4595" s="10"/>
      <c r="AW4595" s="10"/>
      <c r="AX4595" s="10"/>
      <c r="AY4595" s="10"/>
      <c r="AZ4595" s="10"/>
    </row>
    <row r="4596" spans="31:52">
      <c r="AE4596" s="10"/>
      <c r="AF4596" s="10"/>
      <c r="AG4596" s="10"/>
      <c r="AH4596" s="10"/>
      <c r="AI4596" s="10"/>
      <c r="AJ4596" s="10"/>
      <c r="AK4596" s="10"/>
      <c r="AL4596" s="10"/>
      <c r="AM4596" s="10"/>
      <c r="AN4596" s="10"/>
      <c r="AO4596" s="10"/>
      <c r="AP4596" s="10"/>
      <c r="AQ4596" s="10"/>
      <c r="AR4596" s="10"/>
      <c r="AS4596" s="10"/>
      <c r="AT4596" s="10"/>
      <c r="AU4596" s="10"/>
      <c r="AV4596" s="10"/>
      <c r="AW4596" s="10"/>
      <c r="AX4596" s="10"/>
      <c r="AY4596" s="10"/>
      <c r="AZ4596" s="10"/>
    </row>
    <row r="4597" spans="31:52">
      <c r="AE4597" s="10"/>
      <c r="AF4597" s="10"/>
      <c r="AG4597" s="10"/>
      <c r="AH4597" s="10"/>
      <c r="AI4597" s="10"/>
      <c r="AJ4597" s="10"/>
      <c r="AK4597" s="10"/>
      <c r="AL4597" s="10"/>
      <c r="AM4597" s="10"/>
      <c r="AN4597" s="10"/>
      <c r="AO4597" s="10"/>
      <c r="AP4597" s="10"/>
      <c r="AQ4597" s="10"/>
      <c r="AR4597" s="10"/>
      <c r="AS4597" s="10"/>
      <c r="AT4597" s="10"/>
      <c r="AU4597" s="10"/>
      <c r="AV4597" s="10"/>
      <c r="AW4597" s="10"/>
      <c r="AX4597" s="10"/>
      <c r="AY4597" s="10"/>
      <c r="AZ4597" s="10"/>
    </row>
    <row r="4598" spans="31:52">
      <c r="AE4598" s="10"/>
      <c r="AF4598" s="10"/>
      <c r="AG4598" s="10"/>
      <c r="AH4598" s="10"/>
      <c r="AI4598" s="10"/>
      <c r="AJ4598" s="10"/>
      <c r="AK4598" s="10"/>
      <c r="AL4598" s="10"/>
      <c r="AM4598" s="10"/>
      <c r="AN4598" s="10"/>
      <c r="AO4598" s="10"/>
      <c r="AP4598" s="10"/>
      <c r="AQ4598" s="10"/>
      <c r="AR4598" s="10"/>
      <c r="AS4598" s="10"/>
      <c r="AT4598" s="10"/>
      <c r="AU4598" s="10"/>
      <c r="AV4598" s="10"/>
      <c r="AW4598" s="10"/>
      <c r="AX4598" s="10"/>
      <c r="AY4598" s="10"/>
      <c r="AZ4598" s="10"/>
    </row>
    <row r="4599" spans="31:52">
      <c r="AE4599" s="10"/>
      <c r="AF4599" s="10"/>
      <c r="AG4599" s="10"/>
      <c r="AH4599" s="10"/>
      <c r="AI4599" s="10"/>
      <c r="AJ4599" s="10"/>
      <c r="AK4599" s="10"/>
      <c r="AL4599" s="10"/>
      <c r="AM4599" s="10"/>
      <c r="AN4599" s="10"/>
      <c r="AO4599" s="10"/>
      <c r="AP4599" s="10"/>
      <c r="AQ4599" s="10"/>
      <c r="AR4599" s="10"/>
      <c r="AS4599" s="10"/>
      <c r="AT4599" s="10"/>
      <c r="AU4599" s="10"/>
      <c r="AV4599" s="10"/>
      <c r="AW4599" s="10"/>
      <c r="AX4599" s="10"/>
      <c r="AY4599" s="10"/>
      <c r="AZ4599" s="10"/>
    </row>
    <row r="4600" spans="31:52">
      <c r="AE4600" s="10"/>
      <c r="AF4600" s="10"/>
      <c r="AG4600" s="10"/>
      <c r="AH4600" s="10"/>
      <c r="AI4600" s="10"/>
      <c r="AJ4600" s="10"/>
      <c r="AK4600" s="10"/>
      <c r="AL4600" s="10"/>
      <c r="AM4600" s="10"/>
      <c r="AN4600" s="10"/>
      <c r="AO4600" s="10"/>
      <c r="AP4600" s="10"/>
      <c r="AQ4600" s="10"/>
      <c r="AR4600" s="10"/>
      <c r="AS4600" s="10"/>
      <c r="AT4600" s="10"/>
      <c r="AU4600" s="10"/>
      <c r="AV4600" s="10"/>
      <c r="AW4600" s="10"/>
      <c r="AX4600" s="10"/>
      <c r="AY4600" s="10"/>
      <c r="AZ4600" s="10"/>
    </row>
    <row r="4601" spans="31:52">
      <c r="AE4601" s="10"/>
      <c r="AF4601" s="10"/>
      <c r="AG4601" s="10"/>
      <c r="AH4601" s="10"/>
      <c r="AI4601" s="10"/>
      <c r="AJ4601" s="10"/>
      <c r="AK4601" s="10"/>
      <c r="AL4601" s="10"/>
      <c r="AM4601" s="10"/>
      <c r="AN4601" s="10"/>
      <c r="AO4601" s="10"/>
      <c r="AP4601" s="10"/>
      <c r="AQ4601" s="10"/>
      <c r="AR4601" s="10"/>
      <c r="AS4601" s="10"/>
      <c r="AT4601" s="10"/>
      <c r="AU4601" s="10"/>
      <c r="AV4601" s="10"/>
      <c r="AW4601" s="10"/>
      <c r="AX4601" s="10"/>
      <c r="AY4601" s="10"/>
      <c r="AZ4601" s="10"/>
    </row>
    <row r="4602" spans="31:52">
      <c r="AE4602" s="10"/>
      <c r="AF4602" s="10"/>
      <c r="AG4602" s="10"/>
      <c r="AH4602" s="10"/>
      <c r="AI4602" s="10"/>
      <c r="AJ4602" s="10"/>
      <c r="AK4602" s="10"/>
      <c r="AL4602" s="10"/>
      <c r="AM4602" s="10"/>
      <c r="AN4602" s="10"/>
      <c r="AO4602" s="10"/>
      <c r="AP4602" s="10"/>
      <c r="AQ4602" s="10"/>
      <c r="AR4602" s="10"/>
      <c r="AS4602" s="10"/>
      <c r="AT4602" s="10"/>
      <c r="AU4602" s="10"/>
      <c r="AV4602" s="10"/>
      <c r="AW4602" s="10"/>
      <c r="AX4602" s="10"/>
      <c r="AY4602" s="10"/>
      <c r="AZ4602" s="10"/>
    </row>
    <row r="4603" spans="31:52">
      <c r="AE4603" s="10"/>
      <c r="AF4603" s="10"/>
      <c r="AG4603" s="10"/>
      <c r="AH4603" s="10"/>
      <c r="AI4603" s="10"/>
      <c r="AJ4603" s="10"/>
      <c r="AK4603" s="10"/>
      <c r="AL4603" s="10"/>
      <c r="AM4603" s="10"/>
      <c r="AN4603" s="10"/>
      <c r="AO4603" s="10"/>
      <c r="AP4603" s="10"/>
      <c r="AQ4603" s="10"/>
      <c r="AR4603" s="10"/>
      <c r="AS4603" s="10"/>
      <c r="AT4603" s="10"/>
      <c r="AU4603" s="10"/>
      <c r="AV4603" s="10"/>
      <c r="AW4603" s="10"/>
      <c r="AX4603" s="10"/>
      <c r="AY4603" s="10"/>
      <c r="AZ4603" s="10"/>
    </row>
    <row r="4604" spans="31:52">
      <c r="AE4604" s="10"/>
      <c r="AF4604" s="10"/>
      <c r="AG4604" s="10"/>
      <c r="AH4604" s="10"/>
      <c r="AI4604" s="10"/>
      <c r="AJ4604" s="10"/>
      <c r="AK4604" s="10"/>
      <c r="AL4604" s="10"/>
      <c r="AM4604" s="10"/>
      <c r="AN4604" s="10"/>
      <c r="AO4604" s="10"/>
      <c r="AP4604" s="10"/>
      <c r="AQ4604" s="10"/>
      <c r="AR4604" s="10"/>
      <c r="AS4604" s="10"/>
      <c r="AT4604" s="10"/>
      <c r="AU4604" s="10"/>
      <c r="AV4604" s="10"/>
      <c r="AW4604" s="10"/>
      <c r="AX4604" s="10"/>
      <c r="AY4604" s="10"/>
      <c r="AZ4604" s="10"/>
    </row>
    <row r="4605" spans="31:52">
      <c r="AE4605" s="10"/>
      <c r="AF4605" s="10"/>
      <c r="AG4605" s="10"/>
      <c r="AH4605" s="10"/>
      <c r="AI4605" s="10"/>
      <c r="AJ4605" s="10"/>
      <c r="AK4605" s="10"/>
      <c r="AL4605" s="10"/>
      <c r="AM4605" s="10"/>
      <c r="AN4605" s="10"/>
      <c r="AO4605" s="10"/>
      <c r="AP4605" s="10"/>
      <c r="AQ4605" s="10"/>
      <c r="AR4605" s="10"/>
      <c r="AS4605" s="10"/>
      <c r="AT4605" s="10"/>
      <c r="AU4605" s="10"/>
      <c r="AV4605" s="10"/>
      <c r="AW4605" s="10"/>
      <c r="AX4605" s="10"/>
      <c r="AY4605" s="10"/>
      <c r="AZ4605" s="10"/>
    </row>
    <row r="4606" spans="31:52">
      <c r="AE4606" s="10"/>
      <c r="AF4606" s="10"/>
      <c r="AG4606" s="10"/>
      <c r="AH4606" s="10"/>
      <c r="AI4606" s="10"/>
      <c r="AJ4606" s="10"/>
      <c r="AK4606" s="10"/>
      <c r="AL4606" s="10"/>
      <c r="AM4606" s="10"/>
      <c r="AN4606" s="10"/>
      <c r="AO4606" s="10"/>
      <c r="AP4606" s="10"/>
      <c r="AQ4606" s="10"/>
      <c r="AR4606" s="10"/>
      <c r="AS4606" s="10"/>
      <c r="AT4606" s="10"/>
      <c r="AU4606" s="10"/>
      <c r="AV4606" s="10"/>
      <c r="AW4606" s="10"/>
      <c r="AX4606" s="10"/>
      <c r="AY4606" s="10"/>
      <c r="AZ4606" s="10"/>
    </row>
    <row r="4607" spans="31:52">
      <c r="AE4607" s="10"/>
      <c r="AF4607" s="10"/>
      <c r="AG4607" s="10"/>
      <c r="AH4607" s="10"/>
      <c r="AI4607" s="10"/>
      <c r="AJ4607" s="10"/>
      <c r="AK4607" s="10"/>
      <c r="AL4607" s="10"/>
      <c r="AM4607" s="10"/>
      <c r="AN4607" s="10"/>
      <c r="AO4607" s="10"/>
      <c r="AP4607" s="10"/>
      <c r="AQ4607" s="10"/>
      <c r="AR4607" s="10"/>
      <c r="AS4607" s="10"/>
      <c r="AT4607" s="10"/>
      <c r="AU4607" s="10"/>
      <c r="AV4607" s="10"/>
      <c r="AW4607" s="10"/>
      <c r="AX4607" s="10"/>
      <c r="AY4607" s="10"/>
      <c r="AZ4607" s="10"/>
    </row>
    <row r="4608" spans="31:52">
      <c r="AE4608" s="10"/>
      <c r="AF4608" s="10"/>
      <c r="AG4608" s="10"/>
      <c r="AH4608" s="10"/>
      <c r="AI4608" s="10"/>
      <c r="AJ4608" s="10"/>
      <c r="AK4608" s="10"/>
      <c r="AL4608" s="10"/>
      <c r="AM4608" s="10"/>
      <c r="AN4608" s="10"/>
      <c r="AO4608" s="10"/>
      <c r="AP4608" s="10"/>
      <c r="AQ4608" s="10"/>
      <c r="AR4608" s="10"/>
      <c r="AS4608" s="10"/>
      <c r="AT4608" s="10"/>
      <c r="AU4608" s="10"/>
      <c r="AV4608" s="10"/>
      <c r="AW4608" s="10"/>
      <c r="AX4608" s="10"/>
      <c r="AY4608" s="10"/>
      <c r="AZ4608" s="10"/>
    </row>
    <row r="4609" spans="31:52">
      <c r="AE4609" s="10"/>
      <c r="AF4609" s="10"/>
      <c r="AG4609" s="10"/>
      <c r="AH4609" s="10"/>
      <c r="AI4609" s="10"/>
      <c r="AJ4609" s="10"/>
      <c r="AK4609" s="10"/>
      <c r="AL4609" s="10"/>
      <c r="AM4609" s="10"/>
      <c r="AN4609" s="10"/>
      <c r="AO4609" s="10"/>
      <c r="AP4609" s="10"/>
      <c r="AQ4609" s="10"/>
      <c r="AR4609" s="10"/>
      <c r="AS4609" s="10"/>
      <c r="AT4609" s="10"/>
      <c r="AU4609" s="10"/>
      <c r="AV4609" s="10"/>
      <c r="AW4609" s="10"/>
      <c r="AX4609" s="10"/>
      <c r="AY4609" s="10"/>
      <c r="AZ4609" s="10"/>
    </row>
    <row r="4610" spans="31:52">
      <c r="AE4610" s="10"/>
      <c r="AF4610" s="10"/>
      <c r="AG4610" s="10"/>
      <c r="AH4610" s="10"/>
      <c r="AI4610" s="10"/>
      <c r="AJ4610" s="10"/>
      <c r="AK4610" s="10"/>
      <c r="AL4610" s="10"/>
      <c r="AM4610" s="10"/>
      <c r="AN4610" s="10"/>
      <c r="AO4610" s="10"/>
      <c r="AP4610" s="10"/>
      <c r="AQ4610" s="10"/>
      <c r="AR4610" s="10"/>
      <c r="AS4610" s="10"/>
      <c r="AT4610" s="10"/>
      <c r="AU4610" s="10"/>
      <c r="AV4610" s="10"/>
      <c r="AW4610" s="10"/>
      <c r="AX4610" s="10"/>
      <c r="AY4610" s="10"/>
      <c r="AZ4610" s="10"/>
    </row>
    <row r="4611" spans="31:52">
      <c r="AE4611" s="10"/>
      <c r="AF4611" s="10"/>
      <c r="AG4611" s="10"/>
      <c r="AH4611" s="10"/>
      <c r="AI4611" s="10"/>
      <c r="AJ4611" s="10"/>
      <c r="AK4611" s="10"/>
      <c r="AL4611" s="10"/>
      <c r="AM4611" s="10"/>
      <c r="AN4611" s="10"/>
      <c r="AO4611" s="10"/>
      <c r="AP4611" s="10"/>
      <c r="AQ4611" s="10"/>
      <c r="AR4611" s="10"/>
      <c r="AS4611" s="10"/>
      <c r="AT4611" s="10"/>
      <c r="AU4611" s="10"/>
      <c r="AV4611" s="10"/>
      <c r="AW4611" s="10"/>
      <c r="AX4611" s="10"/>
      <c r="AY4611" s="10"/>
      <c r="AZ4611" s="10"/>
    </row>
    <row r="4612" spans="31:52">
      <c r="AE4612" s="10"/>
      <c r="AF4612" s="10"/>
      <c r="AG4612" s="10"/>
      <c r="AH4612" s="10"/>
      <c r="AI4612" s="10"/>
      <c r="AJ4612" s="10"/>
      <c r="AK4612" s="10"/>
      <c r="AL4612" s="10"/>
      <c r="AM4612" s="10"/>
      <c r="AN4612" s="10"/>
      <c r="AO4612" s="10"/>
      <c r="AP4612" s="10"/>
      <c r="AQ4612" s="10"/>
      <c r="AR4612" s="10"/>
      <c r="AS4612" s="10"/>
      <c r="AT4612" s="10"/>
      <c r="AU4612" s="10"/>
      <c r="AV4612" s="10"/>
      <c r="AW4612" s="10"/>
      <c r="AX4612" s="10"/>
      <c r="AY4612" s="10"/>
      <c r="AZ4612" s="10"/>
    </row>
    <row r="4613" spans="31:52">
      <c r="AE4613" s="10"/>
      <c r="AF4613" s="10"/>
      <c r="AG4613" s="10"/>
      <c r="AH4613" s="10"/>
      <c r="AI4613" s="10"/>
      <c r="AJ4613" s="10"/>
      <c r="AK4613" s="10"/>
      <c r="AL4613" s="10"/>
      <c r="AM4613" s="10"/>
      <c r="AN4613" s="10"/>
      <c r="AO4613" s="10"/>
      <c r="AP4613" s="10"/>
      <c r="AQ4613" s="10"/>
      <c r="AR4613" s="10"/>
      <c r="AS4613" s="10"/>
      <c r="AT4613" s="10"/>
      <c r="AU4613" s="10"/>
      <c r="AV4613" s="10"/>
      <c r="AW4613" s="10"/>
      <c r="AX4613" s="10"/>
      <c r="AY4613" s="10"/>
      <c r="AZ4613" s="10"/>
    </row>
    <row r="4614" spans="31:52">
      <c r="AE4614" s="10"/>
      <c r="AF4614" s="10"/>
      <c r="AG4614" s="10"/>
      <c r="AH4614" s="10"/>
      <c r="AI4614" s="10"/>
      <c r="AJ4614" s="10"/>
      <c r="AK4614" s="10"/>
      <c r="AL4614" s="10"/>
      <c r="AM4614" s="10"/>
      <c r="AN4614" s="10"/>
      <c r="AO4614" s="10"/>
      <c r="AP4614" s="10"/>
      <c r="AQ4614" s="10"/>
      <c r="AR4614" s="10"/>
      <c r="AS4614" s="10"/>
      <c r="AT4614" s="10"/>
      <c r="AU4614" s="10"/>
      <c r="AV4614" s="10"/>
      <c r="AW4614" s="10"/>
      <c r="AX4614" s="10"/>
      <c r="AY4614" s="10"/>
      <c r="AZ4614" s="10"/>
    </row>
    <row r="4615" spans="31:52">
      <c r="AE4615" s="10"/>
      <c r="AF4615" s="10"/>
      <c r="AG4615" s="10"/>
      <c r="AH4615" s="10"/>
      <c r="AI4615" s="10"/>
      <c r="AJ4615" s="10"/>
      <c r="AK4615" s="10"/>
      <c r="AL4615" s="10"/>
      <c r="AM4615" s="10"/>
      <c r="AN4615" s="10"/>
      <c r="AO4615" s="10"/>
      <c r="AP4615" s="10"/>
      <c r="AQ4615" s="10"/>
      <c r="AR4615" s="10"/>
      <c r="AS4615" s="10"/>
      <c r="AT4615" s="10"/>
      <c r="AU4615" s="10"/>
      <c r="AV4615" s="10"/>
      <c r="AW4615" s="10"/>
      <c r="AX4615" s="10"/>
      <c r="AY4615" s="10"/>
      <c r="AZ4615" s="10"/>
    </row>
    <row r="4616" spans="31:52">
      <c r="AE4616" s="10"/>
      <c r="AF4616" s="10"/>
      <c r="AG4616" s="10"/>
      <c r="AH4616" s="10"/>
      <c r="AI4616" s="10"/>
      <c r="AJ4616" s="10"/>
      <c r="AK4616" s="10"/>
      <c r="AL4616" s="10"/>
      <c r="AM4616" s="10"/>
      <c r="AN4616" s="10"/>
      <c r="AO4616" s="10"/>
      <c r="AP4616" s="10"/>
      <c r="AQ4616" s="10"/>
      <c r="AR4616" s="10"/>
      <c r="AS4616" s="10"/>
      <c r="AT4616" s="10"/>
      <c r="AU4616" s="10"/>
      <c r="AV4616" s="10"/>
      <c r="AW4616" s="10"/>
      <c r="AX4616" s="10"/>
      <c r="AY4616" s="10"/>
      <c r="AZ4616" s="10"/>
    </row>
    <row r="4617" spans="31:52">
      <c r="AE4617" s="10"/>
      <c r="AF4617" s="10"/>
      <c r="AG4617" s="10"/>
      <c r="AH4617" s="10"/>
      <c r="AI4617" s="10"/>
      <c r="AJ4617" s="10"/>
      <c r="AK4617" s="10"/>
      <c r="AL4617" s="10"/>
      <c r="AM4617" s="10"/>
      <c r="AN4617" s="10"/>
      <c r="AO4617" s="10"/>
      <c r="AP4617" s="10"/>
      <c r="AQ4617" s="10"/>
      <c r="AR4617" s="10"/>
      <c r="AS4617" s="10"/>
      <c r="AT4617" s="10"/>
      <c r="AU4617" s="10"/>
      <c r="AV4617" s="10"/>
      <c r="AW4617" s="10"/>
      <c r="AX4617" s="10"/>
      <c r="AY4617" s="10"/>
      <c r="AZ4617" s="10"/>
    </row>
    <row r="4618" spans="31:52">
      <c r="AE4618" s="10"/>
      <c r="AF4618" s="10"/>
      <c r="AG4618" s="10"/>
      <c r="AH4618" s="10"/>
      <c r="AI4618" s="10"/>
      <c r="AJ4618" s="10"/>
      <c r="AK4618" s="10"/>
      <c r="AL4618" s="10"/>
      <c r="AM4618" s="10"/>
      <c r="AN4618" s="10"/>
      <c r="AO4618" s="10"/>
      <c r="AP4618" s="10"/>
      <c r="AQ4618" s="10"/>
      <c r="AR4618" s="10"/>
      <c r="AS4618" s="10"/>
      <c r="AT4618" s="10"/>
      <c r="AU4618" s="10"/>
      <c r="AV4618" s="10"/>
      <c r="AW4618" s="10"/>
      <c r="AX4618" s="10"/>
      <c r="AY4618" s="10"/>
      <c r="AZ4618" s="10"/>
    </row>
    <row r="4619" spans="31:52">
      <c r="AE4619" s="10"/>
      <c r="AF4619" s="10"/>
      <c r="AG4619" s="10"/>
      <c r="AH4619" s="10"/>
      <c r="AI4619" s="10"/>
      <c r="AJ4619" s="10"/>
      <c r="AK4619" s="10"/>
      <c r="AL4619" s="10"/>
      <c r="AM4619" s="10"/>
      <c r="AN4619" s="10"/>
      <c r="AO4619" s="10"/>
      <c r="AP4619" s="10"/>
      <c r="AQ4619" s="10"/>
      <c r="AR4619" s="10"/>
      <c r="AS4619" s="10"/>
      <c r="AT4619" s="10"/>
      <c r="AU4619" s="10"/>
      <c r="AV4619" s="10"/>
      <c r="AW4619" s="10"/>
      <c r="AX4619" s="10"/>
      <c r="AY4619" s="10"/>
      <c r="AZ4619" s="10"/>
    </row>
    <row r="4620" spans="31:52">
      <c r="AE4620" s="10"/>
      <c r="AF4620" s="10"/>
      <c r="AG4620" s="10"/>
      <c r="AH4620" s="10"/>
      <c r="AI4620" s="10"/>
      <c r="AJ4620" s="10"/>
      <c r="AK4620" s="10"/>
      <c r="AL4620" s="10"/>
      <c r="AM4620" s="10"/>
      <c r="AN4620" s="10"/>
      <c r="AO4620" s="10"/>
      <c r="AP4620" s="10"/>
      <c r="AQ4620" s="10"/>
      <c r="AR4620" s="10"/>
      <c r="AS4620" s="10"/>
      <c r="AT4620" s="10"/>
      <c r="AU4620" s="10"/>
      <c r="AV4620" s="10"/>
      <c r="AW4620" s="10"/>
      <c r="AX4620" s="10"/>
      <c r="AY4620" s="10"/>
      <c r="AZ4620" s="10"/>
    </row>
    <row r="4621" spans="31:52">
      <c r="AE4621" s="10"/>
      <c r="AF4621" s="10"/>
      <c r="AG4621" s="10"/>
      <c r="AH4621" s="10"/>
      <c r="AI4621" s="10"/>
      <c r="AJ4621" s="10"/>
      <c r="AK4621" s="10"/>
      <c r="AL4621" s="10"/>
      <c r="AM4621" s="10"/>
      <c r="AN4621" s="10"/>
      <c r="AO4621" s="10"/>
      <c r="AP4621" s="10"/>
      <c r="AQ4621" s="10"/>
      <c r="AR4621" s="10"/>
      <c r="AS4621" s="10"/>
      <c r="AT4621" s="10"/>
      <c r="AU4621" s="10"/>
      <c r="AV4621" s="10"/>
      <c r="AW4621" s="10"/>
      <c r="AX4621" s="10"/>
      <c r="AY4621" s="10"/>
      <c r="AZ4621" s="10"/>
    </row>
    <row r="4622" spans="31:52">
      <c r="AE4622" s="10"/>
      <c r="AF4622" s="10"/>
      <c r="AG4622" s="10"/>
      <c r="AH4622" s="10"/>
      <c r="AI4622" s="10"/>
      <c r="AJ4622" s="10"/>
      <c r="AK4622" s="10"/>
      <c r="AL4622" s="10"/>
      <c r="AM4622" s="10"/>
      <c r="AN4622" s="10"/>
      <c r="AO4622" s="10"/>
      <c r="AP4622" s="10"/>
      <c r="AQ4622" s="10"/>
      <c r="AR4622" s="10"/>
      <c r="AS4622" s="10"/>
      <c r="AT4622" s="10"/>
      <c r="AU4622" s="10"/>
      <c r="AV4622" s="10"/>
      <c r="AW4622" s="10"/>
      <c r="AX4622" s="10"/>
      <c r="AY4622" s="10"/>
      <c r="AZ4622" s="10"/>
    </row>
    <row r="4623" spans="31:52">
      <c r="AE4623" s="10"/>
      <c r="AF4623" s="10"/>
      <c r="AG4623" s="10"/>
      <c r="AH4623" s="10"/>
      <c r="AI4623" s="10"/>
      <c r="AJ4623" s="10"/>
      <c r="AK4623" s="10"/>
      <c r="AL4623" s="10"/>
      <c r="AM4623" s="10"/>
      <c r="AN4623" s="10"/>
      <c r="AO4623" s="10"/>
      <c r="AP4623" s="10"/>
      <c r="AQ4623" s="10"/>
      <c r="AR4623" s="10"/>
      <c r="AS4623" s="10"/>
      <c r="AT4623" s="10"/>
      <c r="AU4623" s="10"/>
      <c r="AV4623" s="10"/>
      <c r="AW4623" s="10"/>
      <c r="AX4623" s="10"/>
      <c r="AY4623" s="10"/>
      <c r="AZ4623" s="10"/>
    </row>
    <row r="4624" spans="31:52">
      <c r="AE4624" s="10"/>
      <c r="AF4624" s="10"/>
      <c r="AG4624" s="10"/>
      <c r="AH4624" s="10"/>
      <c r="AI4624" s="10"/>
      <c r="AJ4624" s="10"/>
      <c r="AK4624" s="10"/>
      <c r="AL4624" s="10"/>
      <c r="AM4624" s="10"/>
      <c r="AN4624" s="10"/>
      <c r="AO4624" s="10"/>
      <c r="AP4624" s="10"/>
      <c r="AQ4624" s="10"/>
      <c r="AR4624" s="10"/>
      <c r="AS4624" s="10"/>
      <c r="AT4624" s="10"/>
      <c r="AU4624" s="10"/>
      <c r="AV4624" s="10"/>
      <c r="AW4624" s="10"/>
      <c r="AX4624" s="10"/>
      <c r="AY4624" s="10"/>
      <c r="AZ4624" s="10"/>
    </row>
    <row r="4625" spans="31:52">
      <c r="AE4625" s="10"/>
      <c r="AF4625" s="10"/>
      <c r="AG4625" s="10"/>
      <c r="AH4625" s="10"/>
      <c r="AI4625" s="10"/>
      <c r="AJ4625" s="10"/>
      <c r="AK4625" s="10"/>
      <c r="AL4625" s="10"/>
      <c r="AM4625" s="10"/>
      <c r="AN4625" s="10"/>
      <c r="AO4625" s="10"/>
      <c r="AP4625" s="10"/>
      <c r="AQ4625" s="10"/>
      <c r="AR4625" s="10"/>
      <c r="AS4625" s="10"/>
      <c r="AT4625" s="10"/>
      <c r="AU4625" s="10"/>
      <c r="AV4625" s="10"/>
      <c r="AW4625" s="10"/>
      <c r="AX4625" s="10"/>
      <c r="AY4625" s="10"/>
      <c r="AZ4625" s="10"/>
    </row>
    <row r="4626" spans="31:52">
      <c r="AE4626" s="10"/>
      <c r="AF4626" s="10"/>
      <c r="AG4626" s="10"/>
      <c r="AH4626" s="10"/>
      <c r="AI4626" s="10"/>
      <c r="AJ4626" s="10"/>
      <c r="AK4626" s="10"/>
      <c r="AL4626" s="10"/>
      <c r="AM4626" s="10"/>
      <c r="AN4626" s="10"/>
      <c r="AO4626" s="10"/>
      <c r="AP4626" s="10"/>
      <c r="AQ4626" s="10"/>
      <c r="AR4626" s="10"/>
      <c r="AS4626" s="10"/>
      <c r="AT4626" s="10"/>
      <c r="AU4626" s="10"/>
      <c r="AV4626" s="10"/>
      <c r="AW4626" s="10"/>
      <c r="AX4626" s="10"/>
      <c r="AY4626" s="10"/>
      <c r="AZ4626" s="10"/>
    </row>
    <row r="4627" spans="31:52">
      <c r="AE4627" s="10"/>
      <c r="AF4627" s="10"/>
      <c r="AG4627" s="10"/>
      <c r="AH4627" s="10"/>
      <c r="AI4627" s="10"/>
      <c r="AJ4627" s="10"/>
      <c r="AK4627" s="10"/>
      <c r="AL4627" s="10"/>
      <c r="AM4627" s="10"/>
      <c r="AN4627" s="10"/>
      <c r="AO4627" s="10"/>
      <c r="AP4627" s="10"/>
      <c r="AQ4627" s="10"/>
      <c r="AR4627" s="10"/>
      <c r="AS4627" s="10"/>
      <c r="AT4627" s="10"/>
      <c r="AU4627" s="10"/>
      <c r="AV4627" s="10"/>
      <c r="AW4627" s="10"/>
      <c r="AX4627" s="10"/>
      <c r="AY4627" s="10"/>
      <c r="AZ4627" s="10"/>
    </row>
    <row r="4628" spans="31:52">
      <c r="AE4628" s="10"/>
      <c r="AF4628" s="10"/>
      <c r="AG4628" s="10"/>
      <c r="AH4628" s="10"/>
      <c r="AI4628" s="10"/>
      <c r="AJ4628" s="10"/>
      <c r="AK4628" s="10"/>
      <c r="AL4628" s="10"/>
      <c r="AM4628" s="10"/>
      <c r="AN4628" s="10"/>
      <c r="AO4628" s="10"/>
      <c r="AP4628" s="10"/>
      <c r="AQ4628" s="10"/>
      <c r="AR4628" s="10"/>
      <c r="AS4628" s="10"/>
      <c r="AT4628" s="10"/>
      <c r="AU4628" s="10"/>
      <c r="AV4628" s="10"/>
      <c r="AW4628" s="10"/>
      <c r="AX4628" s="10"/>
      <c r="AY4628" s="10"/>
      <c r="AZ4628" s="10"/>
    </row>
    <row r="4629" spans="31:52">
      <c r="AE4629" s="10"/>
      <c r="AF4629" s="10"/>
      <c r="AG4629" s="10"/>
      <c r="AH4629" s="10"/>
      <c r="AI4629" s="10"/>
      <c r="AJ4629" s="10"/>
      <c r="AK4629" s="10"/>
      <c r="AL4629" s="10"/>
      <c r="AM4629" s="10"/>
      <c r="AN4629" s="10"/>
      <c r="AO4629" s="10"/>
      <c r="AP4629" s="10"/>
      <c r="AQ4629" s="10"/>
      <c r="AR4629" s="10"/>
      <c r="AS4629" s="10"/>
      <c r="AT4629" s="10"/>
      <c r="AU4629" s="10"/>
      <c r="AV4629" s="10"/>
      <c r="AW4629" s="10"/>
      <c r="AX4629" s="10"/>
      <c r="AY4629" s="10"/>
      <c r="AZ4629" s="10"/>
    </row>
    <row r="4630" spans="31:52">
      <c r="AE4630" s="10"/>
      <c r="AF4630" s="10"/>
      <c r="AG4630" s="10"/>
      <c r="AH4630" s="10"/>
      <c r="AI4630" s="10"/>
      <c r="AJ4630" s="10"/>
      <c r="AK4630" s="10"/>
      <c r="AL4630" s="10"/>
      <c r="AM4630" s="10"/>
      <c r="AN4630" s="10"/>
      <c r="AO4630" s="10"/>
      <c r="AP4630" s="10"/>
      <c r="AQ4630" s="10"/>
      <c r="AR4630" s="10"/>
      <c r="AS4630" s="10"/>
      <c r="AT4630" s="10"/>
      <c r="AU4630" s="10"/>
      <c r="AV4630" s="10"/>
      <c r="AW4630" s="10"/>
      <c r="AX4630" s="10"/>
      <c r="AY4630" s="10"/>
      <c r="AZ4630" s="10"/>
    </row>
    <row r="4631" spans="31:52">
      <c r="AE4631" s="10"/>
      <c r="AF4631" s="10"/>
      <c r="AG4631" s="10"/>
      <c r="AH4631" s="10"/>
      <c r="AI4631" s="10"/>
      <c r="AJ4631" s="10"/>
      <c r="AK4631" s="10"/>
      <c r="AL4631" s="10"/>
      <c r="AM4631" s="10"/>
      <c r="AN4631" s="10"/>
      <c r="AO4631" s="10"/>
      <c r="AP4631" s="10"/>
      <c r="AQ4631" s="10"/>
      <c r="AR4631" s="10"/>
      <c r="AS4631" s="10"/>
      <c r="AT4631" s="10"/>
      <c r="AU4631" s="10"/>
      <c r="AV4631" s="10"/>
      <c r="AW4631" s="10"/>
      <c r="AX4631" s="10"/>
      <c r="AY4631" s="10"/>
      <c r="AZ4631" s="10"/>
    </row>
    <row r="4632" spans="31:52">
      <c r="AE4632" s="10"/>
      <c r="AF4632" s="10"/>
      <c r="AG4632" s="10"/>
      <c r="AH4632" s="10"/>
      <c r="AI4632" s="10"/>
      <c r="AJ4632" s="10"/>
      <c r="AK4632" s="10"/>
      <c r="AL4632" s="10"/>
      <c r="AM4632" s="10"/>
      <c r="AN4632" s="10"/>
      <c r="AO4632" s="10"/>
      <c r="AP4632" s="10"/>
      <c r="AQ4632" s="10"/>
      <c r="AR4632" s="10"/>
      <c r="AS4632" s="10"/>
      <c r="AT4632" s="10"/>
      <c r="AU4632" s="10"/>
      <c r="AV4632" s="10"/>
      <c r="AW4632" s="10"/>
      <c r="AX4632" s="10"/>
      <c r="AY4632" s="10"/>
      <c r="AZ4632" s="10"/>
    </row>
    <row r="4633" spans="31:52">
      <c r="AE4633" s="10"/>
      <c r="AF4633" s="10"/>
      <c r="AG4633" s="10"/>
      <c r="AH4633" s="10"/>
      <c r="AI4633" s="10"/>
      <c r="AJ4633" s="10"/>
      <c r="AK4633" s="10"/>
      <c r="AL4633" s="10"/>
      <c r="AM4633" s="10"/>
      <c r="AN4633" s="10"/>
      <c r="AO4633" s="10"/>
      <c r="AP4633" s="10"/>
      <c r="AQ4633" s="10"/>
      <c r="AR4633" s="10"/>
      <c r="AS4633" s="10"/>
      <c r="AT4633" s="10"/>
      <c r="AU4633" s="10"/>
      <c r="AV4633" s="10"/>
      <c r="AW4633" s="10"/>
      <c r="AX4633" s="10"/>
      <c r="AY4633" s="10"/>
      <c r="AZ4633" s="10"/>
    </row>
    <row r="4634" spans="31:52">
      <c r="AE4634" s="10"/>
      <c r="AF4634" s="10"/>
      <c r="AG4634" s="10"/>
      <c r="AH4634" s="10"/>
      <c r="AI4634" s="10"/>
      <c r="AJ4634" s="10"/>
      <c r="AK4634" s="10"/>
      <c r="AL4634" s="10"/>
      <c r="AM4634" s="10"/>
      <c r="AN4634" s="10"/>
      <c r="AO4634" s="10"/>
      <c r="AP4634" s="10"/>
      <c r="AQ4634" s="10"/>
      <c r="AR4634" s="10"/>
      <c r="AS4634" s="10"/>
      <c r="AT4634" s="10"/>
      <c r="AU4634" s="10"/>
      <c r="AV4634" s="10"/>
      <c r="AW4634" s="10"/>
      <c r="AX4634" s="10"/>
      <c r="AY4634" s="10"/>
      <c r="AZ4634" s="10"/>
    </row>
    <row r="4635" spans="31:52">
      <c r="AE4635" s="10"/>
      <c r="AF4635" s="10"/>
      <c r="AG4635" s="10"/>
      <c r="AH4635" s="10"/>
      <c r="AI4635" s="10"/>
      <c r="AJ4635" s="10"/>
      <c r="AK4635" s="10"/>
      <c r="AL4635" s="10"/>
      <c r="AM4635" s="10"/>
      <c r="AN4635" s="10"/>
      <c r="AO4635" s="10"/>
      <c r="AP4635" s="10"/>
      <c r="AQ4635" s="10"/>
      <c r="AR4635" s="10"/>
      <c r="AS4635" s="10"/>
      <c r="AT4635" s="10"/>
      <c r="AU4635" s="10"/>
      <c r="AV4635" s="10"/>
      <c r="AW4635" s="10"/>
      <c r="AX4635" s="10"/>
      <c r="AY4635" s="10"/>
      <c r="AZ4635" s="10"/>
    </row>
    <row r="4636" spans="31:52">
      <c r="AE4636" s="10"/>
      <c r="AF4636" s="10"/>
      <c r="AG4636" s="10"/>
      <c r="AH4636" s="10"/>
      <c r="AI4636" s="10"/>
      <c r="AJ4636" s="10"/>
      <c r="AK4636" s="10"/>
      <c r="AL4636" s="10"/>
      <c r="AM4636" s="10"/>
      <c r="AN4636" s="10"/>
      <c r="AO4636" s="10"/>
      <c r="AP4636" s="10"/>
      <c r="AQ4636" s="10"/>
      <c r="AR4636" s="10"/>
      <c r="AS4636" s="10"/>
      <c r="AT4636" s="10"/>
      <c r="AU4636" s="10"/>
      <c r="AV4636" s="10"/>
      <c r="AW4636" s="10"/>
      <c r="AX4636" s="10"/>
      <c r="AY4636" s="10"/>
      <c r="AZ4636" s="10"/>
    </row>
    <row r="4637" spans="31:52">
      <c r="AE4637" s="10"/>
      <c r="AF4637" s="10"/>
      <c r="AG4637" s="10"/>
      <c r="AH4637" s="10"/>
      <c r="AI4637" s="10"/>
      <c r="AJ4637" s="10"/>
      <c r="AK4637" s="10"/>
      <c r="AL4637" s="10"/>
      <c r="AM4637" s="10"/>
      <c r="AN4637" s="10"/>
      <c r="AO4637" s="10"/>
      <c r="AP4637" s="10"/>
      <c r="AQ4637" s="10"/>
      <c r="AR4637" s="10"/>
      <c r="AS4637" s="10"/>
      <c r="AT4637" s="10"/>
      <c r="AU4637" s="10"/>
      <c r="AV4637" s="10"/>
      <c r="AW4637" s="10"/>
      <c r="AX4637" s="10"/>
      <c r="AY4637" s="10"/>
      <c r="AZ4637" s="10"/>
    </row>
    <row r="4638" spans="31:52">
      <c r="AE4638" s="10"/>
      <c r="AF4638" s="10"/>
      <c r="AG4638" s="10"/>
      <c r="AH4638" s="10"/>
      <c r="AI4638" s="10"/>
      <c r="AJ4638" s="10"/>
      <c r="AK4638" s="10"/>
      <c r="AL4638" s="10"/>
      <c r="AM4638" s="10"/>
      <c r="AN4638" s="10"/>
      <c r="AO4638" s="10"/>
      <c r="AP4638" s="10"/>
      <c r="AQ4638" s="10"/>
      <c r="AR4638" s="10"/>
      <c r="AS4638" s="10"/>
      <c r="AT4638" s="10"/>
      <c r="AU4638" s="10"/>
      <c r="AV4638" s="10"/>
      <c r="AW4638" s="10"/>
      <c r="AX4638" s="10"/>
      <c r="AY4638" s="10"/>
      <c r="AZ4638" s="10"/>
    </row>
    <row r="4639" spans="31:52">
      <c r="AE4639" s="10"/>
      <c r="AF4639" s="10"/>
      <c r="AG4639" s="10"/>
      <c r="AH4639" s="10"/>
      <c r="AI4639" s="10"/>
      <c r="AJ4639" s="10"/>
      <c r="AK4639" s="10"/>
      <c r="AL4639" s="10"/>
      <c r="AM4639" s="10"/>
      <c r="AN4639" s="10"/>
      <c r="AO4639" s="10"/>
      <c r="AP4639" s="10"/>
      <c r="AQ4639" s="10"/>
      <c r="AR4639" s="10"/>
      <c r="AS4639" s="10"/>
      <c r="AT4639" s="10"/>
      <c r="AU4639" s="10"/>
      <c r="AV4639" s="10"/>
      <c r="AW4639" s="10"/>
      <c r="AX4639" s="10"/>
      <c r="AY4639" s="10"/>
      <c r="AZ4639" s="10"/>
    </row>
    <row r="4640" spans="31:52">
      <c r="AE4640" s="10"/>
      <c r="AF4640" s="10"/>
      <c r="AG4640" s="10"/>
      <c r="AH4640" s="10"/>
      <c r="AI4640" s="10"/>
      <c r="AJ4640" s="10"/>
      <c r="AK4640" s="10"/>
      <c r="AL4640" s="10"/>
      <c r="AM4640" s="10"/>
      <c r="AN4640" s="10"/>
      <c r="AO4640" s="10"/>
      <c r="AP4640" s="10"/>
      <c r="AQ4640" s="10"/>
      <c r="AR4640" s="10"/>
      <c r="AS4640" s="10"/>
      <c r="AT4640" s="10"/>
      <c r="AU4640" s="10"/>
      <c r="AV4640" s="10"/>
      <c r="AW4640" s="10"/>
      <c r="AX4640" s="10"/>
      <c r="AY4640" s="10"/>
      <c r="AZ4640" s="10"/>
    </row>
    <row r="4641" spans="31:52">
      <c r="AE4641" s="10"/>
      <c r="AF4641" s="10"/>
      <c r="AG4641" s="10"/>
      <c r="AH4641" s="10"/>
      <c r="AI4641" s="10"/>
      <c r="AJ4641" s="10"/>
      <c r="AK4641" s="10"/>
      <c r="AL4641" s="10"/>
      <c r="AM4641" s="10"/>
      <c r="AN4641" s="10"/>
      <c r="AO4641" s="10"/>
      <c r="AP4641" s="10"/>
      <c r="AQ4641" s="10"/>
      <c r="AR4641" s="10"/>
      <c r="AS4641" s="10"/>
      <c r="AT4641" s="10"/>
      <c r="AU4641" s="10"/>
      <c r="AV4641" s="10"/>
      <c r="AW4641" s="10"/>
      <c r="AX4641" s="10"/>
      <c r="AY4641" s="10"/>
      <c r="AZ4641" s="10"/>
    </row>
    <row r="4642" spans="31:52">
      <c r="AE4642" s="10"/>
      <c r="AF4642" s="10"/>
      <c r="AG4642" s="10"/>
      <c r="AH4642" s="10"/>
      <c r="AI4642" s="10"/>
      <c r="AJ4642" s="10"/>
      <c r="AK4642" s="10"/>
      <c r="AL4642" s="10"/>
      <c r="AM4642" s="10"/>
      <c r="AN4642" s="10"/>
      <c r="AO4642" s="10"/>
      <c r="AP4642" s="10"/>
      <c r="AQ4642" s="10"/>
      <c r="AR4642" s="10"/>
      <c r="AS4642" s="10"/>
      <c r="AT4642" s="10"/>
      <c r="AU4642" s="10"/>
      <c r="AV4642" s="10"/>
      <c r="AW4642" s="10"/>
      <c r="AX4642" s="10"/>
      <c r="AY4642" s="10"/>
      <c r="AZ4642" s="10"/>
    </row>
    <row r="4643" spans="31:52">
      <c r="AE4643" s="10"/>
      <c r="AF4643" s="10"/>
      <c r="AG4643" s="10"/>
      <c r="AH4643" s="10"/>
      <c r="AI4643" s="10"/>
      <c r="AJ4643" s="10"/>
      <c r="AK4643" s="10"/>
      <c r="AL4643" s="10"/>
      <c r="AM4643" s="10"/>
      <c r="AN4643" s="10"/>
      <c r="AO4643" s="10"/>
      <c r="AP4643" s="10"/>
      <c r="AQ4643" s="10"/>
      <c r="AR4643" s="10"/>
      <c r="AS4643" s="10"/>
      <c r="AT4643" s="10"/>
      <c r="AU4643" s="10"/>
      <c r="AV4643" s="10"/>
      <c r="AW4643" s="10"/>
      <c r="AX4643" s="10"/>
      <c r="AY4643" s="10"/>
      <c r="AZ4643" s="10"/>
    </row>
    <row r="4644" spans="31:52">
      <c r="AE4644" s="10"/>
      <c r="AF4644" s="10"/>
      <c r="AG4644" s="10"/>
      <c r="AH4644" s="10"/>
      <c r="AI4644" s="10"/>
      <c r="AJ4644" s="10"/>
      <c r="AK4644" s="10"/>
      <c r="AL4644" s="10"/>
      <c r="AM4644" s="10"/>
      <c r="AN4644" s="10"/>
      <c r="AO4644" s="10"/>
      <c r="AP4644" s="10"/>
      <c r="AQ4644" s="10"/>
      <c r="AR4644" s="10"/>
      <c r="AS4644" s="10"/>
      <c r="AT4644" s="10"/>
      <c r="AU4644" s="10"/>
      <c r="AV4644" s="10"/>
      <c r="AW4644" s="10"/>
      <c r="AX4644" s="10"/>
      <c r="AY4644" s="10"/>
      <c r="AZ4644" s="10"/>
    </row>
    <row r="4645" spans="31:52">
      <c r="AE4645" s="10"/>
      <c r="AF4645" s="10"/>
      <c r="AG4645" s="10"/>
      <c r="AH4645" s="10"/>
      <c r="AI4645" s="10"/>
      <c r="AJ4645" s="10"/>
      <c r="AK4645" s="10"/>
      <c r="AL4645" s="10"/>
      <c r="AM4645" s="10"/>
      <c r="AN4645" s="10"/>
      <c r="AO4645" s="10"/>
      <c r="AP4645" s="10"/>
      <c r="AQ4645" s="10"/>
      <c r="AR4645" s="10"/>
      <c r="AS4645" s="10"/>
      <c r="AT4645" s="10"/>
      <c r="AU4645" s="10"/>
      <c r="AV4645" s="10"/>
      <c r="AW4645" s="10"/>
      <c r="AX4645" s="10"/>
      <c r="AY4645" s="10"/>
      <c r="AZ4645" s="10"/>
    </row>
    <row r="4646" spans="31:52">
      <c r="AE4646" s="10"/>
      <c r="AF4646" s="10"/>
      <c r="AG4646" s="10"/>
      <c r="AH4646" s="10"/>
      <c r="AI4646" s="10"/>
      <c r="AJ4646" s="10"/>
      <c r="AK4646" s="10"/>
      <c r="AL4646" s="10"/>
      <c r="AM4646" s="10"/>
      <c r="AN4646" s="10"/>
      <c r="AO4646" s="10"/>
      <c r="AP4646" s="10"/>
      <c r="AQ4646" s="10"/>
      <c r="AR4646" s="10"/>
      <c r="AS4646" s="10"/>
      <c r="AT4646" s="10"/>
      <c r="AU4646" s="10"/>
      <c r="AV4646" s="10"/>
      <c r="AW4646" s="10"/>
      <c r="AX4646" s="10"/>
      <c r="AY4646" s="10"/>
      <c r="AZ4646" s="10"/>
    </row>
    <row r="4647" spans="31:52">
      <c r="AE4647" s="10"/>
      <c r="AF4647" s="10"/>
      <c r="AG4647" s="10"/>
      <c r="AH4647" s="10"/>
      <c r="AI4647" s="10"/>
      <c r="AJ4647" s="10"/>
      <c r="AK4647" s="10"/>
      <c r="AL4647" s="10"/>
      <c r="AM4647" s="10"/>
      <c r="AN4647" s="10"/>
      <c r="AO4647" s="10"/>
      <c r="AP4647" s="10"/>
      <c r="AQ4647" s="10"/>
      <c r="AR4647" s="10"/>
      <c r="AS4647" s="10"/>
      <c r="AT4647" s="10"/>
      <c r="AU4647" s="10"/>
      <c r="AV4647" s="10"/>
      <c r="AW4647" s="10"/>
      <c r="AX4647" s="10"/>
      <c r="AY4647" s="10"/>
      <c r="AZ4647" s="10"/>
    </row>
    <row r="4648" spans="31:52">
      <c r="AE4648" s="10"/>
      <c r="AF4648" s="10"/>
      <c r="AG4648" s="10"/>
      <c r="AH4648" s="10"/>
      <c r="AI4648" s="10"/>
      <c r="AJ4648" s="10"/>
      <c r="AK4648" s="10"/>
      <c r="AL4648" s="10"/>
      <c r="AM4648" s="10"/>
      <c r="AN4648" s="10"/>
      <c r="AO4648" s="10"/>
      <c r="AP4648" s="10"/>
      <c r="AQ4648" s="10"/>
      <c r="AR4648" s="10"/>
      <c r="AS4648" s="10"/>
      <c r="AT4648" s="10"/>
      <c r="AU4648" s="10"/>
      <c r="AV4648" s="10"/>
      <c r="AW4648" s="10"/>
      <c r="AX4648" s="10"/>
      <c r="AY4648" s="10"/>
      <c r="AZ4648" s="10"/>
    </row>
    <row r="4649" spans="31:52">
      <c r="AE4649" s="10"/>
      <c r="AF4649" s="10"/>
      <c r="AG4649" s="10"/>
      <c r="AH4649" s="10"/>
      <c r="AI4649" s="10"/>
      <c r="AJ4649" s="10"/>
      <c r="AK4649" s="10"/>
      <c r="AL4649" s="10"/>
      <c r="AM4649" s="10"/>
      <c r="AN4649" s="10"/>
      <c r="AO4649" s="10"/>
      <c r="AP4649" s="10"/>
      <c r="AQ4649" s="10"/>
      <c r="AR4649" s="10"/>
      <c r="AS4649" s="10"/>
      <c r="AT4649" s="10"/>
      <c r="AU4649" s="10"/>
      <c r="AV4649" s="10"/>
      <c r="AW4649" s="10"/>
      <c r="AX4649" s="10"/>
      <c r="AY4649" s="10"/>
      <c r="AZ4649" s="10"/>
    </row>
    <row r="4650" spans="31:52">
      <c r="AE4650" s="10"/>
      <c r="AF4650" s="10"/>
      <c r="AG4650" s="10"/>
      <c r="AH4650" s="10"/>
      <c r="AI4650" s="10"/>
      <c r="AJ4650" s="10"/>
      <c r="AK4650" s="10"/>
      <c r="AL4650" s="10"/>
      <c r="AM4650" s="10"/>
      <c r="AN4650" s="10"/>
      <c r="AO4650" s="10"/>
      <c r="AP4650" s="10"/>
      <c r="AQ4650" s="10"/>
      <c r="AR4650" s="10"/>
      <c r="AS4650" s="10"/>
      <c r="AT4650" s="10"/>
      <c r="AU4650" s="10"/>
      <c r="AV4650" s="10"/>
      <c r="AW4650" s="10"/>
      <c r="AX4650" s="10"/>
      <c r="AY4650" s="10"/>
      <c r="AZ4650" s="10"/>
    </row>
    <row r="4651" spans="31:52">
      <c r="AE4651" s="10"/>
      <c r="AF4651" s="10"/>
      <c r="AG4651" s="10"/>
      <c r="AH4651" s="10"/>
      <c r="AI4651" s="10"/>
      <c r="AJ4651" s="10"/>
      <c r="AK4651" s="10"/>
      <c r="AL4651" s="10"/>
      <c r="AM4651" s="10"/>
      <c r="AN4651" s="10"/>
      <c r="AO4651" s="10"/>
      <c r="AP4651" s="10"/>
      <c r="AQ4651" s="10"/>
      <c r="AR4651" s="10"/>
      <c r="AS4651" s="10"/>
      <c r="AT4651" s="10"/>
      <c r="AU4651" s="10"/>
      <c r="AV4651" s="10"/>
      <c r="AW4651" s="10"/>
      <c r="AX4651" s="10"/>
      <c r="AY4651" s="10"/>
      <c r="AZ4651" s="10"/>
    </row>
    <row r="4652" spans="31:52">
      <c r="AE4652" s="10"/>
      <c r="AF4652" s="10"/>
      <c r="AG4652" s="10"/>
      <c r="AH4652" s="10"/>
      <c r="AI4652" s="10"/>
      <c r="AJ4652" s="10"/>
      <c r="AK4652" s="10"/>
      <c r="AL4652" s="10"/>
      <c r="AM4652" s="10"/>
      <c r="AN4652" s="10"/>
      <c r="AO4652" s="10"/>
      <c r="AP4652" s="10"/>
      <c r="AQ4652" s="10"/>
      <c r="AR4652" s="10"/>
      <c r="AS4652" s="10"/>
      <c r="AT4652" s="10"/>
      <c r="AU4652" s="10"/>
      <c r="AV4652" s="10"/>
      <c r="AW4652" s="10"/>
      <c r="AX4652" s="10"/>
      <c r="AY4652" s="10"/>
      <c r="AZ4652" s="10"/>
    </row>
    <row r="4653" spans="31:52">
      <c r="AE4653" s="10"/>
      <c r="AF4653" s="10"/>
      <c r="AG4653" s="10"/>
      <c r="AH4653" s="10"/>
      <c r="AI4653" s="10"/>
      <c r="AJ4653" s="10"/>
      <c r="AK4653" s="10"/>
      <c r="AL4653" s="10"/>
      <c r="AM4653" s="10"/>
      <c r="AN4653" s="10"/>
      <c r="AO4653" s="10"/>
      <c r="AP4653" s="10"/>
      <c r="AQ4653" s="10"/>
      <c r="AR4653" s="10"/>
      <c r="AS4653" s="10"/>
      <c r="AT4653" s="10"/>
      <c r="AU4653" s="10"/>
      <c r="AV4653" s="10"/>
      <c r="AW4653" s="10"/>
      <c r="AX4653" s="10"/>
      <c r="AY4653" s="10"/>
      <c r="AZ4653" s="10"/>
    </row>
    <row r="4654" spans="31:52">
      <c r="AE4654" s="10"/>
      <c r="AF4654" s="10"/>
      <c r="AG4654" s="10"/>
      <c r="AH4654" s="10"/>
      <c r="AI4654" s="10"/>
      <c r="AJ4654" s="10"/>
      <c r="AK4654" s="10"/>
      <c r="AL4654" s="10"/>
      <c r="AM4654" s="10"/>
      <c r="AN4654" s="10"/>
      <c r="AO4654" s="10"/>
      <c r="AP4654" s="10"/>
      <c r="AQ4654" s="10"/>
      <c r="AR4654" s="10"/>
      <c r="AS4654" s="10"/>
      <c r="AT4654" s="10"/>
      <c r="AU4654" s="10"/>
      <c r="AV4654" s="10"/>
      <c r="AW4654" s="10"/>
      <c r="AX4654" s="10"/>
      <c r="AY4654" s="10"/>
      <c r="AZ4654" s="10"/>
    </row>
    <row r="4655" spans="31:52">
      <c r="AE4655" s="10"/>
      <c r="AF4655" s="10"/>
      <c r="AG4655" s="10"/>
      <c r="AH4655" s="10"/>
      <c r="AI4655" s="10"/>
      <c r="AJ4655" s="10"/>
      <c r="AK4655" s="10"/>
      <c r="AL4655" s="10"/>
      <c r="AM4655" s="10"/>
      <c r="AN4655" s="10"/>
      <c r="AO4655" s="10"/>
      <c r="AP4655" s="10"/>
      <c r="AQ4655" s="10"/>
      <c r="AR4655" s="10"/>
      <c r="AS4655" s="10"/>
      <c r="AT4655" s="10"/>
      <c r="AU4655" s="10"/>
      <c r="AV4655" s="10"/>
      <c r="AW4655" s="10"/>
      <c r="AX4655" s="10"/>
      <c r="AY4655" s="10"/>
      <c r="AZ4655" s="10"/>
    </row>
    <row r="4656" spans="31:52">
      <c r="AE4656" s="10"/>
      <c r="AF4656" s="10"/>
      <c r="AG4656" s="10"/>
      <c r="AH4656" s="10"/>
      <c r="AI4656" s="10"/>
      <c r="AJ4656" s="10"/>
      <c r="AK4656" s="10"/>
      <c r="AL4656" s="10"/>
      <c r="AM4656" s="10"/>
      <c r="AN4656" s="10"/>
      <c r="AO4656" s="10"/>
      <c r="AP4656" s="10"/>
      <c r="AQ4656" s="10"/>
      <c r="AR4656" s="10"/>
      <c r="AS4656" s="10"/>
      <c r="AT4656" s="10"/>
      <c r="AU4656" s="10"/>
      <c r="AV4656" s="10"/>
      <c r="AW4656" s="10"/>
      <c r="AX4656" s="10"/>
      <c r="AY4656" s="10"/>
      <c r="AZ4656" s="10"/>
    </row>
    <row r="4657" spans="31:52">
      <c r="AE4657" s="10"/>
      <c r="AF4657" s="10"/>
      <c r="AG4657" s="10"/>
      <c r="AH4657" s="10"/>
      <c r="AI4657" s="10"/>
      <c r="AJ4657" s="10"/>
      <c r="AK4657" s="10"/>
      <c r="AL4657" s="10"/>
      <c r="AM4657" s="10"/>
      <c r="AN4657" s="10"/>
      <c r="AO4657" s="10"/>
      <c r="AP4657" s="10"/>
      <c r="AQ4657" s="10"/>
      <c r="AR4657" s="10"/>
      <c r="AS4657" s="10"/>
      <c r="AT4657" s="10"/>
      <c r="AU4657" s="10"/>
      <c r="AV4657" s="10"/>
      <c r="AW4657" s="10"/>
      <c r="AX4657" s="10"/>
      <c r="AY4657" s="10"/>
      <c r="AZ4657" s="10"/>
    </row>
    <row r="4658" spans="31:52">
      <c r="AE4658" s="10"/>
      <c r="AF4658" s="10"/>
      <c r="AG4658" s="10"/>
      <c r="AH4658" s="10"/>
      <c r="AI4658" s="10"/>
      <c r="AJ4658" s="10"/>
      <c r="AK4658" s="10"/>
      <c r="AL4658" s="10"/>
      <c r="AM4658" s="10"/>
      <c r="AN4658" s="10"/>
      <c r="AO4658" s="10"/>
      <c r="AP4658" s="10"/>
      <c r="AQ4658" s="10"/>
      <c r="AR4658" s="10"/>
      <c r="AS4658" s="10"/>
      <c r="AT4658" s="10"/>
      <c r="AU4658" s="10"/>
      <c r="AV4658" s="10"/>
      <c r="AW4658" s="10"/>
      <c r="AX4658" s="10"/>
      <c r="AY4658" s="10"/>
      <c r="AZ4658" s="10"/>
    </row>
    <row r="4659" spans="31:52">
      <c r="AE4659" s="10"/>
      <c r="AF4659" s="10"/>
      <c r="AG4659" s="10"/>
      <c r="AH4659" s="10"/>
      <c r="AI4659" s="10"/>
      <c r="AJ4659" s="10"/>
      <c r="AK4659" s="10"/>
      <c r="AL4659" s="10"/>
      <c r="AM4659" s="10"/>
      <c r="AN4659" s="10"/>
      <c r="AO4659" s="10"/>
      <c r="AP4659" s="10"/>
      <c r="AQ4659" s="10"/>
      <c r="AR4659" s="10"/>
      <c r="AS4659" s="10"/>
      <c r="AT4659" s="10"/>
      <c r="AU4659" s="10"/>
      <c r="AV4659" s="10"/>
      <c r="AW4659" s="10"/>
      <c r="AX4659" s="10"/>
      <c r="AY4659" s="10"/>
      <c r="AZ4659" s="10"/>
    </row>
    <row r="4660" spans="31:52">
      <c r="AE4660" s="10"/>
      <c r="AF4660" s="10"/>
      <c r="AG4660" s="10"/>
      <c r="AH4660" s="10"/>
      <c r="AI4660" s="10"/>
      <c r="AJ4660" s="10"/>
      <c r="AK4660" s="10"/>
      <c r="AL4660" s="10"/>
      <c r="AM4660" s="10"/>
      <c r="AN4660" s="10"/>
      <c r="AO4660" s="10"/>
      <c r="AP4660" s="10"/>
      <c r="AQ4660" s="10"/>
      <c r="AR4660" s="10"/>
      <c r="AS4660" s="10"/>
      <c r="AT4660" s="10"/>
      <c r="AU4660" s="10"/>
      <c r="AV4660" s="10"/>
      <c r="AW4660" s="10"/>
      <c r="AX4660" s="10"/>
      <c r="AY4660" s="10"/>
      <c r="AZ4660" s="10"/>
    </row>
    <row r="4661" spans="31:52">
      <c r="AE4661" s="10"/>
      <c r="AF4661" s="10"/>
      <c r="AG4661" s="10"/>
      <c r="AH4661" s="10"/>
      <c r="AI4661" s="10"/>
      <c r="AJ4661" s="10"/>
      <c r="AK4661" s="10"/>
      <c r="AL4661" s="10"/>
      <c r="AM4661" s="10"/>
      <c r="AN4661" s="10"/>
      <c r="AO4661" s="10"/>
      <c r="AP4661" s="10"/>
      <c r="AQ4661" s="10"/>
      <c r="AR4661" s="10"/>
      <c r="AS4661" s="10"/>
      <c r="AT4661" s="10"/>
      <c r="AU4661" s="10"/>
      <c r="AV4661" s="10"/>
      <c r="AW4661" s="10"/>
      <c r="AX4661" s="10"/>
      <c r="AY4661" s="10"/>
      <c r="AZ4661" s="10"/>
    </row>
    <row r="4662" spans="31:52">
      <c r="AE4662" s="10"/>
      <c r="AF4662" s="10"/>
      <c r="AG4662" s="10"/>
      <c r="AH4662" s="10"/>
      <c r="AI4662" s="10"/>
      <c r="AJ4662" s="10"/>
      <c r="AK4662" s="10"/>
      <c r="AL4662" s="10"/>
      <c r="AM4662" s="10"/>
      <c r="AN4662" s="10"/>
      <c r="AO4662" s="10"/>
      <c r="AP4662" s="10"/>
      <c r="AQ4662" s="10"/>
      <c r="AR4662" s="10"/>
      <c r="AS4662" s="10"/>
      <c r="AT4662" s="10"/>
      <c r="AU4662" s="10"/>
      <c r="AV4662" s="10"/>
      <c r="AW4662" s="10"/>
      <c r="AX4662" s="10"/>
      <c r="AY4662" s="10"/>
      <c r="AZ4662" s="10"/>
    </row>
    <row r="4663" spans="31:52">
      <c r="AE4663" s="10"/>
      <c r="AF4663" s="10"/>
      <c r="AG4663" s="10"/>
      <c r="AH4663" s="10"/>
      <c r="AI4663" s="10"/>
      <c r="AJ4663" s="10"/>
      <c r="AK4663" s="10"/>
      <c r="AL4663" s="10"/>
      <c r="AM4663" s="10"/>
      <c r="AN4663" s="10"/>
      <c r="AO4663" s="10"/>
      <c r="AP4663" s="10"/>
      <c r="AQ4663" s="10"/>
      <c r="AR4663" s="10"/>
      <c r="AS4663" s="10"/>
      <c r="AT4663" s="10"/>
      <c r="AU4663" s="10"/>
      <c r="AV4663" s="10"/>
      <c r="AW4663" s="10"/>
      <c r="AX4663" s="10"/>
      <c r="AY4663" s="10"/>
      <c r="AZ4663" s="10"/>
    </row>
    <row r="4664" spans="31:52">
      <c r="AE4664" s="10"/>
      <c r="AF4664" s="10"/>
      <c r="AG4664" s="10"/>
      <c r="AH4664" s="10"/>
      <c r="AI4664" s="10"/>
      <c r="AJ4664" s="10"/>
      <c r="AK4664" s="10"/>
      <c r="AL4664" s="10"/>
      <c r="AM4664" s="10"/>
      <c r="AN4664" s="10"/>
      <c r="AO4664" s="10"/>
      <c r="AP4664" s="10"/>
      <c r="AQ4664" s="10"/>
      <c r="AR4664" s="10"/>
      <c r="AS4664" s="10"/>
      <c r="AT4664" s="10"/>
      <c r="AU4664" s="10"/>
      <c r="AV4664" s="10"/>
      <c r="AW4664" s="10"/>
      <c r="AX4664" s="10"/>
      <c r="AY4664" s="10"/>
      <c r="AZ4664" s="10"/>
    </row>
    <row r="4665" spans="31:52">
      <c r="AE4665" s="10"/>
      <c r="AF4665" s="10"/>
      <c r="AG4665" s="10"/>
      <c r="AH4665" s="10"/>
      <c r="AI4665" s="10"/>
      <c r="AJ4665" s="10"/>
      <c r="AK4665" s="10"/>
      <c r="AL4665" s="10"/>
      <c r="AM4665" s="10"/>
      <c r="AN4665" s="10"/>
      <c r="AO4665" s="10"/>
      <c r="AP4665" s="10"/>
      <c r="AQ4665" s="10"/>
      <c r="AR4665" s="10"/>
      <c r="AS4665" s="10"/>
      <c r="AT4665" s="10"/>
      <c r="AU4665" s="10"/>
      <c r="AV4665" s="10"/>
      <c r="AW4665" s="10"/>
      <c r="AX4665" s="10"/>
      <c r="AY4665" s="10"/>
      <c r="AZ4665" s="10"/>
    </row>
    <row r="4666" spans="31:52">
      <c r="AE4666" s="10"/>
      <c r="AF4666" s="10"/>
      <c r="AG4666" s="10"/>
      <c r="AH4666" s="10"/>
      <c r="AI4666" s="10"/>
      <c r="AJ4666" s="10"/>
      <c r="AK4666" s="10"/>
      <c r="AL4666" s="10"/>
      <c r="AM4666" s="10"/>
      <c r="AN4666" s="10"/>
      <c r="AO4666" s="10"/>
      <c r="AP4666" s="10"/>
      <c r="AQ4666" s="10"/>
      <c r="AR4666" s="10"/>
      <c r="AS4666" s="10"/>
      <c r="AT4666" s="10"/>
      <c r="AU4666" s="10"/>
      <c r="AV4666" s="10"/>
      <c r="AW4666" s="10"/>
      <c r="AX4666" s="10"/>
      <c r="AY4666" s="10"/>
      <c r="AZ4666" s="10"/>
    </row>
    <row r="4667" spans="31:52">
      <c r="AE4667" s="10"/>
      <c r="AF4667" s="10"/>
      <c r="AG4667" s="10"/>
      <c r="AH4667" s="10"/>
      <c r="AI4667" s="10"/>
      <c r="AJ4667" s="10"/>
      <c r="AK4667" s="10"/>
      <c r="AL4667" s="10"/>
      <c r="AM4667" s="10"/>
      <c r="AN4667" s="10"/>
      <c r="AO4667" s="10"/>
      <c r="AP4667" s="10"/>
      <c r="AQ4667" s="10"/>
      <c r="AR4667" s="10"/>
      <c r="AS4667" s="10"/>
      <c r="AT4667" s="10"/>
      <c r="AU4667" s="10"/>
      <c r="AV4667" s="10"/>
      <c r="AW4667" s="10"/>
      <c r="AX4667" s="10"/>
      <c r="AY4667" s="10"/>
      <c r="AZ4667" s="10"/>
    </row>
    <row r="4668" spans="31:52">
      <c r="AE4668" s="10"/>
      <c r="AF4668" s="10"/>
      <c r="AG4668" s="10"/>
      <c r="AH4668" s="10"/>
      <c r="AI4668" s="10"/>
      <c r="AJ4668" s="10"/>
      <c r="AK4668" s="10"/>
      <c r="AL4668" s="10"/>
      <c r="AM4668" s="10"/>
      <c r="AN4668" s="10"/>
      <c r="AO4668" s="10"/>
      <c r="AP4668" s="10"/>
      <c r="AQ4668" s="10"/>
      <c r="AR4668" s="10"/>
      <c r="AS4668" s="10"/>
      <c r="AT4668" s="10"/>
      <c r="AU4668" s="10"/>
      <c r="AV4668" s="10"/>
      <c r="AW4668" s="10"/>
      <c r="AX4668" s="10"/>
      <c r="AY4668" s="10"/>
      <c r="AZ4668" s="10"/>
    </row>
    <row r="4669" spans="31:52">
      <c r="AE4669" s="10"/>
      <c r="AF4669" s="10"/>
      <c r="AG4669" s="10"/>
      <c r="AH4669" s="10"/>
      <c r="AI4669" s="10"/>
      <c r="AJ4669" s="10"/>
      <c r="AK4669" s="10"/>
      <c r="AL4669" s="10"/>
      <c r="AM4669" s="10"/>
      <c r="AN4669" s="10"/>
      <c r="AO4669" s="10"/>
      <c r="AP4669" s="10"/>
      <c r="AQ4669" s="10"/>
      <c r="AR4669" s="10"/>
      <c r="AS4669" s="10"/>
      <c r="AT4669" s="10"/>
      <c r="AU4669" s="10"/>
      <c r="AV4669" s="10"/>
      <c r="AW4669" s="10"/>
      <c r="AX4669" s="10"/>
      <c r="AY4669" s="10"/>
      <c r="AZ4669" s="10"/>
    </row>
    <row r="4670" spans="31:52">
      <c r="AE4670" s="10"/>
      <c r="AF4670" s="10"/>
      <c r="AG4670" s="10"/>
      <c r="AH4670" s="10"/>
      <c r="AI4670" s="10"/>
      <c r="AJ4670" s="10"/>
      <c r="AK4670" s="10"/>
      <c r="AL4670" s="10"/>
      <c r="AM4670" s="10"/>
      <c r="AN4670" s="10"/>
      <c r="AO4670" s="10"/>
      <c r="AP4670" s="10"/>
      <c r="AQ4670" s="10"/>
      <c r="AR4670" s="10"/>
      <c r="AS4670" s="10"/>
      <c r="AT4670" s="10"/>
      <c r="AU4670" s="10"/>
      <c r="AV4670" s="10"/>
      <c r="AW4670" s="10"/>
      <c r="AX4670" s="10"/>
      <c r="AY4670" s="10"/>
      <c r="AZ4670" s="10"/>
    </row>
    <row r="4671" spans="31:52">
      <c r="AE4671" s="10"/>
      <c r="AF4671" s="10"/>
      <c r="AG4671" s="10"/>
      <c r="AH4671" s="10"/>
      <c r="AI4671" s="10"/>
      <c r="AJ4671" s="10"/>
      <c r="AK4671" s="10"/>
      <c r="AL4671" s="10"/>
      <c r="AM4671" s="10"/>
      <c r="AN4671" s="10"/>
      <c r="AO4671" s="10"/>
      <c r="AP4671" s="10"/>
      <c r="AQ4671" s="10"/>
      <c r="AR4671" s="10"/>
      <c r="AS4671" s="10"/>
      <c r="AT4671" s="10"/>
      <c r="AU4671" s="10"/>
      <c r="AV4671" s="10"/>
      <c r="AW4671" s="10"/>
      <c r="AX4671" s="10"/>
      <c r="AY4671" s="10"/>
      <c r="AZ4671" s="10"/>
    </row>
    <row r="4672" spans="31:52">
      <c r="AE4672" s="10"/>
      <c r="AF4672" s="10"/>
      <c r="AG4672" s="10"/>
      <c r="AH4672" s="10"/>
      <c r="AI4672" s="10"/>
      <c r="AJ4672" s="10"/>
      <c r="AK4672" s="10"/>
      <c r="AL4672" s="10"/>
      <c r="AM4672" s="10"/>
      <c r="AN4672" s="10"/>
      <c r="AO4672" s="10"/>
      <c r="AP4672" s="10"/>
      <c r="AQ4672" s="10"/>
      <c r="AR4672" s="10"/>
      <c r="AS4672" s="10"/>
      <c r="AT4672" s="10"/>
      <c r="AU4672" s="10"/>
      <c r="AV4672" s="10"/>
      <c r="AW4672" s="10"/>
      <c r="AX4672" s="10"/>
      <c r="AY4672" s="10"/>
      <c r="AZ4672" s="10"/>
    </row>
    <row r="4673" spans="31:52">
      <c r="AE4673" s="10"/>
      <c r="AF4673" s="10"/>
      <c r="AG4673" s="10"/>
      <c r="AH4673" s="10"/>
      <c r="AI4673" s="10"/>
      <c r="AJ4673" s="10"/>
      <c r="AK4673" s="10"/>
      <c r="AL4673" s="10"/>
      <c r="AM4673" s="10"/>
      <c r="AN4673" s="10"/>
      <c r="AO4673" s="10"/>
      <c r="AP4673" s="10"/>
      <c r="AQ4673" s="10"/>
      <c r="AR4673" s="10"/>
      <c r="AS4673" s="10"/>
      <c r="AT4673" s="10"/>
      <c r="AU4673" s="10"/>
      <c r="AV4673" s="10"/>
      <c r="AW4673" s="10"/>
      <c r="AX4673" s="10"/>
      <c r="AY4673" s="10"/>
      <c r="AZ4673" s="10"/>
    </row>
    <row r="4674" spans="31:52">
      <c r="AE4674" s="10"/>
      <c r="AF4674" s="10"/>
      <c r="AG4674" s="10"/>
      <c r="AH4674" s="10"/>
      <c r="AI4674" s="10"/>
      <c r="AJ4674" s="10"/>
      <c r="AK4674" s="10"/>
      <c r="AL4674" s="10"/>
      <c r="AM4674" s="10"/>
      <c r="AN4674" s="10"/>
      <c r="AO4674" s="10"/>
      <c r="AP4674" s="10"/>
      <c r="AQ4674" s="10"/>
      <c r="AR4674" s="10"/>
      <c r="AS4674" s="10"/>
      <c r="AT4674" s="10"/>
      <c r="AU4674" s="10"/>
      <c r="AV4674" s="10"/>
      <c r="AW4674" s="10"/>
      <c r="AX4674" s="10"/>
      <c r="AY4674" s="10"/>
      <c r="AZ4674" s="10"/>
    </row>
    <row r="4675" spans="31:52">
      <c r="AE4675" s="10"/>
      <c r="AF4675" s="10"/>
      <c r="AG4675" s="10"/>
      <c r="AH4675" s="10"/>
      <c r="AI4675" s="10"/>
      <c r="AJ4675" s="10"/>
      <c r="AK4675" s="10"/>
      <c r="AL4675" s="10"/>
      <c r="AM4675" s="10"/>
      <c r="AN4675" s="10"/>
      <c r="AO4675" s="10"/>
      <c r="AP4675" s="10"/>
      <c r="AQ4675" s="10"/>
      <c r="AR4675" s="10"/>
      <c r="AS4675" s="10"/>
      <c r="AT4675" s="10"/>
      <c r="AU4675" s="10"/>
      <c r="AV4675" s="10"/>
      <c r="AW4675" s="10"/>
      <c r="AX4675" s="10"/>
      <c r="AY4675" s="10"/>
      <c r="AZ4675" s="10"/>
    </row>
    <row r="4676" spans="31:52">
      <c r="AE4676" s="10"/>
      <c r="AF4676" s="10"/>
      <c r="AG4676" s="10"/>
      <c r="AH4676" s="10"/>
      <c r="AI4676" s="10"/>
      <c r="AJ4676" s="10"/>
      <c r="AK4676" s="10"/>
      <c r="AL4676" s="10"/>
      <c r="AM4676" s="10"/>
      <c r="AN4676" s="10"/>
      <c r="AO4676" s="10"/>
      <c r="AP4676" s="10"/>
      <c r="AQ4676" s="10"/>
      <c r="AR4676" s="10"/>
      <c r="AS4676" s="10"/>
      <c r="AT4676" s="10"/>
      <c r="AU4676" s="10"/>
      <c r="AV4676" s="10"/>
      <c r="AW4676" s="10"/>
      <c r="AX4676" s="10"/>
      <c r="AY4676" s="10"/>
      <c r="AZ4676" s="10"/>
    </row>
    <row r="4677" spans="31:52">
      <c r="AE4677" s="10"/>
      <c r="AF4677" s="10"/>
      <c r="AG4677" s="10"/>
      <c r="AH4677" s="10"/>
      <c r="AI4677" s="10"/>
      <c r="AJ4677" s="10"/>
      <c r="AK4677" s="10"/>
      <c r="AL4677" s="10"/>
      <c r="AM4677" s="10"/>
      <c r="AN4677" s="10"/>
      <c r="AO4677" s="10"/>
      <c r="AP4677" s="10"/>
      <c r="AQ4677" s="10"/>
      <c r="AR4677" s="10"/>
      <c r="AS4677" s="10"/>
      <c r="AT4677" s="10"/>
      <c r="AU4677" s="10"/>
      <c r="AV4677" s="10"/>
      <c r="AW4677" s="10"/>
      <c r="AX4677" s="10"/>
      <c r="AY4677" s="10"/>
      <c r="AZ4677" s="10"/>
    </row>
    <row r="4678" spans="31:52">
      <c r="AE4678" s="10"/>
      <c r="AF4678" s="10"/>
      <c r="AG4678" s="10"/>
      <c r="AH4678" s="10"/>
      <c r="AI4678" s="10"/>
      <c r="AJ4678" s="10"/>
      <c r="AK4678" s="10"/>
      <c r="AL4678" s="10"/>
      <c r="AM4678" s="10"/>
      <c r="AN4678" s="10"/>
      <c r="AO4678" s="10"/>
      <c r="AP4678" s="10"/>
      <c r="AQ4678" s="10"/>
      <c r="AR4678" s="10"/>
      <c r="AS4678" s="10"/>
      <c r="AT4678" s="10"/>
      <c r="AU4678" s="10"/>
      <c r="AV4678" s="10"/>
      <c r="AW4678" s="10"/>
      <c r="AX4678" s="10"/>
      <c r="AY4678" s="10"/>
      <c r="AZ4678" s="10"/>
    </row>
    <row r="4679" spans="31:52">
      <c r="AE4679" s="10"/>
      <c r="AF4679" s="10"/>
      <c r="AG4679" s="10"/>
      <c r="AH4679" s="10"/>
      <c r="AI4679" s="10"/>
      <c r="AJ4679" s="10"/>
      <c r="AK4679" s="10"/>
      <c r="AL4679" s="10"/>
      <c r="AM4679" s="10"/>
      <c r="AN4679" s="10"/>
      <c r="AO4679" s="10"/>
      <c r="AP4679" s="10"/>
      <c r="AQ4679" s="10"/>
      <c r="AR4679" s="10"/>
      <c r="AS4679" s="10"/>
      <c r="AT4679" s="10"/>
      <c r="AU4679" s="10"/>
      <c r="AV4679" s="10"/>
      <c r="AW4679" s="10"/>
      <c r="AX4679" s="10"/>
      <c r="AY4679" s="10"/>
      <c r="AZ4679" s="10"/>
    </row>
    <row r="4680" spans="31:52">
      <c r="AE4680" s="10"/>
      <c r="AF4680" s="10"/>
      <c r="AG4680" s="10"/>
      <c r="AH4680" s="10"/>
      <c r="AI4680" s="10"/>
      <c r="AJ4680" s="10"/>
      <c r="AK4680" s="10"/>
      <c r="AL4680" s="10"/>
      <c r="AM4680" s="10"/>
      <c r="AN4680" s="10"/>
      <c r="AO4680" s="10"/>
      <c r="AP4680" s="10"/>
      <c r="AQ4680" s="10"/>
      <c r="AR4680" s="10"/>
      <c r="AS4680" s="10"/>
      <c r="AT4680" s="10"/>
      <c r="AU4680" s="10"/>
      <c r="AV4680" s="10"/>
      <c r="AW4680" s="10"/>
      <c r="AX4680" s="10"/>
      <c r="AY4680" s="10"/>
      <c r="AZ4680" s="10"/>
    </row>
    <row r="4681" spans="31:52">
      <c r="AE4681" s="10"/>
      <c r="AF4681" s="10"/>
      <c r="AG4681" s="10"/>
      <c r="AH4681" s="10"/>
      <c r="AI4681" s="10"/>
      <c r="AJ4681" s="10"/>
      <c r="AK4681" s="10"/>
      <c r="AL4681" s="10"/>
      <c r="AM4681" s="10"/>
      <c r="AN4681" s="10"/>
      <c r="AO4681" s="10"/>
      <c r="AP4681" s="10"/>
      <c r="AQ4681" s="10"/>
      <c r="AR4681" s="10"/>
      <c r="AS4681" s="10"/>
      <c r="AT4681" s="10"/>
      <c r="AU4681" s="10"/>
      <c r="AV4681" s="10"/>
      <c r="AW4681" s="10"/>
      <c r="AX4681" s="10"/>
      <c r="AY4681" s="10"/>
      <c r="AZ4681" s="10"/>
    </row>
    <row r="4682" spans="31:52">
      <c r="AE4682" s="10"/>
      <c r="AF4682" s="10"/>
      <c r="AG4682" s="10"/>
      <c r="AH4682" s="10"/>
      <c r="AI4682" s="10"/>
      <c r="AJ4682" s="10"/>
      <c r="AK4682" s="10"/>
      <c r="AL4682" s="10"/>
      <c r="AM4682" s="10"/>
      <c r="AN4682" s="10"/>
      <c r="AO4682" s="10"/>
      <c r="AP4682" s="10"/>
      <c r="AQ4682" s="10"/>
      <c r="AR4682" s="10"/>
      <c r="AS4682" s="10"/>
      <c r="AT4682" s="10"/>
      <c r="AU4682" s="10"/>
      <c r="AV4682" s="10"/>
      <c r="AW4682" s="10"/>
      <c r="AX4682" s="10"/>
      <c r="AY4682" s="10"/>
      <c r="AZ4682" s="10"/>
    </row>
    <row r="4683" spans="31:52">
      <c r="AE4683" s="10"/>
      <c r="AF4683" s="10"/>
      <c r="AG4683" s="10"/>
      <c r="AH4683" s="10"/>
      <c r="AI4683" s="10"/>
      <c r="AJ4683" s="10"/>
      <c r="AK4683" s="10"/>
      <c r="AL4683" s="10"/>
      <c r="AM4683" s="10"/>
      <c r="AN4683" s="10"/>
      <c r="AO4683" s="10"/>
      <c r="AP4683" s="10"/>
      <c r="AQ4683" s="10"/>
      <c r="AR4683" s="10"/>
      <c r="AS4683" s="10"/>
      <c r="AT4683" s="10"/>
      <c r="AU4683" s="10"/>
      <c r="AV4683" s="10"/>
      <c r="AW4683" s="10"/>
      <c r="AX4683" s="10"/>
      <c r="AY4683" s="10"/>
      <c r="AZ4683" s="10"/>
    </row>
    <row r="4684" spans="31:52">
      <c r="AE4684" s="10"/>
      <c r="AF4684" s="10"/>
      <c r="AG4684" s="10"/>
      <c r="AH4684" s="10"/>
      <c r="AI4684" s="10"/>
      <c r="AJ4684" s="10"/>
      <c r="AK4684" s="10"/>
      <c r="AL4684" s="10"/>
      <c r="AM4684" s="10"/>
      <c r="AN4684" s="10"/>
      <c r="AO4684" s="10"/>
      <c r="AP4684" s="10"/>
      <c r="AQ4684" s="10"/>
      <c r="AR4684" s="10"/>
      <c r="AS4684" s="10"/>
      <c r="AT4684" s="10"/>
      <c r="AU4684" s="10"/>
      <c r="AV4684" s="10"/>
      <c r="AW4684" s="10"/>
      <c r="AX4684" s="10"/>
      <c r="AY4684" s="10"/>
      <c r="AZ4684" s="10"/>
    </row>
    <row r="4685" spans="31:52">
      <c r="AE4685" s="10"/>
      <c r="AF4685" s="10"/>
      <c r="AG4685" s="10"/>
      <c r="AH4685" s="10"/>
      <c r="AI4685" s="10"/>
      <c r="AJ4685" s="10"/>
      <c r="AK4685" s="10"/>
      <c r="AL4685" s="10"/>
      <c r="AM4685" s="10"/>
      <c r="AN4685" s="10"/>
      <c r="AO4685" s="10"/>
      <c r="AP4685" s="10"/>
      <c r="AQ4685" s="10"/>
      <c r="AR4685" s="10"/>
      <c r="AS4685" s="10"/>
      <c r="AT4685" s="10"/>
      <c r="AU4685" s="10"/>
      <c r="AV4685" s="10"/>
      <c r="AW4685" s="10"/>
      <c r="AX4685" s="10"/>
      <c r="AY4685" s="10"/>
      <c r="AZ4685" s="10"/>
    </row>
    <row r="4686" spans="31:52">
      <c r="AE4686" s="10"/>
      <c r="AF4686" s="10"/>
      <c r="AG4686" s="10"/>
      <c r="AH4686" s="10"/>
      <c r="AI4686" s="10"/>
      <c r="AJ4686" s="10"/>
      <c r="AK4686" s="10"/>
      <c r="AL4686" s="10"/>
      <c r="AM4686" s="10"/>
      <c r="AN4686" s="10"/>
      <c r="AO4686" s="10"/>
      <c r="AP4686" s="10"/>
      <c r="AQ4686" s="10"/>
      <c r="AR4686" s="10"/>
      <c r="AS4686" s="10"/>
      <c r="AT4686" s="10"/>
      <c r="AU4686" s="10"/>
      <c r="AV4686" s="10"/>
      <c r="AW4686" s="10"/>
      <c r="AX4686" s="10"/>
      <c r="AY4686" s="10"/>
      <c r="AZ4686" s="10"/>
    </row>
    <row r="4687" spans="31:52">
      <c r="AE4687" s="10"/>
      <c r="AF4687" s="10"/>
      <c r="AG4687" s="10"/>
      <c r="AH4687" s="10"/>
      <c r="AI4687" s="10"/>
      <c r="AJ4687" s="10"/>
      <c r="AK4687" s="10"/>
      <c r="AL4687" s="10"/>
      <c r="AM4687" s="10"/>
      <c r="AN4687" s="10"/>
      <c r="AO4687" s="10"/>
      <c r="AP4687" s="10"/>
      <c r="AQ4687" s="10"/>
      <c r="AR4687" s="10"/>
      <c r="AS4687" s="10"/>
      <c r="AT4687" s="10"/>
      <c r="AU4687" s="10"/>
      <c r="AV4687" s="10"/>
      <c r="AW4687" s="10"/>
      <c r="AX4687" s="10"/>
      <c r="AY4687" s="10"/>
      <c r="AZ4687" s="10"/>
    </row>
    <row r="4688" spans="31:52">
      <c r="AE4688" s="10"/>
      <c r="AF4688" s="10"/>
      <c r="AG4688" s="10"/>
      <c r="AH4688" s="10"/>
      <c r="AI4688" s="10"/>
      <c r="AJ4688" s="10"/>
      <c r="AK4688" s="10"/>
      <c r="AL4688" s="10"/>
      <c r="AM4688" s="10"/>
      <c r="AN4688" s="10"/>
      <c r="AO4688" s="10"/>
      <c r="AP4688" s="10"/>
      <c r="AQ4688" s="10"/>
      <c r="AR4688" s="10"/>
      <c r="AS4688" s="10"/>
      <c r="AT4688" s="10"/>
      <c r="AU4688" s="10"/>
      <c r="AV4688" s="10"/>
      <c r="AW4688" s="10"/>
      <c r="AX4688" s="10"/>
      <c r="AY4688" s="10"/>
      <c r="AZ4688" s="10"/>
    </row>
    <row r="4689" spans="31:52">
      <c r="AE4689" s="10"/>
      <c r="AF4689" s="10"/>
      <c r="AG4689" s="10"/>
      <c r="AH4689" s="10"/>
      <c r="AI4689" s="10"/>
      <c r="AJ4689" s="10"/>
      <c r="AK4689" s="10"/>
      <c r="AL4689" s="10"/>
      <c r="AM4689" s="10"/>
      <c r="AN4689" s="10"/>
      <c r="AO4689" s="10"/>
      <c r="AP4689" s="10"/>
      <c r="AQ4689" s="10"/>
      <c r="AR4689" s="10"/>
      <c r="AS4689" s="10"/>
      <c r="AT4689" s="10"/>
      <c r="AU4689" s="10"/>
      <c r="AV4689" s="10"/>
      <c r="AW4689" s="10"/>
      <c r="AX4689" s="10"/>
      <c r="AY4689" s="10"/>
      <c r="AZ4689" s="10"/>
    </row>
    <row r="4690" spans="31:52">
      <c r="AE4690" s="10"/>
      <c r="AF4690" s="10"/>
      <c r="AG4690" s="10"/>
      <c r="AH4690" s="10"/>
      <c r="AI4690" s="10"/>
      <c r="AJ4690" s="10"/>
      <c r="AK4690" s="10"/>
      <c r="AL4690" s="10"/>
      <c r="AM4690" s="10"/>
      <c r="AN4690" s="10"/>
      <c r="AO4690" s="10"/>
      <c r="AP4690" s="10"/>
      <c r="AQ4690" s="10"/>
      <c r="AR4690" s="10"/>
      <c r="AS4690" s="10"/>
      <c r="AT4690" s="10"/>
      <c r="AU4690" s="10"/>
      <c r="AV4690" s="10"/>
      <c r="AW4690" s="10"/>
      <c r="AX4690" s="10"/>
      <c r="AY4690" s="10"/>
      <c r="AZ4690" s="10"/>
    </row>
    <row r="4691" spans="31:52">
      <c r="AE4691" s="10"/>
      <c r="AF4691" s="10"/>
      <c r="AG4691" s="10"/>
      <c r="AH4691" s="10"/>
      <c r="AI4691" s="10"/>
      <c r="AJ4691" s="10"/>
      <c r="AK4691" s="10"/>
      <c r="AL4691" s="10"/>
      <c r="AM4691" s="10"/>
      <c r="AN4691" s="10"/>
      <c r="AO4691" s="10"/>
      <c r="AP4691" s="10"/>
      <c r="AQ4691" s="10"/>
      <c r="AR4691" s="10"/>
      <c r="AS4691" s="10"/>
      <c r="AT4691" s="10"/>
      <c r="AU4691" s="10"/>
      <c r="AV4691" s="10"/>
      <c r="AW4691" s="10"/>
      <c r="AX4691" s="10"/>
      <c r="AY4691" s="10"/>
      <c r="AZ4691" s="10"/>
    </row>
    <row r="4692" spans="31:52">
      <c r="AE4692" s="10"/>
      <c r="AF4692" s="10"/>
      <c r="AG4692" s="10"/>
      <c r="AH4692" s="10"/>
      <c r="AI4692" s="10"/>
      <c r="AJ4692" s="10"/>
      <c r="AK4692" s="10"/>
      <c r="AL4692" s="10"/>
      <c r="AM4692" s="10"/>
      <c r="AN4692" s="10"/>
      <c r="AO4692" s="10"/>
      <c r="AP4692" s="10"/>
      <c r="AQ4692" s="10"/>
      <c r="AR4692" s="10"/>
      <c r="AS4692" s="10"/>
      <c r="AT4692" s="10"/>
      <c r="AU4692" s="10"/>
      <c r="AV4692" s="10"/>
      <c r="AW4692" s="10"/>
      <c r="AX4692" s="10"/>
      <c r="AY4692" s="10"/>
      <c r="AZ4692" s="10"/>
    </row>
    <row r="4693" spans="31:52">
      <c r="AE4693" s="10"/>
      <c r="AF4693" s="10"/>
      <c r="AG4693" s="10"/>
      <c r="AH4693" s="10"/>
      <c r="AI4693" s="10"/>
      <c r="AJ4693" s="10"/>
      <c r="AK4693" s="10"/>
      <c r="AL4693" s="10"/>
      <c r="AM4693" s="10"/>
      <c r="AN4693" s="10"/>
      <c r="AO4693" s="10"/>
      <c r="AP4693" s="10"/>
      <c r="AQ4693" s="10"/>
      <c r="AR4693" s="10"/>
      <c r="AS4693" s="10"/>
      <c r="AT4693" s="10"/>
      <c r="AU4693" s="10"/>
      <c r="AV4693" s="10"/>
      <c r="AW4693" s="10"/>
      <c r="AX4693" s="10"/>
      <c r="AY4693" s="10"/>
      <c r="AZ4693" s="10"/>
    </row>
    <row r="4694" spans="31:52">
      <c r="AE4694" s="10"/>
      <c r="AF4694" s="10"/>
      <c r="AG4694" s="10"/>
      <c r="AH4694" s="10"/>
      <c r="AI4694" s="10"/>
      <c r="AJ4694" s="10"/>
      <c r="AK4694" s="10"/>
      <c r="AL4694" s="10"/>
      <c r="AM4694" s="10"/>
      <c r="AN4694" s="10"/>
      <c r="AO4694" s="10"/>
      <c r="AP4694" s="10"/>
      <c r="AQ4694" s="10"/>
      <c r="AR4694" s="10"/>
      <c r="AS4694" s="10"/>
      <c r="AT4694" s="10"/>
      <c r="AU4694" s="10"/>
      <c r="AV4694" s="10"/>
      <c r="AW4694" s="10"/>
      <c r="AX4694" s="10"/>
      <c r="AY4694" s="10"/>
      <c r="AZ4694" s="10"/>
    </row>
    <row r="4695" spans="31:52">
      <c r="AE4695" s="10"/>
      <c r="AF4695" s="10"/>
      <c r="AG4695" s="10"/>
      <c r="AH4695" s="10"/>
      <c r="AI4695" s="10"/>
      <c r="AJ4695" s="10"/>
      <c r="AK4695" s="10"/>
      <c r="AL4695" s="10"/>
      <c r="AM4695" s="10"/>
      <c r="AN4695" s="10"/>
      <c r="AO4695" s="10"/>
      <c r="AP4695" s="10"/>
      <c r="AQ4695" s="10"/>
      <c r="AR4695" s="10"/>
      <c r="AS4695" s="10"/>
      <c r="AT4695" s="10"/>
      <c r="AU4695" s="10"/>
      <c r="AV4695" s="10"/>
      <c r="AW4695" s="10"/>
      <c r="AX4695" s="10"/>
      <c r="AY4695" s="10"/>
      <c r="AZ4695" s="10"/>
    </row>
    <row r="4696" spans="31:52">
      <c r="AE4696" s="10"/>
      <c r="AF4696" s="10"/>
      <c r="AG4696" s="10"/>
      <c r="AH4696" s="10"/>
      <c r="AI4696" s="10"/>
      <c r="AJ4696" s="10"/>
      <c r="AK4696" s="10"/>
      <c r="AL4696" s="10"/>
      <c r="AM4696" s="10"/>
      <c r="AN4696" s="10"/>
      <c r="AO4696" s="10"/>
      <c r="AP4696" s="10"/>
      <c r="AQ4696" s="10"/>
      <c r="AR4696" s="10"/>
      <c r="AS4696" s="10"/>
      <c r="AT4696" s="10"/>
      <c r="AU4696" s="10"/>
      <c r="AV4696" s="10"/>
      <c r="AW4696" s="10"/>
      <c r="AX4696" s="10"/>
      <c r="AY4696" s="10"/>
      <c r="AZ4696" s="10"/>
    </row>
    <row r="4697" spans="31:52">
      <c r="AE4697" s="10"/>
      <c r="AF4697" s="10"/>
      <c r="AG4697" s="10"/>
      <c r="AH4697" s="10"/>
      <c r="AI4697" s="10"/>
      <c r="AJ4697" s="10"/>
      <c r="AK4697" s="10"/>
      <c r="AL4697" s="10"/>
      <c r="AM4697" s="10"/>
      <c r="AN4697" s="10"/>
      <c r="AO4697" s="10"/>
      <c r="AP4697" s="10"/>
      <c r="AQ4697" s="10"/>
      <c r="AR4697" s="10"/>
      <c r="AS4697" s="10"/>
      <c r="AT4697" s="10"/>
      <c r="AU4697" s="10"/>
      <c r="AV4697" s="10"/>
      <c r="AW4697" s="10"/>
      <c r="AX4697" s="10"/>
      <c r="AY4697" s="10"/>
      <c r="AZ4697" s="10"/>
    </row>
    <row r="4698" spans="31:52">
      <c r="AE4698" s="10"/>
      <c r="AF4698" s="10"/>
      <c r="AG4698" s="10"/>
      <c r="AH4698" s="10"/>
      <c r="AI4698" s="10"/>
      <c r="AJ4698" s="10"/>
      <c r="AK4698" s="10"/>
      <c r="AL4698" s="10"/>
      <c r="AM4698" s="10"/>
      <c r="AN4698" s="10"/>
      <c r="AO4698" s="10"/>
      <c r="AP4698" s="10"/>
      <c r="AQ4698" s="10"/>
      <c r="AR4698" s="10"/>
      <c r="AS4698" s="10"/>
      <c r="AT4698" s="10"/>
      <c r="AU4698" s="10"/>
      <c r="AV4698" s="10"/>
      <c r="AW4698" s="10"/>
      <c r="AX4698" s="10"/>
      <c r="AY4698" s="10"/>
      <c r="AZ4698" s="10"/>
    </row>
    <row r="4699" spans="31:52">
      <c r="AE4699" s="10"/>
      <c r="AF4699" s="10"/>
      <c r="AG4699" s="10"/>
      <c r="AH4699" s="10"/>
      <c r="AI4699" s="10"/>
      <c r="AJ4699" s="10"/>
      <c r="AK4699" s="10"/>
      <c r="AL4699" s="10"/>
      <c r="AM4699" s="10"/>
      <c r="AN4699" s="10"/>
      <c r="AO4699" s="10"/>
      <c r="AP4699" s="10"/>
      <c r="AQ4699" s="10"/>
      <c r="AR4699" s="10"/>
      <c r="AS4699" s="10"/>
      <c r="AT4699" s="10"/>
      <c r="AU4699" s="10"/>
      <c r="AV4699" s="10"/>
      <c r="AW4699" s="10"/>
      <c r="AX4699" s="10"/>
      <c r="AY4699" s="10"/>
      <c r="AZ4699" s="10"/>
    </row>
    <row r="4700" spans="31:52">
      <c r="AE4700" s="10"/>
      <c r="AF4700" s="10"/>
      <c r="AG4700" s="10"/>
      <c r="AH4700" s="10"/>
      <c r="AI4700" s="10"/>
      <c r="AJ4700" s="10"/>
      <c r="AK4700" s="10"/>
      <c r="AL4700" s="10"/>
      <c r="AM4700" s="10"/>
      <c r="AN4700" s="10"/>
      <c r="AO4700" s="10"/>
      <c r="AP4700" s="10"/>
      <c r="AQ4700" s="10"/>
      <c r="AR4700" s="10"/>
      <c r="AS4700" s="10"/>
      <c r="AT4700" s="10"/>
      <c r="AU4700" s="10"/>
      <c r="AV4700" s="10"/>
      <c r="AW4700" s="10"/>
      <c r="AX4700" s="10"/>
      <c r="AY4700" s="10"/>
      <c r="AZ4700" s="10"/>
    </row>
    <row r="4701" spans="31:52">
      <c r="AE4701" s="10"/>
      <c r="AF4701" s="10"/>
      <c r="AG4701" s="10"/>
      <c r="AH4701" s="10"/>
      <c r="AI4701" s="10"/>
      <c r="AJ4701" s="10"/>
      <c r="AK4701" s="10"/>
      <c r="AL4701" s="10"/>
      <c r="AM4701" s="10"/>
      <c r="AN4701" s="10"/>
      <c r="AO4701" s="10"/>
      <c r="AP4701" s="10"/>
      <c r="AQ4701" s="10"/>
      <c r="AR4701" s="10"/>
      <c r="AS4701" s="10"/>
      <c r="AT4701" s="10"/>
      <c r="AU4701" s="10"/>
      <c r="AV4701" s="10"/>
      <c r="AW4701" s="10"/>
      <c r="AX4701" s="10"/>
      <c r="AY4701" s="10"/>
      <c r="AZ4701" s="10"/>
    </row>
    <row r="4702" spans="31:52">
      <c r="AE4702" s="10"/>
      <c r="AF4702" s="10"/>
      <c r="AG4702" s="10"/>
      <c r="AH4702" s="10"/>
      <c r="AI4702" s="10"/>
      <c r="AJ4702" s="10"/>
      <c r="AK4702" s="10"/>
      <c r="AL4702" s="10"/>
      <c r="AM4702" s="10"/>
      <c r="AN4702" s="10"/>
      <c r="AO4702" s="10"/>
      <c r="AP4702" s="10"/>
      <c r="AQ4702" s="10"/>
      <c r="AR4702" s="10"/>
      <c r="AS4702" s="10"/>
      <c r="AT4702" s="10"/>
      <c r="AU4702" s="10"/>
      <c r="AV4702" s="10"/>
      <c r="AW4702" s="10"/>
      <c r="AX4702" s="10"/>
      <c r="AY4702" s="10"/>
      <c r="AZ4702" s="10"/>
    </row>
    <row r="4703" spans="31:52">
      <c r="AE4703" s="10"/>
      <c r="AF4703" s="10"/>
      <c r="AG4703" s="10"/>
      <c r="AH4703" s="10"/>
      <c r="AI4703" s="10"/>
      <c r="AJ4703" s="10"/>
      <c r="AK4703" s="10"/>
      <c r="AL4703" s="10"/>
      <c r="AM4703" s="10"/>
      <c r="AN4703" s="10"/>
      <c r="AO4703" s="10"/>
      <c r="AP4703" s="10"/>
      <c r="AQ4703" s="10"/>
      <c r="AR4703" s="10"/>
      <c r="AS4703" s="10"/>
      <c r="AT4703" s="10"/>
      <c r="AU4703" s="10"/>
      <c r="AV4703" s="10"/>
      <c r="AW4703" s="10"/>
      <c r="AX4703" s="10"/>
      <c r="AY4703" s="10"/>
      <c r="AZ4703" s="10"/>
    </row>
    <row r="4704" spans="31:52">
      <c r="AE4704" s="10"/>
      <c r="AF4704" s="10"/>
      <c r="AG4704" s="10"/>
      <c r="AH4704" s="10"/>
      <c r="AI4704" s="10"/>
      <c r="AJ4704" s="10"/>
      <c r="AK4704" s="10"/>
      <c r="AL4704" s="10"/>
      <c r="AM4704" s="10"/>
      <c r="AN4704" s="10"/>
      <c r="AO4704" s="10"/>
      <c r="AP4704" s="10"/>
      <c r="AQ4704" s="10"/>
      <c r="AR4704" s="10"/>
      <c r="AS4704" s="10"/>
      <c r="AT4704" s="10"/>
      <c r="AU4704" s="10"/>
      <c r="AV4704" s="10"/>
      <c r="AW4704" s="10"/>
      <c r="AX4704" s="10"/>
      <c r="AY4704" s="10"/>
      <c r="AZ4704" s="10"/>
    </row>
    <row r="4705" spans="31:52">
      <c r="AE4705" s="10"/>
      <c r="AF4705" s="10"/>
      <c r="AG4705" s="10"/>
      <c r="AH4705" s="10"/>
      <c r="AI4705" s="10"/>
      <c r="AJ4705" s="10"/>
      <c r="AK4705" s="10"/>
      <c r="AL4705" s="10"/>
      <c r="AM4705" s="10"/>
      <c r="AN4705" s="10"/>
      <c r="AO4705" s="10"/>
      <c r="AP4705" s="10"/>
      <c r="AQ4705" s="10"/>
      <c r="AR4705" s="10"/>
      <c r="AS4705" s="10"/>
      <c r="AT4705" s="10"/>
      <c r="AU4705" s="10"/>
      <c r="AV4705" s="10"/>
      <c r="AW4705" s="10"/>
      <c r="AX4705" s="10"/>
      <c r="AY4705" s="10"/>
      <c r="AZ4705" s="10"/>
    </row>
    <row r="4706" spans="31:52">
      <c r="AE4706" s="10"/>
      <c r="AF4706" s="10"/>
      <c r="AG4706" s="10"/>
      <c r="AH4706" s="10"/>
      <c r="AI4706" s="10"/>
      <c r="AJ4706" s="10"/>
      <c r="AK4706" s="10"/>
      <c r="AL4706" s="10"/>
      <c r="AM4706" s="10"/>
      <c r="AN4706" s="10"/>
      <c r="AO4706" s="10"/>
      <c r="AP4706" s="10"/>
      <c r="AQ4706" s="10"/>
      <c r="AR4706" s="10"/>
      <c r="AS4706" s="10"/>
      <c r="AT4706" s="10"/>
      <c r="AU4706" s="10"/>
      <c r="AV4706" s="10"/>
      <c r="AW4706" s="10"/>
      <c r="AX4706" s="10"/>
      <c r="AY4706" s="10"/>
      <c r="AZ4706" s="10"/>
    </row>
    <row r="4707" spans="31:52">
      <c r="AE4707" s="10"/>
      <c r="AF4707" s="10"/>
      <c r="AG4707" s="10"/>
      <c r="AH4707" s="10"/>
      <c r="AI4707" s="10"/>
      <c r="AJ4707" s="10"/>
      <c r="AK4707" s="10"/>
      <c r="AL4707" s="10"/>
      <c r="AM4707" s="10"/>
      <c r="AN4707" s="10"/>
      <c r="AO4707" s="10"/>
      <c r="AP4707" s="10"/>
      <c r="AQ4707" s="10"/>
      <c r="AR4707" s="10"/>
      <c r="AS4707" s="10"/>
      <c r="AT4707" s="10"/>
      <c r="AU4707" s="10"/>
      <c r="AV4707" s="10"/>
      <c r="AW4707" s="10"/>
      <c r="AX4707" s="10"/>
      <c r="AY4707" s="10"/>
      <c r="AZ4707" s="10"/>
    </row>
    <row r="4708" spans="31:52">
      <c r="AE4708" s="10"/>
      <c r="AF4708" s="10"/>
      <c r="AG4708" s="10"/>
      <c r="AH4708" s="10"/>
      <c r="AI4708" s="10"/>
      <c r="AJ4708" s="10"/>
      <c r="AK4708" s="10"/>
      <c r="AL4708" s="10"/>
      <c r="AM4708" s="10"/>
      <c r="AN4708" s="10"/>
      <c r="AO4708" s="10"/>
      <c r="AP4708" s="10"/>
      <c r="AQ4708" s="10"/>
      <c r="AR4708" s="10"/>
      <c r="AS4708" s="10"/>
      <c r="AT4708" s="10"/>
      <c r="AU4708" s="10"/>
      <c r="AV4708" s="10"/>
      <c r="AW4708" s="10"/>
      <c r="AX4708" s="10"/>
      <c r="AY4708" s="10"/>
      <c r="AZ4708" s="10"/>
    </row>
    <row r="4709" spans="31:52">
      <c r="AE4709" s="10"/>
      <c r="AF4709" s="10"/>
      <c r="AG4709" s="10"/>
      <c r="AH4709" s="10"/>
      <c r="AI4709" s="10"/>
      <c r="AJ4709" s="10"/>
      <c r="AK4709" s="10"/>
      <c r="AL4709" s="10"/>
      <c r="AM4709" s="10"/>
      <c r="AN4709" s="10"/>
      <c r="AO4709" s="10"/>
      <c r="AP4709" s="10"/>
      <c r="AQ4709" s="10"/>
      <c r="AR4709" s="10"/>
      <c r="AS4709" s="10"/>
      <c r="AT4709" s="10"/>
      <c r="AU4709" s="10"/>
      <c r="AV4709" s="10"/>
      <c r="AW4709" s="10"/>
      <c r="AX4709" s="10"/>
      <c r="AY4709" s="10"/>
      <c r="AZ4709" s="10"/>
    </row>
    <row r="4710" spans="31:52">
      <c r="AE4710" s="10"/>
      <c r="AF4710" s="10"/>
      <c r="AG4710" s="10"/>
      <c r="AH4710" s="10"/>
      <c r="AI4710" s="10"/>
      <c r="AJ4710" s="10"/>
      <c r="AK4710" s="10"/>
      <c r="AL4710" s="10"/>
      <c r="AM4710" s="10"/>
      <c r="AN4710" s="10"/>
      <c r="AO4710" s="10"/>
      <c r="AP4710" s="10"/>
      <c r="AQ4710" s="10"/>
      <c r="AR4710" s="10"/>
      <c r="AS4710" s="10"/>
      <c r="AT4710" s="10"/>
      <c r="AU4710" s="10"/>
      <c r="AV4710" s="10"/>
      <c r="AW4710" s="10"/>
      <c r="AX4710" s="10"/>
      <c r="AY4710" s="10"/>
      <c r="AZ4710" s="10"/>
    </row>
    <row r="4711" spans="31:52">
      <c r="AE4711" s="10"/>
      <c r="AF4711" s="10"/>
      <c r="AG4711" s="10"/>
      <c r="AH4711" s="10"/>
      <c r="AI4711" s="10"/>
      <c r="AJ4711" s="10"/>
      <c r="AK4711" s="10"/>
      <c r="AL4711" s="10"/>
      <c r="AM4711" s="10"/>
      <c r="AN4711" s="10"/>
      <c r="AO4711" s="10"/>
      <c r="AP4711" s="10"/>
      <c r="AQ4711" s="10"/>
      <c r="AR4711" s="10"/>
      <c r="AS4711" s="10"/>
      <c r="AT4711" s="10"/>
      <c r="AU4711" s="10"/>
      <c r="AV4711" s="10"/>
      <c r="AW4711" s="10"/>
      <c r="AX4711" s="10"/>
      <c r="AY4711" s="10"/>
      <c r="AZ4711" s="10"/>
    </row>
    <row r="4712" spans="31:52">
      <c r="AE4712" s="10"/>
      <c r="AF4712" s="10"/>
      <c r="AG4712" s="10"/>
      <c r="AH4712" s="10"/>
      <c r="AI4712" s="10"/>
      <c r="AJ4712" s="10"/>
      <c r="AK4712" s="10"/>
      <c r="AL4712" s="10"/>
      <c r="AM4712" s="10"/>
      <c r="AN4712" s="10"/>
      <c r="AO4712" s="10"/>
      <c r="AP4712" s="10"/>
      <c r="AQ4712" s="10"/>
      <c r="AR4712" s="10"/>
      <c r="AS4712" s="10"/>
      <c r="AT4712" s="10"/>
      <c r="AU4712" s="10"/>
      <c r="AV4712" s="10"/>
      <c r="AW4712" s="10"/>
      <c r="AX4712" s="10"/>
      <c r="AY4712" s="10"/>
      <c r="AZ4712" s="10"/>
    </row>
    <row r="4713" spans="31:52">
      <c r="AE4713" s="10"/>
      <c r="AF4713" s="10"/>
      <c r="AG4713" s="10"/>
      <c r="AH4713" s="10"/>
      <c r="AI4713" s="10"/>
      <c r="AJ4713" s="10"/>
      <c r="AK4713" s="10"/>
      <c r="AL4713" s="10"/>
      <c r="AM4713" s="10"/>
      <c r="AN4713" s="10"/>
      <c r="AO4713" s="10"/>
      <c r="AP4713" s="10"/>
      <c r="AQ4713" s="10"/>
      <c r="AR4713" s="10"/>
      <c r="AS4713" s="10"/>
      <c r="AT4713" s="10"/>
      <c r="AU4713" s="10"/>
      <c r="AV4713" s="10"/>
      <c r="AW4713" s="10"/>
      <c r="AX4713" s="10"/>
      <c r="AY4713" s="10"/>
      <c r="AZ4713" s="10"/>
    </row>
    <row r="4714" spans="31:52">
      <c r="AE4714" s="10"/>
      <c r="AF4714" s="10"/>
      <c r="AG4714" s="10"/>
      <c r="AH4714" s="10"/>
      <c r="AI4714" s="10"/>
      <c r="AJ4714" s="10"/>
      <c r="AK4714" s="10"/>
      <c r="AL4714" s="10"/>
      <c r="AM4714" s="10"/>
      <c r="AN4714" s="10"/>
      <c r="AO4714" s="10"/>
      <c r="AP4714" s="10"/>
      <c r="AQ4714" s="10"/>
      <c r="AR4714" s="10"/>
      <c r="AS4714" s="10"/>
      <c r="AT4714" s="10"/>
      <c r="AU4714" s="10"/>
      <c r="AV4714" s="10"/>
      <c r="AW4714" s="10"/>
      <c r="AX4714" s="10"/>
      <c r="AY4714" s="10"/>
      <c r="AZ4714" s="10"/>
    </row>
    <row r="4715" spans="31:52">
      <c r="AE4715" s="10"/>
      <c r="AF4715" s="10"/>
      <c r="AG4715" s="10"/>
      <c r="AH4715" s="10"/>
      <c r="AI4715" s="10"/>
      <c r="AJ4715" s="10"/>
      <c r="AK4715" s="10"/>
      <c r="AL4715" s="10"/>
      <c r="AM4715" s="10"/>
      <c r="AN4715" s="10"/>
      <c r="AO4715" s="10"/>
      <c r="AP4715" s="10"/>
      <c r="AQ4715" s="10"/>
      <c r="AR4715" s="10"/>
      <c r="AS4715" s="10"/>
      <c r="AT4715" s="10"/>
      <c r="AU4715" s="10"/>
      <c r="AV4715" s="10"/>
      <c r="AW4715" s="10"/>
      <c r="AX4715" s="10"/>
      <c r="AY4715" s="10"/>
      <c r="AZ4715" s="10"/>
    </row>
    <row r="4716" spans="31:52">
      <c r="AE4716" s="10"/>
      <c r="AF4716" s="10"/>
      <c r="AG4716" s="10"/>
      <c r="AH4716" s="10"/>
      <c r="AI4716" s="10"/>
      <c r="AJ4716" s="10"/>
      <c r="AK4716" s="10"/>
      <c r="AL4716" s="10"/>
      <c r="AM4716" s="10"/>
      <c r="AN4716" s="10"/>
      <c r="AO4716" s="10"/>
      <c r="AP4716" s="10"/>
      <c r="AQ4716" s="10"/>
      <c r="AR4716" s="10"/>
      <c r="AS4716" s="10"/>
      <c r="AT4716" s="10"/>
      <c r="AU4716" s="10"/>
      <c r="AV4716" s="10"/>
      <c r="AW4716" s="10"/>
      <c r="AX4716" s="10"/>
      <c r="AY4716" s="10"/>
      <c r="AZ4716" s="10"/>
    </row>
    <row r="4717" spans="31:52">
      <c r="AE4717" s="10"/>
      <c r="AF4717" s="10"/>
      <c r="AG4717" s="10"/>
      <c r="AH4717" s="10"/>
      <c r="AI4717" s="10"/>
      <c r="AJ4717" s="10"/>
      <c r="AK4717" s="10"/>
      <c r="AL4717" s="10"/>
      <c r="AM4717" s="10"/>
      <c r="AN4717" s="10"/>
      <c r="AO4717" s="10"/>
      <c r="AP4717" s="10"/>
      <c r="AQ4717" s="10"/>
      <c r="AR4717" s="10"/>
      <c r="AS4717" s="10"/>
      <c r="AT4717" s="10"/>
      <c r="AU4717" s="10"/>
      <c r="AV4717" s="10"/>
      <c r="AW4717" s="10"/>
      <c r="AX4717" s="10"/>
      <c r="AY4717" s="10"/>
      <c r="AZ4717" s="10"/>
    </row>
    <row r="4718" spans="31:52">
      <c r="AE4718" s="10"/>
      <c r="AF4718" s="10"/>
      <c r="AG4718" s="10"/>
      <c r="AH4718" s="10"/>
      <c r="AI4718" s="10"/>
      <c r="AJ4718" s="10"/>
      <c r="AK4718" s="10"/>
      <c r="AL4718" s="10"/>
      <c r="AM4718" s="10"/>
      <c r="AN4718" s="10"/>
      <c r="AO4718" s="10"/>
      <c r="AP4718" s="10"/>
      <c r="AQ4718" s="10"/>
      <c r="AR4718" s="10"/>
      <c r="AS4718" s="10"/>
      <c r="AT4718" s="10"/>
      <c r="AU4718" s="10"/>
      <c r="AV4718" s="10"/>
      <c r="AW4718" s="10"/>
      <c r="AX4718" s="10"/>
      <c r="AY4718" s="10"/>
      <c r="AZ4718" s="10"/>
    </row>
    <row r="4719" spans="31:52">
      <c r="AE4719" s="10"/>
      <c r="AF4719" s="10"/>
      <c r="AG4719" s="10"/>
      <c r="AH4719" s="10"/>
      <c r="AI4719" s="10"/>
      <c r="AJ4719" s="10"/>
      <c r="AK4719" s="10"/>
      <c r="AL4719" s="10"/>
      <c r="AM4719" s="10"/>
      <c r="AN4719" s="10"/>
      <c r="AO4719" s="10"/>
      <c r="AP4719" s="10"/>
      <c r="AQ4719" s="10"/>
      <c r="AR4719" s="10"/>
      <c r="AS4719" s="10"/>
      <c r="AT4719" s="10"/>
      <c r="AU4719" s="10"/>
      <c r="AV4719" s="10"/>
      <c r="AW4719" s="10"/>
      <c r="AX4719" s="10"/>
      <c r="AY4719" s="10"/>
      <c r="AZ4719" s="10"/>
    </row>
    <row r="4720" spans="31:52">
      <c r="AE4720" s="10"/>
      <c r="AF4720" s="10"/>
      <c r="AG4720" s="10"/>
      <c r="AH4720" s="10"/>
      <c r="AI4720" s="10"/>
      <c r="AJ4720" s="10"/>
      <c r="AK4720" s="10"/>
      <c r="AL4720" s="10"/>
      <c r="AM4720" s="10"/>
      <c r="AN4720" s="10"/>
      <c r="AO4720" s="10"/>
      <c r="AP4720" s="10"/>
      <c r="AQ4720" s="10"/>
      <c r="AR4720" s="10"/>
      <c r="AS4720" s="10"/>
      <c r="AT4720" s="10"/>
      <c r="AU4720" s="10"/>
      <c r="AV4720" s="10"/>
      <c r="AW4720" s="10"/>
      <c r="AX4720" s="10"/>
      <c r="AY4720" s="10"/>
      <c r="AZ4720" s="10"/>
    </row>
    <row r="4721" spans="31:52">
      <c r="AE4721" s="10"/>
      <c r="AF4721" s="10"/>
      <c r="AG4721" s="10"/>
      <c r="AH4721" s="10"/>
      <c r="AI4721" s="10"/>
      <c r="AJ4721" s="10"/>
      <c r="AK4721" s="10"/>
      <c r="AL4721" s="10"/>
      <c r="AM4721" s="10"/>
      <c r="AN4721" s="10"/>
      <c r="AO4721" s="10"/>
      <c r="AP4721" s="10"/>
      <c r="AQ4721" s="10"/>
      <c r="AR4721" s="10"/>
      <c r="AS4721" s="10"/>
      <c r="AT4721" s="10"/>
      <c r="AU4721" s="10"/>
      <c r="AV4721" s="10"/>
      <c r="AW4721" s="10"/>
      <c r="AX4721" s="10"/>
      <c r="AY4721" s="10"/>
      <c r="AZ4721" s="10"/>
    </row>
    <row r="4722" spans="31:52">
      <c r="AE4722" s="10"/>
      <c r="AF4722" s="10"/>
      <c r="AG4722" s="10"/>
      <c r="AH4722" s="10"/>
      <c r="AI4722" s="10"/>
      <c r="AJ4722" s="10"/>
      <c r="AK4722" s="10"/>
      <c r="AL4722" s="10"/>
      <c r="AM4722" s="10"/>
      <c r="AN4722" s="10"/>
      <c r="AO4722" s="10"/>
      <c r="AP4722" s="10"/>
      <c r="AQ4722" s="10"/>
      <c r="AR4722" s="10"/>
      <c r="AS4722" s="10"/>
      <c r="AT4722" s="10"/>
      <c r="AU4722" s="10"/>
      <c r="AV4722" s="10"/>
      <c r="AW4722" s="10"/>
      <c r="AX4722" s="10"/>
      <c r="AY4722" s="10"/>
      <c r="AZ4722" s="10"/>
    </row>
    <row r="4723" spans="31:52">
      <c r="AE4723" s="10"/>
      <c r="AF4723" s="10"/>
      <c r="AG4723" s="10"/>
      <c r="AH4723" s="10"/>
      <c r="AI4723" s="10"/>
      <c r="AJ4723" s="10"/>
      <c r="AK4723" s="10"/>
      <c r="AL4723" s="10"/>
      <c r="AM4723" s="10"/>
      <c r="AN4723" s="10"/>
      <c r="AO4723" s="10"/>
      <c r="AP4723" s="10"/>
      <c r="AQ4723" s="10"/>
      <c r="AR4723" s="10"/>
      <c r="AS4723" s="10"/>
      <c r="AT4723" s="10"/>
      <c r="AU4723" s="10"/>
      <c r="AV4723" s="10"/>
      <c r="AW4723" s="10"/>
      <c r="AX4723" s="10"/>
      <c r="AY4723" s="10"/>
      <c r="AZ4723" s="10"/>
    </row>
    <row r="4724" spans="31:52">
      <c r="AE4724" s="10"/>
      <c r="AF4724" s="10"/>
      <c r="AG4724" s="10"/>
      <c r="AH4724" s="10"/>
      <c r="AI4724" s="10"/>
      <c r="AJ4724" s="10"/>
      <c r="AK4724" s="10"/>
      <c r="AL4724" s="10"/>
      <c r="AM4724" s="10"/>
      <c r="AN4724" s="10"/>
      <c r="AO4724" s="10"/>
      <c r="AP4724" s="10"/>
      <c r="AQ4724" s="10"/>
      <c r="AR4724" s="10"/>
      <c r="AS4724" s="10"/>
      <c r="AT4724" s="10"/>
      <c r="AU4724" s="10"/>
      <c r="AV4724" s="10"/>
      <c r="AW4724" s="10"/>
      <c r="AX4724" s="10"/>
      <c r="AY4724" s="10"/>
      <c r="AZ4724" s="10"/>
    </row>
    <row r="4725" spans="31:52">
      <c r="AE4725" s="10"/>
      <c r="AF4725" s="10"/>
      <c r="AG4725" s="10"/>
      <c r="AH4725" s="10"/>
      <c r="AI4725" s="10"/>
      <c r="AJ4725" s="10"/>
      <c r="AK4725" s="10"/>
      <c r="AL4725" s="10"/>
      <c r="AM4725" s="10"/>
      <c r="AN4725" s="10"/>
      <c r="AO4725" s="10"/>
      <c r="AP4725" s="10"/>
      <c r="AQ4725" s="10"/>
      <c r="AR4725" s="10"/>
      <c r="AS4725" s="10"/>
      <c r="AT4725" s="10"/>
      <c r="AU4725" s="10"/>
      <c r="AV4725" s="10"/>
      <c r="AW4725" s="10"/>
      <c r="AX4725" s="10"/>
      <c r="AY4725" s="10"/>
      <c r="AZ4725" s="10"/>
    </row>
    <row r="4726" spans="31:52">
      <c r="AE4726" s="10"/>
      <c r="AF4726" s="10"/>
      <c r="AG4726" s="10"/>
      <c r="AH4726" s="10"/>
      <c r="AI4726" s="10"/>
      <c r="AJ4726" s="10"/>
      <c r="AK4726" s="10"/>
      <c r="AL4726" s="10"/>
      <c r="AM4726" s="10"/>
      <c r="AN4726" s="10"/>
      <c r="AO4726" s="10"/>
      <c r="AP4726" s="10"/>
      <c r="AQ4726" s="10"/>
      <c r="AR4726" s="10"/>
      <c r="AS4726" s="10"/>
      <c r="AT4726" s="10"/>
      <c r="AU4726" s="10"/>
      <c r="AV4726" s="10"/>
      <c r="AW4726" s="10"/>
      <c r="AX4726" s="10"/>
      <c r="AY4726" s="10"/>
      <c r="AZ4726" s="10"/>
    </row>
    <row r="4727" spans="31:52">
      <c r="AE4727" s="10"/>
      <c r="AF4727" s="10"/>
      <c r="AG4727" s="10"/>
      <c r="AH4727" s="10"/>
      <c r="AI4727" s="10"/>
      <c r="AJ4727" s="10"/>
      <c r="AK4727" s="10"/>
      <c r="AL4727" s="10"/>
      <c r="AM4727" s="10"/>
      <c r="AN4727" s="10"/>
      <c r="AO4727" s="10"/>
      <c r="AP4727" s="10"/>
      <c r="AQ4727" s="10"/>
      <c r="AR4727" s="10"/>
      <c r="AS4727" s="10"/>
      <c r="AT4727" s="10"/>
      <c r="AU4727" s="10"/>
      <c r="AV4727" s="10"/>
      <c r="AW4727" s="10"/>
      <c r="AX4727" s="10"/>
      <c r="AY4727" s="10"/>
      <c r="AZ4727" s="10"/>
    </row>
    <row r="4728" spans="31:52">
      <c r="AE4728" s="10"/>
      <c r="AF4728" s="10"/>
      <c r="AG4728" s="10"/>
      <c r="AH4728" s="10"/>
      <c r="AI4728" s="10"/>
      <c r="AJ4728" s="10"/>
      <c r="AK4728" s="10"/>
      <c r="AL4728" s="10"/>
      <c r="AM4728" s="10"/>
      <c r="AN4728" s="10"/>
      <c r="AO4728" s="10"/>
      <c r="AP4728" s="10"/>
      <c r="AQ4728" s="10"/>
      <c r="AR4728" s="10"/>
      <c r="AS4728" s="10"/>
      <c r="AT4728" s="10"/>
      <c r="AU4728" s="10"/>
      <c r="AV4728" s="10"/>
      <c r="AW4728" s="10"/>
      <c r="AX4728" s="10"/>
      <c r="AY4728" s="10"/>
      <c r="AZ4728" s="10"/>
    </row>
    <row r="4729" spans="31:52">
      <c r="AE4729" s="10"/>
      <c r="AF4729" s="10"/>
      <c r="AG4729" s="10"/>
      <c r="AH4729" s="10"/>
      <c r="AI4729" s="10"/>
      <c r="AJ4729" s="10"/>
      <c r="AK4729" s="10"/>
      <c r="AL4729" s="10"/>
      <c r="AM4729" s="10"/>
      <c r="AN4729" s="10"/>
      <c r="AO4729" s="10"/>
      <c r="AP4729" s="10"/>
      <c r="AQ4729" s="10"/>
      <c r="AR4729" s="10"/>
      <c r="AS4729" s="10"/>
      <c r="AT4729" s="10"/>
      <c r="AU4729" s="10"/>
      <c r="AV4729" s="10"/>
      <c r="AW4729" s="10"/>
      <c r="AX4729" s="10"/>
      <c r="AY4729" s="10"/>
      <c r="AZ4729" s="10"/>
    </row>
    <row r="4730" spans="31:52">
      <c r="AE4730" s="10"/>
      <c r="AF4730" s="10"/>
      <c r="AG4730" s="10"/>
      <c r="AH4730" s="10"/>
      <c r="AI4730" s="10"/>
      <c r="AJ4730" s="10"/>
      <c r="AK4730" s="10"/>
      <c r="AL4730" s="10"/>
      <c r="AM4730" s="10"/>
      <c r="AN4730" s="10"/>
      <c r="AO4730" s="10"/>
      <c r="AP4730" s="10"/>
      <c r="AQ4730" s="10"/>
      <c r="AR4730" s="10"/>
      <c r="AS4730" s="10"/>
      <c r="AT4730" s="10"/>
      <c r="AU4730" s="10"/>
      <c r="AV4730" s="10"/>
      <c r="AW4730" s="10"/>
      <c r="AX4730" s="10"/>
      <c r="AY4730" s="10"/>
      <c r="AZ4730" s="10"/>
    </row>
    <row r="4731" spans="31:52">
      <c r="AE4731" s="10"/>
      <c r="AF4731" s="10"/>
      <c r="AG4731" s="10"/>
      <c r="AH4731" s="10"/>
      <c r="AI4731" s="10"/>
      <c r="AJ4731" s="10"/>
      <c r="AK4731" s="10"/>
      <c r="AL4731" s="10"/>
      <c r="AM4731" s="10"/>
      <c r="AN4731" s="10"/>
      <c r="AO4731" s="10"/>
      <c r="AP4731" s="10"/>
      <c r="AQ4731" s="10"/>
      <c r="AR4731" s="10"/>
      <c r="AS4731" s="10"/>
      <c r="AT4731" s="10"/>
      <c r="AU4731" s="10"/>
      <c r="AV4731" s="10"/>
      <c r="AW4731" s="10"/>
      <c r="AX4731" s="10"/>
      <c r="AY4731" s="10"/>
      <c r="AZ4731" s="10"/>
    </row>
    <row r="4732" spans="31:52">
      <c r="AE4732" s="10"/>
      <c r="AF4732" s="10"/>
      <c r="AG4732" s="10"/>
      <c r="AH4732" s="10"/>
      <c r="AI4732" s="10"/>
      <c r="AJ4732" s="10"/>
      <c r="AK4732" s="10"/>
      <c r="AL4732" s="10"/>
      <c r="AM4732" s="10"/>
      <c r="AN4732" s="10"/>
      <c r="AO4732" s="10"/>
      <c r="AP4732" s="10"/>
      <c r="AQ4732" s="10"/>
      <c r="AR4732" s="10"/>
      <c r="AS4732" s="10"/>
      <c r="AT4732" s="10"/>
      <c r="AU4732" s="10"/>
      <c r="AV4732" s="10"/>
      <c r="AW4732" s="10"/>
      <c r="AX4732" s="10"/>
      <c r="AY4732" s="10"/>
      <c r="AZ4732" s="10"/>
    </row>
    <row r="4733" spans="31:52">
      <c r="AE4733" s="10"/>
      <c r="AF4733" s="10"/>
      <c r="AG4733" s="10"/>
      <c r="AH4733" s="10"/>
      <c r="AI4733" s="10"/>
      <c r="AJ4733" s="10"/>
      <c r="AK4733" s="10"/>
      <c r="AL4733" s="10"/>
      <c r="AM4733" s="10"/>
      <c r="AN4733" s="10"/>
      <c r="AO4733" s="10"/>
      <c r="AP4733" s="10"/>
      <c r="AQ4733" s="10"/>
      <c r="AR4733" s="10"/>
      <c r="AS4733" s="10"/>
      <c r="AT4733" s="10"/>
      <c r="AU4733" s="10"/>
      <c r="AV4733" s="10"/>
      <c r="AW4733" s="10"/>
      <c r="AX4733" s="10"/>
      <c r="AY4733" s="10"/>
      <c r="AZ4733" s="10"/>
    </row>
    <row r="4734" spans="31:52">
      <c r="AE4734" s="10"/>
      <c r="AF4734" s="10"/>
      <c r="AG4734" s="10"/>
      <c r="AH4734" s="10"/>
      <c r="AI4734" s="10"/>
      <c r="AJ4734" s="10"/>
      <c r="AK4734" s="10"/>
      <c r="AL4734" s="10"/>
      <c r="AM4734" s="10"/>
      <c r="AN4734" s="10"/>
      <c r="AO4734" s="10"/>
      <c r="AP4734" s="10"/>
      <c r="AQ4734" s="10"/>
      <c r="AR4734" s="10"/>
      <c r="AS4734" s="10"/>
      <c r="AT4734" s="10"/>
      <c r="AU4734" s="10"/>
      <c r="AV4734" s="10"/>
      <c r="AW4734" s="10"/>
      <c r="AX4734" s="10"/>
      <c r="AY4734" s="10"/>
      <c r="AZ4734" s="10"/>
    </row>
    <row r="4735" spans="31:52">
      <c r="AE4735" s="10"/>
      <c r="AF4735" s="10"/>
      <c r="AG4735" s="10"/>
      <c r="AH4735" s="10"/>
      <c r="AI4735" s="10"/>
      <c r="AJ4735" s="10"/>
      <c r="AK4735" s="10"/>
      <c r="AL4735" s="10"/>
      <c r="AM4735" s="10"/>
      <c r="AN4735" s="10"/>
      <c r="AO4735" s="10"/>
      <c r="AP4735" s="10"/>
      <c r="AQ4735" s="10"/>
      <c r="AR4735" s="10"/>
      <c r="AS4735" s="10"/>
      <c r="AT4735" s="10"/>
      <c r="AU4735" s="10"/>
      <c r="AV4735" s="10"/>
      <c r="AW4735" s="10"/>
      <c r="AX4735" s="10"/>
      <c r="AY4735" s="10"/>
      <c r="AZ4735" s="10"/>
    </row>
    <row r="4736" spans="31:52">
      <c r="AE4736" s="10"/>
      <c r="AF4736" s="10"/>
      <c r="AG4736" s="10"/>
      <c r="AH4736" s="10"/>
      <c r="AI4736" s="10"/>
      <c r="AJ4736" s="10"/>
      <c r="AK4736" s="10"/>
      <c r="AL4736" s="10"/>
      <c r="AM4736" s="10"/>
      <c r="AN4736" s="10"/>
      <c r="AO4736" s="10"/>
      <c r="AP4736" s="10"/>
      <c r="AQ4736" s="10"/>
      <c r="AR4736" s="10"/>
      <c r="AS4736" s="10"/>
      <c r="AT4736" s="10"/>
      <c r="AU4736" s="10"/>
      <c r="AV4736" s="10"/>
      <c r="AW4736" s="10"/>
      <c r="AX4736" s="10"/>
      <c r="AY4736" s="10"/>
      <c r="AZ4736" s="10"/>
    </row>
    <row r="4737" spans="31:52">
      <c r="AE4737" s="10"/>
      <c r="AF4737" s="10"/>
      <c r="AG4737" s="10"/>
      <c r="AH4737" s="10"/>
      <c r="AI4737" s="10"/>
      <c r="AJ4737" s="10"/>
      <c r="AK4737" s="10"/>
      <c r="AL4737" s="10"/>
      <c r="AM4737" s="10"/>
      <c r="AN4737" s="10"/>
      <c r="AO4737" s="10"/>
      <c r="AP4737" s="10"/>
      <c r="AQ4737" s="10"/>
      <c r="AR4737" s="10"/>
      <c r="AS4737" s="10"/>
      <c r="AT4737" s="10"/>
      <c r="AU4737" s="10"/>
      <c r="AV4737" s="10"/>
      <c r="AW4737" s="10"/>
      <c r="AX4737" s="10"/>
      <c r="AY4737" s="10"/>
      <c r="AZ4737" s="10"/>
    </row>
    <row r="4738" spans="31:52">
      <c r="AE4738" s="10"/>
      <c r="AF4738" s="10"/>
      <c r="AG4738" s="10"/>
      <c r="AH4738" s="10"/>
      <c r="AI4738" s="10"/>
      <c r="AJ4738" s="10"/>
      <c r="AK4738" s="10"/>
      <c r="AL4738" s="10"/>
      <c r="AM4738" s="10"/>
      <c r="AN4738" s="10"/>
      <c r="AO4738" s="10"/>
      <c r="AP4738" s="10"/>
      <c r="AQ4738" s="10"/>
      <c r="AR4738" s="10"/>
      <c r="AS4738" s="10"/>
      <c r="AT4738" s="10"/>
      <c r="AU4738" s="10"/>
      <c r="AV4738" s="10"/>
      <c r="AW4738" s="10"/>
      <c r="AX4738" s="10"/>
      <c r="AY4738" s="10"/>
      <c r="AZ4738" s="10"/>
    </row>
    <row r="4739" spans="31:52">
      <c r="AE4739" s="10"/>
      <c r="AF4739" s="10"/>
      <c r="AG4739" s="10"/>
      <c r="AH4739" s="10"/>
      <c r="AI4739" s="10"/>
      <c r="AJ4739" s="10"/>
      <c r="AK4739" s="10"/>
      <c r="AL4739" s="10"/>
      <c r="AM4739" s="10"/>
      <c r="AN4739" s="10"/>
      <c r="AO4739" s="10"/>
      <c r="AP4739" s="10"/>
      <c r="AQ4739" s="10"/>
      <c r="AR4739" s="10"/>
      <c r="AS4739" s="10"/>
      <c r="AT4739" s="10"/>
      <c r="AU4739" s="10"/>
      <c r="AV4739" s="10"/>
      <c r="AW4739" s="10"/>
      <c r="AX4739" s="10"/>
      <c r="AY4739" s="10"/>
      <c r="AZ4739" s="10"/>
    </row>
    <row r="4740" spans="31:52">
      <c r="AE4740" s="10"/>
      <c r="AF4740" s="10"/>
      <c r="AG4740" s="10"/>
      <c r="AH4740" s="10"/>
      <c r="AI4740" s="10"/>
      <c r="AJ4740" s="10"/>
      <c r="AK4740" s="10"/>
      <c r="AL4740" s="10"/>
      <c r="AM4740" s="10"/>
      <c r="AN4740" s="10"/>
      <c r="AO4740" s="10"/>
      <c r="AP4740" s="10"/>
      <c r="AQ4740" s="10"/>
      <c r="AR4740" s="10"/>
      <c r="AS4740" s="10"/>
      <c r="AT4740" s="10"/>
      <c r="AU4740" s="10"/>
      <c r="AV4740" s="10"/>
      <c r="AW4740" s="10"/>
      <c r="AX4740" s="10"/>
      <c r="AY4740" s="10"/>
      <c r="AZ4740" s="10"/>
    </row>
    <row r="4741" spans="31:52">
      <c r="AE4741" s="10"/>
      <c r="AF4741" s="10"/>
      <c r="AG4741" s="10"/>
      <c r="AH4741" s="10"/>
      <c r="AI4741" s="10"/>
      <c r="AJ4741" s="10"/>
      <c r="AK4741" s="10"/>
      <c r="AL4741" s="10"/>
      <c r="AM4741" s="10"/>
      <c r="AN4741" s="10"/>
      <c r="AO4741" s="10"/>
      <c r="AP4741" s="10"/>
      <c r="AQ4741" s="10"/>
      <c r="AR4741" s="10"/>
      <c r="AS4741" s="10"/>
      <c r="AT4741" s="10"/>
      <c r="AU4741" s="10"/>
      <c r="AV4741" s="10"/>
      <c r="AW4741" s="10"/>
      <c r="AX4741" s="10"/>
      <c r="AY4741" s="10"/>
      <c r="AZ4741" s="10"/>
    </row>
    <row r="4742" spans="31:52">
      <c r="AE4742" s="10"/>
      <c r="AF4742" s="10"/>
      <c r="AG4742" s="10"/>
      <c r="AH4742" s="10"/>
      <c r="AI4742" s="10"/>
      <c r="AJ4742" s="10"/>
      <c r="AK4742" s="10"/>
      <c r="AL4742" s="10"/>
      <c r="AM4742" s="10"/>
      <c r="AN4742" s="10"/>
      <c r="AO4742" s="10"/>
      <c r="AP4742" s="10"/>
      <c r="AQ4742" s="10"/>
      <c r="AR4742" s="10"/>
      <c r="AS4742" s="10"/>
      <c r="AT4742" s="10"/>
      <c r="AU4742" s="10"/>
      <c r="AV4742" s="10"/>
      <c r="AW4742" s="10"/>
      <c r="AX4742" s="10"/>
      <c r="AY4742" s="10"/>
      <c r="AZ4742" s="10"/>
    </row>
    <row r="4743" spans="31:52">
      <c r="AE4743" s="10"/>
      <c r="AF4743" s="10"/>
      <c r="AG4743" s="10"/>
      <c r="AH4743" s="10"/>
      <c r="AI4743" s="10"/>
      <c r="AJ4743" s="10"/>
      <c r="AK4743" s="10"/>
      <c r="AL4743" s="10"/>
      <c r="AM4743" s="10"/>
      <c r="AN4743" s="10"/>
      <c r="AO4743" s="10"/>
      <c r="AP4743" s="10"/>
      <c r="AQ4743" s="10"/>
      <c r="AR4743" s="10"/>
      <c r="AS4743" s="10"/>
      <c r="AT4743" s="10"/>
      <c r="AU4743" s="10"/>
      <c r="AV4743" s="10"/>
      <c r="AW4743" s="10"/>
      <c r="AX4743" s="10"/>
      <c r="AY4743" s="10"/>
      <c r="AZ4743" s="10"/>
    </row>
    <row r="4744" spans="31:52">
      <c r="AE4744" s="10"/>
      <c r="AF4744" s="10"/>
      <c r="AG4744" s="10"/>
      <c r="AH4744" s="10"/>
      <c r="AI4744" s="10"/>
      <c r="AJ4744" s="10"/>
      <c r="AK4744" s="10"/>
      <c r="AL4744" s="10"/>
      <c r="AM4744" s="10"/>
      <c r="AN4744" s="10"/>
      <c r="AO4744" s="10"/>
      <c r="AP4744" s="10"/>
      <c r="AQ4744" s="10"/>
      <c r="AR4744" s="10"/>
      <c r="AS4744" s="10"/>
      <c r="AT4744" s="10"/>
      <c r="AU4744" s="10"/>
      <c r="AV4744" s="10"/>
      <c r="AW4744" s="10"/>
      <c r="AX4744" s="10"/>
      <c r="AY4744" s="10"/>
      <c r="AZ4744" s="10"/>
    </row>
    <row r="4745" spans="31:52">
      <c r="AE4745" s="10"/>
      <c r="AF4745" s="10"/>
      <c r="AG4745" s="10"/>
      <c r="AH4745" s="10"/>
      <c r="AI4745" s="10"/>
      <c r="AJ4745" s="10"/>
      <c r="AK4745" s="10"/>
      <c r="AL4745" s="10"/>
      <c r="AM4745" s="10"/>
      <c r="AN4745" s="10"/>
      <c r="AO4745" s="10"/>
      <c r="AP4745" s="10"/>
      <c r="AQ4745" s="10"/>
      <c r="AR4745" s="10"/>
      <c r="AS4745" s="10"/>
      <c r="AT4745" s="10"/>
      <c r="AU4745" s="10"/>
      <c r="AV4745" s="10"/>
      <c r="AW4745" s="10"/>
      <c r="AX4745" s="10"/>
      <c r="AY4745" s="10"/>
      <c r="AZ4745" s="10"/>
    </row>
    <row r="4746" spans="31:52">
      <c r="AE4746" s="10"/>
      <c r="AF4746" s="10"/>
      <c r="AG4746" s="10"/>
      <c r="AH4746" s="10"/>
      <c r="AI4746" s="10"/>
      <c r="AJ4746" s="10"/>
      <c r="AK4746" s="10"/>
      <c r="AL4746" s="10"/>
      <c r="AM4746" s="10"/>
      <c r="AN4746" s="10"/>
      <c r="AO4746" s="10"/>
      <c r="AP4746" s="10"/>
      <c r="AQ4746" s="10"/>
      <c r="AR4746" s="10"/>
      <c r="AS4746" s="10"/>
      <c r="AT4746" s="10"/>
      <c r="AU4746" s="10"/>
      <c r="AV4746" s="10"/>
      <c r="AW4746" s="10"/>
      <c r="AX4746" s="10"/>
      <c r="AY4746" s="10"/>
      <c r="AZ4746" s="10"/>
    </row>
    <row r="4747" spans="31:52">
      <c r="AE4747" s="10"/>
      <c r="AF4747" s="10"/>
      <c r="AG4747" s="10"/>
      <c r="AH4747" s="10"/>
      <c r="AI4747" s="10"/>
      <c r="AJ4747" s="10"/>
      <c r="AK4747" s="10"/>
      <c r="AL4747" s="10"/>
      <c r="AM4747" s="10"/>
      <c r="AN4747" s="10"/>
      <c r="AO4747" s="10"/>
      <c r="AP4747" s="10"/>
      <c r="AQ4747" s="10"/>
      <c r="AR4747" s="10"/>
      <c r="AS4747" s="10"/>
      <c r="AT4747" s="10"/>
      <c r="AU4747" s="10"/>
      <c r="AV4747" s="10"/>
      <c r="AW4747" s="10"/>
      <c r="AX4747" s="10"/>
      <c r="AY4747" s="10"/>
      <c r="AZ4747" s="10"/>
    </row>
    <row r="4748" spans="31:52">
      <c r="AE4748" s="10"/>
      <c r="AF4748" s="10"/>
      <c r="AG4748" s="10"/>
      <c r="AH4748" s="10"/>
      <c r="AI4748" s="10"/>
      <c r="AJ4748" s="10"/>
      <c r="AK4748" s="10"/>
      <c r="AL4748" s="10"/>
      <c r="AM4748" s="10"/>
      <c r="AN4748" s="10"/>
      <c r="AO4748" s="10"/>
      <c r="AP4748" s="10"/>
      <c r="AQ4748" s="10"/>
      <c r="AR4748" s="10"/>
      <c r="AS4748" s="10"/>
      <c r="AT4748" s="10"/>
      <c r="AU4748" s="10"/>
      <c r="AV4748" s="10"/>
      <c r="AW4748" s="10"/>
      <c r="AX4748" s="10"/>
      <c r="AY4748" s="10"/>
      <c r="AZ4748" s="10"/>
    </row>
    <row r="4749" spans="31:52">
      <c r="AE4749" s="10"/>
      <c r="AF4749" s="10"/>
      <c r="AG4749" s="10"/>
      <c r="AH4749" s="10"/>
      <c r="AI4749" s="10"/>
      <c r="AJ4749" s="10"/>
      <c r="AK4749" s="10"/>
      <c r="AL4749" s="10"/>
      <c r="AM4749" s="10"/>
      <c r="AN4749" s="10"/>
      <c r="AO4749" s="10"/>
      <c r="AP4749" s="10"/>
      <c r="AQ4749" s="10"/>
      <c r="AR4749" s="10"/>
      <c r="AS4749" s="10"/>
      <c r="AT4749" s="10"/>
      <c r="AU4749" s="10"/>
      <c r="AV4749" s="10"/>
      <c r="AW4749" s="10"/>
      <c r="AX4749" s="10"/>
      <c r="AY4749" s="10"/>
      <c r="AZ4749" s="10"/>
    </row>
    <row r="4750" spans="31:52">
      <c r="AE4750" s="10"/>
      <c r="AF4750" s="10"/>
      <c r="AG4750" s="10"/>
      <c r="AH4750" s="10"/>
      <c r="AI4750" s="10"/>
      <c r="AJ4750" s="10"/>
      <c r="AK4750" s="10"/>
      <c r="AL4750" s="10"/>
      <c r="AM4750" s="10"/>
      <c r="AN4750" s="10"/>
      <c r="AO4750" s="10"/>
      <c r="AP4750" s="10"/>
      <c r="AQ4750" s="10"/>
      <c r="AR4750" s="10"/>
      <c r="AS4750" s="10"/>
      <c r="AT4750" s="10"/>
      <c r="AU4750" s="10"/>
      <c r="AV4750" s="10"/>
      <c r="AW4750" s="10"/>
      <c r="AX4750" s="10"/>
      <c r="AY4750" s="10"/>
      <c r="AZ4750" s="10"/>
    </row>
    <row r="4751" spans="31:52">
      <c r="AE4751" s="10"/>
      <c r="AF4751" s="10"/>
      <c r="AG4751" s="10"/>
      <c r="AH4751" s="10"/>
      <c r="AI4751" s="10"/>
      <c r="AJ4751" s="10"/>
      <c r="AK4751" s="10"/>
      <c r="AL4751" s="10"/>
      <c r="AM4751" s="10"/>
      <c r="AN4751" s="10"/>
      <c r="AO4751" s="10"/>
      <c r="AP4751" s="10"/>
      <c r="AQ4751" s="10"/>
      <c r="AR4751" s="10"/>
      <c r="AS4751" s="10"/>
      <c r="AT4751" s="10"/>
      <c r="AU4751" s="10"/>
      <c r="AV4751" s="10"/>
      <c r="AW4751" s="10"/>
      <c r="AX4751" s="10"/>
      <c r="AY4751" s="10"/>
      <c r="AZ4751" s="10"/>
    </row>
    <row r="4752" spans="31:52">
      <c r="AE4752" s="10"/>
      <c r="AF4752" s="10"/>
      <c r="AG4752" s="10"/>
      <c r="AH4752" s="10"/>
      <c r="AI4752" s="10"/>
      <c r="AJ4752" s="10"/>
      <c r="AK4752" s="10"/>
      <c r="AL4752" s="10"/>
      <c r="AM4752" s="10"/>
      <c r="AN4752" s="10"/>
      <c r="AO4752" s="10"/>
      <c r="AP4752" s="10"/>
      <c r="AQ4752" s="10"/>
      <c r="AR4752" s="10"/>
      <c r="AS4752" s="10"/>
      <c r="AT4752" s="10"/>
      <c r="AU4752" s="10"/>
      <c r="AV4752" s="10"/>
      <c r="AW4752" s="10"/>
      <c r="AX4752" s="10"/>
      <c r="AY4752" s="10"/>
      <c r="AZ4752" s="10"/>
    </row>
    <row r="4753" spans="31:52">
      <c r="AE4753" s="10"/>
      <c r="AF4753" s="10"/>
      <c r="AG4753" s="10"/>
      <c r="AH4753" s="10"/>
      <c r="AI4753" s="10"/>
      <c r="AJ4753" s="10"/>
      <c r="AK4753" s="10"/>
      <c r="AL4753" s="10"/>
      <c r="AM4753" s="10"/>
      <c r="AN4753" s="10"/>
      <c r="AO4753" s="10"/>
      <c r="AP4753" s="10"/>
      <c r="AQ4753" s="10"/>
      <c r="AR4753" s="10"/>
      <c r="AS4753" s="10"/>
      <c r="AT4753" s="10"/>
      <c r="AU4753" s="10"/>
      <c r="AV4753" s="10"/>
      <c r="AW4753" s="10"/>
      <c r="AX4753" s="10"/>
      <c r="AY4753" s="10"/>
      <c r="AZ4753" s="10"/>
    </row>
    <row r="4754" spans="31:52">
      <c r="AE4754" s="10"/>
      <c r="AF4754" s="10"/>
      <c r="AG4754" s="10"/>
      <c r="AH4754" s="10"/>
      <c r="AI4754" s="10"/>
      <c r="AJ4754" s="10"/>
      <c r="AK4754" s="10"/>
      <c r="AL4754" s="10"/>
      <c r="AM4754" s="10"/>
      <c r="AN4754" s="10"/>
      <c r="AO4754" s="10"/>
      <c r="AP4754" s="10"/>
      <c r="AQ4754" s="10"/>
      <c r="AR4754" s="10"/>
      <c r="AS4754" s="10"/>
      <c r="AT4754" s="10"/>
      <c r="AU4754" s="10"/>
      <c r="AV4754" s="10"/>
      <c r="AW4754" s="10"/>
      <c r="AX4754" s="10"/>
      <c r="AY4754" s="10"/>
      <c r="AZ4754" s="10"/>
    </row>
    <row r="4755" spans="31:52">
      <c r="AE4755" s="10"/>
      <c r="AF4755" s="10"/>
      <c r="AG4755" s="10"/>
      <c r="AH4755" s="10"/>
      <c r="AI4755" s="10"/>
      <c r="AJ4755" s="10"/>
      <c r="AK4755" s="10"/>
      <c r="AL4755" s="10"/>
      <c r="AM4755" s="10"/>
      <c r="AN4755" s="10"/>
      <c r="AO4755" s="10"/>
      <c r="AP4755" s="10"/>
      <c r="AQ4755" s="10"/>
      <c r="AR4755" s="10"/>
      <c r="AS4755" s="10"/>
      <c r="AT4755" s="10"/>
      <c r="AU4755" s="10"/>
      <c r="AV4755" s="10"/>
      <c r="AW4755" s="10"/>
      <c r="AX4755" s="10"/>
      <c r="AY4755" s="10"/>
      <c r="AZ4755" s="10"/>
    </row>
    <row r="4756" spans="31:52">
      <c r="AE4756" s="10"/>
      <c r="AF4756" s="10"/>
      <c r="AG4756" s="10"/>
      <c r="AH4756" s="10"/>
      <c r="AI4756" s="10"/>
      <c r="AJ4756" s="10"/>
      <c r="AK4756" s="10"/>
      <c r="AL4756" s="10"/>
      <c r="AM4756" s="10"/>
      <c r="AN4756" s="10"/>
      <c r="AO4756" s="10"/>
      <c r="AP4756" s="10"/>
      <c r="AQ4756" s="10"/>
      <c r="AR4756" s="10"/>
      <c r="AS4756" s="10"/>
      <c r="AT4756" s="10"/>
      <c r="AU4756" s="10"/>
      <c r="AV4756" s="10"/>
      <c r="AW4756" s="10"/>
      <c r="AX4756" s="10"/>
      <c r="AY4756" s="10"/>
      <c r="AZ4756" s="10"/>
    </row>
    <row r="4757" spans="31:52">
      <c r="AE4757" s="10"/>
      <c r="AF4757" s="10"/>
      <c r="AG4757" s="10"/>
      <c r="AH4757" s="10"/>
      <c r="AI4757" s="10"/>
      <c r="AJ4757" s="10"/>
      <c r="AK4757" s="10"/>
      <c r="AL4757" s="10"/>
      <c r="AM4757" s="10"/>
      <c r="AN4757" s="10"/>
      <c r="AO4757" s="10"/>
      <c r="AP4757" s="10"/>
      <c r="AQ4757" s="10"/>
      <c r="AR4757" s="10"/>
      <c r="AS4757" s="10"/>
      <c r="AT4757" s="10"/>
      <c r="AU4757" s="10"/>
      <c r="AV4757" s="10"/>
      <c r="AW4757" s="10"/>
      <c r="AX4757" s="10"/>
      <c r="AY4757" s="10"/>
      <c r="AZ4757" s="10"/>
    </row>
    <row r="4758" spans="31:52">
      <c r="AE4758" s="10"/>
      <c r="AF4758" s="10"/>
      <c r="AG4758" s="10"/>
      <c r="AH4758" s="10"/>
      <c r="AI4758" s="10"/>
      <c r="AJ4758" s="10"/>
      <c r="AK4758" s="10"/>
      <c r="AL4758" s="10"/>
      <c r="AM4758" s="10"/>
      <c r="AN4758" s="10"/>
      <c r="AO4758" s="10"/>
      <c r="AP4758" s="10"/>
      <c r="AQ4758" s="10"/>
      <c r="AR4758" s="10"/>
      <c r="AS4758" s="10"/>
      <c r="AT4758" s="10"/>
      <c r="AU4758" s="10"/>
      <c r="AV4758" s="10"/>
      <c r="AW4758" s="10"/>
      <c r="AX4758" s="10"/>
      <c r="AY4758" s="10"/>
      <c r="AZ4758" s="10"/>
    </row>
    <row r="4759" spans="31:52">
      <c r="AE4759" s="10"/>
      <c r="AF4759" s="10"/>
      <c r="AG4759" s="10"/>
      <c r="AH4759" s="10"/>
      <c r="AI4759" s="10"/>
      <c r="AJ4759" s="10"/>
      <c r="AK4759" s="10"/>
      <c r="AL4759" s="10"/>
      <c r="AM4759" s="10"/>
      <c r="AN4759" s="10"/>
      <c r="AO4759" s="10"/>
      <c r="AP4759" s="10"/>
      <c r="AQ4759" s="10"/>
      <c r="AR4759" s="10"/>
      <c r="AS4759" s="10"/>
      <c r="AT4759" s="10"/>
      <c r="AU4759" s="10"/>
      <c r="AV4759" s="10"/>
      <c r="AW4759" s="10"/>
      <c r="AX4759" s="10"/>
      <c r="AY4759" s="10"/>
      <c r="AZ4759" s="10"/>
    </row>
    <row r="4760" spans="31:52">
      <c r="AE4760" s="10"/>
      <c r="AF4760" s="10"/>
      <c r="AG4760" s="10"/>
      <c r="AH4760" s="10"/>
      <c r="AI4760" s="10"/>
      <c r="AJ4760" s="10"/>
      <c r="AK4760" s="10"/>
      <c r="AL4760" s="10"/>
      <c r="AM4760" s="10"/>
      <c r="AN4760" s="10"/>
      <c r="AO4760" s="10"/>
      <c r="AP4760" s="10"/>
      <c r="AQ4760" s="10"/>
      <c r="AR4760" s="10"/>
      <c r="AS4760" s="10"/>
      <c r="AT4760" s="10"/>
      <c r="AU4760" s="10"/>
      <c r="AV4760" s="10"/>
      <c r="AW4760" s="10"/>
      <c r="AX4760" s="10"/>
      <c r="AY4760" s="10"/>
      <c r="AZ4760" s="10"/>
    </row>
    <row r="4761" spans="31:52">
      <c r="AE4761" s="10"/>
      <c r="AF4761" s="10"/>
      <c r="AG4761" s="10"/>
      <c r="AH4761" s="10"/>
      <c r="AI4761" s="10"/>
      <c r="AJ4761" s="10"/>
      <c r="AK4761" s="10"/>
      <c r="AL4761" s="10"/>
      <c r="AM4761" s="10"/>
      <c r="AN4761" s="10"/>
      <c r="AO4761" s="10"/>
      <c r="AP4761" s="10"/>
      <c r="AQ4761" s="10"/>
      <c r="AR4761" s="10"/>
      <c r="AS4761" s="10"/>
      <c r="AT4761" s="10"/>
      <c r="AU4761" s="10"/>
      <c r="AV4761" s="10"/>
      <c r="AW4761" s="10"/>
      <c r="AX4761" s="10"/>
      <c r="AY4761" s="10"/>
      <c r="AZ4761" s="10"/>
    </row>
    <row r="4762" spans="31:52">
      <c r="AE4762" s="10"/>
      <c r="AF4762" s="10"/>
      <c r="AG4762" s="10"/>
      <c r="AH4762" s="10"/>
      <c r="AI4762" s="10"/>
      <c r="AJ4762" s="10"/>
      <c r="AK4762" s="10"/>
      <c r="AL4762" s="10"/>
      <c r="AM4762" s="10"/>
      <c r="AN4762" s="10"/>
      <c r="AO4762" s="10"/>
      <c r="AP4762" s="10"/>
      <c r="AQ4762" s="10"/>
      <c r="AR4762" s="10"/>
      <c r="AS4762" s="10"/>
      <c r="AT4762" s="10"/>
      <c r="AU4762" s="10"/>
      <c r="AV4762" s="10"/>
      <c r="AW4762" s="10"/>
      <c r="AX4762" s="10"/>
      <c r="AY4762" s="10"/>
      <c r="AZ4762" s="10"/>
    </row>
    <row r="4763" spans="31:52">
      <c r="AE4763" s="10"/>
      <c r="AF4763" s="10"/>
      <c r="AG4763" s="10"/>
      <c r="AH4763" s="10"/>
      <c r="AI4763" s="10"/>
      <c r="AJ4763" s="10"/>
      <c r="AK4763" s="10"/>
      <c r="AL4763" s="10"/>
      <c r="AM4763" s="10"/>
      <c r="AN4763" s="10"/>
      <c r="AO4763" s="10"/>
      <c r="AP4763" s="10"/>
      <c r="AQ4763" s="10"/>
      <c r="AR4763" s="10"/>
      <c r="AS4763" s="10"/>
      <c r="AT4763" s="10"/>
      <c r="AU4763" s="10"/>
      <c r="AV4763" s="10"/>
      <c r="AW4763" s="10"/>
      <c r="AX4763" s="10"/>
      <c r="AY4763" s="10"/>
      <c r="AZ4763" s="10"/>
    </row>
    <row r="4764" spans="31:52">
      <c r="AE4764" s="10"/>
      <c r="AF4764" s="10"/>
      <c r="AG4764" s="10"/>
      <c r="AH4764" s="10"/>
      <c r="AI4764" s="10"/>
      <c r="AJ4764" s="10"/>
      <c r="AK4764" s="10"/>
      <c r="AL4764" s="10"/>
      <c r="AM4764" s="10"/>
      <c r="AN4764" s="10"/>
      <c r="AO4764" s="10"/>
      <c r="AP4764" s="10"/>
      <c r="AQ4764" s="10"/>
      <c r="AR4764" s="10"/>
      <c r="AS4764" s="10"/>
      <c r="AT4764" s="10"/>
      <c r="AU4764" s="10"/>
      <c r="AV4764" s="10"/>
      <c r="AW4764" s="10"/>
      <c r="AX4764" s="10"/>
      <c r="AY4764" s="10"/>
      <c r="AZ4764" s="10"/>
    </row>
    <row r="4765" spans="31:52">
      <c r="AE4765" s="10"/>
      <c r="AF4765" s="10"/>
      <c r="AG4765" s="10"/>
      <c r="AH4765" s="10"/>
      <c r="AI4765" s="10"/>
      <c r="AJ4765" s="10"/>
      <c r="AK4765" s="10"/>
      <c r="AL4765" s="10"/>
      <c r="AM4765" s="10"/>
      <c r="AN4765" s="10"/>
      <c r="AO4765" s="10"/>
      <c r="AP4765" s="10"/>
      <c r="AQ4765" s="10"/>
      <c r="AR4765" s="10"/>
      <c r="AS4765" s="10"/>
      <c r="AT4765" s="10"/>
      <c r="AU4765" s="10"/>
      <c r="AV4765" s="10"/>
      <c r="AW4765" s="10"/>
      <c r="AX4765" s="10"/>
      <c r="AY4765" s="10"/>
      <c r="AZ4765" s="10"/>
    </row>
    <row r="4766" spans="31:52">
      <c r="AE4766" s="10"/>
      <c r="AF4766" s="10"/>
      <c r="AG4766" s="10"/>
      <c r="AH4766" s="10"/>
      <c r="AI4766" s="10"/>
      <c r="AJ4766" s="10"/>
      <c r="AK4766" s="10"/>
      <c r="AL4766" s="10"/>
      <c r="AM4766" s="10"/>
      <c r="AN4766" s="10"/>
      <c r="AO4766" s="10"/>
      <c r="AP4766" s="10"/>
      <c r="AQ4766" s="10"/>
      <c r="AR4766" s="10"/>
      <c r="AS4766" s="10"/>
      <c r="AT4766" s="10"/>
      <c r="AU4766" s="10"/>
      <c r="AV4766" s="10"/>
      <c r="AW4766" s="10"/>
      <c r="AX4766" s="10"/>
      <c r="AY4766" s="10"/>
      <c r="AZ4766" s="10"/>
    </row>
    <row r="4767" spans="31:52">
      <c r="AE4767" s="10"/>
      <c r="AF4767" s="10"/>
      <c r="AG4767" s="10"/>
      <c r="AH4767" s="10"/>
      <c r="AI4767" s="10"/>
      <c r="AJ4767" s="10"/>
      <c r="AK4767" s="10"/>
      <c r="AL4767" s="10"/>
      <c r="AM4767" s="10"/>
      <c r="AN4767" s="10"/>
      <c r="AO4767" s="10"/>
      <c r="AP4767" s="10"/>
      <c r="AQ4767" s="10"/>
      <c r="AR4767" s="10"/>
      <c r="AS4767" s="10"/>
      <c r="AT4767" s="10"/>
      <c r="AU4767" s="10"/>
      <c r="AV4767" s="10"/>
      <c r="AW4767" s="10"/>
      <c r="AX4767" s="10"/>
      <c r="AY4767" s="10"/>
      <c r="AZ4767" s="10"/>
    </row>
    <row r="4768" spans="31:52">
      <c r="AE4768" s="10"/>
      <c r="AF4768" s="10"/>
      <c r="AG4768" s="10"/>
      <c r="AH4768" s="10"/>
      <c r="AI4768" s="10"/>
      <c r="AJ4768" s="10"/>
      <c r="AK4768" s="10"/>
      <c r="AL4768" s="10"/>
      <c r="AM4768" s="10"/>
      <c r="AN4768" s="10"/>
      <c r="AO4768" s="10"/>
      <c r="AP4768" s="10"/>
      <c r="AQ4768" s="10"/>
      <c r="AR4768" s="10"/>
      <c r="AS4768" s="10"/>
      <c r="AT4768" s="10"/>
      <c r="AU4768" s="10"/>
      <c r="AV4768" s="10"/>
      <c r="AW4768" s="10"/>
      <c r="AX4768" s="10"/>
      <c r="AY4768" s="10"/>
      <c r="AZ4768" s="10"/>
    </row>
    <row r="4769" spans="31:52">
      <c r="AE4769" s="10"/>
      <c r="AF4769" s="10"/>
      <c r="AG4769" s="10"/>
      <c r="AH4769" s="10"/>
      <c r="AI4769" s="10"/>
      <c r="AJ4769" s="10"/>
      <c r="AK4769" s="10"/>
      <c r="AL4769" s="10"/>
      <c r="AM4769" s="10"/>
      <c r="AN4769" s="10"/>
      <c r="AO4769" s="10"/>
      <c r="AP4769" s="10"/>
      <c r="AQ4769" s="10"/>
      <c r="AR4769" s="10"/>
      <c r="AS4769" s="10"/>
      <c r="AT4769" s="10"/>
      <c r="AU4769" s="10"/>
      <c r="AV4769" s="10"/>
      <c r="AW4769" s="10"/>
      <c r="AX4769" s="10"/>
      <c r="AY4769" s="10"/>
      <c r="AZ4769" s="10"/>
    </row>
    <row r="4770" spans="31:52">
      <c r="AE4770" s="10"/>
      <c r="AF4770" s="10"/>
      <c r="AG4770" s="10"/>
      <c r="AH4770" s="10"/>
      <c r="AI4770" s="10"/>
      <c r="AJ4770" s="10"/>
      <c r="AK4770" s="10"/>
      <c r="AL4770" s="10"/>
      <c r="AM4770" s="10"/>
      <c r="AN4770" s="10"/>
      <c r="AO4770" s="10"/>
      <c r="AP4770" s="10"/>
      <c r="AQ4770" s="10"/>
      <c r="AR4770" s="10"/>
      <c r="AS4770" s="10"/>
      <c r="AT4770" s="10"/>
      <c r="AU4770" s="10"/>
      <c r="AV4770" s="10"/>
      <c r="AW4770" s="10"/>
      <c r="AX4770" s="10"/>
      <c r="AY4770" s="10"/>
      <c r="AZ4770" s="10"/>
    </row>
    <row r="4771" spans="31:52">
      <c r="AE4771" s="10"/>
      <c r="AF4771" s="10"/>
      <c r="AG4771" s="10"/>
      <c r="AH4771" s="10"/>
      <c r="AI4771" s="10"/>
      <c r="AJ4771" s="10"/>
      <c r="AK4771" s="10"/>
      <c r="AL4771" s="10"/>
      <c r="AM4771" s="10"/>
      <c r="AN4771" s="10"/>
      <c r="AO4771" s="10"/>
      <c r="AP4771" s="10"/>
      <c r="AQ4771" s="10"/>
      <c r="AR4771" s="10"/>
      <c r="AS4771" s="10"/>
      <c r="AT4771" s="10"/>
      <c r="AU4771" s="10"/>
      <c r="AV4771" s="10"/>
      <c r="AW4771" s="10"/>
      <c r="AX4771" s="10"/>
      <c r="AY4771" s="10"/>
      <c r="AZ4771" s="10"/>
    </row>
    <row r="4772" spans="31:52">
      <c r="AE4772" s="10"/>
      <c r="AF4772" s="10"/>
      <c r="AG4772" s="10"/>
      <c r="AH4772" s="10"/>
      <c r="AI4772" s="10"/>
      <c r="AJ4772" s="10"/>
      <c r="AK4772" s="10"/>
      <c r="AL4772" s="10"/>
      <c r="AM4772" s="10"/>
      <c r="AN4772" s="10"/>
      <c r="AO4772" s="10"/>
      <c r="AP4772" s="10"/>
      <c r="AQ4772" s="10"/>
      <c r="AR4772" s="10"/>
      <c r="AS4772" s="10"/>
      <c r="AT4772" s="10"/>
      <c r="AU4772" s="10"/>
      <c r="AV4772" s="10"/>
      <c r="AW4772" s="10"/>
      <c r="AX4772" s="10"/>
      <c r="AY4772" s="10"/>
      <c r="AZ4772" s="10"/>
    </row>
    <row r="4773" spans="31:52">
      <c r="AE4773" s="10"/>
      <c r="AF4773" s="10"/>
      <c r="AG4773" s="10"/>
      <c r="AH4773" s="10"/>
      <c r="AI4773" s="10"/>
      <c r="AJ4773" s="10"/>
      <c r="AK4773" s="10"/>
      <c r="AL4773" s="10"/>
      <c r="AM4773" s="10"/>
      <c r="AN4773" s="10"/>
      <c r="AO4773" s="10"/>
      <c r="AP4773" s="10"/>
      <c r="AQ4773" s="10"/>
      <c r="AR4773" s="10"/>
      <c r="AS4773" s="10"/>
      <c r="AT4773" s="10"/>
      <c r="AU4773" s="10"/>
      <c r="AV4773" s="10"/>
      <c r="AW4773" s="10"/>
      <c r="AX4773" s="10"/>
      <c r="AY4773" s="10"/>
      <c r="AZ4773" s="10"/>
    </row>
    <row r="4774" spans="31:52">
      <c r="AE4774" s="10"/>
      <c r="AF4774" s="10"/>
      <c r="AG4774" s="10"/>
      <c r="AH4774" s="10"/>
      <c r="AI4774" s="10"/>
      <c r="AJ4774" s="10"/>
      <c r="AK4774" s="10"/>
      <c r="AL4774" s="10"/>
      <c r="AM4774" s="10"/>
      <c r="AN4774" s="10"/>
      <c r="AO4774" s="10"/>
      <c r="AP4774" s="10"/>
      <c r="AQ4774" s="10"/>
      <c r="AR4774" s="10"/>
      <c r="AS4774" s="10"/>
      <c r="AT4774" s="10"/>
      <c r="AU4774" s="10"/>
      <c r="AV4774" s="10"/>
      <c r="AW4774" s="10"/>
      <c r="AX4774" s="10"/>
      <c r="AY4774" s="10"/>
      <c r="AZ4774" s="10"/>
    </row>
    <row r="4775" spans="31:52">
      <c r="AE4775" s="10"/>
      <c r="AF4775" s="10"/>
      <c r="AG4775" s="10"/>
      <c r="AH4775" s="10"/>
      <c r="AI4775" s="10"/>
      <c r="AJ4775" s="10"/>
      <c r="AK4775" s="10"/>
      <c r="AL4775" s="10"/>
      <c r="AM4775" s="10"/>
      <c r="AN4775" s="10"/>
      <c r="AO4775" s="10"/>
      <c r="AP4775" s="10"/>
      <c r="AQ4775" s="10"/>
      <c r="AR4775" s="10"/>
      <c r="AS4775" s="10"/>
      <c r="AT4775" s="10"/>
      <c r="AU4775" s="10"/>
      <c r="AV4775" s="10"/>
      <c r="AW4775" s="10"/>
      <c r="AX4775" s="10"/>
      <c r="AY4775" s="10"/>
      <c r="AZ4775" s="10"/>
    </row>
    <row r="4776" spans="31:52">
      <c r="AE4776" s="10"/>
      <c r="AF4776" s="10"/>
      <c r="AG4776" s="10"/>
      <c r="AH4776" s="10"/>
      <c r="AI4776" s="10"/>
      <c r="AJ4776" s="10"/>
      <c r="AK4776" s="10"/>
      <c r="AL4776" s="10"/>
      <c r="AM4776" s="10"/>
      <c r="AN4776" s="10"/>
      <c r="AO4776" s="10"/>
      <c r="AP4776" s="10"/>
      <c r="AQ4776" s="10"/>
      <c r="AR4776" s="10"/>
      <c r="AS4776" s="10"/>
      <c r="AT4776" s="10"/>
      <c r="AU4776" s="10"/>
      <c r="AV4776" s="10"/>
      <c r="AW4776" s="10"/>
      <c r="AX4776" s="10"/>
      <c r="AY4776" s="10"/>
      <c r="AZ4776" s="10"/>
    </row>
    <row r="4777" spans="31:52">
      <c r="AE4777" s="10"/>
      <c r="AF4777" s="10"/>
      <c r="AG4777" s="10"/>
      <c r="AH4777" s="10"/>
      <c r="AI4777" s="10"/>
      <c r="AJ4777" s="10"/>
      <c r="AK4777" s="10"/>
      <c r="AL4777" s="10"/>
      <c r="AM4777" s="10"/>
      <c r="AN4777" s="10"/>
      <c r="AO4777" s="10"/>
      <c r="AP4777" s="10"/>
      <c r="AQ4777" s="10"/>
      <c r="AR4777" s="10"/>
      <c r="AS4777" s="10"/>
      <c r="AT4777" s="10"/>
      <c r="AU4777" s="10"/>
      <c r="AV4777" s="10"/>
      <c r="AW4777" s="10"/>
      <c r="AX4777" s="10"/>
      <c r="AY4777" s="10"/>
      <c r="AZ4777" s="10"/>
    </row>
    <row r="4778" spans="31:52">
      <c r="AE4778" s="10"/>
      <c r="AF4778" s="10"/>
      <c r="AG4778" s="10"/>
      <c r="AH4778" s="10"/>
      <c r="AI4778" s="10"/>
      <c r="AJ4778" s="10"/>
      <c r="AK4778" s="10"/>
      <c r="AL4778" s="10"/>
      <c r="AM4778" s="10"/>
      <c r="AN4778" s="10"/>
      <c r="AO4778" s="10"/>
      <c r="AP4778" s="10"/>
      <c r="AQ4778" s="10"/>
      <c r="AR4778" s="10"/>
      <c r="AS4778" s="10"/>
      <c r="AT4778" s="10"/>
      <c r="AU4778" s="10"/>
      <c r="AV4778" s="10"/>
      <c r="AW4778" s="10"/>
      <c r="AX4778" s="10"/>
      <c r="AY4778" s="10"/>
      <c r="AZ4778" s="10"/>
    </row>
    <row r="4779" spans="31:52">
      <c r="AE4779" s="10"/>
      <c r="AF4779" s="10"/>
      <c r="AG4779" s="10"/>
      <c r="AH4779" s="10"/>
      <c r="AI4779" s="10"/>
      <c r="AJ4779" s="10"/>
      <c r="AK4779" s="10"/>
      <c r="AL4779" s="10"/>
      <c r="AM4779" s="10"/>
      <c r="AN4779" s="10"/>
      <c r="AO4779" s="10"/>
      <c r="AP4779" s="10"/>
      <c r="AQ4779" s="10"/>
      <c r="AR4779" s="10"/>
      <c r="AS4779" s="10"/>
      <c r="AT4779" s="10"/>
      <c r="AU4779" s="10"/>
      <c r="AV4779" s="10"/>
      <c r="AW4779" s="10"/>
      <c r="AX4779" s="10"/>
      <c r="AY4779" s="10"/>
      <c r="AZ4779" s="10"/>
    </row>
    <row r="4780" spans="31:52">
      <c r="AE4780" s="10"/>
      <c r="AF4780" s="10"/>
      <c r="AG4780" s="10"/>
      <c r="AH4780" s="10"/>
      <c r="AI4780" s="10"/>
      <c r="AJ4780" s="10"/>
      <c r="AK4780" s="10"/>
      <c r="AL4780" s="10"/>
      <c r="AM4780" s="10"/>
      <c r="AN4780" s="10"/>
      <c r="AO4780" s="10"/>
      <c r="AP4780" s="10"/>
      <c r="AQ4780" s="10"/>
      <c r="AR4780" s="10"/>
      <c r="AS4780" s="10"/>
      <c r="AT4780" s="10"/>
      <c r="AU4780" s="10"/>
      <c r="AV4780" s="10"/>
      <c r="AW4780" s="10"/>
      <c r="AX4780" s="10"/>
      <c r="AY4780" s="10"/>
      <c r="AZ4780" s="10"/>
    </row>
    <row r="4781" spans="31:52">
      <c r="AE4781" s="10"/>
      <c r="AF4781" s="10"/>
      <c r="AG4781" s="10"/>
      <c r="AH4781" s="10"/>
      <c r="AI4781" s="10"/>
      <c r="AJ4781" s="10"/>
      <c r="AK4781" s="10"/>
      <c r="AL4781" s="10"/>
      <c r="AM4781" s="10"/>
      <c r="AN4781" s="10"/>
      <c r="AO4781" s="10"/>
      <c r="AP4781" s="10"/>
      <c r="AQ4781" s="10"/>
      <c r="AR4781" s="10"/>
      <c r="AS4781" s="10"/>
      <c r="AT4781" s="10"/>
      <c r="AU4781" s="10"/>
      <c r="AV4781" s="10"/>
      <c r="AW4781" s="10"/>
      <c r="AX4781" s="10"/>
      <c r="AY4781" s="10"/>
      <c r="AZ4781" s="10"/>
    </row>
    <row r="4782" spans="31:52">
      <c r="AE4782" s="10"/>
      <c r="AF4782" s="10"/>
      <c r="AG4782" s="10"/>
      <c r="AH4782" s="10"/>
      <c r="AI4782" s="10"/>
      <c r="AJ4782" s="10"/>
      <c r="AK4782" s="10"/>
      <c r="AL4782" s="10"/>
      <c r="AM4782" s="10"/>
      <c r="AN4782" s="10"/>
      <c r="AO4782" s="10"/>
      <c r="AP4782" s="10"/>
      <c r="AQ4782" s="10"/>
      <c r="AR4782" s="10"/>
      <c r="AS4782" s="10"/>
      <c r="AT4782" s="10"/>
      <c r="AU4782" s="10"/>
      <c r="AV4782" s="10"/>
      <c r="AW4782" s="10"/>
      <c r="AX4782" s="10"/>
      <c r="AY4782" s="10"/>
      <c r="AZ4782" s="10"/>
    </row>
    <row r="4783" spans="31:52">
      <c r="AE4783" s="10"/>
      <c r="AF4783" s="10"/>
      <c r="AG4783" s="10"/>
      <c r="AH4783" s="10"/>
      <c r="AI4783" s="10"/>
      <c r="AJ4783" s="10"/>
      <c r="AK4783" s="10"/>
      <c r="AL4783" s="10"/>
      <c r="AM4783" s="10"/>
      <c r="AN4783" s="10"/>
      <c r="AO4783" s="10"/>
      <c r="AP4783" s="10"/>
      <c r="AQ4783" s="10"/>
      <c r="AR4783" s="10"/>
      <c r="AS4783" s="10"/>
      <c r="AT4783" s="10"/>
      <c r="AU4783" s="10"/>
      <c r="AV4783" s="10"/>
      <c r="AW4783" s="10"/>
      <c r="AX4783" s="10"/>
      <c r="AY4783" s="10"/>
      <c r="AZ4783" s="10"/>
    </row>
    <row r="4784" spans="31:52">
      <c r="AE4784" s="10"/>
      <c r="AF4784" s="10"/>
      <c r="AG4784" s="10"/>
      <c r="AH4784" s="10"/>
      <c r="AI4784" s="10"/>
      <c r="AJ4784" s="10"/>
      <c r="AK4784" s="10"/>
      <c r="AL4784" s="10"/>
      <c r="AM4784" s="10"/>
      <c r="AN4784" s="10"/>
      <c r="AO4784" s="10"/>
      <c r="AP4784" s="10"/>
      <c r="AQ4784" s="10"/>
      <c r="AR4784" s="10"/>
      <c r="AS4784" s="10"/>
      <c r="AT4784" s="10"/>
      <c r="AU4784" s="10"/>
      <c r="AV4784" s="10"/>
      <c r="AW4784" s="10"/>
      <c r="AX4784" s="10"/>
      <c r="AY4784" s="10"/>
      <c r="AZ4784" s="10"/>
    </row>
    <row r="4785" spans="31:52">
      <c r="AE4785" s="10"/>
      <c r="AF4785" s="10"/>
      <c r="AG4785" s="10"/>
      <c r="AH4785" s="10"/>
      <c r="AI4785" s="10"/>
      <c r="AJ4785" s="10"/>
      <c r="AK4785" s="10"/>
      <c r="AL4785" s="10"/>
      <c r="AM4785" s="10"/>
      <c r="AN4785" s="10"/>
      <c r="AO4785" s="10"/>
      <c r="AP4785" s="10"/>
      <c r="AQ4785" s="10"/>
      <c r="AR4785" s="10"/>
      <c r="AS4785" s="10"/>
      <c r="AT4785" s="10"/>
      <c r="AU4785" s="10"/>
      <c r="AV4785" s="10"/>
      <c r="AW4785" s="10"/>
      <c r="AX4785" s="10"/>
      <c r="AY4785" s="10"/>
      <c r="AZ4785" s="10"/>
    </row>
    <row r="4786" spans="31:52">
      <c r="AE4786" s="10"/>
      <c r="AF4786" s="10"/>
      <c r="AG4786" s="10"/>
      <c r="AH4786" s="10"/>
      <c r="AI4786" s="10"/>
      <c r="AJ4786" s="10"/>
      <c r="AK4786" s="10"/>
      <c r="AL4786" s="10"/>
      <c r="AM4786" s="10"/>
      <c r="AN4786" s="10"/>
      <c r="AO4786" s="10"/>
      <c r="AP4786" s="10"/>
      <c r="AQ4786" s="10"/>
      <c r="AR4786" s="10"/>
      <c r="AS4786" s="10"/>
      <c r="AT4786" s="10"/>
      <c r="AU4786" s="10"/>
      <c r="AV4786" s="10"/>
      <c r="AW4786" s="10"/>
      <c r="AX4786" s="10"/>
      <c r="AY4786" s="10"/>
      <c r="AZ4786" s="10"/>
    </row>
    <row r="4787" spans="31:52">
      <c r="AE4787" s="10"/>
      <c r="AF4787" s="10"/>
      <c r="AG4787" s="10"/>
      <c r="AH4787" s="10"/>
      <c r="AI4787" s="10"/>
      <c r="AJ4787" s="10"/>
      <c r="AK4787" s="10"/>
      <c r="AL4787" s="10"/>
      <c r="AM4787" s="10"/>
      <c r="AN4787" s="10"/>
      <c r="AO4787" s="10"/>
      <c r="AP4787" s="10"/>
      <c r="AQ4787" s="10"/>
      <c r="AR4787" s="10"/>
      <c r="AS4787" s="10"/>
      <c r="AT4787" s="10"/>
      <c r="AU4787" s="10"/>
      <c r="AV4787" s="10"/>
      <c r="AW4787" s="10"/>
      <c r="AX4787" s="10"/>
      <c r="AY4787" s="10"/>
      <c r="AZ4787" s="10"/>
    </row>
    <row r="4788" spans="31:52">
      <c r="AE4788" s="10"/>
      <c r="AF4788" s="10"/>
      <c r="AG4788" s="10"/>
      <c r="AH4788" s="10"/>
      <c r="AI4788" s="10"/>
      <c r="AJ4788" s="10"/>
      <c r="AK4788" s="10"/>
      <c r="AL4788" s="10"/>
      <c r="AM4788" s="10"/>
      <c r="AN4788" s="10"/>
      <c r="AO4788" s="10"/>
      <c r="AP4788" s="10"/>
      <c r="AQ4788" s="10"/>
      <c r="AR4788" s="10"/>
      <c r="AS4788" s="10"/>
      <c r="AT4788" s="10"/>
      <c r="AU4788" s="10"/>
      <c r="AV4788" s="10"/>
      <c r="AW4788" s="10"/>
      <c r="AX4788" s="10"/>
      <c r="AY4788" s="10"/>
      <c r="AZ4788" s="10"/>
    </row>
    <row r="4789" spans="31:52">
      <c r="AE4789" s="10"/>
      <c r="AF4789" s="10"/>
      <c r="AG4789" s="10"/>
      <c r="AH4789" s="10"/>
      <c r="AI4789" s="10"/>
      <c r="AJ4789" s="10"/>
      <c r="AK4789" s="10"/>
      <c r="AL4789" s="10"/>
      <c r="AM4789" s="10"/>
      <c r="AN4789" s="10"/>
      <c r="AO4789" s="10"/>
      <c r="AP4789" s="10"/>
      <c r="AQ4789" s="10"/>
      <c r="AR4789" s="10"/>
      <c r="AS4789" s="10"/>
      <c r="AT4789" s="10"/>
      <c r="AU4789" s="10"/>
      <c r="AV4789" s="10"/>
      <c r="AW4789" s="10"/>
      <c r="AX4789" s="10"/>
      <c r="AY4789" s="10"/>
      <c r="AZ4789" s="10"/>
    </row>
    <row r="4790" spans="31:52">
      <c r="AE4790" s="10"/>
      <c r="AF4790" s="10"/>
      <c r="AG4790" s="10"/>
      <c r="AH4790" s="10"/>
      <c r="AI4790" s="10"/>
      <c r="AJ4790" s="10"/>
      <c r="AK4790" s="10"/>
      <c r="AL4790" s="10"/>
      <c r="AM4790" s="10"/>
      <c r="AN4790" s="10"/>
      <c r="AO4790" s="10"/>
      <c r="AP4790" s="10"/>
      <c r="AQ4790" s="10"/>
      <c r="AR4790" s="10"/>
      <c r="AS4790" s="10"/>
      <c r="AT4790" s="10"/>
      <c r="AU4790" s="10"/>
      <c r="AV4790" s="10"/>
      <c r="AW4790" s="10"/>
      <c r="AX4790" s="10"/>
      <c r="AY4790" s="10"/>
      <c r="AZ4790" s="10"/>
    </row>
    <row r="4791" spans="31:52">
      <c r="AE4791" s="10"/>
      <c r="AF4791" s="10"/>
      <c r="AG4791" s="10"/>
      <c r="AH4791" s="10"/>
      <c r="AI4791" s="10"/>
      <c r="AJ4791" s="10"/>
      <c r="AK4791" s="10"/>
      <c r="AL4791" s="10"/>
      <c r="AM4791" s="10"/>
      <c r="AN4791" s="10"/>
      <c r="AO4791" s="10"/>
      <c r="AP4791" s="10"/>
      <c r="AQ4791" s="10"/>
      <c r="AR4791" s="10"/>
      <c r="AS4791" s="10"/>
      <c r="AT4791" s="10"/>
      <c r="AU4791" s="10"/>
      <c r="AV4791" s="10"/>
      <c r="AW4791" s="10"/>
      <c r="AX4791" s="10"/>
      <c r="AY4791" s="10"/>
      <c r="AZ4791" s="10"/>
    </row>
    <row r="4792" spans="31:52">
      <c r="AE4792" s="10"/>
      <c r="AF4792" s="10"/>
      <c r="AG4792" s="10"/>
      <c r="AH4792" s="10"/>
      <c r="AI4792" s="10"/>
      <c r="AJ4792" s="10"/>
      <c r="AK4792" s="10"/>
      <c r="AL4792" s="10"/>
      <c r="AM4792" s="10"/>
      <c r="AN4792" s="10"/>
      <c r="AO4792" s="10"/>
      <c r="AP4792" s="10"/>
      <c r="AQ4792" s="10"/>
      <c r="AR4792" s="10"/>
      <c r="AS4792" s="10"/>
      <c r="AT4792" s="10"/>
      <c r="AU4792" s="10"/>
      <c r="AV4792" s="10"/>
      <c r="AW4792" s="10"/>
      <c r="AX4792" s="10"/>
      <c r="AY4792" s="10"/>
      <c r="AZ4792" s="10"/>
    </row>
    <row r="4793" spans="31:52">
      <c r="AE4793" s="10"/>
      <c r="AF4793" s="10"/>
      <c r="AG4793" s="10"/>
      <c r="AH4793" s="10"/>
      <c r="AI4793" s="10"/>
      <c r="AJ4793" s="10"/>
      <c r="AK4793" s="10"/>
      <c r="AL4793" s="10"/>
      <c r="AM4793" s="10"/>
      <c r="AN4793" s="10"/>
      <c r="AO4793" s="10"/>
      <c r="AP4793" s="10"/>
      <c r="AQ4793" s="10"/>
      <c r="AR4793" s="10"/>
      <c r="AS4793" s="10"/>
      <c r="AT4793" s="10"/>
      <c r="AU4793" s="10"/>
      <c r="AV4793" s="10"/>
      <c r="AW4793" s="10"/>
      <c r="AX4793" s="10"/>
      <c r="AY4793" s="10"/>
      <c r="AZ4793" s="10"/>
    </row>
    <row r="4794" spans="31:52">
      <c r="AE4794" s="10"/>
      <c r="AF4794" s="10"/>
      <c r="AG4794" s="10"/>
      <c r="AH4794" s="10"/>
      <c r="AI4794" s="10"/>
      <c r="AJ4794" s="10"/>
      <c r="AK4794" s="10"/>
      <c r="AL4794" s="10"/>
      <c r="AM4794" s="10"/>
      <c r="AN4794" s="10"/>
      <c r="AO4794" s="10"/>
      <c r="AP4794" s="10"/>
      <c r="AQ4794" s="10"/>
      <c r="AR4794" s="10"/>
      <c r="AS4794" s="10"/>
      <c r="AT4794" s="10"/>
      <c r="AU4794" s="10"/>
      <c r="AV4794" s="10"/>
      <c r="AW4794" s="10"/>
      <c r="AX4794" s="10"/>
      <c r="AY4794" s="10"/>
      <c r="AZ4794" s="10"/>
    </row>
    <row r="4795" spans="31:52">
      <c r="AE4795" s="10"/>
      <c r="AF4795" s="10"/>
      <c r="AG4795" s="10"/>
      <c r="AH4795" s="10"/>
      <c r="AI4795" s="10"/>
      <c r="AJ4795" s="10"/>
      <c r="AK4795" s="10"/>
      <c r="AL4795" s="10"/>
      <c r="AM4795" s="10"/>
      <c r="AN4795" s="10"/>
      <c r="AO4795" s="10"/>
      <c r="AP4795" s="10"/>
      <c r="AQ4795" s="10"/>
      <c r="AR4795" s="10"/>
      <c r="AS4795" s="10"/>
      <c r="AT4795" s="10"/>
      <c r="AU4795" s="10"/>
      <c r="AV4795" s="10"/>
      <c r="AW4795" s="10"/>
      <c r="AX4795" s="10"/>
      <c r="AY4795" s="10"/>
      <c r="AZ4795" s="10"/>
    </row>
    <row r="4796" spans="31:52">
      <c r="AE4796" s="10"/>
      <c r="AF4796" s="10"/>
      <c r="AG4796" s="10"/>
      <c r="AH4796" s="10"/>
      <c r="AI4796" s="10"/>
      <c r="AJ4796" s="10"/>
      <c r="AK4796" s="10"/>
      <c r="AL4796" s="10"/>
      <c r="AM4796" s="10"/>
      <c r="AN4796" s="10"/>
      <c r="AO4796" s="10"/>
      <c r="AP4796" s="10"/>
      <c r="AQ4796" s="10"/>
      <c r="AR4796" s="10"/>
      <c r="AS4796" s="10"/>
      <c r="AT4796" s="10"/>
      <c r="AU4796" s="10"/>
      <c r="AV4796" s="10"/>
      <c r="AW4796" s="10"/>
      <c r="AX4796" s="10"/>
      <c r="AY4796" s="10"/>
      <c r="AZ4796" s="10"/>
    </row>
    <row r="4797" spans="31:52">
      <c r="AE4797" s="10"/>
      <c r="AF4797" s="10"/>
      <c r="AG4797" s="10"/>
      <c r="AH4797" s="10"/>
      <c r="AI4797" s="10"/>
      <c r="AJ4797" s="10"/>
      <c r="AK4797" s="10"/>
      <c r="AL4797" s="10"/>
      <c r="AM4797" s="10"/>
      <c r="AN4797" s="10"/>
      <c r="AO4797" s="10"/>
      <c r="AP4797" s="10"/>
      <c r="AQ4797" s="10"/>
      <c r="AR4797" s="10"/>
      <c r="AS4797" s="10"/>
      <c r="AT4797" s="10"/>
      <c r="AU4797" s="10"/>
      <c r="AV4797" s="10"/>
      <c r="AW4797" s="10"/>
      <c r="AX4797" s="10"/>
      <c r="AY4797" s="10"/>
      <c r="AZ4797" s="10"/>
    </row>
    <row r="4798" spans="31:52">
      <c r="AE4798" s="10"/>
      <c r="AF4798" s="10"/>
      <c r="AG4798" s="10"/>
      <c r="AH4798" s="10"/>
      <c r="AI4798" s="10"/>
      <c r="AJ4798" s="10"/>
      <c r="AK4798" s="10"/>
      <c r="AL4798" s="10"/>
      <c r="AM4798" s="10"/>
      <c r="AN4798" s="10"/>
      <c r="AO4798" s="10"/>
      <c r="AP4798" s="10"/>
      <c r="AQ4798" s="10"/>
      <c r="AR4798" s="10"/>
      <c r="AS4798" s="10"/>
      <c r="AT4798" s="10"/>
      <c r="AU4798" s="10"/>
      <c r="AV4798" s="10"/>
      <c r="AW4798" s="10"/>
      <c r="AX4798" s="10"/>
      <c r="AY4798" s="10"/>
      <c r="AZ4798" s="10"/>
    </row>
    <row r="4799" spans="31:52">
      <c r="AE4799" s="10"/>
      <c r="AF4799" s="10"/>
      <c r="AG4799" s="10"/>
      <c r="AH4799" s="10"/>
      <c r="AI4799" s="10"/>
      <c r="AJ4799" s="10"/>
      <c r="AK4799" s="10"/>
      <c r="AL4799" s="10"/>
      <c r="AM4799" s="10"/>
      <c r="AN4799" s="10"/>
      <c r="AO4799" s="10"/>
      <c r="AP4799" s="10"/>
      <c r="AQ4799" s="10"/>
      <c r="AR4799" s="10"/>
      <c r="AS4799" s="10"/>
      <c r="AT4799" s="10"/>
      <c r="AU4799" s="10"/>
      <c r="AV4799" s="10"/>
      <c r="AW4799" s="10"/>
      <c r="AX4799" s="10"/>
      <c r="AY4799" s="10"/>
      <c r="AZ4799" s="10"/>
    </row>
    <row r="4800" spans="31:52">
      <c r="AE4800" s="10"/>
      <c r="AF4800" s="10"/>
      <c r="AG4800" s="10"/>
      <c r="AH4800" s="10"/>
      <c r="AI4800" s="10"/>
      <c r="AJ4800" s="10"/>
      <c r="AK4800" s="10"/>
      <c r="AL4800" s="10"/>
      <c r="AM4800" s="10"/>
      <c r="AN4800" s="10"/>
      <c r="AO4800" s="10"/>
      <c r="AP4800" s="10"/>
      <c r="AQ4800" s="10"/>
      <c r="AR4800" s="10"/>
      <c r="AS4800" s="10"/>
      <c r="AT4800" s="10"/>
      <c r="AU4800" s="10"/>
      <c r="AV4800" s="10"/>
      <c r="AW4800" s="10"/>
      <c r="AX4800" s="10"/>
      <c r="AY4800" s="10"/>
      <c r="AZ4800" s="10"/>
    </row>
    <row r="4801" spans="31:52">
      <c r="AE4801" s="10"/>
      <c r="AF4801" s="10"/>
      <c r="AG4801" s="10"/>
      <c r="AH4801" s="10"/>
      <c r="AI4801" s="10"/>
      <c r="AJ4801" s="10"/>
      <c r="AK4801" s="10"/>
      <c r="AL4801" s="10"/>
      <c r="AM4801" s="10"/>
      <c r="AN4801" s="10"/>
      <c r="AO4801" s="10"/>
      <c r="AP4801" s="10"/>
      <c r="AQ4801" s="10"/>
      <c r="AR4801" s="10"/>
      <c r="AS4801" s="10"/>
      <c r="AT4801" s="10"/>
      <c r="AU4801" s="10"/>
      <c r="AV4801" s="10"/>
      <c r="AW4801" s="10"/>
      <c r="AX4801" s="10"/>
      <c r="AY4801" s="10"/>
      <c r="AZ4801" s="10"/>
    </row>
    <row r="4802" spans="31:52">
      <c r="AE4802" s="10"/>
      <c r="AF4802" s="10"/>
      <c r="AG4802" s="10"/>
      <c r="AH4802" s="10"/>
      <c r="AI4802" s="10"/>
      <c r="AJ4802" s="10"/>
      <c r="AK4802" s="10"/>
      <c r="AL4802" s="10"/>
      <c r="AM4802" s="10"/>
      <c r="AN4802" s="10"/>
      <c r="AO4802" s="10"/>
      <c r="AP4802" s="10"/>
      <c r="AQ4802" s="10"/>
      <c r="AR4802" s="10"/>
      <c r="AS4802" s="10"/>
      <c r="AT4802" s="10"/>
      <c r="AU4802" s="10"/>
      <c r="AV4802" s="10"/>
      <c r="AW4802" s="10"/>
      <c r="AX4802" s="10"/>
      <c r="AY4802" s="10"/>
      <c r="AZ4802" s="10"/>
    </row>
    <row r="4803" spans="31:52">
      <c r="AE4803" s="10"/>
      <c r="AF4803" s="10"/>
      <c r="AG4803" s="10"/>
      <c r="AH4803" s="10"/>
      <c r="AI4803" s="10"/>
      <c r="AJ4803" s="10"/>
      <c r="AK4803" s="10"/>
      <c r="AL4803" s="10"/>
      <c r="AM4803" s="10"/>
      <c r="AN4803" s="10"/>
      <c r="AO4803" s="10"/>
      <c r="AP4803" s="10"/>
      <c r="AQ4803" s="10"/>
      <c r="AR4803" s="10"/>
      <c r="AS4803" s="10"/>
      <c r="AT4803" s="10"/>
      <c r="AU4803" s="10"/>
      <c r="AV4803" s="10"/>
      <c r="AW4803" s="10"/>
      <c r="AX4803" s="10"/>
      <c r="AY4803" s="10"/>
      <c r="AZ4803" s="10"/>
    </row>
    <row r="4804" spans="31:52">
      <c r="AE4804" s="10"/>
      <c r="AF4804" s="10"/>
      <c r="AG4804" s="10"/>
      <c r="AH4804" s="10"/>
      <c r="AI4804" s="10"/>
      <c r="AJ4804" s="10"/>
      <c r="AK4804" s="10"/>
      <c r="AL4804" s="10"/>
      <c r="AM4804" s="10"/>
      <c r="AN4804" s="10"/>
      <c r="AO4804" s="10"/>
      <c r="AP4804" s="10"/>
      <c r="AQ4804" s="10"/>
      <c r="AR4804" s="10"/>
      <c r="AS4804" s="10"/>
      <c r="AT4804" s="10"/>
      <c r="AU4804" s="10"/>
      <c r="AV4804" s="10"/>
      <c r="AW4804" s="10"/>
      <c r="AX4804" s="10"/>
      <c r="AY4804" s="10"/>
      <c r="AZ4804" s="10"/>
    </row>
    <row r="4805" spans="31:52">
      <c r="AE4805" s="10"/>
      <c r="AF4805" s="10"/>
      <c r="AG4805" s="10"/>
      <c r="AH4805" s="10"/>
      <c r="AI4805" s="10"/>
      <c r="AJ4805" s="10"/>
      <c r="AK4805" s="10"/>
      <c r="AL4805" s="10"/>
      <c r="AM4805" s="10"/>
      <c r="AN4805" s="10"/>
      <c r="AO4805" s="10"/>
      <c r="AP4805" s="10"/>
      <c r="AQ4805" s="10"/>
      <c r="AR4805" s="10"/>
      <c r="AS4805" s="10"/>
      <c r="AT4805" s="10"/>
      <c r="AU4805" s="10"/>
      <c r="AV4805" s="10"/>
      <c r="AW4805" s="10"/>
      <c r="AX4805" s="10"/>
      <c r="AY4805" s="10"/>
      <c r="AZ4805" s="10"/>
    </row>
    <row r="4806" spans="31:52">
      <c r="AE4806" s="10"/>
      <c r="AF4806" s="10"/>
      <c r="AG4806" s="10"/>
      <c r="AH4806" s="10"/>
      <c r="AI4806" s="10"/>
      <c r="AJ4806" s="10"/>
      <c r="AK4806" s="10"/>
      <c r="AL4806" s="10"/>
      <c r="AM4806" s="10"/>
      <c r="AN4806" s="10"/>
      <c r="AO4806" s="10"/>
      <c r="AP4806" s="10"/>
      <c r="AQ4806" s="10"/>
      <c r="AR4806" s="10"/>
      <c r="AS4806" s="10"/>
      <c r="AT4806" s="10"/>
      <c r="AU4806" s="10"/>
      <c r="AV4806" s="10"/>
      <c r="AW4806" s="10"/>
      <c r="AX4806" s="10"/>
      <c r="AY4806" s="10"/>
      <c r="AZ4806" s="10"/>
    </row>
    <row r="4807" spans="31:52">
      <c r="AE4807" s="10"/>
      <c r="AF4807" s="10"/>
      <c r="AG4807" s="10"/>
      <c r="AH4807" s="10"/>
      <c r="AI4807" s="10"/>
      <c r="AJ4807" s="10"/>
      <c r="AK4807" s="10"/>
      <c r="AL4807" s="10"/>
      <c r="AM4807" s="10"/>
      <c r="AN4807" s="10"/>
      <c r="AO4807" s="10"/>
      <c r="AP4807" s="10"/>
      <c r="AQ4807" s="10"/>
      <c r="AR4807" s="10"/>
      <c r="AS4807" s="10"/>
      <c r="AT4807" s="10"/>
      <c r="AU4807" s="10"/>
      <c r="AV4807" s="10"/>
      <c r="AW4807" s="10"/>
      <c r="AX4807" s="10"/>
      <c r="AY4807" s="10"/>
      <c r="AZ4807" s="10"/>
    </row>
    <row r="4808" spans="31:52">
      <c r="AE4808" s="10"/>
      <c r="AF4808" s="10"/>
      <c r="AG4808" s="10"/>
      <c r="AH4808" s="10"/>
      <c r="AI4808" s="10"/>
      <c r="AJ4808" s="10"/>
      <c r="AK4808" s="10"/>
      <c r="AL4808" s="10"/>
      <c r="AM4808" s="10"/>
      <c r="AN4808" s="10"/>
      <c r="AO4808" s="10"/>
      <c r="AP4808" s="10"/>
      <c r="AQ4808" s="10"/>
      <c r="AR4808" s="10"/>
      <c r="AS4808" s="10"/>
      <c r="AT4808" s="10"/>
      <c r="AU4808" s="10"/>
      <c r="AV4808" s="10"/>
      <c r="AW4808" s="10"/>
      <c r="AX4808" s="10"/>
      <c r="AY4808" s="10"/>
      <c r="AZ4808" s="10"/>
    </row>
    <row r="4809" spans="31:52">
      <c r="AE4809" s="10"/>
      <c r="AF4809" s="10"/>
      <c r="AG4809" s="10"/>
      <c r="AH4809" s="10"/>
      <c r="AI4809" s="10"/>
      <c r="AJ4809" s="10"/>
      <c r="AK4809" s="10"/>
      <c r="AL4809" s="10"/>
      <c r="AM4809" s="10"/>
      <c r="AN4809" s="10"/>
      <c r="AO4809" s="10"/>
      <c r="AP4809" s="10"/>
      <c r="AQ4809" s="10"/>
      <c r="AR4809" s="10"/>
      <c r="AS4809" s="10"/>
      <c r="AT4809" s="10"/>
      <c r="AU4809" s="10"/>
      <c r="AV4809" s="10"/>
      <c r="AW4809" s="10"/>
      <c r="AX4809" s="10"/>
      <c r="AY4809" s="10"/>
      <c r="AZ4809" s="10"/>
    </row>
    <row r="4810" spans="31:52">
      <c r="AE4810" s="10"/>
      <c r="AF4810" s="10"/>
      <c r="AG4810" s="10"/>
      <c r="AH4810" s="10"/>
      <c r="AI4810" s="10"/>
      <c r="AJ4810" s="10"/>
      <c r="AK4810" s="10"/>
      <c r="AL4810" s="10"/>
      <c r="AM4810" s="10"/>
      <c r="AN4810" s="10"/>
      <c r="AO4810" s="10"/>
      <c r="AP4810" s="10"/>
      <c r="AQ4810" s="10"/>
      <c r="AR4810" s="10"/>
      <c r="AS4810" s="10"/>
      <c r="AT4810" s="10"/>
      <c r="AU4810" s="10"/>
      <c r="AV4810" s="10"/>
      <c r="AW4810" s="10"/>
      <c r="AX4810" s="10"/>
      <c r="AY4810" s="10"/>
      <c r="AZ4810" s="10"/>
    </row>
    <row r="4811" spans="31:52">
      <c r="AE4811" s="10"/>
      <c r="AF4811" s="10"/>
      <c r="AG4811" s="10"/>
      <c r="AH4811" s="10"/>
      <c r="AI4811" s="10"/>
      <c r="AJ4811" s="10"/>
      <c r="AK4811" s="10"/>
      <c r="AL4811" s="10"/>
      <c r="AM4811" s="10"/>
      <c r="AN4811" s="10"/>
      <c r="AO4811" s="10"/>
      <c r="AP4811" s="10"/>
      <c r="AQ4811" s="10"/>
      <c r="AR4811" s="10"/>
      <c r="AS4811" s="10"/>
      <c r="AT4811" s="10"/>
      <c r="AU4811" s="10"/>
      <c r="AV4811" s="10"/>
      <c r="AW4811" s="10"/>
      <c r="AX4811" s="10"/>
      <c r="AY4811" s="10"/>
      <c r="AZ4811" s="10"/>
    </row>
    <row r="4812" spans="31:52">
      <c r="AE4812" s="10"/>
      <c r="AF4812" s="10"/>
      <c r="AG4812" s="10"/>
      <c r="AH4812" s="10"/>
      <c r="AI4812" s="10"/>
      <c r="AJ4812" s="10"/>
      <c r="AK4812" s="10"/>
      <c r="AL4812" s="10"/>
      <c r="AM4812" s="10"/>
      <c r="AN4812" s="10"/>
      <c r="AO4812" s="10"/>
      <c r="AP4812" s="10"/>
      <c r="AQ4812" s="10"/>
      <c r="AR4812" s="10"/>
      <c r="AS4812" s="10"/>
      <c r="AT4812" s="10"/>
      <c r="AU4812" s="10"/>
      <c r="AV4812" s="10"/>
      <c r="AW4812" s="10"/>
      <c r="AX4812" s="10"/>
      <c r="AY4812" s="10"/>
      <c r="AZ4812" s="10"/>
    </row>
    <row r="4813" spans="31:52">
      <c r="AE4813" s="10"/>
      <c r="AF4813" s="10"/>
      <c r="AG4813" s="10"/>
      <c r="AH4813" s="10"/>
      <c r="AI4813" s="10"/>
      <c r="AJ4813" s="10"/>
      <c r="AK4813" s="10"/>
      <c r="AL4813" s="10"/>
      <c r="AM4813" s="10"/>
      <c r="AN4813" s="10"/>
      <c r="AO4813" s="10"/>
      <c r="AP4813" s="10"/>
      <c r="AQ4813" s="10"/>
      <c r="AR4813" s="10"/>
      <c r="AS4813" s="10"/>
      <c r="AT4813" s="10"/>
      <c r="AU4813" s="10"/>
      <c r="AV4813" s="10"/>
      <c r="AW4813" s="10"/>
      <c r="AX4813" s="10"/>
      <c r="AY4813" s="10"/>
      <c r="AZ4813" s="10"/>
    </row>
    <row r="4814" spans="31:52">
      <c r="AE4814" s="10"/>
      <c r="AF4814" s="10"/>
      <c r="AG4814" s="10"/>
      <c r="AH4814" s="10"/>
      <c r="AI4814" s="10"/>
      <c r="AJ4814" s="10"/>
      <c r="AK4814" s="10"/>
      <c r="AL4814" s="10"/>
      <c r="AM4814" s="10"/>
      <c r="AN4814" s="10"/>
      <c r="AO4814" s="10"/>
      <c r="AP4814" s="10"/>
      <c r="AQ4814" s="10"/>
      <c r="AR4814" s="10"/>
      <c r="AS4814" s="10"/>
      <c r="AT4814" s="10"/>
      <c r="AU4814" s="10"/>
      <c r="AV4814" s="10"/>
      <c r="AW4814" s="10"/>
      <c r="AX4814" s="10"/>
      <c r="AY4814" s="10"/>
      <c r="AZ4814" s="10"/>
    </row>
    <row r="4815" spans="31:52">
      <c r="AE4815" s="10"/>
      <c r="AF4815" s="10"/>
      <c r="AG4815" s="10"/>
      <c r="AH4815" s="10"/>
      <c r="AI4815" s="10"/>
      <c r="AJ4815" s="10"/>
      <c r="AK4815" s="10"/>
      <c r="AL4815" s="10"/>
      <c r="AM4815" s="10"/>
      <c r="AN4815" s="10"/>
      <c r="AO4815" s="10"/>
      <c r="AP4815" s="10"/>
      <c r="AQ4815" s="10"/>
      <c r="AR4815" s="10"/>
      <c r="AS4815" s="10"/>
      <c r="AT4815" s="10"/>
      <c r="AU4815" s="10"/>
      <c r="AV4815" s="10"/>
      <c r="AW4815" s="10"/>
      <c r="AX4815" s="10"/>
      <c r="AY4815" s="10"/>
      <c r="AZ4815" s="10"/>
    </row>
    <row r="4816" spans="31:52">
      <c r="AE4816" s="10"/>
      <c r="AF4816" s="10"/>
      <c r="AG4816" s="10"/>
      <c r="AH4816" s="10"/>
      <c r="AI4816" s="10"/>
      <c r="AJ4816" s="10"/>
      <c r="AK4816" s="10"/>
      <c r="AL4816" s="10"/>
      <c r="AM4816" s="10"/>
      <c r="AN4816" s="10"/>
      <c r="AO4816" s="10"/>
      <c r="AP4816" s="10"/>
      <c r="AQ4816" s="10"/>
      <c r="AR4816" s="10"/>
      <c r="AS4816" s="10"/>
      <c r="AT4816" s="10"/>
      <c r="AU4816" s="10"/>
      <c r="AV4816" s="10"/>
      <c r="AW4816" s="10"/>
      <c r="AX4816" s="10"/>
      <c r="AY4816" s="10"/>
      <c r="AZ4816" s="10"/>
    </row>
    <row r="4817" spans="31:52">
      <c r="AE4817" s="10"/>
      <c r="AF4817" s="10"/>
      <c r="AG4817" s="10"/>
      <c r="AH4817" s="10"/>
      <c r="AI4817" s="10"/>
      <c r="AJ4817" s="10"/>
      <c r="AK4817" s="10"/>
      <c r="AL4817" s="10"/>
      <c r="AM4817" s="10"/>
      <c r="AN4817" s="10"/>
      <c r="AO4817" s="10"/>
      <c r="AP4817" s="10"/>
      <c r="AQ4817" s="10"/>
      <c r="AR4817" s="10"/>
      <c r="AS4817" s="10"/>
      <c r="AT4817" s="10"/>
      <c r="AU4817" s="10"/>
      <c r="AV4817" s="10"/>
      <c r="AW4817" s="10"/>
      <c r="AX4817" s="10"/>
      <c r="AY4817" s="10"/>
      <c r="AZ4817" s="10"/>
    </row>
    <row r="4818" spans="31:52">
      <c r="AE4818" s="10"/>
      <c r="AF4818" s="10"/>
      <c r="AG4818" s="10"/>
      <c r="AH4818" s="10"/>
      <c r="AI4818" s="10"/>
      <c r="AJ4818" s="10"/>
      <c r="AK4818" s="10"/>
      <c r="AL4818" s="10"/>
      <c r="AM4818" s="10"/>
      <c r="AN4818" s="10"/>
      <c r="AO4818" s="10"/>
      <c r="AP4818" s="10"/>
      <c r="AQ4818" s="10"/>
      <c r="AR4818" s="10"/>
      <c r="AS4818" s="10"/>
      <c r="AT4818" s="10"/>
      <c r="AU4818" s="10"/>
      <c r="AV4818" s="10"/>
      <c r="AW4818" s="10"/>
      <c r="AX4818" s="10"/>
      <c r="AY4818" s="10"/>
      <c r="AZ4818" s="10"/>
    </row>
    <row r="4819" spans="31:52">
      <c r="AE4819" s="10"/>
      <c r="AF4819" s="10"/>
      <c r="AG4819" s="10"/>
      <c r="AH4819" s="10"/>
      <c r="AI4819" s="10"/>
      <c r="AJ4819" s="10"/>
      <c r="AK4819" s="10"/>
      <c r="AL4819" s="10"/>
      <c r="AM4819" s="10"/>
      <c r="AN4819" s="10"/>
      <c r="AO4819" s="10"/>
      <c r="AP4819" s="10"/>
      <c r="AQ4819" s="10"/>
      <c r="AR4819" s="10"/>
      <c r="AS4819" s="10"/>
      <c r="AT4819" s="10"/>
      <c r="AU4819" s="10"/>
      <c r="AV4819" s="10"/>
      <c r="AW4819" s="10"/>
      <c r="AX4819" s="10"/>
      <c r="AY4819" s="10"/>
      <c r="AZ4819" s="10"/>
    </row>
    <row r="4820" spans="31:52">
      <c r="AE4820" s="10"/>
      <c r="AF4820" s="10"/>
      <c r="AG4820" s="10"/>
      <c r="AH4820" s="10"/>
      <c r="AI4820" s="10"/>
      <c r="AJ4820" s="10"/>
      <c r="AK4820" s="10"/>
      <c r="AL4820" s="10"/>
      <c r="AM4820" s="10"/>
      <c r="AN4820" s="10"/>
      <c r="AO4820" s="10"/>
      <c r="AP4820" s="10"/>
      <c r="AQ4820" s="10"/>
      <c r="AR4820" s="10"/>
      <c r="AS4820" s="10"/>
      <c r="AT4820" s="10"/>
      <c r="AU4820" s="10"/>
      <c r="AV4820" s="10"/>
      <c r="AW4820" s="10"/>
      <c r="AX4820" s="10"/>
      <c r="AY4820" s="10"/>
      <c r="AZ4820" s="10"/>
    </row>
    <row r="4821" spans="31:52">
      <c r="AE4821" s="10"/>
      <c r="AF4821" s="10"/>
      <c r="AG4821" s="10"/>
      <c r="AH4821" s="10"/>
      <c r="AI4821" s="10"/>
      <c r="AJ4821" s="10"/>
      <c r="AK4821" s="10"/>
      <c r="AL4821" s="10"/>
      <c r="AM4821" s="10"/>
      <c r="AN4821" s="10"/>
      <c r="AO4821" s="10"/>
      <c r="AP4821" s="10"/>
      <c r="AQ4821" s="10"/>
      <c r="AR4821" s="10"/>
      <c r="AS4821" s="10"/>
      <c r="AT4821" s="10"/>
      <c r="AU4821" s="10"/>
      <c r="AV4821" s="10"/>
      <c r="AW4821" s="10"/>
      <c r="AX4821" s="10"/>
      <c r="AY4821" s="10"/>
      <c r="AZ4821" s="10"/>
    </row>
    <row r="4822" spans="31:52">
      <c r="AE4822" s="10"/>
      <c r="AF4822" s="10"/>
      <c r="AG4822" s="10"/>
      <c r="AH4822" s="10"/>
      <c r="AI4822" s="10"/>
      <c r="AJ4822" s="10"/>
      <c r="AK4822" s="10"/>
      <c r="AL4822" s="10"/>
      <c r="AM4822" s="10"/>
      <c r="AN4822" s="10"/>
      <c r="AO4822" s="10"/>
      <c r="AP4822" s="10"/>
      <c r="AQ4822" s="10"/>
      <c r="AR4822" s="10"/>
      <c r="AS4822" s="10"/>
      <c r="AT4822" s="10"/>
      <c r="AU4822" s="10"/>
      <c r="AV4822" s="10"/>
      <c r="AW4822" s="10"/>
      <c r="AX4822" s="10"/>
      <c r="AY4822" s="10"/>
      <c r="AZ4822" s="10"/>
    </row>
    <row r="4823" spans="31:52">
      <c r="AE4823" s="10"/>
      <c r="AF4823" s="10"/>
      <c r="AG4823" s="10"/>
      <c r="AH4823" s="10"/>
      <c r="AI4823" s="10"/>
      <c r="AJ4823" s="10"/>
      <c r="AK4823" s="10"/>
      <c r="AL4823" s="10"/>
      <c r="AM4823" s="10"/>
      <c r="AN4823" s="10"/>
      <c r="AO4823" s="10"/>
      <c r="AP4823" s="10"/>
      <c r="AQ4823" s="10"/>
      <c r="AR4823" s="10"/>
      <c r="AS4823" s="10"/>
      <c r="AT4823" s="10"/>
      <c r="AU4823" s="10"/>
      <c r="AV4823" s="10"/>
      <c r="AW4823" s="10"/>
      <c r="AX4823" s="10"/>
      <c r="AY4823" s="10"/>
      <c r="AZ4823" s="10"/>
    </row>
    <row r="4824" spans="31:52">
      <c r="AE4824" s="10"/>
      <c r="AF4824" s="10"/>
      <c r="AG4824" s="10"/>
      <c r="AH4824" s="10"/>
      <c r="AI4824" s="10"/>
      <c r="AJ4824" s="10"/>
      <c r="AK4824" s="10"/>
      <c r="AL4824" s="10"/>
      <c r="AM4824" s="10"/>
      <c r="AN4824" s="10"/>
      <c r="AO4824" s="10"/>
      <c r="AP4824" s="10"/>
      <c r="AQ4824" s="10"/>
      <c r="AR4824" s="10"/>
      <c r="AS4824" s="10"/>
      <c r="AT4824" s="10"/>
      <c r="AU4824" s="10"/>
      <c r="AV4824" s="10"/>
      <c r="AW4824" s="10"/>
      <c r="AX4824" s="10"/>
      <c r="AY4824" s="10"/>
      <c r="AZ4824" s="10"/>
    </row>
    <row r="4825" spans="31:52">
      <c r="AE4825" s="10"/>
      <c r="AF4825" s="10"/>
      <c r="AG4825" s="10"/>
      <c r="AH4825" s="10"/>
      <c r="AI4825" s="10"/>
      <c r="AJ4825" s="10"/>
      <c r="AK4825" s="10"/>
      <c r="AL4825" s="10"/>
      <c r="AM4825" s="10"/>
      <c r="AN4825" s="10"/>
      <c r="AO4825" s="10"/>
      <c r="AP4825" s="10"/>
      <c r="AQ4825" s="10"/>
      <c r="AR4825" s="10"/>
      <c r="AS4825" s="10"/>
      <c r="AT4825" s="10"/>
      <c r="AU4825" s="10"/>
      <c r="AV4825" s="10"/>
      <c r="AW4825" s="10"/>
      <c r="AX4825" s="10"/>
      <c r="AY4825" s="10"/>
      <c r="AZ4825" s="10"/>
    </row>
    <row r="4826" spans="31:52">
      <c r="AE4826" s="10"/>
      <c r="AF4826" s="10"/>
      <c r="AG4826" s="10"/>
      <c r="AH4826" s="10"/>
      <c r="AI4826" s="10"/>
      <c r="AJ4826" s="10"/>
      <c r="AK4826" s="10"/>
      <c r="AL4826" s="10"/>
      <c r="AM4826" s="10"/>
      <c r="AN4826" s="10"/>
      <c r="AO4826" s="10"/>
      <c r="AP4826" s="10"/>
      <c r="AQ4826" s="10"/>
      <c r="AR4826" s="10"/>
      <c r="AS4826" s="10"/>
      <c r="AT4826" s="10"/>
      <c r="AU4826" s="10"/>
      <c r="AV4826" s="10"/>
      <c r="AW4826" s="10"/>
      <c r="AX4826" s="10"/>
      <c r="AY4826" s="10"/>
      <c r="AZ4826" s="10"/>
    </row>
    <row r="4827" spans="31:52">
      <c r="AE4827" s="10"/>
      <c r="AF4827" s="10"/>
      <c r="AG4827" s="10"/>
      <c r="AH4827" s="10"/>
      <c r="AI4827" s="10"/>
      <c r="AJ4827" s="10"/>
      <c r="AK4827" s="10"/>
      <c r="AL4827" s="10"/>
      <c r="AM4827" s="10"/>
      <c r="AN4827" s="10"/>
      <c r="AO4827" s="10"/>
      <c r="AP4827" s="10"/>
      <c r="AQ4827" s="10"/>
      <c r="AR4827" s="10"/>
      <c r="AS4827" s="10"/>
      <c r="AT4827" s="10"/>
      <c r="AU4827" s="10"/>
      <c r="AV4827" s="10"/>
      <c r="AW4827" s="10"/>
      <c r="AX4827" s="10"/>
      <c r="AY4827" s="10"/>
      <c r="AZ4827" s="10"/>
    </row>
    <row r="4828" spans="31:52">
      <c r="AE4828" s="10"/>
      <c r="AF4828" s="10"/>
      <c r="AG4828" s="10"/>
      <c r="AH4828" s="10"/>
      <c r="AI4828" s="10"/>
      <c r="AJ4828" s="10"/>
      <c r="AK4828" s="10"/>
      <c r="AL4828" s="10"/>
      <c r="AM4828" s="10"/>
      <c r="AN4828" s="10"/>
      <c r="AO4828" s="10"/>
      <c r="AP4828" s="10"/>
      <c r="AQ4828" s="10"/>
      <c r="AR4828" s="10"/>
      <c r="AS4828" s="10"/>
      <c r="AT4828" s="10"/>
      <c r="AU4828" s="10"/>
      <c r="AV4828" s="10"/>
      <c r="AW4828" s="10"/>
      <c r="AX4828" s="10"/>
      <c r="AY4828" s="10"/>
      <c r="AZ4828" s="10"/>
    </row>
    <row r="4829" spans="31:52">
      <c r="AE4829" s="10"/>
      <c r="AF4829" s="10"/>
      <c r="AG4829" s="10"/>
      <c r="AH4829" s="10"/>
      <c r="AI4829" s="10"/>
      <c r="AJ4829" s="10"/>
      <c r="AK4829" s="10"/>
      <c r="AL4829" s="10"/>
      <c r="AM4829" s="10"/>
      <c r="AN4829" s="10"/>
      <c r="AO4829" s="10"/>
      <c r="AP4829" s="10"/>
      <c r="AQ4829" s="10"/>
      <c r="AR4829" s="10"/>
      <c r="AS4829" s="10"/>
      <c r="AT4829" s="10"/>
      <c r="AU4829" s="10"/>
      <c r="AV4829" s="10"/>
      <c r="AW4829" s="10"/>
      <c r="AX4829" s="10"/>
      <c r="AY4829" s="10"/>
      <c r="AZ4829" s="10"/>
    </row>
    <row r="4830" spans="31:52">
      <c r="AE4830" s="10"/>
      <c r="AF4830" s="10"/>
      <c r="AG4830" s="10"/>
      <c r="AH4830" s="10"/>
      <c r="AI4830" s="10"/>
      <c r="AJ4830" s="10"/>
      <c r="AK4830" s="10"/>
      <c r="AL4830" s="10"/>
      <c r="AM4830" s="10"/>
      <c r="AN4830" s="10"/>
      <c r="AO4830" s="10"/>
      <c r="AP4830" s="10"/>
      <c r="AQ4830" s="10"/>
      <c r="AR4830" s="10"/>
      <c r="AS4830" s="10"/>
      <c r="AT4830" s="10"/>
      <c r="AU4830" s="10"/>
      <c r="AV4830" s="10"/>
      <c r="AW4830" s="10"/>
      <c r="AX4830" s="10"/>
      <c r="AY4830" s="10"/>
      <c r="AZ4830" s="10"/>
    </row>
    <row r="4831" spans="31:52">
      <c r="AE4831" s="10"/>
      <c r="AF4831" s="10"/>
      <c r="AG4831" s="10"/>
      <c r="AH4831" s="10"/>
      <c r="AI4831" s="10"/>
      <c r="AJ4831" s="10"/>
      <c r="AK4831" s="10"/>
      <c r="AL4831" s="10"/>
      <c r="AM4831" s="10"/>
      <c r="AN4831" s="10"/>
      <c r="AO4831" s="10"/>
      <c r="AP4831" s="10"/>
      <c r="AQ4831" s="10"/>
      <c r="AR4831" s="10"/>
      <c r="AS4831" s="10"/>
      <c r="AT4831" s="10"/>
      <c r="AU4831" s="10"/>
      <c r="AV4831" s="10"/>
      <c r="AW4831" s="10"/>
      <c r="AX4831" s="10"/>
      <c r="AY4831" s="10"/>
      <c r="AZ4831" s="10"/>
    </row>
    <row r="4832" spans="31:52">
      <c r="AE4832" s="10"/>
      <c r="AF4832" s="10"/>
      <c r="AG4832" s="10"/>
      <c r="AH4832" s="10"/>
      <c r="AI4832" s="10"/>
      <c r="AJ4832" s="10"/>
      <c r="AK4832" s="10"/>
      <c r="AL4832" s="10"/>
      <c r="AM4832" s="10"/>
      <c r="AN4832" s="10"/>
      <c r="AO4832" s="10"/>
      <c r="AP4832" s="10"/>
      <c r="AQ4832" s="10"/>
      <c r="AR4832" s="10"/>
      <c r="AS4832" s="10"/>
      <c r="AT4832" s="10"/>
      <c r="AU4832" s="10"/>
      <c r="AV4832" s="10"/>
      <c r="AW4832" s="10"/>
      <c r="AX4832" s="10"/>
      <c r="AY4832" s="10"/>
      <c r="AZ4832" s="10"/>
    </row>
    <row r="4833" spans="31:52">
      <c r="AE4833" s="10"/>
      <c r="AF4833" s="10"/>
      <c r="AG4833" s="10"/>
      <c r="AH4833" s="10"/>
      <c r="AI4833" s="10"/>
      <c r="AJ4833" s="10"/>
      <c r="AK4833" s="10"/>
      <c r="AL4833" s="10"/>
      <c r="AM4833" s="10"/>
      <c r="AN4833" s="10"/>
      <c r="AO4833" s="10"/>
      <c r="AP4833" s="10"/>
      <c r="AQ4833" s="10"/>
      <c r="AR4833" s="10"/>
      <c r="AS4833" s="10"/>
      <c r="AT4833" s="10"/>
      <c r="AU4833" s="10"/>
      <c r="AV4833" s="10"/>
      <c r="AW4833" s="10"/>
      <c r="AX4833" s="10"/>
      <c r="AY4833" s="10"/>
      <c r="AZ4833" s="10"/>
    </row>
    <row r="4834" spans="31:52">
      <c r="AE4834" s="10"/>
      <c r="AF4834" s="10"/>
      <c r="AG4834" s="10"/>
      <c r="AH4834" s="10"/>
      <c r="AI4834" s="10"/>
      <c r="AJ4834" s="10"/>
      <c r="AK4834" s="10"/>
      <c r="AL4834" s="10"/>
      <c r="AM4834" s="10"/>
      <c r="AN4834" s="10"/>
      <c r="AO4834" s="10"/>
      <c r="AP4834" s="10"/>
      <c r="AQ4834" s="10"/>
      <c r="AR4834" s="10"/>
      <c r="AS4834" s="10"/>
      <c r="AT4834" s="10"/>
      <c r="AU4834" s="10"/>
      <c r="AV4834" s="10"/>
      <c r="AW4834" s="10"/>
      <c r="AX4834" s="10"/>
      <c r="AY4834" s="10"/>
      <c r="AZ4834" s="10"/>
    </row>
    <row r="4835" spans="31:52">
      <c r="AE4835" s="10"/>
      <c r="AF4835" s="10"/>
      <c r="AG4835" s="10"/>
      <c r="AH4835" s="10"/>
      <c r="AI4835" s="10"/>
      <c r="AJ4835" s="10"/>
      <c r="AK4835" s="10"/>
      <c r="AL4835" s="10"/>
      <c r="AM4835" s="10"/>
      <c r="AN4835" s="10"/>
      <c r="AO4835" s="10"/>
      <c r="AP4835" s="10"/>
      <c r="AQ4835" s="10"/>
      <c r="AR4835" s="10"/>
      <c r="AS4835" s="10"/>
      <c r="AT4835" s="10"/>
      <c r="AU4835" s="10"/>
      <c r="AV4835" s="10"/>
      <c r="AW4835" s="10"/>
      <c r="AX4835" s="10"/>
      <c r="AY4835" s="10"/>
      <c r="AZ4835" s="10"/>
    </row>
    <row r="4836" spans="31:52">
      <c r="AE4836" s="10"/>
      <c r="AF4836" s="10"/>
      <c r="AG4836" s="10"/>
      <c r="AH4836" s="10"/>
      <c r="AI4836" s="10"/>
      <c r="AJ4836" s="10"/>
      <c r="AK4836" s="10"/>
      <c r="AL4836" s="10"/>
      <c r="AM4836" s="10"/>
      <c r="AN4836" s="10"/>
      <c r="AO4836" s="10"/>
      <c r="AP4836" s="10"/>
      <c r="AQ4836" s="10"/>
      <c r="AR4836" s="10"/>
      <c r="AS4836" s="10"/>
      <c r="AT4836" s="10"/>
      <c r="AU4836" s="10"/>
      <c r="AV4836" s="10"/>
      <c r="AW4836" s="10"/>
      <c r="AX4836" s="10"/>
      <c r="AY4836" s="10"/>
      <c r="AZ4836" s="10"/>
    </row>
    <row r="4837" spans="31:52">
      <c r="AE4837" s="10"/>
      <c r="AF4837" s="10"/>
      <c r="AG4837" s="10"/>
      <c r="AH4837" s="10"/>
      <c r="AI4837" s="10"/>
      <c r="AJ4837" s="10"/>
      <c r="AK4837" s="10"/>
      <c r="AL4837" s="10"/>
      <c r="AM4837" s="10"/>
      <c r="AN4837" s="10"/>
      <c r="AO4837" s="10"/>
      <c r="AP4837" s="10"/>
      <c r="AQ4837" s="10"/>
      <c r="AR4837" s="10"/>
      <c r="AS4837" s="10"/>
      <c r="AT4837" s="10"/>
      <c r="AU4837" s="10"/>
      <c r="AV4837" s="10"/>
      <c r="AW4837" s="10"/>
      <c r="AX4837" s="10"/>
      <c r="AY4837" s="10"/>
      <c r="AZ4837" s="10"/>
    </row>
    <row r="4838" spans="31:52">
      <c r="AE4838" s="10"/>
      <c r="AF4838" s="10"/>
      <c r="AG4838" s="10"/>
      <c r="AH4838" s="10"/>
      <c r="AI4838" s="10"/>
      <c r="AJ4838" s="10"/>
      <c r="AK4838" s="10"/>
      <c r="AL4838" s="10"/>
      <c r="AM4838" s="10"/>
      <c r="AN4838" s="10"/>
      <c r="AO4838" s="10"/>
      <c r="AP4838" s="10"/>
      <c r="AQ4838" s="10"/>
      <c r="AR4838" s="10"/>
      <c r="AS4838" s="10"/>
      <c r="AT4838" s="10"/>
      <c r="AU4838" s="10"/>
      <c r="AV4838" s="10"/>
      <c r="AW4838" s="10"/>
      <c r="AX4838" s="10"/>
      <c r="AY4838" s="10"/>
      <c r="AZ4838" s="10"/>
    </row>
    <row r="4839" spans="31:52">
      <c r="AE4839" s="10"/>
      <c r="AF4839" s="10"/>
      <c r="AG4839" s="10"/>
      <c r="AH4839" s="10"/>
      <c r="AI4839" s="10"/>
      <c r="AJ4839" s="10"/>
      <c r="AK4839" s="10"/>
      <c r="AL4839" s="10"/>
      <c r="AM4839" s="10"/>
      <c r="AN4839" s="10"/>
      <c r="AO4839" s="10"/>
      <c r="AP4839" s="10"/>
      <c r="AQ4839" s="10"/>
      <c r="AR4839" s="10"/>
      <c r="AS4839" s="10"/>
      <c r="AT4839" s="10"/>
      <c r="AU4839" s="10"/>
      <c r="AV4839" s="10"/>
      <c r="AW4839" s="10"/>
      <c r="AX4839" s="10"/>
      <c r="AY4839" s="10"/>
      <c r="AZ4839" s="10"/>
    </row>
    <row r="4840" spans="31:52">
      <c r="AE4840" s="10"/>
      <c r="AF4840" s="10"/>
      <c r="AG4840" s="10"/>
      <c r="AH4840" s="10"/>
      <c r="AI4840" s="10"/>
      <c r="AJ4840" s="10"/>
      <c r="AK4840" s="10"/>
      <c r="AL4840" s="10"/>
      <c r="AM4840" s="10"/>
      <c r="AN4840" s="10"/>
      <c r="AO4840" s="10"/>
      <c r="AP4840" s="10"/>
      <c r="AQ4840" s="10"/>
      <c r="AR4840" s="10"/>
      <c r="AS4840" s="10"/>
      <c r="AT4840" s="10"/>
      <c r="AU4840" s="10"/>
      <c r="AV4840" s="10"/>
      <c r="AW4840" s="10"/>
      <c r="AX4840" s="10"/>
      <c r="AY4840" s="10"/>
      <c r="AZ4840" s="10"/>
    </row>
    <row r="4841" spans="31:52">
      <c r="AE4841" s="10"/>
      <c r="AF4841" s="10"/>
      <c r="AG4841" s="10"/>
      <c r="AH4841" s="10"/>
      <c r="AI4841" s="10"/>
      <c r="AJ4841" s="10"/>
      <c r="AK4841" s="10"/>
      <c r="AL4841" s="10"/>
      <c r="AM4841" s="10"/>
      <c r="AN4841" s="10"/>
      <c r="AO4841" s="10"/>
      <c r="AP4841" s="10"/>
      <c r="AQ4841" s="10"/>
      <c r="AR4841" s="10"/>
      <c r="AS4841" s="10"/>
      <c r="AT4841" s="10"/>
      <c r="AU4841" s="10"/>
      <c r="AV4841" s="10"/>
      <c r="AW4841" s="10"/>
      <c r="AX4841" s="10"/>
      <c r="AY4841" s="10"/>
      <c r="AZ4841" s="10"/>
    </row>
    <row r="4842" spans="31:52">
      <c r="AE4842" s="10"/>
      <c r="AF4842" s="10"/>
      <c r="AG4842" s="10"/>
      <c r="AH4842" s="10"/>
      <c r="AI4842" s="10"/>
      <c r="AJ4842" s="10"/>
      <c r="AK4842" s="10"/>
      <c r="AL4842" s="10"/>
      <c r="AM4842" s="10"/>
      <c r="AN4842" s="10"/>
      <c r="AO4842" s="10"/>
      <c r="AP4842" s="10"/>
      <c r="AQ4842" s="10"/>
      <c r="AR4842" s="10"/>
      <c r="AS4842" s="10"/>
      <c r="AT4842" s="10"/>
      <c r="AU4842" s="10"/>
      <c r="AV4842" s="10"/>
      <c r="AW4842" s="10"/>
      <c r="AX4842" s="10"/>
      <c r="AY4842" s="10"/>
      <c r="AZ4842" s="10"/>
    </row>
    <row r="4843" spans="31:52">
      <c r="AE4843" s="10"/>
      <c r="AF4843" s="10"/>
      <c r="AG4843" s="10"/>
      <c r="AH4843" s="10"/>
      <c r="AI4843" s="10"/>
      <c r="AJ4843" s="10"/>
      <c r="AK4843" s="10"/>
      <c r="AL4843" s="10"/>
      <c r="AM4843" s="10"/>
      <c r="AN4843" s="10"/>
      <c r="AO4843" s="10"/>
      <c r="AP4843" s="10"/>
      <c r="AQ4843" s="10"/>
      <c r="AR4843" s="10"/>
      <c r="AS4843" s="10"/>
      <c r="AT4843" s="10"/>
      <c r="AU4843" s="10"/>
      <c r="AV4843" s="10"/>
      <c r="AW4843" s="10"/>
      <c r="AX4843" s="10"/>
      <c r="AY4843" s="10"/>
      <c r="AZ4843" s="10"/>
    </row>
    <row r="4844" spans="31:52">
      <c r="AE4844" s="10"/>
      <c r="AF4844" s="10"/>
      <c r="AG4844" s="10"/>
      <c r="AH4844" s="10"/>
      <c r="AI4844" s="10"/>
      <c r="AJ4844" s="10"/>
      <c r="AK4844" s="10"/>
      <c r="AL4844" s="10"/>
      <c r="AM4844" s="10"/>
      <c r="AN4844" s="10"/>
      <c r="AO4844" s="10"/>
      <c r="AP4844" s="10"/>
      <c r="AQ4844" s="10"/>
      <c r="AR4844" s="10"/>
      <c r="AS4844" s="10"/>
      <c r="AT4844" s="10"/>
      <c r="AU4844" s="10"/>
      <c r="AV4844" s="10"/>
      <c r="AW4844" s="10"/>
      <c r="AX4844" s="10"/>
      <c r="AY4844" s="10"/>
      <c r="AZ4844" s="10"/>
    </row>
    <row r="4845" spans="31:52">
      <c r="AE4845" s="10"/>
      <c r="AF4845" s="10"/>
      <c r="AG4845" s="10"/>
      <c r="AH4845" s="10"/>
      <c r="AI4845" s="10"/>
      <c r="AJ4845" s="10"/>
      <c r="AK4845" s="10"/>
      <c r="AL4845" s="10"/>
      <c r="AM4845" s="10"/>
      <c r="AN4845" s="10"/>
      <c r="AO4845" s="10"/>
      <c r="AP4845" s="10"/>
      <c r="AQ4845" s="10"/>
      <c r="AR4845" s="10"/>
      <c r="AS4845" s="10"/>
      <c r="AT4845" s="10"/>
      <c r="AU4845" s="10"/>
      <c r="AV4845" s="10"/>
      <c r="AW4845" s="10"/>
      <c r="AX4845" s="10"/>
      <c r="AY4845" s="10"/>
      <c r="AZ4845" s="10"/>
    </row>
    <row r="4846" spans="31:52">
      <c r="AE4846" s="10"/>
      <c r="AF4846" s="10"/>
      <c r="AG4846" s="10"/>
      <c r="AH4846" s="10"/>
      <c r="AI4846" s="10"/>
      <c r="AJ4846" s="10"/>
      <c r="AK4846" s="10"/>
      <c r="AL4846" s="10"/>
      <c r="AM4846" s="10"/>
      <c r="AN4846" s="10"/>
      <c r="AO4846" s="10"/>
      <c r="AP4846" s="10"/>
      <c r="AQ4846" s="10"/>
      <c r="AR4846" s="10"/>
      <c r="AS4846" s="10"/>
      <c r="AT4846" s="10"/>
      <c r="AU4846" s="10"/>
      <c r="AV4846" s="10"/>
      <c r="AW4846" s="10"/>
      <c r="AX4846" s="10"/>
      <c r="AY4846" s="10"/>
      <c r="AZ4846" s="10"/>
    </row>
    <row r="4847" spans="31:52">
      <c r="AE4847" s="10"/>
      <c r="AF4847" s="10"/>
      <c r="AG4847" s="10"/>
      <c r="AH4847" s="10"/>
      <c r="AI4847" s="10"/>
      <c r="AJ4847" s="10"/>
      <c r="AK4847" s="10"/>
      <c r="AL4847" s="10"/>
      <c r="AM4847" s="10"/>
      <c r="AN4847" s="10"/>
      <c r="AO4847" s="10"/>
      <c r="AP4847" s="10"/>
      <c r="AQ4847" s="10"/>
      <c r="AR4847" s="10"/>
      <c r="AS4847" s="10"/>
      <c r="AT4847" s="10"/>
      <c r="AU4847" s="10"/>
      <c r="AV4847" s="10"/>
      <c r="AW4847" s="10"/>
      <c r="AX4847" s="10"/>
      <c r="AY4847" s="10"/>
      <c r="AZ4847" s="10"/>
    </row>
    <row r="4848" spans="31:52">
      <c r="AE4848" s="10"/>
      <c r="AF4848" s="10"/>
      <c r="AG4848" s="10"/>
      <c r="AH4848" s="10"/>
      <c r="AI4848" s="10"/>
      <c r="AJ4848" s="10"/>
      <c r="AK4848" s="10"/>
      <c r="AL4848" s="10"/>
      <c r="AM4848" s="10"/>
      <c r="AN4848" s="10"/>
      <c r="AO4848" s="10"/>
      <c r="AP4848" s="10"/>
      <c r="AQ4848" s="10"/>
      <c r="AR4848" s="10"/>
      <c r="AS4848" s="10"/>
      <c r="AT4848" s="10"/>
      <c r="AU4848" s="10"/>
      <c r="AV4848" s="10"/>
      <c r="AW4848" s="10"/>
      <c r="AX4848" s="10"/>
      <c r="AY4848" s="10"/>
      <c r="AZ4848" s="10"/>
    </row>
    <row r="4849" spans="31:52">
      <c r="AE4849" s="10"/>
      <c r="AF4849" s="10"/>
      <c r="AG4849" s="10"/>
      <c r="AH4849" s="10"/>
      <c r="AI4849" s="10"/>
      <c r="AJ4849" s="10"/>
      <c r="AK4849" s="10"/>
      <c r="AL4849" s="10"/>
      <c r="AM4849" s="10"/>
      <c r="AN4849" s="10"/>
      <c r="AO4849" s="10"/>
      <c r="AP4849" s="10"/>
      <c r="AQ4849" s="10"/>
      <c r="AR4849" s="10"/>
      <c r="AS4849" s="10"/>
      <c r="AT4849" s="10"/>
      <c r="AU4849" s="10"/>
      <c r="AV4849" s="10"/>
      <c r="AW4849" s="10"/>
      <c r="AX4849" s="10"/>
      <c r="AY4849" s="10"/>
      <c r="AZ4849" s="10"/>
    </row>
    <row r="4850" spans="31:52">
      <c r="AE4850" s="10"/>
      <c r="AF4850" s="10"/>
      <c r="AG4850" s="10"/>
      <c r="AH4850" s="10"/>
      <c r="AI4850" s="10"/>
      <c r="AJ4850" s="10"/>
      <c r="AK4850" s="10"/>
      <c r="AL4850" s="10"/>
      <c r="AM4850" s="10"/>
      <c r="AN4850" s="10"/>
      <c r="AO4850" s="10"/>
      <c r="AP4850" s="10"/>
      <c r="AQ4850" s="10"/>
      <c r="AR4850" s="10"/>
      <c r="AS4850" s="10"/>
      <c r="AT4850" s="10"/>
      <c r="AU4850" s="10"/>
      <c r="AV4850" s="10"/>
      <c r="AW4850" s="10"/>
      <c r="AX4850" s="10"/>
      <c r="AY4850" s="10"/>
      <c r="AZ4850" s="10"/>
    </row>
    <row r="4851" spans="31:52">
      <c r="AE4851" s="10"/>
      <c r="AF4851" s="10"/>
      <c r="AG4851" s="10"/>
      <c r="AH4851" s="10"/>
      <c r="AI4851" s="10"/>
      <c r="AJ4851" s="10"/>
      <c r="AK4851" s="10"/>
      <c r="AL4851" s="10"/>
      <c r="AM4851" s="10"/>
      <c r="AN4851" s="10"/>
      <c r="AO4851" s="10"/>
      <c r="AP4851" s="10"/>
      <c r="AQ4851" s="10"/>
      <c r="AR4851" s="10"/>
      <c r="AS4851" s="10"/>
      <c r="AT4851" s="10"/>
      <c r="AU4851" s="10"/>
      <c r="AV4851" s="10"/>
      <c r="AW4851" s="10"/>
      <c r="AX4851" s="10"/>
      <c r="AY4851" s="10"/>
      <c r="AZ4851" s="10"/>
    </row>
    <row r="4852" spans="31:52">
      <c r="AE4852" s="10"/>
      <c r="AF4852" s="10"/>
      <c r="AG4852" s="10"/>
      <c r="AH4852" s="10"/>
      <c r="AI4852" s="10"/>
      <c r="AJ4852" s="10"/>
      <c r="AK4852" s="10"/>
      <c r="AL4852" s="10"/>
      <c r="AM4852" s="10"/>
      <c r="AN4852" s="10"/>
      <c r="AO4852" s="10"/>
      <c r="AP4852" s="10"/>
      <c r="AQ4852" s="10"/>
      <c r="AR4852" s="10"/>
      <c r="AS4852" s="10"/>
      <c r="AT4852" s="10"/>
      <c r="AU4852" s="10"/>
      <c r="AV4852" s="10"/>
      <c r="AW4852" s="10"/>
      <c r="AX4852" s="10"/>
      <c r="AY4852" s="10"/>
      <c r="AZ4852" s="10"/>
    </row>
    <row r="4853" spans="31:52">
      <c r="AE4853" s="10"/>
      <c r="AF4853" s="10"/>
      <c r="AG4853" s="10"/>
      <c r="AH4853" s="10"/>
      <c r="AI4853" s="10"/>
      <c r="AJ4853" s="10"/>
      <c r="AK4853" s="10"/>
      <c r="AL4853" s="10"/>
      <c r="AM4853" s="10"/>
      <c r="AN4853" s="10"/>
      <c r="AO4853" s="10"/>
      <c r="AP4853" s="10"/>
      <c r="AQ4853" s="10"/>
      <c r="AR4853" s="10"/>
      <c r="AS4853" s="10"/>
      <c r="AT4853" s="10"/>
      <c r="AU4853" s="10"/>
      <c r="AV4853" s="10"/>
      <c r="AW4853" s="10"/>
      <c r="AX4853" s="10"/>
      <c r="AY4853" s="10"/>
      <c r="AZ4853" s="10"/>
    </row>
    <row r="4854" spans="31:52">
      <c r="AE4854" s="10"/>
      <c r="AF4854" s="10"/>
      <c r="AG4854" s="10"/>
      <c r="AH4854" s="10"/>
      <c r="AI4854" s="10"/>
      <c r="AJ4854" s="10"/>
      <c r="AK4854" s="10"/>
      <c r="AL4854" s="10"/>
      <c r="AM4854" s="10"/>
      <c r="AN4854" s="10"/>
      <c r="AO4854" s="10"/>
      <c r="AP4854" s="10"/>
      <c r="AQ4854" s="10"/>
      <c r="AR4854" s="10"/>
      <c r="AS4854" s="10"/>
      <c r="AT4854" s="10"/>
      <c r="AU4854" s="10"/>
      <c r="AV4854" s="10"/>
      <c r="AW4854" s="10"/>
      <c r="AX4854" s="10"/>
      <c r="AY4854" s="10"/>
      <c r="AZ4854" s="10"/>
    </row>
    <row r="4855" spans="31:52">
      <c r="AE4855" s="10"/>
      <c r="AF4855" s="10"/>
      <c r="AG4855" s="10"/>
      <c r="AH4855" s="10"/>
      <c r="AI4855" s="10"/>
      <c r="AJ4855" s="10"/>
      <c r="AK4855" s="10"/>
      <c r="AL4855" s="10"/>
      <c r="AM4855" s="10"/>
      <c r="AN4855" s="10"/>
      <c r="AO4855" s="10"/>
      <c r="AP4855" s="10"/>
      <c r="AQ4855" s="10"/>
      <c r="AR4855" s="10"/>
      <c r="AS4855" s="10"/>
      <c r="AT4855" s="10"/>
      <c r="AU4855" s="10"/>
      <c r="AV4855" s="10"/>
      <c r="AW4855" s="10"/>
      <c r="AX4855" s="10"/>
      <c r="AY4855" s="10"/>
      <c r="AZ4855" s="10"/>
    </row>
    <row r="4856" spans="31:52">
      <c r="AE4856" s="10"/>
      <c r="AF4856" s="10"/>
      <c r="AG4856" s="10"/>
      <c r="AH4856" s="10"/>
      <c r="AI4856" s="10"/>
      <c r="AJ4856" s="10"/>
      <c r="AK4856" s="10"/>
      <c r="AL4856" s="10"/>
      <c r="AM4856" s="10"/>
      <c r="AN4856" s="10"/>
      <c r="AO4856" s="10"/>
      <c r="AP4856" s="10"/>
      <c r="AQ4856" s="10"/>
      <c r="AR4856" s="10"/>
      <c r="AS4856" s="10"/>
      <c r="AT4856" s="10"/>
      <c r="AU4856" s="10"/>
      <c r="AV4856" s="10"/>
      <c r="AW4856" s="10"/>
      <c r="AX4856" s="10"/>
      <c r="AY4856" s="10"/>
      <c r="AZ4856" s="10"/>
    </row>
    <row r="4857" spans="31:52">
      <c r="AE4857" s="10"/>
      <c r="AF4857" s="10"/>
      <c r="AG4857" s="10"/>
      <c r="AH4857" s="10"/>
      <c r="AI4857" s="10"/>
      <c r="AJ4857" s="10"/>
      <c r="AK4857" s="10"/>
      <c r="AL4857" s="10"/>
      <c r="AM4857" s="10"/>
      <c r="AN4857" s="10"/>
      <c r="AO4857" s="10"/>
      <c r="AP4857" s="10"/>
      <c r="AQ4857" s="10"/>
      <c r="AR4857" s="10"/>
      <c r="AS4857" s="10"/>
      <c r="AT4857" s="10"/>
      <c r="AU4857" s="10"/>
      <c r="AV4857" s="10"/>
      <c r="AW4857" s="10"/>
      <c r="AX4857" s="10"/>
      <c r="AY4857" s="10"/>
      <c r="AZ4857" s="10"/>
    </row>
    <row r="4858" spans="31:52">
      <c r="AE4858" s="10"/>
      <c r="AF4858" s="10"/>
      <c r="AG4858" s="10"/>
      <c r="AH4858" s="10"/>
      <c r="AI4858" s="10"/>
      <c r="AJ4858" s="10"/>
      <c r="AK4858" s="10"/>
      <c r="AL4858" s="10"/>
      <c r="AM4858" s="10"/>
      <c r="AN4858" s="10"/>
      <c r="AO4858" s="10"/>
      <c r="AP4858" s="10"/>
      <c r="AQ4858" s="10"/>
      <c r="AR4858" s="10"/>
      <c r="AS4858" s="10"/>
      <c r="AT4858" s="10"/>
      <c r="AU4858" s="10"/>
      <c r="AV4858" s="10"/>
      <c r="AW4858" s="10"/>
      <c r="AX4858" s="10"/>
      <c r="AY4858" s="10"/>
      <c r="AZ4858" s="10"/>
    </row>
    <row r="4859" spans="31:52">
      <c r="AE4859" s="10"/>
      <c r="AF4859" s="10"/>
      <c r="AG4859" s="10"/>
      <c r="AH4859" s="10"/>
      <c r="AI4859" s="10"/>
      <c r="AJ4859" s="10"/>
      <c r="AK4859" s="10"/>
      <c r="AL4859" s="10"/>
      <c r="AM4859" s="10"/>
      <c r="AN4859" s="10"/>
      <c r="AO4859" s="10"/>
      <c r="AP4859" s="10"/>
      <c r="AQ4859" s="10"/>
      <c r="AR4859" s="10"/>
      <c r="AS4859" s="10"/>
      <c r="AT4859" s="10"/>
      <c r="AU4859" s="10"/>
      <c r="AV4859" s="10"/>
      <c r="AW4859" s="10"/>
      <c r="AX4859" s="10"/>
      <c r="AY4859" s="10"/>
      <c r="AZ4859" s="10"/>
    </row>
    <row r="4860" spans="31:52">
      <c r="AE4860" s="10"/>
      <c r="AF4860" s="10"/>
      <c r="AG4860" s="10"/>
      <c r="AH4860" s="10"/>
      <c r="AI4860" s="10"/>
      <c r="AJ4860" s="10"/>
      <c r="AK4860" s="10"/>
      <c r="AL4860" s="10"/>
      <c r="AM4860" s="10"/>
      <c r="AN4860" s="10"/>
      <c r="AO4860" s="10"/>
      <c r="AP4860" s="10"/>
      <c r="AQ4860" s="10"/>
      <c r="AR4860" s="10"/>
      <c r="AS4860" s="10"/>
      <c r="AT4860" s="10"/>
      <c r="AU4860" s="10"/>
      <c r="AV4860" s="10"/>
      <c r="AW4860" s="10"/>
      <c r="AX4860" s="10"/>
      <c r="AY4860" s="10"/>
      <c r="AZ4860" s="10"/>
    </row>
    <row r="4861" spans="31:52">
      <c r="AE4861" s="10"/>
      <c r="AF4861" s="10"/>
      <c r="AG4861" s="10"/>
      <c r="AH4861" s="10"/>
      <c r="AI4861" s="10"/>
      <c r="AJ4861" s="10"/>
      <c r="AK4861" s="10"/>
      <c r="AL4861" s="10"/>
      <c r="AM4861" s="10"/>
      <c r="AN4861" s="10"/>
      <c r="AO4861" s="10"/>
      <c r="AP4861" s="10"/>
      <c r="AQ4861" s="10"/>
      <c r="AR4861" s="10"/>
      <c r="AS4861" s="10"/>
      <c r="AT4861" s="10"/>
      <c r="AU4861" s="10"/>
      <c r="AV4861" s="10"/>
      <c r="AW4861" s="10"/>
      <c r="AX4861" s="10"/>
      <c r="AY4861" s="10"/>
      <c r="AZ4861" s="10"/>
    </row>
    <row r="4862" spans="31:52">
      <c r="AE4862" s="10"/>
      <c r="AF4862" s="10"/>
      <c r="AG4862" s="10"/>
      <c r="AH4862" s="10"/>
      <c r="AI4862" s="10"/>
      <c r="AJ4862" s="10"/>
      <c r="AK4862" s="10"/>
      <c r="AL4862" s="10"/>
      <c r="AM4862" s="10"/>
      <c r="AN4862" s="10"/>
      <c r="AO4862" s="10"/>
      <c r="AP4862" s="10"/>
      <c r="AQ4862" s="10"/>
      <c r="AR4862" s="10"/>
      <c r="AS4862" s="10"/>
      <c r="AT4862" s="10"/>
      <c r="AU4862" s="10"/>
      <c r="AV4862" s="10"/>
      <c r="AW4862" s="10"/>
      <c r="AX4862" s="10"/>
      <c r="AY4862" s="10"/>
      <c r="AZ4862" s="10"/>
    </row>
    <row r="4863" spans="31:52">
      <c r="AE4863" s="10"/>
      <c r="AF4863" s="10"/>
      <c r="AG4863" s="10"/>
      <c r="AH4863" s="10"/>
      <c r="AI4863" s="10"/>
      <c r="AJ4863" s="10"/>
      <c r="AK4863" s="10"/>
      <c r="AL4863" s="10"/>
      <c r="AM4863" s="10"/>
      <c r="AN4863" s="10"/>
      <c r="AO4863" s="10"/>
      <c r="AP4863" s="10"/>
      <c r="AQ4863" s="10"/>
      <c r="AR4863" s="10"/>
      <c r="AS4863" s="10"/>
      <c r="AT4863" s="10"/>
      <c r="AU4863" s="10"/>
      <c r="AV4863" s="10"/>
      <c r="AW4863" s="10"/>
      <c r="AX4863" s="10"/>
      <c r="AY4863" s="10"/>
      <c r="AZ4863" s="10"/>
    </row>
    <row r="4864" spans="31:52">
      <c r="AE4864" s="10"/>
      <c r="AF4864" s="10"/>
      <c r="AG4864" s="10"/>
      <c r="AH4864" s="10"/>
      <c r="AI4864" s="10"/>
      <c r="AJ4864" s="10"/>
      <c r="AK4864" s="10"/>
      <c r="AL4864" s="10"/>
      <c r="AM4864" s="10"/>
      <c r="AN4864" s="10"/>
      <c r="AO4864" s="10"/>
      <c r="AP4864" s="10"/>
      <c r="AQ4864" s="10"/>
      <c r="AR4864" s="10"/>
      <c r="AS4864" s="10"/>
      <c r="AT4864" s="10"/>
      <c r="AU4864" s="10"/>
      <c r="AV4864" s="10"/>
      <c r="AW4864" s="10"/>
      <c r="AX4864" s="10"/>
      <c r="AY4864" s="10"/>
      <c r="AZ4864" s="10"/>
    </row>
    <row r="4865" spans="31:52">
      <c r="AE4865" s="10"/>
      <c r="AF4865" s="10"/>
      <c r="AG4865" s="10"/>
      <c r="AH4865" s="10"/>
      <c r="AI4865" s="10"/>
      <c r="AJ4865" s="10"/>
      <c r="AK4865" s="10"/>
      <c r="AL4865" s="10"/>
      <c r="AM4865" s="10"/>
      <c r="AN4865" s="10"/>
      <c r="AO4865" s="10"/>
      <c r="AP4865" s="10"/>
      <c r="AQ4865" s="10"/>
      <c r="AR4865" s="10"/>
      <c r="AS4865" s="10"/>
      <c r="AT4865" s="10"/>
      <c r="AU4865" s="10"/>
      <c r="AV4865" s="10"/>
      <c r="AW4865" s="10"/>
      <c r="AX4865" s="10"/>
      <c r="AY4865" s="10"/>
      <c r="AZ4865" s="10"/>
    </row>
    <row r="4866" spans="31:52">
      <c r="AE4866" s="10"/>
      <c r="AF4866" s="10"/>
      <c r="AG4866" s="10"/>
      <c r="AH4866" s="10"/>
      <c r="AI4866" s="10"/>
      <c r="AJ4866" s="10"/>
      <c r="AK4866" s="10"/>
      <c r="AL4866" s="10"/>
      <c r="AM4866" s="10"/>
      <c r="AN4866" s="10"/>
      <c r="AO4866" s="10"/>
      <c r="AP4866" s="10"/>
      <c r="AQ4866" s="10"/>
      <c r="AR4866" s="10"/>
      <c r="AS4866" s="10"/>
      <c r="AT4866" s="10"/>
      <c r="AU4866" s="10"/>
      <c r="AV4866" s="10"/>
      <c r="AW4866" s="10"/>
      <c r="AX4866" s="10"/>
      <c r="AY4866" s="10"/>
      <c r="AZ4866" s="10"/>
    </row>
    <row r="4867" spans="31:52">
      <c r="AE4867" s="10"/>
      <c r="AF4867" s="10"/>
      <c r="AG4867" s="10"/>
      <c r="AH4867" s="10"/>
      <c r="AI4867" s="10"/>
      <c r="AJ4867" s="10"/>
      <c r="AK4867" s="10"/>
      <c r="AL4867" s="10"/>
      <c r="AM4867" s="10"/>
      <c r="AN4867" s="10"/>
      <c r="AO4867" s="10"/>
      <c r="AP4867" s="10"/>
      <c r="AQ4867" s="10"/>
      <c r="AR4867" s="10"/>
      <c r="AS4867" s="10"/>
      <c r="AT4867" s="10"/>
      <c r="AU4867" s="10"/>
      <c r="AV4867" s="10"/>
      <c r="AW4867" s="10"/>
      <c r="AX4867" s="10"/>
      <c r="AY4867" s="10"/>
      <c r="AZ4867" s="10"/>
    </row>
    <row r="4868" spans="31:52">
      <c r="AE4868" s="10"/>
      <c r="AF4868" s="10"/>
      <c r="AG4868" s="10"/>
      <c r="AH4868" s="10"/>
      <c r="AI4868" s="10"/>
      <c r="AJ4868" s="10"/>
      <c r="AK4868" s="10"/>
      <c r="AL4868" s="10"/>
      <c r="AM4868" s="10"/>
      <c r="AN4868" s="10"/>
      <c r="AO4868" s="10"/>
      <c r="AP4868" s="10"/>
      <c r="AQ4868" s="10"/>
      <c r="AR4868" s="10"/>
      <c r="AS4868" s="10"/>
      <c r="AT4868" s="10"/>
      <c r="AU4868" s="10"/>
      <c r="AV4868" s="10"/>
      <c r="AW4868" s="10"/>
      <c r="AX4868" s="10"/>
      <c r="AY4868" s="10"/>
      <c r="AZ4868" s="10"/>
    </row>
    <row r="4869" spans="31:52">
      <c r="AE4869" s="10"/>
      <c r="AF4869" s="10"/>
      <c r="AG4869" s="10"/>
      <c r="AH4869" s="10"/>
      <c r="AI4869" s="10"/>
      <c r="AJ4869" s="10"/>
      <c r="AK4869" s="10"/>
      <c r="AL4869" s="10"/>
      <c r="AM4869" s="10"/>
      <c r="AN4869" s="10"/>
      <c r="AO4869" s="10"/>
      <c r="AP4869" s="10"/>
      <c r="AQ4869" s="10"/>
      <c r="AR4869" s="10"/>
      <c r="AS4869" s="10"/>
      <c r="AT4869" s="10"/>
      <c r="AU4869" s="10"/>
      <c r="AV4869" s="10"/>
      <c r="AW4869" s="10"/>
      <c r="AX4869" s="10"/>
      <c r="AY4869" s="10"/>
      <c r="AZ4869" s="10"/>
    </row>
    <row r="4870" spans="31:52">
      <c r="AE4870" s="10"/>
      <c r="AF4870" s="10"/>
      <c r="AG4870" s="10"/>
      <c r="AH4870" s="10"/>
      <c r="AI4870" s="10"/>
      <c r="AJ4870" s="10"/>
      <c r="AK4870" s="10"/>
      <c r="AL4870" s="10"/>
      <c r="AM4870" s="10"/>
      <c r="AN4870" s="10"/>
      <c r="AO4870" s="10"/>
      <c r="AP4870" s="10"/>
      <c r="AQ4870" s="10"/>
      <c r="AR4870" s="10"/>
      <c r="AS4870" s="10"/>
      <c r="AT4870" s="10"/>
      <c r="AU4870" s="10"/>
      <c r="AV4870" s="10"/>
      <c r="AW4870" s="10"/>
      <c r="AX4870" s="10"/>
      <c r="AY4870" s="10"/>
      <c r="AZ4870" s="10"/>
    </row>
    <row r="4871" spans="31:52">
      <c r="AE4871" s="10"/>
      <c r="AF4871" s="10"/>
      <c r="AG4871" s="10"/>
      <c r="AH4871" s="10"/>
      <c r="AI4871" s="10"/>
      <c r="AJ4871" s="10"/>
      <c r="AK4871" s="10"/>
      <c r="AL4871" s="10"/>
      <c r="AM4871" s="10"/>
      <c r="AN4871" s="10"/>
      <c r="AO4871" s="10"/>
      <c r="AP4871" s="10"/>
      <c r="AQ4871" s="10"/>
      <c r="AR4871" s="10"/>
      <c r="AS4871" s="10"/>
      <c r="AT4871" s="10"/>
      <c r="AU4871" s="10"/>
      <c r="AV4871" s="10"/>
      <c r="AW4871" s="10"/>
      <c r="AX4871" s="10"/>
      <c r="AY4871" s="10"/>
      <c r="AZ4871" s="10"/>
    </row>
    <row r="4872" spans="31:52">
      <c r="AE4872" s="10"/>
      <c r="AF4872" s="10"/>
      <c r="AG4872" s="10"/>
      <c r="AH4872" s="10"/>
      <c r="AI4872" s="10"/>
      <c r="AJ4872" s="10"/>
      <c r="AK4872" s="10"/>
      <c r="AL4872" s="10"/>
      <c r="AM4872" s="10"/>
      <c r="AN4872" s="10"/>
      <c r="AO4872" s="10"/>
      <c r="AP4872" s="10"/>
      <c r="AQ4872" s="10"/>
      <c r="AR4872" s="10"/>
      <c r="AS4872" s="10"/>
      <c r="AT4872" s="10"/>
      <c r="AU4872" s="10"/>
      <c r="AV4872" s="10"/>
      <c r="AW4872" s="10"/>
      <c r="AX4872" s="10"/>
      <c r="AY4872" s="10"/>
      <c r="AZ4872" s="10"/>
    </row>
    <row r="4873" spans="31:52">
      <c r="AE4873" s="10"/>
      <c r="AF4873" s="10"/>
      <c r="AG4873" s="10"/>
      <c r="AH4873" s="10"/>
      <c r="AI4873" s="10"/>
      <c r="AJ4873" s="10"/>
      <c r="AK4873" s="10"/>
      <c r="AL4873" s="10"/>
      <c r="AM4873" s="10"/>
      <c r="AN4873" s="10"/>
      <c r="AO4873" s="10"/>
      <c r="AP4873" s="10"/>
      <c r="AQ4873" s="10"/>
      <c r="AR4873" s="10"/>
      <c r="AS4873" s="10"/>
      <c r="AT4873" s="10"/>
      <c r="AU4873" s="10"/>
      <c r="AV4873" s="10"/>
      <c r="AW4873" s="10"/>
      <c r="AX4873" s="10"/>
      <c r="AY4873" s="10"/>
      <c r="AZ4873" s="10"/>
    </row>
    <row r="4874" spans="31:52">
      <c r="AE4874" s="10"/>
      <c r="AF4874" s="10"/>
      <c r="AG4874" s="10"/>
      <c r="AH4874" s="10"/>
      <c r="AI4874" s="10"/>
      <c r="AJ4874" s="10"/>
      <c r="AK4874" s="10"/>
      <c r="AL4874" s="10"/>
      <c r="AM4874" s="10"/>
      <c r="AN4874" s="10"/>
      <c r="AO4874" s="10"/>
      <c r="AP4874" s="10"/>
      <c r="AQ4874" s="10"/>
      <c r="AR4874" s="10"/>
      <c r="AS4874" s="10"/>
      <c r="AT4874" s="10"/>
      <c r="AU4874" s="10"/>
      <c r="AV4874" s="10"/>
      <c r="AW4874" s="10"/>
      <c r="AX4874" s="10"/>
      <c r="AY4874" s="10"/>
      <c r="AZ4874" s="10"/>
    </row>
    <row r="4875" spans="31:52">
      <c r="AE4875" s="10"/>
      <c r="AF4875" s="10"/>
      <c r="AG4875" s="10"/>
      <c r="AH4875" s="10"/>
      <c r="AI4875" s="10"/>
      <c r="AJ4875" s="10"/>
      <c r="AK4875" s="10"/>
      <c r="AL4875" s="10"/>
      <c r="AM4875" s="10"/>
      <c r="AN4875" s="10"/>
      <c r="AO4875" s="10"/>
      <c r="AP4875" s="10"/>
      <c r="AQ4875" s="10"/>
      <c r="AR4875" s="10"/>
      <c r="AS4875" s="10"/>
      <c r="AT4875" s="10"/>
      <c r="AU4875" s="10"/>
      <c r="AV4875" s="10"/>
      <c r="AW4875" s="10"/>
      <c r="AX4875" s="10"/>
      <c r="AY4875" s="10"/>
      <c r="AZ4875" s="10"/>
    </row>
    <row r="4876" spans="31:52">
      <c r="AE4876" s="10"/>
      <c r="AF4876" s="10"/>
      <c r="AG4876" s="10"/>
      <c r="AH4876" s="10"/>
      <c r="AI4876" s="10"/>
      <c r="AJ4876" s="10"/>
      <c r="AK4876" s="10"/>
      <c r="AL4876" s="10"/>
      <c r="AM4876" s="10"/>
      <c r="AN4876" s="10"/>
      <c r="AO4876" s="10"/>
      <c r="AP4876" s="10"/>
      <c r="AQ4876" s="10"/>
      <c r="AR4876" s="10"/>
      <c r="AS4876" s="10"/>
      <c r="AT4876" s="10"/>
      <c r="AU4876" s="10"/>
      <c r="AV4876" s="10"/>
      <c r="AW4876" s="10"/>
      <c r="AX4876" s="10"/>
      <c r="AY4876" s="10"/>
      <c r="AZ4876" s="10"/>
    </row>
    <row r="4877" spans="31:52">
      <c r="AE4877" s="10"/>
      <c r="AF4877" s="10"/>
      <c r="AG4877" s="10"/>
      <c r="AH4877" s="10"/>
      <c r="AI4877" s="10"/>
      <c r="AJ4877" s="10"/>
      <c r="AK4877" s="10"/>
      <c r="AL4877" s="10"/>
      <c r="AM4877" s="10"/>
      <c r="AN4877" s="10"/>
      <c r="AO4877" s="10"/>
      <c r="AP4877" s="10"/>
      <c r="AQ4877" s="10"/>
      <c r="AR4877" s="10"/>
      <c r="AS4877" s="10"/>
      <c r="AT4877" s="10"/>
      <c r="AU4877" s="10"/>
      <c r="AV4877" s="10"/>
      <c r="AW4877" s="10"/>
      <c r="AX4877" s="10"/>
      <c r="AY4877" s="10"/>
      <c r="AZ4877" s="10"/>
    </row>
    <row r="4878" spans="31:52">
      <c r="AE4878" s="10"/>
      <c r="AF4878" s="10"/>
      <c r="AG4878" s="10"/>
      <c r="AH4878" s="10"/>
      <c r="AI4878" s="10"/>
      <c r="AJ4878" s="10"/>
      <c r="AK4878" s="10"/>
      <c r="AL4878" s="10"/>
      <c r="AM4878" s="10"/>
      <c r="AN4878" s="10"/>
      <c r="AO4878" s="10"/>
      <c r="AP4878" s="10"/>
      <c r="AQ4878" s="10"/>
      <c r="AR4878" s="10"/>
      <c r="AS4878" s="10"/>
      <c r="AT4878" s="10"/>
      <c r="AU4878" s="10"/>
      <c r="AV4878" s="10"/>
      <c r="AW4878" s="10"/>
      <c r="AX4878" s="10"/>
      <c r="AY4878" s="10"/>
      <c r="AZ4878" s="10"/>
    </row>
    <row r="4879" spans="31:52">
      <c r="AE4879" s="10"/>
      <c r="AF4879" s="10"/>
      <c r="AG4879" s="10"/>
      <c r="AH4879" s="10"/>
      <c r="AI4879" s="10"/>
      <c r="AJ4879" s="10"/>
      <c r="AK4879" s="10"/>
      <c r="AL4879" s="10"/>
      <c r="AM4879" s="10"/>
      <c r="AN4879" s="10"/>
      <c r="AO4879" s="10"/>
      <c r="AP4879" s="10"/>
      <c r="AQ4879" s="10"/>
      <c r="AR4879" s="10"/>
      <c r="AS4879" s="10"/>
      <c r="AT4879" s="10"/>
      <c r="AU4879" s="10"/>
      <c r="AV4879" s="10"/>
      <c r="AW4879" s="10"/>
      <c r="AX4879" s="10"/>
      <c r="AY4879" s="10"/>
      <c r="AZ4879" s="10"/>
    </row>
    <row r="4880" spans="31:52">
      <c r="AE4880" s="10"/>
      <c r="AF4880" s="10"/>
      <c r="AG4880" s="10"/>
      <c r="AH4880" s="10"/>
      <c r="AI4880" s="10"/>
      <c r="AJ4880" s="10"/>
      <c r="AK4880" s="10"/>
      <c r="AL4880" s="10"/>
      <c r="AM4880" s="10"/>
      <c r="AN4880" s="10"/>
      <c r="AO4880" s="10"/>
      <c r="AP4880" s="10"/>
      <c r="AQ4880" s="10"/>
      <c r="AR4880" s="10"/>
      <c r="AS4880" s="10"/>
      <c r="AT4880" s="10"/>
      <c r="AU4880" s="10"/>
      <c r="AV4880" s="10"/>
      <c r="AW4880" s="10"/>
      <c r="AX4880" s="10"/>
      <c r="AY4880" s="10"/>
      <c r="AZ4880" s="10"/>
    </row>
    <row r="4881" spans="31:52">
      <c r="AE4881" s="10"/>
      <c r="AF4881" s="10"/>
      <c r="AG4881" s="10"/>
      <c r="AH4881" s="10"/>
      <c r="AI4881" s="10"/>
      <c r="AJ4881" s="10"/>
      <c r="AK4881" s="10"/>
      <c r="AL4881" s="10"/>
      <c r="AM4881" s="10"/>
      <c r="AN4881" s="10"/>
      <c r="AO4881" s="10"/>
      <c r="AP4881" s="10"/>
      <c r="AQ4881" s="10"/>
      <c r="AR4881" s="10"/>
      <c r="AS4881" s="10"/>
      <c r="AT4881" s="10"/>
      <c r="AU4881" s="10"/>
      <c r="AV4881" s="10"/>
      <c r="AW4881" s="10"/>
      <c r="AX4881" s="10"/>
      <c r="AY4881" s="10"/>
      <c r="AZ4881" s="10"/>
    </row>
    <row r="4882" spans="31:52">
      <c r="AE4882" s="10"/>
      <c r="AF4882" s="10"/>
      <c r="AG4882" s="10"/>
      <c r="AH4882" s="10"/>
      <c r="AI4882" s="10"/>
      <c r="AJ4882" s="10"/>
      <c r="AK4882" s="10"/>
      <c r="AL4882" s="10"/>
      <c r="AM4882" s="10"/>
      <c r="AN4882" s="10"/>
      <c r="AO4882" s="10"/>
      <c r="AP4882" s="10"/>
      <c r="AQ4882" s="10"/>
      <c r="AR4882" s="10"/>
      <c r="AS4882" s="10"/>
      <c r="AT4882" s="10"/>
      <c r="AU4882" s="10"/>
      <c r="AV4882" s="10"/>
      <c r="AW4882" s="10"/>
      <c r="AX4882" s="10"/>
      <c r="AY4882" s="10"/>
      <c r="AZ4882" s="10"/>
    </row>
    <row r="4883" spans="31:52">
      <c r="AE4883" s="10"/>
      <c r="AF4883" s="10"/>
      <c r="AG4883" s="10"/>
      <c r="AH4883" s="10"/>
      <c r="AI4883" s="10"/>
      <c r="AJ4883" s="10"/>
      <c r="AK4883" s="10"/>
      <c r="AL4883" s="10"/>
      <c r="AM4883" s="10"/>
      <c r="AN4883" s="10"/>
      <c r="AO4883" s="10"/>
      <c r="AP4883" s="10"/>
      <c r="AQ4883" s="10"/>
      <c r="AR4883" s="10"/>
      <c r="AS4883" s="10"/>
      <c r="AT4883" s="10"/>
      <c r="AU4883" s="10"/>
      <c r="AV4883" s="10"/>
      <c r="AW4883" s="10"/>
      <c r="AX4883" s="10"/>
      <c r="AY4883" s="10"/>
      <c r="AZ4883" s="10"/>
    </row>
    <row r="4884" spans="31:52">
      <c r="AE4884" s="10"/>
      <c r="AF4884" s="10"/>
      <c r="AG4884" s="10"/>
      <c r="AH4884" s="10"/>
      <c r="AI4884" s="10"/>
      <c r="AJ4884" s="10"/>
      <c r="AK4884" s="10"/>
      <c r="AL4884" s="10"/>
      <c r="AM4884" s="10"/>
      <c r="AN4884" s="10"/>
      <c r="AO4884" s="10"/>
      <c r="AP4884" s="10"/>
      <c r="AQ4884" s="10"/>
      <c r="AR4884" s="10"/>
      <c r="AS4884" s="10"/>
      <c r="AT4884" s="10"/>
      <c r="AU4884" s="10"/>
      <c r="AV4884" s="10"/>
      <c r="AW4884" s="10"/>
      <c r="AX4884" s="10"/>
      <c r="AY4884" s="10"/>
      <c r="AZ4884" s="10"/>
    </row>
    <row r="4885" spans="31:52">
      <c r="AE4885" s="10"/>
      <c r="AF4885" s="10"/>
      <c r="AG4885" s="10"/>
      <c r="AH4885" s="10"/>
      <c r="AI4885" s="10"/>
      <c r="AJ4885" s="10"/>
      <c r="AK4885" s="10"/>
      <c r="AL4885" s="10"/>
      <c r="AM4885" s="10"/>
      <c r="AN4885" s="10"/>
      <c r="AO4885" s="10"/>
      <c r="AP4885" s="10"/>
      <c r="AQ4885" s="10"/>
      <c r="AR4885" s="10"/>
      <c r="AS4885" s="10"/>
      <c r="AT4885" s="10"/>
      <c r="AU4885" s="10"/>
      <c r="AV4885" s="10"/>
      <c r="AW4885" s="10"/>
      <c r="AX4885" s="10"/>
      <c r="AY4885" s="10"/>
      <c r="AZ4885" s="10"/>
    </row>
    <row r="4886" spans="31:52">
      <c r="AE4886" s="10"/>
      <c r="AF4886" s="10"/>
      <c r="AG4886" s="10"/>
      <c r="AH4886" s="10"/>
      <c r="AI4886" s="10"/>
      <c r="AJ4886" s="10"/>
      <c r="AK4886" s="10"/>
      <c r="AL4886" s="10"/>
      <c r="AM4886" s="10"/>
      <c r="AN4886" s="10"/>
      <c r="AO4886" s="10"/>
      <c r="AP4886" s="10"/>
      <c r="AQ4886" s="10"/>
      <c r="AR4886" s="10"/>
      <c r="AS4886" s="10"/>
      <c r="AT4886" s="10"/>
      <c r="AU4886" s="10"/>
      <c r="AV4886" s="10"/>
      <c r="AW4886" s="10"/>
      <c r="AX4886" s="10"/>
      <c r="AY4886" s="10"/>
      <c r="AZ4886" s="10"/>
    </row>
    <row r="4887" spans="31:52">
      <c r="AE4887" s="10"/>
      <c r="AF4887" s="10"/>
      <c r="AG4887" s="10"/>
      <c r="AH4887" s="10"/>
      <c r="AI4887" s="10"/>
      <c r="AJ4887" s="10"/>
      <c r="AK4887" s="10"/>
      <c r="AL4887" s="10"/>
      <c r="AM4887" s="10"/>
      <c r="AN4887" s="10"/>
      <c r="AO4887" s="10"/>
      <c r="AP4887" s="10"/>
      <c r="AQ4887" s="10"/>
      <c r="AR4887" s="10"/>
      <c r="AS4887" s="10"/>
      <c r="AT4887" s="10"/>
      <c r="AU4887" s="10"/>
      <c r="AV4887" s="10"/>
      <c r="AW4887" s="10"/>
      <c r="AX4887" s="10"/>
      <c r="AY4887" s="10"/>
      <c r="AZ4887" s="10"/>
    </row>
    <row r="4888" spans="31:52">
      <c r="AE4888" s="10"/>
      <c r="AF4888" s="10"/>
      <c r="AG4888" s="10"/>
      <c r="AH4888" s="10"/>
      <c r="AI4888" s="10"/>
      <c r="AJ4888" s="10"/>
      <c r="AK4888" s="10"/>
      <c r="AL4888" s="10"/>
      <c r="AM4888" s="10"/>
      <c r="AN4888" s="10"/>
      <c r="AO4888" s="10"/>
      <c r="AP4888" s="10"/>
      <c r="AQ4888" s="10"/>
      <c r="AR4888" s="10"/>
      <c r="AS4888" s="10"/>
      <c r="AT4888" s="10"/>
      <c r="AU4888" s="10"/>
      <c r="AV4888" s="10"/>
      <c r="AW4888" s="10"/>
      <c r="AX4888" s="10"/>
      <c r="AY4888" s="10"/>
      <c r="AZ4888" s="10"/>
    </row>
    <row r="4889" spans="31:52">
      <c r="AE4889" s="10"/>
      <c r="AF4889" s="10"/>
      <c r="AG4889" s="10"/>
      <c r="AH4889" s="10"/>
      <c r="AI4889" s="10"/>
      <c r="AJ4889" s="10"/>
      <c r="AK4889" s="10"/>
      <c r="AL4889" s="10"/>
      <c r="AM4889" s="10"/>
      <c r="AN4889" s="10"/>
      <c r="AO4889" s="10"/>
      <c r="AP4889" s="10"/>
      <c r="AQ4889" s="10"/>
      <c r="AR4889" s="10"/>
      <c r="AS4889" s="10"/>
      <c r="AT4889" s="10"/>
      <c r="AU4889" s="10"/>
      <c r="AV4889" s="10"/>
      <c r="AW4889" s="10"/>
      <c r="AX4889" s="10"/>
      <c r="AY4889" s="10"/>
      <c r="AZ4889" s="10"/>
    </row>
    <row r="4890" spans="31:52">
      <c r="AE4890" s="10"/>
      <c r="AF4890" s="10"/>
      <c r="AG4890" s="10"/>
      <c r="AH4890" s="10"/>
      <c r="AI4890" s="10"/>
      <c r="AJ4890" s="10"/>
      <c r="AK4890" s="10"/>
      <c r="AL4890" s="10"/>
      <c r="AM4890" s="10"/>
      <c r="AN4890" s="10"/>
      <c r="AO4890" s="10"/>
      <c r="AP4890" s="10"/>
      <c r="AQ4890" s="10"/>
      <c r="AR4890" s="10"/>
      <c r="AS4890" s="10"/>
      <c r="AT4890" s="10"/>
      <c r="AU4890" s="10"/>
      <c r="AV4890" s="10"/>
      <c r="AW4890" s="10"/>
      <c r="AX4890" s="10"/>
      <c r="AY4890" s="10"/>
      <c r="AZ4890" s="10"/>
    </row>
    <row r="4891" spans="31:52">
      <c r="AE4891" s="10"/>
      <c r="AF4891" s="10"/>
      <c r="AG4891" s="10"/>
      <c r="AH4891" s="10"/>
      <c r="AI4891" s="10"/>
      <c r="AJ4891" s="10"/>
      <c r="AK4891" s="10"/>
      <c r="AL4891" s="10"/>
      <c r="AM4891" s="10"/>
      <c r="AN4891" s="10"/>
      <c r="AO4891" s="10"/>
      <c r="AP4891" s="10"/>
      <c r="AQ4891" s="10"/>
      <c r="AR4891" s="10"/>
      <c r="AS4891" s="10"/>
      <c r="AT4891" s="10"/>
      <c r="AU4891" s="10"/>
      <c r="AV4891" s="10"/>
      <c r="AW4891" s="10"/>
      <c r="AX4891" s="10"/>
      <c r="AY4891" s="10"/>
      <c r="AZ4891" s="10"/>
    </row>
    <row r="4892" spans="31:52">
      <c r="AE4892" s="10"/>
      <c r="AF4892" s="10"/>
      <c r="AG4892" s="10"/>
      <c r="AH4892" s="10"/>
      <c r="AI4892" s="10"/>
      <c r="AJ4892" s="10"/>
      <c r="AK4892" s="10"/>
      <c r="AL4892" s="10"/>
      <c r="AM4892" s="10"/>
      <c r="AN4892" s="10"/>
      <c r="AO4892" s="10"/>
      <c r="AP4892" s="10"/>
      <c r="AQ4892" s="10"/>
      <c r="AR4892" s="10"/>
      <c r="AS4892" s="10"/>
      <c r="AT4892" s="10"/>
      <c r="AU4892" s="10"/>
      <c r="AV4892" s="10"/>
      <c r="AW4892" s="10"/>
      <c r="AX4892" s="10"/>
      <c r="AY4892" s="10"/>
      <c r="AZ4892" s="10"/>
    </row>
    <row r="4893" spans="31:52">
      <c r="AE4893" s="10"/>
      <c r="AF4893" s="10"/>
      <c r="AG4893" s="10"/>
      <c r="AH4893" s="10"/>
      <c r="AI4893" s="10"/>
      <c r="AJ4893" s="10"/>
      <c r="AK4893" s="10"/>
      <c r="AL4893" s="10"/>
      <c r="AM4893" s="10"/>
      <c r="AN4893" s="10"/>
      <c r="AO4893" s="10"/>
      <c r="AP4893" s="10"/>
      <c r="AQ4893" s="10"/>
      <c r="AR4893" s="10"/>
      <c r="AS4893" s="10"/>
      <c r="AT4893" s="10"/>
      <c r="AU4893" s="10"/>
      <c r="AV4893" s="10"/>
      <c r="AW4893" s="10"/>
      <c r="AX4893" s="10"/>
      <c r="AY4893" s="10"/>
      <c r="AZ4893" s="10"/>
    </row>
    <row r="4894" spans="31:52">
      <c r="AE4894" s="10"/>
      <c r="AF4894" s="10"/>
      <c r="AG4894" s="10"/>
      <c r="AH4894" s="10"/>
      <c r="AI4894" s="10"/>
      <c r="AJ4894" s="10"/>
      <c r="AK4894" s="10"/>
      <c r="AL4894" s="10"/>
      <c r="AM4894" s="10"/>
      <c r="AN4894" s="10"/>
      <c r="AO4894" s="10"/>
      <c r="AP4894" s="10"/>
      <c r="AQ4894" s="10"/>
      <c r="AR4894" s="10"/>
      <c r="AS4894" s="10"/>
      <c r="AT4894" s="10"/>
      <c r="AU4894" s="10"/>
      <c r="AV4894" s="10"/>
      <c r="AW4894" s="10"/>
      <c r="AX4894" s="10"/>
      <c r="AY4894" s="10"/>
      <c r="AZ4894" s="10"/>
    </row>
    <row r="4895" spans="31:52">
      <c r="AE4895" s="10"/>
      <c r="AF4895" s="10"/>
      <c r="AG4895" s="10"/>
      <c r="AH4895" s="10"/>
      <c r="AI4895" s="10"/>
      <c r="AJ4895" s="10"/>
      <c r="AK4895" s="10"/>
      <c r="AL4895" s="10"/>
      <c r="AM4895" s="10"/>
      <c r="AN4895" s="10"/>
      <c r="AO4895" s="10"/>
      <c r="AP4895" s="10"/>
      <c r="AQ4895" s="10"/>
      <c r="AR4895" s="10"/>
      <c r="AS4895" s="10"/>
      <c r="AT4895" s="10"/>
      <c r="AU4895" s="10"/>
      <c r="AV4895" s="10"/>
      <c r="AW4895" s="10"/>
      <c r="AX4895" s="10"/>
      <c r="AY4895" s="10"/>
      <c r="AZ4895" s="10"/>
    </row>
    <row r="4896" spans="31:52">
      <c r="AE4896" s="10"/>
      <c r="AF4896" s="10"/>
      <c r="AG4896" s="10"/>
      <c r="AH4896" s="10"/>
      <c r="AI4896" s="10"/>
      <c r="AJ4896" s="10"/>
      <c r="AK4896" s="10"/>
      <c r="AL4896" s="10"/>
      <c r="AM4896" s="10"/>
      <c r="AN4896" s="10"/>
      <c r="AO4896" s="10"/>
      <c r="AP4896" s="10"/>
      <c r="AQ4896" s="10"/>
      <c r="AR4896" s="10"/>
      <c r="AS4896" s="10"/>
      <c r="AT4896" s="10"/>
      <c r="AU4896" s="10"/>
      <c r="AV4896" s="10"/>
      <c r="AW4896" s="10"/>
      <c r="AX4896" s="10"/>
      <c r="AY4896" s="10"/>
      <c r="AZ4896" s="10"/>
    </row>
    <row r="4897" spans="31:52">
      <c r="AE4897" s="10"/>
      <c r="AF4897" s="10"/>
      <c r="AG4897" s="10"/>
      <c r="AH4897" s="10"/>
      <c r="AI4897" s="10"/>
      <c r="AJ4897" s="10"/>
      <c r="AK4897" s="10"/>
      <c r="AL4897" s="10"/>
      <c r="AM4897" s="10"/>
      <c r="AN4897" s="10"/>
      <c r="AO4897" s="10"/>
      <c r="AP4897" s="10"/>
      <c r="AQ4897" s="10"/>
      <c r="AR4897" s="10"/>
      <c r="AS4897" s="10"/>
      <c r="AT4897" s="10"/>
      <c r="AU4897" s="10"/>
      <c r="AV4897" s="10"/>
      <c r="AW4897" s="10"/>
      <c r="AX4897" s="10"/>
      <c r="AY4897" s="10"/>
      <c r="AZ4897" s="10"/>
    </row>
    <row r="4898" spans="31:52">
      <c r="AE4898" s="10"/>
      <c r="AF4898" s="10"/>
      <c r="AG4898" s="10"/>
      <c r="AH4898" s="10"/>
      <c r="AI4898" s="10"/>
      <c r="AJ4898" s="10"/>
      <c r="AK4898" s="10"/>
      <c r="AL4898" s="10"/>
      <c r="AM4898" s="10"/>
      <c r="AN4898" s="10"/>
      <c r="AO4898" s="10"/>
      <c r="AP4898" s="10"/>
      <c r="AQ4898" s="10"/>
      <c r="AR4898" s="10"/>
      <c r="AS4898" s="10"/>
      <c r="AT4898" s="10"/>
      <c r="AU4898" s="10"/>
      <c r="AV4898" s="10"/>
      <c r="AW4898" s="10"/>
      <c r="AX4898" s="10"/>
      <c r="AY4898" s="10"/>
      <c r="AZ4898" s="10"/>
    </row>
    <row r="4899" spans="31:52">
      <c r="AE4899" s="10"/>
      <c r="AF4899" s="10"/>
      <c r="AG4899" s="10"/>
      <c r="AH4899" s="10"/>
      <c r="AI4899" s="10"/>
      <c r="AJ4899" s="10"/>
      <c r="AK4899" s="10"/>
      <c r="AL4899" s="10"/>
      <c r="AM4899" s="10"/>
      <c r="AN4899" s="10"/>
      <c r="AO4899" s="10"/>
      <c r="AP4899" s="10"/>
      <c r="AQ4899" s="10"/>
      <c r="AR4899" s="10"/>
      <c r="AS4899" s="10"/>
      <c r="AT4899" s="10"/>
      <c r="AU4899" s="10"/>
      <c r="AV4899" s="10"/>
      <c r="AW4899" s="10"/>
      <c r="AX4899" s="10"/>
      <c r="AY4899" s="10"/>
      <c r="AZ4899" s="10"/>
    </row>
    <row r="4900" spans="31:52">
      <c r="AE4900" s="10"/>
      <c r="AF4900" s="10"/>
      <c r="AG4900" s="10"/>
      <c r="AH4900" s="10"/>
      <c r="AI4900" s="10"/>
      <c r="AJ4900" s="10"/>
      <c r="AK4900" s="10"/>
      <c r="AL4900" s="10"/>
      <c r="AM4900" s="10"/>
      <c r="AN4900" s="10"/>
      <c r="AO4900" s="10"/>
      <c r="AP4900" s="10"/>
      <c r="AQ4900" s="10"/>
      <c r="AR4900" s="10"/>
      <c r="AS4900" s="10"/>
      <c r="AT4900" s="10"/>
      <c r="AU4900" s="10"/>
      <c r="AV4900" s="10"/>
      <c r="AW4900" s="10"/>
      <c r="AX4900" s="10"/>
      <c r="AY4900" s="10"/>
      <c r="AZ4900" s="10"/>
    </row>
    <row r="4901" spans="31:52">
      <c r="AE4901" s="10"/>
      <c r="AF4901" s="10"/>
      <c r="AG4901" s="10"/>
      <c r="AH4901" s="10"/>
      <c r="AI4901" s="10"/>
      <c r="AJ4901" s="10"/>
      <c r="AK4901" s="10"/>
      <c r="AL4901" s="10"/>
      <c r="AM4901" s="10"/>
      <c r="AN4901" s="10"/>
      <c r="AO4901" s="10"/>
      <c r="AP4901" s="10"/>
      <c r="AQ4901" s="10"/>
      <c r="AR4901" s="10"/>
      <c r="AS4901" s="10"/>
      <c r="AT4901" s="10"/>
      <c r="AU4901" s="10"/>
      <c r="AV4901" s="10"/>
      <c r="AW4901" s="10"/>
      <c r="AX4901" s="10"/>
      <c r="AY4901" s="10"/>
      <c r="AZ4901" s="10"/>
    </row>
    <row r="4902" spans="31:52">
      <c r="AE4902" s="10"/>
      <c r="AF4902" s="10"/>
      <c r="AG4902" s="10"/>
      <c r="AH4902" s="10"/>
      <c r="AI4902" s="10"/>
      <c r="AJ4902" s="10"/>
      <c r="AK4902" s="10"/>
      <c r="AL4902" s="10"/>
      <c r="AM4902" s="10"/>
      <c r="AN4902" s="10"/>
      <c r="AO4902" s="10"/>
      <c r="AP4902" s="10"/>
      <c r="AQ4902" s="10"/>
      <c r="AR4902" s="10"/>
      <c r="AS4902" s="10"/>
      <c r="AT4902" s="10"/>
      <c r="AU4902" s="10"/>
      <c r="AV4902" s="10"/>
      <c r="AW4902" s="10"/>
      <c r="AX4902" s="10"/>
      <c r="AY4902" s="10"/>
      <c r="AZ4902" s="10"/>
    </row>
    <row r="4903" spans="31:52">
      <c r="AE4903" s="10"/>
      <c r="AF4903" s="10"/>
      <c r="AG4903" s="10"/>
      <c r="AH4903" s="10"/>
      <c r="AI4903" s="10"/>
      <c r="AJ4903" s="10"/>
      <c r="AK4903" s="10"/>
      <c r="AL4903" s="10"/>
      <c r="AM4903" s="10"/>
      <c r="AN4903" s="10"/>
      <c r="AO4903" s="10"/>
      <c r="AP4903" s="10"/>
      <c r="AQ4903" s="10"/>
      <c r="AR4903" s="10"/>
      <c r="AS4903" s="10"/>
      <c r="AT4903" s="10"/>
      <c r="AU4903" s="10"/>
      <c r="AV4903" s="10"/>
      <c r="AW4903" s="10"/>
      <c r="AX4903" s="10"/>
      <c r="AY4903" s="10"/>
      <c r="AZ4903" s="10"/>
    </row>
    <row r="4904" spans="31:52">
      <c r="AE4904" s="10"/>
      <c r="AF4904" s="10"/>
      <c r="AG4904" s="10"/>
      <c r="AH4904" s="10"/>
      <c r="AI4904" s="10"/>
      <c r="AJ4904" s="10"/>
      <c r="AK4904" s="10"/>
      <c r="AL4904" s="10"/>
      <c r="AM4904" s="10"/>
      <c r="AN4904" s="10"/>
      <c r="AO4904" s="10"/>
      <c r="AP4904" s="10"/>
      <c r="AQ4904" s="10"/>
      <c r="AR4904" s="10"/>
      <c r="AS4904" s="10"/>
      <c r="AT4904" s="10"/>
      <c r="AU4904" s="10"/>
      <c r="AV4904" s="10"/>
      <c r="AW4904" s="10"/>
      <c r="AX4904" s="10"/>
      <c r="AY4904" s="10"/>
      <c r="AZ4904" s="10"/>
    </row>
    <row r="4905" spans="31:52">
      <c r="AE4905" s="10"/>
      <c r="AF4905" s="10"/>
      <c r="AG4905" s="10"/>
      <c r="AH4905" s="10"/>
      <c r="AI4905" s="10"/>
      <c r="AJ4905" s="10"/>
      <c r="AK4905" s="10"/>
      <c r="AL4905" s="10"/>
      <c r="AM4905" s="10"/>
      <c r="AN4905" s="10"/>
      <c r="AO4905" s="10"/>
      <c r="AP4905" s="10"/>
      <c r="AQ4905" s="10"/>
      <c r="AR4905" s="10"/>
      <c r="AS4905" s="10"/>
      <c r="AT4905" s="10"/>
      <c r="AU4905" s="10"/>
      <c r="AV4905" s="10"/>
      <c r="AW4905" s="10"/>
      <c r="AX4905" s="10"/>
      <c r="AY4905" s="10"/>
      <c r="AZ4905" s="10"/>
    </row>
    <row r="4906" spans="31:52">
      <c r="AE4906" s="10"/>
      <c r="AF4906" s="10"/>
      <c r="AG4906" s="10"/>
      <c r="AH4906" s="10"/>
      <c r="AI4906" s="10"/>
      <c r="AJ4906" s="10"/>
      <c r="AK4906" s="10"/>
      <c r="AL4906" s="10"/>
      <c r="AM4906" s="10"/>
      <c r="AN4906" s="10"/>
      <c r="AO4906" s="10"/>
      <c r="AP4906" s="10"/>
      <c r="AQ4906" s="10"/>
      <c r="AR4906" s="10"/>
      <c r="AS4906" s="10"/>
      <c r="AT4906" s="10"/>
      <c r="AU4906" s="10"/>
      <c r="AV4906" s="10"/>
      <c r="AW4906" s="10"/>
      <c r="AX4906" s="10"/>
      <c r="AY4906" s="10"/>
      <c r="AZ4906" s="10"/>
    </row>
    <row r="4907" spans="31:52">
      <c r="AE4907" s="10"/>
      <c r="AF4907" s="10"/>
      <c r="AG4907" s="10"/>
      <c r="AH4907" s="10"/>
      <c r="AI4907" s="10"/>
      <c r="AJ4907" s="10"/>
      <c r="AK4907" s="10"/>
      <c r="AL4907" s="10"/>
      <c r="AM4907" s="10"/>
      <c r="AN4907" s="10"/>
      <c r="AO4907" s="10"/>
      <c r="AP4907" s="10"/>
      <c r="AQ4907" s="10"/>
      <c r="AR4907" s="10"/>
      <c r="AS4907" s="10"/>
      <c r="AT4907" s="10"/>
      <c r="AU4907" s="10"/>
      <c r="AV4907" s="10"/>
      <c r="AW4907" s="10"/>
      <c r="AX4907" s="10"/>
      <c r="AY4907" s="10"/>
      <c r="AZ4907" s="10"/>
    </row>
    <row r="4908" spans="31:52">
      <c r="AE4908" s="10"/>
      <c r="AF4908" s="10"/>
      <c r="AG4908" s="10"/>
      <c r="AH4908" s="10"/>
      <c r="AI4908" s="10"/>
      <c r="AJ4908" s="10"/>
      <c r="AK4908" s="10"/>
      <c r="AL4908" s="10"/>
      <c r="AM4908" s="10"/>
      <c r="AN4908" s="10"/>
      <c r="AO4908" s="10"/>
      <c r="AP4908" s="10"/>
      <c r="AQ4908" s="10"/>
      <c r="AR4908" s="10"/>
      <c r="AS4908" s="10"/>
      <c r="AT4908" s="10"/>
      <c r="AU4908" s="10"/>
      <c r="AV4908" s="10"/>
      <c r="AW4908" s="10"/>
      <c r="AX4908" s="10"/>
      <c r="AY4908" s="10"/>
      <c r="AZ4908" s="10"/>
    </row>
    <row r="4909" spans="31:52">
      <c r="AE4909" s="10"/>
      <c r="AF4909" s="10"/>
      <c r="AG4909" s="10"/>
      <c r="AH4909" s="10"/>
      <c r="AI4909" s="10"/>
      <c r="AJ4909" s="10"/>
      <c r="AK4909" s="10"/>
      <c r="AL4909" s="10"/>
      <c r="AM4909" s="10"/>
      <c r="AN4909" s="10"/>
      <c r="AO4909" s="10"/>
      <c r="AP4909" s="10"/>
      <c r="AQ4909" s="10"/>
      <c r="AR4909" s="10"/>
      <c r="AS4909" s="10"/>
      <c r="AT4909" s="10"/>
      <c r="AU4909" s="10"/>
      <c r="AV4909" s="10"/>
      <c r="AW4909" s="10"/>
      <c r="AX4909" s="10"/>
      <c r="AY4909" s="10"/>
      <c r="AZ4909" s="10"/>
    </row>
    <row r="4910" spans="31:52">
      <c r="AE4910" s="10"/>
      <c r="AF4910" s="10"/>
      <c r="AG4910" s="10"/>
      <c r="AH4910" s="10"/>
      <c r="AI4910" s="10"/>
      <c r="AJ4910" s="10"/>
      <c r="AK4910" s="10"/>
      <c r="AL4910" s="10"/>
      <c r="AM4910" s="10"/>
      <c r="AN4910" s="10"/>
      <c r="AO4910" s="10"/>
      <c r="AP4910" s="10"/>
      <c r="AQ4910" s="10"/>
      <c r="AR4910" s="10"/>
      <c r="AS4910" s="10"/>
      <c r="AT4910" s="10"/>
      <c r="AU4910" s="10"/>
      <c r="AV4910" s="10"/>
      <c r="AW4910" s="10"/>
      <c r="AX4910" s="10"/>
      <c r="AY4910" s="10"/>
      <c r="AZ4910" s="10"/>
    </row>
    <row r="4911" spans="31:52">
      <c r="AE4911" s="10"/>
      <c r="AF4911" s="10"/>
      <c r="AG4911" s="10"/>
      <c r="AH4911" s="10"/>
      <c r="AI4911" s="10"/>
      <c r="AJ4911" s="10"/>
      <c r="AK4911" s="10"/>
      <c r="AL4911" s="10"/>
      <c r="AM4911" s="10"/>
      <c r="AN4911" s="10"/>
      <c r="AO4911" s="10"/>
      <c r="AP4911" s="10"/>
      <c r="AQ4911" s="10"/>
      <c r="AR4911" s="10"/>
      <c r="AS4911" s="10"/>
      <c r="AT4911" s="10"/>
      <c r="AU4911" s="10"/>
      <c r="AV4911" s="10"/>
      <c r="AW4911" s="10"/>
      <c r="AX4911" s="10"/>
      <c r="AY4911" s="10"/>
      <c r="AZ4911" s="10"/>
    </row>
    <row r="4912" spans="31:52">
      <c r="AE4912" s="10"/>
      <c r="AF4912" s="10"/>
      <c r="AG4912" s="10"/>
      <c r="AH4912" s="10"/>
      <c r="AI4912" s="10"/>
      <c r="AJ4912" s="10"/>
      <c r="AK4912" s="10"/>
      <c r="AL4912" s="10"/>
      <c r="AM4912" s="10"/>
      <c r="AN4912" s="10"/>
      <c r="AO4912" s="10"/>
      <c r="AP4912" s="10"/>
      <c r="AQ4912" s="10"/>
      <c r="AR4912" s="10"/>
      <c r="AS4912" s="10"/>
      <c r="AT4912" s="10"/>
      <c r="AU4912" s="10"/>
      <c r="AV4912" s="10"/>
      <c r="AW4912" s="10"/>
      <c r="AX4912" s="10"/>
      <c r="AY4912" s="10"/>
      <c r="AZ4912" s="10"/>
    </row>
    <row r="4913" spans="31:52">
      <c r="AE4913" s="10"/>
      <c r="AF4913" s="10"/>
      <c r="AG4913" s="10"/>
      <c r="AH4913" s="10"/>
      <c r="AI4913" s="10"/>
      <c r="AJ4913" s="10"/>
      <c r="AK4913" s="10"/>
      <c r="AL4913" s="10"/>
      <c r="AM4913" s="10"/>
      <c r="AN4913" s="10"/>
      <c r="AO4913" s="10"/>
      <c r="AP4913" s="10"/>
      <c r="AQ4913" s="10"/>
      <c r="AR4913" s="10"/>
      <c r="AS4913" s="10"/>
      <c r="AT4913" s="10"/>
      <c r="AU4913" s="10"/>
      <c r="AV4913" s="10"/>
      <c r="AW4913" s="10"/>
      <c r="AX4913" s="10"/>
      <c r="AY4913" s="10"/>
      <c r="AZ4913" s="10"/>
    </row>
    <row r="4914" spans="31:52">
      <c r="AE4914" s="10"/>
      <c r="AF4914" s="10"/>
      <c r="AG4914" s="10"/>
      <c r="AH4914" s="10"/>
      <c r="AI4914" s="10"/>
      <c r="AJ4914" s="10"/>
      <c r="AK4914" s="10"/>
      <c r="AL4914" s="10"/>
      <c r="AM4914" s="10"/>
      <c r="AN4914" s="10"/>
      <c r="AO4914" s="10"/>
      <c r="AP4914" s="10"/>
      <c r="AQ4914" s="10"/>
      <c r="AR4914" s="10"/>
      <c r="AS4914" s="10"/>
      <c r="AT4914" s="10"/>
      <c r="AU4914" s="10"/>
      <c r="AV4914" s="10"/>
      <c r="AW4914" s="10"/>
      <c r="AX4914" s="10"/>
      <c r="AY4914" s="10"/>
      <c r="AZ4914" s="10"/>
    </row>
    <row r="4915" spans="31:52">
      <c r="AE4915" s="10"/>
      <c r="AF4915" s="10"/>
      <c r="AG4915" s="10"/>
      <c r="AH4915" s="10"/>
      <c r="AI4915" s="10"/>
      <c r="AJ4915" s="10"/>
      <c r="AK4915" s="10"/>
      <c r="AL4915" s="10"/>
      <c r="AM4915" s="10"/>
      <c r="AN4915" s="10"/>
      <c r="AO4915" s="10"/>
      <c r="AP4915" s="10"/>
      <c r="AQ4915" s="10"/>
      <c r="AR4915" s="10"/>
      <c r="AS4915" s="10"/>
      <c r="AT4915" s="10"/>
      <c r="AU4915" s="10"/>
      <c r="AV4915" s="10"/>
      <c r="AW4915" s="10"/>
      <c r="AX4915" s="10"/>
      <c r="AY4915" s="10"/>
      <c r="AZ4915" s="10"/>
    </row>
    <row r="4916" spans="31:52">
      <c r="AE4916" s="10"/>
      <c r="AF4916" s="10"/>
      <c r="AG4916" s="10"/>
      <c r="AH4916" s="10"/>
      <c r="AI4916" s="10"/>
      <c r="AJ4916" s="10"/>
      <c r="AK4916" s="10"/>
      <c r="AL4916" s="10"/>
      <c r="AM4916" s="10"/>
      <c r="AN4916" s="10"/>
      <c r="AO4916" s="10"/>
      <c r="AP4916" s="10"/>
      <c r="AQ4916" s="10"/>
      <c r="AR4916" s="10"/>
      <c r="AS4916" s="10"/>
      <c r="AT4916" s="10"/>
      <c r="AU4916" s="10"/>
      <c r="AV4916" s="10"/>
      <c r="AW4916" s="10"/>
      <c r="AX4916" s="10"/>
      <c r="AY4916" s="10"/>
      <c r="AZ4916" s="10"/>
    </row>
    <row r="4917" spans="31:52">
      <c r="AE4917" s="10"/>
      <c r="AF4917" s="10"/>
      <c r="AG4917" s="10"/>
      <c r="AH4917" s="10"/>
      <c r="AI4917" s="10"/>
      <c r="AJ4917" s="10"/>
      <c r="AK4917" s="10"/>
      <c r="AL4917" s="10"/>
      <c r="AM4917" s="10"/>
      <c r="AN4917" s="10"/>
      <c r="AO4917" s="10"/>
      <c r="AP4917" s="10"/>
      <c r="AQ4917" s="10"/>
      <c r="AR4917" s="10"/>
      <c r="AS4917" s="10"/>
      <c r="AT4917" s="10"/>
      <c r="AU4917" s="10"/>
      <c r="AV4917" s="10"/>
      <c r="AW4917" s="10"/>
      <c r="AX4917" s="10"/>
      <c r="AY4917" s="10"/>
      <c r="AZ4917" s="10"/>
    </row>
    <row r="4918" spans="31:52">
      <c r="AE4918" s="10"/>
      <c r="AF4918" s="10"/>
      <c r="AG4918" s="10"/>
      <c r="AH4918" s="10"/>
      <c r="AI4918" s="10"/>
      <c r="AJ4918" s="10"/>
      <c r="AK4918" s="10"/>
      <c r="AL4918" s="10"/>
      <c r="AM4918" s="10"/>
      <c r="AN4918" s="10"/>
      <c r="AO4918" s="10"/>
      <c r="AP4918" s="10"/>
      <c r="AQ4918" s="10"/>
      <c r="AR4918" s="10"/>
      <c r="AS4918" s="10"/>
      <c r="AT4918" s="10"/>
      <c r="AU4918" s="10"/>
      <c r="AV4918" s="10"/>
      <c r="AW4918" s="10"/>
      <c r="AX4918" s="10"/>
      <c r="AY4918" s="10"/>
      <c r="AZ4918" s="10"/>
    </row>
    <row r="4919" spans="31:52">
      <c r="AE4919" s="10"/>
      <c r="AF4919" s="10"/>
      <c r="AG4919" s="10"/>
      <c r="AH4919" s="10"/>
      <c r="AI4919" s="10"/>
      <c r="AJ4919" s="10"/>
      <c r="AK4919" s="10"/>
      <c r="AL4919" s="10"/>
      <c r="AM4919" s="10"/>
      <c r="AN4919" s="10"/>
      <c r="AO4919" s="10"/>
      <c r="AP4919" s="10"/>
      <c r="AQ4919" s="10"/>
      <c r="AR4919" s="10"/>
      <c r="AS4919" s="10"/>
      <c r="AT4919" s="10"/>
      <c r="AU4919" s="10"/>
      <c r="AV4919" s="10"/>
      <c r="AW4919" s="10"/>
      <c r="AX4919" s="10"/>
      <c r="AY4919" s="10"/>
      <c r="AZ4919" s="10"/>
    </row>
    <row r="4920" spans="31:52">
      <c r="AE4920" s="10"/>
      <c r="AF4920" s="10"/>
      <c r="AG4920" s="10"/>
      <c r="AH4920" s="10"/>
      <c r="AI4920" s="10"/>
      <c r="AJ4920" s="10"/>
      <c r="AK4920" s="10"/>
      <c r="AL4920" s="10"/>
      <c r="AM4920" s="10"/>
      <c r="AN4920" s="10"/>
      <c r="AO4920" s="10"/>
      <c r="AP4920" s="10"/>
      <c r="AQ4920" s="10"/>
      <c r="AR4920" s="10"/>
      <c r="AS4920" s="10"/>
      <c r="AT4920" s="10"/>
      <c r="AU4920" s="10"/>
      <c r="AV4920" s="10"/>
      <c r="AW4920" s="10"/>
      <c r="AX4920" s="10"/>
      <c r="AY4920" s="10"/>
      <c r="AZ4920" s="10"/>
    </row>
    <row r="4921" spans="31:52">
      <c r="AE4921" s="10"/>
      <c r="AF4921" s="10"/>
      <c r="AG4921" s="10"/>
      <c r="AH4921" s="10"/>
      <c r="AI4921" s="10"/>
      <c r="AJ4921" s="10"/>
      <c r="AK4921" s="10"/>
      <c r="AL4921" s="10"/>
      <c r="AM4921" s="10"/>
      <c r="AN4921" s="10"/>
      <c r="AO4921" s="10"/>
      <c r="AP4921" s="10"/>
      <c r="AQ4921" s="10"/>
      <c r="AR4921" s="10"/>
      <c r="AS4921" s="10"/>
      <c r="AT4921" s="10"/>
      <c r="AU4921" s="10"/>
      <c r="AV4921" s="10"/>
      <c r="AW4921" s="10"/>
      <c r="AX4921" s="10"/>
      <c r="AY4921" s="10"/>
      <c r="AZ4921" s="10"/>
    </row>
    <row r="4922" spans="31:52">
      <c r="AE4922" s="10"/>
      <c r="AF4922" s="10"/>
      <c r="AG4922" s="10"/>
      <c r="AH4922" s="10"/>
      <c r="AI4922" s="10"/>
      <c r="AJ4922" s="10"/>
      <c r="AK4922" s="10"/>
      <c r="AL4922" s="10"/>
      <c r="AM4922" s="10"/>
      <c r="AN4922" s="10"/>
      <c r="AO4922" s="10"/>
      <c r="AP4922" s="10"/>
      <c r="AQ4922" s="10"/>
      <c r="AR4922" s="10"/>
      <c r="AS4922" s="10"/>
      <c r="AT4922" s="10"/>
      <c r="AU4922" s="10"/>
      <c r="AV4922" s="10"/>
      <c r="AW4922" s="10"/>
      <c r="AX4922" s="10"/>
      <c r="AY4922" s="10"/>
      <c r="AZ4922" s="10"/>
    </row>
    <row r="4923" spans="31:52">
      <c r="AE4923" s="10"/>
      <c r="AF4923" s="10"/>
      <c r="AG4923" s="10"/>
      <c r="AH4923" s="10"/>
      <c r="AI4923" s="10"/>
      <c r="AJ4923" s="10"/>
      <c r="AK4923" s="10"/>
      <c r="AL4923" s="10"/>
      <c r="AM4923" s="10"/>
      <c r="AN4923" s="10"/>
      <c r="AO4923" s="10"/>
      <c r="AP4923" s="10"/>
      <c r="AQ4923" s="10"/>
      <c r="AR4923" s="10"/>
      <c r="AS4923" s="10"/>
      <c r="AT4923" s="10"/>
      <c r="AU4923" s="10"/>
      <c r="AV4923" s="10"/>
      <c r="AW4923" s="10"/>
      <c r="AX4923" s="10"/>
      <c r="AY4923" s="10"/>
      <c r="AZ4923" s="10"/>
    </row>
    <row r="4924" spans="31:52">
      <c r="AE4924" s="10"/>
      <c r="AF4924" s="10"/>
      <c r="AG4924" s="10"/>
      <c r="AH4924" s="10"/>
      <c r="AI4924" s="10"/>
      <c r="AJ4924" s="10"/>
      <c r="AK4924" s="10"/>
      <c r="AL4924" s="10"/>
      <c r="AM4924" s="10"/>
      <c r="AN4924" s="10"/>
      <c r="AO4924" s="10"/>
      <c r="AP4924" s="10"/>
      <c r="AQ4924" s="10"/>
      <c r="AR4924" s="10"/>
      <c r="AS4924" s="10"/>
      <c r="AT4924" s="10"/>
      <c r="AU4924" s="10"/>
      <c r="AV4924" s="10"/>
      <c r="AW4924" s="10"/>
      <c r="AX4924" s="10"/>
      <c r="AY4924" s="10"/>
      <c r="AZ4924" s="10"/>
    </row>
    <row r="4925" spans="31:52">
      <c r="AE4925" s="10"/>
      <c r="AF4925" s="10"/>
      <c r="AG4925" s="10"/>
      <c r="AH4925" s="10"/>
      <c r="AI4925" s="10"/>
      <c r="AJ4925" s="10"/>
      <c r="AK4925" s="10"/>
      <c r="AL4925" s="10"/>
      <c r="AM4925" s="10"/>
      <c r="AN4925" s="10"/>
      <c r="AO4925" s="10"/>
      <c r="AP4925" s="10"/>
      <c r="AQ4925" s="10"/>
      <c r="AR4925" s="10"/>
      <c r="AS4925" s="10"/>
      <c r="AT4925" s="10"/>
      <c r="AU4925" s="10"/>
      <c r="AV4925" s="10"/>
      <c r="AW4925" s="10"/>
      <c r="AX4925" s="10"/>
      <c r="AY4925" s="10"/>
      <c r="AZ4925" s="10"/>
    </row>
    <row r="4926" spans="31:52">
      <c r="AE4926" s="10"/>
      <c r="AF4926" s="10"/>
      <c r="AG4926" s="10"/>
      <c r="AH4926" s="10"/>
      <c r="AI4926" s="10"/>
      <c r="AJ4926" s="10"/>
      <c r="AK4926" s="10"/>
      <c r="AL4926" s="10"/>
      <c r="AM4926" s="10"/>
      <c r="AN4926" s="10"/>
      <c r="AO4926" s="10"/>
      <c r="AP4926" s="10"/>
      <c r="AQ4926" s="10"/>
      <c r="AR4926" s="10"/>
      <c r="AS4926" s="10"/>
      <c r="AT4926" s="10"/>
      <c r="AU4926" s="10"/>
      <c r="AV4926" s="10"/>
      <c r="AW4926" s="10"/>
      <c r="AX4926" s="10"/>
      <c r="AY4926" s="10"/>
      <c r="AZ4926" s="10"/>
    </row>
    <row r="4927" spans="31:52">
      <c r="AE4927" s="10"/>
      <c r="AF4927" s="10"/>
      <c r="AG4927" s="10"/>
      <c r="AH4927" s="10"/>
      <c r="AI4927" s="10"/>
      <c r="AJ4927" s="10"/>
      <c r="AK4927" s="10"/>
      <c r="AL4927" s="10"/>
      <c r="AM4927" s="10"/>
      <c r="AN4927" s="10"/>
      <c r="AO4927" s="10"/>
      <c r="AP4927" s="10"/>
      <c r="AQ4927" s="10"/>
      <c r="AR4927" s="10"/>
      <c r="AS4927" s="10"/>
      <c r="AT4927" s="10"/>
      <c r="AU4927" s="10"/>
      <c r="AV4927" s="10"/>
      <c r="AW4927" s="10"/>
      <c r="AX4927" s="10"/>
      <c r="AY4927" s="10"/>
      <c r="AZ4927" s="10"/>
    </row>
    <row r="4928" spans="31:52">
      <c r="AE4928" s="10"/>
      <c r="AF4928" s="10"/>
      <c r="AG4928" s="10"/>
      <c r="AH4928" s="10"/>
      <c r="AI4928" s="10"/>
      <c r="AJ4928" s="10"/>
      <c r="AK4928" s="10"/>
      <c r="AL4928" s="10"/>
      <c r="AM4928" s="10"/>
      <c r="AN4928" s="10"/>
      <c r="AO4928" s="10"/>
      <c r="AP4928" s="10"/>
      <c r="AQ4928" s="10"/>
      <c r="AR4928" s="10"/>
      <c r="AS4928" s="10"/>
      <c r="AT4928" s="10"/>
      <c r="AU4928" s="10"/>
      <c r="AV4928" s="10"/>
      <c r="AW4928" s="10"/>
      <c r="AX4928" s="10"/>
      <c r="AY4928" s="10"/>
      <c r="AZ4928" s="10"/>
    </row>
    <row r="4929" spans="31:52">
      <c r="AE4929" s="10"/>
      <c r="AF4929" s="10"/>
      <c r="AG4929" s="10"/>
      <c r="AH4929" s="10"/>
      <c r="AI4929" s="10"/>
      <c r="AJ4929" s="10"/>
      <c r="AK4929" s="10"/>
      <c r="AL4929" s="10"/>
      <c r="AM4929" s="10"/>
      <c r="AN4929" s="10"/>
      <c r="AO4929" s="10"/>
      <c r="AP4929" s="10"/>
      <c r="AQ4929" s="10"/>
      <c r="AR4929" s="10"/>
      <c r="AS4929" s="10"/>
      <c r="AT4929" s="10"/>
      <c r="AU4929" s="10"/>
      <c r="AV4929" s="10"/>
      <c r="AW4929" s="10"/>
      <c r="AX4929" s="10"/>
      <c r="AY4929" s="10"/>
      <c r="AZ4929" s="10"/>
    </row>
    <row r="4930" spans="31:52">
      <c r="AE4930" s="10"/>
      <c r="AF4930" s="10"/>
      <c r="AG4930" s="10"/>
      <c r="AH4930" s="10"/>
      <c r="AI4930" s="10"/>
      <c r="AJ4930" s="10"/>
      <c r="AK4930" s="10"/>
      <c r="AL4930" s="10"/>
      <c r="AM4930" s="10"/>
      <c r="AN4930" s="10"/>
      <c r="AO4930" s="10"/>
      <c r="AP4930" s="10"/>
      <c r="AQ4930" s="10"/>
      <c r="AR4930" s="10"/>
      <c r="AS4930" s="10"/>
      <c r="AT4930" s="10"/>
      <c r="AU4930" s="10"/>
      <c r="AV4930" s="10"/>
      <c r="AW4930" s="10"/>
      <c r="AX4930" s="10"/>
      <c r="AY4930" s="10"/>
      <c r="AZ4930" s="10"/>
    </row>
    <row r="4931" spans="31:52">
      <c r="AE4931" s="10"/>
      <c r="AF4931" s="10"/>
      <c r="AG4931" s="10"/>
      <c r="AH4931" s="10"/>
      <c r="AI4931" s="10"/>
      <c r="AJ4931" s="10"/>
      <c r="AK4931" s="10"/>
      <c r="AL4931" s="10"/>
      <c r="AM4931" s="10"/>
      <c r="AN4931" s="10"/>
      <c r="AO4931" s="10"/>
      <c r="AP4931" s="10"/>
      <c r="AQ4931" s="10"/>
      <c r="AR4931" s="10"/>
      <c r="AS4931" s="10"/>
      <c r="AT4931" s="10"/>
      <c r="AU4931" s="10"/>
      <c r="AV4931" s="10"/>
      <c r="AW4931" s="10"/>
      <c r="AX4931" s="10"/>
      <c r="AY4931" s="10"/>
      <c r="AZ4931" s="10"/>
    </row>
    <row r="4932" spans="31:52">
      <c r="AE4932" s="10"/>
      <c r="AF4932" s="10"/>
      <c r="AG4932" s="10"/>
      <c r="AH4932" s="10"/>
      <c r="AI4932" s="10"/>
      <c r="AJ4932" s="10"/>
      <c r="AK4932" s="10"/>
      <c r="AL4932" s="10"/>
      <c r="AM4932" s="10"/>
      <c r="AN4932" s="10"/>
      <c r="AO4932" s="10"/>
      <c r="AP4932" s="10"/>
      <c r="AQ4932" s="10"/>
      <c r="AR4932" s="10"/>
      <c r="AS4932" s="10"/>
      <c r="AT4932" s="10"/>
      <c r="AU4932" s="10"/>
      <c r="AV4932" s="10"/>
      <c r="AW4932" s="10"/>
      <c r="AX4932" s="10"/>
      <c r="AY4932" s="10"/>
      <c r="AZ4932" s="10"/>
    </row>
    <row r="4933" spans="31:52">
      <c r="AE4933" s="10"/>
      <c r="AF4933" s="10"/>
      <c r="AG4933" s="10"/>
      <c r="AH4933" s="10"/>
      <c r="AI4933" s="10"/>
      <c r="AJ4933" s="10"/>
      <c r="AK4933" s="10"/>
      <c r="AL4933" s="10"/>
      <c r="AM4933" s="10"/>
      <c r="AN4933" s="10"/>
      <c r="AO4933" s="10"/>
      <c r="AP4933" s="10"/>
      <c r="AQ4933" s="10"/>
      <c r="AR4933" s="10"/>
      <c r="AS4933" s="10"/>
      <c r="AT4933" s="10"/>
      <c r="AU4933" s="10"/>
      <c r="AV4933" s="10"/>
      <c r="AW4933" s="10"/>
      <c r="AX4933" s="10"/>
      <c r="AY4933" s="10"/>
      <c r="AZ4933" s="10"/>
    </row>
    <row r="4934" spans="31:52">
      <c r="AE4934" s="10"/>
      <c r="AF4934" s="10"/>
      <c r="AG4934" s="10"/>
      <c r="AH4934" s="10"/>
      <c r="AI4934" s="10"/>
      <c r="AJ4934" s="10"/>
      <c r="AK4934" s="10"/>
      <c r="AL4934" s="10"/>
      <c r="AM4934" s="10"/>
      <c r="AN4934" s="10"/>
      <c r="AO4934" s="10"/>
      <c r="AP4934" s="10"/>
      <c r="AQ4934" s="10"/>
      <c r="AR4934" s="10"/>
      <c r="AS4934" s="10"/>
      <c r="AT4934" s="10"/>
      <c r="AU4934" s="10"/>
      <c r="AV4934" s="10"/>
      <c r="AW4934" s="10"/>
      <c r="AX4934" s="10"/>
      <c r="AY4934" s="10"/>
      <c r="AZ4934" s="10"/>
    </row>
    <row r="4935" spans="31:52">
      <c r="AE4935" s="10"/>
      <c r="AF4935" s="10"/>
      <c r="AG4935" s="10"/>
      <c r="AH4935" s="10"/>
      <c r="AI4935" s="10"/>
      <c r="AJ4935" s="10"/>
      <c r="AK4935" s="10"/>
      <c r="AL4935" s="10"/>
      <c r="AM4935" s="10"/>
      <c r="AN4935" s="10"/>
      <c r="AO4935" s="10"/>
      <c r="AP4935" s="10"/>
      <c r="AQ4935" s="10"/>
      <c r="AR4935" s="10"/>
      <c r="AS4935" s="10"/>
      <c r="AT4935" s="10"/>
      <c r="AU4935" s="10"/>
      <c r="AV4935" s="10"/>
      <c r="AW4935" s="10"/>
      <c r="AX4935" s="10"/>
      <c r="AY4935" s="10"/>
      <c r="AZ4935" s="10"/>
    </row>
    <row r="4936" spans="31:52">
      <c r="AE4936" s="10"/>
      <c r="AF4936" s="10"/>
      <c r="AG4936" s="10"/>
      <c r="AH4936" s="10"/>
      <c r="AI4936" s="10"/>
      <c r="AJ4936" s="10"/>
      <c r="AK4936" s="10"/>
      <c r="AL4936" s="10"/>
      <c r="AM4936" s="10"/>
      <c r="AN4936" s="10"/>
      <c r="AO4936" s="10"/>
      <c r="AP4936" s="10"/>
      <c r="AQ4936" s="10"/>
      <c r="AR4936" s="10"/>
      <c r="AS4936" s="10"/>
      <c r="AT4936" s="10"/>
      <c r="AU4936" s="10"/>
      <c r="AV4936" s="10"/>
      <c r="AW4936" s="10"/>
      <c r="AX4936" s="10"/>
      <c r="AY4936" s="10"/>
      <c r="AZ4936" s="10"/>
    </row>
    <row r="4937" spans="31:52">
      <c r="AE4937" s="10"/>
      <c r="AF4937" s="10"/>
      <c r="AG4937" s="10"/>
      <c r="AH4937" s="10"/>
      <c r="AI4937" s="10"/>
      <c r="AJ4937" s="10"/>
      <c r="AK4937" s="10"/>
      <c r="AL4937" s="10"/>
      <c r="AM4937" s="10"/>
      <c r="AN4937" s="10"/>
      <c r="AO4937" s="10"/>
      <c r="AP4937" s="10"/>
      <c r="AQ4937" s="10"/>
      <c r="AR4937" s="10"/>
      <c r="AS4937" s="10"/>
      <c r="AT4937" s="10"/>
      <c r="AU4937" s="10"/>
      <c r="AV4937" s="10"/>
      <c r="AW4937" s="10"/>
      <c r="AX4937" s="10"/>
      <c r="AY4937" s="10"/>
      <c r="AZ4937" s="10"/>
    </row>
    <row r="4938" spans="31:52">
      <c r="AE4938" s="10"/>
      <c r="AF4938" s="10"/>
      <c r="AG4938" s="10"/>
      <c r="AH4938" s="10"/>
      <c r="AI4938" s="10"/>
      <c r="AJ4938" s="10"/>
      <c r="AK4938" s="10"/>
      <c r="AL4938" s="10"/>
      <c r="AM4938" s="10"/>
      <c r="AN4938" s="10"/>
      <c r="AO4938" s="10"/>
      <c r="AP4938" s="10"/>
      <c r="AQ4938" s="10"/>
      <c r="AR4938" s="10"/>
      <c r="AS4938" s="10"/>
      <c r="AT4938" s="10"/>
      <c r="AU4938" s="10"/>
      <c r="AV4938" s="10"/>
      <c r="AW4938" s="10"/>
      <c r="AX4938" s="10"/>
      <c r="AY4938" s="10"/>
      <c r="AZ4938" s="10"/>
    </row>
    <row r="4939" spans="31:52">
      <c r="AE4939" s="10"/>
      <c r="AF4939" s="10"/>
      <c r="AG4939" s="10"/>
      <c r="AH4939" s="10"/>
      <c r="AI4939" s="10"/>
      <c r="AJ4939" s="10"/>
      <c r="AK4939" s="10"/>
      <c r="AL4939" s="10"/>
      <c r="AM4939" s="10"/>
      <c r="AN4939" s="10"/>
      <c r="AO4939" s="10"/>
      <c r="AP4939" s="10"/>
      <c r="AQ4939" s="10"/>
      <c r="AR4939" s="10"/>
      <c r="AS4939" s="10"/>
      <c r="AT4939" s="10"/>
      <c r="AU4939" s="10"/>
      <c r="AV4939" s="10"/>
      <c r="AW4939" s="10"/>
      <c r="AX4939" s="10"/>
      <c r="AY4939" s="10"/>
      <c r="AZ4939" s="10"/>
    </row>
    <row r="4940" spans="31:52">
      <c r="AE4940" s="10"/>
      <c r="AF4940" s="10"/>
      <c r="AG4940" s="10"/>
      <c r="AH4940" s="10"/>
      <c r="AI4940" s="10"/>
      <c r="AJ4940" s="10"/>
      <c r="AK4940" s="10"/>
      <c r="AL4940" s="10"/>
      <c r="AM4940" s="10"/>
      <c r="AN4940" s="10"/>
      <c r="AO4940" s="10"/>
      <c r="AP4940" s="10"/>
      <c r="AQ4940" s="10"/>
      <c r="AR4940" s="10"/>
      <c r="AS4940" s="10"/>
      <c r="AT4940" s="10"/>
      <c r="AU4940" s="10"/>
      <c r="AV4940" s="10"/>
      <c r="AW4940" s="10"/>
      <c r="AX4940" s="10"/>
      <c r="AY4940" s="10"/>
      <c r="AZ4940" s="10"/>
    </row>
    <row r="4941" spans="31:52">
      <c r="AE4941" s="10"/>
      <c r="AF4941" s="10"/>
      <c r="AG4941" s="10"/>
      <c r="AH4941" s="10"/>
      <c r="AI4941" s="10"/>
      <c r="AJ4941" s="10"/>
      <c r="AK4941" s="10"/>
      <c r="AL4941" s="10"/>
      <c r="AM4941" s="10"/>
      <c r="AN4941" s="10"/>
      <c r="AO4941" s="10"/>
      <c r="AP4941" s="10"/>
      <c r="AQ4941" s="10"/>
      <c r="AR4941" s="10"/>
      <c r="AS4941" s="10"/>
      <c r="AT4941" s="10"/>
      <c r="AU4941" s="10"/>
      <c r="AV4941" s="10"/>
      <c r="AW4941" s="10"/>
      <c r="AX4941" s="10"/>
      <c r="AY4941" s="10"/>
      <c r="AZ4941" s="10"/>
    </row>
    <row r="4942" spans="31:52">
      <c r="AE4942" s="10"/>
      <c r="AF4942" s="10"/>
      <c r="AG4942" s="10"/>
      <c r="AH4942" s="10"/>
      <c r="AI4942" s="10"/>
      <c r="AJ4942" s="10"/>
      <c r="AK4942" s="10"/>
      <c r="AL4942" s="10"/>
      <c r="AM4942" s="10"/>
      <c r="AN4942" s="10"/>
      <c r="AO4942" s="10"/>
      <c r="AP4942" s="10"/>
      <c r="AQ4942" s="10"/>
      <c r="AR4942" s="10"/>
      <c r="AS4942" s="10"/>
      <c r="AT4942" s="10"/>
      <c r="AU4942" s="10"/>
      <c r="AV4942" s="10"/>
      <c r="AW4942" s="10"/>
      <c r="AX4942" s="10"/>
      <c r="AY4942" s="10"/>
      <c r="AZ4942" s="10"/>
    </row>
    <row r="4943" spans="31:52">
      <c r="AE4943" s="10"/>
      <c r="AF4943" s="10"/>
      <c r="AG4943" s="10"/>
      <c r="AH4943" s="10"/>
      <c r="AI4943" s="10"/>
      <c r="AJ4943" s="10"/>
      <c r="AK4943" s="10"/>
      <c r="AL4943" s="10"/>
      <c r="AM4943" s="10"/>
      <c r="AN4943" s="10"/>
      <c r="AO4943" s="10"/>
      <c r="AP4943" s="10"/>
      <c r="AQ4943" s="10"/>
      <c r="AR4943" s="10"/>
      <c r="AS4943" s="10"/>
      <c r="AT4943" s="10"/>
      <c r="AU4943" s="10"/>
      <c r="AV4943" s="10"/>
      <c r="AW4943" s="10"/>
      <c r="AX4943" s="10"/>
      <c r="AY4943" s="10"/>
      <c r="AZ4943" s="10"/>
    </row>
    <row r="4944" spans="31:52">
      <c r="AE4944" s="10"/>
      <c r="AF4944" s="10"/>
      <c r="AG4944" s="10"/>
      <c r="AH4944" s="10"/>
      <c r="AI4944" s="10"/>
      <c r="AJ4944" s="10"/>
      <c r="AK4944" s="10"/>
      <c r="AL4944" s="10"/>
      <c r="AM4944" s="10"/>
      <c r="AN4944" s="10"/>
      <c r="AO4944" s="10"/>
      <c r="AP4944" s="10"/>
      <c r="AQ4944" s="10"/>
      <c r="AR4944" s="10"/>
      <c r="AS4944" s="10"/>
      <c r="AT4944" s="10"/>
      <c r="AU4944" s="10"/>
      <c r="AV4944" s="10"/>
      <c r="AW4944" s="10"/>
      <c r="AX4944" s="10"/>
      <c r="AY4944" s="10"/>
      <c r="AZ4944" s="10"/>
    </row>
    <row r="4945" spans="31:52">
      <c r="AE4945" s="10"/>
      <c r="AF4945" s="10"/>
      <c r="AG4945" s="10"/>
      <c r="AH4945" s="10"/>
      <c r="AI4945" s="10"/>
      <c r="AJ4945" s="10"/>
      <c r="AK4945" s="10"/>
      <c r="AL4945" s="10"/>
      <c r="AM4945" s="10"/>
      <c r="AN4945" s="10"/>
      <c r="AO4945" s="10"/>
      <c r="AP4945" s="10"/>
      <c r="AQ4945" s="10"/>
      <c r="AR4945" s="10"/>
      <c r="AS4945" s="10"/>
      <c r="AT4945" s="10"/>
      <c r="AU4945" s="10"/>
      <c r="AV4945" s="10"/>
      <c r="AW4945" s="10"/>
      <c r="AX4945" s="10"/>
      <c r="AY4945" s="10"/>
      <c r="AZ4945" s="10"/>
    </row>
    <row r="4946" spans="31:52">
      <c r="AE4946" s="10"/>
      <c r="AF4946" s="10"/>
      <c r="AG4946" s="10"/>
      <c r="AH4946" s="10"/>
      <c r="AI4946" s="10"/>
      <c r="AJ4946" s="10"/>
      <c r="AK4946" s="10"/>
      <c r="AL4946" s="10"/>
      <c r="AM4946" s="10"/>
      <c r="AN4946" s="10"/>
      <c r="AO4946" s="10"/>
      <c r="AP4946" s="10"/>
      <c r="AQ4946" s="10"/>
      <c r="AR4946" s="10"/>
      <c r="AS4946" s="10"/>
      <c r="AT4946" s="10"/>
      <c r="AU4946" s="10"/>
      <c r="AV4946" s="10"/>
      <c r="AW4946" s="10"/>
      <c r="AX4946" s="10"/>
      <c r="AY4946" s="10"/>
      <c r="AZ4946" s="10"/>
    </row>
    <row r="4947" spans="31:52">
      <c r="AE4947" s="10"/>
      <c r="AF4947" s="10"/>
      <c r="AG4947" s="10"/>
      <c r="AH4947" s="10"/>
      <c r="AI4947" s="10"/>
      <c r="AJ4947" s="10"/>
      <c r="AK4947" s="10"/>
      <c r="AL4947" s="10"/>
      <c r="AM4947" s="10"/>
      <c r="AN4947" s="10"/>
      <c r="AO4947" s="10"/>
      <c r="AP4947" s="10"/>
      <c r="AQ4947" s="10"/>
      <c r="AR4947" s="10"/>
      <c r="AS4947" s="10"/>
      <c r="AT4947" s="10"/>
      <c r="AU4947" s="10"/>
      <c r="AV4947" s="10"/>
      <c r="AW4947" s="10"/>
      <c r="AX4947" s="10"/>
      <c r="AY4947" s="10"/>
      <c r="AZ4947" s="10"/>
    </row>
    <row r="4948" spans="31:52">
      <c r="AE4948" s="10"/>
      <c r="AF4948" s="10"/>
      <c r="AG4948" s="10"/>
      <c r="AH4948" s="10"/>
      <c r="AI4948" s="10"/>
      <c r="AJ4948" s="10"/>
      <c r="AK4948" s="10"/>
      <c r="AL4948" s="10"/>
      <c r="AM4948" s="10"/>
      <c r="AN4948" s="10"/>
      <c r="AO4948" s="10"/>
      <c r="AP4948" s="10"/>
      <c r="AQ4948" s="10"/>
      <c r="AR4948" s="10"/>
      <c r="AS4948" s="10"/>
      <c r="AT4948" s="10"/>
      <c r="AU4948" s="10"/>
      <c r="AV4948" s="10"/>
      <c r="AW4948" s="10"/>
      <c r="AX4948" s="10"/>
      <c r="AY4948" s="10"/>
      <c r="AZ4948" s="10"/>
    </row>
    <row r="4949" spans="31:52">
      <c r="AE4949" s="10"/>
      <c r="AF4949" s="10"/>
      <c r="AG4949" s="10"/>
      <c r="AH4949" s="10"/>
      <c r="AI4949" s="10"/>
      <c r="AJ4949" s="10"/>
      <c r="AK4949" s="10"/>
      <c r="AL4949" s="10"/>
      <c r="AM4949" s="10"/>
      <c r="AN4949" s="10"/>
      <c r="AO4949" s="10"/>
      <c r="AP4949" s="10"/>
      <c r="AQ4949" s="10"/>
      <c r="AR4949" s="10"/>
      <c r="AS4949" s="10"/>
      <c r="AT4949" s="10"/>
      <c r="AU4949" s="10"/>
      <c r="AV4949" s="10"/>
      <c r="AW4949" s="10"/>
      <c r="AX4949" s="10"/>
      <c r="AY4949" s="10"/>
      <c r="AZ4949" s="10"/>
    </row>
    <row r="4950" spans="31:52">
      <c r="AE4950" s="10"/>
      <c r="AF4950" s="10"/>
      <c r="AG4950" s="10"/>
      <c r="AH4950" s="10"/>
      <c r="AI4950" s="10"/>
      <c r="AJ4950" s="10"/>
      <c r="AK4950" s="10"/>
      <c r="AL4950" s="10"/>
      <c r="AM4950" s="10"/>
      <c r="AN4950" s="10"/>
      <c r="AO4950" s="10"/>
      <c r="AP4950" s="10"/>
      <c r="AQ4950" s="10"/>
      <c r="AR4950" s="10"/>
      <c r="AS4950" s="10"/>
      <c r="AT4950" s="10"/>
      <c r="AU4950" s="10"/>
      <c r="AV4950" s="10"/>
      <c r="AW4950" s="10"/>
      <c r="AX4950" s="10"/>
      <c r="AY4950" s="10"/>
      <c r="AZ4950" s="10"/>
    </row>
    <row r="4951" spans="31:52">
      <c r="AE4951" s="10"/>
      <c r="AF4951" s="10"/>
      <c r="AG4951" s="10"/>
      <c r="AH4951" s="10"/>
      <c r="AI4951" s="10"/>
      <c r="AJ4951" s="10"/>
      <c r="AK4951" s="10"/>
      <c r="AL4951" s="10"/>
      <c r="AM4951" s="10"/>
      <c r="AN4951" s="10"/>
      <c r="AO4951" s="10"/>
      <c r="AP4951" s="10"/>
      <c r="AQ4951" s="10"/>
      <c r="AR4951" s="10"/>
      <c r="AS4951" s="10"/>
      <c r="AT4951" s="10"/>
      <c r="AU4951" s="10"/>
      <c r="AV4951" s="10"/>
      <c r="AW4951" s="10"/>
      <c r="AX4951" s="10"/>
      <c r="AY4951" s="10"/>
      <c r="AZ4951" s="10"/>
    </row>
    <row r="4952" spans="31:52">
      <c r="AE4952" s="10"/>
      <c r="AF4952" s="10"/>
      <c r="AG4952" s="10"/>
      <c r="AH4952" s="10"/>
      <c r="AI4952" s="10"/>
      <c r="AJ4952" s="10"/>
      <c r="AK4952" s="10"/>
      <c r="AL4952" s="10"/>
      <c r="AM4952" s="10"/>
      <c r="AN4952" s="10"/>
      <c r="AO4952" s="10"/>
      <c r="AP4952" s="10"/>
      <c r="AQ4952" s="10"/>
      <c r="AR4952" s="10"/>
      <c r="AS4952" s="10"/>
      <c r="AT4952" s="10"/>
      <c r="AU4952" s="10"/>
      <c r="AV4952" s="10"/>
      <c r="AW4952" s="10"/>
      <c r="AX4952" s="10"/>
      <c r="AY4952" s="10"/>
      <c r="AZ4952" s="10"/>
    </row>
    <row r="4953" spans="31:52">
      <c r="AE4953" s="10"/>
      <c r="AF4953" s="10"/>
      <c r="AG4953" s="10"/>
      <c r="AH4953" s="10"/>
      <c r="AI4953" s="10"/>
      <c r="AJ4953" s="10"/>
      <c r="AK4953" s="10"/>
      <c r="AL4953" s="10"/>
      <c r="AM4953" s="10"/>
      <c r="AN4953" s="10"/>
      <c r="AO4953" s="10"/>
      <c r="AP4953" s="10"/>
      <c r="AQ4953" s="10"/>
      <c r="AR4953" s="10"/>
      <c r="AS4953" s="10"/>
      <c r="AT4953" s="10"/>
      <c r="AU4953" s="10"/>
      <c r="AV4953" s="10"/>
      <c r="AW4953" s="10"/>
      <c r="AX4953" s="10"/>
      <c r="AY4953" s="10"/>
      <c r="AZ4953" s="10"/>
    </row>
    <row r="4954" spans="31:52">
      <c r="AE4954" s="10"/>
      <c r="AF4954" s="10"/>
      <c r="AG4954" s="10"/>
      <c r="AH4954" s="10"/>
      <c r="AI4954" s="10"/>
      <c r="AJ4954" s="10"/>
      <c r="AK4954" s="10"/>
      <c r="AL4954" s="10"/>
      <c r="AM4954" s="10"/>
      <c r="AN4954" s="10"/>
      <c r="AO4954" s="10"/>
      <c r="AP4954" s="10"/>
      <c r="AQ4954" s="10"/>
      <c r="AR4954" s="10"/>
      <c r="AS4954" s="10"/>
      <c r="AT4954" s="10"/>
      <c r="AU4954" s="10"/>
      <c r="AV4954" s="10"/>
      <c r="AW4954" s="10"/>
      <c r="AX4954" s="10"/>
      <c r="AY4954" s="10"/>
      <c r="AZ4954" s="10"/>
    </row>
    <row r="4955" spans="31:52">
      <c r="AE4955" s="10"/>
      <c r="AF4955" s="10"/>
      <c r="AG4955" s="10"/>
      <c r="AH4955" s="10"/>
      <c r="AI4955" s="10"/>
      <c r="AJ4955" s="10"/>
      <c r="AK4955" s="10"/>
      <c r="AL4955" s="10"/>
      <c r="AM4955" s="10"/>
      <c r="AN4955" s="10"/>
      <c r="AO4955" s="10"/>
      <c r="AP4955" s="10"/>
      <c r="AQ4955" s="10"/>
      <c r="AR4955" s="10"/>
      <c r="AS4955" s="10"/>
      <c r="AT4955" s="10"/>
      <c r="AU4955" s="10"/>
      <c r="AV4955" s="10"/>
      <c r="AW4955" s="10"/>
      <c r="AX4955" s="10"/>
      <c r="AY4955" s="10"/>
      <c r="AZ4955" s="10"/>
    </row>
    <row r="4956" spans="31:52">
      <c r="AE4956" s="10"/>
      <c r="AF4956" s="10"/>
      <c r="AG4956" s="10"/>
      <c r="AH4956" s="10"/>
      <c r="AI4956" s="10"/>
      <c r="AJ4956" s="10"/>
      <c r="AK4956" s="10"/>
      <c r="AL4956" s="10"/>
      <c r="AM4956" s="10"/>
      <c r="AN4956" s="10"/>
      <c r="AO4956" s="10"/>
      <c r="AP4956" s="10"/>
      <c r="AQ4956" s="10"/>
      <c r="AR4956" s="10"/>
      <c r="AS4956" s="10"/>
      <c r="AT4956" s="10"/>
      <c r="AU4956" s="10"/>
      <c r="AV4956" s="10"/>
      <c r="AW4956" s="10"/>
      <c r="AX4956" s="10"/>
      <c r="AY4956" s="10"/>
      <c r="AZ4956" s="10"/>
    </row>
    <row r="4957" spans="31:52">
      <c r="AE4957" s="10"/>
      <c r="AF4957" s="10"/>
      <c r="AG4957" s="10"/>
      <c r="AH4957" s="10"/>
      <c r="AI4957" s="10"/>
      <c r="AJ4957" s="10"/>
      <c r="AK4957" s="10"/>
      <c r="AL4957" s="10"/>
      <c r="AM4957" s="10"/>
      <c r="AN4957" s="10"/>
      <c r="AO4957" s="10"/>
      <c r="AP4957" s="10"/>
      <c r="AQ4957" s="10"/>
      <c r="AR4957" s="10"/>
      <c r="AS4957" s="10"/>
      <c r="AT4957" s="10"/>
      <c r="AU4957" s="10"/>
      <c r="AV4957" s="10"/>
      <c r="AW4957" s="10"/>
      <c r="AX4957" s="10"/>
      <c r="AY4957" s="10"/>
      <c r="AZ4957" s="10"/>
    </row>
    <row r="4958" spans="31:52">
      <c r="AE4958" s="10"/>
      <c r="AF4958" s="10"/>
      <c r="AG4958" s="10"/>
      <c r="AH4958" s="10"/>
      <c r="AI4958" s="10"/>
      <c r="AJ4958" s="10"/>
      <c r="AK4958" s="10"/>
      <c r="AL4958" s="10"/>
      <c r="AM4958" s="10"/>
      <c r="AN4958" s="10"/>
      <c r="AO4958" s="10"/>
      <c r="AP4958" s="10"/>
      <c r="AQ4958" s="10"/>
      <c r="AR4958" s="10"/>
      <c r="AS4958" s="10"/>
      <c r="AT4958" s="10"/>
      <c r="AU4958" s="10"/>
      <c r="AV4958" s="10"/>
      <c r="AW4958" s="10"/>
      <c r="AX4958" s="10"/>
      <c r="AY4958" s="10"/>
      <c r="AZ4958" s="10"/>
    </row>
    <row r="4959" spans="31:52">
      <c r="AE4959" s="10"/>
      <c r="AF4959" s="10"/>
      <c r="AG4959" s="10"/>
      <c r="AH4959" s="10"/>
      <c r="AI4959" s="10"/>
      <c r="AJ4959" s="10"/>
      <c r="AK4959" s="10"/>
      <c r="AL4959" s="10"/>
      <c r="AM4959" s="10"/>
      <c r="AN4959" s="10"/>
      <c r="AO4959" s="10"/>
      <c r="AP4959" s="10"/>
      <c r="AQ4959" s="10"/>
      <c r="AR4959" s="10"/>
      <c r="AS4959" s="10"/>
      <c r="AT4959" s="10"/>
      <c r="AU4959" s="10"/>
      <c r="AV4959" s="10"/>
      <c r="AW4959" s="10"/>
      <c r="AX4959" s="10"/>
      <c r="AY4959" s="10"/>
      <c r="AZ4959" s="10"/>
    </row>
    <row r="4960" spans="31:52">
      <c r="AE4960" s="10"/>
      <c r="AF4960" s="10"/>
      <c r="AG4960" s="10"/>
      <c r="AH4960" s="10"/>
      <c r="AI4960" s="10"/>
      <c r="AJ4960" s="10"/>
      <c r="AK4960" s="10"/>
      <c r="AL4960" s="10"/>
      <c r="AM4960" s="10"/>
      <c r="AN4960" s="10"/>
      <c r="AO4960" s="10"/>
      <c r="AP4960" s="10"/>
      <c r="AQ4960" s="10"/>
      <c r="AR4960" s="10"/>
      <c r="AS4960" s="10"/>
      <c r="AT4960" s="10"/>
      <c r="AU4960" s="10"/>
      <c r="AV4960" s="10"/>
      <c r="AW4960" s="10"/>
      <c r="AX4960" s="10"/>
      <c r="AY4960" s="10"/>
      <c r="AZ4960" s="10"/>
    </row>
    <row r="4961" spans="31:52">
      <c r="AE4961" s="10"/>
      <c r="AF4961" s="10"/>
      <c r="AG4961" s="10"/>
      <c r="AH4961" s="10"/>
      <c r="AI4961" s="10"/>
      <c r="AJ4961" s="10"/>
      <c r="AK4961" s="10"/>
      <c r="AL4961" s="10"/>
      <c r="AM4961" s="10"/>
      <c r="AN4961" s="10"/>
      <c r="AO4961" s="10"/>
      <c r="AP4961" s="10"/>
      <c r="AQ4961" s="10"/>
      <c r="AR4961" s="10"/>
      <c r="AS4961" s="10"/>
      <c r="AT4961" s="10"/>
      <c r="AU4961" s="10"/>
      <c r="AV4961" s="10"/>
      <c r="AW4961" s="10"/>
      <c r="AX4961" s="10"/>
      <c r="AY4961" s="10"/>
      <c r="AZ4961" s="10"/>
    </row>
    <row r="4962" spans="31:52">
      <c r="AE4962" s="10"/>
      <c r="AF4962" s="10"/>
      <c r="AG4962" s="10"/>
      <c r="AH4962" s="10"/>
      <c r="AI4962" s="10"/>
      <c r="AJ4962" s="10"/>
      <c r="AK4962" s="10"/>
      <c r="AL4962" s="10"/>
      <c r="AM4962" s="10"/>
      <c r="AN4962" s="10"/>
      <c r="AO4962" s="10"/>
      <c r="AP4962" s="10"/>
      <c r="AQ4962" s="10"/>
      <c r="AR4962" s="10"/>
      <c r="AS4962" s="10"/>
      <c r="AT4962" s="10"/>
      <c r="AU4962" s="10"/>
      <c r="AV4962" s="10"/>
      <c r="AW4962" s="10"/>
      <c r="AX4962" s="10"/>
      <c r="AY4962" s="10"/>
      <c r="AZ4962" s="10"/>
    </row>
    <row r="4963" spans="31:52">
      <c r="AE4963" s="10"/>
      <c r="AF4963" s="10"/>
      <c r="AG4963" s="10"/>
      <c r="AH4963" s="10"/>
      <c r="AI4963" s="10"/>
      <c r="AJ4963" s="10"/>
      <c r="AK4963" s="10"/>
      <c r="AL4963" s="10"/>
      <c r="AM4963" s="10"/>
      <c r="AN4963" s="10"/>
      <c r="AO4963" s="10"/>
      <c r="AP4963" s="10"/>
      <c r="AQ4963" s="10"/>
      <c r="AR4963" s="10"/>
      <c r="AS4963" s="10"/>
      <c r="AT4963" s="10"/>
      <c r="AU4963" s="10"/>
      <c r="AV4963" s="10"/>
      <c r="AW4963" s="10"/>
      <c r="AX4963" s="10"/>
      <c r="AY4963" s="10"/>
      <c r="AZ4963" s="10"/>
    </row>
    <row r="4964" spans="31:52">
      <c r="AE4964" s="10"/>
      <c r="AF4964" s="10"/>
      <c r="AG4964" s="10"/>
      <c r="AH4964" s="10"/>
      <c r="AI4964" s="10"/>
      <c r="AJ4964" s="10"/>
      <c r="AK4964" s="10"/>
      <c r="AL4964" s="10"/>
      <c r="AM4964" s="10"/>
      <c r="AN4964" s="10"/>
      <c r="AO4964" s="10"/>
      <c r="AP4964" s="10"/>
      <c r="AQ4964" s="10"/>
      <c r="AR4964" s="10"/>
      <c r="AS4964" s="10"/>
      <c r="AT4964" s="10"/>
      <c r="AU4964" s="10"/>
      <c r="AV4964" s="10"/>
      <c r="AW4964" s="10"/>
      <c r="AX4964" s="10"/>
      <c r="AY4964" s="10"/>
      <c r="AZ4964" s="10"/>
    </row>
    <row r="4965" spans="31:52">
      <c r="AE4965" s="10"/>
      <c r="AF4965" s="10"/>
      <c r="AG4965" s="10"/>
      <c r="AH4965" s="10"/>
      <c r="AI4965" s="10"/>
      <c r="AJ4965" s="10"/>
      <c r="AK4965" s="10"/>
      <c r="AL4965" s="10"/>
      <c r="AM4965" s="10"/>
      <c r="AN4965" s="10"/>
      <c r="AO4965" s="10"/>
      <c r="AP4965" s="10"/>
      <c r="AQ4965" s="10"/>
      <c r="AR4965" s="10"/>
      <c r="AS4965" s="10"/>
      <c r="AT4965" s="10"/>
      <c r="AU4965" s="10"/>
      <c r="AV4965" s="10"/>
      <c r="AW4965" s="10"/>
      <c r="AX4965" s="10"/>
      <c r="AY4965" s="10"/>
      <c r="AZ4965" s="10"/>
    </row>
    <row r="4966" spans="31:52">
      <c r="AE4966" s="10"/>
      <c r="AF4966" s="10"/>
      <c r="AG4966" s="10"/>
      <c r="AH4966" s="10"/>
      <c r="AI4966" s="10"/>
      <c r="AJ4966" s="10"/>
      <c r="AK4966" s="10"/>
      <c r="AL4966" s="10"/>
      <c r="AM4966" s="10"/>
      <c r="AN4966" s="10"/>
      <c r="AO4966" s="10"/>
      <c r="AP4966" s="10"/>
      <c r="AQ4966" s="10"/>
      <c r="AR4966" s="10"/>
      <c r="AS4966" s="10"/>
      <c r="AT4966" s="10"/>
      <c r="AU4966" s="10"/>
      <c r="AV4966" s="10"/>
      <c r="AW4966" s="10"/>
      <c r="AX4966" s="10"/>
      <c r="AY4966" s="10"/>
      <c r="AZ4966" s="10"/>
    </row>
    <row r="4967" spans="31:52">
      <c r="AE4967" s="10"/>
      <c r="AF4967" s="10"/>
      <c r="AG4967" s="10"/>
      <c r="AH4967" s="10"/>
      <c r="AI4967" s="10"/>
      <c r="AJ4967" s="10"/>
      <c r="AK4967" s="10"/>
      <c r="AL4967" s="10"/>
      <c r="AM4967" s="10"/>
      <c r="AN4967" s="10"/>
      <c r="AO4967" s="10"/>
      <c r="AP4967" s="10"/>
      <c r="AQ4967" s="10"/>
      <c r="AR4967" s="10"/>
      <c r="AS4967" s="10"/>
      <c r="AT4967" s="10"/>
      <c r="AU4967" s="10"/>
      <c r="AV4967" s="10"/>
      <c r="AW4967" s="10"/>
      <c r="AX4967" s="10"/>
      <c r="AY4967" s="10"/>
      <c r="AZ4967" s="10"/>
    </row>
    <row r="4968" spans="31:52">
      <c r="AE4968" s="10"/>
      <c r="AF4968" s="10"/>
      <c r="AG4968" s="10"/>
      <c r="AH4968" s="10"/>
      <c r="AI4968" s="10"/>
      <c r="AJ4968" s="10"/>
      <c r="AK4968" s="10"/>
      <c r="AL4968" s="10"/>
      <c r="AM4968" s="10"/>
      <c r="AN4968" s="10"/>
      <c r="AO4968" s="10"/>
      <c r="AP4968" s="10"/>
      <c r="AQ4968" s="10"/>
      <c r="AR4968" s="10"/>
      <c r="AS4968" s="10"/>
      <c r="AT4968" s="10"/>
      <c r="AU4968" s="10"/>
      <c r="AV4968" s="10"/>
      <c r="AW4968" s="10"/>
      <c r="AX4968" s="10"/>
      <c r="AY4968" s="10"/>
      <c r="AZ4968" s="10"/>
    </row>
    <row r="4969" spans="31:52">
      <c r="AE4969" s="10"/>
      <c r="AF4969" s="10"/>
      <c r="AG4969" s="10"/>
      <c r="AH4969" s="10"/>
      <c r="AI4969" s="10"/>
      <c r="AJ4969" s="10"/>
      <c r="AK4969" s="10"/>
      <c r="AL4969" s="10"/>
      <c r="AM4969" s="10"/>
      <c r="AN4969" s="10"/>
      <c r="AO4969" s="10"/>
      <c r="AP4969" s="10"/>
      <c r="AQ4969" s="10"/>
      <c r="AR4969" s="10"/>
      <c r="AS4969" s="10"/>
      <c r="AT4969" s="10"/>
      <c r="AU4969" s="10"/>
      <c r="AV4969" s="10"/>
      <c r="AW4969" s="10"/>
      <c r="AX4969" s="10"/>
      <c r="AY4969" s="10"/>
      <c r="AZ4969" s="10"/>
    </row>
    <row r="4970" spans="31:52">
      <c r="AE4970" s="10"/>
      <c r="AF4970" s="10"/>
      <c r="AG4970" s="10"/>
      <c r="AH4970" s="10"/>
      <c r="AI4970" s="10"/>
      <c r="AJ4970" s="10"/>
      <c r="AK4970" s="10"/>
      <c r="AL4970" s="10"/>
      <c r="AM4970" s="10"/>
      <c r="AN4970" s="10"/>
      <c r="AO4970" s="10"/>
      <c r="AP4970" s="10"/>
      <c r="AQ4970" s="10"/>
      <c r="AR4970" s="10"/>
      <c r="AS4970" s="10"/>
      <c r="AT4970" s="10"/>
      <c r="AU4970" s="10"/>
      <c r="AV4970" s="10"/>
      <c r="AW4970" s="10"/>
      <c r="AX4970" s="10"/>
      <c r="AY4970" s="10"/>
      <c r="AZ4970" s="10"/>
    </row>
    <row r="4971" spans="31:52">
      <c r="AE4971" s="10"/>
      <c r="AF4971" s="10"/>
      <c r="AG4971" s="10"/>
      <c r="AH4971" s="10"/>
      <c r="AI4971" s="10"/>
      <c r="AJ4971" s="10"/>
      <c r="AK4971" s="10"/>
      <c r="AL4971" s="10"/>
      <c r="AM4971" s="10"/>
      <c r="AN4971" s="10"/>
      <c r="AO4971" s="10"/>
      <c r="AP4971" s="10"/>
      <c r="AQ4971" s="10"/>
      <c r="AR4971" s="10"/>
      <c r="AS4971" s="10"/>
      <c r="AT4971" s="10"/>
      <c r="AU4971" s="10"/>
      <c r="AV4971" s="10"/>
      <c r="AW4971" s="10"/>
      <c r="AX4971" s="10"/>
      <c r="AY4971" s="10"/>
      <c r="AZ4971" s="10"/>
    </row>
    <row r="4972" spans="31:52">
      <c r="AE4972" s="10"/>
      <c r="AF4972" s="10"/>
      <c r="AG4972" s="10"/>
      <c r="AH4972" s="10"/>
      <c r="AI4972" s="10"/>
      <c r="AJ4972" s="10"/>
      <c r="AK4972" s="10"/>
      <c r="AL4972" s="10"/>
      <c r="AM4972" s="10"/>
      <c r="AN4972" s="10"/>
      <c r="AO4972" s="10"/>
      <c r="AP4972" s="10"/>
      <c r="AQ4972" s="10"/>
      <c r="AR4972" s="10"/>
      <c r="AS4972" s="10"/>
      <c r="AT4972" s="10"/>
      <c r="AU4972" s="10"/>
      <c r="AV4972" s="10"/>
      <c r="AW4972" s="10"/>
      <c r="AX4972" s="10"/>
      <c r="AY4972" s="10"/>
      <c r="AZ4972" s="10"/>
    </row>
    <row r="4973" spans="31:52">
      <c r="AE4973" s="10"/>
      <c r="AF4973" s="10"/>
      <c r="AG4973" s="10"/>
      <c r="AH4973" s="10"/>
      <c r="AI4973" s="10"/>
      <c r="AJ4973" s="10"/>
      <c r="AK4973" s="10"/>
      <c r="AL4973" s="10"/>
      <c r="AM4973" s="10"/>
      <c r="AN4973" s="10"/>
      <c r="AO4973" s="10"/>
      <c r="AP4973" s="10"/>
      <c r="AQ4973" s="10"/>
      <c r="AR4973" s="10"/>
      <c r="AS4973" s="10"/>
      <c r="AT4973" s="10"/>
      <c r="AU4973" s="10"/>
      <c r="AV4973" s="10"/>
      <c r="AW4973" s="10"/>
      <c r="AX4973" s="10"/>
      <c r="AY4973" s="10"/>
      <c r="AZ4973" s="10"/>
    </row>
    <row r="4974" spans="31:52">
      <c r="AE4974" s="10"/>
      <c r="AF4974" s="10"/>
      <c r="AG4974" s="10"/>
      <c r="AH4974" s="10"/>
      <c r="AI4974" s="10"/>
      <c r="AJ4974" s="10"/>
      <c r="AK4974" s="10"/>
      <c r="AL4974" s="10"/>
      <c r="AM4974" s="10"/>
      <c r="AN4974" s="10"/>
      <c r="AO4974" s="10"/>
      <c r="AP4974" s="10"/>
      <c r="AQ4974" s="10"/>
      <c r="AR4974" s="10"/>
      <c r="AS4974" s="10"/>
      <c r="AT4974" s="10"/>
      <c r="AU4974" s="10"/>
      <c r="AV4974" s="10"/>
      <c r="AW4974" s="10"/>
      <c r="AX4974" s="10"/>
      <c r="AY4974" s="10"/>
      <c r="AZ4974" s="10"/>
    </row>
    <row r="4975" spans="31:52">
      <c r="AE4975" s="10"/>
      <c r="AF4975" s="10"/>
      <c r="AG4975" s="10"/>
      <c r="AH4975" s="10"/>
      <c r="AI4975" s="10"/>
      <c r="AJ4975" s="10"/>
      <c r="AK4975" s="10"/>
      <c r="AL4975" s="10"/>
      <c r="AM4975" s="10"/>
      <c r="AN4975" s="10"/>
      <c r="AO4975" s="10"/>
      <c r="AP4975" s="10"/>
      <c r="AQ4975" s="10"/>
      <c r="AR4975" s="10"/>
      <c r="AS4975" s="10"/>
      <c r="AT4975" s="10"/>
      <c r="AU4975" s="10"/>
      <c r="AV4975" s="10"/>
      <c r="AW4975" s="10"/>
      <c r="AX4975" s="10"/>
      <c r="AY4975" s="10"/>
      <c r="AZ4975" s="10"/>
    </row>
    <row r="4976" spans="31:52">
      <c r="AE4976" s="10"/>
      <c r="AF4976" s="10"/>
      <c r="AG4976" s="10"/>
      <c r="AH4976" s="10"/>
      <c r="AI4976" s="10"/>
      <c r="AJ4976" s="10"/>
      <c r="AK4976" s="10"/>
      <c r="AL4976" s="10"/>
      <c r="AM4976" s="10"/>
      <c r="AN4976" s="10"/>
      <c r="AO4976" s="10"/>
      <c r="AP4976" s="10"/>
      <c r="AQ4976" s="10"/>
      <c r="AR4976" s="10"/>
      <c r="AS4976" s="10"/>
      <c r="AT4976" s="10"/>
      <c r="AU4976" s="10"/>
      <c r="AV4976" s="10"/>
      <c r="AW4976" s="10"/>
      <c r="AX4976" s="10"/>
      <c r="AY4976" s="10"/>
      <c r="AZ4976" s="10"/>
    </row>
    <row r="4977" spans="31:52">
      <c r="AE4977" s="10"/>
      <c r="AF4977" s="10"/>
      <c r="AG4977" s="10"/>
      <c r="AH4977" s="10"/>
      <c r="AI4977" s="10"/>
      <c r="AJ4977" s="10"/>
      <c r="AK4977" s="10"/>
      <c r="AL4977" s="10"/>
      <c r="AM4977" s="10"/>
      <c r="AN4977" s="10"/>
      <c r="AO4977" s="10"/>
      <c r="AP4977" s="10"/>
      <c r="AQ4977" s="10"/>
      <c r="AR4977" s="10"/>
      <c r="AS4977" s="10"/>
      <c r="AT4977" s="10"/>
      <c r="AU4977" s="10"/>
      <c r="AV4977" s="10"/>
      <c r="AW4977" s="10"/>
      <c r="AX4977" s="10"/>
      <c r="AY4977" s="10"/>
      <c r="AZ4977" s="10"/>
    </row>
    <row r="4978" spans="31:52">
      <c r="AE4978" s="10"/>
      <c r="AF4978" s="10"/>
      <c r="AG4978" s="10"/>
      <c r="AH4978" s="10"/>
      <c r="AI4978" s="10"/>
      <c r="AJ4978" s="10"/>
      <c r="AK4978" s="10"/>
      <c r="AL4978" s="10"/>
      <c r="AM4978" s="10"/>
      <c r="AN4978" s="10"/>
      <c r="AO4978" s="10"/>
      <c r="AP4978" s="10"/>
      <c r="AQ4978" s="10"/>
      <c r="AR4978" s="10"/>
      <c r="AS4978" s="10"/>
      <c r="AT4978" s="10"/>
      <c r="AU4978" s="10"/>
      <c r="AV4978" s="10"/>
      <c r="AW4978" s="10"/>
      <c r="AX4978" s="10"/>
      <c r="AY4978" s="10"/>
      <c r="AZ4978" s="10"/>
    </row>
    <row r="4979" spans="31:52">
      <c r="AE4979" s="10"/>
      <c r="AF4979" s="10"/>
      <c r="AG4979" s="10"/>
      <c r="AH4979" s="10"/>
      <c r="AI4979" s="10"/>
      <c r="AJ4979" s="10"/>
      <c r="AK4979" s="10"/>
      <c r="AL4979" s="10"/>
      <c r="AM4979" s="10"/>
      <c r="AN4979" s="10"/>
      <c r="AO4979" s="10"/>
      <c r="AP4979" s="10"/>
      <c r="AQ4979" s="10"/>
      <c r="AR4979" s="10"/>
      <c r="AS4979" s="10"/>
      <c r="AT4979" s="10"/>
      <c r="AU4979" s="10"/>
      <c r="AV4979" s="10"/>
      <c r="AW4979" s="10"/>
      <c r="AX4979" s="10"/>
      <c r="AY4979" s="10"/>
      <c r="AZ4979" s="10"/>
    </row>
    <row r="4980" spans="31:52">
      <c r="AE4980" s="10"/>
      <c r="AF4980" s="10"/>
      <c r="AG4980" s="10"/>
      <c r="AH4980" s="10"/>
      <c r="AI4980" s="10"/>
      <c r="AJ4980" s="10"/>
      <c r="AK4980" s="10"/>
      <c r="AL4980" s="10"/>
      <c r="AM4980" s="10"/>
      <c r="AN4980" s="10"/>
      <c r="AO4980" s="10"/>
      <c r="AP4980" s="10"/>
      <c r="AQ4980" s="10"/>
      <c r="AR4980" s="10"/>
      <c r="AS4980" s="10"/>
      <c r="AT4980" s="10"/>
      <c r="AU4980" s="10"/>
      <c r="AV4980" s="10"/>
      <c r="AW4980" s="10"/>
      <c r="AX4980" s="10"/>
      <c r="AY4980" s="10"/>
      <c r="AZ4980" s="10"/>
    </row>
    <row r="4981" spans="31:52">
      <c r="AE4981" s="10"/>
      <c r="AF4981" s="10"/>
      <c r="AG4981" s="10"/>
      <c r="AH4981" s="10"/>
      <c r="AI4981" s="10"/>
      <c r="AJ4981" s="10"/>
      <c r="AK4981" s="10"/>
      <c r="AL4981" s="10"/>
      <c r="AM4981" s="10"/>
      <c r="AN4981" s="10"/>
      <c r="AO4981" s="10"/>
      <c r="AP4981" s="10"/>
      <c r="AQ4981" s="10"/>
      <c r="AR4981" s="10"/>
      <c r="AS4981" s="10"/>
      <c r="AT4981" s="10"/>
      <c r="AU4981" s="10"/>
      <c r="AV4981" s="10"/>
      <c r="AW4981" s="10"/>
      <c r="AX4981" s="10"/>
      <c r="AY4981" s="10"/>
      <c r="AZ4981" s="10"/>
    </row>
    <row r="4982" spans="31:52">
      <c r="AE4982" s="10"/>
      <c r="AF4982" s="10"/>
      <c r="AG4982" s="10"/>
      <c r="AH4982" s="10"/>
      <c r="AI4982" s="10"/>
      <c r="AJ4982" s="10"/>
      <c r="AK4982" s="10"/>
      <c r="AL4982" s="10"/>
      <c r="AM4982" s="10"/>
      <c r="AN4982" s="10"/>
      <c r="AO4982" s="10"/>
      <c r="AP4982" s="10"/>
      <c r="AQ4982" s="10"/>
      <c r="AR4982" s="10"/>
      <c r="AS4982" s="10"/>
      <c r="AT4982" s="10"/>
      <c r="AU4982" s="10"/>
      <c r="AV4982" s="10"/>
      <c r="AW4982" s="10"/>
      <c r="AX4982" s="10"/>
      <c r="AY4982" s="10"/>
      <c r="AZ4982" s="10"/>
    </row>
    <row r="4983" spans="31:52">
      <c r="AE4983" s="10"/>
      <c r="AF4983" s="10"/>
      <c r="AG4983" s="10"/>
      <c r="AH4983" s="10"/>
      <c r="AI4983" s="10"/>
      <c r="AJ4983" s="10"/>
      <c r="AK4983" s="10"/>
      <c r="AL4983" s="10"/>
      <c r="AM4983" s="10"/>
      <c r="AN4983" s="10"/>
      <c r="AO4983" s="10"/>
      <c r="AP4983" s="10"/>
      <c r="AQ4983" s="10"/>
      <c r="AR4983" s="10"/>
      <c r="AS4983" s="10"/>
      <c r="AT4983" s="10"/>
      <c r="AU4983" s="10"/>
      <c r="AV4983" s="10"/>
      <c r="AW4983" s="10"/>
      <c r="AX4983" s="10"/>
      <c r="AY4983" s="10"/>
      <c r="AZ4983" s="10"/>
    </row>
    <row r="4984" spans="31:52">
      <c r="AE4984" s="10"/>
      <c r="AF4984" s="10"/>
      <c r="AG4984" s="10"/>
      <c r="AH4984" s="10"/>
      <c r="AI4984" s="10"/>
      <c r="AJ4984" s="10"/>
      <c r="AK4984" s="10"/>
      <c r="AL4984" s="10"/>
      <c r="AM4984" s="10"/>
      <c r="AN4984" s="10"/>
      <c r="AO4984" s="10"/>
      <c r="AP4984" s="10"/>
      <c r="AQ4984" s="10"/>
      <c r="AR4984" s="10"/>
      <c r="AS4984" s="10"/>
      <c r="AT4984" s="10"/>
      <c r="AU4984" s="10"/>
      <c r="AV4984" s="10"/>
      <c r="AW4984" s="10"/>
      <c r="AX4984" s="10"/>
      <c r="AY4984" s="10"/>
      <c r="AZ4984" s="10"/>
    </row>
    <row r="4985" spans="31:52">
      <c r="AE4985" s="10"/>
      <c r="AF4985" s="10"/>
      <c r="AG4985" s="10"/>
      <c r="AH4985" s="10"/>
      <c r="AI4985" s="10"/>
      <c r="AJ4985" s="10"/>
      <c r="AK4985" s="10"/>
      <c r="AL4985" s="10"/>
      <c r="AM4985" s="10"/>
      <c r="AN4985" s="10"/>
      <c r="AO4985" s="10"/>
      <c r="AP4985" s="10"/>
      <c r="AQ4985" s="10"/>
      <c r="AR4985" s="10"/>
      <c r="AS4985" s="10"/>
      <c r="AT4985" s="10"/>
      <c r="AU4985" s="10"/>
      <c r="AV4985" s="10"/>
      <c r="AW4985" s="10"/>
      <c r="AX4985" s="10"/>
      <c r="AY4985" s="10"/>
      <c r="AZ4985" s="10"/>
    </row>
    <row r="4986" spans="31:52">
      <c r="AE4986" s="10"/>
      <c r="AF4986" s="10"/>
      <c r="AG4986" s="10"/>
      <c r="AH4986" s="10"/>
      <c r="AI4986" s="10"/>
      <c r="AJ4986" s="10"/>
      <c r="AK4986" s="10"/>
      <c r="AL4986" s="10"/>
      <c r="AM4986" s="10"/>
      <c r="AN4986" s="10"/>
      <c r="AO4986" s="10"/>
      <c r="AP4986" s="10"/>
      <c r="AQ4986" s="10"/>
      <c r="AR4986" s="10"/>
      <c r="AS4986" s="10"/>
      <c r="AT4986" s="10"/>
      <c r="AU4986" s="10"/>
      <c r="AV4986" s="10"/>
      <c r="AW4986" s="10"/>
      <c r="AX4986" s="10"/>
      <c r="AY4986" s="10"/>
      <c r="AZ4986" s="10"/>
    </row>
    <row r="4987" spans="31:52">
      <c r="AE4987" s="10"/>
      <c r="AF4987" s="10"/>
      <c r="AG4987" s="10"/>
      <c r="AH4987" s="10"/>
      <c r="AI4987" s="10"/>
      <c r="AJ4987" s="10"/>
      <c r="AK4987" s="10"/>
      <c r="AL4987" s="10"/>
      <c r="AM4987" s="10"/>
      <c r="AN4987" s="10"/>
      <c r="AO4987" s="10"/>
      <c r="AP4987" s="10"/>
      <c r="AQ4987" s="10"/>
      <c r="AR4987" s="10"/>
      <c r="AS4987" s="10"/>
      <c r="AT4987" s="10"/>
      <c r="AU4987" s="10"/>
      <c r="AV4987" s="10"/>
      <c r="AW4987" s="10"/>
      <c r="AX4987" s="10"/>
      <c r="AY4987" s="10"/>
      <c r="AZ4987" s="10"/>
    </row>
    <row r="4988" spans="31:52">
      <c r="AE4988" s="10"/>
      <c r="AF4988" s="10"/>
      <c r="AG4988" s="10"/>
      <c r="AH4988" s="10"/>
      <c r="AI4988" s="10"/>
      <c r="AJ4988" s="10"/>
      <c r="AK4988" s="10"/>
      <c r="AL4988" s="10"/>
      <c r="AM4988" s="10"/>
      <c r="AN4988" s="10"/>
      <c r="AO4988" s="10"/>
      <c r="AP4988" s="10"/>
      <c r="AQ4988" s="10"/>
      <c r="AR4988" s="10"/>
      <c r="AS4988" s="10"/>
      <c r="AT4988" s="10"/>
      <c r="AU4988" s="10"/>
      <c r="AV4988" s="10"/>
      <c r="AW4988" s="10"/>
      <c r="AX4988" s="10"/>
      <c r="AY4988" s="10"/>
      <c r="AZ4988" s="10"/>
    </row>
    <row r="4989" spans="31:52">
      <c r="AE4989" s="10"/>
      <c r="AF4989" s="10"/>
      <c r="AG4989" s="10"/>
      <c r="AH4989" s="10"/>
      <c r="AI4989" s="10"/>
      <c r="AJ4989" s="10"/>
      <c r="AK4989" s="10"/>
      <c r="AL4989" s="10"/>
      <c r="AM4989" s="10"/>
      <c r="AN4989" s="10"/>
      <c r="AO4989" s="10"/>
      <c r="AP4989" s="10"/>
      <c r="AQ4989" s="10"/>
      <c r="AR4989" s="10"/>
      <c r="AS4989" s="10"/>
      <c r="AT4989" s="10"/>
      <c r="AU4989" s="10"/>
      <c r="AV4989" s="10"/>
      <c r="AW4989" s="10"/>
      <c r="AX4989" s="10"/>
      <c r="AY4989" s="10"/>
      <c r="AZ4989" s="10"/>
    </row>
    <row r="4990" spans="31:52">
      <c r="AE4990" s="10"/>
      <c r="AF4990" s="10"/>
      <c r="AG4990" s="10"/>
      <c r="AH4990" s="10"/>
      <c r="AI4990" s="10"/>
      <c r="AJ4990" s="10"/>
      <c r="AK4990" s="10"/>
      <c r="AL4990" s="10"/>
      <c r="AM4990" s="10"/>
      <c r="AN4990" s="10"/>
      <c r="AO4990" s="10"/>
      <c r="AP4990" s="10"/>
      <c r="AQ4990" s="10"/>
      <c r="AR4990" s="10"/>
      <c r="AS4990" s="10"/>
      <c r="AT4990" s="10"/>
      <c r="AU4990" s="10"/>
      <c r="AV4990" s="10"/>
      <c r="AW4990" s="10"/>
      <c r="AX4990" s="10"/>
      <c r="AY4990" s="10"/>
      <c r="AZ4990" s="10"/>
    </row>
    <row r="4991" spans="31:52">
      <c r="AE4991" s="10"/>
      <c r="AF4991" s="10"/>
      <c r="AG4991" s="10"/>
      <c r="AH4991" s="10"/>
      <c r="AI4991" s="10"/>
      <c r="AJ4991" s="10"/>
      <c r="AK4991" s="10"/>
      <c r="AL4991" s="10"/>
      <c r="AM4991" s="10"/>
      <c r="AN4991" s="10"/>
      <c r="AO4991" s="10"/>
      <c r="AP4991" s="10"/>
      <c r="AQ4991" s="10"/>
      <c r="AR4991" s="10"/>
      <c r="AS4991" s="10"/>
      <c r="AT4991" s="10"/>
      <c r="AU4991" s="10"/>
      <c r="AV4991" s="10"/>
      <c r="AW4991" s="10"/>
      <c r="AX4991" s="10"/>
      <c r="AY4991" s="10"/>
      <c r="AZ4991" s="10"/>
    </row>
    <row r="4992" spans="31:52">
      <c r="AE4992" s="10"/>
      <c r="AF4992" s="10"/>
      <c r="AG4992" s="10"/>
      <c r="AH4992" s="10"/>
      <c r="AI4992" s="10"/>
      <c r="AJ4992" s="10"/>
      <c r="AK4992" s="10"/>
      <c r="AL4992" s="10"/>
      <c r="AM4992" s="10"/>
      <c r="AN4992" s="10"/>
      <c r="AO4992" s="10"/>
      <c r="AP4992" s="10"/>
      <c r="AQ4992" s="10"/>
      <c r="AR4992" s="10"/>
      <c r="AS4992" s="10"/>
      <c r="AT4992" s="10"/>
      <c r="AU4992" s="10"/>
      <c r="AV4992" s="10"/>
      <c r="AW4992" s="10"/>
      <c r="AX4992" s="10"/>
      <c r="AY4992" s="10"/>
      <c r="AZ4992" s="10"/>
    </row>
    <row r="4993" spans="31:52">
      <c r="AE4993" s="10"/>
      <c r="AF4993" s="10"/>
      <c r="AG4993" s="10"/>
      <c r="AH4993" s="10"/>
      <c r="AI4993" s="10"/>
      <c r="AJ4993" s="10"/>
      <c r="AK4993" s="10"/>
      <c r="AL4993" s="10"/>
      <c r="AM4993" s="10"/>
      <c r="AN4993" s="10"/>
      <c r="AO4993" s="10"/>
      <c r="AP4993" s="10"/>
      <c r="AQ4993" s="10"/>
      <c r="AR4993" s="10"/>
      <c r="AS4993" s="10"/>
      <c r="AT4993" s="10"/>
      <c r="AU4993" s="10"/>
      <c r="AV4993" s="10"/>
      <c r="AW4993" s="10"/>
      <c r="AX4993" s="10"/>
      <c r="AY4993" s="10"/>
      <c r="AZ4993" s="10"/>
    </row>
    <row r="4994" spans="31:52">
      <c r="AE4994" s="10"/>
      <c r="AF4994" s="10"/>
      <c r="AG4994" s="10"/>
      <c r="AH4994" s="10"/>
      <c r="AI4994" s="10"/>
      <c r="AJ4994" s="10"/>
      <c r="AK4994" s="10"/>
      <c r="AL4994" s="10"/>
      <c r="AM4994" s="10"/>
      <c r="AN4994" s="10"/>
      <c r="AO4994" s="10"/>
      <c r="AP4994" s="10"/>
      <c r="AQ4994" s="10"/>
      <c r="AR4994" s="10"/>
      <c r="AS4994" s="10"/>
      <c r="AT4994" s="10"/>
      <c r="AU4994" s="10"/>
      <c r="AV4994" s="10"/>
      <c r="AW4994" s="10"/>
      <c r="AX4994" s="10"/>
      <c r="AY4994" s="10"/>
      <c r="AZ4994" s="10"/>
    </row>
    <row r="4995" spans="31:52">
      <c r="AE4995" s="10"/>
      <c r="AF4995" s="10"/>
      <c r="AG4995" s="10"/>
      <c r="AH4995" s="10"/>
      <c r="AI4995" s="10"/>
      <c r="AJ4995" s="10"/>
      <c r="AK4995" s="10"/>
      <c r="AL4995" s="10"/>
      <c r="AM4995" s="10"/>
      <c r="AN4995" s="10"/>
      <c r="AO4995" s="10"/>
      <c r="AP4995" s="10"/>
      <c r="AQ4995" s="10"/>
      <c r="AR4995" s="10"/>
      <c r="AS4995" s="10"/>
      <c r="AT4995" s="10"/>
      <c r="AU4995" s="10"/>
      <c r="AV4995" s="10"/>
      <c r="AW4995" s="10"/>
      <c r="AX4995" s="10"/>
      <c r="AY4995" s="10"/>
      <c r="AZ4995" s="10"/>
    </row>
    <row r="4996" spans="31:52">
      <c r="AE4996" s="10"/>
      <c r="AF4996" s="10"/>
      <c r="AG4996" s="10"/>
      <c r="AH4996" s="10"/>
      <c r="AI4996" s="10"/>
      <c r="AJ4996" s="10"/>
      <c r="AK4996" s="10"/>
      <c r="AL4996" s="10"/>
      <c r="AM4996" s="10"/>
      <c r="AN4996" s="10"/>
      <c r="AO4996" s="10"/>
      <c r="AP4996" s="10"/>
      <c r="AQ4996" s="10"/>
      <c r="AR4996" s="10"/>
      <c r="AS4996" s="10"/>
      <c r="AT4996" s="10"/>
      <c r="AU4996" s="10"/>
      <c r="AV4996" s="10"/>
      <c r="AW4996" s="10"/>
      <c r="AX4996" s="10"/>
      <c r="AY4996" s="10"/>
      <c r="AZ4996" s="10"/>
    </row>
    <row r="4997" spans="31:52">
      <c r="AE4997" s="10"/>
      <c r="AF4997" s="10"/>
      <c r="AG4997" s="10"/>
      <c r="AH4997" s="10"/>
      <c r="AI4997" s="10"/>
      <c r="AJ4997" s="10"/>
      <c r="AK4997" s="10"/>
      <c r="AL4997" s="10"/>
      <c r="AM4997" s="10"/>
      <c r="AN4997" s="10"/>
      <c r="AO4997" s="10"/>
      <c r="AP4997" s="10"/>
      <c r="AQ4997" s="10"/>
      <c r="AR4997" s="10"/>
      <c r="AS4997" s="10"/>
      <c r="AT4997" s="10"/>
      <c r="AU4997" s="10"/>
      <c r="AV4997" s="10"/>
      <c r="AW4997" s="10"/>
      <c r="AX4997" s="10"/>
      <c r="AY4997" s="10"/>
      <c r="AZ4997" s="10"/>
    </row>
    <row r="4998" spans="31:52">
      <c r="AE4998" s="10"/>
      <c r="AF4998" s="10"/>
      <c r="AG4998" s="10"/>
      <c r="AH4998" s="10"/>
      <c r="AI4998" s="10"/>
      <c r="AJ4998" s="10"/>
      <c r="AK4998" s="10"/>
      <c r="AL4998" s="10"/>
      <c r="AM4998" s="10"/>
      <c r="AN4998" s="10"/>
      <c r="AO4998" s="10"/>
      <c r="AP4998" s="10"/>
      <c r="AQ4998" s="10"/>
      <c r="AR4998" s="10"/>
      <c r="AS4998" s="10"/>
      <c r="AT4998" s="10"/>
      <c r="AU4998" s="10"/>
      <c r="AV4998" s="10"/>
      <c r="AW4998" s="10"/>
      <c r="AX4998" s="10"/>
      <c r="AY4998" s="10"/>
      <c r="AZ4998" s="10"/>
    </row>
    <row r="4999" spans="31:52">
      <c r="AE4999" s="10"/>
      <c r="AF4999" s="10"/>
      <c r="AG4999" s="10"/>
      <c r="AH4999" s="10"/>
      <c r="AI4999" s="10"/>
      <c r="AJ4999" s="10"/>
      <c r="AK4999" s="10"/>
      <c r="AL4999" s="10"/>
      <c r="AM4999" s="10"/>
      <c r="AN4999" s="10"/>
      <c r="AO4999" s="10"/>
      <c r="AP4999" s="10"/>
      <c r="AQ4999" s="10"/>
      <c r="AR4999" s="10"/>
      <c r="AS4999" s="10"/>
      <c r="AT4999" s="10"/>
      <c r="AU4999" s="10"/>
      <c r="AV4999" s="10"/>
      <c r="AW4999" s="10"/>
      <c r="AX4999" s="10"/>
      <c r="AY4999" s="10"/>
      <c r="AZ4999" s="10"/>
    </row>
    <row r="5000" spans="31:52">
      <c r="AE5000" s="10"/>
      <c r="AF5000" s="10"/>
      <c r="AG5000" s="10"/>
      <c r="AH5000" s="10"/>
      <c r="AI5000" s="10"/>
      <c r="AJ5000" s="10"/>
      <c r="AK5000" s="10"/>
      <c r="AL5000" s="10"/>
      <c r="AM5000" s="10"/>
      <c r="AN5000" s="10"/>
      <c r="AO5000" s="10"/>
      <c r="AP5000" s="10"/>
      <c r="AQ5000" s="10"/>
      <c r="AR5000" s="10"/>
      <c r="AS5000" s="10"/>
      <c r="AT5000" s="10"/>
      <c r="AU5000" s="10"/>
      <c r="AV5000" s="10"/>
      <c r="AW5000" s="10"/>
      <c r="AX5000" s="10"/>
      <c r="AY5000" s="10"/>
      <c r="AZ5000" s="10"/>
    </row>
    <row r="5001" spans="31:52">
      <c r="AE5001" s="10"/>
      <c r="AF5001" s="10"/>
      <c r="AG5001" s="10"/>
      <c r="AH5001" s="10"/>
      <c r="AI5001" s="10"/>
      <c r="AJ5001" s="10"/>
      <c r="AK5001" s="10"/>
      <c r="AL5001" s="10"/>
      <c r="AM5001" s="10"/>
      <c r="AN5001" s="10"/>
      <c r="AO5001" s="10"/>
      <c r="AP5001" s="10"/>
      <c r="AQ5001" s="10"/>
      <c r="AR5001" s="10"/>
      <c r="AS5001" s="10"/>
      <c r="AT5001" s="10"/>
      <c r="AU5001" s="10"/>
      <c r="AV5001" s="10"/>
      <c r="AW5001" s="10"/>
      <c r="AX5001" s="10"/>
      <c r="AY5001" s="10"/>
      <c r="AZ5001" s="10"/>
    </row>
    <row r="5002" spans="31:52">
      <c r="AE5002" s="10"/>
      <c r="AF5002" s="10"/>
      <c r="AG5002" s="10"/>
      <c r="AH5002" s="10"/>
      <c r="AI5002" s="10"/>
      <c r="AJ5002" s="10"/>
      <c r="AK5002" s="10"/>
      <c r="AL5002" s="10"/>
      <c r="AM5002" s="10"/>
      <c r="AN5002" s="10"/>
      <c r="AO5002" s="10"/>
      <c r="AP5002" s="10"/>
      <c r="AQ5002" s="10"/>
      <c r="AR5002" s="10"/>
      <c r="AS5002" s="10"/>
      <c r="AT5002" s="10"/>
      <c r="AU5002" s="10"/>
      <c r="AV5002" s="10"/>
      <c r="AW5002" s="10"/>
      <c r="AX5002" s="10"/>
      <c r="AY5002" s="10"/>
      <c r="AZ5002" s="10"/>
    </row>
    <row r="5003" spans="31:52">
      <c r="AE5003" s="10"/>
      <c r="AF5003" s="10"/>
      <c r="AG5003" s="10"/>
      <c r="AH5003" s="10"/>
      <c r="AI5003" s="10"/>
      <c r="AJ5003" s="10"/>
      <c r="AK5003" s="10"/>
      <c r="AL5003" s="10"/>
      <c r="AM5003" s="10"/>
      <c r="AN5003" s="10"/>
      <c r="AO5003" s="10"/>
      <c r="AP5003" s="10"/>
      <c r="AQ5003" s="10"/>
      <c r="AR5003" s="10"/>
      <c r="AS5003" s="10"/>
      <c r="AT5003" s="10"/>
      <c r="AU5003" s="10"/>
      <c r="AV5003" s="10"/>
      <c r="AW5003" s="10"/>
      <c r="AX5003" s="10"/>
      <c r="AY5003" s="10"/>
      <c r="AZ5003" s="10"/>
    </row>
    <row r="5004" spans="31:52">
      <c r="AE5004" s="10"/>
      <c r="AF5004" s="10"/>
      <c r="AG5004" s="10"/>
      <c r="AH5004" s="10"/>
      <c r="AI5004" s="10"/>
      <c r="AJ5004" s="10"/>
      <c r="AK5004" s="10"/>
      <c r="AL5004" s="10"/>
      <c r="AM5004" s="10"/>
      <c r="AN5004" s="10"/>
      <c r="AO5004" s="10"/>
      <c r="AP5004" s="10"/>
      <c r="AQ5004" s="10"/>
      <c r="AR5004" s="10"/>
      <c r="AS5004" s="10"/>
      <c r="AT5004" s="10"/>
      <c r="AU5004" s="10"/>
      <c r="AV5004" s="10"/>
      <c r="AW5004" s="10"/>
      <c r="AX5004" s="10"/>
      <c r="AY5004" s="10"/>
      <c r="AZ5004" s="10"/>
    </row>
    <row r="5005" spans="31:52">
      <c r="AE5005" s="10"/>
      <c r="AF5005" s="10"/>
      <c r="AG5005" s="10"/>
      <c r="AH5005" s="10"/>
      <c r="AI5005" s="10"/>
      <c r="AJ5005" s="10"/>
      <c r="AK5005" s="10"/>
      <c r="AL5005" s="10"/>
      <c r="AM5005" s="10"/>
      <c r="AN5005" s="10"/>
      <c r="AO5005" s="10"/>
      <c r="AP5005" s="10"/>
      <c r="AQ5005" s="10"/>
      <c r="AR5005" s="10"/>
      <c r="AS5005" s="10"/>
      <c r="AT5005" s="10"/>
      <c r="AU5005" s="10"/>
      <c r="AV5005" s="10"/>
      <c r="AW5005" s="10"/>
      <c r="AX5005" s="10"/>
      <c r="AY5005" s="10"/>
      <c r="AZ5005" s="10"/>
    </row>
    <row r="5006" spans="31:52">
      <c r="AE5006" s="10"/>
      <c r="AF5006" s="10"/>
      <c r="AG5006" s="10"/>
      <c r="AH5006" s="10"/>
      <c r="AI5006" s="10"/>
      <c r="AJ5006" s="10"/>
      <c r="AK5006" s="10"/>
      <c r="AL5006" s="10"/>
      <c r="AM5006" s="10"/>
      <c r="AN5006" s="10"/>
      <c r="AO5006" s="10"/>
      <c r="AP5006" s="10"/>
      <c r="AQ5006" s="10"/>
      <c r="AR5006" s="10"/>
      <c r="AS5006" s="10"/>
      <c r="AT5006" s="10"/>
      <c r="AU5006" s="10"/>
      <c r="AV5006" s="10"/>
      <c r="AW5006" s="10"/>
      <c r="AX5006" s="10"/>
      <c r="AY5006" s="10"/>
      <c r="AZ5006" s="10"/>
    </row>
    <row r="5007" spans="31:52">
      <c r="AE5007" s="10"/>
      <c r="AF5007" s="10"/>
      <c r="AG5007" s="10"/>
      <c r="AH5007" s="10"/>
      <c r="AI5007" s="10"/>
      <c r="AJ5007" s="10"/>
      <c r="AK5007" s="10"/>
      <c r="AL5007" s="10"/>
      <c r="AM5007" s="10"/>
      <c r="AN5007" s="10"/>
      <c r="AO5007" s="10"/>
      <c r="AP5007" s="10"/>
      <c r="AQ5007" s="10"/>
      <c r="AR5007" s="10"/>
      <c r="AS5007" s="10"/>
      <c r="AT5007" s="10"/>
      <c r="AU5007" s="10"/>
      <c r="AV5007" s="10"/>
      <c r="AW5007" s="10"/>
      <c r="AX5007" s="10"/>
      <c r="AY5007" s="10"/>
      <c r="AZ5007" s="10"/>
    </row>
    <row r="5008" spans="31:52">
      <c r="AE5008" s="10"/>
      <c r="AF5008" s="10"/>
      <c r="AG5008" s="10"/>
      <c r="AH5008" s="10"/>
      <c r="AI5008" s="10"/>
      <c r="AJ5008" s="10"/>
      <c r="AK5008" s="10"/>
      <c r="AL5008" s="10"/>
      <c r="AM5008" s="10"/>
      <c r="AN5008" s="10"/>
      <c r="AO5008" s="10"/>
      <c r="AP5008" s="10"/>
      <c r="AQ5008" s="10"/>
      <c r="AR5008" s="10"/>
      <c r="AS5008" s="10"/>
      <c r="AT5008" s="10"/>
      <c r="AU5008" s="10"/>
      <c r="AV5008" s="10"/>
      <c r="AW5008" s="10"/>
      <c r="AX5008" s="10"/>
      <c r="AY5008" s="10"/>
      <c r="AZ5008" s="10"/>
    </row>
    <row r="5009" spans="31:52">
      <c r="AE5009" s="10"/>
      <c r="AF5009" s="10"/>
      <c r="AG5009" s="10"/>
      <c r="AH5009" s="10"/>
      <c r="AI5009" s="10"/>
      <c r="AJ5009" s="10"/>
      <c r="AK5009" s="10"/>
      <c r="AL5009" s="10"/>
      <c r="AM5009" s="10"/>
      <c r="AN5009" s="10"/>
      <c r="AO5009" s="10"/>
      <c r="AP5009" s="10"/>
      <c r="AQ5009" s="10"/>
      <c r="AR5009" s="10"/>
      <c r="AS5009" s="10"/>
      <c r="AT5009" s="10"/>
      <c r="AU5009" s="10"/>
      <c r="AV5009" s="10"/>
      <c r="AW5009" s="10"/>
      <c r="AX5009" s="10"/>
      <c r="AY5009" s="10"/>
      <c r="AZ5009" s="10"/>
    </row>
    <row r="5010" spans="31:52">
      <c r="AE5010" s="10"/>
      <c r="AF5010" s="10"/>
      <c r="AG5010" s="10"/>
      <c r="AH5010" s="10"/>
      <c r="AI5010" s="10"/>
      <c r="AJ5010" s="10"/>
      <c r="AK5010" s="10"/>
      <c r="AL5010" s="10"/>
      <c r="AM5010" s="10"/>
      <c r="AN5010" s="10"/>
      <c r="AO5010" s="10"/>
      <c r="AP5010" s="10"/>
      <c r="AQ5010" s="10"/>
      <c r="AR5010" s="10"/>
      <c r="AS5010" s="10"/>
      <c r="AT5010" s="10"/>
      <c r="AU5010" s="10"/>
      <c r="AV5010" s="10"/>
      <c r="AW5010" s="10"/>
      <c r="AX5010" s="10"/>
      <c r="AY5010" s="10"/>
      <c r="AZ5010" s="10"/>
    </row>
    <row r="5011" spans="31:52">
      <c r="AE5011" s="10"/>
      <c r="AF5011" s="10"/>
      <c r="AG5011" s="10"/>
      <c r="AH5011" s="10"/>
      <c r="AI5011" s="10"/>
      <c r="AJ5011" s="10"/>
      <c r="AK5011" s="10"/>
      <c r="AL5011" s="10"/>
      <c r="AM5011" s="10"/>
      <c r="AN5011" s="10"/>
      <c r="AO5011" s="10"/>
      <c r="AP5011" s="10"/>
      <c r="AQ5011" s="10"/>
      <c r="AR5011" s="10"/>
      <c r="AS5011" s="10"/>
      <c r="AT5011" s="10"/>
      <c r="AU5011" s="10"/>
      <c r="AV5011" s="10"/>
      <c r="AW5011" s="10"/>
      <c r="AX5011" s="10"/>
      <c r="AY5011" s="10"/>
      <c r="AZ5011" s="10"/>
    </row>
    <row r="5012" spans="31:52">
      <c r="AE5012" s="10"/>
      <c r="AF5012" s="10"/>
      <c r="AG5012" s="10"/>
      <c r="AH5012" s="10"/>
      <c r="AI5012" s="10"/>
      <c r="AJ5012" s="10"/>
      <c r="AK5012" s="10"/>
      <c r="AL5012" s="10"/>
      <c r="AM5012" s="10"/>
      <c r="AN5012" s="10"/>
      <c r="AO5012" s="10"/>
      <c r="AP5012" s="10"/>
      <c r="AQ5012" s="10"/>
      <c r="AR5012" s="10"/>
      <c r="AS5012" s="10"/>
      <c r="AT5012" s="10"/>
      <c r="AU5012" s="10"/>
      <c r="AV5012" s="10"/>
      <c r="AW5012" s="10"/>
      <c r="AX5012" s="10"/>
      <c r="AY5012" s="10"/>
      <c r="AZ5012" s="10"/>
    </row>
    <row r="5013" spans="31:52">
      <c r="AE5013" s="10"/>
      <c r="AF5013" s="10"/>
      <c r="AG5013" s="10"/>
      <c r="AH5013" s="10"/>
      <c r="AI5013" s="10"/>
      <c r="AJ5013" s="10"/>
      <c r="AK5013" s="10"/>
      <c r="AL5013" s="10"/>
      <c r="AM5013" s="10"/>
      <c r="AN5013" s="10"/>
      <c r="AO5013" s="10"/>
      <c r="AP5013" s="10"/>
      <c r="AQ5013" s="10"/>
      <c r="AR5013" s="10"/>
      <c r="AS5013" s="10"/>
      <c r="AT5013" s="10"/>
      <c r="AU5013" s="10"/>
      <c r="AV5013" s="10"/>
      <c r="AW5013" s="10"/>
      <c r="AX5013" s="10"/>
      <c r="AY5013" s="10"/>
      <c r="AZ5013" s="10"/>
    </row>
    <row r="5014" spans="31:52">
      <c r="AE5014" s="10"/>
      <c r="AF5014" s="10"/>
      <c r="AG5014" s="10"/>
      <c r="AH5014" s="10"/>
      <c r="AI5014" s="10"/>
      <c r="AJ5014" s="10"/>
      <c r="AK5014" s="10"/>
      <c r="AL5014" s="10"/>
      <c r="AM5014" s="10"/>
      <c r="AN5014" s="10"/>
      <c r="AO5014" s="10"/>
      <c r="AP5014" s="10"/>
      <c r="AQ5014" s="10"/>
      <c r="AR5014" s="10"/>
      <c r="AS5014" s="10"/>
      <c r="AT5014" s="10"/>
      <c r="AU5014" s="10"/>
      <c r="AV5014" s="10"/>
      <c r="AW5014" s="10"/>
      <c r="AX5014" s="10"/>
      <c r="AY5014" s="10"/>
      <c r="AZ5014" s="10"/>
    </row>
    <row r="5015" spans="31:52">
      <c r="AE5015" s="10"/>
      <c r="AF5015" s="10"/>
      <c r="AG5015" s="10"/>
      <c r="AH5015" s="10"/>
      <c r="AI5015" s="10"/>
      <c r="AJ5015" s="10"/>
      <c r="AK5015" s="10"/>
      <c r="AL5015" s="10"/>
      <c r="AM5015" s="10"/>
      <c r="AN5015" s="10"/>
      <c r="AO5015" s="10"/>
      <c r="AP5015" s="10"/>
      <c r="AQ5015" s="10"/>
      <c r="AR5015" s="10"/>
      <c r="AS5015" s="10"/>
      <c r="AT5015" s="10"/>
      <c r="AU5015" s="10"/>
      <c r="AV5015" s="10"/>
      <c r="AW5015" s="10"/>
      <c r="AX5015" s="10"/>
      <c r="AY5015" s="10"/>
      <c r="AZ5015" s="10"/>
    </row>
    <row r="5016" spans="31:52">
      <c r="AE5016" s="10"/>
      <c r="AF5016" s="10"/>
      <c r="AG5016" s="10"/>
      <c r="AH5016" s="10"/>
      <c r="AI5016" s="10"/>
      <c r="AJ5016" s="10"/>
      <c r="AK5016" s="10"/>
      <c r="AL5016" s="10"/>
      <c r="AM5016" s="10"/>
      <c r="AN5016" s="10"/>
      <c r="AO5016" s="10"/>
      <c r="AP5016" s="10"/>
      <c r="AQ5016" s="10"/>
      <c r="AR5016" s="10"/>
      <c r="AS5016" s="10"/>
      <c r="AT5016" s="10"/>
      <c r="AU5016" s="10"/>
      <c r="AV5016" s="10"/>
      <c r="AW5016" s="10"/>
      <c r="AX5016" s="10"/>
      <c r="AY5016" s="10"/>
      <c r="AZ5016" s="10"/>
    </row>
    <row r="5017" spans="31:52">
      <c r="AE5017" s="10"/>
      <c r="AF5017" s="10"/>
      <c r="AG5017" s="10"/>
      <c r="AH5017" s="10"/>
      <c r="AI5017" s="10"/>
      <c r="AJ5017" s="10"/>
      <c r="AK5017" s="10"/>
      <c r="AL5017" s="10"/>
      <c r="AM5017" s="10"/>
      <c r="AN5017" s="10"/>
      <c r="AO5017" s="10"/>
      <c r="AP5017" s="10"/>
      <c r="AQ5017" s="10"/>
      <c r="AR5017" s="10"/>
      <c r="AS5017" s="10"/>
      <c r="AT5017" s="10"/>
      <c r="AU5017" s="10"/>
      <c r="AV5017" s="10"/>
      <c r="AW5017" s="10"/>
      <c r="AX5017" s="10"/>
      <c r="AY5017" s="10"/>
      <c r="AZ5017" s="10"/>
    </row>
    <row r="5018" spans="31:52">
      <c r="AE5018" s="10"/>
      <c r="AF5018" s="10"/>
      <c r="AG5018" s="10"/>
      <c r="AH5018" s="10"/>
      <c r="AI5018" s="10"/>
      <c r="AJ5018" s="10"/>
      <c r="AK5018" s="10"/>
      <c r="AL5018" s="10"/>
      <c r="AM5018" s="10"/>
      <c r="AN5018" s="10"/>
      <c r="AO5018" s="10"/>
      <c r="AP5018" s="10"/>
      <c r="AQ5018" s="10"/>
      <c r="AR5018" s="10"/>
      <c r="AS5018" s="10"/>
      <c r="AT5018" s="10"/>
      <c r="AU5018" s="10"/>
      <c r="AV5018" s="10"/>
      <c r="AW5018" s="10"/>
      <c r="AX5018" s="10"/>
      <c r="AY5018" s="10"/>
      <c r="AZ5018" s="10"/>
    </row>
    <row r="5019" spans="31:52">
      <c r="AE5019" s="10"/>
      <c r="AF5019" s="10"/>
      <c r="AG5019" s="10"/>
      <c r="AH5019" s="10"/>
      <c r="AI5019" s="10"/>
      <c r="AJ5019" s="10"/>
      <c r="AK5019" s="10"/>
      <c r="AL5019" s="10"/>
      <c r="AM5019" s="10"/>
      <c r="AN5019" s="10"/>
      <c r="AO5019" s="10"/>
      <c r="AP5019" s="10"/>
      <c r="AQ5019" s="10"/>
      <c r="AR5019" s="10"/>
      <c r="AS5019" s="10"/>
      <c r="AT5019" s="10"/>
      <c r="AU5019" s="10"/>
      <c r="AV5019" s="10"/>
      <c r="AW5019" s="10"/>
      <c r="AX5019" s="10"/>
      <c r="AY5019" s="10"/>
      <c r="AZ5019" s="10"/>
    </row>
    <row r="5020" spans="31:52">
      <c r="AE5020" s="10"/>
      <c r="AF5020" s="10"/>
      <c r="AG5020" s="10"/>
      <c r="AH5020" s="10"/>
      <c r="AI5020" s="10"/>
      <c r="AJ5020" s="10"/>
      <c r="AK5020" s="10"/>
      <c r="AL5020" s="10"/>
      <c r="AM5020" s="10"/>
      <c r="AN5020" s="10"/>
      <c r="AO5020" s="10"/>
      <c r="AP5020" s="10"/>
      <c r="AQ5020" s="10"/>
      <c r="AR5020" s="10"/>
      <c r="AS5020" s="10"/>
      <c r="AT5020" s="10"/>
      <c r="AU5020" s="10"/>
      <c r="AV5020" s="10"/>
      <c r="AW5020" s="10"/>
      <c r="AX5020" s="10"/>
      <c r="AY5020" s="10"/>
      <c r="AZ5020" s="10"/>
    </row>
    <row r="5021" spans="31:52">
      <c r="AE5021" s="10"/>
      <c r="AF5021" s="10"/>
      <c r="AG5021" s="10"/>
      <c r="AH5021" s="10"/>
      <c r="AI5021" s="10"/>
      <c r="AJ5021" s="10"/>
      <c r="AK5021" s="10"/>
      <c r="AL5021" s="10"/>
      <c r="AM5021" s="10"/>
      <c r="AN5021" s="10"/>
      <c r="AO5021" s="10"/>
      <c r="AP5021" s="10"/>
      <c r="AQ5021" s="10"/>
      <c r="AR5021" s="10"/>
      <c r="AS5021" s="10"/>
      <c r="AT5021" s="10"/>
      <c r="AU5021" s="10"/>
      <c r="AV5021" s="10"/>
      <c r="AW5021" s="10"/>
      <c r="AX5021" s="10"/>
      <c r="AY5021" s="10"/>
      <c r="AZ5021" s="10"/>
    </row>
    <row r="5022" spans="31:52">
      <c r="AE5022" s="10"/>
      <c r="AF5022" s="10"/>
      <c r="AG5022" s="10"/>
      <c r="AH5022" s="10"/>
      <c r="AI5022" s="10"/>
      <c r="AJ5022" s="10"/>
      <c r="AK5022" s="10"/>
      <c r="AL5022" s="10"/>
      <c r="AM5022" s="10"/>
      <c r="AN5022" s="10"/>
      <c r="AO5022" s="10"/>
      <c r="AP5022" s="10"/>
      <c r="AQ5022" s="10"/>
      <c r="AR5022" s="10"/>
      <c r="AS5022" s="10"/>
      <c r="AT5022" s="10"/>
      <c r="AU5022" s="10"/>
      <c r="AV5022" s="10"/>
      <c r="AW5022" s="10"/>
      <c r="AX5022" s="10"/>
      <c r="AY5022" s="10"/>
      <c r="AZ5022" s="10"/>
    </row>
    <row r="5023" spans="31:52">
      <c r="AE5023" s="10"/>
      <c r="AF5023" s="10"/>
      <c r="AG5023" s="10"/>
      <c r="AH5023" s="10"/>
      <c r="AI5023" s="10"/>
      <c r="AJ5023" s="10"/>
      <c r="AK5023" s="10"/>
      <c r="AL5023" s="10"/>
      <c r="AM5023" s="10"/>
      <c r="AN5023" s="10"/>
      <c r="AO5023" s="10"/>
      <c r="AP5023" s="10"/>
      <c r="AQ5023" s="10"/>
      <c r="AR5023" s="10"/>
      <c r="AS5023" s="10"/>
      <c r="AT5023" s="10"/>
      <c r="AU5023" s="10"/>
      <c r="AV5023" s="10"/>
      <c r="AW5023" s="10"/>
      <c r="AX5023" s="10"/>
      <c r="AY5023" s="10"/>
      <c r="AZ5023" s="10"/>
    </row>
    <row r="5024" spans="31:52">
      <c r="AE5024" s="10"/>
      <c r="AF5024" s="10"/>
      <c r="AG5024" s="10"/>
      <c r="AH5024" s="10"/>
      <c r="AI5024" s="10"/>
      <c r="AJ5024" s="10"/>
      <c r="AK5024" s="10"/>
      <c r="AL5024" s="10"/>
      <c r="AM5024" s="10"/>
      <c r="AN5024" s="10"/>
      <c r="AO5024" s="10"/>
      <c r="AP5024" s="10"/>
      <c r="AQ5024" s="10"/>
      <c r="AR5024" s="10"/>
      <c r="AS5024" s="10"/>
      <c r="AT5024" s="10"/>
      <c r="AU5024" s="10"/>
      <c r="AV5024" s="10"/>
      <c r="AW5024" s="10"/>
      <c r="AX5024" s="10"/>
      <c r="AY5024" s="10"/>
      <c r="AZ5024" s="10"/>
    </row>
    <row r="5025" spans="31:52">
      <c r="AE5025" s="10"/>
      <c r="AF5025" s="10"/>
      <c r="AG5025" s="10"/>
      <c r="AH5025" s="10"/>
      <c r="AI5025" s="10"/>
      <c r="AJ5025" s="10"/>
      <c r="AK5025" s="10"/>
      <c r="AL5025" s="10"/>
      <c r="AM5025" s="10"/>
      <c r="AN5025" s="10"/>
      <c r="AO5025" s="10"/>
      <c r="AP5025" s="10"/>
      <c r="AQ5025" s="10"/>
      <c r="AR5025" s="10"/>
      <c r="AS5025" s="10"/>
      <c r="AT5025" s="10"/>
      <c r="AU5025" s="10"/>
      <c r="AV5025" s="10"/>
      <c r="AW5025" s="10"/>
      <c r="AX5025" s="10"/>
      <c r="AY5025" s="10"/>
      <c r="AZ5025" s="10"/>
    </row>
    <row r="5026" spans="31:52">
      <c r="AE5026" s="10"/>
      <c r="AF5026" s="10"/>
      <c r="AG5026" s="10"/>
      <c r="AH5026" s="10"/>
      <c r="AI5026" s="10"/>
      <c r="AJ5026" s="10"/>
      <c r="AK5026" s="10"/>
      <c r="AL5026" s="10"/>
      <c r="AM5026" s="10"/>
      <c r="AN5026" s="10"/>
      <c r="AO5026" s="10"/>
      <c r="AP5026" s="10"/>
      <c r="AQ5026" s="10"/>
      <c r="AR5026" s="10"/>
      <c r="AS5026" s="10"/>
      <c r="AT5026" s="10"/>
      <c r="AU5026" s="10"/>
      <c r="AV5026" s="10"/>
      <c r="AW5026" s="10"/>
      <c r="AX5026" s="10"/>
      <c r="AY5026" s="10"/>
      <c r="AZ5026" s="10"/>
    </row>
    <row r="5027" spans="31:52">
      <c r="AE5027" s="10"/>
      <c r="AF5027" s="10"/>
      <c r="AG5027" s="10"/>
      <c r="AH5027" s="10"/>
      <c r="AI5027" s="10"/>
      <c r="AJ5027" s="10"/>
      <c r="AK5027" s="10"/>
      <c r="AL5027" s="10"/>
      <c r="AM5027" s="10"/>
      <c r="AN5027" s="10"/>
      <c r="AO5027" s="10"/>
      <c r="AP5027" s="10"/>
      <c r="AQ5027" s="10"/>
      <c r="AR5027" s="10"/>
      <c r="AS5027" s="10"/>
      <c r="AT5027" s="10"/>
      <c r="AU5027" s="10"/>
      <c r="AV5027" s="10"/>
      <c r="AW5027" s="10"/>
      <c r="AX5027" s="10"/>
      <c r="AY5027" s="10"/>
      <c r="AZ5027" s="10"/>
    </row>
    <row r="5028" spans="31:52">
      <c r="AE5028" s="10"/>
      <c r="AF5028" s="10"/>
      <c r="AG5028" s="10"/>
      <c r="AH5028" s="10"/>
      <c r="AI5028" s="10"/>
      <c r="AJ5028" s="10"/>
      <c r="AK5028" s="10"/>
      <c r="AL5028" s="10"/>
      <c r="AM5028" s="10"/>
      <c r="AN5028" s="10"/>
      <c r="AO5028" s="10"/>
      <c r="AP5028" s="10"/>
      <c r="AQ5028" s="10"/>
      <c r="AR5028" s="10"/>
      <c r="AS5028" s="10"/>
      <c r="AT5028" s="10"/>
      <c r="AU5028" s="10"/>
      <c r="AV5028" s="10"/>
      <c r="AW5028" s="10"/>
      <c r="AX5028" s="10"/>
      <c r="AY5028" s="10"/>
      <c r="AZ5028" s="10"/>
    </row>
    <row r="5029" spans="31:52">
      <c r="AE5029" s="10"/>
      <c r="AF5029" s="10"/>
      <c r="AG5029" s="10"/>
      <c r="AH5029" s="10"/>
      <c r="AI5029" s="10"/>
      <c r="AJ5029" s="10"/>
      <c r="AK5029" s="10"/>
      <c r="AL5029" s="10"/>
      <c r="AM5029" s="10"/>
      <c r="AN5029" s="10"/>
      <c r="AO5029" s="10"/>
      <c r="AP5029" s="10"/>
      <c r="AQ5029" s="10"/>
      <c r="AR5029" s="10"/>
      <c r="AS5029" s="10"/>
      <c r="AT5029" s="10"/>
      <c r="AU5029" s="10"/>
      <c r="AV5029" s="10"/>
      <c r="AW5029" s="10"/>
      <c r="AX5029" s="10"/>
      <c r="AY5029" s="10"/>
      <c r="AZ5029" s="10"/>
    </row>
    <row r="5030" spans="31:52">
      <c r="AE5030" s="10"/>
      <c r="AF5030" s="10"/>
      <c r="AG5030" s="10"/>
      <c r="AH5030" s="10"/>
      <c r="AI5030" s="10"/>
      <c r="AJ5030" s="10"/>
      <c r="AK5030" s="10"/>
      <c r="AL5030" s="10"/>
      <c r="AM5030" s="10"/>
      <c r="AN5030" s="10"/>
      <c r="AO5030" s="10"/>
      <c r="AP5030" s="10"/>
      <c r="AQ5030" s="10"/>
      <c r="AR5030" s="10"/>
      <c r="AS5030" s="10"/>
      <c r="AT5030" s="10"/>
      <c r="AU5030" s="10"/>
      <c r="AV5030" s="10"/>
      <c r="AW5030" s="10"/>
      <c r="AX5030" s="10"/>
      <c r="AY5030" s="10"/>
      <c r="AZ5030" s="10"/>
    </row>
    <row r="5031" spans="31:52">
      <c r="AE5031" s="10"/>
      <c r="AF5031" s="10"/>
      <c r="AG5031" s="10"/>
      <c r="AH5031" s="10"/>
      <c r="AI5031" s="10"/>
      <c r="AJ5031" s="10"/>
      <c r="AK5031" s="10"/>
      <c r="AL5031" s="10"/>
      <c r="AM5031" s="10"/>
      <c r="AN5031" s="10"/>
      <c r="AO5031" s="10"/>
      <c r="AP5031" s="10"/>
      <c r="AQ5031" s="10"/>
      <c r="AR5031" s="10"/>
      <c r="AS5031" s="10"/>
      <c r="AT5031" s="10"/>
      <c r="AU5031" s="10"/>
      <c r="AV5031" s="10"/>
      <c r="AW5031" s="10"/>
      <c r="AX5031" s="10"/>
      <c r="AY5031" s="10"/>
      <c r="AZ5031" s="10"/>
    </row>
    <row r="5032" spans="31:52">
      <c r="AE5032" s="10"/>
      <c r="AF5032" s="10"/>
      <c r="AG5032" s="10"/>
      <c r="AH5032" s="10"/>
      <c r="AI5032" s="10"/>
      <c r="AJ5032" s="10"/>
      <c r="AK5032" s="10"/>
      <c r="AL5032" s="10"/>
      <c r="AM5032" s="10"/>
      <c r="AN5032" s="10"/>
      <c r="AO5032" s="10"/>
      <c r="AP5032" s="10"/>
      <c r="AQ5032" s="10"/>
      <c r="AR5032" s="10"/>
      <c r="AS5032" s="10"/>
      <c r="AT5032" s="10"/>
      <c r="AU5032" s="10"/>
      <c r="AV5032" s="10"/>
      <c r="AW5032" s="10"/>
      <c r="AX5032" s="10"/>
      <c r="AY5032" s="10"/>
      <c r="AZ5032" s="10"/>
    </row>
    <row r="5033" spans="31:52">
      <c r="AE5033" s="10"/>
      <c r="AF5033" s="10"/>
      <c r="AG5033" s="10"/>
      <c r="AH5033" s="10"/>
      <c r="AI5033" s="10"/>
      <c r="AJ5033" s="10"/>
      <c r="AK5033" s="10"/>
      <c r="AL5033" s="10"/>
      <c r="AM5033" s="10"/>
      <c r="AN5033" s="10"/>
      <c r="AO5033" s="10"/>
      <c r="AP5033" s="10"/>
      <c r="AQ5033" s="10"/>
      <c r="AR5033" s="10"/>
      <c r="AS5033" s="10"/>
      <c r="AT5033" s="10"/>
      <c r="AU5033" s="10"/>
      <c r="AV5033" s="10"/>
      <c r="AW5033" s="10"/>
      <c r="AX5033" s="10"/>
      <c r="AY5033" s="10"/>
      <c r="AZ5033" s="10"/>
    </row>
    <row r="5034" spans="31:52">
      <c r="AE5034" s="10"/>
      <c r="AF5034" s="10"/>
      <c r="AG5034" s="10"/>
      <c r="AH5034" s="10"/>
      <c r="AI5034" s="10"/>
      <c r="AJ5034" s="10"/>
      <c r="AK5034" s="10"/>
      <c r="AL5034" s="10"/>
      <c r="AM5034" s="10"/>
      <c r="AN5034" s="10"/>
      <c r="AO5034" s="10"/>
      <c r="AP5034" s="10"/>
      <c r="AQ5034" s="10"/>
      <c r="AR5034" s="10"/>
      <c r="AS5034" s="10"/>
      <c r="AT5034" s="10"/>
      <c r="AU5034" s="10"/>
      <c r="AV5034" s="10"/>
      <c r="AW5034" s="10"/>
      <c r="AX5034" s="10"/>
      <c r="AY5034" s="10"/>
      <c r="AZ5034" s="10"/>
    </row>
    <row r="5035" spans="31:52">
      <c r="AE5035" s="10"/>
      <c r="AF5035" s="10"/>
      <c r="AG5035" s="10"/>
      <c r="AH5035" s="10"/>
      <c r="AI5035" s="10"/>
      <c r="AJ5035" s="10"/>
      <c r="AK5035" s="10"/>
      <c r="AL5035" s="10"/>
      <c r="AM5035" s="10"/>
      <c r="AN5035" s="10"/>
      <c r="AO5035" s="10"/>
      <c r="AP5035" s="10"/>
      <c r="AQ5035" s="10"/>
      <c r="AR5035" s="10"/>
      <c r="AS5035" s="10"/>
      <c r="AT5035" s="10"/>
      <c r="AU5035" s="10"/>
      <c r="AV5035" s="10"/>
      <c r="AW5035" s="10"/>
      <c r="AX5035" s="10"/>
      <c r="AY5035" s="10"/>
      <c r="AZ5035" s="10"/>
    </row>
    <row r="5036" spans="31:52">
      <c r="AE5036" s="10"/>
      <c r="AF5036" s="10"/>
      <c r="AG5036" s="10"/>
      <c r="AH5036" s="10"/>
      <c r="AI5036" s="10"/>
      <c r="AJ5036" s="10"/>
      <c r="AK5036" s="10"/>
      <c r="AL5036" s="10"/>
      <c r="AM5036" s="10"/>
      <c r="AN5036" s="10"/>
      <c r="AO5036" s="10"/>
      <c r="AP5036" s="10"/>
      <c r="AQ5036" s="10"/>
      <c r="AR5036" s="10"/>
      <c r="AS5036" s="10"/>
      <c r="AT5036" s="10"/>
      <c r="AU5036" s="10"/>
      <c r="AV5036" s="10"/>
      <c r="AW5036" s="10"/>
      <c r="AX5036" s="10"/>
      <c r="AY5036" s="10"/>
      <c r="AZ5036" s="10"/>
    </row>
    <row r="5037" spans="31:52">
      <c r="AE5037" s="10"/>
      <c r="AF5037" s="10"/>
      <c r="AG5037" s="10"/>
      <c r="AH5037" s="10"/>
      <c r="AI5037" s="10"/>
      <c r="AJ5037" s="10"/>
      <c r="AK5037" s="10"/>
      <c r="AL5037" s="10"/>
      <c r="AM5037" s="10"/>
      <c r="AN5037" s="10"/>
      <c r="AO5037" s="10"/>
      <c r="AP5037" s="10"/>
      <c r="AQ5037" s="10"/>
      <c r="AR5037" s="10"/>
      <c r="AS5037" s="10"/>
      <c r="AT5037" s="10"/>
      <c r="AU5037" s="10"/>
      <c r="AV5037" s="10"/>
      <c r="AW5037" s="10"/>
      <c r="AX5037" s="10"/>
      <c r="AY5037" s="10"/>
      <c r="AZ5037" s="10"/>
    </row>
    <row r="5038" spans="31:52">
      <c r="AE5038" s="10"/>
      <c r="AF5038" s="10"/>
      <c r="AG5038" s="10"/>
      <c r="AH5038" s="10"/>
      <c r="AI5038" s="10"/>
      <c r="AJ5038" s="10"/>
      <c r="AK5038" s="10"/>
      <c r="AL5038" s="10"/>
      <c r="AM5038" s="10"/>
      <c r="AN5038" s="10"/>
      <c r="AO5038" s="10"/>
      <c r="AP5038" s="10"/>
      <c r="AQ5038" s="10"/>
      <c r="AR5038" s="10"/>
      <c r="AS5038" s="10"/>
      <c r="AT5038" s="10"/>
      <c r="AU5038" s="10"/>
      <c r="AV5038" s="10"/>
      <c r="AW5038" s="10"/>
      <c r="AX5038" s="10"/>
      <c r="AY5038" s="10"/>
      <c r="AZ5038" s="10"/>
    </row>
    <row r="5039" spans="31:52">
      <c r="AE5039" s="10"/>
      <c r="AF5039" s="10"/>
      <c r="AG5039" s="10"/>
      <c r="AH5039" s="10"/>
      <c r="AI5039" s="10"/>
      <c r="AJ5039" s="10"/>
      <c r="AK5039" s="10"/>
      <c r="AL5039" s="10"/>
      <c r="AM5039" s="10"/>
      <c r="AN5039" s="10"/>
      <c r="AO5039" s="10"/>
      <c r="AP5039" s="10"/>
      <c r="AQ5039" s="10"/>
      <c r="AR5039" s="10"/>
      <c r="AS5039" s="10"/>
      <c r="AT5039" s="10"/>
      <c r="AU5039" s="10"/>
      <c r="AV5039" s="10"/>
      <c r="AW5039" s="10"/>
      <c r="AX5039" s="10"/>
      <c r="AY5039" s="10"/>
      <c r="AZ5039" s="10"/>
    </row>
    <row r="5040" spans="31:52">
      <c r="AE5040" s="10"/>
      <c r="AF5040" s="10"/>
      <c r="AG5040" s="10"/>
      <c r="AH5040" s="10"/>
      <c r="AI5040" s="10"/>
      <c r="AJ5040" s="10"/>
      <c r="AK5040" s="10"/>
      <c r="AL5040" s="10"/>
      <c r="AM5040" s="10"/>
      <c r="AN5040" s="10"/>
      <c r="AO5040" s="10"/>
      <c r="AP5040" s="10"/>
      <c r="AQ5040" s="10"/>
      <c r="AR5040" s="10"/>
      <c r="AS5040" s="10"/>
      <c r="AT5040" s="10"/>
      <c r="AU5040" s="10"/>
      <c r="AV5040" s="10"/>
      <c r="AW5040" s="10"/>
      <c r="AX5040" s="10"/>
      <c r="AY5040" s="10"/>
      <c r="AZ5040" s="10"/>
    </row>
    <row r="5041" spans="31:52">
      <c r="AE5041" s="10"/>
      <c r="AF5041" s="10"/>
      <c r="AG5041" s="10"/>
      <c r="AH5041" s="10"/>
      <c r="AI5041" s="10"/>
      <c r="AJ5041" s="10"/>
      <c r="AK5041" s="10"/>
      <c r="AL5041" s="10"/>
      <c r="AM5041" s="10"/>
      <c r="AN5041" s="10"/>
      <c r="AO5041" s="10"/>
      <c r="AP5041" s="10"/>
      <c r="AQ5041" s="10"/>
      <c r="AR5041" s="10"/>
      <c r="AS5041" s="10"/>
      <c r="AT5041" s="10"/>
      <c r="AU5041" s="10"/>
      <c r="AV5041" s="10"/>
      <c r="AW5041" s="10"/>
      <c r="AX5041" s="10"/>
      <c r="AY5041" s="10"/>
      <c r="AZ5041" s="10"/>
    </row>
    <row r="5042" spans="31:52">
      <c r="AE5042" s="10"/>
      <c r="AF5042" s="10"/>
      <c r="AG5042" s="10"/>
      <c r="AH5042" s="10"/>
      <c r="AI5042" s="10"/>
      <c r="AJ5042" s="10"/>
      <c r="AK5042" s="10"/>
      <c r="AL5042" s="10"/>
      <c r="AM5042" s="10"/>
      <c r="AN5042" s="10"/>
      <c r="AO5042" s="10"/>
      <c r="AP5042" s="10"/>
      <c r="AQ5042" s="10"/>
      <c r="AR5042" s="10"/>
      <c r="AS5042" s="10"/>
      <c r="AT5042" s="10"/>
      <c r="AU5042" s="10"/>
      <c r="AV5042" s="10"/>
      <c r="AW5042" s="10"/>
      <c r="AX5042" s="10"/>
      <c r="AY5042" s="10"/>
      <c r="AZ5042" s="10"/>
    </row>
    <row r="5043" spans="31:52">
      <c r="AE5043" s="10"/>
      <c r="AF5043" s="10"/>
      <c r="AG5043" s="10"/>
      <c r="AH5043" s="10"/>
      <c r="AI5043" s="10"/>
      <c r="AJ5043" s="10"/>
      <c r="AK5043" s="10"/>
      <c r="AL5043" s="10"/>
      <c r="AM5043" s="10"/>
      <c r="AN5043" s="10"/>
      <c r="AO5043" s="10"/>
      <c r="AP5043" s="10"/>
      <c r="AQ5043" s="10"/>
      <c r="AR5043" s="10"/>
      <c r="AS5043" s="10"/>
      <c r="AT5043" s="10"/>
      <c r="AU5043" s="10"/>
      <c r="AV5043" s="10"/>
      <c r="AW5043" s="10"/>
      <c r="AX5043" s="10"/>
      <c r="AY5043" s="10"/>
      <c r="AZ5043" s="10"/>
    </row>
    <row r="5044" spans="31:52">
      <c r="AE5044" s="10"/>
      <c r="AF5044" s="10"/>
      <c r="AG5044" s="10"/>
      <c r="AH5044" s="10"/>
      <c r="AI5044" s="10"/>
      <c r="AJ5044" s="10"/>
      <c r="AK5044" s="10"/>
      <c r="AL5044" s="10"/>
      <c r="AM5044" s="10"/>
      <c r="AN5044" s="10"/>
      <c r="AO5044" s="10"/>
      <c r="AP5044" s="10"/>
      <c r="AQ5044" s="10"/>
      <c r="AR5044" s="10"/>
      <c r="AS5044" s="10"/>
      <c r="AT5044" s="10"/>
      <c r="AU5044" s="10"/>
      <c r="AV5044" s="10"/>
      <c r="AW5044" s="10"/>
      <c r="AX5044" s="10"/>
      <c r="AY5044" s="10"/>
      <c r="AZ5044" s="10"/>
    </row>
    <row r="5045" spans="31:52">
      <c r="AE5045" s="10"/>
      <c r="AF5045" s="10"/>
      <c r="AG5045" s="10"/>
      <c r="AH5045" s="10"/>
      <c r="AI5045" s="10"/>
      <c r="AJ5045" s="10"/>
      <c r="AK5045" s="10"/>
      <c r="AL5045" s="10"/>
      <c r="AM5045" s="10"/>
      <c r="AN5045" s="10"/>
      <c r="AO5045" s="10"/>
      <c r="AP5045" s="10"/>
      <c r="AQ5045" s="10"/>
      <c r="AR5045" s="10"/>
      <c r="AS5045" s="10"/>
      <c r="AT5045" s="10"/>
      <c r="AU5045" s="10"/>
      <c r="AV5045" s="10"/>
      <c r="AW5045" s="10"/>
      <c r="AX5045" s="10"/>
      <c r="AY5045" s="10"/>
      <c r="AZ5045" s="10"/>
    </row>
    <row r="5046" spans="31:52">
      <c r="AE5046" s="10"/>
      <c r="AF5046" s="10"/>
      <c r="AG5046" s="10"/>
      <c r="AH5046" s="10"/>
      <c r="AI5046" s="10"/>
      <c r="AJ5046" s="10"/>
      <c r="AK5046" s="10"/>
      <c r="AL5046" s="10"/>
      <c r="AM5046" s="10"/>
      <c r="AN5046" s="10"/>
      <c r="AO5046" s="10"/>
      <c r="AP5046" s="10"/>
      <c r="AQ5046" s="10"/>
      <c r="AR5046" s="10"/>
      <c r="AS5046" s="10"/>
      <c r="AT5046" s="10"/>
      <c r="AU5046" s="10"/>
      <c r="AV5046" s="10"/>
      <c r="AW5046" s="10"/>
      <c r="AX5046" s="10"/>
      <c r="AY5046" s="10"/>
      <c r="AZ5046" s="10"/>
    </row>
    <row r="5047" spans="31:52">
      <c r="AE5047" s="10"/>
      <c r="AF5047" s="10"/>
      <c r="AG5047" s="10"/>
      <c r="AH5047" s="10"/>
      <c r="AI5047" s="10"/>
      <c r="AJ5047" s="10"/>
      <c r="AK5047" s="10"/>
      <c r="AL5047" s="10"/>
      <c r="AM5047" s="10"/>
      <c r="AN5047" s="10"/>
      <c r="AO5047" s="10"/>
      <c r="AP5047" s="10"/>
      <c r="AQ5047" s="10"/>
      <c r="AR5047" s="10"/>
      <c r="AS5047" s="10"/>
      <c r="AT5047" s="10"/>
      <c r="AU5047" s="10"/>
      <c r="AV5047" s="10"/>
      <c r="AW5047" s="10"/>
      <c r="AX5047" s="10"/>
      <c r="AY5047" s="10"/>
      <c r="AZ5047" s="10"/>
    </row>
    <row r="5048" spans="31:52">
      <c r="AE5048" s="10"/>
      <c r="AF5048" s="10"/>
      <c r="AG5048" s="10"/>
      <c r="AH5048" s="10"/>
      <c r="AI5048" s="10"/>
      <c r="AJ5048" s="10"/>
      <c r="AK5048" s="10"/>
      <c r="AL5048" s="10"/>
      <c r="AM5048" s="10"/>
      <c r="AN5048" s="10"/>
      <c r="AO5048" s="10"/>
      <c r="AP5048" s="10"/>
      <c r="AQ5048" s="10"/>
      <c r="AR5048" s="10"/>
      <c r="AS5048" s="10"/>
      <c r="AT5048" s="10"/>
      <c r="AU5048" s="10"/>
      <c r="AV5048" s="10"/>
      <c r="AW5048" s="10"/>
      <c r="AX5048" s="10"/>
      <c r="AY5048" s="10"/>
      <c r="AZ5048" s="10"/>
    </row>
    <row r="5049" spans="31:52">
      <c r="AE5049" s="10"/>
      <c r="AF5049" s="10"/>
      <c r="AG5049" s="10"/>
      <c r="AH5049" s="10"/>
      <c r="AI5049" s="10"/>
      <c r="AJ5049" s="10"/>
      <c r="AK5049" s="10"/>
      <c r="AL5049" s="10"/>
      <c r="AM5049" s="10"/>
      <c r="AN5049" s="10"/>
      <c r="AO5049" s="10"/>
      <c r="AP5049" s="10"/>
      <c r="AQ5049" s="10"/>
      <c r="AR5049" s="10"/>
      <c r="AS5049" s="10"/>
      <c r="AT5049" s="10"/>
      <c r="AU5049" s="10"/>
      <c r="AV5049" s="10"/>
      <c r="AW5049" s="10"/>
      <c r="AX5049" s="10"/>
      <c r="AY5049" s="10"/>
      <c r="AZ5049" s="10"/>
    </row>
    <row r="5050" spans="31:52">
      <c r="AE5050" s="10"/>
      <c r="AF5050" s="10"/>
      <c r="AG5050" s="10"/>
      <c r="AH5050" s="10"/>
      <c r="AI5050" s="10"/>
      <c r="AJ5050" s="10"/>
      <c r="AK5050" s="10"/>
      <c r="AL5050" s="10"/>
      <c r="AM5050" s="10"/>
      <c r="AN5050" s="10"/>
      <c r="AO5050" s="10"/>
      <c r="AP5050" s="10"/>
      <c r="AQ5050" s="10"/>
      <c r="AR5050" s="10"/>
      <c r="AS5050" s="10"/>
      <c r="AT5050" s="10"/>
      <c r="AU5050" s="10"/>
      <c r="AV5050" s="10"/>
      <c r="AW5050" s="10"/>
      <c r="AX5050" s="10"/>
      <c r="AY5050" s="10"/>
      <c r="AZ5050" s="10"/>
    </row>
    <row r="5051" spans="31:52">
      <c r="AE5051" s="10"/>
      <c r="AF5051" s="10"/>
      <c r="AG5051" s="10"/>
      <c r="AH5051" s="10"/>
      <c r="AI5051" s="10"/>
      <c r="AJ5051" s="10"/>
      <c r="AK5051" s="10"/>
      <c r="AL5051" s="10"/>
      <c r="AM5051" s="10"/>
      <c r="AN5051" s="10"/>
      <c r="AO5051" s="10"/>
      <c r="AP5051" s="10"/>
      <c r="AQ5051" s="10"/>
      <c r="AR5051" s="10"/>
      <c r="AS5051" s="10"/>
      <c r="AT5051" s="10"/>
      <c r="AU5051" s="10"/>
      <c r="AV5051" s="10"/>
      <c r="AW5051" s="10"/>
      <c r="AX5051" s="10"/>
      <c r="AY5051" s="10"/>
      <c r="AZ5051" s="10"/>
    </row>
    <row r="5052" spans="31:52">
      <c r="AE5052" s="10"/>
      <c r="AF5052" s="10"/>
      <c r="AG5052" s="10"/>
      <c r="AH5052" s="10"/>
      <c r="AI5052" s="10"/>
      <c r="AJ5052" s="10"/>
      <c r="AK5052" s="10"/>
      <c r="AL5052" s="10"/>
      <c r="AM5052" s="10"/>
      <c r="AN5052" s="10"/>
      <c r="AO5052" s="10"/>
      <c r="AP5052" s="10"/>
      <c r="AQ5052" s="10"/>
      <c r="AR5052" s="10"/>
      <c r="AS5052" s="10"/>
      <c r="AT5052" s="10"/>
      <c r="AU5052" s="10"/>
      <c r="AV5052" s="10"/>
      <c r="AW5052" s="10"/>
      <c r="AX5052" s="10"/>
      <c r="AY5052" s="10"/>
      <c r="AZ5052" s="10"/>
    </row>
    <row r="5053" spans="31:52">
      <c r="AE5053" s="10"/>
      <c r="AF5053" s="10"/>
      <c r="AG5053" s="10"/>
      <c r="AH5053" s="10"/>
      <c r="AI5053" s="10"/>
      <c r="AJ5053" s="10"/>
      <c r="AK5053" s="10"/>
      <c r="AL5053" s="10"/>
      <c r="AM5053" s="10"/>
      <c r="AN5053" s="10"/>
      <c r="AO5053" s="10"/>
      <c r="AP5053" s="10"/>
      <c r="AQ5053" s="10"/>
      <c r="AR5053" s="10"/>
      <c r="AS5053" s="10"/>
      <c r="AT5053" s="10"/>
      <c r="AU5053" s="10"/>
      <c r="AV5053" s="10"/>
      <c r="AW5053" s="10"/>
      <c r="AX5053" s="10"/>
      <c r="AY5053" s="10"/>
      <c r="AZ5053" s="10"/>
    </row>
    <row r="5054" spans="31:52">
      <c r="AE5054" s="10"/>
      <c r="AF5054" s="10"/>
      <c r="AG5054" s="10"/>
      <c r="AH5054" s="10"/>
      <c r="AI5054" s="10"/>
      <c r="AJ5054" s="10"/>
      <c r="AK5054" s="10"/>
      <c r="AL5054" s="10"/>
      <c r="AM5054" s="10"/>
      <c r="AN5054" s="10"/>
      <c r="AO5054" s="10"/>
      <c r="AP5054" s="10"/>
      <c r="AQ5054" s="10"/>
      <c r="AR5054" s="10"/>
      <c r="AS5054" s="10"/>
      <c r="AT5054" s="10"/>
      <c r="AU5054" s="10"/>
      <c r="AV5054" s="10"/>
      <c r="AW5054" s="10"/>
      <c r="AX5054" s="10"/>
      <c r="AY5054" s="10"/>
      <c r="AZ5054" s="10"/>
    </row>
    <row r="5055" spans="31:52">
      <c r="AE5055" s="10"/>
      <c r="AF5055" s="10"/>
      <c r="AG5055" s="10"/>
      <c r="AH5055" s="10"/>
      <c r="AI5055" s="10"/>
      <c r="AJ5055" s="10"/>
      <c r="AK5055" s="10"/>
      <c r="AL5055" s="10"/>
      <c r="AM5055" s="10"/>
      <c r="AN5055" s="10"/>
      <c r="AO5055" s="10"/>
      <c r="AP5055" s="10"/>
      <c r="AQ5055" s="10"/>
      <c r="AR5055" s="10"/>
      <c r="AS5055" s="10"/>
      <c r="AT5055" s="10"/>
      <c r="AU5055" s="10"/>
      <c r="AV5055" s="10"/>
      <c r="AW5055" s="10"/>
      <c r="AX5055" s="10"/>
      <c r="AY5055" s="10"/>
      <c r="AZ5055" s="10"/>
    </row>
    <row r="5056" spans="31:52">
      <c r="AE5056" s="10"/>
      <c r="AF5056" s="10"/>
      <c r="AG5056" s="10"/>
      <c r="AH5056" s="10"/>
      <c r="AI5056" s="10"/>
      <c r="AJ5056" s="10"/>
      <c r="AK5056" s="10"/>
      <c r="AL5056" s="10"/>
      <c r="AM5056" s="10"/>
      <c r="AN5056" s="10"/>
      <c r="AO5056" s="10"/>
      <c r="AP5056" s="10"/>
      <c r="AQ5056" s="10"/>
      <c r="AR5056" s="10"/>
      <c r="AS5056" s="10"/>
      <c r="AT5056" s="10"/>
      <c r="AU5056" s="10"/>
      <c r="AV5056" s="10"/>
      <c r="AW5056" s="10"/>
      <c r="AX5056" s="10"/>
      <c r="AY5056" s="10"/>
      <c r="AZ5056" s="10"/>
    </row>
    <row r="5057" spans="31:52">
      <c r="AE5057" s="10"/>
      <c r="AF5057" s="10"/>
      <c r="AG5057" s="10"/>
      <c r="AH5057" s="10"/>
      <c r="AI5057" s="10"/>
      <c r="AJ5057" s="10"/>
      <c r="AK5057" s="10"/>
      <c r="AL5057" s="10"/>
      <c r="AM5057" s="10"/>
      <c r="AN5057" s="10"/>
      <c r="AO5057" s="10"/>
      <c r="AP5057" s="10"/>
      <c r="AQ5057" s="10"/>
      <c r="AR5057" s="10"/>
      <c r="AS5057" s="10"/>
      <c r="AT5057" s="10"/>
      <c r="AU5057" s="10"/>
      <c r="AV5057" s="10"/>
      <c r="AW5057" s="10"/>
      <c r="AX5057" s="10"/>
      <c r="AY5057" s="10"/>
      <c r="AZ5057" s="10"/>
    </row>
    <row r="5058" spans="31:52">
      <c r="AE5058" s="10"/>
      <c r="AF5058" s="10"/>
      <c r="AG5058" s="10"/>
      <c r="AH5058" s="10"/>
      <c r="AI5058" s="10"/>
      <c r="AJ5058" s="10"/>
      <c r="AK5058" s="10"/>
      <c r="AL5058" s="10"/>
      <c r="AM5058" s="10"/>
      <c r="AN5058" s="10"/>
      <c r="AO5058" s="10"/>
      <c r="AP5058" s="10"/>
      <c r="AQ5058" s="10"/>
      <c r="AR5058" s="10"/>
      <c r="AS5058" s="10"/>
      <c r="AT5058" s="10"/>
      <c r="AU5058" s="10"/>
      <c r="AV5058" s="10"/>
      <c r="AW5058" s="10"/>
      <c r="AX5058" s="10"/>
      <c r="AY5058" s="10"/>
      <c r="AZ5058" s="10"/>
    </row>
    <row r="5059" spans="31:52">
      <c r="AE5059" s="10"/>
      <c r="AF5059" s="10"/>
      <c r="AG5059" s="10"/>
      <c r="AH5059" s="10"/>
      <c r="AI5059" s="10"/>
      <c r="AJ5059" s="10"/>
      <c r="AK5059" s="10"/>
      <c r="AL5059" s="10"/>
      <c r="AM5059" s="10"/>
      <c r="AN5059" s="10"/>
      <c r="AO5059" s="10"/>
      <c r="AP5059" s="10"/>
      <c r="AQ5059" s="10"/>
      <c r="AR5059" s="10"/>
      <c r="AS5059" s="10"/>
      <c r="AT5059" s="10"/>
      <c r="AU5059" s="10"/>
      <c r="AV5059" s="10"/>
      <c r="AW5059" s="10"/>
      <c r="AX5059" s="10"/>
      <c r="AY5059" s="10"/>
      <c r="AZ5059" s="10"/>
    </row>
    <row r="5060" spans="31:52">
      <c r="AE5060" s="10"/>
      <c r="AF5060" s="10"/>
      <c r="AG5060" s="10"/>
      <c r="AH5060" s="10"/>
      <c r="AI5060" s="10"/>
      <c r="AJ5060" s="10"/>
      <c r="AK5060" s="10"/>
      <c r="AL5060" s="10"/>
      <c r="AM5060" s="10"/>
      <c r="AN5060" s="10"/>
      <c r="AO5060" s="10"/>
      <c r="AP5060" s="10"/>
      <c r="AQ5060" s="10"/>
      <c r="AR5060" s="10"/>
      <c r="AS5060" s="10"/>
      <c r="AT5060" s="10"/>
      <c r="AU5060" s="10"/>
      <c r="AV5060" s="10"/>
      <c r="AW5060" s="10"/>
      <c r="AX5060" s="10"/>
      <c r="AY5060" s="10"/>
      <c r="AZ5060" s="10"/>
    </row>
    <row r="5061" spans="31:52">
      <c r="AE5061" s="10"/>
      <c r="AF5061" s="10"/>
      <c r="AG5061" s="10"/>
      <c r="AH5061" s="10"/>
      <c r="AI5061" s="10"/>
      <c r="AJ5061" s="10"/>
      <c r="AK5061" s="10"/>
      <c r="AL5061" s="10"/>
      <c r="AM5061" s="10"/>
      <c r="AN5061" s="10"/>
      <c r="AO5061" s="10"/>
      <c r="AP5061" s="10"/>
      <c r="AQ5061" s="10"/>
      <c r="AR5061" s="10"/>
      <c r="AS5061" s="10"/>
      <c r="AT5061" s="10"/>
      <c r="AU5061" s="10"/>
      <c r="AV5061" s="10"/>
      <c r="AW5061" s="10"/>
      <c r="AX5061" s="10"/>
      <c r="AY5061" s="10"/>
      <c r="AZ5061" s="10"/>
    </row>
    <row r="5062" spans="31:52">
      <c r="AE5062" s="10"/>
      <c r="AF5062" s="10"/>
      <c r="AG5062" s="10"/>
      <c r="AH5062" s="10"/>
      <c r="AI5062" s="10"/>
      <c r="AJ5062" s="10"/>
      <c r="AK5062" s="10"/>
      <c r="AL5062" s="10"/>
      <c r="AM5062" s="10"/>
      <c r="AN5062" s="10"/>
      <c r="AO5062" s="10"/>
      <c r="AP5062" s="10"/>
      <c r="AQ5062" s="10"/>
      <c r="AR5062" s="10"/>
      <c r="AS5062" s="10"/>
      <c r="AT5062" s="10"/>
      <c r="AU5062" s="10"/>
      <c r="AV5062" s="10"/>
      <c r="AW5062" s="10"/>
      <c r="AX5062" s="10"/>
      <c r="AY5062" s="10"/>
      <c r="AZ5062" s="10"/>
    </row>
    <row r="5063" spans="31:52">
      <c r="AE5063" s="10"/>
      <c r="AF5063" s="10"/>
      <c r="AG5063" s="10"/>
      <c r="AH5063" s="10"/>
      <c r="AI5063" s="10"/>
      <c r="AJ5063" s="10"/>
      <c r="AK5063" s="10"/>
      <c r="AL5063" s="10"/>
      <c r="AM5063" s="10"/>
      <c r="AN5063" s="10"/>
      <c r="AO5063" s="10"/>
      <c r="AP5063" s="10"/>
      <c r="AQ5063" s="10"/>
      <c r="AR5063" s="10"/>
      <c r="AS5063" s="10"/>
      <c r="AT5063" s="10"/>
      <c r="AU5063" s="10"/>
      <c r="AV5063" s="10"/>
      <c r="AW5063" s="10"/>
      <c r="AX5063" s="10"/>
      <c r="AY5063" s="10"/>
      <c r="AZ5063" s="10"/>
    </row>
    <row r="5064" spans="31:52">
      <c r="AE5064" s="10"/>
      <c r="AF5064" s="10"/>
      <c r="AG5064" s="10"/>
      <c r="AH5064" s="10"/>
      <c r="AI5064" s="10"/>
      <c r="AJ5064" s="10"/>
      <c r="AK5064" s="10"/>
      <c r="AL5064" s="10"/>
      <c r="AM5064" s="10"/>
      <c r="AN5064" s="10"/>
      <c r="AO5064" s="10"/>
      <c r="AP5064" s="10"/>
      <c r="AQ5064" s="10"/>
      <c r="AR5064" s="10"/>
      <c r="AS5064" s="10"/>
      <c r="AT5064" s="10"/>
      <c r="AU5064" s="10"/>
      <c r="AV5064" s="10"/>
      <c r="AW5064" s="10"/>
      <c r="AX5064" s="10"/>
      <c r="AY5064" s="10"/>
      <c r="AZ5064" s="10"/>
    </row>
    <row r="5065" spans="31:52">
      <c r="AE5065" s="10"/>
      <c r="AF5065" s="10"/>
      <c r="AG5065" s="10"/>
      <c r="AH5065" s="10"/>
      <c r="AI5065" s="10"/>
      <c r="AJ5065" s="10"/>
      <c r="AK5065" s="10"/>
      <c r="AL5065" s="10"/>
      <c r="AM5065" s="10"/>
      <c r="AN5065" s="10"/>
      <c r="AO5065" s="10"/>
      <c r="AP5065" s="10"/>
      <c r="AQ5065" s="10"/>
      <c r="AR5065" s="10"/>
      <c r="AS5065" s="10"/>
      <c r="AT5065" s="10"/>
      <c r="AU5065" s="10"/>
      <c r="AV5065" s="10"/>
      <c r="AW5065" s="10"/>
      <c r="AX5065" s="10"/>
      <c r="AY5065" s="10"/>
      <c r="AZ5065" s="10"/>
    </row>
    <row r="5066" spans="31:52">
      <c r="AE5066" s="10"/>
      <c r="AF5066" s="10"/>
      <c r="AG5066" s="10"/>
      <c r="AH5066" s="10"/>
      <c r="AI5066" s="10"/>
      <c r="AJ5066" s="10"/>
      <c r="AK5066" s="10"/>
      <c r="AL5066" s="10"/>
      <c r="AM5066" s="10"/>
      <c r="AN5066" s="10"/>
      <c r="AO5066" s="10"/>
      <c r="AP5066" s="10"/>
      <c r="AQ5066" s="10"/>
      <c r="AR5066" s="10"/>
      <c r="AS5066" s="10"/>
      <c r="AT5066" s="10"/>
      <c r="AU5066" s="10"/>
      <c r="AV5066" s="10"/>
      <c r="AW5066" s="10"/>
      <c r="AX5066" s="10"/>
      <c r="AY5066" s="10"/>
      <c r="AZ5066" s="10"/>
    </row>
    <row r="5067" spans="31:52">
      <c r="AE5067" s="10"/>
      <c r="AF5067" s="10"/>
      <c r="AG5067" s="10"/>
      <c r="AH5067" s="10"/>
      <c r="AI5067" s="10"/>
      <c r="AJ5067" s="10"/>
      <c r="AK5067" s="10"/>
      <c r="AL5067" s="10"/>
      <c r="AM5067" s="10"/>
      <c r="AN5067" s="10"/>
      <c r="AO5067" s="10"/>
      <c r="AP5067" s="10"/>
      <c r="AQ5067" s="10"/>
      <c r="AR5067" s="10"/>
      <c r="AS5067" s="10"/>
      <c r="AT5067" s="10"/>
      <c r="AU5067" s="10"/>
      <c r="AV5067" s="10"/>
      <c r="AW5067" s="10"/>
      <c r="AX5067" s="10"/>
      <c r="AY5067" s="10"/>
      <c r="AZ5067" s="10"/>
    </row>
    <row r="5068" spans="31:52">
      <c r="AE5068" s="10"/>
      <c r="AF5068" s="10"/>
      <c r="AG5068" s="10"/>
      <c r="AH5068" s="10"/>
      <c r="AI5068" s="10"/>
      <c r="AJ5068" s="10"/>
      <c r="AK5068" s="10"/>
      <c r="AL5068" s="10"/>
      <c r="AM5068" s="10"/>
      <c r="AN5068" s="10"/>
      <c r="AO5068" s="10"/>
      <c r="AP5068" s="10"/>
      <c r="AQ5068" s="10"/>
      <c r="AR5068" s="10"/>
      <c r="AS5068" s="10"/>
      <c r="AT5068" s="10"/>
      <c r="AU5068" s="10"/>
      <c r="AV5068" s="10"/>
      <c r="AW5068" s="10"/>
      <c r="AX5068" s="10"/>
      <c r="AY5068" s="10"/>
      <c r="AZ5068" s="10"/>
    </row>
    <row r="5069" spans="31:52">
      <c r="AE5069" s="10"/>
      <c r="AF5069" s="10"/>
      <c r="AG5069" s="10"/>
      <c r="AH5069" s="10"/>
      <c r="AI5069" s="10"/>
      <c r="AJ5069" s="10"/>
      <c r="AK5069" s="10"/>
      <c r="AL5069" s="10"/>
      <c r="AM5069" s="10"/>
      <c r="AN5069" s="10"/>
      <c r="AO5069" s="10"/>
      <c r="AP5069" s="10"/>
      <c r="AQ5069" s="10"/>
      <c r="AR5069" s="10"/>
      <c r="AS5069" s="10"/>
      <c r="AT5069" s="10"/>
      <c r="AU5069" s="10"/>
      <c r="AV5069" s="10"/>
      <c r="AW5069" s="10"/>
      <c r="AX5069" s="10"/>
      <c r="AY5069" s="10"/>
      <c r="AZ5069" s="10"/>
    </row>
    <row r="5070" spans="31:52">
      <c r="AE5070" s="10"/>
      <c r="AF5070" s="10"/>
      <c r="AG5070" s="10"/>
      <c r="AH5070" s="10"/>
      <c r="AI5070" s="10"/>
      <c r="AJ5070" s="10"/>
      <c r="AK5070" s="10"/>
      <c r="AL5070" s="10"/>
      <c r="AM5070" s="10"/>
      <c r="AN5070" s="10"/>
      <c r="AO5070" s="10"/>
      <c r="AP5070" s="10"/>
      <c r="AQ5070" s="10"/>
      <c r="AR5070" s="10"/>
      <c r="AS5070" s="10"/>
      <c r="AT5070" s="10"/>
      <c r="AU5070" s="10"/>
      <c r="AV5070" s="10"/>
      <c r="AW5070" s="10"/>
      <c r="AX5070" s="10"/>
      <c r="AY5070" s="10"/>
      <c r="AZ5070" s="10"/>
    </row>
    <row r="5071" spans="31:52">
      <c r="AE5071" s="10"/>
      <c r="AF5071" s="10"/>
      <c r="AG5071" s="10"/>
      <c r="AH5071" s="10"/>
      <c r="AI5071" s="10"/>
      <c r="AJ5071" s="10"/>
      <c r="AK5071" s="10"/>
      <c r="AL5071" s="10"/>
      <c r="AM5071" s="10"/>
      <c r="AN5071" s="10"/>
      <c r="AO5071" s="10"/>
      <c r="AP5071" s="10"/>
      <c r="AQ5071" s="10"/>
      <c r="AR5071" s="10"/>
      <c r="AS5071" s="10"/>
      <c r="AT5071" s="10"/>
      <c r="AU5071" s="10"/>
      <c r="AV5071" s="10"/>
      <c r="AW5071" s="10"/>
      <c r="AX5071" s="10"/>
      <c r="AY5071" s="10"/>
      <c r="AZ5071" s="10"/>
    </row>
    <row r="5072" spans="31:52">
      <c r="AE5072" s="10"/>
      <c r="AF5072" s="10"/>
      <c r="AG5072" s="10"/>
      <c r="AH5072" s="10"/>
      <c r="AI5072" s="10"/>
      <c r="AJ5072" s="10"/>
      <c r="AK5072" s="10"/>
      <c r="AL5072" s="10"/>
      <c r="AM5072" s="10"/>
      <c r="AN5072" s="10"/>
      <c r="AO5072" s="10"/>
      <c r="AP5072" s="10"/>
      <c r="AQ5072" s="10"/>
      <c r="AR5072" s="10"/>
      <c r="AS5072" s="10"/>
      <c r="AT5072" s="10"/>
      <c r="AU5072" s="10"/>
      <c r="AV5072" s="10"/>
      <c r="AW5072" s="10"/>
      <c r="AX5072" s="10"/>
      <c r="AY5072" s="10"/>
      <c r="AZ5072" s="10"/>
    </row>
    <row r="5073" spans="31:52">
      <c r="AE5073" s="10"/>
      <c r="AF5073" s="10"/>
      <c r="AG5073" s="10"/>
      <c r="AH5073" s="10"/>
      <c r="AI5073" s="10"/>
      <c r="AJ5073" s="10"/>
      <c r="AK5073" s="10"/>
      <c r="AL5073" s="10"/>
      <c r="AM5073" s="10"/>
      <c r="AN5073" s="10"/>
      <c r="AO5073" s="10"/>
      <c r="AP5073" s="10"/>
      <c r="AQ5073" s="10"/>
      <c r="AR5073" s="10"/>
      <c r="AS5073" s="10"/>
      <c r="AT5073" s="10"/>
      <c r="AU5073" s="10"/>
      <c r="AV5073" s="10"/>
      <c r="AW5073" s="10"/>
      <c r="AX5073" s="10"/>
      <c r="AY5073" s="10"/>
      <c r="AZ5073" s="10"/>
    </row>
    <row r="5074" spans="31:52">
      <c r="AE5074" s="10"/>
      <c r="AF5074" s="10"/>
      <c r="AG5074" s="10"/>
      <c r="AH5074" s="10"/>
      <c r="AI5074" s="10"/>
      <c r="AJ5074" s="10"/>
      <c r="AK5074" s="10"/>
      <c r="AL5074" s="10"/>
      <c r="AM5074" s="10"/>
      <c r="AN5074" s="10"/>
      <c r="AO5074" s="10"/>
      <c r="AP5074" s="10"/>
      <c r="AQ5074" s="10"/>
      <c r="AR5074" s="10"/>
      <c r="AS5074" s="10"/>
      <c r="AT5074" s="10"/>
      <c r="AU5074" s="10"/>
      <c r="AV5074" s="10"/>
      <c r="AW5074" s="10"/>
      <c r="AX5074" s="10"/>
      <c r="AY5074" s="10"/>
      <c r="AZ5074" s="10"/>
    </row>
    <row r="5075" spans="31:52">
      <c r="AE5075" s="10"/>
      <c r="AF5075" s="10"/>
      <c r="AG5075" s="10"/>
      <c r="AH5075" s="10"/>
      <c r="AI5075" s="10"/>
      <c r="AJ5075" s="10"/>
      <c r="AK5075" s="10"/>
      <c r="AL5075" s="10"/>
      <c r="AM5075" s="10"/>
      <c r="AN5075" s="10"/>
      <c r="AO5075" s="10"/>
      <c r="AP5075" s="10"/>
      <c r="AQ5075" s="10"/>
      <c r="AR5075" s="10"/>
      <c r="AS5075" s="10"/>
      <c r="AT5075" s="10"/>
      <c r="AU5075" s="10"/>
      <c r="AV5075" s="10"/>
      <c r="AW5075" s="10"/>
      <c r="AX5075" s="10"/>
      <c r="AY5075" s="10"/>
      <c r="AZ5075" s="10"/>
    </row>
    <row r="5076" spans="31:52">
      <c r="AE5076" s="10"/>
      <c r="AF5076" s="10"/>
      <c r="AG5076" s="10"/>
      <c r="AH5076" s="10"/>
      <c r="AI5076" s="10"/>
      <c r="AJ5076" s="10"/>
      <c r="AK5076" s="10"/>
      <c r="AL5076" s="10"/>
      <c r="AM5076" s="10"/>
      <c r="AN5076" s="10"/>
      <c r="AO5076" s="10"/>
      <c r="AP5076" s="10"/>
      <c r="AQ5076" s="10"/>
      <c r="AR5076" s="10"/>
      <c r="AS5076" s="10"/>
      <c r="AT5076" s="10"/>
      <c r="AU5076" s="10"/>
      <c r="AV5076" s="10"/>
      <c r="AW5076" s="10"/>
      <c r="AX5076" s="10"/>
      <c r="AY5076" s="10"/>
      <c r="AZ5076" s="10"/>
    </row>
    <row r="5077" spans="31:52">
      <c r="AE5077" s="10"/>
      <c r="AF5077" s="10"/>
      <c r="AG5077" s="10"/>
      <c r="AH5077" s="10"/>
      <c r="AI5077" s="10"/>
      <c r="AJ5077" s="10"/>
      <c r="AK5077" s="10"/>
      <c r="AL5077" s="10"/>
      <c r="AM5077" s="10"/>
      <c r="AN5077" s="10"/>
      <c r="AO5077" s="10"/>
      <c r="AP5077" s="10"/>
      <c r="AQ5077" s="10"/>
      <c r="AR5077" s="10"/>
      <c r="AS5077" s="10"/>
      <c r="AT5077" s="10"/>
      <c r="AU5077" s="10"/>
      <c r="AV5077" s="10"/>
      <c r="AW5077" s="10"/>
      <c r="AX5077" s="10"/>
      <c r="AY5077" s="10"/>
      <c r="AZ5077" s="10"/>
    </row>
    <row r="5078" spans="31:52">
      <c r="AE5078" s="10"/>
      <c r="AF5078" s="10"/>
      <c r="AG5078" s="10"/>
      <c r="AH5078" s="10"/>
      <c r="AI5078" s="10"/>
      <c r="AJ5078" s="10"/>
      <c r="AK5078" s="10"/>
      <c r="AL5078" s="10"/>
      <c r="AM5078" s="10"/>
      <c r="AN5078" s="10"/>
      <c r="AO5078" s="10"/>
      <c r="AP5078" s="10"/>
      <c r="AQ5078" s="10"/>
      <c r="AR5078" s="10"/>
      <c r="AS5078" s="10"/>
      <c r="AT5078" s="10"/>
      <c r="AU5078" s="10"/>
      <c r="AV5078" s="10"/>
      <c r="AW5078" s="10"/>
      <c r="AX5078" s="10"/>
      <c r="AY5078" s="10"/>
      <c r="AZ5078" s="10"/>
    </row>
    <row r="5079" spans="31:52">
      <c r="AE5079" s="10"/>
      <c r="AF5079" s="10"/>
      <c r="AG5079" s="10"/>
      <c r="AH5079" s="10"/>
      <c r="AI5079" s="10"/>
      <c r="AJ5079" s="10"/>
      <c r="AK5079" s="10"/>
      <c r="AL5079" s="10"/>
      <c r="AM5079" s="10"/>
      <c r="AN5079" s="10"/>
      <c r="AO5079" s="10"/>
      <c r="AP5079" s="10"/>
      <c r="AQ5079" s="10"/>
      <c r="AR5079" s="10"/>
      <c r="AS5079" s="10"/>
      <c r="AT5079" s="10"/>
      <c r="AU5079" s="10"/>
      <c r="AV5079" s="10"/>
      <c r="AW5079" s="10"/>
      <c r="AX5079" s="10"/>
      <c r="AY5079" s="10"/>
      <c r="AZ5079" s="10"/>
    </row>
    <row r="5080" spans="31:52">
      <c r="AE5080" s="10"/>
      <c r="AF5080" s="10"/>
      <c r="AG5080" s="10"/>
      <c r="AH5080" s="10"/>
      <c r="AI5080" s="10"/>
      <c r="AJ5080" s="10"/>
      <c r="AK5080" s="10"/>
      <c r="AL5080" s="10"/>
      <c r="AM5080" s="10"/>
      <c r="AN5080" s="10"/>
      <c r="AO5080" s="10"/>
      <c r="AP5080" s="10"/>
      <c r="AQ5080" s="10"/>
      <c r="AR5080" s="10"/>
      <c r="AS5080" s="10"/>
      <c r="AT5080" s="10"/>
      <c r="AU5080" s="10"/>
      <c r="AV5080" s="10"/>
      <c r="AW5080" s="10"/>
      <c r="AX5080" s="10"/>
      <c r="AY5080" s="10"/>
      <c r="AZ5080" s="10"/>
    </row>
    <row r="5081" spans="31:52">
      <c r="AE5081" s="10"/>
      <c r="AF5081" s="10"/>
      <c r="AG5081" s="10"/>
      <c r="AH5081" s="10"/>
      <c r="AI5081" s="10"/>
      <c r="AJ5081" s="10"/>
      <c r="AK5081" s="10"/>
      <c r="AL5081" s="10"/>
      <c r="AM5081" s="10"/>
      <c r="AN5081" s="10"/>
      <c r="AO5081" s="10"/>
      <c r="AP5081" s="10"/>
      <c r="AQ5081" s="10"/>
      <c r="AR5081" s="10"/>
      <c r="AS5081" s="10"/>
      <c r="AT5081" s="10"/>
      <c r="AU5081" s="10"/>
      <c r="AV5081" s="10"/>
      <c r="AW5081" s="10"/>
      <c r="AX5081" s="10"/>
      <c r="AY5081" s="10"/>
      <c r="AZ5081" s="10"/>
    </row>
    <row r="5082" spans="31:52">
      <c r="AE5082" s="10"/>
      <c r="AF5082" s="10"/>
      <c r="AG5082" s="10"/>
      <c r="AH5082" s="10"/>
      <c r="AI5082" s="10"/>
      <c r="AJ5082" s="10"/>
      <c r="AK5082" s="10"/>
      <c r="AL5082" s="10"/>
      <c r="AM5082" s="10"/>
      <c r="AN5082" s="10"/>
      <c r="AO5082" s="10"/>
      <c r="AP5082" s="10"/>
      <c r="AQ5082" s="10"/>
      <c r="AR5082" s="10"/>
      <c r="AS5082" s="10"/>
      <c r="AT5082" s="10"/>
      <c r="AU5082" s="10"/>
      <c r="AV5082" s="10"/>
      <c r="AW5082" s="10"/>
      <c r="AX5082" s="10"/>
      <c r="AY5082" s="10"/>
      <c r="AZ5082" s="10"/>
    </row>
    <row r="5083" spans="31:52">
      <c r="AE5083" s="10"/>
      <c r="AF5083" s="10"/>
      <c r="AG5083" s="10"/>
      <c r="AH5083" s="10"/>
      <c r="AI5083" s="10"/>
      <c r="AJ5083" s="10"/>
      <c r="AK5083" s="10"/>
      <c r="AL5083" s="10"/>
      <c r="AM5083" s="10"/>
      <c r="AN5083" s="10"/>
      <c r="AO5083" s="10"/>
      <c r="AP5083" s="10"/>
      <c r="AQ5083" s="10"/>
      <c r="AR5083" s="10"/>
      <c r="AS5083" s="10"/>
      <c r="AT5083" s="10"/>
      <c r="AU5083" s="10"/>
      <c r="AV5083" s="10"/>
      <c r="AW5083" s="10"/>
      <c r="AX5083" s="10"/>
      <c r="AY5083" s="10"/>
      <c r="AZ5083" s="10"/>
    </row>
    <row r="5084" spans="31:52">
      <c r="AE5084" s="10"/>
      <c r="AF5084" s="10"/>
      <c r="AG5084" s="10"/>
      <c r="AH5084" s="10"/>
      <c r="AI5084" s="10"/>
      <c r="AJ5084" s="10"/>
      <c r="AK5084" s="10"/>
      <c r="AL5084" s="10"/>
      <c r="AM5084" s="10"/>
      <c r="AN5084" s="10"/>
      <c r="AO5084" s="10"/>
      <c r="AP5084" s="10"/>
      <c r="AQ5084" s="10"/>
      <c r="AR5084" s="10"/>
      <c r="AS5084" s="10"/>
      <c r="AT5084" s="10"/>
      <c r="AU5084" s="10"/>
      <c r="AV5084" s="10"/>
      <c r="AW5084" s="10"/>
      <c r="AX5084" s="10"/>
      <c r="AY5084" s="10"/>
      <c r="AZ5084" s="10"/>
    </row>
    <row r="5085" spans="31:52">
      <c r="AE5085" s="10"/>
      <c r="AF5085" s="10"/>
      <c r="AG5085" s="10"/>
      <c r="AH5085" s="10"/>
      <c r="AI5085" s="10"/>
      <c r="AJ5085" s="10"/>
      <c r="AK5085" s="10"/>
      <c r="AL5085" s="10"/>
      <c r="AM5085" s="10"/>
      <c r="AN5085" s="10"/>
      <c r="AO5085" s="10"/>
      <c r="AP5085" s="10"/>
      <c r="AQ5085" s="10"/>
      <c r="AR5085" s="10"/>
      <c r="AS5085" s="10"/>
      <c r="AT5085" s="10"/>
      <c r="AU5085" s="10"/>
      <c r="AV5085" s="10"/>
      <c r="AW5085" s="10"/>
      <c r="AX5085" s="10"/>
      <c r="AY5085" s="10"/>
      <c r="AZ5085" s="10"/>
    </row>
    <row r="5086" spans="31:52">
      <c r="AE5086" s="10"/>
      <c r="AF5086" s="10"/>
      <c r="AG5086" s="10"/>
      <c r="AH5086" s="10"/>
      <c r="AI5086" s="10"/>
      <c r="AJ5086" s="10"/>
      <c r="AK5086" s="10"/>
      <c r="AL5086" s="10"/>
      <c r="AM5086" s="10"/>
      <c r="AN5086" s="10"/>
      <c r="AO5086" s="10"/>
      <c r="AP5086" s="10"/>
      <c r="AQ5086" s="10"/>
      <c r="AR5086" s="10"/>
      <c r="AS5086" s="10"/>
      <c r="AT5086" s="10"/>
      <c r="AU5086" s="10"/>
      <c r="AV5086" s="10"/>
      <c r="AW5086" s="10"/>
      <c r="AX5086" s="10"/>
      <c r="AY5086" s="10"/>
      <c r="AZ5086" s="10"/>
    </row>
    <row r="5087" spans="31:52">
      <c r="AE5087" s="10"/>
      <c r="AF5087" s="10"/>
      <c r="AG5087" s="10"/>
      <c r="AH5087" s="10"/>
      <c r="AI5087" s="10"/>
      <c r="AJ5087" s="10"/>
      <c r="AK5087" s="10"/>
      <c r="AL5087" s="10"/>
      <c r="AM5087" s="10"/>
      <c r="AN5087" s="10"/>
      <c r="AO5087" s="10"/>
      <c r="AP5087" s="10"/>
      <c r="AQ5087" s="10"/>
      <c r="AR5087" s="10"/>
      <c r="AS5087" s="10"/>
      <c r="AT5087" s="10"/>
      <c r="AU5087" s="10"/>
      <c r="AV5087" s="10"/>
      <c r="AW5087" s="10"/>
      <c r="AX5087" s="10"/>
      <c r="AY5087" s="10"/>
      <c r="AZ5087" s="10"/>
    </row>
    <row r="5088" spans="31:52">
      <c r="AE5088" s="10"/>
      <c r="AF5088" s="10"/>
      <c r="AG5088" s="10"/>
      <c r="AH5088" s="10"/>
      <c r="AI5088" s="10"/>
      <c r="AJ5088" s="10"/>
      <c r="AK5088" s="10"/>
      <c r="AL5088" s="10"/>
      <c r="AM5088" s="10"/>
      <c r="AN5088" s="10"/>
      <c r="AO5088" s="10"/>
      <c r="AP5088" s="10"/>
      <c r="AQ5088" s="10"/>
      <c r="AR5088" s="10"/>
      <c r="AS5088" s="10"/>
      <c r="AT5088" s="10"/>
      <c r="AU5088" s="10"/>
      <c r="AV5088" s="10"/>
      <c r="AW5088" s="10"/>
      <c r="AX5088" s="10"/>
      <c r="AY5088" s="10"/>
      <c r="AZ5088" s="10"/>
    </row>
    <row r="5089" spans="31:52">
      <c r="AE5089" s="10"/>
      <c r="AF5089" s="10"/>
      <c r="AG5089" s="10"/>
      <c r="AH5089" s="10"/>
      <c r="AI5089" s="10"/>
      <c r="AJ5089" s="10"/>
      <c r="AK5089" s="10"/>
      <c r="AL5089" s="10"/>
      <c r="AM5089" s="10"/>
      <c r="AN5089" s="10"/>
      <c r="AO5089" s="10"/>
      <c r="AP5089" s="10"/>
      <c r="AQ5089" s="10"/>
      <c r="AR5089" s="10"/>
      <c r="AS5089" s="10"/>
      <c r="AT5089" s="10"/>
      <c r="AU5089" s="10"/>
      <c r="AV5089" s="10"/>
      <c r="AW5089" s="10"/>
      <c r="AX5089" s="10"/>
      <c r="AY5089" s="10"/>
      <c r="AZ5089" s="10"/>
    </row>
    <row r="5090" spans="31:52">
      <c r="AE5090" s="10"/>
      <c r="AF5090" s="10"/>
      <c r="AG5090" s="10"/>
      <c r="AH5090" s="10"/>
      <c r="AI5090" s="10"/>
      <c r="AJ5090" s="10"/>
      <c r="AK5090" s="10"/>
      <c r="AL5090" s="10"/>
      <c r="AM5090" s="10"/>
      <c r="AN5090" s="10"/>
      <c r="AO5090" s="10"/>
      <c r="AP5090" s="10"/>
      <c r="AQ5090" s="10"/>
      <c r="AR5090" s="10"/>
      <c r="AS5090" s="10"/>
      <c r="AT5090" s="10"/>
      <c r="AU5090" s="10"/>
      <c r="AV5090" s="10"/>
      <c r="AW5090" s="10"/>
      <c r="AX5090" s="10"/>
      <c r="AY5090" s="10"/>
      <c r="AZ5090" s="10"/>
    </row>
    <row r="5091" spans="31:52">
      <c r="AE5091" s="10"/>
      <c r="AF5091" s="10"/>
      <c r="AG5091" s="10"/>
      <c r="AH5091" s="10"/>
      <c r="AI5091" s="10"/>
      <c r="AJ5091" s="10"/>
      <c r="AK5091" s="10"/>
      <c r="AL5091" s="10"/>
      <c r="AM5091" s="10"/>
      <c r="AN5091" s="10"/>
      <c r="AO5091" s="10"/>
      <c r="AP5091" s="10"/>
      <c r="AQ5091" s="10"/>
      <c r="AR5091" s="10"/>
      <c r="AS5091" s="10"/>
      <c r="AT5091" s="10"/>
      <c r="AU5091" s="10"/>
      <c r="AV5091" s="10"/>
      <c r="AW5091" s="10"/>
      <c r="AX5091" s="10"/>
      <c r="AY5091" s="10"/>
      <c r="AZ5091" s="10"/>
    </row>
    <row r="5092" spans="31:52">
      <c r="AE5092" s="10"/>
      <c r="AF5092" s="10"/>
      <c r="AG5092" s="10"/>
      <c r="AH5092" s="10"/>
      <c r="AI5092" s="10"/>
      <c r="AJ5092" s="10"/>
      <c r="AK5092" s="10"/>
      <c r="AL5092" s="10"/>
      <c r="AM5092" s="10"/>
      <c r="AN5092" s="10"/>
      <c r="AO5092" s="10"/>
      <c r="AP5092" s="10"/>
      <c r="AQ5092" s="10"/>
      <c r="AR5092" s="10"/>
      <c r="AS5092" s="10"/>
      <c r="AT5092" s="10"/>
      <c r="AU5092" s="10"/>
      <c r="AV5092" s="10"/>
      <c r="AW5092" s="10"/>
      <c r="AX5092" s="10"/>
      <c r="AY5092" s="10"/>
      <c r="AZ5092" s="10"/>
    </row>
    <row r="5093" spans="31:52">
      <c r="AE5093" s="10"/>
      <c r="AF5093" s="10"/>
      <c r="AG5093" s="10"/>
      <c r="AH5093" s="10"/>
      <c r="AI5093" s="10"/>
      <c r="AJ5093" s="10"/>
      <c r="AK5093" s="10"/>
      <c r="AL5093" s="10"/>
      <c r="AM5093" s="10"/>
      <c r="AN5093" s="10"/>
      <c r="AO5093" s="10"/>
      <c r="AP5093" s="10"/>
      <c r="AQ5093" s="10"/>
      <c r="AR5093" s="10"/>
      <c r="AS5093" s="10"/>
      <c r="AT5093" s="10"/>
      <c r="AU5093" s="10"/>
      <c r="AV5093" s="10"/>
      <c r="AW5093" s="10"/>
      <c r="AX5093" s="10"/>
      <c r="AY5093" s="10"/>
      <c r="AZ5093" s="10"/>
    </row>
    <row r="5094" spans="31:52">
      <c r="AE5094" s="10"/>
      <c r="AF5094" s="10"/>
      <c r="AG5094" s="10"/>
      <c r="AH5094" s="10"/>
      <c r="AI5094" s="10"/>
      <c r="AJ5094" s="10"/>
      <c r="AK5094" s="10"/>
      <c r="AL5094" s="10"/>
      <c r="AM5094" s="10"/>
      <c r="AN5094" s="10"/>
      <c r="AO5094" s="10"/>
      <c r="AP5094" s="10"/>
      <c r="AQ5094" s="10"/>
      <c r="AR5094" s="10"/>
      <c r="AS5094" s="10"/>
      <c r="AT5094" s="10"/>
      <c r="AU5094" s="10"/>
      <c r="AV5094" s="10"/>
      <c r="AW5094" s="10"/>
      <c r="AX5094" s="10"/>
      <c r="AY5094" s="10"/>
      <c r="AZ5094" s="10"/>
    </row>
    <row r="5095" spans="31:52">
      <c r="AE5095" s="10"/>
      <c r="AF5095" s="10"/>
      <c r="AG5095" s="10"/>
      <c r="AH5095" s="10"/>
      <c r="AI5095" s="10"/>
      <c r="AJ5095" s="10"/>
      <c r="AK5095" s="10"/>
      <c r="AL5095" s="10"/>
      <c r="AM5095" s="10"/>
      <c r="AN5095" s="10"/>
      <c r="AO5095" s="10"/>
      <c r="AP5095" s="10"/>
      <c r="AQ5095" s="10"/>
      <c r="AR5095" s="10"/>
      <c r="AS5095" s="10"/>
      <c r="AT5095" s="10"/>
      <c r="AU5095" s="10"/>
      <c r="AV5095" s="10"/>
      <c r="AW5095" s="10"/>
      <c r="AX5095" s="10"/>
      <c r="AY5095" s="10"/>
      <c r="AZ5095" s="10"/>
    </row>
    <row r="5096" spans="31:52">
      <c r="AE5096" s="10"/>
      <c r="AF5096" s="10"/>
      <c r="AG5096" s="10"/>
      <c r="AH5096" s="10"/>
      <c r="AI5096" s="10"/>
      <c r="AJ5096" s="10"/>
      <c r="AK5096" s="10"/>
      <c r="AL5096" s="10"/>
      <c r="AM5096" s="10"/>
      <c r="AN5096" s="10"/>
      <c r="AO5096" s="10"/>
      <c r="AP5096" s="10"/>
      <c r="AQ5096" s="10"/>
      <c r="AR5096" s="10"/>
      <c r="AS5096" s="10"/>
      <c r="AT5096" s="10"/>
      <c r="AU5096" s="10"/>
      <c r="AV5096" s="10"/>
      <c r="AW5096" s="10"/>
      <c r="AX5096" s="10"/>
      <c r="AY5096" s="10"/>
      <c r="AZ5096" s="10"/>
    </row>
    <row r="5097" spans="31:52">
      <c r="AE5097" s="10"/>
      <c r="AF5097" s="10"/>
      <c r="AG5097" s="10"/>
      <c r="AH5097" s="10"/>
      <c r="AI5097" s="10"/>
      <c r="AJ5097" s="10"/>
      <c r="AK5097" s="10"/>
      <c r="AL5097" s="10"/>
      <c r="AM5097" s="10"/>
      <c r="AN5097" s="10"/>
      <c r="AO5097" s="10"/>
      <c r="AP5097" s="10"/>
      <c r="AQ5097" s="10"/>
      <c r="AR5097" s="10"/>
      <c r="AS5097" s="10"/>
      <c r="AT5097" s="10"/>
      <c r="AU5097" s="10"/>
      <c r="AV5097" s="10"/>
      <c r="AW5097" s="10"/>
      <c r="AX5097" s="10"/>
      <c r="AY5097" s="10"/>
      <c r="AZ5097" s="10"/>
    </row>
    <row r="5098" spans="31:52">
      <c r="AE5098" s="10"/>
      <c r="AF5098" s="10"/>
      <c r="AG5098" s="10"/>
      <c r="AH5098" s="10"/>
      <c r="AI5098" s="10"/>
      <c r="AJ5098" s="10"/>
      <c r="AK5098" s="10"/>
      <c r="AL5098" s="10"/>
      <c r="AM5098" s="10"/>
      <c r="AN5098" s="10"/>
      <c r="AO5098" s="10"/>
      <c r="AP5098" s="10"/>
      <c r="AQ5098" s="10"/>
      <c r="AR5098" s="10"/>
      <c r="AS5098" s="10"/>
      <c r="AT5098" s="10"/>
      <c r="AU5098" s="10"/>
      <c r="AV5098" s="10"/>
      <c r="AW5098" s="10"/>
      <c r="AX5098" s="10"/>
      <c r="AY5098" s="10"/>
      <c r="AZ5098" s="10"/>
    </row>
    <row r="5099" spans="31:52">
      <c r="AE5099" s="10"/>
      <c r="AF5099" s="10"/>
      <c r="AG5099" s="10"/>
      <c r="AH5099" s="10"/>
      <c r="AI5099" s="10"/>
      <c r="AJ5099" s="10"/>
      <c r="AK5099" s="10"/>
      <c r="AL5099" s="10"/>
      <c r="AM5099" s="10"/>
      <c r="AN5099" s="10"/>
      <c r="AO5099" s="10"/>
      <c r="AP5099" s="10"/>
      <c r="AQ5099" s="10"/>
      <c r="AR5099" s="10"/>
      <c r="AS5099" s="10"/>
      <c r="AT5099" s="10"/>
      <c r="AU5099" s="10"/>
      <c r="AV5099" s="10"/>
      <c r="AW5099" s="10"/>
      <c r="AX5099" s="10"/>
      <c r="AY5099" s="10"/>
      <c r="AZ5099" s="10"/>
    </row>
    <row r="5100" spans="31:52">
      <c r="AE5100" s="10"/>
      <c r="AF5100" s="10"/>
      <c r="AG5100" s="10"/>
      <c r="AH5100" s="10"/>
      <c r="AI5100" s="10"/>
      <c r="AJ5100" s="10"/>
      <c r="AK5100" s="10"/>
      <c r="AL5100" s="10"/>
      <c r="AM5100" s="10"/>
      <c r="AN5100" s="10"/>
      <c r="AO5100" s="10"/>
      <c r="AP5100" s="10"/>
      <c r="AQ5100" s="10"/>
      <c r="AR5100" s="10"/>
      <c r="AS5100" s="10"/>
      <c r="AT5100" s="10"/>
      <c r="AU5100" s="10"/>
      <c r="AV5100" s="10"/>
      <c r="AW5100" s="10"/>
      <c r="AX5100" s="10"/>
      <c r="AY5100" s="10"/>
      <c r="AZ5100" s="10"/>
    </row>
    <row r="5101" spans="31:52">
      <c r="AE5101" s="10"/>
      <c r="AF5101" s="10"/>
      <c r="AG5101" s="10"/>
      <c r="AH5101" s="10"/>
      <c r="AI5101" s="10"/>
      <c r="AJ5101" s="10"/>
      <c r="AK5101" s="10"/>
      <c r="AL5101" s="10"/>
      <c r="AM5101" s="10"/>
      <c r="AN5101" s="10"/>
      <c r="AO5101" s="10"/>
      <c r="AP5101" s="10"/>
      <c r="AQ5101" s="10"/>
      <c r="AR5101" s="10"/>
      <c r="AS5101" s="10"/>
      <c r="AT5101" s="10"/>
      <c r="AU5101" s="10"/>
      <c r="AV5101" s="10"/>
      <c r="AW5101" s="10"/>
      <c r="AX5101" s="10"/>
      <c r="AY5101" s="10"/>
      <c r="AZ5101" s="10"/>
    </row>
    <row r="5102" spans="31:52">
      <c r="AE5102" s="10"/>
      <c r="AF5102" s="10"/>
      <c r="AG5102" s="10"/>
      <c r="AH5102" s="10"/>
      <c r="AI5102" s="10"/>
      <c r="AJ5102" s="10"/>
      <c r="AK5102" s="10"/>
      <c r="AL5102" s="10"/>
      <c r="AM5102" s="10"/>
      <c r="AN5102" s="10"/>
      <c r="AO5102" s="10"/>
      <c r="AP5102" s="10"/>
      <c r="AQ5102" s="10"/>
      <c r="AR5102" s="10"/>
      <c r="AS5102" s="10"/>
      <c r="AT5102" s="10"/>
      <c r="AU5102" s="10"/>
      <c r="AV5102" s="10"/>
      <c r="AW5102" s="10"/>
      <c r="AX5102" s="10"/>
      <c r="AY5102" s="10"/>
      <c r="AZ5102" s="10"/>
    </row>
    <row r="5103" spans="31:52">
      <c r="AE5103" s="10"/>
      <c r="AF5103" s="10"/>
      <c r="AG5103" s="10"/>
      <c r="AH5103" s="10"/>
      <c r="AI5103" s="10"/>
      <c r="AJ5103" s="10"/>
      <c r="AK5103" s="10"/>
      <c r="AL5103" s="10"/>
      <c r="AM5103" s="10"/>
      <c r="AN5103" s="10"/>
      <c r="AO5103" s="10"/>
      <c r="AP5103" s="10"/>
      <c r="AQ5103" s="10"/>
      <c r="AR5103" s="10"/>
      <c r="AS5103" s="10"/>
      <c r="AT5103" s="10"/>
      <c r="AU5103" s="10"/>
      <c r="AV5103" s="10"/>
      <c r="AW5103" s="10"/>
      <c r="AX5103" s="10"/>
      <c r="AY5103" s="10"/>
      <c r="AZ5103" s="10"/>
    </row>
    <row r="5104" spans="31:52">
      <c r="AE5104" s="10"/>
      <c r="AF5104" s="10"/>
      <c r="AG5104" s="10"/>
      <c r="AH5104" s="10"/>
      <c r="AI5104" s="10"/>
      <c r="AJ5104" s="10"/>
      <c r="AK5104" s="10"/>
      <c r="AL5104" s="10"/>
      <c r="AM5104" s="10"/>
      <c r="AN5104" s="10"/>
      <c r="AO5104" s="10"/>
      <c r="AP5104" s="10"/>
      <c r="AQ5104" s="10"/>
      <c r="AR5104" s="10"/>
      <c r="AS5104" s="10"/>
      <c r="AT5104" s="10"/>
      <c r="AU5104" s="10"/>
      <c r="AV5104" s="10"/>
      <c r="AW5104" s="10"/>
      <c r="AX5104" s="10"/>
      <c r="AY5104" s="10"/>
      <c r="AZ5104" s="10"/>
    </row>
    <row r="5105" spans="31:52">
      <c r="AE5105" s="10"/>
      <c r="AF5105" s="10"/>
      <c r="AG5105" s="10"/>
      <c r="AH5105" s="10"/>
      <c r="AI5105" s="10"/>
      <c r="AJ5105" s="10"/>
      <c r="AK5105" s="10"/>
      <c r="AL5105" s="10"/>
      <c r="AM5105" s="10"/>
      <c r="AN5105" s="10"/>
      <c r="AO5105" s="10"/>
      <c r="AP5105" s="10"/>
      <c r="AQ5105" s="10"/>
      <c r="AR5105" s="10"/>
      <c r="AS5105" s="10"/>
      <c r="AT5105" s="10"/>
      <c r="AU5105" s="10"/>
      <c r="AV5105" s="10"/>
      <c r="AW5105" s="10"/>
      <c r="AX5105" s="10"/>
      <c r="AY5105" s="10"/>
      <c r="AZ5105" s="10"/>
    </row>
    <row r="5106" spans="31:52">
      <c r="AE5106" s="10"/>
      <c r="AF5106" s="10"/>
      <c r="AG5106" s="10"/>
      <c r="AH5106" s="10"/>
      <c r="AI5106" s="10"/>
      <c r="AJ5106" s="10"/>
      <c r="AK5106" s="10"/>
      <c r="AL5106" s="10"/>
      <c r="AM5106" s="10"/>
      <c r="AN5106" s="10"/>
      <c r="AO5106" s="10"/>
      <c r="AP5106" s="10"/>
      <c r="AQ5106" s="10"/>
      <c r="AR5106" s="10"/>
      <c r="AS5106" s="10"/>
      <c r="AT5106" s="10"/>
      <c r="AU5106" s="10"/>
      <c r="AV5106" s="10"/>
      <c r="AW5106" s="10"/>
      <c r="AX5106" s="10"/>
      <c r="AY5106" s="10"/>
      <c r="AZ5106" s="10"/>
    </row>
    <row r="5107" spans="31:52">
      <c r="AE5107" s="10"/>
      <c r="AF5107" s="10"/>
      <c r="AG5107" s="10"/>
      <c r="AH5107" s="10"/>
      <c r="AI5107" s="10"/>
      <c r="AJ5107" s="10"/>
      <c r="AK5107" s="10"/>
      <c r="AL5107" s="10"/>
      <c r="AM5107" s="10"/>
      <c r="AN5107" s="10"/>
      <c r="AO5107" s="10"/>
      <c r="AP5107" s="10"/>
      <c r="AQ5107" s="10"/>
      <c r="AR5107" s="10"/>
      <c r="AS5107" s="10"/>
      <c r="AT5107" s="10"/>
      <c r="AU5107" s="10"/>
      <c r="AV5107" s="10"/>
      <c r="AW5107" s="10"/>
      <c r="AX5107" s="10"/>
      <c r="AY5107" s="10"/>
      <c r="AZ5107" s="10"/>
    </row>
    <row r="5108" spans="31:52">
      <c r="AE5108" s="10"/>
      <c r="AF5108" s="10"/>
      <c r="AG5108" s="10"/>
      <c r="AH5108" s="10"/>
      <c r="AI5108" s="10"/>
      <c r="AJ5108" s="10"/>
      <c r="AK5108" s="10"/>
      <c r="AL5108" s="10"/>
      <c r="AM5108" s="10"/>
      <c r="AN5108" s="10"/>
      <c r="AO5108" s="10"/>
      <c r="AP5108" s="10"/>
      <c r="AQ5108" s="10"/>
      <c r="AR5108" s="10"/>
      <c r="AS5108" s="10"/>
      <c r="AT5108" s="10"/>
      <c r="AU5108" s="10"/>
      <c r="AV5108" s="10"/>
      <c r="AW5108" s="10"/>
      <c r="AX5108" s="10"/>
      <c r="AY5108" s="10"/>
      <c r="AZ5108" s="10"/>
    </row>
    <row r="5109" spans="31:52">
      <c r="AE5109" s="10"/>
      <c r="AF5109" s="10"/>
      <c r="AG5109" s="10"/>
      <c r="AH5109" s="10"/>
      <c r="AI5109" s="10"/>
      <c r="AJ5109" s="10"/>
      <c r="AK5109" s="10"/>
      <c r="AL5109" s="10"/>
      <c r="AM5109" s="10"/>
      <c r="AN5109" s="10"/>
      <c r="AO5109" s="10"/>
      <c r="AP5109" s="10"/>
      <c r="AQ5109" s="10"/>
      <c r="AR5109" s="10"/>
      <c r="AS5109" s="10"/>
      <c r="AT5109" s="10"/>
      <c r="AU5109" s="10"/>
      <c r="AV5109" s="10"/>
      <c r="AW5109" s="10"/>
      <c r="AX5109" s="10"/>
      <c r="AY5109" s="10"/>
      <c r="AZ5109" s="10"/>
    </row>
    <row r="5110" spans="31:52">
      <c r="AE5110" s="10"/>
      <c r="AF5110" s="10"/>
      <c r="AG5110" s="10"/>
      <c r="AH5110" s="10"/>
      <c r="AI5110" s="10"/>
      <c r="AJ5110" s="10"/>
      <c r="AK5110" s="10"/>
      <c r="AL5110" s="10"/>
      <c r="AM5110" s="10"/>
      <c r="AN5110" s="10"/>
      <c r="AO5110" s="10"/>
      <c r="AP5110" s="10"/>
      <c r="AQ5110" s="10"/>
      <c r="AR5110" s="10"/>
      <c r="AS5110" s="10"/>
      <c r="AT5110" s="10"/>
      <c r="AU5110" s="10"/>
      <c r="AV5110" s="10"/>
      <c r="AW5110" s="10"/>
      <c r="AX5110" s="10"/>
      <c r="AY5110" s="10"/>
      <c r="AZ5110" s="10"/>
    </row>
    <row r="5111" spans="31:52">
      <c r="AE5111" s="10"/>
      <c r="AF5111" s="10"/>
      <c r="AG5111" s="10"/>
      <c r="AH5111" s="10"/>
      <c r="AI5111" s="10"/>
      <c r="AJ5111" s="10"/>
      <c r="AK5111" s="10"/>
      <c r="AL5111" s="10"/>
      <c r="AM5111" s="10"/>
      <c r="AN5111" s="10"/>
      <c r="AO5111" s="10"/>
      <c r="AP5111" s="10"/>
      <c r="AQ5111" s="10"/>
      <c r="AR5111" s="10"/>
      <c r="AS5111" s="10"/>
      <c r="AT5111" s="10"/>
      <c r="AU5111" s="10"/>
      <c r="AV5111" s="10"/>
      <c r="AW5111" s="10"/>
      <c r="AX5111" s="10"/>
      <c r="AY5111" s="10"/>
      <c r="AZ5111" s="10"/>
    </row>
    <row r="5112" spans="31:52">
      <c r="AE5112" s="10"/>
      <c r="AF5112" s="10"/>
      <c r="AG5112" s="10"/>
      <c r="AH5112" s="10"/>
      <c r="AI5112" s="10"/>
      <c r="AJ5112" s="10"/>
      <c r="AK5112" s="10"/>
      <c r="AL5112" s="10"/>
      <c r="AM5112" s="10"/>
      <c r="AN5112" s="10"/>
      <c r="AO5112" s="10"/>
      <c r="AP5112" s="10"/>
      <c r="AQ5112" s="10"/>
      <c r="AR5112" s="10"/>
      <c r="AS5112" s="10"/>
      <c r="AT5112" s="10"/>
      <c r="AU5112" s="10"/>
      <c r="AV5112" s="10"/>
      <c r="AW5112" s="10"/>
      <c r="AX5112" s="10"/>
      <c r="AY5112" s="10"/>
      <c r="AZ5112" s="10"/>
    </row>
    <row r="5113" spans="31:52">
      <c r="AE5113" s="10"/>
      <c r="AF5113" s="10"/>
      <c r="AG5113" s="10"/>
      <c r="AH5113" s="10"/>
      <c r="AI5113" s="10"/>
      <c r="AJ5113" s="10"/>
      <c r="AK5113" s="10"/>
      <c r="AL5113" s="10"/>
      <c r="AM5113" s="10"/>
      <c r="AN5113" s="10"/>
      <c r="AO5113" s="10"/>
      <c r="AP5113" s="10"/>
      <c r="AQ5113" s="10"/>
      <c r="AR5113" s="10"/>
      <c r="AS5113" s="10"/>
      <c r="AT5113" s="10"/>
      <c r="AU5113" s="10"/>
      <c r="AV5113" s="10"/>
      <c r="AW5113" s="10"/>
      <c r="AX5113" s="10"/>
      <c r="AY5113" s="10"/>
      <c r="AZ5113" s="10"/>
    </row>
    <row r="5114" spans="31:52">
      <c r="AE5114" s="10"/>
      <c r="AF5114" s="10"/>
      <c r="AG5114" s="10"/>
      <c r="AH5114" s="10"/>
      <c r="AI5114" s="10"/>
      <c r="AJ5114" s="10"/>
      <c r="AK5114" s="10"/>
      <c r="AL5114" s="10"/>
      <c r="AM5114" s="10"/>
      <c r="AN5114" s="10"/>
      <c r="AO5114" s="10"/>
      <c r="AP5114" s="10"/>
      <c r="AQ5114" s="10"/>
      <c r="AR5114" s="10"/>
      <c r="AS5114" s="10"/>
      <c r="AT5114" s="10"/>
      <c r="AU5114" s="10"/>
      <c r="AV5114" s="10"/>
      <c r="AW5114" s="10"/>
      <c r="AX5114" s="10"/>
      <c r="AY5114" s="10"/>
      <c r="AZ5114" s="10"/>
    </row>
    <row r="5115" spans="31:52">
      <c r="AE5115" s="10"/>
      <c r="AF5115" s="10"/>
      <c r="AG5115" s="10"/>
      <c r="AH5115" s="10"/>
      <c r="AI5115" s="10"/>
      <c r="AJ5115" s="10"/>
      <c r="AK5115" s="10"/>
      <c r="AL5115" s="10"/>
      <c r="AM5115" s="10"/>
      <c r="AN5115" s="10"/>
      <c r="AO5115" s="10"/>
      <c r="AP5115" s="10"/>
      <c r="AQ5115" s="10"/>
      <c r="AR5115" s="10"/>
      <c r="AS5115" s="10"/>
      <c r="AT5115" s="10"/>
      <c r="AU5115" s="10"/>
      <c r="AV5115" s="10"/>
      <c r="AW5115" s="10"/>
      <c r="AX5115" s="10"/>
      <c r="AY5115" s="10"/>
      <c r="AZ5115" s="10"/>
    </row>
    <row r="5116" spans="31:52">
      <c r="AE5116" s="10"/>
      <c r="AF5116" s="10"/>
      <c r="AG5116" s="10"/>
      <c r="AH5116" s="10"/>
      <c r="AI5116" s="10"/>
      <c r="AJ5116" s="10"/>
      <c r="AK5116" s="10"/>
      <c r="AL5116" s="10"/>
      <c r="AM5116" s="10"/>
      <c r="AN5116" s="10"/>
      <c r="AO5116" s="10"/>
      <c r="AP5116" s="10"/>
      <c r="AQ5116" s="10"/>
      <c r="AR5116" s="10"/>
      <c r="AS5116" s="10"/>
      <c r="AT5116" s="10"/>
      <c r="AU5116" s="10"/>
      <c r="AV5116" s="10"/>
      <c r="AW5116" s="10"/>
      <c r="AX5116" s="10"/>
      <c r="AY5116" s="10"/>
      <c r="AZ5116" s="10"/>
    </row>
    <row r="5117" spans="31:52">
      <c r="AE5117" s="10"/>
      <c r="AF5117" s="10"/>
      <c r="AG5117" s="10"/>
      <c r="AH5117" s="10"/>
      <c r="AI5117" s="10"/>
      <c r="AJ5117" s="10"/>
      <c r="AK5117" s="10"/>
      <c r="AL5117" s="10"/>
      <c r="AM5117" s="10"/>
      <c r="AN5117" s="10"/>
      <c r="AO5117" s="10"/>
      <c r="AP5117" s="10"/>
      <c r="AQ5117" s="10"/>
      <c r="AR5117" s="10"/>
      <c r="AS5117" s="10"/>
      <c r="AT5117" s="10"/>
      <c r="AU5117" s="10"/>
      <c r="AV5117" s="10"/>
      <c r="AW5117" s="10"/>
      <c r="AX5117" s="10"/>
      <c r="AY5117" s="10"/>
      <c r="AZ5117" s="10"/>
    </row>
    <row r="5118" spans="31:52">
      <c r="AE5118" s="10"/>
      <c r="AF5118" s="10"/>
      <c r="AG5118" s="10"/>
      <c r="AH5118" s="10"/>
      <c r="AI5118" s="10"/>
      <c r="AJ5118" s="10"/>
      <c r="AK5118" s="10"/>
      <c r="AL5118" s="10"/>
      <c r="AM5118" s="10"/>
      <c r="AN5118" s="10"/>
      <c r="AO5118" s="10"/>
      <c r="AP5118" s="10"/>
      <c r="AQ5118" s="10"/>
      <c r="AR5118" s="10"/>
      <c r="AS5118" s="10"/>
      <c r="AT5118" s="10"/>
      <c r="AU5118" s="10"/>
      <c r="AV5118" s="10"/>
      <c r="AW5118" s="10"/>
      <c r="AX5118" s="10"/>
      <c r="AY5118" s="10"/>
      <c r="AZ5118" s="10"/>
    </row>
    <row r="5119" spans="31:52">
      <c r="AE5119" s="10"/>
      <c r="AF5119" s="10"/>
      <c r="AG5119" s="10"/>
      <c r="AH5119" s="10"/>
      <c r="AI5119" s="10"/>
      <c r="AJ5119" s="10"/>
      <c r="AK5119" s="10"/>
      <c r="AL5119" s="10"/>
      <c r="AM5119" s="10"/>
      <c r="AN5119" s="10"/>
      <c r="AO5119" s="10"/>
      <c r="AP5119" s="10"/>
      <c r="AQ5119" s="10"/>
      <c r="AR5119" s="10"/>
      <c r="AS5119" s="10"/>
      <c r="AT5119" s="10"/>
      <c r="AU5119" s="10"/>
      <c r="AV5119" s="10"/>
      <c r="AW5119" s="10"/>
      <c r="AX5119" s="10"/>
      <c r="AY5119" s="10"/>
      <c r="AZ5119" s="10"/>
    </row>
    <row r="5120" spans="31:52">
      <c r="AE5120" s="10"/>
      <c r="AF5120" s="10"/>
      <c r="AG5120" s="10"/>
      <c r="AH5120" s="10"/>
      <c r="AI5120" s="10"/>
      <c r="AJ5120" s="10"/>
      <c r="AK5120" s="10"/>
      <c r="AL5120" s="10"/>
      <c r="AM5120" s="10"/>
      <c r="AN5120" s="10"/>
      <c r="AO5120" s="10"/>
      <c r="AP5120" s="10"/>
      <c r="AQ5120" s="10"/>
      <c r="AR5120" s="10"/>
      <c r="AS5120" s="10"/>
      <c r="AT5120" s="10"/>
      <c r="AU5120" s="10"/>
      <c r="AV5120" s="10"/>
      <c r="AW5120" s="10"/>
      <c r="AX5120" s="10"/>
      <c r="AY5120" s="10"/>
      <c r="AZ5120" s="10"/>
    </row>
    <row r="5121" spans="31:52">
      <c r="AE5121" s="10"/>
      <c r="AF5121" s="10"/>
      <c r="AG5121" s="10"/>
      <c r="AH5121" s="10"/>
      <c r="AI5121" s="10"/>
      <c r="AJ5121" s="10"/>
      <c r="AK5121" s="10"/>
      <c r="AL5121" s="10"/>
      <c r="AM5121" s="10"/>
      <c r="AN5121" s="10"/>
      <c r="AO5121" s="10"/>
      <c r="AP5121" s="10"/>
      <c r="AQ5121" s="10"/>
      <c r="AR5121" s="10"/>
      <c r="AS5121" s="10"/>
      <c r="AT5121" s="10"/>
      <c r="AU5121" s="10"/>
      <c r="AV5121" s="10"/>
      <c r="AW5121" s="10"/>
      <c r="AX5121" s="10"/>
      <c r="AY5121" s="10"/>
      <c r="AZ5121" s="10"/>
    </row>
    <row r="5122" spans="31:52">
      <c r="AE5122" s="10"/>
      <c r="AF5122" s="10"/>
      <c r="AG5122" s="10"/>
      <c r="AH5122" s="10"/>
      <c r="AI5122" s="10"/>
      <c r="AJ5122" s="10"/>
      <c r="AK5122" s="10"/>
      <c r="AL5122" s="10"/>
      <c r="AM5122" s="10"/>
      <c r="AN5122" s="10"/>
      <c r="AO5122" s="10"/>
      <c r="AP5122" s="10"/>
      <c r="AQ5122" s="10"/>
      <c r="AR5122" s="10"/>
      <c r="AS5122" s="10"/>
      <c r="AT5122" s="10"/>
      <c r="AU5122" s="10"/>
      <c r="AV5122" s="10"/>
      <c r="AW5122" s="10"/>
      <c r="AX5122" s="10"/>
      <c r="AY5122" s="10"/>
      <c r="AZ5122" s="10"/>
    </row>
    <row r="5123" spans="31:52">
      <c r="AE5123" s="10"/>
      <c r="AF5123" s="10"/>
      <c r="AG5123" s="10"/>
      <c r="AH5123" s="10"/>
      <c r="AI5123" s="10"/>
      <c r="AJ5123" s="10"/>
      <c r="AK5123" s="10"/>
      <c r="AL5123" s="10"/>
      <c r="AM5123" s="10"/>
      <c r="AN5123" s="10"/>
      <c r="AO5123" s="10"/>
      <c r="AP5123" s="10"/>
      <c r="AQ5123" s="10"/>
      <c r="AR5123" s="10"/>
      <c r="AS5123" s="10"/>
      <c r="AT5123" s="10"/>
      <c r="AU5123" s="10"/>
      <c r="AV5123" s="10"/>
      <c r="AW5123" s="10"/>
      <c r="AX5123" s="10"/>
      <c r="AY5123" s="10"/>
      <c r="AZ5123" s="10"/>
    </row>
    <row r="5124" spans="31:52">
      <c r="AE5124" s="10"/>
      <c r="AF5124" s="10"/>
      <c r="AG5124" s="10"/>
      <c r="AH5124" s="10"/>
      <c r="AI5124" s="10"/>
      <c r="AJ5124" s="10"/>
      <c r="AK5124" s="10"/>
      <c r="AL5124" s="10"/>
      <c r="AM5124" s="10"/>
      <c r="AN5124" s="10"/>
      <c r="AO5124" s="10"/>
      <c r="AP5124" s="10"/>
      <c r="AQ5124" s="10"/>
      <c r="AR5124" s="10"/>
      <c r="AS5124" s="10"/>
      <c r="AT5124" s="10"/>
      <c r="AU5124" s="10"/>
      <c r="AV5124" s="10"/>
      <c r="AW5124" s="10"/>
      <c r="AX5124" s="10"/>
      <c r="AY5124" s="10"/>
      <c r="AZ5124" s="10"/>
    </row>
    <row r="5125" spans="31:52">
      <c r="AE5125" s="10"/>
      <c r="AF5125" s="10"/>
      <c r="AG5125" s="10"/>
      <c r="AH5125" s="10"/>
      <c r="AI5125" s="10"/>
      <c r="AJ5125" s="10"/>
      <c r="AK5125" s="10"/>
      <c r="AL5125" s="10"/>
      <c r="AM5125" s="10"/>
      <c r="AN5125" s="10"/>
      <c r="AO5125" s="10"/>
      <c r="AP5125" s="10"/>
      <c r="AQ5125" s="10"/>
      <c r="AR5125" s="10"/>
      <c r="AS5125" s="10"/>
      <c r="AT5125" s="10"/>
      <c r="AU5125" s="10"/>
      <c r="AV5125" s="10"/>
      <c r="AW5125" s="10"/>
      <c r="AX5125" s="10"/>
      <c r="AY5125" s="10"/>
      <c r="AZ5125" s="10"/>
    </row>
    <row r="5126" spans="31:52">
      <c r="AE5126" s="10"/>
      <c r="AF5126" s="10"/>
      <c r="AG5126" s="10"/>
      <c r="AH5126" s="10"/>
      <c r="AI5126" s="10"/>
      <c r="AJ5126" s="10"/>
      <c r="AK5126" s="10"/>
      <c r="AL5126" s="10"/>
      <c r="AM5126" s="10"/>
      <c r="AN5126" s="10"/>
      <c r="AO5126" s="10"/>
      <c r="AP5126" s="10"/>
      <c r="AQ5126" s="10"/>
      <c r="AR5126" s="10"/>
      <c r="AS5126" s="10"/>
      <c r="AT5126" s="10"/>
      <c r="AU5126" s="10"/>
      <c r="AV5126" s="10"/>
      <c r="AW5126" s="10"/>
      <c r="AX5126" s="10"/>
      <c r="AY5126" s="10"/>
      <c r="AZ5126" s="10"/>
    </row>
    <row r="5127" spans="31:52">
      <c r="AE5127" s="10"/>
      <c r="AF5127" s="10"/>
      <c r="AG5127" s="10"/>
      <c r="AH5127" s="10"/>
      <c r="AI5127" s="10"/>
      <c r="AJ5127" s="10"/>
      <c r="AK5127" s="10"/>
      <c r="AL5127" s="10"/>
      <c r="AM5127" s="10"/>
      <c r="AN5127" s="10"/>
      <c r="AO5127" s="10"/>
      <c r="AP5127" s="10"/>
      <c r="AQ5127" s="10"/>
      <c r="AR5127" s="10"/>
      <c r="AS5127" s="10"/>
      <c r="AT5127" s="10"/>
      <c r="AU5127" s="10"/>
      <c r="AV5127" s="10"/>
      <c r="AW5127" s="10"/>
      <c r="AX5127" s="10"/>
      <c r="AY5127" s="10"/>
      <c r="AZ5127" s="10"/>
    </row>
    <row r="5128" spans="31:52">
      <c r="AE5128" s="10"/>
      <c r="AF5128" s="10"/>
      <c r="AG5128" s="10"/>
      <c r="AH5128" s="10"/>
      <c r="AI5128" s="10"/>
      <c r="AJ5128" s="10"/>
      <c r="AK5128" s="10"/>
      <c r="AL5128" s="10"/>
      <c r="AM5128" s="10"/>
      <c r="AN5128" s="10"/>
      <c r="AO5128" s="10"/>
      <c r="AP5128" s="10"/>
      <c r="AQ5128" s="10"/>
      <c r="AR5128" s="10"/>
      <c r="AS5128" s="10"/>
      <c r="AT5128" s="10"/>
      <c r="AU5128" s="10"/>
      <c r="AV5128" s="10"/>
      <c r="AW5128" s="10"/>
      <c r="AX5128" s="10"/>
      <c r="AY5128" s="10"/>
      <c r="AZ5128" s="10"/>
    </row>
    <row r="5129" spans="31:52">
      <c r="AE5129" s="10"/>
      <c r="AF5129" s="10"/>
      <c r="AG5129" s="10"/>
      <c r="AH5129" s="10"/>
      <c r="AI5129" s="10"/>
      <c r="AJ5129" s="10"/>
      <c r="AK5129" s="10"/>
      <c r="AL5129" s="10"/>
      <c r="AM5129" s="10"/>
      <c r="AN5129" s="10"/>
      <c r="AO5129" s="10"/>
      <c r="AP5129" s="10"/>
      <c r="AQ5129" s="10"/>
      <c r="AR5129" s="10"/>
      <c r="AS5129" s="10"/>
      <c r="AT5129" s="10"/>
      <c r="AU5129" s="10"/>
      <c r="AV5129" s="10"/>
      <c r="AW5129" s="10"/>
      <c r="AX5129" s="10"/>
      <c r="AY5129" s="10"/>
      <c r="AZ5129" s="10"/>
    </row>
    <row r="5130" spans="31:52">
      <c r="AE5130" s="10"/>
      <c r="AF5130" s="10"/>
      <c r="AG5130" s="10"/>
      <c r="AH5130" s="10"/>
      <c r="AI5130" s="10"/>
      <c r="AJ5130" s="10"/>
      <c r="AK5130" s="10"/>
      <c r="AL5130" s="10"/>
      <c r="AM5130" s="10"/>
      <c r="AN5130" s="10"/>
      <c r="AO5130" s="10"/>
      <c r="AP5130" s="10"/>
      <c r="AQ5130" s="10"/>
      <c r="AR5130" s="10"/>
      <c r="AS5130" s="10"/>
      <c r="AT5130" s="10"/>
      <c r="AU5130" s="10"/>
      <c r="AV5130" s="10"/>
      <c r="AW5130" s="10"/>
      <c r="AX5130" s="10"/>
      <c r="AY5130" s="10"/>
      <c r="AZ5130" s="10"/>
    </row>
    <row r="5131" spans="31:52">
      <c r="AE5131" s="10"/>
      <c r="AF5131" s="10"/>
      <c r="AG5131" s="10"/>
      <c r="AH5131" s="10"/>
      <c r="AI5131" s="10"/>
      <c r="AJ5131" s="10"/>
      <c r="AK5131" s="10"/>
      <c r="AL5131" s="10"/>
      <c r="AM5131" s="10"/>
      <c r="AN5131" s="10"/>
      <c r="AO5131" s="10"/>
      <c r="AP5131" s="10"/>
      <c r="AQ5131" s="10"/>
      <c r="AR5131" s="10"/>
      <c r="AS5131" s="10"/>
      <c r="AT5131" s="10"/>
      <c r="AU5131" s="10"/>
      <c r="AV5131" s="10"/>
      <c r="AW5131" s="10"/>
      <c r="AX5131" s="10"/>
      <c r="AY5131" s="10"/>
      <c r="AZ5131" s="10"/>
    </row>
    <row r="5132" spans="31:52">
      <c r="AE5132" s="10"/>
      <c r="AF5132" s="10"/>
      <c r="AG5132" s="10"/>
      <c r="AH5132" s="10"/>
      <c r="AI5132" s="10"/>
      <c r="AJ5132" s="10"/>
      <c r="AK5132" s="10"/>
      <c r="AL5132" s="10"/>
      <c r="AM5132" s="10"/>
      <c r="AN5132" s="10"/>
      <c r="AO5132" s="10"/>
      <c r="AP5132" s="10"/>
      <c r="AQ5132" s="10"/>
      <c r="AR5132" s="10"/>
      <c r="AS5132" s="10"/>
      <c r="AT5132" s="10"/>
      <c r="AU5132" s="10"/>
      <c r="AV5132" s="10"/>
      <c r="AW5132" s="10"/>
      <c r="AX5132" s="10"/>
      <c r="AY5132" s="10"/>
      <c r="AZ5132" s="10"/>
    </row>
    <row r="5133" spans="31:52">
      <c r="AE5133" s="10"/>
      <c r="AF5133" s="10"/>
      <c r="AG5133" s="10"/>
      <c r="AH5133" s="10"/>
      <c r="AI5133" s="10"/>
      <c r="AJ5133" s="10"/>
      <c r="AK5133" s="10"/>
      <c r="AL5133" s="10"/>
      <c r="AM5133" s="10"/>
      <c r="AN5133" s="10"/>
      <c r="AO5133" s="10"/>
      <c r="AP5133" s="10"/>
      <c r="AQ5133" s="10"/>
      <c r="AR5133" s="10"/>
      <c r="AS5133" s="10"/>
      <c r="AT5133" s="10"/>
      <c r="AU5133" s="10"/>
      <c r="AV5133" s="10"/>
      <c r="AW5133" s="10"/>
      <c r="AX5133" s="10"/>
      <c r="AY5133" s="10"/>
      <c r="AZ5133" s="10"/>
    </row>
    <row r="5134" spans="31:52">
      <c r="AE5134" s="10"/>
      <c r="AF5134" s="10"/>
      <c r="AG5134" s="10"/>
      <c r="AH5134" s="10"/>
      <c r="AI5134" s="10"/>
      <c r="AJ5134" s="10"/>
      <c r="AK5134" s="10"/>
      <c r="AL5134" s="10"/>
      <c r="AM5134" s="10"/>
      <c r="AN5134" s="10"/>
      <c r="AO5134" s="10"/>
      <c r="AP5134" s="10"/>
      <c r="AQ5134" s="10"/>
      <c r="AR5134" s="10"/>
      <c r="AS5134" s="10"/>
      <c r="AT5134" s="10"/>
      <c r="AU5134" s="10"/>
      <c r="AV5134" s="10"/>
      <c r="AW5134" s="10"/>
      <c r="AX5134" s="10"/>
      <c r="AY5134" s="10"/>
      <c r="AZ5134" s="10"/>
    </row>
    <row r="5135" spans="31:52">
      <c r="AE5135" s="10"/>
      <c r="AF5135" s="10"/>
      <c r="AG5135" s="10"/>
      <c r="AH5135" s="10"/>
      <c r="AI5135" s="10"/>
      <c r="AJ5135" s="10"/>
      <c r="AK5135" s="10"/>
      <c r="AL5135" s="10"/>
      <c r="AM5135" s="10"/>
      <c r="AN5135" s="10"/>
      <c r="AO5135" s="10"/>
      <c r="AP5135" s="10"/>
      <c r="AQ5135" s="10"/>
      <c r="AR5135" s="10"/>
      <c r="AS5135" s="10"/>
      <c r="AT5135" s="10"/>
      <c r="AU5135" s="10"/>
      <c r="AV5135" s="10"/>
      <c r="AW5135" s="10"/>
      <c r="AX5135" s="10"/>
      <c r="AY5135" s="10"/>
      <c r="AZ5135" s="10"/>
    </row>
    <row r="5136" spans="31:52">
      <c r="AE5136" s="10"/>
      <c r="AF5136" s="10"/>
      <c r="AG5136" s="10"/>
      <c r="AH5136" s="10"/>
      <c r="AI5136" s="10"/>
      <c r="AJ5136" s="10"/>
      <c r="AK5136" s="10"/>
      <c r="AL5136" s="10"/>
      <c r="AM5136" s="10"/>
      <c r="AN5136" s="10"/>
      <c r="AO5136" s="10"/>
      <c r="AP5136" s="10"/>
      <c r="AQ5136" s="10"/>
      <c r="AR5136" s="10"/>
      <c r="AS5136" s="10"/>
      <c r="AT5136" s="10"/>
      <c r="AU5136" s="10"/>
      <c r="AV5136" s="10"/>
      <c r="AW5136" s="10"/>
      <c r="AX5136" s="10"/>
      <c r="AY5136" s="10"/>
      <c r="AZ5136" s="10"/>
    </row>
    <row r="5137" spans="31:52">
      <c r="AE5137" s="10"/>
      <c r="AF5137" s="10"/>
      <c r="AG5137" s="10"/>
      <c r="AH5137" s="10"/>
      <c r="AI5137" s="10"/>
      <c r="AJ5137" s="10"/>
      <c r="AK5137" s="10"/>
      <c r="AL5137" s="10"/>
      <c r="AM5137" s="10"/>
      <c r="AN5137" s="10"/>
      <c r="AO5137" s="10"/>
      <c r="AP5137" s="10"/>
      <c r="AQ5137" s="10"/>
      <c r="AR5137" s="10"/>
      <c r="AS5137" s="10"/>
      <c r="AT5137" s="10"/>
      <c r="AU5137" s="10"/>
      <c r="AV5137" s="10"/>
      <c r="AW5137" s="10"/>
      <c r="AX5137" s="10"/>
      <c r="AY5137" s="10"/>
      <c r="AZ5137" s="10"/>
    </row>
    <row r="5138" spans="31:52">
      <c r="AE5138" s="10"/>
      <c r="AF5138" s="10"/>
      <c r="AG5138" s="10"/>
      <c r="AH5138" s="10"/>
      <c r="AI5138" s="10"/>
      <c r="AJ5138" s="10"/>
      <c r="AK5138" s="10"/>
      <c r="AL5138" s="10"/>
      <c r="AM5138" s="10"/>
      <c r="AN5138" s="10"/>
      <c r="AO5138" s="10"/>
      <c r="AP5138" s="10"/>
      <c r="AQ5138" s="10"/>
      <c r="AR5138" s="10"/>
      <c r="AS5138" s="10"/>
      <c r="AT5138" s="10"/>
      <c r="AU5138" s="10"/>
      <c r="AV5138" s="10"/>
      <c r="AW5138" s="10"/>
      <c r="AX5138" s="10"/>
      <c r="AY5138" s="10"/>
      <c r="AZ5138" s="10"/>
    </row>
    <row r="5139" spans="31:52">
      <c r="AE5139" s="10"/>
      <c r="AF5139" s="10"/>
      <c r="AG5139" s="10"/>
      <c r="AH5139" s="10"/>
      <c r="AI5139" s="10"/>
      <c r="AJ5139" s="10"/>
      <c r="AK5139" s="10"/>
      <c r="AL5139" s="10"/>
      <c r="AM5139" s="10"/>
      <c r="AN5139" s="10"/>
      <c r="AO5139" s="10"/>
      <c r="AP5139" s="10"/>
      <c r="AQ5139" s="10"/>
      <c r="AR5139" s="10"/>
      <c r="AS5139" s="10"/>
      <c r="AT5139" s="10"/>
      <c r="AU5139" s="10"/>
      <c r="AV5139" s="10"/>
      <c r="AW5139" s="10"/>
      <c r="AX5139" s="10"/>
      <c r="AY5139" s="10"/>
      <c r="AZ5139" s="10"/>
    </row>
    <row r="5140" spans="31:52">
      <c r="AE5140" s="10"/>
      <c r="AF5140" s="10"/>
      <c r="AG5140" s="10"/>
      <c r="AH5140" s="10"/>
      <c r="AI5140" s="10"/>
      <c r="AJ5140" s="10"/>
      <c r="AK5140" s="10"/>
      <c r="AL5140" s="10"/>
      <c r="AM5140" s="10"/>
      <c r="AN5140" s="10"/>
      <c r="AO5140" s="10"/>
      <c r="AP5140" s="10"/>
      <c r="AQ5140" s="10"/>
      <c r="AR5140" s="10"/>
      <c r="AS5140" s="10"/>
      <c r="AT5140" s="10"/>
      <c r="AU5140" s="10"/>
      <c r="AV5140" s="10"/>
      <c r="AW5140" s="10"/>
      <c r="AX5140" s="10"/>
      <c r="AY5140" s="10"/>
      <c r="AZ5140" s="10"/>
    </row>
    <row r="5141" spans="31:52">
      <c r="AE5141" s="10"/>
      <c r="AF5141" s="10"/>
      <c r="AG5141" s="10"/>
      <c r="AH5141" s="10"/>
      <c r="AI5141" s="10"/>
      <c r="AJ5141" s="10"/>
      <c r="AK5141" s="10"/>
      <c r="AL5141" s="10"/>
      <c r="AM5141" s="10"/>
      <c r="AN5141" s="10"/>
      <c r="AO5141" s="10"/>
      <c r="AP5141" s="10"/>
      <c r="AQ5141" s="10"/>
      <c r="AR5141" s="10"/>
      <c r="AS5141" s="10"/>
      <c r="AT5141" s="10"/>
      <c r="AU5141" s="10"/>
      <c r="AV5141" s="10"/>
      <c r="AW5141" s="10"/>
      <c r="AX5141" s="10"/>
      <c r="AY5141" s="10"/>
      <c r="AZ5141" s="10"/>
    </row>
    <row r="5142" spans="31:52">
      <c r="AE5142" s="10"/>
      <c r="AF5142" s="10"/>
      <c r="AG5142" s="10"/>
      <c r="AH5142" s="10"/>
      <c r="AI5142" s="10"/>
      <c r="AJ5142" s="10"/>
      <c r="AK5142" s="10"/>
      <c r="AL5142" s="10"/>
      <c r="AM5142" s="10"/>
      <c r="AN5142" s="10"/>
      <c r="AO5142" s="10"/>
      <c r="AP5142" s="10"/>
      <c r="AQ5142" s="10"/>
      <c r="AR5142" s="10"/>
      <c r="AS5142" s="10"/>
      <c r="AT5142" s="10"/>
      <c r="AU5142" s="10"/>
      <c r="AV5142" s="10"/>
      <c r="AW5142" s="10"/>
      <c r="AX5142" s="10"/>
      <c r="AY5142" s="10"/>
      <c r="AZ5142" s="10"/>
    </row>
    <row r="5143" spans="31:52">
      <c r="AE5143" s="10"/>
      <c r="AF5143" s="10"/>
      <c r="AG5143" s="10"/>
      <c r="AH5143" s="10"/>
      <c r="AI5143" s="10"/>
      <c r="AJ5143" s="10"/>
      <c r="AK5143" s="10"/>
      <c r="AL5143" s="10"/>
      <c r="AM5143" s="10"/>
      <c r="AN5143" s="10"/>
      <c r="AO5143" s="10"/>
      <c r="AP5143" s="10"/>
      <c r="AQ5143" s="10"/>
      <c r="AR5143" s="10"/>
      <c r="AS5143" s="10"/>
      <c r="AT5143" s="10"/>
      <c r="AU5143" s="10"/>
      <c r="AV5143" s="10"/>
      <c r="AW5143" s="10"/>
      <c r="AX5143" s="10"/>
      <c r="AY5143" s="10"/>
      <c r="AZ5143" s="10"/>
    </row>
    <row r="5144" spans="31:52">
      <c r="AE5144" s="10"/>
      <c r="AF5144" s="10"/>
      <c r="AG5144" s="10"/>
      <c r="AH5144" s="10"/>
      <c r="AI5144" s="10"/>
      <c r="AJ5144" s="10"/>
      <c r="AK5144" s="10"/>
      <c r="AL5144" s="10"/>
      <c r="AM5144" s="10"/>
      <c r="AN5144" s="10"/>
      <c r="AO5144" s="10"/>
      <c r="AP5144" s="10"/>
      <c r="AQ5144" s="10"/>
      <c r="AR5144" s="10"/>
      <c r="AS5144" s="10"/>
      <c r="AT5144" s="10"/>
      <c r="AU5144" s="10"/>
      <c r="AV5144" s="10"/>
      <c r="AW5144" s="10"/>
      <c r="AX5144" s="10"/>
      <c r="AY5144" s="10"/>
      <c r="AZ5144" s="10"/>
    </row>
    <row r="5145" spans="31:52">
      <c r="AE5145" s="10"/>
      <c r="AF5145" s="10"/>
      <c r="AG5145" s="10"/>
      <c r="AH5145" s="10"/>
      <c r="AI5145" s="10"/>
      <c r="AJ5145" s="10"/>
      <c r="AK5145" s="10"/>
      <c r="AL5145" s="10"/>
      <c r="AM5145" s="10"/>
      <c r="AN5145" s="10"/>
      <c r="AO5145" s="10"/>
      <c r="AP5145" s="10"/>
      <c r="AQ5145" s="10"/>
      <c r="AR5145" s="10"/>
      <c r="AS5145" s="10"/>
      <c r="AT5145" s="10"/>
      <c r="AU5145" s="10"/>
      <c r="AV5145" s="10"/>
      <c r="AW5145" s="10"/>
      <c r="AX5145" s="10"/>
      <c r="AY5145" s="10"/>
      <c r="AZ5145" s="10"/>
    </row>
    <row r="5146" spans="31:52">
      <c r="AE5146" s="10"/>
      <c r="AF5146" s="10"/>
      <c r="AG5146" s="10"/>
      <c r="AH5146" s="10"/>
      <c r="AI5146" s="10"/>
      <c r="AJ5146" s="10"/>
      <c r="AK5146" s="10"/>
      <c r="AL5146" s="10"/>
      <c r="AM5146" s="10"/>
      <c r="AN5146" s="10"/>
      <c r="AO5146" s="10"/>
      <c r="AP5146" s="10"/>
      <c r="AQ5146" s="10"/>
      <c r="AR5146" s="10"/>
      <c r="AS5146" s="10"/>
      <c r="AT5146" s="10"/>
      <c r="AU5146" s="10"/>
      <c r="AV5146" s="10"/>
      <c r="AW5146" s="10"/>
      <c r="AX5146" s="10"/>
      <c r="AY5146" s="10"/>
      <c r="AZ5146" s="10"/>
    </row>
    <row r="5147" spans="31:52">
      <c r="AE5147" s="10"/>
      <c r="AF5147" s="10"/>
      <c r="AG5147" s="10"/>
      <c r="AH5147" s="10"/>
      <c r="AI5147" s="10"/>
      <c r="AJ5147" s="10"/>
      <c r="AK5147" s="10"/>
      <c r="AL5147" s="10"/>
      <c r="AM5147" s="10"/>
      <c r="AN5147" s="10"/>
      <c r="AO5147" s="10"/>
      <c r="AP5147" s="10"/>
      <c r="AQ5147" s="10"/>
      <c r="AR5147" s="10"/>
      <c r="AS5147" s="10"/>
      <c r="AT5147" s="10"/>
      <c r="AU5147" s="10"/>
      <c r="AV5147" s="10"/>
      <c r="AW5147" s="10"/>
      <c r="AX5147" s="10"/>
      <c r="AY5147" s="10"/>
      <c r="AZ5147" s="10"/>
    </row>
    <row r="5148" spans="31:52">
      <c r="AE5148" s="10"/>
      <c r="AF5148" s="10"/>
      <c r="AG5148" s="10"/>
      <c r="AH5148" s="10"/>
      <c r="AI5148" s="10"/>
      <c r="AJ5148" s="10"/>
      <c r="AK5148" s="10"/>
      <c r="AL5148" s="10"/>
      <c r="AM5148" s="10"/>
      <c r="AN5148" s="10"/>
      <c r="AO5148" s="10"/>
      <c r="AP5148" s="10"/>
      <c r="AQ5148" s="10"/>
      <c r="AR5148" s="10"/>
      <c r="AS5148" s="10"/>
      <c r="AT5148" s="10"/>
      <c r="AU5148" s="10"/>
      <c r="AV5148" s="10"/>
      <c r="AW5148" s="10"/>
      <c r="AX5148" s="10"/>
      <c r="AY5148" s="10"/>
      <c r="AZ5148" s="10"/>
    </row>
    <row r="5149" spans="31:52">
      <c r="AE5149" s="10"/>
      <c r="AF5149" s="10"/>
      <c r="AG5149" s="10"/>
      <c r="AH5149" s="10"/>
      <c r="AI5149" s="10"/>
      <c r="AJ5149" s="10"/>
      <c r="AK5149" s="10"/>
      <c r="AL5149" s="10"/>
      <c r="AM5149" s="10"/>
      <c r="AN5149" s="10"/>
      <c r="AO5149" s="10"/>
      <c r="AP5149" s="10"/>
      <c r="AQ5149" s="10"/>
      <c r="AR5149" s="10"/>
      <c r="AS5149" s="10"/>
      <c r="AT5149" s="10"/>
      <c r="AU5149" s="10"/>
      <c r="AV5149" s="10"/>
      <c r="AW5149" s="10"/>
      <c r="AX5149" s="10"/>
      <c r="AY5149" s="10"/>
      <c r="AZ5149" s="10"/>
    </row>
    <row r="5150" spans="31:52">
      <c r="AE5150" s="10"/>
      <c r="AF5150" s="10"/>
      <c r="AG5150" s="10"/>
      <c r="AH5150" s="10"/>
      <c r="AI5150" s="10"/>
      <c r="AJ5150" s="10"/>
      <c r="AK5150" s="10"/>
      <c r="AL5150" s="10"/>
      <c r="AM5150" s="10"/>
      <c r="AN5150" s="10"/>
      <c r="AO5150" s="10"/>
      <c r="AP5150" s="10"/>
      <c r="AQ5150" s="10"/>
      <c r="AR5150" s="10"/>
      <c r="AS5150" s="10"/>
      <c r="AT5150" s="10"/>
      <c r="AU5150" s="10"/>
      <c r="AV5150" s="10"/>
      <c r="AW5150" s="10"/>
      <c r="AX5150" s="10"/>
      <c r="AY5150" s="10"/>
      <c r="AZ5150" s="10"/>
    </row>
    <row r="5151" spans="31:52">
      <c r="AE5151" s="10"/>
      <c r="AF5151" s="10"/>
      <c r="AG5151" s="10"/>
      <c r="AH5151" s="10"/>
      <c r="AI5151" s="10"/>
      <c r="AJ5151" s="10"/>
      <c r="AK5151" s="10"/>
      <c r="AL5151" s="10"/>
      <c r="AM5151" s="10"/>
      <c r="AN5151" s="10"/>
      <c r="AO5151" s="10"/>
      <c r="AP5151" s="10"/>
      <c r="AQ5151" s="10"/>
      <c r="AR5151" s="10"/>
      <c r="AS5151" s="10"/>
      <c r="AT5151" s="10"/>
      <c r="AU5151" s="10"/>
      <c r="AV5151" s="10"/>
      <c r="AW5151" s="10"/>
      <c r="AX5151" s="10"/>
      <c r="AY5151" s="10"/>
      <c r="AZ5151" s="10"/>
    </row>
    <row r="5152" spans="31:52">
      <c r="AE5152" s="10"/>
      <c r="AF5152" s="10"/>
      <c r="AG5152" s="10"/>
      <c r="AH5152" s="10"/>
      <c r="AI5152" s="10"/>
      <c r="AJ5152" s="10"/>
      <c r="AK5152" s="10"/>
      <c r="AL5152" s="10"/>
      <c r="AM5152" s="10"/>
      <c r="AN5152" s="10"/>
      <c r="AO5152" s="10"/>
      <c r="AP5152" s="10"/>
      <c r="AQ5152" s="10"/>
      <c r="AR5152" s="10"/>
      <c r="AS5152" s="10"/>
      <c r="AT5152" s="10"/>
      <c r="AU5152" s="10"/>
      <c r="AV5152" s="10"/>
      <c r="AW5152" s="10"/>
      <c r="AX5152" s="10"/>
      <c r="AY5152" s="10"/>
      <c r="AZ5152" s="10"/>
    </row>
    <row r="5153" spans="31:52">
      <c r="AE5153" s="10"/>
      <c r="AF5153" s="10"/>
      <c r="AG5153" s="10"/>
      <c r="AH5153" s="10"/>
      <c r="AI5153" s="10"/>
      <c r="AJ5153" s="10"/>
      <c r="AK5153" s="10"/>
      <c r="AL5153" s="10"/>
      <c r="AM5153" s="10"/>
      <c r="AN5153" s="10"/>
      <c r="AO5153" s="10"/>
      <c r="AP5153" s="10"/>
      <c r="AQ5153" s="10"/>
      <c r="AR5153" s="10"/>
      <c r="AS5153" s="10"/>
      <c r="AT5153" s="10"/>
      <c r="AU5153" s="10"/>
      <c r="AV5153" s="10"/>
      <c r="AW5153" s="10"/>
      <c r="AX5153" s="10"/>
      <c r="AY5153" s="10"/>
      <c r="AZ5153" s="10"/>
    </row>
    <row r="5154" spans="31:52">
      <c r="AE5154" s="10"/>
      <c r="AF5154" s="10"/>
      <c r="AG5154" s="10"/>
      <c r="AH5154" s="10"/>
      <c r="AI5154" s="10"/>
      <c r="AJ5154" s="10"/>
      <c r="AK5154" s="10"/>
      <c r="AL5154" s="10"/>
      <c r="AM5154" s="10"/>
      <c r="AN5154" s="10"/>
      <c r="AO5154" s="10"/>
      <c r="AP5154" s="10"/>
      <c r="AQ5154" s="10"/>
      <c r="AR5154" s="10"/>
      <c r="AS5154" s="10"/>
      <c r="AT5154" s="10"/>
      <c r="AU5154" s="10"/>
      <c r="AV5154" s="10"/>
      <c r="AW5154" s="10"/>
      <c r="AX5154" s="10"/>
      <c r="AY5154" s="10"/>
      <c r="AZ5154" s="10"/>
    </row>
    <row r="5155" spans="31:52">
      <c r="AE5155" s="10"/>
      <c r="AF5155" s="10"/>
      <c r="AG5155" s="10"/>
      <c r="AH5155" s="10"/>
      <c r="AI5155" s="10"/>
      <c r="AJ5155" s="10"/>
      <c r="AK5155" s="10"/>
      <c r="AL5155" s="10"/>
      <c r="AM5155" s="10"/>
      <c r="AN5155" s="10"/>
      <c r="AO5155" s="10"/>
      <c r="AP5155" s="10"/>
      <c r="AQ5155" s="10"/>
      <c r="AR5155" s="10"/>
      <c r="AS5155" s="10"/>
      <c r="AT5155" s="10"/>
      <c r="AU5155" s="10"/>
      <c r="AV5155" s="10"/>
      <c r="AW5155" s="10"/>
      <c r="AX5155" s="10"/>
      <c r="AY5155" s="10"/>
      <c r="AZ5155" s="10"/>
    </row>
    <row r="5156" spans="31:52">
      <c r="AE5156" s="10"/>
      <c r="AF5156" s="10"/>
      <c r="AG5156" s="10"/>
      <c r="AH5156" s="10"/>
      <c r="AI5156" s="10"/>
      <c r="AJ5156" s="10"/>
      <c r="AK5156" s="10"/>
      <c r="AL5156" s="10"/>
      <c r="AM5156" s="10"/>
      <c r="AN5156" s="10"/>
      <c r="AO5156" s="10"/>
      <c r="AP5156" s="10"/>
      <c r="AQ5156" s="10"/>
      <c r="AR5156" s="10"/>
      <c r="AS5156" s="10"/>
      <c r="AT5156" s="10"/>
      <c r="AU5156" s="10"/>
      <c r="AV5156" s="10"/>
      <c r="AW5156" s="10"/>
      <c r="AX5156" s="10"/>
      <c r="AY5156" s="10"/>
      <c r="AZ5156" s="10"/>
    </row>
    <row r="5157" spans="31:52">
      <c r="AE5157" s="10"/>
      <c r="AF5157" s="10"/>
      <c r="AG5157" s="10"/>
      <c r="AH5157" s="10"/>
      <c r="AI5157" s="10"/>
      <c r="AJ5157" s="10"/>
      <c r="AK5157" s="10"/>
      <c r="AL5157" s="10"/>
      <c r="AM5157" s="10"/>
      <c r="AN5157" s="10"/>
      <c r="AO5157" s="10"/>
      <c r="AP5157" s="10"/>
      <c r="AQ5157" s="10"/>
      <c r="AR5157" s="10"/>
      <c r="AS5157" s="10"/>
      <c r="AT5157" s="10"/>
      <c r="AU5157" s="10"/>
      <c r="AV5157" s="10"/>
      <c r="AW5157" s="10"/>
      <c r="AX5157" s="10"/>
      <c r="AY5157" s="10"/>
      <c r="AZ5157" s="10"/>
    </row>
    <row r="5158" spans="31:52">
      <c r="AE5158" s="10"/>
      <c r="AF5158" s="10"/>
      <c r="AG5158" s="10"/>
      <c r="AH5158" s="10"/>
      <c r="AI5158" s="10"/>
      <c r="AJ5158" s="10"/>
      <c r="AK5158" s="10"/>
      <c r="AL5158" s="10"/>
      <c r="AM5158" s="10"/>
      <c r="AN5158" s="10"/>
      <c r="AO5158" s="10"/>
      <c r="AP5158" s="10"/>
      <c r="AQ5158" s="10"/>
      <c r="AR5158" s="10"/>
      <c r="AS5158" s="10"/>
      <c r="AT5158" s="10"/>
      <c r="AU5158" s="10"/>
      <c r="AV5158" s="10"/>
      <c r="AW5158" s="10"/>
      <c r="AX5158" s="10"/>
      <c r="AY5158" s="10"/>
      <c r="AZ5158" s="10"/>
    </row>
    <row r="5159" spans="31:52">
      <c r="AE5159" s="10"/>
      <c r="AF5159" s="10"/>
      <c r="AG5159" s="10"/>
      <c r="AH5159" s="10"/>
      <c r="AI5159" s="10"/>
      <c r="AJ5159" s="10"/>
      <c r="AK5159" s="10"/>
      <c r="AL5159" s="10"/>
      <c r="AM5159" s="10"/>
      <c r="AN5159" s="10"/>
      <c r="AO5159" s="10"/>
      <c r="AP5159" s="10"/>
      <c r="AQ5159" s="10"/>
      <c r="AR5159" s="10"/>
      <c r="AS5159" s="10"/>
      <c r="AT5159" s="10"/>
      <c r="AU5159" s="10"/>
      <c r="AV5159" s="10"/>
      <c r="AW5159" s="10"/>
      <c r="AX5159" s="10"/>
      <c r="AY5159" s="10"/>
      <c r="AZ5159" s="10"/>
    </row>
    <row r="5160" spans="31:52">
      <c r="AE5160" s="10"/>
      <c r="AF5160" s="10"/>
      <c r="AG5160" s="10"/>
      <c r="AH5160" s="10"/>
      <c r="AI5160" s="10"/>
      <c r="AJ5160" s="10"/>
      <c r="AK5160" s="10"/>
      <c r="AL5160" s="10"/>
      <c r="AM5160" s="10"/>
      <c r="AN5160" s="10"/>
      <c r="AO5160" s="10"/>
      <c r="AP5160" s="10"/>
      <c r="AQ5160" s="10"/>
      <c r="AR5160" s="10"/>
      <c r="AS5160" s="10"/>
      <c r="AT5160" s="10"/>
      <c r="AU5160" s="10"/>
      <c r="AV5160" s="10"/>
      <c r="AW5160" s="10"/>
      <c r="AX5160" s="10"/>
      <c r="AY5160" s="10"/>
      <c r="AZ5160" s="10"/>
    </row>
    <row r="5161" spans="31:52">
      <c r="AE5161" s="10"/>
      <c r="AF5161" s="10"/>
      <c r="AG5161" s="10"/>
      <c r="AH5161" s="10"/>
      <c r="AI5161" s="10"/>
      <c r="AJ5161" s="10"/>
      <c r="AK5161" s="10"/>
      <c r="AL5161" s="10"/>
      <c r="AM5161" s="10"/>
      <c r="AN5161" s="10"/>
      <c r="AO5161" s="10"/>
      <c r="AP5161" s="10"/>
      <c r="AQ5161" s="10"/>
      <c r="AR5161" s="10"/>
      <c r="AS5161" s="10"/>
      <c r="AT5161" s="10"/>
      <c r="AU5161" s="10"/>
      <c r="AV5161" s="10"/>
      <c r="AW5161" s="10"/>
      <c r="AX5161" s="10"/>
      <c r="AY5161" s="10"/>
      <c r="AZ5161" s="10"/>
    </row>
    <row r="5162" spans="31:52">
      <c r="AE5162" s="10"/>
      <c r="AF5162" s="10"/>
      <c r="AG5162" s="10"/>
      <c r="AH5162" s="10"/>
      <c r="AI5162" s="10"/>
      <c r="AJ5162" s="10"/>
      <c r="AK5162" s="10"/>
      <c r="AL5162" s="10"/>
      <c r="AM5162" s="10"/>
      <c r="AN5162" s="10"/>
      <c r="AO5162" s="10"/>
      <c r="AP5162" s="10"/>
      <c r="AQ5162" s="10"/>
      <c r="AR5162" s="10"/>
      <c r="AS5162" s="10"/>
      <c r="AT5162" s="10"/>
      <c r="AU5162" s="10"/>
      <c r="AV5162" s="10"/>
      <c r="AW5162" s="10"/>
      <c r="AX5162" s="10"/>
      <c r="AY5162" s="10"/>
      <c r="AZ5162" s="10"/>
    </row>
    <row r="5163" spans="31:52">
      <c r="AE5163" s="10"/>
      <c r="AF5163" s="10"/>
      <c r="AG5163" s="10"/>
      <c r="AH5163" s="10"/>
      <c r="AI5163" s="10"/>
      <c r="AJ5163" s="10"/>
      <c r="AK5163" s="10"/>
      <c r="AL5163" s="10"/>
      <c r="AM5163" s="10"/>
      <c r="AN5163" s="10"/>
      <c r="AO5163" s="10"/>
      <c r="AP5163" s="10"/>
      <c r="AQ5163" s="10"/>
      <c r="AR5163" s="10"/>
      <c r="AS5163" s="10"/>
      <c r="AT5163" s="10"/>
      <c r="AU5163" s="10"/>
      <c r="AV5163" s="10"/>
      <c r="AW5163" s="10"/>
      <c r="AX5163" s="10"/>
      <c r="AY5163" s="10"/>
      <c r="AZ5163" s="10"/>
    </row>
    <row r="5164" spans="31:52">
      <c r="AE5164" s="10"/>
      <c r="AF5164" s="10"/>
      <c r="AG5164" s="10"/>
      <c r="AH5164" s="10"/>
      <c r="AI5164" s="10"/>
      <c r="AJ5164" s="10"/>
      <c r="AK5164" s="10"/>
      <c r="AL5164" s="10"/>
      <c r="AM5164" s="10"/>
      <c r="AN5164" s="10"/>
      <c r="AO5164" s="10"/>
      <c r="AP5164" s="10"/>
      <c r="AQ5164" s="10"/>
      <c r="AR5164" s="10"/>
      <c r="AS5164" s="10"/>
      <c r="AT5164" s="10"/>
      <c r="AU5164" s="10"/>
      <c r="AV5164" s="10"/>
      <c r="AW5164" s="10"/>
      <c r="AX5164" s="10"/>
      <c r="AY5164" s="10"/>
      <c r="AZ5164" s="10"/>
    </row>
    <row r="5165" spans="31:52">
      <c r="AE5165" s="10"/>
      <c r="AF5165" s="10"/>
      <c r="AG5165" s="10"/>
      <c r="AH5165" s="10"/>
      <c r="AI5165" s="10"/>
      <c r="AJ5165" s="10"/>
      <c r="AK5165" s="10"/>
      <c r="AL5165" s="10"/>
      <c r="AM5165" s="10"/>
      <c r="AN5165" s="10"/>
      <c r="AO5165" s="10"/>
      <c r="AP5165" s="10"/>
      <c r="AQ5165" s="10"/>
      <c r="AR5165" s="10"/>
      <c r="AS5165" s="10"/>
      <c r="AT5165" s="10"/>
      <c r="AU5165" s="10"/>
      <c r="AV5165" s="10"/>
      <c r="AW5165" s="10"/>
      <c r="AX5165" s="10"/>
      <c r="AY5165" s="10"/>
      <c r="AZ5165" s="10"/>
    </row>
    <row r="5166" spans="31:52">
      <c r="AE5166" s="10"/>
      <c r="AF5166" s="10"/>
      <c r="AG5166" s="10"/>
      <c r="AH5166" s="10"/>
      <c r="AI5166" s="10"/>
      <c r="AJ5166" s="10"/>
      <c r="AK5166" s="10"/>
      <c r="AL5166" s="10"/>
      <c r="AM5166" s="10"/>
      <c r="AN5166" s="10"/>
      <c r="AO5166" s="10"/>
      <c r="AP5166" s="10"/>
      <c r="AQ5166" s="10"/>
      <c r="AR5166" s="10"/>
      <c r="AS5166" s="10"/>
      <c r="AT5166" s="10"/>
      <c r="AU5166" s="10"/>
      <c r="AV5166" s="10"/>
      <c r="AW5166" s="10"/>
      <c r="AX5166" s="10"/>
      <c r="AY5166" s="10"/>
      <c r="AZ5166" s="10"/>
    </row>
    <row r="5167" spans="31:52">
      <c r="AE5167" s="10"/>
      <c r="AF5167" s="10"/>
      <c r="AG5167" s="10"/>
      <c r="AH5167" s="10"/>
      <c r="AI5167" s="10"/>
      <c r="AJ5167" s="10"/>
      <c r="AK5167" s="10"/>
      <c r="AL5167" s="10"/>
      <c r="AM5167" s="10"/>
      <c r="AN5167" s="10"/>
      <c r="AO5167" s="10"/>
      <c r="AP5167" s="10"/>
      <c r="AQ5167" s="10"/>
      <c r="AR5167" s="10"/>
      <c r="AS5167" s="10"/>
      <c r="AT5167" s="10"/>
      <c r="AU5167" s="10"/>
      <c r="AV5167" s="10"/>
      <c r="AW5167" s="10"/>
      <c r="AX5167" s="10"/>
      <c r="AY5167" s="10"/>
      <c r="AZ5167" s="10"/>
    </row>
    <row r="5168" spans="31:52">
      <c r="AE5168" s="10"/>
      <c r="AF5168" s="10"/>
      <c r="AG5168" s="10"/>
      <c r="AH5168" s="10"/>
      <c r="AI5168" s="10"/>
      <c r="AJ5168" s="10"/>
      <c r="AK5168" s="10"/>
      <c r="AL5168" s="10"/>
      <c r="AM5168" s="10"/>
      <c r="AN5168" s="10"/>
      <c r="AO5168" s="10"/>
      <c r="AP5168" s="10"/>
      <c r="AQ5168" s="10"/>
      <c r="AR5168" s="10"/>
      <c r="AS5168" s="10"/>
      <c r="AT5168" s="10"/>
      <c r="AU5168" s="10"/>
      <c r="AV5168" s="10"/>
      <c r="AW5168" s="10"/>
      <c r="AX5168" s="10"/>
      <c r="AY5168" s="10"/>
      <c r="AZ5168" s="10"/>
    </row>
    <row r="5169" spans="31:52">
      <c r="AE5169" s="10"/>
      <c r="AF5169" s="10"/>
      <c r="AG5169" s="10"/>
      <c r="AH5169" s="10"/>
      <c r="AI5169" s="10"/>
      <c r="AJ5169" s="10"/>
      <c r="AK5169" s="10"/>
      <c r="AL5169" s="10"/>
      <c r="AM5169" s="10"/>
      <c r="AN5169" s="10"/>
      <c r="AO5169" s="10"/>
      <c r="AP5169" s="10"/>
      <c r="AQ5169" s="10"/>
      <c r="AR5169" s="10"/>
      <c r="AS5169" s="10"/>
      <c r="AT5169" s="10"/>
      <c r="AU5169" s="10"/>
      <c r="AV5169" s="10"/>
      <c r="AW5169" s="10"/>
      <c r="AX5169" s="10"/>
      <c r="AY5169" s="10"/>
      <c r="AZ5169" s="10"/>
    </row>
    <row r="5170" spans="31:52">
      <c r="AE5170" s="10"/>
      <c r="AF5170" s="10"/>
      <c r="AG5170" s="10"/>
      <c r="AH5170" s="10"/>
      <c r="AI5170" s="10"/>
      <c r="AJ5170" s="10"/>
      <c r="AK5170" s="10"/>
      <c r="AL5170" s="10"/>
      <c r="AM5170" s="10"/>
      <c r="AN5170" s="10"/>
      <c r="AO5170" s="10"/>
      <c r="AP5170" s="10"/>
      <c r="AQ5170" s="10"/>
      <c r="AR5170" s="10"/>
      <c r="AS5170" s="10"/>
      <c r="AT5170" s="10"/>
      <c r="AU5170" s="10"/>
      <c r="AV5170" s="10"/>
      <c r="AW5170" s="10"/>
      <c r="AX5170" s="10"/>
      <c r="AY5170" s="10"/>
      <c r="AZ5170" s="10"/>
    </row>
    <row r="5171" spans="31:52">
      <c r="AE5171" s="10"/>
      <c r="AF5171" s="10"/>
      <c r="AG5171" s="10"/>
      <c r="AH5171" s="10"/>
      <c r="AI5171" s="10"/>
      <c r="AJ5171" s="10"/>
      <c r="AK5171" s="10"/>
      <c r="AL5171" s="10"/>
      <c r="AM5171" s="10"/>
      <c r="AN5171" s="10"/>
      <c r="AO5171" s="10"/>
      <c r="AP5171" s="10"/>
      <c r="AQ5171" s="10"/>
      <c r="AR5171" s="10"/>
      <c r="AS5171" s="10"/>
      <c r="AT5171" s="10"/>
      <c r="AU5171" s="10"/>
      <c r="AV5171" s="10"/>
      <c r="AW5171" s="10"/>
      <c r="AX5171" s="10"/>
      <c r="AY5171" s="10"/>
      <c r="AZ5171" s="10"/>
    </row>
    <row r="5172" spans="31:52">
      <c r="AE5172" s="10"/>
      <c r="AF5172" s="10"/>
      <c r="AG5172" s="10"/>
      <c r="AH5172" s="10"/>
      <c r="AI5172" s="10"/>
      <c r="AJ5172" s="10"/>
      <c r="AK5172" s="10"/>
      <c r="AL5172" s="10"/>
      <c r="AM5172" s="10"/>
      <c r="AN5172" s="10"/>
      <c r="AO5172" s="10"/>
      <c r="AP5172" s="10"/>
      <c r="AQ5172" s="10"/>
      <c r="AR5172" s="10"/>
      <c r="AS5172" s="10"/>
      <c r="AT5172" s="10"/>
      <c r="AU5172" s="10"/>
      <c r="AV5172" s="10"/>
      <c r="AW5172" s="10"/>
      <c r="AX5172" s="10"/>
      <c r="AY5172" s="10"/>
      <c r="AZ5172" s="10"/>
    </row>
    <row r="5173" spans="31:52">
      <c r="AE5173" s="10"/>
      <c r="AF5173" s="10"/>
      <c r="AG5173" s="10"/>
      <c r="AH5173" s="10"/>
      <c r="AI5173" s="10"/>
      <c r="AJ5173" s="10"/>
      <c r="AK5173" s="10"/>
      <c r="AL5173" s="10"/>
      <c r="AM5173" s="10"/>
      <c r="AN5173" s="10"/>
      <c r="AO5173" s="10"/>
      <c r="AP5173" s="10"/>
      <c r="AQ5173" s="10"/>
      <c r="AR5173" s="10"/>
      <c r="AS5173" s="10"/>
      <c r="AT5173" s="10"/>
      <c r="AU5173" s="10"/>
      <c r="AV5173" s="10"/>
      <c r="AW5173" s="10"/>
      <c r="AX5173" s="10"/>
      <c r="AY5173" s="10"/>
      <c r="AZ5173" s="10"/>
    </row>
    <row r="5174" spans="31:52">
      <c r="AE5174" s="10"/>
      <c r="AF5174" s="10"/>
      <c r="AG5174" s="10"/>
      <c r="AH5174" s="10"/>
      <c r="AI5174" s="10"/>
      <c r="AJ5174" s="10"/>
      <c r="AK5174" s="10"/>
      <c r="AL5174" s="10"/>
      <c r="AM5174" s="10"/>
      <c r="AN5174" s="10"/>
      <c r="AO5174" s="10"/>
      <c r="AP5174" s="10"/>
      <c r="AQ5174" s="10"/>
      <c r="AR5174" s="10"/>
      <c r="AS5174" s="10"/>
      <c r="AT5174" s="10"/>
      <c r="AU5174" s="10"/>
      <c r="AV5174" s="10"/>
      <c r="AW5174" s="10"/>
      <c r="AX5174" s="10"/>
      <c r="AY5174" s="10"/>
      <c r="AZ5174" s="10"/>
    </row>
    <row r="5175" spans="31:52">
      <c r="AE5175" s="10"/>
      <c r="AF5175" s="10"/>
      <c r="AG5175" s="10"/>
      <c r="AH5175" s="10"/>
      <c r="AI5175" s="10"/>
      <c r="AJ5175" s="10"/>
      <c r="AK5175" s="10"/>
      <c r="AL5175" s="10"/>
      <c r="AM5175" s="10"/>
      <c r="AN5175" s="10"/>
      <c r="AO5175" s="10"/>
      <c r="AP5175" s="10"/>
      <c r="AQ5175" s="10"/>
      <c r="AR5175" s="10"/>
      <c r="AS5175" s="10"/>
      <c r="AT5175" s="10"/>
      <c r="AU5175" s="10"/>
      <c r="AV5175" s="10"/>
      <c r="AW5175" s="10"/>
      <c r="AX5175" s="10"/>
      <c r="AY5175" s="10"/>
      <c r="AZ5175" s="10"/>
    </row>
    <row r="5176" spans="31:52">
      <c r="AE5176" s="10"/>
      <c r="AF5176" s="10"/>
      <c r="AG5176" s="10"/>
      <c r="AH5176" s="10"/>
      <c r="AI5176" s="10"/>
      <c r="AJ5176" s="10"/>
      <c r="AK5176" s="10"/>
      <c r="AL5176" s="10"/>
      <c r="AM5176" s="10"/>
      <c r="AN5176" s="10"/>
      <c r="AO5176" s="10"/>
      <c r="AP5176" s="10"/>
      <c r="AQ5176" s="10"/>
      <c r="AR5176" s="10"/>
      <c r="AS5176" s="10"/>
      <c r="AT5176" s="10"/>
      <c r="AU5176" s="10"/>
      <c r="AV5176" s="10"/>
      <c r="AW5176" s="10"/>
      <c r="AX5176" s="10"/>
      <c r="AY5176" s="10"/>
      <c r="AZ5176" s="10"/>
    </row>
    <row r="5177" spans="31:52">
      <c r="AE5177" s="10"/>
      <c r="AF5177" s="10"/>
      <c r="AG5177" s="10"/>
      <c r="AH5177" s="10"/>
      <c r="AI5177" s="10"/>
      <c r="AJ5177" s="10"/>
      <c r="AK5177" s="10"/>
      <c r="AL5177" s="10"/>
      <c r="AM5177" s="10"/>
      <c r="AN5177" s="10"/>
      <c r="AO5177" s="10"/>
      <c r="AP5177" s="10"/>
      <c r="AQ5177" s="10"/>
      <c r="AR5177" s="10"/>
      <c r="AS5177" s="10"/>
      <c r="AT5177" s="10"/>
      <c r="AU5177" s="10"/>
      <c r="AV5177" s="10"/>
      <c r="AW5177" s="10"/>
      <c r="AX5177" s="10"/>
      <c r="AY5177" s="10"/>
      <c r="AZ5177" s="10"/>
    </row>
    <row r="5178" spans="31:52">
      <c r="AE5178" s="10"/>
      <c r="AF5178" s="10"/>
      <c r="AG5178" s="10"/>
      <c r="AH5178" s="10"/>
      <c r="AI5178" s="10"/>
      <c r="AJ5178" s="10"/>
      <c r="AK5178" s="10"/>
      <c r="AL5178" s="10"/>
      <c r="AM5178" s="10"/>
      <c r="AN5178" s="10"/>
      <c r="AO5178" s="10"/>
      <c r="AP5178" s="10"/>
      <c r="AQ5178" s="10"/>
      <c r="AR5178" s="10"/>
      <c r="AS5178" s="10"/>
      <c r="AT5178" s="10"/>
      <c r="AU5178" s="10"/>
      <c r="AV5178" s="10"/>
      <c r="AW5178" s="10"/>
      <c r="AX5178" s="10"/>
      <c r="AY5178" s="10"/>
      <c r="AZ5178" s="10"/>
    </row>
    <row r="5179" spans="31:52">
      <c r="AE5179" s="10"/>
      <c r="AF5179" s="10"/>
      <c r="AG5179" s="10"/>
      <c r="AH5179" s="10"/>
      <c r="AI5179" s="10"/>
      <c r="AJ5179" s="10"/>
      <c r="AK5179" s="10"/>
      <c r="AL5179" s="10"/>
      <c r="AM5179" s="10"/>
      <c r="AN5179" s="10"/>
      <c r="AO5179" s="10"/>
      <c r="AP5179" s="10"/>
      <c r="AQ5179" s="10"/>
      <c r="AR5179" s="10"/>
      <c r="AS5179" s="10"/>
      <c r="AT5179" s="10"/>
      <c r="AU5179" s="10"/>
      <c r="AV5179" s="10"/>
      <c r="AW5179" s="10"/>
      <c r="AX5179" s="10"/>
      <c r="AY5179" s="10"/>
      <c r="AZ5179" s="10"/>
    </row>
    <row r="5180" spans="31:52">
      <c r="AE5180" s="10"/>
      <c r="AF5180" s="10"/>
      <c r="AG5180" s="10"/>
      <c r="AH5180" s="10"/>
      <c r="AI5180" s="10"/>
      <c r="AJ5180" s="10"/>
      <c r="AK5180" s="10"/>
      <c r="AL5180" s="10"/>
      <c r="AM5180" s="10"/>
      <c r="AN5180" s="10"/>
      <c r="AO5180" s="10"/>
      <c r="AP5180" s="10"/>
      <c r="AQ5180" s="10"/>
      <c r="AR5180" s="10"/>
      <c r="AS5180" s="10"/>
      <c r="AT5180" s="10"/>
      <c r="AU5180" s="10"/>
      <c r="AV5180" s="10"/>
      <c r="AW5180" s="10"/>
      <c r="AX5180" s="10"/>
      <c r="AY5180" s="10"/>
      <c r="AZ5180" s="10"/>
    </row>
    <row r="5181" spans="31:52">
      <c r="AE5181" s="10"/>
      <c r="AF5181" s="10"/>
      <c r="AG5181" s="10"/>
      <c r="AH5181" s="10"/>
      <c r="AI5181" s="10"/>
      <c r="AJ5181" s="10"/>
      <c r="AK5181" s="10"/>
      <c r="AL5181" s="10"/>
      <c r="AM5181" s="10"/>
      <c r="AN5181" s="10"/>
      <c r="AO5181" s="10"/>
      <c r="AP5181" s="10"/>
      <c r="AQ5181" s="10"/>
      <c r="AR5181" s="10"/>
      <c r="AS5181" s="10"/>
      <c r="AT5181" s="10"/>
      <c r="AU5181" s="10"/>
      <c r="AV5181" s="10"/>
      <c r="AW5181" s="10"/>
      <c r="AX5181" s="10"/>
      <c r="AY5181" s="10"/>
      <c r="AZ5181" s="10"/>
    </row>
    <row r="5182" spans="31:52">
      <c r="AE5182" s="10"/>
      <c r="AF5182" s="10"/>
      <c r="AG5182" s="10"/>
      <c r="AH5182" s="10"/>
      <c r="AI5182" s="10"/>
      <c r="AJ5182" s="10"/>
      <c r="AK5182" s="10"/>
      <c r="AL5182" s="10"/>
      <c r="AM5182" s="10"/>
      <c r="AN5182" s="10"/>
      <c r="AO5182" s="10"/>
      <c r="AP5182" s="10"/>
      <c r="AQ5182" s="10"/>
      <c r="AR5182" s="10"/>
      <c r="AS5182" s="10"/>
      <c r="AT5182" s="10"/>
      <c r="AU5182" s="10"/>
      <c r="AV5182" s="10"/>
      <c r="AW5182" s="10"/>
      <c r="AX5182" s="10"/>
      <c r="AY5182" s="10"/>
      <c r="AZ5182" s="10"/>
    </row>
    <row r="5183" spans="31:52">
      <c r="AE5183" s="10"/>
      <c r="AF5183" s="10"/>
      <c r="AG5183" s="10"/>
      <c r="AH5183" s="10"/>
      <c r="AI5183" s="10"/>
      <c r="AJ5183" s="10"/>
      <c r="AK5183" s="10"/>
      <c r="AL5183" s="10"/>
      <c r="AM5183" s="10"/>
      <c r="AN5183" s="10"/>
      <c r="AO5183" s="10"/>
      <c r="AP5183" s="10"/>
      <c r="AQ5183" s="10"/>
      <c r="AR5183" s="10"/>
      <c r="AS5183" s="10"/>
      <c r="AT5183" s="10"/>
      <c r="AU5183" s="10"/>
      <c r="AV5183" s="10"/>
      <c r="AW5183" s="10"/>
      <c r="AX5183" s="10"/>
      <c r="AY5183" s="10"/>
      <c r="AZ5183" s="10"/>
    </row>
    <row r="5184" spans="31:52">
      <c r="AE5184" s="10"/>
      <c r="AF5184" s="10"/>
      <c r="AG5184" s="10"/>
      <c r="AH5184" s="10"/>
      <c r="AI5184" s="10"/>
      <c r="AJ5184" s="10"/>
      <c r="AK5184" s="10"/>
      <c r="AL5184" s="10"/>
      <c r="AM5184" s="10"/>
      <c r="AN5184" s="10"/>
      <c r="AO5184" s="10"/>
      <c r="AP5184" s="10"/>
      <c r="AQ5184" s="10"/>
      <c r="AR5184" s="10"/>
      <c r="AS5184" s="10"/>
      <c r="AT5184" s="10"/>
      <c r="AU5184" s="10"/>
      <c r="AV5184" s="10"/>
      <c r="AW5184" s="10"/>
      <c r="AX5184" s="10"/>
      <c r="AY5184" s="10"/>
      <c r="AZ5184" s="10"/>
    </row>
    <row r="5185" spans="31:52">
      <c r="AE5185" s="10"/>
      <c r="AF5185" s="10"/>
      <c r="AG5185" s="10"/>
      <c r="AH5185" s="10"/>
      <c r="AI5185" s="10"/>
      <c r="AJ5185" s="10"/>
      <c r="AK5185" s="10"/>
      <c r="AL5185" s="10"/>
      <c r="AM5185" s="10"/>
      <c r="AN5185" s="10"/>
      <c r="AO5185" s="10"/>
      <c r="AP5185" s="10"/>
      <c r="AQ5185" s="10"/>
      <c r="AR5185" s="10"/>
      <c r="AS5185" s="10"/>
      <c r="AT5185" s="10"/>
      <c r="AU5185" s="10"/>
      <c r="AV5185" s="10"/>
      <c r="AW5185" s="10"/>
      <c r="AX5185" s="10"/>
      <c r="AY5185" s="10"/>
      <c r="AZ5185" s="10"/>
    </row>
    <row r="5186" spans="31:52">
      <c r="AE5186" s="10"/>
      <c r="AF5186" s="10"/>
      <c r="AG5186" s="10"/>
      <c r="AH5186" s="10"/>
      <c r="AI5186" s="10"/>
      <c r="AJ5186" s="10"/>
      <c r="AK5186" s="10"/>
      <c r="AL5186" s="10"/>
      <c r="AM5186" s="10"/>
      <c r="AN5186" s="10"/>
      <c r="AO5186" s="10"/>
      <c r="AP5186" s="10"/>
      <c r="AQ5186" s="10"/>
      <c r="AR5186" s="10"/>
      <c r="AS5186" s="10"/>
      <c r="AT5186" s="10"/>
      <c r="AU5186" s="10"/>
      <c r="AV5186" s="10"/>
      <c r="AW5186" s="10"/>
      <c r="AX5186" s="10"/>
      <c r="AY5186" s="10"/>
      <c r="AZ5186" s="10"/>
    </row>
    <row r="5187" spans="31:52">
      <c r="AE5187" s="10"/>
      <c r="AF5187" s="10"/>
      <c r="AG5187" s="10"/>
      <c r="AH5187" s="10"/>
      <c r="AI5187" s="10"/>
      <c r="AJ5187" s="10"/>
      <c r="AK5187" s="10"/>
      <c r="AL5187" s="10"/>
      <c r="AM5187" s="10"/>
      <c r="AN5187" s="10"/>
      <c r="AO5187" s="10"/>
      <c r="AP5187" s="10"/>
      <c r="AQ5187" s="10"/>
      <c r="AR5187" s="10"/>
      <c r="AS5187" s="10"/>
      <c r="AT5187" s="10"/>
      <c r="AU5187" s="10"/>
      <c r="AV5187" s="10"/>
      <c r="AW5187" s="10"/>
      <c r="AX5187" s="10"/>
      <c r="AY5187" s="10"/>
      <c r="AZ5187" s="10"/>
    </row>
    <row r="5188" spans="31:52">
      <c r="AE5188" s="10"/>
      <c r="AF5188" s="10"/>
      <c r="AG5188" s="10"/>
      <c r="AH5188" s="10"/>
      <c r="AI5188" s="10"/>
      <c r="AJ5188" s="10"/>
      <c r="AK5188" s="10"/>
      <c r="AL5188" s="10"/>
      <c r="AM5188" s="10"/>
      <c r="AN5188" s="10"/>
      <c r="AO5188" s="10"/>
      <c r="AP5188" s="10"/>
      <c r="AQ5188" s="10"/>
      <c r="AR5188" s="10"/>
      <c r="AS5188" s="10"/>
      <c r="AT5188" s="10"/>
      <c r="AU5188" s="10"/>
      <c r="AV5188" s="10"/>
      <c r="AW5188" s="10"/>
      <c r="AX5188" s="10"/>
      <c r="AY5188" s="10"/>
      <c r="AZ5188" s="10"/>
    </row>
    <row r="5189" spans="31:52">
      <c r="AE5189" s="10"/>
      <c r="AF5189" s="10"/>
      <c r="AG5189" s="10"/>
      <c r="AH5189" s="10"/>
      <c r="AI5189" s="10"/>
      <c r="AJ5189" s="10"/>
      <c r="AK5189" s="10"/>
      <c r="AL5189" s="10"/>
      <c r="AM5189" s="10"/>
      <c r="AN5189" s="10"/>
      <c r="AO5189" s="10"/>
      <c r="AP5189" s="10"/>
      <c r="AQ5189" s="10"/>
      <c r="AR5189" s="10"/>
      <c r="AS5189" s="10"/>
      <c r="AT5189" s="10"/>
      <c r="AU5189" s="10"/>
      <c r="AV5189" s="10"/>
      <c r="AW5189" s="10"/>
      <c r="AX5189" s="10"/>
      <c r="AY5189" s="10"/>
      <c r="AZ5189" s="10"/>
    </row>
    <row r="5190" spans="31:52">
      <c r="AE5190" s="10"/>
      <c r="AF5190" s="10"/>
      <c r="AG5190" s="10"/>
      <c r="AH5190" s="10"/>
      <c r="AI5190" s="10"/>
      <c r="AJ5190" s="10"/>
      <c r="AK5190" s="10"/>
      <c r="AL5190" s="10"/>
      <c r="AM5190" s="10"/>
      <c r="AN5190" s="10"/>
      <c r="AO5190" s="10"/>
      <c r="AP5190" s="10"/>
      <c r="AQ5190" s="10"/>
      <c r="AR5190" s="10"/>
      <c r="AS5190" s="10"/>
      <c r="AT5190" s="10"/>
      <c r="AU5190" s="10"/>
      <c r="AV5190" s="10"/>
      <c r="AW5190" s="10"/>
      <c r="AX5190" s="10"/>
      <c r="AY5190" s="10"/>
      <c r="AZ5190" s="10"/>
    </row>
    <row r="5191" spans="31:52">
      <c r="AE5191" s="10"/>
      <c r="AF5191" s="10"/>
      <c r="AG5191" s="10"/>
      <c r="AH5191" s="10"/>
      <c r="AI5191" s="10"/>
      <c r="AJ5191" s="10"/>
      <c r="AK5191" s="10"/>
      <c r="AL5191" s="10"/>
      <c r="AM5191" s="10"/>
      <c r="AN5191" s="10"/>
      <c r="AO5191" s="10"/>
      <c r="AP5191" s="10"/>
      <c r="AQ5191" s="10"/>
      <c r="AR5191" s="10"/>
      <c r="AS5191" s="10"/>
      <c r="AT5191" s="10"/>
      <c r="AU5191" s="10"/>
      <c r="AV5191" s="10"/>
      <c r="AW5191" s="10"/>
      <c r="AX5191" s="10"/>
      <c r="AY5191" s="10"/>
      <c r="AZ5191" s="10"/>
    </row>
    <row r="5192" spans="31:52">
      <c r="AE5192" s="10"/>
      <c r="AF5192" s="10"/>
      <c r="AG5192" s="10"/>
      <c r="AH5192" s="10"/>
      <c r="AI5192" s="10"/>
      <c r="AJ5192" s="10"/>
      <c r="AK5192" s="10"/>
      <c r="AL5192" s="10"/>
      <c r="AM5192" s="10"/>
      <c r="AN5192" s="10"/>
      <c r="AO5192" s="10"/>
      <c r="AP5192" s="10"/>
      <c r="AQ5192" s="10"/>
      <c r="AR5192" s="10"/>
      <c r="AS5192" s="10"/>
      <c r="AT5192" s="10"/>
      <c r="AU5192" s="10"/>
      <c r="AV5192" s="10"/>
      <c r="AW5192" s="10"/>
      <c r="AX5192" s="10"/>
      <c r="AY5192" s="10"/>
      <c r="AZ5192" s="10"/>
    </row>
    <row r="5193" spans="31:52">
      <c r="AE5193" s="10"/>
      <c r="AF5193" s="10"/>
      <c r="AG5193" s="10"/>
      <c r="AH5193" s="10"/>
      <c r="AI5193" s="10"/>
      <c r="AJ5193" s="10"/>
      <c r="AK5193" s="10"/>
      <c r="AL5193" s="10"/>
      <c r="AM5193" s="10"/>
      <c r="AN5193" s="10"/>
      <c r="AO5193" s="10"/>
      <c r="AP5193" s="10"/>
      <c r="AQ5193" s="10"/>
      <c r="AR5193" s="10"/>
      <c r="AS5193" s="10"/>
      <c r="AT5193" s="10"/>
      <c r="AU5193" s="10"/>
      <c r="AV5193" s="10"/>
      <c r="AW5193" s="10"/>
      <c r="AX5193" s="10"/>
      <c r="AY5193" s="10"/>
      <c r="AZ5193" s="10"/>
    </row>
    <row r="5194" spans="31:52">
      <c r="AE5194" s="10"/>
      <c r="AF5194" s="10"/>
      <c r="AG5194" s="10"/>
      <c r="AH5194" s="10"/>
      <c r="AI5194" s="10"/>
      <c r="AJ5194" s="10"/>
      <c r="AK5194" s="10"/>
      <c r="AL5194" s="10"/>
      <c r="AM5194" s="10"/>
      <c r="AN5194" s="10"/>
      <c r="AO5194" s="10"/>
      <c r="AP5194" s="10"/>
      <c r="AQ5194" s="10"/>
      <c r="AR5194" s="10"/>
      <c r="AS5194" s="10"/>
      <c r="AT5194" s="10"/>
      <c r="AU5194" s="10"/>
      <c r="AV5194" s="10"/>
      <c r="AW5194" s="10"/>
      <c r="AX5194" s="10"/>
      <c r="AY5194" s="10"/>
      <c r="AZ5194" s="10"/>
    </row>
    <row r="5195" spans="31:52">
      <c r="AE5195" s="10"/>
      <c r="AF5195" s="10"/>
      <c r="AG5195" s="10"/>
      <c r="AH5195" s="10"/>
      <c r="AI5195" s="10"/>
      <c r="AJ5195" s="10"/>
      <c r="AK5195" s="10"/>
      <c r="AL5195" s="10"/>
      <c r="AM5195" s="10"/>
      <c r="AN5195" s="10"/>
      <c r="AO5195" s="10"/>
      <c r="AP5195" s="10"/>
      <c r="AQ5195" s="10"/>
      <c r="AR5195" s="10"/>
      <c r="AS5195" s="10"/>
      <c r="AT5195" s="10"/>
      <c r="AU5195" s="10"/>
      <c r="AV5195" s="10"/>
      <c r="AW5195" s="10"/>
      <c r="AX5195" s="10"/>
      <c r="AY5195" s="10"/>
      <c r="AZ5195" s="10"/>
    </row>
    <row r="5196" spans="31:52">
      <c r="AE5196" s="10"/>
      <c r="AF5196" s="10"/>
      <c r="AG5196" s="10"/>
      <c r="AH5196" s="10"/>
      <c r="AI5196" s="10"/>
      <c r="AJ5196" s="10"/>
      <c r="AK5196" s="10"/>
      <c r="AL5196" s="10"/>
      <c r="AM5196" s="10"/>
      <c r="AN5196" s="10"/>
      <c r="AO5196" s="10"/>
      <c r="AP5196" s="10"/>
      <c r="AQ5196" s="10"/>
      <c r="AR5196" s="10"/>
      <c r="AS5196" s="10"/>
      <c r="AT5196" s="10"/>
      <c r="AU5196" s="10"/>
      <c r="AV5196" s="10"/>
      <c r="AW5196" s="10"/>
      <c r="AX5196" s="10"/>
      <c r="AY5196" s="10"/>
      <c r="AZ5196" s="10"/>
    </row>
    <row r="5197" spans="31:52">
      <c r="AE5197" s="10"/>
      <c r="AF5197" s="10"/>
      <c r="AG5197" s="10"/>
      <c r="AH5197" s="10"/>
      <c r="AI5197" s="10"/>
      <c r="AJ5197" s="10"/>
      <c r="AK5197" s="10"/>
      <c r="AL5197" s="10"/>
      <c r="AM5197" s="10"/>
      <c r="AN5197" s="10"/>
      <c r="AO5197" s="10"/>
      <c r="AP5197" s="10"/>
      <c r="AQ5197" s="10"/>
      <c r="AR5197" s="10"/>
      <c r="AS5197" s="10"/>
      <c r="AT5197" s="10"/>
      <c r="AU5197" s="10"/>
      <c r="AV5197" s="10"/>
      <c r="AW5197" s="10"/>
      <c r="AX5197" s="10"/>
      <c r="AY5197" s="10"/>
      <c r="AZ5197" s="10"/>
    </row>
    <row r="5198" spans="31:52">
      <c r="AE5198" s="10"/>
      <c r="AF5198" s="10"/>
      <c r="AG5198" s="10"/>
      <c r="AH5198" s="10"/>
      <c r="AI5198" s="10"/>
      <c r="AJ5198" s="10"/>
      <c r="AK5198" s="10"/>
      <c r="AL5198" s="10"/>
      <c r="AM5198" s="10"/>
      <c r="AN5198" s="10"/>
      <c r="AO5198" s="10"/>
      <c r="AP5198" s="10"/>
      <c r="AQ5198" s="10"/>
      <c r="AR5198" s="10"/>
      <c r="AS5198" s="10"/>
      <c r="AT5198" s="10"/>
      <c r="AU5198" s="10"/>
      <c r="AV5198" s="10"/>
      <c r="AW5198" s="10"/>
      <c r="AX5198" s="10"/>
      <c r="AY5198" s="10"/>
      <c r="AZ5198" s="10"/>
    </row>
    <row r="5199" spans="31:52">
      <c r="AE5199" s="10"/>
      <c r="AF5199" s="10"/>
      <c r="AG5199" s="10"/>
      <c r="AH5199" s="10"/>
      <c r="AI5199" s="10"/>
      <c r="AJ5199" s="10"/>
      <c r="AK5199" s="10"/>
      <c r="AL5199" s="10"/>
      <c r="AM5199" s="10"/>
      <c r="AN5199" s="10"/>
      <c r="AO5199" s="10"/>
      <c r="AP5199" s="10"/>
      <c r="AQ5199" s="10"/>
      <c r="AR5199" s="10"/>
      <c r="AS5199" s="10"/>
      <c r="AT5199" s="10"/>
      <c r="AU5199" s="10"/>
      <c r="AV5199" s="10"/>
      <c r="AW5199" s="10"/>
      <c r="AX5199" s="10"/>
      <c r="AY5199" s="10"/>
      <c r="AZ5199" s="10"/>
    </row>
    <row r="5200" spans="31:52">
      <c r="AE5200" s="10"/>
      <c r="AF5200" s="10"/>
      <c r="AG5200" s="10"/>
      <c r="AH5200" s="10"/>
      <c r="AI5200" s="10"/>
      <c r="AJ5200" s="10"/>
      <c r="AK5200" s="10"/>
      <c r="AL5200" s="10"/>
      <c r="AM5200" s="10"/>
      <c r="AN5200" s="10"/>
      <c r="AO5200" s="10"/>
      <c r="AP5200" s="10"/>
      <c r="AQ5200" s="10"/>
      <c r="AR5200" s="10"/>
      <c r="AS5200" s="10"/>
      <c r="AT5200" s="10"/>
      <c r="AU5200" s="10"/>
      <c r="AV5200" s="10"/>
      <c r="AW5200" s="10"/>
      <c r="AX5200" s="10"/>
      <c r="AY5200" s="10"/>
      <c r="AZ5200" s="10"/>
    </row>
    <row r="5201" spans="31:52">
      <c r="AE5201" s="10"/>
      <c r="AF5201" s="10"/>
      <c r="AG5201" s="10"/>
      <c r="AH5201" s="10"/>
      <c r="AI5201" s="10"/>
      <c r="AJ5201" s="10"/>
      <c r="AK5201" s="10"/>
      <c r="AL5201" s="10"/>
      <c r="AM5201" s="10"/>
      <c r="AN5201" s="10"/>
      <c r="AO5201" s="10"/>
      <c r="AP5201" s="10"/>
      <c r="AQ5201" s="10"/>
      <c r="AR5201" s="10"/>
      <c r="AS5201" s="10"/>
      <c r="AT5201" s="10"/>
      <c r="AU5201" s="10"/>
      <c r="AV5201" s="10"/>
      <c r="AW5201" s="10"/>
      <c r="AX5201" s="10"/>
      <c r="AY5201" s="10"/>
      <c r="AZ5201" s="10"/>
    </row>
    <row r="5202" spans="31:52">
      <c r="AE5202" s="10"/>
      <c r="AF5202" s="10"/>
      <c r="AG5202" s="10"/>
      <c r="AH5202" s="10"/>
      <c r="AI5202" s="10"/>
      <c r="AJ5202" s="10"/>
      <c r="AK5202" s="10"/>
      <c r="AL5202" s="10"/>
      <c r="AM5202" s="10"/>
      <c r="AN5202" s="10"/>
      <c r="AO5202" s="10"/>
      <c r="AP5202" s="10"/>
      <c r="AQ5202" s="10"/>
      <c r="AR5202" s="10"/>
      <c r="AS5202" s="10"/>
      <c r="AT5202" s="10"/>
      <c r="AU5202" s="10"/>
      <c r="AV5202" s="10"/>
      <c r="AW5202" s="10"/>
      <c r="AX5202" s="10"/>
      <c r="AY5202" s="10"/>
      <c r="AZ5202" s="10"/>
    </row>
    <row r="5203" spans="31:52">
      <c r="AE5203" s="10"/>
      <c r="AF5203" s="10"/>
      <c r="AG5203" s="10"/>
      <c r="AH5203" s="10"/>
      <c r="AI5203" s="10"/>
      <c r="AJ5203" s="10"/>
      <c r="AK5203" s="10"/>
      <c r="AL5203" s="10"/>
      <c r="AM5203" s="10"/>
      <c r="AN5203" s="10"/>
      <c r="AO5203" s="10"/>
      <c r="AP5203" s="10"/>
      <c r="AQ5203" s="10"/>
      <c r="AR5203" s="10"/>
      <c r="AS5203" s="10"/>
      <c r="AT5203" s="10"/>
      <c r="AU5203" s="10"/>
      <c r="AV5203" s="10"/>
      <c r="AW5203" s="10"/>
      <c r="AX5203" s="10"/>
      <c r="AY5203" s="10"/>
      <c r="AZ5203" s="10"/>
    </row>
    <row r="5204" spans="31:52">
      <c r="AE5204" s="10"/>
      <c r="AF5204" s="10"/>
      <c r="AG5204" s="10"/>
      <c r="AH5204" s="10"/>
      <c r="AI5204" s="10"/>
      <c r="AJ5204" s="10"/>
      <c r="AK5204" s="10"/>
      <c r="AL5204" s="10"/>
      <c r="AM5204" s="10"/>
      <c r="AN5204" s="10"/>
      <c r="AO5204" s="10"/>
      <c r="AP5204" s="10"/>
      <c r="AQ5204" s="10"/>
      <c r="AR5204" s="10"/>
      <c r="AS5204" s="10"/>
      <c r="AT5204" s="10"/>
      <c r="AU5204" s="10"/>
      <c r="AV5204" s="10"/>
      <c r="AW5204" s="10"/>
      <c r="AX5204" s="10"/>
      <c r="AY5204" s="10"/>
      <c r="AZ5204" s="10"/>
    </row>
    <row r="5205" spans="31:52">
      <c r="AE5205" s="10"/>
      <c r="AF5205" s="10"/>
      <c r="AG5205" s="10"/>
      <c r="AH5205" s="10"/>
      <c r="AI5205" s="10"/>
      <c r="AJ5205" s="10"/>
      <c r="AK5205" s="10"/>
      <c r="AL5205" s="10"/>
      <c r="AM5205" s="10"/>
      <c r="AN5205" s="10"/>
      <c r="AO5205" s="10"/>
      <c r="AP5205" s="10"/>
      <c r="AQ5205" s="10"/>
      <c r="AR5205" s="10"/>
      <c r="AS5205" s="10"/>
      <c r="AT5205" s="10"/>
      <c r="AU5205" s="10"/>
      <c r="AV5205" s="10"/>
      <c r="AW5205" s="10"/>
      <c r="AX5205" s="10"/>
      <c r="AY5205" s="10"/>
      <c r="AZ5205" s="10"/>
    </row>
    <row r="5206" spans="31:52">
      <c r="AE5206" s="10"/>
      <c r="AF5206" s="10"/>
      <c r="AG5206" s="10"/>
      <c r="AH5206" s="10"/>
      <c r="AI5206" s="10"/>
      <c r="AJ5206" s="10"/>
      <c r="AK5206" s="10"/>
      <c r="AL5206" s="10"/>
      <c r="AM5206" s="10"/>
      <c r="AN5206" s="10"/>
      <c r="AO5206" s="10"/>
      <c r="AP5206" s="10"/>
      <c r="AQ5206" s="10"/>
      <c r="AR5206" s="10"/>
      <c r="AS5206" s="10"/>
      <c r="AT5206" s="10"/>
      <c r="AU5206" s="10"/>
      <c r="AV5206" s="10"/>
      <c r="AW5206" s="10"/>
      <c r="AX5206" s="10"/>
      <c r="AY5206" s="10"/>
      <c r="AZ5206" s="10"/>
    </row>
    <row r="5207" spans="31:52">
      <c r="AE5207" s="10"/>
      <c r="AF5207" s="10"/>
      <c r="AG5207" s="10"/>
      <c r="AH5207" s="10"/>
      <c r="AI5207" s="10"/>
      <c r="AJ5207" s="10"/>
      <c r="AK5207" s="10"/>
      <c r="AL5207" s="10"/>
      <c r="AM5207" s="10"/>
      <c r="AN5207" s="10"/>
      <c r="AO5207" s="10"/>
      <c r="AP5207" s="10"/>
      <c r="AQ5207" s="10"/>
      <c r="AR5207" s="10"/>
      <c r="AS5207" s="10"/>
      <c r="AT5207" s="10"/>
      <c r="AU5207" s="10"/>
      <c r="AV5207" s="10"/>
      <c r="AW5207" s="10"/>
      <c r="AX5207" s="10"/>
      <c r="AY5207" s="10"/>
      <c r="AZ5207" s="10"/>
    </row>
    <row r="5208" spans="31:52">
      <c r="AE5208" s="10"/>
      <c r="AF5208" s="10"/>
      <c r="AG5208" s="10"/>
      <c r="AH5208" s="10"/>
      <c r="AI5208" s="10"/>
      <c r="AJ5208" s="10"/>
      <c r="AK5208" s="10"/>
      <c r="AL5208" s="10"/>
      <c r="AM5208" s="10"/>
      <c r="AN5208" s="10"/>
      <c r="AO5208" s="10"/>
      <c r="AP5208" s="10"/>
      <c r="AQ5208" s="10"/>
      <c r="AR5208" s="10"/>
      <c r="AS5208" s="10"/>
      <c r="AT5208" s="10"/>
      <c r="AU5208" s="10"/>
      <c r="AV5208" s="10"/>
      <c r="AW5208" s="10"/>
      <c r="AX5208" s="10"/>
      <c r="AY5208" s="10"/>
      <c r="AZ5208" s="10"/>
    </row>
    <row r="5209" spans="31:52">
      <c r="AE5209" s="10"/>
      <c r="AF5209" s="10"/>
      <c r="AG5209" s="10"/>
      <c r="AH5209" s="10"/>
      <c r="AI5209" s="10"/>
      <c r="AJ5209" s="10"/>
      <c r="AK5209" s="10"/>
      <c r="AL5209" s="10"/>
      <c r="AM5209" s="10"/>
      <c r="AN5209" s="10"/>
      <c r="AO5209" s="10"/>
      <c r="AP5209" s="10"/>
      <c r="AQ5209" s="10"/>
      <c r="AR5209" s="10"/>
      <c r="AS5209" s="10"/>
      <c r="AT5209" s="10"/>
      <c r="AU5209" s="10"/>
      <c r="AV5209" s="10"/>
      <c r="AW5209" s="10"/>
      <c r="AX5209" s="10"/>
      <c r="AY5209" s="10"/>
      <c r="AZ5209" s="10"/>
    </row>
    <row r="5210" spans="31:52">
      <c r="AE5210" s="10"/>
      <c r="AF5210" s="10"/>
      <c r="AG5210" s="10"/>
      <c r="AH5210" s="10"/>
      <c r="AI5210" s="10"/>
      <c r="AJ5210" s="10"/>
      <c r="AK5210" s="10"/>
      <c r="AL5210" s="10"/>
      <c r="AM5210" s="10"/>
      <c r="AN5210" s="10"/>
      <c r="AO5210" s="10"/>
      <c r="AP5210" s="10"/>
      <c r="AQ5210" s="10"/>
      <c r="AR5210" s="10"/>
      <c r="AS5210" s="10"/>
      <c r="AT5210" s="10"/>
      <c r="AU5210" s="10"/>
      <c r="AV5210" s="10"/>
      <c r="AW5210" s="10"/>
      <c r="AX5210" s="10"/>
      <c r="AY5210" s="10"/>
      <c r="AZ5210" s="10"/>
    </row>
    <row r="5211" spans="31:52">
      <c r="AE5211" s="10"/>
      <c r="AF5211" s="10"/>
      <c r="AG5211" s="10"/>
      <c r="AH5211" s="10"/>
      <c r="AI5211" s="10"/>
      <c r="AJ5211" s="10"/>
      <c r="AK5211" s="10"/>
      <c r="AL5211" s="10"/>
      <c r="AM5211" s="10"/>
      <c r="AN5211" s="10"/>
      <c r="AO5211" s="10"/>
      <c r="AP5211" s="10"/>
      <c r="AQ5211" s="10"/>
      <c r="AR5211" s="10"/>
      <c r="AS5211" s="10"/>
      <c r="AT5211" s="10"/>
      <c r="AU5211" s="10"/>
      <c r="AV5211" s="10"/>
      <c r="AW5211" s="10"/>
      <c r="AX5211" s="10"/>
      <c r="AY5211" s="10"/>
      <c r="AZ5211" s="10"/>
    </row>
    <row r="5212" spans="31:52">
      <c r="AE5212" s="10"/>
      <c r="AF5212" s="10"/>
      <c r="AG5212" s="10"/>
      <c r="AH5212" s="10"/>
      <c r="AI5212" s="10"/>
      <c r="AJ5212" s="10"/>
      <c r="AK5212" s="10"/>
      <c r="AL5212" s="10"/>
      <c r="AM5212" s="10"/>
      <c r="AN5212" s="10"/>
      <c r="AO5212" s="10"/>
      <c r="AP5212" s="10"/>
      <c r="AQ5212" s="10"/>
      <c r="AR5212" s="10"/>
      <c r="AS5212" s="10"/>
      <c r="AT5212" s="10"/>
      <c r="AU5212" s="10"/>
      <c r="AV5212" s="10"/>
      <c r="AW5212" s="10"/>
      <c r="AX5212" s="10"/>
      <c r="AY5212" s="10"/>
      <c r="AZ5212" s="10"/>
    </row>
    <row r="5213" spans="31:52">
      <c r="AE5213" s="10"/>
      <c r="AF5213" s="10"/>
      <c r="AG5213" s="10"/>
      <c r="AH5213" s="10"/>
      <c r="AI5213" s="10"/>
      <c r="AJ5213" s="10"/>
      <c r="AK5213" s="10"/>
      <c r="AL5213" s="10"/>
      <c r="AM5213" s="10"/>
      <c r="AN5213" s="10"/>
      <c r="AO5213" s="10"/>
      <c r="AP5213" s="10"/>
      <c r="AQ5213" s="10"/>
      <c r="AR5213" s="10"/>
      <c r="AS5213" s="10"/>
      <c r="AT5213" s="10"/>
      <c r="AU5213" s="10"/>
      <c r="AV5213" s="10"/>
      <c r="AW5213" s="10"/>
      <c r="AX5213" s="10"/>
      <c r="AY5213" s="10"/>
      <c r="AZ5213" s="10"/>
    </row>
    <row r="5214" spans="31:52">
      <c r="AE5214" s="10"/>
      <c r="AF5214" s="10"/>
      <c r="AG5214" s="10"/>
      <c r="AH5214" s="10"/>
      <c r="AI5214" s="10"/>
      <c r="AJ5214" s="10"/>
      <c r="AK5214" s="10"/>
      <c r="AL5214" s="10"/>
      <c r="AM5214" s="10"/>
      <c r="AN5214" s="10"/>
      <c r="AO5214" s="10"/>
      <c r="AP5214" s="10"/>
      <c r="AQ5214" s="10"/>
      <c r="AR5214" s="10"/>
      <c r="AS5214" s="10"/>
      <c r="AT5214" s="10"/>
      <c r="AU5214" s="10"/>
      <c r="AV5214" s="10"/>
      <c r="AW5214" s="10"/>
      <c r="AX5214" s="10"/>
      <c r="AY5214" s="10"/>
      <c r="AZ5214" s="10"/>
    </row>
    <row r="5215" spans="31:52">
      <c r="AE5215" s="10"/>
      <c r="AF5215" s="10"/>
      <c r="AG5215" s="10"/>
      <c r="AH5215" s="10"/>
      <c r="AI5215" s="10"/>
      <c r="AJ5215" s="10"/>
      <c r="AK5215" s="10"/>
      <c r="AL5215" s="10"/>
      <c r="AM5215" s="10"/>
      <c r="AN5215" s="10"/>
      <c r="AO5215" s="10"/>
      <c r="AP5215" s="10"/>
      <c r="AQ5215" s="10"/>
      <c r="AR5215" s="10"/>
      <c r="AS5215" s="10"/>
      <c r="AT5215" s="10"/>
      <c r="AU5215" s="10"/>
      <c r="AV5215" s="10"/>
      <c r="AW5215" s="10"/>
      <c r="AX5215" s="10"/>
      <c r="AY5215" s="10"/>
      <c r="AZ5215" s="10"/>
    </row>
    <row r="5216" spans="31:52">
      <c r="AE5216" s="10"/>
      <c r="AF5216" s="10"/>
      <c r="AG5216" s="10"/>
      <c r="AH5216" s="10"/>
      <c r="AI5216" s="10"/>
      <c r="AJ5216" s="10"/>
      <c r="AK5216" s="10"/>
      <c r="AL5216" s="10"/>
      <c r="AM5216" s="10"/>
      <c r="AN5216" s="10"/>
      <c r="AO5216" s="10"/>
      <c r="AP5216" s="10"/>
      <c r="AQ5216" s="10"/>
      <c r="AR5216" s="10"/>
      <c r="AS5216" s="10"/>
      <c r="AT5216" s="10"/>
      <c r="AU5216" s="10"/>
      <c r="AV5216" s="10"/>
      <c r="AW5216" s="10"/>
      <c r="AX5216" s="10"/>
      <c r="AY5216" s="10"/>
      <c r="AZ5216" s="10"/>
    </row>
    <row r="5217" spans="31:52">
      <c r="AE5217" s="10"/>
      <c r="AF5217" s="10"/>
      <c r="AG5217" s="10"/>
      <c r="AH5217" s="10"/>
      <c r="AI5217" s="10"/>
      <c r="AJ5217" s="10"/>
      <c r="AK5217" s="10"/>
      <c r="AL5217" s="10"/>
      <c r="AM5217" s="10"/>
      <c r="AN5217" s="10"/>
      <c r="AO5217" s="10"/>
      <c r="AP5217" s="10"/>
      <c r="AQ5217" s="10"/>
      <c r="AR5217" s="10"/>
      <c r="AS5217" s="10"/>
      <c r="AT5217" s="10"/>
      <c r="AU5217" s="10"/>
      <c r="AV5217" s="10"/>
      <c r="AW5217" s="10"/>
      <c r="AX5217" s="10"/>
      <c r="AY5217" s="10"/>
      <c r="AZ5217" s="10"/>
    </row>
    <row r="5218" spans="31:52">
      <c r="AE5218" s="10"/>
      <c r="AF5218" s="10"/>
      <c r="AG5218" s="10"/>
      <c r="AH5218" s="10"/>
      <c r="AI5218" s="10"/>
      <c r="AJ5218" s="10"/>
      <c r="AK5218" s="10"/>
      <c r="AL5218" s="10"/>
      <c r="AM5218" s="10"/>
      <c r="AN5218" s="10"/>
      <c r="AO5218" s="10"/>
      <c r="AP5218" s="10"/>
      <c r="AQ5218" s="10"/>
      <c r="AR5218" s="10"/>
      <c r="AS5218" s="10"/>
      <c r="AT5218" s="10"/>
      <c r="AU5218" s="10"/>
      <c r="AV5218" s="10"/>
      <c r="AW5218" s="10"/>
      <c r="AX5218" s="10"/>
      <c r="AY5218" s="10"/>
      <c r="AZ5218" s="10"/>
    </row>
    <row r="5219" spans="31:52">
      <c r="AE5219" s="10"/>
      <c r="AF5219" s="10"/>
      <c r="AG5219" s="10"/>
      <c r="AH5219" s="10"/>
      <c r="AI5219" s="10"/>
      <c r="AJ5219" s="10"/>
      <c r="AK5219" s="10"/>
      <c r="AL5219" s="10"/>
      <c r="AM5219" s="10"/>
      <c r="AN5219" s="10"/>
      <c r="AO5219" s="10"/>
      <c r="AP5219" s="10"/>
      <c r="AQ5219" s="10"/>
      <c r="AR5219" s="10"/>
      <c r="AS5219" s="10"/>
      <c r="AT5219" s="10"/>
      <c r="AU5219" s="10"/>
      <c r="AV5219" s="10"/>
      <c r="AW5219" s="10"/>
      <c r="AX5219" s="10"/>
      <c r="AY5219" s="10"/>
      <c r="AZ5219" s="10"/>
    </row>
    <row r="5220" spans="31:52">
      <c r="AE5220" s="10"/>
      <c r="AF5220" s="10"/>
      <c r="AG5220" s="10"/>
      <c r="AH5220" s="10"/>
      <c r="AI5220" s="10"/>
      <c r="AJ5220" s="10"/>
      <c r="AK5220" s="10"/>
      <c r="AL5220" s="10"/>
      <c r="AM5220" s="10"/>
      <c r="AN5220" s="10"/>
      <c r="AO5220" s="10"/>
      <c r="AP5220" s="10"/>
      <c r="AQ5220" s="10"/>
      <c r="AR5220" s="10"/>
      <c r="AS5220" s="10"/>
      <c r="AT5220" s="10"/>
      <c r="AU5220" s="10"/>
      <c r="AV5220" s="10"/>
      <c r="AW5220" s="10"/>
      <c r="AX5220" s="10"/>
      <c r="AY5220" s="10"/>
      <c r="AZ5220" s="10"/>
    </row>
    <row r="5221" spans="31:52">
      <c r="AE5221" s="10"/>
      <c r="AF5221" s="10"/>
      <c r="AG5221" s="10"/>
      <c r="AH5221" s="10"/>
      <c r="AI5221" s="10"/>
      <c r="AJ5221" s="10"/>
      <c r="AK5221" s="10"/>
      <c r="AL5221" s="10"/>
      <c r="AM5221" s="10"/>
      <c r="AN5221" s="10"/>
      <c r="AO5221" s="10"/>
      <c r="AP5221" s="10"/>
      <c r="AQ5221" s="10"/>
      <c r="AR5221" s="10"/>
      <c r="AS5221" s="10"/>
      <c r="AT5221" s="10"/>
      <c r="AU5221" s="10"/>
      <c r="AV5221" s="10"/>
      <c r="AW5221" s="10"/>
      <c r="AX5221" s="10"/>
      <c r="AY5221" s="10"/>
      <c r="AZ5221" s="10"/>
    </row>
    <row r="5222" spans="31:52">
      <c r="AE5222" s="10"/>
      <c r="AF5222" s="10"/>
      <c r="AG5222" s="10"/>
      <c r="AH5222" s="10"/>
      <c r="AI5222" s="10"/>
      <c r="AJ5222" s="10"/>
      <c r="AK5222" s="10"/>
      <c r="AL5222" s="10"/>
      <c r="AM5222" s="10"/>
      <c r="AN5222" s="10"/>
      <c r="AO5222" s="10"/>
      <c r="AP5222" s="10"/>
      <c r="AQ5222" s="10"/>
      <c r="AR5222" s="10"/>
      <c r="AS5222" s="10"/>
      <c r="AT5222" s="10"/>
      <c r="AU5222" s="10"/>
      <c r="AV5222" s="10"/>
      <c r="AW5222" s="10"/>
      <c r="AX5222" s="10"/>
      <c r="AY5222" s="10"/>
      <c r="AZ5222" s="10"/>
    </row>
    <row r="5223" spans="31:52">
      <c r="AE5223" s="10"/>
      <c r="AF5223" s="10"/>
      <c r="AG5223" s="10"/>
      <c r="AH5223" s="10"/>
      <c r="AI5223" s="10"/>
      <c r="AJ5223" s="10"/>
      <c r="AK5223" s="10"/>
      <c r="AL5223" s="10"/>
      <c r="AM5223" s="10"/>
      <c r="AN5223" s="10"/>
      <c r="AO5223" s="10"/>
      <c r="AP5223" s="10"/>
      <c r="AQ5223" s="10"/>
      <c r="AR5223" s="10"/>
      <c r="AS5223" s="10"/>
      <c r="AT5223" s="10"/>
      <c r="AU5223" s="10"/>
      <c r="AV5223" s="10"/>
      <c r="AW5223" s="10"/>
      <c r="AX5223" s="10"/>
      <c r="AY5223" s="10"/>
      <c r="AZ5223" s="10"/>
    </row>
    <row r="5224" spans="31:52">
      <c r="AE5224" s="10"/>
      <c r="AF5224" s="10"/>
      <c r="AG5224" s="10"/>
      <c r="AH5224" s="10"/>
      <c r="AI5224" s="10"/>
      <c r="AJ5224" s="10"/>
      <c r="AK5224" s="10"/>
      <c r="AL5224" s="10"/>
      <c r="AM5224" s="10"/>
      <c r="AN5224" s="10"/>
      <c r="AO5224" s="10"/>
      <c r="AP5224" s="10"/>
      <c r="AQ5224" s="10"/>
      <c r="AR5224" s="10"/>
      <c r="AS5224" s="10"/>
      <c r="AT5224" s="10"/>
      <c r="AU5224" s="10"/>
      <c r="AV5224" s="10"/>
      <c r="AW5224" s="10"/>
      <c r="AX5224" s="10"/>
      <c r="AY5224" s="10"/>
      <c r="AZ5224" s="10"/>
    </row>
    <row r="5225" spans="31:52">
      <c r="AE5225" s="10"/>
      <c r="AF5225" s="10"/>
      <c r="AG5225" s="10"/>
      <c r="AH5225" s="10"/>
      <c r="AI5225" s="10"/>
      <c r="AJ5225" s="10"/>
      <c r="AK5225" s="10"/>
      <c r="AL5225" s="10"/>
      <c r="AM5225" s="10"/>
      <c r="AN5225" s="10"/>
      <c r="AO5225" s="10"/>
      <c r="AP5225" s="10"/>
      <c r="AQ5225" s="10"/>
      <c r="AR5225" s="10"/>
      <c r="AS5225" s="10"/>
      <c r="AT5225" s="10"/>
      <c r="AU5225" s="10"/>
      <c r="AV5225" s="10"/>
      <c r="AW5225" s="10"/>
      <c r="AX5225" s="10"/>
      <c r="AY5225" s="10"/>
      <c r="AZ5225" s="10"/>
    </row>
    <row r="5226" spans="31:52">
      <c r="AE5226" s="10"/>
      <c r="AF5226" s="10"/>
      <c r="AG5226" s="10"/>
      <c r="AH5226" s="10"/>
      <c r="AI5226" s="10"/>
      <c r="AJ5226" s="10"/>
      <c r="AK5226" s="10"/>
      <c r="AL5226" s="10"/>
      <c r="AM5226" s="10"/>
      <c r="AN5226" s="10"/>
      <c r="AO5226" s="10"/>
      <c r="AP5226" s="10"/>
      <c r="AQ5226" s="10"/>
      <c r="AR5226" s="10"/>
      <c r="AS5226" s="10"/>
      <c r="AT5226" s="10"/>
      <c r="AU5226" s="10"/>
      <c r="AV5226" s="10"/>
      <c r="AW5226" s="10"/>
      <c r="AX5226" s="10"/>
      <c r="AY5226" s="10"/>
      <c r="AZ5226" s="10"/>
    </row>
    <row r="5227" spans="31:52">
      <c r="AE5227" s="10"/>
      <c r="AF5227" s="10"/>
      <c r="AG5227" s="10"/>
      <c r="AH5227" s="10"/>
      <c r="AI5227" s="10"/>
      <c r="AJ5227" s="10"/>
      <c r="AK5227" s="10"/>
      <c r="AL5227" s="10"/>
      <c r="AM5227" s="10"/>
      <c r="AN5227" s="10"/>
      <c r="AO5227" s="10"/>
      <c r="AP5227" s="10"/>
      <c r="AQ5227" s="10"/>
      <c r="AR5227" s="10"/>
      <c r="AS5227" s="10"/>
      <c r="AT5227" s="10"/>
      <c r="AU5227" s="10"/>
      <c r="AV5227" s="10"/>
      <c r="AW5227" s="10"/>
      <c r="AX5227" s="10"/>
      <c r="AY5227" s="10"/>
      <c r="AZ5227" s="10"/>
    </row>
    <row r="5228" spans="31:52">
      <c r="AE5228" s="10"/>
      <c r="AF5228" s="10"/>
      <c r="AG5228" s="10"/>
      <c r="AH5228" s="10"/>
      <c r="AI5228" s="10"/>
      <c r="AJ5228" s="10"/>
      <c r="AK5228" s="10"/>
      <c r="AL5228" s="10"/>
      <c r="AM5228" s="10"/>
      <c r="AN5228" s="10"/>
      <c r="AO5228" s="10"/>
      <c r="AP5228" s="10"/>
      <c r="AQ5228" s="10"/>
      <c r="AR5228" s="10"/>
      <c r="AS5228" s="10"/>
      <c r="AT5228" s="10"/>
      <c r="AU5228" s="10"/>
      <c r="AV5228" s="10"/>
      <c r="AW5228" s="10"/>
      <c r="AX5228" s="10"/>
      <c r="AY5228" s="10"/>
      <c r="AZ5228" s="10"/>
    </row>
    <row r="5229" spans="31:52">
      <c r="AE5229" s="10"/>
      <c r="AF5229" s="10"/>
      <c r="AG5229" s="10"/>
      <c r="AH5229" s="10"/>
      <c r="AI5229" s="10"/>
      <c r="AJ5229" s="10"/>
      <c r="AK5229" s="10"/>
      <c r="AL5229" s="10"/>
      <c r="AM5229" s="10"/>
      <c r="AN5229" s="10"/>
      <c r="AO5229" s="10"/>
      <c r="AP5229" s="10"/>
      <c r="AQ5229" s="10"/>
      <c r="AR5229" s="10"/>
      <c r="AS5229" s="10"/>
      <c r="AT5229" s="10"/>
      <c r="AU5229" s="10"/>
      <c r="AV5229" s="10"/>
      <c r="AW5229" s="10"/>
      <c r="AX5229" s="10"/>
      <c r="AY5229" s="10"/>
      <c r="AZ5229" s="10"/>
    </row>
    <row r="5230" spans="31:52">
      <c r="AE5230" s="10"/>
      <c r="AF5230" s="10"/>
      <c r="AG5230" s="10"/>
      <c r="AH5230" s="10"/>
      <c r="AI5230" s="10"/>
      <c r="AJ5230" s="10"/>
      <c r="AK5230" s="10"/>
      <c r="AL5230" s="10"/>
      <c r="AM5230" s="10"/>
      <c r="AN5230" s="10"/>
      <c r="AO5230" s="10"/>
      <c r="AP5230" s="10"/>
      <c r="AQ5230" s="10"/>
      <c r="AR5230" s="10"/>
      <c r="AS5230" s="10"/>
      <c r="AT5230" s="10"/>
      <c r="AU5230" s="10"/>
      <c r="AV5230" s="10"/>
      <c r="AW5230" s="10"/>
      <c r="AX5230" s="10"/>
      <c r="AY5230" s="10"/>
      <c r="AZ5230" s="10"/>
    </row>
    <row r="5231" spans="31:52">
      <c r="AE5231" s="10"/>
      <c r="AF5231" s="10"/>
      <c r="AG5231" s="10"/>
      <c r="AH5231" s="10"/>
      <c r="AI5231" s="10"/>
      <c r="AJ5231" s="10"/>
      <c r="AK5231" s="10"/>
      <c r="AL5231" s="10"/>
      <c r="AM5231" s="10"/>
      <c r="AN5231" s="10"/>
      <c r="AO5231" s="10"/>
      <c r="AP5231" s="10"/>
      <c r="AQ5231" s="10"/>
      <c r="AR5231" s="10"/>
      <c r="AS5231" s="10"/>
      <c r="AT5231" s="10"/>
      <c r="AU5231" s="10"/>
      <c r="AV5231" s="10"/>
      <c r="AW5231" s="10"/>
      <c r="AX5231" s="10"/>
      <c r="AY5231" s="10"/>
      <c r="AZ5231" s="10"/>
    </row>
    <row r="5232" spans="31:52">
      <c r="AE5232" s="10"/>
      <c r="AF5232" s="10"/>
      <c r="AG5232" s="10"/>
      <c r="AH5232" s="10"/>
      <c r="AI5232" s="10"/>
      <c r="AJ5232" s="10"/>
      <c r="AK5232" s="10"/>
      <c r="AL5232" s="10"/>
      <c r="AM5232" s="10"/>
      <c r="AN5232" s="10"/>
      <c r="AO5232" s="10"/>
      <c r="AP5232" s="10"/>
      <c r="AQ5232" s="10"/>
      <c r="AR5232" s="10"/>
      <c r="AS5232" s="10"/>
      <c r="AT5232" s="10"/>
      <c r="AU5232" s="10"/>
      <c r="AV5232" s="10"/>
      <c r="AW5232" s="10"/>
      <c r="AX5232" s="10"/>
      <c r="AY5232" s="10"/>
      <c r="AZ5232" s="10"/>
    </row>
    <row r="5233" spans="31:52">
      <c r="AE5233" s="10"/>
      <c r="AF5233" s="10"/>
      <c r="AG5233" s="10"/>
      <c r="AH5233" s="10"/>
      <c r="AI5233" s="10"/>
      <c r="AJ5233" s="10"/>
      <c r="AK5233" s="10"/>
      <c r="AL5233" s="10"/>
      <c r="AM5233" s="10"/>
      <c r="AN5233" s="10"/>
      <c r="AO5233" s="10"/>
      <c r="AP5233" s="10"/>
      <c r="AQ5233" s="10"/>
      <c r="AR5233" s="10"/>
      <c r="AS5233" s="10"/>
      <c r="AT5233" s="10"/>
      <c r="AU5233" s="10"/>
      <c r="AV5233" s="10"/>
      <c r="AW5233" s="10"/>
      <c r="AX5233" s="10"/>
      <c r="AY5233" s="10"/>
      <c r="AZ5233" s="10"/>
    </row>
    <row r="5234" spans="31:52">
      <c r="AE5234" s="10"/>
      <c r="AF5234" s="10"/>
      <c r="AG5234" s="10"/>
      <c r="AH5234" s="10"/>
      <c r="AI5234" s="10"/>
      <c r="AJ5234" s="10"/>
      <c r="AK5234" s="10"/>
      <c r="AL5234" s="10"/>
      <c r="AM5234" s="10"/>
      <c r="AN5234" s="10"/>
      <c r="AO5234" s="10"/>
      <c r="AP5234" s="10"/>
      <c r="AQ5234" s="10"/>
      <c r="AR5234" s="10"/>
      <c r="AS5234" s="10"/>
      <c r="AT5234" s="10"/>
      <c r="AU5234" s="10"/>
      <c r="AV5234" s="10"/>
      <c r="AW5234" s="10"/>
      <c r="AX5234" s="10"/>
      <c r="AY5234" s="10"/>
      <c r="AZ5234" s="10"/>
    </row>
    <row r="5235" spans="31:52">
      <c r="AE5235" s="10"/>
      <c r="AF5235" s="10"/>
      <c r="AG5235" s="10"/>
      <c r="AH5235" s="10"/>
      <c r="AI5235" s="10"/>
      <c r="AJ5235" s="10"/>
      <c r="AK5235" s="10"/>
      <c r="AL5235" s="10"/>
      <c r="AM5235" s="10"/>
      <c r="AN5235" s="10"/>
      <c r="AO5235" s="10"/>
      <c r="AP5235" s="10"/>
      <c r="AQ5235" s="10"/>
      <c r="AR5235" s="10"/>
      <c r="AS5235" s="10"/>
      <c r="AT5235" s="10"/>
      <c r="AU5235" s="10"/>
      <c r="AV5235" s="10"/>
      <c r="AW5235" s="10"/>
      <c r="AX5235" s="10"/>
      <c r="AY5235" s="10"/>
      <c r="AZ5235" s="10"/>
    </row>
    <row r="5236" spans="31:52">
      <c r="AE5236" s="10"/>
      <c r="AF5236" s="10"/>
      <c r="AG5236" s="10"/>
      <c r="AH5236" s="10"/>
      <c r="AI5236" s="10"/>
      <c r="AJ5236" s="10"/>
      <c r="AK5236" s="10"/>
      <c r="AL5236" s="10"/>
      <c r="AM5236" s="10"/>
      <c r="AN5236" s="10"/>
      <c r="AO5236" s="10"/>
      <c r="AP5236" s="10"/>
      <c r="AQ5236" s="10"/>
      <c r="AR5236" s="10"/>
      <c r="AS5236" s="10"/>
      <c r="AT5236" s="10"/>
      <c r="AU5236" s="10"/>
      <c r="AV5236" s="10"/>
      <c r="AW5236" s="10"/>
      <c r="AX5236" s="10"/>
      <c r="AY5236" s="10"/>
      <c r="AZ5236" s="10"/>
    </row>
    <row r="5237" spans="31:52">
      <c r="AE5237" s="10"/>
      <c r="AF5237" s="10"/>
      <c r="AG5237" s="10"/>
      <c r="AH5237" s="10"/>
      <c r="AI5237" s="10"/>
      <c r="AJ5237" s="10"/>
      <c r="AK5237" s="10"/>
      <c r="AL5237" s="10"/>
      <c r="AM5237" s="10"/>
      <c r="AN5237" s="10"/>
      <c r="AO5237" s="10"/>
      <c r="AP5237" s="10"/>
      <c r="AQ5237" s="10"/>
      <c r="AR5237" s="10"/>
      <c r="AS5237" s="10"/>
      <c r="AT5237" s="10"/>
      <c r="AU5237" s="10"/>
      <c r="AV5237" s="10"/>
      <c r="AW5237" s="10"/>
      <c r="AX5237" s="10"/>
      <c r="AY5237" s="10"/>
      <c r="AZ5237" s="10"/>
    </row>
    <row r="5238" spans="31:52">
      <c r="AE5238" s="10"/>
      <c r="AF5238" s="10"/>
      <c r="AG5238" s="10"/>
      <c r="AH5238" s="10"/>
      <c r="AI5238" s="10"/>
      <c r="AJ5238" s="10"/>
      <c r="AK5238" s="10"/>
      <c r="AL5238" s="10"/>
      <c r="AM5238" s="10"/>
      <c r="AN5238" s="10"/>
      <c r="AO5238" s="10"/>
      <c r="AP5238" s="10"/>
      <c r="AQ5238" s="10"/>
      <c r="AR5238" s="10"/>
      <c r="AS5238" s="10"/>
      <c r="AT5238" s="10"/>
      <c r="AU5238" s="10"/>
      <c r="AV5238" s="10"/>
      <c r="AW5238" s="10"/>
      <c r="AX5238" s="10"/>
      <c r="AY5238" s="10"/>
      <c r="AZ5238" s="10"/>
    </row>
    <row r="5239" spans="31:52">
      <c r="AE5239" s="10"/>
      <c r="AF5239" s="10"/>
      <c r="AG5239" s="10"/>
      <c r="AH5239" s="10"/>
      <c r="AI5239" s="10"/>
      <c r="AJ5239" s="10"/>
      <c r="AK5239" s="10"/>
      <c r="AL5239" s="10"/>
      <c r="AM5239" s="10"/>
      <c r="AN5239" s="10"/>
      <c r="AO5239" s="10"/>
      <c r="AP5239" s="10"/>
      <c r="AQ5239" s="10"/>
      <c r="AR5239" s="10"/>
      <c r="AS5239" s="10"/>
      <c r="AT5239" s="10"/>
      <c r="AU5239" s="10"/>
      <c r="AV5239" s="10"/>
      <c r="AW5239" s="10"/>
      <c r="AX5239" s="10"/>
      <c r="AY5239" s="10"/>
      <c r="AZ5239" s="10"/>
    </row>
    <row r="5240" spans="31:52">
      <c r="AE5240" s="10"/>
      <c r="AF5240" s="10"/>
      <c r="AG5240" s="10"/>
      <c r="AH5240" s="10"/>
      <c r="AI5240" s="10"/>
      <c r="AJ5240" s="10"/>
      <c r="AK5240" s="10"/>
      <c r="AL5240" s="10"/>
      <c r="AM5240" s="10"/>
      <c r="AN5240" s="10"/>
      <c r="AO5240" s="10"/>
      <c r="AP5240" s="10"/>
      <c r="AQ5240" s="10"/>
      <c r="AR5240" s="10"/>
      <c r="AS5240" s="10"/>
      <c r="AT5240" s="10"/>
      <c r="AU5240" s="10"/>
      <c r="AV5240" s="10"/>
      <c r="AW5240" s="10"/>
      <c r="AX5240" s="10"/>
      <c r="AY5240" s="10"/>
      <c r="AZ5240" s="10"/>
    </row>
    <row r="5241" spans="31:52">
      <c r="AE5241" s="10"/>
      <c r="AF5241" s="10"/>
      <c r="AG5241" s="10"/>
      <c r="AH5241" s="10"/>
      <c r="AI5241" s="10"/>
      <c r="AJ5241" s="10"/>
      <c r="AK5241" s="10"/>
      <c r="AL5241" s="10"/>
      <c r="AM5241" s="10"/>
      <c r="AN5241" s="10"/>
      <c r="AO5241" s="10"/>
      <c r="AP5241" s="10"/>
      <c r="AQ5241" s="10"/>
      <c r="AR5241" s="10"/>
      <c r="AS5241" s="10"/>
      <c r="AT5241" s="10"/>
      <c r="AU5241" s="10"/>
      <c r="AV5241" s="10"/>
      <c r="AW5241" s="10"/>
      <c r="AX5241" s="10"/>
      <c r="AY5241" s="10"/>
      <c r="AZ5241" s="10"/>
    </row>
    <row r="5242" spans="31:52">
      <c r="AE5242" s="10"/>
      <c r="AF5242" s="10"/>
      <c r="AG5242" s="10"/>
      <c r="AH5242" s="10"/>
      <c r="AI5242" s="10"/>
      <c r="AJ5242" s="10"/>
      <c r="AK5242" s="10"/>
      <c r="AL5242" s="10"/>
      <c r="AM5242" s="10"/>
      <c r="AN5242" s="10"/>
      <c r="AO5242" s="10"/>
      <c r="AP5242" s="10"/>
      <c r="AQ5242" s="10"/>
      <c r="AR5242" s="10"/>
      <c r="AS5242" s="10"/>
      <c r="AT5242" s="10"/>
      <c r="AU5242" s="10"/>
      <c r="AV5242" s="10"/>
      <c r="AW5242" s="10"/>
      <c r="AX5242" s="10"/>
      <c r="AY5242" s="10"/>
      <c r="AZ5242" s="10"/>
    </row>
    <row r="5243" spans="31:52">
      <c r="AE5243" s="10"/>
      <c r="AF5243" s="10"/>
      <c r="AG5243" s="10"/>
      <c r="AH5243" s="10"/>
      <c r="AI5243" s="10"/>
      <c r="AJ5243" s="10"/>
      <c r="AK5243" s="10"/>
      <c r="AL5243" s="10"/>
      <c r="AM5243" s="10"/>
      <c r="AN5243" s="10"/>
      <c r="AO5243" s="10"/>
      <c r="AP5243" s="10"/>
      <c r="AQ5243" s="10"/>
      <c r="AR5243" s="10"/>
      <c r="AS5243" s="10"/>
      <c r="AT5243" s="10"/>
      <c r="AU5243" s="10"/>
      <c r="AV5243" s="10"/>
      <c r="AW5243" s="10"/>
      <c r="AX5243" s="10"/>
      <c r="AY5243" s="10"/>
      <c r="AZ5243" s="10"/>
    </row>
    <row r="5244" spans="31:52">
      <c r="AE5244" s="10"/>
      <c r="AF5244" s="10"/>
      <c r="AG5244" s="10"/>
      <c r="AH5244" s="10"/>
      <c r="AI5244" s="10"/>
      <c r="AJ5244" s="10"/>
      <c r="AK5244" s="10"/>
      <c r="AL5244" s="10"/>
      <c r="AM5244" s="10"/>
      <c r="AN5244" s="10"/>
      <c r="AO5244" s="10"/>
      <c r="AP5244" s="10"/>
      <c r="AQ5244" s="10"/>
      <c r="AR5244" s="10"/>
      <c r="AS5244" s="10"/>
      <c r="AT5244" s="10"/>
      <c r="AU5244" s="10"/>
      <c r="AV5244" s="10"/>
      <c r="AW5244" s="10"/>
      <c r="AX5244" s="10"/>
      <c r="AY5244" s="10"/>
      <c r="AZ5244" s="10"/>
    </row>
    <row r="5245" spans="31:52">
      <c r="AE5245" s="10"/>
      <c r="AF5245" s="10"/>
      <c r="AG5245" s="10"/>
      <c r="AH5245" s="10"/>
      <c r="AI5245" s="10"/>
      <c r="AJ5245" s="10"/>
      <c r="AK5245" s="10"/>
      <c r="AL5245" s="10"/>
      <c r="AM5245" s="10"/>
      <c r="AN5245" s="10"/>
      <c r="AO5245" s="10"/>
      <c r="AP5245" s="10"/>
      <c r="AQ5245" s="10"/>
      <c r="AR5245" s="10"/>
      <c r="AS5245" s="10"/>
      <c r="AT5245" s="10"/>
      <c r="AU5245" s="10"/>
      <c r="AV5245" s="10"/>
      <c r="AW5245" s="10"/>
      <c r="AX5245" s="10"/>
      <c r="AY5245" s="10"/>
      <c r="AZ5245" s="10"/>
    </row>
    <row r="5246" spans="31:52">
      <c r="AE5246" s="10"/>
      <c r="AF5246" s="10"/>
      <c r="AG5246" s="10"/>
      <c r="AH5246" s="10"/>
      <c r="AI5246" s="10"/>
      <c r="AJ5246" s="10"/>
      <c r="AK5246" s="10"/>
      <c r="AL5246" s="10"/>
      <c r="AM5246" s="10"/>
      <c r="AN5246" s="10"/>
      <c r="AO5246" s="10"/>
      <c r="AP5246" s="10"/>
      <c r="AQ5246" s="10"/>
      <c r="AR5246" s="10"/>
      <c r="AS5246" s="10"/>
      <c r="AT5246" s="10"/>
      <c r="AU5246" s="10"/>
      <c r="AV5246" s="10"/>
      <c r="AW5246" s="10"/>
      <c r="AX5246" s="10"/>
      <c r="AY5246" s="10"/>
      <c r="AZ5246" s="10"/>
    </row>
    <row r="5247" spans="31:52">
      <c r="AE5247" s="10"/>
      <c r="AF5247" s="10"/>
      <c r="AG5247" s="10"/>
      <c r="AH5247" s="10"/>
      <c r="AI5247" s="10"/>
      <c r="AJ5247" s="10"/>
      <c r="AK5247" s="10"/>
      <c r="AL5247" s="10"/>
      <c r="AM5247" s="10"/>
      <c r="AN5247" s="10"/>
      <c r="AO5247" s="10"/>
      <c r="AP5247" s="10"/>
      <c r="AQ5247" s="10"/>
      <c r="AR5247" s="10"/>
      <c r="AS5247" s="10"/>
      <c r="AT5247" s="10"/>
      <c r="AU5247" s="10"/>
      <c r="AV5247" s="10"/>
      <c r="AW5247" s="10"/>
      <c r="AX5247" s="10"/>
      <c r="AY5247" s="10"/>
      <c r="AZ5247" s="10"/>
    </row>
    <row r="5248" spans="31:52">
      <c r="AE5248" s="10"/>
      <c r="AF5248" s="10"/>
      <c r="AG5248" s="10"/>
      <c r="AH5248" s="10"/>
      <c r="AI5248" s="10"/>
      <c r="AJ5248" s="10"/>
      <c r="AK5248" s="10"/>
      <c r="AL5248" s="10"/>
      <c r="AM5248" s="10"/>
      <c r="AN5248" s="10"/>
      <c r="AO5248" s="10"/>
      <c r="AP5248" s="10"/>
      <c r="AQ5248" s="10"/>
      <c r="AR5248" s="10"/>
      <c r="AS5248" s="10"/>
      <c r="AT5248" s="10"/>
      <c r="AU5248" s="10"/>
      <c r="AV5248" s="10"/>
      <c r="AW5248" s="10"/>
      <c r="AX5248" s="10"/>
      <c r="AY5248" s="10"/>
      <c r="AZ5248" s="10"/>
    </row>
    <row r="5249" spans="31:52">
      <c r="AE5249" s="10"/>
      <c r="AF5249" s="10"/>
      <c r="AG5249" s="10"/>
      <c r="AH5249" s="10"/>
      <c r="AI5249" s="10"/>
      <c r="AJ5249" s="10"/>
      <c r="AK5249" s="10"/>
      <c r="AL5249" s="10"/>
      <c r="AM5249" s="10"/>
      <c r="AN5249" s="10"/>
      <c r="AO5249" s="10"/>
      <c r="AP5249" s="10"/>
      <c r="AQ5249" s="10"/>
      <c r="AR5249" s="10"/>
      <c r="AS5249" s="10"/>
      <c r="AT5249" s="10"/>
      <c r="AU5249" s="10"/>
      <c r="AV5249" s="10"/>
      <c r="AW5249" s="10"/>
      <c r="AX5249" s="10"/>
      <c r="AY5249" s="10"/>
      <c r="AZ5249" s="10"/>
    </row>
    <row r="5250" spans="31:52">
      <c r="AE5250" s="10"/>
      <c r="AF5250" s="10"/>
      <c r="AG5250" s="10"/>
      <c r="AH5250" s="10"/>
      <c r="AI5250" s="10"/>
      <c r="AJ5250" s="10"/>
      <c r="AK5250" s="10"/>
      <c r="AL5250" s="10"/>
      <c r="AM5250" s="10"/>
      <c r="AN5250" s="10"/>
      <c r="AO5250" s="10"/>
      <c r="AP5250" s="10"/>
      <c r="AQ5250" s="10"/>
      <c r="AR5250" s="10"/>
      <c r="AS5250" s="10"/>
      <c r="AT5250" s="10"/>
      <c r="AU5250" s="10"/>
      <c r="AV5250" s="10"/>
      <c r="AW5250" s="10"/>
      <c r="AX5250" s="10"/>
      <c r="AY5250" s="10"/>
      <c r="AZ5250" s="10"/>
    </row>
    <row r="5251" spans="31:52">
      <c r="AE5251" s="10"/>
      <c r="AF5251" s="10"/>
      <c r="AG5251" s="10"/>
      <c r="AH5251" s="10"/>
      <c r="AI5251" s="10"/>
      <c r="AJ5251" s="10"/>
      <c r="AK5251" s="10"/>
      <c r="AL5251" s="10"/>
      <c r="AM5251" s="10"/>
      <c r="AN5251" s="10"/>
      <c r="AO5251" s="10"/>
      <c r="AP5251" s="10"/>
      <c r="AQ5251" s="10"/>
      <c r="AR5251" s="10"/>
      <c r="AS5251" s="10"/>
      <c r="AT5251" s="10"/>
      <c r="AU5251" s="10"/>
      <c r="AV5251" s="10"/>
      <c r="AW5251" s="10"/>
      <c r="AX5251" s="10"/>
      <c r="AY5251" s="10"/>
      <c r="AZ5251" s="10"/>
    </row>
    <row r="5252" spans="31:52">
      <c r="AE5252" s="10"/>
      <c r="AF5252" s="10"/>
      <c r="AG5252" s="10"/>
      <c r="AH5252" s="10"/>
      <c r="AI5252" s="10"/>
      <c r="AJ5252" s="10"/>
      <c r="AK5252" s="10"/>
      <c r="AL5252" s="10"/>
      <c r="AM5252" s="10"/>
      <c r="AN5252" s="10"/>
      <c r="AO5252" s="10"/>
      <c r="AP5252" s="10"/>
      <c r="AQ5252" s="10"/>
      <c r="AR5252" s="10"/>
      <c r="AS5252" s="10"/>
      <c r="AT5252" s="10"/>
      <c r="AU5252" s="10"/>
      <c r="AV5252" s="10"/>
      <c r="AW5252" s="10"/>
      <c r="AX5252" s="10"/>
      <c r="AY5252" s="10"/>
      <c r="AZ5252" s="10"/>
    </row>
    <row r="5253" spans="31:52">
      <c r="AE5253" s="10"/>
      <c r="AF5253" s="10"/>
      <c r="AG5253" s="10"/>
      <c r="AH5253" s="10"/>
      <c r="AI5253" s="10"/>
      <c r="AJ5253" s="10"/>
      <c r="AK5253" s="10"/>
      <c r="AL5253" s="10"/>
      <c r="AM5253" s="10"/>
      <c r="AN5253" s="10"/>
      <c r="AO5253" s="10"/>
      <c r="AP5253" s="10"/>
      <c r="AQ5253" s="10"/>
      <c r="AR5253" s="10"/>
      <c r="AS5253" s="10"/>
      <c r="AT5253" s="10"/>
      <c r="AU5253" s="10"/>
      <c r="AV5253" s="10"/>
      <c r="AW5253" s="10"/>
      <c r="AX5253" s="10"/>
      <c r="AY5253" s="10"/>
      <c r="AZ5253" s="10"/>
    </row>
    <row r="5254" spans="31:52">
      <c r="AE5254" s="10"/>
      <c r="AF5254" s="10"/>
      <c r="AG5254" s="10"/>
      <c r="AH5254" s="10"/>
      <c r="AI5254" s="10"/>
      <c r="AJ5254" s="10"/>
      <c r="AK5254" s="10"/>
      <c r="AL5254" s="10"/>
      <c r="AM5254" s="10"/>
      <c r="AN5254" s="10"/>
      <c r="AO5254" s="10"/>
      <c r="AP5254" s="10"/>
      <c r="AQ5254" s="10"/>
      <c r="AR5254" s="10"/>
      <c r="AS5254" s="10"/>
      <c r="AT5254" s="10"/>
      <c r="AU5254" s="10"/>
      <c r="AV5254" s="10"/>
      <c r="AW5254" s="10"/>
      <c r="AX5254" s="10"/>
      <c r="AY5254" s="10"/>
      <c r="AZ5254" s="10"/>
    </row>
    <row r="5255" spans="31:52">
      <c r="AE5255" s="10"/>
      <c r="AF5255" s="10"/>
      <c r="AG5255" s="10"/>
      <c r="AH5255" s="10"/>
      <c r="AI5255" s="10"/>
      <c r="AJ5255" s="10"/>
      <c r="AK5255" s="10"/>
      <c r="AL5255" s="10"/>
      <c r="AM5255" s="10"/>
      <c r="AN5255" s="10"/>
      <c r="AO5255" s="10"/>
      <c r="AP5255" s="10"/>
      <c r="AQ5255" s="10"/>
      <c r="AR5255" s="10"/>
      <c r="AS5255" s="10"/>
      <c r="AT5255" s="10"/>
      <c r="AU5255" s="10"/>
      <c r="AV5255" s="10"/>
      <c r="AW5255" s="10"/>
      <c r="AX5255" s="10"/>
      <c r="AY5255" s="10"/>
      <c r="AZ5255" s="10"/>
    </row>
    <row r="5256" spans="31:52">
      <c r="AE5256" s="10"/>
      <c r="AF5256" s="10"/>
      <c r="AG5256" s="10"/>
      <c r="AH5256" s="10"/>
      <c r="AI5256" s="10"/>
      <c r="AJ5256" s="10"/>
      <c r="AK5256" s="10"/>
      <c r="AL5256" s="10"/>
      <c r="AM5256" s="10"/>
      <c r="AN5256" s="10"/>
      <c r="AO5256" s="10"/>
      <c r="AP5256" s="10"/>
      <c r="AQ5256" s="10"/>
      <c r="AR5256" s="10"/>
      <c r="AS5256" s="10"/>
      <c r="AT5256" s="10"/>
      <c r="AU5256" s="10"/>
      <c r="AV5256" s="10"/>
      <c r="AW5256" s="10"/>
      <c r="AX5256" s="10"/>
      <c r="AY5256" s="10"/>
      <c r="AZ5256" s="10"/>
    </row>
    <row r="5257" spans="31:52">
      <c r="AE5257" s="10"/>
      <c r="AF5257" s="10"/>
      <c r="AG5257" s="10"/>
      <c r="AH5257" s="10"/>
      <c r="AI5257" s="10"/>
      <c r="AJ5257" s="10"/>
      <c r="AK5257" s="10"/>
      <c r="AL5257" s="10"/>
      <c r="AM5257" s="10"/>
      <c r="AN5257" s="10"/>
      <c r="AO5257" s="10"/>
      <c r="AP5257" s="10"/>
      <c r="AQ5257" s="10"/>
      <c r="AR5257" s="10"/>
      <c r="AS5257" s="10"/>
      <c r="AT5257" s="10"/>
      <c r="AU5257" s="10"/>
      <c r="AV5257" s="10"/>
      <c r="AW5257" s="10"/>
      <c r="AX5257" s="10"/>
      <c r="AY5257" s="10"/>
      <c r="AZ5257" s="10"/>
    </row>
    <row r="5258" spans="31:52">
      <c r="AE5258" s="10"/>
      <c r="AF5258" s="10"/>
      <c r="AG5258" s="10"/>
      <c r="AH5258" s="10"/>
      <c r="AI5258" s="10"/>
      <c r="AJ5258" s="10"/>
      <c r="AK5258" s="10"/>
      <c r="AL5258" s="10"/>
      <c r="AM5258" s="10"/>
      <c r="AN5258" s="10"/>
      <c r="AO5258" s="10"/>
      <c r="AP5258" s="10"/>
      <c r="AQ5258" s="10"/>
      <c r="AR5258" s="10"/>
      <c r="AS5258" s="10"/>
      <c r="AT5258" s="10"/>
      <c r="AU5258" s="10"/>
      <c r="AV5258" s="10"/>
      <c r="AW5258" s="10"/>
      <c r="AX5258" s="10"/>
      <c r="AY5258" s="10"/>
      <c r="AZ5258" s="10"/>
    </row>
    <row r="5259" spans="31:52">
      <c r="AE5259" s="10"/>
      <c r="AF5259" s="10"/>
      <c r="AG5259" s="10"/>
      <c r="AH5259" s="10"/>
      <c r="AI5259" s="10"/>
      <c r="AJ5259" s="10"/>
      <c r="AK5259" s="10"/>
      <c r="AL5259" s="10"/>
      <c r="AM5259" s="10"/>
      <c r="AN5259" s="10"/>
      <c r="AO5259" s="10"/>
      <c r="AP5259" s="10"/>
      <c r="AQ5259" s="10"/>
      <c r="AR5259" s="10"/>
      <c r="AS5259" s="10"/>
      <c r="AT5259" s="10"/>
      <c r="AU5259" s="10"/>
      <c r="AV5259" s="10"/>
      <c r="AW5259" s="10"/>
      <c r="AX5259" s="10"/>
      <c r="AY5259" s="10"/>
      <c r="AZ5259" s="10"/>
    </row>
    <row r="5260" spans="31:52">
      <c r="AE5260" s="10"/>
      <c r="AF5260" s="10"/>
      <c r="AG5260" s="10"/>
      <c r="AH5260" s="10"/>
      <c r="AI5260" s="10"/>
      <c r="AJ5260" s="10"/>
      <c r="AK5260" s="10"/>
      <c r="AL5260" s="10"/>
      <c r="AM5260" s="10"/>
      <c r="AN5260" s="10"/>
      <c r="AO5260" s="10"/>
      <c r="AP5260" s="10"/>
      <c r="AQ5260" s="10"/>
      <c r="AR5260" s="10"/>
      <c r="AS5260" s="10"/>
      <c r="AT5260" s="10"/>
      <c r="AU5260" s="10"/>
      <c r="AV5260" s="10"/>
      <c r="AW5260" s="10"/>
      <c r="AX5260" s="10"/>
      <c r="AY5260" s="10"/>
      <c r="AZ5260" s="10"/>
    </row>
    <row r="5261" spans="31:52">
      <c r="AE5261" s="10"/>
      <c r="AF5261" s="10"/>
      <c r="AG5261" s="10"/>
      <c r="AH5261" s="10"/>
      <c r="AI5261" s="10"/>
      <c r="AJ5261" s="10"/>
      <c r="AK5261" s="10"/>
      <c r="AL5261" s="10"/>
      <c r="AM5261" s="10"/>
      <c r="AN5261" s="10"/>
      <c r="AO5261" s="10"/>
      <c r="AP5261" s="10"/>
      <c r="AQ5261" s="10"/>
      <c r="AR5261" s="10"/>
      <c r="AS5261" s="10"/>
      <c r="AT5261" s="10"/>
      <c r="AU5261" s="10"/>
      <c r="AV5261" s="10"/>
      <c r="AW5261" s="10"/>
      <c r="AX5261" s="10"/>
      <c r="AY5261" s="10"/>
      <c r="AZ5261" s="10"/>
    </row>
    <row r="5262" spans="31:52">
      <c r="AE5262" s="10"/>
      <c r="AF5262" s="10"/>
      <c r="AG5262" s="10"/>
      <c r="AH5262" s="10"/>
      <c r="AI5262" s="10"/>
      <c r="AJ5262" s="10"/>
      <c r="AK5262" s="10"/>
      <c r="AL5262" s="10"/>
      <c r="AM5262" s="10"/>
      <c r="AN5262" s="10"/>
      <c r="AO5262" s="10"/>
      <c r="AP5262" s="10"/>
      <c r="AQ5262" s="10"/>
      <c r="AR5262" s="10"/>
      <c r="AS5262" s="10"/>
      <c r="AT5262" s="10"/>
      <c r="AU5262" s="10"/>
      <c r="AV5262" s="10"/>
      <c r="AW5262" s="10"/>
      <c r="AX5262" s="10"/>
      <c r="AY5262" s="10"/>
      <c r="AZ5262" s="10"/>
    </row>
    <row r="5263" spans="31:52">
      <c r="AE5263" s="10"/>
      <c r="AF5263" s="10"/>
      <c r="AG5263" s="10"/>
      <c r="AH5263" s="10"/>
      <c r="AI5263" s="10"/>
      <c r="AJ5263" s="10"/>
      <c r="AK5263" s="10"/>
      <c r="AL5263" s="10"/>
      <c r="AM5263" s="10"/>
      <c r="AN5263" s="10"/>
      <c r="AO5263" s="10"/>
      <c r="AP5263" s="10"/>
      <c r="AQ5263" s="10"/>
      <c r="AR5263" s="10"/>
      <c r="AS5263" s="10"/>
      <c r="AT5263" s="10"/>
      <c r="AU5263" s="10"/>
      <c r="AV5263" s="10"/>
      <c r="AW5263" s="10"/>
      <c r="AX5263" s="10"/>
      <c r="AY5263" s="10"/>
      <c r="AZ5263" s="10"/>
    </row>
    <row r="5264" spans="31:52">
      <c r="AE5264" s="10"/>
      <c r="AF5264" s="10"/>
      <c r="AG5264" s="10"/>
      <c r="AH5264" s="10"/>
      <c r="AI5264" s="10"/>
      <c r="AJ5264" s="10"/>
      <c r="AK5264" s="10"/>
      <c r="AL5264" s="10"/>
      <c r="AM5264" s="10"/>
      <c r="AN5264" s="10"/>
      <c r="AO5264" s="10"/>
      <c r="AP5264" s="10"/>
      <c r="AQ5264" s="10"/>
      <c r="AR5264" s="10"/>
      <c r="AS5264" s="10"/>
      <c r="AT5264" s="10"/>
      <c r="AU5264" s="10"/>
      <c r="AV5264" s="10"/>
      <c r="AW5264" s="10"/>
      <c r="AX5264" s="10"/>
      <c r="AY5264" s="10"/>
      <c r="AZ5264" s="10"/>
    </row>
    <row r="5265" spans="31:52">
      <c r="AE5265" s="10"/>
      <c r="AF5265" s="10"/>
      <c r="AG5265" s="10"/>
      <c r="AH5265" s="10"/>
      <c r="AI5265" s="10"/>
      <c r="AJ5265" s="10"/>
      <c r="AK5265" s="10"/>
      <c r="AL5265" s="10"/>
      <c r="AM5265" s="10"/>
      <c r="AN5265" s="10"/>
      <c r="AO5265" s="10"/>
      <c r="AP5265" s="10"/>
      <c r="AQ5265" s="10"/>
      <c r="AR5265" s="10"/>
      <c r="AS5265" s="10"/>
      <c r="AT5265" s="10"/>
      <c r="AU5265" s="10"/>
      <c r="AV5265" s="10"/>
      <c r="AW5265" s="10"/>
      <c r="AX5265" s="10"/>
      <c r="AY5265" s="10"/>
      <c r="AZ5265" s="10"/>
    </row>
    <row r="5266" spans="31:52">
      <c r="AE5266" s="10"/>
      <c r="AF5266" s="10"/>
      <c r="AG5266" s="10"/>
      <c r="AH5266" s="10"/>
      <c r="AI5266" s="10"/>
      <c r="AJ5266" s="10"/>
      <c r="AK5266" s="10"/>
      <c r="AL5266" s="10"/>
      <c r="AM5266" s="10"/>
      <c r="AN5266" s="10"/>
      <c r="AO5266" s="10"/>
      <c r="AP5266" s="10"/>
      <c r="AQ5266" s="10"/>
      <c r="AR5266" s="10"/>
      <c r="AS5266" s="10"/>
      <c r="AT5266" s="10"/>
      <c r="AU5266" s="10"/>
      <c r="AV5266" s="10"/>
      <c r="AW5266" s="10"/>
      <c r="AX5266" s="10"/>
      <c r="AY5266" s="10"/>
      <c r="AZ5266" s="10"/>
    </row>
    <row r="5267" spans="31:52">
      <c r="AE5267" s="10"/>
      <c r="AF5267" s="10"/>
      <c r="AG5267" s="10"/>
      <c r="AH5267" s="10"/>
      <c r="AI5267" s="10"/>
      <c r="AJ5267" s="10"/>
      <c r="AK5267" s="10"/>
      <c r="AL5267" s="10"/>
      <c r="AM5267" s="10"/>
      <c r="AN5267" s="10"/>
      <c r="AO5267" s="10"/>
      <c r="AP5267" s="10"/>
      <c r="AQ5267" s="10"/>
      <c r="AR5267" s="10"/>
      <c r="AS5267" s="10"/>
      <c r="AT5267" s="10"/>
      <c r="AU5267" s="10"/>
      <c r="AV5267" s="10"/>
      <c r="AW5267" s="10"/>
      <c r="AX5267" s="10"/>
      <c r="AY5267" s="10"/>
      <c r="AZ5267" s="10"/>
    </row>
    <row r="5268" spans="31:52">
      <c r="AE5268" s="10"/>
      <c r="AF5268" s="10"/>
      <c r="AG5268" s="10"/>
      <c r="AH5268" s="10"/>
      <c r="AI5268" s="10"/>
      <c r="AJ5268" s="10"/>
      <c r="AK5268" s="10"/>
      <c r="AL5268" s="10"/>
      <c r="AM5268" s="10"/>
      <c r="AN5268" s="10"/>
      <c r="AO5268" s="10"/>
      <c r="AP5268" s="10"/>
      <c r="AQ5268" s="10"/>
      <c r="AR5268" s="10"/>
      <c r="AS5268" s="10"/>
      <c r="AT5268" s="10"/>
      <c r="AU5268" s="10"/>
      <c r="AV5268" s="10"/>
      <c r="AW5268" s="10"/>
      <c r="AX5268" s="10"/>
      <c r="AY5268" s="10"/>
      <c r="AZ5268" s="10"/>
    </row>
    <row r="5269" spans="31:52">
      <c r="AE5269" s="10"/>
      <c r="AF5269" s="10"/>
      <c r="AG5269" s="10"/>
      <c r="AH5269" s="10"/>
      <c r="AI5269" s="10"/>
      <c r="AJ5269" s="10"/>
      <c r="AK5269" s="10"/>
      <c r="AL5269" s="10"/>
      <c r="AM5269" s="10"/>
      <c r="AN5269" s="10"/>
      <c r="AO5269" s="10"/>
      <c r="AP5269" s="10"/>
      <c r="AQ5269" s="10"/>
      <c r="AR5269" s="10"/>
      <c r="AS5269" s="10"/>
      <c r="AT5269" s="10"/>
      <c r="AU5269" s="10"/>
      <c r="AV5269" s="10"/>
      <c r="AW5269" s="10"/>
      <c r="AX5269" s="10"/>
      <c r="AY5269" s="10"/>
      <c r="AZ5269" s="10"/>
    </row>
    <row r="5270" spans="31:52">
      <c r="AE5270" s="10"/>
      <c r="AF5270" s="10"/>
      <c r="AG5270" s="10"/>
      <c r="AH5270" s="10"/>
      <c r="AI5270" s="10"/>
      <c r="AJ5270" s="10"/>
      <c r="AK5270" s="10"/>
      <c r="AL5270" s="10"/>
      <c r="AM5270" s="10"/>
      <c r="AN5270" s="10"/>
      <c r="AO5270" s="10"/>
      <c r="AP5270" s="10"/>
      <c r="AQ5270" s="10"/>
      <c r="AR5270" s="10"/>
      <c r="AS5270" s="10"/>
      <c r="AT5270" s="10"/>
      <c r="AU5270" s="10"/>
      <c r="AV5270" s="10"/>
      <c r="AW5270" s="10"/>
      <c r="AX5270" s="10"/>
      <c r="AY5270" s="10"/>
      <c r="AZ5270" s="10"/>
    </row>
    <row r="5271" spans="31:52">
      <c r="AE5271" s="10"/>
      <c r="AF5271" s="10"/>
      <c r="AG5271" s="10"/>
      <c r="AH5271" s="10"/>
      <c r="AI5271" s="10"/>
      <c r="AJ5271" s="10"/>
      <c r="AK5271" s="10"/>
      <c r="AL5271" s="10"/>
      <c r="AM5271" s="10"/>
      <c r="AN5271" s="10"/>
      <c r="AO5271" s="10"/>
      <c r="AP5271" s="10"/>
      <c r="AQ5271" s="10"/>
      <c r="AR5271" s="10"/>
      <c r="AS5271" s="10"/>
      <c r="AT5271" s="10"/>
      <c r="AU5271" s="10"/>
      <c r="AV5271" s="10"/>
      <c r="AW5271" s="10"/>
      <c r="AX5271" s="10"/>
      <c r="AY5271" s="10"/>
      <c r="AZ5271" s="10"/>
    </row>
    <row r="5272" spans="31:52">
      <c r="AE5272" s="10"/>
      <c r="AF5272" s="10"/>
      <c r="AG5272" s="10"/>
      <c r="AH5272" s="10"/>
      <c r="AI5272" s="10"/>
      <c r="AJ5272" s="10"/>
      <c r="AK5272" s="10"/>
      <c r="AL5272" s="10"/>
      <c r="AM5272" s="10"/>
      <c r="AN5272" s="10"/>
      <c r="AO5272" s="10"/>
      <c r="AP5272" s="10"/>
      <c r="AQ5272" s="10"/>
      <c r="AR5272" s="10"/>
      <c r="AS5272" s="10"/>
      <c r="AT5272" s="10"/>
      <c r="AU5272" s="10"/>
      <c r="AV5272" s="10"/>
      <c r="AW5272" s="10"/>
      <c r="AX5272" s="10"/>
      <c r="AY5272" s="10"/>
      <c r="AZ5272" s="10"/>
    </row>
    <row r="5273" spans="31:52">
      <c r="AE5273" s="10"/>
      <c r="AF5273" s="10"/>
      <c r="AG5273" s="10"/>
      <c r="AH5273" s="10"/>
      <c r="AI5273" s="10"/>
      <c r="AJ5273" s="10"/>
      <c r="AK5273" s="10"/>
      <c r="AL5273" s="10"/>
      <c r="AM5273" s="10"/>
      <c r="AN5273" s="10"/>
      <c r="AO5273" s="10"/>
      <c r="AP5273" s="10"/>
      <c r="AQ5273" s="10"/>
      <c r="AR5273" s="10"/>
      <c r="AS5273" s="10"/>
      <c r="AT5273" s="10"/>
      <c r="AU5273" s="10"/>
      <c r="AV5273" s="10"/>
      <c r="AW5273" s="10"/>
      <c r="AX5273" s="10"/>
      <c r="AY5273" s="10"/>
      <c r="AZ5273" s="10"/>
    </row>
    <row r="5274" spans="31:52">
      <c r="AE5274" s="10"/>
      <c r="AF5274" s="10"/>
      <c r="AG5274" s="10"/>
      <c r="AH5274" s="10"/>
      <c r="AI5274" s="10"/>
      <c r="AJ5274" s="10"/>
      <c r="AK5274" s="10"/>
      <c r="AL5274" s="10"/>
      <c r="AM5274" s="10"/>
      <c r="AN5274" s="10"/>
      <c r="AO5274" s="10"/>
      <c r="AP5274" s="10"/>
      <c r="AQ5274" s="10"/>
      <c r="AR5274" s="10"/>
      <c r="AS5274" s="10"/>
      <c r="AT5274" s="10"/>
      <c r="AU5274" s="10"/>
      <c r="AV5274" s="10"/>
      <c r="AW5274" s="10"/>
      <c r="AX5274" s="10"/>
      <c r="AY5274" s="10"/>
      <c r="AZ5274" s="10"/>
    </row>
    <row r="5275" spans="31:52">
      <c r="AE5275" s="10"/>
      <c r="AF5275" s="10"/>
      <c r="AG5275" s="10"/>
      <c r="AH5275" s="10"/>
      <c r="AI5275" s="10"/>
      <c r="AJ5275" s="10"/>
      <c r="AK5275" s="10"/>
      <c r="AL5275" s="10"/>
      <c r="AM5275" s="10"/>
      <c r="AN5275" s="10"/>
      <c r="AO5275" s="10"/>
      <c r="AP5275" s="10"/>
      <c r="AQ5275" s="10"/>
      <c r="AR5275" s="10"/>
      <c r="AS5275" s="10"/>
      <c r="AT5275" s="10"/>
      <c r="AU5275" s="10"/>
      <c r="AV5275" s="10"/>
      <c r="AW5275" s="10"/>
      <c r="AX5275" s="10"/>
      <c r="AY5275" s="10"/>
      <c r="AZ5275" s="10"/>
    </row>
    <row r="5276" spans="31:52">
      <c r="AE5276" s="10"/>
      <c r="AF5276" s="10"/>
      <c r="AG5276" s="10"/>
      <c r="AH5276" s="10"/>
      <c r="AI5276" s="10"/>
      <c r="AJ5276" s="10"/>
      <c r="AK5276" s="10"/>
      <c r="AL5276" s="10"/>
      <c r="AM5276" s="10"/>
      <c r="AN5276" s="10"/>
      <c r="AO5276" s="10"/>
      <c r="AP5276" s="10"/>
      <c r="AQ5276" s="10"/>
      <c r="AR5276" s="10"/>
      <c r="AS5276" s="10"/>
      <c r="AT5276" s="10"/>
      <c r="AU5276" s="10"/>
      <c r="AV5276" s="10"/>
      <c r="AW5276" s="10"/>
      <c r="AX5276" s="10"/>
      <c r="AY5276" s="10"/>
      <c r="AZ5276" s="10"/>
    </row>
    <row r="5277" spans="31:52">
      <c r="AE5277" s="10"/>
      <c r="AF5277" s="10"/>
      <c r="AG5277" s="10"/>
      <c r="AH5277" s="10"/>
      <c r="AI5277" s="10"/>
      <c r="AJ5277" s="10"/>
      <c r="AK5277" s="10"/>
      <c r="AL5277" s="10"/>
      <c r="AM5277" s="10"/>
      <c r="AN5277" s="10"/>
      <c r="AO5277" s="10"/>
      <c r="AP5277" s="10"/>
      <c r="AQ5277" s="10"/>
      <c r="AR5277" s="10"/>
      <c r="AS5277" s="10"/>
      <c r="AT5277" s="10"/>
      <c r="AU5277" s="10"/>
      <c r="AV5277" s="10"/>
      <c r="AW5277" s="10"/>
      <c r="AX5277" s="10"/>
      <c r="AY5277" s="10"/>
      <c r="AZ5277" s="10"/>
    </row>
    <row r="5278" spans="31:52">
      <c r="AE5278" s="10"/>
      <c r="AF5278" s="10"/>
      <c r="AG5278" s="10"/>
      <c r="AH5278" s="10"/>
      <c r="AI5278" s="10"/>
      <c r="AJ5278" s="10"/>
      <c r="AK5278" s="10"/>
      <c r="AL5278" s="10"/>
      <c r="AM5278" s="10"/>
      <c r="AN5278" s="10"/>
      <c r="AO5278" s="10"/>
      <c r="AP5278" s="10"/>
      <c r="AQ5278" s="10"/>
      <c r="AR5278" s="10"/>
      <c r="AS5278" s="10"/>
      <c r="AT5278" s="10"/>
      <c r="AU5278" s="10"/>
      <c r="AV5278" s="10"/>
      <c r="AW5278" s="10"/>
      <c r="AX5278" s="10"/>
      <c r="AY5278" s="10"/>
      <c r="AZ5278" s="10"/>
    </row>
    <row r="5279" spans="31:52">
      <c r="AE5279" s="10"/>
      <c r="AF5279" s="10"/>
      <c r="AG5279" s="10"/>
      <c r="AH5279" s="10"/>
      <c r="AI5279" s="10"/>
      <c r="AJ5279" s="10"/>
      <c r="AK5279" s="10"/>
      <c r="AL5279" s="10"/>
      <c r="AM5279" s="10"/>
      <c r="AN5279" s="10"/>
      <c r="AO5279" s="10"/>
      <c r="AP5279" s="10"/>
      <c r="AQ5279" s="10"/>
      <c r="AR5279" s="10"/>
      <c r="AS5279" s="10"/>
      <c r="AT5279" s="10"/>
      <c r="AU5279" s="10"/>
      <c r="AV5279" s="10"/>
      <c r="AW5279" s="10"/>
      <c r="AX5279" s="10"/>
      <c r="AY5279" s="10"/>
      <c r="AZ5279" s="10"/>
    </row>
    <row r="5280" spans="31:52">
      <c r="AE5280" s="10"/>
      <c r="AF5280" s="10"/>
      <c r="AG5280" s="10"/>
      <c r="AH5280" s="10"/>
      <c r="AI5280" s="10"/>
      <c r="AJ5280" s="10"/>
      <c r="AK5280" s="10"/>
      <c r="AL5280" s="10"/>
      <c r="AM5280" s="10"/>
      <c r="AN5280" s="10"/>
      <c r="AO5280" s="10"/>
      <c r="AP5280" s="10"/>
      <c r="AQ5280" s="10"/>
      <c r="AR5280" s="10"/>
      <c r="AS5280" s="10"/>
      <c r="AT5280" s="10"/>
      <c r="AU5280" s="10"/>
      <c r="AV5280" s="10"/>
      <c r="AW5280" s="10"/>
      <c r="AX5280" s="10"/>
      <c r="AY5280" s="10"/>
      <c r="AZ5280" s="10"/>
    </row>
    <row r="5281" spans="31:52">
      <c r="AE5281" s="10"/>
      <c r="AF5281" s="10"/>
      <c r="AG5281" s="10"/>
      <c r="AH5281" s="10"/>
      <c r="AI5281" s="10"/>
      <c r="AJ5281" s="10"/>
      <c r="AK5281" s="10"/>
      <c r="AL5281" s="10"/>
      <c r="AM5281" s="10"/>
      <c r="AN5281" s="10"/>
      <c r="AO5281" s="10"/>
      <c r="AP5281" s="10"/>
      <c r="AQ5281" s="10"/>
      <c r="AR5281" s="10"/>
      <c r="AS5281" s="10"/>
      <c r="AT5281" s="10"/>
      <c r="AU5281" s="10"/>
      <c r="AV5281" s="10"/>
      <c r="AW5281" s="10"/>
      <c r="AX5281" s="10"/>
      <c r="AY5281" s="10"/>
      <c r="AZ5281" s="10"/>
    </row>
    <row r="5282" spans="31:52">
      <c r="AE5282" s="10"/>
      <c r="AF5282" s="10"/>
      <c r="AG5282" s="10"/>
      <c r="AH5282" s="10"/>
      <c r="AI5282" s="10"/>
      <c r="AJ5282" s="10"/>
      <c r="AK5282" s="10"/>
      <c r="AL5282" s="10"/>
      <c r="AM5282" s="10"/>
      <c r="AN5282" s="10"/>
      <c r="AO5282" s="10"/>
      <c r="AP5282" s="10"/>
      <c r="AQ5282" s="10"/>
      <c r="AR5282" s="10"/>
      <c r="AS5282" s="10"/>
      <c r="AT5282" s="10"/>
      <c r="AU5282" s="10"/>
      <c r="AV5282" s="10"/>
      <c r="AW5282" s="10"/>
      <c r="AX5282" s="10"/>
      <c r="AY5282" s="10"/>
      <c r="AZ5282" s="10"/>
    </row>
    <row r="5283" spans="31:52">
      <c r="AE5283" s="10"/>
      <c r="AF5283" s="10"/>
      <c r="AG5283" s="10"/>
      <c r="AH5283" s="10"/>
      <c r="AI5283" s="10"/>
      <c r="AJ5283" s="10"/>
      <c r="AK5283" s="10"/>
      <c r="AL5283" s="10"/>
      <c r="AM5283" s="10"/>
      <c r="AN5283" s="10"/>
      <c r="AO5283" s="10"/>
      <c r="AP5283" s="10"/>
      <c r="AQ5283" s="10"/>
      <c r="AR5283" s="10"/>
      <c r="AS5283" s="10"/>
      <c r="AT5283" s="10"/>
      <c r="AU5283" s="10"/>
      <c r="AV5283" s="10"/>
      <c r="AW5283" s="10"/>
      <c r="AX5283" s="10"/>
      <c r="AY5283" s="10"/>
      <c r="AZ5283" s="10"/>
    </row>
    <row r="5284" spans="31:52">
      <c r="AE5284" s="10"/>
      <c r="AF5284" s="10"/>
      <c r="AG5284" s="10"/>
      <c r="AH5284" s="10"/>
      <c r="AI5284" s="10"/>
      <c r="AJ5284" s="10"/>
      <c r="AK5284" s="10"/>
      <c r="AL5284" s="10"/>
      <c r="AM5284" s="10"/>
      <c r="AN5284" s="10"/>
      <c r="AO5284" s="10"/>
      <c r="AP5284" s="10"/>
      <c r="AQ5284" s="10"/>
      <c r="AR5284" s="10"/>
      <c r="AS5284" s="10"/>
      <c r="AT5284" s="10"/>
      <c r="AU5284" s="10"/>
      <c r="AV5284" s="10"/>
      <c r="AW5284" s="10"/>
      <c r="AX5284" s="10"/>
      <c r="AY5284" s="10"/>
      <c r="AZ5284" s="10"/>
    </row>
    <row r="5285" spans="31:52">
      <c r="AE5285" s="10"/>
      <c r="AF5285" s="10"/>
      <c r="AG5285" s="10"/>
      <c r="AH5285" s="10"/>
      <c r="AI5285" s="10"/>
      <c r="AJ5285" s="10"/>
      <c r="AK5285" s="10"/>
      <c r="AL5285" s="10"/>
      <c r="AM5285" s="10"/>
      <c r="AN5285" s="10"/>
      <c r="AO5285" s="10"/>
      <c r="AP5285" s="10"/>
      <c r="AQ5285" s="10"/>
      <c r="AR5285" s="10"/>
      <c r="AS5285" s="10"/>
      <c r="AT5285" s="10"/>
      <c r="AU5285" s="10"/>
      <c r="AV5285" s="10"/>
      <c r="AW5285" s="10"/>
      <c r="AX5285" s="10"/>
      <c r="AY5285" s="10"/>
      <c r="AZ5285" s="10"/>
    </row>
    <row r="5286" spans="31:52">
      <c r="AE5286" s="10"/>
      <c r="AF5286" s="10"/>
      <c r="AG5286" s="10"/>
      <c r="AH5286" s="10"/>
      <c r="AI5286" s="10"/>
      <c r="AJ5286" s="10"/>
      <c r="AK5286" s="10"/>
      <c r="AL5286" s="10"/>
      <c r="AM5286" s="10"/>
      <c r="AN5286" s="10"/>
      <c r="AO5286" s="10"/>
      <c r="AP5286" s="10"/>
      <c r="AQ5286" s="10"/>
      <c r="AR5286" s="10"/>
      <c r="AS5286" s="10"/>
      <c r="AT5286" s="10"/>
      <c r="AU5286" s="10"/>
      <c r="AV5286" s="10"/>
      <c r="AW5286" s="10"/>
      <c r="AX5286" s="10"/>
      <c r="AY5286" s="10"/>
      <c r="AZ5286" s="10"/>
    </row>
    <row r="5287" spans="31:52">
      <c r="AE5287" s="10"/>
      <c r="AF5287" s="10"/>
      <c r="AG5287" s="10"/>
      <c r="AH5287" s="10"/>
      <c r="AI5287" s="10"/>
      <c r="AJ5287" s="10"/>
      <c r="AK5287" s="10"/>
      <c r="AL5287" s="10"/>
      <c r="AM5287" s="10"/>
      <c r="AN5287" s="10"/>
      <c r="AO5287" s="10"/>
      <c r="AP5287" s="10"/>
      <c r="AQ5287" s="10"/>
      <c r="AR5287" s="10"/>
      <c r="AS5287" s="10"/>
      <c r="AT5287" s="10"/>
      <c r="AU5287" s="10"/>
      <c r="AV5287" s="10"/>
      <c r="AW5287" s="10"/>
      <c r="AX5287" s="10"/>
      <c r="AY5287" s="10"/>
      <c r="AZ5287" s="10"/>
    </row>
    <row r="5288" spans="31:52">
      <c r="AE5288" s="10"/>
      <c r="AF5288" s="10"/>
      <c r="AG5288" s="10"/>
      <c r="AH5288" s="10"/>
      <c r="AI5288" s="10"/>
      <c r="AJ5288" s="10"/>
      <c r="AK5288" s="10"/>
      <c r="AL5288" s="10"/>
      <c r="AM5288" s="10"/>
      <c r="AN5288" s="10"/>
      <c r="AO5288" s="10"/>
      <c r="AP5288" s="10"/>
      <c r="AQ5288" s="10"/>
      <c r="AR5288" s="10"/>
      <c r="AS5288" s="10"/>
      <c r="AT5288" s="10"/>
      <c r="AU5288" s="10"/>
      <c r="AV5288" s="10"/>
      <c r="AW5288" s="10"/>
      <c r="AX5288" s="10"/>
      <c r="AY5288" s="10"/>
      <c r="AZ5288" s="10"/>
    </row>
    <row r="5289" spans="31:52">
      <c r="AE5289" s="10"/>
      <c r="AF5289" s="10"/>
      <c r="AG5289" s="10"/>
      <c r="AH5289" s="10"/>
      <c r="AI5289" s="10"/>
      <c r="AJ5289" s="10"/>
      <c r="AK5289" s="10"/>
      <c r="AL5289" s="10"/>
      <c r="AM5289" s="10"/>
      <c r="AN5289" s="10"/>
      <c r="AO5289" s="10"/>
      <c r="AP5289" s="10"/>
      <c r="AQ5289" s="10"/>
      <c r="AR5289" s="10"/>
      <c r="AS5289" s="10"/>
      <c r="AT5289" s="10"/>
      <c r="AU5289" s="10"/>
      <c r="AV5289" s="10"/>
      <c r="AW5289" s="10"/>
      <c r="AX5289" s="10"/>
      <c r="AY5289" s="10"/>
      <c r="AZ5289" s="10"/>
    </row>
    <row r="5290" spans="31:52">
      <c r="AE5290" s="10"/>
      <c r="AF5290" s="10"/>
      <c r="AG5290" s="10"/>
      <c r="AH5290" s="10"/>
      <c r="AI5290" s="10"/>
      <c r="AJ5290" s="10"/>
      <c r="AK5290" s="10"/>
      <c r="AL5290" s="10"/>
      <c r="AM5290" s="10"/>
      <c r="AN5290" s="10"/>
      <c r="AO5290" s="10"/>
      <c r="AP5290" s="10"/>
      <c r="AQ5290" s="10"/>
      <c r="AR5290" s="10"/>
      <c r="AS5290" s="10"/>
      <c r="AT5290" s="10"/>
      <c r="AU5290" s="10"/>
      <c r="AV5290" s="10"/>
      <c r="AW5290" s="10"/>
      <c r="AX5290" s="10"/>
      <c r="AY5290" s="10"/>
      <c r="AZ5290" s="10"/>
    </row>
    <row r="5291" spans="31:52">
      <c r="AE5291" s="10"/>
      <c r="AF5291" s="10"/>
      <c r="AG5291" s="10"/>
      <c r="AH5291" s="10"/>
      <c r="AI5291" s="10"/>
      <c r="AJ5291" s="10"/>
      <c r="AK5291" s="10"/>
      <c r="AL5291" s="10"/>
      <c r="AM5291" s="10"/>
      <c r="AN5291" s="10"/>
      <c r="AO5291" s="10"/>
      <c r="AP5291" s="10"/>
      <c r="AQ5291" s="10"/>
      <c r="AR5291" s="10"/>
      <c r="AS5291" s="10"/>
      <c r="AT5291" s="10"/>
      <c r="AU5291" s="10"/>
      <c r="AV5291" s="10"/>
      <c r="AW5291" s="10"/>
      <c r="AX5291" s="10"/>
      <c r="AY5291" s="10"/>
      <c r="AZ5291" s="10"/>
    </row>
    <row r="5292" spans="31:52">
      <c r="AE5292" s="10"/>
      <c r="AF5292" s="10"/>
      <c r="AG5292" s="10"/>
      <c r="AH5292" s="10"/>
      <c r="AI5292" s="10"/>
      <c r="AJ5292" s="10"/>
      <c r="AK5292" s="10"/>
      <c r="AL5292" s="10"/>
      <c r="AM5292" s="10"/>
      <c r="AN5292" s="10"/>
      <c r="AO5292" s="10"/>
      <c r="AP5292" s="10"/>
      <c r="AQ5292" s="10"/>
      <c r="AR5292" s="10"/>
      <c r="AS5292" s="10"/>
      <c r="AT5292" s="10"/>
      <c r="AU5292" s="10"/>
      <c r="AV5292" s="10"/>
      <c r="AW5292" s="10"/>
      <c r="AX5292" s="10"/>
      <c r="AY5292" s="10"/>
      <c r="AZ5292" s="10"/>
    </row>
    <row r="5293" spans="31:52">
      <c r="AE5293" s="10"/>
      <c r="AF5293" s="10"/>
      <c r="AG5293" s="10"/>
      <c r="AH5293" s="10"/>
      <c r="AI5293" s="10"/>
      <c r="AJ5293" s="10"/>
      <c r="AK5293" s="10"/>
      <c r="AL5293" s="10"/>
      <c r="AM5293" s="10"/>
      <c r="AN5293" s="10"/>
      <c r="AO5293" s="10"/>
      <c r="AP5293" s="10"/>
      <c r="AQ5293" s="10"/>
      <c r="AR5293" s="10"/>
      <c r="AS5293" s="10"/>
      <c r="AT5293" s="10"/>
      <c r="AU5293" s="10"/>
      <c r="AV5293" s="10"/>
      <c r="AW5293" s="10"/>
      <c r="AX5293" s="10"/>
      <c r="AY5293" s="10"/>
      <c r="AZ5293" s="10"/>
    </row>
    <row r="5294" spans="31:52">
      <c r="AE5294" s="10"/>
      <c r="AF5294" s="10"/>
      <c r="AG5294" s="10"/>
      <c r="AH5294" s="10"/>
      <c r="AI5294" s="10"/>
      <c r="AJ5294" s="10"/>
      <c r="AK5294" s="10"/>
      <c r="AL5294" s="10"/>
      <c r="AM5294" s="10"/>
      <c r="AN5294" s="10"/>
      <c r="AO5294" s="10"/>
      <c r="AP5294" s="10"/>
      <c r="AQ5294" s="10"/>
      <c r="AR5294" s="10"/>
      <c r="AS5294" s="10"/>
      <c r="AT5294" s="10"/>
      <c r="AU5294" s="10"/>
      <c r="AV5294" s="10"/>
      <c r="AW5294" s="10"/>
      <c r="AX5294" s="10"/>
      <c r="AY5294" s="10"/>
      <c r="AZ5294" s="10"/>
    </row>
    <row r="5295" spans="31:52">
      <c r="AE5295" s="10"/>
      <c r="AF5295" s="10"/>
      <c r="AG5295" s="10"/>
      <c r="AH5295" s="10"/>
      <c r="AI5295" s="10"/>
      <c r="AJ5295" s="10"/>
      <c r="AK5295" s="10"/>
      <c r="AL5295" s="10"/>
      <c r="AM5295" s="10"/>
      <c r="AN5295" s="10"/>
      <c r="AO5295" s="10"/>
      <c r="AP5295" s="10"/>
      <c r="AQ5295" s="10"/>
      <c r="AR5295" s="10"/>
      <c r="AS5295" s="10"/>
      <c r="AT5295" s="10"/>
      <c r="AU5295" s="10"/>
      <c r="AV5295" s="10"/>
      <c r="AW5295" s="10"/>
      <c r="AX5295" s="10"/>
      <c r="AY5295" s="10"/>
      <c r="AZ5295" s="10"/>
    </row>
    <row r="5296" spans="31:52">
      <c r="AE5296" s="10"/>
      <c r="AF5296" s="10"/>
      <c r="AG5296" s="10"/>
      <c r="AH5296" s="10"/>
      <c r="AI5296" s="10"/>
      <c r="AJ5296" s="10"/>
      <c r="AK5296" s="10"/>
      <c r="AL5296" s="10"/>
      <c r="AM5296" s="10"/>
      <c r="AN5296" s="10"/>
      <c r="AO5296" s="10"/>
      <c r="AP5296" s="10"/>
      <c r="AQ5296" s="10"/>
      <c r="AR5296" s="10"/>
      <c r="AS5296" s="10"/>
      <c r="AT5296" s="10"/>
      <c r="AU5296" s="10"/>
      <c r="AV5296" s="10"/>
      <c r="AW5296" s="10"/>
      <c r="AX5296" s="10"/>
      <c r="AY5296" s="10"/>
      <c r="AZ5296" s="10"/>
    </row>
    <row r="5297" spans="31:52">
      <c r="AE5297" s="10"/>
      <c r="AF5297" s="10"/>
      <c r="AG5297" s="10"/>
      <c r="AH5297" s="10"/>
      <c r="AI5297" s="10"/>
      <c r="AJ5297" s="10"/>
      <c r="AK5297" s="10"/>
      <c r="AL5297" s="10"/>
      <c r="AM5297" s="10"/>
      <c r="AN5297" s="10"/>
      <c r="AO5297" s="10"/>
      <c r="AP5297" s="10"/>
      <c r="AQ5297" s="10"/>
      <c r="AR5297" s="10"/>
      <c r="AS5297" s="10"/>
      <c r="AT5297" s="10"/>
      <c r="AU5297" s="10"/>
      <c r="AV5297" s="10"/>
      <c r="AW5297" s="10"/>
      <c r="AX5297" s="10"/>
      <c r="AY5297" s="10"/>
      <c r="AZ5297" s="10"/>
    </row>
    <row r="5298" spans="31:52">
      <c r="AE5298" s="10"/>
      <c r="AF5298" s="10"/>
      <c r="AG5298" s="10"/>
      <c r="AH5298" s="10"/>
      <c r="AI5298" s="10"/>
      <c r="AJ5298" s="10"/>
      <c r="AK5298" s="10"/>
      <c r="AL5298" s="10"/>
      <c r="AM5298" s="10"/>
      <c r="AN5298" s="10"/>
      <c r="AO5298" s="10"/>
      <c r="AP5298" s="10"/>
      <c r="AQ5298" s="10"/>
      <c r="AR5298" s="10"/>
      <c r="AS5298" s="10"/>
      <c r="AT5298" s="10"/>
      <c r="AU5298" s="10"/>
      <c r="AV5298" s="10"/>
      <c r="AW5298" s="10"/>
      <c r="AX5298" s="10"/>
      <c r="AY5298" s="10"/>
      <c r="AZ5298" s="10"/>
    </row>
    <row r="5299" spans="31:52">
      <c r="AE5299" s="10"/>
      <c r="AF5299" s="10"/>
      <c r="AG5299" s="10"/>
      <c r="AH5299" s="10"/>
      <c r="AI5299" s="10"/>
      <c r="AJ5299" s="10"/>
      <c r="AK5299" s="10"/>
      <c r="AL5299" s="10"/>
      <c r="AM5299" s="10"/>
      <c r="AN5299" s="10"/>
      <c r="AO5299" s="10"/>
      <c r="AP5299" s="10"/>
      <c r="AQ5299" s="10"/>
      <c r="AR5299" s="10"/>
      <c r="AS5299" s="10"/>
      <c r="AT5299" s="10"/>
      <c r="AU5299" s="10"/>
      <c r="AV5299" s="10"/>
      <c r="AW5299" s="10"/>
      <c r="AX5299" s="10"/>
      <c r="AY5299" s="10"/>
      <c r="AZ5299" s="10"/>
    </row>
    <row r="5300" spans="31:52">
      <c r="AE5300" s="10"/>
      <c r="AF5300" s="10"/>
      <c r="AG5300" s="10"/>
      <c r="AH5300" s="10"/>
      <c r="AI5300" s="10"/>
      <c r="AJ5300" s="10"/>
      <c r="AK5300" s="10"/>
      <c r="AL5300" s="10"/>
      <c r="AM5300" s="10"/>
      <c r="AN5300" s="10"/>
      <c r="AO5300" s="10"/>
      <c r="AP5300" s="10"/>
      <c r="AQ5300" s="10"/>
      <c r="AR5300" s="10"/>
      <c r="AS5300" s="10"/>
      <c r="AT5300" s="10"/>
      <c r="AU5300" s="10"/>
      <c r="AV5300" s="10"/>
      <c r="AW5300" s="10"/>
      <c r="AX5300" s="10"/>
      <c r="AY5300" s="10"/>
      <c r="AZ5300" s="10"/>
    </row>
    <row r="5301" spans="31:52">
      <c r="AE5301" s="10"/>
      <c r="AF5301" s="10"/>
      <c r="AG5301" s="10"/>
      <c r="AH5301" s="10"/>
      <c r="AI5301" s="10"/>
      <c r="AJ5301" s="10"/>
      <c r="AK5301" s="10"/>
      <c r="AL5301" s="10"/>
      <c r="AM5301" s="10"/>
      <c r="AN5301" s="10"/>
      <c r="AO5301" s="10"/>
      <c r="AP5301" s="10"/>
      <c r="AQ5301" s="10"/>
      <c r="AR5301" s="10"/>
      <c r="AS5301" s="10"/>
      <c r="AT5301" s="10"/>
      <c r="AU5301" s="10"/>
      <c r="AV5301" s="10"/>
      <c r="AW5301" s="10"/>
      <c r="AX5301" s="10"/>
      <c r="AY5301" s="10"/>
      <c r="AZ5301" s="10"/>
    </row>
    <row r="5302" spans="31:52">
      <c r="AE5302" s="10"/>
      <c r="AF5302" s="10"/>
      <c r="AG5302" s="10"/>
      <c r="AH5302" s="10"/>
      <c r="AI5302" s="10"/>
      <c r="AJ5302" s="10"/>
      <c r="AK5302" s="10"/>
      <c r="AL5302" s="10"/>
      <c r="AM5302" s="10"/>
      <c r="AN5302" s="10"/>
      <c r="AO5302" s="10"/>
      <c r="AP5302" s="10"/>
      <c r="AQ5302" s="10"/>
      <c r="AR5302" s="10"/>
      <c r="AS5302" s="10"/>
      <c r="AT5302" s="10"/>
      <c r="AU5302" s="10"/>
      <c r="AV5302" s="10"/>
      <c r="AW5302" s="10"/>
      <c r="AX5302" s="10"/>
      <c r="AY5302" s="10"/>
      <c r="AZ5302" s="10"/>
    </row>
    <row r="5303" spans="31:52">
      <c r="AE5303" s="10"/>
      <c r="AF5303" s="10"/>
      <c r="AG5303" s="10"/>
      <c r="AH5303" s="10"/>
      <c r="AI5303" s="10"/>
      <c r="AJ5303" s="10"/>
      <c r="AK5303" s="10"/>
      <c r="AL5303" s="10"/>
      <c r="AM5303" s="10"/>
      <c r="AN5303" s="10"/>
      <c r="AO5303" s="10"/>
      <c r="AP5303" s="10"/>
      <c r="AQ5303" s="10"/>
      <c r="AR5303" s="10"/>
      <c r="AS5303" s="10"/>
      <c r="AT5303" s="10"/>
      <c r="AU5303" s="10"/>
      <c r="AV5303" s="10"/>
      <c r="AW5303" s="10"/>
      <c r="AX5303" s="10"/>
      <c r="AY5303" s="10"/>
      <c r="AZ5303" s="10"/>
    </row>
    <row r="5304" spans="31:52">
      <c r="AE5304" s="10"/>
      <c r="AF5304" s="10"/>
      <c r="AG5304" s="10"/>
      <c r="AH5304" s="10"/>
      <c r="AI5304" s="10"/>
      <c r="AJ5304" s="10"/>
      <c r="AK5304" s="10"/>
      <c r="AL5304" s="10"/>
      <c r="AM5304" s="10"/>
      <c r="AN5304" s="10"/>
      <c r="AO5304" s="10"/>
      <c r="AP5304" s="10"/>
      <c r="AQ5304" s="10"/>
      <c r="AR5304" s="10"/>
      <c r="AS5304" s="10"/>
      <c r="AT5304" s="10"/>
      <c r="AU5304" s="10"/>
      <c r="AV5304" s="10"/>
      <c r="AW5304" s="10"/>
      <c r="AX5304" s="10"/>
      <c r="AY5304" s="10"/>
      <c r="AZ5304" s="10"/>
    </row>
    <row r="5305" spans="31:52">
      <c r="AE5305" s="10"/>
      <c r="AF5305" s="10"/>
      <c r="AG5305" s="10"/>
      <c r="AH5305" s="10"/>
      <c r="AI5305" s="10"/>
      <c r="AJ5305" s="10"/>
      <c r="AK5305" s="10"/>
      <c r="AL5305" s="10"/>
      <c r="AM5305" s="10"/>
      <c r="AN5305" s="10"/>
      <c r="AO5305" s="10"/>
      <c r="AP5305" s="10"/>
      <c r="AQ5305" s="10"/>
      <c r="AR5305" s="10"/>
      <c r="AS5305" s="10"/>
      <c r="AT5305" s="10"/>
      <c r="AU5305" s="10"/>
      <c r="AV5305" s="10"/>
      <c r="AW5305" s="10"/>
      <c r="AX5305" s="10"/>
      <c r="AY5305" s="10"/>
      <c r="AZ5305" s="10"/>
    </row>
    <row r="5306" spans="31:52">
      <c r="AE5306" s="10"/>
      <c r="AF5306" s="10"/>
      <c r="AG5306" s="10"/>
      <c r="AH5306" s="10"/>
      <c r="AI5306" s="10"/>
      <c r="AJ5306" s="10"/>
      <c r="AK5306" s="10"/>
      <c r="AL5306" s="10"/>
      <c r="AM5306" s="10"/>
      <c r="AN5306" s="10"/>
      <c r="AO5306" s="10"/>
      <c r="AP5306" s="10"/>
      <c r="AQ5306" s="10"/>
      <c r="AR5306" s="10"/>
      <c r="AS5306" s="10"/>
      <c r="AT5306" s="10"/>
      <c r="AU5306" s="10"/>
      <c r="AV5306" s="10"/>
      <c r="AW5306" s="10"/>
      <c r="AX5306" s="10"/>
      <c r="AY5306" s="10"/>
      <c r="AZ5306" s="10"/>
    </row>
    <row r="5307" spans="31:52">
      <c r="AE5307" s="10"/>
      <c r="AF5307" s="10"/>
      <c r="AG5307" s="10"/>
      <c r="AH5307" s="10"/>
      <c r="AI5307" s="10"/>
      <c r="AJ5307" s="10"/>
      <c r="AK5307" s="10"/>
      <c r="AL5307" s="10"/>
      <c r="AM5307" s="10"/>
      <c r="AN5307" s="10"/>
      <c r="AO5307" s="10"/>
      <c r="AP5307" s="10"/>
      <c r="AQ5307" s="10"/>
      <c r="AR5307" s="10"/>
      <c r="AS5307" s="10"/>
      <c r="AT5307" s="10"/>
      <c r="AU5307" s="10"/>
      <c r="AV5307" s="10"/>
      <c r="AW5307" s="10"/>
      <c r="AX5307" s="10"/>
      <c r="AY5307" s="10"/>
      <c r="AZ5307" s="10"/>
    </row>
    <row r="5308" spans="31:52">
      <c r="AE5308" s="10"/>
      <c r="AF5308" s="10"/>
      <c r="AG5308" s="10"/>
      <c r="AH5308" s="10"/>
      <c r="AI5308" s="10"/>
      <c r="AJ5308" s="10"/>
      <c r="AK5308" s="10"/>
      <c r="AL5308" s="10"/>
      <c r="AM5308" s="10"/>
      <c r="AN5308" s="10"/>
      <c r="AO5308" s="10"/>
      <c r="AP5308" s="10"/>
      <c r="AQ5308" s="10"/>
      <c r="AR5308" s="10"/>
      <c r="AS5308" s="10"/>
      <c r="AT5308" s="10"/>
      <c r="AU5308" s="10"/>
      <c r="AV5308" s="10"/>
      <c r="AW5308" s="10"/>
      <c r="AX5308" s="10"/>
      <c r="AY5308" s="10"/>
      <c r="AZ5308" s="10"/>
    </row>
    <row r="5309" spans="31:52">
      <c r="AE5309" s="10"/>
      <c r="AF5309" s="10"/>
      <c r="AG5309" s="10"/>
      <c r="AH5309" s="10"/>
      <c r="AI5309" s="10"/>
      <c r="AJ5309" s="10"/>
      <c r="AK5309" s="10"/>
      <c r="AL5309" s="10"/>
      <c r="AM5309" s="10"/>
      <c r="AN5309" s="10"/>
      <c r="AO5309" s="10"/>
      <c r="AP5309" s="10"/>
      <c r="AQ5309" s="10"/>
      <c r="AR5309" s="10"/>
      <c r="AS5309" s="10"/>
      <c r="AT5309" s="10"/>
      <c r="AU5309" s="10"/>
      <c r="AV5309" s="10"/>
      <c r="AW5309" s="10"/>
      <c r="AX5309" s="10"/>
      <c r="AY5309" s="10"/>
      <c r="AZ5309" s="10"/>
    </row>
    <row r="5310" spans="31:52">
      <c r="AE5310" s="10"/>
      <c r="AF5310" s="10"/>
      <c r="AG5310" s="10"/>
      <c r="AH5310" s="10"/>
      <c r="AI5310" s="10"/>
      <c r="AJ5310" s="10"/>
      <c r="AK5310" s="10"/>
      <c r="AL5310" s="10"/>
      <c r="AM5310" s="10"/>
      <c r="AN5310" s="10"/>
      <c r="AO5310" s="10"/>
      <c r="AP5310" s="10"/>
      <c r="AQ5310" s="10"/>
      <c r="AR5310" s="10"/>
      <c r="AS5310" s="10"/>
      <c r="AT5310" s="10"/>
      <c r="AU5310" s="10"/>
      <c r="AV5310" s="10"/>
      <c r="AW5310" s="10"/>
      <c r="AX5310" s="10"/>
      <c r="AY5310" s="10"/>
      <c r="AZ5310" s="10"/>
    </row>
    <row r="5311" spans="31:52">
      <c r="AE5311" s="10"/>
      <c r="AF5311" s="10"/>
      <c r="AG5311" s="10"/>
      <c r="AH5311" s="10"/>
      <c r="AI5311" s="10"/>
      <c r="AJ5311" s="10"/>
      <c r="AK5311" s="10"/>
      <c r="AL5311" s="10"/>
      <c r="AM5311" s="10"/>
      <c r="AN5311" s="10"/>
      <c r="AO5311" s="10"/>
      <c r="AP5311" s="10"/>
      <c r="AQ5311" s="10"/>
      <c r="AR5311" s="10"/>
      <c r="AS5311" s="10"/>
      <c r="AT5311" s="10"/>
      <c r="AU5311" s="10"/>
      <c r="AV5311" s="10"/>
      <c r="AW5311" s="10"/>
      <c r="AX5311" s="10"/>
      <c r="AY5311" s="10"/>
      <c r="AZ5311" s="10"/>
    </row>
    <row r="5312" spans="31:52">
      <c r="AE5312" s="10"/>
      <c r="AF5312" s="10"/>
      <c r="AG5312" s="10"/>
      <c r="AH5312" s="10"/>
      <c r="AI5312" s="10"/>
      <c r="AJ5312" s="10"/>
      <c r="AK5312" s="10"/>
      <c r="AL5312" s="10"/>
      <c r="AM5312" s="10"/>
      <c r="AN5312" s="10"/>
      <c r="AO5312" s="10"/>
      <c r="AP5312" s="10"/>
      <c r="AQ5312" s="10"/>
      <c r="AR5312" s="10"/>
      <c r="AS5312" s="10"/>
      <c r="AT5312" s="10"/>
      <c r="AU5312" s="10"/>
      <c r="AV5312" s="10"/>
      <c r="AW5312" s="10"/>
      <c r="AX5312" s="10"/>
      <c r="AY5312" s="10"/>
      <c r="AZ5312" s="10"/>
    </row>
    <row r="5313" spans="31:52">
      <c r="AE5313" s="10"/>
      <c r="AF5313" s="10"/>
      <c r="AG5313" s="10"/>
      <c r="AH5313" s="10"/>
      <c r="AI5313" s="10"/>
      <c r="AJ5313" s="10"/>
      <c r="AK5313" s="10"/>
      <c r="AL5313" s="10"/>
      <c r="AM5313" s="10"/>
      <c r="AN5313" s="10"/>
      <c r="AO5313" s="10"/>
      <c r="AP5313" s="10"/>
      <c r="AQ5313" s="10"/>
      <c r="AR5313" s="10"/>
      <c r="AS5313" s="10"/>
      <c r="AT5313" s="10"/>
      <c r="AU5313" s="10"/>
      <c r="AV5313" s="10"/>
      <c r="AW5313" s="10"/>
      <c r="AX5313" s="10"/>
      <c r="AY5313" s="10"/>
      <c r="AZ5313" s="10"/>
    </row>
    <row r="5314" spans="31:52">
      <c r="AE5314" s="10"/>
      <c r="AF5314" s="10"/>
      <c r="AG5314" s="10"/>
      <c r="AH5314" s="10"/>
      <c r="AI5314" s="10"/>
      <c r="AJ5314" s="10"/>
      <c r="AK5314" s="10"/>
      <c r="AL5314" s="10"/>
      <c r="AM5314" s="10"/>
      <c r="AN5314" s="10"/>
      <c r="AO5314" s="10"/>
      <c r="AP5314" s="10"/>
      <c r="AQ5314" s="10"/>
      <c r="AR5314" s="10"/>
      <c r="AS5314" s="10"/>
      <c r="AT5314" s="10"/>
      <c r="AU5314" s="10"/>
      <c r="AV5314" s="10"/>
      <c r="AW5314" s="10"/>
      <c r="AX5314" s="10"/>
      <c r="AY5314" s="10"/>
      <c r="AZ5314" s="10"/>
    </row>
    <row r="5315" spans="31:52">
      <c r="AE5315" s="10"/>
      <c r="AF5315" s="10"/>
      <c r="AG5315" s="10"/>
      <c r="AH5315" s="10"/>
      <c r="AI5315" s="10"/>
      <c r="AJ5315" s="10"/>
      <c r="AK5315" s="10"/>
      <c r="AL5315" s="10"/>
      <c r="AM5315" s="10"/>
      <c r="AN5315" s="10"/>
      <c r="AO5315" s="10"/>
      <c r="AP5315" s="10"/>
      <c r="AQ5315" s="10"/>
      <c r="AR5315" s="10"/>
      <c r="AS5315" s="10"/>
      <c r="AT5315" s="10"/>
      <c r="AU5315" s="10"/>
      <c r="AV5315" s="10"/>
      <c r="AW5315" s="10"/>
      <c r="AX5315" s="10"/>
      <c r="AY5315" s="10"/>
      <c r="AZ5315" s="10"/>
    </row>
    <row r="5316" spans="31:52">
      <c r="AE5316" s="10"/>
      <c r="AF5316" s="10"/>
      <c r="AG5316" s="10"/>
      <c r="AH5316" s="10"/>
      <c r="AI5316" s="10"/>
      <c r="AJ5316" s="10"/>
      <c r="AK5316" s="10"/>
      <c r="AL5316" s="10"/>
      <c r="AM5316" s="10"/>
      <c r="AN5316" s="10"/>
      <c r="AO5316" s="10"/>
      <c r="AP5316" s="10"/>
      <c r="AQ5316" s="10"/>
      <c r="AR5316" s="10"/>
      <c r="AS5316" s="10"/>
      <c r="AT5316" s="10"/>
      <c r="AU5316" s="10"/>
      <c r="AV5316" s="10"/>
      <c r="AW5316" s="10"/>
      <c r="AX5316" s="10"/>
      <c r="AY5316" s="10"/>
      <c r="AZ5316" s="10"/>
    </row>
    <row r="5317" spans="31:52">
      <c r="AE5317" s="10"/>
      <c r="AF5317" s="10"/>
      <c r="AG5317" s="10"/>
      <c r="AH5317" s="10"/>
      <c r="AI5317" s="10"/>
      <c r="AJ5317" s="10"/>
      <c r="AK5317" s="10"/>
      <c r="AL5317" s="10"/>
      <c r="AM5317" s="10"/>
      <c r="AN5317" s="10"/>
      <c r="AO5317" s="10"/>
      <c r="AP5317" s="10"/>
      <c r="AQ5317" s="10"/>
      <c r="AR5317" s="10"/>
      <c r="AS5317" s="10"/>
      <c r="AT5317" s="10"/>
      <c r="AU5317" s="10"/>
      <c r="AV5317" s="10"/>
      <c r="AW5317" s="10"/>
      <c r="AX5317" s="10"/>
      <c r="AY5317" s="10"/>
      <c r="AZ5317" s="10"/>
    </row>
    <row r="5318" spans="31:52">
      <c r="AE5318" s="10"/>
      <c r="AF5318" s="10"/>
      <c r="AG5318" s="10"/>
      <c r="AH5318" s="10"/>
      <c r="AI5318" s="10"/>
      <c r="AJ5318" s="10"/>
      <c r="AK5318" s="10"/>
      <c r="AL5318" s="10"/>
      <c r="AM5318" s="10"/>
      <c r="AN5318" s="10"/>
      <c r="AO5318" s="10"/>
      <c r="AP5318" s="10"/>
      <c r="AQ5318" s="10"/>
      <c r="AR5318" s="10"/>
      <c r="AS5318" s="10"/>
      <c r="AT5318" s="10"/>
      <c r="AU5318" s="10"/>
      <c r="AV5318" s="10"/>
      <c r="AW5318" s="10"/>
      <c r="AX5318" s="10"/>
      <c r="AY5318" s="10"/>
      <c r="AZ5318" s="10"/>
    </row>
    <row r="5319" spans="31:52">
      <c r="AE5319" s="10"/>
      <c r="AF5319" s="10"/>
      <c r="AG5319" s="10"/>
      <c r="AH5319" s="10"/>
      <c r="AI5319" s="10"/>
      <c r="AJ5319" s="10"/>
      <c r="AK5319" s="10"/>
      <c r="AL5319" s="10"/>
      <c r="AM5319" s="10"/>
      <c r="AN5319" s="10"/>
      <c r="AO5319" s="10"/>
      <c r="AP5319" s="10"/>
      <c r="AQ5319" s="10"/>
      <c r="AR5319" s="10"/>
      <c r="AS5319" s="10"/>
      <c r="AT5319" s="10"/>
      <c r="AU5319" s="10"/>
      <c r="AV5319" s="10"/>
      <c r="AW5319" s="10"/>
      <c r="AX5319" s="10"/>
      <c r="AY5319" s="10"/>
      <c r="AZ5319" s="10"/>
    </row>
    <row r="5320" spans="31:52">
      <c r="AE5320" s="10"/>
      <c r="AF5320" s="10"/>
      <c r="AG5320" s="10"/>
      <c r="AH5320" s="10"/>
      <c r="AI5320" s="10"/>
      <c r="AJ5320" s="10"/>
      <c r="AK5320" s="10"/>
      <c r="AL5320" s="10"/>
      <c r="AM5320" s="10"/>
      <c r="AN5320" s="10"/>
      <c r="AO5320" s="10"/>
      <c r="AP5320" s="10"/>
      <c r="AQ5320" s="10"/>
      <c r="AR5320" s="10"/>
      <c r="AS5320" s="10"/>
      <c r="AT5320" s="10"/>
      <c r="AU5320" s="10"/>
      <c r="AV5320" s="10"/>
      <c r="AW5320" s="10"/>
      <c r="AX5320" s="10"/>
      <c r="AY5320" s="10"/>
      <c r="AZ5320" s="10"/>
    </row>
    <row r="5321" spans="31:52">
      <c r="AE5321" s="10"/>
      <c r="AF5321" s="10"/>
      <c r="AG5321" s="10"/>
      <c r="AH5321" s="10"/>
      <c r="AI5321" s="10"/>
      <c r="AJ5321" s="10"/>
      <c r="AK5321" s="10"/>
      <c r="AL5321" s="10"/>
      <c r="AM5321" s="10"/>
      <c r="AN5321" s="10"/>
      <c r="AO5321" s="10"/>
      <c r="AP5321" s="10"/>
      <c r="AQ5321" s="10"/>
      <c r="AR5321" s="10"/>
      <c r="AS5321" s="10"/>
      <c r="AT5321" s="10"/>
      <c r="AU5321" s="10"/>
      <c r="AV5321" s="10"/>
      <c r="AW5321" s="10"/>
      <c r="AX5321" s="10"/>
      <c r="AY5321" s="10"/>
      <c r="AZ5321" s="10"/>
    </row>
    <row r="5322" spans="31:52">
      <c r="AE5322" s="10"/>
      <c r="AF5322" s="10"/>
      <c r="AG5322" s="10"/>
      <c r="AH5322" s="10"/>
      <c r="AI5322" s="10"/>
      <c r="AJ5322" s="10"/>
      <c r="AK5322" s="10"/>
      <c r="AL5322" s="10"/>
      <c r="AM5322" s="10"/>
      <c r="AN5322" s="10"/>
      <c r="AO5322" s="10"/>
      <c r="AP5322" s="10"/>
      <c r="AQ5322" s="10"/>
      <c r="AR5322" s="10"/>
      <c r="AS5322" s="10"/>
      <c r="AT5322" s="10"/>
      <c r="AU5322" s="10"/>
      <c r="AV5322" s="10"/>
      <c r="AW5322" s="10"/>
      <c r="AX5322" s="10"/>
      <c r="AY5322" s="10"/>
      <c r="AZ5322" s="10"/>
    </row>
    <row r="5323" spans="31:52">
      <c r="AE5323" s="10"/>
      <c r="AF5323" s="10"/>
      <c r="AG5323" s="10"/>
      <c r="AH5323" s="10"/>
      <c r="AI5323" s="10"/>
      <c r="AJ5323" s="10"/>
      <c r="AK5323" s="10"/>
      <c r="AL5323" s="10"/>
      <c r="AM5323" s="10"/>
      <c r="AN5323" s="10"/>
      <c r="AO5323" s="10"/>
      <c r="AP5323" s="10"/>
      <c r="AQ5323" s="10"/>
      <c r="AR5323" s="10"/>
      <c r="AS5323" s="10"/>
      <c r="AT5323" s="10"/>
      <c r="AU5323" s="10"/>
      <c r="AV5323" s="10"/>
      <c r="AW5323" s="10"/>
      <c r="AX5323" s="10"/>
      <c r="AY5323" s="10"/>
      <c r="AZ5323" s="10"/>
    </row>
    <row r="5324" spans="31:52">
      <c r="AE5324" s="10"/>
      <c r="AF5324" s="10"/>
      <c r="AG5324" s="10"/>
      <c r="AH5324" s="10"/>
      <c r="AI5324" s="10"/>
      <c r="AJ5324" s="10"/>
      <c r="AK5324" s="10"/>
      <c r="AL5324" s="10"/>
      <c r="AM5324" s="10"/>
      <c r="AN5324" s="10"/>
      <c r="AO5324" s="10"/>
      <c r="AP5324" s="10"/>
      <c r="AQ5324" s="10"/>
      <c r="AR5324" s="10"/>
      <c r="AS5324" s="10"/>
      <c r="AT5324" s="10"/>
      <c r="AU5324" s="10"/>
      <c r="AV5324" s="10"/>
      <c r="AW5324" s="10"/>
      <c r="AX5324" s="10"/>
      <c r="AY5324" s="10"/>
      <c r="AZ5324" s="10"/>
    </row>
    <row r="5325" spans="31:52">
      <c r="AE5325" s="10"/>
      <c r="AF5325" s="10"/>
      <c r="AG5325" s="10"/>
      <c r="AH5325" s="10"/>
      <c r="AI5325" s="10"/>
      <c r="AJ5325" s="10"/>
      <c r="AK5325" s="10"/>
      <c r="AL5325" s="10"/>
      <c r="AM5325" s="10"/>
      <c r="AN5325" s="10"/>
      <c r="AO5325" s="10"/>
      <c r="AP5325" s="10"/>
      <c r="AQ5325" s="10"/>
      <c r="AR5325" s="10"/>
      <c r="AS5325" s="10"/>
      <c r="AT5325" s="10"/>
      <c r="AU5325" s="10"/>
      <c r="AV5325" s="10"/>
      <c r="AW5325" s="10"/>
      <c r="AX5325" s="10"/>
      <c r="AY5325" s="10"/>
      <c r="AZ5325" s="10"/>
    </row>
    <row r="5326" spans="31:52">
      <c r="AE5326" s="10"/>
      <c r="AF5326" s="10"/>
      <c r="AG5326" s="10"/>
      <c r="AH5326" s="10"/>
      <c r="AI5326" s="10"/>
      <c r="AJ5326" s="10"/>
      <c r="AK5326" s="10"/>
      <c r="AL5326" s="10"/>
      <c r="AM5326" s="10"/>
      <c r="AN5326" s="10"/>
      <c r="AO5326" s="10"/>
      <c r="AP5326" s="10"/>
      <c r="AQ5326" s="10"/>
      <c r="AR5326" s="10"/>
      <c r="AS5326" s="10"/>
      <c r="AT5326" s="10"/>
      <c r="AU5326" s="10"/>
      <c r="AV5326" s="10"/>
      <c r="AW5326" s="10"/>
      <c r="AX5326" s="10"/>
      <c r="AY5326" s="10"/>
      <c r="AZ5326" s="10"/>
    </row>
    <row r="5327" spans="31:52">
      <c r="AE5327" s="10"/>
      <c r="AF5327" s="10"/>
      <c r="AG5327" s="10"/>
      <c r="AH5327" s="10"/>
      <c r="AI5327" s="10"/>
      <c r="AJ5327" s="10"/>
      <c r="AK5327" s="10"/>
      <c r="AL5327" s="10"/>
      <c r="AM5327" s="10"/>
      <c r="AN5327" s="10"/>
      <c r="AO5327" s="10"/>
      <c r="AP5327" s="10"/>
      <c r="AQ5327" s="10"/>
      <c r="AR5327" s="10"/>
      <c r="AS5327" s="10"/>
      <c r="AT5327" s="10"/>
      <c r="AU5327" s="10"/>
      <c r="AV5327" s="10"/>
      <c r="AW5327" s="10"/>
      <c r="AX5327" s="10"/>
      <c r="AY5327" s="10"/>
      <c r="AZ5327" s="10"/>
    </row>
    <row r="5328" spans="31:52">
      <c r="AE5328" s="10"/>
      <c r="AF5328" s="10"/>
      <c r="AG5328" s="10"/>
      <c r="AH5328" s="10"/>
      <c r="AI5328" s="10"/>
      <c r="AJ5328" s="10"/>
      <c r="AK5328" s="10"/>
      <c r="AL5328" s="10"/>
      <c r="AM5328" s="10"/>
      <c r="AN5328" s="10"/>
      <c r="AO5328" s="10"/>
      <c r="AP5328" s="10"/>
      <c r="AQ5328" s="10"/>
      <c r="AR5328" s="10"/>
      <c r="AS5328" s="10"/>
      <c r="AT5328" s="10"/>
      <c r="AU5328" s="10"/>
      <c r="AV5328" s="10"/>
      <c r="AW5328" s="10"/>
      <c r="AX5328" s="10"/>
      <c r="AY5328" s="10"/>
      <c r="AZ5328" s="10"/>
    </row>
    <row r="5329" spans="31:52">
      <c r="AE5329" s="10"/>
      <c r="AF5329" s="10"/>
      <c r="AG5329" s="10"/>
      <c r="AH5329" s="10"/>
      <c r="AI5329" s="10"/>
      <c r="AJ5329" s="10"/>
      <c r="AK5329" s="10"/>
      <c r="AL5329" s="10"/>
      <c r="AM5329" s="10"/>
      <c r="AN5329" s="10"/>
      <c r="AO5329" s="10"/>
      <c r="AP5329" s="10"/>
      <c r="AQ5329" s="10"/>
      <c r="AR5329" s="10"/>
      <c r="AS5329" s="10"/>
      <c r="AT5329" s="10"/>
      <c r="AU5329" s="10"/>
      <c r="AV5329" s="10"/>
      <c r="AW5329" s="10"/>
      <c r="AX5329" s="10"/>
      <c r="AY5329" s="10"/>
      <c r="AZ5329" s="10"/>
    </row>
    <row r="5330" spans="31:52">
      <c r="AE5330" s="10"/>
      <c r="AF5330" s="10"/>
      <c r="AG5330" s="10"/>
      <c r="AH5330" s="10"/>
      <c r="AI5330" s="10"/>
      <c r="AJ5330" s="10"/>
      <c r="AK5330" s="10"/>
      <c r="AL5330" s="10"/>
      <c r="AM5330" s="10"/>
      <c r="AN5330" s="10"/>
      <c r="AO5330" s="10"/>
      <c r="AP5330" s="10"/>
      <c r="AQ5330" s="10"/>
      <c r="AR5330" s="10"/>
      <c r="AS5330" s="10"/>
      <c r="AT5330" s="10"/>
      <c r="AU5330" s="10"/>
      <c r="AV5330" s="10"/>
      <c r="AW5330" s="10"/>
      <c r="AX5330" s="10"/>
      <c r="AY5330" s="10"/>
      <c r="AZ5330" s="10"/>
    </row>
    <row r="5331" spans="31:52">
      <c r="AE5331" s="10"/>
      <c r="AF5331" s="10"/>
      <c r="AG5331" s="10"/>
      <c r="AH5331" s="10"/>
      <c r="AI5331" s="10"/>
      <c r="AJ5331" s="10"/>
      <c r="AK5331" s="10"/>
      <c r="AL5331" s="10"/>
      <c r="AM5331" s="10"/>
      <c r="AN5331" s="10"/>
      <c r="AO5331" s="10"/>
      <c r="AP5331" s="10"/>
      <c r="AQ5331" s="10"/>
      <c r="AR5331" s="10"/>
      <c r="AS5331" s="10"/>
      <c r="AT5331" s="10"/>
      <c r="AU5331" s="10"/>
      <c r="AV5331" s="10"/>
      <c r="AW5331" s="10"/>
      <c r="AX5331" s="10"/>
      <c r="AY5331" s="10"/>
      <c r="AZ5331" s="10"/>
    </row>
    <row r="5332" spans="31:52">
      <c r="AE5332" s="10"/>
      <c r="AF5332" s="10"/>
      <c r="AG5332" s="10"/>
      <c r="AH5332" s="10"/>
      <c r="AI5332" s="10"/>
      <c r="AJ5332" s="10"/>
      <c r="AK5332" s="10"/>
      <c r="AL5332" s="10"/>
      <c r="AM5332" s="10"/>
      <c r="AN5332" s="10"/>
      <c r="AO5332" s="10"/>
      <c r="AP5332" s="10"/>
      <c r="AQ5332" s="10"/>
      <c r="AR5332" s="10"/>
      <c r="AS5332" s="10"/>
      <c r="AT5332" s="10"/>
      <c r="AU5332" s="10"/>
      <c r="AV5332" s="10"/>
      <c r="AW5332" s="10"/>
      <c r="AX5332" s="10"/>
      <c r="AY5332" s="10"/>
      <c r="AZ5332" s="10"/>
    </row>
    <row r="5333" spans="31:52">
      <c r="AE5333" s="10"/>
      <c r="AF5333" s="10"/>
      <c r="AG5333" s="10"/>
      <c r="AH5333" s="10"/>
      <c r="AI5333" s="10"/>
      <c r="AJ5333" s="10"/>
      <c r="AK5333" s="10"/>
      <c r="AL5333" s="10"/>
      <c r="AM5333" s="10"/>
      <c r="AN5333" s="10"/>
      <c r="AO5333" s="10"/>
      <c r="AP5333" s="10"/>
      <c r="AQ5333" s="10"/>
      <c r="AR5333" s="10"/>
      <c r="AS5333" s="10"/>
      <c r="AT5333" s="10"/>
      <c r="AU5333" s="10"/>
      <c r="AV5333" s="10"/>
      <c r="AW5333" s="10"/>
      <c r="AX5333" s="10"/>
      <c r="AY5333" s="10"/>
      <c r="AZ5333" s="10"/>
    </row>
    <row r="5334" spans="31:52">
      <c r="AE5334" s="10"/>
      <c r="AF5334" s="10"/>
      <c r="AG5334" s="10"/>
      <c r="AH5334" s="10"/>
      <c r="AI5334" s="10"/>
      <c r="AJ5334" s="10"/>
      <c r="AK5334" s="10"/>
      <c r="AL5334" s="10"/>
      <c r="AM5334" s="10"/>
      <c r="AN5334" s="10"/>
      <c r="AO5334" s="10"/>
      <c r="AP5334" s="10"/>
      <c r="AQ5334" s="10"/>
      <c r="AR5334" s="10"/>
      <c r="AS5334" s="10"/>
      <c r="AT5334" s="10"/>
      <c r="AU5334" s="10"/>
      <c r="AV5334" s="10"/>
      <c r="AW5334" s="10"/>
      <c r="AX5334" s="10"/>
      <c r="AY5334" s="10"/>
      <c r="AZ5334" s="10"/>
    </row>
    <row r="5335" spans="31:52">
      <c r="AE5335" s="10"/>
      <c r="AF5335" s="10"/>
      <c r="AG5335" s="10"/>
      <c r="AH5335" s="10"/>
      <c r="AI5335" s="10"/>
      <c r="AJ5335" s="10"/>
      <c r="AK5335" s="10"/>
      <c r="AL5335" s="10"/>
      <c r="AM5335" s="10"/>
      <c r="AN5335" s="10"/>
      <c r="AO5335" s="10"/>
      <c r="AP5335" s="10"/>
      <c r="AQ5335" s="10"/>
      <c r="AR5335" s="10"/>
      <c r="AS5335" s="10"/>
      <c r="AT5335" s="10"/>
      <c r="AU5335" s="10"/>
      <c r="AV5335" s="10"/>
      <c r="AW5335" s="10"/>
      <c r="AX5335" s="10"/>
      <c r="AY5335" s="10"/>
      <c r="AZ5335" s="10"/>
    </row>
    <row r="5336" spans="31:52">
      <c r="AE5336" s="10"/>
      <c r="AF5336" s="10"/>
      <c r="AG5336" s="10"/>
      <c r="AH5336" s="10"/>
      <c r="AI5336" s="10"/>
      <c r="AJ5336" s="10"/>
      <c r="AK5336" s="10"/>
      <c r="AL5336" s="10"/>
      <c r="AM5336" s="10"/>
      <c r="AN5336" s="10"/>
      <c r="AO5336" s="10"/>
      <c r="AP5336" s="10"/>
      <c r="AQ5336" s="10"/>
      <c r="AR5336" s="10"/>
      <c r="AS5336" s="10"/>
      <c r="AT5336" s="10"/>
      <c r="AU5336" s="10"/>
      <c r="AV5336" s="10"/>
      <c r="AW5336" s="10"/>
      <c r="AX5336" s="10"/>
      <c r="AY5336" s="10"/>
      <c r="AZ5336" s="10"/>
    </row>
    <row r="5337" spans="31:52">
      <c r="AE5337" s="10"/>
      <c r="AF5337" s="10"/>
      <c r="AG5337" s="10"/>
      <c r="AH5337" s="10"/>
      <c r="AI5337" s="10"/>
      <c r="AJ5337" s="10"/>
      <c r="AK5337" s="10"/>
      <c r="AL5337" s="10"/>
      <c r="AM5337" s="10"/>
      <c r="AN5337" s="10"/>
      <c r="AO5337" s="10"/>
      <c r="AP5337" s="10"/>
      <c r="AQ5337" s="10"/>
      <c r="AR5337" s="10"/>
      <c r="AS5337" s="10"/>
      <c r="AT5337" s="10"/>
      <c r="AU5337" s="10"/>
      <c r="AV5337" s="10"/>
      <c r="AW5337" s="10"/>
      <c r="AX5337" s="10"/>
      <c r="AY5337" s="10"/>
      <c r="AZ5337" s="10"/>
    </row>
    <row r="5338" spans="31:52">
      <c r="AE5338" s="10"/>
      <c r="AF5338" s="10"/>
      <c r="AG5338" s="10"/>
      <c r="AH5338" s="10"/>
      <c r="AI5338" s="10"/>
      <c r="AJ5338" s="10"/>
      <c r="AK5338" s="10"/>
      <c r="AL5338" s="10"/>
      <c r="AM5338" s="10"/>
      <c r="AN5338" s="10"/>
      <c r="AO5338" s="10"/>
      <c r="AP5338" s="10"/>
      <c r="AQ5338" s="10"/>
      <c r="AR5338" s="10"/>
      <c r="AS5338" s="10"/>
      <c r="AT5338" s="10"/>
      <c r="AU5338" s="10"/>
      <c r="AV5338" s="10"/>
      <c r="AW5338" s="10"/>
      <c r="AX5338" s="10"/>
      <c r="AY5338" s="10"/>
      <c r="AZ5338" s="10"/>
    </row>
    <row r="5339" spans="31:52">
      <c r="AE5339" s="10"/>
      <c r="AF5339" s="10"/>
      <c r="AG5339" s="10"/>
      <c r="AH5339" s="10"/>
      <c r="AI5339" s="10"/>
      <c r="AJ5339" s="10"/>
      <c r="AK5339" s="10"/>
      <c r="AL5339" s="10"/>
      <c r="AM5339" s="10"/>
      <c r="AN5339" s="10"/>
      <c r="AO5339" s="10"/>
      <c r="AP5339" s="10"/>
      <c r="AQ5339" s="10"/>
      <c r="AR5339" s="10"/>
      <c r="AS5339" s="10"/>
      <c r="AT5339" s="10"/>
      <c r="AU5339" s="10"/>
      <c r="AV5339" s="10"/>
      <c r="AW5339" s="10"/>
      <c r="AX5339" s="10"/>
      <c r="AY5339" s="10"/>
      <c r="AZ5339" s="10"/>
    </row>
    <row r="5340" spans="31:52">
      <c r="AE5340" s="10"/>
      <c r="AF5340" s="10"/>
      <c r="AG5340" s="10"/>
      <c r="AH5340" s="10"/>
      <c r="AI5340" s="10"/>
      <c r="AJ5340" s="10"/>
      <c r="AK5340" s="10"/>
      <c r="AL5340" s="10"/>
      <c r="AM5340" s="10"/>
      <c r="AN5340" s="10"/>
      <c r="AO5340" s="10"/>
      <c r="AP5340" s="10"/>
      <c r="AQ5340" s="10"/>
      <c r="AR5340" s="10"/>
      <c r="AS5340" s="10"/>
      <c r="AT5340" s="10"/>
      <c r="AU5340" s="10"/>
      <c r="AV5340" s="10"/>
      <c r="AW5340" s="10"/>
      <c r="AX5340" s="10"/>
      <c r="AY5340" s="10"/>
      <c r="AZ5340" s="10"/>
    </row>
    <row r="5341" spans="31:52">
      <c r="AE5341" s="10"/>
      <c r="AF5341" s="10"/>
      <c r="AG5341" s="10"/>
      <c r="AH5341" s="10"/>
      <c r="AI5341" s="10"/>
      <c r="AJ5341" s="10"/>
      <c r="AK5341" s="10"/>
      <c r="AL5341" s="10"/>
      <c r="AM5341" s="10"/>
      <c r="AN5341" s="10"/>
      <c r="AO5341" s="10"/>
      <c r="AP5341" s="10"/>
      <c r="AQ5341" s="10"/>
      <c r="AR5341" s="10"/>
      <c r="AS5341" s="10"/>
      <c r="AT5341" s="10"/>
      <c r="AU5341" s="10"/>
      <c r="AV5341" s="10"/>
      <c r="AW5341" s="10"/>
      <c r="AX5341" s="10"/>
      <c r="AY5341" s="10"/>
      <c r="AZ5341" s="10"/>
    </row>
    <row r="5342" spans="31:52">
      <c r="AE5342" s="10"/>
      <c r="AF5342" s="10"/>
      <c r="AG5342" s="10"/>
      <c r="AH5342" s="10"/>
      <c r="AI5342" s="10"/>
      <c r="AJ5342" s="10"/>
      <c r="AK5342" s="10"/>
      <c r="AL5342" s="10"/>
      <c r="AM5342" s="10"/>
      <c r="AN5342" s="10"/>
      <c r="AO5342" s="10"/>
      <c r="AP5342" s="10"/>
      <c r="AQ5342" s="10"/>
      <c r="AR5342" s="10"/>
      <c r="AS5342" s="10"/>
      <c r="AT5342" s="10"/>
      <c r="AU5342" s="10"/>
      <c r="AV5342" s="10"/>
      <c r="AW5342" s="10"/>
      <c r="AX5342" s="10"/>
      <c r="AY5342" s="10"/>
      <c r="AZ5342" s="10"/>
    </row>
    <row r="5343" spans="31:52">
      <c r="AE5343" s="10"/>
      <c r="AF5343" s="10"/>
      <c r="AG5343" s="10"/>
      <c r="AH5343" s="10"/>
      <c r="AI5343" s="10"/>
      <c r="AJ5343" s="10"/>
      <c r="AK5343" s="10"/>
      <c r="AL5343" s="10"/>
      <c r="AM5343" s="10"/>
      <c r="AN5343" s="10"/>
      <c r="AO5343" s="10"/>
      <c r="AP5343" s="10"/>
      <c r="AQ5343" s="10"/>
      <c r="AR5343" s="10"/>
      <c r="AS5343" s="10"/>
      <c r="AT5343" s="10"/>
      <c r="AU5343" s="10"/>
      <c r="AV5343" s="10"/>
      <c r="AW5343" s="10"/>
      <c r="AX5343" s="10"/>
      <c r="AY5343" s="10"/>
      <c r="AZ5343" s="10"/>
    </row>
    <row r="5344" spans="31:52">
      <c r="AE5344" s="10"/>
      <c r="AF5344" s="10"/>
      <c r="AG5344" s="10"/>
      <c r="AH5344" s="10"/>
      <c r="AI5344" s="10"/>
      <c r="AJ5344" s="10"/>
      <c r="AK5344" s="10"/>
      <c r="AL5344" s="10"/>
      <c r="AM5344" s="10"/>
      <c r="AN5344" s="10"/>
      <c r="AO5344" s="10"/>
      <c r="AP5344" s="10"/>
      <c r="AQ5344" s="10"/>
      <c r="AR5344" s="10"/>
      <c r="AS5344" s="10"/>
      <c r="AT5344" s="10"/>
      <c r="AU5344" s="10"/>
      <c r="AV5344" s="10"/>
      <c r="AW5344" s="10"/>
      <c r="AX5344" s="10"/>
      <c r="AY5344" s="10"/>
      <c r="AZ5344" s="10"/>
    </row>
    <row r="5345" spans="31:52">
      <c r="AE5345" s="10"/>
      <c r="AF5345" s="10"/>
      <c r="AG5345" s="10"/>
      <c r="AH5345" s="10"/>
      <c r="AI5345" s="10"/>
      <c r="AJ5345" s="10"/>
      <c r="AK5345" s="10"/>
      <c r="AL5345" s="10"/>
      <c r="AM5345" s="10"/>
      <c r="AN5345" s="10"/>
      <c r="AO5345" s="10"/>
      <c r="AP5345" s="10"/>
      <c r="AQ5345" s="10"/>
      <c r="AR5345" s="10"/>
      <c r="AS5345" s="10"/>
      <c r="AT5345" s="10"/>
      <c r="AU5345" s="10"/>
      <c r="AV5345" s="10"/>
      <c r="AW5345" s="10"/>
      <c r="AX5345" s="10"/>
      <c r="AY5345" s="10"/>
      <c r="AZ5345" s="10"/>
    </row>
    <row r="5346" spans="31:52">
      <c r="AE5346" s="10"/>
      <c r="AF5346" s="10"/>
      <c r="AG5346" s="10"/>
      <c r="AH5346" s="10"/>
      <c r="AI5346" s="10"/>
      <c r="AJ5346" s="10"/>
      <c r="AK5346" s="10"/>
      <c r="AL5346" s="10"/>
      <c r="AM5346" s="10"/>
      <c r="AN5346" s="10"/>
      <c r="AO5346" s="10"/>
      <c r="AP5346" s="10"/>
      <c r="AQ5346" s="10"/>
      <c r="AR5346" s="10"/>
      <c r="AS5346" s="10"/>
      <c r="AT5346" s="10"/>
      <c r="AU5346" s="10"/>
      <c r="AV5346" s="10"/>
      <c r="AW5346" s="10"/>
      <c r="AX5346" s="10"/>
      <c r="AY5346" s="10"/>
      <c r="AZ5346" s="10"/>
    </row>
    <row r="5347" spans="31:52">
      <c r="AE5347" s="10"/>
      <c r="AF5347" s="10"/>
      <c r="AG5347" s="10"/>
      <c r="AH5347" s="10"/>
      <c r="AI5347" s="10"/>
      <c r="AJ5347" s="10"/>
      <c r="AK5347" s="10"/>
      <c r="AL5347" s="10"/>
      <c r="AM5347" s="10"/>
      <c r="AN5347" s="10"/>
      <c r="AO5347" s="10"/>
      <c r="AP5347" s="10"/>
      <c r="AQ5347" s="10"/>
      <c r="AR5347" s="10"/>
      <c r="AS5347" s="10"/>
      <c r="AT5347" s="10"/>
      <c r="AU5347" s="10"/>
      <c r="AV5347" s="10"/>
      <c r="AW5347" s="10"/>
      <c r="AX5347" s="10"/>
      <c r="AY5347" s="10"/>
      <c r="AZ5347" s="10"/>
    </row>
    <row r="5348" spans="31:52">
      <c r="AE5348" s="10"/>
      <c r="AF5348" s="10"/>
      <c r="AG5348" s="10"/>
      <c r="AH5348" s="10"/>
      <c r="AI5348" s="10"/>
      <c r="AJ5348" s="10"/>
      <c r="AK5348" s="10"/>
      <c r="AL5348" s="10"/>
      <c r="AM5348" s="10"/>
      <c r="AN5348" s="10"/>
      <c r="AO5348" s="10"/>
      <c r="AP5348" s="10"/>
      <c r="AQ5348" s="10"/>
      <c r="AR5348" s="10"/>
      <c r="AS5348" s="10"/>
      <c r="AT5348" s="10"/>
      <c r="AU5348" s="10"/>
      <c r="AV5348" s="10"/>
      <c r="AW5348" s="10"/>
      <c r="AX5348" s="10"/>
      <c r="AY5348" s="10"/>
      <c r="AZ5348" s="10"/>
    </row>
    <row r="5349" spans="31:52">
      <c r="AE5349" s="10"/>
      <c r="AF5349" s="10"/>
      <c r="AG5349" s="10"/>
      <c r="AH5349" s="10"/>
      <c r="AI5349" s="10"/>
      <c r="AJ5349" s="10"/>
      <c r="AK5349" s="10"/>
      <c r="AL5349" s="10"/>
      <c r="AM5349" s="10"/>
      <c r="AN5349" s="10"/>
      <c r="AO5349" s="10"/>
      <c r="AP5349" s="10"/>
      <c r="AQ5349" s="10"/>
      <c r="AR5349" s="10"/>
      <c r="AS5349" s="10"/>
      <c r="AT5349" s="10"/>
      <c r="AU5349" s="10"/>
      <c r="AV5349" s="10"/>
      <c r="AW5349" s="10"/>
      <c r="AX5349" s="10"/>
      <c r="AY5349" s="10"/>
      <c r="AZ5349" s="10"/>
    </row>
    <row r="5350" spans="31:52">
      <c r="AE5350" s="10"/>
      <c r="AF5350" s="10"/>
      <c r="AG5350" s="10"/>
      <c r="AH5350" s="10"/>
      <c r="AI5350" s="10"/>
      <c r="AJ5350" s="10"/>
      <c r="AK5350" s="10"/>
      <c r="AL5350" s="10"/>
      <c r="AM5350" s="10"/>
      <c r="AN5350" s="10"/>
      <c r="AO5350" s="10"/>
      <c r="AP5350" s="10"/>
      <c r="AQ5350" s="10"/>
      <c r="AR5350" s="10"/>
      <c r="AS5350" s="10"/>
      <c r="AT5350" s="10"/>
      <c r="AU5350" s="10"/>
      <c r="AV5350" s="10"/>
      <c r="AW5350" s="10"/>
      <c r="AX5350" s="10"/>
      <c r="AY5350" s="10"/>
      <c r="AZ5350" s="10"/>
    </row>
    <row r="5351" spans="31:52">
      <c r="AE5351" s="10"/>
      <c r="AF5351" s="10"/>
      <c r="AG5351" s="10"/>
      <c r="AH5351" s="10"/>
      <c r="AI5351" s="10"/>
      <c r="AJ5351" s="10"/>
      <c r="AK5351" s="10"/>
      <c r="AL5351" s="10"/>
      <c r="AM5351" s="10"/>
      <c r="AN5351" s="10"/>
      <c r="AO5351" s="10"/>
      <c r="AP5351" s="10"/>
      <c r="AQ5351" s="10"/>
      <c r="AR5351" s="10"/>
      <c r="AS5351" s="10"/>
      <c r="AT5351" s="10"/>
      <c r="AU5351" s="10"/>
      <c r="AV5351" s="10"/>
      <c r="AW5351" s="10"/>
      <c r="AX5351" s="10"/>
      <c r="AY5351" s="10"/>
      <c r="AZ5351" s="10"/>
    </row>
    <row r="5352" spans="31:52">
      <c r="AE5352" s="10"/>
      <c r="AF5352" s="10"/>
      <c r="AG5352" s="10"/>
      <c r="AH5352" s="10"/>
      <c r="AI5352" s="10"/>
      <c r="AJ5352" s="10"/>
      <c r="AK5352" s="10"/>
      <c r="AL5352" s="10"/>
      <c r="AM5352" s="10"/>
      <c r="AN5352" s="10"/>
      <c r="AO5352" s="10"/>
      <c r="AP5352" s="10"/>
      <c r="AQ5352" s="10"/>
      <c r="AR5352" s="10"/>
      <c r="AS5352" s="10"/>
      <c r="AT5352" s="10"/>
      <c r="AU5352" s="10"/>
      <c r="AV5352" s="10"/>
      <c r="AW5352" s="10"/>
      <c r="AX5352" s="10"/>
      <c r="AY5352" s="10"/>
      <c r="AZ5352" s="10"/>
    </row>
    <row r="5353" spans="31:52">
      <c r="AE5353" s="10"/>
      <c r="AF5353" s="10"/>
      <c r="AG5353" s="10"/>
      <c r="AH5353" s="10"/>
      <c r="AI5353" s="10"/>
      <c r="AJ5353" s="10"/>
      <c r="AK5353" s="10"/>
      <c r="AL5353" s="10"/>
      <c r="AM5353" s="10"/>
      <c r="AN5353" s="10"/>
      <c r="AO5353" s="10"/>
      <c r="AP5353" s="10"/>
      <c r="AQ5353" s="10"/>
      <c r="AR5353" s="10"/>
      <c r="AS5353" s="10"/>
      <c r="AT5353" s="10"/>
      <c r="AU5353" s="10"/>
      <c r="AV5353" s="10"/>
      <c r="AW5353" s="10"/>
      <c r="AX5353" s="10"/>
      <c r="AY5353" s="10"/>
      <c r="AZ5353" s="10"/>
    </row>
    <row r="5354" spans="31:52">
      <c r="AE5354" s="10"/>
      <c r="AF5354" s="10"/>
      <c r="AG5354" s="10"/>
      <c r="AH5354" s="10"/>
      <c r="AI5354" s="10"/>
      <c r="AJ5354" s="10"/>
      <c r="AK5354" s="10"/>
      <c r="AL5354" s="10"/>
      <c r="AM5354" s="10"/>
      <c r="AN5354" s="10"/>
      <c r="AO5354" s="10"/>
      <c r="AP5354" s="10"/>
      <c r="AQ5354" s="10"/>
      <c r="AR5354" s="10"/>
      <c r="AS5354" s="10"/>
      <c r="AT5354" s="10"/>
      <c r="AU5354" s="10"/>
      <c r="AV5354" s="10"/>
      <c r="AW5354" s="10"/>
      <c r="AX5354" s="10"/>
      <c r="AY5354" s="10"/>
      <c r="AZ5354" s="10"/>
    </row>
    <row r="5355" spans="31:52">
      <c r="AE5355" s="10"/>
      <c r="AF5355" s="10"/>
      <c r="AG5355" s="10"/>
      <c r="AH5355" s="10"/>
      <c r="AI5355" s="10"/>
      <c r="AJ5355" s="10"/>
      <c r="AK5355" s="10"/>
      <c r="AL5355" s="10"/>
      <c r="AM5355" s="10"/>
      <c r="AN5355" s="10"/>
      <c r="AO5355" s="10"/>
      <c r="AP5355" s="10"/>
      <c r="AQ5355" s="10"/>
      <c r="AR5355" s="10"/>
      <c r="AS5355" s="10"/>
      <c r="AT5355" s="10"/>
      <c r="AU5355" s="10"/>
      <c r="AV5355" s="10"/>
      <c r="AW5355" s="10"/>
      <c r="AX5355" s="10"/>
      <c r="AY5355" s="10"/>
      <c r="AZ5355" s="10"/>
    </row>
    <row r="5356" spans="31:52">
      <c r="AE5356" s="10"/>
      <c r="AF5356" s="10"/>
      <c r="AG5356" s="10"/>
      <c r="AH5356" s="10"/>
      <c r="AI5356" s="10"/>
      <c r="AJ5356" s="10"/>
      <c r="AK5356" s="10"/>
      <c r="AL5356" s="10"/>
      <c r="AM5356" s="10"/>
      <c r="AN5356" s="10"/>
      <c r="AO5356" s="10"/>
      <c r="AP5356" s="10"/>
      <c r="AQ5356" s="10"/>
      <c r="AR5356" s="10"/>
      <c r="AS5356" s="10"/>
      <c r="AT5356" s="10"/>
      <c r="AU5356" s="10"/>
      <c r="AV5356" s="10"/>
      <c r="AW5356" s="10"/>
      <c r="AX5356" s="10"/>
      <c r="AY5356" s="10"/>
      <c r="AZ5356" s="10"/>
    </row>
    <row r="5357" spans="31:52">
      <c r="AE5357" s="10"/>
      <c r="AF5357" s="10"/>
      <c r="AG5357" s="10"/>
      <c r="AH5357" s="10"/>
      <c r="AI5357" s="10"/>
      <c r="AJ5357" s="10"/>
      <c r="AK5357" s="10"/>
      <c r="AL5357" s="10"/>
      <c r="AM5357" s="10"/>
      <c r="AN5357" s="10"/>
      <c r="AO5357" s="10"/>
      <c r="AP5357" s="10"/>
      <c r="AQ5357" s="10"/>
      <c r="AR5357" s="10"/>
      <c r="AS5357" s="10"/>
      <c r="AT5357" s="10"/>
      <c r="AU5357" s="10"/>
      <c r="AV5357" s="10"/>
      <c r="AW5357" s="10"/>
      <c r="AX5357" s="10"/>
      <c r="AY5357" s="10"/>
      <c r="AZ5357" s="10"/>
    </row>
    <row r="5358" spans="31:52">
      <c r="AE5358" s="10"/>
      <c r="AF5358" s="10"/>
      <c r="AG5358" s="10"/>
      <c r="AH5358" s="10"/>
      <c r="AI5358" s="10"/>
      <c r="AJ5358" s="10"/>
      <c r="AK5358" s="10"/>
      <c r="AL5358" s="10"/>
      <c r="AM5358" s="10"/>
      <c r="AN5358" s="10"/>
      <c r="AO5358" s="10"/>
      <c r="AP5358" s="10"/>
      <c r="AQ5358" s="10"/>
      <c r="AR5358" s="10"/>
      <c r="AS5358" s="10"/>
      <c r="AT5358" s="10"/>
      <c r="AU5358" s="10"/>
      <c r="AV5358" s="10"/>
      <c r="AW5358" s="10"/>
      <c r="AX5358" s="10"/>
      <c r="AY5358" s="10"/>
      <c r="AZ5358" s="10"/>
    </row>
    <row r="5359" spans="31:52">
      <c r="AE5359" s="10"/>
      <c r="AF5359" s="10"/>
      <c r="AG5359" s="10"/>
      <c r="AH5359" s="10"/>
      <c r="AI5359" s="10"/>
      <c r="AJ5359" s="10"/>
      <c r="AK5359" s="10"/>
      <c r="AL5359" s="10"/>
      <c r="AM5359" s="10"/>
      <c r="AN5359" s="10"/>
      <c r="AO5359" s="10"/>
      <c r="AP5359" s="10"/>
      <c r="AQ5359" s="10"/>
      <c r="AR5359" s="10"/>
      <c r="AS5359" s="10"/>
      <c r="AT5359" s="10"/>
      <c r="AU5359" s="10"/>
      <c r="AV5359" s="10"/>
      <c r="AW5359" s="10"/>
      <c r="AX5359" s="10"/>
      <c r="AY5359" s="10"/>
      <c r="AZ5359" s="10"/>
    </row>
    <row r="5360" spans="31:52">
      <c r="AE5360" s="10"/>
      <c r="AF5360" s="10"/>
      <c r="AG5360" s="10"/>
      <c r="AH5360" s="10"/>
      <c r="AI5360" s="10"/>
      <c r="AJ5360" s="10"/>
      <c r="AK5360" s="10"/>
      <c r="AL5360" s="10"/>
      <c r="AM5360" s="10"/>
      <c r="AN5360" s="10"/>
      <c r="AO5360" s="10"/>
      <c r="AP5360" s="10"/>
      <c r="AQ5360" s="10"/>
      <c r="AR5360" s="10"/>
      <c r="AS5360" s="10"/>
      <c r="AT5360" s="10"/>
      <c r="AU5360" s="10"/>
      <c r="AV5360" s="10"/>
      <c r="AW5360" s="10"/>
      <c r="AX5360" s="10"/>
      <c r="AY5360" s="10"/>
      <c r="AZ5360" s="10"/>
    </row>
    <row r="5361" spans="31:52">
      <c r="AE5361" s="10"/>
      <c r="AF5361" s="10"/>
      <c r="AG5361" s="10"/>
      <c r="AH5361" s="10"/>
      <c r="AI5361" s="10"/>
      <c r="AJ5361" s="10"/>
      <c r="AK5361" s="10"/>
      <c r="AL5361" s="10"/>
      <c r="AM5361" s="10"/>
      <c r="AN5361" s="10"/>
      <c r="AO5361" s="10"/>
      <c r="AP5361" s="10"/>
      <c r="AQ5361" s="10"/>
      <c r="AR5361" s="10"/>
      <c r="AS5361" s="10"/>
      <c r="AT5361" s="10"/>
      <c r="AU5361" s="10"/>
      <c r="AV5361" s="10"/>
      <c r="AW5361" s="10"/>
      <c r="AX5361" s="10"/>
      <c r="AY5361" s="10"/>
      <c r="AZ5361" s="10"/>
    </row>
    <row r="5362" spans="31:52">
      <c r="AE5362" s="10"/>
      <c r="AF5362" s="10"/>
      <c r="AG5362" s="10"/>
      <c r="AH5362" s="10"/>
      <c r="AI5362" s="10"/>
      <c r="AJ5362" s="10"/>
      <c r="AK5362" s="10"/>
      <c r="AL5362" s="10"/>
      <c r="AM5362" s="10"/>
      <c r="AN5362" s="10"/>
      <c r="AO5362" s="10"/>
      <c r="AP5362" s="10"/>
      <c r="AQ5362" s="10"/>
      <c r="AR5362" s="10"/>
      <c r="AS5362" s="10"/>
      <c r="AT5362" s="10"/>
      <c r="AU5362" s="10"/>
      <c r="AV5362" s="10"/>
      <c r="AW5362" s="10"/>
      <c r="AX5362" s="10"/>
      <c r="AY5362" s="10"/>
      <c r="AZ5362" s="10"/>
    </row>
    <row r="5363" spans="31:52">
      <c r="AE5363" s="10"/>
      <c r="AF5363" s="10"/>
      <c r="AG5363" s="10"/>
      <c r="AH5363" s="10"/>
      <c r="AI5363" s="10"/>
      <c r="AJ5363" s="10"/>
      <c r="AK5363" s="10"/>
      <c r="AL5363" s="10"/>
      <c r="AM5363" s="10"/>
      <c r="AN5363" s="10"/>
      <c r="AO5363" s="10"/>
      <c r="AP5363" s="10"/>
      <c r="AQ5363" s="10"/>
      <c r="AR5363" s="10"/>
      <c r="AS5363" s="10"/>
      <c r="AT5363" s="10"/>
      <c r="AU5363" s="10"/>
      <c r="AV5363" s="10"/>
      <c r="AW5363" s="10"/>
      <c r="AX5363" s="10"/>
      <c r="AY5363" s="10"/>
      <c r="AZ5363" s="10"/>
    </row>
    <row r="5364" spans="31:52">
      <c r="AE5364" s="10"/>
      <c r="AF5364" s="10"/>
      <c r="AG5364" s="10"/>
      <c r="AH5364" s="10"/>
      <c r="AI5364" s="10"/>
      <c r="AJ5364" s="10"/>
      <c r="AK5364" s="10"/>
      <c r="AL5364" s="10"/>
      <c r="AM5364" s="10"/>
      <c r="AN5364" s="10"/>
      <c r="AO5364" s="10"/>
      <c r="AP5364" s="10"/>
      <c r="AQ5364" s="10"/>
      <c r="AR5364" s="10"/>
      <c r="AS5364" s="10"/>
      <c r="AT5364" s="10"/>
      <c r="AU5364" s="10"/>
      <c r="AV5364" s="10"/>
      <c r="AW5364" s="10"/>
      <c r="AX5364" s="10"/>
      <c r="AY5364" s="10"/>
      <c r="AZ5364" s="10"/>
    </row>
    <row r="5365" spans="31:52">
      <c r="AE5365" s="10"/>
      <c r="AF5365" s="10"/>
      <c r="AG5365" s="10"/>
      <c r="AH5365" s="10"/>
      <c r="AI5365" s="10"/>
      <c r="AJ5365" s="10"/>
      <c r="AK5365" s="10"/>
      <c r="AL5365" s="10"/>
      <c r="AM5365" s="10"/>
      <c r="AN5365" s="10"/>
      <c r="AO5365" s="10"/>
      <c r="AP5365" s="10"/>
      <c r="AQ5365" s="10"/>
      <c r="AR5365" s="10"/>
      <c r="AS5365" s="10"/>
      <c r="AT5365" s="10"/>
      <c r="AU5365" s="10"/>
      <c r="AV5365" s="10"/>
      <c r="AW5365" s="10"/>
      <c r="AX5365" s="10"/>
      <c r="AY5365" s="10"/>
      <c r="AZ5365" s="10"/>
    </row>
    <row r="5366" spans="31:52">
      <c r="AE5366" s="10"/>
      <c r="AF5366" s="10"/>
      <c r="AG5366" s="10"/>
      <c r="AH5366" s="10"/>
      <c r="AI5366" s="10"/>
      <c r="AJ5366" s="10"/>
      <c r="AK5366" s="10"/>
      <c r="AL5366" s="10"/>
      <c r="AM5366" s="10"/>
      <c r="AN5366" s="10"/>
      <c r="AO5366" s="10"/>
      <c r="AP5366" s="10"/>
      <c r="AQ5366" s="10"/>
      <c r="AR5366" s="10"/>
      <c r="AS5366" s="10"/>
      <c r="AT5366" s="10"/>
      <c r="AU5366" s="10"/>
      <c r="AV5366" s="10"/>
      <c r="AW5366" s="10"/>
      <c r="AX5366" s="10"/>
      <c r="AY5366" s="10"/>
      <c r="AZ5366" s="10"/>
    </row>
    <row r="5367" spans="31:52">
      <c r="AE5367" s="10"/>
      <c r="AF5367" s="10"/>
      <c r="AG5367" s="10"/>
      <c r="AH5367" s="10"/>
      <c r="AI5367" s="10"/>
      <c r="AJ5367" s="10"/>
      <c r="AK5367" s="10"/>
      <c r="AL5367" s="10"/>
      <c r="AM5367" s="10"/>
      <c r="AN5367" s="10"/>
      <c r="AO5367" s="10"/>
      <c r="AP5367" s="10"/>
      <c r="AQ5367" s="10"/>
      <c r="AR5367" s="10"/>
      <c r="AS5367" s="10"/>
      <c r="AT5367" s="10"/>
      <c r="AU5367" s="10"/>
      <c r="AV5367" s="10"/>
      <c r="AW5367" s="10"/>
      <c r="AX5367" s="10"/>
      <c r="AY5367" s="10"/>
      <c r="AZ5367" s="10"/>
    </row>
    <row r="5368" spans="31:52">
      <c r="AE5368" s="10"/>
      <c r="AF5368" s="10"/>
      <c r="AG5368" s="10"/>
      <c r="AH5368" s="10"/>
      <c r="AI5368" s="10"/>
      <c r="AJ5368" s="10"/>
      <c r="AK5368" s="10"/>
      <c r="AL5368" s="10"/>
      <c r="AM5368" s="10"/>
      <c r="AN5368" s="10"/>
      <c r="AO5368" s="10"/>
      <c r="AP5368" s="10"/>
      <c r="AQ5368" s="10"/>
      <c r="AR5368" s="10"/>
      <c r="AS5368" s="10"/>
      <c r="AT5368" s="10"/>
      <c r="AU5368" s="10"/>
      <c r="AV5368" s="10"/>
      <c r="AW5368" s="10"/>
      <c r="AX5368" s="10"/>
      <c r="AY5368" s="10"/>
      <c r="AZ5368" s="10"/>
    </row>
    <row r="5369" spans="31:52">
      <c r="AE5369" s="10"/>
      <c r="AF5369" s="10"/>
      <c r="AG5369" s="10"/>
      <c r="AH5369" s="10"/>
      <c r="AI5369" s="10"/>
      <c r="AJ5369" s="10"/>
      <c r="AK5369" s="10"/>
      <c r="AL5369" s="10"/>
      <c r="AM5369" s="10"/>
      <c r="AN5369" s="10"/>
      <c r="AO5369" s="10"/>
      <c r="AP5369" s="10"/>
      <c r="AQ5369" s="10"/>
      <c r="AR5369" s="10"/>
      <c r="AS5369" s="10"/>
      <c r="AT5369" s="10"/>
      <c r="AU5369" s="10"/>
      <c r="AV5369" s="10"/>
      <c r="AW5369" s="10"/>
      <c r="AX5369" s="10"/>
      <c r="AY5369" s="10"/>
      <c r="AZ5369" s="10"/>
    </row>
    <row r="5370" spans="31:52">
      <c r="AE5370" s="10"/>
      <c r="AF5370" s="10"/>
      <c r="AG5370" s="10"/>
      <c r="AH5370" s="10"/>
      <c r="AI5370" s="10"/>
      <c r="AJ5370" s="10"/>
      <c r="AK5370" s="10"/>
      <c r="AL5370" s="10"/>
      <c r="AM5370" s="10"/>
      <c r="AN5370" s="10"/>
      <c r="AO5370" s="10"/>
      <c r="AP5370" s="10"/>
      <c r="AQ5370" s="10"/>
      <c r="AR5370" s="10"/>
      <c r="AS5370" s="10"/>
      <c r="AT5370" s="10"/>
      <c r="AU5370" s="10"/>
      <c r="AV5370" s="10"/>
      <c r="AW5370" s="10"/>
      <c r="AX5370" s="10"/>
      <c r="AY5370" s="10"/>
      <c r="AZ5370" s="10"/>
    </row>
    <row r="5371" spans="31:52">
      <c r="AE5371" s="10"/>
      <c r="AF5371" s="10"/>
      <c r="AG5371" s="10"/>
      <c r="AH5371" s="10"/>
      <c r="AI5371" s="10"/>
      <c r="AJ5371" s="10"/>
      <c r="AK5371" s="10"/>
      <c r="AL5371" s="10"/>
      <c r="AM5371" s="10"/>
      <c r="AN5371" s="10"/>
      <c r="AO5371" s="10"/>
      <c r="AP5371" s="10"/>
      <c r="AQ5371" s="10"/>
      <c r="AR5371" s="10"/>
      <c r="AS5371" s="10"/>
      <c r="AT5371" s="10"/>
      <c r="AU5371" s="10"/>
      <c r="AV5371" s="10"/>
      <c r="AW5371" s="10"/>
      <c r="AX5371" s="10"/>
      <c r="AY5371" s="10"/>
      <c r="AZ5371" s="10"/>
    </row>
    <row r="5372" spans="31:52">
      <c r="AE5372" s="10"/>
      <c r="AF5372" s="10"/>
      <c r="AG5372" s="10"/>
      <c r="AH5372" s="10"/>
      <c r="AI5372" s="10"/>
      <c r="AJ5372" s="10"/>
      <c r="AK5372" s="10"/>
      <c r="AL5372" s="10"/>
      <c r="AM5372" s="10"/>
      <c r="AN5372" s="10"/>
      <c r="AO5372" s="10"/>
      <c r="AP5372" s="10"/>
      <c r="AQ5372" s="10"/>
      <c r="AR5372" s="10"/>
      <c r="AS5372" s="10"/>
      <c r="AT5372" s="10"/>
      <c r="AU5372" s="10"/>
      <c r="AV5372" s="10"/>
      <c r="AW5372" s="10"/>
      <c r="AX5372" s="10"/>
      <c r="AY5372" s="10"/>
      <c r="AZ5372" s="10"/>
    </row>
    <row r="5373" spans="31:52">
      <c r="AE5373" s="10"/>
      <c r="AF5373" s="10"/>
      <c r="AG5373" s="10"/>
      <c r="AH5373" s="10"/>
      <c r="AI5373" s="10"/>
      <c r="AJ5373" s="10"/>
      <c r="AK5373" s="10"/>
      <c r="AL5373" s="10"/>
      <c r="AM5373" s="10"/>
      <c r="AN5373" s="10"/>
      <c r="AO5373" s="10"/>
      <c r="AP5373" s="10"/>
      <c r="AQ5373" s="10"/>
      <c r="AR5373" s="10"/>
      <c r="AS5373" s="10"/>
      <c r="AT5373" s="10"/>
      <c r="AU5373" s="10"/>
      <c r="AV5373" s="10"/>
      <c r="AW5373" s="10"/>
      <c r="AX5373" s="10"/>
      <c r="AY5373" s="10"/>
      <c r="AZ5373" s="10"/>
    </row>
    <row r="5374" spans="31:52">
      <c r="AE5374" s="10"/>
      <c r="AF5374" s="10"/>
      <c r="AG5374" s="10"/>
      <c r="AH5374" s="10"/>
      <c r="AI5374" s="10"/>
      <c r="AJ5374" s="10"/>
      <c r="AK5374" s="10"/>
      <c r="AL5374" s="10"/>
      <c r="AM5374" s="10"/>
      <c r="AN5374" s="10"/>
      <c r="AO5374" s="10"/>
      <c r="AP5374" s="10"/>
      <c r="AQ5374" s="10"/>
      <c r="AR5374" s="10"/>
      <c r="AS5374" s="10"/>
      <c r="AT5374" s="10"/>
      <c r="AU5374" s="10"/>
      <c r="AV5374" s="10"/>
      <c r="AW5374" s="10"/>
      <c r="AX5374" s="10"/>
      <c r="AY5374" s="10"/>
      <c r="AZ5374" s="10"/>
    </row>
    <row r="5375" spans="31:52">
      <c r="AE5375" s="10"/>
      <c r="AF5375" s="10"/>
      <c r="AG5375" s="10"/>
      <c r="AH5375" s="10"/>
      <c r="AI5375" s="10"/>
      <c r="AJ5375" s="10"/>
      <c r="AK5375" s="10"/>
      <c r="AL5375" s="10"/>
      <c r="AM5375" s="10"/>
      <c r="AN5375" s="10"/>
      <c r="AO5375" s="10"/>
      <c r="AP5375" s="10"/>
      <c r="AQ5375" s="10"/>
      <c r="AR5375" s="10"/>
      <c r="AS5375" s="10"/>
      <c r="AT5375" s="10"/>
      <c r="AU5375" s="10"/>
      <c r="AV5375" s="10"/>
      <c r="AW5375" s="10"/>
      <c r="AX5375" s="10"/>
      <c r="AY5375" s="10"/>
      <c r="AZ5375" s="10"/>
    </row>
    <row r="5376" spans="31:52">
      <c r="AE5376" s="10"/>
      <c r="AF5376" s="10"/>
      <c r="AG5376" s="10"/>
      <c r="AH5376" s="10"/>
      <c r="AI5376" s="10"/>
      <c r="AJ5376" s="10"/>
      <c r="AK5376" s="10"/>
      <c r="AL5376" s="10"/>
      <c r="AM5376" s="10"/>
      <c r="AN5376" s="10"/>
      <c r="AO5376" s="10"/>
      <c r="AP5376" s="10"/>
      <c r="AQ5376" s="10"/>
      <c r="AR5376" s="10"/>
      <c r="AS5376" s="10"/>
      <c r="AT5376" s="10"/>
      <c r="AU5376" s="10"/>
      <c r="AV5376" s="10"/>
      <c r="AW5376" s="10"/>
      <c r="AX5376" s="10"/>
      <c r="AY5376" s="10"/>
      <c r="AZ5376" s="10"/>
    </row>
    <row r="5377" spans="31:52">
      <c r="AE5377" s="10"/>
      <c r="AF5377" s="10"/>
      <c r="AG5377" s="10"/>
      <c r="AH5377" s="10"/>
      <c r="AI5377" s="10"/>
      <c r="AJ5377" s="10"/>
      <c r="AK5377" s="10"/>
      <c r="AL5377" s="10"/>
      <c r="AM5377" s="10"/>
      <c r="AN5377" s="10"/>
      <c r="AO5377" s="10"/>
      <c r="AP5377" s="10"/>
      <c r="AQ5377" s="10"/>
      <c r="AR5377" s="10"/>
      <c r="AS5377" s="10"/>
      <c r="AT5377" s="10"/>
      <c r="AU5377" s="10"/>
      <c r="AV5377" s="10"/>
      <c r="AW5377" s="10"/>
      <c r="AX5377" s="10"/>
      <c r="AY5377" s="10"/>
      <c r="AZ5377" s="10"/>
    </row>
    <row r="5378" spans="31:52">
      <c r="AE5378" s="10"/>
      <c r="AF5378" s="10"/>
      <c r="AG5378" s="10"/>
      <c r="AH5378" s="10"/>
      <c r="AI5378" s="10"/>
      <c r="AJ5378" s="10"/>
      <c r="AK5378" s="10"/>
      <c r="AL5378" s="10"/>
      <c r="AM5378" s="10"/>
      <c r="AN5378" s="10"/>
      <c r="AO5378" s="10"/>
      <c r="AP5378" s="10"/>
      <c r="AQ5378" s="10"/>
      <c r="AR5378" s="10"/>
      <c r="AS5378" s="10"/>
      <c r="AT5378" s="10"/>
      <c r="AU5378" s="10"/>
      <c r="AV5378" s="10"/>
      <c r="AW5378" s="10"/>
      <c r="AX5378" s="10"/>
      <c r="AY5378" s="10"/>
      <c r="AZ5378" s="10"/>
    </row>
    <row r="5379" spans="31:52">
      <c r="AE5379" s="10"/>
      <c r="AF5379" s="10"/>
      <c r="AG5379" s="10"/>
      <c r="AH5379" s="10"/>
      <c r="AI5379" s="10"/>
      <c r="AJ5379" s="10"/>
      <c r="AK5379" s="10"/>
      <c r="AL5379" s="10"/>
      <c r="AM5379" s="10"/>
      <c r="AN5379" s="10"/>
      <c r="AO5379" s="10"/>
      <c r="AP5379" s="10"/>
      <c r="AQ5379" s="10"/>
      <c r="AR5379" s="10"/>
      <c r="AS5379" s="10"/>
      <c r="AT5379" s="10"/>
      <c r="AU5379" s="10"/>
      <c r="AV5379" s="10"/>
      <c r="AW5379" s="10"/>
      <c r="AX5379" s="10"/>
      <c r="AY5379" s="10"/>
      <c r="AZ5379" s="10"/>
    </row>
    <row r="5380" spans="31:52">
      <c r="AE5380" s="10"/>
      <c r="AF5380" s="10"/>
      <c r="AG5380" s="10"/>
      <c r="AH5380" s="10"/>
      <c r="AI5380" s="10"/>
      <c r="AJ5380" s="10"/>
      <c r="AK5380" s="10"/>
      <c r="AL5380" s="10"/>
      <c r="AM5380" s="10"/>
      <c r="AN5380" s="10"/>
      <c r="AO5380" s="10"/>
      <c r="AP5380" s="10"/>
      <c r="AQ5380" s="10"/>
      <c r="AR5380" s="10"/>
      <c r="AS5380" s="10"/>
      <c r="AT5380" s="10"/>
      <c r="AU5380" s="10"/>
      <c r="AV5380" s="10"/>
      <c r="AW5380" s="10"/>
      <c r="AX5380" s="10"/>
      <c r="AY5380" s="10"/>
      <c r="AZ5380" s="10"/>
    </row>
    <row r="5381" spans="31:52">
      <c r="AE5381" s="10"/>
      <c r="AF5381" s="10"/>
      <c r="AG5381" s="10"/>
      <c r="AH5381" s="10"/>
      <c r="AI5381" s="10"/>
      <c r="AJ5381" s="10"/>
      <c r="AK5381" s="10"/>
      <c r="AL5381" s="10"/>
      <c r="AM5381" s="10"/>
      <c r="AN5381" s="10"/>
      <c r="AO5381" s="10"/>
      <c r="AP5381" s="10"/>
      <c r="AQ5381" s="10"/>
      <c r="AR5381" s="10"/>
      <c r="AS5381" s="10"/>
      <c r="AT5381" s="10"/>
      <c r="AU5381" s="10"/>
      <c r="AV5381" s="10"/>
      <c r="AW5381" s="10"/>
      <c r="AX5381" s="10"/>
      <c r="AY5381" s="10"/>
      <c r="AZ5381" s="10"/>
    </row>
    <row r="5382" spans="31:52">
      <c r="AE5382" s="10"/>
      <c r="AF5382" s="10"/>
      <c r="AG5382" s="10"/>
      <c r="AH5382" s="10"/>
      <c r="AI5382" s="10"/>
      <c r="AJ5382" s="10"/>
      <c r="AK5382" s="10"/>
      <c r="AL5382" s="10"/>
      <c r="AM5382" s="10"/>
      <c r="AN5382" s="10"/>
      <c r="AO5382" s="10"/>
      <c r="AP5382" s="10"/>
      <c r="AQ5382" s="10"/>
      <c r="AR5382" s="10"/>
      <c r="AS5382" s="10"/>
      <c r="AT5382" s="10"/>
      <c r="AU5382" s="10"/>
      <c r="AV5382" s="10"/>
      <c r="AW5382" s="10"/>
      <c r="AX5382" s="10"/>
      <c r="AY5382" s="10"/>
      <c r="AZ5382" s="10"/>
    </row>
    <row r="5383" spans="31:52">
      <c r="AE5383" s="10"/>
      <c r="AF5383" s="10"/>
      <c r="AG5383" s="10"/>
      <c r="AH5383" s="10"/>
      <c r="AI5383" s="10"/>
      <c r="AJ5383" s="10"/>
      <c r="AK5383" s="10"/>
      <c r="AL5383" s="10"/>
      <c r="AM5383" s="10"/>
      <c r="AN5383" s="10"/>
      <c r="AO5383" s="10"/>
      <c r="AP5383" s="10"/>
      <c r="AQ5383" s="10"/>
      <c r="AR5383" s="10"/>
      <c r="AS5383" s="10"/>
      <c r="AT5383" s="10"/>
      <c r="AU5383" s="10"/>
      <c r="AV5383" s="10"/>
      <c r="AW5383" s="10"/>
      <c r="AX5383" s="10"/>
      <c r="AY5383" s="10"/>
      <c r="AZ5383" s="10"/>
    </row>
    <row r="5384" spans="31:52">
      <c r="AE5384" s="10"/>
      <c r="AF5384" s="10"/>
      <c r="AG5384" s="10"/>
      <c r="AH5384" s="10"/>
      <c r="AI5384" s="10"/>
      <c r="AJ5384" s="10"/>
      <c r="AK5384" s="10"/>
      <c r="AL5384" s="10"/>
      <c r="AM5384" s="10"/>
      <c r="AN5384" s="10"/>
      <c r="AO5384" s="10"/>
      <c r="AP5384" s="10"/>
      <c r="AQ5384" s="10"/>
      <c r="AR5384" s="10"/>
      <c r="AS5384" s="10"/>
      <c r="AT5384" s="10"/>
      <c r="AU5384" s="10"/>
      <c r="AV5384" s="10"/>
      <c r="AW5384" s="10"/>
      <c r="AX5384" s="10"/>
      <c r="AY5384" s="10"/>
      <c r="AZ5384" s="10"/>
    </row>
    <row r="5385" spans="31:52">
      <c r="AE5385" s="10"/>
      <c r="AF5385" s="10"/>
      <c r="AG5385" s="10"/>
      <c r="AH5385" s="10"/>
      <c r="AI5385" s="10"/>
      <c r="AJ5385" s="10"/>
      <c r="AK5385" s="10"/>
      <c r="AL5385" s="10"/>
      <c r="AM5385" s="10"/>
      <c r="AN5385" s="10"/>
      <c r="AO5385" s="10"/>
      <c r="AP5385" s="10"/>
      <c r="AQ5385" s="10"/>
      <c r="AR5385" s="10"/>
      <c r="AS5385" s="10"/>
      <c r="AT5385" s="10"/>
      <c r="AU5385" s="10"/>
      <c r="AV5385" s="10"/>
      <c r="AW5385" s="10"/>
      <c r="AX5385" s="10"/>
      <c r="AY5385" s="10"/>
      <c r="AZ5385" s="10"/>
    </row>
    <row r="5386" spans="31:52">
      <c r="AE5386" s="10"/>
      <c r="AF5386" s="10"/>
      <c r="AG5386" s="10"/>
      <c r="AH5386" s="10"/>
      <c r="AI5386" s="10"/>
      <c r="AJ5386" s="10"/>
      <c r="AK5386" s="10"/>
      <c r="AL5386" s="10"/>
      <c r="AM5386" s="10"/>
      <c r="AN5386" s="10"/>
      <c r="AO5386" s="10"/>
      <c r="AP5386" s="10"/>
      <c r="AQ5386" s="10"/>
      <c r="AR5386" s="10"/>
      <c r="AS5386" s="10"/>
      <c r="AT5386" s="10"/>
      <c r="AU5386" s="10"/>
      <c r="AV5386" s="10"/>
      <c r="AW5386" s="10"/>
      <c r="AX5386" s="10"/>
      <c r="AY5386" s="10"/>
      <c r="AZ5386" s="10"/>
    </row>
    <row r="5387" spans="31:52">
      <c r="AE5387" s="10"/>
      <c r="AF5387" s="10"/>
      <c r="AG5387" s="10"/>
      <c r="AH5387" s="10"/>
      <c r="AI5387" s="10"/>
      <c r="AJ5387" s="10"/>
      <c r="AK5387" s="10"/>
      <c r="AL5387" s="10"/>
      <c r="AM5387" s="10"/>
      <c r="AN5387" s="10"/>
      <c r="AO5387" s="10"/>
      <c r="AP5387" s="10"/>
      <c r="AQ5387" s="10"/>
      <c r="AR5387" s="10"/>
      <c r="AS5387" s="10"/>
      <c r="AT5387" s="10"/>
      <c r="AU5387" s="10"/>
      <c r="AV5387" s="10"/>
      <c r="AW5387" s="10"/>
      <c r="AX5387" s="10"/>
      <c r="AY5387" s="10"/>
      <c r="AZ5387" s="10"/>
    </row>
    <row r="5388" spans="31:52">
      <c r="AE5388" s="10"/>
      <c r="AF5388" s="10"/>
      <c r="AG5388" s="10"/>
      <c r="AH5388" s="10"/>
      <c r="AI5388" s="10"/>
      <c r="AJ5388" s="10"/>
      <c r="AK5388" s="10"/>
      <c r="AL5388" s="10"/>
      <c r="AM5388" s="10"/>
      <c r="AN5388" s="10"/>
      <c r="AO5388" s="10"/>
      <c r="AP5388" s="10"/>
      <c r="AQ5388" s="10"/>
      <c r="AR5388" s="10"/>
      <c r="AS5388" s="10"/>
      <c r="AT5388" s="10"/>
      <c r="AU5388" s="10"/>
      <c r="AV5388" s="10"/>
      <c r="AW5388" s="10"/>
      <c r="AX5388" s="10"/>
      <c r="AY5388" s="10"/>
      <c r="AZ5388" s="10"/>
    </row>
    <row r="5389" spans="31:52">
      <c r="AE5389" s="10"/>
      <c r="AF5389" s="10"/>
      <c r="AG5389" s="10"/>
      <c r="AH5389" s="10"/>
      <c r="AI5389" s="10"/>
      <c r="AJ5389" s="10"/>
      <c r="AK5389" s="10"/>
      <c r="AL5389" s="10"/>
      <c r="AM5389" s="10"/>
      <c r="AN5389" s="10"/>
      <c r="AO5389" s="10"/>
      <c r="AP5389" s="10"/>
      <c r="AQ5389" s="10"/>
      <c r="AR5389" s="10"/>
      <c r="AS5389" s="10"/>
      <c r="AT5389" s="10"/>
      <c r="AU5389" s="10"/>
      <c r="AV5389" s="10"/>
      <c r="AW5389" s="10"/>
      <c r="AX5389" s="10"/>
      <c r="AY5389" s="10"/>
      <c r="AZ5389" s="10"/>
    </row>
    <row r="5390" spans="31:52">
      <c r="AE5390" s="10"/>
      <c r="AF5390" s="10"/>
      <c r="AG5390" s="10"/>
      <c r="AH5390" s="10"/>
      <c r="AI5390" s="10"/>
      <c r="AJ5390" s="10"/>
      <c r="AK5390" s="10"/>
      <c r="AL5390" s="10"/>
      <c r="AM5390" s="10"/>
      <c r="AN5390" s="10"/>
      <c r="AO5390" s="10"/>
      <c r="AP5390" s="10"/>
      <c r="AQ5390" s="10"/>
      <c r="AR5390" s="10"/>
      <c r="AS5390" s="10"/>
      <c r="AT5390" s="10"/>
      <c r="AU5390" s="10"/>
      <c r="AV5390" s="10"/>
      <c r="AW5390" s="10"/>
      <c r="AX5390" s="10"/>
      <c r="AY5390" s="10"/>
      <c r="AZ5390" s="10"/>
    </row>
    <row r="5391" spans="31:52">
      <c r="AE5391" s="10"/>
      <c r="AF5391" s="10"/>
      <c r="AG5391" s="10"/>
      <c r="AH5391" s="10"/>
      <c r="AI5391" s="10"/>
      <c r="AJ5391" s="10"/>
      <c r="AK5391" s="10"/>
      <c r="AL5391" s="10"/>
      <c r="AM5391" s="10"/>
      <c r="AN5391" s="10"/>
      <c r="AO5391" s="10"/>
      <c r="AP5391" s="10"/>
      <c r="AQ5391" s="10"/>
      <c r="AR5391" s="10"/>
      <c r="AS5391" s="10"/>
      <c r="AT5391" s="10"/>
      <c r="AU5391" s="10"/>
      <c r="AV5391" s="10"/>
      <c r="AW5391" s="10"/>
      <c r="AX5391" s="10"/>
      <c r="AY5391" s="10"/>
      <c r="AZ5391" s="10"/>
    </row>
    <row r="5392" spans="31:52">
      <c r="AE5392" s="10"/>
      <c r="AF5392" s="10"/>
      <c r="AG5392" s="10"/>
      <c r="AH5392" s="10"/>
      <c r="AI5392" s="10"/>
      <c r="AJ5392" s="10"/>
      <c r="AK5392" s="10"/>
      <c r="AL5392" s="10"/>
      <c r="AM5392" s="10"/>
      <c r="AN5392" s="10"/>
      <c r="AO5392" s="10"/>
      <c r="AP5392" s="10"/>
      <c r="AQ5392" s="10"/>
      <c r="AR5392" s="10"/>
      <c r="AS5392" s="10"/>
      <c r="AT5392" s="10"/>
      <c r="AU5392" s="10"/>
      <c r="AV5392" s="10"/>
      <c r="AW5392" s="10"/>
      <c r="AX5392" s="10"/>
      <c r="AY5392" s="10"/>
      <c r="AZ5392" s="10"/>
    </row>
    <row r="5393" spans="31:52">
      <c r="AE5393" s="10"/>
      <c r="AF5393" s="10"/>
      <c r="AG5393" s="10"/>
      <c r="AH5393" s="10"/>
      <c r="AI5393" s="10"/>
      <c r="AJ5393" s="10"/>
      <c r="AK5393" s="10"/>
      <c r="AL5393" s="10"/>
      <c r="AM5393" s="10"/>
      <c r="AN5393" s="10"/>
      <c r="AO5393" s="10"/>
      <c r="AP5393" s="10"/>
      <c r="AQ5393" s="10"/>
      <c r="AR5393" s="10"/>
      <c r="AS5393" s="10"/>
      <c r="AT5393" s="10"/>
      <c r="AU5393" s="10"/>
      <c r="AV5393" s="10"/>
      <c r="AW5393" s="10"/>
      <c r="AX5393" s="10"/>
      <c r="AY5393" s="10"/>
      <c r="AZ5393" s="10"/>
    </row>
    <row r="5394" spans="31:52">
      <c r="AE5394" s="10"/>
      <c r="AF5394" s="10"/>
      <c r="AG5394" s="10"/>
      <c r="AH5394" s="10"/>
      <c r="AI5394" s="10"/>
      <c r="AJ5394" s="10"/>
      <c r="AK5394" s="10"/>
      <c r="AL5394" s="10"/>
      <c r="AM5394" s="10"/>
      <c r="AN5394" s="10"/>
      <c r="AO5394" s="10"/>
      <c r="AP5394" s="10"/>
      <c r="AQ5394" s="10"/>
      <c r="AR5394" s="10"/>
      <c r="AS5394" s="10"/>
      <c r="AT5394" s="10"/>
      <c r="AU5394" s="10"/>
      <c r="AV5394" s="10"/>
      <c r="AW5394" s="10"/>
      <c r="AX5394" s="10"/>
      <c r="AY5394" s="10"/>
      <c r="AZ5394" s="10"/>
    </row>
    <row r="5395" spans="31:52">
      <c r="AE5395" s="10"/>
      <c r="AF5395" s="10"/>
      <c r="AG5395" s="10"/>
      <c r="AH5395" s="10"/>
      <c r="AI5395" s="10"/>
      <c r="AJ5395" s="10"/>
      <c r="AK5395" s="10"/>
      <c r="AL5395" s="10"/>
      <c r="AM5395" s="10"/>
      <c r="AN5395" s="10"/>
      <c r="AO5395" s="10"/>
      <c r="AP5395" s="10"/>
      <c r="AQ5395" s="10"/>
      <c r="AR5395" s="10"/>
      <c r="AS5395" s="10"/>
      <c r="AT5395" s="10"/>
      <c r="AU5395" s="10"/>
      <c r="AV5395" s="10"/>
      <c r="AW5395" s="10"/>
      <c r="AX5395" s="10"/>
      <c r="AY5395" s="10"/>
      <c r="AZ5395" s="10"/>
    </row>
    <row r="5396" spans="31:52">
      <c r="AE5396" s="10"/>
      <c r="AF5396" s="10"/>
      <c r="AG5396" s="10"/>
      <c r="AH5396" s="10"/>
      <c r="AI5396" s="10"/>
      <c r="AJ5396" s="10"/>
      <c r="AK5396" s="10"/>
      <c r="AL5396" s="10"/>
      <c r="AM5396" s="10"/>
      <c r="AN5396" s="10"/>
      <c r="AO5396" s="10"/>
      <c r="AP5396" s="10"/>
      <c r="AQ5396" s="10"/>
      <c r="AR5396" s="10"/>
      <c r="AS5396" s="10"/>
      <c r="AT5396" s="10"/>
      <c r="AU5396" s="10"/>
      <c r="AV5396" s="10"/>
      <c r="AW5396" s="10"/>
      <c r="AX5396" s="10"/>
      <c r="AY5396" s="10"/>
      <c r="AZ5396" s="10"/>
    </row>
    <row r="5397" spans="31:52">
      <c r="AE5397" s="10"/>
      <c r="AF5397" s="10"/>
      <c r="AG5397" s="10"/>
      <c r="AH5397" s="10"/>
      <c r="AI5397" s="10"/>
      <c r="AJ5397" s="10"/>
      <c r="AK5397" s="10"/>
      <c r="AL5397" s="10"/>
      <c r="AM5397" s="10"/>
      <c r="AN5397" s="10"/>
      <c r="AO5397" s="10"/>
      <c r="AP5397" s="10"/>
      <c r="AQ5397" s="10"/>
      <c r="AR5397" s="10"/>
      <c r="AS5397" s="10"/>
      <c r="AT5397" s="10"/>
      <c r="AU5397" s="10"/>
      <c r="AV5397" s="10"/>
      <c r="AW5397" s="10"/>
      <c r="AX5397" s="10"/>
      <c r="AY5397" s="10"/>
      <c r="AZ5397" s="10"/>
    </row>
    <row r="5398" spans="31:52">
      <c r="AE5398" s="10"/>
      <c r="AF5398" s="10"/>
      <c r="AG5398" s="10"/>
      <c r="AH5398" s="10"/>
      <c r="AI5398" s="10"/>
      <c r="AJ5398" s="10"/>
      <c r="AK5398" s="10"/>
      <c r="AL5398" s="10"/>
      <c r="AM5398" s="10"/>
      <c r="AN5398" s="10"/>
      <c r="AO5398" s="10"/>
      <c r="AP5398" s="10"/>
      <c r="AQ5398" s="10"/>
      <c r="AR5398" s="10"/>
      <c r="AS5398" s="10"/>
      <c r="AT5398" s="10"/>
      <c r="AU5398" s="10"/>
      <c r="AV5398" s="10"/>
      <c r="AW5398" s="10"/>
      <c r="AX5398" s="10"/>
      <c r="AY5398" s="10"/>
      <c r="AZ5398" s="10"/>
    </row>
    <row r="5399" spans="31:52">
      <c r="AE5399" s="10"/>
      <c r="AF5399" s="10"/>
      <c r="AG5399" s="10"/>
      <c r="AH5399" s="10"/>
      <c r="AI5399" s="10"/>
      <c r="AJ5399" s="10"/>
      <c r="AK5399" s="10"/>
      <c r="AL5399" s="10"/>
      <c r="AM5399" s="10"/>
      <c r="AN5399" s="10"/>
      <c r="AO5399" s="10"/>
      <c r="AP5399" s="10"/>
      <c r="AQ5399" s="10"/>
      <c r="AR5399" s="10"/>
      <c r="AS5399" s="10"/>
      <c r="AT5399" s="10"/>
      <c r="AU5399" s="10"/>
      <c r="AV5399" s="10"/>
      <c r="AW5399" s="10"/>
      <c r="AX5399" s="10"/>
      <c r="AY5399" s="10"/>
      <c r="AZ5399" s="10"/>
    </row>
    <row r="5400" spans="31:52">
      <c r="AE5400" s="10"/>
      <c r="AF5400" s="10"/>
      <c r="AG5400" s="10"/>
      <c r="AH5400" s="10"/>
      <c r="AI5400" s="10"/>
      <c r="AJ5400" s="10"/>
      <c r="AK5400" s="10"/>
      <c r="AL5400" s="10"/>
      <c r="AM5400" s="10"/>
      <c r="AN5400" s="10"/>
      <c r="AO5400" s="10"/>
      <c r="AP5400" s="10"/>
      <c r="AQ5400" s="10"/>
      <c r="AR5400" s="10"/>
      <c r="AS5400" s="10"/>
      <c r="AT5400" s="10"/>
      <c r="AU5400" s="10"/>
      <c r="AV5400" s="10"/>
      <c r="AW5400" s="10"/>
      <c r="AX5400" s="10"/>
      <c r="AY5400" s="10"/>
      <c r="AZ5400" s="10"/>
    </row>
    <row r="5401" spans="31:52">
      <c r="AE5401" s="10"/>
      <c r="AF5401" s="10"/>
      <c r="AG5401" s="10"/>
      <c r="AH5401" s="10"/>
      <c r="AI5401" s="10"/>
      <c r="AJ5401" s="10"/>
      <c r="AK5401" s="10"/>
      <c r="AL5401" s="10"/>
      <c r="AM5401" s="10"/>
      <c r="AN5401" s="10"/>
      <c r="AO5401" s="10"/>
      <c r="AP5401" s="10"/>
      <c r="AQ5401" s="10"/>
      <c r="AR5401" s="10"/>
      <c r="AS5401" s="10"/>
      <c r="AT5401" s="10"/>
      <c r="AU5401" s="10"/>
      <c r="AV5401" s="10"/>
      <c r="AW5401" s="10"/>
      <c r="AX5401" s="10"/>
      <c r="AY5401" s="10"/>
      <c r="AZ5401" s="10"/>
    </row>
    <row r="5402" spans="31:52">
      <c r="AE5402" s="10"/>
      <c r="AF5402" s="10"/>
      <c r="AG5402" s="10"/>
      <c r="AH5402" s="10"/>
      <c r="AI5402" s="10"/>
      <c r="AJ5402" s="10"/>
      <c r="AK5402" s="10"/>
      <c r="AL5402" s="10"/>
      <c r="AM5402" s="10"/>
      <c r="AN5402" s="10"/>
      <c r="AO5402" s="10"/>
      <c r="AP5402" s="10"/>
      <c r="AQ5402" s="10"/>
      <c r="AR5402" s="10"/>
      <c r="AS5402" s="10"/>
      <c r="AT5402" s="10"/>
      <c r="AU5402" s="10"/>
      <c r="AV5402" s="10"/>
      <c r="AW5402" s="10"/>
      <c r="AX5402" s="10"/>
      <c r="AY5402" s="10"/>
      <c r="AZ5402" s="10"/>
    </row>
    <row r="5403" spans="31:52">
      <c r="AE5403" s="10"/>
      <c r="AF5403" s="10"/>
      <c r="AG5403" s="10"/>
      <c r="AH5403" s="10"/>
      <c r="AI5403" s="10"/>
      <c r="AJ5403" s="10"/>
      <c r="AK5403" s="10"/>
      <c r="AL5403" s="10"/>
      <c r="AM5403" s="10"/>
      <c r="AN5403" s="10"/>
      <c r="AO5403" s="10"/>
      <c r="AP5403" s="10"/>
      <c r="AQ5403" s="10"/>
      <c r="AR5403" s="10"/>
      <c r="AS5403" s="10"/>
      <c r="AT5403" s="10"/>
      <c r="AU5403" s="10"/>
      <c r="AV5403" s="10"/>
      <c r="AW5403" s="10"/>
      <c r="AX5403" s="10"/>
      <c r="AY5403" s="10"/>
      <c r="AZ5403" s="10"/>
    </row>
    <row r="5404" spans="31:52">
      <c r="AE5404" s="10"/>
      <c r="AF5404" s="10"/>
      <c r="AG5404" s="10"/>
      <c r="AH5404" s="10"/>
      <c r="AI5404" s="10"/>
      <c r="AJ5404" s="10"/>
      <c r="AK5404" s="10"/>
      <c r="AL5404" s="10"/>
      <c r="AM5404" s="10"/>
      <c r="AN5404" s="10"/>
      <c r="AO5404" s="10"/>
      <c r="AP5404" s="10"/>
      <c r="AQ5404" s="10"/>
      <c r="AR5404" s="10"/>
      <c r="AS5404" s="10"/>
      <c r="AT5404" s="10"/>
      <c r="AU5404" s="10"/>
      <c r="AV5404" s="10"/>
      <c r="AW5404" s="10"/>
      <c r="AX5404" s="10"/>
      <c r="AY5404" s="10"/>
      <c r="AZ5404" s="10"/>
    </row>
    <row r="5405" spans="31:52">
      <c r="AE5405" s="10"/>
      <c r="AF5405" s="10"/>
      <c r="AG5405" s="10"/>
      <c r="AH5405" s="10"/>
      <c r="AI5405" s="10"/>
      <c r="AJ5405" s="10"/>
      <c r="AK5405" s="10"/>
      <c r="AL5405" s="10"/>
      <c r="AM5405" s="10"/>
      <c r="AN5405" s="10"/>
      <c r="AO5405" s="10"/>
      <c r="AP5405" s="10"/>
      <c r="AQ5405" s="10"/>
      <c r="AR5405" s="10"/>
      <c r="AS5405" s="10"/>
      <c r="AT5405" s="10"/>
      <c r="AU5405" s="10"/>
      <c r="AV5405" s="10"/>
      <c r="AW5405" s="10"/>
      <c r="AX5405" s="10"/>
      <c r="AY5405" s="10"/>
      <c r="AZ5405" s="10"/>
    </row>
    <row r="5406" spans="31:52">
      <c r="AE5406" s="10"/>
      <c r="AF5406" s="10"/>
      <c r="AG5406" s="10"/>
      <c r="AH5406" s="10"/>
      <c r="AI5406" s="10"/>
      <c r="AJ5406" s="10"/>
      <c r="AK5406" s="10"/>
      <c r="AL5406" s="10"/>
      <c r="AM5406" s="10"/>
      <c r="AN5406" s="10"/>
      <c r="AO5406" s="10"/>
      <c r="AP5406" s="10"/>
      <c r="AQ5406" s="10"/>
      <c r="AR5406" s="10"/>
      <c r="AS5406" s="10"/>
      <c r="AT5406" s="10"/>
      <c r="AU5406" s="10"/>
      <c r="AV5406" s="10"/>
      <c r="AW5406" s="10"/>
      <c r="AX5406" s="10"/>
      <c r="AY5406" s="10"/>
      <c r="AZ5406" s="10"/>
    </row>
    <row r="5407" spans="31:52">
      <c r="AE5407" s="10"/>
      <c r="AF5407" s="10"/>
      <c r="AG5407" s="10"/>
      <c r="AH5407" s="10"/>
      <c r="AI5407" s="10"/>
      <c r="AJ5407" s="10"/>
      <c r="AK5407" s="10"/>
      <c r="AL5407" s="10"/>
      <c r="AM5407" s="10"/>
      <c r="AN5407" s="10"/>
      <c r="AO5407" s="10"/>
      <c r="AP5407" s="10"/>
      <c r="AQ5407" s="10"/>
      <c r="AR5407" s="10"/>
      <c r="AS5407" s="10"/>
      <c r="AT5407" s="10"/>
      <c r="AU5407" s="10"/>
      <c r="AV5407" s="10"/>
      <c r="AW5407" s="10"/>
      <c r="AX5407" s="10"/>
      <c r="AY5407" s="10"/>
      <c r="AZ5407" s="10"/>
    </row>
    <row r="5408" spans="31:52">
      <c r="AE5408" s="10"/>
      <c r="AF5408" s="10"/>
      <c r="AG5408" s="10"/>
      <c r="AH5408" s="10"/>
      <c r="AI5408" s="10"/>
      <c r="AJ5408" s="10"/>
      <c r="AK5408" s="10"/>
      <c r="AL5408" s="10"/>
      <c r="AM5408" s="10"/>
      <c r="AN5408" s="10"/>
      <c r="AO5408" s="10"/>
      <c r="AP5408" s="10"/>
      <c r="AQ5408" s="10"/>
      <c r="AR5408" s="10"/>
      <c r="AS5408" s="10"/>
      <c r="AT5408" s="10"/>
      <c r="AU5408" s="10"/>
      <c r="AV5408" s="10"/>
      <c r="AW5408" s="10"/>
      <c r="AX5408" s="10"/>
      <c r="AY5408" s="10"/>
      <c r="AZ5408" s="10"/>
    </row>
    <row r="5409" spans="31:52">
      <c r="AE5409" s="10"/>
      <c r="AF5409" s="10"/>
      <c r="AG5409" s="10"/>
      <c r="AH5409" s="10"/>
      <c r="AI5409" s="10"/>
      <c r="AJ5409" s="10"/>
      <c r="AK5409" s="10"/>
      <c r="AL5409" s="10"/>
      <c r="AM5409" s="10"/>
      <c r="AN5409" s="10"/>
      <c r="AO5409" s="10"/>
      <c r="AP5409" s="10"/>
      <c r="AQ5409" s="10"/>
      <c r="AR5409" s="10"/>
      <c r="AS5409" s="10"/>
      <c r="AT5409" s="10"/>
      <c r="AU5409" s="10"/>
      <c r="AV5409" s="10"/>
      <c r="AW5409" s="10"/>
      <c r="AX5409" s="10"/>
      <c r="AY5409" s="10"/>
      <c r="AZ5409" s="10"/>
    </row>
    <row r="5410" spans="31:52">
      <c r="AE5410" s="10"/>
      <c r="AF5410" s="10"/>
      <c r="AG5410" s="10"/>
      <c r="AH5410" s="10"/>
      <c r="AI5410" s="10"/>
      <c r="AJ5410" s="10"/>
      <c r="AK5410" s="10"/>
      <c r="AL5410" s="10"/>
      <c r="AM5410" s="10"/>
      <c r="AN5410" s="10"/>
      <c r="AO5410" s="10"/>
      <c r="AP5410" s="10"/>
      <c r="AQ5410" s="10"/>
      <c r="AR5410" s="10"/>
      <c r="AS5410" s="10"/>
      <c r="AT5410" s="10"/>
      <c r="AU5410" s="10"/>
      <c r="AV5410" s="10"/>
      <c r="AW5410" s="10"/>
      <c r="AX5410" s="10"/>
      <c r="AY5410" s="10"/>
      <c r="AZ5410" s="10"/>
    </row>
    <row r="5411" spans="31:52">
      <c r="AE5411" s="10"/>
      <c r="AF5411" s="10"/>
      <c r="AG5411" s="10"/>
      <c r="AH5411" s="10"/>
      <c r="AI5411" s="10"/>
      <c r="AJ5411" s="10"/>
      <c r="AK5411" s="10"/>
      <c r="AL5411" s="10"/>
      <c r="AM5411" s="10"/>
      <c r="AN5411" s="10"/>
      <c r="AO5411" s="10"/>
      <c r="AP5411" s="10"/>
      <c r="AQ5411" s="10"/>
      <c r="AR5411" s="10"/>
      <c r="AS5411" s="10"/>
      <c r="AT5411" s="10"/>
      <c r="AU5411" s="10"/>
      <c r="AV5411" s="10"/>
      <c r="AW5411" s="10"/>
      <c r="AX5411" s="10"/>
      <c r="AY5411" s="10"/>
      <c r="AZ5411" s="10"/>
    </row>
    <row r="5412" spans="31:52">
      <c r="AE5412" s="10"/>
      <c r="AF5412" s="10"/>
      <c r="AG5412" s="10"/>
      <c r="AH5412" s="10"/>
      <c r="AI5412" s="10"/>
      <c r="AJ5412" s="10"/>
      <c r="AK5412" s="10"/>
      <c r="AL5412" s="10"/>
      <c r="AM5412" s="10"/>
      <c r="AN5412" s="10"/>
      <c r="AO5412" s="10"/>
      <c r="AP5412" s="10"/>
      <c r="AQ5412" s="10"/>
      <c r="AR5412" s="10"/>
      <c r="AS5412" s="10"/>
      <c r="AT5412" s="10"/>
      <c r="AU5412" s="10"/>
      <c r="AV5412" s="10"/>
      <c r="AW5412" s="10"/>
      <c r="AX5412" s="10"/>
      <c r="AY5412" s="10"/>
      <c r="AZ5412" s="10"/>
    </row>
    <row r="5413" spans="31:52">
      <c r="AE5413" s="10"/>
      <c r="AF5413" s="10"/>
      <c r="AG5413" s="10"/>
      <c r="AH5413" s="10"/>
      <c r="AI5413" s="10"/>
      <c r="AJ5413" s="10"/>
      <c r="AK5413" s="10"/>
      <c r="AL5413" s="10"/>
      <c r="AM5413" s="10"/>
      <c r="AN5413" s="10"/>
      <c r="AO5413" s="10"/>
      <c r="AP5413" s="10"/>
      <c r="AQ5413" s="10"/>
      <c r="AR5413" s="10"/>
      <c r="AS5413" s="10"/>
      <c r="AT5413" s="10"/>
      <c r="AU5413" s="10"/>
      <c r="AV5413" s="10"/>
      <c r="AW5413" s="10"/>
      <c r="AX5413" s="10"/>
      <c r="AY5413" s="10"/>
      <c r="AZ5413" s="10"/>
    </row>
    <row r="5414" spans="31:52">
      <c r="AE5414" s="10"/>
      <c r="AF5414" s="10"/>
      <c r="AG5414" s="10"/>
      <c r="AH5414" s="10"/>
      <c r="AI5414" s="10"/>
      <c r="AJ5414" s="10"/>
      <c r="AK5414" s="10"/>
      <c r="AL5414" s="10"/>
      <c r="AM5414" s="10"/>
      <c r="AN5414" s="10"/>
      <c r="AO5414" s="10"/>
      <c r="AP5414" s="10"/>
      <c r="AQ5414" s="10"/>
      <c r="AR5414" s="10"/>
      <c r="AS5414" s="10"/>
      <c r="AT5414" s="10"/>
      <c r="AU5414" s="10"/>
      <c r="AV5414" s="10"/>
      <c r="AW5414" s="10"/>
      <c r="AX5414" s="10"/>
      <c r="AY5414" s="10"/>
      <c r="AZ5414" s="10"/>
    </row>
    <row r="5415" spans="31:52">
      <c r="AE5415" s="10"/>
      <c r="AF5415" s="10"/>
      <c r="AG5415" s="10"/>
      <c r="AH5415" s="10"/>
      <c r="AI5415" s="10"/>
      <c r="AJ5415" s="10"/>
      <c r="AK5415" s="10"/>
      <c r="AL5415" s="10"/>
      <c r="AM5415" s="10"/>
      <c r="AN5415" s="10"/>
      <c r="AO5415" s="10"/>
      <c r="AP5415" s="10"/>
      <c r="AQ5415" s="10"/>
      <c r="AR5415" s="10"/>
      <c r="AS5415" s="10"/>
      <c r="AT5415" s="10"/>
      <c r="AU5415" s="10"/>
      <c r="AV5415" s="10"/>
      <c r="AW5415" s="10"/>
      <c r="AX5415" s="10"/>
      <c r="AY5415" s="10"/>
      <c r="AZ5415" s="10"/>
    </row>
    <row r="5416" spans="31:52">
      <c r="AE5416" s="10"/>
      <c r="AF5416" s="10"/>
      <c r="AG5416" s="10"/>
      <c r="AH5416" s="10"/>
      <c r="AI5416" s="10"/>
      <c r="AJ5416" s="10"/>
      <c r="AK5416" s="10"/>
      <c r="AL5416" s="10"/>
      <c r="AM5416" s="10"/>
      <c r="AN5416" s="10"/>
      <c r="AO5416" s="10"/>
      <c r="AP5416" s="10"/>
      <c r="AQ5416" s="10"/>
      <c r="AR5416" s="10"/>
      <c r="AS5416" s="10"/>
      <c r="AT5416" s="10"/>
      <c r="AU5416" s="10"/>
      <c r="AV5416" s="10"/>
      <c r="AW5416" s="10"/>
      <c r="AX5416" s="10"/>
      <c r="AY5416" s="10"/>
      <c r="AZ5416" s="10"/>
    </row>
    <row r="5417" spans="31:52">
      <c r="AE5417" s="10"/>
      <c r="AF5417" s="10"/>
      <c r="AG5417" s="10"/>
      <c r="AH5417" s="10"/>
      <c r="AI5417" s="10"/>
      <c r="AJ5417" s="10"/>
      <c r="AK5417" s="10"/>
      <c r="AL5417" s="10"/>
      <c r="AM5417" s="10"/>
      <c r="AN5417" s="10"/>
      <c r="AO5417" s="10"/>
      <c r="AP5417" s="10"/>
      <c r="AQ5417" s="10"/>
      <c r="AR5417" s="10"/>
      <c r="AS5417" s="10"/>
      <c r="AT5417" s="10"/>
      <c r="AU5417" s="10"/>
      <c r="AV5417" s="10"/>
      <c r="AW5417" s="10"/>
      <c r="AX5417" s="10"/>
      <c r="AY5417" s="10"/>
      <c r="AZ5417" s="10"/>
    </row>
    <row r="5418" spans="31:52">
      <c r="AE5418" s="10"/>
      <c r="AF5418" s="10"/>
      <c r="AG5418" s="10"/>
      <c r="AH5418" s="10"/>
      <c r="AI5418" s="10"/>
      <c r="AJ5418" s="10"/>
      <c r="AK5418" s="10"/>
      <c r="AL5418" s="10"/>
      <c r="AM5418" s="10"/>
      <c r="AN5418" s="10"/>
      <c r="AO5418" s="10"/>
      <c r="AP5418" s="10"/>
      <c r="AQ5418" s="10"/>
      <c r="AR5418" s="10"/>
      <c r="AS5418" s="10"/>
      <c r="AT5418" s="10"/>
      <c r="AU5418" s="10"/>
      <c r="AV5418" s="10"/>
      <c r="AW5418" s="10"/>
      <c r="AX5418" s="10"/>
      <c r="AY5418" s="10"/>
      <c r="AZ5418" s="10"/>
    </row>
    <row r="5419" spans="31:52">
      <c r="AE5419" s="10"/>
      <c r="AF5419" s="10"/>
      <c r="AG5419" s="10"/>
      <c r="AH5419" s="10"/>
      <c r="AI5419" s="10"/>
      <c r="AJ5419" s="10"/>
      <c r="AK5419" s="10"/>
      <c r="AL5419" s="10"/>
      <c r="AM5419" s="10"/>
      <c r="AN5419" s="10"/>
      <c r="AO5419" s="10"/>
      <c r="AP5419" s="10"/>
      <c r="AQ5419" s="10"/>
      <c r="AR5419" s="10"/>
      <c r="AS5419" s="10"/>
      <c r="AT5419" s="10"/>
      <c r="AU5419" s="10"/>
      <c r="AV5419" s="10"/>
      <c r="AW5419" s="10"/>
      <c r="AX5419" s="10"/>
      <c r="AY5419" s="10"/>
      <c r="AZ5419" s="10"/>
    </row>
    <row r="5420" spans="31:52">
      <c r="AE5420" s="10"/>
      <c r="AF5420" s="10"/>
      <c r="AG5420" s="10"/>
      <c r="AH5420" s="10"/>
      <c r="AI5420" s="10"/>
      <c r="AJ5420" s="10"/>
      <c r="AK5420" s="10"/>
      <c r="AL5420" s="10"/>
      <c r="AM5420" s="10"/>
      <c r="AN5420" s="10"/>
      <c r="AO5420" s="10"/>
      <c r="AP5420" s="10"/>
      <c r="AQ5420" s="10"/>
      <c r="AR5420" s="10"/>
      <c r="AS5420" s="10"/>
      <c r="AT5420" s="10"/>
      <c r="AU5420" s="10"/>
      <c r="AV5420" s="10"/>
      <c r="AW5420" s="10"/>
      <c r="AX5420" s="10"/>
      <c r="AY5420" s="10"/>
      <c r="AZ5420" s="10"/>
    </row>
    <row r="5421" spans="31:52">
      <c r="AE5421" s="10"/>
      <c r="AF5421" s="10"/>
      <c r="AG5421" s="10"/>
      <c r="AH5421" s="10"/>
      <c r="AI5421" s="10"/>
      <c r="AJ5421" s="10"/>
      <c r="AK5421" s="10"/>
      <c r="AL5421" s="10"/>
      <c r="AM5421" s="10"/>
      <c r="AN5421" s="10"/>
      <c r="AO5421" s="10"/>
      <c r="AP5421" s="10"/>
      <c r="AQ5421" s="10"/>
      <c r="AR5421" s="10"/>
      <c r="AS5421" s="10"/>
      <c r="AT5421" s="10"/>
      <c r="AU5421" s="10"/>
      <c r="AV5421" s="10"/>
      <c r="AW5421" s="10"/>
      <c r="AX5421" s="10"/>
      <c r="AY5421" s="10"/>
      <c r="AZ5421" s="10"/>
    </row>
    <row r="5422" spans="31:52">
      <c r="AE5422" s="10"/>
      <c r="AF5422" s="10"/>
      <c r="AG5422" s="10"/>
      <c r="AH5422" s="10"/>
      <c r="AI5422" s="10"/>
      <c r="AJ5422" s="10"/>
      <c r="AK5422" s="10"/>
      <c r="AL5422" s="10"/>
      <c r="AM5422" s="10"/>
      <c r="AN5422" s="10"/>
      <c r="AO5422" s="10"/>
      <c r="AP5422" s="10"/>
      <c r="AQ5422" s="10"/>
      <c r="AR5422" s="10"/>
      <c r="AS5422" s="10"/>
      <c r="AT5422" s="10"/>
      <c r="AU5422" s="10"/>
      <c r="AV5422" s="10"/>
      <c r="AW5422" s="10"/>
      <c r="AX5422" s="10"/>
      <c r="AY5422" s="10"/>
      <c r="AZ5422" s="10"/>
    </row>
    <row r="5423" spans="31:52">
      <c r="AE5423" s="10"/>
      <c r="AF5423" s="10"/>
      <c r="AG5423" s="10"/>
      <c r="AH5423" s="10"/>
      <c r="AI5423" s="10"/>
      <c r="AJ5423" s="10"/>
      <c r="AK5423" s="10"/>
      <c r="AL5423" s="10"/>
      <c r="AM5423" s="10"/>
      <c r="AN5423" s="10"/>
      <c r="AO5423" s="10"/>
      <c r="AP5423" s="10"/>
      <c r="AQ5423" s="10"/>
      <c r="AR5423" s="10"/>
      <c r="AS5423" s="10"/>
      <c r="AT5423" s="10"/>
      <c r="AU5423" s="10"/>
      <c r="AV5423" s="10"/>
      <c r="AW5423" s="10"/>
      <c r="AX5423" s="10"/>
      <c r="AY5423" s="10"/>
      <c r="AZ5423" s="10"/>
    </row>
    <row r="5424" spans="31:52">
      <c r="AE5424" s="10"/>
      <c r="AF5424" s="10"/>
      <c r="AG5424" s="10"/>
      <c r="AH5424" s="10"/>
      <c r="AI5424" s="10"/>
      <c r="AJ5424" s="10"/>
      <c r="AK5424" s="10"/>
      <c r="AL5424" s="10"/>
      <c r="AM5424" s="10"/>
      <c r="AN5424" s="10"/>
      <c r="AO5424" s="10"/>
      <c r="AP5424" s="10"/>
      <c r="AQ5424" s="10"/>
      <c r="AR5424" s="10"/>
      <c r="AS5424" s="10"/>
      <c r="AT5424" s="10"/>
      <c r="AU5424" s="10"/>
      <c r="AV5424" s="10"/>
      <c r="AW5424" s="10"/>
      <c r="AX5424" s="10"/>
      <c r="AY5424" s="10"/>
      <c r="AZ5424" s="10"/>
    </row>
    <row r="5425" spans="31:52">
      <c r="AE5425" s="10"/>
      <c r="AF5425" s="10"/>
      <c r="AG5425" s="10"/>
      <c r="AH5425" s="10"/>
      <c r="AI5425" s="10"/>
      <c r="AJ5425" s="10"/>
      <c r="AK5425" s="10"/>
      <c r="AL5425" s="10"/>
      <c r="AM5425" s="10"/>
      <c r="AN5425" s="10"/>
      <c r="AO5425" s="10"/>
      <c r="AP5425" s="10"/>
      <c r="AQ5425" s="10"/>
      <c r="AR5425" s="10"/>
      <c r="AS5425" s="10"/>
      <c r="AT5425" s="10"/>
      <c r="AU5425" s="10"/>
      <c r="AV5425" s="10"/>
      <c r="AW5425" s="10"/>
      <c r="AX5425" s="10"/>
      <c r="AY5425" s="10"/>
      <c r="AZ5425" s="10"/>
    </row>
    <row r="5426" spans="31:52">
      <c r="AE5426" s="10"/>
      <c r="AF5426" s="10"/>
      <c r="AG5426" s="10"/>
      <c r="AH5426" s="10"/>
      <c r="AI5426" s="10"/>
      <c r="AJ5426" s="10"/>
      <c r="AK5426" s="10"/>
      <c r="AL5426" s="10"/>
      <c r="AM5426" s="10"/>
      <c r="AN5426" s="10"/>
      <c r="AO5426" s="10"/>
      <c r="AP5426" s="10"/>
      <c r="AQ5426" s="10"/>
      <c r="AR5426" s="10"/>
      <c r="AS5426" s="10"/>
      <c r="AT5426" s="10"/>
      <c r="AU5426" s="10"/>
      <c r="AV5426" s="10"/>
      <c r="AW5426" s="10"/>
      <c r="AX5426" s="10"/>
      <c r="AY5426" s="10"/>
      <c r="AZ5426" s="10"/>
    </row>
    <row r="5427" spans="31:52">
      <c r="AE5427" s="10"/>
      <c r="AF5427" s="10"/>
      <c r="AG5427" s="10"/>
      <c r="AH5427" s="10"/>
      <c r="AI5427" s="10"/>
      <c r="AJ5427" s="10"/>
      <c r="AK5427" s="10"/>
      <c r="AL5427" s="10"/>
      <c r="AM5427" s="10"/>
      <c r="AN5427" s="10"/>
      <c r="AO5427" s="10"/>
      <c r="AP5427" s="10"/>
      <c r="AQ5427" s="10"/>
      <c r="AR5427" s="10"/>
      <c r="AS5427" s="10"/>
      <c r="AT5427" s="10"/>
      <c r="AU5427" s="10"/>
      <c r="AV5427" s="10"/>
      <c r="AW5427" s="10"/>
      <c r="AX5427" s="10"/>
      <c r="AY5427" s="10"/>
      <c r="AZ5427" s="10"/>
    </row>
    <row r="5428" spans="31:52">
      <c r="AE5428" s="10"/>
      <c r="AF5428" s="10"/>
      <c r="AG5428" s="10"/>
      <c r="AH5428" s="10"/>
      <c r="AI5428" s="10"/>
      <c r="AJ5428" s="10"/>
      <c r="AK5428" s="10"/>
      <c r="AL5428" s="10"/>
      <c r="AM5428" s="10"/>
      <c r="AN5428" s="10"/>
      <c r="AO5428" s="10"/>
      <c r="AP5428" s="10"/>
      <c r="AQ5428" s="10"/>
      <c r="AR5428" s="10"/>
      <c r="AS5428" s="10"/>
      <c r="AT5428" s="10"/>
      <c r="AU5428" s="10"/>
      <c r="AV5428" s="10"/>
      <c r="AW5428" s="10"/>
      <c r="AX5428" s="10"/>
      <c r="AY5428" s="10"/>
      <c r="AZ5428" s="10"/>
    </row>
    <row r="5429" spans="31:52">
      <c r="AE5429" s="10"/>
      <c r="AF5429" s="10"/>
      <c r="AG5429" s="10"/>
      <c r="AH5429" s="10"/>
      <c r="AI5429" s="10"/>
      <c r="AJ5429" s="10"/>
      <c r="AK5429" s="10"/>
      <c r="AL5429" s="10"/>
      <c r="AM5429" s="10"/>
      <c r="AN5429" s="10"/>
      <c r="AO5429" s="10"/>
      <c r="AP5429" s="10"/>
      <c r="AQ5429" s="10"/>
      <c r="AR5429" s="10"/>
      <c r="AS5429" s="10"/>
      <c r="AT5429" s="10"/>
      <c r="AU5429" s="10"/>
      <c r="AV5429" s="10"/>
      <c r="AW5429" s="10"/>
      <c r="AX5429" s="10"/>
      <c r="AY5429" s="10"/>
      <c r="AZ5429" s="10"/>
    </row>
    <row r="5430" spans="31:52">
      <c r="AE5430" s="10"/>
      <c r="AF5430" s="10"/>
      <c r="AG5430" s="10"/>
      <c r="AH5430" s="10"/>
      <c r="AI5430" s="10"/>
      <c r="AJ5430" s="10"/>
      <c r="AK5430" s="10"/>
      <c r="AL5430" s="10"/>
      <c r="AM5430" s="10"/>
      <c r="AN5430" s="10"/>
      <c r="AO5430" s="10"/>
      <c r="AP5430" s="10"/>
      <c r="AQ5430" s="10"/>
      <c r="AR5430" s="10"/>
      <c r="AS5430" s="10"/>
      <c r="AT5430" s="10"/>
      <c r="AU5430" s="10"/>
      <c r="AV5430" s="10"/>
      <c r="AW5430" s="10"/>
      <c r="AX5430" s="10"/>
      <c r="AY5430" s="10"/>
      <c r="AZ5430" s="10"/>
    </row>
    <row r="5431" spans="31:52">
      <c r="AE5431" s="10"/>
      <c r="AF5431" s="10"/>
      <c r="AG5431" s="10"/>
      <c r="AH5431" s="10"/>
      <c r="AI5431" s="10"/>
      <c r="AJ5431" s="10"/>
      <c r="AK5431" s="10"/>
      <c r="AL5431" s="10"/>
      <c r="AM5431" s="10"/>
      <c r="AN5431" s="10"/>
      <c r="AO5431" s="10"/>
      <c r="AP5431" s="10"/>
      <c r="AQ5431" s="10"/>
      <c r="AR5431" s="10"/>
      <c r="AS5431" s="10"/>
      <c r="AT5431" s="10"/>
      <c r="AU5431" s="10"/>
      <c r="AV5431" s="10"/>
      <c r="AW5431" s="10"/>
      <c r="AX5431" s="10"/>
      <c r="AY5431" s="10"/>
      <c r="AZ5431" s="10"/>
    </row>
    <row r="5432" spans="31:52">
      <c r="AE5432" s="10"/>
      <c r="AF5432" s="10"/>
      <c r="AG5432" s="10"/>
      <c r="AH5432" s="10"/>
      <c r="AI5432" s="10"/>
      <c r="AJ5432" s="10"/>
      <c r="AK5432" s="10"/>
      <c r="AL5432" s="10"/>
      <c r="AM5432" s="10"/>
      <c r="AN5432" s="10"/>
      <c r="AO5432" s="10"/>
      <c r="AP5432" s="10"/>
      <c r="AQ5432" s="10"/>
      <c r="AR5432" s="10"/>
      <c r="AS5432" s="10"/>
      <c r="AT5432" s="10"/>
      <c r="AU5432" s="10"/>
      <c r="AV5432" s="10"/>
      <c r="AW5432" s="10"/>
      <c r="AX5432" s="10"/>
      <c r="AY5432" s="10"/>
      <c r="AZ5432" s="10"/>
    </row>
    <row r="5433" spans="31:52">
      <c r="AE5433" s="10"/>
      <c r="AF5433" s="10"/>
      <c r="AG5433" s="10"/>
      <c r="AH5433" s="10"/>
      <c r="AI5433" s="10"/>
      <c r="AJ5433" s="10"/>
      <c r="AK5433" s="10"/>
      <c r="AL5433" s="10"/>
      <c r="AM5433" s="10"/>
      <c r="AN5433" s="10"/>
      <c r="AO5433" s="10"/>
      <c r="AP5433" s="10"/>
      <c r="AQ5433" s="10"/>
      <c r="AR5433" s="10"/>
      <c r="AS5433" s="10"/>
      <c r="AT5433" s="10"/>
      <c r="AU5433" s="10"/>
      <c r="AV5433" s="10"/>
      <c r="AW5433" s="10"/>
      <c r="AX5433" s="10"/>
      <c r="AY5433" s="10"/>
      <c r="AZ5433" s="10"/>
    </row>
    <row r="5434" spans="31:52">
      <c r="AE5434" s="10"/>
      <c r="AF5434" s="10"/>
      <c r="AG5434" s="10"/>
      <c r="AH5434" s="10"/>
      <c r="AI5434" s="10"/>
      <c r="AJ5434" s="10"/>
      <c r="AK5434" s="10"/>
      <c r="AL5434" s="10"/>
      <c r="AM5434" s="10"/>
      <c r="AN5434" s="10"/>
      <c r="AO5434" s="10"/>
      <c r="AP5434" s="10"/>
      <c r="AQ5434" s="10"/>
      <c r="AR5434" s="10"/>
      <c r="AS5434" s="10"/>
      <c r="AT5434" s="10"/>
      <c r="AU5434" s="10"/>
      <c r="AV5434" s="10"/>
      <c r="AW5434" s="10"/>
      <c r="AX5434" s="10"/>
      <c r="AY5434" s="10"/>
      <c r="AZ5434" s="10"/>
    </row>
    <row r="5435" spans="31:52">
      <c r="AE5435" s="10"/>
      <c r="AF5435" s="10"/>
      <c r="AG5435" s="10"/>
      <c r="AH5435" s="10"/>
      <c r="AI5435" s="10"/>
      <c r="AJ5435" s="10"/>
      <c r="AK5435" s="10"/>
      <c r="AL5435" s="10"/>
      <c r="AM5435" s="10"/>
      <c r="AN5435" s="10"/>
      <c r="AO5435" s="10"/>
      <c r="AP5435" s="10"/>
      <c r="AQ5435" s="10"/>
      <c r="AR5435" s="10"/>
      <c r="AS5435" s="10"/>
      <c r="AT5435" s="10"/>
      <c r="AU5435" s="10"/>
      <c r="AV5435" s="10"/>
      <c r="AW5435" s="10"/>
      <c r="AX5435" s="10"/>
      <c r="AY5435" s="10"/>
      <c r="AZ5435" s="10"/>
    </row>
    <row r="5436" spans="31:52">
      <c r="AE5436" s="10"/>
      <c r="AF5436" s="10"/>
      <c r="AG5436" s="10"/>
      <c r="AH5436" s="10"/>
      <c r="AI5436" s="10"/>
      <c r="AJ5436" s="10"/>
      <c r="AK5436" s="10"/>
      <c r="AL5436" s="10"/>
      <c r="AM5436" s="10"/>
      <c r="AN5436" s="10"/>
      <c r="AO5436" s="10"/>
      <c r="AP5436" s="10"/>
      <c r="AQ5436" s="10"/>
      <c r="AR5436" s="10"/>
      <c r="AS5436" s="10"/>
      <c r="AT5436" s="10"/>
      <c r="AU5436" s="10"/>
      <c r="AV5436" s="10"/>
      <c r="AW5436" s="10"/>
      <c r="AX5436" s="10"/>
      <c r="AY5436" s="10"/>
      <c r="AZ5436" s="10"/>
    </row>
    <row r="5437" spans="31:52">
      <c r="AE5437" s="10"/>
      <c r="AF5437" s="10"/>
      <c r="AG5437" s="10"/>
      <c r="AH5437" s="10"/>
      <c r="AI5437" s="10"/>
      <c r="AJ5437" s="10"/>
      <c r="AK5437" s="10"/>
      <c r="AL5437" s="10"/>
      <c r="AM5437" s="10"/>
      <c r="AN5437" s="10"/>
      <c r="AO5437" s="10"/>
      <c r="AP5437" s="10"/>
      <c r="AQ5437" s="10"/>
      <c r="AR5437" s="10"/>
      <c r="AS5437" s="10"/>
      <c r="AT5437" s="10"/>
      <c r="AU5437" s="10"/>
      <c r="AV5437" s="10"/>
      <c r="AW5437" s="10"/>
      <c r="AX5437" s="10"/>
      <c r="AY5437" s="10"/>
      <c r="AZ5437" s="10"/>
    </row>
    <row r="5438" spans="31:52">
      <c r="AE5438" s="10"/>
      <c r="AF5438" s="10"/>
      <c r="AG5438" s="10"/>
      <c r="AH5438" s="10"/>
      <c r="AI5438" s="10"/>
      <c r="AJ5438" s="10"/>
      <c r="AK5438" s="10"/>
      <c r="AL5438" s="10"/>
      <c r="AM5438" s="10"/>
      <c r="AN5438" s="10"/>
      <c r="AO5438" s="10"/>
      <c r="AP5438" s="10"/>
      <c r="AQ5438" s="10"/>
      <c r="AR5438" s="10"/>
      <c r="AS5438" s="10"/>
      <c r="AT5438" s="10"/>
      <c r="AU5438" s="10"/>
      <c r="AV5438" s="10"/>
      <c r="AW5438" s="10"/>
      <c r="AX5438" s="10"/>
      <c r="AY5438" s="10"/>
      <c r="AZ5438" s="10"/>
    </row>
    <row r="5439" spans="31:52">
      <c r="AE5439" s="10"/>
      <c r="AF5439" s="10"/>
      <c r="AG5439" s="10"/>
      <c r="AH5439" s="10"/>
      <c r="AI5439" s="10"/>
      <c r="AJ5439" s="10"/>
      <c r="AK5439" s="10"/>
      <c r="AL5439" s="10"/>
      <c r="AM5439" s="10"/>
      <c r="AN5439" s="10"/>
      <c r="AO5439" s="10"/>
      <c r="AP5439" s="10"/>
      <c r="AQ5439" s="10"/>
      <c r="AR5439" s="10"/>
      <c r="AS5439" s="10"/>
      <c r="AT5439" s="10"/>
      <c r="AU5439" s="10"/>
      <c r="AV5439" s="10"/>
      <c r="AW5439" s="10"/>
      <c r="AX5439" s="10"/>
      <c r="AY5439" s="10"/>
      <c r="AZ5439" s="10"/>
    </row>
    <row r="5440" spans="31:52">
      <c r="AE5440" s="10"/>
      <c r="AF5440" s="10"/>
      <c r="AG5440" s="10"/>
      <c r="AH5440" s="10"/>
      <c r="AI5440" s="10"/>
      <c r="AJ5440" s="10"/>
      <c r="AK5440" s="10"/>
      <c r="AL5440" s="10"/>
      <c r="AM5440" s="10"/>
      <c r="AN5440" s="10"/>
      <c r="AO5440" s="10"/>
      <c r="AP5440" s="10"/>
      <c r="AQ5440" s="10"/>
      <c r="AR5440" s="10"/>
      <c r="AS5440" s="10"/>
      <c r="AT5440" s="10"/>
      <c r="AU5440" s="10"/>
      <c r="AV5440" s="10"/>
      <c r="AW5440" s="10"/>
      <c r="AX5440" s="10"/>
      <c r="AY5440" s="10"/>
      <c r="AZ5440" s="10"/>
    </row>
    <row r="5441" spans="31:52">
      <c r="AE5441" s="10"/>
      <c r="AF5441" s="10"/>
      <c r="AG5441" s="10"/>
      <c r="AH5441" s="10"/>
      <c r="AI5441" s="10"/>
      <c r="AJ5441" s="10"/>
      <c r="AK5441" s="10"/>
      <c r="AL5441" s="10"/>
      <c r="AM5441" s="10"/>
      <c r="AN5441" s="10"/>
      <c r="AO5441" s="10"/>
      <c r="AP5441" s="10"/>
      <c r="AQ5441" s="10"/>
      <c r="AR5441" s="10"/>
      <c r="AS5441" s="10"/>
      <c r="AT5441" s="10"/>
      <c r="AU5441" s="10"/>
      <c r="AV5441" s="10"/>
      <c r="AW5441" s="10"/>
      <c r="AX5441" s="10"/>
      <c r="AY5441" s="10"/>
      <c r="AZ5441" s="10"/>
    </row>
    <row r="5442" spans="31:52">
      <c r="AE5442" s="10"/>
      <c r="AF5442" s="10"/>
      <c r="AG5442" s="10"/>
      <c r="AH5442" s="10"/>
      <c r="AI5442" s="10"/>
      <c r="AJ5442" s="10"/>
      <c r="AK5442" s="10"/>
      <c r="AL5442" s="10"/>
      <c r="AM5442" s="10"/>
      <c r="AN5442" s="10"/>
      <c r="AO5442" s="10"/>
      <c r="AP5442" s="10"/>
      <c r="AQ5442" s="10"/>
      <c r="AR5442" s="10"/>
      <c r="AS5442" s="10"/>
      <c r="AT5442" s="10"/>
      <c r="AU5442" s="10"/>
      <c r="AV5442" s="10"/>
      <c r="AW5442" s="10"/>
      <c r="AX5442" s="10"/>
      <c r="AY5442" s="10"/>
      <c r="AZ5442" s="10"/>
    </row>
    <row r="5443" spans="31:52">
      <c r="AE5443" s="10"/>
      <c r="AF5443" s="10"/>
      <c r="AG5443" s="10"/>
      <c r="AH5443" s="10"/>
      <c r="AI5443" s="10"/>
      <c r="AJ5443" s="10"/>
      <c r="AK5443" s="10"/>
      <c r="AL5443" s="10"/>
      <c r="AM5443" s="10"/>
      <c r="AN5443" s="10"/>
      <c r="AO5443" s="10"/>
      <c r="AP5443" s="10"/>
      <c r="AQ5443" s="10"/>
      <c r="AR5443" s="10"/>
      <c r="AS5443" s="10"/>
      <c r="AT5443" s="10"/>
      <c r="AU5443" s="10"/>
      <c r="AV5443" s="10"/>
      <c r="AW5443" s="10"/>
      <c r="AX5443" s="10"/>
      <c r="AY5443" s="10"/>
      <c r="AZ5443" s="10"/>
    </row>
    <row r="5444" spans="31:52">
      <c r="AE5444" s="10"/>
      <c r="AF5444" s="10"/>
      <c r="AG5444" s="10"/>
      <c r="AH5444" s="10"/>
      <c r="AI5444" s="10"/>
      <c r="AJ5444" s="10"/>
      <c r="AK5444" s="10"/>
      <c r="AL5444" s="10"/>
      <c r="AM5444" s="10"/>
      <c r="AN5444" s="10"/>
      <c r="AO5444" s="10"/>
      <c r="AP5444" s="10"/>
      <c r="AQ5444" s="10"/>
      <c r="AR5444" s="10"/>
      <c r="AS5444" s="10"/>
      <c r="AT5444" s="10"/>
      <c r="AU5444" s="10"/>
      <c r="AV5444" s="10"/>
      <c r="AW5444" s="10"/>
      <c r="AX5444" s="10"/>
      <c r="AY5444" s="10"/>
      <c r="AZ5444" s="10"/>
    </row>
    <row r="5445" spans="31:52">
      <c r="AE5445" s="10"/>
      <c r="AF5445" s="10"/>
      <c r="AG5445" s="10"/>
      <c r="AH5445" s="10"/>
      <c r="AI5445" s="10"/>
      <c r="AJ5445" s="10"/>
      <c r="AK5445" s="10"/>
      <c r="AL5445" s="10"/>
      <c r="AM5445" s="10"/>
      <c r="AN5445" s="10"/>
      <c r="AO5445" s="10"/>
      <c r="AP5445" s="10"/>
      <c r="AQ5445" s="10"/>
      <c r="AR5445" s="10"/>
      <c r="AS5445" s="10"/>
      <c r="AT5445" s="10"/>
      <c r="AU5445" s="10"/>
      <c r="AV5445" s="10"/>
      <c r="AW5445" s="10"/>
      <c r="AX5445" s="10"/>
      <c r="AY5445" s="10"/>
      <c r="AZ5445" s="10"/>
    </row>
    <row r="5446" spans="31:52">
      <c r="AE5446" s="10"/>
      <c r="AF5446" s="10"/>
      <c r="AG5446" s="10"/>
      <c r="AH5446" s="10"/>
      <c r="AI5446" s="10"/>
      <c r="AJ5446" s="10"/>
      <c r="AK5446" s="10"/>
      <c r="AL5446" s="10"/>
      <c r="AM5446" s="10"/>
      <c r="AN5446" s="10"/>
      <c r="AO5446" s="10"/>
      <c r="AP5446" s="10"/>
      <c r="AQ5446" s="10"/>
      <c r="AR5446" s="10"/>
      <c r="AS5446" s="10"/>
      <c r="AT5446" s="10"/>
      <c r="AU5446" s="10"/>
      <c r="AV5446" s="10"/>
      <c r="AW5446" s="10"/>
      <c r="AX5446" s="10"/>
      <c r="AY5446" s="10"/>
      <c r="AZ5446" s="10"/>
    </row>
    <row r="5447" spans="31:52">
      <c r="AE5447" s="10"/>
      <c r="AF5447" s="10"/>
      <c r="AG5447" s="10"/>
      <c r="AH5447" s="10"/>
      <c r="AI5447" s="10"/>
      <c r="AJ5447" s="10"/>
      <c r="AK5447" s="10"/>
      <c r="AL5447" s="10"/>
      <c r="AM5447" s="10"/>
      <c r="AN5447" s="10"/>
      <c r="AO5447" s="10"/>
      <c r="AP5447" s="10"/>
      <c r="AQ5447" s="10"/>
      <c r="AR5447" s="10"/>
      <c r="AS5447" s="10"/>
      <c r="AT5447" s="10"/>
      <c r="AU5447" s="10"/>
      <c r="AV5447" s="10"/>
      <c r="AW5447" s="10"/>
      <c r="AX5447" s="10"/>
      <c r="AY5447" s="10"/>
      <c r="AZ5447" s="10"/>
    </row>
    <row r="5448" spans="31:52">
      <c r="AE5448" s="10"/>
      <c r="AF5448" s="10"/>
      <c r="AG5448" s="10"/>
      <c r="AH5448" s="10"/>
      <c r="AI5448" s="10"/>
      <c r="AJ5448" s="10"/>
      <c r="AK5448" s="10"/>
      <c r="AL5448" s="10"/>
      <c r="AM5448" s="10"/>
      <c r="AN5448" s="10"/>
      <c r="AO5448" s="10"/>
      <c r="AP5448" s="10"/>
      <c r="AQ5448" s="10"/>
      <c r="AR5448" s="10"/>
      <c r="AS5448" s="10"/>
      <c r="AT5448" s="10"/>
      <c r="AU5448" s="10"/>
      <c r="AV5448" s="10"/>
      <c r="AW5448" s="10"/>
      <c r="AX5448" s="10"/>
      <c r="AY5448" s="10"/>
      <c r="AZ5448" s="10"/>
    </row>
    <row r="5449" spans="31:52">
      <c r="AE5449" s="10"/>
      <c r="AF5449" s="10"/>
      <c r="AG5449" s="10"/>
      <c r="AH5449" s="10"/>
      <c r="AI5449" s="10"/>
      <c r="AJ5449" s="10"/>
      <c r="AK5449" s="10"/>
      <c r="AL5449" s="10"/>
      <c r="AM5449" s="10"/>
      <c r="AN5449" s="10"/>
      <c r="AO5449" s="10"/>
      <c r="AP5449" s="10"/>
      <c r="AQ5449" s="10"/>
      <c r="AR5449" s="10"/>
      <c r="AS5449" s="10"/>
      <c r="AT5449" s="10"/>
      <c r="AU5449" s="10"/>
      <c r="AV5449" s="10"/>
      <c r="AW5449" s="10"/>
      <c r="AX5449" s="10"/>
      <c r="AY5449" s="10"/>
      <c r="AZ5449" s="10"/>
    </row>
    <row r="5450" spans="31:52">
      <c r="AE5450" s="10"/>
      <c r="AF5450" s="10"/>
      <c r="AG5450" s="10"/>
      <c r="AH5450" s="10"/>
      <c r="AI5450" s="10"/>
      <c r="AJ5450" s="10"/>
      <c r="AK5450" s="10"/>
      <c r="AL5450" s="10"/>
      <c r="AM5450" s="10"/>
      <c r="AN5450" s="10"/>
      <c r="AO5450" s="10"/>
      <c r="AP5450" s="10"/>
      <c r="AQ5450" s="10"/>
      <c r="AR5450" s="10"/>
      <c r="AS5450" s="10"/>
      <c r="AT5450" s="10"/>
      <c r="AU5450" s="10"/>
      <c r="AV5450" s="10"/>
      <c r="AW5450" s="10"/>
      <c r="AX5450" s="10"/>
      <c r="AY5450" s="10"/>
      <c r="AZ5450" s="10"/>
    </row>
    <row r="5451" spans="31:52">
      <c r="AE5451" s="10"/>
      <c r="AF5451" s="10"/>
      <c r="AG5451" s="10"/>
      <c r="AH5451" s="10"/>
      <c r="AI5451" s="10"/>
      <c r="AJ5451" s="10"/>
      <c r="AK5451" s="10"/>
      <c r="AL5451" s="10"/>
      <c r="AM5451" s="10"/>
      <c r="AN5451" s="10"/>
      <c r="AO5451" s="10"/>
      <c r="AP5451" s="10"/>
      <c r="AQ5451" s="10"/>
      <c r="AR5451" s="10"/>
      <c r="AS5451" s="10"/>
      <c r="AT5451" s="10"/>
      <c r="AU5451" s="10"/>
      <c r="AV5451" s="10"/>
      <c r="AW5451" s="10"/>
      <c r="AX5451" s="10"/>
      <c r="AY5451" s="10"/>
      <c r="AZ5451" s="10"/>
    </row>
    <row r="5452" spans="31:52">
      <c r="AE5452" s="10"/>
      <c r="AF5452" s="10"/>
      <c r="AG5452" s="10"/>
      <c r="AH5452" s="10"/>
      <c r="AI5452" s="10"/>
      <c r="AJ5452" s="10"/>
      <c r="AK5452" s="10"/>
      <c r="AL5452" s="10"/>
      <c r="AM5452" s="10"/>
      <c r="AN5452" s="10"/>
      <c r="AO5452" s="10"/>
      <c r="AP5452" s="10"/>
      <c r="AQ5452" s="10"/>
      <c r="AR5452" s="10"/>
      <c r="AS5452" s="10"/>
      <c r="AT5452" s="10"/>
      <c r="AU5452" s="10"/>
      <c r="AV5452" s="10"/>
      <c r="AW5452" s="10"/>
      <c r="AX5452" s="10"/>
      <c r="AY5452" s="10"/>
      <c r="AZ5452" s="10"/>
    </row>
    <row r="5453" spans="31:52">
      <c r="AE5453" s="10"/>
      <c r="AF5453" s="10"/>
      <c r="AG5453" s="10"/>
      <c r="AH5453" s="10"/>
      <c r="AI5453" s="10"/>
      <c r="AJ5453" s="10"/>
      <c r="AK5453" s="10"/>
      <c r="AL5453" s="10"/>
      <c r="AM5453" s="10"/>
      <c r="AN5453" s="10"/>
      <c r="AO5453" s="10"/>
      <c r="AP5453" s="10"/>
      <c r="AQ5453" s="10"/>
      <c r="AR5453" s="10"/>
      <c r="AS5453" s="10"/>
      <c r="AT5453" s="10"/>
      <c r="AU5453" s="10"/>
      <c r="AV5453" s="10"/>
      <c r="AW5453" s="10"/>
      <c r="AX5453" s="10"/>
      <c r="AY5453" s="10"/>
      <c r="AZ5453" s="10"/>
    </row>
    <row r="5454" spans="31:52">
      <c r="AE5454" s="10"/>
      <c r="AF5454" s="10"/>
      <c r="AG5454" s="10"/>
      <c r="AH5454" s="10"/>
      <c r="AI5454" s="10"/>
      <c r="AJ5454" s="10"/>
      <c r="AK5454" s="10"/>
      <c r="AL5454" s="10"/>
      <c r="AM5454" s="10"/>
      <c r="AN5454" s="10"/>
      <c r="AO5454" s="10"/>
      <c r="AP5454" s="10"/>
      <c r="AQ5454" s="10"/>
      <c r="AR5454" s="10"/>
      <c r="AS5454" s="10"/>
      <c r="AT5454" s="10"/>
      <c r="AU5454" s="10"/>
      <c r="AV5454" s="10"/>
      <c r="AW5454" s="10"/>
      <c r="AX5454" s="10"/>
      <c r="AY5454" s="10"/>
      <c r="AZ5454" s="10"/>
    </row>
    <row r="5455" spans="31:52">
      <c r="AE5455" s="10"/>
      <c r="AF5455" s="10"/>
      <c r="AG5455" s="10"/>
      <c r="AH5455" s="10"/>
      <c r="AI5455" s="10"/>
      <c r="AJ5455" s="10"/>
      <c r="AK5455" s="10"/>
      <c r="AL5455" s="10"/>
      <c r="AM5455" s="10"/>
      <c r="AN5455" s="10"/>
      <c r="AO5455" s="10"/>
      <c r="AP5455" s="10"/>
      <c r="AQ5455" s="10"/>
      <c r="AR5455" s="10"/>
      <c r="AS5455" s="10"/>
      <c r="AT5455" s="10"/>
      <c r="AU5455" s="10"/>
      <c r="AV5455" s="10"/>
      <c r="AW5455" s="10"/>
      <c r="AX5455" s="10"/>
      <c r="AY5455" s="10"/>
      <c r="AZ5455" s="10"/>
    </row>
    <row r="5456" spans="31:52">
      <c r="AE5456" s="10"/>
      <c r="AF5456" s="10"/>
      <c r="AG5456" s="10"/>
      <c r="AH5456" s="10"/>
      <c r="AI5456" s="10"/>
      <c r="AJ5456" s="10"/>
      <c r="AK5456" s="10"/>
      <c r="AL5456" s="10"/>
      <c r="AM5456" s="10"/>
      <c r="AN5456" s="10"/>
      <c r="AO5456" s="10"/>
      <c r="AP5456" s="10"/>
      <c r="AQ5456" s="10"/>
      <c r="AR5456" s="10"/>
      <c r="AS5456" s="10"/>
      <c r="AT5456" s="10"/>
      <c r="AU5456" s="10"/>
      <c r="AV5456" s="10"/>
      <c r="AW5456" s="10"/>
      <c r="AX5456" s="10"/>
      <c r="AY5456" s="10"/>
      <c r="AZ5456" s="10"/>
    </row>
    <row r="5457" spans="31:52">
      <c r="AE5457" s="10"/>
      <c r="AF5457" s="10"/>
      <c r="AG5457" s="10"/>
      <c r="AH5457" s="10"/>
      <c r="AI5457" s="10"/>
      <c r="AJ5457" s="10"/>
      <c r="AK5457" s="10"/>
      <c r="AL5457" s="10"/>
      <c r="AM5457" s="10"/>
      <c r="AN5457" s="10"/>
      <c r="AO5457" s="10"/>
      <c r="AP5457" s="10"/>
      <c r="AQ5457" s="10"/>
      <c r="AR5457" s="10"/>
      <c r="AS5457" s="10"/>
      <c r="AT5457" s="10"/>
      <c r="AU5457" s="10"/>
      <c r="AV5457" s="10"/>
      <c r="AW5457" s="10"/>
      <c r="AX5457" s="10"/>
      <c r="AY5457" s="10"/>
      <c r="AZ5457" s="10"/>
    </row>
    <row r="5458" spans="31:52">
      <c r="AE5458" s="10"/>
      <c r="AF5458" s="10"/>
      <c r="AG5458" s="10"/>
      <c r="AH5458" s="10"/>
      <c r="AI5458" s="10"/>
      <c r="AJ5458" s="10"/>
      <c r="AK5458" s="10"/>
      <c r="AL5458" s="10"/>
      <c r="AM5458" s="10"/>
      <c r="AN5458" s="10"/>
      <c r="AO5458" s="10"/>
      <c r="AP5458" s="10"/>
      <c r="AQ5458" s="10"/>
      <c r="AR5458" s="10"/>
      <c r="AS5458" s="10"/>
      <c r="AT5458" s="10"/>
      <c r="AU5458" s="10"/>
      <c r="AV5458" s="10"/>
      <c r="AW5458" s="10"/>
      <c r="AX5458" s="10"/>
      <c r="AY5458" s="10"/>
      <c r="AZ5458" s="10"/>
    </row>
    <row r="5459" spans="31:52">
      <c r="AE5459" s="10"/>
      <c r="AF5459" s="10"/>
      <c r="AG5459" s="10"/>
      <c r="AH5459" s="10"/>
      <c r="AI5459" s="10"/>
      <c r="AJ5459" s="10"/>
      <c r="AK5459" s="10"/>
      <c r="AL5459" s="10"/>
      <c r="AM5459" s="10"/>
      <c r="AN5459" s="10"/>
      <c r="AO5459" s="10"/>
      <c r="AP5459" s="10"/>
      <c r="AQ5459" s="10"/>
      <c r="AR5459" s="10"/>
      <c r="AS5459" s="10"/>
      <c r="AT5459" s="10"/>
      <c r="AU5459" s="10"/>
      <c r="AV5459" s="10"/>
      <c r="AW5459" s="10"/>
      <c r="AX5459" s="10"/>
      <c r="AY5459" s="10"/>
      <c r="AZ5459" s="10"/>
    </row>
    <row r="5460" spans="31:52">
      <c r="AE5460" s="10"/>
      <c r="AF5460" s="10"/>
      <c r="AG5460" s="10"/>
      <c r="AH5460" s="10"/>
      <c r="AI5460" s="10"/>
      <c r="AJ5460" s="10"/>
      <c r="AK5460" s="10"/>
      <c r="AL5460" s="10"/>
      <c r="AM5460" s="10"/>
      <c r="AN5460" s="10"/>
      <c r="AO5460" s="10"/>
      <c r="AP5460" s="10"/>
      <c r="AQ5460" s="10"/>
      <c r="AR5460" s="10"/>
      <c r="AS5460" s="10"/>
      <c r="AT5460" s="10"/>
      <c r="AU5460" s="10"/>
      <c r="AV5460" s="10"/>
      <c r="AW5460" s="10"/>
      <c r="AX5460" s="10"/>
      <c r="AY5460" s="10"/>
      <c r="AZ5460" s="10"/>
    </row>
    <row r="5461" spans="31:52">
      <c r="AE5461" s="10"/>
      <c r="AF5461" s="10"/>
      <c r="AG5461" s="10"/>
      <c r="AH5461" s="10"/>
      <c r="AI5461" s="10"/>
      <c r="AJ5461" s="10"/>
      <c r="AK5461" s="10"/>
      <c r="AL5461" s="10"/>
      <c r="AM5461" s="10"/>
      <c r="AN5461" s="10"/>
      <c r="AO5461" s="10"/>
      <c r="AP5461" s="10"/>
      <c r="AQ5461" s="10"/>
      <c r="AR5461" s="10"/>
      <c r="AS5461" s="10"/>
      <c r="AT5461" s="10"/>
      <c r="AU5461" s="10"/>
      <c r="AV5461" s="10"/>
      <c r="AW5461" s="10"/>
      <c r="AX5461" s="10"/>
      <c r="AY5461" s="10"/>
      <c r="AZ5461" s="10"/>
    </row>
    <row r="5462" spans="31:52">
      <c r="AE5462" s="10"/>
      <c r="AF5462" s="10"/>
      <c r="AG5462" s="10"/>
      <c r="AH5462" s="10"/>
      <c r="AI5462" s="10"/>
      <c r="AJ5462" s="10"/>
      <c r="AK5462" s="10"/>
      <c r="AL5462" s="10"/>
      <c r="AM5462" s="10"/>
      <c r="AN5462" s="10"/>
      <c r="AO5462" s="10"/>
      <c r="AP5462" s="10"/>
      <c r="AQ5462" s="10"/>
      <c r="AR5462" s="10"/>
      <c r="AS5462" s="10"/>
      <c r="AT5462" s="10"/>
      <c r="AU5462" s="10"/>
      <c r="AV5462" s="10"/>
      <c r="AW5462" s="10"/>
      <c r="AX5462" s="10"/>
      <c r="AY5462" s="10"/>
      <c r="AZ5462" s="10"/>
    </row>
    <row r="5463" spans="31:52">
      <c r="AE5463" s="10"/>
      <c r="AF5463" s="10"/>
      <c r="AG5463" s="10"/>
      <c r="AH5463" s="10"/>
      <c r="AI5463" s="10"/>
      <c r="AJ5463" s="10"/>
      <c r="AK5463" s="10"/>
      <c r="AL5463" s="10"/>
      <c r="AM5463" s="10"/>
      <c r="AN5463" s="10"/>
      <c r="AO5463" s="10"/>
      <c r="AP5463" s="10"/>
      <c r="AQ5463" s="10"/>
      <c r="AR5463" s="10"/>
      <c r="AS5463" s="10"/>
      <c r="AT5463" s="10"/>
      <c r="AU5463" s="10"/>
      <c r="AV5463" s="10"/>
      <c r="AW5463" s="10"/>
      <c r="AX5463" s="10"/>
      <c r="AY5463" s="10"/>
      <c r="AZ5463" s="10"/>
    </row>
    <row r="5464" spans="31:52">
      <c r="AE5464" s="10"/>
      <c r="AF5464" s="10"/>
      <c r="AG5464" s="10"/>
      <c r="AH5464" s="10"/>
      <c r="AI5464" s="10"/>
      <c r="AJ5464" s="10"/>
      <c r="AK5464" s="10"/>
      <c r="AL5464" s="10"/>
      <c r="AM5464" s="10"/>
      <c r="AN5464" s="10"/>
      <c r="AO5464" s="10"/>
      <c r="AP5464" s="10"/>
      <c r="AQ5464" s="10"/>
      <c r="AR5464" s="10"/>
      <c r="AS5464" s="10"/>
      <c r="AT5464" s="10"/>
      <c r="AU5464" s="10"/>
      <c r="AV5464" s="10"/>
      <c r="AW5464" s="10"/>
      <c r="AX5464" s="10"/>
      <c r="AY5464" s="10"/>
      <c r="AZ5464" s="10"/>
    </row>
    <row r="5465" spans="31:52">
      <c r="AE5465" s="10"/>
      <c r="AF5465" s="10"/>
      <c r="AG5465" s="10"/>
      <c r="AH5465" s="10"/>
      <c r="AI5465" s="10"/>
      <c r="AJ5465" s="10"/>
      <c r="AK5465" s="10"/>
      <c r="AL5465" s="10"/>
      <c r="AM5465" s="10"/>
      <c r="AN5465" s="10"/>
      <c r="AO5465" s="10"/>
      <c r="AP5465" s="10"/>
      <c r="AQ5465" s="10"/>
      <c r="AR5465" s="10"/>
      <c r="AS5465" s="10"/>
      <c r="AT5465" s="10"/>
      <c r="AU5465" s="10"/>
      <c r="AV5465" s="10"/>
      <c r="AW5465" s="10"/>
      <c r="AX5465" s="10"/>
      <c r="AY5465" s="10"/>
      <c r="AZ5465" s="10"/>
    </row>
    <row r="5466" spans="31:52">
      <c r="AE5466" s="10"/>
      <c r="AF5466" s="10"/>
      <c r="AG5466" s="10"/>
      <c r="AH5466" s="10"/>
      <c r="AI5466" s="10"/>
      <c r="AJ5466" s="10"/>
      <c r="AK5466" s="10"/>
      <c r="AL5466" s="10"/>
      <c r="AM5466" s="10"/>
      <c r="AN5466" s="10"/>
      <c r="AO5466" s="10"/>
      <c r="AP5466" s="10"/>
      <c r="AQ5466" s="10"/>
      <c r="AR5466" s="10"/>
      <c r="AS5466" s="10"/>
      <c r="AT5466" s="10"/>
      <c r="AU5466" s="10"/>
      <c r="AV5466" s="10"/>
      <c r="AW5466" s="10"/>
      <c r="AX5466" s="10"/>
      <c r="AY5466" s="10"/>
      <c r="AZ5466" s="10"/>
    </row>
    <row r="5467" spans="31:52">
      <c r="AE5467" s="10"/>
      <c r="AF5467" s="10"/>
      <c r="AG5467" s="10"/>
      <c r="AH5467" s="10"/>
      <c r="AI5467" s="10"/>
      <c r="AJ5467" s="10"/>
      <c r="AK5467" s="10"/>
      <c r="AL5467" s="10"/>
      <c r="AM5467" s="10"/>
      <c r="AN5467" s="10"/>
      <c r="AO5467" s="10"/>
      <c r="AP5467" s="10"/>
      <c r="AQ5467" s="10"/>
      <c r="AR5467" s="10"/>
      <c r="AS5467" s="10"/>
      <c r="AT5467" s="10"/>
      <c r="AU5467" s="10"/>
      <c r="AV5467" s="10"/>
      <c r="AW5467" s="10"/>
      <c r="AX5467" s="10"/>
      <c r="AY5467" s="10"/>
      <c r="AZ5467" s="10"/>
    </row>
    <row r="5468" spans="31:52">
      <c r="AE5468" s="10"/>
      <c r="AF5468" s="10"/>
      <c r="AG5468" s="10"/>
      <c r="AH5468" s="10"/>
      <c r="AI5468" s="10"/>
      <c r="AJ5468" s="10"/>
      <c r="AK5468" s="10"/>
      <c r="AL5468" s="10"/>
      <c r="AM5468" s="10"/>
      <c r="AN5468" s="10"/>
      <c r="AO5468" s="10"/>
      <c r="AP5468" s="10"/>
      <c r="AQ5468" s="10"/>
      <c r="AR5468" s="10"/>
      <c r="AS5468" s="10"/>
      <c r="AT5468" s="10"/>
      <c r="AU5468" s="10"/>
      <c r="AV5468" s="10"/>
      <c r="AW5468" s="10"/>
      <c r="AX5468" s="10"/>
      <c r="AY5468" s="10"/>
      <c r="AZ5468" s="10"/>
    </row>
    <row r="5469" spans="31:52">
      <c r="AE5469" s="10"/>
      <c r="AF5469" s="10"/>
      <c r="AG5469" s="10"/>
      <c r="AH5469" s="10"/>
      <c r="AI5469" s="10"/>
      <c r="AJ5469" s="10"/>
      <c r="AK5469" s="10"/>
      <c r="AL5469" s="10"/>
      <c r="AM5469" s="10"/>
      <c r="AN5469" s="10"/>
      <c r="AO5469" s="10"/>
      <c r="AP5469" s="10"/>
      <c r="AQ5469" s="10"/>
      <c r="AR5469" s="10"/>
      <c r="AS5469" s="10"/>
      <c r="AT5469" s="10"/>
      <c r="AU5469" s="10"/>
      <c r="AV5469" s="10"/>
      <c r="AW5469" s="10"/>
      <c r="AX5469" s="10"/>
      <c r="AY5469" s="10"/>
      <c r="AZ5469" s="10"/>
    </row>
    <row r="5470" spans="31:52">
      <c r="AE5470" s="10"/>
      <c r="AF5470" s="10"/>
      <c r="AG5470" s="10"/>
      <c r="AH5470" s="10"/>
      <c r="AI5470" s="10"/>
      <c r="AJ5470" s="10"/>
      <c r="AK5470" s="10"/>
      <c r="AL5470" s="10"/>
      <c r="AM5470" s="10"/>
      <c r="AN5470" s="10"/>
      <c r="AO5470" s="10"/>
      <c r="AP5470" s="10"/>
      <c r="AQ5470" s="10"/>
      <c r="AR5470" s="10"/>
      <c r="AS5470" s="10"/>
      <c r="AT5470" s="10"/>
      <c r="AU5470" s="10"/>
      <c r="AV5470" s="10"/>
      <c r="AW5470" s="10"/>
      <c r="AX5470" s="10"/>
      <c r="AY5470" s="10"/>
      <c r="AZ5470" s="10"/>
    </row>
    <row r="5471" spans="31:52">
      <c r="AE5471" s="10"/>
      <c r="AF5471" s="10"/>
      <c r="AG5471" s="10"/>
      <c r="AH5471" s="10"/>
      <c r="AI5471" s="10"/>
      <c r="AJ5471" s="10"/>
      <c r="AK5471" s="10"/>
      <c r="AL5471" s="10"/>
      <c r="AM5471" s="10"/>
      <c r="AN5471" s="10"/>
      <c r="AO5471" s="10"/>
      <c r="AP5471" s="10"/>
      <c r="AQ5471" s="10"/>
      <c r="AR5471" s="10"/>
      <c r="AS5471" s="10"/>
      <c r="AT5471" s="10"/>
      <c r="AU5471" s="10"/>
      <c r="AV5471" s="10"/>
      <c r="AW5471" s="10"/>
      <c r="AX5471" s="10"/>
      <c r="AY5471" s="10"/>
      <c r="AZ5471" s="10"/>
    </row>
    <row r="5472" spans="31:52">
      <c r="AE5472" s="10"/>
      <c r="AF5472" s="10"/>
      <c r="AG5472" s="10"/>
      <c r="AH5472" s="10"/>
      <c r="AI5472" s="10"/>
      <c r="AJ5472" s="10"/>
      <c r="AK5472" s="10"/>
      <c r="AL5472" s="10"/>
      <c r="AM5472" s="10"/>
      <c r="AN5472" s="10"/>
      <c r="AO5472" s="10"/>
      <c r="AP5472" s="10"/>
      <c r="AQ5472" s="10"/>
      <c r="AR5472" s="10"/>
      <c r="AS5472" s="10"/>
      <c r="AT5472" s="10"/>
      <c r="AU5472" s="10"/>
      <c r="AV5472" s="10"/>
      <c r="AW5472" s="10"/>
      <c r="AX5472" s="10"/>
      <c r="AY5472" s="10"/>
      <c r="AZ5472" s="10"/>
    </row>
    <row r="5473" spans="31:52">
      <c r="AE5473" s="10"/>
      <c r="AF5473" s="10"/>
      <c r="AG5473" s="10"/>
      <c r="AH5473" s="10"/>
      <c r="AI5473" s="10"/>
      <c r="AJ5473" s="10"/>
      <c r="AK5473" s="10"/>
      <c r="AL5473" s="10"/>
      <c r="AM5473" s="10"/>
      <c r="AN5473" s="10"/>
      <c r="AO5473" s="10"/>
      <c r="AP5473" s="10"/>
      <c r="AQ5473" s="10"/>
      <c r="AR5473" s="10"/>
      <c r="AS5473" s="10"/>
      <c r="AT5473" s="10"/>
      <c r="AU5473" s="10"/>
      <c r="AV5473" s="10"/>
      <c r="AW5473" s="10"/>
      <c r="AX5473" s="10"/>
      <c r="AY5473" s="10"/>
      <c r="AZ5473" s="10"/>
    </row>
    <row r="5474" spans="31:52">
      <c r="AE5474" s="10"/>
      <c r="AF5474" s="10"/>
      <c r="AG5474" s="10"/>
      <c r="AH5474" s="10"/>
      <c r="AI5474" s="10"/>
      <c r="AJ5474" s="10"/>
      <c r="AK5474" s="10"/>
      <c r="AL5474" s="10"/>
      <c r="AM5474" s="10"/>
      <c r="AN5474" s="10"/>
      <c r="AO5474" s="10"/>
      <c r="AP5474" s="10"/>
      <c r="AQ5474" s="10"/>
      <c r="AR5474" s="10"/>
      <c r="AS5474" s="10"/>
      <c r="AT5474" s="10"/>
      <c r="AU5474" s="10"/>
      <c r="AV5474" s="10"/>
      <c r="AW5474" s="10"/>
      <c r="AX5474" s="10"/>
      <c r="AY5474" s="10"/>
      <c r="AZ5474" s="10"/>
    </row>
    <row r="5475" spans="31:52">
      <c r="AE5475" s="10"/>
      <c r="AF5475" s="10"/>
      <c r="AG5475" s="10"/>
      <c r="AH5475" s="10"/>
      <c r="AI5475" s="10"/>
      <c r="AJ5475" s="10"/>
      <c r="AK5475" s="10"/>
      <c r="AL5475" s="10"/>
      <c r="AM5475" s="10"/>
      <c r="AN5475" s="10"/>
      <c r="AO5475" s="10"/>
      <c r="AP5475" s="10"/>
      <c r="AQ5475" s="10"/>
      <c r="AR5475" s="10"/>
      <c r="AS5475" s="10"/>
      <c r="AT5475" s="10"/>
      <c r="AU5475" s="10"/>
      <c r="AV5475" s="10"/>
      <c r="AW5475" s="10"/>
      <c r="AX5475" s="10"/>
      <c r="AY5475" s="10"/>
      <c r="AZ5475" s="10"/>
    </row>
    <row r="5476" spans="31:52">
      <c r="AE5476" s="10"/>
      <c r="AF5476" s="10"/>
      <c r="AG5476" s="10"/>
      <c r="AH5476" s="10"/>
      <c r="AI5476" s="10"/>
      <c r="AJ5476" s="10"/>
      <c r="AK5476" s="10"/>
      <c r="AL5476" s="10"/>
      <c r="AM5476" s="10"/>
      <c r="AN5476" s="10"/>
      <c r="AO5476" s="10"/>
      <c r="AP5476" s="10"/>
      <c r="AQ5476" s="10"/>
      <c r="AR5476" s="10"/>
      <c r="AS5476" s="10"/>
      <c r="AT5476" s="10"/>
      <c r="AU5476" s="10"/>
      <c r="AV5476" s="10"/>
      <c r="AW5476" s="10"/>
      <c r="AX5476" s="10"/>
      <c r="AY5476" s="10"/>
      <c r="AZ5476" s="10"/>
    </row>
    <row r="5477" spans="31:52">
      <c r="AE5477" s="10"/>
      <c r="AF5477" s="10"/>
      <c r="AG5477" s="10"/>
      <c r="AH5477" s="10"/>
      <c r="AI5477" s="10"/>
      <c r="AJ5477" s="10"/>
      <c r="AK5477" s="10"/>
      <c r="AL5477" s="10"/>
      <c r="AM5477" s="10"/>
      <c r="AN5477" s="10"/>
      <c r="AO5477" s="10"/>
      <c r="AP5477" s="10"/>
      <c r="AQ5477" s="10"/>
      <c r="AR5477" s="10"/>
      <c r="AS5477" s="10"/>
      <c r="AT5477" s="10"/>
      <c r="AU5477" s="10"/>
      <c r="AV5477" s="10"/>
      <c r="AW5477" s="10"/>
      <c r="AX5477" s="10"/>
      <c r="AY5477" s="10"/>
      <c r="AZ5477" s="10"/>
    </row>
    <row r="5478" spans="31:52">
      <c r="AE5478" s="10"/>
      <c r="AF5478" s="10"/>
      <c r="AG5478" s="10"/>
      <c r="AH5478" s="10"/>
      <c r="AI5478" s="10"/>
      <c r="AJ5478" s="10"/>
      <c r="AK5478" s="10"/>
      <c r="AL5478" s="10"/>
      <c r="AM5478" s="10"/>
      <c r="AN5478" s="10"/>
      <c r="AO5478" s="10"/>
      <c r="AP5478" s="10"/>
      <c r="AQ5478" s="10"/>
      <c r="AR5478" s="10"/>
      <c r="AS5478" s="10"/>
      <c r="AT5478" s="10"/>
      <c r="AU5478" s="10"/>
      <c r="AV5478" s="10"/>
      <c r="AW5478" s="10"/>
      <c r="AX5478" s="10"/>
      <c r="AY5478" s="10"/>
      <c r="AZ5478" s="10"/>
    </row>
    <row r="5479" spans="31:52">
      <c r="AE5479" s="10"/>
      <c r="AF5479" s="10"/>
      <c r="AG5479" s="10"/>
      <c r="AH5479" s="10"/>
      <c r="AI5479" s="10"/>
      <c r="AJ5479" s="10"/>
      <c r="AK5479" s="10"/>
      <c r="AL5479" s="10"/>
      <c r="AM5479" s="10"/>
      <c r="AN5479" s="10"/>
      <c r="AO5479" s="10"/>
      <c r="AP5479" s="10"/>
      <c r="AQ5479" s="10"/>
      <c r="AR5479" s="10"/>
      <c r="AS5479" s="10"/>
      <c r="AT5479" s="10"/>
      <c r="AU5479" s="10"/>
      <c r="AV5479" s="10"/>
      <c r="AW5479" s="10"/>
      <c r="AX5479" s="10"/>
      <c r="AY5479" s="10"/>
      <c r="AZ5479" s="10"/>
    </row>
    <row r="5480" spans="31:52">
      <c r="AE5480" s="10"/>
      <c r="AF5480" s="10"/>
      <c r="AG5480" s="10"/>
      <c r="AH5480" s="10"/>
      <c r="AI5480" s="10"/>
      <c r="AJ5480" s="10"/>
      <c r="AK5480" s="10"/>
      <c r="AL5480" s="10"/>
      <c r="AM5480" s="10"/>
      <c r="AN5480" s="10"/>
      <c r="AO5480" s="10"/>
      <c r="AP5480" s="10"/>
      <c r="AQ5480" s="10"/>
      <c r="AR5480" s="10"/>
      <c r="AS5480" s="10"/>
      <c r="AT5480" s="10"/>
      <c r="AU5480" s="10"/>
      <c r="AV5480" s="10"/>
      <c r="AW5480" s="10"/>
      <c r="AX5480" s="10"/>
      <c r="AY5480" s="10"/>
      <c r="AZ5480" s="10"/>
    </row>
    <row r="5481" spans="31:52">
      <c r="AE5481" s="10"/>
      <c r="AF5481" s="10"/>
      <c r="AG5481" s="10"/>
      <c r="AH5481" s="10"/>
      <c r="AI5481" s="10"/>
      <c r="AJ5481" s="10"/>
      <c r="AK5481" s="10"/>
      <c r="AL5481" s="10"/>
      <c r="AM5481" s="10"/>
      <c r="AN5481" s="10"/>
      <c r="AO5481" s="10"/>
      <c r="AP5481" s="10"/>
      <c r="AQ5481" s="10"/>
      <c r="AR5481" s="10"/>
      <c r="AS5481" s="10"/>
      <c r="AT5481" s="10"/>
      <c r="AU5481" s="10"/>
      <c r="AV5481" s="10"/>
      <c r="AW5481" s="10"/>
      <c r="AX5481" s="10"/>
      <c r="AY5481" s="10"/>
      <c r="AZ5481" s="10"/>
    </row>
    <row r="5482" spans="31:52">
      <c r="AE5482" s="10"/>
      <c r="AF5482" s="10"/>
      <c r="AG5482" s="10"/>
      <c r="AH5482" s="10"/>
      <c r="AI5482" s="10"/>
      <c r="AJ5482" s="10"/>
      <c r="AK5482" s="10"/>
      <c r="AL5482" s="10"/>
      <c r="AM5482" s="10"/>
      <c r="AN5482" s="10"/>
      <c r="AO5482" s="10"/>
      <c r="AP5482" s="10"/>
      <c r="AQ5482" s="10"/>
      <c r="AR5482" s="10"/>
      <c r="AS5482" s="10"/>
      <c r="AT5482" s="10"/>
      <c r="AU5482" s="10"/>
      <c r="AV5482" s="10"/>
      <c r="AW5482" s="10"/>
      <c r="AX5482" s="10"/>
      <c r="AY5482" s="10"/>
      <c r="AZ5482" s="10"/>
    </row>
    <row r="5483" spans="31:52">
      <c r="AE5483" s="10"/>
      <c r="AF5483" s="10"/>
      <c r="AG5483" s="10"/>
      <c r="AH5483" s="10"/>
      <c r="AI5483" s="10"/>
      <c r="AJ5483" s="10"/>
      <c r="AK5483" s="10"/>
      <c r="AL5483" s="10"/>
      <c r="AM5483" s="10"/>
      <c r="AN5483" s="10"/>
      <c r="AO5483" s="10"/>
      <c r="AP5483" s="10"/>
      <c r="AQ5483" s="10"/>
      <c r="AR5483" s="10"/>
      <c r="AS5483" s="10"/>
      <c r="AT5483" s="10"/>
      <c r="AU5483" s="10"/>
      <c r="AV5483" s="10"/>
      <c r="AW5483" s="10"/>
      <c r="AX5483" s="10"/>
      <c r="AY5483" s="10"/>
      <c r="AZ5483" s="10"/>
    </row>
    <row r="5484" spans="31:52">
      <c r="AE5484" s="10"/>
      <c r="AF5484" s="10"/>
      <c r="AG5484" s="10"/>
      <c r="AH5484" s="10"/>
      <c r="AI5484" s="10"/>
      <c r="AJ5484" s="10"/>
      <c r="AK5484" s="10"/>
      <c r="AL5484" s="10"/>
      <c r="AM5484" s="10"/>
      <c r="AN5484" s="10"/>
      <c r="AO5484" s="10"/>
      <c r="AP5484" s="10"/>
      <c r="AQ5484" s="10"/>
      <c r="AR5484" s="10"/>
      <c r="AS5484" s="10"/>
      <c r="AT5484" s="10"/>
      <c r="AU5484" s="10"/>
      <c r="AV5484" s="10"/>
      <c r="AW5484" s="10"/>
      <c r="AX5484" s="10"/>
      <c r="AY5484" s="10"/>
      <c r="AZ5484" s="10"/>
    </row>
    <row r="5485" spans="31:52">
      <c r="AE5485" s="10"/>
      <c r="AF5485" s="10"/>
      <c r="AG5485" s="10"/>
      <c r="AH5485" s="10"/>
      <c r="AI5485" s="10"/>
      <c r="AJ5485" s="10"/>
      <c r="AK5485" s="10"/>
      <c r="AL5485" s="10"/>
      <c r="AM5485" s="10"/>
      <c r="AN5485" s="10"/>
      <c r="AO5485" s="10"/>
      <c r="AP5485" s="10"/>
      <c r="AQ5485" s="10"/>
      <c r="AR5485" s="10"/>
      <c r="AS5485" s="10"/>
      <c r="AT5485" s="10"/>
      <c r="AU5485" s="10"/>
      <c r="AV5485" s="10"/>
      <c r="AW5485" s="10"/>
      <c r="AX5485" s="10"/>
      <c r="AY5485" s="10"/>
      <c r="AZ5485" s="10"/>
    </row>
    <row r="5486" spans="31:52">
      <c r="AE5486" s="10"/>
      <c r="AF5486" s="10"/>
      <c r="AG5486" s="10"/>
      <c r="AH5486" s="10"/>
      <c r="AI5486" s="10"/>
      <c r="AJ5486" s="10"/>
      <c r="AK5486" s="10"/>
      <c r="AL5486" s="10"/>
      <c r="AM5486" s="10"/>
      <c r="AN5486" s="10"/>
      <c r="AO5486" s="10"/>
      <c r="AP5486" s="10"/>
      <c r="AQ5486" s="10"/>
      <c r="AR5486" s="10"/>
      <c r="AS5486" s="10"/>
      <c r="AT5486" s="10"/>
      <c r="AU5486" s="10"/>
      <c r="AV5486" s="10"/>
      <c r="AW5486" s="10"/>
      <c r="AX5486" s="10"/>
      <c r="AY5486" s="10"/>
      <c r="AZ5486" s="10"/>
    </row>
    <row r="5487" spans="31:52">
      <c r="AE5487" s="10"/>
      <c r="AF5487" s="10"/>
      <c r="AG5487" s="10"/>
      <c r="AH5487" s="10"/>
      <c r="AI5487" s="10"/>
      <c r="AJ5487" s="10"/>
      <c r="AK5487" s="10"/>
      <c r="AL5487" s="10"/>
      <c r="AM5487" s="10"/>
      <c r="AN5487" s="10"/>
      <c r="AO5487" s="10"/>
      <c r="AP5487" s="10"/>
      <c r="AQ5487" s="10"/>
      <c r="AR5487" s="10"/>
      <c r="AS5487" s="10"/>
      <c r="AT5487" s="10"/>
      <c r="AU5487" s="10"/>
      <c r="AV5487" s="10"/>
      <c r="AW5487" s="10"/>
      <c r="AX5487" s="10"/>
      <c r="AY5487" s="10"/>
      <c r="AZ5487" s="10"/>
    </row>
    <row r="5488" spans="31:52">
      <c r="AE5488" s="10"/>
      <c r="AF5488" s="10"/>
      <c r="AG5488" s="10"/>
      <c r="AH5488" s="10"/>
      <c r="AI5488" s="10"/>
      <c r="AJ5488" s="10"/>
      <c r="AK5488" s="10"/>
      <c r="AL5488" s="10"/>
      <c r="AM5488" s="10"/>
      <c r="AN5488" s="10"/>
      <c r="AO5488" s="10"/>
      <c r="AP5488" s="10"/>
      <c r="AQ5488" s="10"/>
      <c r="AR5488" s="10"/>
      <c r="AS5488" s="10"/>
      <c r="AT5488" s="10"/>
      <c r="AU5488" s="10"/>
      <c r="AV5488" s="10"/>
      <c r="AW5488" s="10"/>
      <c r="AX5488" s="10"/>
      <c r="AY5488" s="10"/>
      <c r="AZ5488" s="10"/>
    </row>
    <row r="5489" spans="31:52">
      <c r="AE5489" s="10"/>
      <c r="AF5489" s="10"/>
      <c r="AG5489" s="10"/>
      <c r="AH5489" s="10"/>
      <c r="AI5489" s="10"/>
      <c r="AJ5489" s="10"/>
      <c r="AK5489" s="10"/>
      <c r="AL5489" s="10"/>
      <c r="AM5489" s="10"/>
      <c r="AN5489" s="10"/>
      <c r="AO5489" s="10"/>
      <c r="AP5489" s="10"/>
      <c r="AQ5489" s="10"/>
      <c r="AR5489" s="10"/>
      <c r="AS5489" s="10"/>
      <c r="AT5489" s="10"/>
      <c r="AU5489" s="10"/>
      <c r="AV5489" s="10"/>
      <c r="AW5489" s="10"/>
      <c r="AX5489" s="10"/>
      <c r="AY5489" s="10"/>
      <c r="AZ5489" s="10"/>
    </row>
    <row r="5490" spans="31:52">
      <c r="AE5490" s="10"/>
      <c r="AF5490" s="10"/>
      <c r="AG5490" s="10"/>
      <c r="AH5490" s="10"/>
      <c r="AI5490" s="10"/>
      <c r="AJ5490" s="10"/>
      <c r="AK5490" s="10"/>
      <c r="AL5490" s="10"/>
      <c r="AM5490" s="10"/>
      <c r="AN5490" s="10"/>
      <c r="AO5490" s="10"/>
      <c r="AP5490" s="10"/>
      <c r="AQ5490" s="10"/>
      <c r="AR5490" s="10"/>
      <c r="AS5490" s="10"/>
      <c r="AT5490" s="10"/>
      <c r="AU5490" s="10"/>
      <c r="AV5490" s="10"/>
      <c r="AW5490" s="10"/>
      <c r="AX5490" s="10"/>
      <c r="AY5490" s="10"/>
      <c r="AZ5490" s="10"/>
    </row>
    <row r="5491" spans="31:52">
      <c r="AE5491" s="10"/>
      <c r="AF5491" s="10"/>
      <c r="AG5491" s="10"/>
      <c r="AH5491" s="10"/>
      <c r="AI5491" s="10"/>
      <c r="AJ5491" s="10"/>
      <c r="AK5491" s="10"/>
      <c r="AL5491" s="10"/>
      <c r="AM5491" s="10"/>
      <c r="AN5491" s="10"/>
      <c r="AO5491" s="10"/>
      <c r="AP5491" s="10"/>
      <c r="AQ5491" s="10"/>
      <c r="AR5491" s="10"/>
      <c r="AS5491" s="10"/>
      <c r="AT5491" s="10"/>
      <c r="AU5491" s="10"/>
      <c r="AV5491" s="10"/>
      <c r="AW5491" s="10"/>
      <c r="AX5491" s="10"/>
      <c r="AY5491" s="10"/>
      <c r="AZ5491" s="10"/>
    </row>
    <row r="5492" spans="31:52">
      <c r="AE5492" s="10"/>
      <c r="AF5492" s="10"/>
      <c r="AG5492" s="10"/>
      <c r="AH5492" s="10"/>
      <c r="AI5492" s="10"/>
      <c r="AJ5492" s="10"/>
      <c r="AK5492" s="10"/>
      <c r="AL5492" s="10"/>
      <c r="AM5492" s="10"/>
      <c r="AN5492" s="10"/>
      <c r="AO5492" s="10"/>
      <c r="AP5492" s="10"/>
      <c r="AQ5492" s="10"/>
      <c r="AR5492" s="10"/>
      <c r="AS5492" s="10"/>
      <c r="AT5492" s="10"/>
      <c r="AU5492" s="10"/>
      <c r="AV5492" s="10"/>
      <c r="AW5492" s="10"/>
      <c r="AX5492" s="10"/>
      <c r="AY5492" s="10"/>
      <c r="AZ5492" s="10"/>
    </row>
    <row r="5493" spans="31:52">
      <c r="AE5493" s="10"/>
      <c r="AF5493" s="10"/>
      <c r="AG5493" s="10"/>
      <c r="AH5493" s="10"/>
      <c r="AI5493" s="10"/>
      <c r="AJ5493" s="10"/>
      <c r="AK5493" s="10"/>
      <c r="AL5493" s="10"/>
      <c r="AM5493" s="10"/>
      <c r="AN5493" s="10"/>
      <c r="AO5493" s="10"/>
      <c r="AP5493" s="10"/>
      <c r="AQ5493" s="10"/>
      <c r="AR5493" s="10"/>
      <c r="AS5493" s="10"/>
      <c r="AT5493" s="10"/>
      <c r="AU5493" s="10"/>
      <c r="AV5493" s="10"/>
      <c r="AW5493" s="10"/>
      <c r="AX5493" s="10"/>
      <c r="AY5493" s="10"/>
      <c r="AZ5493" s="10"/>
    </row>
    <row r="5494" spans="31:52">
      <c r="AE5494" s="10"/>
      <c r="AF5494" s="10"/>
      <c r="AG5494" s="10"/>
      <c r="AH5494" s="10"/>
      <c r="AI5494" s="10"/>
      <c r="AJ5494" s="10"/>
      <c r="AK5494" s="10"/>
      <c r="AL5494" s="10"/>
      <c r="AM5494" s="10"/>
      <c r="AN5494" s="10"/>
      <c r="AO5494" s="10"/>
      <c r="AP5494" s="10"/>
      <c r="AQ5494" s="10"/>
      <c r="AR5494" s="10"/>
      <c r="AS5494" s="10"/>
      <c r="AT5494" s="10"/>
      <c r="AU5494" s="10"/>
      <c r="AV5494" s="10"/>
      <c r="AW5494" s="10"/>
      <c r="AX5494" s="10"/>
      <c r="AY5494" s="10"/>
      <c r="AZ5494" s="10"/>
    </row>
    <row r="5495" spans="31:52">
      <c r="AE5495" s="10"/>
      <c r="AF5495" s="10"/>
      <c r="AG5495" s="10"/>
      <c r="AH5495" s="10"/>
      <c r="AI5495" s="10"/>
      <c r="AJ5495" s="10"/>
      <c r="AK5495" s="10"/>
      <c r="AL5495" s="10"/>
      <c r="AM5495" s="10"/>
      <c r="AN5495" s="10"/>
      <c r="AO5495" s="10"/>
      <c r="AP5495" s="10"/>
      <c r="AQ5495" s="10"/>
      <c r="AR5495" s="10"/>
      <c r="AS5495" s="10"/>
      <c r="AT5495" s="10"/>
      <c r="AU5495" s="10"/>
      <c r="AV5495" s="10"/>
      <c r="AW5495" s="10"/>
      <c r="AX5495" s="10"/>
      <c r="AY5495" s="10"/>
      <c r="AZ5495" s="10"/>
    </row>
    <row r="5496" spans="31:52">
      <c r="AE5496" s="10"/>
      <c r="AF5496" s="10"/>
      <c r="AG5496" s="10"/>
      <c r="AH5496" s="10"/>
      <c r="AI5496" s="10"/>
      <c r="AJ5496" s="10"/>
      <c r="AK5496" s="10"/>
      <c r="AL5496" s="10"/>
      <c r="AM5496" s="10"/>
      <c r="AN5496" s="10"/>
      <c r="AO5496" s="10"/>
      <c r="AP5496" s="10"/>
      <c r="AQ5496" s="10"/>
      <c r="AR5496" s="10"/>
      <c r="AS5496" s="10"/>
      <c r="AT5496" s="10"/>
      <c r="AU5496" s="10"/>
      <c r="AV5496" s="10"/>
      <c r="AW5496" s="10"/>
      <c r="AX5496" s="10"/>
      <c r="AY5496" s="10"/>
      <c r="AZ5496" s="10"/>
    </row>
    <row r="5497" spans="31:52">
      <c r="AE5497" s="10"/>
      <c r="AF5497" s="10"/>
      <c r="AG5497" s="10"/>
      <c r="AH5497" s="10"/>
      <c r="AI5497" s="10"/>
      <c r="AJ5497" s="10"/>
      <c r="AK5497" s="10"/>
      <c r="AL5497" s="10"/>
      <c r="AM5497" s="10"/>
      <c r="AN5497" s="10"/>
      <c r="AO5497" s="10"/>
      <c r="AP5497" s="10"/>
      <c r="AQ5497" s="10"/>
      <c r="AR5497" s="10"/>
      <c r="AS5497" s="10"/>
      <c r="AT5497" s="10"/>
      <c r="AU5497" s="10"/>
      <c r="AV5497" s="10"/>
      <c r="AW5497" s="10"/>
      <c r="AX5497" s="10"/>
      <c r="AY5497" s="10"/>
      <c r="AZ5497" s="10"/>
    </row>
    <row r="5498" spans="31:52">
      <c r="AE5498" s="10"/>
      <c r="AF5498" s="10"/>
      <c r="AG5498" s="10"/>
      <c r="AH5498" s="10"/>
      <c r="AI5498" s="10"/>
      <c r="AJ5498" s="10"/>
      <c r="AK5498" s="10"/>
      <c r="AL5498" s="10"/>
      <c r="AM5498" s="10"/>
      <c r="AN5498" s="10"/>
      <c r="AO5498" s="10"/>
      <c r="AP5498" s="10"/>
      <c r="AQ5498" s="10"/>
      <c r="AR5498" s="10"/>
      <c r="AS5498" s="10"/>
      <c r="AT5498" s="10"/>
      <c r="AU5498" s="10"/>
      <c r="AV5498" s="10"/>
      <c r="AW5498" s="10"/>
      <c r="AX5498" s="10"/>
      <c r="AY5498" s="10"/>
      <c r="AZ5498" s="10"/>
    </row>
    <row r="5499" spans="31:52">
      <c r="AE5499" s="10"/>
      <c r="AF5499" s="10"/>
      <c r="AG5499" s="10"/>
      <c r="AH5499" s="10"/>
      <c r="AI5499" s="10"/>
      <c r="AJ5499" s="10"/>
      <c r="AK5499" s="10"/>
      <c r="AL5499" s="10"/>
      <c r="AM5499" s="10"/>
      <c r="AN5499" s="10"/>
      <c r="AO5499" s="10"/>
      <c r="AP5499" s="10"/>
      <c r="AQ5499" s="10"/>
      <c r="AR5499" s="10"/>
      <c r="AS5499" s="10"/>
      <c r="AT5499" s="10"/>
      <c r="AU5499" s="10"/>
      <c r="AV5499" s="10"/>
      <c r="AW5499" s="10"/>
      <c r="AX5499" s="10"/>
      <c r="AY5499" s="10"/>
      <c r="AZ5499" s="10"/>
    </row>
    <row r="5500" spans="31:52">
      <c r="AE5500" s="10"/>
      <c r="AF5500" s="10"/>
      <c r="AG5500" s="10"/>
      <c r="AH5500" s="10"/>
      <c r="AI5500" s="10"/>
      <c r="AJ5500" s="10"/>
      <c r="AK5500" s="10"/>
      <c r="AL5500" s="10"/>
      <c r="AM5500" s="10"/>
      <c r="AN5500" s="10"/>
      <c r="AO5500" s="10"/>
      <c r="AP5500" s="10"/>
      <c r="AQ5500" s="10"/>
      <c r="AR5500" s="10"/>
      <c r="AS5500" s="10"/>
      <c r="AT5500" s="10"/>
      <c r="AU5500" s="10"/>
      <c r="AV5500" s="10"/>
      <c r="AW5500" s="10"/>
      <c r="AX5500" s="10"/>
      <c r="AY5500" s="10"/>
      <c r="AZ5500" s="10"/>
    </row>
    <row r="5501" spans="31:52">
      <c r="AE5501" s="10"/>
      <c r="AF5501" s="10"/>
      <c r="AG5501" s="10"/>
      <c r="AH5501" s="10"/>
      <c r="AI5501" s="10"/>
      <c r="AJ5501" s="10"/>
      <c r="AK5501" s="10"/>
      <c r="AL5501" s="10"/>
      <c r="AM5501" s="10"/>
      <c r="AN5501" s="10"/>
      <c r="AO5501" s="10"/>
      <c r="AP5501" s="10"/>
      <c r="AQ5501" s="10"/>
      <c r="AR5501" s="10"/>
      <c r="AS5501" s="10"/>
      <c r="AT5501" s="10"/>
      <c r="AU5501" s="10"/>
      <c r="AV5501" s="10"/>
      <c r="AW5501" s="10"/>
      <c r="AX5501" s="10"/>
      <c r="AY5501" s="10"/>
      <c r="AZ5501" s="10"/>
    </row>
    <row r="5502" spans="31:52">
      <c r="AE5502" s="10"/>
      <c r="AF5502" s="10"/>
      <c r="AG5502" s="10"/>
      <c r="AH5502" s="10"/>
      <c r="AI5502" s="10"/>
      <c r="AJ5502" s="10"/>
      <c r="AK5502" s="10"/>
      <c r="AL5502" s="10"/>
      <c r="AM5502" s="10"/>
      <c r="AN5502" s="10"/>
      <c r="AO5502" s="10"/>
      <c r="AP5502" s="10"/>
      <c r="AQ5502" s="10"/>
      <c r="AR5502" s="10"/>
      <c r="AS5502" s="10"/>
      <c r="AT5502" s="10"/>
      <c r="AU5502" s="10"/>
      <c r="AV5502" s="10"/>
      <c r="AW5502" s="10"/>
      <c r="AX5502" s="10"/>
      <c r="AY5502" s="10"/>
      <c r="AZ5502" s="10"/>
    </row>
    <row r="5503" spans="31:52">
      <c r="AE5503" s="10"/>
      <c r="AF5503" s="10"/>
      <c r="AG5503" s="10"/>
      <c r="AH5503" s="10"/>
      <c r="AI5503" s="10"/>
      <c r="AJ5503" s="10"/>
      <c r="AK5503" s="10"/>
      <c r="AL5503" s="10"/>
      <c r="AM5503" s="10"/>
      <c r="AN5503" s="10"/>
      <c r="AO5503" s="10"/>
      <c r="AP5503" s="10"/>
      <c r="AQ5503" s="10"/>
      <c r="AR5503" s="10"/>
      <c r="AS5503" s="10"/>
      <c r="AT5503" s="10"/>
      <c r="AU5503" s="10"/>
      <c r="AV5503" s="10"/>
      <c r="AW5503" s="10"/>
      <c r="AX5503" s="10"/>
      <c r="AY5503" s="10"/>
      <c r="AZ5503" s="10"/>
    </row>
    <row r="5504" spans="31:52">
      <c r="AE5504" s="10"/>
      <c r="AF5504" s="10"/>
      <c r="AG5504" s="10"/>
      <c r="AH5504" s="10"/>
      <c r="AI5504" s="10"/>
      <c r="AJ5504" s="10"/>
      <c r="AK5504" s="10"/>
      <c r="AL5504" s="10"/>
      <c r="AM5504" s="10"/>
      <c r="AN5504" s="10"/>
      <c r="AO5504" s="10"/>
      <c r="AP5504" s="10"/>
      <c r="AQ5504" s="10"/>
      <c r="AR5504" s="10"/>
      <c r="AS5504" s="10"/>
      <c r="AT5504" s="10"/>
      <c r="AU5504" s="10"/>
      <c r="AV5504" s="10"/>
      <c r="AW5504" s="10"/>
      <c r="AX5504" s="10"/>
      <c r="AY5504" s="10"/>
      <c r="AZ5504" s="10"/>
    </row>
    <row r="5505" spans="31:52">
      <c r="AE5505" s="10"/>
      <c r="AF5505" s="10"/>
      <c r="AG5505" s="10"/>
      <c r="AH5505" s="10"/>
      <c r="AI5505" s="10"/>
      <c r="AJ5505" s="10"/>
      <c r="AK5505" s="10"/>
      <c r="AL5505" s="10"/>
      <c r="AM5505" s="10"/>
      <c r="AN5505" s="10"/>
      <c r="AO5505" s="10"/>
      <c r="AP5505" s="10"/>
      <c r="AQ5505" s="10"/>
      <c r="AR5505" s="10"/>
      <c r="AS5505" s="10"/>
      <c r="AT5505" s="10"/>
      <c r="AU5505" s="10"/>
      <c r="AV5505" s="10"/>
      <c r="AW5505" s="10"/>
      <c r="AX5505" s="10"/>
      <c r="AY5505" s="10"/>
      <c r="AZ5505" s="10"/>
    </row>
    <row r="5506" spans="31:52">
      <c r="AE5506" s="10"/>
      <c r="AF5506" s="10"/>
      <c r="AG5506" s="10"/>
      <c r="AH5506" s="10"/>
      <c r="AI5506" s="10"/>
      <c r="AJ5506" s="10"/>
      <c r="AK5506" s="10"/>
      <c r="AL5506" s="10"/>
      <c r="AM5506" s="10"/>
      <c r="AN5506" s="10"/>
      <c r="AO5506" s="10"/>
      <c r="AP5506" s="10"/>
      <c r="AQ5506" s="10"/>
      <c r="AR5506" s="10"/>
      <c r="AS5506" s="10"/>
      <c r="AT5506" s="10"/>
      <c r="AU5506" s="10"/>
      <c r="AV5506" s="10"/>
      <c r="AW5506" s="10"/>
      <c r="AX5506" s="10"/>
      <c r="AY5506" s="10"/>
      <c r="AZ5506" s="10"/>
    </row>
    <row r="5507" spans="31:52">
      <c r="AE5507" s="10"/>
      <c r="AF5507" s="10"/>
      <c r="AG5507" s="10"/>
      <c r="AH5507" s="10"/>
      <c r="AI5507" s="10"/>
      <c r="AJ5507" s="10"/>
      <c r="AK5507" s="10"/>
      <c r="AL5507" s="10"/>
      <c r="AM5507" s="10"/>
      <c r="AN5507" s="10"/>
      <c r="AO5507" s="10"/>
      <c r="AP5507" s="10"/>
      <c r="AQ5507" s="10"/>
      <c r="AR5507" s="10"/>
      <c r="AS5507" s="10"/>
      <c r="AT5507" s="10"/>
      <c r="AU5507" s="10"/>
      <c r="AV5507" s="10"/>
      <c r="AW5507" s="10"/>
      <c r="AX5507" s="10"/>
      <c r="AY5507" s="10"/>
      <c r="AZ5507" s="10"/>
    </row>
    <row r="5508" spans="31:52">
      <c r="AE5508" s="10"/>
      <c r="AF5508" s="10"/>
      <c r="AG5508" s="10"/>
      <c r="AH5508" s="10"/>
      <c r="AI5508" s="10"/>
      <c r="AJ5508" s="10"/>
      <c r="AK5508" s="10"/>
      <c r="AL5508" s="10"/>
      <c r="AM5508" s="10"/>
      <c r="AN5508" s="10"/>
      <c r="AO5508" s="10"/>
      <c r="AP5508" s="10"/>
      <c r="AQ5508" s="10"/>
      <c r="AR5508" s="10"/>
      <c r="AS5508" s="10"/>
      <c r="AT5508" s="10"/>
      <c r="AU5508" s="10"/>
      <c r="AV5508" s="10"/>
      <c r="AW5508" s="10"/>
      <c r="AX5508" s="10"/>
      <c r="AY5508" s="10"/>
      <c r="AZ5508" s="10"/>
    </row>
    <row r="5509" spans="31:52">
      <c r="AE5509" s="10"/>
      <c r="AF5509" s="10"/>
      <c r="AG5509" s="10"/>
      <c r="AH5509" s="10"/>
      <c r="AI5509" s="10"/>
      <c r="AJ5509" s="10"/>
      <c r="AK5509" s="10"/>
      <c r="AL5509" s="10"/>
      <c r="AM5509" s="10"/>
      <c r="AN5509" s="10"/>
      <c r="AO5509" s="10"/>
      <c r="AP5509" s="10"/>
      <c r="AQ5509" s="10"/>
      <c r="AR5509" s="10"/>
      <c r="AS5509" s="10"/>
      <c r="AT5509" s="10"/>
      <c r="AU5509" s="10"/>
      <c r="AV5509" s="10"/>
      <c r="AW5509" s="10"/>
      <c r="AX5509" s="10"/>
      <c r="AY5509" s="10"/>
      <c r="AZ5509" s="10"/>
    </row>
    <row r="5510" spans="31:52">
      <c r="AE5510" s="10"/>
      <c r="AF5510" s="10"/>
      <c r="AG5510" s="10"/>
      <c r="AH5510" s="10"/>
      <c r="AI5510" s="10"/>
      <c r="AJ5510" s="10"/>
      <c r="AK5510" s="10"/>
      <c r="AL5510" s="10"/>
      <c r="AM5510" s="10"/>
      <c r="AN5510" s="10"/>
      <c r="AO5510" s="10"/>
      <c r="AP5510" s="10"/>
      <c r="AQ5510" s="10"/>
      <c r="AR5510" s="10"/>
      <c r="AS5510" s="10"/>
      <c r="AT5510" s="10"/>
      <c r="AU5510" s="10"/>
      <c r="AV5510" s="10"/>
      <c r="AW5510" s="10"/>
      <c r="AX5510" s="10"/>
      <c r="AY5510" s="10"/>
      <c r="AZ5510" s="10"/>
    </row>
    <row r="5511" spans="31:52">
      <c r="AE5511" s="10"/>
      <c r="AF5511" s="10"/>
      <c r="AG5511" s="10"/>
      <c r="AH5511" s="10"/>
      <c r="AI5511" s="10"/>
      <c r="AJ5511" s="10"/>
      <c r="AK5511" s="10"/>
      <c r="AL5511" s="10"/>
      <c r="AM5511" s="10"/>
      <c r="AN5511" s="10"/>
      <c r="AO5511" s="10"/>
      <c r="AP5511" s="10"/>
      <c r="AQ5511" s="10"/>
      <c r="AR5511" s="10"/>
      <c r="AS5511" s="10"/>
      <c r="AT5511" s="10"/>
      <c r="AU5511" s="10"/>
      <c r="AV5511" s="10"/>
      <c r="AW5511" s="10"/>
      <c r="AX5511" s="10"/>
      <c r="AY5511" s="10"/>
      <c r="AZ5511" s="10"/>
    </row>
    <row r="5512" spans="31:52">
      <c r="AE5512" s="10"/>
      <c r="AF5512" s="10"/>
      <c r="AG5512" s="10"/>
      <c r="AH5512" s="10"/>
      <c r="AI5512" s="10"/>
      <c r="AJ5512" s="10"/>
      <c r="AK5512" s="10"/>
      <c r="AL5512" s="10"/>
      <c r="AM5512" s="10"/>
      <c r="AN5512" s="10"/>
      <c r="AO5512" s="10"/>
      <c r="AP5512" s="10"/>
      <c r="AQ5512" s="10"/>
      <c r="AR5512" s="10"/>
      <c r="AS5512" s="10"/>
      <c r="AT5512" s="10"/>
      <c r="AU5512" s="10"/>
      <c r="AV5512" s="10"/>
      <c r="AW5512" s="10"/>
      <c r="AX5512" s="10"/>
      <c r="AY5512" s="10"/>
      <c r="AZ5512" s="10"/>
    </row>
    <row r="5513" spans="31:52">
      <c r="AE5513" s="10"/>
      <c r="AF5513" s="10"/>
      <c r="AG5513" s="10"/>
      <c r="AH5513" s="10"/>
      <c r="AI5513" s="10"/>
      <c r="AJ5513" s="10"/>
      <c r="AK5513" s="10"/>
      <c r="AL5513" s="10"/>
      <c r="AM5513" s="10"/>
      <c r="AN5513" s="10"/>
      <c r="AO5513" s="10"/>
      <c r="AP5513" s="10"/>
      <c r="AQ5513" s="10"/>
      <c r="AR5513" s="10"/>
      <c r="AS5513" s="10"/>
      <c r="AT5513" s="10"/>
      <c r="AU5513" s="10"/>
      <c r="AV5513" s="10"/>
      <c r="AW5513" s="10"/>
      <c r="AX5513" s="10"/>
      <c r="AY5513" s="10"/>
      <c r="AZ5513" s="10"/>
    </row>
    <row r="5514" spans="31:52">
      <c r="AE5514" s="10"/>
      <c r="AF5514" s="10"/>
      <c r="AG5514" s="10"/>
      <c r="AH5514" s="10"/>
      <c r="AI5514" s="10"/>
      <c r="AJ5514" s="10"/>
      <c r="AK5514" s="10"/>
      <c r="AL5514" s="10"/>
      <c r="AM5514" s="10"/>
      <c r="AN5514" s="10"/>
      <c r="AO5514" s="10"/>
      <c r="AP5514" s="10"/>
      <c r="AQ5514" s="10"/>
      <c r="AR5514" s="10"/>
      <c r="AS5514" s="10"/>
      <c r="AT5514" s="10"/>
      <c r="AU5514" s="10"/>
      <c r="AV5514" s="10"/>
      <c r="AW5514" s="10"/>
      <c r="AX5514" s="10"/>
      <c r="AY5514" s="10"/>
      <c r="AZ5514" s="10"/>
    </row>
    <row r="5515" spans="31:52">
      <c r="AE5515" s="10"/>
      <c r="AF5515" s="10"/>
      <c r="AG5515" s="10"/>
      <c r="AH5515" s="10"/>
      <c r="AI5515" s="10"/>
      <c r="AJ5515" s="10"/>
      <c r="AK5515" s="10"/>
      <c r="AL5515" s="10"/>
      <c r="AM5515" s="10"/>
      <c r="AN5515" s="10"/>
      <c r="AO5515" s="10"/>
      <c r="AP5515" s="10"/>
      <c r="AQ5515" s="10"/>
      <c r="AR5515" s="10"/>
      <c r="AS5515" s="10"/>
      <c r="AT5515" s="10"/>
      <c r="AU5515" s="10"/>
      <c r="AV5515" s="10"/>
      <c r="AW5515" s="10"/>
      <c r="AX5515" s="10"/>
      <c r="AY5515" s="10"/>
      <c r="AZ5515" s="10"/>
    </row>
    <row r="5516" spans="31:52">
      <c r="AE5516" s="10"/>
      <c r="AF5516" s="10"/>
      <c r="AG5516" s="10"/>
      <c r="AH5516" s="10"/>
      <c r="AI5516" s="10"/>
      <c r="AJ5516" s="10"/>
      <c r="AK5516" s="10"/>
      <c r="AL5516" s="10"/>
      <c r="AM5516" s="10"/>
      <c r="AN5516" s="10"/>
      <c r="AO5516" s="10"/>
      <c r="AP5516" s="10"/>
      <c r="AQ5516" s="10"/>
      <c r="AR5516" s="10"/>
      <c r="AS5516" s="10"/>
      <c r="AT5516" s="10"/>
      <c r="AU5516" s="10"/>
      <c r="AV5516" s="10"/>
      <c r="AW5516" s="10"/>
      <c r="AX5516" s="10"/>
      <c r="AY5516" s="10"/>
      <c r="AZ5516" s="10"/>
    </row>
    <row r="5517" spans="31:52">
      <c r="AE5517" s="10"/>
      <c r="AF5517" s="10"/>
      <c r="AG5517" s="10"/>
      <c r="AH5517" s="10"/>
      <c r="AI5517" s="10"/>
      <c r="AJ5517" s="10"/>
      <c r="AK5517" s="10"/>
      <c r="AL5517" s="10"/>
      <c r="AM5517" s="10"/>
      <c r="AN5517" s="10"/>
      <c r="AO5517" s="10"/>
      <c r="AP5517" s="10"/>
      <c r="AQ5517" s="10"/>
      <c r="AR5517" s="10"/>
      <c r="AS5517" s="10"/>
      <c r="AT5517" s="10"/>
      <c r="AU5517" s="10"/>
      <c r="AV5517" s="10"/>
      <c r="AW5517" s="10"/>
      <c r="AX5517" s="10"/>
      <c r="AY5517" s="10"/>
      <c r="AZ5517" s="10"/>
    </row>
    <row r="5518" spans="31:52">
      <c r="AE5518" s="10"/>
      <c r="AF5518" s="10"/>
      <c r="AG5518" s="10"/>
      <c r="AH5518" s="10"/>
      <c r="AI5518" s="10"/>
      <c r="AJ5518" s="10"/>
      <c r="AK5518" s="10"/>
      <c r="AL5518" s="10"/>
      <c r="AM5518" s="10"/>
      <c r="AN5518" s="10"/>
      <c r="AO5518" s="10"/>
      <c r="AP5518" s="10"/>
      <c r="AQ5518" s="10"/>
      <c r="AR5518" s="10"/>
      <c r="AS5518" s="10"/>
      <c r="AT5518" s="10"/>
      <c r="AU5518" s="10"/>
      <c r="AV5518" s="10"/>
      <c r="AW5518" s="10"/>
      <c r="AX5518" s="10"/>
      <c r="AY5518" s="10"/>
      <c r="AZ5518" s="10"/>
    </row>
    <row r="5519" spans="31:52">
      <c r="AE5519" s="10"/>
      <c r="AF5519" s="10"/>
      <c r="AG5519" s="10"/>
      <c r="AH5519" s="10"/>
      <c r="AI5519" s="10"/>
      <c r="AJ5519" s="10"/>
      <c r="AK5519" s="10"/>
      <c r="AL5519" s="10"/>
      <c r="AM5519" s="10"/>
      <c r="AN5519" s="10"/>
      <c r="AO5519" s="10"/>
      <c r="AP5519" s="10"/>
      <c r="AQ5519" s="10"/>
      <c r="AR5519" s="10"/>
      <c r="AS5519" s="10"/>
      <c r="AT5519" s="10"/>
      <c r="AU5519" s="10"/>
      <c r="AV5519" s="10"/>
      <c r="AW5519" s="10"/>
      <c r="AX5519" s="10"/>
      <c r="AY5519" s="10"/>
      <c r="AZ5519" s="10"/>
    </row>
    <row r="5520" spans="31:52">
      <c r="AE5520" s="10"/>
      <c r="AF5520" s="10"/>
      <c r="AG5520" s="10"/>
      <c r="AH5520" s="10"/>
      <c r="AI5520" s="10"/>
      <c r="AJ5520" s="10"/>
      <c r="AK5520" s="10"/>
      <c r="AL5520" s="10"/>
      <c r="AM5520" s="10"/>
      <c r="AN5520" s="10"/>
      <c r="AO5520" s="10"/>
      <c r="AP5520" s="10"/>
      <c r="AQ5520" s="10"/>
      <c r="AR5520" s="10"/>
      <c r="AS5520" s="10"/>
      <c r="AT5520" s="10"/>
      <c r="AU5520" s="10"/>
      <c r="AV5520" s="10"/>
      <c r="AW5520" s="10"/>
      <c r="AX5520" s="10"/>
      <c r="AY5520" s="10"/>
      <c r="AZ5520" s="10"/>
    </row>
    <row r="5521" spans="31:52">
      <c r="AE5521" s="10"/>
      <c r="AF5521" s="10"/>
      <c r="AG5521" s="10"/>
      <c r="AH5521" s="10"/>
      <c r="AI5521" s="10"/>
      <c r="AJ5521" s="10"/>
      <c r="AK5521" s="10"/>
      <c r="AL5521" s="10"/>
      <c r="AM5521" s="10"/>
      <c r="AN5521" s="10"/>
      <c r="AO5521" s="10"/>
      <c r="AP5521" s="10"/>
      <c r="AQ5521" s="10"/>
      <c r="AR5521" s="10"/>
      <c r="AS5521" s="10"/>
      <c r="AT5521" s="10"/>
      <c r="AU5521" s="10"/>
      <c r="AV5521" s="10"/>
      <c r="AW5521" s="10"/>
      <c r="AX5521" s="10"/>
      <c r="AY5521" s="10"/>
      <c r="AZ5521" s="10"/>
    </row>
    <row r="5522" spans="31:52">
      <c r="AE5522" s="10"/>
      <c r="AF5522" s="10"/>
      <c r="AG5522" s="10"/>
      <c r="AH5522" s="10"/>
      <c r="AI5522" s="10"/>
      <c r="AJ5522" s="10"/>
      <c r="AK5522" s="10"/>
      <c r="AL5522" s="10"/>
      <c r="AM5522" s="10"/>
      <c r="AN5522" s="10"/>
      <c r="AO5522" s="10"/>
      <c r="AP5522" s="10"/>
      <c r="AQ5522" s="10"/>
      <c r="AR5522" s="10"/>
      <c r="AS5522" s="10"/>
      <c r="AT5522" s="10"/>
      <c r="AU5522" s="10"/>
      <c r="AV5522" s="10"/>
      <c r="AW5522" s="10"/>
      <c r="AX5522" s="10"/>
      <c r="AY5522" s="10"/>
      <c r="AZ5522" s="10"/>
    </row>
    <row r="5523" spans="31:52">
      <c r="AE5523" s="10"/>
      <c r="AF5523" s="10"/>
      <c r="AG5523" s="10"/>
      <c r="AH5523" s="10"/>
      <c r="AI5523" s="10"/>
      <c r="AJ5523" s="10"/>
      <c r="AK5523" s="10"/>
      <c r="AL5523" s="10"/>
      <c r="AM5523" s="10"/>
      <c r="AN5523" s="10"/>
      <c r="AO5523" s="10"/>
      <c r="AP5523" s="10"/>
      <c r="AQ5523" s="10"/>
      <c r="AR5523" s="10"/>
      <c r="AS5523" s="10"/>
      <c r="AT5523" s="10"/>
      <c r="AU5523" s="10"/>
      <c r="AV5523" s="10"/>
      <c r="AW5523" s="10"/>
      <c r="AX5523" s="10"/>
      <c r="AY5523" s="10"/>
      <c r="AZ5523" s="10"/>
    </row>
    <row r="5524" spans="31:52">
      <c r="AE5524" s="10"/>
      <c r="AF5524" s="10"/>
      <c r="AG5524" s="10"/>
      <c r="AH5524" s="10"/>
      <c r="AI5524" s="10"/>
      <c r="AJ5524" s="10"/>
      <c r="AK5524" s="10"/>
      <c r="AL5524" s="10"/>
      <c r="AM5524" s="10"/>
      <c r="AN5524" s="10"/>
      <c r="AO5524" s="10"/>
      <c r="AP5524" s="10"/>
      <c r="AQ5524" s="10"/>
      <c r="AR5524" s="10"/>
      <c r="AS5524" s="10"/>
      <c r="AT5524" s="10"/>
      <c r="AU5524" s="10"/>
      <c r="AV5524" s="10"/>
      <c r="AW5524" s="10"/>
      <c r="AX5524" s="10"/>
      <c r="AY5524" s="10"/>
      <c r="AZ5524" s="10"/>
    </row>
    <row r="5525" spans="31:52">
      <c r="AE5525" s="10"/>
      <c r="AF5525" s="10"/>
      <c r="AG5525" s="10"/>
      <c r="AH5525" s="10"/>
      <c r="AI5525" s="10"/>
      <c r="AJ5525" s="10"/>
      <c r="AK5525" s="10"/>
      <c r="AL5525" s="10"/>
      <c r="AM5525" s="10"/>
      <c r="AN5525" s="10"/>
      <c r="AO5525" s="10"/>
      <c r="AP5525" s="10"/>
      <c r="AQ5525" s="10"/>
      <c r="AR5525" s="10"/>
      <c r="AS5525" s="10"/>
      <c r="AT5525" s="10"/>
      <c r="AU5525" s="10"/>
      <c r="AV5525" s="10"/>
      <c r="AW5525" s="10"/>
      <c r="AX5525" s="10"/>
      <c r="AY5525" s="10"/>
      <c r="AZ5525" s="10"/>
    </row>
    <row r="5526" spans="31:52">
      <c r="AE5526" s="10"/>
      <c r="AF5526" s="10"/>
      <c r="AG5526" s="10"/>
      <c r="AH5526" s="10"/>
      <c r="AI5526" s="10"/>
      <c r="AJ5526" s="10"/>
      <c r="AK5526" s="10"/>
      <c r="AL5526" s="10"/>
      <c r="AM5526" s="10"/>
      <c r="AN5526" s="10"/>
      <c r="AO5526" s="10"/>
      <c r="AP5526" s="10"/>
      <c r="AQ5526" s="10"/>
      <c r="AR5526" s="10"/>
      <c r="AS5526" s="10"/>
      <c r="AT5526" s="10"/>
      <c r="AU5526" s="10"/>
      <c r="AV5526" s="10"/>
      <c r="AW5526" s="10"/>
      <c r="AX5526" s="10"/>
      <c r="AY5526" s="10"/>
      <c r="AZ5526" s="10"/>
    </row>
    <row r="5527" spans="31:52">
      <c r="AE5527" s="10"/>
      <c r="AF5527" s="10"/>
      <c r="AG5527" s="10"/>
      <c r="AH5527" s="10"/>
      <c r="AI5527" s="10"/>
      <c r="AJ5527" s="10"/>
      <c r="AK5527" s="10"/>
      <c r="AL5527" s="10"/>
      <c r="AM5527" s="10"/>
      <c r="AN5527" s="10"/>
      <c r="AO5527" s="10"/>
      <c r="AP5527" s="10"/>
      <c r="AQ5527" s="10"/>
      <c r="AR5527" s="10"/>
      <c r="AS5527" s="10"/>
      <c r="AT5527" s="10"/>
      <c r="AU5527" s="10"/>
      <c r="AV5527" s="10"/>
      <c r="AW5527" s="10"/>
      <c r="AX5527" s="10"/>
      <c r="AY5527" s="10"/>
      <c r="AZ5527" s="10"/>
    </row>
    <row r="5528" spans="31:52">
      <c r="AE5528" s="10"/>
      <c r="AF5528" s="10"/>
      <c r="AG5528" s="10"/>
      <c r="AH5528" s="10"/>
      <c r="AI5528" s="10"/>
      <c r="AJ5528" s="10"/>
      <c r="AK5528" s="10"/>
      <c r="AL5528" s="10"/>
      <c r="AM5528" s="10"/>
      <c r="AN5528" s="10"/>
      <c r="AO5528" s="10"/>
      <c r="AP5528" s="10"/>
      <c r="AQ5528" s="10"/>
      <c r="AR5528" s="10"/>
      <c r="AS5528" s="10"/>
      <c r="AT5528" s="10"/>
      <c r="AU5528" s="10"/>
      <c r="AV5528" s="10"/>
      <c r="AW5528" s="10"/>
      <c r="AX5528" s="10"/>
      <c r="AY5528" s="10"/>
      <c r="AZ5528" s="10"/>
    </row>
    <row r="5529" spans="31:52">
      <c r="AE5529" s="10"/>
      <c r="AF5529" s="10"/>
      <c r="AG5529" s="10"/>
      <c r="AH5529" s="10"/>
      <c r="AI5529" s="10"/>
      <c r="AJ5529" s="10"/>
      <c r="AK5529" s="10"/>
      <c r="AL5529" s="10"/>
      <c r="AM5529" s="10"/>
      <c r="AN5529" s="10"/>
      <c r="AO5529" s="10"/>
      <c r="AP5529" s="10"/>
      <c r="AQ5529" s="10"/>
      <c r="AR5529" s="10"/>
      <c r="AS5529" s="10"/>
      <c r="AT5529" s="10"/>
      <c r="AU5529" s="10"/>
      <c r="AV5529" s="10"/>
      <c r="AW5529" s="10"/>
      <c r="AX5529" s="10"/>
      <c r="AY5529" s="10"/>
      <c r="AZ5529" s="10"/>
    </row>
    <row r="5530" spans="31:52">
      <c r="AE5530" s="10"/>
      <c r="AF5530" s="10"/>
      <c r="AG5530" s="10"/>
      <c r="AH5530" s="10"/>
      <c r="AI5530" s="10"/>
      <c r="AJ5530" s="10"/>
      <c r="AK5530" s="10"/>
      <c r="AL5530" s="10"/>
      <c r="AM5530" s="10"/>
      <c r="AN5530" s="10"/>
      <c r="AO5530" s="10"/>
      <c r="AP5530" s="10"/>
      <c r="AQ5530" s="10"/>
      <c r="AR5530" s="10"/>
      <c r="AS5530" s="10"/>
      <c r="AT5530" s="10"/>
      <c r="AU5530" s="10"/>
      <c r="AV5530" s="10"/>
      <c r="AW5530" s="10"/>
      <c r="AX5530" s="10"/>
      <c r="AY5530" s="10"/>
      <c r="AZ5530" s="10"/>
    </row>
    <row r="5531" spans="31:52">
      <c r="AE5531" s="10"/>
      <c r="AF5531" s="10"/>
      <c r="AG5531" s="10"/>
      <c r="AH5531" s="10"/>
      <c r="AI5531" s="10"/>
      <c r="AJ5531" s="10"/>
      <c r="AK5531" s="10"/>
      <c r="AL5531" s="10"/>
      <c r="AM5531" s="10"/>
      <c r="AN5531" s="10"/>
      <c r="AO5531" s="10"/>
      <c r="AP5531" s="10"/>
      <c r="AQ5531" s="10"/>
      <c r="AR5531" s="10"/>
      <c r="AS5531" s="10"/>
      <c r="AT5531" s="10"/>
      <c r="AU5531" s="10"/>
      <c r="AV5531" s="10"/>
      <c r="AW5531" s="10"/>
      <c r="AX5531" s="10"/>
      <c r="AY5531" s="10"/>
      <c r="AZ5531" s="10"/>
    </row>
    <row r="5532" spans="31:52">
      <c r="AE5532" s="10"/>
      <c r="AF5532" s="10"/>
      <c r="AG5532" s="10"/>
      <c r="AH5532" s="10"/>
      <c r="AI5532" s="10"/>
      <c r="AJ5532" s="10"/>
      <c r="AK5532" s="10"/>
      <c r="AL5532" s="10"/>
      <c r="AM5532" s="10"/>
      <c r="AN5532" s="10"/>
      <c r="AO5532" s="10"/>
      <c r="AP5532" s="10"/>
      <c r="AQ5532" s="10"/>
      <c r="AR5532" s="10"/>
      <c r="AS5532" s="10"/>
      <c r="AT5532" s="10"/>
      <c r="AU5532" s="10"/>
      <c r="AV5532" s="10"/>
      <c r="AW5532" s="10"/>
      <c r="AX5532" s="10"/>
      <c r="AY5532" s="10"/>
      <c r="AZ5532" s="10"/>
    </row>
    <row r="5533" spans="31:52">
      <c r="AE5533" s="10"/>
      <c r="AF5533" s="10"/>
      <c r="AG5533" s="10"/>
      <c r="AH5533" s="10"/>
      <c r="AI5533" s="10"/>
      <c r="AJ5533" s="10"/>
      <c r="AK5533" s="10"/>
      <c r="AL5533" s="10"/>
      <c r="AM5533" s="10"/>
      <c r="AN5533" s="10"/>
      <c r="AO5533" s="10"/>
      <c r="AP5533" s="10"/>
      <c r="AQ5533" s="10"/>
      <c r="AR5533" s="10"/>
      <c r="AS5533" s="10"/>
      <c r="AT5533" s="10"/>
      <c r="AU5533" s="10"/>
      <c r="AV5533" s="10"/>
      <c r="AW5533" s="10"/>
      <c r="AX5533" s="10"/>
      <c r="AY5533" s="10"/>
      <c r="AZ5533" s="10"/>
    </row>
    <row r="5534" spans="31:52">
      <c r="AE5534" s="10"/>
      <c r="AF5534" s="10"/>
      <c r="AG5534" s="10"/>
      <c r="AH5534" s="10"/>
      <c r="AI5534" s="10"/>
      <c r="AJ5534" s="10"/>
      <c r="AK5534" s="10"/>
      <c r="AL5534" s="10"/>
      <c r="AM5534" s="10"/>
      <c r="AN5534" s="10"/>
      <c r="AO5534" s="10"/>
      <c r="AP5534" s="10"/>
      <c r="AQ5534" s="10"/>
      <c r="AR5534" s="10"/>
      <c r="AS5534" s="10"/>
      <c r="AT5534" s="10"/>
      <c r="AU5534" s="10"/>
      <c r="AV5534" s="10"/>
      <c r="AW5534" s="10"/>
      <c r="AX5534" s="10"/>
      <c r="AY5534" s="10"/>
      <c r="AZ5534" s="10"/>
    </row>
    <row r="5535" spans="31:52">
      <c r="AE5535" s="10"/>
      <c r="AF5535" s="10"/>
      <c r="AG5535" s="10"/>
      <c r="AH5535" s="10"/>
      <c r="AI5535" s="10"/>
      <c r="AJ5535" s="10"/>
      <c r="AK5535" s="10"/>
      <c r="AL5535" s="10"/>
      <c r="AM5535" s="10"/>
      <c r="AN5535" s="10"/>
      <c r="AO5535" s="10"/>
      <c r="AP5535" s="10"/>
      <c r="AQ5535" s="10"/>
      <c r="AR5535" s="10"/>
      <c r="AS5535" s="10"/>
      <c r="AT5535" s="10"/>
      <c r="AU5535" s="10"/>
      <c r="AV5535" s="10"/>
      <c r="AW5535" s="10"/>
      <c r="AX5535" s="10"/>
      <c r="AY5535" s="10"/>
      <c r="AZ5535" s="10"/>
    </row>
    <row r="5536" spans="31:52">
      <c r="AE5536" s="10"/>
      <c r="AF5536" s="10"/>
      <c r="AG5536" s="10"/>
      <c r="AH5536" s="10"/>
      <c r="AI5536" s="10"/>
      <c r="AJ5536" s="10"/>
      <c r="AK5536" s="10"/>
      <c r="AL5536" s="10"/>
      <c r="AM5536" s="10"/>
      <c r="AN5536" s="10"/>
      <c r="AO5536" s="10"/>
      <c r="AP5536" s="10"/>
      <c r="AQ5536" s="10"/>
      <c r="AR5536" s="10"/>
      <c r="AS5536" s="10"/>
      <c r="AT5536" s="10"/>
      <c r="AU5536" s="10"/>
      <c r="AV5536" s="10"/>
      <c r="AW5536" s="10"/>
      <c r="AX5536" s="10"/>
      <c r="AY5536" s="10"/>
      <c r="AZ5536" s="10"/>
    </row>
    <row r="5537" spans="31:52">
      <c r="AE5537" s="10"/>
      <c r="AF5537" s="10"/>
      <c r="AG5537" s="10"/>
      <c r="AH5537" s="10"/>
      <c r="AI5537" s="10"/>
      <c r="AJ5537" s="10"/>
      <c r="AK5537" s="10"/>
      <c r="AL5537" s="10"/>
      <c r="AM5537" s="10"/>
      <c r="AN5537" s="10"/>
      <c r="AO5537" s="10"/>
      <c r="AP5537" s="10"/>
      <c r="AQ5537" s="10"/>
      <c r="AR5537" s="10"/>
      <c r="AS5537" s="10"/>
      <c r="AT5537" s="10"/>
      <c r="AU5537" s="10"/>
      <c r="AV5537" s="10"/>
      <c r="AW5537" s="10"/>
      <c r="AX5537" s="10"/>
      <c r="AY5537" s="10"/>
      <c r="AZ5537" s="10"/>
    </row>
    <row r="5538" spans="31:52">
      <c r="AE5538" s="10"/>
      <c r="AF5538" s="10"/>
      <c r="AG5538" s="10"/>
      <c r="AH5538" s="10"/>
      <c r="AI5538" s="10"/>
      <c r="AJ5538" s="10"/>
      <c r="AK5538" s="10"/>
      <c r="AL5538" s="10"/>
      <c r="AM5538" s="10"/>
      <c r="AN5538" s="10"/>
      <c r="AO5538" s="10"/>
      <c r="AP5538" s="10"/>
      <c r="AQ5538" s="10"/>
      <c r="AR5538" s="10"/>
      <c r="AS5538" s="10"/>
      <c r="AT5538" s="10"/>
      <c r="AU5538" s="10"/>
      <c r="AV5538" s="10"/>
      <c r="AW5538" s="10"/>
      <c r="AX5538" s="10"/>
      <c r="AY5538" s="10"/>
      <c r="AZ5538" s="10"/>
    </row>
    <row r="5539" spans="31:52">
      <c r="AE5539" s="10"/>
      <c r="AF5539" s="10"/>
      <c r="AG5539" s="10"/>
      <c r="AH5539" s="10"/>
      <c r="AI5539" s="10"/>
      <c r="AJ5539" s="10"/>
      <c r="AK5539" s="10"/>
      <c r="AL5539" s="10"/>
      <c r="AM5539" s="10"/>
      <c r="AN5539" s="10"/>
      <c r="AO5539" s="10"/>
      <c r="AP5539" s="10"/>
      <c r="AQ5539" s="10"/>
      <c r="AR5539" s="10"/>
      <c r="AS5539" s="10"/>
      <c r="AT5539" s="10"/>
      <c r="AU5539" s="10"/>
      <c r="AV5539" s="10"/>
      <c r="AW5539" s="10"/>
      <c r="AX5539" s="10"/>
      <c r="AY5539" s="10"/>
      <c r="AZ5539" s="10"/>
    </row>
    <row r="5540" spans="31:52">
      <c r="AE5540" s="10"/>
      <c r="AF5540" s="10"/>
      <c r="AG5540" s="10"/>
      <c r="AH5540" s="10"/>
      <c r="AI5540" s="10"/>
      <c r="AJ5540" s="10"/>
      <c r="AK5540" s="10"/>
      <c r="AL5540" s="10"/>
      <c r="AM5540" s="10"/>
      <c r="AN5540" s="10"/>
      <c r="AO5540" s="10"/>
      <c r="AP5540" s="10"/>
      <c r="AQ5540" s="10"/>
      <c r="AR5540" s="10"/>
      <c r="AS5540" s="10"/>
      <c r="AT5540" s="10"/>
      <c r="AU5540" s="10"/>
      <c r="AV5540" s="10"/>
      <c r="AW5540" s="10"/>
      <c r="AX5540" s="10"/>
      <c r="AY5540" s="10"/>
      <c r="AZ5540" s="10"/>
    </row>
    <row r="5541" spans="31:52">
      <c r="AE5541" s="10"/>
      <c r="AF5541" s="10"/>
      <c r="AG5541" s="10"/>
      <c r="AH5541" s="10"/>
      <c r="AI5541" s="10"/>
      <c r="AJ5541" s="10"/>
      <c r="AK5541" s="10"/>
      <c r="AL5541" s="10"/>
      <c r="AM5541" s="10"/>
      <c r="AN5541" s="10"/>
      <c r="AO5541" s="10"/>
      <c r="AP5541" s="10"/>
      <c r="AQ5541" s="10"/>
      <c r="AR5541" s="10"/>
      <c r="AS5541" s="10"/>
      <c r="AT5541" s="10"/>
      <c r="AU5541" s="10"/>
      <c r="AV5541" s="10"/>
      <c r="AW5541" s="10"/>
      <c r="AX5541" s="10"/>
      <c r="AY5541" s="10"/>
      <c r="AZ5541" s="10"/>
    </row>
    <row r="5542" spans="31:52">
      <c r="AE5542" s="10"/>
      <c r="AF5542" s="10"/>
      <c r="AG5542" s="10"/>
      <c r="AH5542" s="10"/>
      <c r="AI5542" s="10"/>
      <c r="AJ5542" s="10"/>
      <c r="AK5542" s="10"/>
      <c r="AL5542" s="10"/>
      <c r="AM5542" s="10"/>
      <c r="AN5542" s="10"/>
      <c r="AO5542" s="10"/>
      <c r="AP5542" s="10"/>
      <c r="AQ5542" s="10"/>
      <c r="AR5542" s="10"/>
      <c r="AS5542" s="10"/>
      <c r="AT5542" s="10"/>
      <c r="AU5542" s="10"/>
      <c r="AV5542" s="10"/>
      <c r="AW5542" s="10"/>
      <c r="AX5542" s="10"/>
      <c r="AY5542" s="10"/>
      <c r="AZ5542" s="10"/>
    </row>
    <row r="5543" spans="31:52">
      <c r="AE5543" s="10"/>
      <c r="AF5543" s="10"/>
      <c r="AG5543" s="10"/>
      <c r="AH5543" s="10"/>
      <c r="AI5543" s="10"/>
      <c r="AJ5543" s="10"/>
      <c r="AK5543" s="10"/>
      <c r="AL5543" s="10"/>
      <c r="AM5543" s="10"/>
      <c r="AN5543" s="10"/>
      <c r="AO5543" s="10"/>
      <c r="AP5543" s="10"/>
      <c r="AQ5543" s="10"/>
      <c r="AR5543" s="10"/>
      <c r="AS5543" s="10"/>
      <c r="AT5543" s="10"/>
      <c r="AU5543" s="10"/>
      <c r="AV5543" s="10"/>
      <c r="AW5543" s="10"/>
      <c r="AX5543" s="10"/>
      <c r="AY5543" s="10"/>
      <c r="AZ5543" s="10"/>
    </row>
    <row r="5544" spans="31:52">
      <c r="AE5544" s="10"/>
      <c r="AF5544" s="10"/>
      <c r="AG5544" s="10"/>
      <c r="AH5544" s="10"/>
      <c r="AI5544" s="10"/>
      <c r="AJ5544" s="10"/>
      <c r="AK5544" s="10"/>
      <c r="AL5544" s="10"/>
      <c r="AM5544" s="10"/>
      <c r="AN5544" s="10"/>
      <c r="AO5544" s="10"/>
      <c r="AP5544" s="10"/>
      <c r="AQ5544" s="10"/>
      <c r="AR5544" s="10"/>
      <c r="AS5544" s="10"/>
      <c r="AT5544" s="10"/>
      <c r="AU5544" s="10"/>
      <c r="AV5544" s="10"/>
      <c r="AW5544" s="10"/>
      <c r="AX5544" s="10"/>
      <c r="AY5544" s="10"/>
      <c r="AZ5544" s="10"/>
    </row>
    <row r="5545" spans="31:52">
      <c r="AE5545" s="10"/>
      <c r="AF5545" s="10"/>
      <c r="AG5545" s="10"/>
      <c r="AH5545" s="10"/>
      <c r="AI5545" s="10"/>
      <c r="AJ5545" s="10"/>
      <c r="AK5545" s="10"/>
      <c r="AL5545" s="10"/>
      <c r="AM5545" s="10"/>
      <c r="AN5545" s="10"/>
      <c r="AO5545" s="10"/>
      <c r="AP5545" s="10"/>
      <c r="AQ5545" s="10"/>
      <c r="AR5545" s="10"/>
      <c r="AS5545" s="10"/>
      <c r="AT5545" s="10"/>
      <c r="AU5545" s="10"/>
      <c r="AV5545" s="10"/>
      <c r="AW5545" s="10"/>
      <c r="AX5545" s="10"/>
      <c r="AY5545" s="10"/>
      <c r="AZ5545" s="10"/>
    </row>
    <row r="5546" spans="31:52">
      <c r="AE5546" s="10"/>
      <c r="AF5546" s="10"/>
      <c r="AG5546" s="10"/>
      <c r="AH5546" s="10"/>
      <c r="AI5546" s="10"/>
      <c r="AJ5546" s="10"/>
      <c r="AK5546" s="10"/>
      <c r="AL5546" s="10"/>
      <c r="AM5546" s="10"/>
      <c r="AN5546" s="10"/>
      <c r="AO5546" s="10"/>
      <c r="AP5546" s="10"/>
      <c r="AQ5546" s="10"/>
      <c r="AR5546" s="10"/>
      <c r="AS5546" s="10"/>
      <c r="AT5546" s="10"/>
      <c r="AU5546" s="10"/>
      <c r="AV5546" s="10"/>
      <c r="AW5546" s="10"/>
      <c r="AX5546" s="10"/>
      <c r="AY5546" s="10"/>
      <c r="AZ5546" s="10"/>
    </row>
    <row r="5547" spans="31:52">
      <c r="AE5547" s="10"/>
      <c r="AF5547" s="10"/>
      <c r="AG5547" s="10"/>
      <c r="AH5547" s="10"/>
      <c r="AI5547" s="10"/>
      <c r="AJ5547" s="10"/>
      <c r="AK5547" s="10"/>
      <c r="AL5547" s="10"/>
      <c r="AM5547" s="10"/>
      <c r="AN5547" s="10"/>
      <c r="AO5547" s="10"/>
      <c r="AP5547" s="10"/>
      <c r="AQ5547" s="10"/>
      <c r="AR5547" s="10"/>
      <c r="AS5547" s="10"/>
      <c r="AT5547" s="10"/>
      <c r="AU5547" s="10"/>
      <c r="AV5547" s="10"/>
      <c r="AW5547" s="10"/>
      <c r="AX5547" s="10"/>
      <c r="AY5547" s="10"/>
      <c r="AZ5547" s="10"/>
    </row>
    <row r="5548" spans="31:52">
      <c r="AE5548" s="10"/>
      <c r="AF5548" s="10"/>
      <c r="AG5548" s="10"/>
      <c r="AH5548" s="10"/>
      <c r="AI5548" s="10"/>
      <c r="AJ5548" s="10"/>
      <c r="AK5548" s="10"/>
      <c r="AL5548" s="10"/>
      <c r="AM5548" s="10"/>
      <c r="AN5548" s="10"/>
      <c r="AO5548" s="10"/>
      <c r="AP5548" s="10"/>
      <c r="AQ5548" s="10"/>
      <c r="AR5548" s="10"/>
      <c r="AS5548" s="10"/>
      <c r="AT5548" s="10"/>
      <c r="AU5548" s="10"/>
      <c r="AV5548" s="10"/>
      <c r="AW5548" s="10"/>
      <c r="AX5548" s="10"/>
      <c r="AY5548" s="10"/>
      <c r="AZ5548" s="10"/>
    </row>
    <row r="5549" spans="31:52">
      <c r="AE5549" s="10"/>
      <c r="AF5549" s="10"/>
      <c r="AG5549" s="10"/>
      <c r="AH5549" s="10"/>
      <c r="AI5549" s="10"/>
      <c r="AJ5549" s="10"/>
      <c r="AK5549" s="10"/>
      <c r="AL5549" s="10"/>
      <c r="AM5549" s="10"/>
      <c r="AN5549" s="10"/>
      <c r="AO5549" s="10"/>
      <c r="AP5549" s="10"/>
      <c r="AQ5549" s="10"/>
      <c r="AR5549" s="10"/>
      <c r="AS5549" s="10"/>
      <c r="AT5549" s="10"/>
      <c r="AU5549" s="10"/>
      <c r="AV5549" s="10"/>
      <c r="AW5549" s="10"/>
      <c r="AX5549" s="10"/>
      <c r="AY5549" s="10"/>
      <c r="AZ5549" s="10"/>
    </row>
    <row r="5550" spans="31:52">
      <c r="AE5550" s="10"/>
      <c r="AF5550" s="10"/>
      <c r="AG5550" s="10"/>
      <c r="AH5550" s="10"/>
      <c r="AI5550" s="10"/>
      <c r="AJ5550" s="10"/>
      <c r="AK5550" s="10"/>
      <c r="AL5550" s="10"/>
      <c r="AM5550" s="10"/>
      <c r="AN5550" s="10"/>
      <c r="AO5550" s="10"/>
      <c r="AP5550" s="10"/>
      <c r="AQ5550" s="10"/>
      <c r="AR5550" s="10"/>
      <c r="AS5550" s="10"/>
      <c r="AT5550" s="10"/>
      <c r="AU5550" s="10"/>
      <c r="AV5550" s="10"/>
      <c r="AW5550" s="10"/>
      <c r="AX5550" s="10"/>
      <c r="AY5550" s="10"/>
      <c r="AZ5550" s="10"/>
    </row>
    <row r="5551" spans="31:52">
      <c r="AE5551" s="10"/>
      <c r="AF5551" s="10"/>
      <c r="AG5551" s="10"/>
      <c r="AH5551" s="10"/>
      <c r="AI5551" s="10"/>
      <c r="AJ5551" s="10"/>
      <c r="AK5551" s="10"/>
      <c r="AL5551" s="10"/>
      <c r="AM5551" s="10"/>
      <c r="AN5551" s="10"/>
      <c r="AO5551" s="10"/>
      <c r="AP5551" s="10"/>
      <c r="AQ5551" s="10"/>
      <c r="AR5551" s="10"/>
      <c r="AS5551" s="10"/>
      <c r="AT5551" s="10"/>
      <c r="AU5551" s="10"/>
      <c r="AV5551" s="10"/>
      <c r="AW5551" s="10"/>
      <c r="AX5551" s="10"/>
      <c r="AY5551" s="10"/>
      <c r="AZ5551" s="10"/>
    </row>
    <row r="5552" spans="31:52">
      <c r="AE5552" s="10"/>
      <c r="AF5552" s="10"/>
      <c r="AG5552" s="10"/>
      <c r="AH5552" s="10"/>
      <c r="AI5552" s="10"/>
      <c r="AJ5552" s="10"/>
      <c r="AK5552" s="10"/>
      <c r="AL5552" s="10"/>
      <c r="AM5552" s="10"/>
      <c r="AN5552" s="10"/>
      <c r="AO5552" s="10"/>
      <c r="AP5552" s="10"/>
      <c r="AQ5552" s="10"/>
      <c r="AR5552" s="10"/>
      <c r="AS5552" s="10"/>
      <c r="AT5552" s="10"/>
      <c r="AU5552" s="10"/>
      <c r="AV5552" s="10"/>
      <c r="AW5552" s="10"/>
      <c r="AX5552" s="10"/>
      <c r="AY5552" s="10"/>
      <c r="AZ5552" s="10"/>
    </row>
    <row r="5553" spans="31:52">
      <c r="AE5553" s="10"/>
      <c r="AF5553" s="10"/>
      <c r="AG5553" s="10"/>
      <c r="AH5553" s="10"/>
      <c r="AI5553" s="10"/>
      <c r="AJ5553" s="10"/>
      <c r="AK5553" s="10"/>
      <c r="AL5553" s="10"/>
      <c r="AM5553" s="10"/>
      <c r="AN5553" s="10"/>
      <c r="AO5553" s="10"/>
      <c r="AP5553" s="10"/>
      <c r="AQ5553" s="10"/>
      <c r="AR5553" s="10"/>
      <c r="AS5553" s="10"/>
      <c r="AT5553" s="10"/>
      <c r="AU5553" s="10"/>
      <c r="AV5553" s="10"/>
      <c r="AW5553" s="10"/>
      <c r="AX5553" s="10"/>
      <c r="AY5553" s="10"/>
      <c r="AZ5553" s="10"/>
    </row>
    <row r="5554" spans="31:52">
      <c r="AE5554" s="10"/>
      <c r="AF5554" s="10"/>
      <c r="AG5554" s="10"/>
      <c r="AH5554" s="10"/>
      <c r="AI5554" s="10"/>
      <c r="AJ5554" s="10"/>
      <c r="AK5554" s="10"/>
      <c r="AL5554" s="10"/>
      <c r="AM5554" s="10"/>
      <c r="AN5554" s="10"/>
      <c r="AO5554" s="10"/>
      <c r="AP5554" s="10"/>
      <c r="AQ5554" s="10"/>
      <c r="AR5554" s="10"/>
      <c r="AS5554" s="10"/>
      <c r="AT5554" s="10"/>
      <c r="AU5554" s="10"/>
      <c r="AV5554" s="10"/>
      <c r="AW5554" s="10"/>
      <c r="AX5554" s="10"/>
      <c r="AY5554" s="10"/>
      <c r="AZ5554" s="10"/>
    </row>
    <row r="5555" spans="31:52">
      <c r="AE5555" s="10"/>
      <c r="AF5555" s="10"/>
      <c r="AG5555" s="10"/>
      <c r="AH5555" s="10"/>
      <c r="AI5555" s="10"/>
      <c r="AJ5555" s="10"/>
      <c r="AK5555" s="10"/>
      <c r="AL5555" s="10"/>
      <c r="AM5555" s="10"/>
      <c r="AN5555" s="10"/>
      <c r="AO5555" s="10"/>
      <c r="AP5555" s="10"/>
      <c r="AQ5555" s="10"/>
      <c r="AR5555" s="10"/>
      <c r="AS5555" s="10"/>
      <c r="AT5555" s="10"/>
      <c r="AU5555" s="10"/>
      <c r="AV5555" s="10"/>
      <c r="AW5555" s="10"/>
      <c r="AX5555" s="10"/>
      <c r="AY5555" s="10"/>
      <c r="AZ5555" s="10"/>
    </row>
    <row r="5556" spans="31:52">
      <c r="AE5556" s="10"/>
      <c r="AF5556" s="10"/>
      <c r="AG5556" s="10"/>
      <c r="AH5556" s="10"/>
      <c r="AI5556" s="10"/>
      <c r="AJ5556" s="10"/>
      <c r="AK5556" s="10"/>
      <c r="AL5556" s="10"/>
      <c r="AM5556" s="10"/>
      <c r="AN5556" s="10"/>
      <c r="AO5556" s="10"/>
      <c r="AP5556" s="10"/>
      <c r="AQ5556" s="10"/>
      <c r="AR5556" s="10"/>
      <c r="AS5556" s="10"/>
      <c r="AT5556" s="10"/>
      <c r="AU5556" s="10"/>
      <c r="AV5556" s="10"/>
      <c r="AW5556" s="10"/>
      <c r="AX5556" s="10"/>
      <c r="AY5556" s="10"/>
      <c r="AZ5556" s="10"/>
    </row>
    <row r="5557" spans="31:52">
      <c r="AE5557" s="10"/>
      <c r="AF5557" s="10"/>
      <c r="AG5557" s="10"/>
      <c r="AH5557" s="10"/>
      <c r="AI5557" s="10"/>
      <c r="AJ5557" s="10"/>
      <c r="AK5557" s="10"/>
      <c r="AL5557" s="10"/>
      <c r="AM5557" s="10"/>
      <c r="AN5557" s="10"/>
      <c r="AO5557" s="10"/>
      <c r="AP5557" s="10"/>
      <c r="AQ5557" s="10"/>
      <c r="AR5557" s="10"/>
      <c r="AS5557" s="10"/>
      <c r="AT5557" s="10"/>
      <c r="AU5557" s="10"/>
      <c r="AV5557" s="10"/>
      <c r="AW5557" s="10"/>
      <c r="AX5557" s="10"/>
      <c r="AY5557" s="10"/>
      <c r="AZ5557" s="10"/>
    </row>
    <row r="5558" spans="31:52">
      <c r="AE5558" s="10"/>
      <c r="AF5558" s="10"/>
      <c r="AG5558" s="10"/>
      <c r="AH5558" s="10"/>
      <c r="AI5558" s="10"/>
      <c r="AJ5558" s="10"/>
      <c r="AK5558" s="10"/>
      <c r="AL5558" s="10"/>
      <c r="AM5558" s="10"/>
      <c r="AN5558" s="10"/>
      <c r="AO5558" s="10"/>
      <c r="AP5558" s="10"/>
      <c r="AQ5558" s="10"/>
      <c r="AR5558" s="10"/>
      <c r="AS5558" s="10"/>
      <c r="AT5558" s="10"/>
      <c r="AU5558" s="10"/>
      <c r="AV5558" s="10"/>
      <c r="AW5558" s="10"/>
      <c r="AX5558" s="10"/>
      <c r="AY5558" s="10"/>
      <c r="AZ5558" s="10"/>
    </row>
    <row r="5559" spans="31:52">
      <c r="AE5559" s="10"/>
      <c r="AF5559" s="10"/>
      <c r="AG5559" s="10"/>
      <c r="AH5559" s="10"/>
      <c r="AI5559" s="10"/>
      <c r="AJ5559" s="10"/>
      <c r="AK5559" s="10"/>
      <c r="AL5559" s="10"/>
      <c r="AM5559" s="10"/>
      <c r="AN5559" s="10"/>
      <c r="AO5559" s="10"/>
      <c r="AP5559" s="10"/>
      <c r="AQ5559" s="10"/>
      <c r="AR5559" s="10"/>
      <c r="AS5559" s="10"/>
      <c r="AT5559" s="10"/>
      <c r="AU5559" s="10"/>
      <c r="AV5559" s="10"/>
      <c r="AW5559" s="10"/>
      <c r="AX5559" s="10"/>
      <c r="AY5559" s="10"/>
      <c r="AZ5559" s="10"/>
    </row>
    <row r="5560" spans="31:52">
      <c r="AE5560" s="10"/>
      <c r="AF5560" s="10"/>
      <c r="AG5560" s="10"/>
      <c r="AH5560" s="10"/>
      <c r="AI5560" s="10"/>
      <c r="AJ5560" s="10"/>
      <c r="AK5560" s="10"/>
      <c r="AL5560" s="10"/>
      <c r="AM5560" s="10"/>
      <c r="AN5560" s="10"/>
      <c r="AO5560" s="10"/>
      <c r="AP5560" s="10"/>
      <c r="AQ5560" s="10"/>
      <c r="AR5560" s="10"/>
      <c r="AS5560" s="10"/>
      <c r="AT5560" s="10"/>
      <c r="AU5560" s="10"/>
      <c r="AV5560" s="10"/>
      <c r="AW5560" s="10"/>
      <c r="AX5560" s="10"/>
      <c r="AY5560" s="10"/>
      <c r="AZ5560" s="10"/>
    </row>
    <row r="5561" spans="31:52">
      <c r="AE5561" s="10"/>
      <c r="AF5561" s="10"/>
      <c r="AG5561" s="10"/>
      <c r="AH5561" s="10"/>
      <c r="AI5561" s="10"/>
      <c r="AJ5561" s="10"/>
      <c r="AK5561" s="10"/>
      <c r="AL5561" s="10"/>
      <c r="AM5561" s="10"/>
      <c r="AN5561" s="10"/>
      <c r="AO5561" s="10"/>
      <c r="AP5561" s="10"/>
      <c r="AQ5561" s="10"/>
      <c r="AR5561" s="10"/>
      <c r="AS5561" s="10"/>
      <c r="AT5561" s="10"/>
      <c r="AU5561" s="10"/>
      <c r="AV5561" s="10"/>
      <c r="AW5561" s="10"/>
      <c r="AX5561" s="10"/>
      <c r="AY5561" s="10"/>
      <c r="AZ5561" s="10"/>
    </row>
    <row r="5562" spans="31:52">
      <c r="AE5562" s="10"/>
      <c r="AF5562" s="10"/>
      <c r="AG5562" s="10"/>
      <c r="AH5562" s="10"/>
      <c r="AI5562" s="10"/>
      <c r="AJ5562" s="10"/>
      <c r="AK5562" s="10"/>
      <c r="AL5562" s="10"/>
      <c r="AM5562" s="10"/>
      <c r="AN5562" s="10"/>
      <c r="AO5562" s="10"/>
      <c r="AP5562" s="10"/>
      <c r="AQ5562" s="10"/>
      <c r="AR5562" s="10"/>
      <c r="AS5562" s="10"/>
      <c r="AT5562" s="10"/>
      <c r="AU5562" s="10"/>
      <c r="AV5562" s="10"/>
      <c r="AW5562" s="10"/>
      <c r="AX5562" s="10"/>
      <c r="AY5562" s="10"/>
      <c r="AZ5562" s="10"/>
    </row>
    <row r="5563" spans="31:52">
      <c r="AE5563" s="10"/>
      <c r="AF5563" s="10"/>
      <c r="AG5563" s="10"/>
      <c r="AH5563" s="10"/>
      <c r="AI5563" s="10"/>
      <c r="AJ5563" s="10"/>
      <c r="AK5563" s="10"/>
      <c r="AL5563" s="10"/>
      <c r="AM5563" s="10"/>
      <c r="AN5563" s="10"/>
      <c r="AO5563" s="10"/>
      <c r="AP5563" s="10"/>
      <c r="AQ5563" s="10"/>
      <c r="AR5563" s="10"/>
      <c r="AS5563" s="10"/>
      <c r="AT5563" s="10"/>
      <c r="AU5563" s="10"/>
      <c r="AV5563" s="10"/>
      <c r="AW5563" s="10"/>
      <c r="AX5563" s="10"/>
      <c r="AY5563" s="10"/>
      <c r="AZ5563" s="10"/>
    </row>
    <row r="5564" spans="31:52">
      <c r="AE5564" s="10"/>
      <c r="AF5564" s="10"/>
      <c r="AG5564" s="10"/>
      <c r="AH5564" s="10"/>
      <c r="AI5564" s="10"/>
      <c r="AJ5564" s="10"/>
      <c r="AK5564" s="10"/>
      <c r="AL5564" s="10"/>
      <c r="AM5564" s="10"/>
      <c r="AN5564" s="10"/>
      <c r="AO5564" s="10"/>
      <c r="AP5564" s="10"/>
      <c r="AQ5564" s="10"/>
      <c r="AR5564" s="10"/>
      <c r="AS5564" s="10"/>
      <c r="AT5564" s="10"/>
      <c r="AU5564" s="10"/>
      <c r="AV5564" s="10"/>
      <c r="AW5564" s="10"/>
      <c r="AX5564" s="10"/>
      <c r="AY5564" s="10"/>
      <c r="AZ5564" s="10"/>
    </row>
    <row r="5565" spans="31:52">
      <c r="AE5565" s="10"/>
      <c r="AF5565" s="10"/>
      <c r="AG5565" s="10"/>
      <c r="AH5565" s="10"/>
      <c r="AI5565" s="10"/>
      <c r="AJ5565" s="10"/>
      <c r="AK5565" s="10"/>
      <c r="AL5565" s="10"/>
      <c r="AM5565" s="10"/>
      <c r="AN5565" s="10"/>
      <c r="AO5565" s="10"/>
      <c r="AP5565" s="10"/>
      <c r="AQ5565" s="10"/>
      <c r="AR5565" s="10"/>
      <c r="AS5565" s="10"/>
      <c r="AT5565" s="10"/>
      <c r="AU5565" s="10"/>
      <c r="AV5565" s="10"/>
      <c r="AW5565" s="10"/>
      <c r="AX5565" s="10"/>
      <c r="AY5565" s="10"/>
      <c r="AZ5565" s="10"/>
    </row>
    <row r="5566" spans="31:52">
      <c r="AE5566" s="10"/>
      <c r="AF5566" s="10"/>
      <c r="AG5566" s="10"/>
      <c r="AH5566" s="10"/>
      <c r="AI5566" s="10"/>
      <c r="AJ5566" s="10"/>
      <c r="AK5566" s="10"/>
      <c r="AL5566" s="10"/>
      <c r="AM5566" s="10"/>
      <c r="AN5566" s="10"/>
      <c r="AO5566" s="10"/>
      <c r="AP5566" s="10"/>
      <c r="AQ5566" s="10"/>
      <c r="AR5566" s="10"/>
      <c r="AS5566" s="10"/>
      <c r="AT5566" s="10"/>
      <c r="AU5566" s="10"/>
      <c r="AV5566" s="10"/>
      <c r="AW5566" s="10"/>
      <c r="AX5566" s="10"/>
      <c r="AY5566" s="10"/>
      <c r="AZ5566" s="10"/>
    </row>
    <row r="5567" spans="31:52">
      <c r="AE5567" s="10"/>
      <c r="AF5567" s="10"/>
      <c r="AG5567" s="10"/>
      <c r="AH5567" s="10"/>
      <c r="AI5567" s="10"/>
      <c r="AJ5567" s="10"/>
      <c r="AK5567" s="10"/>
      <c r="AL5567" s="10"/>
      <c r="AM5567" s="10"/>
      <c r="AN5567" s="10"/>
      <c r="AO5567" s="10"/>
      <c r="AP5567" s="10"/>
      <c r="AQ5567" s="10"/>
      <c r="AR5567" s="10"/>
      <c r="AS5567" s="10"/>
      <c r="AT5567" s="10"/>
      <c r="AU5567" s="10"/>
      <c r="AV5567" s="10"/>
      <c r="AW5567" s="10"/>
      <c r="AX5567" s="10"/>
      <c r="AY5567" s="10"/>
      <c r="AZ5567" s="10"/>
    </row>
    <row r="5568" spans="31:52">
      <c r="AE5568" s="10"/>
      <c r="AF5568" s="10"/>
      <c r="AG5568" s="10"/>
      <c r="AH5568" s="10"/>
      <c r="AI5568" s="10"/>
      <c r="AJ5568" s="10"/>
      <c r="AK5568" s="10"/>
      <c r="AL5568" s="10"/>
      <c r="AM5568" s="10"/>
      <c r="AN5568" s="10"/>
      <c r="AO5568" s="10"/>
      <c r="AP5568" s="10"/>
      <c r="AQ5568" s="10"/>
      <c r="AR5568" s="10"/>
      <c r="AS5568" s="10"/>
      <c r="AT5568" s="10"/>
      <c r="AU5568" s="10"/>
      <c r="AV5568" s="10"/>
      <c r="AW5568" s="10"/>
      <c r="AX5568" s="10"/>
      <c r="AY5568" s="10"/>
      <c r="AZ5568" s="10"/>
    </row>
    <row r="5569" spans="31:52">
      <c r="AE5569" s="10"/>
      <c r="AF5569" s="10"/>
      <c r="AG5569" s="10"/>
      <c r="AH5569" s="10"/>
      <c r="AI5569" s="10"/>
      <c r="AJ5569" s="10"/>
      <c r="AK5569" s="10"/>
      <c r="AL5569" s="10"/>
      <c r="AM5569" s="10"/>
      <c r="AN5569" s="10"/>
      <c r="AO5569" s="10"/>
      <c r="AP5569" s="10"/>
      <c r="AQ5569" s="10"/>
      <c r="AR5569" s="10"/>
      <c r="AS5569" s="10"/>
      <c r="AT5569" s="10"/>
      <c r="AU5569" s="10"/>
      <c r="AV5569" s="10"/>
      <c r="AW5569" s="10"/>
      <c r="AX5569" s="10"/>
      <c r="AY5569" s="10"/>
      <c r="AZ5569" s="10"/>
    </row>
    <row r="5570" spans="31:52">
      <c r="AE5570" s="10"/>
      <c r="AF5570" s="10"/>
      <c r="AG5570" s="10"/>
      <c r="AH5570" s="10"/>
      <c r="AI5570" s="10"/>
      <c r="AJ5570" s="10"/>
      <c r="AK5570" s="10"/>
      <c r="AL5570" s="10"/>
      <c r="AM5570" s="10"/>
      <c r="AN5570" s="10"/>
      <c r="AO5570" s="10"/>
      <c r="AP5570" s="10"/>
      <c r="AQ5570" s="10"/>
      <c r="AR5570" s="10"/>
      <c r="AS5570" s="10"/>
      <c r="AT5570" s="10"/>
      <c r="AU5570" s="10"/>
      <c r="AV5570" s="10"/>
      <c r="AW5570" s="10"/>
      <c r="AX5570" s="10"/>
      <c r="AY5570" s="10"/>
      <c r="AZ5570" s="10"/>
    </row>
    <row r="5571" spans="31:52">
      <c r="AE5571" s="10"/>
      <c r="AF5571" s="10"/>
      <c r="AG5571" s="10"/>
      <c r="AH5571" s="10"/>
      <c r="AI5571" s="10"/>
      <c r="AJ5571" s="10"/>
      <c r="AK5571" s="10"/>
      <c r="AL5571" s="10"/>
      <c r="AM5571" s="10"/>
      <c r="AN5571" s="10"/>
      <c r="AO5571" s="10"/>
      <c r="AP5571" s="10"/>
      <c r="AQ5571" s="10"/>
      <c r="AR5571" s="10"/>
      <c r="AS5571" s="10"/>
      <c r="AT5571" s="10"/>
      <c r="AU5571" s="10"/>
      <c r="AV5571" s="10"/>
      <c r="AW5571" s="10"/>
      <c r="AX5571" s="10"/>
      <c r="AY5571" s="10"/>
      <c r="AZ5571" s="10"/>
    </row>
    <row r="5572" spans="31:52">
      <c r="AE5572" s="10"/>
      <c r="AF5572" s="10"/>
      <c r="AG5572" s="10"/>
      <c r="AH5572" s="10"/>
      <c r="AI5572" s="10"/>
      <c r="AJ5572" s="10"/>
      <c r="AK5572" s="10"/>
      <c r="AL5572" s="10"/>
      <c r="AM5572" s="10"/>
      <c r="AN5572" s="10"/>
      <c r="AO5572" s="10"/>
      <c r="AP5572" s="10"/>
      <c r="AQ5572" s="10"/>
      <c r="AR5572" s="10"/>
      <c r="AS5572" s="10"/>
      <c r="AT5572" s="10"/>
      <c r="AU5572" s="10"/>
      <c r="AV5572" s="10"/>
      <c r="AW5572" s="10"/>
      <c r="AX5572" s="10"/>
      <c r="AY5572" s="10"/>
      <c r="AZ5572" s="10"/>
    </row>
    <row r="5573" spans="31:52">
      <c r="AE5573" s="10"/>
      <c r="AF5573" s="10"/>
      <c r="AG5573" s="10"/>
      <c r="AH5573" s="10"/>
      <c r="AI5573" s="10"/>
      <c r="AJ5573" s="10"/>
      <c r="AK5573" s="10"/>
      <c r="AL5573" s="10"/>
      <c r="AM5573" s="10"/>
      <c r="AN5573" s="10"/>
      <c r="AO5573" s="10"/>
      <c r="AP5573" s="10"/>
      <c r="AQ5573" s="10"/>
      <c r="AR5573" s="10"/>
      <c r="AS5573" s="10"/>
      <c r="AT5573" s="10"/>
      <c r="AU5573" s="10"/>
      <c r="AV5573" s="10"/>
      <c r="AW5573" s="10"/>
      <c r="AX5573" s="10"/>
      <c r="AY5573" s="10"/>
      <c r="AZ5573" s="10"/>
    </row>
    <row r="5574" spans="31:52">
      <c r="AE5574" s="10"/>
      <c r="AF5574" s="10"/>
      <c r="AG5574" s="10"/>
      <c r="AH5574" s="10"/>
      <c r="AI5574" s="10"/>
      <c r="AJ5574" s="10"/>
      <c r="AK5574" s="10"/>
      <c r="AL5574" s="10"/>
      <c r="AM5574" s="10"/>
      <c r="AN5574" s="10"/>
      <c r="AO5574" s="10"/>
      <c r="AP5574" s="10"/>
      <c r="AQ5574" s="10"/>
      <c r="AR5574" s="10"/>
      <c r="AS5574" s="10"/>
      <c r="AT5574" s="10"/>
      <c r="AU5574" s="10"/>
      <c r="AV5574" s="10"/>
      <c r="AW5574" s="10"/>
      <c r="AX5574" s="10"/>
      <c r="AY5574" s="10"/>
      <c r="AZ5574" s="10"/>
    </row>
    <row r="5575" spans="31:52">
      <c r="AE5575" s="10"/>
      <c r="AF5575" s="10"/>
      <c r="AG5575" s="10"/>
      <c r="AH5575" s="10"/>
      <c r="AI5575" s="10"/>
      <c r="AJ5575" s="10"/>
      <c r="AK5575" s="10"/>
      <c r="AL5575" s="10"/>
      <c r="AM5575" s="10"/>
      <c r="AN5575" s="10"/>
      <c r="AO5575" s="10"/>
      <c r="AP5575" s="10"/>
      <c r="AQ5575" s="10"/>
      <c r="AR5575" s="10"/>
      <c r="AS5575" s="10"/>
      <c r="AT5575" s="10"/>
      <c r="AU5575" s="10"/>
      <c r="AV5575" s="10"/>
      <c r="AW5575" s="10"/>
      <c r="AX5575" s="10"/>
      <c r="AY5575" s="10"/>
      <c r="AZ5575" s="10"/>
    </row>
    <row r="5576" spans="31:52">
      <c r="AE5576" s="10"/>
      <c r="AF5576" s="10"/>
      <c r="AG5576" s="10"/>
      <c r="AH5576" s="10"/>
      <c r="AI5576" s="10"/>
      <c r="AJ5576" s="10"/>
      <c r="AK5576" s="10"/>
      <c r="AL5576" s="10"/>
      <c r="AM5576" s="10"/>
      <c r="AN5576" s="10"/>
      <c r="AO5576" s="10"/>
      <c r="AP5576" s="10"/>
      <c r="AQ5576" s="10"/>
      <c r="AR5576" s="10"/>
      <c r="AS5576" s="10"/>
      <c r="AT5576" s="10"/>
      <c r="AU5576" s="10"/>
      <c r="AV5576" s="10"/>
      <c r="AW5576" s="10"/>
      <c r="AX5576" s="10"/>
      <c r="AY5576" s="10"/>
      <c r="AZ5576" s="10"/>
    </row>
    <row r="5577" spans="31:52">
      <c r="AE5577" s="10"/>
      <c r="AF5577" s="10"/>
      <c r="AG5577" s="10"/>
      <c r="AH5577" s="10"/>
      <c r="AI5577" s="10"/>
      <c r="AJ5577" s="10"/>
      <c r="AK5577" s="10"/>
      <c r="AL5577" s="10"/>
      <c r="AM5577" s="10"/>
      <c r="AN5577" s="10"/>
      <c r="AO5577" s="10"/>
      <c r="AP5577" s="10"/>
      <c r="AQ5577" s="10"/>
      <c r="AR5577" s="10"/>
      <c r="AS5577" s="10"/>
      <c r="AT5577" s="10"/>
      <c r="AU5577" s="10"/>
      <c r="AV5577" s="10"/>
      <c r="AW5577" s="10"/>
      <c r="AX5577" s="10"/>
      <c r="AY5577" s="10"/>
      <c r="AZ5577" s="10"/>
    </row>
    <row r="5578" spans="31:52">
      <c r="AE5578" s="10"/>
      <c r="AF5578" s="10"/>
      <c r="AG5578" s="10"/>
      <c r="AH5578" s="10"/>
      <c r="AI5578" s="10"/>
      <c r="AJ5578" s="10"/>
      <c r="AK5578" s="10"/>
      <c r="AL5578" s="10"/>
      <c r="AM5578" s="10"/>
      <c r="AN5578" s="10"/>
      <c r="AO5578" s="10"/>
      <c r="AP5578" s="10"/>
      <c r="AQ5578" s="10"/>
      <c r="AR5578" s="10"/>
      <c r="AS5578" s="10"/>
      <c r="AT5578" s="10"/>
      <c r="AU5578" s="10"/>
      <c r="AV5578" s="10"/>
      <c r="AW5578" s="10"/>
      <c r="AX5578" s="10"/>
      <c r="AY5578" s="10"/>
      <c r="AZ5578" s="10"/>
    </row>
    <row r="5579" spans="31:52">
      <c r="AE5579" s="10"/>
      <c r="AF5579" s="10"/>
      <c r="AG5579" s="10"/>
      <c r="AH5579" s="10"/>
      <c r="AI5579" s="10"/>
      <c r="AJ5579" s="10"/>
      <c r="AK5579" s="10"/>
      <c r="AL5579" s="10"/>
      <c r="AM5579" s="10"/>
      <c r="AN5579" s="10"/>
      <c r="AO5579" s="10"/>
      <c r="AP5579" s="10"/>
      <c r="AQ5579" s="10"/>
      <c r="AR5579" s="10"/>
      <c r="AS5579" s="10"/>
      <c r="AT5579" s="10"/>
      <c r="AU5579" s="10"/>
      <c r="AV5579" s="10"/>
      <c r="AW5579" s="10"/>
      <c r="AX5579" s="10"/>
      <c r="AY5579" s="10"/>
      <c r="AZ5579" s="10"/>
    </row>
    <row r="5580" spans="31:52">
      <c r="AE5580" s="10"/>
      <c r="AF5580" s="10"/>
      <c r="AG5580" s="10"/>
      <c r="AH5580" s="10"/>
      <c r="AI5580" s="10"/>
      <c r="AJ5580" s="10"/>
      <c r="AK5580" s="10"/>
      <c r="AL5580" s="10"/>
      <c r="AM5580" s="10"/>
      <c r="AN5580" s="10"/>
      <c r="AO5580" s="10"/>
      <c r="AP5580" s="10"/>
      <c r="AQ5580" s="10"/>
      <c r="AR5580" s="10"/>
      <c r="AS5580" s="10"/>
      <c r="AT5580" s="10"/>
      <c r="AU5580" s="10"/>
      <c r="AV5580" s="10"/>
      <c r="AW5580" s="10"/>
      <c r="AX5580" s="10"/>
      <c r="AY5580" s="10"/>
      <c r="AZ5580" s="10"/>
    </row>
    <row r="5581" spans="31:52">
      <c r="AE5581" s="10"/>
      <c r="AF5581" s="10"/>
      <c r="AG5581" s="10"/>
      <c r="AH5581" s="10"/>
      <c r="AI5581" s="10"/>
      <c r="AJ5581" s="10"/>
      <c r="AK5581" s="10"/>
      <c r="AL5581" s="10"/>
      <c r="AM5581" s="10"/>
      <c r="AN5581" s="10"/>
      <c r="AO5581" s="10"/>
      <c r="AP5581" s="10"/>
      <c r="AQ5581" s="10"/>
      <c r="AR5581" s="10"/>
      <c r="AS5581" s="10"/>
      <c r="AT5581" s="10"/>
      <c r="AU5581" s="10"/>
      <c r="AV5581" s="10"/>
      <c r="AW5581" s="10"/>
      <c r="AX5581" s="10"/>
      <c r="AY5581" s="10"/>
      <c r="AZ5581" s="10"/>
    </row>
    <row r="5582" spans="31:52">
      <c r="AE5582" s="10"/>
      <c r="AF5582" s="10"/>
      <c r="AG5582" s="10"/>
      <c r="AH5582" s="10"/>
      <c r="AI5582" s="10"/>
      <c r="AJ5582" s="10"/>
      <c r="AK5582" s="10"/>
      <c r="AL5582" s="10"/>
      <c r="AM5582" s="10"/>
      <c r="AN5582" s="10"/>
      <c r="AO5582" s="10"/>
      <c r="AP5582" s="10"/>
      <c r="AQ5582" s="10"/>
      <c r="AR5582" s="10"/>
      <c r="AS5582" s="10"/>
      <c r="AT5582" s="10"/>
      <c r="AU5582" s="10"/>
      <c r="AV5582" s="10"/>
      <c r="AW5582" s="10"/>
      <c r="AX5582" s="10"/>
      <c r="AY5582" s="10"/>
      <c r="AZ5582" s="10"/>
    </row>
    <row r="5583" spans="31:52">
      <c r="AE5583" s="10"/>
      <c r="AF5583" s="10"/>
      <c r="AG5583" s="10"/>
      <c r="AH5583" s="10"/>
      <c r="AI5583" s="10"/>
      <c r="AJ5583" s="10"/>
      <c r="AK5583" s="10"/>
      <c r="AL5583" s="10"/>
      <c r="AM5583" s="10"/>
      <c r="AN5583" s="10"/>
      <c r="AO5583" s="10"/>
      <c r="AP5583" s="10"/>
      <c r="AQ5583" s="10"/>
      <c r="AR5583" s="10"/>
      <c r="AS5583" s="10"/>
      <c r="AT5583" s="10"/>
      <c r="AU5583" s="10"/>
      <c r="AV5583" s="10"/>
      <c r="AW5583" s="10"/>
      <c r="AX5583" s="10"/>
      <c r="AY5583" s="10"/>
      <c r="AZ5583" s="10"/>
    </row>
    <row r="5584" spans="31:52">
      <c r="AE5584" s="10"/>
      <c r="AF5584" s="10"/>
      <c r="AG5584" s="10"/>
      <c r="AH5584" s="10"/>
      <c r="AI5584" s="10"/>
      <c r="AJ5584" s="10"/>
      <c r="AK5584" s="10"/>
      <c r="AL5584" s="10"/>
      <c r="AM5584" s="10"/>
      <c r="AN5584" s="10"/>
      <c r="AO5584" s="10"/>
      <c r="AP5584" s="10"/>
      <c r="AQ5584" s="10"/>
      <c r="AR5584" s="10"/>
      <c r="AS5584" s="10"/>
      <c r="AT5584" s="10"/>
      <c r="AU5584" s="10"/>
      <c r="AV5584" s="10"/>
      <c r="AW5584" s="10"/>
      <c r="AX5584" s="10"/>
      <c r="AY5584" s="10"/>
      <c r="AZ5584" s="10"/>
    </row>
    <row r="5585" spans="31:52">
      <c r="AE5585" s="10"/>
      <c r="AF5585" s="10"/>
      <c r="AG5585" s="10"/>
      <c r="AH5585" s="10"/>
      <c r="AI5585" s="10"/>
      <c r="AJ5585" s="10"/>
      <c r="AK5585" s="10"/>
      <c r="AL5585" s="10"/>
      <c r="AM5585" s="10"/>
      <c r="AN5585" s="10"/>
      <c r="AO5585" s="10"/>
      <c r="AP5585" s="10"/>
      <c r="AQ5585" s="10"/>
      <c r="AR5585" s="10"/>
      <c r="AS5585" s="10"/>
      <c r="AT5585" s="10"/>
      <c r="AU5585" s="10"/>
      <c r="AV5585" s="10"/>
      <c r="AW5585" s="10"/>
      <c r="AX5585" s="10"/>
      <c r="AY5585" s="10"/>
      <c r="AZ5585" s="10"/>
    </row>
    <row r="5586" spans="31:52">
      <c r="AE5586" s="10"/>
      <c r="AF5586" s="10"/>
      <c r="AG5586" s="10"/>
      <c r="AH5586" s="10"/>
      <c r="AI5586" s="10"/>
      <c r="AJ5586" s="10"/>
      <c r="AK5586" s="10"/>
      <c r="AL5586" s="10"/>
      <c r="AM5586" s="10"/>
      <c r="AN5586" s="10"/>
      <c r="AO5586" s="10"/>
      <c r="AP5586" s="10"/>
      <c r="AQ5586" s="10"/>
      <c r="AR5586" s="10"/>
      <c r="AS5586" s="10"/>
      <c r="AT5586" s="10"/>
      <c r="AU5586" s="10"/>
      <c r="AV5586" s="10"/>
      <c r="AW5586" s="10"/>
      <c r="AX5586" s="10"/>
      <c r="AY5586" s="10"/>
      <c r="AZ5586" s="10"/>
    </row>
    <row r="5587" spans="31:52">
      <c r="AE5587" s="10"/>
      <c r="AF5587" s="10"/>
      <c r="AG5587" s="10"/>
      <c r="AH5587" s="10"/>
      <c r="AI5587" s="10"/>
      <c r="AJ5587" s="10"/>
      <c r="AK5587" s="10"/>
      <c r="AL5587" s="10"/>
      <c r="AM5587" s="10"/>
      <c r="AN5587" s="10"/>
      <c r="AO5587" s="10"/>
      <c r="AP5587" s="10"/>
      <c r="AQ5587" s="10"/>
      <c r="AR5587" s="10"/>
      <c r="AS5587" s="10"/>
      <c r="AT5587" s="10"/>
      <c r="AU5587" s="10"/>
      <c r="AV5587" s="10"/>
      <c r="AW5587" s="10"/>
      <c r="AX5587" s="10"/>
      <c r="AY5587" s="10"/>
      <c r="AZ5587" s="10"/>
    </row>
    <row r="5588" spans="31:52">
      <c r="AE5588" s="10"/>
      <c r="AF5588" s="10"/>
      <c r="AG5588" s="10"/>
      <c r="AH5588" s="10"/>
      <c r="AI5588" s="10"/>
      <c r="AJ5588" s="10"/>
      <c r="AK5588" s="10"/>
      <c r="AL5588" s="10"/>
      <c r="AM5588" s="10"/>
      <c r="AN5588" s="10"/>
      <c r="AO5588" s="10"/>
      <c r="AP5588" s="10"/>
      <c r="AQ5588" s="10"/>
      <c r="AR5588" s="10"/>
      <c r="AS5588" s="10"/>
      <c r="AT5588" s="10"/>
      <c r="AU5588" s="10"/>
      <c r="AV5588" s="10"/>
      <c r="AW5588" s="10"/>
      <c r="AX5588" s="10"/>
      <c r="AY5588" s="10"/>
      <c r="AZ5588" s="10"/>
    </row>
    <row r="5589" spans="31:52">
      <c r="AE5589" s="10"/>
      <c r="AF5589" s="10"/>
      <c r="AG5589" s="10"/>
      <c r="AH5589" s="10"/>
      <c r="AI5589" s="10"/>
      <c r="AJ5589" s="10"/>
      <c r="AK5589" s="10"/>
      <c r="AL5589" s="10"/>
      <c r="AM5589" s="10"/>
      <c r="AN5589" s="10"/>
      <c r="AO5589" s="10"/>
      <c r="AP5589" s="10"/>
      <c r="AQ5589" s="10"/>
      <c r="AR5589" s="10"/>
      <c r="AS5589" s="10"/>
      <c r="AT5589" s="10"/>
      <c r="AU5589" s="10"/>
      <c r="AV5589" s="10"/>
      <c r="AW5589" s="10"/>
      <c r="AX5589" s="10"/>
      <c r="AY5589" s="10"/>
      <c r="AZ5589" s="10"/>
    </row>
    <row r="5590" spans="31:52">
      <c r="AE5590" s="10"/>
      <c r="AF5590" s="10"/>
      <c r="AG5590" s="10"/>
      <c r="AH5590" s="10"/>
      <c r="AI5590" s="10"/>
      <c r="AJ5590" s="10"/>
      <c r="AK5590" s="10"/>
      <c r="AL5590" s="10"/>
      <c r="AM5590" s="10"/>
      <c r="AN5590" s="10"/>
      <c r="AO5590" s="10"/>
      <c r="AP5590" s="10"/>
      <c r="AQ5590" s="10"/>
      <c r="AR5590" s="10"/>
      <c r="AS5590" s="10"/>
      <c r="AT5590" s="10"/>
      <c r="AU5590" s="10"/>
      <c r="AV5590" s="10"/>
      <c r="AW5590" s="10"/>
      <c r="AX5590" s="10"/>
      <c r="AY5590" s="10"/>
      <c r="AZ5590" s="10"/>
    </row>
    <row r="5591" spans="31:52">
      <c r="AE5591" s="10"/>
      <c r="AF5591" s="10"/>
      <c r="AG5591" s="10"/>
      <c r="AH5591" s="10"/>
      <c r="AI5591" s="10"/>
      <c r="AJ5591" s="10"/>
      <c r="AK5591" s="10"/>
      <c r="AL5591" s="10"/>
      <c r="AM5591" s="10"/>
      <c r="AN5591" s="10"/>
      <c r="AO5591" s="10"/>
      <c r="AP5591" s="10"/>
      <c r="AQ5591" s="10"/>
      <c r="AR5591" s="10"/>
      <c r="AS5591" s="10"/>
      <c r="AT5591" s="10"/>
      <c r="AU5591" s="10"/>
      <c r="AV5591" s="10"/>
      <c r="AW5591" s="10"/>
      <c r="AX5591" s="10"/>
      <c r="AY5591" s="10"/>
      <c r="AZ5591" s="10"/>
    </row>
    <row r="5592" spans="31:52">
      <c r="AE5592" s="10"/>
      <c r="AF5592" s="10"/>
      <c r="AG5592" s="10"/>
      <c r="AH5592" s="10"/>
      <c r="AI5592" s="10"/>
      <c r="AJ5592" s="10"/>
      <c r="AK5592" s="10"/>
      <c r="AL5592" s="10"/>
      <c r="AM5592" s="10"/>
      <c r="AN5592" s="10"/>
      <c r="AO5592" s="10"/>
      <c r="AP5592" s="10"/>
      <c r="AQ5592" s="10"/>
      <c r="AR5592" s="10"/>
      <c r="AS5592" s="10"/>
      <c r="AT5592" s="10"/>
      <c r="AU5592" s="10"/>
      <c r="AV5592" s="10"/>
      <c r="AW5592" s="10"/>
      <c r="AX5592" s="10"/>
      <c r="AY5592" s="10"/>
      <c r="AZ5592" s="10"/>
    </row>
    <row r="5593" spans="31:52">
      <c r="AE5593" s="10"/>
      <c r="AF5593" s="10"/>
      <c r="AG5593" s="10"/>
      <c r="AH5593" s="10"/>
      <c r="AI5593" s="10"/>
      <c r="AJ5593" s="10"/>
      <c r="AK5593" s="10"/>
      <c r="AL5593" s="10"/>
      <c r="AM5593" s="10"/>
      <c r="AN5593" s="10"/>
      <c r="AO5593" s="10"/>
      <c r="AP5593" s="10"/>
      <c r="AQ5593" s="10"/>
      <c r="AR5593" s="10"/>
      <c r="AS5593" s="10"/>
      <c r="AT5593" s="10"/>
      <c r="AU5593" s="10"/>
      <c r="AV5593" s="10"/>
      <c r="AW5593" s="10"/>
      <c r="AX5593" s="10"/>
      <c r="AY5593" s="10"/>
      <c r="AZ5593" s="10"/>
    </row>
    <row r="5594" spans="31:52">
      <c r="AE5594" s="10"/>
      <c r="AF5594" s="10"/>
      <c r="AG5594" s="10"/>
      <c r="AH5594" s="10"/>
      <c r="AI5594" s="10"/>
      <c r="AJ5594" s="10"/>
      <c r="AK5594" s="10"/>
      <c r="AL5594" s="10"/>
      <c r="AM5594" s="10"/>
      <c r="AN5594" s="10"/>
      <c r="AO5594" s="10"/>
      <c r="AP5594" s="10"/>
      <c r="AQ5594" s="10"/>
      <c r="AR5594" s="10"/>
      <c r="AS5594" s="10"/>
      <c r="AT5594" s="10"/>
      <c r="AU5594" s="10"/>
      <c r="AV5594" s="10"/>
      <c r="AW5594" s="10"/>
      <c r="AX5594" s="10"/>
      <c r="AY5594" s="10"/>
      <c r="AZ5594" s="10"/>
    </row>
    <row r="5595" spans="31:52">
      <c r="AE5595" s="10"/>
      <c r="AF5595" s="10"/>
      <c r="AG5595" s="10"/>
      <c r="AH5595" s="10"/>
      <c r="AI5595" s="10"/>
      <c r="AJ5595" s="10"/>
      <c r="AK5595" s="10"/>
      <c r="AL5595" s="10"/>
      <c r="AM5595" s="10"/>
      <c r="AN5595" s="10"/>
      <c r="AO5595" s="10"/>
      <c r="AP5595" s="10"/>
      <c r="AQ5595" s="10"/>
      <c r="AR5595" s="10"/>
      <c r="AS5595" s="10"/>
      <c r="AT5595" s="10"/>
      <c r="AU5595" s="10"/>
      <c r="AV5595" s="10"/>
      <c r="AW5595" s="10"/>
      <c r="AX5595" s="10"/>
      <c r="AY5595" s="10"/>
      <c r="AZ5595" s="10"/>
    </row>
    <row r="5596" spans="31:52">
      <c r="AE5596" s="10"/>
      <c r="AF5596" s="10"/>
      <c r="AG5596" s="10"/>
      <c r="AH5596" s="10"/>
      <c r="AI5596" s="10"/>
      <c r="AJ5596" s="10"/>
      <c r="AK5596" s="10"/>
      <c r="AL5596" s="10"/>
      <c r="AM5596" s="10"/>
      <c r="AN5596" s="10"/>
      <c r="AO5596" s="10"/>
      <c r="AP5596" s="10"/>
      <c r="AQ5596" s="10"/>
      <c r="AR5596" s="10"/>
      <c r="AS5596" s="10"/>
      <c r="AT5596" s="10"/>
      <c r="AU5596" s="10"/>
      <c r="AV5596" s="10"/>
      <c r="AW5596" s="10"/>
      <c r="AX5596" s="10"/>
      <c r="AY5596" s="10"/>
      <c r="AZ5596" s="10"/>
    </row>
    <row r="5597" spans="31:52">
      <c r="AE5597" s="10"/>
      <c r="AF5597" s="10"/>
      <c r="AG5597" s="10"/>
      <c r="AH5597" s="10"/>
      <c r="AI5597" s="10"/>
      <c r="AJ5597" s="10"/>
      <c r="AK5597" s="10"/>
      <c r="AL5597" s="10"/>
      <c r="AM5597" s="10"/>
      <c r="AN5597" s="10"/>
      <c r="AO5597" s="10"/>
      <c r="AP5597" s="10"/>
      <c r="AQ5597" s="10"/>
      <c r="AR5597" s="10"/>
      <c r="AS5597" s="10"/>
      <c r="AT5597" s="10"/>
      <c r="AU5597" s="10"/>
      <c r="AV5597" s="10"/>
      <c r="AW5597" s="10"/>
      <c r="AX5597" s="10"/>
      <c r="AY5597" s="10"/>
      <c r="AZ5597" s="10"/>
    </row>
    <row r="5598" spans="31:52">
      <c r="AE5598" s="10"/>
      <c r="AF5598" s="10"/>
      <c r="AG5598" s="10"/>
      <c r="AH5598" s="10"/>
      <c r="AI5598" s="10"/>
      <c r="AJ5598" s="10"/>
      <c r="AK5598" s="10"/>
      <c r="AL5598" s="10"/>
      <c r="AM5598" s="10"/>
      <c r="AN5598" s="10"/>
      <c r="AO5598" s="10"/>
      <c r="AP5598" s="10"/>
      <c r="AQ5598" s="10"/>
      <c r="AR5598" s="10"/>
      <c r="AS5598" s="10"/>
      <c r="AT5598" s="10"/>
      <c r="AU5598" s="10"/>
      <c r="AV5598" s="10"/>
      <c r="AW5598" s="10"/>
      <c r="AX5598" s="10"/>
      <c r="AY5598" s="10"/>
      <c r="AZ5598" s="10"/>
    </row>
    <row r="5599" spans="31:52">
      <c r="AE5599" s="10"/>
      <c r="AF5599" s="10"/>
      <c r="AG5599" s="10"/>
      <c r="AH5599" s="10"/>
      <c r="AI5599" s="10"/>
      <c r="AJ5599" s="10"/>
      <c r="AK5599" s="10"/>
      <c r="AL5599" s="10"/>
      <c r="AM5599" s="10"/>
      <c r="AN5599" s="10"/>
      <c r="AO5599" s="10"/>
      <c r="AP5599" s="10"/>
      <c r="AQ5599" s="10"/>
      <c r="AR5599" s="10"/>
      <c r="AS5599" s="10"/>
      <c r="AT5599" s="10"/>
      <c r="AU5599" s="10"/>
      <c r="AV5599" s="10"/>
      <c r="AW5599" s="10"/>
      <c r="AX5599" s="10"/>
      <c r="AY5599" s="10"/>
      <c r="AZ5599" s="10"/>
    </row>
    <row r="5600" spans="31:52">
      <c r="AE5600" s="10"/>
      <c r="AF5600" s="10"/>
      <c r="AG5600" s="10"/>
      <c r="AH5600" s="10"/>
      <c r="AI5600" s="10"/>
      <c r="AJ5600" s="10"/>
      <c r="AK5600" s="10"/>
      <c r="AL5600" s="10"/>
      <c r="AM5600" s="10"/>
      <c r="AN5600" s="10"/>
      <c r="AO5600" s="10"/>
      <c r="AP5600" s="10"/>
      <c r="AQ5600" s="10"/>
      <c r="AR5600" s="10"/>
      <c r="AS5600" s="10"/>
      <c r="AT5600" s="10"/>
      <c r="AU5600" s="10"/>
      <c r="AV5600" s="10"/>
      <c r="AW5600" s="10"/>
      <c r="AX5600" s="10"/>
      <c r="AY5600" s="10"/>
      <c r="AZ5600" s="10"/>
    </row>
    <row r="5601" spans="31:52">
      <c r="AE5601" s="10"/>
      <c r="AF5601" s="10"/>
      <c r="AG5601" s="10"/>
      <c r="AH5601" s="10"/>
      <c r="AI5601" s="10"/>
      <c r="AJ5601" s="10"/>
      <c r="AK5601" s="10"/>
      <c r="AL5601" s="10"/>
      <c r="AM5601" s="10"/>
      <c r="AN5601" s="10"/>
      <c r="AO5601" s="10"/>
      <c r="AP5601" s="10"/>
      <c r="AQ5601" s="10"/>
      <c r="AR5601" s="10"/>
      <c r="AS5601" s="10"/>
      <c r="AT5601" s="10"/>
      <c r="AU5601" s="10"/>
      <c r="AV5601" s="10"/>
      <c r="AW5601" s="10"/>
      <c r="AX5601" s="10"/>
      <c r="AY5601" s="10"/>
      <c r="AZ5601" s="10"/>
    </row>
    <row r="5602" spans="31:52">
      <c r="AE5602" s="10"/>
      <c r="AF5602" s="10"/>
      <c r="AG5602" s="10"/>
      <c r="AH5602" s="10"/>
      <c r="AI5602" s="10"/>
      <c r="AJ5602" s="10"/>
      <c r="AK5602" s="10"/>
      <c r="AL5602" s="10"/>
      <c r="AM5602" s="10"/>
      <c r="AN5602" s="10"/>
      <c r="AO5602" s="10"/>
      <c r="AP5602" s="10"/>
      <c r="AQ5602" s="10"/>
      <c r="AR5602" s="10"/>
      <c r="AS5602" s="10"/>
      <c r="AT5602" s="10"/>
      <c r="AU5602" s="10"/>
      <c r="AV5602" s="10"/>
      <c r="AW5602" s="10"/>
      <c r="AX5602" s="10"/>
      <c r="AY5602" s="10"/>
      <c r="AZ5602" s="10"/>
    </row>
    <row r="5603" spans="31:52">
      <c r="AE5603" s="10"/>
      <c r="AF5603" s="10"/>
      <c r="AG5603" s="10"/>
      <c r="AH5603" s="10"/>
      <c r="AI5603" s="10"/>
      <c r="AJ5603" s="10"/>
      <c r="AK5603" s="10"/>
      <c r="AL5603" s="10"/>
      <c r="AM5603" s="10"/>
      <c r="AN5603" s="10"/>
      <c r="AO5603" s="10"/>
      <c r="AP5603" s="10"/>
      <c r="AQ5603" s="10"/>
      <c r="AR5603" s="10"/>
      <c r="AS5603" s="10"/>
      <c r="AT5603" s="10"/>
      <c r="AU5603" s="10"/>
      <c r="AV5603" s="10"/>
      <c r="AW5603" s="10"/>
      <c r="AX5603" s="10"/>
      <c r="AY5603" s="10"/>
      <c r="AZ5603" s="10"/>
    </row>
    <row r="5604" spans="31:52">
      <c r="AE5604" s="10"/>
      <c r="AF5604" s="10"/>
      <c r="AG5604" s="10"/>
      <c r="AH5604" s="10"/>
      <c r="AI5604" s="10"/>
      <c r="AJ5604" s="10"/>
      <c r="AK5604" s="10"/>
      <c r="AL5604" s="10"/>
      <c r="AM5604" s="10"/>
      <c r="AN5604" s="10"/>
      <c r="AO5604" s="10"/>
      <c r="AP5604" s="10"/>
      <c r="AQ5604" s="10"/>
      <c r="AR5604" s="10"/>
      <c r="AS5604" s="10"/>
      <c r="AT5604" s="10"/>
      <c r="AU5604" s="10"/>
      <c r="AV5604" s="10"/>
      <c r="AW5604" s="10"/>
      <c r="AX5604" s="10"/>
      <c r="AY5604" s="10"/>
      <c r="AZ5604" s="10"/>
    </row>
    <row r="5605" spans="31:52">
      <c r="AE5605" s="10"/>
      <c r="AF5605" s="10"/>
      <c r="AG5605" s="10"/>
      <c r="AH5605" s="10"/>
      <c r="AI5605" s="10"/>
      <c r="AJ5605" s="10"/>
      <c r="AK5605" s="10"/>
      <c r="AL5605" s="10"/>
      <c r="AM5605" s="10"/>
      <c r="AN5605" s="10"/>
      <c r="AO5605" s="10"/>
      <c r="AP5605" s="10"/>
      <c r="AQ5605" s="10"/>
      <c r="AR5605" s="10"/>
      <c r="AS5605" s="10"/>
      <c r="AT5605" s="10"/>
      <c r="AU5605" s="10"/>
      <c r="AV5605" s="10"/>
      <c r="AW5605" s="10"/>
      <c r="AX5605" s="10"/>
      <c r="AY5605" s="10"/>
      <c r="AZ5605" s="10"/>
    </row>
    <row r="5606" spans="31:52">
      <c r="AE5606" s="10"/>
      <c r="AF5606" s="10"/>
      <c r="AG5606" s="10"/>
      <c r="AH5606" s="10"/>
      <c r="AI5606" s="10"/>
      <c r="AJ5606" s="10"/>
      <c r="AK5606" s="10"/>
      <c r="AL5606" s="10"/>
      <c r="AM5606" s="10"/>
      <c r="AN5606" s="10"/>
      <c r="AO5606" s="10"/>
      <c r="AP5606" s="10"/>
      <c r="AQ5606" s="10"/>
      <c r="AR5606" s="10"/>
      <c r="AS5606" s="10"/>
      <c r="AT5606" s="10"/>
      <c r="AU5606" s="10"/>
      <c r="AV5606" s="10"/>
      <c r="AW5606" s="10"/>
      <c r="AX5606" s="10"/>
      <c r="AY5606" s="10"/>
      <c r="AZ5606" s="10"/>
    </row>
    <row r="5607" spans="31:52">
      <c r="AE5607" s="10"/>
      <c r="AF5607" s="10"/>
      <c r="AG5607" s="10"/>
      <c r="AH5607" s="10"/>
      <c r="AI5607" s="10"/>
      <c r="AJ5607" s="10"/>
      <c r="AK5607" s="10"/>
      <c r="AL5607" s="10"/>
      <c r="AM5607" s="10"/>
      <c r="AN5607" s="10"/>
      <c r="AO5607" s="10"/>
      <c r="AP5607" s="10"/>
      <c r="AQ5607" s="10"/>
      <c r="AR5607" s="10"/>
      <c r="AS5607" s="10"/>
      <c r="AT5607" s="10"/>
      <c r="AU5607" s="10"/>
      <c r="AV5607" s="10"/>
      <c r="AW5607" s="10"/>
      <c r="AX5607" s="10"/>
      <c r="AY5607" s="10"/>
      <c r="AZ5607" s="10"/>
    </row>
    <row r="5608" spans="31:52">
      <c r="AE5608" s="10"/>
      <c r="AF5608" s="10"/>
      <c r="AG5608" s="10"/>
      <c r="AH5608" s="10"/>
      <c r="AI5608" s="10"/>
      <c r="AJ5608" s="10"/>
      <c r="AK5608" s="10"/>
      <c r="AL5608" s="10"/>
      <c r="AM5608" s="10"/>
      <c r="AN5608" s="10"/>
      <c r="AO5608" s="10"/>
      <c r="AP5608" s="10"/>
      <c r="AQ5608" s="10"/>
      <c r="AR5608" s="10"/>
      <c r="AS5608" s="10"/>
      <c r="AT5608" s="10"/>
      <c r="AU5608" s="10"/>
      <c r="AV5608" s="10"/>
      <c r="AW5608" s="10"/>
      <c r="AX5608" s="10"/>
      <c r="AY5608" s="10"/>
      <c r="AZ5608" s="10"/>
    </row>
    <row r="5609" spans="31:52">
      <c r="AE5609" s="10"/>
      <c r="AF5609" s="10"/>
      <c r="AG5609" s="10"/>
      <c r="AH5609" s="10"/>
      <c r="AI5609" s="10"/>
      <c r="AJ5609" s="10"/>
      <c r="AK5609" s="10"/>
      <c r="AL5609" s="10"/>
      <c r="AM5609" s="10"/>
      <c r="AN5609" s="10"/>
      <c r="AO5609" s="10"/>
      <c r="AP5609" s="10"/>
      <c r="AQ5609" s="10"/>
      <c r="AR5609" s="10"/>
      <c r="AS5609" s="10"/>
      <c r="AT5609" s="10"/>
      <c r="AU5609" s="10"/>
      <c r="AV5609" s="10"/>
      <c r="AW5609" s="10"/>
      <c r="AX5609" s="10"/>
      <c r="AY5609" s="10"/>
      <c r="AZ5609" s="10"/>
    </row>
    <row r="5610" spans="31:52">
      <c r="AE5610" s="10"/>
      <c r="AF5610" s="10"/>
      <c r="AG5610" s="10"/>
      <c r="AH5610" s="10"/>
      <c r="AI5610" s="10"/>
      <c r="AJ5610" s="10"/>
      <c r="AK5610" s="10"/>
      <c r="AL5610" s="10"/>
      <c r="AM5610" s="10"/>
      <c r="AN5610" s="10"/>
      <c r="AO5610" s="10"/>
      <c r="AP5610" s="10"/>
      <c r="AQ5610" s="10"/>
      <c r="AR5610" s="10"/>
      <c r="AS5610" s="10"/>
      <c r="AT5610" s="10"/>
      <c r="AU5610" s="10"/>
      <c r="AV5610" s="10"/>
      <c r="AW5610" s="10"/>
      <c r="AX5610" s="10"/>
      <c r="AY5610" s="10"/>
      <c r="AZ5610" s="10"/>
    </row>
    <row r="5611" spans="31:52">
      <c r="AE5611" s="10"/>
      <c r="AF5611" s="10"/>
      <c r="AG5611" s="10"/>
      <c r="AH5611" s="10"/>
      <c r="AI5611" s="10"/>
      <c r="AJ5611" s="10"/>
      <c r="AK5611" s="10"/>
      <c r="AL5611" s="10"/>
      <c r="AM5611" s="10"/>
      <c r="AN5611" s="10"/>
      <c r="AO5611" s="10"/>
      <c r="AP5611" s="10"/>
      <c r="AQ5611" s="10"/>
      <c r="AR5611" s="10"/>
      <c r="AS5611" s="10"/>
      <c r="AT5611" s="10"/>
      <c r="AU5611" s="10"/>
      <c r="AV5611" s="10"/>
      <c r="AW5611" s="10"/>
      <c r="AX5611" s="10"/>
      <c r="AY5611" s="10"/>
      <c r="AZ5611" s="10"/>
    </row>
    <row r="5612" spans="31:52">
      <c r="AE5612" s="10"/>
      <c r="AF5612" s="10"/>
      <c r="AG5612" s="10"/>
      <c r="AH5612" s="10"/>
      <c r="AI5612" s="10"/>
      <c r="AJ5612" s="10"/>
      <c r="AK5612" s="10"/>
      <c r="AL5612" s="10"/>
      <c r="AM5612" s="10"/>
      <c r="AN5612" s="10"/>
      <c r="AO5612" s="10"/>
      <c r="AP5612" s="10"/>
      <c r="AQ5612" s="10"/>
      <c r="AR5612" s="10"/>
      <c r="AS5612" s="10"/>
      <c r="AT5612" s="10"/>
      <c r="AU5612" s="10"/>
      <c r="AV5612" s="10"/>
      <c r="AW5612" s="10"/>
      <c r="AX5612" s="10"/>
      <c r="AY5612" s="10"/>
      <c r="AZ5612" s="10"/>
    </row>
    <row r="5613" spans="31:52">
      <c r="AE5613" s="10"/>
      <c r="AF5613" s="10"/>
      <c r="AG5613" s="10"/>
      <c r="AH5613" s="10"/>
      <c r="AI5613" s="10"/>
      <c r="AJ5613" s="10"/>
      <c r="AK5613" s="10"/>
      <c r="AL5613" s="10"/>
      <c r="AM5613" s="10"/>
      <c r="AN5613" s="10"/>
      <c r="AO5613" s="10"/>
      <c r="AP5613" s="10"/>
      <c r="AQ5613" s="10"/>
      <c r="AR5613" s="10"/>
      <c r="AS5613" s="10"/>
      <c r="AT5613" s="10"/>
      <c r="AU5613" s="10"/>
      <c r="AV5613" s="10"/>
      <c r="AW5613" s="10"/>
      <c r="AX5613" s="10"/>
      <c r="AY5613" s="10"/>
      <c r="AZ5613" s="10"/>
    </row>
    <row r="5614" spans="31:52">
      <c r="AE5614" s="10"/>
      <c r="AF5614" s="10"/>
      <c r="AG5614" s="10"/>
      <c r="AH5614" s="10"/>
      <c r="AI5614" s="10"/>
      <c r="AJ5614" s="10"/>
      <c r="AK5614" s="10"/>
      <c r="AL5614" s="10"/>
      <c r="AM5614" s="10"/>
      <c r="AN5614" s="10"/>
      <c r="AO5614" s="10"/>
      <c r="AP5614" s="10"/>
      <c r="AQ5614" s="10"/>
      <c r="AR5614" s="10"/>
      <c r="AS5614" s="10"/>
      <c r="AT5614" s="10"/>
      <c r="AU5614" s="10"/>
      <c r="AV5614" s="10"/>
      <c r="AW5614" s="10"/>
      <c r="AX5614" s="10"/>
      <c r="AY5614" s="10"/>
      <c r="AZ5614" s="10"/>
    </row>
    <row r="5615" spans="31:52">
      <c r="AE5615" s="10"/>
      <c r="AF5615" s="10"/>
      <c r="AG5615" s="10"/>
      <c r="AH5615" s="10"/>
      <c r="AI5615" s="10"/>
      <c r="AJ5615" s="10"/>
      <c r="AK5615" s="10"/>
      <c r="AL5615" s="10"/>
      <c r="AM5615" s="10"/>
      <c r="AN5615" s="10"/>
      <c r="AO5615" s="10"/>
      <c r="AP5615" s="10"/>
      <c r="AQ5615" s="10"/>
      <c r="AR5615" s="10"/>
      <c r="AS5615" s="10"/>
      <c r="AT5615" s="10"/>
      <c r="AU5615" s="10"/>
      <c r="AV5615" s="10"/>
      <c r="AW5615" s="10"/>
      <c r="AX5615" s="10"/>
      <c r="AY5615" s="10"/>
      <c r="AZ5615" s="10"/>
    </row>
    <row r="5616" spans="31:52">
      <c r="AE5616" s="10"/>
      <c r="AF5616" s="10"/>
      <c r="AG5616" s="10"/>
      <c r="AH5616" s="10"/>
      <c r="AI5616" s="10"/>
      <c r="AJ5616" s="10"/>
      <c r="AK5616" s="10"/>
      <c r="AL5616" s="10"/>
      <c r="AM5616" s="10"/>
      <c r="AN5616" s="10"/>
      <c r="AO5616" s="10"/>
      <c r="AP5616" s="10"/>
      <c r="AQ5616" s="10"/>
      <c r="AR5616" s="10"/>
      <c r="AS5616" s="10"/>
      <c r="AT5616" s="10"/>
      <c r="AU5616" s="10"/>
      <c r="AV5616" s="10"/>
      <c r="AW5616" s="10"/>
      <c r="AX5616" s="10"/>
      <c r="AY5616" s="10"/>
      <c r="AZ5616" s="10"/>
    </row>
    <row r="5617" spans="31:52">
      <c r="AE5617" s="10"/>
      <c r="AF5617" s="10"/>
      <c r="AG5617" s="10"/>
      <c r="AH5617" s="10"/>
      <c r="AI5617" s="10"/>
      <c r="AJ5617" s="10"/>
      <c r="AK5617" s="10"/>
      <c r="AL5617" s="10"/>
      <c r="AM5617" s="10"/>
      <c r="AN5617" s="10"/>
      <c r="AO5617" s="10"/>
      <c r="AP5617" s="10"/>
      <c r="AQ5617" s="10"/>
      <c r="AR5617" s="10"/>
      <c r="AS5617" s="10"/>
      <c r="AT5617" s="10"/>
      <c r="AU5617" s="10"/>
      <c r="AV5617" s="10"/>
      <c r="AW5617" s="10"/>
      <c r="AX5617" s="10"/>
      <c r="AY5617" s="10"/>
      <c r="AZ5617" s="10"/>
    </row>
    <row r="5618" spans="31:52">
      <c r="AE5618" s="10"/>
      <c r="AF5618" s="10"/>
      <c r="AG5618" s="10"/>
      <c r="AH5618" s="10"/>
      <c r="AI5618" s="10"/>
      <c r="AJ5618" s="10"/>
      <c r="AK5618" s="10"/>
      <c r="AL5618" s="10"/>
      <c r="AM5618" s="10"/>
      <c r="AN5618" s="10"/>
      <c r="AO5618" s="10"/>
      <c r="AP5618" s="10"/>
      <c r="AQ5618" s="10"/>
      <c r="AR5618" s="10"/>
      <c r="AS5618" s="10"/>
      <c r="AT5618" s="10"/>
      <c r="AU5618" s="10"/>
      <c r="AV5618" s="10"/>
      <c r="AW5618" s="10"/>
      <c r="AX5618" s="10"/>
      <c r="AY5618" s="10"/>
      <c r="AZ5618" s="10"/>
    </row>
    <row r="5619" spans="31:52">
      <c r="AE5619" s="10"/>
      <c r="AF5619" s="10"/>
      <c r="AG5619" s="10"/>
      <c r="AH5619" s="10"/>
      <c r="AI5619" s="10"/>
      <c r="AJ5619" s="10"/>
      <c r="AK5619" s="10"/>
      <c r="AL5619" s="10"/>
      <c r="AM5619" s="10"/>
      <c r="AN5619" s="10"/>
      <c r="AO5619" s="10"/>
      <c r="AP5619" s="10"/>
      <c r="AQ5619" s="10"/>
      <c r="AR5619" s="10"/>
      <c r="AS5619" s="10"/>
      <c r="AT5619" s="10"/>
      <c r="AU5619" s="10"/>
      <c r="AV5619" s="10"/>
      <c r="AW5619" s="10"/>
      <c r="AX5619" s="10"/>
      <c r="AY5619" s="10"/>
      <c r="AZ5619" s="10"/>
    </row>
    <row r="5620" spans="31:52">
      <c r="AE5620" s="10"/>
      <c r="AF5620" s="10"/>
      <c r="AG5620" s="10"/>
      <c r="AH5620" s="10"/>
      <c r="AI5620" s="10"/>
      <c r="AJ5620" s="10"/>
      <c r="AK5620" s="10"/>
      <c r="AL5620" s="10"/>
      <c r="AM5620" s="10"/>
      <c r="AN5620" s="10"/>
      <c r="AO5620" s="10"/>
      <c r="AP5620" s="10"/>
      <c r="AQ5620" s="10"/>
      <c r="AR5620" s="10"/>
      <c r="AS5620" s="10"/>
      <c r="AT5620" s="10"/>
      <c r="AU5620" s="10"/>
      <c r="AV5620" s="10"/>
      <c r="AW5620" s="10"/>
      <c r="AX5620" s="10"/>
      <c r="AY5620" s="10"/>
      <c r="AZ5620" s="10"/>
    </row>
    <row r="5621" spans="31:52">
      <c r="AE5621" s="10"/>
      <c r="AF5621" s="10"/>
      <c r="AG5621" s="10"/>
      <c r="AH5621" s="10"/>
      <c r="AI5621" s="10"/>
      <c r="AJ5621" s="10"/>
      <c r="AK5621" s="10"/>
      <c r="AL5621" s="10"/>
      <c r="AM5621" s="10"/>
      <c r="AN5621" s="10"/>
      <c r="AO5621" s="10"/>
      <c r="AP5621" s="10"/>
      <c r="AQ5621" s="10"/>
      <c r="AR5621" s="10"/>
      <c r="AS5621" s="10"/>
      <c r="AT5621" s="10"/>
      <c r="AU5621" s="10"/>
      <c r="AV5621" s="10"/>
      <c r="AW5621" s="10"/>
      <c r="AX5621" s="10"/>
      <c r="AY5621" s="10"/>
      <c r="AZ5621" s="10"/>
    </row>
    <row r="5622" spans="31:52">
      <c r="AE5622" s="10"/>
      <c r="AF5622" s="10"/>
      <c r="AG5622" s="10"/>
      <c r="AH5622" s="10"/>
      <c r="AI5622" s="10"/>
      <c r="AJ5622" s="10"/>
      <c r="AK5622" s="10"/>
      <c r="AL5622" s="10"/>
      <c r="AM5622" s="10"/>
      <c r="AN5622" s="10"/>
      <c r="AO5622" s="10"/>
      <c r="AP5622" s="10"/>
      <c r="AQ5622" s="10"/>
      <c r="AR5622" s="10"/>
      <c r="AS5622" s="10"/>
      <c r="AT5622" s="10"/>
      <c r="AU5622" s="10"/>
      <c r="AV5622" s="10"/>
      <c r="AW5622" s="10"/>
      <c r="AX5622" s="10"/>
      <c r="AY5622" s="10"/>
      <c r="AZ5622" s="10"/>
    </row>
    <row r="5623" spans="31:52">
      <c r="AE5623" s="10"/>
      <c r="AF5623" s="10"/>
      <c r="AG5623" s="10"/>
      <c r="AH5623" s="10"/>
      <c r="AI5623" s="10"/>
      <c r="AJ5623" s="10"/>
      <c r="AK5623" s="10"/>
      <c r="AL5623" s="10"/>
      <c r="AM5623" s="10"/>
      <c r="AN5623" s="10"/>
      <c r="AO5623" s="10"/>
      <c r="AP5623" s="10"/>
      <c r="AQ5623" s="10"/>
      <c r="AR5623" s="10"/>
      <c r="AS5623" s="10"/>
      <c r="AT5623" s="10"/>
      <c r="AU5623" s="10"/>
      <c r="AV5623" s="10"/>
      <c r="AW5623" s="10"/>
      <c r="AX5623" s="10"/>
      <c r="AY5623" s="10"/>
      <c r="AZ5623" s="10"/>
    </row>
    <row r="5624" spans="31:52">
      <c r="AE5624" s="10"/>
      <c r="AF5624" s="10"/>
      <c r="AG5624" s="10"/>
      <c r="AH5624" s="10"/>
      <c r="AI5624" s="10"/>
      <c r="AJ5624" s="10"/>
      <c r="AK5624" s="10"/>
      <c r="AL5624" s="10"/>
      <c r="AM5624" s="10"/>
      <c r="AN5624" s="10"/>
      <c r="AO5624" s="10"/>
      <c r="AP5624" s="10"/>
      <c r="AQ5624" s="10"/>
      <c r="AR5624" s="10"/>
      <c r="AS5624" s="10"/>
      <c r="AT5624" s="10"/>
      <c r="AU5624" s="10"/>
      <c r="AV5624" s="10"/>
      <c r="AW5624" s="10"/>
      <c r="AX5624" s="10"/>
      <c r="AY5624" s="10"/>
      <c r="AZ5624" s="10"/>
    </row>
    <row r="5625" spans="31:52">
      <c r="AE5625" s="10"/>
      <c r="AF5625" s="10"/>
      <c r="AG5625" s="10"/>
      <c r="AH5625" s="10"/>
      <c r="AI5625" s="10"/>
      <c r="AJ5625" s="10"/>
      <c r="AK5625" s="10"/>
      <c r="AL5625" s="10"/>
      <c r="AM5625" s="10"/>
      <c r="AN5625" s="10"/>
      <c r="AO5625" s="10"/>
      <c r="AP5625" s="10"/>
      <c r="AQ5625" s="10"/>
      <c r="AR5625" s="10"/>
      <c r="AS5625" s="10"/>
      <c r="AT5625" s="10"/>
      <c r="AU5625" s="10"/>
      <c r="AV5625" s="10"/>
      <c r="AW5625" s="10"/>
      <c r="AX5625" s="10"/>
      <c r="AY5625" s="10"/>
      <c r="AZ5625" s="10"/>
    </row>
    <row r="5626" spans="31:52">
      <c r="AE5626" s="10"/>
      <c r="AF5626" s="10"/>
      <c r="AG5626" s="10"/>
      <c r="AH5626" s="10"/>
      <c r="AI5626" s="10"/>
      <c r="AJ5626" s="10"/>
      <c r="AK5626" s="10"/>
      <c r="AL5626" s="10"/>
      <c r="AM5626" s="10"/>
      <c r="AN5626" s="10"/>
      <c r="AO5626" s="10"/>
      <c r="AP5626" s="10"/>
      <c r="AQ5626" s="10"/>
      <c r="AR5626" s="10"/>
      <c r="AS5626" s="10"/>
      <c r="AT5626" s="10"/>
      <c r="AU5626" s="10"/>
      <c r="AV5626" s="10"/>
      <c r="AW5626" s="10"/>
      <c r="AX5626" s="10"/>
      <c r="AY5626" s="10"/>
      <c r="AZ5626" s="10"/>
    </row>
    <row r="5627" spans="31:52">
      <c r="AE5627" s="10"/>
      <c r="AF5627" s="10"/>
      <c r="AG5627" s="10"/>
      <c r="AH5627" s="10"/>
      <c r="AI5627" s="10"/>
      <c r="AJ5627" s="10"/>
      <c r="AK5627" s="10"/>
      <c r="AL5627" s="10"/>
      <c r="AM5627" s="10"/>
      <c r="AN5627" s="10"/>
      <c r="AO5627" s="10"/>
      <c r="AP5627" s="10"/>
      <c r="AQ5627" s="10"/>
      <c r="AR5627" s="10"/>
      <c r="AS5627" s="10"/>
      <c r="AT5627" s="10"/>
      <c r="AU5627" s="10"/>
      <c r="AV5627" s="10"/>
      <c r="AW5627" s="10"/>
      <c r="AX5627" s="10"/>
      <c r="AY5627" s="10"/>
      <c r="AZ5627" s="10"/>
    </row>
    <row r="5628" spans="31:52">
      <c r="AE5628" s="10"/>
      <c r="AF5628" s="10"/>
      <c r="AG5628" s="10"/>
      <c r="AH5628" s="10"/>
      <c r="AI5628" s="10"/>
      <c r="AJ5628" s="10"/>
      <c r="AK5628" s="10"/>
      <c r="AL5628" s="10"/>
      <c r="AM5628" s="10"/>
      <c r="AN5628" s="10"/>
      <c r="AO5628" s="10"/>
      <c r="AP5628" s="10"/>
      <c r="AQ5628" s="10"/>
      <c r="AR5628" s="10"/>
      <c r="AS5628" s="10"/>
      <c r="AT5628" s="10"/>
      <c r="AU5628" s="10"/>
      <c r="AV5628" s="10"/>
      <c r="AW5628" s="10"/>
      <c r="AX5628" s="10"/>
      <c r="AY5628" s="10"/>
      <c r="AZ5628" s="10"/>
    </row>
    <row r="5629" spans="31:52">
      <c r="AE5629" s="10"/>
      <c r="AF5629" s="10"/>
      <c r="AG5629" s="10"/>
      <c r="AH5629" s="10"/>
      <c r="AI5629" s="10"/>
      <c r="AJ5629" s="10"/>
      <c r="AK5629" s="10"/>
      <c r="AL5629" s="10"/>
      <c r="AM5629" s="10"/>
      <c r="AN5629" s="10"/>
      <c r="AO5629" s="10"/>
      <c r="AP5629" s="10"/>
      <c r="AQ5629" s="10"/>
      <c r="AR5629" s="10"/>
      <c r="AS5629" s="10"/>
      <c r="AT5629" s="10"/>
      <c r="AU5629" s="10"/>
      <c r="AV5629" s="10"/>
      <c r="AW5629" s="10"/>
      <c r="AX5629" s="10"/>
      <c r="AY5629" s="10"/>
      <c r="AZ5629" s="10"/>
    </row>
    <row r="5630" spans="31:52">
      <c r="AE5630" s="10"/>
      <c r="AF5630" s="10"/>
      <c r="AG5630" s="10"/>
      <c r="AH5630" s="10"/>
      <c r="AI5630" s="10"/>
      <c r="AJ5630" s="10"/>
      <c r="AK5630" s="10"/>
      <c r="AL5630" s="10"/>
      <c r="AM5630" s="10"/>
      <c r="AN5630" s="10"/>
      <c r="AO5630" s="10"/>
      <c r="AP5630" s="10"/>
      <c r="AQ5630" s="10"/>
      <c r="AR5630" s="10"/>
      <c r="AS5630" s="10"/>
      <c r="AT5630" s="10"/>
      <c r="AU5630" s="10"/>
      <c r="AV5630" s="10"/>
      <c r="AW5630" s="10"/>
      <c r="AX5630" s="10"/>
      <c r="AY5630" s="10"/>
      <c r="AZ5630" s="10"/>
    </row>
    <row r="5631" spans="31:52">
      <c r="AE5631" s="10"/>
      <c r="AF5631" s="10"/>
      <c r="AG5631" s="10"/>
      <c r="AH5631" s="10"/>
      <c r="AI5631" s="10"/>
      <c r="AJ5631" s="10"/>
      <c r="AK5631" s="10"/>
      <c r="AL5631" s="10"/>
      <c r="AM5631" s="10"/>
      <c r="AN5631" s="10"/>
      <c r="AO5631" s="10"/>
      <c r="AP5631" s="10"/>
      <c r="AQ5631" s="10"/>
      <c r="AR5631" s="10"/>
      <c r="AS5631" s="10"/>
      <c r="AT5631" s="10"/>
      <c r="AU5631" s="10"/>
      <c r="AV5631" s="10"/>
      <c r="AW5631" s="10"/>
      <c r="AX5631" s="10"/>
      <c r="AY5631" s="10"/>
      <c r="AZ5631" s="10"/>
    </row>
    <row r="5632" spans="31:52">
      <c r="AE5632" s="10"/>
      <c r="AF5632" s="10"/>
      <c r="AG5632" s="10"/>
      <c r="AH5632" s="10"/>
      <c r="AI5632" s="10"/>
      <c r="AJ5632" s="10"/>
      <c r="AK5632" s="10"/>
      <c r="AL5632" s="10"/>
      <c r="AM5632" s="10"/>
      <c r="AN5632" s="10"/>
      <c r="AO5632" s="10"/>
      <c r="AP5632" s="10"/>
      <c r="AQ5632" s="10"/>
      <c r="AR5632" s="10"/>
      <c r="AS5632" s="10"/>
      <c r="AT5632" s="10"/>
      <c r="AU5632" s="10"/>
      <c r="AV5632" s="10"/>
      <c r="AW5632" s="10"/>
      <c r="AX5632" s="10"/>
      <c r="AY5632" s="10"/>
      <c r="AZ5632" s="10"/>
    </row>
    <row r="5633" spans="31:52">
      <c r="AE5633" s="10"/>
      <c r="AF5633" s="10"/>
      <c r="AG5633" s="10"/>
      <c r="AH5633" s="10"/>
      <c r="AI5633" s="10"/>
      <c r="AJ5633" s="10"/>
      <c r="AK5633" s="10"/>
      <c r="AL5633" s="10"/>
      <c r="AM5633" s="10"/>
      <c r="AN5633" s="10"/>
      <c r="AO5633" s="10"/>
      <c r="AP5633" s="10"/>
      <c r="AQ5633" s="10"/>
      <c r="AR5633" s="10"/>
      <c r="AS5633" s="10"/>
      <c r="AT5633" s="10"/>
      <c r="AU5633" s="10"/>
      <c r="AV5633" s="10"/>
      <c r="AW5633" s="10"/>
      <c r="AX5633" s="10"/>
      <c r="AY5633" s="10"/>
      <c r="AZ5633" s="10"/>
    </row>
    <row r="5634" spans="31:52">
      <c r="AE5634" s="10"/>
      <c r="AF5634" s="10"/>
      <c r="AG5634" s="10"/>
      <c r="AH5634" s="10"/>
      <c r="AI5634" s="10"/>
      <c r="AJ5634" s="10"/>
      <c r="AK5634" s="10"/>
      <c r="AL5634" s="10"/>
      <c r="AM5634" s="10"/>
      <c r="AN5634" s="10"/>
      <c r="AO5634" s="10"/>
      <c r="AP5634" s="10"/>
      <c r="AQ5634" s="10"/>
      <c r="AR5634" s="10"/>
      <c r="AS5634" s="10"/>
      <c r="AT5634" s="10"/>
      <c r="AU5634" s="10"/>
      <c r="AV5634" s="10"/>
      <c r="AW5634" s="10"/>
      <c r="AX5634" s="10"/>
      <c r="AY5634" s="10"/>
      <c r="AZ5634" s="10"/>
    </row>
    <row r="5635" spans="31:52">
      <c r="AE5635" s="10"/>
      <c r="AF5635" s="10"/>
      <c r="AG5635" s="10"/>
      <c r="AH5635" s="10"/>
      <c r="AI5635" s="10"/>
      <c r="AJ5635" s="10"/>
      <c r="AK5635" s="10"/>
      <c r="AL5635" s="10"/>
      <c r="AM5635" s="10"/>
      <c r="AN5635" s="10"/>
      <c r="AO5635" s="10"/>
      <c r="AP5635" s="10"/>
      <c r="AQ5635" s="10"/>
      <c r="AR5635" s="10"/>
      <c r="AS5635" s="10"/>
      <c r="AT5635" s="10"/>
      <c r="AU5635" s="10"/>
      <c r="AV5635" s="10"/>
      <c r="AW5635" s="10"/>
      <c r="AX5635" s="10"/>
      <c r="AY5635" s="10"/>
      <c r="AZ5635" s="10"/>
    </row>
    <row r="5636" spans="31:52">
      <c r="AE5636" s="10"/>
      <c r="AF5636" s="10"/>
      <c r="AG5636" s="10"/>
      <c r="AH5636" s="10"/>
      <c r="AI5636" s="10"/>
      <c r="AJ5636" s="10"/>
      <c r="AK5636" s="10"/>
      <c r="AL5636" s="10"/>
      <c r="AM5636" s="10"/>
      <c r="AN5636" s="10"/>
      <c r="AO5636" s="10"/>
      <c r="AP5636" s="10"/>
      <c r="AQ5636" s="10"/>
      <c r="AR5636" s="10"/>
      <c r="AS5636" s="10"/>
      <c r="AT5636" s="10"/>
      <c r="AU5636" s="10"/>
      <c r="AV5636" s="10"/>
      <c r="AW5636" s="10"/>
      <c r="AX5636" s="10"/>
      <c r="AY5636" s="10"/>
      <c r="AZ5636" s="10"/>
    </row>
    <row r="5637" spans="31:52">
      <c r="AE5637" s="10"/>
      <c r="AF5637" s="10"/>
      <c r="AG5637" s="10"/>
      <c r="AH5637" s="10"/>
      <c r="AI5637" s="10"/>
      <c r="AJ5637" s="10"/>
      <c r="AK5637" s="10"/>
      <c r="AL5637" s="10"/>
      <c r="AM5637" s="10"/>
      <c r="AN5637" s="10"/>
      <c r="AO5637" s="10"/>
      <c r="AP5637" s="10"/>
      <c r="AQ5637" s="10"/>
      <c r="AR5637" s="10"/>
      <c r="AS5637" s="10"/>
      <c r="AT5637" s="10"/>
      <c r="AU5637" s="10"/>
      <c r="AV5637" s="10"/>
      <c r="AW5637" s="10"/>
      <c r="AX5637" s="10"/>
      <c r="AY5637" s="10"/>
      <c r="AZ5637" s="10"/>
    </row>
    <row r="5638" spans="31:52">
      <c r="AE5638" s="10"/>
      <c r="AF5638" s="10"/>
      <c r="AG5638" s="10"/>
      <c r="AH5638" s="10"/>
      <c r="AI5638" s="10"/>
      <c r="AJ5638" s="10"/>
      <c r="AK5638" s="10"/>
      <c r="AL5638" s="10"/>
      <c r="AM5638" s="10"/>
      <c r="AN5638" s="10"/>
      <c r="AO5638" s="10"/>
      <c r="AP5638" s="10"/>
      <c r="AQ5638" s="10"/>
      <c r="AR5638" s="10"/>
      <c r="AS5638" s="10"/>
      <c r="AT5638" s="10"/>
      <c r="AU5638" s="10"/>
      <c r="AV5638" s="10"/>
      <c r="AW5638" s="10"/>
      <c r="AX5638" s="10"/>
      <c r="AY5638" s="10"/>
      <c r="AZ5638" s="10"/>
    </row>
    <row r="5639" spans="31:52">
      <c r="AE5639" s="10"/>
      <c r="AF5639" s="10"/>
      <c r="AG5639" s="10"/>
      <c r="AH5639" s="10"/>
      <c r="AI5639" s="10"/>
      <c r="AJ5639" s="10"/>
      <c r="AK5639" s="10"/>
      <c r="AL5639" s="10"/>
      <c r="AM5639" s="10"/>
      <c r="AN5639" s="10"/>
      <c r="AO5639" s="10"/>
      <c r="AP5639" s="10"/>
      <c r="AQ5639" s="10"/>
      <c r="AR5639" s="10"/>
      <c r="AS5639" s="10"/>
      <c r="AT5639" s="10"/>
      <c r="AU5639" s="10"/>
      <c r="AV5639" s="10"/>
      <c r="AW5639" s="10"/>
      <c r="AX5639" s="10"/>
      <c r="AY5639" s="10"/>
      <c r="AZ5639" s="10"/>
    </row>
    <row r="5640" spans="31:52">
      <c r="AE5640" s="10"/>
      <c r="AF5640" s="10"/>
      <c r="AG5640" s="10"/>
      <c r="AH5640" s="10"/>
      <c r="AI5640" s="10"/>
      <c r="AJ5640" s="10"/>
      <c r="AK5640" s="10"/>
      <c r="AL5640" s="10"/>
      <c r="AM5640" s="10"/>
      <c r="AN5640" s="10"/>
      <c r="AO5640" s="10"/>
      <c r="AP5640" s="10"/>
      <c r="AQ5640" s="10"/>
      <c r="AR5640" s="10"/>
      <c r="AS5640" s="10"/>
      <c r="AT5640" s="10"/>
      <c r="AU5640" s="10"/>
      <c r="AV5640" s="10"/>
      <c r="AW5640" s="10"/>
      <c r="AX5640" s="10"/>
      <c r="AY5640" s="10"/>
      <c r="AZ5640" s="10"/>
    </row>
    <row r="5641" spans="31:52">
      <c r="AE5641" s="10"/>
      <c r="AF5641" s="10"/>
      <c r="AG5641" s="10"/>
      <c r="AH5641" s="10"/>
      <c r="AI5641" s="10"/>
      <c r="AJ5641" s="10"/>
      <c r="AK5641" s="10"/>
      <c r="AL5641" s="10"/>
      <c r="AM5641" s="10"/>
      <c r="AN5641" s="10"/>
      <c r="AO5641" s="10"/>
      <c r="AP5641" s="10"/>
      <c r="AQ5641" s="10"/>
      <c r="AR5641" s="10"/>
      <c r="AS5641" s="10"/>
      <c r="AT5641" s="10"/>
      <c r="AU5641" s="10"/>
      <c r="AV5641" s="10"/>
      <c r="AW5641" s="10"/>
      <c r="AX5641" s="10"/>
      <c r="AY5641" s="10"/>
      <c r="AZ5641" s="10"/>
    </row>
    <row r="5642" spans="31:52">
      <c r="AE5642" s="10"/>
      <c r="AF5642" s="10"/>
      <c r="AG5642" s="10"/>
      <c r="AH5642" s="10"/>
      <c r="AI5642" s="10"/>
      <c r="AJ5642" s="10"/>
      <c r="AK5642" s="10"/>
      <c r="AL5642" s="10"/>
      <c r="AM5642" s="10"/>
      <c r="AN5642" s="10"/>
      <c r="AO5642" s="10"/>
      <c r="AP5642" s="10"/>
      <c r="AQ5642" s="10"/>
      <c r="AR5642" s="10"/>
      <c r="AS5642" s="10"/>
      <c r="AT5642" s="10"/>
      <c r="AU5642" s="10"/>
      <c r="AV5642" s="10"/>
      <c r="AW5642" s="10"/>
      <c r="AX5642" s="10"/>
      <c r="AY5642" s="10"/>
      <c r="AZ5642" s="10"/>
    </row>
    <row r="5643" spans="31:52">
      <c r="AE5643" s="10"/>
      <c r="AF5643" s="10"/>
      <c r="AG5643" s="10"/>
      <c r="AH5643" s="10"/>
      <c r="AI5643" s="10"/>
      <c r="AJ5643" s="10"/>
      <c r="AK5643" s="10"/>
      <c r="AL5643" s="10"/>
      <c r="AM5643" s="10"/>
      <c r="AN5643" s="10"/>
      <c r="AO5643" s="10"/>
      <c r="AP5643" s="10"/>
      <c r="AQ5643" s="10"/>
      <c r="AR5643" s="10"/>
      <c r="AS5643" s="10"/>
      <c r="AT5643" s="10"/>
      <c r="AU5643" s="10"/>
      <c r="AV5643" s="10"/>
      <c r="AW5643" s="10"/>
      <c r="AX5643" s="10"/>
      <c r="AY5643" s="10"/>
      <c r="AZ5643" s="10"/>
    </row>
    <row r="5644" spans="31:52">
      <c r="AE5644" s="10"/>
      <c r="AF5644" s="10"/>
      <c r="AG5644" s="10"/>
      <c r="AH5644" s="10"/>
      <c r="AI5644" s="10"/>
      <c r="AJ5644" s="10"/>
      <c r="AK5644" s="10"/>
      <c r="AL5644" s="10"/>
      <c r="AM5644" s="10"/>
      <c r="AN5644" s="10"/>
      <c r="AO5644" s="10"/>
      <c r="AP5644" s="10"/>
      <c r="AQ5644" s="10"/>
      <c r="AR5644" s="10"/>
      <c r="AS5644" s="10"/>
      <c r="AT5644" s="10"/>
      <c r="AU5644" s="10"/>
      <c r="AV5644" s="10"/>
      <c r="AW5644" s="10"/>
      <c r="AX5644" s="10"/>
      <c r="AY5644" s="10"/>
      <c r="AZ5644" s="10"/>
    </row>
    <row r="5645" spans="31:52">
      <c r="AE5645" s="10"/>
      <c r="AF5645" s="10"/>
      <c r="AG5645" s="10"/>
      <c r="AH5645" s="10"/>
      <c r="AI5645" s="10"/>
      <c r="AJ5645" s="10"/>
      <c r="AK5645" s="10"/>
      <c r="AL5645" s="10"/>
      <c r="AM5645" s="10"/>
      <c r="AN5645" s="10"/>
      <c r="AO5645" s="10"/>
      <c r="AP5645" s="10"/>
      <c r="AQ5645" s="10"/>
      <c r="AR5645" s="10"/>
      <c r="AS5645" s="10"/>
      <c r="AT5645" s="10"/>
      <c r="AU5645" s="10"/>
      <c r="AV5645" s="10"/>
      <c r="AW5645" s="10"/>
      <c r="AX5645" s="10"/>
      <c r="AY5645" s="10"/>
      <c r="AZ5645" s="10"/>
    </row>
    <row r="5646" spans="31:52">
      <c r="AE5646" s="10"/>
      <c r="AF5646" s="10"/>
      <c r="AG5646" s="10"/>
      <c r="AH5646" s="10"/>
      <c r="AI5646" s="10"/>
      <c r="AJ5646" s="10"/>
      <c r="AK5646" s="10"/>
      <c r="AL5646" s="10"/>
      <c r="AM5646" s="10"/>
      <c r="AN5646" s="10"/>
      <c r="AO5646" s="10"/>
      <c r="AP5646" s="10"/>
      <c r="AQ5646" s="10"/>
      <c r="AR5646" s="10"/>
      <c r="AS5646" s="10"/>
      <c r="AT5646" s="10"/>
      <c r="AU5646" s="10"/>
      <c r="AV5646" s="10"/>
      <c r="AW5646" s="10"/>
      <c r="AX5646" s="10"/>
      <c r="AY5646" s="10"/>
      <c r="AZ5646" s="10"/>
    </row>
    <row r="5647" spans="31:52">
      <c r="AE5647" s="10"/>
      <c r="AF5647" s="10"/>
      <c r="AG5647" s="10"/>
      <c r="AH5647" s="10"/>
      <c r="AI5647" s="10"/>
      <c r="AJ5647" s="10"/>
      <c r="AK5647" s="10"/>
      <c r="AL5647" s="10"/>
      <c r="AM5647" s="10"/>
      <c r="AN5647" s="10"/>
      <c r="AO5647" s="10"/>
      <c r="AP5647" s="10"/>
      <c r="AQ5647" s="10"/>
      <c r="AR5647" s="10"/>
      <c r="AS5647" s="10"/>
      <c r="AT5647" s="10"/>
      <c r="AU5647" s="10"/>
      <c r="AV5647" s="10"/>
      <c r="AW5647" s="10"/>
      <c r="AX5647" s="10"/>
      <c r="AY5647" s="10"/>
      <c r="AZ5647" s="10"/>
    </row>
    <row r="5648" spans="31:52">
      <c r="AE5648" s="10"/>
      <c r="AF5648" s="10"/>
      <c r="AG5648" s="10"/>
      <c r="AH5648" s="10"/>
      <c r="AI5648" s="10"/>
      <c r="AJ5648" s="10"/>
      <c r="AK5648" s="10"/>
      <c r="AL5648" s="10"/>
      <c r="AM5648" s="10"/>
      <c r="AN5648" s="10"/>
      <c r="AO5648" s="10"/>
      <c r="AP5648" s="10"/>
      <c r="AQ5648" s="10"/>
      <c r="AR5648" s="10"/>
      <c r="AS5648" s="10"/>
      <c r="AT5648" s="10"/>
      <c r="AU5648" s="10"/>
      <c r="AV5648" s="10"/>
      <c r="AW5648" s="10"/>
      <c r="AX5648" s="10"/>
      <c r="AY5648" s="10"/>
      <c r="AZ5648" s="10"/>
    </row>
    <row r="5649" spans="31:52">
      <c r="AE5649" s="10"/>
      <c r="AF5649" s="10"/>
      <c r="AG5649" s="10"/>
      <c r="AH5649" s="10"/>
      <c r="AI5649" s="10"/>
      <c r="AJ5649" s="10"/>
      <c r="AK5649" s="10"/>
      <c r="AL5649" s="10"/>
      <c r="AM5649" s="10"/>
      <c r="AN5649" s="10"/>
      <c r="AO5649" s="10"/>
      <c r="AP5649" s="10"/>
      <c r="AQ5649" s="10"/>
      <c r="AR5649" s="10"/>
      <c r="AS5649" s="10"/>
      <c r="AT5649" s="10"/>
      <c r="AU5649" s="10"/>
      <c r="AV5649" s="10"/>
      <c r="AW5649" s="10"/>
      <c r="AX5649" s="10"/>
      <c r="AY5649" s="10"/>
      <c r="AZ5649" s="10"/>
    </row>
    <row r="5650" spans="31:52">
      <c r="AE5650" s="10"/>
      <c r="AF5650" s="10"/>
      <c r="AG5650" s="10"/>
      <c r="AH5650" s="10"/>
      <c r="AI5650" s="10"/>
      <c r="AJ5650" s="10"/>
      <c r="AK5650" s="10"/>
      <c r="AL5650" s="10"/>
      <c r="AM5650" s="10"/>
      <c r="AN5650" s="10"/>
      <c r="AO5650" s="10"/>
      <c r="AP5650" s="10"/>
      <c r="AQ5650" s="10"/>
      <c r="AR5650" s="10"/>
      <c r="AS5650" s="10"/>
      <c r="AT5650" s="10"/>
      <c r="AU5650" s="10"/>
      <c r="AV5650" s="10"/>
      <c r="AW5650" s="10"/>
      <c r="AX5650" s="10"/>
      <c r="AY5650" s="10"/>
      <c r="AZ5650" s="10"/>
    </row>
    <row r="5651" spans="31:52">
      <c r="AE5651" s="10"/>
      <c r="AF5651" s="10"/>
      <c r="AG5651" s="10"/>
      <c r="AH5651" s="10"/>
      <c r="AI5651" s="10"/>
      <c r="AJ5651" s="10"/>
      <c r="AK5651" s="10"/>
      <c r="AL5651" s="10"/>
      <c r="AM5651" s="10"/>
      <c r="AN5651" s="10"/>
      <c r="AO5651" s="10"/>
      <c r="AP5651" s="10"/>
      <c r="AQ5651" s="10"/>
      <c r="AR5651" s="10"/>
      <c r="AS5651" s="10"/>
      <c r="AT5651" s="10"/>
      <c r="AU5651" s="10"/>
      <c r="AV5651" s="10"/>
      <c r="AW5651" s="10"/>
      <c r="AX5651" s="10"/>
      <c r="AY5651" s="10"/>
      <c r="AZ5651" s="10"/>
    </row>
    <row r="5652" spans="31:52">
      <c r="AE5652" s="10"/>
      <c r="AF5652" s="10"/>
      <c r="AG5652" s="10"/>
      <c r="AH5652" s="10"/>
      <c r="AI5652" s="10"/>
      <c r="AJ5652" s="10"/>
      <c r="AK5652" s="10"/>
      <c r="AL5652" s="10"/>
      <c r="AM5652" s="10"/>
      <c r="AN5652" s="10"/>
      <c r="AO5652" s="10"/>
      <c r="AP5652" s="10"/>
      <c r="AQ5652" s="10"/>
      <c r="AR5652" s="10"/>
      <c r="AS5652" s="10"/>
      <c r="AT5652" s="10"/>
      <c r="AU5652" s="10"/>
      <c r="AV5652" s="10"/>
      <c r="AW5652" s="10"/>
      <c r="AX5652" s="10"/>
      <c r="AY5652" s="10"/>
      <c r="AZ5652" s="10"/>
    </row>
    <row r="5653" spans="31:52">
      <c r="AE5653" s="10"/>
      <c r="AF5653" s="10"/>
      <c r="AG5653" s="10"/>
      <c r="AH5653" s="10"/>
      <c r="AI5653" s="10"/>
      <c r="AJ5653" s="10"/>
      <c r="AK5653" s="10"/>
      <c r="AL5653" s="10"/>
      <c r="AM5653" s="10"/>
      <c r="AN5653" s="10"/>
      <c r="AO5653" s="10"/>
      <c r="AP5653" s="10"/>
      <c r="AQ5653" s="10"/>
      <c r="AR5653" s="10"/>
      <c r="AS5653" s="10"/>
      <c r="AT5653" s="10"/>
      <c r="AU5653" s="10"/>
      <c r="AV5653" s="10"/>
      <c r="AW5653" s="10"/>
      <c r="AX5653" s="10"/>
      <c r="AY5653" s="10"/>
      <c r="AZ5653" s="10"/>
    </row>
    <row r="5654" spans="31:52">
      <c r="AE5654" s="10"/>
      <c r="AF5654" s="10"/>
      <c r="AG5654" s="10"/>
      <c r="AH5654" s="10"/>
      <c r="AI5654" s="10"/>
      <c r="AJ5654" s="10"/>
      <c r="AK5654" s="10"/>
      <c r="AL5654" s="10"/>
      <c r="AM5654" s="10"/>
      <c r="AN5654" s="10"/>
      <c r="AO5654" s="10"/>
      <c r="AP5654" s="10"/>
      <c r="AQ5654" s="10"/>
      <c r="AR5654" s="10"/>
      <c r="AS5654" s="10"/>
      <c r="AT5654" s="10"/>
      <c r="AU5654" s="10"/>
      <c r="AV5654" s="10"/>
      <c r="AW5654" s="10"/>
      <c r="AX5654" s="10"/>
      <c r="AY5654" s="10"/>
      <c r="AZ5654" s="10"/>
    </row>
    <row r="5655" spans="31:52">
      <c r="AE5655" s="10"/>
      <c r="AF5655" s="10"/>
      <c r="AG5655" s="10"/>
      <c r="AH5655" s="10"/>
      <c r="AI5655" s="10"/>
      <c r="AJ5655" s="10"/>
      <c r="AK5655" s="10"/>
      <c r="AL5655" s="10"/>
      <c r="AM5655" s="10"/>
      <c r="AN5655" s="10"/>
      <c r="AO5655" s="10"/>
      <c r="AP5655" s="10"/>
      <c r="AQ5655" s="10"/>
      <c r="AR5655" s="10"/>
      <c r="AS5655" s="10"/>
      <c r="AT5655" s="10"/>
      <c r="AU5655" s="10"/>
      <c r="AV5655" s="10"/>
      <c r="AW5655" s="10"/>
      <c r="AX5655" s="10"/>
      <c r="AY5655" s="10"/>
      <c r="AZ5655" s="10"/>
    </row>
    <row r="5656" spans="31:52">
      <c r="AE5656" s="10"/>
      <c r="AF5656" s="10"/>
      <c r="AG5656" s="10"/>
      <c r="AH5656" s="10"/>
      <c r="AI5656" s="10"/>
      <c r="AJ5656" s="10"/>
      <c r="AK5656" s="10"/>
      <c r="AL5656" s="10"/>
      <c r="AM5656" s="10"/>
      <c r="AN5656" s="10"/>
      <c r="AO5656" s="10"/>
      <c r="AP5656" s="10"/>
      <c r="AQ5656" s="10"/>
      <c r="AR5656" s="10"/>
      <c r="AS5656" s="10"/>
      <c r="AT5656" s="10"/>
      <c r="AU5656" s="10"/>
      <c r="AV5656" s="10"/>
      <c r="AW5656" s="10"/>
      <c r="AX5656" s="10"/>
      <c r="AY5656" s="10"/>
      <c r="AZ5656" s="10"/>
    </row>
    <row r="5657" spans="31:52">
      <c r="AE5657" s="10"/>
      <c r="AF5657" s="10"/>
      <c r="AG5657" s="10"/>
      <c r="AH5657" s="10"/>
      <c r="AI5657" s="10"/>
      <c r="AJ5657" s="10"/>
      <c r="AK5657" s="10"/>
      <c r="AL5657" s="10"/>
      <c r="AM5657" s="10"/>
      <c r="AN5657" s="10"/>
      <c r="AO5657" s="10"/>
      <c r="AP5657" s="10"/>
      <c r="AQ5657" s="10"/>
      <c r="AR5657" s="10"/>
      <c r="AS5657" s="10"/>
      <c r="AT5657" s="10"/>
      <c r="AU5657" s="10"/>
      <c r="AV5657" s="10"/>
      <c r="AW5657" s="10"/>
      <c r="AX5657" s="10"/>
      <c r="AY5657" s="10"/>
      <c r="AZ5657" s="10"/>
    </row>
    <row r="5658" spans="31:52">
      <c r="AE5658" s="10"/>
      <c r="AF5658" s="10"/>
      <c r="AG5658" s="10"/>
      <c r="AH5658" s="10"/>
      <c r="AI5658" s="10"/>
      <c r="AJ5658" s="10"/>
      <c r="AK5658" s="10"/>
      <c r="AL5658" s="10"/>
      <c r="AM5658" s="10"/>
      <c r="AN5658" s="10"/>
      <c r="AO5658" s="10"/>
      <c r="AP5658" s="10"/>
      <c r="AQ5658" s="10"/>
      <c r="AR5658" s="10"/>
      <c r="AS5658" s="10"/>
      <c r="AT5658" s="10"/>
      <c r="AU5658" s="10"/>
      <c r="AV5658" s="10"/>
      <c r="AW5658" s="10"/>
      <c r="AX5658" s="10"/>
      <c r="AY5658" s="10"/>
      <c r="AZ5658" s="10"/>
    </row>
    <row r="5659" spans="31:52">
      <c r="AE5659" s="10"/>
      <c r="AF5659" s="10"/>
      <c r="AG5659" s="10"/>
      <c r="AH5659" s="10"/>
      <c r="AI5659" s="10"/>
      <c r="AJ5659" s="10"/>
      <c r="AK5659" s="10"/>
      <c r="AL5659" s="10"/>
      <c r="AM5659" s="10"/>
      <c r="AN5659" s="10"/>
      <c r="AO5659" s="10"/>
      <c r="AP5659" s="10"/>
      <c r="AQ5659" s="10"/>
      <c r="AR5659" s="10"/>
      <c r="AS5659" s="10"/>
      <c r="AT5659" s="10"/>
      <c r="AU5659" s="10"/>
      <c r="AV5659" s="10"/>
      <c r="AW5659" s="10"/>
      <c r="AX5659" s="10"/>
      <c r="AY5659" s="10"/>
      <c r="AZ5659" s="10"/>
    </row>
    <row r="5660" spans="31:52">
      <c r="AE5660" s="10"/>
      <c r="AF5660" s="10"/>
      <c r="AG5660" s="10"/>
      <c r="AH5660" s="10"/>
      <c r="AI5660" s="10"/>
      <c r="AJ5660" s="10"/>
      <c r="AK5660" s="10"/>
      <c r="AL5660" s="10"/>
      <c r="AM5660" s="10"/>
      <c r="AN5660" s="10"/>
      <c r="AO5660" s="10"/>
      <c r="AP5660" s="10"/>
      <c r="AQ5660" s="10"/>
      <c r="AR5660" s="10"/>
      <c r="AS5660" s="10"/>
      <c r="AT5660" s="10"/>
      <c r="AU5660" s="10"/>
      <c r="AV5660" s="10"/>
      <c r="AW5660" s="10"/>
      <c r="AX5660" s="10"/>
      <c r="AY5660" s="10"/>
      <c r="AZ5660" s="10"/>
    </row>
    <row r="5661" spans="31:52">
      <c r="AE5661" s="10"/>
      <c r="AF5661" s="10"/>
      <c r="AG5661" s="10"/>
      <c r="AH5661" s="10"/>
      <c r="AI5661" s="10"/>
      <c r="AJ5661" s="10"/>
      <c r="AK5661" s="10"/>
      <c r="AL5661" s="10"/>
      <c r="AM5661" s="10"/>
      <c r="AN5661" s="10"/>
      <c r="AO5661" s="10"/>
      <c r="AP5661" s="10"/>
      <c r="AQ5661" s="10"/>
      <c r="AR5661" s="10"/>
      <c r="AS5661" s="10"/>
      <c r="AT5661" s="10"/>
      <c r="AU5661" s="10"/>
      <c r="AV5661" s="10"/>
      <c r="AW5661" s="10"/>
      <c r="AX5661" s="10"/>
      <c r="AY5661" s="10"/>
      <c r="AZ5661" s="10"/>
    </row>
    <row r="5662" spans="31:52">
      <c r="AE5662" s="10"/>
      <c r="AF5662" s="10"/>
      <c r="AG5662" s="10"/>
      <c r="AH5662" s="10"/>
      <c r="AI5662" s="10"/>
      <c r="AJ5662" s="10"/>
      <c r="AK5662" s="10"/>
      <c r="AL5662" s="10"/>
      <c r="AM5662" s="10"/>
      <c r="AN5662" s="10"/>
      <c r="AO5662" s="10"/>
      <c r="AP5662" s="10"/>
      <c r="AQ5662" s="10"/>
      <c r="AR5662" s="10"/>
      <c r="AS5662" s="10"/>
      <c r="AT5662" s="10"/>
      <c r="AU5662" s="10"/>
      <c r="AV5662" s="10"/>
      <c r="AW5662" s="10"/>
      <c r="AX5662" s="10"/>
      <c r="AY5662" s="10"/>
      <c r="AZ5662" s="10"/>
    </row>
    <row r="5663" spans="31:52">
      <c r="AE5663" s="10"/>
      <c r="AF5663" s="10"/>
      <c r="AG5663" s="10"/>
      <c r="AH5663" s="10"/>
      <c r="AI5663" s="10"/>
      <c r="AJ5663" s="10"/>
      <c r="AK5663" s="10"/>
      <c r="AL5663" s="10"/>
      <c r="AM5663" s="10"/>
      <c r="AN5663" s="10"/>
      <c r="AO5663" s="10"/>
      <c r="AP5663" s="10"/>
      <c r="AQ5663" s="10"/>
      <c r="AR5663" s="10"/>
      <c r="AS5663" s="10"/>
      <c r="AT5663" s="10"/>
      <c r="AU5663" s="10"/>
      <c r="AV5663" s="10"/>
      <c r="AW5663" s="10"/>
      <c r="AX5663" s="10"/>
      <c r="AY5663" s="10"/>
      <c r="AZ5663" s="10"/>
    </row>
    <row r="5664" spans="31:52">
      <c r="AE5664" s="10"/>
      <c r="AF5664" s="10"/>
      <c r="AG5664" s="10"/>
      <c r="AH5664" s="10"/>
      <c r="AI5664" s="10"/>
      <c r="AJ5664" s="10"/>
      <c r="AK5664" s="10"/>
      <c r="AL5664" s="10"/>
      <c r="AM5664" s="10"/>
      <c r="AN5664" s="10"/>
      <c r="AO5664" s="10"/>
      <c r="AP5664" s="10"/>
      <c r="AQ5664" s="10"/>
      <c r="AR5664" s="10"/>
      <c r="AS5664" s="10"/>
      <c r="AT5664" s="10"/>
      <c r="AU5664" s="10"/>
      <c r="AV5664" s="10"/>
      <c r="AW5664" s="10"/>
      <c r="AX5664" s="10"/>
      <c r="AY5664" s="10"/>
      <c r="AZ5664" s="10"/>
    </row>
    <row r="5665" spans="31:52">
      <c r="AE5665" s="10"/>
      <c r="AF5665" s="10"/>
      <c r="AG5665" s="10"/>
      <c r="AH5665" s="10"/>
      <c r="AI5665" s="10"/>
      <c r="AJ5665" s="10"/>
      <c r="AK5665" s="10"/>
      <c r="AL5665" s="10"/>
      <c r="AM5665" s="10"/>
      <c r="AN5665" s="10"/>
      <c r="AO5665" s="10"/>
      <c r="AP5665" s="10"/>
      <c r="AQ5665" s="10"/>
      <c r="AR5665" s="10"/>
      <c r="AS5665" s="10"/>
      <c r="AT5665" s="10"/>
      <c r="AU5665" s="10"/>
      <c r="AV5665" s="10"/>
      <c r="AW5665" s="10"/>
      <c r="AX5665" s="10"/>
      <c r="AY5665" s="10"/>
      <c r="AZ5665" s="10"/>
    </row>
    <row r="5666" spans="31:52">
      <c r="AE5666" s="10"/>
      <c r="AF5666" s="10"/>
      <c r="AG5666" s="10"/>
      <c r="AH5666" s="10"/>
      <c r="AI5666" s="10"/>
      <c r="AJ5666" s="10"/>
      <c r="AK5666" s="10"/>
      <c r="AL5666" s="10"/>
      <c r="AM5666" s="10"/>
      <c r="AN5666" s="10"/>
      <c r="AO5666" s="10"/>
      <c r="AP5666" s="10"/>
      <c r="AQ5666" s="10"/>
      <c r="AR5666" s="10"/>
      <c r="AS5666" s="10"/>
      <c r="AT5666" s="10"/>
      <c r="AU5666" s="10"/>
      <c r="AV5666" s="10"/>
      <c r="AW5666" s="10"/>
      <c r="AX5666" s="10"/>
      <c r="AY5666" s="10"/>
      <c r="AZ5666" s="10"/>
    </row>
    <row r="5667" spans="31:52">
      <c r="AE5667" s="10"/>
      <c r="AF5667" s="10"/>
      <c r="AG5667" s="10"/>
      <c r="AH5667" s="10"/>
      <c r="AI5667" s="10"/>
      <c r="AJ5667" s="10"/>
      <c r="AK5667" s="10"/>
      <c r="AL5667" s="10"/>
      <c r="AM5667" s="10"/>
      <c r="AN5667" s="10"/>
      <c r="AO5667" s="10"/>
      <c r="AP5667" s="10"/>
      <c r="AQ5667" s="10"/>
      <c r="AR5667" s="10"/>
      <c r="AS5667" s="10"/>
      <c r="AT5667" s="10"/>
      <c r="AU5667" s="10"/>
      <c r="AV5667" s="10"/>
      <c r="AW5667" s="10"/>
      <c r="AX5667" s="10"/>
      <c r="AY5667" s="10"/>
      <c r="AZ5667" s="10"/>
    </row>
    <row r="5668" spans="31:52">
      <c r="AE5668" s="10"/>
      <c r="AF5668" s="10"/>
      <c r="AG5668" s="10"/>
      <c r="AH5668" s="10"/>
      <c r="AI5668" s="10"/>
      <c r="AJ5668" s="10"/>
      <c r="AK5668" s="10"/>
      <c r="AL5668" s="10"/>
      <c r="AM5668" s="10"/>
      <c r="AN5668" s="10"/>
      <c r="AO5668" s="10"/>
      <c r="AP5668" s="10"/>
      <c r="AQ5668" s="10"/>
      <c r="AR5668" s="10"/>
      <c r="AS5668" s="10"/>
      <c r="AT5668" s="10"/>
      <c r="AU5668" s="10"/>
      <c r="AV5668" s="10"/>
      <c r="AW5668" s="10"/>
      <c r="AX5668" s="10"/>
      <c r="AY5668" s="10"/>
      <c r="AZ5668" s="10"/>
    </row>
    <row r="5669" spans="31:52">
      <c r="AE5669" s="10"/>
      <c r="AF5669" s="10"/>
      <c r="AG5669" s="10"/>
      <c r="AH5669" s="10"/>
      <c r="AI5669" s="10"/>
      <c r="AJ5669" s="10"/>
      <c r="AK5669" s="10"/>
      <c r="AL5669" s="10"/>
      <c r="AM5669" s="10"/>
      <c r="AN5669" s="10"/>
      <c r="AO5669" s="10"/>
      <c r="AP5669" s="10"/>
      <c r="AQ5669" s="10"/>
      <c r="AR5669" s="10"/>
      <c r="AS5669" s="10"/>
      <c r="AT5669" s="10"/>
      <c r="AU5669" s="10"/>
      <c r="AV5669" s="10"/>
      <c r="AW5669" s="10"/>
      <c r="AX5669" s="10"/>
      <c r="AY5669" s="10"/>
      <c r="AZ5669" s="10"/>
    </row>
    <row r="5670" spans="31:52">
      <c r="AE5670" s="10"/>
      <c r="AF5670" s="10"/>
      <c r="AG5670" s="10"/>
      <c r="AH5670" s="10"/>
      <c r="AI5670" s="10"/>
      <c r="AJ5670" s="10"/>
      <c r="AK5670" s="10"/>
      <c r="AL5670" s="10"/>
      <c r="AM5670" s="10"/>
      <c r="AN5670" s="10"/>
      <c r="AO5670" s="10"/>
      <c r="AP5670" s="10"/>
      <c r="AQ5670" s="10"/>
      <c r="AR5670" s="10"/>
      <c r="AS5670" s="10"/>
      <c r="AT5670" s="10"/>
      <c r="AU5670" s="10"/>
      <c r="AV5670" s="10"/>
      <c r="AW5670" s="10"/>
      <c r="AX5670" s="10"/>
      <c r="AY5670" s="10"/>
      <c r="AZ5670" s="10"/>
    </row>
    <row r="5671" spans="31:52">
      <c r="AE5671" s="10"/>
      <c r="AF5671" s="10"/>
      <c r="AG5671" s="10"/>
      <c r="AH5671" s="10"/>
      <c r="AI5671" s="10"/>
      <c r="AJ5671" s="10"/>
      <c r="AK5671" s="10"/>
      <c r="AL5671" s="10"/>
      <c r="AM5671" s="10"/>
      <c r="AN5671" s="10"/>
      <c r="AO5671" s="10"/>
      <c r="AP5671" s="10"/>
      <c r="AQ5671" s="10"/>
      <c r="AR5671" s="10"/>
      <c r="AS5671" s="10"/>
      <c r="AT5671" s="10"/>
      <c r="AU5671" s="10"/>
      <c r="AV5671" s="10"/>
      <c r="AW5671" s="10"/>
      <c r="AX5671" s="10"/>
      <c r="AY5671" s="10"/>
      <c r="AZ5671" s="10"/>
    </row>
    <row r="5672" spans="31:52">
      <c r="AE5672" s="10"/>
      <c r="AF5672" s="10"/>
      <c r="AG5672" s="10"/>
      <c r="AH5672" s="10"/>
      <c r="AI5672" s="10"/>
      <c r="AJ5672" s="10"/>
      <c r="AK5672" s="10"/>
      <c r="AL5672" s="10"/>
      <c r="AM5672" s="10"/>
      <c r="AN5672" s="10"/>
      <c r="AO5672" s="10"/>
      <c r="AP5672" s="10"/>
      <c r="AQ5672" s="10"/>
      <c r="AR5672" s="10"/>
      <c r="AS5672" s="10"/>
      <c r="AT5672" s="10"/>
      <c r="AU5672" s="10"/>
      <c r="AV5672" s="10"/>
      <c r="AW5672" s="10"/>
      <c r="AX5672" s="10"/>
      <c r="AY5672" s="10"/>
      <c r="AZ5672" s="10"/>
    </row>
    <row r="5673" spans="31:52">
      <c r="AE5673" s="10"/>
      <c r="AF5673" s="10"/>
      <c r="AG5673" s="10"/>
      <c r="AH5673" s="10"/>
      <c r="AI5673" s="10"/>
      <c r="AJ5673" s="10"/>
      <c r="AK5673" s="10"/>
      <c r="AL5673" s="10"/>
      <c r="AM5673" s="10"/>
      <c r="AN5673" s="10"/>
      <c r="AO5673" s="10"/>
      <c r="AP5673" s="10"/>
      <c r="AQ5673" s="10"/>
      <c r="AR5673" s="10"/>
      <c r="AS5673" s="10"/>
      <c r="AT5673" s="10"/>
      <c r="AU5673" s="10"/>
      <c r="AV5673" s="10"/>
      <c r="AW5673" s="10"/>
      <c r="AX5673" s="10"/>
      <c r="AY5673" s="10"/>
      <c r="AZ5673" s="10"/>
    </row>
    <row r="5674" spans="31:52">
      <c r="AE5674" s="10"/>
      <c r="AF5674" s="10"/>
      <c r="AG5674" s="10"/>
      <c r="AH5674" s="10"/>
      <c r="AI5674" s="10"/>
      <c r="AJ5674" s="10"/>
      <c r="AK5674" s="10"/>
      <c r="AL5674" s="10"/>
      <c r="AM5674" s="10"/>
      <c r="AN5674" s="10"/>
      <c r="AO5674" s="10"/>
      <c r="AP5674" s="10"/>
      <c r="AQ5674" s="10"/>
      <c r="AR5674" s="10"/>
      <c r="AS5674" s="10"/>
      <c r="AT5674" s="10"/>
      <c r="AU5674" s="10"/>
      <c r="AV5674" s="10"/>
      <c r="AW5674" s="10"/>
      <c r="AX5674" s="10"/>
      <c r="AY5674" s="10"/>
      <c r="AZ5674" s="10"/>
    </row>
    <row r="5675" spans="31:52">
      <c r="AE5675" s="10"/>
      <c r="AF5675" s="10"/>
      <c r="AG5675" s="10"/>
      <c r="AH5675" s="10"/>
      <c r="AI5675" s="10"/>
      <c r="AJ5675" s="10"/>
      <c r="AK5675" s="10"/>
      <c r="AL5675" s="10"/>
      <c r="AM5675" s="10"/>
      <c r="AN5675" s="10"/>
      <c r="AO5675" s="10"/>
      <c r="AP5675" s="10"/>
      <c r="AQ5675" s="10"/>
      <c r="AR5675" s="10"/>
      <c r="AS5675" s="10"/>
      <c r="AT5675" s="10"/>
      <c r="AU5675" s="10"/>
      <c r="AV5675" s="10"/>
      <c r="AW5675" s="10"/>
      <c r="AX5675" s="10"/>
      <c r="AY5675" s="10"/>
      <c r="AZ5675" s="10"/>
    </row>
    <row r="5676" spans="31:52">
      <c r="AE5676" s="10"/>
      <c r="AF5676" s="10"/>
      <c r="AG5676" s="10"/>
      <c r="AH5676" s="10"/>
      <c r="AI5676" s="10"/>
      <c r="AJ5676" s="10"/>
      <c r="AK5676" s="10"/>
      <c r="AL5676" s="10"/>
      <c r="AM5676" s="10"/>
      <c r="AN5676" s="10"/>
      <c r="AO5676" s="10"/>
      <c r="AP5676" s="10"/>
      <c r="AQ5676" s="10"/>
      <c r="AR5676" s="10"/>
      <c r="AS5676" s="10"/>
      <c r="AT5676" s="10"/>
      <c r="AU5676" s="10"/>
      <c r="AV5676" s="10"/>
      <c r="AW5676" s="10"/>
      <c r="AX5676" s="10"/>
      <c r="AY5676" s="10"/>
      <c r="AZ5676" s="10"/>
    </row>
    <row r="5677" spans="31:52">
      <c r="AE5677" s="10"/>
      <c r="AF5677" s="10"/>
      <c r="AG5677" s="10"/>
      <c r="AH5677" s="10"/>
      <c r="AI5677" s="10"/>
      <c r="AJ5677" s="10"/>
      <c r="AK5677" s="10"/>
      <c r="AL5677" s="10"/>
      <c r="AM5677" s="10"/>
      <c r="AN5677" s="10"/>
      <c r="AO5677" s="10"/>
      <c r="AP5677" s="10"/>
      <c r="AQ5677" s="10"/>
      <c r="AR5677" s="10"/>
      <c r="AS5677" s="10"/>
      <c r="AT5677" s="10"/>
      <c r="AU5677" s="10"/>
      <c r="AV5677" s="10"/>
      <c r="AW5677" s="10"/>
      <c r="AX5677" s="10"/>
      <c r="AY5677" s="10"/>
      <c r="AZ5677" s="10"/>
    </row>
    <row r="5678" spans="31:52">
      <c r="AE5678" s="10"/>
      <c r="AF5678" s="10"/>
      <c r="AG5678" s="10"/>
      <c r="AH5678" s="10"/>
      <c r="AI5678" s="10"/>
      <c r="AJ5678" s="10"/>
      <c r="AK5678" s="10"/>
      <c r="AL5678" s="10"/>
      <c r="AM5678" s="10"/>
      <c r="AN5678" s="10"/>
      <c r="AO5678" s="10"/>
      <c r="AP5678" s="10"/>
      <c r="AQ5678" s="10"/>
      <c r="AR5678" s="10"/>
      <c r="AS5678" s="10"/>
      <c r="AT5678" s="10"/>
      <c r="AU5678" s="10"/>
      <c r="AV5678" s="10"/>
      <c r="AW5678" s="10"/>
      <c r="AX5678" s="10"/>
      <c r="AY5678" s="10"/>
      <c r="AZ5678" s="10"/>
    </row>
    <row r="5679" spans="31:52">
      <c r="AE5679" s="10"/>
      <c r="AF5679" s="10"/>
      <c r="AG5679" s="10"/>
      <c r="AH5679" s="10"/>
      <c r="AI5679" s="10"/>
      <c r="AJ5679" s="10"/>
      <c r="AK5679" s="10"/>
      <c r="AL5679" s="10"/>
      <c r="AM5679" s="10"/>
      <c r="AN5679" s="10"/>
      <c r="AO5679" s="10"/>
      <c r="AP5679" s="10"/>
      <c r="AQ5679" s="10"/>
      <c r="AR5679" s="10"/>
      <c r="AS5679" s="10"/>
      <c r="AT5679" s="10"/>
      <c r="AU5679" s="10"/>
      <c r="AV5679" s="10"/>
      <c r="AW5679" s="10"/>
      <c r="AX5679" s="10"/>
      <c r="AY5679" s="10"/>
      <c r="AZ5679" s="10"/>
    </row>
    <row r="5680" spans="31:52">
      <c r="AE5680" s="10"/>
      <c r="AF5680" s="10"/>
      <c r="AG5680" s="10"/>
      <c r="AH5680" s="10"/>
      <c r="AI5680" s="10"/>
      <c r="AJ5680" s="10"/>
      <c r="AK5680" s="10"/>
      <c r="AL5680" s="10"/>
      <c r="AM5680" s="10"/>
      <c r="AN5680" s="10"/>
      <c r="AO5680" s="10"/>
      <c r="AP5680" s="10"/>
      <c r="AQ5680" s="10"/>
      <c r="AR5680" s="10"/>
      <c r="AS5680" s="10"/>
      <c r="AT5680" s="10"/>
      <c r="AU5680" s="10"/>
      <c r="AV5680" s="10"/>
      <c r="AW5680" s="10"/>
      <c r="AX5680" s="10"/>
      <c r="AY5680" s="10"/>
      <c r="AZ5680" s="10"/>
    </row>
    <row r="5681" spans="31:52">
      <c r="AE5681" s="10"/>
      <c r="AF5681" s="10"/>
      <c r="AG5681" s="10"/>
      <c r="AH5681" s="10"/>
      <c r="AI5681" s="10"/>
      <c r="AJ5681" s="10"/>
      <c r="AK5681" s="10"/>
      <c r="AL5681" s="10"/>
      <c r="AM5681" s="10"/>
      <c r="AN5681" s="10"/>
      <c r="AO5681" s="10"/>
      <c r="AP5681" s="10"/>
      <c r="AQ5681" s="10"/>
      <c r="AR5681" s="10"/>
      <c r="AS5681" s="10"/>
      <c r="AT5681" s="10"/>
      <c r="AU5681" s="10"/>
      <c r="AV5681" s="10"/>
      <c r="AW5681" s="10"/>
      <c r="AX5681" s="10"/>
      <c r="AY5681" s="10"/>
      <c r="AZ5681" s="10"/>
    </row>
    <row r="5682" spans="31:52">
      <c r="AE5682" s="10"/>
      <c r="AF5682" s="10"/>
      <c r="AG5682" s="10"/>
      <c r="AH5682" s="10"/>
      <c r="AI5682" s="10"/>
      <c r="AJ5682" s="10"/>
      <c r="AK5682" s="10"/>
      <c r="AL5682" s="10"/>
      <c r="AM5682" s="10"/>
      <c r="AN5682" s="10"/>
      <c r="AO5682" s="10"/>
      <c r="AP5682" s="10"/>
      <c r="AQ5682" s="10"/>
      <c r="AR5682" s="10"/>
      <c r="AS5682" s="10"/>
      <c r="AT5682" s="10"/>
      <c r="AU5682" s="10"/>
      <c r="AV5682" s="10"/>
      <c r="AW5682" s="10"/>
      <c r="AX5682" s="10"/>
      <c r="AY5682" s="10"/>
      <c r="AZ5682" s="10"/>
    </row>
    <row r="5683" spans="31:52">
      <c r="AE5683" s="10"/>
      <c r="AF5683" s="10"/>
      <c r="AG5683" s="10"/>
      <c r="AH5683" s="10"/>
      <c r="AI5683" s="10"/>
      <c r="AJ5683" s="10"/>
      <c r="AK5683" s="10"/>
      <c r="AL5683" s="10"/>
      <c r="AM5683" s="10"/>
      <c r="AN5683" s="10"/>
      <c r="AO5683" s="10"/>
      <c r="AP5683" s="10"/>
      <c r="AQ5683" s="10"/>
      <c r="AR5683" s="10"/>
      <c r="AS5683" s="10"/>
      <c r="AT5683" s="10"/>
      <c r="AU5683" s="10"/>
      <c r="AV5683" s="10"/>
      <c r="AW5683" s="10"/>
      <c r="AX5683" s="10"/>
      <c r="AY5683" s="10"/>
      <c r="AZ5683" s="10"/>
    </row>
    <row r="5684" spans="31:52">
      <c r="AE5684" s="10"/>
      <c r="AF5684" s="10"/>
      <c r="AG5684" s="10"/>
      <c r="AH5684" s="10"/>
      <c r="AI5684" s="10"/>
      <c r="AJ5684" s="10"/>
      <c r="AK5684" s="10"/>
      <c r="AL5684" s="10"/>
      <c r="AM5684" s="10"/>
      <c r="AN5684" s="10"/>
      <c r="AO5684" s="10"/>
      <c r="AP5684" s="10"/>
      <c r="AQ5684" s="10"/>
      <c r="AR5684" s="10"/>
      <c r="AS5684" s="10"/>
      <c r="AT5684" s="10"/>
      <c r="AU5684" s="10"/>
      <c r="AV5684" s="10"/>
      <c r="AW5684" s="10"/>
      <c r="AX5684" s="10"/>
      <c r="AY5684" s="10"/>
      <c r="AZ5684" s="10"/>
    </row>
    <row r="5685" spans="31:52">
      <c r="AE5685" s="10"/>
      <c r="AF5685" s="10"/>
      <c r="AG5685" s="10"/>
      <c r="AH5685" s="10"/>
      <c r="AI5685" s="10"/>
      <c r="AJ5685" s="10"/>
      <c r="AK5685" s="10"/>
      <c r="AL5685" s="10"/>
      <c r="AM5685" s="10"/>
      <c r="AN5685" s="10"/>
      <c r="AO5685" s="10"/>
      <c r="AP5685" s="10"/>
      <c r="AQ5685" s="10"/>
      <c r="AR5685" s="10"/>
      <c r="AS5685" s="10"/>
      <c r="AT5685" s="10"/>
      <c r="AU5685" s="10"/>
      <c r="AV5685" s="10"/>
      <c r="AW5685" s="10"/>
      <c r="AX5685" s="10"/>
      <c r="AY5685" s="10"/>
      <c r="AZ5685" s="10"/>
    </row>
    <row r="5686" spans="31:52">
      <c r="AE5686" s="10"/>
      <c r="AF5686" s="10"/>
      <c r="AG5686" s="10"/>
      <c r="AH5686" s="10"/>
      <c r="AI5686" s="10"/>
      <c r="AJ5686" s="10"/>
      <c r="AK5686" s="10"/>
      <c r="AL5686" s="10"/>
      <c r="AM5686" s="10"/>
      <c r="AN5686" s="10"/>
      <c r="AO5686" s="10"/>
      <c r="AP5686" s="10"/>
      <c r="AQ5686" s="10"/>
      <c r="AR5686" s="10"/>
      <c r="AS5686" s="10"/>
      <c r="AT5686" s="10"/>
      <c r="AU5686" s="10"/>
      <c r="AV5686" s="10"/>
      <c r="AW5686" s="10"/>
      <c r="AX5686" s="10"/>
      <c r="AY5686" s="10"/>
      <c r="AZ5686" s="10"/>
    </row>
    <row r="5687" spans="31:52">
      <c r="AE5687" s="10"/>
      <c r="AF5687" s="10"/>
      <c r="AG5687" s="10"/>
      <c r="AH5687" s="10"/>
      <c r="AI5687" s="10"/>
      <c r="AJ5687" s="10"/>
      <c r="AK5687" s="10"/>
      <c r="AL5687" s="10"/>
      <c r="AM5687" s="10"/>
      <c r="AN5687" s="10"/>
      <c r="AO5687" s="10"/>
      <c r="AP5687" s="10"/>
      <c r="AQ5687" s="10"/>
      <c r="AR5687" s="10"/>
      <c r="AS5687" s="10"/>
      <c r="AT5687" s="10"/>
      <c r="AU5687" s="10"/>
      <c r="AV5687" s="10"/>
      <c r="AW5687" s="10"/>
      <c r="AX5687" s="10"/>
      <c r="AY5687" s="10"/>
      <c r="AZ5687" s="10"/>
    </row>
    <row r="5688" spans="31:52">
      <c r="AE5688" s="10"/>
      <c r="AF5688" s="10"/>
      <c r="AG5688" s="10"/>
      <c r="AH5688" s="10"/>
      <c r="AI5688" s="10"/>
      <c r="AJ5688" s="10"/>
      <c r="AK5688" s="10"/>
      <c r="AL5688" s="10"/>
      <c r="AM5688" s="10"/>
      <c r="AN5688" s="10"/>
      <c r="AO5688" s="10"/>
      <c r="AP5688" s="10"/>
      <c r="AQ5688" s="10"/>
      <c r="AR5688" s="10"/>
      <c r="AS5688" s="10"/>
      <c r="AT5688" s="10"/>
      <c r="AU5688" s="10"/>
      <c r="AV5688" s="10"/>
      <c r="AW5688" s="10"/>
      <c r="AX5688" s="10"/>
      <c r="AY5688" s="10"/>
      <c r="AZ5688" s="10"/>
    </row>
    <row r="5689" spans="31:52">
      <c r="AE5689" s="10"/>
      <c r="AF5689" s="10"/>
      <c r="AG5689" s="10"/>
      <c r="AH5689" s="10"/>
      <c r="AI5689" s="10"/>
      <c r="AJ5689" s="10"/>
      <c r="AK5689" s="10"/>
      <c r="AL5689" s="10"/>
      <c r="AM5689" s="10"/>
      <c r="AN5689" s="10"/>
      <c r="AO5689" s="10"/>
      <c r="AP5689" s="10"/>
      <c r="AQ5689" s="10"/>
      <c r="AR5689" s="10"/>
      <c r="AS5689" s="10"/>
      <c r="AT5689" s="10"/>
      <c r="AU5689" s="10"/>
      <c r="AV5689" s="10"/>
      <c r="AW5689" s="10"/>
      <c r="AX5689" s="10"/>
      <c r="AY5689" s="10"/>
      <c r="AZ5689" s="10"/>
    </row>
    <row r="5690" spans="31:52">
      <c r="AE5690" s="10"/>
      <c r="AF5690" s="10"/>
      <c r="AG5690" s="10"/>
      <c r="AH5690" s="10"/>
      <c r="AI5690" s="10"/>
      <c r="AJ5690" s="10"/>
      <c r="AK5690" s="10"/>
      <c r="AL5690" s="10"/>
      <c r="AM5690" s="10"/>
      <c r="AN5690" s="10"/>
      <c r="AO5690" s="10"/>
      <c r="AP5690" s="10"/>
      <c r="AQ5690" s="10"/>
      <c r="AR5690" s="10"/>
      <c r="AS5690" s="10"/>
      <c r="AT5690" s="10"/>
      <c r="AU5690" s="10"/>
      <c r="AV5690" s="10"/>
      <c r="AW5690" s="10"/>
      <c r="AX5690" s="10"/>
      <c r="AY5690" s="10"/>
      <c r="AZ5690" s="10"/>
    </row>
    <row r="5691" spans="31:52">
      <c r="AE5691" s="10"/>
      <c r="AF5691" s="10"/>
      <c r="AG5691" s="10"/>
      <c r="AH5691" s="10"/>
      <c r="AI5691" s="10"/>
      <c r="AJ5691" s="10"/>
      <c r="AK5691" s="10"/>
      <c r="AL5691" s="10"/>
      <c r="AM5691" s="10"/>
      <c r="AN5691" s="10"/>
      <c r="AO5691" s="10"/>
      <c r="AP5691" s="10"/>
      <c r="AQ5691" s="10"/>
      <c r="AR5691" s="10"/>
      <c r="AS5691" s="10"/>
      <c r="AT5691" s="10"/>
      <c r="AU5691" s="10"/>
      <c r="AV5691" s="10"/>
      <c r="AW5691" s="10"/>
      <c r="AX5691" s="10"/>
      <c r="AY5691" s="10"/>
      <c r="AZ5691" s="10"/>
    </row>
    <row r="5692" spans="31:52">
      <c r="AE5692" s="10"/>
      <c r="AF5692" s="10"/>
      <c r="AG5692" s="10"/>
      <c r="AH5692" s="10"/>
      <c r="AI5692" s="10"/>
      <c r="AJ5692" s="10"/>
      <c r="AK5692" s="10"/>
      <c r="AL5692" s="10"/>
      <c r="AM5692" s="10"/>
      <c r="AN5692" s="10"/>
      <c r="AO5692" s="10"/>
      <c r="AP5692" s="10"/>
      <c r="AQ5692" s="10"/>
      <c r="AR5692" s="10"/>
      <c r="AS5692" s="10"/>
      <c r="AT5692" s="10"/>
      <c r="AU5692" s="10"/>
      <c r="AV5692" s="10"/>
      <c r="AW5692" s="10"/>
      <c r="AX5692" s="10"/>
      <c r="AY5692" s="10"/>
      <c r="AZ5692" s="10"/>
    </row>
    <row r="5693" spans="31:52">
      <c r="AE5693" s="10"/>
      <c r="AF5693" s="10"/>
      <c r="AG5693" s="10"/>
      <c r="AH5693" s="10"/>
      <c r="AI5693" s="10"/>
      <c r="AJ5693" s="10"/>
      <c r="AK5693" s="10"/>
      <c r="AL5693" s="10"/>
      <c r="AM5693" s="10"/>
      <c r="AN5693" s="10"/>
      <c r="AO5693" s="10"/>
      <c r="AP5693" s="10"/>
      <c r="AQ5693" s="10"/>
      <c r="AR5693" s="10"/>
      <c r="AS5693" s="10"/>
      <c r="AT5693" s="10"/>
      <c r="AU5693" s="10"/>
      <c r="AV5693" s="10"/>
      <c r="AW5693" s="10"/>
      <c r="AX5693" s="10"/>
      <c r="AY5693" s="10"/>
      <c r="AZ5693" s="10"/>
    </row>
    <row r="5694" spans="31:52">
      <c r="AE5694" s="10"/>
      <c r="AF5694" s="10"/>
      <c r="AG5694" s="10"/>
      <c r="AH5694" s="10"/>
      <c r="AI5694" s="10"/>
      <c r="AJ5694" s="10"/>
      <c r="AK5694" s="10"/>
      <c r="AL5694" s="10"/>
      <c r="AM5694" s="10"/>
      <c r="AN5694" s="10"/>
      <c r="AO5694" s="10"/>
      <c r="AP5694" s="10"/>
      <c r="AQ5694" s="10"/>
      <c r="AR5694" s="10"/>
      <c r="AS5694" s="10"/>
      <c r="AT5694" s="10"/>
      <c r="AU5694" s="10"/>
      <c r="AV5694" s="10"/>
      <c r="AW5694" s="10"/>
      <c r="AX5694" s="10"/>
      <c r="AY5694" s="10"/>
      <c r="AZ5694" s="10"/>
    </row>
    <row r="5695" spans="31:52">
      <c r="AE5695" s="10"/>
      <c r="AF5695" s="10"/>
      <c r="AG5695" s="10"/>
      <c r="AH5695" s="10"/>
      <c r="AI5695" s="10"/>
      <c r="AJ5695" s="10"/>
      <c r="AK5695" s="10"/>
      <c r="AL5695" s="10"/>
      <c r="AM5695" s="10"/>
      <c r="AN5695" s="10"/>
      <c r="AO5695" s="10"/>
      <c r="AP5695" s="10"/>
      <c r="AQ5695" s="10"/>
      <c r="AR5695" s="10"/>
      <c r="AS5695" s="10"/>
      <c r="AT5695" s="10"/>
      <c r="AU5695" s="10"/>
      <c r="AV5695" s="10"/>
      <c r="AW5695" s="10"/>
      <c r="AX5695" s="10"/>
      <c r="AY5695" s="10"/>
      <c r="AZ5695" s="10"/>
    </row>
    <row r="5696" spans="31:52">
      <c r="AE5696" s="10"/>
      <c r="AF5696" s="10"/>
      <c r="AG5696" s="10"/>
      <c r="AH5696" s="10"/>
      <c r="AI5696" s="10"/>
      <c r="AJ5696" s="10"/>
      <c r="AK5696" s="10"/>
      <c r="AL5696" s="10"/>
      <c r="AM5696" s="10"/>
      <c r="AN5696" s="10"/>
      <c r="AO5696" s="10"/>
      <c r="AP5696" s="10"/>
      <c r="AQ5696" s="10"/>
      <c r="AR5696" s="10"/>
      <c r="AS5696" s="10"/>
      <c r="AT5696" s="10"/>
      <c r="AU5696" s="10"/>
      <c r="AV5696" s="10"/>
      <c r="AW5696" s="10"/>
      <c r="AX5696" s="10"/>
      <c r="AY5696" s="10"/>
      <c r="AZ5696" s="10"/>
    </row>
    <row r="5697" spans="31:52">
      <c r="AE5697" s="10"/>
      <c r="AF5697" s="10"/>
      <c r="AG5697" s="10"/>
      <c r="AH5697" s="10"/>
      <c r="AI5697" s="10"/>
      <c r="AJ5697" s="10"/>
      <c r="AK5697" s="10"/>
      <c r="AL5697" s="10"/>
      <c r="AM5697" s="10"/>
      <c r="AN5697" s="10"/>
      <c r="AO5697" s="10"/>
      <c r="AP5697" s="10"/>
      <c r="AQ5697" s="10"/>
      <c r="AR5697" s="10"/>
      <c r="AS5697" s="10"/>
      <c r="AT5697" s="10"/>
      <c r="AU5697" s="10"/>
      <c r="AV5697" s="10"/>
      <c r="AW5697" s="10"/>
      <c r="AX5697" s="10"/>
      <c r="AY5697" s="10"/>
      <c r="AZ5697" s="10"/>
    </row>
    <row r="5698" spans="31:52">
      <c r="AE5698" s="10"/>
      <c r="AF5698" s="10"/>
      <c r="AG5698" s="10"/>
      <c r="AH5698" s="10"/>
      <c r="AI5698" s="10"/>
      <c r="AJ5698" s="10"/>
      <c r="AK5698" s="10"/>
      <c r="AL5698" s="10"/>
      <c r="AM5698" s="10"/>
      <c r="AN5698" s="10"/>
      <c r="AO5698" s="10"/>
      <c r="AP5698" s="10"/>
      <c r="AQ5698" s="10"/>
      <c r="AR5698" s="10"/>
      <c r="AS5698" s="10"/>
      <c r="AT5698" s="10"/>
      <c r="AU5698" s="10"/>
      <c r="AV5698" s="10"/>
      <c r="AW5698" s="10"/>
      <c r="AX5698" s="10"/>
      <c r="AY5698" s="10"/>
      <c r="AZ5698" s="10"/>
    </row>
    <row r="5699" spans="31:52">
      <c r="AE5699" s="10"/>
      <c r="AF5699" s="10"/>
      <c r="AG5699" s="10"/>
      <c r="AH5699" s="10"/>
      <c r="AI5699" s="10"/>
      <c r="AJ5699" s="10"/>
      <c r="AK5699" s="10"/>
      <c r="AL5699" s="10"/>
      <c r="AM5699" s="10"/>
      <c r="AN5699" s="10"/>
      <c r="AO5699" s="10"/>
      <c r="AP5699" s="10"/>
      <c r="AQ5699" s="10"/>
      <c r="AR5699" s="10"/>
      <c r="AS5699" s="10"/>
      <c r="AT5699" s="10"/>
      <c r="AU5699" s="10"/>
      <c r="AV5699" s="10"/>
      <c r="AW5699" s="10"/>
      <c r="AX5699" s="10"/>
      <c r="AY5699" s="10"/>
      <c r="AZ5699" s="10"/>
    </row>
    <row r="5700" spans="31:52">
      <c r="AE5700" s="10"/>
      <c r="AF5700" s="10"/>
      <c r="AG5700" s="10"/>
      <c r="AH5700" s="10"/>
      <c r="AI5700" s="10"/>
      <c r="AJ5700" s="10"/>
      <c r="AK5700" s="10"/>
      <c r="AL5700" s="10"/>
      <c r="AM5700" s="10"/>
      <c r="AN5700" s="10"/>
      <c r="AO5700" s="10"/>
      <c r="AP5700" s="10"/>
      <c r="AQ5700" s="10"/>
      <c r="AR5700" s="10"/>
      <c r="AS5700" s="10"/>
      <c r="AT5700" s="10"/>
      <c r="AU5700" s="10"/>
      <c r="AV5700" s="10"/>
      <c r="AW5700" s="10"/>
      <c r="AX5700" s="10"/>
      <c r="AY5700" s="10"/>
      <c r="AZ5700" s="10"/>
    </row>
    <row r="5701" spans="31:52">
      <c r="AE5701" s="10"/>
      <c r="AF5701" s="10"/>
      <c r="AG5701" s="10"/>
      <c r="AH5701" s="10"/>
      <c r="AI5701" s="10"/>
      <c r="AJ5701" s="10"/>
      <c r="AK5701" s="10"/>
      <c r="AL5701" s="10"/>
      <c r="AM5701" s="10"/>
      <c r="AN5701" s="10"/>
      <c r="AO5701" s="10"/>
      <c r="AP5701" s="10"/>
      <c r="AQ5701" s="10"/>
      <c r="AR5701" s="10"/>
      <c r="AS5701" s="10"/>
      <c r="AT5701" s="10"/>
      <c r="AU5701" s="10"/>
      <c r="AV5701" s="10"/>
      <c r="AW5701" s="10"/>
      <c r="AX5701" s="10"/>
      <c r="AY5701" s="10"/>
      <c r="AZ5701" s="10"/>
    </row>
    <row r="5702" spans="31:52">
      <c r="AE5702" s="10"/>
      <c r="AF5702" s="10"/>
      <c r="AG5702" s="10"/>
      <c r="AH5702" s="10"/>
      <c r="AI5702" s="10"/>
      <c r="AJ5702" s="10"/>
      <c r="AK5702" s="10"/>
      <c r="AL5702" s="10"/>
      <c r="AM5702" s="10"/>
      <c r="AN5702" s="10"/>
      <c r="AO5702" s="10"/>
      <c r="AP5702" s="10"/>
      <c r="AQ5702" s="10"/>
      <c r="AR5702" s="10"/>
      <c r="AS5702" s="10"/>
      <c r="AT5702" s="10"/>
      <c r="AU5702" s="10"/>
      <c r="AV5702" s="10"/>
      <c r="AW5702" s="10"/>
      <c r="AX5702" s="10"/>
      <c r="AY5702" s="10"/>
      <c r="AZ5702" s="10"/>
    </row>
    <row r="5703" spans="31:52">
      <c r="AE5703" s="10"/>
      <c r="AF5703" s="10"/>
      <c r="AG5703" s="10"/>
      <c r="AH5703" s="10"/>
      <c r="AI5703" s="10"/>
      <c r="AJ5703" s="10"/>
      <c r="AK5703" s="10"/>
      <c r="AL5703" s="10"/>
      <c r="AM5703" s="10"/>
      <c r="AN5703" s="10"/>
      <c r="AO5703" s="10"/>
      <c r="AP5703" s="10"/>
      <c r="AQ5703" s="10"/>
      <c r="AR5703" s="10"/>
      <c r="AS5703" s="10"/>
      <c r="AT5703" s="10"/>
      <c r="AU5703" s="10"/>
      <c r="AV5703" s="10"/>
      <c r="AW5703" s="10"/>
      <c r="AX5703" s="10"/>
      <c r="AY5703" s="10"/>
      <c r="AZ5703" s="10"/>
    </row>
    <row r="5704" spans="31:52">
      <c r="AE5704" s="10"/>
      <c r="AF5704" s="10"/>
      <c r="AG5704" s="10"/>
      <c r="AH5704" s="10"/>
      <c r="AI5704" s="10"/>
      <c r="AJ5704" s="10"/>
      <c r="AK5704" s="10"/>
      <c r="AL5704" s="10"/>
      <c r="AM5704" s="10"/>
      <c r="AN5704" s="10"/>
      <c r="AO5704" s="10"/>
      <c r="AP5704" s="10"/>
      <c r="AQ5704" s="10"/>
      <c r="AR5704" s="10"/>
      <c r="AS5704" s="10"/>
      <c r="AT5704" s="10"/>
      <c r="AU5704" s="10"/>
      <c r="AV5704" s="10"/>
      <c r="AW5704" s="10"/>
      <c r="AX5704" s="10"/>
      <c r="AY5704" s="10"/>
      <c r="AZ5704" s="10"/>
    </row>
    <row r="5705" spans="31:52">
      <c r="AE5705" s="10"/>
      <c r="AF5705" s="10"/>
      <c r="AG5705" s="10"/>
      <c r="AH5705" s="10"/>
      <c r="AI5705" s="10"/>
      <c r="AJ5705" s="10"/>
      <c r="AK5705" s="10"/>
      <c r="AL5705" s="10"/>
      <c r="AM5705" s="10"/>
      <c r="AN5705" s="10"/>
      <c r="AO5705" s="10"/>
      <c r="AP5705" s="10"/>
      <c r="AQ5705" s="10"/>
      <c r="AR5705" s="10"/>
      <c r="AS5705" s="10"/>
      <c r="AT5705" s="10"/>
      <c r="AU5705" s="10"/>
      <c r="AV5705" s="10"/>
      <c r="AW5705" s="10"/>
      <c r="AX5705" s="10"/>
      <c r="AY5705" s="10"/>
      <c r="AZ5705" s="10"/>
    </row>
    <row r="5706" spans="31:52">
      <c r="AE5706" s="10"/>
      <c r="AF5706" s="10"/>
      <c r="AG5706" s="10"/>
      <c r="AH5706" s="10"/>
      <c r="AI5706" s="10"/>
      <c r="AJ5706" s="10"/>
      <c r="AK5706" s="10"/>
      <c r="AL5706" s="10"/>
      <c r="AM5706" s="10"/>
      <c r="AN5706" s="10"/>
      <c r="AO5706" s="10"/>
      <c r="AP5706" s="10"/>
      <c r="AQ5706" s="10"/>
      <c r="AR5706" s="10"/>
      <c r="AS5706" s="10"/>
      <c r="AT5706" s="10"/>
      <c r="AU5706" s="10"/>
      <c r="AV5706" s="10"/>
      <c r="AW5706" s="10"/>
      <c r="AX5706" s="10"/>
      <c r="AY5706" s="10"/>
      <c r="AZ5706" s="10"/>
    </row>
    <row r="5707" spans="31:52">
      <c r="AE5707" s="10"/>
      <c r="AF5707" s="10"/>
      <c r="AG5707" s="10"/>
      <c r="AH5707" s="10"/>
      <c r="AI5707" s="10"/>
      <c r="AJ5707" s="10"/>
      <c r="AK5707" s="10"/>
      <c r="AL5707" s="10"/>
      <c r="AM5707" s="10"/>
      <c r="AN5707" s="10"/>
      <c r="AO5707" s="10"/>
      <c r="AP5707" s="10"/>
      <c r="AQ5707" s="10"/>
      <c r="AR5707" s="10"/>
      <c r="AS5707" s="10"/>
      <c r="AT5707" s="10"/>
      <c r="AU5707" s="10"/>
      <c r="AV5707" s="10"/>
      <c r="AW5707" s="10"/>
      <c r="AX5707" s="10"/>
      <c r="AY5707" s="10"/>
      <c r="AZ5707" s="10"/>
    </row>
    <row r="5708" spans="31:52">
      <c r="AE5708" s="10"/>
      <c r="AF5708" s="10"/>
      <c r="AG5708" s="10"/>
      <c r="AH5708" s="10"/>
      <c r="AI5708" s="10"/>
      <c r="AJ5708" s="10"/>
      <c r="AK5708" s="10"/>
      <c r="AL5708" s="10"/>
      <c r="AM5708" s="10"/>
      <c r="AN5708" s="10"/>
      <c r="AO5708" s="10"/>
      <c r="AP5708" s="10"/>
      <c r="AQ5708" s="10"/>
      <c r="AR5708" s="10"/>
      <c r="AS5708" s="10"/>
      <c r="AT5708" s="10"/>
      <c r="AU5708" s="10"/>
      <c r="AV5708" s="10"/>
      <c r="AW5708" s="10"/>
      <c r="AX5708" s="10"/>
      <c r="AY5708" s="10"/>
      <c r="AZ5708" s="10"/>
    </row>
    <row r="5709" spans="31:52">
      <c r="AE5709" s="10"/>
      <c r="AF5709" s="10"/>
      <c r="AG5709" s="10"/>
      <c r="AH5709" s="10"/>
      <c r="AI5709" s="10"/>
      <c r="AJ5709" s="10"/>
      <c r="AK5709" s="10"/>
      <c r="AL5709" s="10"/>
      <c r="AM5709" s="10"/>
      <c r="AN5709" s="10"/>
      <c r="AO5709" s="10"/>
      <c r="AP5709" s="10"/>
      <c r="AQ5709" s="10"/>
      <c r="AR5709" s="10"/>
      <c r="AS5709" s="10"/>
      <c r="AT5709" s="10"/>
      <c r="AU5709" s="10"/>
      <c r="AV5709" s="10"/>
      <c r="AW5709" s="10"/>
      <c r="AX5709" s="10"/>
      <c r="AY5709" s="10"/>
      <c r="AZ5709" s="10"/>
    </row>
    <row r="5710" spans="31:52">
      <c r="AE5710" s="10"/>
      <c r="AF5710" s="10"/>
      <c r="AG5710" s="10"/>
      <c r="AH5710" s="10"/>
      <c r="AI5710" s="10"/>
      <c r="AJ5710" s="10"/>
      <c r="AK5710" s="10"/>
      <c r="AL5710" s="10"/>
      <c r="AM5710" s="10"/>
      <c r="AN5710" s="10"/>
      <c r="AO5710" s="10"/>
      <c r="AP5710" s="10"/>
      <c r="AQ5710" s="10"/>
      <c r="AR5710" s="10"/>
      <c r="AS5710" s="10"/>
      <c r="AT5710" s="10"/>
      <c r="AU5710" s="10"/>
      <c r="AV5710" s="10"/>
      <c r="AW5710" s="10"/>
      <c r="AX5710" s="10"/>
      <c r="AY5710" s="10"/>
      <c r="AZ5710" s="10"/>
    </row>
    <row r="5711" spans="31:52">
      <c r="AE5711" s="10"/>
      <c r="AF5711" s="10"/>
      <c r="AG5711" s="10"/>
      <c r="AH5711" s="10"/>
      <c r="AI5711" s="10"/>
      <c r="AJ5711" s="10"/>
      <c r="AK5711" s="10"/>
      <c r="AL5711" s="10"/>
      <c r="AM5711" s="10"/>
      <c r="AN5711" s="10"/>
      <c r="AO5711" s="10"/>
      <c r="AP5711" s="10"/>
      <c r="AQ5711" s="10"/>
      <c r="AR5711" s="10"/>
      <c r="AS5711" s="10"/>
      <c r="AT5711" s="10"/>
      <c r="AU5711" s="10"/>
      <c r="AV5711" s="10"/>
      <c r="AW5711" s="10"/>
      <c r="AX5711" s="10"/>
      <c r="AY5711" s="10"/>
      <c r="AZ5711" s="10"/>
    </row>
    <row r="5712" spans="31:52">
      <c r="AE5712" s="10"/>
      <c r="AF5712" s="10"/>
      <c r="AG5712" s="10"/>
      <c r="AH5712" s="10"/>
      <c r="AI5712" s="10"/>
      <c r="AJ5712" s="10"/>
      <c r="AK5712" s="10"/>
      <c r="AL5712" s="10"/>
      <c r="AM5712" s="10"/>
      <c r="AN5712" s="10"/>
      <c r="AO5712" s="10"/>
      <c r="AP5712" s="10"/>
      <c r="AQ5712" s="10"/>
      <c r="AR5712" s="10"/>
      <c r="AS5712" s="10"/>
      <c r="AT5712" s="10"/>
      <c r="AU5712" s="10"/>
      <c r="AV5712" s="10"/>
      <c r="AW5712" s="10"/>
      <c r="AX5712" s="10"/>
      <c r="AY5712" s="10"/>
      <c r="AZ5712" s="10"/>
    </row>
    <row r="5713" spans="31:52">
      <c r="AE5713" s="10"/>
      <c r="AF5713" s="10"/>
      <c r="AG5713" s="10"/>
      <c r="AH5713" s="10"/>
      <c r="AI5713" s="10"/>
      <c r="AJ5713" s="10"/>
      <c r="AK5713" s="10"/>
      <c r="AL5713" s="10"/>
      <c r="AM5713" s="10"/>
      <c r="AN5713" s="10"/>
      <c r="AO5713" s="10"/>
      <c r="AP5713" s="10"/>
      <c r="AQ5713" s="10"/>
      <c r="AR5713" s="10"/>
      <c r="AS5713" s="10"/>
      <c r="AT5713" s="10"/>
      <c r="AU5713" s="10"/>
      <c r="AV5713" s="10"/>
      <c r="AW5713" s="10"/>
      <c r="AX5713" s="10"/>
      <c r="AY5713" s="10"/>
      <c r="AZ5713" s="10"/>
    </row>
    <row r="5714" spans="31:52">
      <c r="AE5714" s="10"/>
      <c r="AF5714" s="10"/>
      <c r="AG5714" s="10"/>
      <c r="AH5714" s="10"/>
      <c r="AI5714" s="10"/>
      <c r="AJ5714" s="10"/>
      <c r="AK5714" s="10"/>
      <c r="AL5714" s="10"/>
      <c r="AM5714" s="10"/>
      <c r="AN5714" s="10"/>
      <c r="AO5714" s="10"/>
      <c r="AP5714" s="10"/>
      <c r="AQ5714" s="10"/>
      <c r="AR5714" s="10"/>
      <c r="AS5714" s="10"/>
      <c r="AT5714" s="10"/>
      <c r="AU5714" s="10"/>
      <c r="AV5714" s="10"/>
      <c r="AW5714" s="10"/>
      <c r="AX5714" s="10"/>
      <c r="AY5714" s="10"/>
      <c r="AZ5714" s="10"/>
    </row>
    <row r="5715" spans="31:52">
      <c r="AE5715" s="10"/>
      <c r="AF5715" s="10"/>
      <c r="AG5715" s="10"/>
      <c r="AH5715" s="10"/>
      <c r="AI5715" s="10"/>
      <c r="AJ5715" s="10"/>
      <c r="AK5715" s="10"/>
      <c r="AL5715" s="10"/>
      <c r="AM5715" s="10"/>
      <c r="AN5715" s="10"/>
      <c r="AO5715" s="10"/>
      <c r="AP5715" s="10"/>
      <c r="AQ5715" s="10"/>
      <c r="AR5715" s="10"/>
      <c r="AS5715" s="10"/>
      <c r="AT5715" s="10"/>
      <c r="AU5715" s="10"/>
      <c r="AV5715" s="10"/>
      <c r="AW5715" s="10"/>
      <c r="AX5715" s="10"/>
      <c r="AY5715" s="10"/>
      <c r="AZ5715" s="10"/>
    </row>
    <row r="5716" spans="31:52">
      <c r="AE5716" s="10"/>
      <c r="AF5716" s="10"/>
      <c r="AG5716" s="10"/>
      <c r="AH5716" s="10"/>
      <c r="AI5716" s="10"/>
      <c r="AJ5716" s="10"/>
      <c r="AK5716" s="10"/>
      <c r="AL5716" s="10"/>
      <c r="AM5716" s="10"/>
      <c r="AN5716" s="10"/>
      <c r="AO5716" s="10"/>
      <c r="AP5716" s="10"/>
      <c r="AQ5716" s="10"/>
      <c r="AR5716" s="10"/>
      <c r="AS5716" s="10"/>
      <c r="AT5716" s="10"/>
      <c r="AU5716" s="10"/>
      <c r="AV5716" s="10"/>
      <c r="AW5716" s="10"/>
      <c r="AX5716" s="10"/>
      <c r="AY5716" s="10"/>
      <c r="AZ5716" s="10"/>
    </row>
    <row r="5717" spans="31:52">
      <c r="AE5717" s="10"/>
      <c r="AF5717" s="10"/>
      <c r="AG5717" s="10"/>
      <c r="AH5717" s="10"/>
      <c r="AI5717" s="10"/>
      <c r="AJ5717" s="10"/>
      <c r="AK5717" s="10"/>
      <c r="AL5717" s="10"/>
      <c r="AM5717" s="10"/>
      <c r="AN5717" s="10"/>
      <c r="AO5717" s="10"/>
      <c r="AP5717" s="10"/>
      <c r="AQ5717" s="10"/>
      <c r="AR5717" s="10"/>
      <c r="AS5717" s="10"/>
      <c r="AT5717" s="10"/>
      <c r="AU5717" s="10"/>
      <c r="AV5717" s="10"/>
      <c r="AW5717" s="10"/>
      <c r="AX5717" s="10"/>
      <c r="AY5717" s="10"/>
      <c r="AZ5717" s="10"/>
    </row>
    <row r="5718" spans="31:52">
      <c r="AE5718" s="10"/>
      <c r="AF5718" s="10"/>
      <c r="AG5718" s="10"/>
      <c r="AH5718" s="10"/>
      <c r="AI5718" s="10"/>
      <c r="AJ5718" s="10"/>
      <c r="AK5718" s="10"/>
      <c r="AL5718" s="10"/>
      <c r="AM5718" s="10"/>
      <c r="AN5718" s="10"/>
      <c r="AO5718" s="10"/>
      <c r="AP5718" s="10"/>
      <c r="AQ5718" s="10"/>
      <c r="AR5718" s="10"/>
      <c r="AS5718" s="10"/>
      <c r="AT5718" s="10"/>
      <c r="AU5718" s="10"/>
      <c r="AV5718" s="10"/>
      <c r="AW5718" s="10"/>
      <c r="AX5718" s="10"/>
      <c r="AY5718" s="10"/>
      <c r="AZ5718" s="10"/>
    </row>
    <row r="5719" spans="31:52">
      <c r="AE5719" s="10"/>
      <c r="AF5719" s="10"/>
      <c r="AG5719" s="10"/>
      <c r="AH5719" s="10"/>
      <c r="AI5719" s="10"/>
      <c r="AJ5719" s="10"/>
      <c r="AK5719" s="10"/>
      <c r="AL5719" s="10"/>
      <c r="AM5719" s="10"/>
      <c r="AN5719" s="10"/>
      <c r="AO5719" s="10"/>
      <c r="AP5719" s="10"/>
      <c r="AQ5719" s="10"/>
      <c r="AR5719" s="10"/>
      <c r="AS5719" s="10"/>
      <c r="AT5719" s="10"/>
      <c r="AU5719" s="10"/>
      <c r="AV5719" s="10"/>
      <c r="AW5719" s="10"/>
      <c r="AX5719" s="10"/>
      <c r="AY5719" s="10"/>
      <c r="AZ5719" s="10"/>
    </row>
    <row r="5720" spans="31:52">
      <c r="AE5720" s="10"/>
      <c r="AF5720" s="10"/>
      <c r="AG5720" s="10"/>
      <c r="AH5720" s="10"/>
      <c r="AI5720" s="10"/>
      <c r="AJ5720" s="10"/>
      <c r="AK5720" s="10"/>
      <c r="AL5720" s="10"/>
      <c r="AM5720" s="10"/>
      <c r="AN5720" s="10"/>
      <c r="AO5720" s="10"/>
      <c r="AP5720" s="10"/>
      <c r="AQ5720" s="10"/>
      <c r="AR5720" s="10"/>
      <c r="AS5720" s="10"/>
      <c r="AT5720" s="10"/>
      <c r="AU5720" s="10"/>
      <c r="AV5720" s="10"/>
      <c r="AW5720" s="10"/>
      <c r="AX5720" s="10"/>
      <c r="AY5720" s="10"/>
      <c r="AZ5720" s="10"/>
    </row>
    <row r="5721" spans="31:52">
      <c r="AE5721" s="10"/>
      <c r="AF5721" s="10"/>
      <c r="AG5721" s="10"/>
      <c r="AH5721" s="10"/>
      <c r="AI5721" s="10"/>
      <c r="AJ5721" s="10"/>
      <c r="AK5721" s="10"/>
      <c r="AL5721" s="10"/>
      <c r="AM5721" s="10"/>
      <c r="AN5721" s="10"/>
      <c r="AO5721" s="10"/>
      <c r="AP5721" s="10"/>
      <c r="AQ5721" s="10"/>
      <c r="AR5721" s="10"/>
      <c r="AS5721" s="10"/>
      <c r="AT5721" s="10"/>
      <c r="AU5721" s="10"/>
      <c r="AV5721" s="10"/>
      <c r="AW5721" s="10"/>
      <c r="AX5721" s="10"/>
      <c r="AY5721" s="10"/>
      <c r="AZ5721" s="10"/>
    </row>
    <row r="5722" spans="31:52">
      <c r="AE5722" s="10"/>
      <c r="AF5722" s="10"/>
      <c r="AG5722" s="10"/>
      <c r="AH5722" s="10"/>
      <c r="AI5722" s="10"/>
      <c r="AJ5722" s="10"/>
      <c r="AK5722" s="10"/>
      <c r="AL5722" s="10"/>
      <c r="AM5722" s="10"/>
      <c r="AN5722" s="10"/>
      <c r="AO5722" s="10"/>
      <c r="AP5722" s="10"/>
      <c r="AQ5722" s="10"/>
      <c r="AR5722" s="10"/>
      <c r="AS5722" s="10"/>
      <c r="AT5722" s="10"/>
      <c r="AU5722" s="10"/>
      <c r="AV5722" s="10"/>
      <c r="AW5722" s="10"/>
      <c r="AX5722" s="10"/>
      <c r="AY5722" s="10"/>
      <c r="AZ5722" s="10"/>
    </row>
    <row r="5723" spans="31:52">
      <c r="AE5723" s="10"/>
      <c r="AF5723" s="10"/>
      <c r="AG5723" s="10"/>
      <c r="AH5723" s="10"/>
      <c r="AI5723" s="10"/>
      <c r="AJ5723" s="10"/>
      <c r="AK5723" s="10"/>
      <c r="AL5723" s="10"/>
      <c r="AM5723" s="10"/>
      <c r="AN5723" s="10"/>
      <c r="AO5723" s="10"/>
      <c r="AP5723" s="10"/>
      <c r="AQ5723" s="10"/>
      <c r="AR5723" s="10"/>
      <c r="AS5723" s="10"/>
      <c r="AT5723" s="10"/>
      <c r="AU5723" s="10"/>
      <c r="AV5723" s="10"/>
      <c r="AW5723" s="10"/>
      <c r="AX5723" s="10"/>
      <c r="AY5723" s="10"/>
      <c r="AZ5723" s="10"/>
    </row>
    <row r="5724" spans="31:52">
      <c r="AE5724" s="10"/>
      <c r="AF5724" s="10"/>
      <c r="AG5724" s="10"/>
      <c r="AH5724" s="10"/>
      <c r="AI5724" s="10"/>
      <c r="AJ5724" s="10"/>
      <c r="AK5724" s="10"/>
      <c r="AL5724" s="10"/>
      <c r="AM5724" s="10"/>
      <c r="AN5724" s="10"/>
      <c r="AO5724" s="10"/>
      <c r="AP5724" s="10"/>
      <c r="AQ5724" s="10"/>
      <c r="AR5724" s="10"/>
      <c r="AS5724" s="10"/>
      <c r="AT5724" s="10"/>
      <c r="AU5724" s="10"/>
      <c r="AV5724" s="10"/>
      <c r="AW5724" s="10"/>
      <c r="AX5724" s="10"/>
      <c r="AY5724" s="10"/>
      <c r="AZ5724" s="10"/>
    </row>
    <row r="5725" spans="31:52">
      <c r="AE5725" s="10"/>
      <c r="AF5725" s="10"/>
      <c r="AG5725" s="10"/>
      <c r="AH5725" s="10"/>
      <c r="AI5725" s="10"/>
      <c r="AJ5725" s="10"/>
      <c r="AK5725" s="10"/>
      <c r="AL5725" s="10"/>
      <c r="AM5725" s="10"/>
      <c r="AN5725" s="10"/>
      <c r="AO5725" s="10"/>
      <c r="AP5725" s="10"/>
      <c r="AQ5725" s="10"/>
      <c r="AR5725" s="10"/>
      <c r="AS5725" s="10"/>
      <c r="AT5725" s="10"/>
      <c r="AU5725" s="10"/>
      <c r="AV5725" s="10"/>
      <c r="AW5725" s="10"/>
      <c r="AX5725" s="10"/>
      <c r="AY5725" s="10"/>
      <c r="AZ5725" s="10"/>
    </row>
    <row r="5726" spans="31:52">
      <c r="AE5726" s="10"/>
      <c r="AF5726" s="10"/>
      <c r="AG5726" s="10"/>
      <c r="AH5726" s="10"/>
      <c r="AI5726" s="10"/>
      <c r="AJ5726" s="10"/>
      <c r="AK5726" s="10"/>
      <c r="AL5726" s="10"/>
      <c r="AM5726" s="10"/>
      <c r="AN5726" s="10"/>
      <c r="AO5726" s="10"/>
      <c r="AP5726" s="10"/>
      <c r="AQ5726" s="10"/>
      <c r="AR5726" s="10"/>
      <c r="AS5726" s="10"/>
      <c r="AT5726" s="10"/>
      <c r="AU5726" s="10"/>
      <c r="AV5726" s="10"/>
      <c r="AW5726" s="10"/>
      <c r="AX5726" s="10"/>
      <c r="AY5726" s="10"/>
      <c r="AZ5726" s="10"/>
    </row>
    <row r="5727" spans="31:52">
      <c r="AE5727" s="10"/>
      <c r="AF5727" s="10"/>
      <c r="AG5727" s="10"/>
      <c r="AH5727" s="10"/>
      <c r="AI5727" s="10"/>
      <c r="AJ5727" s="10"/>
      <c r="AK5727" s="10"/>
      <c r="AL5727" s="10"/>
      <c r="AM5727" s="10"/>
      <c r="AN5727" s="10"/>
      <c r="AO5727" s="10"/>
      <c r="AP5727" s="10"/>
      <c r="AQ5727" s="10"/>
      <c r="AR5727" s="10"/>
      <c r="AS5727" s="10"/>
      <c r="AT5727" s="10"/>
      <c r="AU5727" s="10"/>
      <c r="AV5727" s="10"/>
      <c r="AW5727" s="10"/>
      <c r="AX5727" s="10"/>
      <c r="AY5727" s="10"/>
      <c r="AZ5727" s="10"/>
    </row>
    <row r="5728" spans="31:52">
      <c r="AE5728" s="10"/>
      <c r="AF5728" s="10"/>
      <c r="AG5728" s="10"/>
      <c r="AH5728" s="10"/>
      <c r="AI5728" s="10"/>
      <c r="AJ5728" s="10"/>
      <c r="AK5728" s="10"/>
      <c r="AL5728" s="10"/>
      <c r="AM5728" s="10"/>
      <c r="AN5728" s="10"/>
      <c r="AO5728" s="10"/>
      <c r="AP5728" s="10"/>
      <c r="AQ5728" s="10"/>
      <c r="AR5728" s="10"/>
      <c r="AS5728" s="10"/>
      <c r="AT5728" s="10"/>
      <c r="AU5728" s="10"/>
      <c r="AV5728" s="10"/>
      <c r="AW5728" s="10"/>
      <c r="AX5728" s="10"/>
      <c r="AY5728" s="10"/>
      <c r="AZ5728" s="10"/>
    </row>
    <row r="5729" spans="31:52">
      <c r="AE5729" s="10"/>
      <c r="AF5729" s="10"/>
      <c r="AG5729" s="10"/>
      <c r="AH5729" s="10"/>
      <c r="AI5729" s="10"/>
      <c r="AJ5729" s="10"/>
      <c r="AK5729" s="10"/>
      <c r="AL5729" s="10"/>
      <c r="AM5729" s="10"/>
      <c r="AN5729" s="10"/>
      <c r="AO5729" s="10"/>
      <c r="AP5729" s="10"/>
      <c r="AQ5729" s="10"/>
      <c r="AR5729" s="10"/>
      <c r="AS5729" s="10"/>
      <c r="AT5729" s="10"/>
      <c r="AU5729" s="10"/>
      <c r="AV5729" s="10"/>
      <c r="AW5729" s="10"/>
      <c r="AX5729" s="10"/>
      <c r="AY5729" s="10"/>
      <c r="AZ5729" s="10"/>
    </row>
    <row r="5730" spans="31:52">
      <c r="AE5730" s="10"/>
      <c r="AF5730" s="10"/>
      <c r="AG5730" s="10"/>
      <c r="AH5730" s="10"/>
      <c r="AI5730" s="10"/>
      <c r="AJ5730" s="10"/>
      <c r="AK5730" s="10"/>
      <c r="AL5730" s="10"/>
      <c r="AM5730" s="10"/>
      <c r="AN5730" s="10"/>
      <c r="AO5730" s="10"/>
      <c r="AP5730" s="10"/>
      <c r="AQ5730" s="10"/>
      <c r="AR5730" s="10"/>
      <c r="AS5730" s="10"/>
      <c r="AT5730" s="10"/>
      <c r="AU5730" s="10"/>
      <c r="AV5730" s="10"/>
      <c r="AW5730" s="10"/>
      <c r="AX5730" s="10"/>
      <c r="AY5730" s="10"/>
      <c r="AZ5730" s="10"/>
    </row>
    <row r="5731" spans="31:52">
      <c r="AE5731" s="10"/>
      <c r="AF5731" s="10"/>
      <c r="AG5731" s="10"/>
      <c r="AH5731" s="10"/>
      <c r="AI5731" s="10"/>
      <c r="AJ5731" s="10"/>
      <c r="AK5731" s="10"/>
      <c r="AL5731" s="10"/>
      <c r="AM5731" s="10"/>
      <c r="AN5731" s="10"/>
      <c r="AO5731" s="10"/>
      <c r="AP5731" s="10"/>
      <c r="AQ5731" s="10"/>
      <c r="AR5731" s="10"/>
      <c r="AS5731" s="10"/>
      <c r="AT5731" s="10"/>
      <c r="AU5731" s="10"/>
      <c r="AV5731" s="10"/>
      <c r="AW5731" s="10"/>
      <c r="AX5731" s="10"/>
      <c r="AY5731" s="10"/>
      <c r="AZ5731" s="10"/>
    </row>
    <row r="5732" spans="31:52">
      <c r="AE5732" s="10"/>
      <c r="AF5732" s="10"/>
      <c r="AG5732" s="10"/>
      <c r="AH5732" s="10"/>
      <c r="AI5732" s="10"/>
      <c r="AJ5732" s="10"/>
      <c r="AK5732" s="10"/>
      <c r="AL5732" s="10"/>
      <c r="AM5732" s="10"/>
      <c r="AN5732" s="10"/>
      <c r="AO5732" s="10"/>
      <c r="AP5732" s="10"/>
      <c r="AQ5732" s="10"/>
      <c r="AR5732" s="10"/>
      <c r="AS5732" s="10"/>
      <c r="AT5732" s="10"/>
      <c r="AU5732" s="10"/>
      <c r="AV5732" s="10"/>
      <c r="AW5732" s="10"/>
      <c r="AX5732" s="10"/>
      <c r="AY5732" s="10"/>
      <c r="AZ5732" s="10"/>
    </row>
    <row r="5733" spans="31:52">
      <c r="AE5733" s="10"/>
      <c r="AF5733" s="10"/>
      <c r="AG5733" s="10"/>
      <c r="AH5733" s="10"/>
      <c r="AI5733" s="10"/>
      <c r="AJ5733" s="10"/>
      <c r="AK5733" s="10"/>
      <c r="AL5733" s="10"/>
      <c r="AM5733" s="10"/>
      <c r="AN5733" s="10"/>
      <c r="AO5733" s="10"/>
      <c r="AP5733" s="10"/>
      <c r="AQ5733" s="10"/>
      <c r="AR5733" s="10"/>
      <c r="AS5733" s="10"/>
      <c r="AT5733" s="10"/>
      <c r="AU5733" s="10"/>
      <c r="AV5733" s="10"/>
      <c r="AW5733" s="10"/>
      <c r="AX5733" s="10"/>
      <c r="AY5733" s="10"/>
      <c r="AZ5733" s="10"/>
    </row>
    <row r="5734" spans="31:52">
      <c r="AE5734" s="10"/>
      <c r="AF5734" s="10"/>
      <c r="AG5734" s="10"/>
      <c r="AH5734" s="10"/>
      <c r="AI5734" s="10"/>
      <c r="AJ5734" s="10"/>
      <c r="AK5734" s="10"/>
      <c r="AL5734" s="10"/>
      <c r="AM5734" s="10"/>
      <c r="AN5734" s="10"/>
      <c r="AO5734" s="10"/>
      <c r="AP5734" s="10"/>
      <c r="AQ5734" s="10"/>
      <c r="AR5734" s="10"/>
      <c r="AS5734" s="10"/>
      <c r="AT5734" s="10"/>
      <c r="AU5734" s="10"/>
      <c r="AV5734" s="10"/>
      <c r="AW5734" s="10"/>
      <c r="AX5734" s="10"/>
      <c r="AY5734" s="10"/>
      <c r="AZ5734" s="10"/>
    </row>
    <row r="5735" spans="31:52">
      <c r="AE5735" s="10"/>
      <c r="AF5735" s="10"/>
      <c r="AG5735" s="10"/>
      <c r="AH5735" s="10"/>
      <c r="AI5735" s="10"/>
      <c r="AJ5735" s="10"/>
      <c r="AK5735" s="10"/>
      <c r="AL5735" s="10"/>
      <c r="AM5735" s="10"/>
      <c r="AN5735" s="10"/>
      <c r="AO5735" s="10"/>
      <c r="AP5735" s="10"/>
      <c r="AQ5735" s="10"/>
      <c r="AR5735" s="10"/>
      <c r="AS5735" s="10"/>
      <c r="AT5735" s="10"/>
      <c r="AU5735" s="10"/>
      <c r="AV5735" s="10"/>
      <c r="AW5735" s="10"/>
      <c r="AX5735" s="10"/>
      <c r="AY5735" s="10"/>
      <c r="AZ5735" s="10"/>
    </row>
    <row r="5736" spans="31:52">
      <c r="AE5736" s="10"/>
      <c r="AF5736" s="10"/>
      <c r="AG5736" s="10"/>
      <c r="AH5736" s="10"/>
      <c r="AI5736" s="10"/>
      <c r="AJ5736" s="10"/>
      <c r="AK5736" s="10"/>
      <c r="AL5736" s="10"/>
      <c r="AM5736" s="10"/>
      <c r="AN5736" s="10"/>
      <c r="AO5736" s="10"/>
      <c r="AP5736" s="10"/>
      <c r="AQ5736" s="10"/>
      <c r="AR5736" s="10"/>
      <c r="AS5736" s="10"/>
      <c r="AT5736" s="10"/>
      <c r="AU5736" s="10"/>
      <c r="AV5736" s="10"/>
      <c r="AW5736" s="10"/>
      <c r="AX5736" s="10"/>
      <c r="AY5736" s="10"/>
      <c r="AZ5736" s="10"/>
    </row>
    <row r="5737" spans="31:52">
      <c r="AE5737" s="10"/>
      <c r="AF5737" s="10"/>
      <c r="AG5737" s="10"/>
      <c r="AH5737" s="10"/>
      <c r="AI5737" s="10"/>
      <c r="AJ5737" s="10"/>
      <c r="AK5737" s="10"/>
      <c r="AL5737" s="10"/>
      <c r="AM5737" s="10"/>
      <c r="AN5737" s="10"/>
      <c r="AO5737" s="10"/>
      <c r="AP5737" s="10"/>
      <c r="AQ5737" s="10"/>
      <c r="AR5737" s="10"/>
      <c r="AS5737" s="10"/>
      <c r="AT5737" s="10"/>
      <c r="AU5737" s="10"/>
      <c r="AV5737" s="10"/>
      <c r="AW5737" s="10"/>
      <c r="AX5737" s="10"/>
      <c r="AY5737" s="10"/>
      <c r="AZ5737" s="10"/>
    </row>
    <row r="5738" spans="31:52">
      <c r="AE5738" s="10"/>
      <c r="AF5738" s="10"/>
      <c r="AG5738" s="10"/>
      <c r="AH5738" s="10"/>
      <c r="AI5738" s="10"/>
      <c r="AJ5738" s="10"/>
      <c r="AK5738" s="10"/>
      <c r="AL5738" s="10"/>
      <c r="AM5738" s="10"/>
      <c r="AN5738" s="10"/>
      <c r="AO5738" s="10"/>
      <c r="AP5738" s="10"/>
      <c r="AQ5738" s="10"/>
      <c r="AR5738" s="10"/>
      <c r="AS5738" s="10"/>
      <c r="AT5738" s="10"/>
      <c r="AU5738" s="10"/>
      <c r="AV5738" s="10"/>
      <c r="AW5738" s="10"/>
      <c r="AX5738" s="10"/>
      <c r="AY5738" s="10"/>
      <c r="AZ5738" s="10"/>
    </row>
    <row r="5739" spans="31:52">
      <c r="AE5739" s="10"/>
      <c r="AF5739" s="10"/>
      <c r="AG5739" s="10"/>
      <c r="AH5739" s="10"/>
      <c r="AI5739" s="10"/>
      <c r="AJ5739" s="10"/>
      <c r="AK5739" s="10"/>
      <c r="AL5739" s="10"/>
      <c r="AM5739" s="10"/>
      <c r="AN5739" s="10"/>
      <c r="AO5739" s="10"/>
      <c r="AP5739" s="10"/>
      <c r="AQ5739" s="10"/>
      <c r="AR5739" s="10"/>
      <c r="AS5739" s="10"/>
      <c r="AT5739" s="10"/>
      <c r="AU5739" s="10"/>
      <c r="AV5739" s="10"/>
      <c r="AW5739" s="10"/>
      <c r="AX5739" s="10"/>
      <c r="AY5739" s="10"/>
      <c r="AZ5739" s="10"/>
    </row>
    <row r="5740" spans="31:52">
      <c r="AE5740" s="10"/>
      <c r="AF5740" s="10"/>
      <c r="AG5740" s="10"/>
      <c r="AH5740" s="10"/>
      <c r="AI5740" s="10"/>
      <c r="AJ5740" s="10"/>
      <c r="AK5740" s="10"/>
      <c r="AL5740" s="10"/>
      <c r="AM5740" s="10"/>
      <c r="AN5740" s="10"/>
      <c r="AO5740" s="10"/>
      <c r="AP5740" s="10"/>
      <c r="AQ5740" s="10"/>
      <c r="AR5740" s="10"/>
      <c r="AS5740" s="10"/>
      <c r="AT5740" s="10"/>
      <c r="AU5740" s="10"/>
      <c r="AV5740" s="10"/>
      <c r="AW5740" s="10"/>
      <c r="AX5740" s="10"/>
      <c r="AY5740" s="10"/>
      <c r="AZ5740" s="10"/>
    </row>
    <row r="5741" spans="31:52">
      <c r="AE5741" s="10"/>
      <c r="AF5741" s="10"/>
      <c r="AG5741" s="10"/>
      <c r="AH5741" s="10"/>
      <c r="AI5741" s="10"/>
      <c r="AJ5741" s="10"/>
      <c r="AK5741" s="10"/>
      <c r="AL5741" s="10"/>
      <c r="AM5741" s="10"/>
      <c r="AN5741" s="10"/>
      <c r="AO5741" s="10"/>
      <c r="AP5741" s="10"/>
      <c r="AQ5741" s="10"/>
      <c r="AR5741" s="10"/>
      <c r="AS5741" s="10"/>
      <c r="AT5741" s="10"/>
      <c r="AU5741" s="10"/>
      <c r="AV5741" s="10"/>
      <c r="AW5741" s="10"/>
      <c r="AX5741" s="10"/>
      <c r="AY5741" s="10"/>
      <c r="AZ5741" s="10"/>
    </row>
    <row r="5742" spans="31:52">
      <c r="AE5742" s="10"/>
      <c r="AF5742" s="10"/>
      <c r="AG5742" s="10"/>
      <c r="AH5742" s="10"/>
      <c r="AI5742" s="10"/>
      <c r="AJ5742" s="10"/>
      <c r="AK5742" s="10"/>
      <c r="AL5742" s="10"/>
      <c r="AM5742" s="10"/>
      <c r="AN5742" s="10"/>
      <c r="AO5742" s="10"/>
      <c r="AP5742" s="10"/>
      <c r="AQ5742" s="10"/>
      <c r="AR5742" s="10"/>
      <c r="AS5742" s="10"/>
      <c r="AT5742" s="10"/>
      <c r="AU5742" s="10"/>
      <c r="AV5742" s="10"/>
      <c r="AW5742" s="10"/>
      <c r="AX5742" s="10"/>
      <c r="AY5742" s="10"/>
      <c r="AZ5742" s="10"/>
    </row>
    <row r="5743" spans="31:52">
      <c r="AE5743" s="10"/>
      <c r="AF5743" s="10"/>
      <c r="AG5743" s="10"/>
      <c r="AH5743" s="10"/>
      <c r="AI5743" s="10"/>
      <c r="AJ5743" s="10"/>
      <c r="AK5743" s="10"/>
      <c r="AL5743" s="10"/>
      <c r="AM5743" s="10"/>
      <c r="AN5743" s="10"/>
      <c r="AO5743" s="10"/>
      <c r="AP5743" s="10"/>
      <c r="AQ5743" s="10"/>
      <c r="AR5743" s="10"/>
      <c r="AS5743" s="10"/>
      <c r="AT5743" s="10"/>
      <c r="AU5743" s="10"/>
      <c r="AV5743" s="10"/>
      <c r="AW5743" s="10"/>
      <c r="AX5743" s="10"/>
      <c r="AY5743" s="10"/>
      <c r="AZ5743" s="10"/>
    </row>
    <row r="5744" spans="31:52">
      <c r="AE5744" s="10"/>
      <c r="AF5744" s="10"/>
      <c r="AG5744" s="10"/>
      <c r="AH5744" s="10"/>
      <c r="AI5744" s="10"/>
      <c r="AJ5744" s="10"/>
      <c r="AK5744" s="10"/>
      <c r="AL5744" s="10"/>
      <c r="AM5744" s="10"/>
      <c r="AN5744" s="10"/>
      <c r="AO5744" s="10"/>
      <c r="AP5744" s="10"/>
      <c r="AQ5744" s="10"/>
      <c r="AR5744" s="10"/>
      <c r="AS5744" s="10"/>
      <c r="AT5744" s="10"/>
      <c r="AU5744" s="10"/>
      <c r="AV5744" s="10"/>
      <c r="AW5744" s="10"/>
      <c r="AX5744" s="10"/>
      <c r="AY5744" s="10"/>
      <c r="AZ5744" s="10"/>
    </row>
    <row r="5745" spans="31:52">
      <c r="AE5745" s="10"/>
      <c r="AF5745" s="10"/>
      <c r="AG5745" s="10"/>
      <c r="AH5745" s="10"/>
      <c r="AI5745" s="10"/>
      <c r="AJ5745" s="10"/>
      <c r="AK5745" s="10"/>
      <c r="AL5745" s="10"/>
      <c r="AM5745" s="10"/>
      <c r="AN5745" s="10"/>
      <c r="AO5745" s="10"/>
      <c r="AP5745" s="10"/>
      <c r="AQ5745" s="10"/>
      <c r="AR5745" s="10"/>
      <c r="AS5745" s="10"/>
      <c r="AT5745" s="10"/>
      <c r="AU5745" s="10"/>
      <c r="AV5745" s="10"/>
      <c r="AW5745" s="10"/>
      <c r="AX5745" s="10"/>
      <c r="AY5745" s="10"/>
      <c r="AZ5745" s="10"/>
    </row>
    <row r="5746" spans="31:52">
      <c r="AE5746" s="10"/>
      <c r="AF5746" s="10"/>
      <c r="AG5746" s="10"/>
      <c r="AH5746" s="10"/>
      <c r="AI5746" s="10"/>
      <c r="AJ5746" s="10"/>
      <c r="AK5746" s="10"/>
      <c r="AL5746" s="10"/>
      <c r="AM5746" s="10"/>
      <c r="AN5746" s="10"/>
      <c r="AO5746" s="10"/>
      <c r="AP5746" s="10"/>
      <c r="AQ5746" s="10"/>
      <c r="AR5746" s="10"/>
      <c r="AS5746" s="10"/>
      <c r="AT5746" s="10"/>
      <c r="AU5746" s="10"/>
      <c r="AV5746" s="10"/>
      <c r="AW5746" s="10"/>
      <c r="AX5746" s="10"/>
      <c r="AY5746" s="10"/>
      <c r="AZ5746" s="10"/>
    </row>
    <row r="5747" spans="31:52">
      <c r="AE5747" s="10"/>
      <c r="AF5747" s="10"/>
      <c r="AG5747" s="10"/>
      <c r="AH5747" s="10"/>
      <c r="AI5747" s="10"/>
      <c r="AJ5747" s="10"/>
      <c r="AK5747" s="10"/>
      <c r="AL5747" s="10"/>
      <c r="AM5747" s="10"/>
      <c r="AN5747" s="10"/>
      <c r="AO5747" s="10"/>
      <c r="AP5747" s="10"/>
      <c r="AQ5747" s="10"/>
      <c r="AR5747" s="10"/>
      <c r="AS5747" s="10"/>
      <c r="AT5747" s="10"/>
      <c r="AU5747" s="10"/>
      <c r="AV5747" s="10"/>
      <c r="AW5747" s="10"/>
      <c r="AX5747" s="10"/>
      <c r="AY5747" s="10"/>
      <c r="AZ5747" s="10"/>
    </row>
    <row r="5748" spans="31:52">
      <c r="AE5748" s="10"/>
      <c r="AF5748" s="10"/>
      <c r="AG5748" s="10"/>
      <c r="AH5748" s="10"/>
      <c r="AI5748" s="10"/>
      <c r="AJ5748" s="10"/>
      <c r="AK5748" s="10"/>
      <c r="AL5748" s="10"/>
      <c r="AM5748" s="10"/>
      <c r="AN5748" s="10"/>
      <c r="AO5748" s="10"/>
      <c r="AP5748" s="10"/>
      <c r="AQ5748" s="10"/>
      <c r="AR5748" s="10"/>
      <c r="AS5748" s="10"/>
      <c r="AT5748" s="10"/>
      <c r="AU5748" s="10"/>
      <c r="AV5748" s="10"/>
      <c r="AW5748" s="10"/>
      <c r="AX5748" s="10"/>
      <c r="AY5748" s="10"/>
      <c r="AZ5748" s="10"/>
    </row>
    <row r="5749" spans="31:52">
      <c r="AE5749" s="10"/>
      <c r="AF5749" s="10"/>
      <c r="AG5749" s="10"/>
      <c r="AH5749" s="10"/>
      <c r="AI5749" s="10"/>
      <c r="AJ5749" s="10"/>
      <c r="AK5749" s="10"/>
      <c r="AL5749" s="10"/>
      <c r="AM5749" s="10"/>
      <c r="AN5749" s="10"/>
      <c r="AO5749" s="10"/>
      <c r="AP5749" s="10"/>
      <c r="AQ5749" s="10"/>
      <c r="AR5749" s="10"/>
      <c r="AS5749" s="10"/>
      <c r="AT5749" s="10"/>
      <c r="AU5749" s="10"/>
      <c r="AV5749" s="10"/>
      <c r="AW5749" s="10"/>
      <c r="AX5749" s="10"/>
      <c r="AY5749" s="10"/>
      <c r="AZ5749" s="10"/>
    </row>
    <row r="5750" spans="31:52">
      <c r="AE5750" s="10"/>
      <c r="AF5750" s="10"/>
      <c r="AG5750" s="10"/>
      <c r="AH5750" s="10"/>
      <c r="AI5750" s="10"/>
      <c r="AJ5750" s="10"/>
      <c r="AK5750" s="10"/>
      <c r="AL5750" s="10"/>
      <c r="AM5750" s="10"/>
      <c r="AN5750" s="10"/>
      <c r="AO5750" s="10"/>
      <c r="AP5750" s="10"/>
      <c r="AQ5750" s="10"/>
      <c r="AR5750" s="10"/>
      <c r="AS5750" s="10"/>
      <c r="AT5750" s="10"/>
      <c r="AU5750" s="10"/>
      <c r="AV5750" s="10"/>
      <c r="AW5750" s="10"/>
      <c r="AX5750" s="10"/>
      <c r="AY5750" s="10"/>
      <c r="AZ5750" s="10"/>
    </row>
    <row r="5751" spans="31:52">
      <c r="AE5751" s="10"/>
      <c r="AF5751" s="10"/>
      <c r="AG5751" s="10"/>
      <c r="AH5751" s="10"/>
      <c r="AI5751" s="10"/>
      <c r="AJ5751" s="10"/>
      <c r="AK5751" s="10"/>
      <c r="AL5751" s="10"/>
      <c r="AM5751" s="10"/>
      <c r="AN5751" s="10"/>
      <c r="AO5751" s="10"/>
      <c r="AP5751" s="10"/>
      <c r="AQ5751" s="10"/>
      <c r="AR5751" s="10"/>
      <c r="AS5751" s="10"/>
      <c r="AT5751" s="10"/>
      <c r="AU5751" s="10"/>
      <c r="AV5751" s="10"/>
      <c r="AW5751" s="10"/>
      <c r="AX5751" s="10"/>
      <c r="AY5751" s="10"/>
      <c r="AZ5751" s="10"/>
    </row>
    <row r="5752" spans="31:52">
      <c r="AE5752" s="10"/>
      <c r="AF5752" s="10"/>
      <c r="AG5752" s="10"/>
      <c r="AH5752" s="10"/>
      <c r="AI5752" s="10"/>
      <c r="AJ5752" s="10"/>
      <c r="AK5752" s="10"/>
      <c r="AL5752" s="10"/>
      <c r="AM5752" s="10"/>
      <c r="AN5752" s="10"/>
      <c r="AO5752" s="10"/>
      <c r="AP5752" s="10"/>
      <c r="AQ5752" s="10"/>
      <c r="AR5752" s="10"/>
      <c r="AS5752" s="10"/>
      <c r="AT5752" s="10"/>
      <c r="AU5752" s="10"/>
      <c r="AV5752" s="10"/>
      <c r="AW5752" s="10"/>
      <c r="AX5752" s="10"/>
      <c r="AY5752" s="10"/>
      <c r="AZ5752" s="10"/>
    </row>
    <row r="5753" spans="31:52">
      <c r="AE5753" s="10"/>
      <c r="AF5753" s="10"/>
      <c r="AG5753" s="10"/>
      <c r="AH5753" s="10"/>
      <c r="AI5753" s="10"/>
      <c r="AJ5753" s="10"/>
      <c r="AK5753" s="10"/>
      <c r="AL5753" s="10"/>
      <c r="AM5753" s="10"/>
      <c r="AN5753" s="10"/>
      <c r="AO5753" s="10"/>
      <c r="AP5753" s="10"/>
      <c r="AQ5753" s="10"/>
      <c r="AR5753" s="10"/>
      <c r="AS5753" s="10"/>
      <c r="AT5753" s="10"/>
      <c r="AU5753" s="10"/>
      <c r="AV5753" s="10"/>
      <c r="AW5753" s="10"/>
      <c r="AX5753" s="10"/>
      <c r="AY5753" s="10"/>
      <c r="AZ5753" s="10"/>
    </row>
    <row r="5754" spans="31:52">
      <c r="AE5754" s="10"/>
      <c r="AF5754" s="10"/>
      <c r="AG5754" s="10"/>
      <c r="AH5754" s="10"/>
      <c r="AI5754" s="10"/>
      <c r="AJ5754" s="10"/>
      <c r="AK5754" s="10"/>
      <c r="AL5754" s="10"/>
      <c r="AM5754" s="10"/>
      <c r="AN5754" s="10"/>
      <c r="AO5754" s="10"/>
      <c r="AP5754" s="10"/>
      <c r="AQ5754" s="10"/>
      <c r="AR5754" s="10"/>
      <c r="AS5754" s="10"/>
      <c r="AT5754" s="10"/>
      <c r="AU5754" s="10"/>
      <c r="AV5754" s="10"/>
      <c r="AW5754" s="10"/>
      <c r="AX5754" s="10"/>
      <c r="AY5754" s="10"/>
      <c r="AZ5754" s="10"/>
    </row>
    <row r="5755" spans="31:52">
      <c r="AE5755" s="10"/>
      <c r="AF5755" s="10"/>
      <c r="AG5755" s="10"/>
      <c r="AH5755" s="10"/>
      <c r="AI5755" s="10"/>
      <c r="AJ5755" s="10"/>
      <c r="AK5755" s="10"/>
      <c r="AL5755" s="10"/>
      <c r="AM5755" s="10"/>
      <c r="AN5755" s="10"/>
      <c r="AO5755" s="10"/>
      <c r="AP5755" s="10"/>
      <c r="AQ5755" s="10"/>
      <c r="AR5755" s="10"/>
      <c r="AS5755" s="10"/>
      <c r="AT5755" s="10"/>
      <c r="AU5755" s="10"/>
      <c r="AV5755" s="10"/>
      <c r="AW5755" s="10"/>
      <c r="AX5755" s="10"/>
      <c r="AY5755" s="10"/>
      <c r="AZ5755" s="10"/>
    </row>
    <row r="5756" spans="31:52">
      <c r="AE5756" s="10"/>
      <c r="AF5756" s="10"/>
      <c r="AG5756" s="10"/>
      <c r="AH5756" s="10"/>
      <c r="AI5756" s="10"/>
      <c r="AJ5756" s="10"/>
      <c r="AK5756" s="10"/>
      <c r="AL5756" s="10"/>
      <c r="AM5756" s="10"/>
      <c r="AN5756" s="10"/>
      <c r="AO5756" s="10"/>
      <c r="AP5756" s="10"/>
      <c r="AQ5756" s="10"/>
      <c r="AR5756" s="10"/>
      <c r="AS5756" s="10"/>
      <c r="AT5756" s="10"/>
      <c r="AU5756" s="10"/>
      <c r="AV5756" s="10"/>
      <c r="AW5756" s="10"/>
      <c r="AX5756" s="10"/>
      <c r="AY5756" s="10"/>
      <c r="AZ5756" s="10"/>
    </row>
    <row r="5757" spans="31:52">
      <c r="AE5757" s="10"/>
      <c r="AF5757" s="10"/>
      <c r="AG5757" s="10"/>
      <c r="AH5757" s="10"/>
      <c r="AI5757" s="10"/>
      <c r="AJ5757" s="10"/>
      <c r="AK5757" s="10"/>
      <c r="AL5757" s="10"/>
      <c r="AM5757" s="10"/>
      <c r="AN5757" s="10"/>
      <c r="AO5757" s="10"/>
      <c r="AP5757" s="10"/>
      <c r="AQ5757" s="10"/>
      <c r="AR5757" s="10"/>
      <c r="AS5757" s="10"/>
      <c r="AT5757" s="10"/>
      <c r="AU5757" s="10"/>
      <c r="AV5757" s="10"/>
      <c r="AW5757" s="10"/>
      <c r="AX5757" s="10"/>
      <c r="AY5757" s="10"/>
      <c r="AZ5757" s="10"/>
    </row>
    <row r="5758" spans="31:52">
      <c r="AE5758" s="10"/>
      <c r="AF5758" s="10"/>
      <c r="AG5758" s="10"/>
      <c r="AH5758" s="10"/>
      <c r="AI5758" s="10"/>
      <c r="AJ5758" s="10"/>
      <c r="AK5758" s="10"/>
      <c r="AL5758" s="10"/>
      <c r="AM5758" s="10"/>
      <c r="AN5758" s="10"/>
      <c r="AO5758" s="10"/>
      <c r="AP5758" s="10"/>
      <c r="AQ5758" s="10"/>
      <c r="AR5758" s="10"/>
      <c r="AS5758" s="10"/>
      <c r="AT5758" s="10"/>
      <c r="AU5758" s="10"/>
      <c r="AV5758" s="10"/>
      <c r="AW5758" s="10"/>
      <c r="AX5758" s="10"/>
      <c r="AY5758" s="10"/>
      <c r="AZ5758" s="10"/>
    </row>
    <row r="5759" spans="31:52">
      <c r="AE5759" s="10"/>
      <c r="AF5759" s="10"/>
      <c r="AG5759" s="10"/>
      <c r="AH5759" s="10"/>
      <c r="AI5759" s="10"/>
      <c r="AJ5759" s="10"/>
      <c r="AK5759" s="10"/>
      <c r="AL5759" s="10"/>
      <c r="AM5759" s="10"/>
      <c r="AN5759" s="10"/>
      <c r="AO5759" s="10"/>
      <c r="AP5759" s="10"/>
      <c r="AQ5759" s="10"/>
      <c r="AR5759" s="10"/>
      <c r="AS5759" s="10"/>
      <c r="AT5759" s="10"/>
      <c r="AU5759" s="10"/>
      <c r="AV5759" s="10"/>
      <c r="AW5759" s="10"/>
      <c r="AX5759" s="10"/>
      <c r="AY5759" s="10"/>
      <c r="AZ5759" s="10"/>
    </row>
    <row r="5760" spans="31:52">
      <c r="AE5760" s="10"/>
      <c r="AF5760" s="10"/>
      <c r="AG5760" s="10"/>
      <c r="AH5760" s="10"/>
      <c r="AI5760" s="10"/>
      <c r="AJ5760" s="10"/>
      <c r="AK5760" s="10"/>
      <c r="AL5760" s="10"/>
      <c r="AM5760" s="10"/>
      <c r="AN5760" s="10"/>
      <c r="AO5760" s="10"/>
      <c r="AP5760" s="10"/>
      <c r="AQ5760" s="10"/>
      <c r="AR5760" s="10"/>
      <c r="AS5760" s="10"/>
      <c r="AT5760" s="10"/>
      <c r="AU5760" s="10"/>
      <c r="AV5760" s="10"/>
      <c r="AW5760" s="10"/>
      <c r="AX5760" s="10"/>
      <c r="AY5760" s="10"/>
      <c r="AZ5760" s="10"/>
    </row>
    <row r="5761" spans="31:52">
      <c r="AE5761" s="10"/>
      <c r="AF5761" s="10"/>
      <c r="AG5761" s="10"/>
      <c r="AH5761" s="10"/>
      <c r="AI5761" s="10"/>
      <c r="AJ5761" s="10"/>
      <c r="AK5761" s="10"/>
      <c r="AL5761" s="10"/>
      <c r="AM5761" s="10"/>
      <c r="AN5761" s="10"/>
      <c r="AO5761" s="10"/>
      <c r="AP5761" s="10"/>
      <c r="AQ5761" s="10"/>
      <c r="AR5761" s="10"/>
      <c r="AS5761" s="10"/>
      <c r="AT5761" s="10"/>
      <c r="AU5761" s="10"/>
      <c r="AV5761" s="10"/>
      <c r="AW5761" s="10"/>
      <c r="AX5761" s="10"/>
      <c r="AY5761" s="10"/>
      <c r="AZ5761" s="10"/>
    </row>
    <row r="5762" spans="31:52">
      <c r="AE5762" s="10"/>
      <c r="AF5762" s="10"/>
      <c r="AG5762" s="10"/>
      <c r="AH5762" s="10"/>
      <c r="AI5762" s="10"/>
      <c r="AJ5762" s="10"/>
      <c r="AK5762" s="10"/>
      <c r="AL5762" s="10"/>
      <c r="AM5762" s="10"/>
      <c r="AN5762" s="10"/>
      <c r="AO5762" s="10"/>
      <c r="AP5762" s="10"/>
      <c r="AQ5762" s="10"/>
      <c r="AR5762" s="10"/>
      <c r="AS5762" s="10"/>
      <c r="AT5762" s="10"/>
      <c r="AU5762" s="10"/>
      <c r="AV5762" s="10"/>
      <c r="AW5762" s="10"/>
      <c r="AX5762" s="10"/>
      <c r="AY5762" s="10"/>
      <c r="AZ5762" s="10"/>
    </row>
    <row r="5763" spans="31:52">
      <c r="AE5763" s="10"/>
      <c r="AF5763" s="10"/>
      <c r="AG5763" s="10"/>
      <c r="AH5763" s="10"/>
      <c r="AI5763" s="10"/>
      <c r="AJ5763" s="10"/>
      <c r="AK5763" s="10"/>
      <c r="AL5763" s="10"/>
      <c r="AM5763" s="10"/>
      <c r="AN5763" s="10"/>
      <c r="AO5763" s="10"/>
      <c r="AP5763" s="10"/>
      <c r="AQ5763" s="10"/>
      <c r="AR5763" s="10"/>
      <c r="AS5763" s="10"/>
      <c r="AT5763" s="10"/>
      <c r="AU5763" s="10"/>
      <c r="AV5763" s="10"/>
      <c r="AW5763" s="10"/>
      <c r="AX5763" s="10"/>
      <c r="AY5763" s="10"/>
      <c r="AZ5763" s="10"/>
    </row>
    <row r="5764" spans="31:52">
      <c r="AE5764" s="10"/>
      <c r="AF5764" s="10"/>
      <c r="AG5764" s="10"/>
      <c r="AH5764" s="10"/>
      <c r="AI5764" s="10"/>
      <c r="AJ5764" s="10"/>
      <c r="AK5764" s="10"/>
      <c r="AL5764" s="10"/>
      <c r="AM5764" s="10"/>
      <c r="AN5764" s="10"/>
      <c r="AO5764" s="10"/>
      <c r="AP5764" s="10"/>
      <c r="AQ5764" s="10"/>
      <c r="AR5764" s="10"/>
      <c r="AS5764" s="10"/>
      <c r="AT5764" s="10"/>
      <c r="AU5764" s="10"/>
      <c r="AV5764" s="10"/>
      <c r="AW5764" s="10"/>
      <c r="AX5764" s="10"/>
      <c r="AY5764" s="10"/>
      <c r="AZ5764" s="10"/>
    </row>
    <row r="5765" spans="31:52">
      <c r="AE5765" s="10"/>
      <c r="AF5765" s="10"/>
      <c r="AG5765" s="10"/>
      <c r="AH5765" s="10"/>
      <c r="AI5765" s="10"/>
      <c r="AJ5765" s="10"/>
      <c r="AK5765" s="10"/>
      <c r="AL5765" s="10"/>
      <c r="AM5765" s="10"/>
      <c r="AN5765" s="10"/>
      <c r="AO5765" s="10"/>
      <c r="AP5765" s="10"/>
      <c r="AQ5765" s="10"/>
      <c r="AR5765" s="10"/>
      <c r="AS5765" s="10"/>
      <c r="AT5765" s="10"/>
      <c r="AU5765" s="10"/>
      <c r="AV5765" s="10"/>
      <c r="AW5765" s="10"/>
      <c r="AX5765" s="10"/>
      <c r="AY5765" s="10"/>
      <c r="AZ5765" s="10"/>
    </row>
    <row r="5766" spans="31:52">
      <c r="AE5766" s="10"/>
      <c r="AF5766" s="10"/>
      <c r="AG5766" s="10"/>
      <c r="AH5766" s="10"/>
      <c r="AI5766" s="10"/>
      <c r="AJ5766" s="10"/>
      <c r="AK5766" s="10"/>
      <c r="AL5766" s="10"/>
      <c r="AM5766" s="10"/>
      <c r="AN5766" s="10"/>
      <c r="AO5766" s="10"/>
      <c r="AP5766" s="10"/>
      <c r="AQ5766" s="10"/>
      <c r="AR5766" s="10"/>
      <c r="AS5766" s="10"/>
      <c r="AT5766" s="10"/>
      <c r="AU5766" s="10"/>
      <c r="AV5766" s="10"/>
      <c r="AW5766" s="10"/>
      <c r="AX5766" s="10"/>
      <c r="AY5766" s="10"/>
      <c r="AZ5766" s="10"/>
    </row>
    <row r="5767" spans="31:52">
      <c r="AE5767" s="10"/>
      <c r="AF5767" s="10"/>
      <c r="AG5767" s="10"/>
      <c r="AH5767" s="10"/>
      <c r="AI5767" s="10"/>
      <c r="AJ5767" s="10"/>
      <c r="AK5767" s="10"/>
      <c r="AL5767" s="10"/>
      <c r="AM5767" s="10"/>
      <c r="AN5767" s="10"/>
      <c r="AO5767" s="10"/>
      <c r="AP5767" s="10"/>
      <c r="AQ5767" s="10"/>
      <c r="AR5767" s="10"/>
      <c r="AS5767" s="10"/>
      <c r="AT5767" s="10"/>
      <c r="AU5767" s="10"/>
      <c r="AV5767" s="10"/>
      <c r="AW5767" s="10"/>
      <c r="AX5767" s="10"/>
      <c r="AY5767" s="10"/>
      <c r="AZ5767" s="10"/>
    </row>
    <row r="5768" spans="31:52">
      <c r="AE5768" s="10"/>
      <c r="AF5768" s="10"/>
      <c r="AG5768" s="10"/>
      <c r="AH5768" s="10"/>
      <c r="AI5768" s="10"/>
      <c r="AJ5768" s="10"/>
      <c r="AK5768" s="10"/>
      <c r="AL5768" s="10"/>
      <c r="AM5768" s="10"/>
      <c r="AN5768" s="10"/>
      <c r="AO5768" s="10"/>
      <c r="AP5768" s="10"/>
      <c r="AQ5768" s="10"/>
      <c r="AR5768" s="10"/>
      <c r="AS5768" s="10"/>
      <c r="AT5768" s="10"/>
      <c r="AU5768" s="10"/>
      <c r="AV5768" s="10"/>
      <c r="AW5768" s="10"/>
      <c r="AX5768" s="10"/>
      <c r="AY5768" s="10"/>
      <c r="AZ5768" s="10"/>
    </row>
    <row r="5769" spans="31:52">
      <c r="AE5769" s="10"/>
      <c r="AF5769" s="10"/>
      <c r="AG5769" s="10"/>
      <c r="AH5769" s="10"/>
      <c r="AI5769" s="10"/>
      <c r="AJ5769" s="10"/>
      <c r="AK5769" s="10"/>
      <c r="AL5769" s="10"/>
      <c r="AM5769" s="10"/>
      <c r="AN5769" s="10"/>
      <c r="AO5769" s="10"/>
      <c r="AP5769" s="10"/>
      <c r="AQ5769" s="10"/>
      <c r="AR5769" s="10"/>
      <c r="AS5769" s="10"/>
      <c r="AT5769" s="10"/>
      <c r="AU5769" s="10"/>
      <c r="AV5769" s="10"/>
      <c r="AW5769" s="10"/>
      <c r="AX5769" s="10"/>
      <c r="AY5769" s="10"/>
      <c r="AZ5769" s="10"/>
    </row>
    <row r="5770" spans="31:52">
      <c r="AE5770" s="10"/>
      <c r="AF5770" s="10"/>
      <c r="AG5770" s="10"/>
      <c r="AH5770" s="10"/>
      <c r="AI5770" s="10"/>
      <c r="AJ5770" s="10"/>
      <c r="AK5770" s="10"/>
      <c r="AL5770" s="10"/>
      <c r="AM5770" s="10"/>
      <c r="AN5770" s="10"/>
      <c r="AO5770" s="10"/>
      <c r="AP5770" s="10"/>
      <c r="AQ5770" s="10"/>
      <c r="AR5770" s="10"/>
      <c r="AS5770" s="10"/>
      <c r="AT5770" s="10"/>
      <c r="AU5770" s="10"/>
      <c r="AV5770" s="10"/>
      <c r="AW5770" s="10"/>
      <c r="AX5770" s="10"/>
      <c r="AY5770" s="10"/>
      <c r="AZ5770" s="10"/>
    </row>
    <row r="5771" spans="31:52">
      <c r="AE5771" s="10"/>
      <c r="AF5771" s="10"/>
      <c r="AG5771" s="10"/>
      <c r="AH5771" s="10"/>
      <c r="AI5771" s="10"/>
      <c r="AJ5771" s="10"/>
      <c r="AK5771" s="10"/>
      <c r="AL5771" s="10"/>
      <c r="AM5771" s="10"/>
      <c r="AN5771" s="10"/>
      <c r="AO5771" s="10"/>
      <c r="AP5771" s="10"/>
      <c r="AQ5771" s="10"/>
      <c r="AR5771" s="10"/>
      <c r="AS5771" s="10"/>
      <c r="AT5771" s="10"/>
      <c r="AU5771" s="10"/>
      <c r="AV5771" s="10"/>
      <c r="AW5771" s="10"/>
      <c r="AX5771" s="10"/>
      <c r="AY5771" s="10"/>
      <c r="AZ5771" s="10"/>
    </row>
    <row r="5772" spans="31:52">
      <c r="AE5772" s="10"/>
      <c r="AF5772" s="10"/>
      <c r="AG5772" s="10"/>
      <c r="AH5772" s="10"/>
      <c r="AI5772" s="10"/>
      <c r="AJ5772" s="10"/>
      <c r="AK5772" s="10"/>
      <c r="AL5772" s="10"/>
      <c r="AM5772" s="10"/>
      <c r="AN5772" s="10"/>
      <c r="AO5772" s="10"/>
      <c r="AP5772" s="10"/>
      <c r="AQ5772" s="10"/>
      <c r="AR5772" s="10"/>
      <c r="AS5772" s="10"/>
      <c r="AT5772" s="10"/>
      <c r="AU5772" s="10"/>
      <c r="AV5772" s="10"/>
      <c r="AW5772" s="10"/>
      <c r="AX5772" s="10"/>
      <c r="AY5772" s="10"/>
      <c r="AZ5772" s="10"/>
    </row>
    <row r="5773" spans="31:52">
      <c r="AE5773" s="10"/>
      <c r="AF5773" s="10"/>
      <c r="AG5773" s="10"/>
      <c r="AH5773" s="10"/>
      <c r="AI5773" s="10"/>
      <c r="AJ5773" s="10"/>
      <c r="AK5773" s="10"/>
      <c r="AL5773" s="10"/>
      <c r="AM5773" s="10"/>
      <c r="AN5773" s="10"/>
      <c r="AO5773" s="10"/>
      <c r="AP5773" s="10"/>
      <c r="AQ5773" s="10"/>
      <c r="AR5773" s="10"/>
      <c r="AS5773" s="10"/>
      <c r="AT5773" s="10"/>
      <c r="AU5773" s="10"/>
      <c r="AV5773" s="10"/>
      <c r="AW5773" s="10"/>
      <c r="AX5773" s="10"/>
      <c r="AY5773" s="10"/>
      <c r="AZ5773" s="10"/>
    </row>
    <row r="5774" spans="31:52">
      <c r="AE5774" s="10"/>
      <c r="AF5774" s="10"/>
      <c r="AG5774" s="10"/>
      <c r="AH5774" s="10"/>
      <c r="AI5774" s="10"/>
      <c r="AJ5774" s="10"/>
      <c r="AK5774" s="10"/>
      <c r="AL5774" s="10"/>
      <c r="AM5774" s="10"/>
      <c r="AN5774" s="10"/>
      <c r="AO5774" s="10"/>
      <c r="AP5774" s="10"/>
      <c r="AQ5774" s="10"/>
      <c r="AR5774" s="10"/>
      <c r="AS5774" s="10"/>
      <c r="AT5774" s="10"/>
      <c r="AU5774" s="10"/>
      <c r="AV5774" s="10"/>
      <c r="AW5774" s="10"/>
      <c r="AX5774" s="10"/>
      <c r="AY5774" s="10"/>
      <c r="AZ5774" s="10"/>
    </row>
    <row r="5775" spans="31:52">
      <c r="AE5775" s="10"/>
      <c r="AF5775" s="10"/>
      <c r="AG5775" s="10"/>
      <c r="AH5775" s="10"/>
      <c r="AI5775" s="10"/>
      <c r="AJ5775" s="10"/>
      <c r="AK5775" s="10"/>
      <c r="AL5775" s="10"/>
      <c r="AM5775" s="10"/>
      <c r="AN5775" s="10"/>
      <c r="AO5775" s="10"/>
      <c r="AP5775" s="10"/>
      <c r="AQ5775" s="10"/>
      <c r="AR5775" s="10"/>
      <c r="AS5775" s="10"/>
      <c r="AT5775" s="10"/>
      <c r="AU5775" s="10"/>
      <c r="AV5775" s="10"/>
      <c r="AW5775" s="10"/>
      <c r="AX5775" s="10"/>
      <c r="AY5775" s="10"/>
      <c r="AZ5775" s="10"/>
    </row>
    <row r="5776" spans="31:52">
      <c r="AE5776" s="10"/>
      <c r="AF5776" s="10"/>
      <c r="AG5776" s="10"/>
      <c r="AH5776" s="10"/>
      <c r="AI5776" s="10"/>
      <c r="AJ5776" s="10"/>
      <c r="AK5776" s="10"/>
      <c r="AL5776" s="10"/>
      <c r="AM5776" s="10"/>
      <c r="AN5776" s="10"/>
      <c r="AO5776" s="10"/>
      <c r="AP5776" s="10"/>
      <c r="AQ5776" s="10"/>
      <c r="AR5776" s="10"/>
      <c r="AS5776" s="10"/>
      <c r="AT5776" s="10"/>
      <c r="AU5776" s="10"/>
      <c r="AV5776" s="10"/>
      <c r="AW5776" s="10"/>
      <c r="AX5776" s="10"/>
      <c r="AY5776" s="10"/>
      <c r="AZ5776" s="10"/>
    </row>
    <row r="5777" spans="31:52">
      <c r="AE5777" s="10"/>
      <c r="AF5777" s="10"/>
      <c r="AG5777" s="10"/>
      <c r="AH5777" s="10"/>
      <c r="AI5777" s="10"/>
      <c r="AJ5777" s="10"/>
      <c r="AK5777" s="10"/>
      <c r="AL5777" s="10"/>
      <c r="AM5777" s="10"/>
      <c r="AN5777" s="10"/>
      <c r="AO5777" s="10"/>
      <c r="AP5777" s="10"/>
      <c r="AQ5777" s="10"/>
      <c r="AR5777" s="10"/>
      <c r="AS5777" s="10"/>
      <c r="AT5777" s="10"/>
      <c r="AU5777" s="10"/>
      <c r="AV5777" s="10"/>
      <c r="AW5777" s="10"/>
      <c r="AX5777" s="10"/>
      <c r="AY5777" s="10"/>
      <c r="AZ5777" s="10"/>
    </row>
    <row r="5778" spans="31:52">
      <c r="AE5778" s="10"/>
      <c r="AF5778" s="10"/>
      <c r="AG5778" s="10"/>
      <c r="AH5778" s="10"/>
      <c r="AI5778" s="10"/>
      <c r="AJ5778" s="10"/>
      <c r="AK5778" s="10"/>
      <c r="AL5778" s="10"/>
      <c r="AM5778" s="10"/>
      <c r="AN5778" s="10"/>
      <c r="AO5778" s="10"/>
      <c r="AP5778" s="10"/>
      <c r="AQ5778" s="10"/>
      <c r="AR5778" s="10"/>
      <c r="AS5778" s="10"/>
      <c r="AT5778" s="10"/>
      <c r="AU5778" s="10"/>
      <c r="AV5778" s="10"/>
      <c r="AW5778" s="10"/>
      <c r="AX5778" s="10"/>
      <c r="AY5778" s="10"/>
      <c r="AZ5778" s="10"/>
    </row>
    <row r="5779" spans="31:52">
      <c r="AE5779" s="10"/>
      <c r="AF5779" s="10"/>
      <c r="AG5779" s="10"/>
      <c r="AH5779" s="10"/>
      <c r="AI5779" s="10"/>
      <c r="AJ5779" s="10"/>
      <c r="AK5779" s="10"/>
      <c r="AL5779" s="10"/>
      <c r="AM5779" s="10"/>
      <c r="AN5779" s="10"/>
      <c r="AO5779" s="10"/>
      <c r="AP5779" s="10"/>
      <c r="AQ5779" s="10"/>
      <c r="AR5779" s="10"/>
      <c r="AS5779" s="10"/>
      <c r="AT5779" s="10"/>
      <c r="AU5779" s="10"/>
      <c r="AV5779" s="10"/>
      <c r="AW5779" s="10"/>
      <c r="AX5779" s="10"/>
      <c r="AY5779" s="10"/>
      <c r="AZ5779" s="10"/>
    </row>
    <row r="5780" spans="31:52">
      <c r="AE5780" s="10"/>
      <c r="AF5780" s="10"/>
      <c r="AG5780" s="10"/>
      <c r="AH5780" s="10"/>
      <c r="AI5780" s="10"/>
      <c r="AJ5780" s="10"/>
      <c r="AK5780" s="10"/>
      <c r="AL5780" s="10"/>
      <c r="AM5780" s="10"/>
      <c r="AN5780" s="10"/>
      <c r="AO5780" s="10"/>
      <c r="AP5780" s="10"/>
      <c r="AQ5780" s="10"/>
      <c r="AR5780" s="10"/>
      <c r="AS5780" s="10"/>
      <c r="AT5780" s="10"/>
      <c r="AU5780" s="10"/>
      <c r="AV5780" s="10"/>
      <c r="AW5780" s="10"/>
      <c r="AX5780" s="10"/>
      <c r="AY5780" s="10"/>
      <c r="AZ5780" s="10"/>
    </row>
    <row r="5781" spans="31:52">
      <c r="AE5781" s="10"/>
      <c r="AF5781" s="10"/>
      <c r="AG5781" s="10"/>
      <c r="AH5781" s="10"/>
      <c r="AI5781" s="10"/>
      <c r="AJ5781" s="10"/>
      <c r="AK5781" s="10"/>
      <c r="AL5781" s="10"/>
      <c r="AM5781" s="10"/>
      <c r="AN5781" s="10"/>
      <c r="AO5781" s="10"/>
      <c r="AP5781" s="10"/>
      <c r="AQ5781" s="10"/>
      <c r="AR5781" s="10"/>
      <c r="AS5781" s="10"/>
      <c r="AT5781" s="10"/>
      <c r="AU5781" s="10"/>
      <c r="AV5781" s="10"/>
      <c r="AW5781" s="10"/>
      <c r="AX5781" s="10"/>
      <c r="AY5781" s="10"/>
      <c r="AZ5781" s="10"/>
    </row>
    <row r="5782" spans="31:52">
      <c r="AE5782" s="10"/>
      <c r="AF5782" s="10"/>
      <c r="AG5782" s="10"/>
      <c r="AH5782" s="10"/>
      <c r="AI5782" s="10"/>
      <c r="AJ5782" s="10"/>
      <c r="AK5782" s="10"/>
      <c r="AL5782" s="10"/>
      <c r="AM5782" s="10"/>
      <c r="AN5782" s="10"/>
      <c r="AO5782" s="10"/>
      <c r="AP5782" s="10"/>
      <c r="AQ5782" s="10"/>
      <c r="AR5782" s="10"/>
      <c r="AS5782" s="10"/>
      <c r="AT5782" s="10"/>
      <c r="AU5782" s="10"/>
      <c r="AV5782" s="10"/>
      <c r="AW5782" s="10"/>
      <c r="AX5782" s="10"/>
      <c r="AY5782" s="10"/>
      <c r="AZ5782" s="10"/>
    </row>
    <row r="5783" spans="31:52">
      <c r="AE5783" s="10"/>
      <c r="AF5783" s="10"/>
      <c r="AG5783" s="10"/>
      <c r="AH5783" s="10"/>
      <c r="AI5783" s="10"/>
      <c r="AJ5783" s="10"/>
      <c r="AK5783" s="10"/>
      <c r="AL5783" s="10"/>
      <c r="AM5783" s="10"/>
      <c r="AN5783" s="10"/>
      <c r="AO5783" s="10"/>
      <c r="AP5783" s="10"/>
      <c r="AQ5783" s="10"/>
      <c r="AR5783" s="10"/>
      <c r="AS5783" s="10"/>
      <c r="AT5783" s="10"/>
      <c r="AU5783" s="10"/>
      <c r="AV5783" s="10"/>
      <c r="AW5783" s="10"/>
      <c r="AX5783" s="10"/>
      <c r="AY5783" s="10"/>
      <c r="AZ5783" s="10"/>
    </row>
    <row r="5784" spans="31:52">
      <c r="AE5784" s="10"/>
      <c r="AF5784" s="10"/>
      <c r="AG5784" s="10"/>
      <c r="AH5784" s="10"/>
      <c r="AI5784" s="10"/>
      <c r="AJ5784" s="10"/>
      <c r="AK5784" s="10"/>
      <c r="AL5784" s="10"/>
      <c r="AM5784" s="10"/>
      <c r="AN5784" s="10"/>
      <c r="AO5784" s="10"/>
      <c r="AP5784" s="10"/>
      <c r="AQ5784" s="10"/>
      <c r="AR5784" s="10"/>
      <c r="AS5784" s="10"/>
      <c r="AT5784" s="10"/>
      <c r="AU5784" s="10"/>
      <c r="AV5784" s="10"/>
      <c r="AW5784" s="10"/>
      <c r="AX5784" s="10"/>
      <c r="AY5784" s="10"/>
      <c r="AZ5784" s="10"/>
    </row>
    <row r="5785" spans="31:52">
      <c r="AE5785" s="10"/>
      <c r="AF5785" s="10"/>
      <c r="AG5785" s="10"/>
      <c r="AH5785" s="10"/>
      <c r="AI5785" s="10"/>
      <c r="AJ5785" s="10"/>
      <c r="AK5785" s="10"/>
      <c r="AL5785" s="10"/>
      <c r="AM5785" s="10"/>
      <c r="AN5785" s="10"/>
      <c r="AO5785" s="10"/>
      <c r="AP5785" s="10"/>
      <c r="AQ5785" s="10"/>
      <c r="AR5785" s="10"/>
      <c r="AS5785" s="10"/>
      <c r="AT5785" s="10"/>
      <c r="AU5785" s="10"/>
      <c r="AV5785" s="10"/>
      <c r="AW5785" s="10"/>
      <c r="AX5785" s="10"/>
      <c r="AY5785" s="10"/>
      <c r="AZ5785" s="10"/>
    </row>
    <row r="5786" spans="31:52">
      <c r="AE5786" s="10"/>
      <c r="AF5786" s="10"/>
      <c r="AG5786" s="10"/>
      <c r="AH5786" s="10"/>
      <c r="AI5786" s="10"/>
      <c r="AJ5786" s="10"/>
      <c r="AK5786" s="10"/>
      <c r="AL5786" s="10"/>
      <c r="AM5786" s="10"/>
      <c r="AN5786" s="10"/>
      <c r="AO5786" s="10"/>
      <c r="AP5786" s="10"/>
      <c r="AQ5786" s="10"/>
      <c r="AR5786" s="10"/>
      <c r="AS5786" s="10"/>
      <c r="AT5786" s="10"/>
      <c r="AU5786" s="10"/>
      <c r="AV5786" s="10"/>
      <c r="AW5786" s="10"/>
      <c r="AX5786" s="10"/>
      <c r="AY5786" s="10"/>
      <c r="AZ5786" s="10"/>
    </row>
    <row r="5787" spans="31:52">
      <c r="AE5787" s="10"/>
      <c r="AF5787" s="10"/>
      <c r="AG5787" s="10"/>
      <c r="AH5787" s="10"/>
      <c r="AI5787" s="10"/>
      <c r="AJ5787" s="10"/>
      <c r="AK5787" s="10"/>
      <c r="AL5787" s="10"/>
      <c r="AM5787" s="10"/>
      <c r="AN5787" s="10"/>
      <c r="AO5787" s="10"/>
      <c r="AP5787" s="10"/>
      <c r="AQ5787" s="10"/>
      <c r="AR5787" s="10"/>
      <c r="AS5787" s="10"/>
      <c r="AT5787" s="10"/>
      <c r="AU5787" s="10"/>
      <c r="AV5787" s="10"/>
      <c r="AW5787" s="10"/>
      <c r="AX5787" s="10"/>
      <c r="AY5787" s="10"/>
      <c r="AZ5787" s="10"/>
    </row>
    <row r="5788" spans="31:52">
      <c r="AE5788" s="10"/>
      <c r="AF5788" s="10"/>
      <c r="AG5788" s="10"/>
      <c r="AH5788" s="10"/>
      <c r="AI5788" s="10"/>
      <c r="AJ5788" s="10"/>
      <c r="AK5788" s="10"/>
      <c r="AL5788" s="10"/>
      <c r="AM5788" s="10"/>
      <c r="AN5788" s="10"/>
      <c r="AO5788" s="10"/>
      <c r="AP5788" s="10"/>
      <c r="AQ5788" s="10"/>
      <c r="AR5788" s="10"/>
      <c r="AS5788" s="10"/>
      <c r="AT5788" s="10"/>
      <c r="AU5788" s="10"/>
      <c r="AV5788" s="10"/>
      <c r="AW5788" s="10"/>
      <c r="AX5788" s="10"/>
      <c r="AY5788" s="10"/>
      <c r="AZ5788" s="10"/>
    </row>
    <row r="5789" spans="31:52">
      <c r="AE5789" s="10"/>
      <c r="AF5789" s="10"/>
      <c r="AG5789" s="10"/>
      <c r="AH5789" s="10"/>
      <c r="AI5789" s="10"/>
      <c r="AJ5789" s="10"/>
      <c r="AK5789" s="10"/>
      <c r="AL5789" s="10"/>
      <c r="AM5789" s="10"/>
      <c r="AN5789" s="10"/>
      <c r="AO5789" s="10"/>
      <c r="AP5789" s="10"/>
      <c r="AQ5789" s="10"/>
      <c r="AR5789" s="10"/>
      <c r="AS5789" s="10"/>
      <c r="AT5789" s="10"/>
      <c r="AU5789" s="10"/>
      <c r="AV5789" s="10"/>
      <c r="AW5789" s="10"/>
      <c r="AX5789" s="10"/>
      <c r="AY5789" s="10"/>
      <c r="AZ5789" s="10"/>
    </row>
    <row r="5790" spans="31:52">
      <c r="AE5790" s="10"/>
      <c r="AF5790" s="10"/>
      <c r="AG5790" s="10"/>
      <c r="AH5790" s="10"/>
      <c r="AI5790" s="10"/>
      <c r="AJ5790" s="10"/>
      <c r="AK5790" s="10"/>
      <c r="AL5790" s="10"/>
      <c r="AM5790" s="10"/>
      <c r="AN5790" s="10"/>
      <c r="AO5790" s="10"/>
      <c r="AP5790" s="10"/>
      <c r="AQ5790" s="10"/>
      <c r="AR5790" s="10"/>
      <c r="AS5790" s="10"/>
      <c r="AT5790" s="10"/>
      <c r="AU5790" s="10"/>
      <c r="AV5790" s="10"/>
      <c r="AW5790" s="10"/>
      <c r="AX5790" s="10"/>
      <c r="AY5790" s="10"/>
      <c r="AZ5790" s="10"/>
    </row>
    <row r="5791" spans="31:52">
      <c r="AE5791" s="10"/>
      <c r="AF5791" s="10"/>
      <c r="AG5791" s="10"/>
      <c r="AH5791" s="10"/>
      <c r="AI5791" s="10"/>
      <c r="AJ5791" s="10"/>
      <c r="AK5791" s="10"/>
      <c r="AL5791" s="10"/>
      <c r="AM5791" s="10"/>
      <c r="AN5791" s="10"/>
      <c r="AO5791" s="10"/>
      <c r="AP5791" s="10"/>
      <c r="AQ5791" s="10"/>
      <c r="AR5791" s="10"/>
      <c r="AS5791" s="10"/>
      <c r="AT5791" s="10"/>
      <c r="AU5791" s="10"/>
      <c r="AV5791" s="10"/>
      <c r="AW5791" s="10"/>
      <c r="AX5791" s="10"/>
      <c r="AY5791" s="10"/>
      <c r="AZ5791" s="10"/>
    </row>
    <row r="5792" spans="31:52">
      <c r="AE5792" s="10"/>
      <c r="AF5792" s="10"/>
      <c r="AG5792" s="10"/>
      <c r="AH5792" s="10"/>
      <c r="AI5792" s="10"/>
      <c r="AJ5792" s="10"/>
      <c r="AK5792" s="10"/>
      <c r="AL5792" s="10"/>
      <c r="AM5792" s="10"/>
      <c r="AN5792" s="10"/>
      <c r="AO5792" s="10"/>
      <c r="AP5792" s="10"/>
      <c r="AQ5792" s="10"/>
      <c r="AR5792" s="10"/>
      <c r="AS5792" s="10"/>
      <c r="AT5792" s="10"/>
      <c r="AU5792" s="10"/>
      <c r="AV5792" s="10"/>
      <c r="AW5792" s="10"/>
      <c r="AX5792" s="10"/>
      <c r="AY5792" s="10"/>
      <c r="AZ5792" s="10"/>
    </row>
    <row r="5793" spans="31:52">
      <c r="AE5793" s="10"/>
      <c r="AF5793" s="10"/>
      <c r="AG5793" s="10"/>
      <c r="AH5793" s="10"/>
      <c r="AI5793" s="10"/>
      <c r="AJ5793" s="10"/>
      <c r="AK5793" s="10"/>
      <c r="AL5793" s="10"/>
      <c r="AM5793" s="10"/>
      <c r="AN5793" s="10"/>
      <c r="AO5793" s="10"/>
      <c r="AP5793" s="10"/>
      <c r="AQ5793" s="10"/>
      <c r="AR5793" s="10"/>
      <c r="AS5793" s="10"/>
      <c r="AT5793" s="10"/>
      <c r="AU5793" s="10"/>
      <c r="AV5793" s="10"/>
      <c r="AW5793" s="10"/>
      <c r="AX5793" s="10"/>
      <c r="AY5793" s="10"/>
      <c r="AZ5793" s="10"/>
    </row>
    <row r="5794" spans="31:52">
      <c r="AE5794" s="10"/>
      <c r="AF5794" s="10"/>
      <c r="AG5794" s="10"/>
      <c r="AH5794" s="10"/>
      <c r="AI5794" s="10"/>
      <c r="AJ5794" s="10"/>
      <c r="AK5794" s="10"/>
      <c r="AL5794" s="10"/>
      <c r="AM5794" s="10"/>
      <c r="AN5794" s="10"/>
      <c r="AO5794" s="10"/>
      <c r="AP5794" s="10"/>
      <c r="AQ5794" s="10"/>
      <c r="AR5794" s="10"/>
      <c r="AS5794" s="10"/>
      <c r="AT5794" s="10"/>
      <c r="AU5794" s="10"/>
      <c r="AV5794" s="10"/>
      <c r="AW5794" s="10"/>
      <c r="AX5794" s="10"/>
      <c r="AY5794" s="10"/>
      <c r="AZ5794" s="10"/>
    </row>
    <row r="5795" spans="31:52">
      <c r="AE5795" s="10"/>
      <c r="AF5795" s="10"/>
      <c r="AG5795" s="10"/>
      <c r="AH5795" s="10"/>
      <c r="AI5795" s="10"/>
      <c r="AJ5795" s="10"/>
      <c r="AK5795" s="10"/>
      <c r="AL5795" s="10"/>
      <c r="AM5795" s="10"/>
      <c r="AN5795" s="10"/>
      <c r="AO5795" s="10"/>
      <c r="AP5795" s="10"/>
      <c r="AQ5795" s="10"/>
      <c r="AR5795" s="10"/>
      <c r="AS5795" s="10"/>
      <c r="AT5795" s="10"/>
      <c r="AU5795" s="10"/>
      <c r="AV5795" s="10"/>
      <c r="AW5795" s="10"/>
      <c r="AX5795" s="10"/>
      <c r="AY5795" s="10"/>
      <c r="AZ5795" s="10"/>
    </row>
    <row r="5796" spans="31:52">
      <c r="AE5796" s="10"/>
      <c r="AF5796" s="10"/>
      <c r="AG5796" s="10"/>
      <c r="AH5796" s="10"/>
      <c r="AI5796" s="10"/>
      <c r="AJ5796" s="10"/>
      <c r="AK5796" s="10"/>
      <c r="AL5796" s="10"/>
      <c r="AM5796" s="10"/>
      <c r="AN5796" s="10"/>
      <c r="AO5796" s="10"/>
      <c r="AP5796" s="10"/>
      <c r="AQ5796" s="10"/>
      <c r="AR5796" s="10"/>
      <c r="AS5796" s="10"/>
      <c r="AT5796" s="10"/>
      <c r="AU5796" s="10"/>
      <c r="AV5796" s="10"/>
      <c r="AW5796" s="10"/>
      <c r="AX5796" s="10"/>
      <c r="AY5796" s="10"/>
      <c r="AZ5796" s="10"/>
    </row>
    <row r="5797" spans="31:52">
      <c r="AE5797" s="10"/>
      <c r="AF5797" s="10"/>
      <c r="AG5797" s="10"/>
      <c r="AH5797" s="10"/>
      <c r="AI5797" s="10"/>
      <c r="AJ5797" s="10"/>
      <c r="AK5797" s="10"/>
      <c r="AL5797" s="10"/>
      <c r="AM5797" s="10"/>
      <c r="AN5797" s="10"/>
      <c r="AO5797" s="10"/>
      <c r="AP5797" s="10"/>
      <c r="AQ5797" s="10"/>
      <c r="AR5797" s="10"/>
      <c r="AS5797" s="10"/>
      <c r="AT5797" s="10"/>
      <c r="AU5797" s="10"/>
      <c r="AV5797" s="10"/>
      <c r="AW5797" s="10"/>
      <c r="AX5797" s="10"/>
      <c r="AY5797" s="10"/>
      <c r="AZ5797" s="10"/>
    </row>
    <row r="5798" spans="31:52">
      <c r="AE5798" s="10"/>
      <c r="AF5798" s="10"/>
      <c r="AG5798" s="10"/>
      <c r="AH5798" s="10"/>
      <c r="AI5798" s="10"/>
      <c r="AJ5798" s="10"/>
      <c r="AK5798" s="10"/>
      <c r="AL5798" s="10"/>
      <c r="AM5798" s="10"/>
      <c r="AN5798" s="10"/>
      <c r="AO5798" s="10"/>
      <c r="AP5798" s="10"/>
      <c r="AQ5798" s="10"/>
      <c r="AR5798" s="10"/>
      <c r="AS5798" s="10"/>
      <c r="AT5798" s="10"/>
      <c r="AU5798" s="10"/>
      <c r="AV5798" s="10"/>
      <c r="AW5798" s="10"/>
      <c r="AX5798" s="10"/>
      <c r="AY5798" s="10"/>
      <c r="AZ5798" s="10"/>
    </row>
    <row r="5799" spans="31:52">
      <c r="AE5799" s="10"/>
      <c r="AF5799" s="10"/>
      <c r="AG5799" s="10"/>
      <c r="AH5799" s="10"/>
      <c r="AI5799" s="10"/>
      <c r="AJ5799" s="10"/>
      <c r="AK5799" s="10"/>
      <c r="AL5799" s="10"/>
      <c r="AM5799" s="10"/>
      <c r="AN5799" s="10"/>
      <c r="AO5799" s="10"/>
      <c r="AP5799" s="10"/>
      <c r="AQ5799" s="10"/>
      <c r="AR5799" s="10"/>
      <c r="AS5799" s="10"/>
      <c r="AT5799" s="10"/>
      <c r="AU5799" s="10"/>
      <c r="AV5799" s="10"/>
      <c r="AW5799" s="10"/>
      <c r="AX5799" s="10"/>
      <c r="AY5799" s="10"/>
      <c r="AZ5799" s="10"/>
    </row>
    <row r="5800" spans="31:52">
      <c r="AE5800" s="10"/>
      <c r="AF5800" s="10"/>
      <c r="AG5800" s="10"/>
      <c r="AH5800" s="10"/>
      <c r="AI5800" s="10"/>
      <c r="AJ5800" s="10"/>
      <c r="AK5800" s="10"/>
      <c r="AL5800" s="10"/>
      <c r="AM5800" s="10"/>
      <c r="AN5800" s="10"/>
      <c r="AO5800" s="10"/>
      <c r="AP5800" s="10"/>
      <c r="AQ5800" s="10"/>
      <c r="AR5800" s="10"/>
      <c r="AS5800" s="10"/>
      <c r="AT5800" s="10"/>
      <c r="AU5800" s="10"/>
      <c r="AV5800" s="10"/>
      <c r="AW5800" s="10"/>
      <c r="AX5800" s="10"/>
      <c r="AY5800" s="10"/>
      <c r="AZ5800" s="10"/>
    </row>
    <row r="5801" spans="31:52">
      <c r="AE5801" s="10"/>
      <c r="AF5801" s="10"/>
      <c r="AG5801" s="10"/>
      <c r="AH5801" s="10"/>
      <c r="AI5801" s="10"/>
      <c r="AJ5801" s="10"/>
      <c r="AK5801" s="10"/>
      <c r="AL5801" s="10"/>
      <c r="AM5801" s="10"/>
      <c r="AN5801" s="10"/>
      <c r="AO5801" s="10"/>
      <c r="AP5801" s="10"/>
      <c r="AQ5801" s="10"/>
      <c r="AR5801" s="10"/>
      <c r="AS5801" s="10"/>
      <c r="AT5801" s="10"/>
      <c r="AU5801" s="10"/>
      <c r="AV5801" s="10"/>
      <c r="AW5801" s="10"/>
      <c r="AX5801" s="10"/>
      <c r="AY5801" s="10"/>
      <c r="AZ5801" s="10"/>
    </row>
    <row r="5802" spans="31:52">
      <c r="AE5802" s="10"/>
      <c r="AF5802" s="10"/>
      <c r="AG5802" s="10"/>
      <c r="AH5802" s="10"/>
      <c r="AI5802" s="10"/>
      <c r="AJ5802" s="10"/>
      <c r="AK5802" s="10"/>
      <c r="AL5802" s="10"/>
      <c r="AM5802" s="10"/>
      <c r="AN5802" s="10"/>
      <c r="AO5802" s="10"/>
      <c r="AP5802" s="10"/>
      <c r="AQ5802" s="10"/>
      <c r="AR5802" s="10"/>
      <c r="AS5802" s="10"/>
      <c r="AT5802" s="10"/>
      <c r="AU5802" s="10"/>
      <c r="AV5802" s="10"/>
      <c r="AW5802" s="10"/>
      <c r="AX5802" s="10"/>
      <c r="AY5802" s="10"/>
      <c r="AZ5802" s="10"/>
    </row>
    <row r="5803" spans="31:52">
      <c r="AE5803" s="10"/>
      <c r="AF5803" s="10"/>
      <c r="AG5803" s="10"/>
      <c r="AH5803" s="10"/>
      <c r="AI5803" s="10"/>
      <c r="AJ5803" s="10"/>
      <c r="AK5803" s="10"/>
      <c r="AL5803" s="10"/>
      <c r="AM5803" s="10"/>
      <c r="AN5803" s="10"/>
      <c r="AO5803" s="10"/>
      <c r="AP5803" s="10"/>
      <c r="AQ5803" s="10"/>
      <c r="AR5803" s="10"/>
      <c r="AS5803" s="10"/>
      <c r="AT5803" s="10"/>
      <c r="AU5803" s="10"/>
      <c r="AV5803" s="10"/>
      <c r="AW5803" s="10"/>
      <c r="AX5803" s="10"/>
      <c r="AY5803" s="10"/>
      <c r="AZ5803" s="10"/>
    </row>
    <row r="5804" spans="31:52">
      <c r="AE5804" s="10"/>
      <c r="AF5804" s="10"/>
      <c r="AG5804" s="10"/>
      <c r="AH5804" s="10"/>
      <c r="AI5804" s="10"/>
      <c r="AJ5804" s="10"/>
      <c r="AK5804" s="10"/>
      <c r="AL5804" s="10"/>
      <c r="AM5804" s="10"/>
      <c r="AN5804" s="10"/>
      <c r="AO5804" s="10"/>
      <c r="AP5804" s="10"/>
      <c r="AQ5804" s="10"/>
      <c r="AR5804" s="10"/>
      <c r="AS5804" s="10"/>
      <c r="AT5804" s="10"/>
      <c r="AU5804" s="10"/>
      <c r="AV5804" s="10"/>
      <c r="AW5804" s="10"/>
      <c r="AX5804" s="10"/>
      <c r="AY5804" s="10"/>
      <c r="AZ5804" s="10"/>
    </row>
    <row r="5805" spans="31:52">
      <c r="AE5805" s="10"/>
      <c r="AF5805" s="10"/>
      <c r="AG5805" s="10"/>
      <c r="AH5805" s="10"/>
      <c r="AI5805" s="10"/>
      <c r="AJ5805" s="10"/>
      <c r="AK5805" s="10"/>
      <c r="AL5805" s="10"/>
      <c r="AM5805" s="10"/>
      <c r="AN5805" s="10"/>
      <c r="AO5805" s="10"/>
      <c r="AP5805" s="10"/>
      <c r="AQ5805" s="10"/>
      <c r="AR5805" s="10"/>
      <c r="AS5805" s="10"/>
      <c r="AT5805" s="10"/>
      <c r="AU5805" s="10"/>
      <c r="AV5805" s="10"/>
      <c r="AW5805" s="10"/>
      <c r="AX5805" s="10"/>
      <c r="AY5805" s="10"/>
      <c r="AZ5805" s="10"/>
    </row>
    <row r="5806" spans="31:52">
      <c r="AE5806" s="10"/>
      <c r="AF5806" s="10"/>
      <c r="AG5806" s="10"/>
      <c r="AH5806" s="10"/>
      <c r="AI5806" s="10"/>
      <c r="AJ5806" s="10"/>
      <c r="AK5806" s="10"/>
      <c r="AL5806" s="10"/>
      <c r="AM5806" s="10"/>
      <c r="AN5806" s="10"/>
      <c r="AO5806" s="10"/>
      <c r="AP5806" s="10"/>
      <c r="AQ5806" s="10"/>
      <c r="AR5806" s="10"/>
      <c r="AS5806" s="10"/>
      <c r="AT5806" s="10"/>
      <c r="AU5806" s="10"/>
      <c r="AV5806" s="10"/>
      <c r="AW5806" s="10"/>
      <c r="AX5806" s="10"/>
      <c r="AY5806" s="10"/>
      <c r="AZ5806" s="10"/>
    </row>
    <row r="5807" spans="31:52">
      <c r="AE5807" s="10"/>
      <c r="AF5807" s="10"/>
      <c r="AG5807" s="10"/>
      <c r="AH5807" s="10"/>
      <c r="AI5807" s="10"/>
      <c r="AJ5807" s="10"/>
      <c r="AK5807" s="10"/>
      <c r="AL5807" s="10"/>
      <c r="AM5807" s="10"/>
      <c r="AN5807" s="10"/>
      <c r="AO5807" s="10"/>
      <c r="AP5807" s="10"/>
      <c r="AQ5807" s="10"/>
      <c r="AR5807" s="10"/>
      <c r="AS5807" s="10"/>
      <c r="AT5807" s="10"/>
      <c r="AU5807" s="10"/>
      <c r="AV5807" s="10"/>
      <c r="AW5807" s="10"/>
      <c r="AX5807" s="10"/>
      <c r="AY5807" s="10"/>
      <c r="AZ5807" s="10"/>
    </row>
    <row r="5808" spans="31:52">
      <c r="AE5808" s="10"/>
      <c r="AF5808" s="10"/>
      <c r="AG5808" s="10"/>
      <c r="AH5808" s="10"/>
      <c r="AI5808" s="10"/>
      <c r="AJ5808" s="10"/>
      <c r="AK5808" s="10"/>
      <c r="AL5808" s="10"/>
      <c r="AM5808" s="10"/>
      <c r="AN5808" s="10"/>
      <c r="AO5808" s="10"/>
      <c r="AP5808" s="10"/>
      <c r="AQ5808" s="10"/>
      <c r="AR5808" s="10"/>
      <c r="AS5808" s="10"/>
      <c r="AT5808" s="10"/>
      <c r="AU5808" s="10"/>
      <c r="AV5808" s="10"/>
      <c r="AW5808" s="10"/>
      <c r="AX5808" s="10"/>
      <c r="AY5808" s="10"/>
      <c r="AZ5808" s="10"/>
    </row>
    <row r="5809" spans="31:52">
      <c r="AE5809" s="10"/>
      <c r="AF5809" s="10"/>
      <c r="AG5809" s="10"/>
      <c r="AH5809" s="10"/>
      <c r="AI5809" s="10"/>
      <c r="AJ5809" s="10"/>
      <c r="AK5809" s="10"/>
      <c r="AL5809" s="10"/>
      <c r="AM5809" s="10"/>
      <c r="AN5809" s="10"/>
      <c r="AO5809" s="10"/>
      <c r="AP5809" s="10"/>
      <c r="AQ5809" s="10"/>
      <c r="AR5809" s="10"/>
      <c r="AS5809" s="10"/>
      <c r="AT5809" s="10"/>
      <c r="AU5809" s="10"/>
      <c r="AV5809" s="10"/>
      <c r="AW5809" s="10"/>
      <c r="AX5809" s="10"/>
      <c r="AY5809" s="10"/>
      <c r="AZ5809" s="10"/>
    </row>
    <row r="5810" spans="31:52">
      <c r="AE5810" s="10"/>
      <c r="AF5810" s="10"/>
      <c r="AG5810" s="10"/>
      <c r="AH5810" s="10"/>
      <c r="AI5810" s="10"/>
      <c r="AJ5810" s="10"/>
      <c r="AK5810" s="10"/>
      <c r="AL5810" s="10"/>
      <c r="AM5810" s="10"/>
      <c r="AN5810" s="10"/>
      <c r="AO5810" s="10"/>
      <c r="AP5810" s="10"/>
      <c r="AQ5810" s="10"/>
      <c r="AR5810" s="10"/>
      <c r="AS5810" s="10"/>
      <c r="AT5810" s="10"/>
      <c r="AU5810" s="10"/>
      <c r="AV5810" s="10"/>
      <c r="AW5810" s="10"/>
      <c r="AX5810" s="10"/>
      <c r="AY5810" s="10"/>
      <c r="AZ5810" s="10"/>
    </row>
    <row r="5811" spans="31:52">
      <c r="AE5811" s="10"/>
      <c r="AF5811" s="10"/>
      <c r="AG5811" s="10"/>
      <c r="AH5811" s="10"/>
      <c r="AI5811" s="10"/>
      <c r="AJ5811" s="10"/>
      <c r="AK5811" s="10"/>
      <c r="AL5811" s="10"/>
      <c r="AM5811" s="10"/>
      <c r="AN5811" s="10"/>
      <c r="AO5811" s="10"/>
      <c r="AP5811" s="10"/>
      <c r="AQ5811" s="10"/>
      <c r="AR5811" s="10"/>
      <c r="AS5811" s="10"/>
      <c r="AT5811" s="10"/>
      <c r="AU5811" s="10"/>
      <c r="AV5811" s="10"/>
      <c r="AW5811" s="10"/>
      <c r="AX5811" s="10"/>
      <c r="AY5811" s="10"/>
      <c r="AZ5811" s="10"/>
    </row>
    <row r="5812" spans="31:52">
      <c r="AE5812" s="10"/>
      <c r="AF5812" s="10"/>
      <c r="AG5812" s="10"/>
      <c r="AH5812" s="10"/>
      <c r="AI5812" s="10"/>
      <c r="AJ5812" s="10"/>
      <c r="AK5812" s="10"/>
      <c r="AL5812" s="10"/>
      <c r="AM5812" s="10"/>
      <c r="AN5812" s="10"/>
      <c r="AO5812" s="10"/>
      <c r="AP5812" s="10"/>
      <c r="AQ5812" s="10"/>
      <c r="AR5812" s="10"/>
      <c r="AS5812" s="10"/>
      <c r="AT5812" s="10"/>
      <c r="AU5812" s="10"/>
      <c r="AV5812" s="10"/>
      <c r="AW5812" s="10"/>
      <c r="AX5812" s="10"/>
      <c r="AY5812" s="10"/>
      <c r="AZ5812" s="10"/>
    </row>
    <row r="5813" spans="31:52">
      <c r="AE5813" s="10"/>
      <c r="AF5813" s="10"/>
      <c r="AG5813" s="10"/>
      <c r="AH5813" s="10"/>
      <c r="AI5813" s="10"/>
      <c r="AJ5813" s="10"/>
      <c r="AK5813" s="10"/>
      <c r="AL5813" s="10"/>
      <c r="AM5813" s="10"/>
      <c r="AN5813" s="10"/>
      <c r="AO5813" s="10"/>
      <c r="AP5813" s="10"/>
      <c r="AQ5813" s="10"/>
      <c r="AR5813" s="10"/>
      <c r="AS5813" s="10"/>
      <c r="AT5813" s="10"/>
      <c r="AU5813" s="10"/>
      <c r="AV5813" s="10"/>
      <c r="AW5813" s="10"/>
      <c r="AX5813" s="10"/>
      <c r="AY5813" s="10"/>
      <c r="AZ5813" s="10"/>
    </row>
    <row r="5814" spans="31:52">
      <c r="AE5814" s="10"/>
      <c r="AF5814" s="10"/>
      <c r="AG5814" s="10"/>
      <c r="AH5814" s="10"/>
      <c r="AI5814" s="10"/>
      <c r="AJ5814" s="10"/>
      <c r="AK5814" s="10"/>
      <c r="AL5814" s="10"/>
      <c r="AM5814" s="10"/>
      <c r="AN5814" s="10"/>
      <c r="AO5814" s="10"/>
      <c r="AP5814" s="10"/>
      <c r="AQ5814" s="10"/>
      <c r="AR5814" s="10"/>
      <c r="AS5814" s="10"/>
      <c r="AT5814" s="10"/>
      <c r="AU5814" s="10"/>
      <c r="AV5814" s="10"/>
      <c r="AW5814" s="10"/>
      <c r="AX5814" s="10"/>
      <c r="AY5814" s="10"/>
      <c r="AZ5814" s="10"/>
    </row>
    <row r="5815" spans="31:52">
      <c r="AE5815" s="10"/>
      <c r="AF5815" s="10"/>
      <c r="AG5815" s="10"/>
      <c r="AH5815" s="10"/>
      <c r="AI5815" s="10"/>
      <c r="AJ5815" s="10"/>
      <c r="AK5815" s="10"/>
      <c r="AL5815" s="10"/>
      <c r="AM5815" s="10"/>
      <c r="AN5815" s="10"/>
      <c r="AO5815" s="10"/>
      <c r="AP5815" s="10"/>
      <c r="AQ5815" s="10"/>
      <c r="AR5815" s="10"/>
      <c r="AS5815" s="10"/>
      <c r="AT5815" s="10"/>
      <c r="AU5815" s="10"/>
      <c r="AV5815" s="10"/>
      <c r="AW5815" s="10"/>
      <c r="AX5815" s="10"/>
      <c r="AY5815" s="10"/>
      <c r="AZ5815" s="10"/>
    </row>
    <row r="5816" spans="31:52">
      <c r="AE5816" s="10"/>
      <c r="AF5816" s="10"/>
      <c r="AG5816" s="10"/>
      <c r="AH5816" s="10"/>
      <c r="AI5816" s="10"/>
      <c r="AJ5816" s="10"/>
      <c r="AK5816" s="10"/>
      <c r="AL5816" s="10"/>
      <c r="AM5816" s="10"/>
      <c r="AN5816" s="10"/>
      <c r="AO5816" s="10"/>
      <c r="AP5816" s="10"/>
      <c r="AQ5816" s="10"/>
      <c r="AR5816" s="10"/>
      <c r="AS5816" s="10"/>
      <c r="AT5816" s="10"/>
      <c r="AU5816" s="10"/>
      <c r="AV5816" s="10"/>
      <c r="AW5816" s="10"/>
      <c r="AX5816" s="10"/>
      <c r="AY5816" s="10"/>
      <c r="AZ5816" s="10"/>
    </row>
    <row r="5817" spans="31:52">
      <c r="AE5817" s="10"/>
      <c r="AF5817" s="10"/>
      <c r="AG5817" s="10"/>
      <c r="AH5817" s="10"/>
      <c r="AI5817" s="10"/>
      <c r="AJ5817" s="10"/>
      <c r="AK5817" s="10"/>
      <c r="AL5817" s="10"/>
      <c r="AM5817" s="10"/>
      <c r="AN5817" s="10"/>
      <c r="AO5817" s="10"/>
      <c r="AP5817" s="10"/>
      <c r="AQ5817" s="10"/>
      <c r="AR5817" s="10"/>
      <c r="AS5817" s="10"/>
      <c r="AT5817" s="10"/>
      <c r="AU5817" s="10"/>
      <c r="AV5817" s="10"/>
      <c r="AW5817" s="10"/>
      <c r="AX5817" s="10"/>
      <c r="AY5817" s="10"/>
      <c r="AZ5817" s="10"/>
    </row>
    <row r="5818" spans="31:52">
      <c r="AE5818" s="10"/>
      <c r="AF5818" s="10"/>
      <c r="AG5818" s="10"/>
      <c r="AH5818" s="10"/>
      <c r="AI5818" s="10"/>
      <c r="AJ5818" s="10"/>
      <c r="AK5818" s="10"/>
      <c r="AL5818" s="10"/>
      <c r="AM5818" s="10"/>
      <c r="AN5818" s="10"/>
      <c r="AO5818" s="10"/>
      <c r="AP5818" s="10"/>
      <c r="AQ5818" s="10"/>
      <c r="AR5818" s="10"/>
      <c r="AS5818" s="10"/>
      <c r="AT5818" s="10"/>
      <c r="AU5818" s="10"/>
      <c r="AV5818" s="10"/>
      <c r="AW5818" s="10"/>
      <c r="AX5818" s="10"/>
      <c r="AY5818" s="10"/>
      <c r="AZ5818" s="10"/>
    </row>
    <row r="5819" spans="31:52">
      <c r="AE5819" s="10"/>
      <c r="AF5819" s="10"/>
      <c r="AG5819" s="10"/>
      <c r="AH5819" s="10"/>
      <c r="AI5819" s="10"/>
      <c r="AJ5819" s="10"/>
      <c r="AK5819" s="10"/>
      <c r="AL5819" s="10"/>
      <c r="AM5819" s="10"/>
      <c r="AN5819" s="10"/>
      <c r="AO5819" s="10"/>
      <c r="AP5819" s="10"/>
      <c r="AQ5819" s="10"/>
      <c r="AR5819" s="10"/>
      <c r="AS5819" s="10"/>
      <c r="AT5819" s="10"/>
      <c r="AU5819" s="10"/>
      <c r="AV5819" s="10"/>
      <c r="AW5819" s="10"/>
      <c r="AX5819" s="10"/>
      <c r="AY5819" s="10"/>
      <c r="AZ5819" s="10"/>
    </row>
    <row r="5820" spans="31:52">
      <c r="AE5820" s="10"/>
      <c r="AF5820" s="10"/>
      <c r="AG5820" s="10"/>
      <c r="AH5820" s="10"/>
      <c r="AI5820" s="10"/>
      <c r="AJ5820" s="10"/>
      <c r="AK5820" s="10"/>
      <c r="AL5820" s="10"/>
      <c r="AM5820" s="10"/>
      <c r="AN5820" s="10"/>
      <c r="AO5820" s="10"/>
      <c r="AP5820" s="10"/>
      <c r="AQ5820" s="10"/>
      <c r="AR5820" s="10"/>
      <c r="AS5820" s="10"/>
      <c r="AT5820" s="10"/>
      <c r="AU5820" s="10"/>
      <c r="AV5820" s="10"/>
      <c r="AW5820" s="10"/>
      <c r="AX5820" s="10"/>
      <c r="AY5820" s="10"/>
      <c r="AZ5820" s="10"/>
    </row>
    <row r="5821" spans="31:52">
      <c r="AE5821" s="10"/>
      <c r="AF5821" s="10"/>
      <c r="AG5821" s="10"/>
      <c r="AH5821" s="10"/>
      <c r="AI5821" s="10"/>
      <c r="AJ5821" s="10"/>
      <c r="AK5821" s="10"/>
      <c r="AL5821" s="10"/>
      <c r="AM5821" s="10"/>
      <c r="AN5821" s="10"/>
      <c r="AO5821" s="10"/>
      <c r="AP5821" s="10"/>
      <c r="AQ5821" s="10"/>
      <c r="AR5821" s="10"/>
      <c r="AS5821" s="10"/>
      <c r="AT5821" s="10"/>
      <c r="AU5821" s="10"/>
      <c r="AV5821" s="10"/>
      <c r="AW5821" s="10"/>
      <c r="AX5821" s="10"/>
      <c r="AY5821" s="10"/>
      <c r="AZ5821" s="10"/>
    </row>
    <row r="5822" spans="31:52">
      <c r="AE5822" s="10"/>
      <c r="AF5822" s="10"/>
      <c r="AG5822" s="10"/>
      <c r="AH5822" s="10"/>
      <c r="AI5822" s="10"/>
      <c r="AJ5822" s="10"/>
      <c r="AK5822" s="10"/>
      <c r="AL5822" s="10"/>
      <c r="AM5822" s="10"/>
      <c r="AN5822" s="10"/>
      <c r="AO5822" s="10"/>
      <c r="AP5822" s="10"/>
      <c r="AQ5822" s="10"/>
      <c r="AR5822" s="10"/>
      <c r="AS5822" s="10"/>
      <c r="AT5822" s="10"/>
      <c r="AU5822" s="10"/>
      <c r="AV5822" s="10"/>
      <c r="AW5822" s="10"/>
      <c r="AX5822" s="10"/>
      <c r="AY5822" s="10"/>
      <c r="AZ5822" s="10"/>
    </row>
    <row r="5823" spans="31:52">
      <c r="AE5823" s="10"/>
      <c r="AF5823" s="10"/>
      <c r="AG5823" s="10"/>
      <c r="AH5823" s="10"/>
      <c r="AI5823" s="10"/>
      <c r="AJ5823" s="10"/>
      <c r="AK5823" s="10"/>
      <c r="AL5823" s="10"/>
      <c r="AM5823" s="10"/>
      <c r="AN5823" s="10"/>
      <c r="AO5823" s="10"/>
      <c r="AP5823" s="10"/>
      <c r="AQ5823" s="10"/>
      <c r="AR5823" s="10"/>
      <c r="AS5823" s="10"/>
      <c r="AT5823" s="10"/>
      <c r="AU5823" s="10"/>
      <c r="AV5823" s="10"/>
      <c r="AW5823" s="10"/>
      <c r="AX5823" s="10"/>
      <c r="AY5823" s="10"/>
      <c r="AZ5823" s="10"/>
    </row>
    <row r="5824" spans="31:52">
      <c r="AE5824" s="10"/>
      <c r="AF5824" s="10"/>
      <c r="AG5824" s="10"/>
      <c r="AH5824" s="10"/>
      <c r="AI5824" s="10"/>
      <c r="AJ5824" s="10"/>
      <c r="AK5824" s="10"/>
      <c r="AL5824" s="10"/>
      <c r="AM5824" s="10"/>
      <c r="AN5824" s="10"/>
      <c r="AO5824" s="10"/>
      <c r="AP5824" s="10"/>
      <c r="AQ5824" s="10"/>
      <c r="AR5824" s="10"/>
      <c r="AS5824" s="10"/>
      <c r="AT5824" s="10"/>
      <c r="AU5824" s="10"/>
      <c r="AV5824" s="10"/>
      <c r="AW5824" s="10"/>
      <c r="AX5824" s="10"/>
      <c r="AY5824" s="10"/>
      <c r="AZ5824" s="10"/>
    </row>
    <row r="5825" spans="31:52">
      <c r="AE5825" s="10"/>
      <c r="AF5825" s="10"/>
      <c r="AG5825" s="10"/>
      <c r="AH5825" s="10"/>
      <c r="AI5825" s="10"/>
      <c r="AJ5825" s="10"/>
      <c r="AK5825" s="10"/>
      <c r="AL5825" s="10"/>
      <c r="AM5825" s="10"/>
      <c r="AN5825" s="10"/>
      <c r="AO5825" s="10"/>
      <c r="AP5825" s="10"/>
      <c r="AQ5825" s="10"/>
      <c r="AR5825" s="10"/>
      <c r="AS5825" s="10"/>
      <c r="AT5825" s="10"/>
      <c r="AU5825" s="10"/>
      <c r="AV5825" s="10"/>
      <c r="AW5825" s="10"/>
      <c r="AX5825" s="10"/>
      <c r="AY5825" s="10"/>
      <c r="AZ5825" s="10"/>
    </row>
    <row r="5826" spans="31:52">
      <c r="AE5826" s="10"/>
      <c r="AF5826" s="10"/>
      <c r="AG5826" s="10"/>
      <c r="AH5826" s="10"/>
      <c r="AI5826" s="10"/>
      <c r="AJ5826" s="10"/>
      <c r="AK5826" s="10"/>
      <c r="AL5826" s="10"/>
      <c r="AM5826" s="10"/>
      <c r="AN5826" s="10"/>
      <c r="AO5826" s="10"/>
      <c r="AP5826" s="10"/>
      <c r="AQ5826" s="10"/>
      <c r="AR5826" s="10"/>
      <c r="AS5826" s="10"/>
      <c r="AT5826" s="10"/>
      <c r="AU5826" s="10"/>
      <c r="AV5826" s="10"/>
      <c r="AW5826" s="10"/>
      <c r="AX5826" s="10"/>
      <c r="AY5826" s="10"/>
      <c r="AZ5826" s="10"/>
    </row>
    <row r="5827" spans="31:52">
      <c r="AE5827" s="10"/>
      <c r="AF5827" s="10"/>
      <c r="AG5827" s="10"/>
      <c r="AH5827" s="10"/>
      <c r="AI5827" s="10"/>
      <c r="AJ5827" s="10"/>
      <c r="AK5827" s="10"/>
      <c r="AL5827" s="10"/>
      <c r="AM5827" s="10"/>
      <c r="AN5827" s="10"/>
      <c r="AO5827" s="10"/>
      <c r="AP5827" s="10"/>
      <c r="AQ5827" s="10"/>
      <c r="AR5827" s="10"/>
      <c r="AS5827" s="10"/>
      <c r="AT5827" s="10"/>
      <c r="AU5827" s="10"/>
      <c r="AV5827" s="10"/>
      <c r="AW5827" s="10"/>
      <c r="AX5827" s="10"/>
      <c r="AY5827" s="10"/>
      <c r="AZ5827" s="10"/>
    </row>
    <row r="5828" spans="31:52">
      <c r="AE5828" s="10"/>
      <c r="AF5828" s="10"/>
      <c r="AG5828" s="10"/>
      <c r="AH5828" s="10"/>
      <c r="AI5828" s="10"/>
      <c r="AJ5828" s="10"/>
      <c r="AK5828" s="10"/>
      <c r="AL5828" s="10"/>
      <c r="AM5828" s="10"/>
      <c r="AN5828" s="10"/>
      <c r="AO5828" s="10"/>
      <c r="AP5828" s="10"/>
      <c r="AQ5828" s="10"/>
      <c r="AR5828" s="10"/>
      <c r="AS5828" s="10"/>
      <c r="AT5828" s="10"/>
      <c r="AU5828" s="10"/>
      <c r="AV5828" s="10"/>
      <c r="AW5828" s="10"/>
      <c r="AX5828" s="10"/>
      <c r="AY5828" s="10"/>
      <c r="AZ5828" s="10"/>
    </row>
    <row r="5829" spans="31:52">
      <c r="AE5829" s="10"/>
      <c r="AF5829" s="10"/>
      <c r="AG5829" s="10"/>
      <c r="AH5829" s="10"/>
      <c r="AI5829" s="10"/>
      <c r="AJ5829" s="10"/>
      <c r="AK5829" s="10"/>
      <c r="AL5829" s="10"/>
      <c r="AM5829" s="10"/>
      <c r="AN5829" s="10"/>
      <c r="AO5829" s="10"/>
      <c r="AP5829" s="10"/>
      <c r="AQ5829" s="10"/>
      <c r="AR5829" s="10"/>
      <c r="AS5829" s="10"/>
      <c r="AT5829" s="10"/>
      <c r="AU5829" s="10"/>
      <c r="AV5829" s="10"/>
      <c r="AW5829" s="10"/>
      <c r="AX5829" s="10"/>
      <c r="AY5829" s="10"/>
      <c r="AZ5829" s="10"/>
    </row>
    <row r="5830" spans="31:52">
      <c r="AE5830" s="10"/>
      <c r="AF5830" s="10"/>
      <c r="AG5830" s="10"/>
      <c r="AH5830" s="10"/>
      <c r="AI5830" s="10"/>
      <c r="AJ5830" s="10"/>
      <c r="AK5830" s="10"/>
      <c r="AL5830" s="10"/>
      <c r="AM5830" s="10"/>
      <c r="AN5830" s="10"/>
      <c r="AO5830" s="10"/>
      <c r="AP5830" s="10"/>
      <c r="AQ5830" s="10"/>
      <c r="AR5830" s="10"/>
      <c r="AS5830" s="10"/>
      <c r="AT5830" s="10"/>
      <c r="AU5830" s="10"/>
      <c r="AV5830" s="10"/>
      <c r="AW5830" s="10"/>
      <c r="AX5830" s="10"/>
      <c r="AY5830" s="10"/>
      <c r="AZ5830" s="10"/>
    </row>
    <row r="5831" spans="31:52">
      <c r="AE5831" s="10"/>
      <c r="AF5831" s="10"/>
      <c r="AG5831" s="10"/>
      <c r="AH5831" s="10"/>
      <c r="AI5831" s="10"/>
      <c r="AJ5831" s="10"/>
      <c r="AK5831" s="10"/>
      <c r="AL5831" s="10"/>
      <c r="AM5831" s="10"/>
      <c r="AN5831" s="10"/>
      <c r="AO5831" s="10"/>
      <c r="AP5831" s="10"/>
      <c r="AQ5831" s="10"/>
      <c r="AR5831" s="10"/>
      <c r="AS5831" s="10"/>
      <c r="AT5831" s="10"/>
      <c r="AU5831" s="10"/>
      <c r="AV5831" s="10"/>
      <c r="AW5831" s="10"/>
      <c r="AX5831" s="10"/>
      <c r="AY5831" s="10"/>
      <c r="AZ5831" s="10"/>
    </row>
    <row r="5832" spans="31:52">
      <c r="AE5832" s="10"/>
      <c r="AF5832" s="10"/>
      <c r="AG5832" s="10"/>
      <c r="AH5832" s="10"/>
      <c r="AI5832" s="10"/>
      <c r="AJ5832" s="10"/>
      <c r="AK5832" s="10"/>
      <c r="AL5832" s="10"/>
      <c r="AM5832" s="10"/>
      <c r="AN5832" s="10"/>
      <c r="AO5832" s="10"/>
      <c r="AP5832" s="10"/>
      <c r="AQ5832" s="10"/>
      <c r="AR5832" s="10"/>
      <c r="AS5832" s="10"/>
      <c r="AT5832" s="10"/>
      <c r="AU5832" s="10"/>
      <c r="AV5832" s="10"/>
      <c r="AW5832" s="10"/>
      <c r="AX5832" s="10"/>
      <c r="AY5832" s="10"/>
      <c r="AZ5832" s="10"/>
    </row>
    <row r="5833" spans="31:52">
      <c r="AE5833" s="10"/>
      <c r="AF5833" s="10"/>
      <c r="AG5833" s="10"/>
      <c r="AH5833" s="10"/>
      <c r="AI5833" s="10"/>
      <c r="AJ5833" s="10"/>
      <c r="AK5833" s="10"/>
      <c r="AL5833" s="10"/>
      <c r="AM5833" s="10"/>
      <c r="AN5833" s="10"/>
      <c r="AO5833" s="10"/>
      <c r="AP5833" s="10"/>
      <c r="AQ5833" s="10"/>
      <c r="AR5833" s="10"/>
      <c r="AS5833" s="10"/>
      <c r="AT5833" s="10"/>
      <c r="AU5833" s="10"/>
      <c r="AV5833" s="10"/>
      <c r="AW5833" s="10"/>
      <c r="AX5833" s="10"/>
      <c r="AY5833" s="10"/>
      <c r="AZ5833" s="10"/>
    </row>
    <row r="5834" spans="31:52">
      <c r="AE5834" s="10"/>
      <c r="AF5834" s="10"/>
      <c r="AG5834" s="10"/>
      <c r="AH5834" s="10"/>
      <c r="AI5834" s="10"/>
      <c r="AJ5834" s="10"/>
      <c r="AK5834" s="10"/>
      <c r="AL5834" s="10"/>
      <c r="AM5834" s="10"/>
      <c r="AN5834" s="10"/>
      <c r="AO5834" s="10"/>
      <c r="AP5834" s="10"/>
      <c r="AQ5834" s="10"/>
      <c r="AR5834" s="10"/>
      <c r="AS5834" s="10"/>
      <c r="AT5834" s="10"/>
      <c r="AU5834" s="10"/>
      <c r="AV5834" s="10"/>
      <c r="AW5834" s="10"/>
      <c r="AX5834" s="10"/>
      <c r="AY5834" s="10"/>
      <c r="AZ5834" s="10"/>
    </row>
    <row r="5835" spans="31:52">
      <c r="AE5835" s="10"/>
      <c r="AF5835" s="10"/>
      <c r="AG5835" s="10"/>
      <c r="AH5835" s="10"/>
      <c r="AI5835" s="10"/>
      <c r="AJ5835" s="10"/>
      <c r="AK5835" s="10"/>
      <c r="AL5835" s="10"/>
      <c r="AM5835" s="10"/>
      <c r="AN5835" s="10"/>
      <c r="AO5835" s="10"/>
      <c r="AP5835" s="10"/>
      <c r="AQ5835" s="10"/>
      <c r="AR5835" s="10"/>
      <c r="AS5835" s="10"/>
      <c r="AT5835" s="10"/>
      <c r="AU5835" s="10"/>
      <c r="AV5835" s="10"/>
      <c r="AW5835" s="10"/>
      <c r="AX5835" s="10"/>
      <c r="AY5835" s="10"/>
      <c r="AZ5835" s="10"/>
    </row>
    <row r="5836" spans="31:52">
      <c r="AE5836" s="10"/>
      <c r="AF5836" s="10"/>
      <c r="AG5836" s="10"/>
      <c r="AH5836" s="10"/>
      <c r="AI5836" s="10"/>
      <c r="AJ5836" s="10"/>
      <c r="AK5836" s="10"/>
      <c r="AL5836" s="10"/>
      <c r="AM5836" s="10"/>
      <c r="AN5836" s="10"/>
      <c r="AO5836" s="10"/>
      <c r="AP5836" s="10"/>
      <c r="AQ5836" s="10"/>
      <c r="AR5836" s="10"/>
      <c r="AS5836" s="10"/>
      <c r="AT5836" s="10"/>
      <c r="AU5836" s="10"/>
      <c r="AV5836" s="10"/>
      <c r="AW5836" s="10"/>
      <c r="AX5836" s="10"/>
      <c r="AY5836" s="10"/>
      <c r="AZ5836" s="10"/>
    </row>
    <row r="5837" spans="31:52">
      <c r="AE5837" s="10"/>
      <c r="AF5837" s="10"/>
      <c r="AG5837" s="10"/>
      <c r="AH5837" s="10"/>
      <c r="AI5837" s="10"/>
      <c r="AJ5837" s="10"/>
      <c r="AK5837" s="10"/>
      <c r="AL5837" s="10"/>
      <c r="AM5837" s="10"/>
      <c r="AN5837" s="10"/>
      <c r="AO5837" s="10"/>
      <c r="AP5837" s="10"/>
      <c r="AQ5837" s="10"/>
      <c r="AR5837" s="10"/>
      <c r="AS5837" s="10"/>
      <c r="AT5837" s="10"/>
      <c r="AU5837" s="10"/>
      <c r="AV5837" s="10"/>
      <c r="AW5837" s="10"/>
      <c r="AX5837" s="10"/>
      <c r="AY5837" s="10"/>
      <c r="AZ5837" s="10"/>
    </row>
    <row r="5838" spans="31:52">
      <c r="AE5838" s="10"/>
      <c r="AF5838" s="10"/>
      <c r="AG5838" s="10"/>
      <c r="AH5838" s="10"/>
      <c r="AI5838" s="10"/>
      <c r="AJ5838" s="10"/>
      <c r="AK5838" s="10"/>
      <c r="AL5838" s="10"/>
      <c r="AM5838" s="10"/>
      <c r="AN5838" s="10"/>
      <c r="AO5838" s="10"/>
      <c r="AP5838" s="10"/>
      <c r="AQ5838" s="10"/>
      <c r="AR5838" s="10"/>
      <c r="AS5838" s="10"/>
      <c r="AT5838" s="10"/>
      <c r="AU5838" s="10"/>
      <c r="AV5838" s="10"/>
      <c r="AW5838" s="10"/>
      <c r="AX5838" s="10"/>
      <c r="AY5838" s="10"/>
      <c r="AZ5838" s="10"/>
    </row>
    <row r="5839" spans="31:52">
      <c r="AE5839" s="10"/>
      <c r="AF5839" s="10"/>
      <c r="AG5839" s="10"/>
      <c r="AH5839" s="10"/>
      <c r="AI5839" s="10"/>
      <c r="AJ5839" s="10"/>
      <c r="AK5839" s="10"/>
      <c r="AL5839" s="10"/>
      <c r="AM5839" s="10"/>
      <c r="AN5839" s="10"/>
      <c r="AO5839" s="10"/>
      <c r="AP5839" s="10"/>
      <c r="AQ5839" s="10"/>
      <c r="AR5839" s="10"/>
      <c r="AS5839" s="10"/>
      <c r="AT5839" s="10"/>
      <c r="AU5839" s="10"/>
      <c r="AV5839" s="10"/>
      <c r="AW5839" s="10"/>
      <c r="AX5839" s="10"/>
      <c r="AY5839" s="10"/>
      <c r="AZ5839" s="10"/>
    </row>
    <row r="5840" spans="31:52">
      <c r="AE5840" s="10"/>
      <c r="AF5840" s="10"/>
      <c r="AG5840" s="10"/>
      <c r="AH5840" s="10"/>
      <c r="AI5840" s="10"/>
      <c r="AJ5840" s="10"/>
      <c r="AK5840" s="10"/>
      <c r="AL5840" s="10"/>
      <c r="AM5840" s="10"/>
      <c r="AN5840" s="10"/>
      <c r="AO5840" s="10"/>
      <c r="AP5840" s="10"/>
      <c r="AQ5840" s="10"/>
      <c r="AR5840" s="10"/>
      <c r="AS5840" s="10"/>
      <c r="AT5840" s="10"/>
      <c r="AU5840" s="10"/>
      <c r="AV5840" s="10"/>
      <c r="AW5840" s="10"/>
      <c r="AX5840" s="10"/>
      <c r="AY5840" s="10"/>
      <c r="AZ5840" s="10"/>
    </row>
    <row r="5841" spans="31:52">
      <c r="AE5841" s="10"/>
      <c r="AF5841" s="10"/>
      <c r="AG5841" s="10"/>
      <c r="AH5841" s="10"/>
      <c r="AI5841" s="10"/>
      <c r="AJ5841" s="10"/>
      <c r="AK5841" s="10"/>
      <c r="AL5841" s="10"/>
      <c r="AM5841" s="10"/>
      <c r="AN5841" s="10"/>
      <c r="AO5841" s="10"/>
      <c r="AP5841" s="10"/>
      <c r="AQ5841" s="10"/>
      <c r="AR5841" s="10"/>
      <c r="AS5841" s="10"/>
      <c r="AT5841" s="10"/>
      <c r="AU5841" s="10"/>
      <c r="AV5841" s="10"/>
      <c r="AW5841" s="10"/>
      <c r="AX5841" s="10"/>
      <c r="AY5841" s="10"/>
      <c r="AZ5841" s="10"/>
    </row>
    <row r="5842" spans="31:52">
      <c r="AE5842" s="10"/>
      <c r="AF5842" s="10"/>
      <c r="AG5842" s="10"/>
      <c r="AH5842" s="10"/>
      <c r="AI5842" s="10"/>
      <c r="AJ5842" s="10"/>
      <c r="AK5842" s="10"/>
      <c r="AL5842" s="10"/>
      <c r="AM5842" s="10"/>
      <c r="AN5842" s="10"/>
      <c r="AO5842" s="10"/>
      <c r="AP5842" s="10"/>
      <c r="AQ5842" s="10"/>
      <c r="AR5842" s="10"/>
      <c r="AS5842" s="10"/>
      <c r="AT5842" s="10"/>
      <c r="AU5842" s="10"/>
      <c r="AV5842" s="10"/>
      <c r="AW5842" s="10"/>
      <c r="AX5842" s="10"/>
      <c r="AY5842" s="10"/>
      <c r="AZ5842" s="10"/>
    </row>
    <row r="5843" spans="31:52">
      <c r="AE5843" s="10"/>
      <c r="AF5843" s="10"/>
      <c r="AG5843" s="10"/>
      <c r="AH5843" s="10"/>
      <c r="AI5843" s="10"/>
      <c r="AJ5843" s="10"/>
      <c r="AK5843" s="10"/>
      <c r="AL5843" s="10"/>
      <c r="AM5843" s="10"/>
      <c r="AN5843" s="10"/>
      <c r="AO5843" s="10"/>
      <c r="AP5843" s="10"/>
      <c r="AQ5843" s="10"/>
      <c r="AR5843" s="10"/>
      <c r="AS5843" s="10"/>
      <c r="AT5843" s="10"/>
      <c r="AU5843" s="10"/>
      <c r="AV5843" s="10"/>
      <c r="AW5843" s="10"/>
      <c r="AX5843" s="10"/>
      <c r="AY5843" s="10"/>
      <c r="AZ5843" s="10"/>
    </row>
    <row r="5844" spans="31:52">
      <c r="AE5844" s="10"/>
      <c r="AF5844" s="10"/>
      <c r="AG5844" s="10"/>
      <c r="AH5844" s="10"/>
      <c r="AI5844" s="10"/>
      <c r="AJ5844" s="10"/>
      <c r="AK5844" s="10"/>
      <c r="AL5844" s="10"/>
      <c r="AM5844" s="10"/>
      <c r="AN5844" s="10"/>
      <c r="AO5844" s="10"/>
      <c r="AP5844" s="10"/>
      <c r="AQ5844" s="10"/>
      <c r="AR5844" s="10"/>
      <c r="AS5844" s="10"/>
      <c r="AT5844" s="10"/>
      <c r="AU5844" s="10"/>
      <c r="AV5844" s="10"/>
      <c r="AW5844" s="10"/>
      <c r="AX5844" s="10"/>
      <c r="AY5844" s="10"/>
      <c r="AZ5844" s="10"/>
    </row>
    <row r="5845" spans="31:52">
      <c r="AE5845" s="10"/>
      <c r="AF5845" s="10"/>
      <c r="AG5845" s="10"/>
      <c r="AH5845" s="10"/>
      <c r="AI5845" s="10"/>
      <c r="AJ5845" s="10"/>
      <c r="AK5845" s="10"/>
      <c r="AL5845" s="10"/>
      <c r="AM5845" s="10"/>
      <c r="AN5845" s="10"/>
      <c r="AO5845" s="10"/>
      <c r="AP5845" s="10"/>
      <c r="AQ5845" s="10"/>
      <c r="AR5845" s="10"/>
      <c r="AS5845" s="10"/>
      <c r="AT5845" s="10"/>
      <c r="AU5845" s="10"/>
      <c r="AV5845" s="10"/>
      <c r="AW5845" s="10"/>
      <c r="AX5845" s="10"/>
      <c r="AY5845" s="10"/>
      <c r="AZ5845" s="10"/>
    </row>
    <row r="5846" spans="31:52">
      <c r="AE5846" s="10"/>
      <c r="AF5846" s="10"/>
      <c r="AG5846" s="10"/>
      <c r="AH5846" s="10"/>
      <c r="AI5846" s="10"/>
      <c r="AJ5846" s="10"/>
      <c r="AK5846" s="10"/>
      <c r="AL5846" s="10"/>
      <c r="AM5846" s="10"/>
      <c r="AN5846" s="10"/>
      <c r="AO5846" s="10"/>
      <c r="AP5846" s="10"/>
      <c r="AQ5846" s="10"/>
      <c r="AR5846" s="10"/>
      <c r="AS5846" s="10"/>
      <c r="AT5846" s="10"/>
      <c r="AU5846" s="10"/>
      <c r="AV5846" s="10"/>
      <c r="AW5846" s="10"/>
      <c r="AX5846" s="10"/>
      <c r="AY5846" s="10"/>
      <c r="AZ5846" s="10"/>
    </row>
    <row r="5847" spans="31:52">
      <c r="AE5847" s="10"/>
      <c r="AF5847" s="10"/>
      <c r="AG5847" s="10"/>
      <c r="AH5847" s="10"/>
      <c r="AI5847" s="10"/>
      <c r="AJ5847" s="10"/>
      <c r="AK5847" s="10"/>
      <c r="AL5847" s="10"/>
      <c r="AM5847" s="10"/>
      <c r="AN5847" s="10"/>
      <c r="AO5847" s="10"/>
      <c r="AP5847" s="10"/>
      <c r="AQ5847" s="10"/>
      <c r="AR5847" s="10"/>
      <c r="AS5847" s="10"/>
      <c r="AT5847" s="10"/>
      <c r="AU5847" s="10"/>
      <c r="AV5847" s="10"/>
      <c r="AW5847" s="10"/>
      <c r="AX5847" s="10"/>
      <c r="AY5847" s="10"/>
      <c r="AZ5847" s="10"/>
    </row>
    <row r="5848" spans="31:52">
      <c r="AE5848" s="10"/>
      <c r="AF5848" s="10"/>
      <c r="AG5848" s="10"/>
      <c r="AH5848" s="10"/>
      <c r="AI5848" s="10"/>
      <c r="AJ5848" s="10"/>
      <c r="AK5848" s="10"/>
      <c r="AL5848" s="10"/>
      <c r="AM5848" s="10"/>
      <c r="AN5848" s="10"/>
      <c r="AO5848" s="10"/>
      <c r="AP5848" s="10"/>
      <c r="AQ5848" s="10"/>
      <c r="AR5848" s="10"/>
      <c r="AS5848" s="10"/>
      <c r="AT5848" s="10"/>
      <c r="AU5848" s="10"/>
      <c r="AV5848" s="10"/>
      <c r="AW5848" s="10"/>
      <c r="AX5848" s="10"/>
      <c r="AY5848" s="10"/>
      <c r="AZ5848" s="10"/>
    </row>
    <row r="5849" spans="31:52">
      <c r="AE5849" s="10"/>
      <c r="AF5849" s="10"/>
      <c r="AG5849" s="10"/>
      <c r="AH5849" s="10"/>
      <c r="AI5849" s="10"/>
      <c r="AJ5849" s="10"/>
      <c r="AK5849" s="10"/>
      <c r="AL5849" s="10"/>
      <c r="AM5849" s="10"/>
      <c r="AN5849" s="10"/>
      <c r="AO5849" s="10"/>
      <c r="AP5849" s="10"/>
      <c r="AQ5849" s="10"/>
      <c r="AR5849" s="10"/>
      <c r="AS5849" s="10"/>
      <c r="AT5849" s="10"/>
      <c r="AU5849" s="10"/>
      <c r="AV5849" s="10"/>
      <c r="AW5849" s="10"/>
      <c r="AX5849" s="10"/>
      <c r="AY5849" s="10"/>
      <c r="AZ5849" s="10"/>
    </row>
    <row r="5850" spans="31:52">
      <c r="AE5850" s="10"/>
      <c r="AF5850" s="10"/>
      <c r="AG5850" s="10"/>
      <c r="AH5850" s="10"/>
      <c r="AI5850" s="10"/>
      <c r="AJ5850" s="10"/>
      <c r="AK5850" s="10"/>
      <c r="AL5850" s="10"/>
      <c r="AM5850" s="10"/>
      <c r="AN5850" s="10"/>
      <c r="AO5850" s="10"/>
      <c r="AP5850" s="10"/>
      <c r="AQ5850" s="10"/>
      <c r="AR5850" s="10"/>
      <c r="AS5850" s="10"/>
      <c r="AT5850" s="10"/>
      <c r="AU5850" s="10"/>
      <c r="AV5850" s="10"/>
      <c r="AW5850" s="10"/>
      <c r="AX5850" s="10"/>
      <c r="AY5850" s="10"/>
      <c r="AZ5850" s="10"/>
    </row>
    <row r="5851" spans="31:52">
      <c r="AE5851" s="10"/>
      <c r="AF5851" s="10"/>
      <c r="AG5851" s="10"/>
      <c r="AH5851" s="10"/>
      <c r="AI5851" s="10"/>
      <c r="AJ5851" s="10"/>
      <c r="AK5851" s="10"/>
      <c r="AL5851" s="10"/>
      <c r="AM5851" s="10"/>
      <c r="AN5851" s="10"/>
      <c r="AO5851" s="10"/>
      <c r="AP5851" s="10"/>
      <c r="AQ5851" s="10"/>
      <c r="AR5851" s="10"/>
      <c r="AS5851" s="10"/>
      <c r="AT5851" s="10"/>
      <c r="AU5851" s="10"/>
      <c r="AV5851" s="10"/>
      <c r="AW5851" s="10"/>
      <c r="AX5851" s="10"/>
      <c r="AY5851" s="10"/>
      <c r="AZ5851" s="10"/>
    </row>
    <row r="5852" spans="31:52">
      <c r="AE5852" s="10"/>
      <c r="AF5852" s="10"/>
      <c r="AG5852" s="10"/>
      <c r="AH5852" s="10"/>
      <c r="AI5852" s="10"/>
      <c r="AJ5852" s="10"/>
      <c r="AK5852" s="10"/>
      <c r="AL5852" s="10"/>
      <c r="AM5852" s="10"/>
      <c r="AN5852" s="10"/>
      <c r="AO5852" s="10"/>
      <c r="AP5852" s="10"/>
      <c r="AQ5852" s="10"/>
      <c r="AR5852" s="10"/>
      <c r="AS5852" s="10"/>
      <c r="AT5852" s="10"/>
      <c r="AU5852" s="10"/>
      <c r="AV5852" s="10"/>
      <c r="AW5852" s="10"/>
      <c r="AX5852" s="10"/>
      <c r="AY5852" s="10"/>
      <c r="AZ5852" s="10"/>
    </row>
    <row r="5853" spans="31:52">
      <c r="AE5853" s="10"/>
      <c r="AF5853" s="10"/>
      <c r="AG5853" s="10"/>
      <c r="AH5853" s="10"/>
      <c r="AI5853" s="10"/>
      <c r="AJ5853" s="10"/>
      <c r="AK5853" s="10"/>
      <c r="AL5853" s="10"/>
      <c r="AM5853" s="10"/>
      <c r="AN5853" s="10"/>
      <c r="AO5853" s="10"/>
      <c r="AP5853" s="10"/>
      <c r="AQ5853" s="10"/>
      <c r="AR5853" s="10"/>
      <c r="AS5853" s="10"/>
      <c r="AT5853" s="10"/>
      <c r="AU5853" s="10"/>
      <c r="AV5853" s="10"/>
      <c r="AW5853" s="10"/>
      <c r="AX5853" s="10"/>
      <c r="AY5853" s="10"/>
      <c r="AZ5853" s="10"/>
    </row>
    <row r="5854" spans="31:52">
      <c r="AE5854" s="10"/>
      <c r="AF5854" s="10"/>
      <c r="AG5854" s="10"/>
      <c r="AH5854" s="10"/>
      <c r="AI5854" s="10"/>
      <c r="AJ5854" s="10"/>
      <c r="AK5854" s="10"/>
      <c r="AL5854" s="10"/>
      <c r="AM5854" s="10"/>
      <c r="AN5854" s="10"/>
      <c r="AO5854" s="10"/>
      <c r="AP5854" s="10"/>
      <c r="AQ5854" s="10"/>
      <c r="AR5854" s="10"/>
      <c r="AS5854" s="10"/>
      <c r="AT5854" s="10"/>
      <c r="AU5854" s="10"/>
      <c r="AV5854" s="10"/>
      <c r="AW5854" s="10"/>
      <c r="AX5854" s="10"/>
      <c r="AY5854" s="10"/>
      <c r="AZ5854" s="10"/>
    </row>
    <row r="5855" spans="31:52">
      <c r="AE5855" s="10"/>
      <c r="AF5855" s="10"/>
      <c r="AG5855" s="10"/>
      <c r="AH5855" s="10"/>
      <c r="AI5855" s="10"/>
      <c r="AJ5855" s="10"/>
      <c r="AK5855" s="10"/>
      <c r="AL5855" s="10"/>
      <c r="AM5855" s="10"/>
      <c r="AN5855" s="10"/>
      <c r="AO5855" s="10"/>
      <c r="AP5855" s="10"/>
      <c r="AQ5855" s="10"/>
      <c r="AR5855" s="10"/>
      <c r="AS5855" s="10"/>
      <c r="AT5855" s="10"/>
      <c r="AU5855" s="10"/>
      <c r="AV5855" s="10"/>
      <c r="AW5855" s="10"/>
      <c r="AX5855" s="10"/>
      <c r="AY5855" s="10"/>
      <c r="AZ5855" s="10"/>
    </row>
    <row r="5856" spans="31:52">
      <c r="AE5856" s="10"/>
      <c r="AF5856" s="10"/>
      <c r="AG5856" s="10"/>
      <c r="AH5856" s="10"/>
      <c r="AI5856" s="10"/>
      <c r="AJ5856" s="10"/>
      <c r="AK5856" s="10"/>
      <c r="AL5856" s="10"/>
      <c r="AM5856" s="10"/>
      <c r="AN5856" s="10"/>
      <c r="AO5856" s="10"/>
      <c r="AP5856" s="10"/>
      <c r="AQ5856" s="10"/>
      <c r="AR5856" s="10"/>
      <c r="AS5856" s="10"/>
      <c r="AT5856" s="10"/>
      <c r="AU5856" s="10"/>
      <c r="AV5856" s="10"/>
      <c r="AW5856" s="10"/>
      <c r="AX5856" s="10"/>
      <c r="AY5856" s="10"/>
      <c r="AZ5856" s="10"/>
    </row>
    <row r="5857" spans="31:52">
      <c r="AE5857" s="10"/>
      <c r="AF5857" s="10"/>
      <c r="AG5857" s="10"/>
      <c r="AH5857" s="10"/>
      <c r="AI5857" s="10"/>
      <c r="AJ5857" s="10"/>
      <c r="AK5857" s="10"/>
      <c r="AL5857" s="10"/>
      <c r="AM5857" s="10"/>
      <c r="AN5857" s="10"/>
      <c r="AO5857" s="10"/>
      <c r="AP5857" s="10"/>
      <c r="AQ5857" s="10"/>
      <c r="AR5857" s="10"/>
      <c r="AS5857" s="10"/>
      <c r="AT5857" s="10"/>
      <c r="AU5857" s="10"/>
      <c r="AV5857" s="10"/>
      <c r="AW5857" s="10"/>
      <c r="AX5857" s="10"/>
      <c r="AY5857" s="10"/>
      <c r="AZ5857" s="10"/>
    </row>
    <row r="5858" spans="31:52">
      <c r="AE5858" s="10"/>
      <c r="AF5858" s="10"/>
      <c r="AG5858" s="10"/>
      <c r="AH5858" s="10"/>
      <c r="AI5858" s="10"/>
      <c r="AJ5858" s="10"/>
      <c r="AK5858" s="10"/>
      <c r="AL5858" s="10"/>
      <c r="AM5858" s="10"/>
      <c r="AN5858" s="10"/>
      <c r="AO5858" s="10"/>
      <c r="AP5858" s="10"/>
      <c r="AQ5858" s="10"/>
      <c r="AR5858" s="10"/>
      <c r="AS5858" s="10"/>
      <c r="AT5858" s="10"/>
      <c r="AU5858" s="10"/>
      <c r="AV5858" s="10"/>
      <c r="AW5858" s="10"/>
      <c r="AX5858" s="10"/>
      <c r="AY5858" s="10"/>
      <c r="AZ5858" s="10"/>
    </row>
    <row r="5859" spans="31:52">
      <c r="AE5859" s="10"/>
      <c r="AF5859" s="10"/>
      <c r="AG5859" s="10"/>
      <c r="AH5859" s="10"/>
      <c r="AI5859" s="10"/>
      <c r="AJ5859" s="10"/>
      <c r="AK5859" s="10"/>
      <c r="AL5859" s="10"/>
      <c r="AM5859" s="10"/>
      <c r="AN5859" s="10"/>
      <c r="AO5859" s="10"/>
      <c r="AP5859" s="10"/>
      <c r="AQ5859" s="10"/>
      <c r="AR5859" s="10"/>
      <c r="AS5859" s="10"/>
      <c r="AT5859" s="10"/>
      <c r="AU5859" s="10"/>
      <c r="AV5859" s="10"/>
      <c r="AW5859" s="10"/>
      <c r="AX5859" s="10"/>
      <c r="AY5859" s="10"/>
      <c r="AZ5859" s="10"/>
    </row>
    <row r="5860" spans="31:52">
      <c r="AE5860" s="10"/>
      <c r="AF5860" s="10"/>
      <c r="AG5860" s="10"/>
      <c r="AH5860" s="10"/>
      <c r="AI5860" s="10"/>
      <c r="AJ5860" s="10"/>
      <c r="AK5860" s="10"/>
      <c r="AL5860" s="10"/>
      <c r="AM5860" s="10"/>
      <c r="AN5860" s="10"/>
      <c r="AO5860" s="10"/>
      <c r="AP5860" s="10"/>
      <c r="AQ5860" s="10"/>
      <c r="AR5860" s="10"/>
      <c r="AS5860" s="10"/>
      <c r="AT5860" s="10"/>
      <c r="AU5860" s="10"/>
      <c r="AV5860" s="10"/>
      <c r="AW5860" s="10"/>
      <c r="AX5860" s="10"/>
      <c r="AY5860" s="10"/>
      <c r="AZ5860" s="10"/>
    </row>
    <row r="5861" spans="31:52">
      <c r="AE5861" s="10"/>
      <c r="AF5861" s="10"/>
      <c r="AG5861" s="10"/>
      <c r="AH5861" s="10"/>
      <c r="AI5861" s="10"/>
      <c r="AJ5861" s="10"/>
      <c r="AK5861" s="10"/>
      <c r="AL5861" s="10"/>
      <c r="AM5861" s="10"/>
      <c r="AN5861" s="10"/>
      <c r="AO5861" s="10"/>
      <c r="AP5861" s="10"/>
      <c r="AQ5861" s="10"/>
      <c r="AR5861" s="10"/>
      <c r="AS5861" s="10"/>
      <c r="AT5861" s="10"/>
      <c r="AU5861" s="10"/>
      <c r="AV5861" s="10"/>
      <c r="AW5861" s="10"/>
      <c r="AX5861" s="10"/>
      <c r="AY5861" s="10"/>
      <c r="AZ5861" s="10"/>
    </row>
    <row r="5862" spans="31:52">
      <c r="AE5862" s="10"/>
      <c r="AF5862" s="10"/>
      <c r="AG5862" s="10"/>
      <c r="AH5862" s="10"/>
      <c r="AI5862" s="10"/>
      <c r="AJ5862" s="10"/>
      <c r="AK5862" s="10"/>
      <c r="AL5862" s="10"/>
      <c r="AM5862" s="10"/>
      <c r="AN5862" s="10"/>
      <c r="AO5862" s="10"/>
      <c r="AP5862" s="10"/>
      <c r="AQ5862" s="10"/>
      <c r="AR5862" s="10"/>
      <c r="AS5862" s="10"/>
      <c r="AT5862" s="10"/>
      <c r="AU5862" s="10"/>
      <c r="AV5862" s="10"/>
      <c r="AW5862" s="10"/>
      <c r="AX5862" s="10"/>
      <c r="AY5862" s="10"/>
      <c r="AZ5862" s="10"/>
    </row>
    <row r="5863" spans="31:52">
      <c r="AE5863" s="10"/>
      <c r="AF5863" s="10"/>
      <c r="AG5863" s="10"/>
      <c r="AH5863" s="10"/>
      <c r="AI5863" s="10"/>
      <c r="AJ5863" s="10"/>
      <c r="AK5863" s="10"/>
      <c r="AL5863" s="10"/>
      <c r="AM5863" s="10"/>
      <c r="AN5863" s="10"/>
      <c r="AO5863" s="10"/>
      <c r="AP5863" s="10"/>
      <c r="AQ5863" s="10"/>
      <c r="AR5863" s="10"/>
      <c r="AS5863" s="10"/>
      <c r="AT5863" s="10"/>
      <c r="AU5863" s="10"/>
      <c r="AV5863" s="10"/>
      <c r="AW5863" s="10"/>
      <c r="AX5863" s="10"/>
      <c r="AY5863" s="10"/>
      <c r="AZ5863" s="10"/>
    </row>
    <row r="5864" spans="31:52">
      <c r="AE5864" s="10"/>
      <c r="AF5864" s="10"/>
      <c r="AG5864" s="10"/>
      <c r="AH5864" s="10"/>
      <c r="AI5864" s="10"/>
      <c r="AJ5864" s="10"/>
      <c r="AK5864" s="10"/>
      <c r="AL5864" s="10"/>
      <c r="AM5864" s="10"/>
      <c r="AN5864" s="10"/>
      <c r="AO5864" s="10"/>
      <c r="AP5864" s="10"/>
      <c r="AQ5864" s="10"/>
      <c r="AR5864" s="10"/>
      <c r="AS5864" s="10"/>
      <c r="AT5864" s="10"/>
      <c r="AU5864" s="10"/>
      <c r="AV5864" s="10"/>
      <c r="AW5864" s="10"/>
      <c r="AX5864" s="10"/>
      <c r="AY5864" s="10"/>
      <c r="AZ5864" s="10"/>
    </row>
    <row r="5865" spans="31:52">
      <c r="AE5865" s="10"/>
      <c r="AF5865" s="10"/>
      <c r="AG5865" s="10"/>
      <c r="AH5865" s="10"/>
      <c r="AI5865" s="10"/>
      <c r="AJ5865" s="10"/>
      <c r="AK5865" s="10"/>
      <c r="AL5865" s="10"/>
      <c r="AM5865" s="10"/>
      <c r="AN5865" s="10"/>
      <c r="AO5865" s="10"/>
      <c r="AP5865" s="10"/>
      <c r="AQ5865" s="10"/>
      <c r="AR5865" s="10"/>
      <c r="AS5865" s="10"/>
      <c r="AT5865" s="10"/>
      <c r="AU5865" s="10"/>
      <c r="AV5865" s="10"/>
      <c r="AW5865" s="10"/>
      <c r="AX5865" s="10"/>
      <c r="AY5865" s="10"/>
      <c r="AZ5865" s="10"/>
    </row>
    <row r="5866" spans="31:52">
      <c r="AE5866" s="10"/>
      <c r="AF5866" s="10"/>
      <c r="AG5866" s="10"/>
      <c r="AH5866" s="10"/>
      <c r="AI5866" s="10"/>
      <c r="AJ5866" s="10"/>
      <c r="AK5866" s="10"/>
      <c r="AL5866" s="10"/>
      <c r="AM5866" s="10"/>
      <c r="AN5866" s="10"/>
      <c r="AO5866" s="10"/>
      <c r="AP5866" s="10"/>
      <c r="AQ5866" s="10"/>
      <c r="AR5866" s="10"/>
      <c r="AS5866" s="10"/>
      <c r="AT5866" s="10"/>
      <c r="AU5866" s="10"/>
      <c r="AV5866" s="10"/>
      <c r="AW5866" s="10"/>
      <c r="AX5866" s="10"/>
      <c r="AY5866" s="10"/>
      <c r="AZ5866" s="10"/>
    </row>
    <row r="5867" spans="31:52">
      <c r="AE5867" s="10"/>
      <c r="AF5867" s="10"/>
      <c r="AG5867" s="10"/>
      <c r="AH5867" s="10"/>
      <c r="AI5867" s="10"/>
      <c r="AJ5867" s="10"/>
      <c r="AK5867" s="10"/>
      <c r="AL5867" s="10"/>
      <c r="AM5867" s="10"/>
      <c r="AN5867" s="10"/>
      <c r="AO5867" s="10"/>
      <c r="AP5867" s="10"/>
      <c r="AQ5867" s="10"/>
      <c r="AR5867" s="10"/>
      <c r="AS5867" s="10"/>
      <c r="AT5867" s="10"/>
      <c r="AU5867" s="10"/>
      <c r="AV5867" s="10"/>
      <c r="AW5867" s="10"/>
      <c r="AX5867" s="10"/>
      <c r="AY5867" s="10"/>
      <c r="AZ5867" s="10"/>
    </row>
    <row r="5868" spans="31:52">
      <c r="AE5868" s="10"/>
      <c r="AF5868" s="10"/>
      <c r="AG5868" s="10"/>
      <c r="AH5868" s="10"/>
      <c r="AI5868" s="10"/>
      <c r="AJ5868" s="10"/>
      <c r="AK5868" s="10"/>
      <c r="AL5868" s="10"/>
      <c r="AM5868" s="10"/>
      <c r="AN5868" s="10"/>
      <c r="AO5868" s="10"/>
      <c r="AP5868" s="10"/>
      <c r="AQ5868" s="10"/>
      <c r="AR5868" s="10"/>
      <c r="AS5868" s="10"/>
      <c r="AT5868" s="10"/>
      <c r="AU5868" s="10"/>
      <c r="AV5868" s="10"/>
      <c r="AW5868" s="10"/>
      <c r="AX5868" s="10"/>
      <c r="AY5868" s="10"/>
      <c r="AZ5868" s="10"/>
    </row>
    <row r="5869" spans="31:52">
      <c r="AE5869" s="10"/>
      <c r="AF5869" s="10"/>
      <c r="AG5869" s="10"/>
      <c r="AH5869" s="10"/>
      <c r="AI5869" s="10"/>
      <c r="AJ5869" s="10"/>
      <c r="AK5869" s="10"/>
      <c r="AL5869" s="10"/>
      <c r="AM5869" s="10"/>
      <c r="AN5869" s="10"/>
      <c r="AO5869" s="10"/>
      <c r="AP5869" s="10"/>
      <c r="AQ5869" s="10"/>
      <c r="AR5869" s="10"/>
      <c r="AS5869" s="10"/>
      <c r="AT5869" s="10"/>
      <c r="AU5869" s="10"/>
      <c r="AV5869" s="10"/>
      <c r="AW5869" s="10"/>
      <c r="AX5869" s="10"/>
      <c r="AY5869" s="10"/>
      <c r="AZ5869" s="10"/>
    </row>
    <row r="5870" spans="31:52">
      <c r="AE5870" s="10"/>
      <c r="AF5870" s="10"/>
      <c r="AG5870" s="10"/>
      <c r="AH5870" s="10"/>
      <c r="AI5870" s="10"/>
      <c r="AJ5870" s="10"/>
      <c r="AK5870" s="10"/>
      <c r="AL5870" s="10"/>
      <c r="AM5870" s="10"/>
      <c r="AN5870" s="10"/>
      <c r="AO5870" s="10"/>
      <c r="AP5870" s="10"/>
      <c r="AQ5870" s="10"/>
      <c r="AR5870" s="10"/>
      <c r="AS5870" s="10"/>
      <c r="AT5870" s="10"/>
      <c r="AU5870" s="10"/>
      <c r="AV5870" s="10"/>
      <c r="AW5870" s="10"/>
      <c r="AX5870" s="10"/>
      <c r="AY5870" s="10"/>
      <c r="AZ5870" s="10"/>
    </row>
    <row r="5871" spans="31:52">
      <c r="AE5871" s="10"/>
      <c r="AF5871" s="10"/>
      <c r="AG5871" s="10"/>
      <c r="AH5871" s="10"/>
      <c r="AI5871" s="10"/>
      <c r="AJ5871" s="10"/>
      <c r="AK5871" s="10"/>
      <c r="AL5871" s="10"/>
      <c r="AM5871" s="10"/>
      <c r="AN5871" s="10"/>
      <c r="AO5871" s="10"/>
      <c r="AP5871" s="10"/>
      <c r="AQ5871" s="10"/>
      <c r="AR5871" s="10"/>
      <c r="AS5871" s="10"/>
      <c r="AT5871" s="10"/>
      <c r="AU5871" s="10"/>
      <c r="AV5871" s="10"/>
      <c r="AW5871" s="10"/>
      <c r="AX5871" s="10"/>
      <c r="AY5871" s="10"/>
      <c r="AZ5871" s="10"/>
    </row>
    <row r="5872" spans="31:52">
      <c r="AE5872" s="10"/>
      <c r="AF5872" s="10"/>
      <c r="AG5872" s="10"/>
      <c r="AH5872" s="10"/>
      <c r="AI5872" s="10"/>
      <c r="AJ5872" s="10"/>
      <c r="AK5872" s="10"/>
      <c r="AL5872" s="10"/>
      <c r="AM5872" s="10"/>
      <c r="AN5872" s="10"/>
      <c r="AO5872" s="10"/>
      <c r="AP5872" s="10"/>
      <c r="AQ5872" s="10"/>
      <c r="AR5872" s="10"/>
      <c r="AS5872" s="10"/>
      <c r="AT5872" s="10"/>
      <c r="AU5872" s="10"/>
      <c r="AV5872" s="10"/>
      <c r="AW5872" s="10"/>
      <c r="AX5872" s="10"/>
      <c r="AY5872" s="10"/>
      <c r="AZ5872" s="10"/>
    </row>
    <row r="5873" spans="31:52">
      <c r="AE5873" s="10"/>
      <c r="AF5873" s="10"/>
      <c r="AG5873" s="10"/>
      <c r="AH5873" s="10"/>
      <c r="AI5873" s="10"/>
      <c r="AJ5873" s="10"/>
      <c r="AK5873" s="10"/>
      <c r="AL5873" s="10"/>
      <c r="AM5873" s="10"/>
      <c r="AN5873" s="10"/>
      <c r="AO5873" s="10"/>
      <c r="AP5873" s="10"/>
      <c r="AQ5873" s="10"/>
      <c r="AR5873" s="10"/>
      <c r="AS5873" s="10"/>
      <c r="AT5873" s="10"/>
      <c r="AU5873" s="10"/>
      <c r="AV5873" s="10"/>
      <c r="AW5873" s="10"/>
      <c r="AX5873" s="10"/>
      <c r="AY5873" s="10"/>
      <c r="AZ5873" s="10"/>
    </row>
    <row r="5874" spans="31:52">
      <c r="AE5874" s="10"/>
      <c r="AF5874" s="10"/>
      <c r="AG5874" s="10"/>
      <c r="AH5874" s="10"/>
      <c r="AI5874" s="10"/>
      <c r="AJ5874" s="10"/>
      <c r="AK5874" s="10"/>
      <c r="AL5874" s="10"/>
      <c r="AM5874" s="10"/>
      <c r="AN5874" s="10"/>
      <c r="AO5874" s="10"/>
      <c r="AP5874" s="10"/>
      <c r="AQ5874" s="10"/>
      <c r="AR5874" s="10"/>
      <c r="AS5874" s="10"/>
      <c r="AT5874" s="10"/>
      <c r="AU5874" s="10"/>
      <c r="AV5874" s="10"/>
      <c r="AW5874" s="10"/>
      <c r="AX5874" s="10"/>
      <c r="AY5874" s="10"/>
      <c r="AZ5874" s="10"/>
    </row>
    <row r="5875" spans="31:52">
      <c r="AE5875" s="10"/>
      <c r="AF5875" s="10"/>
      <c r="AG5875" s="10"/>
      <c r="AH5875" s="10"/>
      <c r="AI5875" s="10"/>
      <c r="AJ5875" s="10"/>
      <c r="AK5875" s="10"/>
      <c r="AL5875" s="10"/>
      <c r="AM5875" s="10"/>
      <c r="AN5875" s="10"/>
      <c r="AO5875" s="10"/>
      <c r="AP5875" s="10"/>
      <c r="AQ5875" s="10"/>
      <c r="AR5875" s="10"/>
      <c r="AS5875" s="10"/>
      <c r="AT5875" s="10"/>
      <c r="AU5875" s="10"/>
      <c r="AV5875" s="10"/>
      <c r="AW5875" s="10"/>
      <c r="AX5875" s="10"/>
      <c r="AY5875" s="10"/>
      <c r="AZ5875" s="10"/>
    </row>
    <row r="5876" spans="31:52">
      <c r="AE5876" s="10"/>
      <c r="AF5876" s="10"/>
      <c r="AG5876" s="10"/>
      <c r="AH5876" s="10"/>
      <c r="AI5876" s="10"/>
      <c r="AJ5876" s="10"/>
      <c r="AK5876" s="10"/>
      <c r="AL5876" s="10"/>
      <c r="AM5876" s="10"/>
      <c r="AN5876" s="10"/>
      <c r="AO5876" s="10"/>
      <c r="AP5876" s="10"/>
      <c r="AQ5876" s="10"/>
      <c r="AR5876" s="10"/>
      <c r="AS5876" s="10"/>
      <c r="AT5876" s="10"/>
      <c r="AU5876" s="10"/>
      <c r="AV5876" s="10"/>
      <c r="AW5876" s="10"/>
      <c r="AX5876" s="10"/>
      <c r="AY5876" s="10"/>
      <c r="AZ5876" s="10"/>
    </row>
    <row r="5877" spans="31:52">
      <c r="AE5877" s="10"/>
      <c r="AF5877" s="10"/>
      <c r="AG5877" s="10"/>
      <c r="AH5877" s="10"/>
      <c r="AI5877" s="10"/>
      <c r="AJ5877" s="10"/>
      <c r="AK5877" s="10"/>
      <c r="AL5877" s="10"/>
      <c r="AM5877" s="10"/>
      <c r="AN5877" s="10"/>
      <c r="AO5877" s="10"/>
      <c r="AP5877" s="10"/>
      <c r="AQ5877" s="10"/>
      <c r="AR5877" s="10"/>
      <c r="AS5877" s="10"/>
      <c r="AT5877" s="10"/>
      <c r="AU5877" s="10"/>
      <c r="AV5877" s="10"/>
      <c r="AW5877" s="10"/>
      <c r="AX5877" s="10"/>
      <c r="AY5877" s="10"/>
      <c r="AZ5877" s="10"/>
    </row>
    <row r="5878" spans="31:52">
      <c r="AE5878" s="10"/>
      <c r="AF5878" s="10"/>
      <c r="AG5878" s="10"/>
      <c r="AH5878" s="10"/>
      <c r="AI5878" s="10"/>
      <c r="AJ5878" s="10"/>
      <c r="AK5878" s="10"/>
      <c r="AL5878" s="10"/>
      <c r="AM5878" s="10"/>
      <c r="AN5878" s="10"/>
      <c r="AO5878" s="10"/>
      <c r="AP5878" s="10"/>
      <c r="AQ5878" s="10"/>
      <c r="AR5878" s="10"/>
      <c r="AS5878" s="10"/>
      <c r="AT5878" s="10"/>
      <c r="AU5878" s="10"/>
      <c r="AV5878" s="10"/>
      <c r="AW5878" s="10"/>
      <c r="AX5878" s="10"/>
      <c r="AY5878" s="10"/>
      <c r="AZ5878" s="10"/>
    </row>
    <row r="5879" spans="31:52">
      <c r="AE5879" s="10"/>
      <c r="AF5879" s="10"/>
      <c r="AG5879" s="10"/>
      <c r="AH5879" s="10"/>
      <c r="AI5879" s="10"/>
      <c r="AJ5879" s="10"/>
      <c r="AK5879" s="10"/>
      <c r="AL5879" s="10"/>
      <c r="AM5879" s="10"/>
      <c r="AN5879" s="10"/>
      <c r="AO5879" s="10"/>
      <c r="AP5879" s="10"/>
      <c r="AQ5879" s="10"/>
      <c r="AR5879" s="10"/>
      <c r="AS5879" s="10"/>
      <c r="AT5879" s="10"/>
      <c r="AU5879" s="10"/>
      <c r="AV5879" s="10"/>
      <c r="AW5879" s="10"/>
      <c r="AX5879" s="10"/>
      <c r="AY5879" s="10"/>
      <c r="AZ5879" s="10"/>
    </row>
    <row r="5880" spans="31:52">
      <c r="AE5880" s="10"/>
      <c r="AF5880" s="10"/>
      <c r="AG5880" s="10"/>
      <c r="AH5880" s="10"/>
      <c r="AI5880" s="10"/>
      <c r="AJ5880" s="10"/>
      <c r="AK5880" s="10"/>
      <c r="AL5880" s="10"/>
      <c r="AM5880" s="10"/>
      <c r="AN5880" s="10"/>
      <c r="AO5880" s="10"/>
      <c r="AP5880" s="10"/>
      <c r="AQ5880" s="10"/>
      <c r="AR5880" s="10"/>
      <c r="AS5880" s="10"/>
      <c r="AT5880" s="10"/>
      <c r="AU5880" s="10"/>
      <c r="AV5880" s="10"/>
      <c r="AW5880" s="10"/>
      <c r="AX5880" s="10"/>
      <c r="AY5880" s="10"/>
      <c r="AZ5880" s="10"/>
    </row>
    <row r="5881" spans="31:52">
      <c r="AE5881" s="10"/>
      <c r="AF5881" s="10"/>
      <c r="AG5881" s="10"/>
      <c r="AH5881" s="10"/>
      <c r="AI5881" s="10"/>
      <c r="AJ5881" s="10"/>
      <c r="AK5881" s="10"/>
      <c r="AL5881" s="10"/>
      <c r="AM5881" s="10"/>
      <c r="AN5881" s="10"/>
      <c r="AO5881" s="10"/>
      <c r="AP5881" s="10"/>
      <c r="AQ5881" s="10"/>
      <c r="AR5881" s="10"/>
      <c r="AS5881" s="10"/>
      <c r="AT5881" s="10"/>
      <c r="AU5881" s="10"/>
      <c r="AV5881" s="10"/>
      <c r="AW5881" s="10"/>
      <c r="AX5881" s="10"/>
      <c r="AY5881" s="10"/>
      <c r="AZ5881" s="10"/>
    </row>
    <row r="5882" spans="31:52">
      <c r="AE5882" s="10"/>
      <c r="AF5882" s="10"/>
      <c r="AG5882" s="10"/>
      <c r="AH5882" s="10"/>
      <c r="AI5882" s="10"/>
      <c r="AJ5882" s="10"/>
      <c r="AK5882" s="10"/>
      <c r="AL5882" s="10"/>
      <c r="AM5882" s="10"/>
      <c r="AN5882" s="10"/>
      <c r="AO5882" s="10"/>
      <c r="AP5882" s="10"/>
      <c r="AQ5882" s="10"/>
      <c r="AR5882" s="10"/>
      <c r="AS5882" s="10"/>
      <c r="AT5882" s="10"/>
      <c r="AU5882" s="10"/>
      <c r="AV5882" s="10"/>
      <c r="AW5882" s="10"/>
      <c r="AX5882" s="10"/>
      <c r="AY5882" s="10"/>
      <c r="AZ5882" s="10"/>
    </row>
    <row r="5883" spans="31:52">
      <c r="AE5883" s="10"/>
      <c r="AF5883" s="10"/>
      <c r="AG5883" s="10"/>
      <c r="AH5883" s="10"/>
      <c r="AI5883" s="10"/>
      <c r="AJ5883" s="10"/>
      <c r="AK5883" s="10"/>
      <c r="AL5883" s="10"/>
      <c r="AM5883" s="10"/>
      <c r="AN5883" s="10"/>
      <c r="AO5883" s="10"/>
      <c r="AP5883" s="10"/>
      <c r="AQ5883" s="10"/>
      <c r="AR5883" s="10"/>
      <c r="AS5883" s="10"/>
      <c r="AT5883" s="10"/>
      <c r="AU5883" s="10"/>
      <c r="AV5883" s="10"/>
      <c r="AW5883" s="10"/>
      <c r="AX5883" s="10"/>
      <c r="AY5883" s="10"/>
      <c r="AZ5883" s="10"/>
    </row>
    <row r="5884" spans="31:52">
      <c r="AE5884" s="10"/>
      <c r="AF5884" s="10"/>
      <c r="AG5884" s="10"/>
      <c r="AH5884" s="10"/>
      <c r="AI5884" s="10"/>
      <c r="AJ5884" s="10"/>
      <c r="AK5884" s="10"/>
      <c r="AL5884" s="10"/>
      <c r="AM5884" s="10"/>
      <c r="AN5884" s="10"/>
      <c r="AO5884" s="10"/>
      <c r="AP5884" s="10"/>
      <c r="AQ5884" s="10"/>
      <c r="AR5884" s="10"/>
      <c r="AS5884" s="10"/>
      <c r="AT5884" s="10"/>
      <c r="AU5884" s="10"/>
      <c r="AV5884" s="10"/>
      <c r="AW5884" s="10"/>
      <c r="AX5884" s="10"/>
      <c r="AY5884" s="10"/>
      <c r="AZ5884" s="10"/>
    </row>
    <row r="5885" spans="31:52">
      <c r="AE5885" s="10"/>
      <c r="AF5885" s="10"/>
      <c r="AG5885" s="10"/>
      <c r="AH5885" s="10"/>
      <c r="AI5885" s="10"/>
      <c r="AJ5885" s="10"/>
      <c r="AK5885" s="10"/>
      <c r="AL5885" s="10"/>
      <c r="AM5885" s="10"/>
      <c r="AN5885" s="10"/>
      <c r="AO5885" s="10"/>
      <c r="AP5885" s="10"/>
      <c r="AQ5885" s="10"/>
      <c r="AR5885" s="10"/>
      <c r="AS5885" s="10"/>
      <c r="AT5885" s="10"/>
      <c r="AU5885" s="10"/>
      <c r="AV5885" s="10"/>
      <c r="AW5885" s="10"/>
      <c r="AX5885" s="10"/>
      <c r="AY5885" s="10"/>
      <c r="AZ5885" s="10"/>
    </row>
    <row r="5886" spans="31:52">
      <c r="AE5886" s="10"/>
      <c r="AF5886" s="10"/>
      <c r="AG5886" s="10"/>
      <c r="AH5886" s="10"/>
      <c r="AI5886" s="10"/>
      <c r="AJ5886" s="10"/>
      <c r="AK5886" s="10"/>
      <c r="AL5886" s="10"/>
      <c r="AM5886" s="10"/>
      <c r="AN5886" s="10"/>
      <c r="AO5886" s="10"/>
      <c r="AP5886" s="10"/>
      <c r="AQ5886" s="10"/>
      <c r="AR5886" s="10"/>
      <c r="AS5886" s="10"/>
      <c r="AT5886" s="10"/>
      <c r="AU5886" s="10"/>
      <c r="AV5886" s="10"/>
      <c r="AW5886" s="10"/>
      <c r="AX5886" s="10"/>
      <c r="AY5886" s="10"/>
      <c r="AZ5886" s="10"/>
    </row>
    <row r="5887" spans="31:52">
      <c r="AE5887" s="10"/>
      <c r="AF5887" s="10"/>
      <c r="AG5887" s="10"/>
      <c r="AH5887" s="10"/>
      <c r="AI5887" s="10"/>
      <c r="AJ5887" s="10"/>
      <c r="AK5887" s="10"/>
      <c r="AL5887" s="10"/>
      <c r="AM5887" s="10"/>
      <c r="AN5887" s="10"/>
      <c r="AO5887" s="10"/>
      <c r="AP5887" s="10"/>
      <c r="AQ5887" s="10"/>
      <c r="AR5887" s="10"/>
      <c r="AS5887" s="10"/>
      <c r="AT5887" s="10"/>
      <c r="AU5887" s="10"/>
      <c r="AV5887" s="10"/>
      <c r="AW5887" s="10"/>
      <c r="AX5887" s="10"/>
      <c r="AY5887" s="10"/>
      <c r="AZ5887" s="10"/>
    </row>
    <row r="5888" spans="31:52">
      <c r="AE5888" s="10"/>
      <c r="AF5888" s="10"/>
      <c r="AG5888" s="10"/>
      <c r="AH5888" s="10"/>
      <c r="AI5888" s="10"/>
      <c r="AJ5888" s="10"/>
      <c r="AK5888" s="10"/>
      <c r="AL5888" s="10"/>
      <c r="AM5888" s="10"/>
      <c r="AN5888" s="10"/>
      <c r="AO5888" s="10"/>
      <c r="AP5888" s="10"/>
      <c r="AQ5888" s="10"/>
      <c r="AR5888" s="10"/>
      <c r="AS5888" s="10"/>
      <c r="AT5888" s="10"/>
      <c r="AU5888" s="10"/>
      <c r="AV5888" s="10"/>
      <c r="AW5888" s="10"/>
      <c r="AX5888" s="10"/>
      <c r="AY5888" s="10"/>
      <c r="AZ5888" s="10"/>
    </row>
    <row r="5889" spans="31:52">
      <c r="AE5889" s="10"/>
      <c r="AF5889" s="10"/>
      <c r="AG5889" s="10"/>
      <c r="AH5889" s="10"/>
      <c r="AI5889" s="10"/>
      <c r="AJ5889" s="10"/>
      <c r="AK5889" s="10"/>
      <c r="AL5889" s="10"/>
      <c r="AM5889" s="10"/>
      <c r="AN5889" s="10"/>
      <c r="AO5889" s="10"/>
      <c r="AP5889" s="10"/>
      <c r="AQ5889" s="10"/>
      <c r="AR5889" s="10"/>
      <c r="AS5889" s="10"/>
      <c r="AT5889" s="10"/>
      <c r="AU5889" s="10"/>
      <c r="AV5889" s="10"/>
      <c r="AW5889" s="10"/>
      <c r="AX5889" s="10"/>
      <c r="AY5889" s="10"/>
      <c r="AZ5889" s="10"/>
    </row>
    <row r="5890" spans="31:52">
      <c r="AE5890" s="10"/>
      <c r="AF5890" s="10"/>
      <c r="AG5890" s="10"/>
      <c r="AH5890" s="10"/>
      <c r="AI5890" s="10"/>
      <c r="AJ5890" s="10"/>
      <c r="AK5890" s="10"/>
      <c r="AL5890" s="10"/>
      <c r="AM5890" s="10"/>
      <c r="AN5890" s="10"/>
      <c r="AO5890" s="10"/>
      <c r="AP5890" s="10"/>
      <c r="AQ5890" s="10"/>
      <c r="AR5890" s="10"/>
      <c r="AS5890" s="10"/>
      <c r="AT5890" s="10"/>
      <c r="AU5890" s="10"/>
      <c r="AV5890" s="10"/>
      <c r="AW5890" s="10"/>
      <c r="AX5890" s="10"/>
      <c r="AY5890" s="10"/>
      <c r="AZ5890" s="10"/>
    </row>
    <row r="5891" spans="31:52">
      <c r="AE5891" s="10"/>
      <c r="AF5891" s="10"/>
      <c r="AG5891" s="10"/>
      <c r="AH5891" s="10"/>
      <c r="AI5891" s="10"/>
      <c r="AJ5891" s="10"/>
      <c r="AK5891" s="10"/>
      <c r="AL5891" s="10"/>
      <c r="AM5891" s="10"/>
      <c r="AN5891" s="10"/>
      <c r="AO5891" s="10"/>
      <c r="AP5891" s="10"/>
      <c r="AQ5891" s="10"/>
      <c r="AR5891" s="10"/>
      <c r="AS5891" s="10"/>
      <c r="AT5891" s="10"/>
      <c r="AU5891" s="10"/>
      <c r="AV5891" s="10"/>
      <c r="AW5891" s="10"/>
      <c r="AX5891" s="10"/>
      <c r="AY5891" s="10"/>
      <c r="AZ5891" s="10"/>
    </row>
    <row r="5892" spans="31:52">
      <c r="AE5892" s="10"/>
      <c r="AF5892" s="10"/>
      <c r="AG5892" s="10"/>
      <c r="AH5892" s="10"/>
      <c r="AI5892" s="10"/>
      <c r="AJ5892" s="10"/>
      <c r="AK5892" s="10"/>
      <c r="AL5892" s="10"/>
      <c r="AM5892" s="10"/>
      <c r="AN5892" s="10"/>
      <c r="AO5892" s="10"/>
      <c r="AP5892" s="10"/>
      <c r="AQ5892" s="10"/>
      <c r="AR5892" s="10"/>
      <c r="AS5892" s="10"/>
      <c r="AT5892" s="10"/>
      <c r="AU5892" s="10"/>
      <c r="AV5892" s="10"/>
      <c r="AW5892" s="10"/>
      <c r="AX5892" s="10"/>
      <c r="AY5892" s="10"/>
      <c r="AZ5892" s="10"/>
    </row>
    <row r="5893" spans="31:52">
      <c r="AE5893" s="10"/>
      <c r="AF5893" s="10"/>
      <c r="AG5893" s="10"/>
      <c r="AH5893" s="10"/>
      <c r="AI5893" s="10"/>
      <c r="AJ5893" s="10"/>
      <c r="AK5893" s="10"/>
      <c r="AL5893" s="10"/>
      <c r="AM5893" s="10"/>
      <c r="AN5893" s="10"/>
      <c r="AO5893" s="10"/>
      <c r="AP5893" s="10"/>
      <c r="AQ5893" s="10"/>
      <c r="AR5893" s="10"/>
      <c r="AS5893" s="10"/>
      <c r="AT5893" s="10"/>
      <c r="AU5893" s="10"/>
      <c r="AV5893" s="10"/>
      <c r="AW5893" s="10"/>
      <c r="AX5893" s="10"/>
      <c r="AY5893" s="10"/>
      <c r="AZ5893" s="10"/>
    </row>
    <row r="5894" spans="31:52">
      <c r="AE5894" s="10"/>
      <c r="AF5894" s="10"/>
      <c r="AG5894" s="10"/>
      <c r="AH5894" s="10"/>
      <c r="AI5894" s="10"/>
      <c r="AJ5894" s="10"/>
      <c r="AK5894" s="10"/>
      <c r="AL5894" s="10"/>
      <c r="AM5894" s="10"/>
      <c r="AN5894" s="10"/>
      <c r="AO5894" s="10"/>
      <c r="AP5894" s="10"/>
      <c r="AQ5894" s="10"/>
      <c r="AR5894" s="10"/>
      <c r="AS5894" s="10"/>
      <c r="AT5894" s="10"/>
      <c r="AU5894" s="10"/>
      <c r="AV5894" s="10"/>
      <c r="AW5894" s="10"/>
      <c r="AX5894" s="10"/>
      <c r="AY5894" s="10"/>
      <c r="AZ5894" s="10"/>
    </row>
    <row r="5895" spans="31:52">
      <c r="AE5895" s="10"/>
      <c r="AF5895" s="10"/>
      <c r="AG5895" s="10"/>
      <c r="AH5895" s="10"/>
      <c r="AI5895" s="10"/>
      <c r="AJ5895" s="10"/>
      <c r="AK5895" s="10"/>
      <c r="AL5895" s="10"/>
      <c r="AM5895" s="10"/>
      <c r="AN5895" s="10"/>
      <c r="AO5895" s="10"/>
      <c r="AP5895" s="10"/>
      <c r="AQ5895" s="10"/>
      <c r="AR5895" s="10"/>
      <c r="AS5895" s="10"/>
      <c r="AT5895" s="10"/>
      <c r="AU5895" s="10"/>
      <c r="AV5895" s="10"/>
      <c r="AW5895" s="10"/>
      <c r="AX5895" s="10"/>
      <c r="AY5895" s="10"/>
      <c r="AZ5895" s="10"/>
    </row>
    <row r="5896" spans="31:52">
      <c r="AE5896" s="10"/>
      <c r="AF5896" s="10"/>
      <c r="AG5896" s="10"/>
      <c r="AH5896" s="10"/>
      <c r="AI5896" s="10"/>
      <c r="AJ5896" s="10"/>
      <c r="AK5896" s="10"/>
      <c r="AL5896" s="10"/>
      <c r="AM5896" s="10"/>
      <c r="AN5896" s="10"/>
      <c r="AO5896" s="10"/>
      <c r="AP5896" s="10"/>
      <c r="AQ5896" s="10"/>
      <c r="AR5896" s="10"/>
      <c r="AS5896" s="10"/>
      <c r="AT5896" s="10"/>
      <c r="AU5896" s="10"/>
      <c r="AV5896" s="10"/>
      <c r="AW5896" s="10"/>
      <c r="AX5896" s="10"/>
      <c r="AY5896" s="10"/>
      <c r="AZ5896" s="10"/>
    </row>
    <row r="5897" spans="31:52">
      <c r="AE5897" s="10"/>
      <c r="AF5897" s="10"/>
      <c r="AG5897" s="10"/>
      <c r="AH5897" s="10"/>
      <c r="AI5897" s="10"/>
      <c r="AJ5897" s="10"/>
      <c r="AK5897" s="10"/>
      <c r="AL5897" s="10"/>
      <c r="AM5897" s="10"/>
      <c r="AN5897" s="10"/>
      <c r="AO5897" s="10"/>
      <c r="AP5897" s="10"/>
      <c r="AQ5897" s="10"/>
      <c r="AR5897" s="10"/>
      <c r="AS5897" s="10"/>
      <c r="AT5897" s="10"/>
      <c r="AU5897" s="10"/>
      <c r="AV5897" s="10"/>
      <c r="AW5897" s="10"/>
      <c r="AX5897" s="10"/>
      <c r="AY5897" s="10"/>
      <c r="AZ5897" s="10"/>
    </row>
    <row r="5898" spans="31:52">
      <c r="AE5898" s="10"/>
      <c r="AF5898" s="10"/>
      <c r="AG5898" s="10"/>
      <c r="AH5898" s="10"/>
      <c r="AI5898" s="10"/>
      <c r="AJ5898" s="10"/>
      <c r="AK5898" s="10"/>
      <c r="AL5898" s="10"/>
      <c r="AM5898" s="10"/>
      <c r="AN5898" s="10"/>
      <c r="AO5898" s="10"/>
      <c r="AP5898" s="10"/>
      <c r="AQ5898" s="10"/>
      <c r="AR5898" s="10"/>
      <c r="AS5898" s="10"/>
      <c r="AT5898" s="10"/>
      <c r="AU5898" s="10"/>
      <c r="AV5898" s="10"/>
      <c r="AW5898" s="10"/>
      <c r="AX5898" s="10"/>
      <c r="AY5898" s="10"/>
      <c r="AZ5898" s="10"/>
    </row>
    <row r="5899" spans="31:52">
      <c r="AE5899" s="10"/>
      <c r="AF5899" s="10"/>
      <c r="AG5899" s="10"/>
      <c r="AH5899" s="10"/>
      <c r="AI5899" s="10"/>
      <c r="AJ5899" s="10"/>
      <c r="AK5899" s="10"/>
      <c r="AL5899" s="10"/>
      <c r="AM5899" s="10"/>
      <c r="AN5899" s="10"/>
      <c r="AO5899" s="10"/>
      <c r="AP5899" s="10"/>
      <c r="AQ5899" s="10"/>
      <c r="AR5899" s="10"/>
      <c r="AS5899" s="10"/>
      <c r="AT5899" s="10"/>
      <c r="AU5899" s="10"/>
      <c r="AV5899" s="10"/>
      <c r="AW5899" s="10"/>
      <c r="AX5899" s="10"/>
      <c r="AY5899" s="10"/>
      <c r="AZ5899" s="10"/>
    </row>
    <row r="5900" spans="31:52">
      <c r="AE5900" s="10"/>
      <c r="AF5900" s="10"/>
      <c r="AG5900" s="10"/>
      <c r="AH5900" s="10"/>
      <c r="AI5900" s="10"/>
      <c r="AJ5900" s="10"/>
      <c r="AK5900" s="10"/>
      <c r="AL5900" s="10"/>
      <c r="AM5900" s="10"/>
      <c r="AN5900" s="10"/>
      <c r="AO5900" s="10"/>
      <c r="AP5900" s="10"/>
      <c r="AQ5900" s="10"/>
      <c r="AR5900" s="10"/>
      <c r="AS5900" s="10"/>
      <c r="AT5900" s="10"/>
      <c r="AU5900" s="10"/>
      <c r="AV5900" s="10"/>
      <c r="AW5900" s="10"/>
      <c r="AX5900" s="10"/>
      <c r="AY5900" s="10"/>
      <c r="AZ5900" s="10"/>
    </row>
    <row r="5901" spans="31:52">
      <c r="AE5901" s="10"/>
      <c r="AF5901" s="10"/>
      <c r="AG5901" s="10"/>
      <c r="AH5901" s="10"/>
      <c r="AI5901" s="10"/>
      <c r="AJ5901" s="10"/>
      <c r="AK5901" s="10"/>
      <c r="AL5901" s="10"/>
      <c r="AM5901" s="10"/>
      <c r="AN5901" s="10"/>
      <c r="AO5901" s="10"/>
      <c r="AP5901" s="10"/>
      <c r="AQ5901" s="10"/>
      <c r="AR5901" s="10"/>
      <c r="AS5901" s="10"/>
      <c r="AT5901" s="10"/>
      <c r="AU5901" s="10"/>
      <c r="AV5901" s="10"/>
      <c r="AW5901" s="10"/>
      <c r="AX5901" s="10"/>
      <c r="AY5901" s="10"/>
      <c r="AZ5901" s="10"/>
    </row>
    <row r="5902" spans="31:52">
      <c r="AE5902" s="10"/>
      <c r="AF5902" s="10"/>
      <c r="AG5902" s="10"/>
      <c r="AH5902" s="10"/>
      <c r="AI5902" s="10"/>
      <c r="AJ5902" s="10"/>
      <c r="AK5902" s="10"/>
      <c r="AL5902" s="10"/>
      <c r="AM5902" s="10"/>
      <c r="AN5902" s="10"/>
      <c r="AO5902" s="10"/>
      <c r="AP5902" s="10"/>
      <c r="AQ5902" s="10"/>
      <c r="AR5902" s="10"/>
      <c r="AS5902" s="10"/>
      <c r="AT5902" s="10"/>
      <c r="AU5902" s="10"/>
      <c r="AV5902" s="10"/>
      <c r="AW5902" s="10"/>
      <c r="AX5902" s="10"/>
      <c r="AY5902" s="10"/>
      <c r="AZ5902" s="10"/>
    </row>
    <row r="5903" spans="31:52">
      <c r="AE5903" s="10"/>
      <c r="AF5903" s="10"/>
      <c r="AG5903" s="10"/>
      <c r="AH5903" s="10"/>
      <c r="AI5903" s="10"/>
      <c r="AJ5903" s="10"/>
      <c r="AK5903" s="10"/>
      <c r="AL5903" s="10"/>
      <c r="AM5903" s="10"/>
      <c r="AN5903" s="10"/>
      <c r="AO5903" s="10"/>
      <c r="AP5903" s="10"/>
      <c r="AQ5903" s="10"/>
      <c r="AR5903" s="10"/>
      <c r="AS5903" s="10"/>
      <c r="AT5903" s="10"/>
      <c r="AU5903" s="10"/>
      <c r="AV5903" s="10"/>
      <c r="AW5903" s="10"/>
      <c r="AX5903" s="10"/>
      <c r="AY5903" s="10"/>
      <c r="AZ5903" s="10"/>
    </row>
    <row r="5904" spans="31:52">
      <c r="AE5904" s="10"/>
      <c r="AF5904" s="10"/>
      <c r="AG5904" s="10"/>
      <c r="AH5904" s="10"/>
      <c r="AI5904" s="10"/>
      <c r="AJ5904" s="10"/>
      <c r="AK5904" s="10"/>
      <c r="AL5904" s="10"/>
      <c r="AM5904" s="10"/>
      <c r="AN5904" s="10"/>
      <c r="AO5904" s="10"/>
      <c r="AP5904" s="10"/>
      <c r="AQ5904" s="10"/>
      <c r="AR5904" s="10"/>
      <c r="AS5904" s="10"/>
      <c r="AT5904" s="10"/>
      <c r="AU5904" s="10"/>
      <c r="AV5904" s="10"/>
      <c r="AW5904" s="10"/>
      <c r="AX5904" s="10"/>
      <c r="AY5904" s="10"/>
      <c r="AZ5904" s="10"/>
    </row>
    <row r="5905" spans="31:52">
      <c r="AE5905" s="10"/>
      <c r="AF5905" s="10"/>
      <c r="AG5905" s="10"/>
      <c r="AH5905" s="10"/>
      <c r="AI5905" s="10"/>
      <c r="AJ5905" s="10"/>
      <c r="AK5905" s="10"/>
      <c r="AL5905" s="10"/>
      <c r="AM5905" s="10"/>
      <c r="AN5905" s="10"/>
      <c r="AO5905" s="10"/>
      <c r="AP5905" s="10"/>
      <c r="AQ5905" s="10"/>
      <c r="AR5905" s="10"/>
      <c r="AS5905" s="10"/>
      <c r="AT5905" s="10"/>
      <c r="AU5905" s="10"/>
      <c r="AV5905" s="10"/>
      <c r="AW5905" s="10"/>
      <c r="AX5905" s="10"/>
      <c r="AY5905" s="10"/>
      <c r="AZ5905" s="10"/>
    </row>
    <row r="5906" spans="31:52">
      <c r="AE5906" s="10"/>
      <c r="AF5906" s="10"/>
      <c r="AG5906" s="10"/>
      <c r="AH5906" s="10"/>
      <c r="AI5906" s="10"/>
      <c r="AJ5906" s="10"/>
      <c r="AK5906" s="10"/>
      <c r="AL5906" s="10"/>
      <c r="AM5906" s="10"/>
      <c r="AN5906" s="10"/>
      <c r="AO5906" s="10"/>
      <c r="AP5906" s="10"/>
      <c r="AQ5906" s="10"/>
      <c r="AR5906" s="10"/>
      <c r="AS5906" s="10"/>
      <c r="AT5906" s="10"/>
      <c r="AU5906" s="10"/>
      <c r="AV5906" s="10"/>
      <c r="AW5906" s="10"/>
      <c r="AX5906" s="10"/>
      <c r="AY5906" s="10"/>
      <c r="AZ5906" s="10"/>
    </row>
    <row r="5907" spans="31:52">
      <c r="AE5907" s="10"/>
      <c r="AF5907" s="10"/>
      <c r="AG5907" s="10"/>
      <c r="AH5907" s="10"/>
      <c r="AI5907" s="10"/>
      <c r="AJ5907" s="10"/>
      <c r="AK5907" s="10"/>
      <c r="AL5907" s="10"/>
      <c r="AM5907" s="10"/>
      <c r="AN5907" s="10"/>
      <c r="AO5907" s="10"/>
      <c r="AP5907" s="10"/>
      <c r="AQ5907" s="10"/>
      <c r="AR5907" s="10"/>
      <c r="AS5907" s="10"/>
      <c r="AT5907" s="10"/>
      <c r="AU5907" s="10"/>
      <c r="AV5907" s="10"/>
      <c r="AW5907" s="10"/>
      <c r="AX5907" s="10"/>
      <c r="AY5907" s="10"/>
      <c r="AZ5907" s="10"/>
    </row>
    <row r="5908" spans="31:52">
      <c r="AE5908" s="10"/>
      <c r="AF5908" s="10"/>
      <c r="AG5908" s="10"/>
      <c r="AH5908" s="10"/>
      <c r="AI5908" s="10"/>
      <c r="AJ5908" s="10"/>
      <c r="AK5908" s="10"/>
      <c r="AL5908" s="10"/>
      <c r="AM5908" s="10"/>
      <c r="AN5908" s="10"/>
      <c r="AO5908" s="10"/>
      <c r="AP5908" s="10"/>
      <c r="AQ5908" s="10"/>
      <c r="AR5908" s="10"/>
      <c r="AS5908" s="10"/>
      <c r="AT5908" s="10"/>
      <c r="AU5908" s="10"/>
      <c r="AV5908" s="10"/>
      <c r="AW5908" s="10"/>
      <c r="AX5908" s="10"/>
      <c r="AY5908" s="10"/>
      <c r="AZ5908" s="10"/>
    </row>
    <row r="5909" spans="31:52">
      <c r="AE5909" s="10"/>
      <c r="AF5909" s="10"/>
      <c r="AG5909" s="10"/>
      <c r="AH5909" s="10"/>
      <c r="AI5909" s="10"/>
      <c r="AJ5909" s="10"/>
      <c r="AK5909" s="10"/>
      <c r="AL5909" s="10"/>
      <c r="AM5909" s="10"/>
      <c r="AN5909" s="10"/>
      <c r="AO5909" s="10"/>
      <c r="AP5909" s="10"/>
      <c r="AQ5909" s="10"/>
      <c r="AR5909" s="10"/>
      <c r="AS5909" s="10"/>
      <c r="AT5909" s="10"/>
      <c r="AU5909" s="10"/>
      <c r="AV5909" s="10"/>
      <c r="AW5909" s="10"/>
      <c r="AX5909" s="10"/>
      <c r="AY5909" s="10"/>
      <c r="AZ5909" s="10"/>
    </row>
    <row r="5910" spans="31:52">
      <c r="AE5910" s="10"/>
      <c r="AF5910" s="10"/>
      <c r="AG5910" s="10"/>
      <c r="AH5910" s="10"/>
      <c r="AI5910" s="10"/>
      <c r="AJ5910" s="10"/>
      <c r="AK5910" s="10"/>
      <c r="AL5910" s="10"/>
      <c r="AM5910" s="10"/>
      <c r="AN5910" s="10"/>
      <c r="AO5910" s="10"/>
      <c r="AP5910" s="10"/>
      <c r="AQ5910" s="10"/>
      <c r="AR5910" s="10"/>
      <c r="AS5910" s="10"/>
      <c r="AT5910" s="10"/>
      <c r="AU5910" s="10"/>
      <c r="AV5910" s="10"/>
      <c r="AW5910" s="10"/>
      <c r="AX5910" s="10"/>
      <c r="AY5910" s="10"/>
      <c r="AZ5910" s="10"/>
    </row>
    <row r="5911" spans="31:52">
      <c r="AE5911" s="10"/>
      <c r="AF5911" s="10"/>
      <c r="AG5911" s="10"/>
      <c r="AH5911" s="10"/>
      <c r="AI5911" s="10"/>
      <c r="AJ5911" s="10"/>
      <c r="AK5911" s="10"/>
      <c r="AL5911" s="10"/>
      <c r="AM5911" s="10"/>
      <c r="AN5911" s="10"/>
      <c r="AO5911" s="10"/>
      <c r="AP5911" s="10"/>
      <c r="AQ5911" s="10"/>
      <c r="AR5911" s="10"/>
      <c r="AS5911" s="10"/>
      <c r="AT5911" s="10"/>
      <c r="AU5911" s="10"/>
      <c r="AV5911" s="10"/>
      <c r="AW5911" s="10"/>
      <c r="AX5911" s="10"/>
      <c r="AY5911" s="10"/>
      <c r="AZ5911" s="10"/>
    </row>
    <row r="5912" spans="31:52">
      <c r="AE5912" s="10"/>
      <c r="AF5912" s="10"/>
      <c r="AG5912" s="10"/>
      <c r="AH5912" s="10"/>
      <c r="AI5912" s="10"/>
      <c r="AJ5912" s="10"/>
      <c r="AK5912" s="10"/>
      <c r="AL5912" s="10"/>
      <c r="AM5912" s="10"/>
      <c r="AN5912" s="10"/>
      <c r="AO5912" s="10"/>
      <c r="AP5912" s="10"/>
      <c r="AQ5912" s="10"/>
      <c r="AR5912" s="10"/>
      <c r="AS5912" s="10"/>
      <c r="AT5912" s="10"/>
      <c r="AU5912" s="10"/>
      <c r="AV5912" s="10"/>
      <c r="AW5912" s="10"/>
      <c r="AX5912" s="10"/>
      <c r="AY5912" s="10"/>
      <c r="AZ5912" s="10"/>
    </row>
    <row r="5913" spans="31:52">
      <c r="AE5913" s="10"/>
      <c r="AF5913" s="10"/>
      <c r="AG5913" s="10"/>
      <c r="AH5913" s="10"/>
      <c r="AI5913" s="10"/>
      <c r="AJ5913" s="10"/>
      <c r="AK5913" s="10"/>
      <c r="AL5913" s="10"/>
      <c r="AM5913" s="10"/>
      <c r="AN5913" s="10"/>
      <c r="AO5913" s="10"/>
      <c r="AP5913" s="10"/>
      <c r="AQ5913" s="10"/>
      <c r="AR5913" s="10"/>
      <c r="AS5913" s="10"/>
      <c r="AT5913" s="10"/>
      <c r="AU5913" s="10"/>
      <c r="AV5913" s="10"/>
      <c r="AW5913" s="10"/>
      <c r="AX5913" s="10"/>
      <c r="AY5913" s="10"/>
      <c r="AZ5913" s="10"/>
    </row>
    <row r="5914" spans="31:52">
      <c r="AE5914" s="10"/>
      <c r="AF5914" s="10"/>
      <c r="AG5914" s="10"/>
      <c r="AH5914" s="10"/>
      <c r="AI5914" s="10"/>
      <c r="AJ5914" s="10"/>
      <c r="AK5914" s="10"/>
      <c r="AL5914" s="10"/>
      <c r="AM5914" s="10"/>
      <c r="AN5914" s="10"/>
      <c r="AO5914" s="10"/>
      <c r="AP5914" s="10"/>
      <c r="AQ5914" s="10"/>
      <c r="AR5914" s="10"/>
      <c r="AS5914" s="10"/>
      <c r="AT5914" s="10"/>
      <c r="AU5914" s="10"/>
      <c r="AV5914" s="10"/>
      <c r="AW5914" s="10"/>
      <c r="AX5914" s="10"/>
      <c r="AY5914" s="10"/>
      <c r="AZ5914" s="10"/>
    </row>
    <row r="5915" spans="31:52">
      <c r="AE5915" s="10"/>
      <c r="AF5915" s="10"/>
      <c r="AG5915" s="10"/>
      <c r="AH5915" s="10"/>
      <c r="AI5915" s="10"/>
      <c r="AJ5915" s="10"/>
      <c r="AK5915" s="10"/>
      <c r="AL5915" s="10"/>
      <c r="AM5915" s="10"/>
      <c r="AN5915" s="10"/>
      <c r="AO5915" s="10"/>
      <c r="AP5915" s="10"/>
      <c r="AQ5915" s="10"/>
      <c r="AR5915" s="10"/>
      <c r="AS5915" s="10"/>
      <c r="AT5915" s="10"/>
      <c r="AU5915" s="10"/>
      <c r="AV5915" s="10"/>
      <c r="AW5915" s="10"/>
      <c r="AX5915" s="10"/>
      <c r="AY5915" s="10"/>
      <c r="AZ5915" s="10"/>
    </row>
    <row r="5916" spans="31:52">
      <c r="AE5916" s="10"/>
      <c r="AF5916" s="10"/>
      <c r="AG5916" s="10"/>
      <c r="AH5916" s="10"/>
      <c r="AI5916" s="10"/>
      <c r="AJ5916" s="10"/>
      <c r="AK5916" s="10"/>
      <c r="AL5916" s="10"/>
      <c r="AM5916" s="10"/>
      <c r="AN5916" s="10"/>
      <c r="AO5916" s="10"/>
      <c r="AP5916" s="10"/>
      <c r="AQ5916" s="10"/>
      <c r="AR5916" s="10"/>
      <c r="AS5916" s="10"/>
      <c r="AT5916" s="10"/>
      <c r="AU5916" s="10"/>
      <c r="AV5916" s="10"/>
      <c r="AW5916" s="10"/>
      <c r="AX5916" s="10"/>
      <c r="AY5916" s="10"/>
      <c r="AZ5916" s="10"/>
    </row>
    <row r="5917" spans="31:52">
      <c r="AE5917" s="10"/>
      <c r="AF5917" s="10"/>
      <c r="AG5917" s="10"/>
      <c r="AH5917" s="10"/>
      <c r="AI5917" s="10"/>
      <c r="AJ5917" s="10"/>
      <c r="AK5917" s="10"/>
      <c r="AL5917" s="10"/>
      <c r="AM5917" s="10"/>
      <c r="AN5917" s="10"/>
      <c r="AO5917" s="10"/>
      <c r="AP5917" s="10"/>
      <c r="AQ5917" s="10"/>
      <c r="AR5917" s="10"/>
      <c r="AS5917" s="10"/>
      <c r="AT5917" s="10"/>
      <c r="AU5917" s="10"/>
      <c r="AV5917" s="10"/>
      <c r="AW5917" s="10"/>
      <c r="AX5917" s="10"/>
      <c r="AY5917" s="10"/>
      <c r="AZ5917" s="10"/>
    </row>
    <row r="5918" spans="31:52">
      <c r="AE5918" s="10"/>
      <c r="AF5918" s="10"/>
      <c r="AG5918" s="10"/>
      <c r="AH5918" s="10"/>
      <c r="AI5918" s="10"/>
      <c r="AJ5918" s="10"/>
      <c r="AK5918" s="10"/>
      <c r="AL5918" s="10"/>
      <c r="AM5918" s="10"/>
      <c r="AN5918" s="10"/>
      <c r="AO5918" s="10"/>
      <c r="AP5918" s="10"/>
      <c r="AQ5918" s="10"/>
      <c r="AR5918" s="10"/>
      <c r="AS5918" s="10"/>
      <c r="AT5918" s="10"/>
      <c r="AU5918" s="10"/>
      <c r="AV5918" s="10"/>
      <c r="AW5918" s="10"/>
      <c r="AX5918" s="10"/>
      <c r="AY5918" s="10"/>
      <c r="AZ5918" s="10"/>
    </row>
    <row r="5919" spans="31:52">
      <c r="AE5919" s="10"/>
      <c r="AF5919" s="10"/>
      <c r="AG5919" s="10"/>
      <c r="AH5919" s="10"/>
      <c r="AI5919" s="10"/>
      <c r="AJ5919" s="10"/>
      <c r="AK5919" s="10"/>
      <c r="AL5919" s="10"/>
      <c r="AM5919" s="10"/>
      <c r="AN5919" s="10"/>
      <c r="AO5919" s="10"/>
      <c r="AP5919" s="10"/>
      <c r="AQ5919" s="10"/>
      <c r="AR5919" s="10"/>
      <c r="AS5919" s="10"/>
      <c r="AT5919" s="10"/>
      <c r="AU5919" s="10"/>
      <c r="AV5919" s="10"/>
      <c r="AW5919" s="10"/>
      <c r="AX5919" s="10"/>
      <c r="AY5919" s="10"/>
      <c r="AZ5919" s="10"/>
    </row>
    <row r="5920" spans="31:52">
      <c r="AE5920" s="10"/>
      <c r="AF5920" s="10"/>
      <c r="AG5920" s="10"/>
      <c r="AH5920" s="10"/>
      <c r="AI5920" s="10"/>
      <c r="AJ5920" s="10"/>
      <c r="AK5920" s="10"/>
      <c r="AL5920" s="10"/>
      <c r="AM5920" s="10"/>
      <c r="AN5920" s="10"/>
      <c r="AO5920" s="10"/>
      <c r="AP5920" s="10"/>
      <c r="AQ5920" s="10"/>
      <c r="AR5920" s="10"/>
      <c r="AS5920" s="10"/>
      <c r="AT5920" s="10"/>
      <c r="AU5920" s="10"/>
      <c r="AV5920" s="10"/>
      <c r="AW5920" s="10"/>
      <c r="AX5920" s="10"/>
      <c r="AY5920" s="10"/>
      <c r="AZ5920" s="10"/>
    </row>
    <row r="5921" spans="31:52">
      <c r="AE5921" s="10"/>
      <c r="AF5921" s="10"/>
      <c r="AG5921" s="10"/>
      <c r="AH5921" s="10"/>
      <c r="AI5921" s="10"/>
      <c r="AJ5921" s="10"/>
      <c r="AK5921" s="10"/>
      <c r="AL5921" s="10"/>
      <c r="AM5921" s="10"/>
      <c r="AN5921" s="10"/>
      <c r="AO5921" s="10"/>
      <c r="AP5921" s="10"/>
      <c r="AQ5921" s="10"/>
      <c r="AR5921" s="10"/>
      <c r="AS5921" s="10"/>
      <c r="AT5921" s="10"/>
      <c r="AU5921" s="10"/>
      <c r="AV5921" s="10"/>
      <c r="AW5921" s="10"/>
      <c r="AX5921" s="10"/>
      <c r="AY5921" s="10"/>
      <c r="AZ5921" s="10"/>
    </row>
    <row r="5922" spans="31:52">
      <c r="AE5922" s="10"/>
      <c r="AF5922" s="10"/>
      <c r="AG5922" s="10"/>
      <c r="AH5922" s="10"/>
      <c r="AI5922" s="10"/>
      <c r="AJ5922" s="10"/>
      <c r="AK5922" s="10"/>
      <c r="AL5922" s="10"/>
      <c r="AM5922" s="10"/>
      <c r="AN5922" s="10"/>
      <c r="AO5922" s="10"/>
      <c r="AP5922" s="10"/>
      <c r="AQ5922" s="10"/>
      <c r="AR5922" s="10"/>
      <c r="AS5922" s="10"/>
      <c r="AT5922" s="10"/>
      <c r="AU5922" s="10"/>
      <c r="AV5922" s="10"/>
      <c r="AW5922" s="10"/>
      <c r="AX5922" s="10"/>
      <c r="AY5922" s="10"/>
      <c r="AZ5922" s="10"/>
    </row>
    <row r="5923" spans="31:52">
      <c r="AE5923" s="10"/>
      <c r="AF5923" s="10"/>
      <c r="AG5923" s="10"/>
      <c r="AH5923" s="10"/>
      <c r="AI5923" s="10"/>
      <c r="AJ5923" s="10"/>
      <c r="AK5923" s="10"/>
      <c r="AL5923" s="10"/>
      <c r="AM5923" s="10"/>
      <c r="AN5923" s="10"/>
      <c r="AO5923" s="10"/>
      <c r="AP5923" s="10"/>
      <c r="AQ5923" s="10"/>
      <c r="AR5923" s="10"/>
      <c r="AS5923" s="10"/>
      <c r="AT5923" s="10"/>
      <c r="AU5923" s="10"/>
      <c r="AV5923" s="10"/>
      <c r="AW5923" s="10"/>
      <c r="AX5923" s="10"/>
      <c r="AY5923" s="10"/>
      <c r="AZ5923" s="10"/>
    </row>
    <row r="5924" spans="31:52">
      <c r="AE5924" s="10"/>
      <c r="AF5924" s="10"/>
      <c r="AG5924" s="10"/>
      <c r="AH5924" s="10"/>
      <c r="AI5924" s="10"/>
      <c r="AJ5924" s="10"/>
      <c r="AK5924" s="10"/>
      <c r="AL5924" s="10"/>
      <c r="AM5924" s="10"/>
      <c r="AN5924" s="10"/>
      <c r="AO5924" s="10"/>
      <c r="AP5924" s="10"/>
      <c r="AQ5924" s="10"/>
      <c r="AR5924" s="10"/>
      <c r="AS5924" s="10"/>
      <c r="AT5924" s="10"/>
      <c r="AU5924" s="10"/>
      <c r="AV5924" s="10"/>
      <c r="AW5924" s="10"/>
      <c r="AX5924" s="10"/>
      <c r="AY5924" s="10"/>
      <c r="AZ5924" s="10"/>
    </row>
    <row r="5925" spans="31:52">
      <c r="AE5925" s="10"/>
      <c r="AF5925" s="10"/>
      <c r="AG5925" s="10"/>
      <c r="AH5925" s="10"/>
      <c r="AI5925" s="10"/>
      <c r="AJ5925" s="10"/>
      <c r="AK5925" s="10"/>
      <c r="AL5925" s="10"/>
      <c r="AM5925" s="10"/>
      <c r="AN5925" s="10"/>
      <c r="AO5925" s="10"/>
      <c r="AP5925" s="10"/>
      <c r="AQ5925" s="10"/>
      <c r="AR5925" s="10"/>
      <c r="AS5925" s="10"/>
      <c r="AT5925" s="10"/>
      <c r="AU5925" s="10"/>
      <c r="AV5925" s="10"/>
      <c r="AW5925" s="10"/>
      <c r="AX5925" s="10"/>
      <c r="AY5925" s="10"/>
      <c r="AZ5925" s="10"/>
    </row>
    <row r="5926" spans="31:52">
      <c r="AE5926" s="10"/>
      <c r="AF5926" s="10"/>
      <c r="AG5926" s="10"/>
      <c r="AH5926" s="10"/>
      <c r="AI5926" s="10"/>
      <c r="AJ5926" s="10"/>
      <c r="AK5926" s="10"/>
      <c r="AL5926" s="10"/>
      <c r="AM5926" s="10"/>
      <c r="AN5926" s="10"/>
      <c r="AO5926" s="10"/>
      <c r="AP5926" s="10"/>
      <c r="AQ5926" s="10"/>
      <c r="AR5926" s="10"/>
      <c r="AS5926" s="10"/>
      <c r="AT5926" s="10"/>
      <c r="AU5926" s="10"/>
      <c r="AV5926" s="10"/>
      <c r="AW5926" s="10"/>
      <c r="AX5926" s="10"/>
      <c r="AY5926" s="10"/>
      <c r="AZ5926" s="10"/>
    </row>
    <row r="5927" spans="31:52">
      <c r="AE5927" s="10"/>
      <c r="AF5927" s="10"/>
      <c r="AG5927" s="10"/>
      <c r="AH5927" s="10"/>
      <c r="AI5927" s="10"/>
      <c r="AJ5927" s="10"/>
      <c r="AK5927" s="10"/>
      <c r="AL5927" s="10"/>
      <c r="AM5927" s="10"/>
      <c r="AN5927" s="10"/>
      <c r="AO5927" s="10"/>
      <c r="AP5927" s="10"/>
      <c r="AQ5927" s="10"/>
      <c r="AR5927" s="10"/>
      <c r="AS5927" s="10"/>
      <c r="AT5927" s="10"/>
      <c r="AU5927" s="10"/>
      <c r="AV5927" s="10"/>
      <c r="AW5927" s="10"/>
      <c r="AX5927" s="10"/>
      <c r="AY5927" s="10"/>
      <c r="AZ5927" s="10"/>
    </row>
    <row r="5928" spans="31:52">
      <c r="AE5928" s="10"/>
      <c r="AF5928" s="10"/>
      <c r="AG5928" s="10"/>
      <c r="AH5928" s="10"/>
      <c r="AI5928" s="10"/>
      <c r="AJ5928" s="10"/>
      <c r="AK5928" s="10"/>
      <c r="AL5928" s="10"/>
      <c r="AM5928" s="10"/>
      <c r="AN5928" s="10"/>
      <c r="AO5928" s="10"/>
      <c r="AP5928" s="10"/>
      <c r="AQ5928" s="10"/>
      <c r="AR5928" s="10"/>
      <c r="AS5928" s="10"/>
      <c r="AT5928" s="10"/>
      <c r="AU5928" s="10"/>
      <c r="AV5928" s="10"/>
      <c r="AW5928" s="10"/>
      <c r="AX5928" s="10"/>
      <c r="AY5928" s="10"/>
      <c r="AZ5928" s="10"/>
    </row>
    <row r="5929" spans="31:52">
      <c r="AE5929" s="10"/>
      <c r="AF5929" s="10"/>
      <c r="AG5929" s="10"/>
      <c r="AH5929" s="10"/>
      <c r="AI5929" s="10"/>
      <c r="AJ5929" s="10"/>
      <c r="AK5929" s="10"/>
      <c r="AL5929" s="10"/>
      <c r="AM5929" s="10"/>
      <c r="AN5929" s="10"/>
      <c r="AO5929" s="10"/>
      <c r="AP5929" s="10"/>
      <c r="AQ5929" s="10"/>
      <c r="AR5929" s="10"/>
      <c r="AS5929" s="10"/>
      <c r="AT5929" s="10"/>
      <c r="AU5929" s="10"/>
      <c r="AV5929" s="10"/>
      <c r="AW5929" s="10"/>
      <c r="AX5929" s="10"/>
      <c r="AY5929" s="10"/>
      <c r="AZ5929" s="10"/>
    </row>
    <row r="5930" spans="31:52">
      <c r="AE5930" s="10"/>
      <c r="AF5930" s="10"/>
      <c r="AG5930" s="10"/>
      <c r="AH5930" s="10"/>
      <c r="AI5930" s="10"/>
      <c r="AJ5930" s="10"/>
      <c r="AK5930" s="10"/>
      <c r="AL5930" s="10"/>
      <c r="AM5930" s="10"/>
      <c r="AN5930" s="10"/>
      <c r="AO5930" s="10"/>
      <c r="AP5930" s="10"/>
      <c r="AQ5930" s="10"/>
      <c r="AR5930" s="10"/>
      <c r="AS5930" s="10"/>
      <c r="AT5930" s="10"/>
      <c r="AU5930" s="10"/>
      <c r="AV5930" s="10"/>
      <c r="AW5930" s="10"/>
      <c r="AX5930" s="10"/>
      <c r="AY5930" s="10"/>
      <c r="AZ5930" s="10"/>
    </row>
    <row r="5931" spans="31:52">
      <c r="AE5931" s="10"/>
      <c r="AF5931" s="10"/>
      <c r="AG5931" s="10"/>
      <c r="AH5931" s="10"/>
      <c r="AI5931" s="10"/>
      <c r="AJ5931" s="10"/>
      <c r="AK5931" s="10"/>
      <c r="AL5931" s="10"/>
      <c r="AM5931" s="10"/>
      <c r="AN5931" s="10"/>
      <c r="AO5931" s="10"/>
      <c r="AP5931" s="10"/>
      <c r="AQ5931" s="10"/>
      <c r="AR5931" s="10"/>
      <c r="AS5931" s="10"/>
      <c r="AT5931" s="10"/>
      <c r="AU5931" s="10"/>
      <c r="AV5931" s="10"/>
      <c r="AW5931" s="10"/>
      <c r="AX5931" s="10"/>
      <c r="AY5931" s="10"/>
      <c r="AZ5931" s="10"/>
    </row>
    <row r="5932" spans="31:52">
      <c r="AE5932" s="10"/>
      <c r="AF5932" s="10"/>
      <c r="AG5932" s="10"/>
      <c r="AH5932" s="10"/>
      <c r="AI5932" s="10"/>
      <c r="AJ5932" s="10"/>
      <c r="AK5932" s="10"/>
      <c r="AL5932" s="10"/>
      <c r="AM5932" s="10"/>
      <c r="AN5932" s="10"/>
      <c r="AO5932" s="10"/>
      <c r="AP5932" s="10"/>
      <c r="AQ5932" s="10"/>
      <c r="AR5932" s="10"/>
      <c r="AS5932" s="10"/>
      <c r="AT5932" s="10"/>
      <c r="AU5932" s="10"/>
      <c r="AV5932" s="10"/>
      <c r="AW5932" s="10"/>
      <c r="AX5932" s="10"/>
      <c r="AY5932" s="10"/>
      <c r="AZ5932" s="10"/>
    </row>
    <row r="5933" spans="31:52">
      <c r="AE5933" s="10"/>
      <c r="AF5933" s="10"/>
      <c r="AG5933" s="10"/>
      <c r="AH5933" s="10"/>
      <c r="AI5933" s="10"/>
      <c r="AJ5933" s="10"/>
      <c r="AK5933" s="10"/>
      <c r="AL5933" s="10"/>
      <c r="AM5933" s="10"/>
      <c r="AN5933" s="10"/>
      <c r="AO5933" s="10"/>
      <c r="AP5933" s="10"/>
      <c r="AQ5933" s="10"/>
      <c r="AR5933" s="10"/>
      <c r="AS5933" s="10"/>
      <c r="AT5933" s="10"/>
      <c r="AU5933" s="10"/>
      <c r="AV5933" s="10"/>
      <c r="AW5933" s="10"/>
      <c r="AX5933" s="10"/>
      <c r="AY5933" s="10"/>
      <c r="AZ5933" s="10"/>
    </row>
    <row r="5934" spans="31:52">
      <c r="AE5934" s="10"/>
      <c r="AF5934" s="10"/>
      <c r="AG5934" s="10"/>
      <c r="AH5934" s="10"/>
      <c r="AI5934" s="10"/>
      <c r="AJ5934" s="10"/>
      <c r="AK5934" s="10"/>
      <c r="AL5934" s="10"/>
      <c r="AM5934" s="10"/>
      <c r="AN5934" s="10"/>
      <c r="AO5934" s="10"/>
      <c r="AP5934" s="10"/>
      <c r="AQ5934" s="10"/>
      <c r="AR5934" s="10"/>
      <c r="AS5934" s="10"/>
      <c r="AT5934" s="10"/>
      <c r="AU5934" s="10"/>
      <c r="AV5934" s="10"/>
      <c r="AW5934" s="10"/>
      <c r="AX5934" s="10"/>
      <c r="AY5934" s="10"/>
      <c r="AZ5934" s="10"/>
    </row>
    <row r="5935" spans="31:52">
      <c r="AE5935" s="10"/>
      <c r="AF5935" s="10"/>
      <c r="AG5935" s="10"/>
      <c r="AH5935" s="10"/>
      <c r="AI5935" s="10"/>
      <c r="AJ5935" s="10"/>
      <c r="AK5935" s="10"/>
      <c r="AL5935" s="10"/>
      <c r="AM5935" s="10"/>
      <c r="AN5935" s="10"/>
      <c r="AO5935" s="10"/>
      <c r="AP5935" s="10"/>
      <c r="AQ5935" s="10"/>
      <c r="AR5935" s="10"/>
      <c r="AS5935" s="10"/>
      <c r="AT5935" s="10"/>
      <c r="AU5935" s="10"/>
      <c r="AV5935" s="10"/>
      <c r="AW5935" s="10"/>
      <c r="AX5935" s="10"/>
      <c r="AY5935" s="10"/>
      <c r="AZ5935" s="10"/>
    </row>
    <row r="5936" spans="31:52">
      <c r="AE5936" s="10"/>
      <c r="AF5936" s="10"/>
      <c r="AG5936" s="10"/>
      <c r="AH5936" s="10"/>
      <c r="AI5936" s="10"/>
      <c r="AJ5936" s="10"/>
      <c r="AK5936" s="10"/>
      <c r="AL5936" s="10"/>
      <c r="AM5936" s="10"/>
      <c r="AN5936" s="10"/>
      <c r="AO5936" s="10"/>
      <c r="AP5936" s="10"/>
      <c r="AQ5936" s="10"/>
      <c r="AR5936" s="10"/>
      <c r="AS5936" s="10"/>
      <c r="AT5936" s="10"/>
      <c r="AU5936" s="10"/>
      <c r="AV5936" s="10"/>
      <c r="AW5936" s="10"/>
      <c r="AX5936" s="10"/>
      <c r="AY5936" s="10"/>
      <c r="AZ5936" s="10"/>
    </row>
    <row r="5937" spans="31:52">
      <c r="AE5937" s="10"/>
      <c r="AF5937" s="10"/>
      <c r="AG5937" s="10"/>
      <c r="AH5937" s="10"/>
      <c r="AI5937" s="10"/>
      <c r="AJ5937" s="10"/>
      <c r="AK5937" s="10"/>
      <c r="AL5937" s="10"/>
      <c r="AM5937" s="10"/>
      <c r="AN5937" s="10"/>
      <c r="AO5937" s="10"/>
      <c r="AP5937" s="10"/>
      <c r="AQ5937" s="10"/>
      <c r="AR5937" s="10"/>
      <c r="AS5937" s="10"/>
      <c r="AT5937" s="10"/>
      <c r="AU5937" s="10"/>
      <c r="AV5937" s="10"/>
      <c r="AW5937" s="10"/>
      <c r="AX5937" s="10"/>
      <c r="AY5937" s="10"/>
      <c r="AZ5937" s="10"/>
    </row>
    <row r="5938" spans="31:52">
      <c r="AE5938" s="10"/>
      <c r="AF5938" s="10"/>
      <c r="AG5938" s="10"/>
      <c r="AH5938" s="10"/>
      <c r="AI5938" s="10"/>
      <c r="AJ5938" s="10"/>
      <c r="AK5938" s="10"/>
      <c r="AL5938" s="10"/>
      <c r="AM5938" s="10"/>
      <c r="AN5938" s="10"/>
      <c r="AO5938" s="10"/>
      <c r="AP5938" s="10"/>
      <c r="AQ5938" s="10"/>
      <c r="AR5938" s="10"/>
      <c r="AS5938" s="10"/>
      <c r="AT5938" s="10"/>
      <c r="AU5938" s="10"/>
      <c r="AV5938" s="10"/>
      <c r="AW5938" s="10"/>
      <c r="AX5938" s="10"/>
      <c r="AY5938" s="10"/>
      <c r="AZ5938" s="10"/>
    </row>
    <row r="5939" spans="31:52">
      <c r="AE5939" s="10"/>
      <c r="AF5939" s="10"/>
      <c r="AG5939" s="10"/>
      <c r="AH5939" s="10"/>
      <c r="AI5939" s="10"/>
      <c r="AJ5939" s="10"/>
      <c r="AK5939" s="10"/>
      <c r="AL5939" s="10"/>
      <c r="AM5939" s="10"/>
      <c r="AN5939" s="10"/>
      <c r="AO5939" s="10"/>
      <c r="AP5939" s="10"/>
      <c r="AQ5939" s="10"/>
      <c r="AR5939" s="10"/>
      <c r="AS5939" s="10"/>
      <c r="AT5939" s="10"/>
      <c r="AU5939" s="10"/>
      <c r="AV5939" s="10"/>
      <c r="AW5939" s="10"/>
      <c r="AX5939" s="10"/>
      <c r="AY5939" s="10"/>
      <c r="AZ5939" s="10"/>
    </row>
    <row r="5940" spans="31:52">
      <c r="AE5940" s="10"/>
      <c r="AF5940" s="10"/>
      <c r="AG5940" s="10"/>
      <c r="AH5940" s="10"/>
      <c r="AI5940" s="10"/>
      <c r="AJ5940" s="10"/>
      <c r="AK5940" s="10"/>
      <c r="AL5940" s="10"/>
      <c r="AM5940" s="10"/>
      <c r="AN5940" s="10"/>
      <c r="AO5940" s="10"/>
      <c r="AP5940" s="10"/>
      <c r="AQ5940" s="10"/>
      <c r="AR5940" s="10"/>
      <c r="AS5940" s="10"/>
      <c r="AT5940" s="10"/>
      <c r="AU5940" s="10"/>
      <c r="AV5940" s="10"/>
      <c r="AW5940" s="10"/>
      <c r="AX5940" s="10"/>
      <c r="AY5940" s="10"/>
      <c r="AZ5940" s="10"/>
    </row>
    <row r="5941" spans="31:52">
      <c r="AE5941" s="10"/>
      <c r="AF5941" s="10"/>
      <c r="AG5941" s="10"/>
      <c r="AH5941" s="10"/>
      <c r="AI5941" s="10"/>
      <c r="AJ5941" s="10"/>
      <c r="AK5941" s="10"/>
      <c r="AL5941" s="10"/>
      <c r="AM5941" s="10"/>
      <c r="AN5941" s="10"/>
      <c r="AO5941" s="10"/>
      <c r="AP5941" s="10"/>
      <c r="AQ5941" s="10"/>
      <c r="AR5941" s="10"/>
      <c r="AS5941" s="10"/>
      <c r="AT5941" s="10"/>
      <c r="AU5941" s="10"/>
      <c r="AV5941" s="10"/>
      <c r="AW5941" s="10"/>
      <c r="AX5941" s="10"/>
      <c r="AY5941" s="10"/>
      <c r="AZ5941" s="10"/>
    </row>
    <row r="5942" spans="31:52">
      <c r="AE5942" s="10"/>
      <c r="AF5942" s="10"/>
      <c r="AG5942" s="10"/>
      <c r="AH5942" s="10"/>
      <c r="AI5942" s="10"/>
      <c r="AJ5942" s="10"/>
      <c r="AK5942" s="10"/>
      <c r="AL5942" s="10"/>
      <c r="AM5942" s="10"/>
      <c r="AN5942" s="10"/>
      <c r="AO5942" s="10"/>
      <c r="AP5942" s="10"/>
      <c r="AQ5942" s="10"/>
      <c r="AR5942" s="10"/>
      <c r="AS5942" s="10"/>
      <c r="AT5942" s="10"/>
      <c r="AU5942" s="10"/>
      <c r="AV5942" s="10"/>
      <c r="AW5942" s="10"/>
      <c r="AX5942" s="10"/>
      <c r="AY5942" s="10"/>
      <c r="AZ5942" s="10"/>
    </row>
    <row r="5943" spans="31:52">
      <c r="AE5943" s="10"/>
      <c r="AF5943" s="10"/>
      <c r="AG5943" s="10"/>
      <c r="AH5943" s="10"/>
      <c r="AI5943" s="10"/>
      <c r="AJ5943" s="10"/>
      <c r="AK5943" s="10"/>
      <c r="AL5943" s="10"/>
      <c r="AM5943" s="10"/>
      <c r="AN5943" s="10"/>
      <c r="AO5943" s="10"/>
      <c r="AP5943" s="10"/>
      <c r="AQ5943" s="10"/>
      <c r="AR5943" s="10"/>
      <c r="AS5943" s="10"/>
      <c r="AT5943" s="10"/>
      <c r="AU5943" s="10"/>
      <c r="AV5943" s="10"/>
      <c r="AW5943" s="10"/>
      <c r="AX5943" s="10"/>
      <c r="AY5943" s="10"/>
      <c r="AZ5943" s="10"/>
    </row>
    <row r="5944" spans="31:52">
      <c r="AE5944" s="10"/>
      <c r="AF5944" s="10"/>
      <c r="AG5944" s="10"/>
      <c r="AH5944" s="10"/>
      <c r="AI5944" s="10"/>
      <c r="AJ5944" s="10"/>
      <c r="AK5944" s="10"/>
      <c r="AL5944" s="10"/>
      <c r="AM5944" s="10"/>
      <c r="AN5944" s="10"/>
      <c r="AO5944" s="10"/>
      <c r="AP5944" s="10"/>
      <c r="AQ5944" s="10"/>
      <c r="AR5944" s="10"/>
      <c r="AS5944" s="10"/>
      <c r="AT5944" s="10"/>
      <c r="AU5944" s="10"/>
      <c r="AV5944" s="10"/>
      <c r="AW5944" s="10"/>
      <c r="AX5944" s="10"/>
      <c r="AY5944" s="10"/>
      <c r="AZ5944" s="10"/>
    </row>
    <row r="5945" spans="31:52">
      <c r="AE5945" s="10"/>
      <c r="AF5945" s="10"/>
      <c r="AG5945" s="10"/>
      <c r="AH5945" s="10"/>
      <c r="AI5945" s="10"/>
      <c r="AJ5945" s="10"/>
      <c r="AK5945" s="10"/>
      <c r="AL5945" s="10"/>
      <c r="AM5945" s="10"/>
      <c r="AN5945" s="10"/>
      <c r="AO5945" s="10"/>
      <c r="AP5945" s="10"/>
      <c r="AQ5945" s="10"/>
      <c r="AR5945" s="10"/>
      <c r="AS5945" s="10"/>
      <c r="AT5945" s="10"/>
      <c r="AU5945" s="10"/>
      <c r="AV5945" s="10"/>
      <c r="AW5945" s="10"/>
      <c r="AX5945" s="10"/>
      <c r="AY5945" s="10"/>
      <c r="AZ5945" s="10"/>
    </row>
    <row r="5946" spans="31:52">
      <c r="AE5946" s="10"/>
      <c r="AF5946" s="10"/>
      <c r="AG5946" s="10"/>
      <c r="AH5946" s="10"/>
      <c r="AI5946" s="10"/>
      <c r="AJ5946" s="10"/>
      <c r="AK5946" s="10"/>
      <c r="AL5946" s="10"/>
      <c r="AM5946" s="10"/>
      <c r="AN5946" s="10"/>
      <c r="AO5946" s="10"/>
      <c r="AP5946" s="10"/>
      <c r="AQ5946" s="10"/>
      <c r="AR5946" s="10"/>
      <c r="AS5946" s="10"/>
      <c r="AT5946" s="10"/>
      <c r="AU5946" s="10"/>
      <c r="AV5946" s="10"/>
      <c r="AW5946" s="10"/>
      <c r="AX5946" s="10"/>
      <c r="AY5946" s="10"/>
      <c r="AZ5946" s="10"/>
    </row>
    <row r="5947" spans="31:52">
      <c r="AE5947" s="10"/>
      <c r="AF5947" s="10"/>
      <c r="AG5947" s="10"/>
      <c r="AH5947" s="10"/>
      <c r="AI5947" s="10"/>
      <c r="AJ5947" s="10"/>
      <c r="AK5947" s="10"/>
      <c r="AL5947" s="10"/>
      <c r="AM5947" s="10"/>
      <c r="AN5947" s="10"/>
      <c r="AO5947" s="10"/>
      <c r="AP5947" s="10"/>
      <c r="AQ5947" s="10"/>
      <c r="AR5947" s="10"/>
      <c r="AS5947" s="10"/>
      <c r="AT5947" s="10"/>
      <c r="AU5947" s="10"/>
      <c r="AV5947" s="10"/>
      <c r="AW5947" s="10"/>
      <c r="AX5947" s="10"/>
      <c r="AY5947" s="10"/>
      <c r="AZ5947" s="10"/>
    </row>
    <row r="5948" spans="31:52">
      <c r="AE5948" s="10"/>
      <c r="AF5948" s="10"/>
      <c r="AG5948" s="10"/>
      <c r="AH5948" s="10"/>
      <c r="AI5948" s="10"/>
      <c r="AJ5948" s="10"/>
      <c r="AK5948" s="10"/>
      <c r="AL5948" s="10"/>
      <c r="AM5948" s="10"/>
      <c r="AN5948" s="10"/>
      <c r="AO5948" s="10"/>
      <c r="AP5948" s="10"/>
      <c r="AQ5948" s="10"/>
      <c r="AR5948" s="10"/>
      <c r="AS5948" s="10"/>
      <c r="AT5948" s="10"/>
      <c r="AU5948" s="10"/>
      <c r="AV5948" s="10"/>
      <c r="AW5948" s="10"/>
      <c r="AX5948" s="10"/>
      <c r="AY5948" s="10"/>
      <c r="AZ5948" s="10"/>
    </row>
    <row r="5949" spans="31:52">
      <c r="AE5949" s="10"/>
      <c r="AF5949" s="10"/>
      <c r="AG5949" s="10"/>
      <c r="AH5949" s="10"/>
      <c r="AI5949" s="10"/>
      <c r="AJ5949" s="10"/>
      <c r="AK5949" s="10"/>
      <c r="AL5949" s="10"/>
      <c r="AM5949" s="10"/>
      <c r="AN5949" s="10"/>
      <c r="AO5949" s="10"/>
      <c r="AP5949" s="10"/>
      <c r="AQ5949" s="10"/>
      <c r="AR5949" s="10"/>
      <c r="AS5949" s="10"/>
      <c r="AT5949" s="10"/>
      <c r="AU5949" s="10"/>
      <c r="AV5949" s="10"/>
      <c r="AW5949" s="10"/>
      <c r="AX5949" s="10"/>
      <c r="AY5949" s="10"/>
      <c r="AZ5949" s="10"/>
    </row>
    <row r="5950" spans="31:52">
      <c r="AE5950" s="10"/>
      <c r="AF5950" s="10"/>
      <c r="AG5950" s="10"/>
      <c r="AH5950" s="10"/>
      <c r="AI5950" s="10"/>
      <c r="AJ5950" s="10"/>
      <c r="AK5950" s="10"/>
      <c r="AL5950" s="10"/>
      <c r="AM5950" s="10"/>
      <c r="AN5950" s="10"/>
      <c r="AO5950" s="10"/>
      <c r="AP5950" s="10"/>
      <c r="AQ5950" s="10"/>
      <c r="AR5950" s="10"/>
      <c r="AS5950" s="10"/>
      <c r="AT5950" s="10"/>
      <c r="AU5950" s="10"/>
      <c r="AV5950" s="10"/>
      <c r="AW5950" s="10"/>
      <c r="AX5950" s="10"/>
      <c r="AY5950" s="10"/>
      <c r="AZ5950" s="10"/>
    </row>
    <row r="5951" spans="31:52">
      <c r="AE5951" s="10"/>
      <c r="AF5951" s="10"/>
      <c r="AG5951" s="10"/>
      <c r="AH5951" s="10"/>
      <c r="AI5951" s="10"/>
      <c r="AJ5951" s="10"/>
      <c r="AK5951" s="10"/>
      <c r="AL5951" s="10"/>
      <c r="AM5951" s="10"/>
      <c r="AN5951" s="10"/>
      <c r="AO5951" s="10"/>
      <c r="AP5951" s="10"/>
      <c r="AQ5951" s="10"/>
      <c r="AR5951" s="10"/>
      <c r="AS5951" s="10"/>
      <c r="AT5951" s="10"/>
      <c r="AU5951" s="10"/>
      <c r="AV5951" s="10"/>
      <c r="AW5951" s="10"/>
      <c r="AX5951" s="10"/>
      <c r="AY5951" s="10"/>
      <c r="AZ5951" s="10"/>
    </row>
    <row r="5952" spans="31:52">
      <c r="AE5952" s="10"/>
      <c r="AF5952" s="10"/>
      <c r="AG5952" s="10"/>
      <c r="AH5952" s="10"/>
      <c r="AI5952" s="10"/>
      <c r="AJ5952" s="10"/>
      <c r="AK5952" s="10"/>
      <c r="AL5952" s="10"/>
      <c r="AM5952" s="10"/>
      <c r="AN5952" s="10"/>
      <c r="AO5952" s="10"/>
      <c r="AP5952" s="10"/>
      <c r="AQ5952" s="10"/>
      <c r="AR5952" s="10"/>
      <c r="AS5952" s="10"/>
      <c r="AT5952" s="10"/>
      <c r="AU5952" s="10"/>
      <c r="AV5952" s="10"/>
      <c r="AW5952" s="10"/>
      <c r="AX5952" s="10"/>
      <c r="AY5952" s="10"/>
      <c r="AZ5952" s="10"/>
    </row>
    <row r="5953" spans="31:52">
      <c r="AE5953" s="10"/>
      <c r="AF5953" s="10"/>
      <c r="AG5953" s="10"/>
      <c r="AH5953" s="10"/>
      <c r="AI5953" s="10"/>
      <c r="AJ5953" s="10"/>
      <c r="AK5953" s="10"/>
      <c r="AL5953" s="10"/>
      <c r="AM5953" s="10"/>
      <c r="AN5953" s="10"/>
      <c r="AO5953" s="10"/>
      <c r="AP5953" s="10"/>
      <c r="AQ5953" s="10"/>
      <c r="AR5953" s="10"/>
      <c r="AS5953" s="10"/>
      <c r="AT5953" s="10"/>
      <c r="AU5953" s="10"/>
      <c r="AV5953" s="10"/>
      <c r="AW5953" s="10"/>
      <c r="AX5953" s="10"/>
      <c r="AY5953" s="10"/>
      <c r="AZ5953" s="10"/>
    </row>
    <row r="5954" spans="31:52">
      <c r="AE5954" s="10"/>
      <c r="AF5954" s="10"/>
      <c r="AG5954" s="10"/>
      <c r="AH5954" s="10"/>
      <c r="AI5954" s="10"/>
      <c r="AJ5954" s="10"/>
      <c r="AK5954" s="10"/>
      <c r="AL5954" s="10"/>
      <c r="AM5954" s="10"/>
      <c r="AN5954" s="10"/>
      <c r="AO5954" s="10"/>
      <c r="AP5954" s="10"/>
      <c r="AQ5954" s="10"/>
      <c r="AR5954" s="10"/>
      <c r="AS5954" s="10"/>
      <c r="AT5954" s="10"/>
      <c r="AU5954" s="10"/>
      <c r="AV5954" s="10"/>
      <c r="AW5954" s="10"/>
      <c r="AX5954" s="10"/>
      <c r="AY5954" s="10"/>
      <c r="AZ5954" s="10"/>
    </row>
    <row r="5955" spans="31:52">
      <c r="AE5955" s="10"/>
      <c r="AF5955" s="10"/>
      <c r="AG5955" s="10"/>
      <c r="AH5955" s="10"/>
      <c r="AI5955" s="10"/>
      <c r="AJ5955" s="10"/>
      <c r="AK5955" s="10"/>
      <c r="AL5955" s="10"/>
      <c r="AM5955" s="10"/>
      <c r="AN5955" s="10"/>
      <c r="AO5955" s="10"/>
      <c r="AP5955" s="10"/>
      <c r="AQ5955" s="10"/>
      <c r="AR5955" s="10"/>
      <c r="AS5955" s="10"/>
      <c r="AT5955" s="10"/>
      <c r="AU5955" s="10"/>
      <c r="AV5955" s="10"/>
      <c r="AW5955" s="10"/>
      <c r="AX5955" s="10"/>
      <c r="AY5955" s="10"/>
      <c r="AZ5955" s="10"/>
    </row>
    <row r="5956" spans="31:52">
      <c r="AE5956" s="10"/>
      <c r="AF5956" s="10"/>
      <c r="AG5956" s="10"/>
      <c r="AH5956" s="10"/>
      <c r="AI5956" s="10"/>
      <c r="AJ5956" s="10"/>
      <c r="AK5956" s="10"/>
      <c r="AL5956" s="10"/>
      <c r="AM5956" s="10"/>
      <c r="AN5956" s="10"/>
      <c r="AO5956" s="10"/>
      <c r="AP5956" s="10"/>
      <c r="AQ5956" s="10"/>
      <c r="AR5956" s="10"/>
      <c r="AS5956" s="10"/>
      <c r="AT5956" s="10"/>
      <c r="AU5956" s="10"/>
      <c r="AV5956" s="10"/>
      <c r="AW5956" s="10"/>
      <c r="AX5956" s="10"/>
      <c r="AY5956" s="10"/>
      <c r="AZ5956" s="10"/>
    </row>
    <row r="5957" spans="31:52">
      <c r="AE5957" s="10"/>
      <c r="AF5957" s="10"/>
      <c r="AG5957" s="10"/>
      <c r="AH5957" s="10"/>
      <c r="AI5957" s="10"/>
      <c r="AJ5957" s="10"/>
      <c r="AK5957" s="10"/>
      <c r="AL5957" s="10"/>
      <c r="AM5957" s="10"/>
      <c r="AN5957" s="10"/>
      <c r="AO5957" s="10"/>
      <c r="AP5957" s="10"/>
      <c r="AQ5957" s="10"/>
      <c r="AR5957" s="10"/>
      <c r="AS5957" s="10"/>
      <c r="AT5957" s="10"/>
      <c r="AU5957" s="10"/>
      <c r="AV5957" s="10"/>
      <c r="AW5957" s="10"/>
      <c r="AX5957" s="10"/>
      <c r="AY5957" s="10"/>
      <c r="AZ5957" s="10"/>
    </row>
    <row r="5958" spans="31:52">
      <c r="AE5958" s="10"/>
      <c r="AF5958" s="10"/>
      <c r="AG5958" s="10"/>
      <c r="AH5958" s="10"/>
      <c r="AI5958" s="10"/>
      <c r="AJ5958" s="10"/>
      <c r="AK5958" s="10"/>
      <c r="AL5958" s="10"/>
      <c r="AM5958" s="10"/>
      <c r="AN5958" s="10"/>
      <c r="AO5958" s="10"/>
      <c r="AP5958" s="10"/>
      <c r="AQ5958" s="10"/>
      <c r="AR5958" s="10"/>
      <c r="AS5958" s="10"/>
      <c r="AT5958" s="10"/>
      <c r="AU5958" s="10"/>
      <c r="AV5958" s="10"/>
      <c r="AW5958" s="10"/>
      <c r="AX5958" s="10"/>
      <c r="AY5958" s="10"/>
      <c r="AZ5958" s="10"/>
    </row>
    <row r="5959" spans="31:52">
      <c r="AE5959" s="10"/>
      <c r="AF5959" s="10"/>
      <c r="AG5959" s="10"/>
      <c r="AH5959" s="10"/>
      <c r="AI5959" s="10"/>
      <c r="AJ5959" s="10"/>
      <c r="AK5959" s="10"/>
      <c r="AL5959" s="10"/>
      <c r="AM5959" s="10"/>
      <c r="AN5959" s="10"/>
      <c r="AO5959" s="10"/>
      <c r="AP5959" s="10"/>
      <c r="AQ5959" s="10"/>
      <c r="AR5959" s="10"/>
      <c r="AS5959" s="10"/>
      <c r="AT5959" s="10"/>
      <c r="AU5959" s="10"/>
      <c r="AV5959" s="10"/>
      <c r="AW5959" s="10"/>
      <c r="AX5959" s="10"/>
      <c r="AY5959" s="10"/>
      <c r="AZ5959" s="10"/>
    </row>
    <row r="5960" spans="31:52">
      <c r="AE5960" s="10"/>
      <c r="AF5960" s="10"/>
      <c r="AG5960" s="10"/>
      <c r="AH5960" s="10"/>
      <c r="AI5960" s="10"/>
      <c r="AJ5960" s="10"/>
      <c r="AK5960" s="10"/>
      <c r="AL5960" s="10"/>
      <c r="AM5960" s="10"/>
      <c r="AN5960" s="10"/>
      <c r="AO5960" s="10"/>
      <c r="AP5960" s="10"/>
      <c r="AQ5960" s="10"/>
      <c r="AR5960" s="10"/>
      <c r="AS5960" s="10"/>
      <c r="AT5960" s="10"/>
      <c r="AU5960" s="10"/>
      <c r="AV5960" s="10"/>
      <c r="AW5960" s="10"/>
      <c r="AX5960" s="10"/>
      <c r="AY5960" s="10"/>
      <c r="AZ5960" s="10"/>
    </row>
    <row r="5961" spans="31:52">
      <c r="AE5961" s="10"/>
      <c r="AF5961" s="10"/>
      <c r="AG5961" s="10"/>
      <c r="AH5961" s="10"/>
      <c r="AI5961" s="10"/>
      <c r="AJ5961" s="10"/>
      <c r="AK5961" s="10"/>
      <c r="AL5961" s="10"/>
      <c r="AM5961" s="10"/>
      <c r="AN5961" s="10"/>
      <c r="AO5961" s="10"/>
      <c r="AP5961" s="10"/>
      <c r="AQ5961" s="10"/>
      <c r="AR5961" s="10"/>
      <c r="AS5961" s="10"/>
      <c r="AT5961" s="10"/>
      <c r="AU5961" s="10"/>
      <c r="AV5961" s="10"/>
      <c r="AW5961" s="10"/>
      <c r="AX5961" s="10"/>
      <c r="AY5961" s="10"/>
      <c r="AZ5961" s="10"/>
    </row>
    <row r="5962" spans="31:52">
      <c r="AE5962" s="10"/>
      <c r="AF5962" s="10"/>
      <c r="AG5962" s="10"/>
      <c r="AH5962" s="10"/>
      <c r="AI5962" s="10"/>
      <c r="AJ5962" s="10"/>
      <c r="AK5962" s="10"/>
      <c r="AL5962" s="10"/>
      <c r="AM5962" s="10"/>
      <c r="AN5962" s="10"/>
      <c r="AO5962" s="10"/>
      <c r="AP5962" s="10"/>
      <c r="AQ5962" s="10"/>
      <c r="AR5962" s="10"/>
      <c r="AS5962" s="10"/>
      <c r="AT5962" s="10"/>
      <c r="AU5962" s="10"/>
      <c r="AV5962" s="10"/>
      <c r="AW5962" s="10"/>
      <c r="AX5962" s="10"/>
      <c r="AY5962" s="10"/>
      <c r="AZ5962" s="10"/>
    </row>
    <row r="5963" spans="31:52">
      <c r="AE5963" s="10"/>
      <c r="AF5963" s="10"/>
      <c r="AG5963" s="10"/>
      <c r="AH5963" s="10"/>
      <c r="AI5963" s="10"/>
      <c r="AJ5963" s="10"/>
      <c r="AK5963" s="10"/>
      <c r="AL5963" s="10"/>
      <c r="AM5963" s="10"/>
      <c r="AN5963" s="10"/>
      <c r="AO5963" s="10"/>
      <c r="AP5963" s="10"/>
      <c r="AQ5963" s="10"/>
      <c r="AR5963" s="10"/>
      <c r="AS5963" s="10"/>
      <c r="AT5963" s="10"/>
      <c r="AU5963" s="10"/>
      <c r="AV5963" s="10"/>
      <c r="AW5963" s="10"/>
      <c r="AX5963" s="10"/>
      <c r="AY5963" s="10"/>
      <c r="AZ5963" s="10"/>
    </row>
    <row r="5964" spans="31:52">
      <c r="AE5964" s="10"/>
      <c r="AF5964" s="10"/>
      <c r="AG5964" s="10"/>
      <c r="AH5964" s="10"/>
      <c r="AI5964" s="10"/>
      <c r="AJ5964" s="10"/>
      <c r="AK5964" s="10"/>
      <c r="AL5964" s="10"/>
      <c r="AM5964" s="10"/>
      <c r="AN5964" s="10"/>
      <c r="AO5964" s="10"/>
      <c r="AP5964" s="10"/>
      <c r="AQ5964" s="10"/>
      <c r="AR5964" s="10"/>
      <c r="AS5964" s="10"/>
      <c r="AT5964" s="10"/>
      <c r="AU5964" s="10"/>
      <c r="AV5964" s="10"/>
      <c r="AW5964" s="10"/>
      <c r="AX5964" s="10"/>
      <c r="AY5964" s="10"/>
      <c r="AZ5964" s="10"/>
    </row>
    <row r="5965" spans="31:52">
      <c r="AE5965" s="10"/>
      <c r="AF5965" s="10"/>
      <c r="AG5965" s="10"/>
      <c r="AH5965" s="10"/>
      <c r="AI5965" s="10"/>
      <c r="AJ5965" s="10"/>
      <c r="AK5965" s="10"/>
      <c r="AL5965" s="10"/>
      <c r="AM5965" s="10"/>
      <c r="AN5965" s="10"/>
      <c r="AO5965" s="10"/>
      <c r="AP5965" s="10"/>
      <c r="AQ5965" s="10"/>
      <c r="AR5965" s="10"/>
      <c r="AS5965" s="10"/>
      <c r="AT5965" s="10"/>
      <c r="AU5965" s="10"/>
      <c r="AV5965" s="10"/>
      <c r="AW5965" s="10"/>
      <c r="AX5965" s="10"/>
      <c r="AY5965" s="10"/>
      <c r="AZ5965" s="10"/>
    </row>
    <row r="5966" spans="31:52">
      <c r="AE5966" s="10"/>
      <c r="AF5966" s="10"/>
      <c r="AG5966" s="10"/>
      <c r="AH5966" s="10"/>
      <c r="AI5966" s="10"/>
      <c r="AJ5966" s="10"/>
      <c r="AK5966" s="10"/>
      <c r="AL5966" s="10"/>
      <c r="AM5966" s="10"/>
      <c r="AN5966" s="10"/>
      <c r="AO5966" s="10"/>
      <c r="AP5966" s="10"/>
      <c r="AQ5966" s="10"/>
      <c r="AR5966" s="10"/>
      <c r="AS5966" s="10"/>
      <c r="AT5966" s="10"/>
      <c r="AU5966" s="10"/>
      <c r="AV5966" s="10"/>
      <c r="AW5966" s="10"/>
      <c r="AX5966" s="10"/>
      <c r="AY5966" s="10"/>
      <c r="AZ5966" s="10"/>
    </row>
    <row r="5967" spans="31:52">
      <c r="AE5967" s="10"/>
      <c r="AF5967" s="10"/>
      <c r="AG5967" s="10"/>
      <c r="AH5967" s="10"/>
      <c r="AI5967" s="10"/>
      <c r="AJ5967" s="10"/>
      <c r="AK5967" s="10"/>
      <c r="AL5967" s="10"/>
      <c r="AM5967" s="10"/>
      <c r="AN5967" s="10"/>
      <c r="AO5967" s="10"/>
      <c r="AP5967" s="10"/>
      <c r="AQ5967" s="10"/>
      <c r="AR5967" s="10"/>
      <c r="AS5967" s="10"/>
      <c r="AT5967" s="10"/>
      <c r="AU5967" s="10"/>
      <c r="AV5967" s="10"/>
      <c r="AW5967" s="10"/>
      <c r="AX5967" s="10"/>
      <c r="AY5967" s="10"/>
      <c r="AZ5967" s="10"/>
    </row>
    <row r="5968" spans="31:52">
      <c r="AE5968" s="10"/>
      <c r="AF5968" s="10"/>
      <c r="AG5968" s="10"/>
      <c r="AH5968" s="10"/>
      <c r="AI5968" s="10"/>
      <c r="AJ5968" s="10"/>
      <c r="AK5968" s="10"/>
      <c r="AL5968" s="10"/>
      <c r="AM5968" s="10"/>
      <c r="AN5968" s="10"/>
      <c r="AO5968" s="10"/>
      <c r="AP5968" s="10"/>
      <c r="AQ5968" s="10"/>
      <c r="AR5968" s="10"/>
      <c r="AS5968" s="10"/>
      <c r="AT5968" s="10"/>
      <c r="AU5968" s="10"/>
      <c r="AV5968" s="10"/>
      <c r="AW5968" s="10"/>
      <c r="AX5968" s="10"/>
      <c r="AY5968" s="10"/>
      <c r="AZ5968" s="10"/>
    </row>
    <row r="5969" spans="31:52">
      <c r="AE5969" s="10"/>
      <c r="AF5969" s="10"/>
      <c r="AG5969" s="10"/>
      <c r="AH5969" s="10"/>
      <c r="AI5969" s="10"/>
      <c r="AJ5969" s="10"/>
      <c r="AK5969" s="10"/>
      <c r="AL5969" s="10"/>
      <c r="AM5969" s="10"/>
      <c r="AN5969" s="10"/>
      <c r="AO5969" s="10"/>
      <c r="AP5969" s="10"/>
      <c r="AQ5969" s="10"/>
      <c r="AR5969" s="10"/>
      <c r="AS5969" s="10"/>
      <c r="AT5969" s="10"/>
      <c r="AU5969" s="10"/>
      <c r="AV5969" s="10"/>
      <c r="AW5969" s="10"/>
      <c r="AX5969" s="10"/>
      <c r="AY5969" s="10"/>
      <c r="AZ5969" s="10"/>
    </row>
    <row r="5970" spans="31:52">
      <c r="AE5970" s="10"/>
      <c r="AF5970" s="10"/>
      <c r="AG5970" s="10"/>
      <c r="AH5970" s="10"/>
      <c r="AI5970" s="10"/>
      <c r="AJ5970" s="10"/>
      <c r="AK5970" s="10"/>
      <c r="AL5970" s="10"/>
      <c r="AM5970" s="10"/>
      <c r="AN5970" s="10"/>
      <c r="AO5970" s="10"/>
      <c r="AP5970" s="10"/>
      <c r="AQ5970" s="10"/>
      <c r="AR5970" s="10"/>
      <c r="AS5970" s="10"/>
      <c r="AT5970" s="10"/>
      <c r="AU5970" s="10"/>
      <c r="AV5970" s="10"/>
      <c r="AW5970" s="10"/>
      <c r="AX5970" s="10"/>
      <c r="AY5970" s="10"/>
      <c r="AZ5970" s="10"/>
    </row>
    <row r="5971" spans="31:52">
      <c r="AE5971" s="10"/>
      <c r="AF5971" s="10"/>
      <c r="AG5971" s="10"/>
      <c r="AH5971" s="10"/>
      <c r="AI5971" s="10"/>
      <c r="AJ5971" s="10"/>
      <c r="AK5971" s="10"/>
      <c r="AL5971" s="10"/>
      <c r="AM5971" s="10"/>
      <c r="AN5971" s="10"/>
      <c r="AO5971" s="10"/>
      <c r="AP5971" s="10"/>
      <c r="AQ5971" s="10"/>
      <c r="AR5971" s="10"/>
      <c r="AS5971" s="10"/>
      <c r="AT5971" s="10"/>
      <c r="AU5971" s="10"/>
      <c r="AV5971" s="10"/>
      <c r="AW5971" s="10"/>
      <c r="AX5971" s="10"/>
      <c r="AY5971" s="10"/>
      <c r="AZ5971" s="10"/>
    </row>
    <row r="5972" spans="31:52">
      <c r="AE5972" s="10"/>
      <c r="AF5972" s="10"/>
      <c r="AG5972" s="10"/>
      <c r="AH5972" s="10"/>
      <c r="AI5972" s="10"/>
      <c r="AJ5972" s="10"/>
      <c r="AK5972" s="10"/>
      <c r="AL5972" s="10"/>
      <c r="AM5972" s="10"/>
      <c r="AN5972" s="10"/>
      <c r="AO5972" s="10"/>
      <c r="AP5972" s="10"/>
      <c r="AQ5972" s="10"/>
      <c r="AR5972" s="10"/>
      <c r="AS5972" s="10"/>
      <c r="AT5972" s="10"/>
      <c r="AU5972" s="10"/>
      <c r="AV5972" s="10"/>
      <c r="AW5972" s="10"/>
      <c r="AX5972" s="10"/>
      <c r="AY5972" s="10"/>
      <c r="AZ5972" s="10"/>
    </row>
    <row r="5973" spans="31:52">
      <c r="AE5973" s="10"/>
      <c r="AF5973" s="10"/>
      <c r="AG5973" s="10"/>
      <c r="AH5973" s="10"/>
      <c r="AI5973" s="10"/>
      <c r="AJ5973" s="10"/>
      <c r="AK5973" s="10"/>
      <c r="AL5973" s="10"/>
      <c r="AM5973" s="10"/>
      <c r="AN5973" s="10"/>
      <c r="AO5973" s="10"/>
      <c r="AP5973" s="10"/>
      <c r="AQ5973" s="10"/>
      <c r="AR5973" s="10"/>
      <c r="AS5973" s="10"/>
      <c r="AT5973" s="10"/>
      <c r="AU5973" s="10"/>
      <c r="AV5973" s="10"/>
      <c r="AW5973" s="10"/>
      <c r="AX5973" s="10"/>
      <c r="AY5973" s="10"/>
      <c r="AZ5973" s="10"/>
    </row>
    <row r="5974" spans="31:52">
      <c r="AE5974" s="10"/>
      <c r="AF5974" s="10"/>
      <c r="AG5974" s="10"/>
      <c r="AH5974" s="10"/>
      <c r="AI5974" s="10"/>
      <c r="AJ5974" s="10"/>
      <c r="AK5974" s="10"/>
      <c r="AL5974" s="10"/>
      <c r="AM5974" s="10"/>
      <c r="AN5974" s="10"/>
      <c r="AO5974" s="10"/>
      <c r="AP5974" s="10"/>
      <c r="AQ5974" s="10"/>
      <c r="AR5974" s="10"/>
      <c r="AS5974" s="10"/>
      <c r="AT5974" s="10"/>
      <c r="AU5974" s="10"/>
      <c r="AV5974" s="10"/>
      <c r="AW5974" s="10"/>
      <c r="AX5974" s="10"/>
      <c r="AY5974" s="10"/>
      <c r="AZ5974" s="10"/>
    </row>
    <row r="5975" spans="31:52">
      <c r="AE5975" s="10"/>
      <c r="AF5975" s="10"/>
      <c r="AG5975" s="10"/>
      <c r="AH5975" s="10"/>
      <c r="AI5975" s="10"/>
      <c r="AJ5975" s="10"/>
      <c r="AK5975" s="10"/>
      <c r="AL5975" s="10"/>
      <c r="AM5975" s="10"/>
      <c r="AN5975" s="10"/>
      <c r="AO5975" s="10"/>
      <c r="AP5975" s="10"/>
      <c r="AQ5975" s="10"/>
      <c r="AR5975" s="10"/>
      <c r="AS5975" s="10"/>
      <c r="AT5975" s="10"/>
      <c r="AU5975" s="10"/>
      <c r="AV5975" s="10"/>
      <c r="AW5975" s="10"/>
      <c r="AX5975" s="10"/>
      <c r="AY5975" s="10"/>
      <c r="AZ5975" s="10"/>
    </row>
    <row r="5976" spans="31:52">
      <c r="AE5976" s="10"/>
      <c r="AF5976" s="10"/>
      <c r="AG5976" s="10"/>
      <c r="AH5976" s="10"/>
      <c r="AI5976" s="10"/>
      <c r="AJ5976" s="10"/>
      <c r="AK5976" s="10"/>
      <c r="AL5976" s="10"/>
      <c r="AM5976" s="10"/>
      <c r="AN5976" s="10"/>
      <c r="AO5976" s="10"/>
      <c r="AP5976" s="10"/>
      <c r="AQ5976" s="10"/>
      <c r="AR5976" s="10"/>
      <c r="AS5976" s="10"/>
      <c r="AT5976" s="10"/>
      <c r="AU5976" s="10"/>
      <c r="AV5976" s="10"/>
      <c r="AW5976" s="10"/>
      <c r="AX5976" s="10"/>
      <c r="AY5976" s="10"/>
      <c r="AZ5976" s="10"/>
    </row>
    <row r="5977" spans="31:52">
      <c r="AE5977" s="10"/>
      <c r="AF5977" s="10"/>
      <c r="AG5977" s="10"/>
      <c r="AH5977" s="10"/>
      <c r="AI5977" s="10"/>
      <c r="AJ5977" s="10"/>
      <c r="AK5977" s="10"/>
      <c r="AL5977" s="10"/>
      <c r="AM5977" s="10"/>
      <c r="AN5977" s="10"/>
      <c r="AO5977" s="10"/>
      <c r="AP5977" s="10"/>
      <c r="AQ5977" s="10"/>
      <c r="AR5977" s="10"/>
      <c r="AS5977" s="10"/>
      <c r="AT5977" s="10"/>
      <c r="AU5977" s="10"/>
      <c r="AV5977" s="10"/>
      <c r="AW5977" s="10"/>
      <c r="AX5977" s="10"/>
      <c r="AY5977" s="10"/>
      <c r="AZ5977" s="10"/>
    </row>
    <row r="5978" spans="31:52">
      <c r="AE5978" s="10"/>
      <c r="AF5978" s="10"/>
      <c r="AG5978" s="10"/>
      <c r="AH5978" s="10"/>
      <c r="AI5978" s="10"/>
      <c r="AJ5978" s="10"/>
      <c r="AK5978" s="10"/>
      <c r="AL5978" s="10"/>
      <c r="AM5978" s="10"/>
      <c r="AN5978" s="10"/>
      <c r="AO5978" s="10"/>
      <c r="AP5978" s="10"/>
      <c r="AQ5978" s="10"/>
      <c r="AR5978" s="10"/>
      <c r="AS5978" s="10"/>
      <c r="AT5978" s="10"/>
      <c r="AU5978" s="10"/>
      <c r="AV5978" s="10"/>
      <c r="AW5978" s="10"/>
      <c r="AX5978" s="10"/>
      <c r="AY5978" s="10"/>
      <c r="AZ5978" s="10"/>
    </row>
    <row r="5979" spans="31:52">
      <c r="AE5979" s="10"/>
      <c r="AF5979" s="10"/>
      <c r="AG5979" s="10"/>
      <c r="AH5979" s="10"/>
      <c r="AI5979" s="10"/>
      <c r="AJ5979" s="10"/>
      <c r="AK5979" s="10"/>
      <c r="AL5979" s="10"/>
      <c r="AM5979" s="10"/>
      <c r="AN5979" s="10"/>
      <c r="AO5979" s="10"/>
      <c r="AP5979" s="10"/>
      <c r="AQ5979" s="10"/>
      <c r="AR5979" s="10"/>
      <c r="AS5979" s="10"/>
      <c r="AT5979" s="10"/>
      <c r="AU5979" s="10"/>
      <c r="AV5979" s="10"/>
      <c r="AW5979" s="10"/>
      <c r="AX5979" s="10"/>
      <c r="AY5979" s="10"/>
      <c r="AZ5979" s="10"/>
    </row>
    <row r="5980" spans="31:52">
      <c r="AE5980" s="10"/>
      <c r="AF5980" s="10"/>
      <c r="AG5980" s="10"/>
      <c r="AH5980" s="10"/>
      <c r="AI5980" s="10"/>
      <c r="AJ5980" s="10"/>
      <c r="AK5980" s="10"/>
      <c r="AL5980" s="10"/>
      <c r="AM5980" s="10"/>
      <c r="AN5980" s="10"/>
      <c r="AO5980" s="10"/>
      <c r="AP5980" s="10"/>
      <c r="AQ5980" s="10"/>
      <c r="AR5980" s="10"/>
      <c r="AS5980" s="10"/>
      <c r="AT5980" s="10"/>
      <c r="AU5980" s="10"/>
      <c r="AV5980" s="10"/>
      <c r="AW5980" s="10"/>
      <c r="AX5980" s="10"/>
      <c r="AY5980" s="10"/>
      <c r="AZ5980" s="10"/>
    </row>
    <row r="5981" spans="31:52">
      <c r="AE5981" s="10"/>
      <c r="AF5981" s="10"/>
      <c r="AG5981" s="10"/>
      <c r="AH5981" s="10"/>
      <c r="AI5981" s="10"/>
      <c r="AJ5981" s="10"/>
      <c r="AK5981" s="10"/>
      <c r="AL5981" s="10"/>
      <c r="AM5981" s="10"/>
      <c r="AN5981" s="10"/>
      <c r="AO5981" s="10"/>
      <c r="AP5981" s="10"/>
      <c r="AQ5981" s="10"/>
      <c r="AR5981" s="10"/>
      <c r="AS5981" s="10"/>
      <c r="AT5981" s="10"/>
      <c r="AU5981" s="10"/>
      <c r="AV5981" s="10"/>
      <c r="AW5981" s="10"/>
      <c r="AX5981" s="10"/>
      <c r="AY5981" s="10"/>
      <c r="AZ5981" s="10"/>
    </row>
    <row r="5982" spans="31:52">
      <c r="AE5982" s="10"/>
      <c r="AF5982" s="10"/>
      <c r="AG5982" s="10"/>
      <c r="AH5982" s="10"/>
      <c r="AI5982" s="10"/>
      <c r="AJ5982" s="10"/>
      <c r="AK5982" s="10"/>
      <c r="AL5982" s="10"/>
      <c r="AM5982" s="10"/>
      <c r="AN5982" s="10"/>
      <c r="AO5982" s="10"/>
      <c r="AP5982" s="10"/>
      <c r="AQ5982" s="10"/>
      <c r="AR5982" s="10"/>
      <c r="AS5982" s="10"/>
      <c r="AT5982" s="10"/>
      <c r="AU5982" s="10"/>
      <c r="AV5982" s="10"/>
      <c r="AW5982" s="10"/>
      <c r="AX5982" s="10"/>
      <c r="AY5982" s="10"/>
      <c r="AZ5982" s="10"/>
    </row>
    <row r="5983" spans="31:52">
      <c r="AE5983" s="10"/>
      <c r="AF5983" s="10"/>
      <c r="AG5983" s="10"/>
      <c r="AH5983" s="10"/>
      <c r="AI5983" s="10"/>
      <c r="AJ5983" s="10"/>
      <c r="AK5983" s="10"/>
      <c r="AL5983" s="10"/>
      <c r="AM5983" s="10"/>
      <c r="AN5983" s="10"/>
      <c r="AO5983" s="10"/>
      <c r="AP5983" s="10"/>
      <c r="AQ5983" s="10"/>
      <c r="AR5983" s="10"/>
      <c r="AS5983" s="10"/>
      <c r="AT5983" s="10"/>
      <c r="AU5983" s="10"/>
      <c r="AV5983" s="10"/>
      <c r="AW5983" s="10"/>
      <c r="AX5983" s="10"/>
      <c r="AY5983" s="10"/>
      <c r="AZ5983" s="10"/>
    </row>
    <row r="5984" spans="31:52">
      <c r="AE5984" s="10"/>
      <c r="AF5984" s="10"/>
      <c r="AG5984" s="10"/>
      <c r="AH5984" s="10"/>
      <c r="AI5984" s="10"/>
      <c r="AJ5984" s="10"/>
      <c r="AK5984" s="10"/>
      <c r="AL5984" s="10"/>
      <c r="AM5984" s="10"/>
      <c r="AN5984" s="10"/>
      <c r="AO5984" s="10"/>
      <c r="AP5984" s="10"/>
      <c r="AQ5984" s="10"/>
      <c r="AR5984" s="10"/>
      <c r="AS5984" s="10"/>
      <c r="AT5984" s="10"/>
      <c r="AU5984" s="10"/>
      <c r="AV5984" s="10"/>
      <c r="AW5984" s="10"/>
      <c r="AX5984" s="10"/>
      <c r="AY5984" s="10"/>
      <c r="AZ5984" s="10"/>
    </row>
    <row r="5985" spans="31:52">
      <c r="AE5985" s="10"/>
      <c r="AF5985" s="10"/>
      <c r="AG5985" s="10"/>
      <c r="AH5985" s="10"/>
      <c r="AI5985" s="10"/>
      <c r="AJ5985" s="10"/>
      <c r="AK5985" s="10"/>
      <c r="AL5985" s="10"/>
      <c r="AM5985" s="10"/>
      <c r="AN5985" s="10"/>
      <c r="AO5985" s="10"/>
      <c r="AP5985" s="10"/>
      <c r="AQ5985" s="10"/>
      <c r="AR5985" s="10"/>
      <c r="AS5985" s="10"/>
      <c r="AT5985" s="10"/>
      <c r="AU5985" s="10"/>
      <c r="AV5985" s="10"/>
      <c r="AW5985" s="10"/>
      <c r="AX5985" s="10"/>
      <c r="AY5985" s="10"/>
      <c r="AZ5985" s="10"/>
    </row>
    <row r="5986" spans="31:52">
      <c r="AE5986" s="10"/>
      <c r="AF5986" s="10"/>
      <c r="AG5986" s="10"/>
      <c r="AH5986" s="10"/>
      <c r="AI5986" s="10"/>
      <c r="AJ5986" s="10"/>
      <c r="AK5986" s="10"/>
      <c r="AL5986" s="10"/>
      <c r="AM5986" s="10"/>
      <c r="AN5986" s="10"/>
      <c r="AO5986" s="10"/>
      <c r="AP5986" s="10"/>
      <c r="AQ5986" s="10"/>
      <c r="AR5986" s="10"/>
      <c r="AS5986" s="10"/>
      <c r="AT5986" s="10"/>
      <c r="AU5986" s="10"/>
      <c r="AV5986" s="10"/>
      <c r="AW5986" s="10"/>
      <c r="AX5986" s="10"/>
      <c r="AY5986" s="10"/>
      <c r="AZ5986" s="10"/>
    </row>
    <row r="5987" spans="31:52">
      <c r="AE5987" s="10"/>
      <c r="AF5987" s="10"/>
      <c r="AG5987" s="10"/>
      <c r="AH5987" s="10"/>
      <c r="AI5987" s="10"/>
      <c r="AJ5987" s="10"/>
      <c r="AK5987" s="10"/>
      <c r="AL5987" s="10"/>
      <c r="AM5987" s="10"/>
      <c r="AN5987" s="10"/>
      <c r="AO5987" s="10"/>
      <c r="AP5987" s="10"/>
      <c r="AQ5987" s="10"/>
      <c r="AR5987" s="10"/>
      <c r="AS5987" s="10"/>
      <c r="AT5987" s="10"/>
      <c r="AU5987" s="10"/>
      <c r="AV5987" s="10"/>
      <c r="AW5987" s="10"/>
      <c r="AX5987" s="10"/>
      <c r="AY5987" s="10"/>
      <c r="AZ5987" s="10"/>
    </row>
    <row r="5988" spans="31:52">
      <c r="AE5988" s="10"/>
      <c r="AF5988" s="10"/>
      <c r="AG5988" s="10"/>
      <c r="AH5988" s="10"/>
      <c r="AI5988" s="10"/>
      <c r="AJ5988" s="10"/>
      <c r="AK5988" s="10"/>
      <c r="AL5988" s="10"/>
      <c r="AM5988" s="10"/>
      <c r="AN5988" s="10"/>
      <c r="AO5988" s="10"/>
      <c r="AP5988" s="10"/>
      <c r="AQ5988" s="10"/>
      <c r="AR5988" s="10"/>
      <c r="AS5988" s="10"/>
      <c r="AT5988" s="10"/>
      <c r="AU5988" s="10"/>
      <c r="AV5988" s="10"/>
      <c r="AW5988" s="10"/>
      <c r="AX5988" s="10"/>
      <c r="AY5988" s="10"/>
      <c r="AZ5988" s="10"/>
    </row>
    <row r="5989" spans="31:52">
      <c r="AE5989" s="10"/>
      <c r="AF5989" s="10"/>
      <c r="AG5989" s="10"/>
      <c r="AH5989" s="10"/>
      <c r="AI5989" s="10"/>
      <c r="AJ5989" s="10"/>
      <c r="AK5989" s="10"/>
      <c r="AL5989" s="10"/>
      <c r="AM5989" s="10"/>
      <c r="AN5989" s="10"/>
      <c r="AO5989" s="10"/>
      <c r="AP5989" s="10"/>
      <c r="AQ5989" s="10"/>
      <c r="AR5989" s="10"/>
      <c r="AS5989" s="10"/>
      <c r="AT5989" s="10"/>
      <c r="AU5989" s="10"/>
      <c r="AV5989" s="10"/>
      <c r="AW5989" s="10"/>
      <c r="AX5989" s="10"/>
      <c r="AY5989" s="10"/>
      <c r="AZ5989" s="10"/>
    </row>
    <row r="5990" spans="31:52">
      <c r="AE5990" s="10"/>
      <c r="AF5990" s="10"/>
      <c r="AG5990" s="10"/>
      <c r="AH5990" s="10"/>
      <c r="AI5990" s="10"/>
      <c r="AJ5990" s="10"/>
      <c r="AK5990" s="10"/>
      <c r="AL5990" s="10"/>
      <c r="AM5990" s="10"/>
      <c r="AN5990" s="10"/>
      <c r="AO5990" s="10"/>
      <c r="AP5990" s="10"/>
      <c r="AQ5990" s="10"/>
      <c r="AR5990" s="10"/>
      <c r="AS5990" s="10"/>
      <c r="AT5990" s="10"/>
      <c r="AU5990" s="10"/>
      <c r="AV5990" s="10"/>
      <c r="AW5990" s="10"/>
      <c r="AX5990" s="10"/>
      <c r="AY5990" s="10"/>
      <c r="AZ5990" s="10"/>
    </row>
    <row r="5991" spans="31:52">
      <c r="AE5991" s="10"/>
      <c r="AF5991" s="10"/>
      <c r="AG5991" s="10"/>
      <c r="AH5991" s="10"/>
      <c r="AI5991" s="10"/>
      <c r="AJ5991" s="10"/>
      <c r="AK5991" s="10"/>
      <c r="AL5991" s="10"/>
      <c r="AM5991" s="10"/>
      <c r="AN5991" s="10"/>
      <c r="AO5991" s="10"/>
      <c r="AP5991" s="10"/>
      <c r="AQ5991" s="10"/>
      <c r="AR5991" s="10"/>
      <c r="AS5991" s="10"/>
      <c r="AT5991" s="10"/>
      <c r="AU5991" s="10"/>
      <c r="AV5991" s="10"/>
      <c r="AW5991" s="10"/>
      <c r="AX5991" s="10"/>
      <c r="AY5991" s="10"/>
      <c r="AZ5991" s="10"/>
    </row>
    <row r="5992" spans="31:52">
      <c r="AE5992" s="10"/>
      <c r="AF5992" s="10"/>
      <c r="AG5992" s="10"/>
      <c r="AH5992" s="10"/>
      <c r="AI5992" s="10"/>
      <c r="AJ5992" s="10"/>
      <c r="AK5992" s="10"/>
      <c r="AL5992" s="10"/>
      <c r="AM5992" s="10"/>
      <c r="AN5992" s="10"/>
      <c r="AO5992" s="10"/>
      <c r="AP5992" s="10"/>
      <c r="AQ5992" s="10"/>
      <c r="AR5992" s="10"/>
      <c r="AS5992" s="10"/>
      <c r="AT5992" s="10"/>
      <c r="AU5992" s="10"/>
      <c r="AV5992" s="10"/>
      <c r="AW5992" s="10"/>
      <c r="AX5992" s="10"/>
      <c r="AY5992" s="10"/>
      <c r="AZ5992" s="10"/>
    </row>
    <row r="5993" spans="31:52">
      <c r="AE5993" s="10"/>
      <c r="AF5993" s="10"/>
      <c r="AG5993" s="10"/>
      <c r="AH5993" s="10"/>
      <c r="AI5993" s="10"/>
      <c r="AJ5993" s="10"/>
      <c r="AK5993" s="10"/>
      <c r="AL5993" s="10"/>
      <c r="AM5993" s="10"/>
      <c r="AN5993" s="10"/>
      <c r="AO5993" s="10"/>
      <c r="AP5993" s="10"/>
      <c r="AQ5993" s="10"/>
      <c r="AR5993" s="10"/>
      <c r="AS5993" s="10"/>
      <c r="AT5993" s="10"/>
      <c r="AU5993" s="10"/>
      <c r="AV5993" s="10"/>
      <c r="AW5993" s="10"/>
      <c r="AX5993" s="10"/>
      <c r="AY5993" s="10"/>
      <c r="AZ5993" s="10"/>
    </row>
    <row r="5994" spans="31:52">
      <c r="AE5994" s="10"/>
      <c r="AF5994" s="10"/>
      <c r="AG5994" s="10"/>
      <c r="AH5994" s="10"/>
      <c r="AI5994" s="10"/>
      <c r="AJ5994" s="10"/>
      <c r="AK5994" s="10"/>
      <c r="AL5994" s="10"/>
      <c r="AM5994" s="10"/>
      <c r="AN5994" s="10"/>
      <c r="AO5994" s="10"/>
      <c r="AP5994" s="10"/>
      <c r="AQ5994" s="10"/>
      <c r="AR5994" s="10"/>
      <c r="AS5994" s="10"/>
      <c r="AT5994" s="10"/>
      <c r="AU5994" s="10"/>
      <c r="AV5994" s="10"/>
      <c r="AW5994" s="10"/>
      <c r="AX5994" s="10"/>
      <c r="AY5994" s="10"/>
      <c r="AZ5994" s="10"/>
    </row>
    <row r="5995" spans="31:52">
      <c r="AE5995" s="10"/>
      <c r="AF5995" s="10"/>
      <c r="AG5995" s="10"/>
      <c r="AH5995" s="10"/>
      <c r="AI5995" s="10"/>
      <c r="AJ5995" s="10"/>
      <c r="AK5995" s="10"/>
      <c r="AL5995" s="10"/>
      <c r="AM5995" s="10"/>
      <c r="AN5995" s="10"/>
      <c r="AO5995" s="10"/>
      <c r="AP5995" s="10"/>
      <c r="AQ5995" s="10"/>
      <c r="AR5995" s="10"/>
      <c r="AS5995" s="10"/>
      <c r="AT5995" s="10"/>
      <c r="AU5995" s="10"/>
      <c r="AV5995" s="10"/>
      <c r="AW5995" s="10"/>
      <c r="AX5995" s="10"/>
      <c r="AY5995" s="10"/>
      <c r="AZ5995" s="10"/>
    </row>
    <row r="5996" spans="31:52">
      <c r="AE5996" s="10"/>
      <c r="AF5996" s="10"/>
      <c r="AG5996" s="10"/>
      <c r="AH5996" s="10"/>
      <c r="AI5996" s="10"/>
      <c r="AJ5996" s="10"/>
      <c r="AK5996" s="10"/>
      <c r="AL5996" s="10"/>
      <c r="AM5996" s="10"/>
      <c r="AN5996" s="10"/>
      <c r="AO5996" s="10"/>
      <c r="AP5996" s="10"/>
      <c r="AQ5996" s="10"/>
      <c r="AR5996" s="10"/>
      <c r="AS5996" s="10"/>
      <c r="AT5996" s="10"/>
      <c r="AU5996" s="10"/>
      <c r="AV5996" s="10"/>
      <c r="AW5996" s="10"/>
      <c r="AX5996" s="10"/>
      <c r="AY5996" s="10"/>
      <c r="AZ5996" s="10"/>
    </row>
    <row r="5997" spans="31:52">
      <c r="AE5997" s="10"/>
      <c r="AF5997" s="10"/>
      <c r="AG5997" s="10"/>
      <c r="AH5997" s="10"/>
      <c r="AI5997" s="10"/>
      <c r="AJ5997" s="10"/>
      <c r="AK5997" s="10"/>
      <c r="AL5997" s="10"/>
      <c r="AM5997" s="10"/>
      <c r="AN5997" s="10"/>
      <c r="AO5997" s="10"/>
      <c r="AP5997" s="10"/>
      <c r="AQ5997" s="10"/>
      <c r="AR5997" s="10"/>
      <c r="AS5997" s="10"/>
      <c r="AT5997" s="10"/>
      <c r="AU5997" s="10"/>
      <c r="AV5997" s="10"/>
      <c r="AW5997" s="10"/>
      <c r="AX5997" s="10"/>
      <c r="AY5997" s="10"/>
      <c r="AZ5997" s="10"/>
    </row>
    <row r="5998" spans="31:52">
      <c r="AE5998" s="10"/>
      <c r="AF5998" s="10"/>
      <c r="AG5998" s="10"/>
      <c r="AH5998" s="10"/>
      <c r="AI5998" s="10"/>
      <c r="AJ5998" s="10"/>
      <c r="AK5998" s="10"/>
      <c r="AL5998" s="10"/>
      <c r="AM5998" s="10"/>
      <c r="AN5998" s="10"/>
      <c r="AO5998" s="10"/>
      <c r="AP5998" s="10"/>
      <c r="AQ5998" s="10"/>
      <c r="AR5998" s="10"/>
      <c r="AS5998" s="10"/>
      <c r="AT5998" s="10"/>
      <c r="AU5998" s="10"/>
      <c r="AV5998" s="10"/>
      <c r="AW5998" s="10"/>
      <c r="AX5998" s="10"/>
      <c r="AY5998" s="10"/>
      <c r="AZ5998" s="10"/>
    </row>
    <row r="5999" spans="31:52">
      <c r="AE5999" s="10"/>
      <c r="AF5999" s="10"/>
      <c r="AG5999" s="10"/>
      <c r="AH5999" s="10"/>
      <c r="AI5999" s="10"/>
      <c r="AJ5999" s="10"/>
      <c r="AK5999" s="10"/>
      <c r="AL5999" s="10"/>
      <c r="AM5999" s="10"/>
      <c r="AN5999" s="10"/>
      <c r="AO5999" s="10"/>
      <c r="AP5999" s="10"/>
      <c r="AQ5999" s="10"/>
      <c r="AR5999" s="10"/>
      <c r="AS5999" s="10"/>
      <c r="AT5999" s="10"/>
      <c r="AU5999" s="10"/>
      <c r="AV5999" s="10"/>
      <c r="AW5999" s="10"/>
      <c r="AX5999" s="10"/>
      <c r="AY5999" s="10"/>
      <c r="AZ5999" s="10"/>
    </row>
    <row r="6000" spans="31:52">
      <c r="AE6000" s="10"/>
      <c r="AF6000" s="10"/>
      <c r="AG6000" s="10"/>
      <c r="AH6000" s="10"/>
      <c r="AI6000" s="10"/>
      <c r="AJ6000" s="10"/>
      <c r="AK6000" s="10"/>
      <c r="AL6000" s="10"/>
      <c r="AM6000" s="10"/>
      <c r="AN6000" s="10"/>
      <c r="AO6000" s="10"/>
      <c r="AP6000" s="10"/>
      <c r="AQ6000" s="10"/>
      <c r="AR6000" s="10"/>
      <c r="AS6000" s="10"/>
      <c r="AT6000" s="10"/>
      <c r="AU6000" s="10"/>
      <c r="AV6000" s="10"/>
      <c r="AW6000" s="10"/>
      <c r="AX6000" s="10"/>
      <c r="AY6000" s="10"/>
      <c r="AZ6000" s="10"/>
    </row>
    <row r="6001" spans="31:52">
      <c r="AE6001" s="10"/>
      <c r="AF6001" s="10"/>
      <c r="AG6001" s="10"/>
      <c r="AH6001" s="10"/>
      <c r="AI6001" s="10"/>
      <c r="AJ6001" s="10"/>
      <c r="AK6001" s="10"/>
      <c r="AL6001" s="10"/>
      <c r="AM6001" s="10"/>
      <c r="AN6001" s="10"/>
      <c r="AO6001" s="10"/>
      <c r="AP6001" s="10"/>
      <c r="AQ6001" s="10"/>
      <c r="AR6001" s="10"/>
      <c r="AS6001" s="10"/>
      <c r="AT6001" s="10"/>
      <c r="AU6001" s="10"/>
      <c r="AV6001" s="10"/>
      <c r="AW6001" s="10"/>
      <c r="AX6001" s="10"/>
      <c r="AY6001" s="10"/>
      <c r="AZ6001" s="10"/>
    </row>
    <row r="6002" spans="31:52">
      <c r="AE6002" s="10"/>
      <c r="AF6002" s="10"/>
      <c r="AG6002" s="10"/>
      <c r="AH6002" s="10"/>
      <c r="AI6002" s="10"/>
      <c r="AJ6002" s="10"/>
      <c r="AK6002" s="10"/>
      <c r="AL6002" s="10"/>
      <c r="AM6002" s="10"/>
      <c r="AN6002" s="10"/>
      <c r="AO6002" s="10"/>
      <c r="AP6002" s="10"/>
      <c r="AQ6002" s="10"/>
      <c r="AR6002" s="10"/>
      <c r="AS6002" s="10"/>
      <c r="AT6002" s="10"/>
      <c r="AU6002" s="10"/>
      <c r="AV6002" s="10"/>
      <c r="AW6002" s="10"/>
      <c r="AX6002" s="10"/>
      <c r="AY6002" s="10"/>
      <c r="AZ6002" s="10"/>
    </row>
    <row r="6003" spans="31:52">
      <c r="AE6003" s="10"/>
      <c r="AF6003" s="10"/>
      <c r="AG6003" s="10"/>
      <c r="AH6003" s="10"/>
      <c r="AI6003" s="10"/>
      <c r="AJ6003" s="10"/>
      <c r="AK6003" s="10"/>
      <c r="AL6003" s="10"/>
      <c r="AM6003" s="10"/>
      <c r="AN6003" s="10"/>
      <c r="AO6003" s="10"/>
      <c r="AP6003" s="10"/>
      <c r="AQ6003" s="10"/>
      <c r="AR6003" s="10"/>
      <c r="AS6003" s="10"/>
      <c r="AT6003" s="10"/>
      <c r="AU6003" s="10"/>
      <c r="AV6003" s="10"/>
      <c r="AW6003" s="10"/>
      <c r="AX6003" s="10"/>
      <c r="AY6003" s="10"/>
      <c r="AZ6003" s="10"/>
    </row>
    <row r="6004" spans="31:52">
      <c r="AE6004" s="10"/>
      <c r="AF6004" s="10"/>
      <c r="AG6004" s="10"/>
      <c r="AH6004" s="10"/>
      <c r="AI6004" s="10"/>
      <c r="AJ6004" s="10"/>
      <c r="AK6004" s="10"/>
      <c r="AL6004" s="10"/>
      <c r="AM6004" s="10"/>
      <c r="AN6004" s="10"/>
      <c r="AO6004" s="10"/>
      <c r="AP6004" s="10"/>
      <c r="AQ6004" s="10"/>
      <c r="AR6004" s="10"/>
      <c r="AS6004" s="10"/>
      <c r="AT6004" s="10"/>
      <c r="AU6004" s="10"/>
      <c r="AV6004" s="10"/>
      <c r="AW6004" s="10"/>
      <c r="AX6004" s="10"/>
      <c r="AY6004" s="10"/>
      <c r="AZ6004" s="10"/>
    </row>
    <row r="6005" spans="31:52">
      <c r="AE6005" s="10"/>
      <c r="AF6005" s="10"/>
      <c r="AG6005" s="10"/>
      <c r="AH6005" s="10"/>
      <c r="AI6005" s="10"/>
      <c r="AJ6005" s="10"/>
      <c r="AK6005" s="10"/>
      <c r="AL6005" s="10"/>
      <c r="AM6005" s="10"/>
      <c r="AN6005" s="10"/>
      <c r="AO6005" s="10"/>
      <c r="AP6005" s="10"/>
      <c r="AQ6005" s="10"/>
      <c r="AR6005" s="10"/>
      <c r="AS6005" s="10"/>
      <c r="AT6005" s="10"/>
      <c r="AU6005" s="10"/>
      <c r="AV6005" s="10"/>
      <c r="AW6005" s="10"/>
      <c r="AX6005" s="10"/>
      <c r="AY6005" s="10"/>
      <c r="AZ6005" s="10"/>
    </row>
    <row r="6006" spans="31:52">
      <c r="AE6006" s="10"/>
      <c r="AF6006" s="10"/>
      <c r="AG6006" s="10"/>
      <c r="AH6006" s="10"/>
      <c r="AI6006" s="10"/>
      <c r="AJ6006" s="10"/>
      <c r="AK6006" s="10"/>
      <c r="AL6006" s="10"/>
      <c r="AM6006" s="10"/>
      <c r="AN6006" s="10"/>
      <c r="AO6006" s="10"/>
      <c r="AP6006" s="10"/>
      <c r="AQ6006" s="10"/>
      <c r="AR6006" s="10"/>
      <c r="AS6006" s="10"/>
      <c r="AT6006" s="10"/>
      <c r="AU6006" s="10"/>
      <c r="AV6006" s="10"/>
      <c r="AW6006" s="10"/>
      <c r="AX6006" s="10"/>
      <c r="AY6006" s="10"/>
      <c r="AZ6006" s="10"/>
    </row>
    <row r="6007" spans="31:52">
      <c r="AE6007" s="10"/>
      <c r="AF6007" s="10"/>
      <c r="AG6007" s="10"/>
      <c r="AH6007" s="10"/>
      <c r="AI6007" s="10"/>
      <c r="AJ6007" s="10"/>
      <c r="AK6007" s="10"/>
      <c r="AL6007" s="10"/>
      <c r="AM6007" s="10"/>
      <c r="AN6007" s="10"/>
      <c r="AO6007" s="10"/>
      <c r="AP6007" s="10"/>
      <c r="AQ6007" s="10"/>
      <c r="AR6007" s="10"/>
      <c r="AS6007" s="10"/>
      <c r="AT6007" s="10"/>
      <c r="AU6007" s="10"/>
      <c r="AV6007" s="10"/>
      <c r="AW6007" s="10"/>
      <c r="AX6007" s="10"/>
      <c r="AY6007" s="10"/>
      <c r="AZ6007" s="10"/>
    </row>
    <row r="6008" spans="31:52">
      <c r="AE6008" s="10"/>
      <c r="AF6008" s="10"/>
      <c r="AG6008" s="10"/>
      <c r="AH6008" s="10"/>
      <c r="AI6008" s="10"/>
      <c r="AJ6008" s="10"/>
      <c r="AK6008" s="10"/>
      <c r="AL6008" s="10"/>
      <c r="AM6008" s="10"/>
      <c r="AN6008" s="10"/>
      <c r="AO6008" s="10"/>
      <c r="AP6008" s="10"/>
      <c r="AQ6008" s="10"/>
      <c r="AR6008" s="10"/>
      <c r="AS6008" s="10"/>
      <c r="AT6008" s="10"/>
      <c r="AU6008" s="10"/>
      <c r="AV6008" s="10"/>
      <c r="AW6008" s="10"/>
      <c r="AX6008" s="10"/>
      <c r="AY6008" s="10"/>
      <c r="AZ6008" s="10"/>
    </row>
    <row r="6009" spans="31:52">
      <c r="AE6009" s="10"/>
      <c r="AF6009" s="10"/>
      <c r="AG6009" s="10"/>
      <c r="AH6009" s="10"/>
      <c r="AI6009" s="10"/>
      <c r="AJ6009" s="10"/>
      <c r="AK6009" s="10"/>
      <c r="AL6009" s="10"/>
      <c r="AM6009" s="10"/>
      <c r="AN6009" s="10"/>
      <c r="AO6009" s="10"/>
      <c r="AP6009" s="10"/>
      <c r="AQ6009" s="10"/>
      <c r="AR6009" s="10"/>
      <c r="AS6009" s="10"/>
      <c r="AT6009" s="10"/>
      <c r="AU6009" s="10"/>
      <c r="AV6009" s="10"/>
      <c r="AW6009" s="10"/>
      <c r="AX6009" s="10"/>
      <c r="AY6009" s="10"/>
      <c r="AZ6009" s="10"/>
    </row>
    <row r="6010" spans="31:52">
      <c r="AE6010" s="10"/>
      <c r="AF6010" s="10"/>
      <c r="AG6010" s="10"/>
      <c r="AH6010" s="10"/>
      <c r="AI6010" s="10"/>
      <c r="AJ6010" s="10"/>
      <c r="AK6010" s="10"/>
      <c r="AL6010" s="10"/>
      <c r="AM6010" s="10"/>
      <c r="AN6010" s="10"/>
      <c r="AO6010" s="10"/>
      <c r="AP6010" s="10"/>
      <c r="AQ6010" s="10"/>
      <c r="AR6010" s="10"/>
      <c r="AS6010" s="10"/>
      <c r="AT6010" s="10"/>
      <c r="AU6010" s="10"/>
      <c r="AV6010" s="10"/>
      <c r="AW6010" s="10"/>
      <c r="AX6010" s="10"/>
      <c r="AY6010" s="10"/>
      <c r="AZ6010" s="10"/>
    </row>
    <row r="6011" spans="31:52">
      <c r="AE6011" s="10"/>
      <c r="AF6011" s="10"/>
      <c r="AG6011" s="10"/>
      <c r="AH6011" s="10"/>
      <c r="AI6011" s="10"/>
      <c r="AJ6011" s="10"/>
      <c r="AK6011" s="10"/>
      <c r="AL6011" s="10"/>
      <c r="AM6011" s="10"/>
      <c r="AN6011" s="10"/>
      <c r="AO6011" s="10"/>
      <c r="AP6011" s="10"/>
      <c r="AQ6011" s="10"/>
      <c r="AR6011" s="10"/>
      <c r="AS6011" s="10"/>
      <c r="AT6011" s="10"/>
      <c r="AU6011" s="10"/>
      <c r="AV6011" s="10"/>
      <c r="AW6011" s="10"/>
      <c r="AX6011" s="10"/>
      <c r="AY6011" s="10"/>
      <c r="AZ6011" s="10"/>
    </row>
    <row r="6012" spans="31:52">
      <c r="AE6012" s="10"/>
      <c r="AF6012" s="10"/>
      <c r="AG6012" s="10"/>
      <c r="AH6012" s="10"/>
      <c r="AI6012" s="10"/>
      <c r="AJ6012" s="10"/>
      <c r="AK6012" s="10"/>
      <c r="AL6012" s="10"/>
      <c r="AM6012" s="10"/>
      <c r="AN6012" s="10"/>
      <c r="AO6012" s="10"/>
      <c r="AP6012" s="10"/>
      <c r="AQ6012" s="10"/>
      <c r="AR6012" s="10"/>
      <c r="AS6012" s="10"/>
      <c r="AT6012" s="10"/>
      <c r="AU6012" s="10"/>
      <c r="AV6012" s="10"/>
      <c r="AW6012" s="10"/>
      <c r="AX6012" s="10"/>
      <c r="AY6012" s="10"/>
      <c r="AZ6012" s="10"/>
    </row>
    <row r="6013" spans="31:52">
      <c r="AE6013" s="10"/>
      <c r="AF6013" s="10"/>
      <c r="AG6013" s="10"/>
      <c r="AH6013" s="10"/>
      <c r="AI6013" s="10"/>
      <c r="AJ6013" s="10"/>
      <c r="AK6013" s="10"/>
      <c r="AL6013" s="10"/>
      <c r="AM6013" s="10"/>
      <c r="AN6013" s="10"/>
      <c r="AO6013" s="10"/>
      <c r="AP6013" s="10"/>
      <c r="AQ6013" s="10"/>
      <c r="AR6013" s="10"/>
      <c r="AS6013" s="10"/>
      <c r="AT6013" s="10"/>
      <c r="AU6013" s="10"/>
      <c r="AV6013" s="10"/>
      <c r="AW6013" s="10"/>
      <c r="AX6013" s="10"/>
      <c r="AY6013" s="10"/>
      <c r="AZ6013" s="10"/>
    </row>
    <row r="6014" spans="31:52">
      <c r="AE6014" s="10"/>
      <c r="AF6014" s="10"/>
      <c r="AG6014" s="10"/>
      <c r="AH6014" s="10"/>
      <c r="AI6014" s="10"/>
      <c r="AJ6014" s="10"/>
      <c r="AK6014" s="10"/>
      <c r="AL6014" s="10"/>
      <c r="AM6014" s="10"/>
      <c r="AN6014" s="10"/>
      <c r="AO6014" s="10"/>
      <c r="AP6014" s="10"/>
      <c r="AQ6014" s="10"/>
      <c r="AR6014" s="10"/>
      <c r="AS6014" s="10"/>
      <c r="AT6014" s="10"/>
      <c r="AU6014" s="10"/>
      <c r="AV6014" s="10"/>
      <c r="AW6014" s="10"/>
      <c r="AX6014" s="10"/>
      <c r="AY6014" s="10"/>
      <c r="AZ6014" s="10"/>
    </row>
    <row r="6015" spans="31:52">
      <c r="AE6015" s="10"/>
      <c r="AF6015" s="10"/>
      <c r="AG6015" s="10"/>
      <c r="AH6015" s="10"/>
      <c r="AI6015" s="10"/>
      <c r="AJ6015" s="10"/>
      <c r="AK6015" s="10"/>
      <c r="AL6015" s="10"/>
      <c r="AM6015" s="10"/>
      <c r="AN6015" s="10"/>
      <c r="AO6015" s="10"/>
      <c r="AP6015" s="10"/>
      <c r="AQ6015" s="10"/>
      <c r="AR6015" s="10"/>
      <c r="AS6015" s="10"/>
      <c r="AT6015" s="10"/>
      <c r="AU6015" s="10"/>
      <c r="AV6015" s="10"/>
      <c r="AW6015" s="10"/>
      <c r="AX6015" s="10"/>
      <c r="AY6015" s="10"/>
      <c r="AZ6015" s="10"/>
    </row>
    <row r="6016" spans="31:52">
      <c r="AE6016" s="10"/>
      <c r="AF6016" s="10"/>
      <c r="AG6016" s="10"/>
      <c r="AH6016" s="10"/>
      <c r="AI6016" s="10"/>
      <c r="AJ6016" s="10"/>
      <c r="AK6016" s="10"/>
      <c r="AL6016" s="10"/>
      <c r="AM6016" s="10"/>
      <c r="AN6016" s="10"/>
      <c r="AO6016" s="10"/>
      <c r="AP6016" s="10"/>
      <c r="AQ6016" s="10"/>
      <c r="AR6016" s="10"/>
      <c r="AS6016" s="10"/>
      <c r="AT6016" s="10"/>
      <c r="AU6016" s="10"/>
      <c r="AV6016" s="10"/>
      <c r="AW6016" s="10"/>
      <c r="AX6016" s="10"/>
      <c r="AY6016" s="10"/>
      <c r="AZ6016" s="10"/>
    </row>
    <row r="6017" spans="31:52">
      <c r="AE6017" s="10"/>
      <c r="AF6017" s="10"/>
      <c r="AG6017" s="10"/>
      <c r="AH6017" s="10"/>
      <c r="AI6017" s="10"/>
      <c r="AJ6017" s="10"/>
      <c r="AK6017" s="10"/>
      <c r="AL6017" s="10"/>
      <c r="AM6017" s="10"/>
      <c r="AN6017" s="10"/>
      <c r="AO6017" s="10"/>
      <c r="AP6017" s="10"/>
      <c r="AQ6017" s="10"/>
      <c r="AR6017" s="10"/>
      <c r="AS6017" s="10"/>
      <c r="AT6017" s="10"/>
      <c r="AU6017" s="10"/>
      <c r="AV6017" s="10"/>
      <c r="AW6017" s="10"/>
      <c r="AX6017" s="10"/>
      <c r="AY6017" s="10"/>
      <c r="AZ6017" s="10"/>
    </row>
    <row r="6018" spans="31:52">
      <c r="AE6018" s="10"/>
      <c r="AF6018" s="10"/>
      <c r="AG6018" s="10"/>
      <c r="AH6018" s="10"/>
      <c r="AI6018" s="10"/>
      <c r="AJ6018" s="10"/>
      <c r="AK6018" s="10"/>
      <c r="AL6018" s="10"/>
      <c r="AM6018" s="10"/>
      <c r="AN6018" s="10"/>
      <c r="AO6018" s="10"/>
      <c r="AP6018" s="10"/>
      <c r="AQ6018" s="10"/>
      <c r="AR6018" s="10"/>
      <c r="AS6018" s="10"/>
      <c r="AT6018" s="10"/>
      <c r="AU6018" s="10"/>
      <c r="AV6018" s="10"/>
      <c r="AW6018" s="10"/>
      <c r="AX6018" s="10"/>
      <c r="AY6018" s="10"/>
      <c r="AZ6018" s="10"/>
    </row>
    <row r="6019" spans="31:52">
      <c r="AE6019" s="10"/>
      <c r="AF6019" s="10"/>
      <c r="AG6019" s="10"/>
      <c r="AH6019" s="10"/>
      <c r="AI6019" s="10"/>
      <c r="AJ6019" s="10"/>
      <c r="AK6019" s="10"/>
      <c r="AL6019" s="10"/>
      <c r="AM6019" s="10"/>
      <c r="AN6019" s="10"/>
      <c r="AO6019" s="10"/>
      <c r="AP6019" s="10"/>
      <c r="AQ6019" s="10"/>
      <c r="AR6019" s="10"/>
      <c r="AS6019" s="10"/>
      <c r="AT6019" s="10"/>
      <c r="AU6019" s="10"/>
      <c r="AV6019" s="10"/>
      <c r="AW6019" s="10"/>
      <c r="AX6019" s="10"/>
      <c r="AY6019" s="10"/>
      <c r="AZ6019" s="10"/>
    </row>
    <row r="6020" spans="31:52">
      <c r="AE6020" s="10"/>
      <c r="AF6020" s="10"/>
      <c r="AG6020" s="10"/>
      <c r="AH6020" s="10"/>
      <c r="AI6020" s="10"/>
      <c r="AJ6020" s="10"/>
      <c r="AK6020" s="10"/>
      <c r="AL6020" s="10"/>
      <c r="AM6020" s="10"/>
      <c r="AN6020" s="10"/>
      <c r="AO6020" s="10"/>
      <c r="AP6020" s="10"/>
      <c r="AQ6020" s="10"/>
      <c r="AR6020" s="10"/>
      <c r="AS6020" s="10"/>
      <c r="AT6020" s="10"/>
      <c r="AU6020" s="10"/>
      <c r="AV6020" s="10"/>
      <c r="AW6020" s="10"/>
      <c r="AX6020" s="10"/>
      <c r="AY6020" s="10"/>
      <c r="AZ6020" s="10"/>
    </row>
    <row r="6021" spans="31:52">
      <c r="AE6021" s="10"/>
      <c r="AF6021" s="10"/>
      <c r="AG6021" s="10"/>
      <c r="AH6021" s="10"/>
      <c r="AI6021" s="10"/>
      <c r="AJ6021" s="10"/>
      <c r="AK6021" s="10"/>
      <c r="AL6021" s="10"/>
      <c r="AM6021" s="10"/>
      <c r="AN6021" s="10"/>
      <c r="AO6021" s="10"/>
      <c r="AP6021" s="10"/>
      <c r="AQ6021" s="10"/>
      <c r="AR6021" s="10"/>
      <c r="AS6021" s="10"/>
      <c r="AT6021" s="10"/>
      <c r="AU6021" s="10"/>
      <c r="AV6021" s="10"/>
      <c r="AW6021" s="10"/>
      <c r="AX6021" s="10"/>
      <c r="AY6021" s="10"/>
      <c r="AZ6021" s="10"/>
    </row>
    <row r="6022" spans="31:52">
      <c r="AE6022" s="10"/>
      <c r="AF6022" s="10"/>
      <c r="AG6022" s="10"/>
      <c r="AH6022" s="10"/>
      <c r="AI6022" s="10"/>
      <c r="AJ6022" s="10"/>
      <c r="AK6022" s="10"/>
      <c r="AL6022" s="10"/>
      <c r="AM6022" s="10"/>
      <c r="AN6022" s="10"/>
      <c r="AO6022" s="10"/>
      <c r="AP6022" s="10"/>
      <c r="AQ6022" s="10"/>
      <c r="AR6022" s="10"/>
      <c r="AS6022" s="10"/>
      <c r="AT6022" s="10"/>
      <c r="AU6022" s="10"/>
      <c r="AV6022" s="10"/>
      <c r="AW6022" s="10"/>
      <c r="AX6022" s="10"/>
      <c r="AY6022" s="10"/>
      <c r="AZ6022" s="10"/>
    </row>
    <row r="6023" spans="31:52">
      <c r="AE6023" s="10"/>
      <c r="AF6023" s="10"/>
      <c r="AG6023" s="10"/>
      <c r="AH6023" s="10"/>
      <c r="AI6023" s="10"/>
      <c r="AJ6023" s="10"/>
      <c r="AK6023" s="10"/>
      <c r="AL6023" s="10"/>
      <c r="AM6023" s="10"/>
      <c r="AN6023" s="10"/>
      <c r="AO6023" s="10"/>
      <c r="AP6023" s="10"/>
      <c r="AQ6023" s="10"/>
      <c r="AR6023" s="10"/>
      <c r="AS6023" s="10"/>
      <c r="AT6023" s="10"/>
      <c r="AU6023" s="10"/>
      <c r="AV6023" s="10"/>
      <c r="AW6023" s="10"/>
      <c r="AX6023" s="10"/>
      <c r="AY6023" s="10"/>
      <c r="AZ6023" s="10"/>
    </row>
    <row r="6024" spans="31:52">
      <c r="AE6024" s="10"/>
      <c r="AF6024" s="10"/>
      <c r="AG6024" s="10"/>
      <c r="AH6024" s="10"/>
      <c r="AI6024" s="10"/>
      <c r="AJ6024" s="10"/>
      <c r="AK6024" s="10"/>
      <c r="AL6024" s="10"/>
      <c r="AM6024" s="10"/>
      <c r="AN6024" s="10"/>
      <c r="AO6024" s="10"/>
      <c r="AP6024" s="10"/>
      <c r="AQ6024" s="10"/>
      <c r="AR6024" s="10"/>
      <c r="AS6024" s="10"/>
      <c r="AT6024" s="10"/>
      <c r="AU6024" s="10"/>
      <c r="AV6024" s="10"/>
      <c r="AW6024" s="10"/>
      <c r="AX6024" s="10"/>
      <c r="AY6024" s="10"/>
      <c r="AZ6024" s="10"/>
    </row>
    <row r="6025" spans="31:52">
      <c r="AE6025" s="10"/>
      <c r="AF6025" s="10"/>
      <c r="AG6025" s="10"/>
      <c r="AH6025" s="10"/>
      <c r="AI6025" s="10"/>
      <c r="AJ6025" s="10"/>
      <c r="AK6025" s="10"/>
      <c r="AL6025" s="10"/>
      <c r="AM6025" s="10"/>
      <c r="AN6025" s="10"/>
      <c r="AO6025" s="10"/>
      <c r="AP6025" s="10"/>
      <c r="AQ6025" s="10"/>
      <c r="AR6025" s="10"/>
      <c r="AS6025" s="10"/>
      <c r="AT6025" s="10"/>
      <c r="AU6025" s="10"/>
      <c r="AV6025" s="10"/>
      <c r="AW6025" s="10"/>
      <c r="AX6025" s="10"/>
      <c r="AY6025" s="10"/>
      <c r="AZ6025" s="10"/>
    </row>
    <row r="6026" spans="31:52">
      <c r="AE6026" s="10"/>
      <c r="AF6026" s="10"/>
      <c r="AG6026" s="10"/>
      <c r="AH6026" s="10"/>
      <c r="AI6026" s="10"/>
      <c r="AJ6026" s="10"/>
      <c r="AK6026" s="10"/>
      <c r="AL6026" s="10"/>
      <c r="AM6026" s="10"/>
      <c r="AN6026" s="10"/>
      <c r="AO6026" s="10"/>
      <c r="AP6026" s="10"/>
      <c r="AQ6026" s="10"/>
      <c r="AR6026" s="10"/>
      <c r="AS6026" s="10"/>
      <c r="AT6026" s="10"/>
      <c r="AU6026" s="10"/>
      <c r="AV6026" s="10"/>
      <c r="AW6026" s="10"/>
      <c r="AX6026" s="10"/>
      <c r="AY6026" s="10"/>
      <c r="AZ6026" s="10"/>
    </row>
    <row r="6027" spans="31:52">
      <c r="AE6027" s="10"/>
      <c r="AF6027" s="10"/>
      <c r="AG6027" s="10"/>
      <c r="AH6027" s="10"/>
      <c r="AI6027" s="10"/>
      <c r="AJ6027" s="10"/>
      <c r="AK6027" s="10"/>
      <c r="AL6027" s="10"/>
      <c r="AM6027" s="10"/>
      <c r="AN6027" s="10"/>
      <c r="AO6027" s="10"/>
      <c r="AP6027" s="10"/>
      <c r="AQ6027" s="10"/>
      <c r="AR6027" s="10"/>
      <c r="AS6027" s="10"/>
      <c r="AT6027" s="10"/>
      <c r="AU6027" s="10"/>
      <c r="AV6027" s="10"/>
      <c r="AW6027" s="10"/>
      <c r="AX6027" s="10"/>
      <c r="AY6027" s="10"/>
      <c r="AZ6027" s="10"/>
    </row>
    <row r="6028" spans="31:52">
      <c r="AE6028" s="10"/>
      <c r="AF6028" s="10"/>
      <c r="AG6028" s="10"/>
      <c r="AH6028" s="10"/>
      <c r="AI6028" s="10"/>
      <c r="AJ6028" s="10"/>
      <c r="AK6028" s="10"/>
      <c r="AL6028" s="10"/>
      <c r="AM6028" s="10"/>
      <c r="AN6028" s="10"/>
      <c r="AO6028" s="10"/>
      <c r="AP6028" s="10"/>
      <c r="AQ6028" s="10"/>
      <c r="AR6028" s="10"/>
      <c r="AS6028" s="10"/>
      <c r="AT6028" s="10"/>
      <c r="AU6028" s="10"/>
      <c r="AV6028" s="10"/>
      <c r="AW6028" s="10"/>
      <c r="AX6028" s="10"/>
      <c r="AY6028" s="10"/>
      <c r="AZ6028" s="10"/>
    </row>
    <row r="6029" spans="31:52">
      <c r="AE6029" s="10"/>
      <c r="AF6029" s="10"/>
      <c r="AG6029" s="10"/>
      <c r="AH6029" s="10"/>
      <c r="AI6029" s="10"/>
      <c r="AJ6029" s="10"/>
      <c r="AK6029" s="10"/>
      <c r="AL6029" s="10"/>
      <c r="AM6029" s="10"/>
      <c r="AN6029" s="10"/>
      <c r="AO6029" s="10"/>
      <c r="AP6029" s="10"/>
      <c r="AQ6029" s="10"/>
      <c r="AR6029" s="10"/>
      <c r="AS6029" s="10"/>
      <c r="AT6029" s="10"/>
      <c r="AU6029" s="10"/>
      <c r="AV6029" s="10"/>
      <c r="AW6029" s="10"/>
      <c r="AX6029" s="10"/>
      <c r="AY6029" s="10"/>
      <c r="AZ6029" s="10"/>
    </row>
    <row r="6030" spans="31:52">
      <c r="AE6030" s="10"/>
      <c r="AF6030" s="10"/>
      <c r="AG6030" s="10"/>
      <c r="AH6030" s="10"/>
      <c r="AI6030" s="10"/>
      <c r="AJ6030" s="10"/>
      <c r="AK6030" s="10"/>
      <c r="AL6030" s="10"/>
      <c r="AM6030" s="10"/>
      <c r="AN6030" s="10"/>
      <c r="AO6030" s="10"/>
      <c r="AP6030" s="10"/>
      <c r="AQ6030" s="10"/>
      <c r="AR6030" s="10"/>
      <c r="AS6030" s="10"/>
      <c r="AT6030" s="10"/>
      <c r="AU6030" s="10"/>
      <c r="AV6030" s="10"/>
      <c r="AW6030" s="10"/>
      <c r="AX6030" s="10"/>
      <c r="AY6030" s="10"/>
      <c r="AZ6030" s="10"/>
    </row>
    <row r="6031" spans="31:52">
      <c r="AE6031" s="10"/>
      <c r="AF6031" s="10"/>
      <c r="AG6031" s="10"/>
      <c r="AH6031" s="10"/>
      <c r="AI6031" s="10"/>
      <c r="AJ6031" s="10"/>
      <c r="AK6031" s="10"/>
      <c r="AL6031" s="10"/>
      <c r="AM6031" s="10"/>
      <c r="AN6031" s="10"/>
      <c r="AO6031" s="10"/>
      <c r="AP6031" s="10"/>
      <c r="AQ6031" s="10"/>
      <c r="AR6031" s="10"/>
      <c r="AS6031" s="10"/>
      <c r="AT6031" s="10"/>
      <c r="AU6031" s="10"/>
      <c r="AV6031" s="10"/>
      <c r="AW6031" s="10"/>
      <c r="AX6031" s="10"/>
      <c r="AY6031" s="10"/>
      <c r="AZ6031" s="10"/>
    </row>
    <row r="6032" spans="31:52">
      <c r="AE6032" s="10"/>
      <c r="AF6032" s="10"/>
      <c r="AG6032" s="10"/>
      <c r="AH6032" s="10"/>
      <c r="AI6032" s="10"/>
      <c r="AJ6032" s="10"/>
      <c r="AK6032" s="10"/>
      <c r="AL6032" s="10"/>
      <c r="AM6032" s="10"/>
      <c r="AN6032" s="10"/>
      <c r="AO6032" s="10"/>
      <c r="AP6032" s="10"/>
      <c r="AQ6032" s="10"/>
      <c r="AR6032" s="10"/>
      <c r="AS6032" s="10"/>
      <c r="AT6032" s="10"/>
      <c r="AU6032" s="10"/>
      <c r="AV6032" s="10"/>
      <c r="AW6032" s="10"/>
      <c r="AX6032" s="10"/>
      <c r="AY6032" s="10"/>
      <c r="AZ6032" s="10"/>
    </row>
    <row r="6033" spans="31:52">
      <c r="AE6033" s="10"/>
      <c r="AF6033" s="10"/>
      <c r="AG6033" s="10"/>
      <c r="AH6033" s="10"/>
      <c r="AI6033" s="10"/>
      <c r="AJ6033" s="10"/>
      <c r="AK6033" s="10"/>
      <c r="AL6033" s="10"/>
      <c r="AM6033" s="10"/>
      <c r="AN6033" s="10"/>
      <c r="AO6033" s="10"/>
      <c r="AP6033" s="10"/>
      <c r="AQ6033" s="10"/>
      <c r="AR6033" s="10"/>
      <c r="AS6033" s="10"/>
      <c r="AT6033" s="10"/>
      <c r="AU6033" s="10"/>
      <c r="AV6033" s="10"/>
      <c r="AW6033" s="10"/>
      <c r="AX6033" s="10"/>
      <c r="AY6033" s="10"/>
      <c r="AZ6033" s="10"/>
    </row>
    <row r="6034" spans="31:52">
      <c r="AE6034" s="10"/>
      <c r="AF6034" s="10"/>
      <c r="AG6034" s="10"/>
      <c r="AH6034" s="10"/>
      <c r="AI6034" s="10"/>
      <c r="AJ6034" s="10"/>
      <c r="AK6034" s="10"/>
      <c r="AL6034" s="10"/>
      <c r="AM6034" s="10"/>
      <c r="AN6034" s="10"/>
      <c r="AO6034" s="10"/>
      <c r="AP6034" s="10"/>
      <c r="AQ6034" s="10"/>
      <c r="AR6034" s="10"/>
      <c r="AS6034" s="10"/>
      <c r="AT6034" s="10"/>
      <c r="AU6034" s="10"/>
      <c r="AV6034" s="10"/>
      <c r="AW6034" s="10"/>
      <c r="AX6034" s="10"/>
      <c r="AY6034" s="10"/>
      <c r="AZ6034" s="10"/>
    </row>
    <row r="6035" spans="31:52">
      <c r="AE6035" s="10"/>
      <c r="AF6035" s="10"/>
      <c r="AG6035" s="10"/>
      <c r="AH6035" s="10"/>
      <c r="AI6035" s="10"/>
      <c r="AJ6035" s="10"/>
      <c r="AK6035" s="10"/>
      <c r="AL6035" s="10"/>
      <c r="AM6035" s="10"/>
      <c r="AN6035" s="10"/>
      <c r="AO6035" s="10"/>
      <c r="AP6035" s="10"/>
      <c r="AQ6035" s="10"/>
      <c r="AR6035" s="10"/>
      <c r="AS6035" s="10"/>
      <c r="AT6035" s="10"/>
      <c r="AU6035" s="10"/>
      <c r="AV6035" s="10"/>
      <c r="AW6035" s="10"/>
      <c r="AX6035" s="10"/>
      <c r="AY6035" s="10"/>
      <c r="AZ6035" s="10"/>
    </row>
    <row r="6036" spans="31:52">
      <c r="AE6036" s="10"/>
      <c r="AF6036" s="10"/>
      <c r="AG6036" s="10"/>
      <c r="AH6036" s="10"/>
      <c r="AI6036" s="10"/>
      <c r="AJ6036" s="10"/>
      <c r="AK6036" s="10"/>
      <c r="AL6036" s="10"/>
      <c r="AM6036" s="10"/>
      <c r="AN6036" s="10"/>
      <c r="AO6036" s="10"/>
      <c r="AP6036" s="10"/>
      <c r="AQ6036" s="10"/>
      <c r="AR6036" s="10"/>
      <c r="AS6036" s="10"/>
      <c r="AT6036" s="10"/>
      <c r="AU6036" s="10"/>
      <c r="AV6036" s="10"/>
      <c r="AW6036" s="10"/>
      <c r="AX6036" s="10"/>
      <c r="AY6036" s="10"/>
      <c r="AZ6036" s="10"/>
    </row>
    <row r="6037" spans="31:52">
      <c r="AE6037" s="10"/>
      <c r="AF6037" s="10"/>
      <c r="AG6037" s="10"/>
      <c r="AH6037" s="10"/>
      <c r="AI6037" s="10"/>
      <c r="AJ6037" s="10"/>
      <c r="AK6037" s="10"/>
      <c r="AL6037" s="10"/>
      <c r="AM6037" s="10"/>
      <c r="AN6037" s="10"/>
      <c r="AO6037" s="10"/>
      <c r="AP6037" s="10"/>
      <c r="AQ6037" s="10"/>
      <c r="AR6037" s="10"/>
      <c r="AS6037" s="10"/>
      <c r="AT6037" s="10"/>
      <c r="AU6037" s="10"/>
      <c r="AV6037" s="10"/>
      <c r="AW6037" s="10"/>
      <c r="AX6037" s="10"/>
      <c r="AY6037" s="10"/>
      <c r="AZ6037" s="10"/>
    </row>
    <row r="6038" spans="31:52">
      <c r="AE6038" s="10"/>
      <c r="AF6038" s="10"/>
      <c r="AG6038" s="10"/>
      <c r="AH6038" s="10"/>
      <c r="AI6038" s="10"/>
      <c r="AJ6038" s="10"/>
      <c r="AK6038" s="10"/>
      <c r="AL6038" s="10"/>
      <c r="AM6038" s="10"/>
      <c r="AN6038" s="10"/>
      <c r="AO6038" s="10"/>
      <c r="AP6038" s="10"/>
      <c r="AQ6038" s="10"/>
      <c r="AR6038" s="10"/>
      <c r="AS6038" s="10"/>
      <c r="AT6038" s="10"/>
      <c r="AU6038" s="10"/>
      <c r="AV6038" s="10"/>
      <c r="AW6038" s="10"/>
      <c r="AX6038" s="10"/>
      <c r="AY6038" s="10"/>
      <c r="AZ6038" s="10"/>
    </row>
    <row r="6039" spans="31:52">
      <c r="AE6039" s="10"/>
      <c r="AF6039" s="10"/>
      <c r="AG6039" s="10"/>
      <c r="AH6039" s="10"/>
      <c r="AI6039" s="10"/>
      <c r="AJ6039" s="10"/>
      <c r="AK6039" s="10"/>
      <c r="AL6039" s="10"/>
      <c r="AM6039" s="10"/>
      <c r="AN6039" s="10"/>
      <c r="AO6039" s="10"/>
      <c r="AP6039" s="10"/>
      <c r="AQ6039" s="10"/>
      <c r="AR6039" s="10"/>
      <c r="AS6039" s="10"/>
      <c r="AT6039" s="10"/>
      <c r="AU6039" s="10"/>
      <c r="AV6039" s="10"/>
      <c r="AW6039" s="10"/>
      <c r="AX6039" s="10"/>
      <c r="AY6039" s="10"/>
      <c r="AZ6039" s="10"/>
    </row>
    <row r="6040" spans="31:52">
      <c r="AE6040" s="10"/>
      <c r="AF6040" s="10"/>
      <c r="AG6040" s="10"/>
      <c r="AH6040" s="10"/>
      <c r="AI6040" s="10"/>
      <c r="AJ6040" s="10"/>
      <c r="AK6040" s="10"/>
      <c r="AL6040" s="10"/>
      <c r="AM6040" s="10"/>
      <c r="AN6040" s="10"/>
      <c r="AO6040" s="10"/>
      <c r="AP6040" s="10"/>
      <c r="AQ6040" s="10"/>
      <c r="AR6040" s="10"/>
      <c r="AS6040" s="10"/>
      <c r="AT6040" s="10"/>
      <c r="AU6040" s="10"/>
      <c r="AV6040" s="10"/>
      <c r="AW6040" s="10"/>
      <c r="AX6040" s="10"/>
      <c r="AY6040" s="10"/>
      <c r="AZ6040" s="10"/>
    </row>
    <row r="6041" spans="31:52">
      <c r="AE6041" s="10"/>
      <c r="AF6041" s="10"/>
      <c r="AG6041" s="10"/>
      <c r="AH6041" s="10"/>
      <c r="AI6041" s="10"/>
      <c r="AJ6041" s="10"/>
      <c r="AK6041" s="10"/>
      <c r="AL6041" s="10"/>
      <c r="AM6041" s="10"/>
      <c r="AN6041" s="10"/>
      <c r="AO6041" s="10"/>
      <c r="AP6041" s="10"/>
      <c r="AQ6041" s="10"/>
      <c r="AR6041" s="10"/>
      <c r="AS6041" s="10"/>
      <c r="AT6041" s="10"/>
      <c r="AU6041" s="10"/>
      <c r="AV6041" s="10"/>
      <c r="AW6041" s="10"/>
      <c r="AX6041" s="10"/>
      <c r="AY6041" s="10"/>
      <c r="AZ6041" s="10"/>
    </row>
    <row r="6042" spans="31:52">
      <c r="AE6042" s="10"/>
      <c r="AF6042" s="10"/>
      <c r="AG6042" s="10"/>
      <c r="AH6042" s="10"/>
      <c r="AI6042" s="10"/>
      <c r="AJ6042" s="10"/>
      <c r="AK6042" s="10"/>
      <c r="AL6042" s="10"/>
      <c r="AM6042" s="10"/>
      <c r="AN6042" s="10"/>
      <c r="AO6042" s="10"/>
      <c r="AP6042" s="10"/>
      <c r="AQ6042" s="10"/>
      <c r="AR6042" s="10"/>
      <c r="AS6042" s="10"/>
      <c r="AT6042" s="10"/>
      <c r="AU6042" s="10"/>
      <c r="AV6042" s="10"/>
      <c r="AW6042" s="10"/>
      <c r="AX6042" s="10"/>
      <c r="AY6042" s="10"/>
      <c r="AZ6042" s="10"/>
    </row>
    <row r="6043" spans="31:52">
      <c r="AE6043" s="10"/>
      <c r="AF6043" s="10"/>
      <c r="AG6043" s="10"/>
      <c r="AH6043" s="10"/>
      <c r="AI6043" s="10"/>
      <c r="AJ6043" s="10"/>
      <c r="AK6043" s="10"/>
      <c r="AL6043" s="10"/>
      <c r="AM6043" s="10"/>
      <c r="AN6043" s="10"/>
      <c r="AO6043" s="10"/>
      <c r="AP6043" s="10"/>
      <c r="AQ6043" s="10"/>
      <c r="AR6043" s="10"/>
      <c r="AS6043" s="10"/>
      <c r="AT6043" s="10"/>
      <c r="AU6043" s="10"/>
      <c r="AV6043" s="10"/>
      <c r="AW6043" s="10"/>
      <c r="AX6043" s="10"/>
      <c r="AY6043" s="10"/>
      <c r="AZ6043" s="10"/>
    </row>
    <row r="6044" spans="31:52">
      <c r="AE6044" s="10"/>
      <c r="AF6044" s="10"/>
      <c r="AG6044" s="10"/>
      <c r="AH6044" s="10"/>
      <c r="AI6044" s="10"/>
      <c r="AJ6044" s="10"/>
      <c r="AK6044" s="10"/>
      <c r="AL6044" s="10"/>
      <c r="AM6044" s="10"/>
      <c r="AN6044" s="10"/>
      <c r="AO6044" s="10"/>
      <c r="AP6044" s="10"/>
      <c r="AQ6044" s="10"/>
      <c r="AR6044" s="10"/>
      <c r="AS6044" s="10"/>
      <c r="AT6044" s="10"/>
      <c r="AU6044" s="10"/>
      <c r="AV6044" s="10"/>
      <c r="AW6044" s="10"/>
      <c r="AX6044" s="10"/>
      <c r="AY6044" s="10"/>
      <c r="AZ6044" s="10"/>
    </row>
    <row r="6045" spans="31:52">
      <c r="AE6045" s="10"/>
      <c r="AF6045" s="10"/>
      <c r="AG6045" s="10"/>
      <c r="AH6045" s="10"/>
      <c r="AI6045" s="10"/>
      <c r="AJ6045" s="10"/>
      <c r="AK6045" s="10"/>
      <c r="AL6045" s="10"/>
      <c r="AM6045" s="10"/>
      <c r="AN6045" s="10"/>
      <c r="AO6045" s="10"/>
      <c r="AP6045" s="10"/>
      <c r="AQ6045" s="10"/>
      <c r="AR6045" s="10"/>
      <c r="AS6045" s="10"/>
      <c r="AT6045" s="10"/>
      <c r="AU6045" s="10"/>
      <c r="AV6045" s="10"/>
      <c r="AW6045" s="10"/>
      <c r="AX6045" s="10"/>
      <c r="AY6045" s="10"/>
      <c r="AZ6045" s="10"/>
    </row>
    <row r="6046" spans="31:52">
      <c r="AE6046" s="10"/>
      <c r="AF6046" s="10"/>
      <c r="AG6046" s="10"/>
      <c r="AH6046" s="10"/>
      <c r="AI6046" s="10"/>
      <c r="AJ6046" s="10"/>
      <c r="AK6046" s="10"/>
      <c r="AL6046" s="10"/>
      <c r="AM6046" s="10"/>
      <c r="AN6046" s="10"/>
      <c r="AO6046" s="10"/>
      <c r="AP6046" s="10"/>
      <c r="AQ6046" s="10"/>
      <c r="AR6046" s="10"/>
      <c r="AS6046" s="10"/>
      <c r="AT6046" s="10"/>
      <c r="AU6046" s="10"/>
      <c r="AV6046" s="10"/>
      <c r="AW6046" s="10"/>
      <c r="AX6046" s="10"/>
      <c r="AY6046" s="10"/>
      <c r="AZ6046" s="10"/>
    </row>
    <row r="6047" spans="31:52">
      <c r="AE6047" s="10"/>
      <c r="AF6047" s="10"/>
      <c r="AG6047" s="10"/>
      <c r="AH6047" s="10"/>
      <c r="AI6047" s="10"/>
      <c r="AJ6047" s="10"/>
      <c r="AK6047" s="10"/>
      <c r="AL6047" s="10"/>
      <c r="AM6047" s="10"/>
      <c r="AN6047" s="10"/>
      <c r="AO6047" s="10"/>
      <c r="AP6047" s="10"/>
      <c r="AQ6047" s="10"/>
      <c r="AR6047" s="10"/>
      <c r="AS6047" s="10"/>
      <c r="AT6047" s="10"/>
      <c r="AU6047" s="10"/>
      <c r="AV6047" s="10"/>
      <c r="AW6047" s="10"/>
      <c r="AX6047" s="10"/>
      <c r="AY6047" s="10"/>
      <c r="AZ6047" s="10"/>
    </row>
    <row r="6048" spans="31:52">
      <c r="AE6048" s="10"/>
      <c r="AF6048" s="10"/>
      <c r="AG6048" s="10"/>
      <c r="AH6048" s="10"/>
      <c r="AI6048" s="10"/>
      <c r="AJ6048" s="10"/>
      <c r="AK6048" s="10"/>
      <c r="AL6048" s="10"/>
      <c r="AM6048" s="10"/>
      <c r="AN6048" s="10"/>
      <c r="AO6048" s="10"/>
      <c r="AP6048" s="10"/>
      <c r="AQ6048" s="10"/>
      <c r="AR6048" s="10"/>
      <c r="AS6048" s="10"/>
      <c r="AT6048" s="10"/>
      <c r="AU6048" s="10"/>
      <c r="AV6048" s="10"/>
      <c r="AW6048" s="10"/>
      <c r="AX6048" s="10"/>
      <c r="AY6048" s="10"/>
      <c r="AZ6048" s="10"/>
    </row>
    <row r="6049" spans="31:52">
      <c r="AE6049" s="10"/>
      <c r="AF6049" s="10"/>
      <c r="AG6049" s="10"/>
      <c r="AH6049" s="10"/>
      <c r="AI6049" s="10"/>
      <c r="AJ6049" s="10"/>
      <c r="AK6049" s="10"/>
      <c r="AL6049" s="10"/>
      <c r="AM6049" s="10"/>
      <c r="AN6049" s="10"/>
      <c r="AO6049" s="10"/>
      <c r="AP6049" s="10"/>
      <c r="AQ6049" s="10"/>
      <c r="AR6049" s="10"/>
      <c r="AS6049" s="10"/>
      <c r="AT6049" s="10"/>
      <c r="AU6049" s="10"/>
      <c r="AV6049" s="10"/>
      <c r="AW6049" s="10"/>
      <c r="AX6049" s="10"/>
      <c r="AY6049" s="10"/>
      <c r="AZ6049" s="10"/>
    </row>
    <row r="6050" spans="31:52">
      <c r="AE6050" s="10"/>
      <c r="AF6050" s="10"/>
      <c r="AG6050" s="10"/>
      <c r="AH6050" s="10"/>
      <c r="AI6050" s="10"/>
      <c r="AJ6050" s="10"/>
      <c r="AK6050" s="10"/>
      <c r="AL6050" s="10"/>
      <c r="AM6050" s="10"/>
      <c r="AN6050" s="10"/>
      <c r="AO6050" s="10"/>
      <c r="AP6050" s="10"/>
      <c r="AQ6050" s="10"/>
      <c r="AR6050" s="10"/>
      <c r="AS6050" s="10"/>
      <c r="AT6050" s="10"/>
      <c r="AU6050" s="10"/>
      <c r="AV6050" s="10"/>
      <c r="AW6050" s="10"/>
      <c r="AX6050" s="10"/>
      <c r="AY6050" s="10"/>
      <c r="AZ6050" s="10"/>
    </row>
    <row r="6051" spans="31:52">
      <c r="AE6051" s="10"/>
      <c r="AF6051" s="10"/>
      <c r="AG6051" s="10"/>
      <c r="AH6051" s="10"/>
      <c r="AI6051" s="10"/>
      <c r="AJ6051" s="10"/>
      <c r="AK6051" s="10"/>
      <c r="AL6051" s="10"/>
      <c r="AM6051" s="10"/>
      <c r="AN6051" s="10"/>
      <c r="AO6051" s="10"/>
      <c r="AP6051" s="10"/>
      <c r="AQ6051" s="10"/>
      <c r="AR6051" s="10"/>
      <c r="AS6051" s="10"/>
      <c r="AT6051" s="10"/>
      <c r="AU6051" s="10"/>
      <c r="AV6051" s="10"/>
      <c r="AW6051" s="10"/>
      <c r="AX6051" s="10"/>
      <c r="AY6051" s="10"/>
      <c r="AZ6051" s="10"/>
    </row>
    <row r="6052" spans="31:52">
      <c r="AE6052" s="10"/>
      <c r="AF6052" s="10"/>
      <c r="AG6052" s="10"/>
      <c r="AH6052" s="10"/>
      <c r="AI6052" s="10"/>
      <c r="AJ6052" s="10"/>
      <c r="AK6052" s="10"/>
      <c r="AL6052" s="10"/>
      <c r="AM6052" s="10"/>
      <c r="AN6052" s="10"/>
      <c r="AO6052" s="10"/>
      <c r="AP6052" s="10"/>
      <c r="AQ6052" s="10"/>
      <c r="AR6052" s="10"/>
      <c r="AS6052" s="10"/>
      <c r="AT6052" s="10"/>
      <c r="AU6052" s="10"/>
      <c r="AV6052" s="10"/>
      <c r="AW6052" s="10"/>
      <c r="AX6052" s="10"/>
      <c r="AY6052" s="10"/>
      <c r="AZ6052" s="10"/>
    </row>
    <row r="6053" spans="31:52">
      <c r="AE6053" s="10"/>
      <c r="AF6053" s="10"/>
      <c r="AG6053" s="10"/>
      <c r="AH6053" s="10"/>
      <c r="AI6053" s="10"/>
      <c r="AJ6053" s="10"/>
      <c r="AK6053" s="10"/>
      <c r="AL6053" s="10"/>
      <c r="AM6053" s="10"/>
      <c r="AN6053" s="10"/>
      <c r="AO6053" s="10"/>
      <c r="AP6053" s="10"/>
      <c r="AQ6053" s="10"/>
      <c r="AR6053" s="10"/>
      <c r="AS6053" s="10"/>
      <c r="AT6053" s="10"/>
      <c r="AU6053" s="10"/>
      <c r="AV6053" s="10"/>
      <c r="AW6053" s="10"/>
      <c r="AX6053" s="10"/>
      <c r="AY6053" s="10"/>
      <c r="AZ6053" s="10"/>
    </row>
    <row r="6054" spans="31:52">
      <c r="AE6054" s="10"/>
      <c r="AF6054" s="10"/>
      <c r="AG6054" s="10"/>
      <c r="AH6054" s="10"/>
      <c r="AI6054" s="10"/>
      <c r="AJ6054" s="10"/>
      <c r="AK6054" s="10"/>
      <c r="AL6054" s="10"/>
      <c r="AM6054" s="10"/>
      <c r="AN6054" s="10"/>
      <c r="AO6054" s="10"/>
      <c r="AP6054" s="10"/>
      <c r="AQ6054" s="10"/>
      <c r="AR6054" s="10"/>
      <c r="AS6054" s="10"/>
      <c r="AT6054" s="10"/>
      <c r="AU6054" s="10"/>
      <c r="AV6054" s="10"/>
      <c r="AW6054" s="10"/>
      <c r="AX6054" s="10"/>
      <c r="AY6054" s="10"/>
      <c r="AZ6054" s="10"/>
    </row>
    <row r="6055" spans="31:52">
      <c r="AE6055" s="10"/>
      <c r="AF6055" s="10"/>
      <c r="AG6055" s="10"/>
      <c r="AH6055" s="10"/>
      <c r="AI6055" s="10"/>
      <c r="AJ6055" s="10"/>
      <c r="AK6055" s="10"/>
      <c r="AL6055" s="10"/>
      <c r="AM6055" s="10"/>
      <c r="AN6055" s="10"/>
      <c r="AO6055" s="10"/>
      <c r="AP6055" s="10"/>
      <c r="AQ6055" s="10"/>
      <c r="AR6055" s="10"/>
      <c r="AS6055" s="10"/>
      <c r="AT6055" s="10"/>
      <c r="AU6055" s="10"/>
      <c r="AV6055" s="10"/>
      <c r="AW6055" s="10"/>
      <c r="AX6055" s="10"/>
      <c r="AY6055" s="10"/>
      <c r="AZ6055" s="10"/>
    </row>
    <row r="6056" spans="31:52">
      <c r="AE6056" s="10"/>
      <c r="AF6056" s="10"/>
      <c r="AG6056" s="10"/>
      <c r="AH6056" s="10"/>
      <c r="AI6056" s="10"/>
      <c r="AJ6056" s="10"/>
      <c r="AK6056" s="10"/>
      <c r="AL6056" s="10"/>
      <c r="AM6056" s="10"/>
      <c r="AN6056" s="10"/>
      <c r="AO6056" s="10"/>
      <c r="AP6056" s="10"/>
      <c r="AQ6056" s="10"/>
      <c r="AR6056" s="10"/>
      <c r="AS6056" s="10"/>
      <c r="AT6056" s="10"/>
      <c r="AU6056" s="10"/>
      <c r="AV6056" s="10"/>
      <c r="AW6056" s="10"/>
      <c r="AX6056" s="10"/>
      <c r="AY6056" s="10"/>
      <c r="AZ6056" s="10"/>
    </row>
    <row r="6057" spans="31:52">
      <c r="AE6057" s="10"/>
      <c r="AF6057" s="10"/>
      <c r="AG6057" s="10"/>
      <c r="AH6057" s="10"/>
      <c r="AI6057" s="10"/>
      <c r="AJ6057" s="10"/>
      <c r="AK6057" s="10"/>
      <c r="AL6057" s="10"/>
      <c r="AM6057" s="10"/>
      <c r="AN6057" s="10"/>
      <c r="AO6057" s="10"/>
      <c r="AP6057" s="10"/>
      <c r="AQ6057" s="10"/>
      <c r="AR6057" s="10"/>
      <c r="AS6057" s="10"/>
      <c r="AT6057" s="10"/>
      <c r="AU6057" s="10"/>
      <c r="AV6057" s="10"/>
      <c r="AW6057" s="10"/>
      <c r="AX6057" s="10"/>
      <c r="AY6057" s="10"/>
      <c r="AZ6057" s="10"/>
    </row>
    <row r="6058" spans="31:52">
      <c r="AE6058" s="10"/>
      <c r="AF6058" s="10"/>
      <c r="AG6058" s="10"/>
      <c r="AH6058" s="10"/>
      <c r="AI6058" s="10"/>
      <c r="AJ6058" s="10"/>
      <c r="AK6058" s="10"/>
      <c r="AL6058" s="10"/>
      <c r="AM6058" s="10"/>
      <c r="AN6058" s="10"/>
      <c r="AO6058" s="10"/>
      <c r="AP6058" s="10"/>
      <c r="AQ6058" s="10"/>
      <c r="AR6058" s="10"/>
      <c r="AS6058" s="10"/>
      <c r="AT6058" s="10"/>
      <c r="AU6058" s="10"/>
      <c r="AV6058" s="10"/>
      <c r="AW6058" s="10"/>
      <c r="AX6058" s="10"/>
      <c r="AY6058" s="10"/>
      <c r="AZ6058" s="10"/>
    </row>
    <row r="6059" spans="31:52">
      <c r="AE6059" s="10"/>
      <c r="AF6059" s="10"/>
      <c r="AG6059" s="10"/>
      <c r="AH6059" s="10"/>
      <c r="AI6059" s="10"/>
      <c r="AJ6059" s="10"/>
      <c r="AK6059" s="10"/>
      <c r="AL6059" s="10"/>
      <c r="AM6059" s="10"/>
      <c r="AN6059" s="10"/>
      <c r="AO6059" s="10"/>
      <c r="AP6059" s="10"/>
      <c r="AQ6059" s="10"/>
      <c r="AR6059" s="10"/>
      <c r="AS6059" s="10"/>
      <c r="AT6059" s="10"/>
      <c r="AU6059" s="10"/>
      <c r="AV6059" s="10"/>
      <c r="AW6059" s="10"/>
      <c r="AX6059" s="10"/>
      <c r="AY6059" s="10"/>
      <c r="AZ6059" s="10"/>
    </row>
    <row r="6060" spans="31:52">
      <c r="AE6060" s="10"/>
      <c r="AF6060" s="10"/>
      <c r="AG6060" s="10"/>
      <c r="AH6060" s="10"/>
      <c r="AI6060" s="10"/>
      <c r="AJ6060" s="10"/>
      <c r="AK6060" s="10"/>
      <c r="AL6060" s="10"/>
      <c r="AM6060" s="10"/>
      <c r="AN6060" s="10"/>
      <c r="AO6060" s="10"/>
      <c r="AP6060" s="10"/>
      <c r="AQ6060" s="10"/>
      <c r="AR6060" s="10"/>
      <c r="AS6060" s="10"/>
      <c r="AT6060" s="10"/>
      <c r="AU6060" s="10"/>
      <c r="AV6060" s="10"/>
      <c r="AW6060" s="10"/>
      <c r="AX6060" s="10"/>
      <c r="AY6060" s="10"/>
      <c r="AZ6060" s="10"/>
    </row>
    <row r="6061" spans="31:52">
      <c r="AE6061" s="10"/>
      <c r="AF6061" s="10"/>
      <c r="AG6061" s="10"/>
      <c r="AH6061" s="10"/>
      <c r="AI6061" s="10"/>
      <c r="AJ6061" s="10"/>
      <c r="AK6061" s="10"/>
      <c r="AL6061" s="10"/>
      <c r="AM6061" s="10"/>
      <c r="AN6061" s="10"/>
      <c r="AO6061" s="10"/>
      <c r="AP6061" s="10"/>
      <c r="AQ6061" s="10"/>
      <c r="AR6061" s="10"/>
      <c r="AS6061" s="10"/>
      <c r="AT6061" s="10"/>
      <c r="AU6061" s="10"/>
      <c r="AV6061" s="10"/>
      <c r="AW6061" s="10"/>
      <c r="AX6061" s="10"/>
      <c r="AY6061" s="10"/>
      <c r="AZ6061" s="10"/>
    </row>
    <row r="6062" spans="31:52">
      <c r="AE6062" s="10"/>
      <c r="AF6062" s="10"/>
      <c r="AG6062" s="10"/>
      <c r="AH6062" s="10"/>
      <c r="AI6062" s="10"/>
      <c r="AJ6062" s="10"/>
      <c r="AK6062" s="10"/>
      <c r="AL6062" s="10"/>
      <c r="AM6062" s="10"/>
      <c r="AN6062" s="10"/>
      <c r="AO6062" s="10"/>
      <c r="AP6062" s="10"/>
      <c r="AQ6062" s="10"/>
      <c r="AR6062" s="10"/>
      <c r="AS6062" s="10"/>
      <c r="AT6062" s="10"/>
      <c r="AU6062" s="10"/>
      <c r="AV6062" s="10"/>
      <c r="AW6062" s="10"/>
      <c r="AX6062" s="10"/>
      <c r="AY6062" s="10"/>
      <c r="AZ6062" s="10"/>
    </row>
    <row r="6063" spans="31:52">
      <c r="AE6063" s="10"/>
      <c r="AF6063" s="10"/>
      <c r="AG6063" s="10"/>
      <c r="AH6063" s="10"/>
      <c r="AI6063" s="10"/>
      <c r="AJ6063" s="10"/>
      <c r="AK6063" s="10"/>
      <c r="AL6063" s="10"/>
      <c r="AM6063" s="10"/>
      <c r="AN6063" s="10"/>
      <c r="AO6063" s="10"/>
      <c r="AP6063" s="10"/>
      <c r="AQ6063" s="10"/>
      <c r="AR6063" s="10"/>
      <c r="AS6063" s="10"/>
      <c r="AT6063" s="10"/>
      <c r="AU6063" s="10"/>
      <c r="AV6063" s="10"/>
      <c r="AW6063" s="10"/>
      <c r="AX6063" s="10"/>
      <c r="AY6063" s="10"/>
      <c r="AZ6063" s="10"/>
    </row>
    <row r="6064" spans="31:52">
      <c r="AE6064" s="10"/>
      <c r="AF6064" s="10"/>
      <c r="AG6064" s="10"/>
      <c r="AH6064" s="10"/>
      <c r="AI6064" s="10"/>
      <c r="AJ6064" s="10"/>
      <c r="AK6064" s="10"/>
      <c r="AL6064" s="10"/>
      <c r="AM6064" s="10"/>
      <c r="AN6064" s="10"/>
      <c r="AO6064" s="10"/>
      <c r="AP6064" s="10"/>
      <c r="AQ6064" s="10"/>
      <c r="AR6064" s="10"/>
      <c r="AS6064" s="10"/>
      <c r="AT6064" s="10"/>
      <c r="AU6064" s="10"/>
      <c r="AV6064" s="10"/>
      <c r="AW6064" s="10"/>
      <c r="AX6064" s="10"/>
      <c r="AY6064" s="10"/>
      <c r="AZ6064" s="10"/>
    </row>
    <row r="6065" spans="31:52">
      <c r="AE6065" s="10"/>
      <c r="AF6065" s="10"/>
      <c r="AG6065" s="10"/>
      <c r="AH6065" s="10"/>
      <c r="AI6065" s="10"/>
      <c r="AJ6065" s="10"/>
      <c r="AK6065" s="10"/>
      <c r="AL6065" s="10"/>
      <c r="AM6065" s="10"/>
      <c r="AN6065" s="10"/>
      <c r="AO6065" s="10"/>
      <c r="AP6065" s="10"/>
      <c r="AQ6065" s="10"/>
      <c r="AR6065" s="10"/>
      <c r="AS6065" s="10"/>
      <c r="AT6065" s="10"/>
      <c r="AU6065" s="10"/>
      <c r="AV6065" s="10"/>
      <c r="AW6065" s="10"/>
      <c r="AX6065" s="10"/>
      <c r="AY6065" s="10"/>
      <c r="AZ6065" s="10"/>
    </row>
    <row r="6066" spans="31:52">
      <c r="AE6066" s="10"/>
      <c r="AF6066" s="10"/>
      <c r="AG6066" s="10"/>
      <c r="AH6066" s="10"/>
      <c r="AI6066" s="10"/>
      <c r="AJ6066" s="10"/>
      <c r="AK6066" s="10"/>
      <c r="AL6066" s="10"/>
      <c r="AM6066" s="10"/>
      <c r="AN6066" s="10"/>
      <c r="AO6066" s="10"/>
      <c r="AP6066" s="10"/>
      <c r="AQ6066" s="10"/>
      <c r="AR6066" s="10"/>
      <c r="AS6066" s="10"/>
      <c r="AT6066" s="10"/>
      <c r="AU6066" s="10"/>
      <c r="AV6066" s="10"/>
      <c r="AW6066" s="10"/>
      <c r="AX6066" s="10"/>
      <c r="AY6066" s="10"/>
      <c r="AZ6066" s="10"/>
    </row>
    <row r="6067" spans="31:52">
      <c r="AE6067" s="10"/>
      <c r="AF6067" s="10"/>
      <c r="AG6067" s="10"/>
      <c r="AH6067" s="10"/>
      <c r="AI6067" s="10"/>
      <c r="AJ6067" s="10"/>
      <c r="AK6067" s="10"/>
      <c r="AL6067" s="10"/>
      <c r="AM6067" s="10"/>
      <c r="AN6067" s="10"/>
      <c r="AO6067" s="10"/>
      <c r="AP6067" s="10"/>
      <c r="AQ6067" s="10"/>
      <c r="AR6067" s="10"/>
      <c r="AS6067" s="10"/>
      <c r="AT6067" s="10"/>
      <c r="AU6067" s="10"/>
      <c r="AV6067" s="10"/>
      <c r="AW6067" s="10"/>
      <c r="AX6067" s="10"/>
      <c r="AY6067" s="10"/>
      <c r="AZ6067" s="10"/>
    </row>
    <row r="6068" spans="31:52">
      <c r="AE6068" s="10"/>
      <c r="AF6068" s="10"/>
      <c r="AG6068" s="10"/>
      <c r="AH6068" s="10"/>
      <c r="AI6068" s="10"/>
      <c r="AJ6068" s="10"/>
      <c r="AK6068" s="10"/>
      <c r="AL6068" s="10"/>
      <c r="AM6068" s="10"/>
      <c r="AN6068" s="10"/>
      <c r="AO6068" s="10"/>
      <c r="AP6068" s="10"/>
      <c r="AQ6068" s="10"/>
      <c r="AR6068" s="10"/>
      <c r="AS6068" s="10"/>
      <c r="AT6068" s="10"/>
      <c r="AU6068" s="10"/>
      <c r="AV6068" s="10"/>
      <c r="AW6068" s="10"/>
      <c r="AX6068" s="10"/>
      <c r="AY6068" s="10"/>
      <c r="AZ6068" s="10"/>
    </row>
    <row r="6069" spans="31:52">
      <c r="AE6069" s="10"/>
      <c r="AF6069" s="10"/>
      <c r="AG6069" s="10"/>
      <c r="AH6069" s="10"/>
      <c r="AI6069" s="10"/>
      <c r="AJ6069" s="10"/>
      <c r="AK6069" s="10"/>
      <c r="AL6069" s="10"/>
      <c r="AM6069" s="10"/>
      <c r="AN6069" s="10"/>
      <c r="AO6069" s="10"/>
      <c r="AP6069" s="10"/>
      <c r="AQ6069" s="10"/>
      <c r="AR6069" s="10"/>
      <c r="AS6069" s="10"/>
      <c r="AT6069" s="10"/>
      <c r="AU6069" s="10"/>
      <c r="AV6069" s="10"/>
      <c r="AW6069" s="10"/>
      <c r="AX6069" s="10"/>
      <c r="AY6069" s="10"/>
      <c r="AZ6069" s="10"/>
    </row>
    <row r="6070" spans="31:52">
      <c r="AE6070" s="10"/>
      <c r="AF6070" s="10"/>
      <c r="AG6070" s="10"/>
      <c r="AH6070" s="10"/>
      <c r="AI6070" s="10"/>
      <c r="AJ6070" s="10"/>
      <c r="AK6070" s="10"/>
      <c r="AL6070" s="10"/>
      <c r="AM6070" s="10"/>
      <c r="AN6070" s="10"/>
      <c r="AO6070" s="10"/>
      <c r="AP6070" s="10"/>
      <c r="AQ6070" s="10"/>
      <c r="AR6070" s="10"/>
      <c r="AS6070" s="10"/>
      <c r="AT6070" s="10"/>
      <c r="AU6070" s="10"/>
      <c r="AV6070" s="10"/>
      <c r="AW6070" s="10"/>
      <c r="AX6070" s="10"/>
      <c r="AY6070" s="10"/>
      <c r="AZ6070" s="10"/>
    </row>
    <row r="6071" spans="31:52">
      <c r="AE6071" s="10"/>
      <c r="AF6071" s="10"/>
      <c r="AG6071" s="10"/>
      <c r="AH6071" s="10"/>
      <c r="AI6071" s="10"/>
      <c r="AJ6071" s="10"/>
      <c r="AK6071" s="10"/>
      <c r="AL6071" s="10"/>
      <c r="AM6071" s="10"/>
      <c r="AN6071" s="10"/>
      <c r="AO6071" s="10"/>
      <c r="AP6071" s="10"/>
      <c r="AQ6071" s="10"/>
      <c r="AR6071" s="10"/>
      <c r="AS6071" s="10"/>
      <c r="AT6071" s="10"/>
      <c r="AU6071" s="10"/>
      <c r="AV6071" s="10"/>
      <c r="AW6071" s="10"/>
      <c r="AX6071" s="10"/>
      <c r="AY6071" s="10"/>
      <c r="AZ6071" s="10"/>
    </row>
    <row r="6072" spans="31:52">
      <c r="AE6072" s="10"/>
      <c r="AF6072" s="10"/>
      <c r="AG6072" s="10"/>
      <c r="AH6072" s="10"/>
      <c r="AI6072" s="10"/>
      <c r="AJ6072" s="10"/>
      <c r="AK6072" s="10"/>
      <c r="AL6072" s="10"/>
      <c r="AM6072" s="10"/>
      <c r="AN6072" s="10"/>
      <c r="AO6072" s="10"/>
      <c r="AP6072" s="10"/>
      <c r="AQ6072" s="10"/>
      <c r="AR6072" s="10"/>
      <c r="AS6072" s="10"/>
      <c r="AT6072" s="10"/>
      <c r="AU6072" s="10"/>
      <c r="AV6072" s="10"/>
      <c r="AW6072" s="10"/>
      <c r="AX6072" s="10"/>
      <c r="AY6072" s="10"/>
      <c r="AZ6072" s="10"/>
    </row>
    <row r="6073" spans="31:52">
      <c r="AE6073" s="10"/>
      <c r="AF6073" s="10"/>
      <c r="AG6073" s="10"/>
      <c r="AH6073" s="10"/>
      <c r="AI6073" s="10"/>
      <c r="AJ6073" s="10"/>
      <c r="AK6073" s="10"/>
      <c r="AL6073" s="10"/>
      <c r="AM6073" s="10"/>
      <c r="AN6073" s="10"/>
      <c r="AO6073" s="10"/>
      <c r="AP6073" s="10"/>
      <c r="AQ6073" s="10"/>
      <c r="AR6073" s="10"/>
      <c r="AS6073" s="10"/>
      <c r="AT6073" s="10"/>
      <c r="AU6073" s="10"/>
      <c r="AV6073" s="10"/>
      <c r="AW6073" s="10"/>
      <c r="AX6073" s="10"/>
      <c r="AY6073" s="10"/>
      <c r="AZ6073" s="10"/>
    </row>
    <row r="6074" spans="31:52">
      <c r="AE6074" s="10"/>
      <c r="AF6074" s="10"/>
      <c r="AG6074" s="10"/>
      <c r="AH6074" s="10"/>
      <c r="AI6074" s="10"/>
      <c r="AJ6074" s="10"/>
      <c r="AK6074" s="10"/>
      <c r="AL6074" s="10"/>
      <c r="AM6074" s="10"/>
      <c r="AN6074" s="10"/>
      <c r="AO6074" s="10"/>
      <c r="AP6074" s="10"/>
      <c r="AQ6074" s="10"/>
      <c r="AR6074" s="10"/>
      <c r="AS6074" s="10"/>
      <c r="AT6074" s="10"/>
      <c r="AU6074" s="10"/>
      <c r="AV6074" s="10"/>
      <c r="AW6074" s="10"/>
      <c r="AX6074" s="10"/>
      <c r="AY6074" s="10"/>
      <c r="AZ6074" s="10"/>
    </row>
    <row r="6075" spans="31:52">
      <c r="AE6075" s="10"/>
      <c r="AF6075" s="10"/>
      <c r="AG6075" s="10"/>
      <c r="AH6075" s="10"/>
      <c r="AI6075" s="10"/>
      <c r="AJ6075" s="10"/>
      <c r="AK6075" s="10"/>
      <c r="AL6075" s="10"/>
      <c r="AM6075" s="10"/>
      <c r="AN6075" s="10"/>
      <c r="AO6075" s="10"/>
      <c r="AP6075" s="10"/>
      <c r="AQ6075" s="10"/>
      <c r="AR6075" s="10"/>
      <c r="AS6075" s="10"/>
      <c r="AT6075" s="10"/>
      <c r="AU6075" s="10"/>
      <c r="AV6075" s="10"/>
      <c r="AW6075" s="10"/>
      <c r="AX6075" s="10"/>
      <c r="AY6075" s="10"/>
      <c r="AZ6075" s="10"/>
    </row>
    <row r="6076" spans="31:52">
      <c r="AE6076" s="10"/>
      <c r="AF6076" s="10"/>
      <c r="AG6076" s="10"/>
      <c r="AH6076" s="10"/>
      <c r="AI6076" s="10"/>
      <c r="AJ6076" s="10"/>
      <c r="AK6076" s="10"/>
      <c r="AL6076" s="10"/>
      <c r="AM6076" s="10"/>
      <c r="AN6076" s="10"/>
      <c r="AO6076" s="10"/>
      <c r="AP6076" s="10"/>
      <c r="AQ6076" s="10"/>
      <c r="AR6076" s="10"/>
      <c r="AS6076" s="10"/>
      <c r="AT6076" s="10"/>
      <c r="AU6076" s="10"/>
      <c r="AV6076" s="10"/>
      <c r="AW6076" s="10"/>
      <c r="AX6076" s="10"/>
      <c r="AY6076" s="10"/>
      <c r="AZ6076" s="10"/>
    </row>
    <row r="6077" spans="31:52">
      <c r="AE6077" s="10"/>
      <c r="AF6077" s="10"/>
      <c r="AG6077" s="10"/>
      <c r="AH6077" s="10"/>
      <c r="AI6077" s="10"/>
      <c r="AJ6077" s="10"/>
      <c r="AK6077" s="10"/>
      <c r="AL6077" s="10"/>
      <c r="AM6077" s="10"/>
      <c r="AN6077" s="10"/>
      <c r="AO6077" s="10"/>
      <c r="AP6077" s="10"/>
      <c r="AQ6077" s="10"/>
      <c r="AR6077" s="10"/>
      <c r="AS6077" s="10"/>
      <c r="AT6077" s="10"/>
      <c r="AU6077" s="10"/>
      <c r="AV6077" s="10"/>
      <c r="AW6077" s="10"/>
      <c r="AX6077" s="10"/>
      <c r="AY6077" s="10"/>
      <c r="AZ6077" s="10"/>
    </row>
    <row r="6078" spans="31:52">
      <c r="AE6078" s="10"/>
      <c r="AF6078" s="10"/>
      <c r="AG6078" s="10"/>
      <c r="AH6078" s="10"/>
      <c r="AI6078" s="10"/>
      <c r="AJ6078" s="10"/>
      <c r="AK6078" s="10"/>
      <c r="AL6078" s="10"/>
      <c r="AM6078" s="10"/>
      <c r="AN6078" s="10"/>
      <c r="AO6078" s="10"/>
      <c r="AP6078" s="10"/>
      <c r="AQ6078" s="10"/>
      <c r="AR6078" s="10"/>
      <c r="AS6078" s="10"/>
      <c r="AT6078" s="10"/>
      <c r="AU6078" s="10"/>
      <c r="AV6078" s="10"/>
      <c r="AW6078" s="10"/>
      <c r="AX6078" s="10"/>
      <c r="AY6078" s="10"/>
      <c r="AZ6078" s="10"/>
    </row>
    <row r="6079" spans="31:52">
      <c r="AE6079" s="10"/>
      <c r="AF6079" s="10"/>
      <c r="AG6079" s="10"/>
      <c r="AH6079" s="10"/>
      <c r="AI6079" s="10"/>
      <c r="AJ6079" s="10"/>
      <c r="AK6079" s="10"/>
      <c r="AL6079" s="10"/>
      <c r="AM6079" s="10"/>
      <c r="AN6079" s="10"/>
      <c r="AO6079" s="10"/>
      <c r="AP6079" s="10"/>
      <c r="AQ6079" s="10"/>
      <c r="AR6079" s="10"/>
      <c r="AS6079" s="10"/>
      <c r="AT6079" s="10"/>
      <c r="AU6079" s="10"/>
      <c r="AV6079" s="10"/>
      <c r="AW6079" s="10"/>
      <c r="AX6079" s="10"/>
      <c r="AY6079" s="10"/>
      <c r="AZ6079" s="10"/>
    </row>
    <row r="6080" spans="31:52">
      <c r="AE6080" s="10"/>
      <c r="AF6080" s="10"/>
      <c r="AG6080" s="10"/>
      <c r="AH6080" s="10"/>
      <c r="AI6080" s="10"/>
      <c r="AJ6080" s="10"/>
      <c r="AK6080" s="10"/>
      <c r="AL6080" s="10"/>
      <c r="AM6080" s="10"/>
      <c r="AN6080" s="10"/>
      <c r="AO6080" s="10"/>
      <c r="AP6080" s="10"/>
      <c r="AQ6080" s="10"/>
      <c r="AR6080" s="10"/>
      <c r="AS6080" s="10"/>
      <c r="AT6080" s="10"/>
      <c r="AU6080" s="10"/>
      <c r="AV6080" s="10"/>
      <c r="AW6080" s="10"/>
      <c r="AX6080" s="10"/>
      <c r="AY6080" s="10"/>
      <c r="AZ6080" s="10"/>
    </row>
    <row r="6081" spans="31:52">
      <c r="AE6081" s="10"/>
      <c r="AF6081" s="10"/>
      <c r="AG6081" s="10"/>
      <c r="AH6081" s="10"/>
      <c r="AI6081" s="10"/>
      <c r="AJ6081" s="10"/>
      <c r="AK6081" s="10"/>
      <c r="AL6081" s="10"/>
      <c r="AM6081" s="10"/>
      <c r="AN6081" s="10"/>
      <c r="AO6081" s="10"/>
      <c r="AP6081" s="10"/>
      <c r="AQ6081" s="10"/>
      <c r="AR6081" s="10"/>
      <c r="AS6081" s="10"/>
      <c r="AT6081" s="10"/>
      <c r="AU6081" s="10"/>
      <c r="AV6081" s="10"/>
      <c r="AW6081" s="10"/>
      <c r="AX6081" s="10"/>
      <c r="AY6081" s="10"/>
      <c r="AZ6081" s="10"/>
    </row>
    <row r="6082" spans="31:52">
      <c r="AE6082" s="10"/>
      <c r="AF6082" s="10"/>
      <c r="AG6082" s="10"/>
      <c r="AH6082" s="10"/>
      <c r="AI6082" s="10"/>
      <c r="AJ6082" s="10"/>
      <c r="AK6082" s="10"/>
      <c r="AL6082" s="10"/>
      <c r="AM6082" s="10"/>
      <c r="AN6082" s="10"/>
      <c r="AO6082" s="10"/>
      <c r="AP6082" s="10"/>
      <c r="AQ6082" s="10"/>
      <c r="AR6082" s="10"/>
      <c r="AS6082" s="10"/>
      <c r="AT6082" s="10"/>
      <c r="AU6082" s="10"/>
      <c r="AV6082" s="10"/>
      <c r="AW6082" s="10"/>
      <c r="AX6082" s="10"/>
      <c r="AY6082" s="10"/>
      <c r="AZ6082" s="10"/>
    </row>
    <row r="6083" spans="31:52">
      <c r="AE6083" s="10"/>
      <c r="AF6083" s="10"/>
      <c r="AG6083" s="10"/>
      <c r="AH6083" s="10"/>
      <c r="AI6083" s="10"/>
      <c r="AJ6083" s="10"/>
      <c r="AK6083" s="10"/>
      <c r="AL6083" s="10"/>
      <c r="AM6083" s="10"/>
      <c r="AN6083" s="10"/>
      <c r="AO6083" s="10"/>
      <c r="AP6083" s="10"/>
      <c r="AQ6083" s="10"/>
      <c r="AR6083" s="10"/>
      <c r="AS6083" s="10"/>
      <c r="AT6083" s="10"/>
      <c r="AU6083" s="10"/>
      <c r="AV6083" s="10"/>
      <c r="AW6083" s="10"/>
      <c r="AX6083" s="10"/>
      <c r="AY6083" s="10"/>
      <c r="AZ6083" s="10"/>
    </row>
    <row r="6084" spans="31:52">
      <c r="AE6084" s="10"/>
      <c r="AF6084" s="10"/>
      <c r="AG6084" s="10"/>
      <c r="AH6084" s="10"/>
      <c r="AI6084" s="10"/>
      <c r="AJ6084" s="10"/>
      <c r="AK6084" s="10"/>
      <c r="AL6084" s="10"/>
      <c r="AM6084" s="10"/>
      <c r="AN6084" s="10"/>
      <c r="AO6084" s="10"/>
      <c r="AP6084" s="10"/>
      <c r="AQ6084" s="10"/>
      <c r="AR6084" s="10"/>
      <c r="AS6084" s="10"/>
      <c r="AT6084" s="10"/>
      <c r="AU6084" s="10"/>
      <c r="AV6084" s="10"/>
      <c r="AW6084" s="10"/>
      <c r="AX6084" s="10"/>
      <c r="AY6084" s="10"/>
      <c r="AZ6084" s="10"/>
    </row>
    <row r="6085" spans="31:52">
      <c r="AE6085" s="10"/>
      <c r="AF6085" s="10"/>
      <c r="AG6085" s="10"/>
      <c r="AH6085" s="10"/>
      <c r="AI6085" s="10"/>
      <c r="AJ6085" s="10"/>
      <c r="AK6085" s="10"/>
      <c r="AL6085" s="10"/>
      <c r="AM6085" s="10"/>
      <c r="AN6085" s="10"/>
      <c r="AO6085" s="10"/>
      <c r="AP6085" s="10"/>
      <c r="AQ6085" s="10"/>
      <c r="AR6085" s="10"/>
      <c r="AS6085" s="10"/>
      <c r="AT6085" s="10"/>
      <c r="AU6085" s="10"/>
      <c r="AV6085" s="10"/>
      <c r="AW6085" s="10"/>
      <c r="AX6085" s="10"/>
      <c r="AY6085" s="10"/>
      <c r="AZ6085" s="10"/>
    </row>
    <row r="6086" spans="31:52">
      <c r="AE6086" s="10"/>
      <c r="AF6086" s="10"/>
      <c r="AG6086" s="10"/>
      <c r="AH6086" s="10"/>
      <c r="AI6086" s="10"/>
      <c r="AJ6086" s="10"/>
      <c r="AK6086" s="10"/>
      <c r="AL6086" s="10"/>
      <c r="AM6086" s="10"/>
      <c r="AN6086" s="10"/>
      <c r="AO6086" s="10"/>
      <c r="AP6086" s="10"/>
      <c r="AQ6086" s="10"/>
      <c r="AR6086" s="10"/>
      <c r="AS6086" s="10"/>
      <c r="AT6086" s="10"/>
      <c r="AU6086" s="10"/>
      <c r="AV6086" s="10"/>
      <c r="AW6086" s="10"/>
      <c r="AX6086" s="10"/>
      <c r="AY6086" s="10"/>
      <c r="AZ6086" s="10"/>
    </row>
    <row r="6087" spans="31:52">
      <c r="AE6087" s="10"/>
      <c r="AF6087" s="10"/>
      <c r="AG6087" s="10"/>
      <c r="AH6087" s="10"/>
      <c r="AI6087" s="10"/>
      <c r="AJ6087" s="10"/>
      <c r="AK6087" s="10"/>
      <c r="AL6087" s="10"/>
      <c r="AM6087" s="10"/>
      <c r="AN6087" s="10"/>
      <c r="AO6087" s="10"/>
      <c r="AP6087" s="10"/>
      <c r="AQ6087" s="10"/>
      <c r="AR6087" s="10"/>
      <c r="AS6087" s="10"/>
      <c r="AT6087" s="10"/>
      <c r="AU6087" s="10"/>
      <c r="AV6087" s="10"/>
      <c r="AW6087" s="10"/>
      <c r="AX6087" s="10"/>
      <c r="AY6087" s="10"/>
      <c r="AZ6087" s="10"/>
    </row>
    <row r="6088" spans="31:52">
      <c r="AE6088" s="10"/>
      <c r="AF6088" s="10"/>
      <c r="AG6088" s="10"/>
      <c r="AH6088" s="10"/>
      <c r="AI6088" s="10"/>
      <c r="AJ6088" s="10"/>
      <c r="AK6088" s="10"/>
      <c r="AL6088" s="10"/>
      <c r="AM6088" s="10"/>
      <c r="AN6088" s="10"/>
      <c r="AO6088" s="10"/>
      <c r="AP6088" s="10"/>
      <c r="AQ6088" s="10"/>
      <c r="AR6088" s="10"/>
      <c r="AS6088" s="10"/>
      <c r="AT6088" s="10"/>
      <c r="AU6088" s="10"/>
      <c r="AV6088" s="10"/>
      <c r="AW6088" s="10"/>
      <c r="AX6088" s="10"/>
      <c r="AY6088" s="10"/>
      <c r="AZ6088" s="10"/>
    </row>
    <row r="6089" spans="31:52">
      <c r="AE6089" s="10"/>
      <c r="AF6089" s="10"/>
      <c r="AG6089" s="10"/>
      <c r="AH6089" s="10"/>
      <c r="AI6089" s="10"/>
      <c r="AJ6089" s="10"/>
      <c r="AK6089" s="10"/>
      <c r="AL6089" s="10"/>
      <c r="AM6089" s="10"/>
      <c r="AN6089" s="10"/>
      <c r="AO6089" s="10"/>
      <c r="AP6089" s="10"/>
      <c r="AQ6089" s="10"/>
      <c r="AR6089" s="10"/>
      <c r="AS6089" s="10"/>
      <c r="AT6089" s="10"/>
      <c r="AU6089" s="10"/>
      <c r="AV6089" s="10"/>
      <c r="AW6089" s="10"/>
      <c r="AX6089" s="10"/>
      <c r="AY6089" s="10"/>
      <c r="AZ6089" s="10"/>
    </row>
    <row r="6090" spans="31:52">
      <c r="AE6090" s="10"/>
      <c r="AF6090" s="10"/>
      <c r="AG6090" s="10"/>
      <c r="AH6090" s="10"/>
      <c r="AI6090" s="10"/>
      <c r="AJ6090" s="10"/>
      <c r="AK6090" s="10"/>
      <c r="AL6090" s="10"/>
      <c r="AM6090" s="10"/>
      <c r="AN6090" s="10"/>
      <c r="AO6090" s="10"/>
      <c r="AP6090" s="10"/>
      <c r="AQ6090" s="10"/>
      <c r="AR6090" s="10"/>
      <c r="AS6090" s="10"/>
      <c r="AT6090" s="10"/>
      <c r="AU6090" s="10"/>
      <c r="AV6090" s="10"/>
      <c r="AW6090" s="10"/>
      <c r="AX6090" s="10"/>
      <c r="AY6090" s="10"/>
      <c r="AZ6090" s="10"/>
    </row>
    <row r="6091" spans="31:52">
      <c r="AE6091" s="10"/>
      <c r="AF6091" s="10"/>
      <c r="AG6091" s="10"/>
      <c r="AH6091" s="10"/>
      <c r="AI6091" s="10"/>
      <c r="AJ6091" s="10"/>
      <c r="AK6091" s="10"/>
      <c r="AL6091" s="10"/>
      <c r="AM6091" s="10"/>
      <c r="AN6091" s="10"/>
      <c r="AO6091" s="10"/>
      <c r="AP6091" s="10"/>
      <c r="AQ6091" s="10"/>
      <c r="AR6091" s="10"/>
      <c r="AS6091" s="10"/>
      <c r="AT6091" s="10"/>
      <c r="AU6091" s="10"/>
      <c r="AV6091" s="10"/>
      <c r="AW6091" s="10"/>
      <c r="AX6091" s="10"/>
      <c r="AY6091" s="10"/>
      <c r="AZ6091" s="10"/>
    </row>
    <row r="6092" spans="31:52">
      <c r="AE6092" s="10"/>
      <c r="AF6092" s="10"/>
      <c r="AG6092" s="10"/>
      <c r="AH6092" s="10"/>
      <c r="AI6092" s="10"/>
      <c r="AJ6092" s="10"/>
      <c r="AK6092" s="10"/>
      <c r="AL6092" s="10"/>
      <c r="AM6092" s="10"/>
      <c r="AN6092" s="10"/>
      <c r="AO6092" s="10"/>
      <c r="AP6092" s="10"/>
      <c r="AQ6092" s="10"/>
      <c r="AR6092" s="10"/>
      <c r="AS6092" s="10"/>
      <c r="AT6092" s="10"/>
      <c r="AU6092" s="10"/>
      <c r="AV6092" s="10"/>
      <c r="AW6092" s="10"/>
      <c r="AX6092" s="10"/>
      <c r="AY6092" s="10"/>
      <c r="AZ6092" s="10"/>
    </row>
    <row r="6093" spans="31:52">
      <c r="AE6093" s="10"/>
      <c r="AF6093" s="10"/>
      <c r="AG6093" s="10"/>
      <c r="AH6093" s="10"/>
      <c r="AI6093" s="10"/>
      <c r="AJ6093" s="10"/>
      <c r="AK6093" s="10"/>
      <c r="AL6093" s="10"/>
      <c r="AM6093" s="10"/>
      <c r="AN6093" s="10"/>
      <c r="AO6093" s="10"/>
      <c r="AP6093" s="10"/>
      <c r="AQ6093" s="10"/>
      <c r="AR6093" s="10"/>
      <c r="AS6093" s="10"/>
      <c r="AT6093" s="10"/>
      <c r="AU6093" s="10"/>
      <c r="AV6093" s="10"/>
      <c r="AW6093" s="10"/>
      <c r="AX6093" s="10"/>
      <c r="AY6093" s="10"/>
      <c r="AZ6093" s="10"/>
    </row>
    <row r="6094" spans="31:52">
      <c r="AE6094" s="10"/>
      <c r="AF6094" s="10"/>
      <c r="AG6094" s="10"/>
      <c r="AH6094" s="10"/>
      <c r="AI6094" s="10"/>
      <c r="AJ6094" s="10"/>
      <c r="AK6094" s="10"/>
      <c r="AL6094" s="10"/>
      <c r="AM6094" s="10"/>
      <c r="AN6094" s="10"/>
      <c r="AO6094" s="10"/>
      <c r="AP6094" s="10"/>
      <c r="AQ6094" s="10"/>
      <c r="AR6094" s="10"/>
      <c r="AS6094" s="10"/>
      <c r="AT6094" s="10"/>
      <c r="AU6094" s="10"/>
      <c r="AV6094" s="10"/>
      <c r="AW6094" s="10"/>
      <c r="AX6094" s="10"/>
      <c r="AY6094" s="10"/>
      <c r="AZ6094" s="10"/>
    </row>
    <row r="6095" spans="31:52">
      <c r="AE6095" s="10"/>
      <c r="AF6095" s="10"/>
      <c r="AG6095" s="10"/>
      <c r="AH6095" s="10"/>
      <c r="AI6095" s="10"/>
      <c r="AJ6095" s="10"/>
      <c r="AK6095" s="10"/>
      <c r="AL6095" s="10"/>
      <c r="AM6095" s="10"/>
      <c r="AN6095" s="10"/>
      <c r="AO6095" s="10"/>
      <c r="AP6095" s="10"/>
      <c r="AQ6095" s="10"/>
      <c r="AR6095" s="10"/>
      <c r="AS6095" s="10"/>
      <c r="AT6095" s="10"/>
      <c r="AU6095" s="10"/>
      <c r="AV6095" s="10"/>
      <c r="AW6095" s="10"/>
      <c r="AX6095" s="10"/>
      <c r="AY6095" s="10"/>
      <c r="AZ6095" s="10"/>
    </row>
    <row r="6096" spans="31:52">
      <c r="AE6096" s="10"/>
      <c r="AF6096" s="10"/>
      <c r="AG6096" s="10"/>
      <c r="AH6096" s="10"/>
      <c r="AI6096" s="10"/>
      <c r="AJ6096" s="10"/>
      <c r="AK6096" s="10"/>
      <c r="AL6096" s="10"/>
      <c r="AM6096" s="10"/>
      <c r="AN6096" s="10"/>
      <c r="AO6096" s="10"/>
      <c r="AP6096" s="10"/>
      <c r="AQ6096" s="10"/>
      <c r="AR6096" s="10"/>
      <c r="AS6096" s="10"/>
      <c r="AT6096" s="10"/>
      <c r="AU6096" s="10"/>
      <c r="AV6096" s="10"/>
      <c r="AW6096" s="10"/>
      <c r="AX6096" s="10"/>
      <c r="AY6096" s="10"/>
      <c r="AZ6096" s="10"/>
    </row>
    <row r="6097" spans="31:52">
      <c r="AE6097" s="10"/>
      <c r="AF6097" s="10"/>
      <c r="AG6097" s="10"/>
      <c r="AH6097" s="10"/>
      <c r="AI6097" s="10"/>
      <c r="AJ6097" s="10"/>
      <c r="AK6097" s="10"/>
      <c r="AL6097" s="10"/>
      <c r="AM6097" s="10"/>
      <c r="AN6097" s="10"/>
      <c r="AO6097" s="10"/>
      <c r="AP6097" s="10"/>
      <c r="AQ6097" s="10"/>
      <c r="AR6097" s="10"/>
      <c r="AS6097" s="10"/>
      <c r="AT6097" s="10"/>
      <c r="AU6097" s="10"/>
      <c r="AV6097" s="10"/>
      <c r="AW6097" s="10"/>
      <c r="AX6097" s="10"/>
      <c r="AY6097" s="10"/>
      <c r="AZ6097" s="10"/>
    </row>
    <row r="6098" spans="31:52">
      <c r="AE6098" s="10"/>
      <c r="AF6098" s="10"/>
      <c r="AG6098" s="10"/>
      <c r="AH6098" s="10"/>
      <c r="AI6098" s="10"/>
      <c r="AJ6098" s="10"/>
      <c r="AK6098" s="10"/>
      <c r="AL6098" s="10"/>
      <c r="AM6098" s="10"/>
      <c r="AN6098" s="10"/>
      <c r="AO6098" s="10"/>
      <c r="AP6098" s="10"/>
      <c r="AQ6098" s="10"/>
      <c r="AR6098" s="10"/>
      <c r="AS6098" s="10"/>
      <c r="AT6098" s="10"/>
      <c r="AU6098" s="10"/>
      <c r="AV6098" s="10"/>
      <c r="AW6098" s="10"/>
      <c r="AX6098" s="10"/>
      <c r="AY6098" s="10"/>
      <c r="AZ6098" s="10"/>
    </row>
    <row r="6099" spans="31:52">
      <c r="AE6099" s="10"/>
      <c r="AF6099" s="10"/>
      <c r="AG6099" s="10"/>
      <c r="AH6099" s="10"/>
      <c r="AI6099" s="10"/>
      <c r="AJ6099" s="10"/>
      <c r="AK6099" s="10"/>
      <c r="AL6099" s="10"/>
      <c r="AM6099" s="10"/>
      <c r="AN6099" s="10"/>
      <c r="AO6099" s="10"/>
      <c r="AP6099" s="10"/>
      <c r="AQ6099" s="10"/>
      <c r="AR6099" s="10"/>
      <c r="AS6099" s="10"/>
      <c r="AT6099" s="10"/>
      <c r="AU6099" s="10"/>
      <c r="AV6099" s="10"/>
      <c r="AW6099" s="10"/>
      <c r="AX6099" s="10"/>
      <c r="AY6099" s="10"/>
      <c r="AZ6099" s="10"/>
    </row>
    <row r="6100" spans="31:52">
      <c r="AE6100" s="10"/>
      <c r="AF6100" s="10"/>
      <c r="AG6100" s="10"/>
      <c r="AH6100" s="10"/>
      <c r="AI6100" s="10"/>
      <c r="AJ6100" s="10"/>
      <c r="AK6100" s="10"/>
      <c r="AL6100" s="10"/>
      <c r="AM6100" s="10"/>
      <c r="AN6100" s="10"/>
      <c r="AO6100" s="10"/>
      <c r="AP6100" s="10"/>
      <c r="AQ6100" s="10"/>
      <c r="AR6100" s="10"/>
      <c r="AS6100" s="10"/>
      <c r="AT6100" s="10"/>
      <c r="AU6100" s="10"/>
      <c r="AV6100" s="10"/>
      <c r="AW6100" s="10"/>
      <c r="AX6100" s="10"/>
      <c r="AY6100" s="10"/>
      <c r="AZ6100" s="10"/>
    </row>
    <row r="6101" spans="31:52">
      <c r="AE6101" s="10"/>
      <c r="AF6101" s="10"/>
      <c r="AG6101" s="10"/>
      <c r="AH6101" s="10"/>
      <c r="AI6101" s="10"/>
      <c r="AJ6101" s="10"/>
      <c r="AK6101" s="10"/>
      <c r="AL6101" s="10"/>
      <c r="AM6101" s="10"/>
      <c r="AN6101" s="10"/>
      <c r="AO6101" s="10"/>
      <c r="AP6101" s="10"/>
      <c r="AQ6101" s="10"/>
      <c r="AR6101" s="10"/>
      <c r="AS6101" s="10"/>
      <c r="AT6101" s="10"/>
      <c r="AU6101" s="10"/>
      <c r="AV6101" s="10"/>
      <c r="AW6101" s="10"/>
      <c r="AX6101" s="10"/>
      <c r="AY6101" s="10"/>
      <c r="AZ6101" s="10"/>
    </row>
    <row r="6102" spans="31:52">
      <c r="AE6102" s="10"/>
      <c r="AF6102" s="10"/>
      <c r="AG6102" s="10"/>
      <c r="AH6102" s="10"/>
      <c r="AI6102" s="10"/>
      <c r="AJ6102" s="10"/>
      <c r="AK6102" s="10"/>
      <c r="AL6102" s="10"/>
      <c r="AM6102" s="10"/>
      <c r="AN6102" s="10"/>
      <c r="AO6102" s="10"/>
      <c r="AP6102" s="10"/>
      <c r="AQ6102" s="10"/>
      <c r="AR6102" s="10"/>
      <c r="AS6102" s="10"/>
      <c r="AT6102" s="10"/>
      <c r="AU6102" s="10"/>
      <c r="AV6102" s="10"/>
      <c r="AW6102" s="10"/>
      <c r="AX6102" s="10"/>
      <c r="AY6102" s="10"/>
      <c r="AZ6102" s="10"/>
    </row>
    <row r="6103" spans="31:52">
      <c r="AE6103" s="10"/>
      <c r="AF6103" s="10"/>
      <c r="AG6103" s="10"/>
      <c r="AH6103" s="10"/>
      <c r="AI6103" s="10"/>
      <c r="AJ6103" s="10"/>
      <c r="AK6103" s="10"/>
      <c r="AL6103" s="10"/>
      <c r="AM6103" s="10"/>
      <c r="AN6103" s="10"/>
      <c r="AO6103" s="10"/>
      <c r="AP6103" s="10"/>
      <c r="AQ6103" s="10"/>
      <c r="AR6103" s="10"/>
      <c r="AS6103" s="10"/>
      <c r="AT6103" s="10"/>
      <c r="AU6103" s="10"/>
      <c r="AV6103" s="10"/>
      <c r="AW6103" s="10"/>
      <c r="AX6103" s="10"/>
      <c r="AY6103" s="10"/>
      <c r="AZ6103" s="10"/>
    </row>
    <row r="6104" spans="31:52">
      <c r="AE6104" s="10"/>
      <c r="AF6104" s="10"/>
      <c r="AG6104" s="10"/>
      <c r="AH6104" s="10"/>
      <c r="AI6104" s="10"/>
      <c r="AJ6104" s="10"/>
      <c r="AK6104" s="10"/>
      <c r="AL6104" s="10"/>
      <c r="AM6104" s="10"/>
      <c r="AN6104" s="10"/>
      <c r="AO6104" s="10"/>
      <c r="AP6104" s="10"/>
      <c r="AQ6104" s="10"/>
      <c r="AR6104" s="10"/>
      <c r="AS6104" s="10"/>
      <c r="AT6104" s="10"/>
      <c r="AU6104" s="10"/>
      <c r="AV6104" s="10"/>
      <c r="AW6104" s="10"/>
      <c r="AX6104" s="10"/>
      <c r="AY6104" s="10"/>
      <c r="AZ6104" s="10"/>
    </row>
    <row r="6105" spans="31:52">
      <c r="AE6105" s="10"/>
      <c r="AF6105" s="10"/>
      <c r="AG6105" s="10"/>
      <c r="AH6105" s="10"/>
      <c r="AI6105" s="10"/>
      <c r="AJ6105" s="10"/>
      <c r="AK6105" s="10"/>
      <c r="AL6105" s="10"/>
      <c r="AM6105" s="10"/>
      <c r="AN6105" s="10"/>
      <c r="AO6105" s="10"/>
      <c r="AP6105" s="10"/>
      <c r="AQ6105" s="10"/>
      <c r="AR6105" s="10"/>
      <c r="AS6105" s="10"/>
      <c r="AT6105" s="10"/>
      <c r="AU6105" s="10"/>
      <c r="AV6105" s="10"/>
      <c r="AW6105" s="10"/>
      <c r="AX6105" s="10"/>
      <c r="AY6105" s="10"/>
      <c r="AZ6105" s="10"/>
    </row>
    <row r="6106" spans="31:52">
      <c r="AE6106" s="10"/>
      <c r="AF6106" s="10"/>
      <c r="AG6106" s="10"/>
      <c r="AH6106" s="10"/>
      <c r="AI6106" s="10"/>
      <c r="AJ6106" s="10"/>
      <c r="AK6106" s="10"/>
      <c r="AL6106" s="10"/>
      <c r="AM6106" s="10"/>
      <c r="AN6106" s="10"/>
      <c r="AO6106" s="10"/>
      <c r="AP6106" s="10"/>
      <c r="AQ6106" s="10"/>
      <c r="AR6106" s="10"/>
      <c r="AS6106" s="10"/>
      <c r="AT6106" s="10"/>
      <c r="AU6106" s="10"/>
      <c r="AV6106" s="10"/>
      <c r="AW6106" s="10"/>
      <c r="AX6106" s="10"/>
      <c r="AY6106" s="10"/>
      <c r="AZ6106" s="10"/>
    </row>
    <row r="6107" spans="31:52">
      <c r="AE6107" s="10"/>
      <c r="AF6107" s="10"/>
      <c r="AG6107" s="10"/>
      <c r="AH6107" s="10"/>
      <c r="AI6107" s="10"/>
      <c r="AJ6107" s="10"/>
      <c r="AK6107" s="10"/>
      <c r="AL6107" s="10"/>
      <c r="AM6107" s="10"/>
      <c r="AN6107" s="10"/>
      <c r="AO6107" s="10"/>
      <c r="AP6107" s="10"/>
      <c r="AQ6107" s="10"/>
      <c r="AR6107" s="10"/>
      <c r="AS6107" s="10"/>
      <c r="AT6107" s="10"/>
      <c r="AU6107" s="10"/>
      <c r="AV6107" s="10"/>
      <c r="AW6107" s="10"/>
      <c r="AX6107" s="10"/>
      <c r="AY6107" s="10"/>
      <c r="AZ6107" s="10"/>
    </row>
    <row r="6108" spans="31:52">
      <c r="AE6108" s="10"/>
      <c r="AF6108" s="10"/>
      <c r="AG6108" s="10"/>
      <c r="AH6108" s="10"/>
      <c r="AI6108" s="10"/>
      <c r="AJ6108" s="10"/>
      <c r="AK6108" s="10"/>
      <c r="AL6108" s="10"/>
      <c r="AM6108" s="10"/>
      <c r="AN6108" s="10"/>
      <c r="AO6108" s="10"/>
      <c r="AP6108" s="10"/>
      <c r="AQ6108" s="10"/>
      <c r="AR6108" s="10"/>
      <c r="AS6108" s="10"/>
      <c r="AT6108" s="10"/>
      <c r="AU6108" s="10"/>
      <c r="AV6108" s="10"/>
      <c r="AW6108" s="10"/>
      <c r="AX6108" s="10"/>
      <c r="AY6108" s="10"/>
      <c r="AZ6108" s="10"/>
    </row>
    <row r="6109" spans="31:52">
      <c r="AE6109" s="10"/>
      <c r="AF6109" s="10"/>
      <c r="AG6109" s="10"/>
      <c r="AH6109" s="10"/>
      <c r="AI6109" s="10"/>
      <c r="AJ6109" s="10"/>
      <c r="AK6109" s="10"/>
      <c r="AL6109" s="10"/>
      <c r="AM6109" s="10"/>
      <c r="AN6109" s="10"/>
      <c r="AO6109" s="10"/>
      <c r="AP6109" s="10"/>
      <c r="AQ6109" s="10"/>
      <c r="AR6109" s="10"/>
      <c r="AS6109" s="10"/>
      <c r="AT6109" s="10"/>
      <c r="AU6109" s="10"/>
      <c r="AV6109" s="10"/>
      <c r="AW6109" s="10"/>
      <c r="AX6109" s="10"/>
      <c r="AY6109" s="10"/>
      <c r="AZ6109" s="10"/>
    </row>
    <row r="6110" spans="31:52">
      <c r="AE6110" s="10"/>
      <c r="AF6110" s="10"/>
      <c r="AG6110" s="10"/>
      <c r="AH6110" s="10"/>
      <c r="AI6110" s="10"/>
      <c r="AJ6110" s="10"/>
      <c r="AK6110" s="10"/>
      <c r="AL6110" s="10"/>
      <c r="AM6110" s="10"/>
      <c r="AN6110" s="10"/>
      <c r="AO6110" s="10"/>
      <c r="AP6110" s="10"/>
      <c r="AQ6110" s="10"/>
      <c r="AR6110" s="10"/>
      <c r="AS6110" s="10"/>
      <c r="AT6110" s="10"/>
      <c r="AU6110" s="10"/>
      <c r="AV6110" s="10"/>
      <c r="AW6110" s="10"/>
      <c r="AX6110" s="10"/>
      <c r="AY6110" s="10"/>
      <c r="AZ6110" s="10"/>
    </row>
    <row r="6111" spans="31:52">
      <c r="AE6111" s="10"/>
      <c r="AF6111" s="10"/>
      <c r="AG6111" s="10"/>
      <c r="AH6111" s="10"/>
      <c r="AI6111" s="10"/>
      <c r="AJ6111" s="10"/>
      <c r="AK6111" s="10"/>
      <c r="AL6111" s="10"/>
      <c r="AM6111" s="10"/>
      <c r="AN6111" s="10"/>
      <c r="AO6111" s="10"/>
      <c r="AP6111" s="10"/>
      <c r="AQ6111" s="10"/>
      <c r="AR6111" s="10"/>
      <c r="AS6111" s="10"/>
      <c r="AT6111" s="10"/>
      <c r="AU6111" s="10"/>
      <c r="AV6111" s="10"/>
      <c r="AW6111" s="10"/>
      <c r="AX6111" s="10"/>
      <c r="AY6111" s="10"/>
      <c r="AZ6111" s="10"/>
    </row>
    <row r="6112" spans="31:52">
      <c r="AE6112" s="10"/>
      <c r="AF6112" s="10"/>
      <c r="AG6112" s="10"/>
      <c r="AH6112" s="10"/>
      <c r="AI6112" s="10"/>
      <c r="AJ6112" s="10"/>
      <c r="AK6112" s="10"/>
      <c r="AL6112" s="10"/>
      <c r="AM6112" s="10"/>
      <c r="AN6112" s="10"/>
      <c r="AO6112" s="10"/>
      <c r="AP6112" s="10"/>
      <c r="AQ6112" s="10"/>
      <c r="AR6112" s="10"/>
      <c r="AS6112" s="10"/>
      <c r="AT6112" s="10"/>
      <c r="AU6112" s="10"/>
      <c r="AV6112" s="10"/>
      <c r="AW6112" s="10"/>
      <c r="AX6112" s="10"/>
      <c r="AY6112" s="10"/>
      <c r="AZ6112" s="10"/>
    </row>
    <row r="6113" spans="31:52">
      <c r="AE6113" s="10"/>
      <c r="AF6113" s="10"/>
      <c r="AG6113" s="10"/>
      <c r="AH6113" s="10"/>
      <c r="AI6113" s="10"/>
      <c r="AJ6113" s="10"/>
      <c r="AK6113" s="10"/>
      <c r="AL6113" s="10"/>
      <c r="AM6113" s="10"/>
      <c r="AN6113" s="10"/>
      <c r="AO6113" s="10"/>
      <c r="AP6113" s="10"/>
      <c r="AQ6113" s="10"/>
      <c r="AR6113" s="10"/>
      <c r="AS6113" s="10"/>
      <c r="AT6113" s="10"/>
      <c r="AU6113" s="10"/>
      <c r="AV6113" s="10"/>
      <c r="AW6113" s="10"/>
      <c r="AX6113" s="10"/>
      <c r="AY6113" s="10"/>
      <c r="AZ6113" s="10"/>
    </row>
    <row r="6114" spans="31:52">
      <c r="AE6114" s="10"/>
      <c r="AF6114" s="10"/>
      <c r="AG6114" s="10"/>
      <c r="AH6114" s="10"/>
      <c r="AI6114" s="10"/>
      <c r="AJ6114" s="10"/>
      <c r="AK6114" s="10"/>
      <c r="AL6114" s="10"/>
      <c r="AM6114" s="10"/>
      <c r="AN6114" s="10"/>
      <c r="AO6114" s="10"/>
      <c r="AP6114" s="10"/>
      <c r="AQ6114" s="10"/>
      <c r="AR6114" s="10"/>
      <c r="AS6114" s="10"/>
      <c r="AT6114" s="10"/>
      <c r="AU6114" s="10"/>
      <c r="AV6114" s="10"/>
      <c r="AW6114" s="10"/>
      <c r="AX6114" s="10"/>
      <c r="AY6114" s="10"/>
      <c r="AZ6114" s="10"/>
    </row>
    <row r="6115" spans="31:52">
      <c r="AE6115" s="10"/>
      <c r="AF6115" s="10"/>
      <c r="AG6115" s="10"/>
      <c r="AH6115" s="10"/>
      <c r="AI6115" s="10"/>
      <c r="AJ6115" s="10"/>
      <c r="AK6115" s="10"/>
      <c r="AL6115" s="10"/>
      <c r="AM6115" s="10"/>
      <c r="AN6115" s="10"/>
      <c r="AO6115" s="10"/>
      <c r="AP6115" s="10"/>
      <c r="AQ6115" s="10"/>
      <c r="AR6115" s="10"/>
      <c r="AS6115" s="10"/>
      <c r="AT6115" s="10"/>
      <c r="AU6115" s="10"/>
      <c r="AV6115" s="10"/>
      <c r="AW6115" s="10"/>
      <c r="AX6115" s="10"/>
      <c r="AY6115" s="10"/>
      <c r="AZ6115" s="10"/>
    </row>
    <row r="6116" spans="31:52">
      <c r="AE6116" s="10"/>
      <c r="AF6116" s="10"/>
      <c r="AG6116" s="10"/>
      <c r="AH6116" s="10"/>
      <c r="AI6116" s="10"/>
      <c r="AJ6116" s="10"/>
      <c r="AK6116" s="10"/>
      <c r="AL6116" s="10"/>
      <c r="AM6116" s="10"/>
      <c r="AN6116" s="10"/>
      <c r="AO6116" s="10"/>
      <c r="AP6116" s="10"/>
      <c r="AQ6116" s="10"/>
      <c r="AR6116" s="10"/>
      <c r="AS6116" s="10"/>
      <c r="AT6116" s="10"/>
      <c r="AU6116" s="10"/>
      <c r="AV6116" s="10"/>
      <c r="AW6116" s="10"/>
      <c r="AX6116" s="10"/>
      <c r="AY6116" s="10"/>
      <c r="AZ6116" s="10"/>
    </row>
    <row r="6117" spans="31:52">
      <c r="AE6117" s="10"/>
      <c r="AF6117" s="10"/>
      <c r="AG6117" s="10"/>
      <c r="AH6117" s="10"/>
      <c r="AI6117" s="10"/>
      <c r="AJ6117" s="10"/>
      <c r="AK6117" s="10"/>
      <c r="AL6117" s="10"/>
      <c r="AM6117" s="10"/>
      <c r="AN6117" s="10"/>
      <c r="AO6117" s="10"/>
      <c r="AP6117" s="10"/>
      <c r="AQ6117" s="10"/>
      <c r="AR6117" s="10"/>
      <c r="AS6117" s="10"/>
      <c r="AT6117" s="10"/>
      <c r="AU6117" s="10"/>
      <c r="AV6117" s="10"/>
      <c r="AW6117" s="10"/>
      <c r="AX6117" s="10"/>
      <c r="AY6117" s="10"/>
      <c r="AZ6117" s="10"/>
    </row>
    <row r="6118" spans="31:52">
      <c r="AE6118" s="10"/>
      <c r="AF6118" s="10"/>
      <c r="AG6118" s="10"/>
      <c r="AH6118" s="10"/>
      <c r="AI6118" s="10"/>
      <c r="AJ6118" s="10"/>
      <c r="AK6118" s="10"/>
      <c r="AL6118" s="10"/>
      <c r="AM6118" s="10"/>
      <c r="AN6118" s="10"/>
      <c r="AO6118" s="10"/>
      <c r="AP6118" s="10"/>
      <c r="AQ6118" s="10"/>
      <c r="AR6118" s="10"/>
      <c r="AS6118" s="10"/>
      <c r="AT6118" s="10"/>
      <c r="AU6118" s="10"/>
      <c r="AV6118" s="10"/>
      <c r="AW6118" s="10"/>
      <c r="AX6118" s="10"/>
      <c r="AY6118" s="10"/>
      <c r="AZ6118" s="10"/>
    </row>
    <row r="6119" spans="31:52">
      <c r="AE6119" s="10"/>
      <c r="AF6119" s="10"/>
      <c r="AG6119" s="10"/>
      <c r="AH6119" s="10"/>
      <c r="AI6119" s="10"/>
      <c r="AJ6119" s="10"/>
      <c r="AK6119" s="10"/>
      <c r="AL6119" s="10"/>
      <c r="AM6119" s="10"/>
      <c r="AN6119" s="10"/>
      <c r="AO6119" s="10"/>
      <c r="AP6119" s="10"/>
      <c r="AQ6119" s="10"/>
      <c r="AR6119" s="10"/>
      <c r="AS6119" s="10"/>
      <c r="AT6119" s="10"/>
      <c r="AU6119" s="10"/>
      <c r="AV6119" s="10"/>
      <c r="AW6119" s="10"/>
      <c r="AX6119" s="10"/>
      <c r="AY6119" s="10"/>
      <c r="AZ6119" s="10"/>
    </row>
    <row r="6120" spans="31:52">
      <c r="AE6120" s="10"/>
      <c r="AF6120" s="10"/>
      <c r="AG6120" s="10"/>
      <c r="AH6120" s="10"/>
      <c r="AI6120" s="10"/>
      <c r="AJ6120" s="10"/>
      <c r="AK6120" s="10"/>
      <c r="AL6120" s="10"/>
      <c r="AM6120" s="10"/>
      <c r="AN6120" s="10"/>
      <c r="AO6120" s="10"/>
      <c r="AP6120" s="10"/>
      <c r="AQ6120" s="10"/>
      <c r="AR6120" s="10"/>
      <c r="AS6120" s="10"/>
      <c r="AT6120" s="10"/>
      <c r="AU6120" s="10"/>
      <c r="AV6120" s="10"/>
      <c r="AW6120" s="10"/>
      <c r="AX6120" s="10"/>
      <c r="AY6120" s="10"/>
      <c r="AZ6120" s="10"/>
    </row>
    <row r="6121" spans="31:52">
      <c r="AE6121" s="10"/>
      <c r="AF6121" s="10"/>
      <c r="AG6121" s="10"/>
      <c r="AH6121" s="10"/>
      <c r="AI6121" s="10"/>
      <c r="AJ6121" s="10"/>
      <c r="AK6121" s="10"/>
      <c r="AL6121" s="10"/>
      <c r="AM6121" s="10"/>
      <c r="AN6121" s="10"/>
      <c r="AO6121" s="10"/>
      <c r="AP6121" s="10"/>
      <c r="AQ6121" s="10"/>
      <c r="AR6121" s="10"/>
      <c r="AS6121" s="10"/>
      <c r="AT6121" s="10"/>
      <c r="AU6121" s="10"/>
      <c r="AV6121" s="10"/>
      <c r="AW6121" s="10"/>
      <c r="AX6121" s="10"/>
      <c r="AY6121" s="10"/>
      <c r="AZ6121" s="10"/>
    </row>
    <row r="6122" spans="31:52">
      <c r="AE6122" s="10"/>
      <c r="AF6122" s="10"/>
      <c r="AG6122" s="10"/>
      <c r="AH6122" s="10"/>
      <c r="AI6122" s="10"/>
      <c r="AJ6122" s="10"/>
      <c r="AK6122" s="10"/>
      <c r="AL6122" s="10"/>
      <c r="AM6122" s="10"/>
      <c r="AN6122" s="10"/>
      <c r="AO6122" s="10"/>
      <c r="AP6122" s="10"/>
      <c r="AQ6122" s="10"/>
      <c r="AR6122" s="10"/>
      <c r="AS6122" s="10"/>
      <c r="AT6122" s="10"/>
      <c r="AU6122" s="10"/>
      <c r="AV6122" s="10"/>
      <c r="AW6122" s="10"/>
      <c r="AX6122" s="10"/>
      <c r="AY6122" s="10"/>
      <c r="AZ6122" s="10"/>
    </row>
    <row r="6123" spans="31:52">
      <c r="AE6123" s="10"/>
      <c r="AF6123" s="10"/>
      <c r="AG6123" s="10"/>
      <c r="AH6123" s="10"/>
      <c r="AI6123" s="10"/>
      <c r="AJ6123" s="10"/>
      <c r="AK6123" s="10"/>
      <c r="AL6123" s="10"/>
      <c r="AM6123" s="10"/>
      <c r="AN6123" s="10"/>
      <c r="AO6123" s="10"/>
      <c r="AP6123" s="10"/>
      <c r="AQ6123" s="10"/>
      <c r="AR6123" s="10"/>
      <c r="AS6123" s="10"/>
      <c r="AT6123" s="10"/>
      <c r="AU6123" s="10"/>
      <c r="AV6123" s="10"/>
      <c r="AW6123" s="10"/>
      <c r="AX6123" s="10"/>
      <c r="AY6123" s="10"/>
      <c r="AZ6123" s="10"/>
    </row>
    <row r="6124" spans="31:52">
      <c r="AE6124" s="10"/>
      <c r="AF6124" s="10"/>
      <c r="AG6124" s="10"/>
      <c r="AH6124" s="10"/>
      <c r="AI6124" s="10"/>
      <c r="AJ6124" s="10"/>
      <c r="AK6124" s="10"/>
      <c r="AL6124" s="10"/>
      <c r="AM6124" s="10"/>
      <c r="AN6124" s="10"/>
      <c r="AO6124" s="10"/>
      <c r="AP6124" s="10"/>
      <c r="AQ6124" s="10"/>
      <c r="AR6124" s="10"/>
      <c r="AS6124" s="10"/>
      <c r="AT6124" s="10"/>
      <c r="AU6124" s="10"/>
      <c r="AV6124" s="10"/>
      <c r="AW6124" s="10"/>
      <c r="AX6124" s="10"/>
      <c r="AY6124" s="10"/>
      <c r="AZ6124" s="10"/>
    </row>
    <row r="6125" spans="31:52">
      <c r="AE6125" s="10"/>
      <c r="AF6125" s="10"/>
      <c r="AG6125" s="10"/>
      <c r="AH6125" s="10"/>
      <c r="AI6125" s="10"/>
      <c r="AJ6125" s="10"/>
      <c r="AK6125" s="10"/>
      <c r="AL6125" s="10"/>
      <c r="AM6125" s="10"/>
      <c r="AN6125" s="10"/>
      <c r="AO6125" s="10"/>
      <c r="AP6125" s="10"/>
      <c r="AQ6125" s="10"/>
      <c r="AR6125" s="10"/>
      <c r="AS6125" s="10"/>
      <c r="AT6125" s="10"/>
      <c r="AU6125" s="10"/>
      <c r="AV6125" s="10"/>
      <c r="AW6125" s="10"/>
      <c r="AX6125" s="10"/>
      <c r="AY6125" s="10"/>
      <c r="AZ6125" s="10"/>
    </row>
    <row r="6126" spans="31:52">
      <c r="AE6126" s="10"/>
      <c r="AF6126" s="10"/>
      <c r="AG6126" s="10"/>
      <c r="AH6126" s="10"/>
      <c r="AI6126" s="10"/>
      <c r="AJ6126" s="10"/>
      <c r="AK6126" s="10"/>
      <c r="AL6126" s="10"/>
      <c r="AM6126" s="10"/>
      <c r="AN6126" s="10"/>
      <c r="AO6126" s="10"/>
      <c r="AP6126" s="10"/>
      <c r="AQ6126" s="10"/>
      <c r="AR6126" s="10"/>
      <c r="AS6126" s="10"/>
      <c r="AT6126" s="10"/>
      <c r="AU6126" s="10"/>
      <c r="AV6126" s="10"/>
      <c r="AW6126" s="10"/>
      <c r="AX6126" s="10"/>
      <c r="AY6126" s="10"/>
      <c r="AZ6126" s="10"/>
    </row>
    <row r="6127" spans="31:52">
      <c r="AE6127" s="10"/>
      <c r="AF6127" s="10"/>
      <c r="AG6127" s="10"/>
      <c r="AH6127" s="10"/>
      <c r="AI6127" s="10"/>
      <c r="AJ6127" s="10"/>
      <c r="AK6127" s="10"/>
      <c r="AL6127" s="10"/>
      <c r="AM6127" s="10"/>
      <c r="AN6127" s="10"/>
      <c r="AO6127" s="10"/>
      <c r="AP6127" s="10"/>
      <c r="AQ6127" s="10"/>
      <c r="AR6127" s="10"/>
      <c r="AS6127" s="10"/>
      <c r="AT6127" s="10"/>
      <c r="AU6127" s="10"/>
      <c r="AV6127" s="10"/>
      <c r="AW6127" s="10"/>
      <c r="AX6127" s="10"/>
      <c r="AY6127" s="10"/>
      <c r="AZ6127" s="10"/>
    </row>
    <row r="6128" spans="31:52">
      <c r="AE6128" s="10"/>
      <c r="AF6128" s="10"/>
      <c r="AG6128" s="10"/>
      <c r="AH6128" s="10"/>
      <c r="AI6128" s="10"/>
      <c r="AJ6128" s="10"/>
      <c r="AK6128" s="10"/>
      <c r="AL6128" s="10"/>
      <c r="AM6128" s="10"/>
      <c r="AN6128" s="10"/>
      <c r="AO6128" s="10"/>
      <c r="AP6128" s="10"/>
      <c r="AQ6128" s="10"/>
      <c r="AR6128" s="10"/>
      <c r="AS6128" s="10"/>
      <c r="AT6128" s="10"/>
      <c r="AU6128" s="10"/>
      <c r="AV6128" s="10"/>
      <c r="AW6128" s="10"/>
      <c r="AX6128" s="10"/>
      <c r="AY6128" s="10"/>
      <c r="AZ6128" s="10"/>
    </row>
    <row r="6129" spans="31:52">
      <c r="AE6129" s="10"/>
      <c r="AF6129" s="10"/>
      <c r="AG6129" s="10"/>
      <c r="AH6129" s="10"/>
      <c r="AI6129" s="10"/>
      <c r="AJ6129" s="10"/>
      <c r="AK6129" s="10"/>
      <c r="AL6129" s="10"/>
      <c r="AM6129" s="10"/>
      <c r="AN6129" s="10"/>
      <c r="AO6129" s="10"/>
      <c r="AP6129" s="10"/>
      <c r="AQ6129" s="10"/>
      <c r="AR6129" s="10"/>
      <c r="AS6129" s="10"/>
      <c r="AT6129" s="10"/>
      <c r="AU6129" s="10"/>
      <c r="AV6129" s="10"/>
      <c r="AW6129" s="10"/>
      <c r="AX6129" s="10"/>
      <c r="AY6129" s="10"/>
      <c r="AZ6129" s="10"/>
    </row>
    <row r="6130" spans="31:52">
      <c r="AE6130" s="10"/>
      <c r="AF6130" s="10"/>
      <c r="AG6130" s="10"/>
      <c r="AH6130" s="10"/>
      <c r="AI6130" s="10"/>
      <c r="AJ6130" s="10"/>
      <c r="AK6130" s="10"/>
      <c r="AL6130" s="10"/>
      <c r="AM6130" s="10"/>
      <c r="AN6130" s="10"/>
      <c r="AO6130" s="10"/>
      <c r="AP6130" s="10"/>
      <c r="AQ6130" s="10"/>
      <c r="AR6130" s="10"/>
      <c r="AS6130" s="10"/>
      <c r="AT6130" s="10"/>
      <c r="AU6130" s="10"/>
      <c r="AV6130" s="10"/>
      <c r="AW6130" s="10"/>
      <c r="AX6130" s="10"/>
      <c r="AY6130" s="10"/>
      <c r="AZ6130" s="10"/>
    </row>
    <row r="6131" spans="31:52">
      <c r="AE6131" s="10"/>
      <c r="AF6131" s="10"/>
      <c r="AG6131" s="10"/>
      <c r="AH6131" s="10"/>
      <c r="AI6131" s="10"/>
      <c r="AJ6131" s="10"/>
      <c r="AK6131" s="10"/>
      <c r="AL6131" s="10"/>
      <c r="AM6131" s="10"/>
      <c r="AN6131" s="10"/>
      <c r="AO6131" s="10"/>
      <c r="AP6131" s="10"/>
      <c r="AQ6131" s="10"/>
      <c r="AR6131" s="10"/>
      <c r="AS6131" s="10"/>
      <c r="AT6131" s="10"/>
      <c r="AU6131" s="10"/>
      <c r="AV6131" s="10"/>
      <c r="AW6131" s="10"/>
      <c r="AX6131" s="10"/>
      <c r="AY6131" s="10"/>
      <c r="AZ6131" s="10"/>
    </row>
    <row r="6132" spans="31:52">
      <c r="AE6132" s="10"/>
      <c r="AF6132" s="10"/>
      <c r="AG6132" s="10"/>
      <c r="AH6132" s="10"/>
      <c r="AI6132" s="10"/>
      <c r="AJ6132" s="10"/>
      <c r="AK6132" s="10"/>
      <c r="AL6132" s="10"/>
      <c r="AM6132" s="10"/>
      <c r="AN6132" s="10"/>
      <c r="AO6132" s="10"/>
      <c r="AP6132" s="10"/>
      <c r="AQ6132" s="10"/>
      <c r="AR6132" s="10"/>
      <c r="AS6132" s="10"/>
      <c r="AT6132" s="10"/>
      <c r="AU6132" s="10"/>
      <c r="AV6132" s="10"/>
      <c r="AW6132" s="10"/>
      <c r="AX6132" s="10"/>
      <c r="AY6132" s="10"/>
      <c r="AZ6132" s="10"/>
    </row>
    <row r="6133" spans="31:52">
      <c r="AE6133" s="10"/>
      <c r="AF6133" s="10"/>
      <c r="AG6133" s="10"/>
      <c r="AH6133" s="10"/>
      <c r="AI6133" s="10"/>
      <c r="AJ6133" s="10"/>
      <c r="AK6133" s="10"/>
      <c r="AL6133" s="10"/>
      <c r="AM6133" s="10"/>
      <c r="AN6133" s="10"/>
      <c r="AO6133" s="10"/>
      <c r="AP6133" s="10"/>
      <c r="AQ6133" s="10"/>
      <c r="AR6133" s="10"/>
      <c r="AS6133" s="10"/>
      <c r="AT6133" s="10"/>
      <c r="AU6133" s="10"/>
      <c r="AV6133" s="10"/>
      <c r="AW6133" s="10"/>
      <c r="AX6133" s="10"/>
      <c r="AY6133" s="10"/>
      <c r="AZ6133" s="10"/>
    </row>
    <row r="6134" spans="31:52">
      <c r="AE6134" s="10"/>
      <c r="AF6134" s="10"/>
      <c r="AG6134" s="10"/>
      <c r="AH6134" s="10"/>
      <c r="AI6134" s="10"/>
      <c r="AJ6134" s="10"/>
      <c r="AK6134" s="10"/>
      <c r="AL6134" s="10"/>
      <c r="AM6134" s="10"/>
      <c r="AN6134" s="10"/>
      <c r="AO6134" s="10"/>
      <c r="AP6134" s="10"/>
      <c r="AQ6134" s="10"/>
      <c r="AR6134" s="10"/>
      <c r="AS6134" s="10"/>
      <c r="AT6134" s="10"/>
      <c r="AU6134" s="10"/>
      <c r="AV6134" s="10"/>
      <c r="AW6134" s="10"/>
      <c r="AX6134" s="10"/>
      <c r="AY6134" s="10"/>
      <c r="AZ6134" s="10"/>
    </row>
    <row r="6135" spans="31:52">
      <c r="AE6135" s="10"/>
      <c r="AF6135" s="10"/>
      <c r="AG6135" s="10"/>
      <c r="AH6135" s="10"/>
      <c r="AI6135" s="10"/>
      <c r="AJ6135" s="10"/>
      <c r="AK6135" s="10"/>
      <c r="AL6135" s="10"/>
      <c r="AM6135" s="10"/>
      <c r="AN6135" s="10"/>
      <c r="AO6135" s="10"/>
      <c r="AP6135" s="10"/>
      <c r="AQ6135" s="10"/>
      <c r="AR6135" s="10"/>
      <c r="AS6135" s="10"/>
      <c r="AT6135" s="10"/>
      <c r="AU6135" s="10"/>
      <c r="AV6135" s="10"/>
      <c r="AW6135" s="10"/>
      <c r="AX6135" s="10"/>
      <c r="AY6135" s="10"/>
      <c r="AZ6135" s="10"/>
    </row>
    <row r="6136" spans="31:52">
      <c r="AE6136" s="10"/>
      <c r="AF6136" s="10"/>
      <c r="AG6136" s="10"/>
      <c r="AH6136" s="10"/>
      <c r="AI6136" s="10"/>
      <c r="AJ6136" s="10"/>
      <c r="AK6136" s="10"/>
      <c r="AL6136" s="10"/>
      <c r="AM6136" s="10"/>
      <c r="AN6136" s="10"/>
      <c r="AO6136" s="10"/>
      <c r="AP6136" s="10"/>
      <c r="AQ6136" s="10"/>
      <c r="AR6136" s="10"/>
      <c r="AS6136" s="10"/>
      <c r="AT6136" s="10"/>
      <c r="AU6136" s="10"/>
      <c r="AV6136" s="10"/>
      <c r="AW6136" s="10"/>
      <c r="AX6136" s="10"/>
      <c r="AY6136" s="10"/>
      <c r="AZ6136" s="10"/>
    </row>
    <row r="6137" spans="31:52">
      <c r="AE6137" s="10"/>
      <c r="AF6137" s="10"/>
      <c r="AG6137" s="10"/>
      <c r="AH6137" s="10"/>
      <c r="AI6137" s="10"/>
      <c r="AJ6137" s="10"/>
      <c r="AK6137" s="10"/>
      <c r="AL6137" s="10"/>
      <c r="AM6137" s="10"/>
      <c r="AN6137" s="10"/>
      <c r="AO6137" s="10"/>
      <c r="AP6137" s="10"/>
      <c r="AQ6137" s="10"/>
      <c r="AR6137" s="10"/>
      <c r="AS6137" s="10"/>
      <c r="AT6137" s="10"/>
      <c r="AU6137" s="10"/>
      <c r="AV6137" s="10"/>
      <c r="AW6137" s="10"/>
      <c r="AX6137" s="10"/>
      <c r="AY6137" s="10"/>
      <c r="AZ6137" s="10"/>
    </row>
    <row r="6138" spans="31:52">
      <c r="AE6138" s="10"/>
      <c r="AF6138" s="10"/>
      <c r="AG6138" s="10"/>
      <c r="AH6138" s="10"/>
      <c r="AI6138" s="10"/>
      <c r="AJ6138" s="10"/>
      <c r="AK6138" s="10"/>
      <c r="AL6138" s="10"/>
      <c r="AM6138" s="10"/>
      <c r="AN6138" s="10"/>
      <c r="AO6138" s="10"/>
      <c r="AP6138" s="10"/>
      <c r="AQ6138" s="10"/>
      <c r="AR6138" s="10"/>
      <c r="AS6138" s="10"/>
      <c r="AT6138" s="10"/>
      <c r="AU6138" s="10"/>
      <c r="AV6138" s="10"/>
      <c r="AW6138" s="10"/>
      <c r="AX6138" s="10"/>
      <c r="AY6138" s="10"/>
      <c r="AZ6138" s="10"/>
    </row>
    <row r="6139" spans="31:52">
      <c r="AE6139" s="10"/>
      <c r="AF6139" s="10"/>
      <c r="AG6139" s="10"/>
      <c r="AH6139" s="10"/>
      <c r="AI6139" s="10"/>
      <c r="AJ6139" s="10"/>
      <c r="AK6139" s="10"/>
      <c r="AL6139" s="10"/>
      <c r="AM6139" s="10"/>
      <c r="AN6139" s="10"/>
      <c r="AO6139" s="10"/>
      <c r="AP6139" s="10"/>
      <c r="AQ6139" s="10"/>
      <c r="AR6139" s="10"/>
      <c r="AS6139" s="10"/>
      <c r="AT6139" s="10"/>
      <c r="AU6139" s="10"/>
      <c r="AV6139" s="10"/>
      <c r="AW6139" s="10"/>
      <c r="AX6139" s="10"/>
      <c r="AY6139" s="10"/>
      <c r="AZ6139" s="10"/>
    </row>
    <row r="6140" spans="31:52">
      <c r="AE6140" s="10"/>
      <c r="AF6140" s="10"/>
      <c r="AG6140" s="10"/>
      <c r="AH6140" s="10"/>
      <c r="AI6140" s="10"/>
      <c r="AJ6140" s="10"/>
      <c r="AK6140" s="10"/>
      <c r="AL6140" s="10"/>
      <c r="AM6140" s="10"/>
      <c r="AN6140" s="10"/>
      <c r="AO6140" s="10"/>
      <c r="AP6140" s="10"/>
      <c r="AQ6140" s="10"/>
      <c r="AR6140" s="10"/>
      <c r="AS6140" s="10"/>
      <c r="AT6140" s="10"/>
      <c r="AU6140" s="10"/>
      <c r="AV6140" s="10"/>
      <c r="AW6140" s="10"/>
      <c r="AX6140" s="10"/>
      <c r="AY6140" s="10"/>
      <c r="AZ6140" s="10"/>
    </row>
    <row r="6141" spans="31:52">
      <c r="AE6141" s="10"/>
      <c r="AF6141" s="10"/>
      <c r="AG6141" s="10"/>
      <c r="AH6141" s="10"/>
      <c r="AI6141" s="10"/>
      <c r="AJ6141" s="10"/>
      <c r="AK6141" s="10"/>
      <c r="AL6141" s="10"/>
      <c r="AM6141" s="10"/>
      <c r="AN6141" s="10"/>
      <c r="AO6141" s="10"/>
      <c r="AP6141" s="10"/>
      <c r="AQ6141" s="10"/>
      <c r="AR6141" s="10"/>
      <c r="AS6141" s="10"/>
      <c r="AT6141" s="10"/>
      <c r="AU6141" s="10"/>
      <c r="AV6141" s="10"/>
      <c r="AW6141" s="10"/>
      <c r="AX6141" s="10"/>
      <c r="AY6141" s="10"/>
      <c r="AZ6141" s="10"/>
    </row>
    <row r="6142" spans="31:52">
      <c r="AE6142" s="10"/>
      <c r="AF6142" s="10"/>
      <c r="AG6142" s="10"/>
      <c r="AH6142" s="10"/>
      <c r="AI6142" s="10"/>
      <c r="AJ6142" s="10"/>
      <c r="AK6142" s="10"/>
      <c r="AL6142" s="10"/>
      <c r="AM6142" s="10"/>
      <c r="AN6142" s="10"/>
      <c r="AO6142" s="10"/>
      <c r="AP6142" s="10"/>
      <c r="AQ6142" s="10"/>
      <c r="AR6142" s="10"/>
      <c r="AS6142" s="10"/>
      <c r="AT6142" s="10"/>
      <c r="AU6142" s="10"/>
      <c r="AV6142" s="10"/>
      <c r="AW6142" s="10"/>
      <c r="AX6142" s="10"/>
      <c r="AY6142" s="10"/>
      <c r="AZ6142" s="10"/>
    </row>
    <row r="6143" spans="31:52">
      <c r="AE6143" s="10"/>
      <c r="AF6143" s="10"/>
      <c r="AG6143" s="10"/>
      <c r="AH6143" s="10"/>
      <c r="AI6143" s="10"/>
      <c r="AJ6143" s="10"/>
      <c r="AK6143" s="10"/>
      <c r="AL6143" s="10"/>
      <c r="AM6143" s="10"/>
      <c r="AN6143" s="10"/>
      <c r="AO6143" s="10"/>
      <c r="AP6143" s="10"/>
      <c r="AQ6143" s="10"/>
      <c r="AR6143" s="10"/>
      <c r="AS6143" s="10"/>
      <c r="AT6143" s="10"/>
      <c r="AU6143" s="10"/>
      <c r="AV6143" s="10"/>
      <c r="AW6143" s="10"/>
      <c r="AX6143" s="10"/>
      <c r="AY6143" s="10"/>
      <c r="AZ6143" s="10"/>
    </row>
    <row r="6144" spans="31:52">
      <c r="AE6144" s="10"/>
      <c r="AF6144" s="10"/>
      <c r="AG6144" s="10"/>
      <c r="AH6144" s="10"/>
      <c r="AI6144" s="10"/>
      <c r="AJ6144" s="10"/>
      <c r="AK6144" s="10"/>
      <c r="AL6144" s="10"/>
      <c r="AM6144" s="10"/>
      <c r="AN6144" s="10"/>
      <c r="AO6144" s="10"/>
      <c r="AP6144" s="10"/>
      <c r="AQ6144" s="10"/>
      <c r="AR6144" s="10"/>
      <c r="AS6144" s="10"/>
      <c r="AT6144" s="10"/>
      <c r="AU6144" s="10"/>
      <c r="AV6144" s="10"/>
      <c r="AW6144" s="10"/>
      <c r="AX6144" s="10"/>
      <c r="AY6144" s="10"/>
      <c r="AZ6144" s="10"/>
    </row>
    <row r="6145" spans="31:52">
      <c r="AE6145" s="10"/>
      <c r="AF6145" s="10"/>
      <c r="AG6145" s="10"/>
      <c r="AH6145" s="10"/>
      <c r="AI6145" s="10"/>
      <c r="AJ6145" s="10"/>
      <c r="AK6145" s="10"/>
      <c r="AL6145" s="10"/>
      <c r="AM6145" s="10"/>
      <c r="AN6145" s="10"/>
      <c r="AO6145" s="10"/>
      <c r="AP6145" s="10"/>
      <c r="AQ6145" s="10"/>
      <c r="AR6145" s="10"/>
      <c r="AS6145" s="10"/>
      <c r="AT6145" s="10"/>
      <c r="AU6145" s="10"/>
      <c r="AV6145" s="10"/>
      <c r="AW6145" s="10"/>
      <c r="AX6145" s="10"/>
      <c r="AY6145" s="10"/>
      <c r="AZ6145" s="10"/>
    </row>
    <row r="6146" spans="31:52">
      <c r="AE6146" s="10"/>
      <c r="AF6146" s="10"/>
      <c r="AG6146" s="10"/>
      <c r="AH6146" s="10"/>
      <c r="AI6146" s="10"/>
      <c r="AJ6146" s="10"/>
      <c r="AK6146" s="10"/>
      <c r="AL6146" s="10"/>
      <c r="AM6146" s="10"/>
      <c r="AN6146" s="10"/>
      <c r="AO6146" s="10"/>
      <c r="AP6146" s="10"/>
      <c r="AQ6146" s="10"/>
      <c r="AR6146" s="10"/>
      <c r="AS6146" s="10"/>
      <c r="AT6146" s="10"/>
      <c r="AU6146" s="10"/>
      <c r="AV6146" s="10"/>
      <c r="AW6146" s="10"/>
      <c r="AX6146" s="10"/>
      <c r="AY6146" s="10"/>
      <c r="AZ6146" s="10"/>
    </row>
    <row r="6147" spans="31:52">
      <c r="AE6147" s="10"/>
      <c r="AF6147" s="10"/>
      <c r="AG6147" s="10"/>
      <c r="AH6147" s="10"/>
      <c r="AI6147" s="10"/>
      <c r="AJ6147" s="10"/>
      <c r="AK6147" s="10"/>
      <c r="AL6147" s="10"/>
      <c r="AM6147" s="10"/>
      <c r="AN6147" s="10"/>
      <c r="AO6147" s="10"/>
      <c r="AP6147" s="10"/>
      <c r="AQ6147" s="10"/>
      <c r="AR6147" s="10"/>
      <c r="AS6147" s="10"/>
      <c r="AT6147" s="10"/>
      <c r="AU6147" s="10"/>
      <c r="AV6147" s="10"/>
      <c r="AW6147" s="10"/>
      <c r="AX6147" s="10"/>
      <c r="AY6147" s="10"/>
      <c r="AZ6147" s="10"/>
    </row>
    <row r="6148" spans="31:52">
      <c r="AE6148" s="10"/>
      <c r="AF6148" s="10"/>
      <c r="AG6148" s="10"/>
      <c r="AH6148" s="10"/>
      <c r="AI6148" s="10"/>
      <c r="AJ6148" s="10"/>
      <c r="AK6148" s="10"/>
      <c r="AL6148" s="10"/>
      <c r="AM6148" s="10"/>
      <c r="AN6148" s="10"/>
      <c r="AO6148" s="10"/>
      <c r="AP6148" s="10"/>
      <c r="AQ6148" s="10"/>
      <c r="AR6148" s="10"/>
      <c r="AS6148" s="10"/>
      <c r="AT6148" s="10"/>
      <c r="AU6148" s="10"/>
      <c r="AV6148" s="10"/>
      <c r="AW6148" s="10"/>
      <c r="AX6148" s="10"/>
      <c r="AY6148" s="10"/>
      <c r="AZ6148" s="10"/>
    </row>
    <row r="6149" spans="31:52">
      <c r="AE6149" s="10"/>
      <c r="AF6149" s="10"/>
      <c r="AG6149" s="10"/>
      <c r="AH6149" s="10"/>
      <c r="AI6149" s="10"/>
      <c r="AJ6149" s="10"/>
      <c r="AK6149" s="10"/>
      <c r="AL6149" s="10"/>
      <c r="AM6149" s="10"/>
      <c r="AN6149" s="10"/>
      <c r="AO6149" s="10"/>
      <c r="AP6149" s="10"/>
      <c r="AQ6149" s="10"/>
      <c r="AR6149" s="10"/>
      <c r="AS6149" s="10"/>
      <c r="AT6149" s="10"/>
      <c r="AU6149" s="10"/>
      <c r="AV6149" s="10"/>
      <c r="AW6149" s="10"/>
      <c r="AX6149" s="10"/>
      <c r="AY6149" s="10"/>
      <c r="AZ6149" s="10"/>
    </row>
    <row r="6150" spans="31:52">
      <c r="AE6150" s="10"/>
      <c r="AF6150" s="10"/>
      <c r="AG6150" s="10"/>
      <c r="AH6150" s="10"/>
      <c r="AI6150" s="10"/>
      <c r="AJ6150" s="10"/>
      <c r="AK6150" s="10"/>
      <c r="AL6150" s="10"/>
      <c r="AM6150" s="10"/>
      <c r="AN6150" s="10"/>
      <c r="AO6150" s="10"/>
      <c r="AP6150" s="10"/>
      <c r="AQ6150" s="10"/>
      <c r="AR6150" s="10"/>
      <c r="AS6150" s="10"/>
      <c r="AT6150" s="10"/>
      <c r="AU6150" s="10"/>
      <c r="AV6150" s="10"/>
      <c r="AW6150" s="10"/>
      <c r="AX6150" s="10"/>
      <c r="AY6150" s="10"/>
      <c r="AZ6150" s="10"/>
    </row>
    <row r="6151" spans="31:52">
      <c r="AE6151" s="10"/>
      <c r="AF6151" s="10"/>
      <c r="AG6151" s="10"/>
      <c r="AH6151" s="10"/>
      <c r="AI6151" s="10"/>
      <c r="AJ6151" s="10"/>
      <c r="AK6151" s="10"/>
      <c r="AL6151" s="10"/>
      <c r="AM6151" s="10"/>
      <c r="AN6151" s="10"/>
      <c r="AO6151" s="10"/>
      <c r="AP6151" s="10"/>
      <c r="AQ6151" s="10"/>
      <c r="AR6151" s="10"/>
      <c r="AS6151" s="10"/>
      <c r="AT6151" s="10"/>
      <c r="AU6151" s="10"/>
      <c r="AV6151" s="10"/>
      <c r="AW6151" s="10"/>
      <c r="AX6151" s="10"/>
      <c r="AY6151" s="10"/>
      <c r="AZ6151" s="10"/>
    </row>
    <row r="6152" spans="31:52">
      <c r="AE6152" s="10"/>
      <c r="AF6152" s="10"/>
      <c r="AG6152" s="10"/>
      <c r="AH6152" s="10"/>
      <c r="AI6152" s="10"/>
      <c r="AJ6152" s="10"/>
      <c r="AK6152" s="10"/>
      <c r="AL6152" s="10"/>
      <c r="AM6152" s="10"/>
      <c r="AN6152" s="10"/>
      <c r="AO6152" s="10"/>
      <c r="AP6152" s="10"/>
      <c r="AQ6152" s="10"/>
      <c r="AR6152" s="10"/>
      <c r="AS6152" s="10"/>
      <c r="AT6152" s="10"/>
      <c r="AU6152" s="10"/>
      <c r="AV6152" s="10"/>
      <c r="AW6152" s="10"/>
      <c r="AX6152" s="10"/>
      <c r="AY6152" s="10"/>
      <c r="AZ6152" s="10"/>
    </row>
    <row r="6153" spans="31:52">
      <c r="AE6153" s="10"/>
      <c r="AF6153" s="10"/>
      <c r="AG6153" s="10"/>
      <c r="AH6153" s="10"/>
      <c r="AI6153" s="10"/>
      <c r="AJ6153" s="10"/>
      <c r="AK6153" s="10"/>
      <c r="AL6153" s="10"/>
      <c r="AM6153" s="10"/>
      <c r="AN6153" s="10"/>
      <c r="AO6153" s="10"/>
      <c r="AP6153" s="10"/>
      <c r="AQ6153" s="10"/>
      <c r="AR6153" s="10"/>
      <c r="AS6153" s="10"/>
      <c r="AT6153" s="10"/>
      <c r="AU6153" s="10"/>
      <c r="AV6153" s="10"/>
      <c r="AW6153" s="10"/>
      <c r="AX6153" s="10"/>
      <c r="AY6153" s="10"/>
      <c r="AZ6153" s="10"/>
    </row>
    <row r="6154" spans="31:52">
      <c r="AE6154" s="10"/>
      <c r="AF6154" s="10"/>
      <c r="AG6154" s="10"/>
      <c r="AH6154" s="10"/>
      <c r="AI6154" s="10"/>
      <c r="AJ6154" s="10"/>
      <c r="AK6154" s="10"/>
      <c r="AL6154" s="10"/>
      <c r="AM6154" s="10"/>
      <c r="AN6154" s="10"/>
      <c r="AO6154" s="10"/>
      <c r="AP6154" s="10"/>
      <c r="AQ6154" s="10"/>
      <c r="AR6154" s="10"/>
      <c r="AS6154" s="10"/>
      <c r="AT6154" s="10"/>
      <c r="AU6154" s="10"/>
      <c r="AV6154" s="10"/>
      <c r="AW6154" s="10"/>
      <c r="AX6154" s="10"/>
      <c r="AY6154" s="10"/>
      <c r="AZ6154" s="10"/>
    </row>
    <row r="6155" spans="31:52">
      <c r="AE6155" s="10"/>
      <c r="AF6155" s="10"/>
      <c r="AG6155" s="10"/>
      <c r="AH6155" s="10"/>
      <c r="AI6155" s="10"/>
      <c r="AJ6155" s="10"/>
      <c r="AK6155" s="10"/>
      <c r="AL6155" s="10"/>
      <c r="AM6155" s="10"/>
      <c r="AN6155" s="10"/>
      <c r="AO6155" s="10"/>
      <c r="AP6155" s="10"/>
      <c r="AQ6155" s="10"/>
      <c r="AR6155" s="10"/>
      <c r="AS6155" s="10"/>
      <c r="AT6155" s="10"/>
      <c r="AU6155" s="10"/>
      <c r="AV6155" s="10"/>
      <c r="AW6155" s="10"/>
      <c r="AX6155" s="10"/>
      <c r="AY6155" s="10"/>
      <c r="AZ6155" s="10"/>
    </row>
    <row r="6156" spans="31:52">
      <c r="AE6156" s="10"/>
      <c r="AF6156" s="10"/>
      <c r="AG6156" s="10"/>
      <c r="AH6156" s="10"/>
      <c r="AI6156" s="10"/>
      <c r="AJ6156" s="10"/>
      <c r="AK6156" s="10"/>
      <c r="AL6156" s="10"/>
      <c r="AM6156" s="10"/>
      <c r="AN6156" s="10"/>
      <c r="AO6156" s="10"/>
      <c r="AP6156" s="10"/>
      <c r="AQ6156" s="10"/>
      <c r="AR6156" s="10"/>
      <c r="AS6156" s="10"/>
      <c r="AT6156" s="10"/>
      <c r="AU6156" s="10"/>
      <c r="AV6156" s="10"/>
      <c r="AW6156" s="10"/>
      <c r="AX6156" s="10"/>
      <c r="AY6156" s="10"/>
      <c r="AZ6156" s="10"/>
    </row>
    <row r="6157" spans="31:52">
      <c r="AE6157" s="10"/>
      <c r="AF6157" s="10"/>
      <c r="AG6157" s="10"/>
      <c r="AH6157" s="10"/>
      <c r="AI6157" s="10"/>
      <c r="AJ6157" s="10"/>
      <c r="AK6157" s="10"/>
      <c r="AL6157" s="10"/>
      <c r="AM6157" s="10"/>
      <c r="AN6157" s="10"/>
      <c r="AO6157" s="10"/>
      <c r="AP6157" s="10"/>
      <c r="AQ6157" s="10"/>
      <c r="AR6157" s="10"/>
      <c r="AS6157" s="10"/>
      <c r="AT6157" s="10"/>
      <c r="AU6157" s="10"/>
      <c r="AV6157" s="10"/>
      <c r="AW6157" s="10"/>
      <c r="AX6157" s="10"/>
      <c r="AY6157" s="10"/>
      <c r="AZ6157" s="10"/>
    </row>
    <row r="6158" spans="31:52">
      <c r="AE6158" s="10"/>
      <c r="AF6158" s="10"/>
      <c r="AG6158" s="10"/>
      <c r="AH6158" s="10"/>
      <c r="AI6158" s="10"/>
      <c r="AJ6158" s="10"/>
      <c r="AK6158" s="10"/>
      <c r="AL6158" s="10"/>
      <c r="AM6158" s="10"/>
      <c r="AN6158" s="10"/>
      <c r="AO6158" s="10"/>
      <c r="AP6158" s="10"/>
      <c r="AQ6158" s="10"/>
      <c r="AR6158" s="10"/>
      <c r="AS6158" s="10"/>
      <c r="AT6158" s="10"/>
      <c r="AU6158" s="10"/>
      <c r="AV6158" s="10"/>
      <c r="AW6158" s="10"/>
      <c r="AX6158" s="10"/>
      <c r="AY6158" s="10"/>
      <c r="AZ6158" s="10"/>
    </row>
    <row r="6159" spans="31:52">
      <c r="AE6159" s="10"/>
      <c r="AF6159" s="10"/>
      <c r="AG6159" s="10"/>
      <c r="AH6159" s="10"/>
      <c r="AI6159" s="10"/>
      <c r="AJ6159" s="10"/>
      <c r="AK6159" s="10"/>
      <c r="AL6159" s="10"/>
      <c r="AM6159" s="10"/>
      <c r="AN6159" s="10"/>
      <c r="AO6159" s="10"/>
      <c r="AP6159" s="10"/>
      <c r="AQ6159" s="10"/>
      <c r="AR6159" s="10"/>
      <c r="AS6159" s="10"/>
      <c r="AT6159" s="10"/>
      <c r="AU6159" s="10"/>
      <c r="AV6159" s="10"/>
      <c r="AW6159" s="10"/>
      <c r="AX6159" s="10"/>
      <c r="AY6159" s="10"/>
      <c r="AZ6159" s="10"/>
    </row>
    <row r="6160" spans="31:52">
      <c r="AE6160" s="10"/>
      <c r="AF6160" s="10"/>
      <c r="AG6160" s="10"/>
      <c r="AH6160" s="10"/>
      <c r="AI6160" s="10"/>
      <c r="AJ6160" s="10"/>
      <c r="AK6160" s="10"/>
      <c r="AL6160" s="10"/>
      <c r="AM6160" s="10"/>
      <c r="AN6160" s="10"/>
      <c r="AO6160" s="10"/>
      <c r="AP6160" s="10"/>
      <c r="AQ6160" s="10"/>
      <c r="AR6160" s="10"/>
      <c r="AS6160" s="10"/>
      <c r="AT6160" s="10"/>
      <c r="AU6160" s="10"/>
      <c r="AV6160" s="10"/>
      <c r="AW6160" s="10"/>
      <c r="AX6160" s="10"/>
      <c r="AY6160" s="10"/>
      <c r="AZ6160" s="10"/>
    </row>
    <row r="6161" spans="31:52">
      <c r="AE6161" s="10"/>
      <c r="AF6161" s="10"/>
      <c r="AG6161" s="10"/>
      <c r="AH6161" s="10"/>
      <c r="AI6161" s="10"/>
      <c r="AJ6161" s="10"/>
      <c r="AK6161" s="10"/>
      <c r="AL6161" s="10"/>
      <c r="AM6161" s="10"/>
      <c r="AN6161" s="10"/>
      <c r="AO6161" s="10"/>
      <c r="AP6161" s="10"/>
      <c r="AQ6161" s="10"/>
      <c r="AR6161" s="10"/>
      <c r="AS6161" s="10"/>
      <c r="AT6161" s="10"/>
      <c r="AU6161" s="10"/>
      <c r="AV6161" s="10"/>
      <c r="AW6161" s="10"/>
      <c r="AX6161" s="10"/>
      <c r="AY6161" s="10"/>
      <c r="AZ6161" s="10"/>
    </row>
    <row r="6162" spans="31:52">
      <c r="AE6162" s="10"/>
      <c r="AF6162" s="10"/>
      <c r="AG6162" s="10"/>
      <c r="AH6162" s="10"/>
      <c r="AI6162" s="10"/>
      <c r="AJ6162" s="10"/>
      <c r="AK6162" s="10"/>
      <c r="AL6162" s="10"/>
      <c r="AM6162" s="10"/>
      <c r="AN6162" s="10"/>
      <c r="AO6162" s="10"/>
      <c r="AP6162" s="10"/>
      <c r="AQ6162" s="10"/>
      <c r="AR6162" s="10"/>
      <c r="AS6162" s="10"/>
      <c r="AT6162" s="10"/>
      <c r="AU6162" s="10"/>
      <c r="AV6162" s="10"/>
      <c r="AW6162" s="10"/>
      <c r="AX6162" s="10"/>
      <c r="AY6162" s="10"/>
      <c r="AZ6162" s="10"/>
    </row>
    <row r="6163" spans="31:52">
      <c r="AE6163" s="10"/>
      <c r="AF6163" s="10"/>
      <c r="AG6163" s="10"/>
      <c r="AH6163" s="10"/>
      <c r="AI6163" s="10"/>
      <c r="AJ6163" s="10"/>
      <c r="AK6163" s="10"/>
      <c r="AL6163" s="10"/>
      <c r="AM6163" s="10"/>
      <c r="AN6163" s="10"/>
      <c r="AO6163" s="10"/>
      <c r="AP6163" s="10"/>
      <c r="AQ6163" s="10"/>
      <c r="AR6163" s="10"/>
      <c r="AS6163" s="10"/>
      <c r="AT6163" s="10"/>
      <c r="AU6163" s="10"/>
      <c r="AV6163" s="10"/>
      <c r="AW6163" s="10"/>
      <c r="AX6163" s="10"/>
      <c r="AY6163" s="10"/>
      <c r="AZ6163" s="10"/>
    </row>
    <row r="6164" spans="31:52">
      <c r="AE6164" s="10"/>
      <c r="AF6164" s="10"/>
      <c r="AG6164" s="10"/>
      <c r="AH6164" s="10"/>
      <c r="AI6164" s="10"/>
      <c r="AJ6164" s="10"/>
      <c r="AK6164" s="10"/>
      <c r="AL6164" s="10"/>
      <c r="AM6164" s="10"/>
      <c r="AN6164" s="10"/>
      <c r="AO6164" s="10"/>
      <c r="AP6164" s="10"/>
      <c r="AQ6164" s="10"/>
      <c r="AR6164" s="10"/>
      <c r="AS6164" s="10"/>
      <c r="AT6164" s="10"/>
      <c r="AU6164" s="10"/>
      <c r="AV6164" s="10"/>
      <c r="AW6164" s="10"/>
      <c r="AX6164" s="10"/>
      <c r="AY6164" s="10"/>
      <c r="AZ6164" s="10"/>
    </row>
    <row r="6165" spans="31:52">
      <c r="AE6165" s="10"/>
      <c r="AF6165" s="10"/>
      <c r="AG6165" s="10"/>
      <c r="AH6165" s="10"/>
      <c r="AI6165" s="10"/>
      <c r="AJ6165" s="10"/>
      <c r="AK6165" s="10"/>
      <c r="AL6165" s="10"/>
      <c r="AM6165" s="10"/>
      <c r="AN6165" s="10"/>
      <c r="AO6165" s="10"/>
      <c r="AP6165" s="10"/>
      <c r="AQ6165" s="10"/>
      <c r="AR6165" s="10"/>
      <c r="AS6165" s="10"/>
      <c r="AT6165" s="10"/>
      <c r="AU6165" s="10"/>
      <c r="AV6165" s="10"/>
      <c r="AW6165" s="10"/>
      <c r="AX6165" s="10"/>
      <c r="AY6165" s="10"/>
      <c r="AZ6165" s="10"/>
    </row>
    <row r="6166" spans="31:52">
      <c r="AE6166" s="10"/>
      <c r="AF6166" s="10"/>
      <c r="AG6166" s="10"/>
      <c r="AH6166" s="10"/>
      <c r="AI6166" s="10"/>
      <c r="AJ6166" s="10"/>
      <c r="AK6166" s="10"/>
      <c r="AL6166" s="10"/>
      <c r="AM6166" s="10"/>
      <c r="AN6166" s="10"/>
      <c r="AO6166" s="10"/>
      <c r="AP6166" s="10"/>
      <c r="AQ6166" s="10"/>
      <c r="AR6166" s="10"/>
      <c r="AS6166" s="10"/>
      <c r="AT6166" s="10"/>
      <c r="AU6166" s="10"/>
      <c r="AV6166" s="10"/>
      <c r="AW6166" s="10"/>
      <c r="AX6166" s="10"/>
      <c r="AY6166" s="10"/>
      <c r="AZ6166" s="10"/>
    </row>
    <row r="6167" spans="31:52">
      <c r="AE6167" s="10"/>
      <c r="AF6167" s="10"/>
      <c r="AG6167" s="10"/>
      <c r="AH6167" s="10"/>
      <c r="AI6167" s="10"/>
      <c r="AJ6167" s="10"/>
      <c r="AK6167" s="10"/>
      <c r="AL6167" s="10"/>
      <c r="AM6167" s="10"/>
      <c r="AN6167" s="10"/>
      <c r="AO6167" s="10"/>
      <c r="AP6167" s="10"/>
      <c r="AQ6167" s="10"/>
      <c r="AR6167" s="10"/>
      <c r="AS6167" s="10"/>
      <c r="AT6167" s="10"/>
      <c r="AU6167" s="10"/>
      <c r="AV6167" s="10"/>
      <c r="AW6167" s="10"/>
      <c r="AX6167" s="10"/>
      <c r="AY6167" s="10"/>
      <c r="AZ6167" s="10"/>
    </row>
    <row r="6168" spans="31:52">
      <c r="AE6168" s="10"/>
      <c r="AF6168" s="10"/>
      <c r="AG6168" s="10"/>
      <c r="AH6168" s="10"/>
      <c r="AI6168" s="10"/>
      <c r="AJ6168" s="10"/>
      <c r="AK6168" s="10"/>
      <c r="AL6168" s="10"/>
      <c r="AM6168" s="10"/>
      <c r="AN6168" s="10"/>
      <c r="AO6168" s="10"/>
      <c r="AP6168" s="10"/>
      <c r="AQ6168" s="10"/>
      <c r="AR6168" s="10"/>
      <c r="AS6168" s="10"/>
      <c r="AT6168" s="10"/>
      <c r="AU6168" s="10"/>
      <c r="AV6168" s="10"/>
      <c r="AW6168" s="10"/>
      <c r="AX6168" s="10"/>
      <c r="AY6168" s="10"/>
      <c r="AZ6168" s="10"/>
    </row>
    <row r="6169" spans="31:52">
      <c r="AE6169" s="10"/>
      <c r="AF6169" s="10"/>
      <c r="AG6169" s="10"/>
      <c r="AH6169" s="10"/>
      <c r="AI6169" s="10"/>
      <c r="AJ6169" s="10"/>
      <c r="AK6169" s="10"/>
      <c r="AL6169" s="10"/>
      <c r="AM6169" s="10"/>
      <c r="AN6169" s="10"/>
      <c r="AO6169" s="10"/>
      <c r="AP6169" s="10"/>
      <c r="AQ6169" s="10"/>
      <c r="AR6169" s="10"/>
      <c r="AS6169" s="10"/>
      <c r="AT6169" s="10"/>
      <c r="AU6169" s="10"/>
      <c r="AV6169" s="10"/>
      <c r="AW6169" s="10"/>
      <c r="AX6169" s="10"/>
      <c r="AY6169" s="10"/>
      <c r="AZ6169" s="10"/>
    </row>
    <row r="6170" spans="31:52">
      <c r="AE6170" s="10"/>
      <c r="AF6170" s="10"/>
      <c r="AG6170" s="10"/>
      <c r="AH6170" s="10"/>
      <c r="AI6170" s="10"/>
      <c r="AJ6170" s="10"/>
      <c r="AK6170" s="10"/>
      <c r="AL6170" s="10"/>
      <c r="AM6170" s="10"/>
      <c r="AN6170" s="10"/>
      <c r="AO6170" s="10"/>
      <c r="AP6170" s="10"/>
      <c r="AQ6170" s="10"/>
      <c r="AR6170" s="10"/>
      <c r="AS6170" s="10"/>
      <c r="AT6170" s="10"/>
      <c r="AU6170" s="10"/>
      <c r="AV6170" s="10"/>
      <c r="AW6170" s="10"/>
      <c r="AX6170" s="10"/>
      <c r="AY6170" s="10"/>
      <c r="AZ6170" s="10"/>
    </row>
    <row r="6171" spans="31:52">
      <c r="AE6171" s="10"/>
      <c r="AF6171" s="10"/>
      <c r="AG6171" s="10"/>
      <c r="AH6171" s="10"/>
      <c r="AI6171" s="10"/>
      <c r="AJ6171" s="10"/>
      <c r="AK6171" s="10"/>
      <c r="AL6171" s="10"/>
      <c r="AM6171" s="10"/>
      <c r="AN6171" s="10"/>
      <c r="AO6171" s="10"/>
      <c r="AP6171" s="10"/>
      <c r="AQ6171" s="10"/>
      <c r="AR6171" s="10"/>
      <c r="AS6171" s="10"/>
      <c r="AT6171" s="10"/>
      <c r="AU6171" s="10"/>
      <c r="AV6171" s="10"/>
      <c r="AW6171" s="10"/>
      <c r="AX6171" s="10"/>
      <c r="AY6171" s="10"/>
      <c r="AZ6171" s="10"/>
    </row>
    <row r="6172" spans="31:52">
      <c r="AE6172" s="10"/>
      <c r="AF6172" s="10"/>
      <c r="AG6172" s="10"/>
      <c r="AH6172" s="10"/>
      <c r="AI6172" s="10"/>
      <c r="AJ6172" s="10"/>
      <c r="AK6172" s="10"/>
      <c r="AL6172" s="10"/>
      <c r="AM6172" s="10"/>
      <c r="AN6172" s="10"/>
      <c r="AO6172" s="10"/>
      <c r="AP6172" s="10"/>
      <c r="AQ6172" s="10"/>
      <c r="AR6172" s="10"/>
      <c r="AS6172" s="10"/>
      <c r="AT6172" s="10"/>
      <c r="AU6172" s="10"/>
      <c r="AV6172" s="10"/>
      <c r="AW6172" s="10"/>
      <c r="AX6172" s="10"/>
      <c r="AY6172" s="10"/>
      <c r="AZ6172" s="10"/>
    </row>
    <row r="6173" spans="31:52">
      <c r="AE6173" s="10"/>
      <c r="AF6173" s="10"/>
      <c r="AG6173" s="10"/>
      <c r="AH6173" s="10"/>
      <c r="AI6173" s="10"/>
      <c r="AJ6173" s="10"/>
      <c r="AK6173" s="10"/>
      <c r="AL6173" s="10"/>
      <c r="AM6173" s="10"/>
      <c r="AN6173" s="10"/>
      <c r="AO6173" s="10"/>
      <c r="AP6173" s="10"/>
      <c r="AQ6173" s="10"/>
      <c r="AR6173" s="10"/>
      <c r="AS6173" s="10"/>
      <c r="AT6173" s="10"/>
      <c r="AU6173" s="10"/>
      <c r="AV6173" s="10"/>
      <c r="AW6173" s="10"/>
      <c r="AX6173" s="10"/>
      <c r="AY6173" s="10"/>
      <c r="AZ6173" s="10"/>
    </row>
    <row r="6174" spans="31:52">
      <c r="AE6174" s="10"/>
      <c r="AF6174" s="10"/>
      <c r="AG6174" s="10"/>
      <c r="AH6174" s="10"/>
      <c r="AI6174" s="10"/>
      <c r="AJ6174" s="10"/>
      <c r="AK6174" s="10"/>
      <c r="AL6174" s="10"/>
      <c r="AM6174" s="10"/>
      <c r="AN6174" s="10"/>
      <c r="AO6174" s="10"/>
      <c r="AP6174" s="10"/>
      <c r="AQ6174" s="10"/>
      <c r="AR6174" s="10"/>
      <c r="AS6174" s="10"/>
      <c r="AT6174" s="10"/>
      <c r="AU6174" s="10"/>
      <c r="AV6174" s="10"/>
      <c r="AW6174" s="10"/>
      <c r="AX6174" s="10"/>
      <c r="AY6174" s="10"/>
      <c r="AZ6174" s="10"/>
    </row>
    <row r="6175" spans="31:52">
      <c r="AE6175" s="10"/>
      <c r="AF6175" s="10"/>
      <c r="AG6175" s="10"/>
      <c r="AH6175" s="10"/>
      <c r="AI6175" s="10"/>
      <c r="AJ6175" s="10"/>
      <c r="AK6175" s="10"/>
      <c r="AL6175" s="10"/>
      <c r="AM6175" s="10"/>
      <c r="AN6175" s="10"/>
      <c r="AO6175" s="10"/>
      <c r="AP6175" s="10"/>
      <c r="AQ6175" s="10"/>
      <c r="AR6175" s="10"/>
      <c r="AS6175" s="10"/>
      <c r="AT6175" s="10"/>
      <c r="AU6175" s="10"/>
      <c r="AV6175" s="10"/>
      <c r="AW6175" s="10"/>
      <c r="AX6175" s="10"/>
      <c r="AY6175" s="10"/>
      <c r="AZ6175" s="10"/>
    </row>
    <row r="6176" spans="31:52">
      <c r="AE6176" s="10"/>
      <c r="AF6176" s="10"/>
      <c r="AG6176" s="10"/>
      <c r="AH6176" s="10"/>
      <c r="AI6176" s="10"/>
      <c r="AJ6176" s="10"/>
      <c r="AK6176" s="10"/>
      <c r="AL6176" s="10"/>
      <c r="AM6176" s="10"/>
      <c r="AN6176" s="10"/>
      <c r="AO6176" s="10"/>
      <c r="AP6176" s="10"/>
      <c r="AQ6176" s="10"/>
      <c r="AR6176" s="10"/>
      <c r="AS6176" s="10"/>
      <c r="AT6176" s="10"/>
      <c r="AU6176" s="10"/>
      <c r="AV6176" s="10"/>
      <c r="AW6176" s="10"/>
      <c r="AX6176" s="10"/>
      <c r="AY6176" s="10"/>
      <c r="AZ6176" s="10"/>
    </row>
    <row r="6177" spans="31:52">
      <c r="AE6177" s="10"/>
      <c r="AF6177" s="10"/>
      <c r="AG6177" s="10"/>
      <c r="AH6177" s="10"/>
      <c r="AI6177" s="10"/>
      <c r="AJ6177" s="10"/>
      <c r="AK6177" s="10"/>
      <c r="AL6177" s="10"/>
      <c r="AM6177" s="10"/>
      <c r="AN6177" s="10"/>
      <c r="AO6177" s="10"/>
      <c r="AP6177" s="10"/>
      <c r="AQ6177" s="10"/>
      <c r="AR6177" s="10"/>
      <c r="AS6177" s="10"/>
      <c r="AT6177" s="10"/>
      <c r="AU6177" s="10"/>
      <c r="AV6177" s="10"/>
      <c r="AW6177" s="10"/>
      <c r="AX6177" s="10"/>
      <c r="AY6177" s="10"/>
      <c r="AZ6177" s="10"/>
    </row>
    <row r="6178" spans="31:52">
      <c r="AE6178" s="10"/>
      <c r="AF6178" s="10"/>
      <c r="AG6178" s="10"/>
      <c r="AH6178" s="10"/>
      <c r="AI6178" s="10"/>
      <c r="AJ6178" s="10"/>
      <c r="AK6178" s="10"/>
      <c r="AL6178" s="10"/>
      <c r="AM6178" s="10"/>
      <c r="AN6178" s="10"/>
      <c r="AO6178" s="10"/>
      <c r="AP6178" s="10"/>
      <c r="AQ6178" s="10"/>
      <c r="AR6178" s="10"/>
      <c r="AS6178" s="10"/>
      <c r="AT6178" s="10"/>
      <c r="AU6178" s="10"/>
      <c r="AV6178" s="10"/>
      <c r="AW6178" s="10"/>
      <c r="AX6178" s="10"/>
      <c r="AY6178" s="10"/>
      <c r="AZ6178" s="10"/>
    </row>
    <row r="6179" spans="31:52">
      <c r="AE6179" s="10"/>
      <c r="AF6179" s="10"/>
      <c r="AG6179" s="10"/>
      <c r="AH6179" s="10"/>
      <c r="AI6179" s="10"/>
      <c r="AJ6179" s="10"/>
      <c r="AK6179" s="10"/>
      <c r="AL6179" s="10"/>
      <c r="AM6179" s="10"/>
      <c r="AN6179" s="10"/>
      <c r="AO6179" s="10"/>
      <c r="AP6179" s="10"/>
      <c r="AQ6179" s="10"/>
      <c r="AR6179" s="10"/>
      <c r="AS6179" s="10"/>
      <c r="AT6179" s="10"/>
      <c r="AU6179" s="10"/>
      <c r="AV6179" s="10"/>
      <c r="AW6179" s="10"/>
      <c r="AX6179" s="10"/>
      <c r="AY6179" s="10"/>
      <c r="AZ6179" s="10"/>
    </row>
    <row r="6180" spans="31:52">
      <c r="AE6180" s="10"/>
      <c r="AF6180" s="10"/>
      <c r="AG6180" s="10"/>
      <c r="AH6180" s="10"/>
      <c r="AI6180" s="10"/>
      <c r="AJ6180" s="10"/>
      <c r="AK6180" s="10"/>
      <c r="AL6180" s="10"/>
      <c r="AM6180" s="10"/>
      <c r="AN6180" s="10"/>
      <c r="AO6180" s="10"/>
      <c r="AP6180" s="10"/>
      <c r="AQ6180" s="10"/>
      <c r="AR6180" s="10"/>
      <c r="AS6180" s="10"/>
      <c r="AT6180" s="10"/>
      <c r="AU6180" s="10"/>
      <c r="AV6180" s="10"/>
      <c r="AW6180" s="10"/>
      <c r="AX6180" s="10"/>
      <c r="AY6180" s="10"/>
      <c r="AZ6180" s="10"/>
    </row>
    <row r="6181" spans="31:52">
      <c r="AE6181" s="10"/>
      <c r="AF6181" s="10"/>
      <c r="AG6181" s="10"/>
      <c r="AH6181" s="10"/>
      <c r="AI6181" s="10"/>
      <c r="AJ6181" s="10"/>
      <c r="AK6181" s="10"/>
      <c r="AL6181" s="10"/>
      <c r="AM6181" s="10"/>
      <c r="AN6181" s="10"/>
      <c r="AO6181" s="10"/>
      <c r="AP6181" s="10"/>
      <c r="AQ6181" s="10"/>
      <c r="AR6181" s="10"/>
      <c r="AS6181" s="10"/>
      <c r="AT6181" s="10"/>
      <c r="AU6181" s="10"/>
      <c r="AV6181" s="10"/>
      <c r="AW6181" s="10"/>
      <c r="AX6181" s="10"/>
      <c r="AY6181" s="10"/>
      <c r="AZ6181" s="10"/>
    </row>
    <row r="6182" spans="31:52">
      <c r="AE6182" s="10"/>
      <c r="AF6182" s="10"/>
      <c r="AG6182" s="10"/>
      <c r="AH6182" s="10"/>
      <c r="AI6182" s="10"/>
      <c r="AJ6182" s="10"/>
      <c r="AK6182" s="10"/>
      <c r="AL6182" s="10"/>
      <c r="AM6182" s="10"/>
      <c r="AN6182" s="10"/>
      <c r="AO6182" s="10"/>
      <c r="AP6182" s="10"/>
      <c r="AQ6182" s="10"/>
      <c r="AR6182" s="10"/>
      <c r="AS6182" s="10"/>
      <c r="AT6182" s="10"/>
      <c r="AU6182" s="10"/>
      <c r="AV6182" s="10"/>
      <c r="AW6182" s="10"/>
      <c r="AX6182" s="10"/>
      <c r="AY6182" s="10"/>
      <c r="AZ6182" s="10"/>
    </row>
    <row r="6183" spans="31:52">
      <c r="AE6183" s="10"/>
      <c r="AF6183" s="10"/>
      <c r="AG6183" s="10"/>
      <c r="AH6183" s="10"/>
      <c r="AI6183" s="10"/>
      <c r="AJ6183" s="10"/>
      <c r="AK6183" s="10"/>
      <c r="AL6183" s="10"/>
      <c r="AM6183" s="10"/>
      <c r="AN6183" s="10"/>
      <c r="AO6183" s="10"/>
      <c r="AP6183" s="10"/>
      <c r="AQ6183" s="10"/>
      <c r="AR6183" s="10"/>
      <c r="AS6183" s="10"/>
      <c r="AT6183" s="10"/>
      <c r="AU6183" s="10"/>
      <c r="AV6183" s="10"/>
      <c r="AW6183" s="10"/>
      <c r="AX6183" s="10"/>
      <c r="AY6183" s="10"/>
      <c r="AZ6183" s="10"/>
    </row>
    <row r="6184" spans="31:52">
      <c r="AE6184" s="10"/>
      <c r="AF6184" s="10"/>
      <c r="AG6184" s="10"/>
      <c r="AH6184" s="10"/>
      <c r="AI6184" s="10"/>
      <c r="AJ6184" s="10"/>
      <c r="AK6184" s="10"/>
      <c r="AL6184" s="10"/>
      <c r="AM6184" s="10"/>
      <c r="AN6184" s="10"/>
      <c r="AO6184" s="10"/>
      <c r="AP6184" s="10"/>
      <c r="AQ6184" s="10"/>
      <c r="AR6184" s="10"/>
      <c r="AS6184" s="10"/>
      <c r="AT6184" s="10"/>
      <c r="AU6184" s="10"/>
      <c r="AV6184" s="10"/>
      <c r="AW6184" s="10"/>
      <c r="AX6184" s="10"/>
      <c r="AY6184" s="10"/>
      <c r="AZ6184" s="10"/>
    </row>
    <row r="6185" spans="31:52">
      <c r="AE6185" s="10"/>
      <c r="AF6185" s="10"/>
      <c r="AG6185" s="10"/>
      <c r="AH6185" s="10"/>
      <c r="AI6185" s="10"/>
      <c r="AJ6185" s="10"/>
      <c r="AK6185" s="10"/>
      <c r="AL6185" s="10"/>
      <c r="AM6185" s="10"/>
      <c r="AN6185" s="10"/>
      <c r="AO6185" s="10"/>
      <c r="AP6185" s="10"/>
      <c r="AQ6185" s="10"/>
      <c r="AR6185" s="10"/>
      <c r="AS6185" s="10"/>
      <c r="AT6185" s="10"/>
      <c r="AU6185" s="10"/>
      <c r="AV6185" s="10"/>
      <c r="AW6185" s="10"/>
      <c r="AX6185" s="10"/>
      <c r="AY6185" s="10"/>
      <c r="AZ6185" s="10"/>
    </row>
    <row r="6186" spans="31:52">
      <c r="AE6186" s="10"/>
      <c r="AF6186" s="10"/>
      <c r="AG6186" s="10"/>
      <c r="AH6186" s="10"/>
      <c r="AI6186" s="10"/>
      <c r="AJ6186" s="10"/>
      <c r="AK6186" s="10"/>
      <c r="AL6186" s="10"/>
      <c r="AM6186" s="10"/>
      <c r="AN6186" s="10"/>
      <c r="AO6186" s="10"/>
      <c r="AP6186" s="10"/>
      <c r="AQ6186" s="10"/>
      <c r="AR6186" s="10"/>
      <c r="AS6186" s="10"/>
      <c r="AT6186" s="10"/>
      <c r="AU6186" s="10"/>
      <c r="AV6186" s="10"/>
      <c r="AW6186" s="10"/>
      <c r="AX6186" s="10"/>
      <c r="AY6186" s="10"/>
      <c r="AZ6186" s="10"/>
    </row>
    <row r="6187" spans="31:52">
      <c r="AE6187" s="10"/>
      <c r="AF6187" s="10"/>
      <c r="AG6187" s="10"/>
      <c r="AH6187" s="10"/>
      <c r="AI6187" s="10"/>
      <c r="AJ6187" s="10"/>
      <c r="AK6187" s="10"/>
      <c r="AL6187" s="10"/>
      <c r="AM6187" s="10"/>
      <c r="AN6187" s="10"/>
      <c r="AO6187" s="10"/>
      <c r="AP6187" s="10"/>
      <c r="AQ6187" s="10"/>
      <c r="AR6187" s="10"/>
      <c r="AS6187" s="10"/>
      <c r="AT6187" s="10"/>
      <c r="AU6187" s="10"/>
      <c r="AV6187" s="10"/>
      <c r="AW6187" s="10"/>
      <c r="AX6187" s="10"/>
      <c r="AY6187" s="10"/>
      <c r="AZ6187" s="10"/>
    </row>
    <row r="6188" spans="31:52">
      <c r="AE6188" s="10"/>
      <c r="AF6188" s="10"/>
      <c r="AG6188" s="10"/>
      <c r="AH6188" s="10"/>
      <c r="AI6188" s="10"/>
      <c r="AJ6188" s="10"/>
      <c r="AK6188" s="10"/>
      <c r="AL6188" s="10"/>
      <c r="AM6188" s="10"/>
      <c r="AN6188" s="10"/>
      <c r="AO6188" s="10"/>
      <c r="AP6188" s="10"/>
      <c r="AQ6188" s="10"/>
      <c r="AR6188" s="10"/>
      <c r="AS6188" s="10"/>
      <c r="AT6188" s="10"/>
      <c r="AU6188" s="10"/>
      <c r="AV6188" s="10"/>
      <c r="AW6188" s="10"/>
      <c r="AX6188" s="10"/>
      <c r="AY6188" s="10"/>
      <c r="AZ6188" s="10"/>
    </row>
    <row r="6189" spans="31:52">
      <c r="AE6189" s="10"/>
      <c r="AF6189" s="10"/>
      <c r="AG6189" s="10"/>
      <c r="AH6189" s="10"/>
      <c r="AI6189" s="10"/>
      <c r="AJ6189" s="10"/>
      <c r="AK6189" s="10"/>
      <c r="AL6189" s="10"/>
      <c r="AM6189" s="10"/>
      <c r="AN6189" s="10"/>
      <c r="AO6189" s="10"/>
      <c r="AP6189" s="10"/>
      <c r="AQ6189" s="10"/>
      <c r="AR6189" s="10"/>
      <c r="AS6189" s="10"/>
      <c r="AT6189" s="10"/>
      <c r="AU6189" s="10"/>
      <c r="AV6189" s="10"/>
      <c r="AW6189" s="10"/>
      <c r="AX6189" s="10"/>
      <c r="AY6189" s="10"/>
      <c r="AZ6189" s="10"/>
    </row>
    <row r="6190" spans="31:52">
      <c r="AE6190" s="10"/>
      <c r="AF6190" s="10"/>
      <c r="AG6190" s="10"/>
      <c r="AH6190" s="10"/>
      <c r="AI6190" s="10"/>
      <c r="AJ6190" s="10"/>
      <c r="AK6190" s="10"/>
      <c r="AL6190" s="10"/>
      <c r="AM6190" s="10"/>
      <c r="AN6190" s="10"/>
      <c r="AO6190" s="10"/>
      <c r="AP6190" s="10"/>
      <c r="AQ6190" s="10"/>
      <c r="AR6190" s="10"/>
      <c r="AS6190" s="10"/>
      <c r="AT6190" s="10"/>
      <c r="AU6190" s="10"/>
      <c r="AV6190" s="10"/>
      <c r="AW6190" s="10"/>
      <c r="AX6190" s="10"/>
      <c r="AY6190" s="10"/>
      <c r="AZ6190" s="10"/>
    </row>
    <row r="6191" spans="31:52">
      <c r="AE6191" s="10"/>
      <c r="AF6191" s="10"/>
      <c r="AG6191" s="10"/>
      <c r="AH6191" s="10"/>
      <c r="AI6191" s="10"/>
      <c r="AJ6191" s="10"/>
      <c r="AK6191" s="10"/>
      <c r="AL6191" s="10"/>
      <c r="AM6191" s="10"/>
      <c r="AN6191" s="10"/>
      <c r="AO6191" s="10"/>
      <c r="AP6191" s="10"/>
      <c r="AQ6191" s="10"/>
      <c r="AR6191" s="10"/>
      <c r="AS6191" s="10"/>
      <c r="AT6191" s="10"/>
      <c r="AU6191" s="10"/>
      <c r="AV6191" s="10"/>
      <c r="AW6191" s="10"/>
      <c r="AX6191" s="10"/>
      <c r="AY6191" s="10"/>
      <c r="AZ6191" s="10"/>
    </row>
    <row r="6192" spans="31:52">
      <c r="AE6192" s="10"/>
      <c r="AF6192" s="10"/>
      <c r="AG6192" s="10"/>
      <c r="AH6192" s="10"/>
      <c r="AI6192" s="10"/>
      <c r="AJ6192" s="10"/>
      <c r="AK6192" s="10"/>
      <c r="AL6192" s="10"/>
      <c r="AM6192" s="10"/>
      <c r="AN6192" s="10"/>
      <c r="AO6192" s="10"/>
      <c r="AP6192" s="10"/>
      <c r="AQ6192" s="10"/>
      <c r="AR6192" s="10"/>
      <c r="AS6192" s="10"/>
      <c r="AT6192" s="10"/>
      <c r="AU6192" s="10"/>
      <c r="AV6192" s="10"/>
      <c r="AW6192" s="10"/>
      <c r="AX6192" s="10"/>
      <c r="AY6192" s="10"/>
      <c r="AZ6192" s="10"/>
    </row>
    <row r="6193" spans="31:52">
      <c r="AE6193" s="10"/>
      <c r="AF6193" s="10"/>
      <c r="AG6193" s="10"/>
      <c r="AH6193" s="10"/>
      <c r="AI6193" s="10"/>
      <c r="AJ6193" s="10"/>
      <c r="AK6193" s="10"/>
      <c r="AL6193" s="10"/>
      <c r="AM6193" s="10"/>
      <c r="AN6193" s="10"/>
      <c r="AO6193" s="10"/>
      <c r="AP6193" s="10"/>
      <c r="AQ6193" s="10"/>
      <c r="AR6193" s="10"/>
      <c r="AS6193" s="10"/>
      <c r="AT6193" s="10"/>
      <c r="AU6193" s="10"/>
      <c r="AV6193" s="10"/>
      <c r="AW6193" s="10"/>
      <c r="AX6193" s="10"/>
      <c r="AY6193" s="10"/>
      <c r="AZ6193" s="10"/>
    </row>
    <row r="6194" spans="31:52">
      <c r="AE6194" s="10"/>
      <c r="AF6194" s="10"/>
      <c r="AG6194" s="10"/>
      <c r="AH6194" s="10"/>
      <c r="AI6194" s="10"/>
      <c r="AJ6194" s="10"/>
      <c r="AK6194" s="10"/>
      <c r="AL6194" s="10"/>
      <c r="AM6194" s="10"/>
      <c r="AN6194" s="10"/>
      <c r="AO6194" s="10"/>
      <c r="AP6194" s="10"/>
      <c r="AQ6194" s="10"/>
      <c r="AR6194" s="10"/>
      <c r="AS6194" s="10"/>
      <c r="AT6194" s="10"/>
      <c r="AU6194" s="10"/>
      <c r="AV6194" s="10"/>
      <c r="AW6194" s="10"/>
      <c r="AX6194" s="10"/>
      <c r="AY6194" s="10"/>
      <c r="AZ6194" s="10"/>
    </row>
    <row r="6195" spans="31:52">
      <c r="AE6195" s="10"/>
      <c r="AF6195" s="10"/>
      <c r="AG6195" s="10"/>
      <c r="AH6195" s="10"/>
      <c r="AI6195" s="10"/>
      <c r="AJ6195" s="10"/>
      <c r="AK6195" s="10"/>
      <c r="AL6195" s="10"/>
      <c r="AM6195" s="10"/>
      <c r="AN6195" s="10"/>
      <c r="AO6195" s="10"/>
      <c r="AP6195" s="10"/>
      <c r="AQ6195" s="10"/>
      <c r="AR6195" s="10"/>
      <c r="AS6195" s="10"/>
      <c r="AT6195" s="10"/>
      <c r="AU6195" s="10"/>
      <c r="AV6195" s="10"/>
      <c r="AW6195" s="10"/>
      <c r="AX6195" s="10"/>
      <c r="AY6195" s="10"/>
      <c r="AZ6195" s="10"/>
    </row>
    <row r="6196" spans="31:52">
      <c r="AE6196" s="10"/>
      <c r="AF6196" s="10"/>
      <c r="AG6196" s="10"/>
      <c r="AH6196" s="10"/>
      <c r="AI6196" s="10"/>
      <c r="AJ6196" s="10"/>
      <c r="AK6196" s="10"/>
      <c r="AL6196" s="10"/>
      <c r="AM6196" s="10"/>
      <c r="AN6196" s="10"/>
      <c r="AO6196" s="10"/>
      <c r="AP6196" s="10"/>
      <c r="AQ6196" s="10"/>
      <c r="AR6196" s="10"/>
      <c r="AS6196" s="10"/>
      <c r="AT6196" s="10"/>
      <c r="AU6196" s="10"/>
      <c r="AV6196" s="10"/>
      <c r="AW6196" s="10"/>
      <c r="AX6196" s="10"/>
      <c r="AY6196" s="10"/>
      <c r="AZ6196" s="10"/>
    </row>
    <row r="6197" spans="31:52">
      <c r="AE6197" s="10"/>
      <c r="AF6197" s="10"/>
      <c r="AG6197" s="10"/>
      <c r="AH6197" s="10"/>
      <c r="AI6197" s="10"/>
      <c r="AJ6197" s="10"/>
      <c r="AK6197" s="10"/>
      <c r="AL6197" s="10"/>
      <c r="AM6197" s="10"/>
      <c r="AN6197" s="10"/>
      <c r="AO6197" s="10"/>
      <c r="AP6197" s="10"/>
      <c r="AQ6197" s="10"/>
      <c r="AR6197" s="10"/>
      <c r="AS6197" s="10"/>
      <c r="AT6197" s="10"/>
      <c r="AU6197" s="10"/>
      <c r="AV6197" s="10"/>
      <c r="AW6197" s="10"/>
      <c r="AX6197" s="10"/>
      <c r="AY6197" s="10"/>
      <c r="AZ6197" s="10"/>
    </row>
    <row r="6198" spans="31:52">
      <c r="AE6198" s="10"/>
      <c r="AF6198" s="10"/>
      <c r="AG6198" s="10"/>
      <c r="AH6198" s="10"/>
      <c r="AI6198" s="10"/>
      <c r="AJ6198" s="10"/>
      <c r="AK6198" s="10"/>
      <c r="AL6198" s="10"/>
      <c r="AM6198" s="10"/>
      <c r="AN6198" s="10"/>
      <c r="AO6198" s="10"/>
      <c r="AP6198" s="10"/>
      <c r="AQ6198" s="10"/>
      <c r="AR6198" s="10"/>
      <c r="AS6198" s="10"/>
      <c r="AT6198" s="10"/>
      <c r="AU6198" s="10"/>
      <c r="AV6198" s="10"/>
      <c r="AW6198" s="10"/>
      <c r="AX6198" s="10"/>
      <c r="AY6198" s="10"/>
      <c r="AZ6198" s="10"/>
    </row>
    <row r="6199" spans="31:52">
      <c r="AE6199" s="10"/>
      <c r="AF6199" s="10"/>
      <c r="AG6199" s="10"/>
      <c r="AH6199" s="10"/>
      <c r="AI6199" s="10"/>
      <c r="AJ6199" s="10"/>
      <c r="AK6199" s="10"/>
      <c r="AL6199" s="10"/>
      <c r="AM6199" s="10"/>
      <c r="AN6199" s="10"/>
      <c r="AO6199" s="10"/>
      <c r="AP6199" s="10"/>
      <c r="AQ6199" s="10"/>
      <c r="AR6199" s="10"/>
      <c r="AS6199" s="10"/>
      <c r="AT6199" s="10"/>
      <c r="AU6199" s="10"/>
      <c r="AV6199" s="10"/>
      <c r="AW6199" s="10"/>
      <c r="AX6199" s="10"/>
      <c r="AY6199" s="10"/>
      <c r="AZ6199" s="10"/>
    </row>
    <row r="6200" spans="31:52">
      <c r="AE6200" s="10"/>
      <c r="AF6200" s="10"/>
      <c r="AG6200" s="10"/>
      <c r="AH6200" s="10"/>
      <c r="AI6200" s="10"/>
      <c r="AJ6200" s="10"/>
      <c r="AK6200" s="10"/>
      <c r="AL6200" s="10"/>
      <c r="AM6200" s="10"/>
      <c r="AN6200" s="10"/>
      <c r="AO6200" s="10"/>
      <c r="AP6200" s="10"/>
      <c r="AQ6200" s="10"/>
      <c r="AR6200" s="10"/>
      <c r="AS6200" s="10"/>
      <c r="AT6200" s="10"/>
      <c r="AU6200" s="10"/>
      <c r="AV6200" s="10"/>
      <c r="AW6200" s="10"/>
      <c r="AX6200" s="10"/>
      <c r="AY6200" s="10"/>
      <c r="AZ6200" s="10"/>
    </row>
    <row r="6201" spans="31:52">
      <c r="AE6201" s="10"/>
      <c r="AF6201" s="10"/>
      <c r="AG6201" s="10"/>
      <c r="AH6201" s="10"/>
      <c r="AI6201" s="10"/>
      <c r="AJ6201" s="10"/>
      <c r="AK6201" s="10"/>
      <c r="AL6201" s="10"/>
      <c r="AM6201" s="10"/>
      <c r="AN6201" s="10"/>
      <c r="AO6201" s="10"/>
      <c r="AP6201" s="10"/>
      <c r="AQ6201" s="10"/>
      <c r="AR6201" s="10"/>
      <c r="AS6201" s="10"/>
      <c r="AT6201" s="10"/>
      <c r="AU6201" s="10"/>
      <c r="AV6201" s="10"/>
      <c r="AW6201" s="10"/>
      <c r="AX6201" s="10"/>
      <c r="AY6201" s="10"/>
      <c r="AZ6201" s="10"/>
    </row>
    <row r="6202" spans="31:52">
      <c r="AE6202" s="10"/>
      <c r="AF6202" s="10"/>
      <c r="AG6202" s="10"/>
      <c r="AH6202" s="10"/>
      <c r="AI6202" s="10"/>
      <c r="AJ6202" s="10"/>
      <c r="AK6202" s="10"/>
      <c r="AL6202" s="10"/>
      <c r="AM6202" s="10"/>
      <c r="AN6202" s="10"/>
      <c r="AO6202" s="10"/>
      <c r="AP6202" s="10"/>
      <c r="AQ6202" s="10"/>
      <c r="AR6202" s="10"/>
      <c r="AS6202" s="10"/>
      <c r="AT6202" s="10"/>
      <c r="AU6202" s="10"/>
      <c r="AV6202" s="10"/>
      <c r="AW6202" s="10"/>
      <c r="AX6202" s="10"/>
      <c r="AY6202" s="10"/>
      <c r="AZ6202" s="10"/>
    </row>
    <row r="6203" spans="31:52">
      <c r="AE6203" s="10"/>
      <c r="AF6203" s="10"/>
      <c r="AG6203" s="10"/>
      <c r="AH6203" s="10"/>
      <c r="AI6203" s="10"/>
      <c r="AJ6203" s="10"/>
      <c r="AK6203" s="10"/>
      <c r="AL6203" s="10"/>
      <c r="AM6203" s="10"/>
      <c r="AN6203" s="10"/>
      <c r="AO6203" s="10"/>
      <c r="AP6203" s="10"/>
      <c r="AQ6203" s="10"/>
      <c r="AR6203" s="10"/>
      <c r="AS6203" s="10"/>
      <c r="AT6203" s="10"/>
      <c r="AU6203" s="10"/>
      <c r="AV6203" s="10"/>
      <c r="AW6203" s="10"/>
      <c r="AX6203" s="10"/>
      <c r="AY6203" s="10"/>
      <c r="AZ6203" s="10"/>
    </row>
    <row r="6204" spans="31:52">
      <c r="AE6204" s="10"/>
      <c r="AF6204" s="10"/>
      <c r="AG6204" s="10"/>
      <c r="AH6204" s="10"/>
      <c r="AI6204" s="10"/>
      <c r="AJ6204" s="10"/>
      <c r="AK6204" s="10"/>
      <c r="AL6204" s="10"/>
      <c r="AM6204" s="10"/>
      <c r="AN6204" s="10"/>
      <c r="AO6204" s="10"/>
      <c r="AP6204" s="10"/>
      <c r="AQ6204" s="10"/>
      <c r="AR6204" s="10"/>
      <c r="AS6204" s="10"/>
      <c r="AT6204" s="10"/>
      <c r="AU6204" s="10"/>
      <c r="AV6204" s="10"/>
      <c r="AW6204" s="10"/>
      <c r="AX6204" s="10"/>
      <c r="AY6204" s="10"/>
      <c r="AZ6204" s="10"/>
    </row>
    <row r="6205" spans="31:52">
      <c r="AE6205" s="10"/>
      <c r="AF6205" s="10"/>
      <c r="AG6205" s="10"/>
      <c r="AH6205" s="10"/>
      <c r="AI6205" s="10"/>
      <c r="AJ6205" s="10"/>
      <c r="AK6205" s="10"/>
      <c r="AL6205" s="10"/>
      <c r="AM6205" s="10"/>
      <c r="AN6205" s="10"/>
      <c r="AO6205" s="10"/>
      <c r="AP6205" s="10"/>
      <c r="AQ6205" s="10"/>
      <c r="AR6205" s="10"/>
      <c r="AS6205" s="10"/>
      <c r="AT6205" s="10"/>
      <c r="AU6205" s="10"/>
      <c r="AV6205" s="10"/>
      <c r="AW6205" s="10"/>
      <c r="AX6205" s="10"/>
      <c r="AY6205" s="10"/>
      <c r="AZ6205" s="10"/>
    </row>
    <row r="6206" spans="31:52">
      <c r="AE6206" s="10"/>
      <c r="AF6206" s="10"/>
      <c r="AG6206" s="10"/>
      <c r="AH6206" s="10"/>
      <c r="AI6206" s="10"/>
      <c r="AJ6206" s="10"/>
      <c r="AK6206" s="10"/>
      <c r="AL6206" s="10"/>
      <c r="AM6206" s="10"/>
      <c r="AN6206" s="10"/>
      <c r="AO6206" s="10"/>
      <c r="AP6206" s="10"/>
      <c r="AQ6206" s="10"/>
      <c r="AR6206" s="10"/>
      <c r="AS6206" s="10"/>
      <c r="AT6206" s="10"/>
      <c r="AU6206" s="10"/>
      <c r="AV6206" s="10"/>
      <c r="AW6206" s="10"/>
      <c r="AX6206" s="10"/>
      <c r="AY6206" s="10"/>
      <c r="AZ6206" s="10"/>
    </row>
    <row r="6207" spans="31:52">
      <c r="AE6207" s="10"/>
      <c r="AF6207" s="10"/>
      <c r="AG6207" s="10"/>
      <c r="AH6207" s="10"/>
      <c r="AI6207" s="10"/>
      <c r="AJ6207" s="10"/>
      <c r="AK6207" s="10"/>
      <c r="AL6207" s="10"/>
      <c r="AM6207" s="10"/>
      <c r="AN6207" s="10"/>
      <c r="AO6207" s="10"/>
      <c r="AP6207" s="10"/>
      <c r="AQ6207" s="10"/>
      <c r="AR6207" s="10"/>
      <c r="AS6207" s="10"/>
      <c r="AT6207" s="10"/>
      <c r="AU6207" s="10"/>
      <c r="AV6207" s="10"/>
      <c r="AW6207" s="10"/>
      <c r="AX6207" s="10"/>
      <c r="AY6207" s="10"/>
      <c r="AZ6207" s="10"/>
    </row>
    <row r="6208" spans="31:52">
      <c r="AE6208" s="10"/>
      <c r="AF6208" s="10"/>
      <c r="AG6208" s="10"/>
      <c r="AH6208" s="10"/>
      <c r="AI6208" s="10"/>
      <c r="AJ6208" s="10"/>
      <c r="AK6208" s="10"/>
      <c r="AL6208" s="10"/>
      <c r="AM6208" s="10"/>
      <c r="AN6208" s="10"/>
      <c r="AO6208" s="10"/>
      <c r="AP6208" s="10"/>
      <c r="AQ6208" s="10"/>
      <c r="AR6208" s="10"/>
      <c r="AS6208" s="10"/>
      <c r="AT6208" s="10"/>
      <c r="AU6208" s="10"/>
      <c r="AV6208" s="10"/>
      <c r="AW6208" s="10"/>
      <c r="AX6208" s="10"/>
      <c r="AY6208" s="10"/>
      <c r="AZ6208" s="10"/>
    </row>
    <row r="6209" spans="31:52">
      <c r="AE6209" s="10"/>
      <c r="AF6209" s="10"/>
      <c r="AG6209" s="10"/>
      <c r="AH6209" s="10"/>
      <c r="AI6209" s="10"/>
      <c r="AJ6209" s="10"/>
      <c r="AK6209" s="10"/>
      <c r="AL6209" s="10"/>
      <c r="AM6209" s="10"/>
      <c r="AN6209" s="10"/>
      <c r="AO6209" s="10"/>
      <c r="AP6209" s="10"/>
      <c r="AQ6209" s="10"/>
      <c r="AR6209" s="10"/>
      <c r="AS6209" s="10"/>
      <c r="AT6209" s="10"/>
      <c r="AU6209" s="10"/>
      <c r="AV6209" s="10"/>
      <c r="AW6209" s="10"/>
      <c r="AX6209" s="10"/>
      <c r="AY6209" s="10"/>
      <c r="AZ6209" s="10"/>
    </row>
    <row r="6210" spans="31:52">
      <c r="AE6210" s="10"/>
      <c r="AF6210" s="10"/>
      <c r="AG6210" s="10"/>
      <c r="AH6210" s="10"/>
      <c r="AI6210" s="10"/>
      <c r="AJ6210" s="10"/>
      <c r="AK6210" s="10"/>
      <c r="AL6210" s="10"/>
      <c r="AM6210" s="10"/>
      <c r="AN6210" s="10"/>
      <c r="AO6210" s="10"/>
      <c r="AP6210" s="10"/>
      <c r="AQ6210" s="10"/>
      <c r="AR6210" s="10"/>
      <c r="AS6210" s="10"/>
      <c r="AT6210" s="10"/>
      <c r="AU6210" s="10"/>
      <c r="AV6210" s="10"/>
      <c r="AW6210" s="10"/>
      <c r="AX6210" s="10"/>
      <c r="AY6210" s="10"/>
      <c r="AZ6210" s="10"/>
    </row>
    <row r="6211" spans="31:52">
      <c r="AE6211" s="10"/>
      <c r="AF6211" s="10"/>
      <c r="AG6211" s="10"/>
      <c r="AH6211" s="10"/>
      <c r="AI6211" s="10"/>
      <c r="AJ6211" s="10"/>
      <c r="AK6211" s="10"/>
      <c r="AL6211" s="10"/>
      <c r="AM6211" s="10"/>
      <c r="AN6211" s="10"/>
      <c r="AO6211" s="10"/>
      <c r="AP6211" s="10"/>
      <c r="AQ6211" s="10"/>
      <c r="AR6211" s="10"/>
      <c r="AS6211" s="10"/>
      <c r="AT6211" s="10"/>
      <c r="AU6211" s="10"/>
      <c r="AV6211" s="10"/>
      <c r="AW6211" s="10"/>
      <c r="AX6211" s="10"/>
      <c r="AY6211" s="10"/>
      <c r="AZ6211" s="10"/>
    </row>
    <row r="6212" spans="31:52">
      <c r="AE6212" s="10"/>
      <c r="AF6212" s="10"/>
      <c r="AG6212" s="10"/>
      <c r="AH6212" s="10"/>
      <c r="AI6212" s="10"/>
      <c r="AJ6212" s="10"/>
      <c r="AK6212" s="10"/>
      <c r="AL6212" s="10"/>
      <c r="AM6212" s="10"/>
      <c r="AN6212" s="10"/>
      <c r="AO6212" s="10"/>
      <c r="AP6212" s="10"/>
      <c r="AQ6212" s="10"/>
      <c r="AR6212" s="10"/>
      <c r="AS6212" s="10"/>
      <c r="AT6212" s="10"/>
      <c r="AU6212" s="10"/>
      <c r="AV6212" s="10"/>
      <c r="AW6212" s="10"/>
      <c r="AX6212" s="10"/>
      <c r="AY6212" s="10"/>
      <c r="AZ6212" s="10"/>
    </row>
    <row r="6213" spans="31:52">
      <c r="AE6213" s="10"/>
      <c r="AF6213" s="10"/>
      <c r="AG6213" s="10"/>
      <c r="AH6213" s="10"/>
      <c r="AI6213" s="10"/>
      <c r="AJ6213" s="10"/>
      <c r="AK6213" s="10"/>
      <c r="AL6213" s="10"/>
      <c r="AM6213" s="10"/>
      <c r="AN6213" s="10"/>
      <c r="AO6213" s="10"/>
      <c r="AP6213" s="10"/>
      <c r="AQ6213" s="10"/>
      <c r="AR6213" s="10"/>
      <c r="AS6213" s="10"/>
      <c r="AT6213" s="10"/>
      <c r="AU6213" s="10"/>
      <c r="AV6213" s="10"/>
      <c r="AW6213" s="10"/>
      <c r="AX6213" s="10"/>
      <c r="AY6213" s="10"/>
      <c r="AZ6213" s="10"/>
    </row>
    <row r="6214" spans="31:52">
      <c r="AE6214" s="10"/>
      <c r="AF6214" s="10"/>
      <c r="AG6214" s="10"/>
      <c r="AH6214" s="10"/>
      <c r="AI6214" s="10"/>
      <c r="AJ6214" s="10"/>
      <c r="AK6214" s="10"/>
      <c r="AL6214" s="10"/>
      <c r="AM6214" s="10"/>
      <c r="AN6214" s="10"/>
      <c r="AO6214" s="10"/>
      <c r="AP6214" s="10"/>
      <c r="AQ6214" s="10"/>
      <c r="AR6214" s="10"/>
      <c r="AS6214" s="10"/>
      <c r="AT6214" s="10"/>
      <c r="AU6214" s="10"/>
      <c r="AV6214" s="10"/>
      <c r="AW6214" s="10"/>
      <c r="AX6214" s="10"/>
      <c r="AY6214" s="10"/>
      <c r="AZ6214" s="10"/>
    </row>
    <row r="6215" spans="31:52">
      <c r="AE6215" s="10"/>
      <c r="AF6215" s="10"/>
      <c r="AG6215" s="10"/>
      <c r="AH6215" s="10"/>
      <c r="AI6215" s="10"/>
      <c r="AJ6215" s="10"/>
      <c r="AK6215" s="10"/>
      <c r="AL6215" s="10"/>
      <c r="AM6215" s="10"/>
      <c r="AN6215" s="10"/>
      <c r="AO6215" s="10"/>
      <c r="AP6215" s="10"/>
      <c r="AQ6215" s="10"/>
      <c r="AR6215" s="10"/>
      <c r="AS6215" s="10"/>
      <c r="AT6215" s="10"/>
      <c r="AU6215" s="10"/>
      <c r="AV6215" s="10"/>
      <c r="AW6215" s="10"/>
      <c r="AX6215" s="10"/>
      <c r="AY6215" s="10"/>
      <c r="AZ6215" s="10"/>
    </row>
    <row r="6216" spans="31:52">
      <c r="AE6216" s="10"/>
      <c r="AF6216" s="10"/>
      <c r="AG6216" s="10"/>
      <c r="AH6216" s="10"/>
      <c r="AI6216" s="10"/>
      <c r="AJ6216" s="10"/>
      <c r="AK6216" s="10"/>
      <c r="AL6216" s="10"/>
      <c r="AM6216" s="10"/>
      <c r="AN6216" s="10"/>
      <c r="AO6216" s="10"/>
      <c r="AP6216" s="10"/>
      <c r="AQ6216" s="10"/>
      <c r="AR6216" s="10"/>
      <c r="AS6216" s="10"/>
      <c r="AT6216" s="10"/>
      <c r="AU6216" s="10"/>
      <c r="AV6216" s="10"/>
      <c r="AW6216" s="10"/>
      <c r="AX6216" s="10"/>
      <c r="AY6216" s="10"/>
      <c r="AZ6216" s="10"/>
    </row>
    <row r="6217" spans="31:52">
      <c r="AE6217" s="10"/>
      <c r="AF6217" s="10"/>
      <c r="AG6217" s="10"/>
      <c r="AH6217" s="10"/>
      <c r="AI6217" s="10"/>
      <c r="AJ6217" s="10"/>
      <c r="AK6217" s="10"/>
      <c r="AL6217" s="10"/>
      <c r="AM6217" s="10"/>
      <c r="AN6217" s="10"/>
      <c r="AO6217" s="10"/>
      <c r="AP6217" s="10"/>
      <c r="AQ6217" s="10"/>
      <c r="AR6217" s="10"/>
      <c r="AS6217" s="10"/>
      <c r="AT6217" s="10"/>
      <c r="AU6217" s="10"/>
      <c r="AV6217" s="10"/>
      <c r="AW6217" s="10"/>
      <c r="AX6217" s="10"/>
      <c r="AY6217" s="10"/>
      <c r="AZ6217" s="10"/>
    </row>
    <row r="6218" spans="31:52">
      <c r="AE6218" s="10"/>
      <c r="AF6218" s="10"/>
      <c r="AG6218" s="10"/>
      <c r="AH6218" s="10"/>
      <c r="AI6218" s="10"/>
      <c r="AJ6218" s="10"/>
      <c r="AK6218" s="10"/>
      <c r="AL6218" s="10"/>
      <c r="AM6218" s="10"/>
      <c r="AN6218" s="10"/>
      <c r="AO6218" s="10"/>
      <c r="AP6218" s="10"/>
      <c r="AQ6218" s="10"/>
      <c r="AR6218" s="10"/>
      <c r="AS6218" s="10"/>
      <c r="AT6218" s="10"/>
      <c r="AU6218" s="10"/>
      <c r="AV6218" s="10"/>
      <c r="AW6218" s="10"/>
      <c r="AX6218" s="10"/>
      <c r="AY6218" s="10"/>
      <c r="AZ6218" s="10"/>
    </row>
    <row r="6219" spans="31:52">
      <c r="AE6219" s="10"/>
      <c r="AF6219" s="10"/>
      <c r="AG6219" s="10"/>
      <c r="AH6219" s="10"/>
      <c r="AI6219" s="10"/>
      <c r="AJ6219" s="10"/>
      <c r="AK6219" s="10"/>
      <c r="AL6219" s="10"/>
      <c r="AM6219" s="10"/>
      <c r="AN6219" s="10"/>
      <c r="AO6219" s="10"/>
      <c r="AP6219" s="10"/>
      <c r="AQ6219" s="10"/>
      <c r="AR6219" s="10"/>
      <c r="AS6219" s="10"/>
      <c r="AT6219" s="10"/>
      <c r="AU6219" s="10"/>
      <c r="AV6219" s="10"/>
      <c r="AW6219" s="10"/>
      <c r="AX6219" s="10"/>
      <c r="AY6219" s="10"/>
      <c r="AZ6219" s="10"/>
    </row>
    <row r="6220" spans="31:52">
      <c r="AE6220" s="10"/>
      <c r="AF6220" s="10"/>
      <c r="AG6220" s="10"/>
      <c r="AH6220" s="10"/>
      <c r="AI6220" s="10"/>
      <c r="AJ6220" s="10"/>
      <c r="AK6220" s="10"/>
      <c r="AL6220" s="10"/>
      <c r="AM6220" s="10"/>
      <c r="AN6220" s="10"/>
      <c r="AO6220" s="10"/>
      <c r="AP6220" s="10"/>
      <c r="AQ6220" s="10"/>
      <c r="AR6220" s="10"/>
      <c r="AS6220" s="10"/>
      <c r="AT6220" s="10"/>
      <c r="AU6220" s="10"/>
      <c r="AV6220" s="10"/>
      <c r="AW6220" s="10"/>
      <c r="AX6220" s="10"/>
      <c r="AY6220" s="10"/>
      <c r="AZ6220" s="10"/>
    </row>
    <row r="6221" spans="31:52">
      <c r="AE6221" s="10"/>
      <c r="AF6221" s="10"/>
      <c r="AG6221" s="10"/>
      <c r="AH6221" s="10"/>
      <c r="AI6221" s="10"/>
      <c r="AJ6221" s="10"/>
      <c r="AK6221" s="10"/>
      <c r="AL6221" s="10"/>
      <c r="AM6221" s="10"/>
      <c r="AN6221" s="10"/>
      <c r="AO6221" s="10"/>
      <c r="AP6221" s="10"/>
      <c r="AQ6221" s="10"/>
      <c r="AR6221" s="10"/>
      <c r="AS6221" s="10"/>
      <c r="AT6221" s="10"/>
      <c r="AU6221" s="10"/>
      <c r="AV6221" s="10"/>
      <c r="AW6221" s="10"/>
      <c r="AX6221" s="10"/>
      <c r="AY6221" s="10"/>
      <c r="AZ6221" s="10"/>
    </row>
    <row r="6222" spans="31:52">
      <c r="AE6222" s="10"/>
      <c r="AF6222" s="10"/>
      <c r="AG6222" s="10"/>
      <c r="AH6222" s="10"/>
      <c r="AI6222" s="10"/>
      <c r="AJ6222" s="10"/>
      <c r="AK6222" s="10"/>
      <c r="AL6222" s="10"/>
      <c r="AM6222" s="10"/>
      <c r="AN6222" s="10"/>
      <c r="AO6222" s="10"/>
      <c r="AP6222" s="10"/>
      <c r="AQ6222" s="10"/>
      <c r="AR6222" s="10"/>
      <c r="AS6222" s="10"/>
      <c r="AT6222" s="10"/>
      <c r="AU6222" s="10"/>
      <c r="AV6222" s="10"/>
      <c r="AW6222" s="10"/>
      <c r="AX6222" s="10"/>
      <c r="AY6222" s="10"/>
      <c r="AZ6222" s="10"/>
    </row>
    <row r="6223" spans="31:52">
      <c r="AE6223" s="10"/>
      <c r="AF6223" s="10"/>
      <c r="AG6223" s="10"/>
      <c r="AH6223" s="10"/>
      <c r="AI6223" s="10"/>
      <c r="AJ6223" s="10"/>
      <c r="AK6223" s="10"/>
      <c r="AL6223" s="10"/>
      <c r="AM6223" s="10"/>
      <c r="AN6223" s="10"/>
      <c r="AO6223" s="10"/>
      <c r="AP6223" s="10"/>
      <c r="AQ6223" s="10"/>
      <c r="AR6223" s="10"/>
      <c r="AS6223" s="10"/>
      <c r="AT6223" s="10"/>
      <c r="AU6223" s="10"/>
      <c r="AV6223" s="10"/>
      <c r="AW6223" s="10"/>
      <c r="AX6223" s="10"/>
      <c r="AY6223" s="10"/>
      <c r="AZ6223" s="10"/>
    </row>
    <row r="6224" spans="31:52">
      <c r="AE6224" s="10"/>
      <c r="AF6224" s="10"/>
      <c r="AG6224" s="10"/>
      <c r="AH6224" s="10"/>
      <c r="AI6224" s="10"/>
      <c r="AJ6224" s="10"/>
      <c r="AK6224" s="10"/>
      <c r="AL6224" s="10"/>
      <c r="AM6224" s="10"/>
      <c r="AN6224" s="10"/>
      <c r="AO6224" s="10"/>
      <c r="AP6224" s="10"/>
      <c r="AQ6224" s="10"/>
      <c r="AR6224" s="10"/>
      <c r="AS6224" s="10"/>
      <c r="AT6224" s="10"/>
      <c r="AU6224" s="10"/>
      <c r="AV6224" s="10"/>
      <c r="AW6224" s="10"/>
      <c r="AX6224" s="10"/>
      <c r="AY6224" s="10"/>
      <c r="AZ6224" s="10"/>
    </row>
    <row r="6225" spans="31:52">
      <c r="AE6225" s="10"/>
      <c r="AF6225" s="10"/>
      <c r="AG6225" s="10"/>
      <c r="AH6225" s="10"/>
      <c r="AI6225" s="10"/>
      <c r="AJ6225" s="10"/>
      <c r="AK6225" s="10"/>
      <c r="AL6225" s="10"/>
      <c r="AM6225" s="10"/>
      <c r="AN6225" s="10"/>
      <c r="AO6225" s="10"/>
      <c r="AP6225" s="10"/>
      <c r="AQ6225" s="10"/>
      <c r="AR6225" s="10"/>
      <c r="AS6225" s="10"/>
      <c r="AT6225" s="10"/>
      <c r="AU6225" s="10"/>
      <c r="AV6225" s="10"/>
      <c r="AW6225" s="10"/>
      <c r="AX6225" s="10"/>
      <c r="AY6225" s="10"/>
      <c r="AZ6225" s="10"/>
    </row>
    <row r="6226" spans="31:52">
      <c r="AE6226" s="10"/>
      <c r="AF6226" s="10"/>
      <c r="AG6226" s="10"/>
      <c r="AH6226" s="10"/>
      <c r="AI6226" s="10"/>
      <c r="AJ6226" s="10"/>
      <c r="AK6226" s="10"/>
      <c r="AL6226" s="10"/>
      <c r="AM6226" s="10"/>
      <c r="AN6226" s="10"/>
      <c r="AO6226" s="10"/>
      <c r="AP6226" s="10"/>
      <c r="AQ6226" s="10"/>
      <c r="AR6226" s="10"/>
      <c r="AS6226" s="10"/>
      <c r="AT6226" s="10"/>
      <c r="AU6226" s="10"/>
      <c r="AV6226" s="10"/>
      <c r="AW6226" s="10"/>
      <c r="AX6226" s="10"/>
      <c r="AY6226" s="10"/>
      <c r="AZ6226" s="10"/>
    </row>
    <row r="6227" spans="31:52">
      <c r="AE6227" s="10"/>
      <c r="AF6227" s="10"/>
      <c r="AG6227" s="10"/>
      <c r="AH6227" s="10"/>
      <c r="AI6227" s="10"/>
      <c r="AJ6227" s="10"/>
      <c r="AK6227" s="10"/>
      <c r="AL6227" s="10"/>
      <c r="AM6227" s="10"/>
      <c r="AN6227" s="10"/>
      <c r="AO6227" s="10"/>
      <c r="AP6227" s="10"/>
      <c r="AQ6227" s="10"/>
      <c r="AR6227" s="10"/>
      <c r="AS6227" s="10"/>
      <c r="AT6227" s="10"/>
      <c r="AU6227" s="10"/>
      <c r="AV6227" s="10"/>
      <c r="AW6227" s="10"/>
      <c r="AX6227" s="10"/>
      <c r="AY6227" s="10"/>
      <c r="AZ6227" s="10"/>
    </row>
    <row r="6228" spans="31:52">
      <c r="AE6228" s="10"/>
      <c r="AF6228" s="10"/>
      <c r="AG6228" s="10"/>
      <c r="AH6228" s="10"/>
      <c r="AI6228" s="10"/>
      <c r="AJ6228" s="10"/>
      <c r="AK6228" s="10"/>
      <c r="AL6228" s="10"/>
      <c r="AM6228" s="10"/>
      <c r="AN6228" s="10"/>
      <c r="AO6228" s="10"/>
      <c r="AP6228" s="10"/>
      <c r="AQ6228" s="10"/>
      <c r="AR6228" s="10"/>
      <c r="AS6228" s="10"/>
      <c r="AT6228" s="10"/>
      <c r="AU6228" s="10"/>
      <c r="AV6228" s="10"/>
      <c r="AW6228" s="10"/>
      <c r="AX6228" s="10"/>
      <c r="AY6228" s="10"/>
      <c r="AZ6228" s="10"/>
    </row>
    <row r="6229" spans="31:52">
      <c r="AE6229" s="10"/>
      <c r="AF6229" s="10"/>
      <c r="AG6229" s="10"/>
      <c r="AH6229" s="10"/>
      <c r="AI6229" s="10"/>
      <c r="AJ6229" s="10"/>
      <c r="AK6229" s="10"/>
      <c r="AL6229" s="10"/>
      <c r="AM6229" s="10"/>
      <c r="AN6229" s="10"/>
      <c r="AO6229" s="10"/>
      <c r="AP6229" s="10"/>
      <c r="AQ6229" s="10"/>
      <c r="AR6229" s="10"/>
      <c r="AS6229" s="10"/>
      <c r="AT6229" s="10"/>
      <c r="AU6229" s="10"/>
      <c r="AV6229" s="10"/>
      <c r="AW6229" s="10"/>
      <c r="AX6229" s="10"/>
      <c r="AY6229" s="10"/>
      <c r="AZ6229" s="10"/>
    </row>
    <row r="6230" spans="31:52">
      <c r="AE6230" s="10"/>
      <c r="AF6230" s="10"/>
      <c r="AG6230" s="10"/>
      <c r="AH6230" s="10"/>
      <c r="AI6230" s="10"/>
      <c r="AJ6230" s="10"/>
      <c r="AK6230" s="10"/>
      <c r="AL6230" s="10"/>
      <c r="AM6230" s="10"/>
      <c r="AN6230" s="10"/>
      <c r="AO6230" s="10"/>
      <c r="AP6230" s="10"/>
      <c r="AQ6230" s="10"/>
      <c r="AR6230" s="10"/>
      <c r="AS6230" s="10"/>
      <c r="AT6230" s="10"/>
      <c r="AU6230" s="10"/>
      <c r="AV6230" s="10"/>
      <c r="AW6230" s="10"/>
      <c r="AX6230" s="10"/>
      <c r="AY6230" s="10"/>
      <c r="AZ6230" s="10"/>
    </row>
    <row r="6231" spans="31:52">
      <c r="AE6231" s="10"/>
      <c r="AF6231" s="10"/>
      <c r="AG6231" s="10"/>
      <c r="AH6231" s="10"/>
      <c r="AI6231" s="10"/>
      <c r="AJ6231" s="10"/>
      <c r="AK6231" s="10"/>
      <c r="AL6231" s="10"/>
      <c r="AM6231" s="10"/>
      <c r="AN6231" s="10"/>
      <c r="AO6231" s="10"/>
      <c r="AP6231" s="10"/>
      <c r="AQ6231" s="10"/>
      <c r="AR6231" s="10"/>
      <c r="AS6231" s="10"/>
      <c r="AT6231" s="10"/>
      <c r="AU6231" s="10"/>
      <c r="AV6231" s="10"/>
      <c r="AW6231" s="10"/>
      <c r="AX6231" s="10"/>
      <c r="AY6231" s="10"/>
      <c r="AZ6231" s="10"/>
    </row>
    <row r="6232" spans="31:52">
      <c r="AE6232" s="10"/>
      <c r="AF6232" s="10"/>
      <c r="AG6232" s="10"/>
      <c r="AH6232" s="10"/>
      <c r="AI6232" s="10"/>
      <c r="AJ6232" s="10"/>
      <c r="AK6232" s="10"/>
      <c r="AL6232" s="10"/>
      <c r="AM6232" s="10"/>
      <c r="AN6232" s="10"/>
      <c r="AO6232" s="10"/>
      <c r="AP6232" s="10"/>
      <c r="AQ6232" s="10"/>
      <c r="AR6232" s="10"/>
      <c r="AS6232" s="10"/>
      <c r="AT6232" s="10"/>
      <c r="AU6232" s="10"/>
      <c r="AV6232" s="10"/>
      <c r="AW6232" s="10"/>
      <c r="AX6232" s="10"/>
      <c r="AY6232" s="10"/>
      <c r="AZ6232" s="10"/>
    </row>
    <row r="6233" spans="31:52">
      <c r="AE6233" s="10"/>
      <c r="AF6233" s="10"/>
      <c r="AG6233" s="10"/>
      <c r="AH6233" s="10"/>
      <c r="AI6233" s="10"/>
      <c r="AJ6233" s="10"/>
      <c r="AK6233" s="10"/>
      <c r="AL6233" s="10"/>
      <c r="AM6233" s="10"/>
      <c r="AN6233" s="10"/>
      <c r="AO6233" s="10"/>
      <c r="AP6233" s="10"/>
      <c r="AQ6233" s="10"/>
      <c r="AR6233" s="10"/>
      <c r="AS6233" s="10"/>
      <c r="AT6233" s="10"/>
      <c r="AU6233" s="10"/>
      <c r="AV6233" s="10"/>
      <c r="AW6233" s="10"/>
      <c r="AX6233" s="10"/>
      <c r="AY6233" s="10"/>
      <c r="AZ6233" s="10"/>
    </row>
    <row r="6234" spans="31:52">
      <c r="AE6234" s="10"/>
      <c r="AF6234" s="10"/>
      <c r="AG6234" s="10"/>
      <c r="AH6234" s="10"/>
      <c r="AI6234" s="10"/>
      <c r="AJ6234" s="10"/>
      <c r="AK6234" s="10"/>
      <c r="AL6234" s="10"/>
      <c r="AM6234" s="10"/>
      <c r="AN6234" s="10"/>
      <c r="AO6234" s="10"/>
      <c r="AP6234" s="10"/>
      <c r="AQ6234" s="10"/>
      <c r="AR6234" s="10"/>
      <c r="AS6234" s="10"/>
      <c r="AT6234" s="10"/>
      <c r="AU6234" s="10"/>
      <c r="AV6234" s="10"/>
      <c r="AW6234" s="10"/>
      <c r="AX6234" s="10"/>
      <c r="AY6234" s="10"/>
      <c r="AZ6234" s="10"/>
    </row>
    <row r="6235" spans="31:52">
      <c r="AE6235" s="10"/>
      <c r="AF6235" s="10"/>
      <c r="AG6235" s="10"/>
      <c r="AH6235" s="10"/>
      <c r="AI6235" s="10"/>
      <c r="AJ6235" s="10"/>
      <c r="AK6235" s="10"/>
      <c r="AL6235" s="10"/>
      <c r="AM6235" s="10"/>
      <c r="AN6235" s="10"/>
      <c r="AO6235" s="10"/>
      <c r="AP6235" s="10"/>
      <c r="AQ6235" s="10"/>
      <c r="AR6235" s="10"/>
      <c r="AS6235" s="10"/>
      <c r="AT6235" s="10"/>
      <c r="AU6235" s="10"/>
      <c r="AV6235" s="10"/>
      <c r="AW6235" s="10"/>
      <c r="AX6235" s="10"/>
      <c r="AY6235" s="10"/>
      <c r="AZ6235" s="10"/>
    </row>
    <row r="6236" spans="31:52">
      <c r="AE6236" s="10"/>
      <c r="AF6236" s="10"/>
      <c r="AG6236" s="10"/>
      <c r="AH6236" s="10"/>
      <c r="AI6236" s="10"/>
      <c r="AJ6236" s="10"/>
      <c r="AK6236" s="10"/>
      <c r="AL6236" s="10"/>
      <c r="AM6236" s="10"/>
      <c r="AN6236" s="10"/>
      <c r="AO6236" s="10"/>
      <c r="AP6236" s="10"/>
      <c r="AQ6236" s="10"/>
      <c r="AR6236" s="10"/>
      <c r="AS6236" s="10"/>
      <c r="AT6236" s="10"/>
      <c r="AU6236" s="10"/>
      <c r="AV6236" s="10"/>
      <c r="AW6236" s="10"/>
      <c r="AX6236" s="10"/>
      <c r="AY6236" s="10"/>
      <c r="AZ6236" s="10"/>
    </row>
    <row r="6237" spans="31:52">
      <c r="AE6237" s="10"/>
      <c r="AF6237" s="10"/>
      <c r="AG6237" s="10"/>
      <c r="AH6237" s="10"/>
      <c r="AI6237" s="10"/>
      <c r="AJ6237" s="10"/>
      <c r="AK6237" s="10"/>
      <c r="AL6237" s="10"/>
      <c r="AM6237" s="10"/>
      <c r="AN6237" s="10"/>
      <c r="AO6237" s="10"/>
      <c r="AP6237" s="10"/>
      <c r="AQ6237" s="10"/>
      <c r="AR6237" s="10"/>
      <c r="AS6237" s="10"/>
      <c r="AT6237" s="10"/>
      <c r="AU6237" s="10"/>
      <c r="AV6237" s="10"/>
      <c r="AW6237" s="10"/>
      <c r="AX6237" s="10"/>
      <c r="AY6237" s="10"/>
      <c r="AZ6237" s="10"/>
    </row>
    <row r="6238" spans="31:52">
      <c r="AE6238" s="10"/>
      <c r="AF6238" s="10"/>
      <c r="AG6238" s="10"/>
      <c r="AH6238" s="10"/>
      <c r="AI6238" s="10"/>
      <c r="AJ6238" s="10"/>
      <c r="AK6238" s="10"/>
      <c r="AL6238" s="10"/>
      <c r="AM6238" s="10"/>
      <c r="AN6238" s="10"/>
      <c r="AO6238" s="10"/>
      <c r="AP6238" s="10"/>
      <c r="AQ6238" s="10"/>
      <c r="AR6238" s="10"/>
      <c r="AS6238" s="10"/>
      <c r="AT6238" s="10"/>
      <c r="AU6238" s="10"/>
      <c r="AV6238" s="10"/>
      <c r="AW6238" s="10"/>
      <c r="AX6238" s="10"/>
      <c r="AY6238" s="10"/>
      <c r="AZ6238" s="10"/>
    </row>
    <row r="6239" spans="31:52">
      <c r="AE6239" s="10"/>
      <c r="AF6239" s="10"/>
      <c r="AG6239" s="10"/>
      <c r="AH6239" s="10"/>
      <c r="AI6239" s="10"/>
      <c r="AJ6239" s="10"/>
      <c r="AK6239" s="10"/>
      <c r="AL6239" s="10"/>
      <c r="AM6239" s="10"/>
      <c r="AN6239" s="10"/>
      <c r="AO6239" s="10"/>
      <c r="AP6239" s="10"/>
      <c r="AQ6239" s="10"/>
      <c r="AR6239" s="10"/>
      <c r="AS6239" s="10"/>
      <c r="AT6239" s="10"/>
      <c r="AU6239" s="10"/>
      <c r="AV6239" s="10"/>
      <c r="AW6239" s="10"/>
      <c r="AX6239" s="10"/>
      <c r="AY6239" s="10"/>
      <c r="AZ6239" s="10"/>
    </row>
    <row r="6240" spans="31:52">
      <c r="AE6240" s="10"/>
      <c r="AF6240" s="10"/>
      <c r="AG6240" s="10"/>
      <c r="AH6240" s="10"/>
      <c r="AI6240" s="10"/>
      <c r="AJ6240" s="10"/>
      <c r="AK6240" s="10"/>
      <c r="AL6240" s="10"/>
      <c r="AM6240" s="10"/>
      <c r="AN6240" s="10"/>
      <c r="AO6240" s="10"/>
      <c r="AP6240" s="10"/>
      <c r="AQ6240" s="10"/>
      <c r="AR6240" s="10"/>
      <c r="AS6240" s="10"/>
      <c r="AT6240" s="10"/>
      <c r="AU6240" s="10"/>
      <c r="AV6240" s="10"/>
      <c r="AW6240" s="10"/>
      <c r="AX6240" s="10"/>
      <c r="AY6240" s="10"/>
      <c r="AZ6240" s="10"/>
    </row>
    <row r="6241" spans="31:52">
      <c r="AE6241" s="10"/>
      <c r="AF6241" s="10"/>
      <c r="AG6241" s="10"/>
      <c r="AH6241" s="10"/>
      <c r="AI6241" s="10"/>
      <c r="AJ6241" s="10"/>
      <c r="AK6241" s="10"/>
      <c r="AL6241" s="10"/>
      <c r="AM6241" s="10"/>
      <c r="AN6241" s="10"/>
      <c r="AO6241" s="10"/>
      <c r="AP6241" s="10"/>
      <c r="AQ6241" s="10"/>
      <c r="AR6241" s="10"/>
      <c r="AS6241" s="10"/>
      <c r="AT6241" s="10"/>
      <c r="AU6241" s="10"/>
      <c r="AV6241" s="10"/>
      <c r="AW6241" s="10"/>
      <c r="AX6241" s="10"/>
      <c r="AY6241" s="10"/>
      <c r="AZ6241" s="10"/>
    </row>
    <row r="6242" spans="31:52">
      <c r="AE6242" s="10"/>
      <c r="AF6242" s="10"/>
      <c r="AG6242" s="10"/>
      <c r="AH6242" s="10"/>
      <c r="AI6242" s="10"/>
      <c r="AJ6242" s="10"/>
      <c r="AK6242" s="10"/>
      <c r="AL6242" s="10"/>
      <c r="AM6242" s="10"/>
      <c r="AN6242" s="10"/>
      <c r="AO6242" s="10"/>
      <c r="AP6242" s="10"/>
      <c r="AQ6242" s="10"/>
      <c r="AR6242" s="10"/>
      <c r="AS6242" s="10"/>
      <c r="AT6242" s="10"/>
      <c r="AU6242" s="10"/>
      <c r="AV6242" s="10"/>
      <c r="AW6242" s="10"/>
      <c r="AX6242" s="10"/>
      <c r="AY6242" s="10"/>
      <c r="AZ6242" s="10"/>
    </row>
    <row r="6243" spans="31:52">
      <c r="AE6243" s="10"/>
      <c r="AF6243" s="10"/>
      <c r="AG6243" s="10"/>
      <c r="AH6243" s="10"/>
      <c r="AI6243" s="10"/>
      <c r="AJ6243" s="10"/>
      <c r="AK6243" s="10"/>
      <c r="AL6243" s="10"/>
      <c r="AM6243" s="10"/>
      <c r="AN6243" s="10"/>
      <c r="AO6243" s="10"/>
      <c r="AP6243" s="10"/>
      <c r="AQ6243" s="10"/>
      <c r="AR6243" s="10"/>
      <c r="AS6243" s="10"/>
      <c r="AT6243" s="10"/>
      <c r="AU6243" s="10"/>
      <c r="AV6243" s="10"/>
      <c r="AW6243" s="10"/>
      <c r="AX6243" s="10"/>
      <c r="AY6243" s="10"/>
      <c r="AZ6243" s="10"/>
    </row>
    <row r="6244" spans="31:52">
      <c r="AE6244" s="10"/>
      <c r="AF6244" s="10"/>
      <c r="AG6244" s="10"/>
      <c r="AH6244" s="10"/>
      <c r="AI6244" s="10"/>
      <c r="AJ6244" s="10"/>
      <c r="AK6244" s="10"/>
      <c r="AL6244" s="10"/>
      <c r="AM6244" s="10"/>
      <c r="AN6244" s="10"/>
      <c r="AO6244" s="10"/>
      <c r="AP6244" s="10"/>
      <c r="AQ6244" s="10"/>
      <c r="AR6244" s="10"/>
      <c r="AS6244" s="10"/>
      <c r="AT6244" s="10"/>
      <c r="AU6244" s="10"/>
      <c r="AV6244" s="10"/>
      <c r="AW6244" s="10"/>
      <c r="AX6244" s="10"/>
      <c r="AY6244" s="10"/>
      <c r="AZ6244" s="10"/>
    </row>
    <row r="6245" spans="31:52">
      <c r="AE6245" s="10"/>
      <c r="AF6245" s="10"/>
      <c r="AG6245" s="10"/>
      <c r="AH6245" s="10"/>
      <c r="AI6245" s="10"/>
      <c r="AJ6245" s="10"/>
      <c r="AK6245" s="10"/>
      <c r="AL6245" s="10"/>
      <c r="AM6245" s="10"/>
      <c r="AN6245" s="10"/>
      <c r="AO6245" s="10"/>
      <c r="AP6245" s="10"/>
      <c r="AQ6245" s="10"/>
      <c r="AR6245" s="10"/>
      <c r="AS6245" s="10"/>
      <c r="AT6245" s="10"/>
      <c r="AU6245" s="10"/>
      <c r="AV6245" s="10"/>
      <c r="AW6245" s="10"/>
      <c r="AX6245" s="10"/>
      <c r="AY6245" s="10"/>
      <c r="AZ6245" s="10"/>
    </row>
    <row r="6246" spans="31:52">
      <c r="AE6246" s="10"/>
      <c r="AF6246" s="10"/>
      <c r="AG6246" s="10"/>
      <c r="AH6246" s="10"/>
      <c r="AI6246" s="10"/>
      <c r="AJ6246" s="10"/>
      <c r="AK6246" s="10"/>
      <c r="AL6246" s="10"/>
      <c r="AM6246" s="10"/>
      <c r="AN6246" s="10"/>
      <c r="AO6246" s="10"/>
      <c r="AP6246" s="10"/>
      <c r="AQ6246" s="10"/>
      <c r="AR6246" s="10"/>
      <c r="AS6246" s="10"/>
      <c r="AT6246" s="10"/>
      <c r="AU6246" s="10"/>
      <c r="AV6246" s="10"/>
      <c r="AW6246" s="10"/>
      <c r="AX6246" s="10"/>
      <c r="AY6246" s="10"/>
      <c r="AZ6246" s="10"/>
    </row>
    <row r="6247" spans="31:52">
      <c r="AE6247" s="10"/>
      <c r="AF6247" s="10"/>
      <c r="AG6247" s="10"/>
      <c r="AH6247" s="10"/>
      <c r="AI6247" s="10"/>
      <c r="AJ6247" s="10"/>
      <c r="AK6247" s="10"/>
      <c r="AL6247" s="10"/>
      <c r="AM6247" s="10"/>
      <c r="AN6247" s="10"/>
      <c r="AO6247" s="10"/>
      <c r="AP6247" s="10"/>
      <c r="AQ6247" s="10"/>
      <c r="AR6247" s="10"/>
      <c r="AS6247" s="10"/>
      <c r="AT6247" s="10"/>
      <c r="AU6247" s="10"/>
      <c r="AV6247" s="10"/>
      <c r="AW6247" s="10"/>
      <c r="AX6247" s="10"/>
      <c r="AY6247" s="10"/>
      <c r="AZ6247" s="10"/>
    </row>
    <row r="6248" spans="31:52">
      <c r="AE6248" s="10"/>
      <c r="AF6248" s="10"/>
      <c r="AG6248" s="10"/>
      <c r="AH6248" s="10"/>
      <c r="AI6248" s="10"/>
      <c r="AJ6248" s="10"/>
      <c r="AK6248" s="10"/>
      <c r="AL6248" s="10"/>
      <c r="AM6248" s="10"/>
      <c r="AN6248" s="10"/>
      <c r="AO6248" s="10"/>
      <c r="AP6248" s="10"/>
      <c r="AQ6248" s="10"/>
      <c r="AR6248" s="10"/>
      <c r="AS6248" s="10"/>
      <c r="AT6248" s="10"/>
      <c r="AU6248" s="10"/>
      <c r="AV6248" s="10"/>
      <c r="AW6248" s="10"/>
      <c r="AX6248" s="10"/>
      <c r="AY6248" s="10"/>
      <c r="AZ6248" s="10"/>
    </row>
    <row r="6249" spans="31:52">
      <c r="AE6249" s="10"/>
      <c r="AF6249" s="10"/>
      <c r="AG6249" s="10"/>
      <c r="AH6249" s="10"/>
      <c r="AI6249" s="10"/>
      <c r="AJ6249" s="10"/>
      <c r="AK6249" s="10"/>
      <c r="AL6249" s="10"/>
      <c r="AM6249" s="10"/>
      <c r="AN6249" s="10"/>
      <c r="AO6249" s="10"/>
      <c r="AP6249" s="10"/>
      <c r="AQ6249" s="10"/>
      <c r="AR6249" s="10"/>
      <c r="AS6249" s="10"/>
      <c r="AT6249" s="10"/>
      <c r="AU6249" s="10"/>
      <c r="AV6249" s="10"/>
      <c r="AW6249" s="10"/>
      <c r="AX6249" s="10"/>
      <c r="AY6249" s="10"/>
      <c r="AZ6249" s="10"/>
    </row>
    <row r="6250" spans="31:52">
      <c r="AE6250" s="10"/>
      <c r="AF6250" s="10"/>
      <c r="AG6250" s="10"/>
      <c r="AH6250" s="10"/>
      <c r="AI6250" s="10"/>
      <c r="AJ6250" s="10"/>
      <c r="AK6250" s="10"/>
      <c r="AL6250" s="10"/>
      <c r="AM6250" s="10"/>
      <c r="AN6250" s="10"/>
      <c r="AO6250" s="10"/>
      <c r="AP6250" s="10"/>
      <c r="AQ6250" s="10"/>
      <c r="AR6250" s="10"/>
      <c r="AS6250" s="10"/>
      <c r="AT6250" s="10"/>
      <c r="AU6250" s="10"/>
      <c r="AV6250" s="10"/>
      <c r="AW6250" s="10"/>
      <c r="AX6250" s="10"/>
      <c r="AY6250" s="10"/>
      <c r="AZ6250" s="10"/>
    </row>
    <row r="6251" spans="31:52">
      <c r="AE6251" s="10"/>
      <c r="AF6251" s="10"/>
      <c r="AG6251" s="10"/>
      <c r="AH6251" s="10"/>
      <c r="AI6251" s="10"/>
      <c r="AJ6251" s="10"/>
      <c r="AK6251" s="10"/>
      <c r="AL6251" s="10"/>
      <c r="AM6251" s="10"/>
      <c r="AN6251" s="10"/>
      <c r="AO6251" s="10"/>
      <c r="AP6251" s="10"/>
      <c r="AQ6251" s="10"/>
      <c r="AR6251" s="10"/>
      <c r="AS6251" s="10"/>
      <c r="AT6251" s="10"/>
      <c r="AU6251" s="10"/>
      <c r="AV6251" s="10"/>
      <c r="AW6251" s="10"/>
      <c r="AX6251" s="10"/>
      <c r="AY6251" s="10"/>
      <c r="AZ6251" s="10"/>
    </row>
    <row r="6252" spans="31:52">
      <c r="AE6252" s="10"/>
      <c r="AF6252" s="10"/>
      <c r="AG6252" s="10"/>
      <c r="AH6252" s="10"/>
      <c r="AI6252" s="10"/>
      <c r="AJ6252" s="10"/>
      <c r="AK6252" s="10"/>
      <c r="AL6252" s="10"/>
      <c r="AM6252" s="10"/>
      <c r="AN6252" s="10"/>
      <c r="AO6252" s="10"/>
      <c r="AP6252" s="10"/>
      <c r="AQ6252" s="10"/>
      <c r="AR6252" s="10"/>
      <c r="AS6252" s="10"/>
      <c r="AT6252" s="10"/>
      <c r="AU6252" s="10"/>
      <c r="AV6252" s="10"/>
      <c r="AW6252" s="10"/>
      <c r="AX6252" s="10"/>
      <c r="AY6252" s="10"/>
      <c r="AZ6252" s="10"/>
    </row>
    <row r="6253" spans="31:52">
      <c r="AE6253" s="10"/>
      <c r="AF6253" s="10"/>
      <c r="AG6253" s="10"/>
      <c r="AH6253" s="10"/>
      <c r="AI6253" s="10"/>
      <c r="AJ6253" s="10"/>
      <c r="AK6253" s="10"/>
      <c r="AL6253" s="10"/>
      <c r="AM6253" s="10"/>
      <c r="AN6253" s="10"/>
      <c r="AO6253" s="10"/>
      <c r="AP6253" s="10"/>
      <c r="AQ6253" s="10"/>
      <c r="AR6253" s="10"/>
      <c r="AS6253" s="10"/>
      <c r="AT6253" s="10"/>
      <c r="AU6253" s="10"/>
      <c r="AV6253" s="10"/>
      <c r="AW6253" s="10"/>
      <c r="AX6253" s="10"/>
      <c r="AY6253" s="10"/>
      <c r="AZ6253" s="10"/>
    </row>
    <row r="6254" spans="31:52">
      <c r="AE6254" s="10"/>
      <c r="AF6254" s="10"/>
      <c r="AG6254" s="10"/>
      <c r="AH6254" s="10"/>
      <c r="AI6254" s="10"/>
      <c r="AJ6254" s="10"/>
      <c r="AK6254" s="10"/>
      <c r="AL6254" s="10"/>
      <c r="AM6254" s="10"/>
      <c r="AN6254" s="10"/>
      <c r="AO6254" s="10"/>
      <c r="AP6254" s="10"/>
      <c r="AQ6254" s="10"/>
      <c r="AR6254" s="10"/>
      <c r="AS6254" s="10"/>
      <c r="AT6254" s="10"/>
      <c r="AU6254" s="10"/>
      <c r="AV6254" s="10"/>
      <c r="AW6254" s="10"/>
      <c r="AX6254" s="10"/>
      <c r="AY6254" s="10"/>
      <c r="AZ6254" s="10"/>
    </row>
    <row r="6255" spans="31:52">
      <c r="AE6255" s="10"/>
      <c r="AF6255" s="10"/>
      <c r="AG6255" s="10"/>
      <c r="AH6255" s="10"/>
      <c r="AI6255" s="10"/>
      <c r="AJ6255" s="10"/>
      <c r="AK6255" s="10"/>
      <c r="AL6255" s="10"/>
      <c r="AM6255" s="10"/>
      <c r="AN6255" s="10"/>
      <c r="AO6255" s="10"/>
      <c r="AP6255" s="10"/>
      <c r="AQ6255" s="10"/>
      <c r="AR6255" s="10"/>
      <c r="AS6255" s="10"/>
      <c r="AT6255" s="10"/>
      <c r="AU6255" s="10"/>
      <c r="AV6255" s="10"/>
      <c r="AW6255" s="10"/>
      <c r="AX6255" s="10"/>
      <c r="AY6255" s="10"/>
      <c r="AZ6255" s="10"/>
    </row>
    <row r="6256" spans="31:52">
      <c r="AE6256" s="10"/>
      <c r="AF6256" s="10"/>
      <c r="AG6256" s="10"/>
      <c r="AH6256" s="10"/>
      <c r="AI6256" s="10"/>
      <c r="AJ6256" s="10"/>
      <c r="AK6256" s="10"/>
      <c r="AL6256" s="10"/>
      <c r="AM6256" s="10"/>
      <c r="AN6256" s="10"/>
      <c r="AO6256" s="10"/>
      <c r="AP6256" s="10"/>
      <c r="AQ6256" s="10"/>
      <c r="AR6256" s="10"/>
      <c r="AS6256" s="10"/>
      <c r="AT6256" s="10"/>
      <c r="AU6256" s="10"/>
      <c r="AV6256" s="10"/>
      <c r="AW6256" s="10"/>
      <c r="AX6256" s="10"/>
      <c r="AY6256" s="10"/>
      <c r="AZ6256" s="10"/>
    </row>
    <row r="6257" spans="31:52">
      <c r="AE6257" s="10"/>
      <c r="AF6257" s="10"/>
      <c r="AG6257" s="10"/>
      <c r="AH6257" s="10"/>
      <c r="AI6257" s="10"/>
      <c r="AJ6257" s="10"/>
      <c r="AK6257" s="10"/>
      <c r="AL6257" s="10"/>
      <c r="AM6257" s="10"/>
      <c r="AN6257" s="10"/>
      <c r="AO6257" s="10"/>
      <c r="AP6257" s="10"/>
      <c r="AQ6257" s="10"/>
      <c r="AR6257" s="10"/>
      <c r="AS6257" s="10"/>
      <c r="AT6257" s="10"/>
      <c r="AU6257" s="10"/>
      <c r="AV6257" s="10"/>
      <c r="AW6257" s="10"/>
      <c r="AX6257" s="10"/>
      <c r="AY6257" s="10"/>
      <c r="AZ6257" s="10"/>
    </row>
    <row r="6258" spans="31:52">
      <c r="AE6258" s="10"/>
      <c r="AF6258" s="10"/>
      <c r="AG6258" s="10"/>
      <c r="AH6258" s="10"/>
      <c r="AI6258" s="10"/>
      <c r="AJ6258" s="10"/>
      <c r="AK6258" s="10"/>
      <c r="AL6258" s="10"/>
      <c r="AM6258" s="10"/>
      <c r="AN6258" s="10"/>
      <c r="AO6258" s="10"/>
      <c r="AP6258" s="10"/>
      <c r="AQ6258" s="10"/>
      <c r="AR6258" s="10"/>
      <c r="AS6258" s="10"/>
      <c r="AT6258" s="10"/>
      <c r="AU6258" s="10"/>
      <c r="AV6258" s="10"/>
      <c r="AW6258" s="10"/>
      <c r="AX6258" s="10"/>
      <c r="AY6258" s="10"/>
      <c r="AZ6258" s="10"/>
    </row>
    <row r="6259" spans="31:52">
      <c r="AE6259" s="10"/>
      <c r="AF6259" s="10"/>
      <c r="AG6259" s="10"/>
      <c r="AH6259" s="10"/>
      <c r="AI6259" s="10"/>
      <c r="AJ6259" s="10"/>
      <c r="AK6259" s="10"/>
      <c r="AL6259" s="10"/>
      <c r="AM6259" s="10"/>
      <c r="AN6259" s="10"/>
      <c r="AO6259" s="10"/>
      <c r="AP6259" s="10"/>
      <c r="AQ6259" s="10"/>
      <c r="AR6259" s="10"/>
      <c r="AS6259" s="10"/>
      <c r="AT6259" s="10"/>
      <c r="AU6259" s="10"/>
      <c r="AV6259" s="10"/>
      <c r="AW6259" s="10"/>
      <c r="AX6259" s="10"/>
      <c r="AY6259" s="10"/>
      <c r="AZ6259" s="10"/>
    </row>
    <row r="6260" spans="31:52">
      <c r="AE6260" s="10"/>
      <c r="AF6260" s="10"/>
      <c r="AG6260" s="10"/>
      <c r="AH6260" s="10"/>
      <c r="AI6260" s="10"/>
      <c r="AJ6260" s="10"/>
      <c r="AK6260" s="10"/>
      <c r="AL6260" s="10"/>
      <c r="AM6260" s="10"/>
      <c r="AN6260" s="10"/>
      <c r="AO6260" s="10"/>
      <c r="AP6260" s="10"/>
      <c r="AQ6260" s="10"/>
      <c r="AR6260" s="10"/>
      <c r="AS6260" s="10"/>
      <c r="AT6260" s="10"/>
      <c r="AU6260" s="10"/>
      <c r="AV6260" s="10"/>
      <c r="AW6260" s="10"/>
      <c r="AX6260" s="10"/>
      <c r="AY6260" s="10"/>
      <c r="AZ6260" s="10"/>
    </row>
    <row r="6261" spans="31:52">
      <c r="AE6261" s="10"/>
      <c r="AF6261" s="10"/>
      <c r="AG6261" s="10"/>
      <c r="AH6261" s="10"/>
      <c r="AI6261" s="10"/>
      <c r="AJ6261" s="10"/>
      <c r="AK6261" s="10"/>
      <c r="AL6261" s="10"/>
      <c r="AM6261" s="10"/>
      <c r="AN6261" s="10"/>
      <c r="AO6261" s="10"/>
      <c r="AP6261" s="10"/>
      <c r="AQ6261" s="10"/>
      <c r="AR6261" s="10"/>
      <c r="AS6261" s="10"/>
      <c r="AT6261" s="10"/>
      <c r="AU6261" s="10"/>
      <c r="AV6261" s="10"/>
      <c r="AW6261" s="10"/>
      <c r="AX6261" s="10"/>
      <c r="AY6261" s="10"/>
      <c r="AZ6261" s="10"/>
    </row>
    <row r="6262" spans="31:52">
      <c r="AE6262" s="10"/>
      <c r="AF6262" s="10"/>
      <c r="AG6262" s="10"/>
      <c r="AH6262" s="10"/>
      <c r="AI6262" s="10"/>
      <c r="AJ6262" s="10"/>
      <c r="AK6262" s="10"/>
      <c r="AL6262" s="10"/>
      <c r="AM6262" s="10"/>
      <c r="AN6262" s="10"/>
      <c r="AO6262" s="10"/>
      <c r="AP6262" s="10"/>
      <c r="AQ6262" s="10"/>
      <c r="AR6262" s="10"/>
      <c r="AS6262" s="10"/>
      <c r="AT6262" s="10"/>
      <c r="AU6262" s="10"/>
      <c r="AV6262" s="10"/>
      <c r="AW6262" s="10"/>
      <c r="AX6262" s="10"/>
      <c r="AY6262" s="10"/>
      <c r="AZ6262" s="10"/>
    </row>
    <row r="6263" spans="31:52">
      <c r="AE6263" s="10"/>
      <c r="AF6263" s="10"/>
      <c r="AG6263" s="10"/>
      <c r="AH6263" s="10"/>
      <c r="AI6263" s="10"/>
      <c r="AJ6263" s="10"/>
      <c r="AK6263" s="10"/>
      <c r="AL6263" s="10"/>
      <c r="AM6263" s="10"/>
      <c r="AN6263" s="10"/>
      <c r="AO6263" s="10"/>
      <c r="AP6263" s="10"/>
      <c r="AQ6263" s="10"/>
      <c r="AR6263" s="10"/>
      <c r="AS6263" s="10"/>
      <c r="AT6263" s="10"/>
      <c r="AU6263" s="10"/>
      <c r="AV6263" s="10"/>
      <c r="AW6263" s="10"/>
      <c r="AX6263" s="10"/>
      <c r="AY6263" s="10"/>
      <c r="AZ6263" s="10"/>
    </row>
    <row r="6264" spans="31:52">
      <c r="AE6264" s="10"/>
      <c r="AF6264" s="10"/>
      <c r="AG6264" s="10"/>
      <c r="AH6264" s="10"/>
      <c r="AI6264" s="10"/>
      <c r="AJ6264" s="10"/>
      <c r="AK6264" s="10"/>
      <c r="AL6264" s="10"/>
      <c r="AM6264" s="10"/>
      <c r="AN6264" s="10"/>
      <c r="AO6264" s="10"/>
      <c r="AP6264" s="10"/>
      <c r="AQ6264" s="10"/>
      <c r="AR6264" s="10"/>
      <c r="AS6264" s="10"/>
      <c r="AT6264" s="10"/>
      <c r="AU6264" s="10"/>
      <c r="AV6264" s="10"/>
      <c r="AW6264" s="10"/>
      <c r="AX6264" s="10"/>
      <c r="AY6264" s="10"/>
      <c r="AZ6264" s="10"/>
    </row>
    <row r="6265" spans="31:52">
      <c r="AE6265" s="10"/>
      <c r="AF6265" s="10"/>
      <c r="AG6265" s="10"/>
      <c r="AH6265" s="10"/>
      <c r="AI6265" s="10"/>
      <c r="AJ6265" s="10"/>
      <c r="AK6265" s="10"/>
      <c r="AL6265" s="10"/>
      <c r="AM6265" s="10"/>
      <c r="AN6265" s="10"/>
      <c r="AO6265" s="10"/>
      <c r="AP6265" s="10"/>
      <c r="AQ6265" s="10"/>
      <c r="AR6265" s="10"/>
      <c r="AS6265" s="10"/>
      <c r="AT6265" s="10"/>
      <c r="AU6265" s="10"/>
      <c r="AV6265" s="10"/>
      <c r="AW6265" s="10"/>
      <c r="AX6265" s="10"/>
      <c r="AY6265" s="10"/>
      <c r="AZ6265" s="10"/>
    </row>
    <row r="6266" spans="31:52">
      <c r="AE6266" s="10"/>
      <c r="AF6266" s="10"/>
      <c r="AG6266" s="10"/>
      <c r="AH6266" s="10"/>
      <c r="AI6266" s="10"/>
      <c r="AJ6266" s="10"/>
      <c r="AK6266" s="10"/>
      <c r="AL6266" s="10"/>
      <c r="AM6266" s="10"/>
      <c r="AN6266" s="10"/>
      <c r="AO6266" s="10"/>
      <c r="AP6266" s="10"/>
      <c r="AQ6266" s="10"/>
      <c r="AR6266" s="10"/>
      <c r="AS6266" s="10"/>
      <c r="AT6266" s="10"/>
      <c r="AU6266" s="10"/>
      <c r="AV6266" s="10"/>
      <c r="AW6266" s="10"/>
      <c r="AX6266" s="10"/>
      <c r="AY6266" s="10"/>
      <c r="AZ6266" s="10"/>
    </row>
    <row r="6267" spans="31:52">
      <c r="AE6267" s="10"/>
      <c r="AF6267" s="10"/>
      <c r="AG6267" s="10"/>
      <c r="AH6267" s="10"/>
      <c r="AI6267" s="10"/>
      <c r="AJ6267" s="10"/>
      <c r="AK6267" s="10"/>
      <c r="AL6267" s="10"/>
      <c r="AM6267" s="10"/>
      <c r="AN6267" s="10"/>
      <c r="AO6267" s="10"/>
      <c r="AP6267" s="10"/>
      <c r="AQ6267" s="10"/>
      <c r="AR6267" s="10"/>
      <c r="AS6267" s="10"/>
      <c r="AT6267" s="10"/>
      <c r="AU6267" s="10"/>
      <c r="AV6267" s="10"/>
      <c r="AW6267" s="10"/>
      <c r="AX6267" s="10"/>
      <c r="AY6267" s="10"/>
      <c r="AZ6267" s="10"/>
    </row>
    <row r="6268" spans="31:52">
      <c r="AE6268" s="10"/>
      <c r="AF6268" s="10"/>
      <c r="AG6268" s="10"/>
      <c r="AH6268" s="10"/>
      <c r="AI6268" s="10"/>
      <c r="AJ6268" s="10"/>
      <c r="AK6268" s="10"/>
      <c r="AL6268" s="10"/>
      <c r="AM6268" s="10"/>
      <c r="AN6268" s="10"/>
      <c r="AO6268" s="10"/>
      <c r="AP6268" s="10"/>
      <c r="AQ6268" s="10"/>
      <c r="AR6268" s="10"/>
      <c r="AS6268" s="10"/>
      <c r="AT6268" s="10"/>
      <c r="AU6268" s="10"/>
      <c r="AV6268" s="10"/>
      <c r="AW6268" s="10"/>
      <c r="AX6268" s="10"/>
      <c r="AY6268" s="10"/>
      <c r="AZ6268" s="10"/>
    </row>
    <row r="6269" spans="31:52">
      <c r="AE6269" s="10"/>
      <c r="AF6269" s="10"/>
      <c r="AG6269" s="10"/>
      <c r="AH6269" s="10"/>
      <c r="AI6269" s="10"/>
      <c r="AJ6269" s="10"/>
      <c r="AK6269" s="10"/>
      <c r="AL6269" s="10"/>
      <c r="AM6269" s="10"/>
      <c r="AN6269" s="10"/>
      <c r="AO6269" s="10"/>
      <c r="AP6269" s="10"/>
      <c r="AQ6269" s="10"/>
      <c r="AR6269" s="10"/>
      <c r="AS6269" s="10"/>
      <c r="AT6269" s="10"/>
      <c r="AU6269" s="10"/>
      <c r="AV6269" s="10"/>
      <c r="AW6269" s="10"/>
      <c r="AX6269" s="10"/>
      <c r="AY6269" s="10"/>
      <c r="AZ6269" s="10"/>
    </row>
    <row r="6270" spans="31:52">
      <c r="AE6270" s="10"/>
      <c r="AF6270" s="10"/>
      <c r="AG6270" s="10"/>
      <c r="AH6270" s="10"/>
      <c r="AI6270" s="10"/>
      <c r="AJ6270" s="10"/>
      <c r="AK6270" s="10"/>
      <c r="AL6270" s="10"/>
      <c r="AM6270" s="10"/>
      <c r="AN6270" s="10"/>
      <c r="AO6270" s="10"/>
      <c r="AP6270" s="10"/>
      <c r="AQ6270" s="10"/>
      <c r="AR6270" s="10"/>
      <c r="AS6270" s="10"/>
      <c r="AT6270" s="10"/>
      <c r="AU6270" s="10"/>
      <c r="AV6270" s="10"/>
      <c r="AW6270" s="10"/>
      <c r="AX6270" s="10"/>
      <c r="AY6270" s="10"/>
      <c r="AZ6270" s="10"/>
    </row>
    <row r="6271" spans="31:52">
      <c r="AE6271" s="10"/>
      <c r="AF6271" s="10"/>
      <c r="AG6271" s="10"/>
      <c r="AH6271" s="10"/>
      <c r="AI6271" s="10"/>
      <c r="AJ6271" s="10"/>
      <c r="AK6271" s="10"/>
      <c r="AL6271" s="10"/>
      <c r="AM6271" s="10"/>
      <c r="AN6271" s="10"/>
      <c r="AO6271" s="10"/>
      <c r="AP6271" s="10"/>
      <c r="AQ6271" s="10"/>
      <c r="AR6271" s="10"/>
      <c r="AS6271" s="10"/>
      <c r="AT6271" s="10"/>
      <c r="AU6271" s="10"/>
      <c r="AV6271" s="10"/>
      <c r="AW6271" s="10"/>
      <c r="AX6271" s="10"/>
      <c r="AY6271" s="10"/>
      <c r="AZ6271" s="10"/>
    </row>
    <row r="6272" spans="31:52">
      <c r="AE6272" s="10"/>
      <c r="AF6272" s="10"/>
      <c r="AG6272" s="10"/>
      <c r="AH6272" s="10"/>
      <c r="AI6272" s="10"/>
      <c r="AJ6272" s="10"/>
      <c r="AK6272" s="10"/>
      <c r="AL6272" s="10"/>
      <c r="AM6272" s="10"/>
      <c r="AN6272" s="10"/>
      <c r="AO6272" s="10"/>
      <c r="AP6272" s="10"/>
      <c r="AQ6272" s="10"/>
      <c r="AR6272" s="10"/>
      <c r="AS6272" s="10"/>
      <c r="AT6272" s="10"/>
      <c r="AU6272" s="10"/>
      <c r="AV6272" s="10"/>
      <c r="AW6272" s="10"/>
      <c r="AX6272" s="10"/>
      <c r="AY6272" s="10"/>
      <c r="AZ6272" s="10"/>
    </row>
    <row r="6273" spans="31:52">
      <c r="AE6273" s="10"/>
      <c r="AF6273" s="10"/>
      <c r="AG6273" s="10"/>
      <c r="AH6273" s="10"/>
      <c r="AI6273" s="10"/>
      <c r="AJ6273" s="10"/>
      <c r="AK6273" s="10"/>
      <c r="AL6273" s="10"/>
      <c r="AM6273" s="10"/>
      <c r="AN6273" s="10"/>
      <c r="AO6273" s="10"/>
      <c r="AP6273" s="10"/>
      <c r="AQ6273" s="10"/>
      <c r="AR6273" s="10"/>
      <c r="AS6273" s="10"/>
      <c r="AT6273" s="10"/>
      <c r="AU6273" s="10"/>
      <c r="AV6273" s="10"/>
      <c r="AW6273" s="10"/>
      <c r="AX6273" s="10"/>
      <c r="AY6273" s="10"/>
      <c r="AZ6273" s="10"/>
    </row>
    <row r="6274" spans="31:52">
      <c r="AE6274" s="10"/>
      <c r="AF6274" s="10"/>
      <c r="AG6274" s="10"/>
      <c r="AH6274" s="10"/>
      <c r="AI6274" s="10"/>
      <c r="AJ6274" s="10"/>
      <c r="AK6274" s="10"/>
      <c r="AL6274" s="10"/>
      <c r="AM6274" s="10"/>
      <c r="AN6274" s="10"/>
      <c r="AO6274" s="10"/>
      <c r="AP6274" s="10"/>
      <c r="AQ6274" s="10"/>
      <c r="AR6274" s="10"/>
      <c r="AS6274" s="10"/>
      <c r="AT6274" s="10"/>
      <c r="AU6274" s="10"/>
      <c r="AV6274" s="10"/>
      <c r="AW6274" s="10"/>
      <c r="AX6274" s="10"/>
      <c r="AY6274" s="10"/>
      <c r="AZ6274" s="10"/>
    </row>
    <row r="6275" spans="31:52">
      <c r="AE6275" s="10"/>
      <c r="AF6275" s="10"/>
      <c r="AG6275" s="10"/>
      <c r="AH6275" s="10"/>
      <c r="AI6275" s="10"/>
      <c r="AJ6275" s="10"/>
      <c r="AK6275" s="10"/>
      <c r="AL6275" s="10"/>
      <c r="AM6275" s="10"/>
      <c r="AN6275" s="10"/>
      <c r="AO6275" s="10"/>
      <c r="AP6275" s="10"/>
      <c r="AQ6275" s="10"/>
      <c r="AR6275" s="10"/>
      <c r="AS6275" s="10"/>
      <c r="AT6275" s="10"/>
      <c r="AU6275" s="10"/>
      <c r="AV6275" s="10"/>
      <c r="AW6275" s="10"/>
      <c r="AX6275" s="10"/>
      <c r="AY6275" s="10"/>
      <c r="AZ6275" s="10"/>
    </row>
    <row r="6276" spans="31:52">
      <c r="AE6276" s="10"/>
      <c r="AF6276" s="10"/>
      <c r="AG6276" s="10"/>
      <c r="AH6276" s="10"/>
      <c r="AI6276" s="10"/>
      <c r="AJ6276" s="10"/>
      <c r="AK6276" s="10"/>
      <c r="AL6276" s="10"/>
      <c r="AM6276" s="10"/>
      <c r="AN6276" s="10"/>
      <c r="AO6276" s="10"/>
      <c r="AP6276" s="10"/>
      <c r="AQ6276" s="10"/>
      <c r="AR6276" s="10"/>
      <c r="AS6276" s="10"/>
      <c r="AT6276" s="10"/>
      <c r="AU6276" s="10"/>
      <c r="AV6276" s="10"/>
      <c r="AW6276" s="10"/>
      <c r="AX6276" s="10"/>
      <c r="AY6276" s="10"/>
      <c r="AZ6276" s="10"/>
    </row>
    <row r="6277" spans="31:52">
      <c r="AE6277" s="10"/>
      <c r="AF6277" s="10"/>
      <c r="AG6277" s="10"/>
      <c r="AH6277" s="10"/>
      <c r="AI6277" s="10"/>
      <c r="AJ6277" s="10"/>
      <c r="AK6277" s="10"/>
      <c r="AL6277" s="10"/>
      <c r="AM6277" s="10"/>
      <c r="AN6277" s="10"/>
      <c r="AO6277" s="10"/>
      <c r="AP6277" s="10"/>
      <c r="AQ6277" s="10"/>
      <c r="AR6277" s="10"/>
      <c r="AS6277" s="10"/>
      <c r="AT6277" s="10"/>
      <c r="AU6277" s="10"/>
      <c r="AV6277" s="10"/>
      <c r="AW6277" s="10"/>
      <c r="AX6277" s="10"/>
      <c r="AY6277" s="10"/>
      <c r="AZ6277" s="10"/>
    </row>
    <row r="6278" spans="31:52">
      <c r="AE6278" s="10"/>
      <c r="AF6278" s="10"/>
      <c r="AG6278" s="10"/>
      <c r="AH6278" s="10"/>
      <c r="AI6278" s="10"/>
      <c r="AJ6278" s="10"/>
      <c r="AK6278" s="10"/>
      <c r="AL6278" s="10"/>
      <c r="AM6278" s="10"/>
      <c r="AN6278" s="10"/>
      <c r="AO6278" s="10"/>
      <c r="AP6278" s="10"/>
      <c r="AQ6278" s="10"/>
      <c r="AR6278" s="10"/>
      <c r="AS6278" s="10"/>
      <c r="AT6278" s="10"/>
      <c r="AU6278" s="10"/>
      <c r="AV6278" s="10"/>
      <c r="AW6278" s="10"/>
      <c r="AX6278" s="10"/>
      <c r="AY6278" s="10"/>
      <c r="AZ6278" s="10"/>
    </row>
    <row r="6279" spans="31:52">
      <c r="AE6279" s="10"/>
      <c r="AF6279" s="10"/>
      <c r="AG6279" s="10"/>
      <c r="AH6279" s="10"/>
      <c r="AI6279" s="10"/>
      <c r="AJ6279" s="10"/>
      <c r="AK6279" s="10"/>
      <c r="AL6279" s="10"/>
      <c r="AM6279" s="10"/>
      <c r="AN6279" s="10"/>
      <c r="AO6279" s="10"/>
      <c r="AP6279" s="10"/>
      <c r="AQ6279" s="10"/>
      <c r="AR6279" s="10"/>
      <c r="AS6279" s="10"/>
      <c r="AT6279" s="10"/>
      <c r="AU6279" s="10"/>
      <c r="AV6279" s="10"/>
      <c r="AW6279" s="10"/>
      <c r="AX6279" s="10"/>
      <c r="AY6279" s="10"/>
      <c r="AZ6279" s="10"/>
    </row>
    <row r="6280" spans="31:52">
      <c r="AE6280" s="10"/>
      <c r="AF6280" s="10"/>
      <c r="AG6280" s="10"/>
      <c r="AH6280" s="10"/>
      <c r="AI6280" s="10"/>
      <c r="AJ6280" s="10"/>
      <c r="AK6280" s="10"/>
      <c r="AL6280" s="10"/>
      <c r="AM6280" s="10"/>
      <c r="AN6280" s="10"/>
      <c r="AO6280" s="10"/>
      <c r="AP6280" s="10"/>
      <c r="AQ6280" s="10"/>
      <c r="AR6280" s="10"/>
      <c r="AS6280" s="10"/>
      <c r="AT6280" s="10"/>
      <c r="AU6280" s="10"/>
      <c r="AV6280" s="10"/>
      <c r="AW6280" s="10"/>
      <c r="AX6280" s="10"/>
      <c r="AY6280" s="10"/>
      <c r="AZ6280" s="10"/>
    </row>
    <row r="6281" spans="31:52">
      <c r="AE6281" s="10"/>
      <c r="AF6281" s="10"/>
      <c r="AG6281" s="10"/>
      <c r="AH6281" s="10"/>
      <c r="AI6281" s="10"/>
      <c r="AJ6281" s="10"/>
      <c r="AK6281" s="10"/>
      <c r="AL6281" s="10"/>
      <c r="AM6281" s="10"/>
      <c r="AN6281" s="10"/>
      <c r="AO6281" s="10"/>
      <c r="AP6281" s="10"/>
      <c r="AQ6281" s="10"/>
      <c r="AR6281" s="10"/>
      <c r="AS6281" s="10"/>
      <c r="AT6281" s="10"/>
      <c r="AU6281" s="10"/>
      <c r="AV6281" s="10"/>
      <c r="AW6281" s="10"/>
      <c r="AX6281" s="10"/>
      <c r="AY6281" s="10"/>
      <c r="AZ6281" s="10"/>
    </row>
    <row r="6282" spans="31:52">
      <c r="AE6282" s="10"/>
      <c r="AF6282" s="10"/>
      <c r="AG6282" s="10"/>
      <c r="AH6282" s="10"/>
      <c r="AI6282" s="10"/>
      <c r="AJ6282" s="10"/>
      <c r="AK6282" s="10"/>
      <c r="AL6282" s="10"/>
      <c r="AM6282" s="10"/>
      <c r="AN6282" s="10"/>
      <c r="AO6282" s="10"/>
      <c r="AP6282" s="10"/>
      <c r="AQ6282" s="10"/>
      <c r="AR6282" s="10"/>
      <c r="AS6282" s="10"/>
      <c r="AT6282" s="10"/>
      <c r="AU6282" s="10"/>
      <c r="AV6282" s="10"/>
      <c r="AW6282" s="10"/>
      <c r="AX6282" s="10"/>
      <c r="AY6282" s="10"/>
      <c r="AZ6282" s="10"/>
    </row>
    <row r="6283" spans="31:52">
      <c r="AE6283" s="10"/>
      <c r="AF6283" s="10"/>
      <c r="AG6283" s="10"/>
      <c r="AH6283" s="10"/>
      <c r="AI6283" s="10"/>
      <c r="AJ6283" s="10"/>
      <c r="AK6283" s="10"/>
      <c r="AL6283" s="10"/>
      <c r="AM6283" s="10"/>
      <c r="AN6283" s="10"/>
      <c r="AO6283" s="10"/>
      <c r="AP6283" s="10"/>
      <c r="AQ6283" s="10"/>
      <c r="AR6283" s="10"/>
      <c r="AS6283" s="10"/>
      <c r="AT6283" s="10"/>
      <c r="AU6283" s="10"/>
      <c r="AV6283" s="10"/>
      <c r="AW6283" s="10"/>
      <c r="AX6283" s="10"/>
      <c r="AY6283" s="10"/>
      <c r="AZ6283" s="10"/>
    </row>
    <row r="6284" spans="31:52">
      <c r="AE6284" s="10"/>
      <c r="AF6284" s="10"/>
      <c r="AG6284" s="10"/>
      <c r="AH6284" s="10"/>
      <c r="AI6284" s="10"/>
      <c r="AJ6284" s="10"/>
      <c r="AK6284" s="10"/>
      <c r="AL6284" s="10"/>
      <c r="AM6284" s="10"/>
      <c r="AN6284" s="10"/>
      <c r="AO6284" s="10"/>
      <c r="AP6284" s="10"/>
      <c r="AQ6284" s="10"/>
      <c r="AR6284" s="10"/>
      <c r="AS6284" s="10"/>
      <c r="AT6284" s="10"/>
      <c r="AU6284" s="10"/>
      <c r="AV6284" s="10"/>
      <c r="AW6284" s="10"/>
      <c r="AX6284" s="10"/>
      <c r="AY6284" s="10"/>
      <c r="AZ6284" s="10"/>
    </row>
    <row r="6285" spans="31:52">
      <c r="AE6285" s="10"/>
      <c r="AF6285" s="10"/>
      <c r="AG6285" s="10"/>
      <c r="AH6285" s="10"/>
      <c r="AI6285" s="10"/>
      <c r="AJ6285" s="10"/>
      <c r="AK6285" s="10"/>
      <c r="AL6285" s="10"/>
      <c r="AM6285" s="10"/>
      <c r="AN6285" s="10"/>
      <c r="AO6285" s="10"/>
      <c r="AP6285" s="10"/>
      <c r="AQ6285" s="10"/>
      <c r="AR6285" s="10"/>
      <c r="AS6285" s="10"/>
      <c r="AT6285" s="10"/>
      <c r="AU6285" s="10"/>
      <c r="AV6285" s="10"/>
      <c r="AW6285" s="10"/>
      <c r="AX6285" s="10"/>
      <c r="AY6285" s="10"/>
      <c r="AZ6285" s="10"/>
    </row>
    <row r="6286" spans="31:52">
      <c r="AE6286" s="10"/>
      <c r="AF6286" s="10"/>
      <c r="AG6286" s="10"/>
      <c r="AH6286" s="10"/>
      <c r="AI6286" s="10"/>
      <c r="AJ6286" s="10"/>
      <c r="AK6286" s="10"/>
      <c r="AL6286" s="10"/>
      <c r="AM6286" s="10"/>
      <c r="AN6286" s="10"/>
      <c r="AO6286" s="10"/>
      <c r="AP6286" s="10"/>
      <c r="AQ6286" s="10"/>
      <c r="AR6286" s="10"/>
      <c r="AS6286" s="10"/>
      <c r="AT6286" s="10"/>
      <c r="AU6286" s="10"/>
      <c r="AV6286" s="10"/>
      <c r="AW6286" s="10"/>
      <c r="AX6286" s="10"/>
      <c r="AY6286" s="10"/>
      <c r="AZ6286" s="10"/>
    </row>
    <row r="6287" spans="31:52">
      <c r="AE6287" s="10"/>
      <c r="AF6287" s="10"/>
      <c r="AG6287" s="10"/>
      <c r="AH6287" s="10"/>
      <c r="AI6287" s="10"/>
      <c r="AJ6287" s="10"/>
      <c r="AK6287" s="10"/>
      <c r="AL6287" s="10"/>
      <c r="AM6287" s="10"/>
      <c r="AN6287" s="10"/>
      <c r="AO6287" s="10"/>
      <c r="AP6287" s="10"/>
      <c r="AQ6287" s="10"/>
      <c r="AR6287" s="10"/>
      <c r="AS6287" s="10"/>
      <c r="AT6287" s="10"/>
      <c r="AU6287" s="10"/>
      <c r="AV6287" s="10"/>
      <c r="AW6287" s="10"/>
      <c r="AX6287" s="10"/>
      <c r="AY6287" s="10"/>
      <c r="AZ6287" s="10"/>
    </row>
    <row r="6288" spans="31:52">
      <c r="AE6288" s="10"/>
      <c r="AF6288" s="10"/>
      <c r="AG6288" s="10"/>
      <c r="AH6288" s="10"/>
      <c r="AI6288" s="10"/>
      <c r="AJ6288" s="10"/>
      <c r="AK6288" s="10"/>
      <c r="AL6288" s="10"/>
      <c r="AM6288" s="10"/>
      <c r="AN6288" s="10"/>
      <c r="AO6288" s="10"/>
      <c r="AP6288" s="10"/>
      <c r="AQ6288" s="10"/>
      <c r="AR6288" s="10"/>
      <c r="AS6288" s="10"/>
      <c r="AT6288" s="10"/>
      <c r="AU6288" s="10"/>
      <c r="AV6288" s="10"/>
      <c r="AW6288" s="10"/>
      <c r="AX6288" s="10"/>
      <c r="AY6288" s="10"/>
      <c r="AZ6288" s="10"/>
    </row>
    <row r="6289" spans="31:52">
      <c r="AE6289" s="10"/>
      <c r="AF6289" s="10"/>
      <c r="AG6289" s="10"/>
      <c r="AH6289" s="10"/>
      <c r="AI6289" s="10"/>
      <c r="AJ6289" s="10"/>
      <c r="AK6289" s="10"/>
      <c r="AL6289" s="10"/>
      <c r="AM6289" s="10"/>
      <c r="AN6289" s="10"/>
      <c r="AO6289" s="10"/>
      <c r="AP6289" s="10"/>
      <c r="AQ6289" s="10"/>
      <c r="AR6289" s="10"/>
      <c r="AS6289" s="10"/>
      <c r="AT6289" s="10"/>
      <c r="AU6289" s="10"/>
      <c r="AV6289" s="10"/>
      <c r="AW6289" s="10"/>
      <c r="AX6289" s="10"/>
      <c r="AY6289" s="10"/>
      <c r="AZ6289" s="10"/>
    </row>
    <row r="6290" spans="31:52">
      <c r="AE6290" s="10"/>
      <c r="AF6290" s="10"/>
      <c r="AG6290" s="10"/>
      <c r="AH6290" s="10"/>
      <c r="AI6290" s="10"/>
      <c r="AJ6290" s="10"/>
      <c r="AK6290" s="10"/>
      <c r="AL6290" s="10"/>
      <c r="AM6290" s="10"/>
      <c r="AN6290" s="10"/>
      <c r="AO6290" s="10"/>
      <c r="AP6290" s="10"/>
      <c r="AQ6290" s="10"/>
      <c r="AR6290" s="10"/>
      <c r="AS6290" s="10"/>
      <c r="AT6290" s="10"/>
      <c r="AU6290" s="10"/>
      <c r="AV6290" s="10"/>
      <c r="AW6290" s="10"/>
      <c r="AX6290" s="10"/>
      <c r="AY6290" s="10"/>
      <c r="AZ6290" s="10"/>
    </row>
    <row r="6291" spans="31:52">
      <c r="AE6291" s="10"/>
      <c r="AF6291" s="10"/>
      <c r="AG6291" s="10"/>
      <c r="AH6291" s="10"/>
      <c r="AI6291" s="10"/>
      <c r="AJ6291" s="10"/>
      <c r="AK6291" s="10"/>
      <c r="AL6291" s="10"/>
      <c r="AM6291" s="10"/>
      <c r="AN6291" s="10"/>
      <c r="AO6291" s="10"/>
      <c r="AP6291" s="10"/>
      <c r="AQ6291" s="10"/>
      <c r="AR6291" s="10"/>
      <c r="AS6291" s="10"/>
      <c r="AT6291" s="10"/>
      <c r="AU6291" s="10"/>
      <c r="AV6291" s="10"/>
      <c r="AW6291" s="10"/>
      <c r="AX6291" s="10"/>
      <c r="AY6291" s="10"/>
      <c r="AZ6291" s="10"/>
    </row>
    <row r="6292" spans="31:52">
      <c r="AE6292" s="10"/>
      <c r="AF6292" s="10"/>
      <c r="AG6292" s="10"/>
      <c r="AH6292" s="10"/>
      <c r="AI6292" s="10"/>
      <c r="AJ6292" s="10"/>
      <c r="AK6292" s="10"/>
      <c r="AL6292" s="10"/>
      <c r="AM6292" s="10"/>
      <c r="AN6292" s="10"/>
      <c r="AO6292" s="10"/>
      <c r="AP6292" s="10"/>
      <c r="AQ6292" s="10"/>
      <c r="AR6292" s="10"/>
      <c r="AS6292" s="10"/>
      <c r="AT6292" s="10"/>
      <c r="AU6292" s="10"/>
      <c r="AV6292" s="10"/>
      <c r="AW6292" s="10"/>
      <c r="AX6292" s="10"/>
      <c r="AY6292" s="10"/>
      <c r="AZ6292" s="10"/>
    </row>
    <row r="6293" spans="31:52">
      <c r="AE6293" s="10"/>
      <c r="AF6293" s="10"/>
      <c r="AG6293" s="10"/>
      <c r="AH6293" s="10"/>
      <c r="AI6293" s="10"/>
      <c r="AJ6293" s="10"/>
      <c r="AK6293" s="10"/>
      <c r="AL6293" s="10"/>
      <c r="AM6293" s="10"/>
      <c r="AN6293" s="10"/>
      <c r="AO6293" s="10"/>
      <c r="AP6293" s="10"/>
      <c r="AQ6293" s="10"/>
      <c r="AR6293" s="10"/>
      <c r="AS6293" s="10"/>
      <c r="AT6293" s="10"/>
      <c r="AU6293" s="10"/>
      <c r="AV6293" s="10"/>
      <c r="AW6293" s="10"/>
      <c r="AX6293" s="10"/>
      <c r="AY6293" s="10"/>
      <c r="AZ6293" s="10"/>
    </row>
    <row r="6294" spans="31:52">
      <c r="AE6294" s="10"/>
      <c r="AF6294" s="10"/>
      <c r="AG6294" s="10"/>
      <c r="AH6294" s="10"/>
      <c r="AI6294" s="10"/>
      <c r="AJ6294" s="10"/>
      <c r="AK6294" s="10"/>
      <c r="AL6294" s="10"/>
      <c r="AM6294" s="10"/>
      <c r="AN6294" s="10"/>
      <c r="AO6294" s="10"/>
      <c r="AP6294" s="10"/>
      <c r="AQ6294" s="10"/>
      <c r="AR6294" s="10"/>
      <c r="AS6294" s="10"/>
      <c r="AT6294" s="10"/>
      <c r="AU6294" s="10"/>
      <c r="AV6294" s="10"/>
      <c r="AW6294" s="10"/>
      <c r="AX6294" s="10"/>
      <c r="AY6294" s="10"/>
      <c r="AZ6294" s="10"/>
    </row>
    <row r="6295" spans="31:52">
      <c r="AE6295" s="10"/>
      <c r="AF6295" s="10"/>
      <c r="AG6295" s="10"/>
      <c r="AH6295" s="10"/>
      <c r="AI6295" s="10"/>
      <c r="AJ6295" s="10"/>
      <c r="AK6295" s="10"/>
      <c r="AL6295" s="10"/>
      <c r="AM6295" s="10"/>
      <c r="AN6295" s="10"/>
      <c r="AO6295" s="10"/>
      <c r="AP6295" s="10"/>
      <c r="AQ6295" s="10"/>
      <c r="AR6295" s="10"/>
      <c r="AS6295" s="10"/>
      <c r="AT6295" s="10"/>
      <c r="AU6295" s="10"/>
      <c r="AV6295" s="10"/>
      <c r="AW6295" s="10"/>
      <c r="AX6295" s="10"/>
      <c r="AY6295" s="10"/>
      <c r="AZ6295" s="10"/>
    </row>
    <row r="6296" spans="31:52">
      <c r="AE6296" s="10"/>
      <c r="AF6296" s="10"/>
      <c r="AG6296" s="10"/>
      <c r="AH6296" s="10"/>
      <c r="AI6296" s="10"/>
      <c r="AJ6296" s="10"/>
      <c r="AK6296" s="10"/>
      <c r="AL6296" s="10"/>
      <c r="AM6296" s="10"/>
      <c r="AN6296" s="10"/>
      <c r="AO6296" s="10"/>
      <c r="AP6296" s="10"/>
      <c r="AQ6296" s="10"/>
      <c r="AR6296" s="10"/>
      <c r="AS6296" s="10"/>
      <c r="AT6296" s="10"/>
      <c r="AU6296" s="10"/>
      <c r="AV6296" s="10"/>
      <c r="AW6296" s="10"/>
      <c r="AX6296" s="10"/>
      <c r="AY6296" s="10"/>
      <c r="AZ6296" s="10"/>
    </row>
    <row r="6297" spans="31:52">
      <c r="AE6297" s="10"/>
      <c r="AF6297" s="10"/>
      <c r="AG6297" s="10"/>
      <c r="AH6297" s="10"/>
      <c r="AI6297" s="10"/>
      <c r="AJ6297" s="10"/>
      <c r="AK6297" s="10"/>
      <c r="AL6297" s="10"/>
      <c r="AM6297" s="10"/>
      <c r="AN6297" s="10"/>
      <c r="AO6297" s="10"/>
      <c r="AP6297" s="10"/>
      <c r="AQ6297" s="10"/>
      <c r="AR6297" s="10"/>
      <c r="AS6297" s="10"/>
      <c r="AT6297" s="10"/>
      <c r="AU6297" s="10"/>
      <c r="AV6297" s="10"/>
      <c r="AW6297" s="10"/>
      <c r="AX6297" s="10"/>
      <c r="AY6297" s="10"/>
      <c r="AZ6297" s="10"/>
    </row>
    <row r="6298" spans="31:52">
      <c r="AE6298" s="10"/>
      <c r="AF6298" s="10"/>
      <c r="AG6298" s="10"/>
      <c r="AH6298" s="10"/>
      <c r="AI6298" s="10"/>
      <c r="AJ6298" s="10"/>
      <c r="AK6298" s="10"/>
      <c r="AL6298" s="10"/>
      <c r="AM6298" s="10"/>
      <c r="AN6298" s="10"/>
      <c r="AO6298" s="10"/>
      <c r="AP6298" s="10"/>
      <c r="AQ6298" s="10"/>
      <c r="AR6298" s="10"/>
      <c r="AS6298" s="10"/>
      <c r="AT6298" s="10"/>
      <c r="AU6298" s="10"/>
      <c r="AV6298" s="10"/>
      <c r="AW6298" s="10"/>
      <c r="AX6298" s="10"/>
      <c r="AY6298" s="10"/>
      <c r="AZ6298" s="10"/>
    </row>
    <row r="6299" spans="31:52">
      <c r="AE6299" s="10"/>
      <c r="AF6299" s="10"/>
      <c r="AG6299" s="10"/>
      <c r="AH6299" s="10"/>
      <c r="AI6299" s="10"/>
      <c r="AJ6299" s="10"/>
      <c r="AK6299" s="10"/>
      <c r="AL6299" s="10"/>
      <c r="AM6299" s="10"/>
      <c r="AN6299" s="10"/>
      <c r="AO6299" s="10"/>
      <c r="AP6299" s="10"/>
      <c r="AQ6299" s="10"/>
      <c r="AR6299" s="10"/>
      <c r="AS6299" s="10"/>
      <c r="AT6299" s="10"/>
      <c r="AU6299" s="10"/>
      <c r="AV6299" s="10"/>
      <c r="AW6299" s="10"/>
      <c r="AX6299" s="10"/>
      <c r="AY6299" s="10"/>
      <c r="AZ6299" s="10"/>
    </row>
    <row r="6300" spans="31:52">
      <c r="AE6300" s="10"/>
      <c r="AF6300" s="10"/>
      <c r="AG6300" s="10"/>
      <c r="AH6300" s="10"/>
      <c r="AI6300" s="10"/>
      <c r="AJ6300" s="10"/>
      <c r="AK6300" s="10"/>
      <c r="AL6300" s="10"/>
      <c r="AM6300" s="10"/>
      <c r="AN6300" s="10"/>
      <c r="AO6300" s="10"/>
      <c r="AP6300" s="10"/>
      <c r="AQ6300" s="10"/>
      <c r="AR6300" s="10"/>
      <c r="AS6300" s="10"/>
      <c r="AT6300" s="10"/>
      <c r="AU6300" s="10"/>
      <c r="AV6300" s="10"/>
      <c r="AW6300" s="10"/>
      <c r="AX6300" s="10"/>
      <c r="AY6300" s="10"/>
      <c r="AZ6300" s="10"/>
    </row>
    <row r="6301" spans="31:52">
      <c r="AE6301" s="10"/>
      <c r="AF6301" s="10"/>
      <c r="AG6301" s="10"/>
      <c r="AH6301" s="10"/>
      <c r="AI6301" s="10"/>
      <c r="AJ6301" s="10"/>
      <c r="AK6301" s="10"/>
      <c r="AL6301" s="10"/>
      <c r="AM6301" s="10"/>
      <c r="AN6301" s="10"/>
      <c r="AO6301" s="10"/>
      <c r="AP6301" s="10"/>
      <c r="AQ6301" s="10"/>
      <c r="AR6301" s="10"/>
      <c r="AS6301" s="10"/>
      <c r="AT6301" s="10"/>
      <c r="AU6301" s="10"/>
      <c r="AV6301" s="10"/>
      <c r="AW6301" s="10"/>
      <c r="AX6301" s="10"/>
      <c r="AY6301" s="10"/>
      <c r="AZ6301" s="10"/>
    </row>
    <row r="6302" spans="31:52">
      <c r="AE6302" s="10"/>
      <c r="AF6302" s="10"/>
      <c r="AG6302" s="10"/>
      <c r="AH6302" s="10"/>
      <c r="AI6302" s="10"/>
      <c r="AJ6302" s="10"/>
      <c r="AK6302" s="10"/>
      <c r="AL6302" s="10"/>
      <c r="AM6302" s="10"/>
      <c r="AN6302" s="10"/>
      <c r="AO6302" s="10"/>
      <c r="AP6302" s="10"/>
      <c r="AQ6302" s="10"/>
      <c r="AR6302" s="10"/>
      <c r="AS6302" s="10"/>
      <c r="AT6302" s="10"/>
      <c r="AU6302" s="10"/>
      <c r="AV6302" s="10"/>
      <c r="AW6302" s="10"/>
      <c r="AX6302" s="10"/>
      <c r="AY6302" s="10"/>
      <c r="AZ6302" s="10"/>
    </row>
    <row r="6303" spans="31:52">
      <c r="AE6303" s="10"/>
      <c r="AF6303" s="10"/>
      <c r="AG6303" s="10"/>
      <c r="AH6303" s="10"/>
      <c r="AI6303" s="10"/>
      <c r="AJ6303" s="10"/>
      <c r="AK6303" s="10"/>
      <c r="AL6303" s="10"/>
      <c r="AM6303" s="10"/>
      <c r="AN6303" s="10"/>
      <c r="AO6303" s="10"/>
      <c r="AP6303" s="10"/>
      <c r="AQ6303" s="10"/>
      <c r="AR6303" s="10"/>
      <c r="AS6303" s="10"/>
      <c r="AT6303" s="10"/>
      <c r="AU6303" s="10"/>
      <c r="AV6303" s="10"/>
      <c r="AW6303" s="10"/>
      <c r="AX6303" s="10"/>
      <c r="AY6303" s="10"/>
      <c r="AZ6303" s="10"/>
    </row>
    <row r="6304" spans="31:52">
      <c r="AE6304" s="10"/>
      <c r="AF6304" s="10"/>
      <c r="AG6304" s="10"/>
      <c r="AH6304" s="10"/>
      <c r="AI6304" s="10"/>
      <c r="AJ6304" s="10"/>
      <c r="AK6304" s="10"/>
      <c r="AL6304" s="10"/>
      <c r="AM6304" s="10"/>
      <c r="AN6304" s="10"/>
      <c r="AO6304" s="10"/>
      <c r="AP6304" s="10"/>
      <c r="AQ6304" s="10"/>
      <c r="AR6304" s="10"/>
      <c r="AS6304" s="10"/>
      <c r="AT6304" s="10"/>
      <c r="AU6304" s="10"/>
      <c r="AV6304" s="10"/>
      <c r="AW6304" s="10"/>
      <c r="AX6304" s="10"/>
      <c r="AY6304" s="10"/>
      <c r="AZ6304" s="10"/>
    </row>
    <row r="6305" spans="31:52">
      <c r="AE6305" s="10"/>
      <c r="AF6305" s="10"/>
      <c r="AG6305" s="10"/>
      <c r="AH6305" s="10"/>
      <c r="AI6305" s="10"/>
      <c r="AJ6305" s="10"/>
      <c r="AK6305" s="10"/>
      <c r="AL6305" s="10"/>
      <c r="AM6305" s="10"/>
      <c r="AN6305" s="10"/>
      <c r="AO6305" s="10"/>
      <c r="AP6305" s="10"/>
      <c r="AQ6305" s="10"/>
      <c r="AR6305" s="10"/>
      <c r="AS6305" s="10"/>
      <c r="AT6305" s="10"/>
      <c r="AU6305" s="10"/>
      <c r="AV6305" s="10"/>
      <c r="AW6305" s="10"/>
      <c r="AX6305" s="10"/>
      <c r="AY6305" s="10"/>
      <c r="AZ6305" s="10"/>
    </row>
    <row r="6306" spans="31:52">
      <c r="AE6306" s="10"/>
      <c r="AF6306" s="10"/>
      <c r="AG6306" s="10"/>
      <c r="AH6306" s="10"/>
      <c r="AI6306" s="10"/>
      <c r="AJ6306" s="10"/>
      <c r="AK6306" s="10"/>
      <c r="AL6306" s="10"/>
      <c r="AM6306" s="10"/>
      <c r="AN6306" s="10"/>
      <c r="AO6306" s="10"/>
      <c r="AP6306" s="10"/>
      <c r="AQ6306" s="10"/>
      <c r="AR6306" s="10"/>
      <c r="AS6306" s="10"/>
      <c r="AT6306" s="10"/>
      <c r="AU6306" s="10"/>
      <c r="AV6306" s="10"/>
      <c r="AW6306" s="10"/>
      <c r="AX6306" s="10"/>
      <c r="AY6306" s="10"/>
      <c r="AZ6306" s="10"/>
    </row>
    <row r="6307" spans="31:52">
      <c r="AE6307" s="10"/>
      <c r="AF6307" s="10"/>
      <c r="AG6307" s="10"/>
      <c r="AH6307" s="10"/>
      <c r="AI6307" s="10"/>
      <c r="AJ6307" s="10"/>
      <c r="AK6307" s="10"/>
      <c r="AL6307" s="10"/>
      <c r="AM6307" s="10"/>
      <c r="AN6307" s="10"/>
      <c r="AO6307" s="10"/>
      <c r="AP6307" s="10"/>
      <c r="AQ6307" s="10"/>
      <c r="AR6307" s="10"/>
      <c r="AS6307" s="10"/>
      <c r="AT6307" s="10"/>
      <c r="AU6307" s="10"/>
      <c r="AV6307" s="10"/>
      <c r="AW6307" s="10"/>
      <c r="AX6307" s="10"/>
      <c r="AY6307" s="10"/>
      <c r="AZ6307" s="10"/>
    </row>
    <row r="6308" spans="31:52">
      <c r="AE6308" s="10"/>
      <c r="AF6308" s="10"/>
      <c r="AG6308" s="10"/>
      <c r="AH6308" s="10"/>
      <c r="AI6308" s="10"/>
      <c r="AJ6308" s="10"/>
      <c r="AK6308" s="10"/>
      <c r="AL6308" s="10"/>
      <c r="AM6308" s="10"/>
      <c r="AN6308" s="10"/>
      <c r="AO6308" s="10"/>
      <c r="AP6308" s="10"/>
      <c r="AQ6308" s="10"/>
      <c r="AR6308" s="10"/>
      <c r="AS6308" s="10"/>
      <c r="AT6308" s="10"/>
      <c r="AU6308" s="10"/>
      <c r="AV6308" s="10"/>
      <c r="AW6308" s="10"/>
      <c r="AX6308" s="10"/>
      <c r="AY6308" s="10"/>
      <c r="AZ6308" s="10"/>
    </row>
    <row r="6309" spans="31:52">
      <c r="AE6309" s="10"/>
      <c r="AF6309" s="10"/>
      <c r="AG6309" s="10"/>
      <c r="AH6309" s="10"/>
      <c r="AI6309" s="10"/>
      <c r="AJ6309" s="10"/>
      <c r="AK6309" s="10"/>
      <c r="AL6309" s="10"/>
      <c r="AM6309" s="10"/>
      <c r="AN6309" s="10"/>
      <c r="AO6309" s="10"/>
      <c r="AP6309" s="10"/>
      <c r="AQ6309" s="10"/>
      <c r="AR6309" s="10"/>
      <c r="AS6309" s="10"/>
      <c r="AT6309" s="10"/>
      <c r="AU6309" s="10"/>
      <c r="AV6309" s="10"/>
      <c r="AW6309" s="10"/>
      <c r="AX6309" s="10"/>
      <c r="AY6309" s="10"/>
      <c r="AZ6309" s="10"/>
    </row>
    <row r="6310" spans="31:52">
      <c r="AE6310" s="10"/>
      <c r="AF6310" s="10"/>
      <c r="AG6310" s="10"/>
      <c r="AH6310" s="10"/>
      <c r="AI6310" s="10"/>
      <c r="AJ6310" s="10"/>
      <c r="AK6310" s="10"/>
      <c r="AL6310" s="10"/>
      <c r="AM6310" s="10"/>
      <c r="AN6310" s="10"/>
      <c r="AO6310" s="10"/>
      <c r="AP6310" s="10"/>
      <c r="AQ6310" s="10"/>
      <c r="AR6310" s="10"/>
      <c r="AS6310" s="10"/>
      <c r="AT6310" s="10"/>
      <c r="AU6310" s="10"/>
      <c r="AV6310" s="10"/>
      <c r="AW6310" s="10"/>
      <c r="AX6310" s="10"/>
      <c r="AY6310" s="10"/>
      <c r="AZ6310" s="10"/>
    </row>
    <row r="6311" spans="31:52">
      <c r="AE6311" s="10"/>
      <c r="AF6311" s="10"/>
      <c r="AG6311" s="10"/>
      <c r="AH6311" s="10"/>
      <c r="AI6311" s="10"/>
      <c r="AJ6311" s="10"/>
      <c r="AK6311" s="10"/>
      <c r="AL6311" s="10"/>
      <c r="AM6311" s="10"/>
      <c r="AN6311" s="10"/>
      <c r="AO6311" s="10"/>
      <c r="AP6311" s="10"/>
      <c r="AQ6311" s="10"/>
      <c r="AR6311" s="10"/>
      <c r="AS6311" s="10"/>
      <c r="AT6311" s="10"/>
      <c r="AU6311" s="10"/>
      <c r="AV6311" s="10"/>
      <c r="AW6311" s="10"/>
      <c r="AX6311" s="10"/>
      <c r="AY6311" s="10"/>
      <c r="AZ6311" s="10"/>
    </row>
    <row r="6312" spans="31:52">
      <c r="AE6312" s="10"/>
      <c r="AF6312" s="10"/>
      <c r="AG6312" s="10"/>
      <c r="AH6312" s="10"/>
      <c r="AI6312" s="10"/>
      <c r="AJ6312" s="10"/>
      <c r="AK6312" s="10"/>
      <c r="AL6312" s="10"/>
      <c r="AM6312" s="10"/>
      <c r="AN6312" s="10"/>
      <c r="AO6312" s="10"/>
      <c r="AP6312" s="10"/>
      <c r="AQ6312" s="10"/>
      <c r="AR6312" s="10"/>
      <c r="AS6312" s="10"/>
      <c r="AT6312" s="10"/>
      <c r="AU6312" s="10"/>
      <c r="AV6312" s="10"/>
      <c r="AW6312" s="10"/>
      <c r="AX6312" s="10"/>
      <c r="AY6312" s="10"/>
      <c r="AZ6312" s="10"/>
    </row>
    <row r="6313" spans="31:52">
      <c r="AE6313" s="10"/>
      <c r="AF6313" s="10"/>
      <c r="AG6313" s="10"/>
      <c r="AH6313" s="10"/>
      <c r="AI6313" s="10"/>
      <c r="AJ6313" s="10"/>
      <c r="AK6313" s="10"/>
      <c r="AL6313" s="10"/>
      <c r="AM6313" s="10"/>
      <c r="AN6313" s="10"/>
      <c r="AO6313" s="10"/>
      <c r="AP6313" s="10"/>
      <c r="AQ6313" s="10"/>
      <c r="AR6313" s="10"/>
      <c r="AS6313" s="10"/>
      <c r="AT6313" s="10"/>
      <c r="AU6313" s="10"/>
      <c r="AV6313" s="10"/>
      <c r="AW6313" s="10"/>
      <c r="AX6313" s="10"/>
      <c r="AY6313" s="10"/>
      <c r="AZ6313" s="10"/>
    </row>
    <row r="6314" spans="31:52">
      <c r="AE6314" s="10"/>
      <c r="AF6314" s="10"/>
      <c r="AG6314" s="10"/>
      <c r="AH6314" s="10"/>
      <c r="AI6314" s="10"/>
      <c r="AJ6314" s="10"/>
      <c r="AK6314" s="10"/>
      <c r="AL6314" s="10"/>
      <c r="AM6314" s="10"/>
      <c r="AN6314" s="10"/>
      <c r="AO6314" s="10"/>
      <c r="AP6314" s="10"/>
      <c r="AQ6314" s="10"/>
      <c r="AR6314" s="10"/>
      <c r="AS6314" s="10"/>
      <c r="AT6314" s="10"/>
      <c r="AU6314" s="10"/>
      <c r="AV6314" s="10"/>
      <c r="AW6314" s="10"/>
      <c r="AX6314" s="10"/>
      <c r="AY6314" s="10"/>
      <c r="AZ6314" s="10"/>
    </row>
    <row r="6315" spans="31:52">
      <c r="AE6315" s="10"/>
      <c r="AF6315" s="10"/>
      <c r="AG6315" s="10"/>
      <c r="AH6315" s="10"/>
      <c r="AI6315" s="10"/>
      <c r="AJ6315" s="10"/>
      <c r="AK6315" s="10"/>
      <c r="AL6315" s="10"/>
      <c r="AM6315" s="10"/>
      <c r="AN6315" s="10"/>
      <c r="AO6315" s="10"/>
      <c r="AP6315" s="10"/>
      <c r="AQ6315" s="10"/>
      <c r="AR6315" s="10"/>
      <c r="AS6315" s="10"/>
      <c r="AT6315" s="10"/>
      <c r="AU6315" s="10"/>
      <c r="AV6315" s="10"/>
      <c r="AW6315" s="10"/>
      <c r="AX6315" s="10"/>
      <c r="AY6315" s="10"/>
      <c r="AZ6315" s="10"/>
    </row>
    <row r="6316" spans="31:52">
      <c r="AE6316" s="10"/>
      <c r="AF6316" s="10"/>
      <c r="AG6316" s="10"/>
      <c r="AH6316" s="10"/>
      <c r="AI6316" s="10"/>
      <c r="AJ6316" s="10"/>
      <c r="AK6316" s="10"/>
      <c r="AL6316" s="10"/>
      <c r="AM6316" s="10"/>
      <c r="AN6316" s="10"/>
      <c r="AO6316" s="10"/>
      <c r="AP6316" s="10"/>
      <c r="AQ6316" s="10"/>
      <c r="AR6316" s="10"/>
      <c r="AS6316" s="10"/>
      <c r="AT6316" s="10"/>
      <c r="AU6316" s="10"/>
      <c r="AV6316" s="10"/>
      <c r="AW6316" s="10"/>
      <c r="AX6316" s="10"/>
      <c r="AY6316" s="10"/>
      <c r="AZ6316" s="10"/>
    </row>
    <row r="6317" spans="31:52">
      <c r="AE6317" s="10"/>
      <c r="AF6317" s="10"/>
      <c r="AG6317" s="10"/>
      <c r="AH6317" s="10"/>
      <c r="AI6317" s="10"/>
      <c r="AJ6317" s="10"/>
      <c r="AK6317" s="10"/>
      <c r="AL6317" s="10"/>
      <c r="AM6317" s="10"/>
      <c r="AN6317" s="10"/>
      <c r="AO6317" s="10"/>
      <c r="AP6317" s="10"/>
      <c r="AQ6317" s="10"/>
      <c r="AR6317" s="10"/>
      <c r="AS6317" s="10"/>
      <c r="AT6317" s="10"/>
      <c r="AU6317" s="10"/>
      <c r="AV6317" s="10"/>
      <c r="AW6317" s="10"/>
      <c r="AX6317" s="10"/>
      <c r="AY6317" s="10"/>
      <c r="AZ6317" s="10"/>
    </row>
    <row r="6318" spans="31:52">
      <c r="AE6318" s="10"/>
      <c r="AF6318" s="10"/>
      <c r="AG6318" s="10"/>
      <c r="AH6318" s="10"/>
      <c r="AI6318" s="10"/>
      <c r="AJ6318" s="10"/>
      <c r="AK6318" s="10"/>
      <c r="AL6318" s="10"/>
      <c r="AM6318" s="10"/>
      <c r="AN6318" s="10"/>
      <c r="AO6318" s="10"/>
      <c r="AP6318" s="10"/>
      <c r="AQ6318" s="10"/>
      <c r="AR6318" s="10"/>
      <c r="AS6318" s="10"/>
      <c r="AT6318" s="10"/>
      <c r="AU6318" s="10"/>
      <c r="AV6318" s="10"/>
      <c r="AW6318" s="10"/>
      <c r="AX6318" s="10"/>
      <c r="AY6318" s="10"/>
      <c r="AZ6318" s="10"/>
    </row>
    <row r="6319" spans="31:52">
      <c r="AE6319" s="10"/>
      <c r="AF6319" s="10"/>
      <c r="AG6319" s="10"/>
      <c r="AH6319" s="10"/>
      <c r="AI6319" s="10"/>
      <c r="AJ6319" s="10"/>
      <c r="AK6319" s="10"/>
      <c r="AL6319" s="10"/>
      <c r="AM6319" s="10"/>
      <c r="AN6319" s="10"/>
      <c r="AO6319" s="10"/>
      <c r="AP6319" s="10"/>
      <c r="AQ6319" s="10"/>
      <c r="AR6319" s="10"/>
      <c r="AS6319" s="10"/>
      <c r="AT6319" s="10"/>
      <c r="AU6319" s="10"/>
      <c r="AV6319" s="10"/>
      <c r="AW6319" s="10"/>
      <c r="AX6319" s="10"/>
      <c r="AY6319" s="10"/>
      <c r="AZ6319" s="10"/>
    </row>
    <row r="6320" spans="31:52">
      <c r="AE6320" s="10"/>
      <c r="AF6320" s="10"/>
      <c r="AG6320" s="10"/>
      <c r="AH6320" s="10"/>
      <c r="AI6320" s="10"/>
      <c r="AJ6320" s="10"/>
      <c r="AK6320" s="10"/>
      <c r="AL6320" s="10"/>
      <c r="AM6320" s="10"/>
      <c r="AN6320" s="10"/>
      <c r="AO6320" s="10"/>
      <c r="AP6320" s="10"/>
      <c r="AQ6320" s="10"/>
      <c r="AR6320" s="10"/>
      <c r="AS6320" s="10"/>
      <c r="AT6320" s="10"/>
      <c r="AU6320" s="10"/>
      <c r="AV6320" s="10"/>
      <c r="AW6320" s="10"/>
      <c r="AX6320" s="10"/>
      <c r="AY6320" s="10"/>
      <c r="AZ6320" s="10"/>
    </row>
    <row r="6321" spans="31:52">
      <c r="AE6321" s="10"/>
      <c r="AF6321" s="10"/>
      <c r="AG6321" s="10"/>
      <c r="AH6321" s="10"/>
      <c r="AI6321" s="10"/>
      <c r="AJ6321" s="10"/>
      <c r="AK6321" s="10"/>
      <c r="AL6321" s="10"/>
      <c r="AM6321" s="10"/>
      <c r="AN6321" s="10"/>
      <c r="AO6321" s="10"/>
      <c r="AP6321" s="10"/>
      <c r="AQ6321" s="10"/>
      <c r="AR6321" s="10"/>
      <c r="AS6321" s="10"/>
      <c r="AT6321" s="10"/>
      <c r="AU6321" s="10"/>
      <c r="AV6321" s="10"/>
      <c r="AW6321" s="10"/>
      <c r="AX6321" s="10"/>
      <c r="AY6321" s="10"/>
      <c r="AZ6321" s="10"/>
    </row>
    <row r="6322" spans="31:52">
      <c r="AE6322" s="10"/>
      <c r="AF6322" s="10"/>
      <c r="AG6322" s="10"/>
      <c r="AH6322" s="10"/>
      <c r="AI6322" s="10"/>
      <c r="AJ6322" s="10"/>
      <c r="AK6322" s="10"/>
      <c r="AL6322" s="10"/>
      <c r="AM6322" s="10"/>
      <c r="AN6322" s="10"/>
      <c r="AO6322" s="10"/>
      <c r="AP6322" s="10"/>
      <c r="AQ6322" s="10"/>
      <c r="AR6322" s="10"/>
      <c r="AS6322" s="10"/>
      <c r="AT6322" s="10"/>
      <c r="AU6322" s="10"/>
      <c r="AV6322" s="10"/>
      <c r="AW6322" s="10"/>
      <c r="AX6322" s="10"/>
      <c r="AY6322" s="10"/>
      <c r="AZ6322" s="10"/>
    </row>
    <row r="6323" spans="31:52">
      <c r="AE6323" s="10"/>
      <c r="AF6323" s="10"/>
      <c r="AG6323" s="10"/>
      <c r="AH6323" s="10"/>
      <c r="AI6323" s="10"/>
      <c r="AJ6323" s="10"/>
      <c r="AK6323" s="10"/>
      <c r="AL6323" s="10"/>
      <c r="AM6323" s="10"/>
      <c r="AN6323" s="10"/>
      <c r="AO6323" s="10"/>
      <c r="AP6323" s="10"/>
      <c r="AQ6323" s="10"/>
      <c r="AR6323" s="10"/>
      <c r="AS6323" s="10"/>
      <c r="AT6323" s="10"/>
      <c r="AU6323" s="10"/>
      <c r="AV6323" s="10"/>
      <c r="AW6323" s="10"/>
      <c r="AX6323" s="10"/>
      <c r="AY6323" s="10"/>
      <c r="AZ6323" s="10"/>
    </row>
    <row r="6324" spans="31:52">
      <c r="AE6324" s="10"/>
      <c r="AF6324" s="10"/>
      <c r="AG6324" s="10"/>
      <c r="AH6324" s="10"/>
      <c r="AI6324" s="10"/>
      <c r="AJ6324" s="10"/>
      <c r="AK6324" s="10"/>
      <c r="AL6324" s="10"/>
      <c r="AM6324" s="10"/>
      <c r="AN6324" s="10"/>
      <c r="AO6324" s="10"/>
      <c r="AP6324" s="10"/>
      <c r="AQ6324" s="10"/>
      <c r="AR6324" s="10"/>
      <c r="AS6324" s="10"/>
      <c r="AT6324" s="10"/>
      <c r="AU6324" s="10"/>
      <c r="AV6324" s="10"/>
      <c r="AW6324" s="10"/>
      <c r="AX6324" s="10"/>
      <c r="AY6324" s="10"/>
      <c r="AZ6324" s="10"/>
    </row>
    <row r="6325" spans="31:52">
      <c r="AE6325" s="10"/>
      <c r="AF6325" s="10"/>
      <c r="AG6325" s="10"/>
      <c r="AH6325" s="10"/>
      <c r="AI6325" s="10"/>
      <c r="AJ6325" s="10"/>
      <c r="AK6325" s="10"/>
      <c r="AL6325" s="10"/>
      <c r="AM6325" s="10"/>
      <c r="AN6325" s="10"/>
      <c r="AO6325" s="10"/>
      <c r="AP6325" s="10"/>
      <c r="AQ6325" s="10"/>
      <c r="AR6325" s="10"/>
      <c r="AS6325" s="10"/>
      <c r="AT6325" s="10"/>
      <c r="AU6325" s="10"/>
      <c r="AV6325" s="10"/>
      <c r="AW6325" s="10"/>
      <c r="AX6325" s="10"/>
      <c r="AY6325" s="10"/>
      <c r="AZ6325" s="10"/>
    </row>
    <row r="6326" spans="31:52">
      <c r="AE6326" s="10"/>
      <c r="AF6326" s="10"/>
      <c r="AG6326" s="10"/>
      <c r="AH6326" s="10"/>
      <c r="AI6326" s="10"/>
      <c r="AJ6326" s="10"/>
      <c r="AK6326" s="10"/>
      <c r="AL6326" s="10"/>
      <c r="AM6326" s="10"/>
      <c r="AN6326" s="10"/>
      <c r="AO6326" s="10"/>
      <c r="AP6326" s="10"/>
      <c r="AQ6326" s="10"/>
      <c r="AR6326" s="10"/>
      <c r="AS6326" s="10"/>
      <c r="AT6326" s="10"/>
      <c r="AU6326" s="10"/>
      <c r="AV6326" s="10"/>
      <c r="AW6326" s="10"/>
      <c r="AX6326" s="10"/>
      <c r="AY6326" s="10"/>
      <c r="AZ6326" s="10"/>
    </row>
    <row r="6327" spans="31:52">
      <c r="AE6327" s="10"/>
      <c r="AF6327" s="10"/>
      <c r="AG6327" s="10"/>
      <c r="AH6327" s="10"/>
      <c r="AI6327" s="10"/>
      <c r="AJ6327" s="10"/>
      <c r="AK6327" s="10"/>
      <c r="AL6327" s="10"/>
      <c r="AM6327" s="10"/>
      <c r="AN6327" s="10"/>
      <c r="AO6327" s="10"/>
      <c r="AP6327" s="10"/>
      <c r="AQ6327" s="10"/>
      <c r="AR6327" s="10"/>
      <c r="AS6327" s="10"/>
      <c r="AT6327" s="10"/>
      <c r="AU6327" s="10"/>
      <c r="AV6327" s="10"/>
      <c r="AW6327" s="10"/>
      <c r="AX6327" s="10"/>
      <c r="AY6327" s="10"/>
      <c r="AZ6327" s="10"/>
    </row>
    <row r="6328" spans="31:52">
      <c r="AE6328" s="10"/>
      <c r="AF6328" s="10"/>
      <c r="AG6328" s="10"/>
      <c r="AH6328" s="10"/>
      <c r="AI6328" s="10"/>
      <c r="AJ6328" s="10"/>
      <c r="AK6328" s="10"/>
      <c r="AL6328" s="10"/>
      <c r="AM6328" s="10"/>
      <c r="AN6328" s="10"/>
      <c r="AO6328" s="10"/>
      <c r="AP6328" s="10"/>
      <c r="AQ6328" s="10"/>
      <c r="AR6328" s="10"/>
      <c r="AS6328" s="10"/>
      <c r="AT6328" s="10"/>
      <c r="AU6328" s="10"/>
      <c r="AV6328" s="10"/>
      <c r="AW6328" s="10"/>
      <c r="AX6328" s="10"/>
      <c r="AY6328" s="10"/>
      <c r="AZ6328" s="10"/>
    </row>
    <row r="6329" spans="31:52">
      <c r="AE6329" s="10"/>
      <c r="AF6329" s="10"/>
      <c r="AG6329" s="10"/>
      <c r="AH6329" s="10"/>
      <c r="AI6329" s="10"/>
      <c r="AJ6329" s="10"/>
      <c r="AK6329" s="10"/>
      <c r="AL6329" s="10"/>
      <c r="AM6329" s="10"/>
      <c r="AN6329" s="10"/>
      <c r="AO6329" s="10"/>
      <c r="AP6329" s="10"/>
      <c r="AQ6329" s="10"/>
      <c r="AR6329" s="10"/>
      <c r="AS6329" s="10"/>
      <c r="AT6329" s="10"/>
      <c r="AU6329" s="10"/>
      <c r="AV6329" s="10"/>
      <c r="AW6329" s="10"/>
      <c r="AX6329" s="10"/>
      <c r="AY6329" s="10"/>
      <c r="AZ6329" s="10"/>
    </row>
    <row r="6330" spans="31:52">
      <c r="AE6330" s="10"/>
      <c r="AF6330" s="10"/>
      <c r="AG6330" s="10"/>
      <c r="AH6330" s="10"/>
      <c r="AI6330" s="10"/>
      <c r="AJ6330" s="10"/>
      <c r="AK6330" s="10"/>
      <c r="AL6330" s="10"/>
      <c r="AM6330" s="10"/>
      <c r="AN6330" s="10"/>
      <c r="AO6330" s="10"/>
      <c r="AP6330" s="10"/>
      <c r="AQ6330" s="10"/>
      <c r="AR6330" s="10"/>
      <c r="AS6330" s="10"/>
      <c r="AT6330" s="10"/>
      <c r="AU6330" s="10"/>
      <c r="AV6330" s="10"/>
      <c r="AW6330" s="10"/>
      <c r="AX6330" s="10"/>
      <c r="AY6330" s="10"/>
      <c r="AZ6330" s="10"/>
    </row>
    <row r="6331" spans="31:52">
      <c r="AE6331" s="10"/>
      <c r="AF6331" s="10"/>
      <c r="AG6331" s="10"/>
      <c r="AH6331" s="10"/>
      <c r="AI6331" s="10"/>
      <c r="AJ6331" s="10"/>
      <c r="AK6331" s="10"/>
      <c r="AL6331" s="10"/>
      <c r="AM6331" s="10"/>
      <c r="AN6331" s="10"/>
      <c r="AO6331" s="10"/>
      <c r="AP6331" s="10"/>
      <c r="AQ6331" s="10"/>
      <c r="AR6331" s="10"/>
      <c r="AS6331" s="10"/>
      <c r="AT6331" s="10"/>
      <c r="AU6331" s="10"/>
      <c r="AV6331" s="10"/>
      <c r="AW6331" s="10"/>
      <c r="AX6331" s="10"/>
      <c r="AY6331" s="10"/>
      <c r="AZ6331" s="10"/>
    </row>
    <row r="6332" spans="31:52">
      <c r="AE6332" s="10"/>
      <c r="AF6332" s="10"/>
      <c r="AG6332" s="10"/>
      <c r="AH6332" s="10"/>
      <c r="AI6332" s="10"/>
      <c r="AJ6332" s="10"/>
      <c r="AK6332" s="10"/>
      <c r="AL6332" s="10"/>
      <c r="AM6332" s="10"/>
      <c r="AN6332" s="10"/>
      <c r="AO6332" s="10"/>
      <c r="AP6332" s="10"/>
      <c r="AQ6332" s="10"/>
      <c r="AR6332" s="10"/>
      <c r="AS6332" s="10"/>
      <c r="AT6332" s="10"/>
      <c r="AU6332" s="10"/>
      <c r="AV6332" s="10"/>
      <c r="AW6332" s="10"/>
      <c r="AX6332" s="10"/>
      <c r="AY6332" s="10"/>
      <c r="AZ6332" s="10"/>
    </row>
    <row r="6333" spans="31:52">
      <c r="AE6333" s="10"/>
      <c r="AF6333" s="10"/>
      <c r="AG6333" s="10"/>
      <c r="AH6333" s="10"/>
      <c r="AI6333" s="10"/>
      <c r="AJ6333" s="10"/>
      <c r="AK6333" s="10"/>
      <c r="AL6333" s="10"/>
      <c r="AM6333" s="10"/>
      <c r="AN6333" s="10"/>
      <c r="AO6333" s="10"/>
      <c r="AP6333" s="10"/>
      <c r="AQ6333" s="10"/>
      <c r="AR6333" s="10"/>
      <c r="AS6333" s="10"/>
      <c r="AT6333" s="10"/>
      <c r="AU6333" s="10"/>
      <c r="AV6333" s="10"/>
      <c r="AW6333" s="10"/>
      <c r="AX6333" s="10"/>
      <c r="AY6333" s="10"/>
      <c r="AZ6333" s="10"/>
    </row>
    <row r="6334" spans="31:52">
      <c r="AE6334" s="10"/>
      <c r="AF6334" s="10"/>
      <c r="AG6334" s="10"/>
      <c r="AH6334" s="10"/>
      <c r="AI6334" s="10"/>
      <c r="AJ6334" s="10"/>
      <c r="AK6334" s="10"/>
      <c r="AL6334" s="10"/>
      <c r="AM6334" s="10"/>
      <c r="AN6334" s="10"/>
      <c r="AO6334" s="10"/>
      <c r="AP6334" s="10"/>
      <c r="AQ6334" s="10"/>
      <c r="AR6334" s="10"/>
      <c r="AS6334" s="10"/>
      <c r="AT6334" s="10"/>
      <c r="AU6334" s="10"/>
      <c r="AV6334" s="10"/>
      <c r="AW6334" s="10"/>
      <c r="AX6334" s="10"/>
      <c r="AY6334" s="10"/>
      <c r="AZ6334" s="10"/>
    </row>
    <row r="6335" spans="31:52">
      <c r="AE6335" s="10"/>
      <c r="AF6335" s="10"/>
      <c r="AG6335" s="10"/>
      <c r="AH6335" s="10"/>
      <c r="AI6335" s="10"/>
      <c r="AJ6335" s="10"/>
      <c r="AK6335" s="10"/>
      <c r="AL6335" s="10"/>
      <c r="AM6335" s="10"/>
      <c r="AN6335" s="10"/>
      <c r="AO6335" s="10"/>
      <c r="AP6335" s="10"/>
      <c r="AQ6335" s="10"/>
      <c r="AR6335" s="10"/>
      <c r="AS6335" s="10"/>
      <c r="AT6335" s="10"/>
      <c r="AU6335" s="10"/>
      <c r="AV6335" s="10"/>
      <c r="AW6335" s="10"/>
      <c r="AX6335" s="10"/>
      <c r="AY6335" s="10"/>
      <c r="AZ6335" s="10"/>
    </row>
    <row r="6336" spans="31:52">
      <c r="AE6336" s="10"/>
      <c r="AF6336" s="10"/>
      <c r="AG6336" s="10"/>
      <c r="AH6336" s="10"/>
      <c r="AI6336" s="10"/>
      <c r="AJ6336" s="10"/>
      <c r="AK6336" s="10"/>
      <c r="AL6336" s="10"/>
      <c r="AM6336" s="10"/>
      <c r="AN6336" s="10"/>
      <c r="AO6336" s="10"/>
      <c r="AP6336" s="10"/>
      <c r="AQ6336" s="10"/>
      <c r="AR6336" s="10"/>
      <c r="AS6336" s="10"/>
      <c r="AT6336" s="10"/>
      <c r="AU6336" s="10"/>
      <c r="AV6336" s="10"/>
      <c r="AW6336" s="10"/>
      <c r="AX6336" s="10"/>
      <c r="AY6336" s="10"/>
      <c r="AZ6336" s="10"/>
    </row>
    <row r="6337" spans="31:52">
      <c r="AE6337" s="10"/>
      <c r="AF6337" s="10"/>
      <c r="AG6337" s="10"/>
      <c r="AH6337" s="10"/>
      <c r="AI6337" s="10"/>
      <c r="AJ6337" s="10"/>
      <c r="AK6337" s="10"/>
      <c r="AL6337" s="10"/>
      <c r="AM6337" s="10"/>
      <c r="AN6337" s="10"/>
      <c r="AO6337" s="10"/>
      <c r="AP6337" s="10"/>
      <c r="AQ6337" s="10"/>
      <c r="AR6337" s="10"/>
      <c r="AS6337" s="10"/>
      <c r="AT6337" s="10"/>
      <c r="AU6337" s="10"/>
      <c r="AV6337" s="10"/>
      <c r="AW6337" s="10"/>
      <c r="AX6337" s="10"/>
      <c r="AY6337" s="10"/>
      <c r="AZ6337" s="10"/>
    </row>
    <row r="6338" spans="31:52">
      <c r="AE6338" s="10"/>
      <c r="AF6338" s="10"/>
      <c r="AG6338" s="10"/>
      <c r="AH6338" s="10"/>
      <c r="AI6338" s="10"/>
      <c r="AJ6338" s="10"/>
      <c r="AK6338" s="10"/>
      <c r="AL6338" s="10"/>
      <c r="AM6338" s="10"/>
      <c r="AN6338" s="10"/>
      <c r="AO6338" s="10"/>
      <c r="AP6338" s="10"/>
      <c r="AQ6338" s="10"/>
      <c r="AR6338" s="10"/>
      <c r="AS6338" s="10"/>
      <c r="AT6338" s="10"/>
      <c r="AU6338" s="10"/>
      <c r="AV6338" s="10"/>
      <c r="AW6338" s="10"/>
      <c r="AX6338" s="10"/>
      <c r="AY6338" s="10"/>
      <c r="AZ6338" s="10"/>
    </row>
    <row r="6339" spans="31:52">
      <c r="AE6339" s="10"/>
      <c r="AF6339" s="10"/>
      <c r="AG6339" s="10"/>
      <c r="AH6339" s="10"/>
      <c r="AI6339" s="10"/>
      <c r="AJ6339" s="10"/>
      <c r="AK6339" s="10"/>
      <c r="AL6339" s="10"/>
      <c r="AM6339" s="10"/>
      <c r="AN6339" s="10"/>
      <c r="AO6339" s="10"/>
      <c r="AP6339" s="10"/>
      <c r="AQ6339" s="10"/>
      <c r="AR6339" s="10"/>
      <c r="AS6339" s="10"/>
      <c r="AT6339" s="10"/>
      <c r="AU6339" s="10"/>
      <c r="AV6339" s="10"/>
      <c r="AW6339" s="10"/>
      <c r="AX6339" s="10"/>
      <c r="AY6339" s="10"/>
      <c r="AZ6339" s="10"/>
    </row>
    <row r="6340" spans="31:52">
      <c r="AE6340" s="10"/>
      <c r="AF6340" s="10"/>
      <c r="AG6340" s="10"/>
      <c r="AH6340" s="10"/>
      <c r="AI6340" s="10"/>
      <c r="AJ6340" s="10"/>
      <c r="AK6340" s="10"/>
      <c r="AL6340" s="10"/>
      <c r="AM6340" s="10"/>
      <c r="AN6340" s="10"/>
      <c r="AO6340" s="10"/>
      <c r="AP6340" s="10"/>
      <c r="AQ6340" s="10"/>
      <c r="AR6340" s="10"/>
      <c r="AS6340" s="10"/>
      <c r="AT6340" s="10"/>
      <c r="AU6340" s="10"/>
      <c r="AV6340" s="10"/>
      <c r="AW6340" s="10"/>
      <c r="AX6340" s="10"/>
      <c r="AY6340" s="10"/>
      <c r="AZ6340" s="10"/>
    </row>
    <row r="6341" spans="31:52">
      <c r="AE6341" s="10"/>
      <c r="AF6341" s="10"/>
      <c r="AG6341" s="10"/>
      <c r="AH6341" s="10"/>
      <c r="AI6341" s="10"/>
      <c r="AJ6341" s="10"/>
      <c r="AK6341" s="10"/>
      <c r="AL6341" s="10"/>
      <c r="AM6341" s="10"/>
      <c r="AN6341" s="10"/>
      <c r="AO6341" s="10"/>
      <c r="AP6341" s="10"/>
      <c r="AQ6341" s="10"/>
      <c r="AR6341" s="10"/>
      <c r="AS6341" s="10"/>
      <c r="AT6341" s="10"/>
      <c r="AU6341" s="10"/>
      <c r="AV6341" s="10"/>
      <c r="AW6341" s="10"/>
      <c r="AX6341" s="10"/>
      <c r="AY6341" s="10"/>
      <c r="AZ6341" s="10"/>
    </row>
    <row r="6342" spans="31:52">
      <c r="AE6342" s="10"/>
      <c r="AF6342" s="10"/>
      <c r="AG6342" s="10"/>
      <c r="AH6342" s="10"/>
      <c r="AI6342" s="10"/>
      <c r="AJ6342" s="10"/>
      <c r="AK6342" s="10"/>
      <c r="AL6342" s="10"/>
      <c r="AM6342" s="10"/>
      <c r="AN6342" s="10"/>
      <c r="AO6342" s="10"/>
      <c r="AP6342" s="10"/>
      <c r="AQ6342" s="10"/>
      <c r="AR6342" s="10"/>
      <c r="AS6342" s="10"/>
      <c r="AT6342" s="10"/>
      <c r="AU6342" s="10"/>
      <c r="AV6342" s="10"/>
      <c r="AW6342" s="10"/>
      <c r="AX6342" s="10"/>
      <c r="AY6342" s="10"/>
      <c r="AZ6342" s="10"/>
    </row>
    <row r="6343" spans="31:52">
      <c r="AE6343" s="10"/>
      <c r="AF6343" s="10"/>
      <c r="AG6343" s="10"/>
      <c r="AH6343" s="10"/>
      <c r="AI6343" s="10"/>
      <c r="AJ6343" s="10"/>
      <c r="AK6343" s="10"/>
      <c r="AL6343" s="10"/>
      <c r="AM6343" s="10"/>
      <c r="AN6343" s="10"/>
      <c r="AO6343" s="10"/>
      <c r="AP6343" s="10"/>
      <c r="AQ6343" s="10"/>
      <c r="AR6343" s="10"/>
      <c r="AS6343" s="10"/>
      <c r="AT6343" s="10"/>
      <c r="AU6343" s="10"/>
      <c r="AV6343" s="10"/>
      <c r="AW6343" s="10"/>
      <c r="AX6343" s="10"/>
      <c r="AY6343" s="10"/>
      <c r="AZ6343" s="10"/>
    </row>
    <row r="6344" spans="31:52">
      <c r="AE6344" s="10"/>
      <c r="AF6344" s="10"/>
      <c r="AG6344" s="10"/>
      <c r="AH6344" s="10"/>
      <c r="AI6344" s="10"/>
      <c r="AJ6344" s="10"/>
      <c r="AK6344" s="10"/>
      <c r="AL6344" s="10"/>
      <c r="AM6344" s="10"/>
      <c r="AN6344" s="10"/>
      <c r="AO6344" s="10"/>
      <c r="AP6344" s="10"/>
      <c r="AQ6344" s="10"/>
      <c r="AR6344" s="10"/>
      <c r="AS6344" s="10"/>
      <c r="AT6344" s="10"/>
      <c r="AU6344" s="10"/>
      <c r="AV6344" s="10"/>
      <c r="AW6344" s="10"/>
      <c r="AX6344" s="10"/>
      <c r="AY6344" s="10"/>
      <c r="AZ6344" s="10"/>
    </row>
    <row r="6345" spans="31:52">
      <c r="AE6345" s="10"/>
      <c r="AF6345" s="10"/>
      <c r="AG6345" s="10"/>
      <c r="AH6345" s="10"/>
      <c r="AI6345" s="10"/>
      <c r="AJ6345" s="10"/>
      <c r="AK6345" s="10"/>
      <c r="AL6345" s="10"/>
      <c r="AM6345" s="10"/>
      <c r="AN6345" s="10"/>
      <c r="AO6345" s="10"/>
      <c r="AP6345" s="10"/>
      <c r="AQ6345" s="10"/>
      <c r="AR6345" s="10"/>
      <c r="AS6345" s="10"/>
      <c r="AT6345" s="10"/>
      <c r="AU6345" s="10"/>
      <c r="AV6345" s="10"/>
      <c r="AW6345" s="10"/>
      <c r="AX6345" s="10"/>
      <c r="AY6345" s="10"/>
      <c r="AZ6345" s="10"/>
    </row>
    <row r="6346" spans="31:52">
      <c r="AE6346" s="10"/>
      <c r="AF6346" s="10"/>
      <c r="AG6346" s="10"/>
      <c r="AH6346" s="10"/>
      <c r="AI6346" s="10"/>
      <c r="AJ6346" s="10"/>
      <c r="AK6346" s="10"/>
      <c r="AL6346" s="10"/>
      <c r="AM6346" s="10"/>
      <c r="AN6346" s="10"/>
      <c r="AO6346" s="10"/>
      <c r="AP6346" s="10"/>
      <c r="AQ6346" s="10"/>
      <c r="AR6346" s="10"/>
      <c r="AS6346" s="10"/>
      <c r="AT6346" s="10"/>
      <c r="AU6346" s="10"/>
      <c r="AV6346" s="10"/>
      <c r="AW6346" s="10"/>
      <c r="AX6346" s="10"/>
      <c r="AY6346" s="10"/>
      <c r="AZ6346" s="10"/>
    </row>
    <row r="6347" spans="31:52">
      <c r="AE6347" s="10"/>
      <c r="AF6347" s="10"/>
      <c r="AG6347" s="10"/>
      <c r="AH6347" s="10"/>
      <c r="AI6347" s="10"/>
      <c r="AJ6347" s="10"/>
      <c r="AK6347" s="10"/>
      <c r="AL6347" s="10"/>
      <c r="AM6347" s="10"/>
      <c r="AN6347" s="10"/>
      <c r="AO6347" s="10"/>
      <c r="AP6347" s="10"/>
      <c r="AQ6347" s="10"/>
      <c r="AR6347" s="10"/>
      <c r="AS6347" s="10"/>
      <c r="AT6347" s="10"/>
      <c r="AU6347" s="10"/>
      <c r="AV6347" s="10"/>
      <c r="AW6347" s="10"/>
      <c r="AX6347" s="10"/>
      <c r="AY6347" s="10"/>
      <c r="AZ6347" s="10"/>
    </row>
    <row r="6348" spans="31:52">
      <c r="AE6348" s="10"/>
      <c r="AF6348" s="10"/>
      <c r="AG6348" s="10"/>
      <c r="AH6348" s="10"/>
      <c r="AI6348" s="10"/>
      <c r="AJ6348" s="10"/>
      <c r="AK6348" s="10"/>
      <c r="AL6348" s="10"/>
      <c r="AM6348" s="10"/>
      <c r="AN6348" s="10"/>
      <c r="AO6348" s="10"/>
      <c r="AP6348" s="10"/>
      <c r="AQ6348" s="10"/>
      <c r="AR6348" s="10"/>
      <c r="AS6348" s="10"/>
      <c r="AT6348" s="10"/>
      <c r="AU6348" s="10"/>
      <c r="AV6348" s="10"/>
      <c r="AW6348" s="10"/>
      <c r="AX6348" s="10"/>
      <c r="AY6348" s="10"/>
      <c r="AZ6348" s="10"/>
    </row>
    <row r="6349" spans="31:52">
      <c r="AE6349" s="10"/>
      <c r="AF6349" s="10"/>
      <c r="AG6349" s="10"/>
      <c r="AH6349" s="10"/>
      <c r="AI6349" s="10"/>
      <c r="AJ6349" s="10"/>
      <c r="AK6349" s="10"/>
      <c r="AL6349" s="10"/>
      <c r="AM6349" s="10"/>
      <c r="AN6349" s="10"/>
      <c r="AO6349" s="10"/>
      <c r="AP6349" s="10"/>
      <c r="AQ6349" s="10"/>
      <c r="AR6349" s="10"/>
      <c r="AS6349" s="10"/>
      <c r="AT6349" s="10"/>
      <c r="AU6349" s="10"/>
      <c r="AV6349" s="10"/>
      <c r="AW6349" s="10"/>
      <c r="AX6349" s="10"/>
      <c r="AY6349" s="10"/>
      <c r="AZ6349" s="10"/>
    </row>
    <row r="6350" spans="31:52">
      <c r="AE6350" s="10"/>
      <c r="AF6350" s="10"/>
      <c r="AG6350" s="10"/>
      <c r="AH6350" s="10"/>
      <c r="AI6350" s="10"/>
      <c r="AJ6350" s="10"/>
      <c r="AK6350" s="10"/>
      <c r="AL6350" s="10"/>
      <c r="AM6350" s="10"/>
      <c r="AN6350" s="10"/>
      <c r="AO6350" s="10"/>
      <c r="AP6350" s="10"/>
      <c r="AQ6350" s="10"/>
      <c r="AR6350" s="10"/>
      <c r="AS6350" s="10"/>
      <c r="AT6350" s="10"/>
      <c r="AU6350" s="10"/>
      <c r="AV6350" s="10"/>
      <c r="AW6350" s="10"/>
      <c r="AX6350" s="10"/>
      <c r="AY6350" s="10"/>
      <c r="AZ6350" s="10"/>
    </row>
    <row r="6351" spans="31:52">
      <c r="AE6351" s="10"/>
      <c r="AF6351" s="10"/>
      <c r="AG6351" s="10"/>
      <c r="AH6351" s="10"/>
      <c r="AI6351" s="10"/>
      <c r="AJ6351" s="10"/>
      <c r="AK6351" s="10"/>
      <c r="AL6351" s="10"/>
      <c r="AM6351" s="10"/>
      <c r="AN6351" s="10"/>
      <c r="AO6351" s="10"/>
      <c r="AP6351" s="10"/>
      <c r="AQ6351" s="10"/>
      <c r="AR6351" s="10"/>
      <c r="AS6351" s="10"/>
      <c r="AT6351" s="10"/>
      <c r="AU6351" s="10"/>
      <c r="AV6351" s="10"/>
      <c r="AW6351" s="10"/>
      <c r="AX6351" s="10"/>
      <c r="AY6351" s="10"/>
      <c r="AZ6351" s="10"/>
    </row>
    <row r="6352" spans="31:52">
      <c r="AE6352" s="10"/>
      <c r="AF6352" s="10"/>
      <c r="AG6352" s="10"/>
      <c r="AH6352" s="10"/>
      <c r="AI6352" s="10"/>
      <c r="AJ6352" s="10"/>
      <c r="AK6352" s="10"/>
      <c r="AL6352" s="10"/>
      <c r="AM6352" s="10"/>
      <c r="AN6352" s="10"/>
      <c r="AO6352" s="10"/>
      <c r="AP6352" s="10"/>
      <c r="AQ6352" s="10"/>
      <c r="AR6352" s="10"/>
      <c r="AS6352" s="10"/>
      <c r="AT6352" s="10"/>
      <c r="AU6352" s="10"/>
      <c r="AV6352" s="10"/>
      <c r="AW6352" s="10"/>
      <c r="AX6352" s="10"/>
      <c r="AY6352" s="10"/>
      <c r="AZ6352" s="10"/>
    </row>
    <row r="6353" spans="31:52">
      <c r="AE6353" s="10"/>
      <c r="AF6353" s="10"/>
      <c r="AG6353" s="10"/>
      <c r="AH6353" s="10"/>
      <c r="AI6353" s="10"/>
      <c r="AJ6353" s="10"/>
      <c r="AK6353" s="10"/>
      <c r="AL6353" s="10"/>
      <c r="AM6353" s="10"/>
      <c r="AN6353" s="10"/>
      <c r="AO6353" s="10"/>
      <c r="AP6353" s="10"/>
      <c r="AQ6353" s="10"/>
      <c r="AR6353" s="10"/>
      <c r="AS6353" s="10"/>
      <c r="AT6353" s="10"/>
      <c r="AU6353" s="10"/>
      <c r="AV6353" s="10"/>
      <c r="AW6353" s="10"/>
      <c r="AX6353" s="10"/>
      <c r="AY6353" s="10"/>
      <c r="AZ6353" s="10"/>
    </row>
    <row r="6354" spans="31:52">
      <c r="AE6354" s="10"/>
      <c r="AF6354" s="10"/>
      <c r="AG6354" s="10"/>
      <c r="AH6354" s="10"/>
      <c r="AI6354" s="10"/>
      <c r="AJ6354" s="10"/>
      <c r="AK6354" s="10"/>
      <c r="AL6354" s="10"/>
      <c r="AM6354" s="10"/>
      <c r="AN6354" s="10"/>
      <c r="AO6354" s="10"/>
      <c r="AP6354" s="10"/>
      <c r="AQ6354" s="10"/>
      <c r="AR6354" s="10"/>
      <c r="AS6354" s="10"/>
      <c r="AT6354" s="10"/>
      <c r="AU6354" s="10"/>
      <c r="AV6354" s="10"/>
      <c r="AW6354" s="10"/>
      <c r="AX6354" s="10"/>
      <c r="AY6354" s="10"/>
      <c r="AZ6354" s="10"/>
    </row>
    <row r="6355" spans="31:52">
      <c r="AE6355" s="10"/>
      <c r="AF6355" s="10"/>
      <c r="AG6355" s="10"/>
      <c r="AH6355" s="10"/>
      <c r="AI6355" s="10"/>
      <c r="AJ6355" s="10"/>
      <c r="AK6355" s="10"/>
      <c r="AL6355" s="10"/>
      <c r="AM6355" s="10"/>
      <c r="AN6355" s="10"/>
      <c r="AO6355" s="10"/>
      <c r="AP6355" s="10"/>
      <c r="AQ6355" s="10"/>
      <c r="AR6355" s="10"/>
      <c r="AS6355" s="10"/>
      <c r="AT6355" s="10"/>
      <c r="AU6355" s="10"/>
      <c r="AV6355" s="10"/>
      <c r="AW6355" s="10"/>
      <c r="AX6355" s="10"/>
      <c r="AY6355" s="10"/>
      <c r="AZ6355" s="10"/>
    </row>
    <row r="6356" spans="31:52">
      <c r="AE6356" s="10"/>
      <c r="AF6356" s="10"/>
      <c r="AG6356" s="10"/>
      <c r="AH6356" s="10"/>
      <c r="AI6356" s="10"/>
      <c r="AJ6356" s="10"/>
      <c r="AK6356" s="10"/>
      <c r="AL6356" s="10"/>
      <c r="AM6356" s="10"/>
      <c r="AN6356" s="10"/>
      <c r="AO6356" s="10"/>
      <c r="AP6356" s="10"/>
      <c r="AQ6356" s="10"/>
      <c r="AR6356" s="10"/>
      <c r="AS6356" s="10"/>
      <c r="AT6356" s="10"/>
      <c r="AU6356" s="10"/>
      <c r="AV6356" s="10"/>
      <c r="AW6356" s="10"/>
      <c r="AX6356" s="10"/>
      <c r="AY6356" s="10"/>
      <c r="AZ6356" s="10"/>
    </row>
    <row r="6357" spans="31:52">
      <c r="AE6357" s="10"/>
      <c r="AF6357" s="10"/>
      <c r="AG6357" s="10"/>
      <c r="AH6357" s="10"/>
      <c r="AI6357" s="10"/>
      <c r="AJ6357" s="10"/>
      <c r="AK6357" s="10"/>
      <c r="AL6357" s="10"/>
      <c r="AM6357" s="10"/>
      <c r="AN6357" s="10"/>
      <c r="AO6357" s="10"/>
      <c r="AP6357" s="10"/>
      <c r="AQ6357" s="10"/>
      <c r="AR6357" s="10"/>
      <c r="AS6357" s="10"/>
      <c r="AT6357" s="10"/>
      <c r="AU6357" s="10"/>
      <c r="AV6357" s="10"/>
      <c r="AW6357" s="10"/>
      <c r="AX6357" s="10"/>
      <c r="AY6357" s="10"/>
      <c r="AZ6357" s="10"/>
    </row>
    <row r="6358" spans="31:52">
      <c r="AE6358" s="10"/>
      <c r="AF6358" s="10"/>
      <c r="AG6358" s="10"/>
      <c r="AH6358" s="10"/>
      <c r="AI6358" s="10"/>
      <c r="AJ6358" s="10"/>
      <c r="AK6358" s="10"/>
      <c r="AL6358" s="10"/>
      <c r="AM6358" s="10"/>
      <c r="AN6358" s="10"/>
      <c r="AO6358" s="10"/>
      <c r="AP6358" s="10"/>
      <c r="AQ6358" s="10"/>
      <c r="AR6358" s="10"/>
      <c r="AS6358" s="10"/>
      <c r="AT6358" s="10"/>
      <c r="AU6358" s="10"/>
      <c r="AV6358" s="10"/>
      <c r="AW6358" s="10"/>
      <c r="AX6358" s="10"/>
      <c r="AY6358" s="10"/>
      <c r="AZ6358" s="10"/>
    </row>
    <row r="6359" spans="31:52">
      <c r="AE6359" s="10"/>
      <c r="AF6359" s="10"/>
      <c r="AG6359" s="10"/>
      <c r="AH6359" s="10"/>
      <c r="AI6359" s="10"/>
      <c r="AJ6359" s="10"/>
      <c r="AK6359" s="10"/>
      <c r="AL6359" s="10"/>
      <c r="AM6359" s="10"/>
      <c r="AN6359" s="10"/>
      <c r="AO6359" s="10"/>
      <c r="AP6359" s="10"/>
      <c r="AQ6359" s="10"/>
      <c r="AR6359" s="10"/>
      <c r="AS6359" s="10"/>
      <c r="AT6359" s="10"/>
      <c r="AU6359" s="10"/>
      <c r="AV6359" s="10"/>
      <c r="AW6359" s="10"/>
      <c r="AX6359" s="10"/>
      <c r="AY6359" s="10"/>
      <c r="AZ6359" s="10"/>
    </row>
    <row r="6360" spans="31:52">
      <c r="AE6360" s="10"/>
      <c r="AF6360" s="10"/>
      <c r="AG6360" s="10"/>
      <c r="AH6360" s="10"/>
      <c r="AI6360" s="10"/>
      <c r="AJ6360" s="10"/>
      <c r="AK6360" s="10"/>
      <c r="AL6360" s="10"/>
      <c r="AM6360" s="10"/>
      <c r="AN6360" s="10"/>
      <c r="AO6360" s="10"/>
      <c r="AP6360" s="10"/>
      <c r="AQ6360" s="10"/>
      <c r="AR6360" s="10"/>
      <c r="AS6360" s="10"/>
      <c r="AT6360" s="10"/>
      <c r="AU6360" s="10"/>
      <c r="AV6360" s="10"/>
      <c r="AW6360" s="10"/>
      <c r="AX6360" s="10"/>
      <c r="AY6360" s="10"/>
      <c r="AZ6360" s="10"/>
    </row>
    <row r="6361" spans="31:52">
      <c r="AE6361" s="10"/>
      <c r="AF6361" s="10"/>
      <c r="AG6361" s="10"/>
      <c r="AH6361" s="10"/>
      <c r="AI6361" s="10"/>
      <c r="AJ6361" s="10"/>
      <c r="AK6361" s="10"/>
      <c r="AL6361" s="10"/>
      <c r="AM6361" s="10"/>
      <c r="AN6361" s="10"/>
      <c r="AO6361" s="10"/>
      <c r="AP6361" s="10"/>
      <c r="AQ6361" s="10"/>
      <c r="AR6361" s="10"/>
      <c r="AS6361" s="10"/>
      <c r="AT6361" s="10"/>
      <c r="AU6361" s="10"/>
      <c r="AV6361" s="10"/>
      <c r="AW6361" s="10"/>
      <c r="AX6361" s="10"/>
      <c r="AY6361" s="10"/>
      <c r="AZ6361" s="10"/>
    </row>
    <row r="6362" spans="31:52">
      <c r="AE6362" s="10"/>
      <c r="AF6362" s="10"/>
      <c r="AG6362" s="10"/>
      <c r="AH6362" s="10"/>
      <c r="AI6362" s="10"/>
      <c r="AJ6362" s="10"/>
      <c r="AK6362" s="10"/>
      <c r="AL6362" s="10"/>
      <c r="AM6362" s="10"/>
      <c r="AN6362" s="10"/>
      <c r="AO6362" s="10"/>
      <c r="AP6362" s="10"/>
      <c r="AQ6362" s="10"/>
      <c r="AR6362" s="10"/>
      <c r="AS6362" s="10"/>
      <c r="AT6362" s="10"/>
      <c r="AU6362" s="10"/>
      <c r="AV6362" s="10"/>
      <c r="AW6362" s="10"/>
      <c r="AX6362" s="10"/>
      <c r="AY6362" s="10"/>
      <c r="AZ6362" s="10"/>
    </row>
    <row r="6363" spans="31:52">
      <c r="AE6363" s="10"/>
      <c r="AF6363" s="10"/>
      <c r="AG6363" s="10"/>
      <c r="AH6363" s="10"/>
      <c r="AI6363" s="10"/>
      <c r="AJ6363" s="10"/>
      <c r="AK6363" s="10"/>
      <c r="AL6363" s="10"/>
      <c r="AM6363" s="10"/>
      <c r="AN6363" s="10"/>
      <c r="AO6363" s="10"/>
      <c r="AP6363" s="10"/>
      <c r="AQ6363" s="10"/>
      <c r="AR6363" s="10"/>
      <c r="AS6363" s="10"/>
      <c r="AT6363" s="10"/>
      <c r="AU6363" s="10"/>
      <c r="AV6363" s="10"/>
      <c r="AW6363" s="10"/>
      <c r="AX6363" s="10"/>
      <c r="AY6363" s="10"/>
      <c r="AZ6363" s="10"/>
    </row>
    <row r="6364" spans="31:52">
      <c r="AE6364" s="10"/>
      <c r="AF6364" s="10"/>
      <c r="AG6364" s="10"/>
      <c r="AH6364" s="10"/>
      <c r="AI6364" s="10"/>
      <c r="AJ6364" s="10"/>
      <c r="AK6364" s="10"/>
      <c r="AL6364" s="10"/>
      <c r="AM6364" s="10"/>
      <c r="AN6364" s="10"/>
      <c r="AO6364" s="10"/>
      <c r="AP6364" s="10"/>
      <c r="AQ6364" s="10"/>
      <c r="AR6364" s="10"/>
      <c r="AS6364" s="10"/>
      <c r="AT6364" s="10"/>
      <c r="AU6364" s="10"/>
      <c r="AV6364" s="10"/>
      <c r="AW6364" s="10"/>
      <c r="AX6364" s="10"/>
      <c r="AY6364" s="10"/>
      <c r="AZ6364" s="10"/>
    </row>
    <row r="6365" spans="31:52">
      <c r="AE6365" s="10"/>
      <c r="AF6365" s="10"/>
      <c r="AG6365" s="10"/>
      <c r="AH6365" s="10"/>
      <c r="AI6365" s="10"/>
      <c r="AJ6365" s="10"/>
      <c r="AK6365" s="10"/>
      <c r="AL6365" s="10"/>
      <c r="AM6365" s="10"/>
      <c r="AN6365" s="10"/>
      <c r="AO6365" s="10"/>
      <c r="AP6365" s="10"/>
      <c r="AQ6365" s="10"/>
      <c r="AR6365" s="10"/>
      <c r="AS6365" s="10"/>
      <c r="AT6365" s="10"/>
      <c r="AU6365" s="10"/>
      <c r="AV6365" s="10"/>
      <c r="AW6365" s="10"/>
      <c r="AX6365" s="10"/>
      <c r="AY6365" s="10"/>
      <c r="AZ6365" s="10"/>
    </row>
    <row r="6366" spans="31:52">
      <c r="AE6366" s="10"/>
      <c r="AF6366" s="10"/>
      <c r="AG6366" s="10"/>
      <c r="AH6366" s="10"/>
      <c r="AI6366" s="10"/>
      <c r="AJ6366" s="10"/>
      <c r="AK6366" s="10"/>
      <c r="AL6366" s="10"/>
      <c r="AM6366" s="10"/>
      <c r="AN6366" s="10"/>
      <c r="AO6366" s="10"/>
      <c r="AP6366" s="10"/>
      <c r="AQ6366" s="10"/>
      <c r="AR6366" s="10"/>
      <c r="AS6366" s="10"/>
      <c r="AT6366" s="10"/>
      <c r="AU6366" s="10"/>
      <c r="AV6366" s="10"/>
      <c r="AW6366" s="10"/>
      <c r="AX6366" s="10"/>
      <c r="AY6366" s="10"/>
      <c r="AZ6366" s="10"/>
    </row>
    <row r="6367" spans="31:52">
      <c r="AE6367" s="10"/>
      <c r="AF6367" s="10"/>
      <c r="AG6367" s="10"/>
      <c r="AH6367" s="10"/>
      <c r="AI6367" s="10"/>
      <c r="AJ6367" s="10"/>
      <c r="AK6367" s="10"/>
      <c r="AL6367" s="10"/>
      <c r="AM6367" s="10"/>
      <c r="AN6367" s="10"/>
      <c r="AO6367" s="10"/>
      <c r="AP6367" s="10"/>
      <c r="AQ6367" s="10"/>
      <c r="AR6367" s="10"/>
      <c r="AS6367" s="10"/>
      <c r="AT6367" s="10"/>
      <c r="AU6367" s="10"/>
      <c r="AV6367" s="10"/>
      <c r="AW6367" s="10"/>
      <c r="AX6367" s="10"/>
      <c r="AY6367" s="10"/>
      <c r="AZ6367" s="10"/>
    </row>
    <row r="6368" spans="31:52">
      <c r="AE6368" s="10"/>
      <c r="AF6368" s="10"/>
      <c r="AG6368" s="10"/>
      <c r="AH6368" s="10"/>
      <c r="AI6368" s="10"/>
      <c r="AJ6368" s="10"/>
      <c r="AK6368" s="10"/>
      <c r="AL6368" s="10"/>
      <c r="AM6368" s="10"/>
      <c r="AN6368" s="10"/>
      <c r="AO6368" s="10"/>
      <c r="AP6368" s="10"/>
      <c r="AQ6368" s="10"/>
      <c r="AR6368" s="10"/>
      <c r="AS6368" s="10"/>
      <c r="AT6368" s="10"/>
      <c r="AU6368" s="10"/>
      <c r="AV6368" s="10"/>
      <c r="AW6368" s="10"/>
      <c r="AX6368" s="10"/>
      <c r="AY6368" s="10"/>
      <c r="AZ6368" s="10"/>
    </row>
    <row r="6369" spans="31:52">
      <c r="AE6369" s="10"/>
      <c r="AF6369" s="10"/>
      <c r="AG6369" s="10"/>
      <c r="AH6369" s="10"/>
      <c r="AI6369" s="10"/>
      <c r="AJ6369" s="10"/>
      <c r="AK6369" s="10"/>
      <c r="AL6369" s="10"/>
      <c r="AM6369" s="10"/>
      <c r="AN6369" s="10"/>
      <c r="AO6369" s="10"/>
      <c r="AP6369" s="10"/>
      <c r="AQ6369" s="10"/>
      <c r="AR6369" s="10"/>
      <c r="AS6369" s="10"/>
      <c r="AT6369" s="10"/>
      <c r="AU6369" s="10"/>
      <c r="AV6369" s="10"/>
      <c r="AW6369" s="10"/>
      <c r="AX6369" s="10"/>
      <c r="AY6369" s="10"/>
      <c r="AZ6369" s="10"/>
    </row>
    <row r="6370" spans="31:52">
      <c r="AE6370" s="10"/>
      <c r="AF6370" s="10"/>
      <c r="AG6370" s="10"/>
      <c r="AH6370" s="10"/>
      <c r="AI6370" s="10"/>
      <c r="AJ6370" s="10"/>
      <c r="AK6370" s="10"/>
      <c r="AL6370" s="10"/>
      <c r="AM6370" s="10"/>
      <c r="AN6370" s="10"/>
      <c r="AO6370" s="10"/>
      <c r="AP6370" s="10"/>
      <c r="AQ6370" s="10"/>
      <c r="AR6370" s="10"/>
      <c r="AS6370" s="10"/>
      <c r="AT6370" s="10"/>
      <c r="AU6370" s="10"/>
      <c r="AV6370" s="10"/>
      <c r="AW6370" s="10"/>
      <c r="AX6370" s="10"/>
      <c r="AY6370" s="10"/>
      <c r="AZ6370" s="10"/>
    </row>
    <row r="6371" spans="31:52">
      <c r="AE6371" s="10"/>
      <c r="AF6371" s="10"/>
      <c r="AG6371" s="10"/>
      <c r="AH6371" s="10"/>
      <c r="AI6371" s="10"/>
      <c r="AJ6371" s="10"/>
      <c r="AK6371" s="10"/>
      <c r="AL6371" s="10"/>
      <c r="AM6371" s="10"/>
      <c r="AN6371" s="10"/>
      <c r="AO6371" s="10"/>
      <c r="AP6371" s="10"/>
      <c r="AQ6371" s="10"/>
      <c r="AR6371" s="10"/>
      <c r="AS6371" s="10"/>
      <c r="AT6371" s="10"/>
      <c r="AU6371" s="10"/>
      <c r="AV6371" s="10"/>
      <c r="AW6371" s="10"/>
      <c r="AX6371" s="10"/>
      <c r="AY6371" s="10"/>
      <c r="AZ6371" s="10"/>
    </row>
    <row r="6372" spans="31:52">
      <c r="AE6372" s="10"/>
      <c r="AF6372" s="10"/>
      <c r="AG6372" s="10"/>
      <c r="AH6372" s="10"/>
      <c r="AI6372" s="10"/>
      <c r="AJ6372" s="10"/>
      <c r="AK6372" s="10"/>
      <c r="AL6372" s="10"/>
      <c r="AM6372" s="10"/>
      <c r="AN6372" s="10"/>
      <c r="AO6372" s="10"/>
      <c r="AP6372" s="10"/>
      <c r="AQ6372" s="10"/>
      <c r="AR6372" s="10"/>
      <c r="AS6372" s="10"/>
      <c r="AT6372" s="10"/>
      <c r="AU6372" s="10"/>
      <c r="AV6372" s="10"/>
      <c r="AW6372" s="10"/>
      <c r="AX6372" s="10"/>
      <c r="AY6372" s="10"/>
      <c r="AZ6372" s="10"/>
    </row>
    <row r="6373" spans="31:52">
      <c r="AE6373" s="10"/>
      <c r="AF6373" s="10"/>
      <c r="AG6373" s="10"/>
      <c r="AH6373" s="10"/>
      <c r="AI6373" s="10"/>
      <c r="AJ6373" s="10"/>
      <c r="AK6373" s="10"/>
      <c r="AL6373" s="10"/>
      <c r="AM6373" s="10"/>
      <c r="AN6373" s="10"/>
      <c r="AO6373" s="10"/>
      <c r="AP6373" s="10"/>
      <c r="AQ6373" s="10"/>
      <c r="AR6373" s="10"/>
      <c r="AS6373" s="10"/>
      <c r="AT6373" s="10"/>
      <c r="AU6373" s="10"/>
      <c r="AV6373" s="10"/>
      <c r="AW6373" s="10"/>
      <c r="AX6373" s="10"/>
      <c r="AY6373" s="10"/>
      <c r="AZ6373" s="10"/>
    </row>
    <row r="6374" spans="31:52">
      <c r="AE6374" s="10"/>
      <c r="AF6374" s="10"/>
      <c r="AG6374" s="10"/>
      <c r="AH6374" s="10"/>
      <c r="AI6374" s="10"/>
      <c r="AJ6374" s="10"/>
      <c r="AK6374" s="10"/>
      <c r="AL6374" s="10"/>
      <c r="AM6374" s="10"/>
      <c r="AN6374" s="10"/>
      <c r="AO6374" s="10"/>
      <c r="AP6374" s="10"/>
      <c r="AQ6374" s="10"/>
      <c r="AR6374" s="10"/>
      <c r="AS6374" s="10"/>
      <c r="AT6374" s="10"/>
      <c r="AU6374" s="10"/>
      <c r="AV6374" s="10"/>
      <c r="AW6374" s="10"/>
      <c r="AX6374" s="10"/>
      <c r="AY6374" s="10"/>
      <c r="AZ6374" s="10"/>
    </row>
    <row r="6375" spans="31:52">
      <c r="AE6375" s="10"/>
      <c r="AF6375" s="10"/>
      <c r="AG6375" s="10"/>
      <c r="AH6375" s="10"/>
      <c r="AI6375" s="10"/>
      <c r="AJ6375" s="10"/>
      <c r="AK6375" s="10"/>
      <c r="AL6375" s="10"/>
      <c r="AM6375" s="10"/>
      <c r="AN6375" s="10"/>
      <c r="AO6375" s="10"/>
      <c r="AP6375" s="10"/>
      <c r="AQ6375" s="10"/>
      <c r="AR6375" s="10"/>
      <c r="AS6375" s="10"/>
      <c r="AT6375" s="10"/>
      <c r="AU6375" s="10"/>
      <c r="AV6375" s="10"/>
      <c r="AW6375" s="10"/>
      <c r="AX6375" s="10"/>
      <c r="AY6375" s="10"/>
      <c r="AZ6375" s="10"/>
    </row>
    <row r="6376" spans="31:52">
      <c r="AE6376" s="10"/>
      <c r="AF6376" s="10"/>
      <c r="AG6376" s="10"/>
      <c r="AH6376" s="10"/>
      <c r="AI6376" s="10"/>
      <c r="AJ6376" s="10"/>
      <c r="AK6376" s="10"/>
      <c r="AL6376" s="10"/>
      <c r="AM6376" s="10"/>
      <c r="AN6376" s="10"/>
      <c r="AO6376" s="10"/>
      <c r="AP6376" s="10"/>
      <c r="AQ6376" s="10"/>
      <c r="AR6376" s="10"/>
      <c r="AS6376" s="10"/>
      <c r="AT6376" s="10"/>
      <c r="AU6376" s="10"/>
      <c r="AV6376" s="10"/>
      <c r="AW6376" s="10"/>
      <c r="AX6376" s="10"/>
      <c r="AY6376" s="10"/>
      <c r="AZ6376" s="10"/>
    </row>
    <row r="6377" spans="31:52">
      <c r="AE6377" s="10"/>
      <c r="AF6377" s="10"/>
      <c r="AG6377" s="10"/>
      <c r="AH6377" s="10"/>
      <c r="AI6377" s="10"/>
      <c r="AJ6377" s="10"/>
      <c r="AK6377" s="10"/>
      <c r="AL6377" s="10"/>
      <c r="AM6377" s="10"/>
      <c r="AN6377" s="10"/>
      <c r="AO6377" s="10"/>
      <c r="AP6377" s="10"/>
      <c r="AQ6377" s="10"/>
      <c r="AR6377" s="10"/>
      <c r="AS6377" s="10"/>
      <c r="AT6377" s="10"/>
      <c r="AU6377" s="10"/>
      <c r="AV6377" s="10"/>
      <c r="AW6377" s="10"/>
      <c r="AX6377" s="10"/>
      <c r="AY6377" s="10"/>
      <c r="AZ6377" s="10"/>
    </row>
    <row r="6378" spans="31:52">
      <c r="AE6378" s="10"/>
      <c r="AF6378" s="10"/>
      <c r="AG6378" s="10"/>
      <c r="AH6378" s="10"/>
      <c r="AI6378" s="10"/>
      <c r="AJ6378" s="10"/>
      <c r="AK6378" s="10"/>
      <c r="AL6378" s="10"/>
      <c r="AM6378" s="10"/>
      <c r="AN6378" s="10"/>
      <c r="AO6378" s="10"/>
      <c r="AP6378" s="10"/>
      <c r="AQ6378" s="10"/>
      <c r="AR6378" s="10"/>
      <c r="AS6378" s="10"/>
      <c r="AT6378" s="10"/>
      <c r="AU6378" s="10"/>
      <c r="AV6378" s="10"/>
      <c r="AW6378" s="10"/>
      <c r="AX6378" s="10"/>
      <c r="AY6378" s="10"/>
      <c r="AZ6378" s="10"/>
    </row>
    <row r="6379" spans="31:52">
      <c r="AE6379" s="10"/>
      <c r="AF6379" s="10"/>
      <c r="AG6379" s="10"/>
      <c r="AH6379" s="10"/>
      <c r="AI6379" s="10"/>
      <c r="AJ6379" s="10"/>
      <c r="AK6379" s="10"/>
      <c r="AL6379" s="10"/>
      <c r="AM6379" s="10"/>
      <c r="AN6379" s="10"/>
      <c r="AO6379" s="10"/>
      <c r="AP6379" s="10"/>
      <c r="AQ6379" s="10"/>
      <c r="AR6379" s="10"/>
      <c r="AS6379" s="10"/>
      <c r="AT6379" s="10"/>
      <c r="AU6379" s="10"/>
      <c r="AV6379" s="10"/>
      <c r="AW6379" s="10"/>
      <c r="AX6379" s="10"/>
      <c r="AY6379" s="10"/>
      <c r="AZ6379" s="10"/>
    </row>
    <row r="6380" spans="31:52">
      <c r="AE6380" s="10"/>
      <c r="AF6380" s="10"/>
      <c r="AG6380" s="10"/>
      <c r="AH6380" s="10"/>
      <c r="AI6380" s="10"/>
      <c r="AJ6380" s="10"/>
      <c r="AK6380" s="10"/>
      <c r="AL6380" s="10"/>
      <c r="AM6380" s="10"/>
      <c r="AN6380" s="10"/>
      <c r="AO6380" s="10"/>
      <c r="AP6380" s="10"/>
      <c r="AQ6380" s="10"/>
      <c r="AR6380" s="10"/>
      <c r="AS6380" s="10"/>
      <c r="AT6380" s="10"/>
      <c r="AU6380" s="10"/>
      <c r="AV6380" s="10"/>
      <c r="AW6380" s="10"/>
      <c r="AX6380" s="10"/>
      <c r="AY6380" s="10"/>
      <c r="AZ6380" s="10"/>
    </row>
    <row r="6381" spans="31:52">
      <c r="AE6381" s="10"/>
      <c r="AF6381" s="10"/>
      <c r="AG6381" s="10"/>
      <c r="AH6381" s="10"/>
      <c r="AI6381" s="10"/>
      <c r="AJ6381" s="10"/>
      <c r="AK6381" s="10"/>
      <c r="AL6381" s="10"/>
      <c r="AM6381" s="10"/>
      <c r="AN6381" s="10"/>
      <c r="AO6381" s="10"/>
      <c r="AP6381" s="10"/>
      <c r="AQ6381" s="10"/>
      <c r="AR6381" s="10"/>
      <c r="AS6381" s="10"/>
      <c r="AT6381" s="10"/>
      <c r="AU6381" s="10"/>
      <c r="AV6381" s="10"/>
      <c r="AW6381" s="10"/>
      <c r="AX6381" s="10"/>
      <c r="AY6381" s="10"/>
      <c r="AZ6381" s="10"/>
    </row>
    <row r="6382" spans="31:52">
      <c r="AE6382" s="10"/>
      <c r="AF6382" s="10"/>
      <c r="AG6382" s="10"/>
      <c r="AH6382" s="10"/>
      <c r="AI6382" s="10"/>
      <c r="AJ6382" s="10"/>
      <c r="AK6382" s="10"/>
      <c r="AL6382" s="10"/>
      <c r="AM6382" s="10"/>
      <c r="AN6382" s="10"/>
      <c r="AO6382" s="10"/>
      <c r="AP6382" s="10"/>
      <c r="AQ6382" s="10"/>
      <c r="AR6382" s="10"/>
      <c r="AS6382" s="10"/>
      <c r="AT6382" s="10"/>
      <c r="AU6382" s="10"/>
      <c r="AV6382" s="10"/>
      <c r="AW6382" s="10"/>
      <c r="AX6382" s="10"/>
      <c r="AY6382" s="10"/>
      <c r="AZ6382" s="10"/>
    </row>
    <row r="6383" spans="31:52">
      <c r="AE6383" s="10"/>
      <c r="AF6383" s="10"/>
      <c r="AG6383" s="10"/>
      <c r="AH6383" s="10"/>
      <c r="AI6383" s="10"/>
      <c r="AJ6383" s="10"/>
      <c r="AK6383" s="10"/>
      <c r="AL6383" s="10"/>
      <c r="AM6383" s="10"/>
      <c r="AN6383" s="10"/>
      <c r="AO6383" s="10"/>
      <c r="AP6383" s="10"/>
      <c r="AQ6383" s="10"/>
      <c r="AR6383" s="10"/>
      <c r="AS6383" s="10"/>
      <c r="AT6383" s="10"/>
      <c r="AU6383" s="10"/>
      <c r="AV6383" s="10"/>
      <c r="AW6383" s="10"/>
      <c r="AX6383" s="10"/>
      <c r="AY6383" s="10"/>
      <c r="AZ6383" s="10"/>
    </row>
    <row r="6384" spans="31:52">
      <c r="AE6384" s="10"/>
      <c r="AF6384" s="10"/>
      <c r="AG6384" s="10"/>
      <c r="AH6384" s="10"/>
      <c r="AI6384" s="10"/>
      <c r="AJ6384" s="10"/>
      <c r="AK6384" s="10"/>
      <c r="AL6384" s="10"/>
      <c r="AM6384" s="10"/>
      <c r="AN6384" s="10"/>
      <c r="AO6384" s="10"/>
      <c r="AP6384" s="10"/>
      <c r="AQ6384" s="10"/>
      <c r="AR6384" s="10"/>
      <c r="AS6384" s="10"/>
      <c r="AT6384" s="10"/>
      <c r="AU6384" s="10"/>
      <c r="AV6384" s="10"/>
      <c r="AW6384" s="10"/>
      <c r="AX6384" s="10"/>
      <c r="AY6384" s="10"/>
      <c r="AZ6384" s="10"/>
    </row>
    <row r="6385" spans="31:52">
      <c r="AE6385" s="10"/>
      <c r="AF6385" s="10"/>
      <c r="AG6385" s="10"/>
      <c r="AH6385" s="10"/>
      <c r="AI6385" s="10"/>
      <c r="AJ6385" s="10"/>
      <c r="AK6385" s="10"/>
      <c r="AL6385" s="10"/>
      <c r="AM6385" s="10"/>
      <c r="AN6385" s="10"/>
      <c r="AO6385" s="10"/>
      <c r="AP6385" s="10"/>
      <c r="AQ6385" s="10"/>
      <c r="AR6385" s="10"/>
      <c r="AS6385" s="10"/>
      <c r="AT6385" s="10"/>
      <c r="AU6385" s="10"/>
      <c r="AV6385" s="10"/>
      <c r="AW6385" s="10"/>
      <c r="AX6385" s="10"/>
      <c r="AY6385" s="10"/>
      <c r="AZ6385" s="10"/>
    </row>
    <row r="6386" spans="31:52">
      <c r="AE6386" s="10"/>
      <c r="AF6386" s="10"/>
      <c r="AG6386" s="10"/>
      <c r="AH6386" s="10"/>
      <c r="AI6386" s="10"/>
      <c r="AJ6386" s="10"/>
      <c r="AK6386" s="10"/>
      <c r="AL6386" s="10"/>
      <c r="AM6386" s="10"/>
      <c r="AN6386" s="10"/>
      <c r="AO6386" s="10"/>
      <c r="AP6386" s="10"/>
      <c r="AQ6386" s="10"/>
      <c r="AR6386" s="10"/>
      <c r="AS6386" s="10"/>
      <c r="AT6386" s="10"/>
      <c r="AU6386" s="10"/>
      <c r="AV6386" s="10"/>
      <c r="AW6386" s="10"/>
      <c r="AX6386" s="10"/>
      <c r="AY6386" s="10"/>
      <c r="AZ6386" s="10"/>
    </row>
    <row r="6387" spans="31:52">
      <c r="AE6387" s="10"/>
      <c r="AF6387" s="10"/>
      <c r="AG6387" s="10"/>
      <c r="AH6387" s="10"/>
      <c r="AI6387" s="10"/>
      <c r="AJ6387" s="10"/>
      <c r="AK6387" s="10"/>
      <c r="AL6387" s="10"/>
      <c r="AM6387" s="10"/>
      <c r="AN6387" s="10"/>
      <c r="AO6387" s="10"/>
      <c r="AP6387" s="10"/>
      <c r="AQ6387" s="10"/>
      <c r="AR6387" s="10"/>
      <c r="AS6387" s="10"/>
      <c r="AT6387" s="10"/>
      <c r="AU6387" s="10"/>
      <c r="AV6387" s="10"/>
      <c r="AW6387" s="10"/>
      <c r="AX6387" s="10"/>
      <c r="AY6387" s="10"/>
      <c r="AZ6387" s="10"/>
    </row>
    <row r="6388" spans="31:52">
      <c r="AE6388" s="10"/>
      <c r="AF6388" s="10"/>
      <c r="AG6388" s="10"/>
      <c r="AH6388" s="10"/>
      <c r="AI6388" s="10"/>
      <c r="AJ6388" s="10"/>
      <c r="AK6388" s="10"/>
      <c r="AL6388" s="10"/>
      <c r="AM6388" s="10"/>
      <c r="AN6388" s="10"/>
      <c r="AO6388" s="10"/>
      <c r="AP6388" s="10"/>
      <c r="AQ6388" s="10"/>
      <c r="AR6388" s="10"/>
      <c r="AS6388" s="10"/>
      <c r="AT6388" s="10"/>
      <c r="AU6388" s="10"/>
      <c r="AV6388" s="10"/>
      <c r="AW6388" s="10"/>
      <c r="AX6388" s="10"/>
      <c r="AY6388" s="10"/>
      <c r="AZ6388" s="10"/>
    </row>
    <row r="6389" spans="31:52">
      <c r="AE6389" s="10"/>
      <c r="AF6389" s="10"/>
      <c r="AG6389" s="10"/>
      <c r="AH6389" s="10"/>
      <c r="AI6389" s="10"/>
      <c r="AJ6389" s="10"/>
      <c r="AK6389" s="10"/>
      <c r="AL6389" s="10"/>
      <c r="AM6389" s="10"/>
      <c r="AN6389" s="10"/>
      <c r="AO6389" s="10"/>
      <c r="AP6389" s="10"/>
      <c r="AQ6389" s="10"/>
      <c r="AR6389" s="10"/>
      <c r="AS6389" s="10"/>
      <c r="AT6389" s="10"/>
      <c r="AU6389" s="10"/>
      <c r="AV6389" s="10"/>
      <c r="AW6389" s="10"/>
      <c r="AX6389" s="10"/>
      <c r="AY6389" s="10"/>
      <c r="AZ6389" s="10"/>
    </row>
    <row r="6390" spans="31:52">
      <c r="AE6390" s="10"/>
      <c r="AF6390" s="10"/>
      <c r="AG6390" s="10"/>
      <c r="AH6390" s="10"/>
      <c r="AI6390" s="10"/>
      <c r="AJ6390" s="10"/>
      <c r="AK6390" s="10"/>
      <c r="AL6390" s="10"/>
      <c r="AM6390" s="10"/>
      <c r="AN6390" s="10"/>
      <c r="AO6390" s="10"/>
      <c r="AP6390" s="10"/>
      <c r="AQ6390" s="10"/>
      <c r="AR6390" s="10"/>
      <c r="AS6390" s="10"/>
      <c r="AT6390" s="10"/>
      <c r="AU6390" s="10"/>
      <c r="AV6390" s="10"/>
      <c r="AW6390" s="10"/>
      <c r="AX6390" s="10"/>
      <c r="AY6390" s="10"/>
      <c r="AZ6390" s="10"/>
    </row>
    <row r="6391" spans="31:52">
      <c r="AE6391" s="10"/>
      <c r="AF6391" s="10"/>
      <c r="AG6391" s="10"/>
      <c r="AH6391" s="10"/>
      <c r="AI6391" s="10"/>
      <c r="AJ6391" s="10"/>
      <c r="AK6391" s="10"/>
      <c r="AL6391" s="10"/>
      <c r="AM6391" s="10"/>
      <c r="AN6391" s="10"/>
      <c r="AO6391" s="10"/>
      <c r="AP6391" s="10"/>
      <c r="AQ6391" s="10"/>
      <c r="AR6391" s="10"/>
      <c r="AS6391" s="10"/>
      <c r="AT6391" s="10"/>
      <c r="AU6391" s="10"/>
      <c r="AV6391" s="10"/>
      <c r="AW6391" s="10"/>
      <c r="AX6391" s="10"/>
      <c r="AY6391" s="10"/>
      <c r="AZ6391" s="10"/>
    </row>
    <row r="6392" spans="31:52">
      <c r="AE6392" s="10"/>
      <c r="AF6392" s="10"/>
      <c r="AG6392" s="10"/>
      <c r="AH6392" s="10"/>
      <c r="AI6392" s="10"/>
      <c r="AJ6392" s="10"/>
      <c r="AK6392" s="10"/>
      <c r="AL6392" s="10"/>
      <c r="AM6392" s="10"/>
      <c r="AN6392" s="10"/>
      <c r="AO6392" s="10"/>
      <c r="AP6392" s="10"/>
      <c r="AQ6392" s="10"/>
      <c r="AR6392" s="10"/>
      <c r="AS6392" s="10"/>
      <c r="AT6392" s="10"/>
      <c r="AU6392" s="10"/>
      <c r="AV6392" s="10"/>
      <c r="AW6392" s="10"/>
      <c r="AX6392" s="10"/>
      <c r="AY6392" s="10"/>
      <c r="AZ6392" s="10"/>
    </row>
    <row r="6393" spans="31:52">
      <c r="AE6393" s="10"/>
      <c r="AF6393" s="10"/>
      <c r="AG6393" s="10"/>
      <c r="AH6393" s="10"/>
      <c r="AI6393" s="10"/>
      <c r="AJ6393" s="10"/>
      <c r="AK6393" s="10"/>
      <c r="AL6393" s="10"/>
      <c r="AM6393" s="10"/>
      <c r="AN6393" s="10"/>
      <c r="AO6393" s="10"/>
      <c r="AP6393" s="10"/>
      <c r="AQ6393" s="10"/>
      <c r="AR6393" s="10"/>
      <c r="AS6393" s="10"/>
      <c r="AT6393" s="10"/>
      <c r="AU6393" s="10"/>
      <c r="AV6393" s="10"/>
      <c r="AW6393" s="10"/>
      <c r="AX6393" s="10"/>
      <c r="AY6393" s="10"/>
      <c r="AZ6393" s="10"/>
    </row>
    <row r="6394" spans="31:52">
      <c r="AE6394" s="10"/>
      <c r="AF6394" s="10"/>
      <c r="AG6394" s="10"/>
      <c r="AH6394" s="10"/>
      <c r="AI6394" s="10"/>
      <c r="AJ6394" s="10"/>
      <c r="AK6394" s="10"/>
      <c r="AL6394" s="10"/>
      <c r="AM6394" s="10"/>
      <c r="AN6394" s="10"/>
      <c r="AO6394" s="10"/>
      <c r="AP6394" s="10"/>
      <c r="AQ6394" s="10"/>
      <c r="AR6394" s="10"/>
      <c r="AS6394" s="10"/>
      <c r="AT6394" s="10"/>
      <c r="AU6394" s="10"/>
      <c r="AV6394" s="10"/>
      <c r="AW6394" s="10"/>
      <c r="AX6394" s="10"/>
      <c r="AY6394" s="10"/>
      <c r="AZ6394" s="10"/>
    </row>
    <row r="6395" spans="31:52">
      <c r="AE6395" s="10"/>
      <c r="AF6395" s="10"/>
      <c r="AG6395" s="10"/>
      <c r="AH6395" s="10"/>
      <c r="AI6395" s="10"/>
      <c r="AJ6395" s="10"/>
      <c r="AK6395" s="10"/>
      <c r="AL6395" s="10"/>
      <c r="AM6395" s="10"/>
      <c r="AN6395" s="10"/>
      <c r="AO6395" s="10"/>
      <c r="AP6395" s="10"/>
      <c r="AQ6395" s="10"/>
      <c r="AR6395" s="10"/>
      <c r="AS6395" s="10"/>
      <c r="AT6395" s="10"/>
      <c r="AU6395" s="10"/>
      <c r="AV6395" s="10"/>
      <c r="AW6395" s="10"/>
      <c r="AX6395" s="10"/>
      <c r="AY6395" s="10"/>
      <c r="AZ6395" s="10"/>
    </row>
    <row r="6396" spans="31:52">
      <c r="AE6396" s="10"/>
      <c r="AF6396" s="10"/>
      <c r="AG6396" s="10"/>
      <c r="AH6396" s="10"/>
      <c r="AI6396" s="10"/>
      <c r="AJ6396" s="10"/>
      <c r="AK6396" s="10"/>
      <c r="AL6396" s="10"/>
      <c r="AM6396" s="10"/>
      <c r="AN6396" s="10"/>
      <c r="AO6396" s="10"/>
      <c r="AP6396" s="10"/>
      <c r="AQ6396" s="10"/>
      <c r="AR6396" s="10"/>
      <c r="AS6396" s="10"/>
      <c r="AT6396" s="10"/>
      <c r="AU6396" s="10"/>
      <c r="AV6396" s="10"/>
      <c r="AW6396" s="10"/>
      <c r="AX6396" s="10"/>
      <c r="AY6396" s="10"/>
      <c r="AZ6396" s="10"/>
    </row>
    <row r="6397" spans="31:52">
      <c r="AE6397" s="10"/>
      <c r="AF6397" s="10"/>
      <c r="AG6397" s="10"/>
      <c r="AH6397" s="10"/>
      <c r="AI6397" s="10"/>
      <c r="AJ6397" s="10"/>
      <c r="AK6397" s="10"/>
      <c r="AL6397" s="10"/>
      <c r="AM6397" s="10"/>
      <c r="AN6397" s="10"/>
      <c r="AO6397" s="10"/>
      <c r="AP6397" s="10"/>
      <c r="AQ6397" s="10"/>
      <c r="AR6397" s="10"/>
      <c r="AS6397" s="10"/>
      <c r="AT6397" s="10"/>
      <c r="AU6397" s="10"/>
      <c r="AV6397" s="10"/>
      <c r="AW6397" s="10"/>
      <c r="AX6397" s="10"/>
      <c r="AY6397" s="10"/>
      <c r="AZ6397" s="10"/>
    </row>
    <row r="6398" spans="31:52">
      <c r="AE6398" s="10"/>
      <c r="AF6398" s="10"/>
      <c r="AG6398" s="10"/>
      <c r="AH6398" s="10"/>
      <c r="AI6398" s="10"/>
      <c r="AJ6398" s="10"/>
      <c r="AK6398" s="10"/>
      <c r="AL6398" s="10"/>
      <c r="AM6398" s="10"/>
      <c r="AN6398" s="10"/>
      <c r="AO6398" s="10"/>
      <c r="AP6398" s="10"/>
      <c r="AQ6398" s="10"/>
      <c r="AR6398" s="10"/>
      <c r="AS6398" s="10"/>
      <c r="AT6398" s="10"/>
      <c r="AU6398" s="10"/>
      <c r="AV6398" s="10"/>
      <c r="AW6398" s="10"/>
      <c r="AX6398" s="10"/>
      <c r="AY6398" s="10"/>
      <c r="AZ6398" s="10"/>
    </row>
    <row r="6399" spans="31:52">
      <c r="AE6399" s="10"/>
      <c r="AF6399" s="10"/>
      <c r="AG6399" s="10"/>
      <c r="AH6399" s="10"/>
      <c r="AI6399" s="10"/>
      <c r="AJ6399" s="10"/>
      <c r="AK6399" s="10"/>
      <c r="AL6399" s="10"/>
      <c r="AM6399" s="10"/>
      <c r="AN6399" s="10"/>
      <c r="AO6399" s="10"/>
      <c r="AP6399" s="10"/>
      <c r="AQ6399" s="10"/>
      <c r="AR6399" s="10"/>
      <c r="AS6399" s="10"/>
      <c r="AT6399" s="10"/>
      <c r="AU6399" s="10"/>
      <c r="AV6399" s="10"/>
      <c r="AW6399" s="10"/>
      <c r="AX6399" s="10"/>
      <c r="AY6399" s="10"/>
      <c r="AZ6399" s="10"/>
    </row>
    <row r="6400" spans="31:52">
      <c r="AE6400" s="10"/>
      <c r="AF6400" s="10"/>
      <c r="AG6400" s="10"/>
      <c r="AH6400" s="10"/>
      <c r="AI6400" s="10"/>
      <c r="AJ6400" s="10"/>
      <c r="AK6400" s="10"/>
      <c r="AL6400" s="10"/>
      <c r="AM6400" s="10"/>
      <c r="AN6400" s="10"/>
      <c r="AO6400" s="10"/>
      <c r="AP6400" s="10"/>
      <c r="AQ6400" s="10"/>
      <c r="AR6400" s="10"/>
      <c r="AS6400" s="10"/>
      <c r="AT6400" s="10"/>
      <c r="AU6400" s="10"/>
      <c r="AV6400" s="10"/>
      <c r="AW6400" s="10"/>
      <c r="AX6400" s="10"/>
      <c r="AY6400" s="10"/>
      <c r="AZ6400" s="10"/>
    </row>
    <row r="6401" spans="31:52">
      <c r="AE6401" s="10"/>
      <c r="AF6401" s="10"/>
      <c r="AG6401" s="10"/>
      <c r="AH6401" s="10"/>
      <c r="AI6401" s="10"/>
      <c r="AJ6401" s="10"/>
      <c r="AK6401" s="10"/>
      <c r="AL6401" s="10"/>
      <c r="AM6401" s="10"/>
      <c r="AN6401" s="10"/>
      <c r="AO6401" s="10"/>
      <c r="AP6401" s="10"/>
      <c r="AQ6401" s="10"/>
      <c r="AR6401" s="10"/>
      <c r="AS6401" s="10"/>
      <c r="AT6401" s="10"/>
      <c r="AU6401" s="10"/>
      <c r="AV6401" s="10"/>
      <c r="AW6401" s="10"/>
      <c r="AX6401" s="10"/>
      <c r="AY6401" s="10"/>
      <c r="AZ6401" s="10"/>
    </row>
    <row r="6402" spans="31:52">
      <c r="AE6402" s="10"/>
      <c r="AF6402" s="10"/>
      <c r="AG6402" s="10"/>
      <c r="AH6402" s="10"/>
      <c r="AI6402" s="10"/>
      <c r="AJ6402" s="10"/>
      <c r="AK6402" s="10"/>
      <c r="AL6402" s="10"/>
      <c r="AM6402" s="10"/>
      <c r="AN6402" s="10"/>
      <c r="AO6402" s="10"/>
      <c r="AP6402" s="10"/>
      <c r="AQ6402" s="10"/>
      <c r="AR6402" s="10"/>
      <c r="AS6402" s="10"/>
      <c r="AT6402" s="10"/>
      <c r="AU6402" s="10"/>
      <c r="AV6402" s="10"/>
      <c r="AW6402" s="10"/>
      <c r="AX6402" s="10"/>
      <c r="AY6402" s="10"/>
      <c r="AZ6402" s="10"/>
    </row>
    <row r="6403" spans="31:52">
      <c r="AE6403" s="10"/>
      <c r="AF6403" s="10"/>
      <c r="AG6403" s="10"/>
      <c r="AH6403" s="10"/>
      <c r="AI6403" s="10"/>
      <c r="AJ6403" s="10"/>
      <c r="AK6403" s="10"/>
      <c r="AL6403" s="10"/>
      <c r="AM6403" s="10"/>
      <c r="AN6403" s="10"/>
      <c r="AO6403" s="10"/>
      <c r="AP6403" s="10"/>
      <c r="AQ6403" s="10"/>
      <c r="AR6403" s="10"/>
      <c r="AS6403" s="10"/>
      <c r="AT6403" s="10"/>
      <c r="AU6403" s="10"/>
      <c r="AV6403" s="10"/>
      <c r="AW6403" s="10"/>
      <c r="AX6403" s="10"/>
      <c r="AY6403" s="10"/>
      <c r="AZ6403" s="10"/>
    </row>
    <row r="6404" spans="31:52">
      <c r="AE6404" s="10"/>
      <c r="AF6404" s="10"/>
      <c r="AG6404" s="10"/>
      <c r="AH6404" s="10"/>
      <c r="AI6404" s="10"/>
      <c r="AJ6404" s="10"/>
      <c r="AK6404" s="10"/>
      <c r="AL6404" s="10"/>
      <c r="AM6404" s="10"/>
      <c r="AN6404" s="10"/>
      <c r="AO6404" s="10"/>
      <c r="AP6404" s="10"/>
      <c r="AQ6404" s="10"/>
      <c r="AR6404" s="10"/>
      <c r="AS6404" s="10"/>
      <c r="AT6404" s="10"/>
      <c r="AU6404" s="10"/>
      <c r="AV6404" s="10"/>
      <c r="AW6404" s="10"/>
      <c r="AX6404" s="10"/>
      <c r="AY6404" s="10"/>
      <c r="AZ6404" s="10"/>
    </row>
    <row r="6405" spans="31:52">
      <c r="AE6405" s="10"/>
      <c r="AF6405" s="10"/>
      <c r="AG6405" s="10"/>
      <c r="AH6405" s="10"/>
      <c r="AI6405" s="10"/>
      <c r="AJ6405" s="10"/>
      <c r="AK6405" s="10"/>
      <c r="AL6405" s="10"/>
      <c r="AM6405" s="10"/>
      <c r="AN6405" s="10"/>
      <c r="AO6405" s="10"/>
      <c r="AP6405" s="10"/>
      <c r="AQ6405" s="10"/>
      <c r="AR6405" s="10"/>
      <c r="AS6405" s="10"/>
      <c r="AT6405" s="10"/>
      <c r="AU6405" s="10"/>
      <c r="AV6405" s="10"/>
      <c r="AW6405" s="10"/>
      <c r="AX6405" s="10"/>
      <c r="AY6405" s="10"/>
      <c r="AZ6405" s="10"/>
    </row>
    <row r="6406" spans="31:52">
      <c r="AE6406" s="10"/>
      <c r="AF6406" s="10"/>
      <c r="AG6406" s="10"/>
      <c r="AH6406" s="10"/>
      <c r="AI6406" s="10"/>
      <c r="AJ6406" s="10"/>
      <c r="AK6406" s="10"/>
      <c r="AL6406" s="10"/>
      <c r="AM6406" s="10"/>
      <c r="AN6406" s="10"/>
      <c r="AO6406" s="10"/>
      <c r="AP6406" s="10"/>
      <c r="AQ6406" s="10"/>
      <c r="AR6406" s="10"/>
      <c r="AS6406" s="10"/>
      <c r="AT6406" s="10"/>
      <c r="AU6406" s="10"/>
      <c r="AV6406" s="10"/>
      <c r="AW6406" s="10"/>
      <c r="AX6406" s="10"/>
      <c r="AY6406" s="10"/>
      <c r="AZ6406" s="10"/>
    </row>
    <row r="6407" spans="31:52">
      <c r="AE6407" s="10"/>
      <c r="AF6407" s="10"/>
      <c r="AG6407" s="10"/>
      <c r="AH6407" s="10"/>
      <c r="AI6407" s="10"/>
      <c r="AJ6407" s="10"/>
      <c r="AK6407" s="10"/>
      <c r="AL6407" s="10"/>
      <c r="AM6407" s="10"/>
      <c r="AN6407" s="10"/>
      <c r="AO6407" s="10"/>
      <c r="AP6407" s="10"/>
      <c r="AQ6407" s="10"/>
      <c r="AR6407" s="10"/>
      <c r="AS6407" s="10"/>
      <c r="AT6407" s="10"/>
      <c r="AU6407" s="10"/>
      <c r="AV6407" s="10"/>
      <c r="AW6407" s="10"/>
      <c r="AX6407" s="10"/>
      <c r="AY6407" s="10"/>
      <c r="AZ6407" s="10"/>
    </row>
    <row r="6408" spans="31:52">
      <c r="AE6408" s="10"/>
      <c r="AF6408" s="10"/>
      <c r="AG6408" s="10"/>
      <c r="AH6408" s="10"/>
      <c r="AI6408" s="10"/>
      <c r="AJ6408" s="10"/>
      <c r="AK6408" s="10"/>
      <c r="AL6408" s="10"/>
      <c r="AM6408" s="10"/>
      <c r="AN6408" s="10"/>
      <c r="AO6408" s="10"/>
      <c r="AP6408" s="10"/>
      <c r="AQ6408" s="10"/>
      <c r="AR6408" s="10"/>
      <c r="AS6408" s="10"/>
      <c r="AT6408" s="10"/>
      <c r="AU6408" s="10"/>
      <c r="AV6408" s="10"/>
      <c r="AW6408" s="10"/>
      <c r="AX6408" s="10"/>
      <c r="AY6408" s="10"/>
      <c r="AZ6408" s="10"/>
    </row>
    <row r="6409" spans="31:52">
      <c r="AE6409" s="10"/>
      <c r="AF6409" s="10"/>
      <c r="AG6409" s="10"/>
      <c r="AH6409" s="10"/>
      <c r="AI6409" s="10"/>
      <c r="AJ6409" s="10"/>
      <c r="AK6409" s="10"/>
      <c r="AL6409" s="10"/>
      <c r="AM6409" s="10"/>
      <c r="AN6409" s="10"/>
      <c r="AO6409" s="10"/>
      <c r="AP6409" s="10"/>
      <c r="AQ6409" s="10"/>
      <c r="AR6409" s="10"/>
      <c r="AS6409" s="10"/>
      <c r="AT6409" s="10"/>
      <c r="AU6409" s="10"/>
      <c r="AV6409" s="10"/>
      <c r="AW6409" s="10"/>
      <c r="AX6409" s="10"/>
      <c r="AY6409" s="10"/>
      <c r="AZ6409" s="10"/>
    </row>
    <row r="6410" spans="31:52">
      <c r="AE6410" s="10"/>
      <c r="AF6410" s="10"/>
      <c r="AG6410" s="10"/>
      <c r="AH6410" s="10"/>
      <c r="AI6410" s="10"/>
      <c r="AJ6410" s="10"/>
      <c r="AK6410" s="10"/>
      <c r="AL6410" s="10"/>
      <c r="AM6410" s="10"/>
      <c r="AN6410" s="10"/>
      <c r="AO6410" s="10"/>
      <c r="AP6410" s="10"/>
      <c r="AQ6410" s="10"/>
      <c r="AR6410" s="10"/>
      <c r="AS6410" s="10"/>
      <c r="AT6410" s="10"/>
      <c r="AU6410" s="10"/>
      <c r="AV6410" s="10"/>
      <c r="AW6410" s="10"/>
      <c r="AX6410" s="10"/>
      <c r="AY6410" s="10"/>
      <c r="AZ6410" s="10"/>
    </row>
    <row r="6411" spans="31:52">
      <c r="AE6411" s="10"/>
      <c r="AF6411" s="10"/>
      <c r="AG6411" s="10"/>
      <c r="AH6411" s="10"/>
      <c r="AI6411" s="10"/>
      <c r="AJ6411" s="10"/>
      <c r="AK6411" s="10"/>
      <c r="AL6411" s="10"/>
      <c r="AM6411" s="10"/>
      <c r="AN6411" s="10"/>
      <c r="AO6411" s="10"/>
      <c r="AP6411" s="10"/>
      <c r="AQ6411" s="10"/>
      <c r="AR6411" s="10"/>
      <c r="AS6411" s="10"/>
      <c r="AT6411" s="10"/>
      <c r="AU6411" s="10"/>
      <c r="AV6411" s="10"/>
      <c r="AW6411" s="10"/>
      <c r="AX6411" s="10"/>
      <c r="AY6411" s="10"/>
      <c r="AZ6411" s="10"/>
    </row>
    <row r="6412" spans="31:52">
      <c r="AE6412" s="10"/>
      <c r="AF6412" s="10"/>
      <c r="AG6412" s="10"/>
      <c r="AH6412" s="10"/>
      <c r="AI6412" s="10"/>
      <c r="AJ6412" s="10"/>
      <c r="AK6412" s="10"/>
      <c r="AL6412" s="10"/>
      <c r="AM6412" s="10"/>
      <c r="AN6412" s="10"/>
      <c r="AO6412" s="10"/>
      <c r="AP6412" s="10"/>
      <c r="AQ6412" s="10"/>
      <c r="AR6412" s="10"/>
      <c r="AS6412" s="10"/>
      <c r="AT6412" s="10"/>
      <c r="AU6412" s="10"/>
      <c r="AV6412" s="10"/>
      <c r="AW6412" s="10"/>
      <c r="AX6412" s="10"/>
      <c r="AY6412" s="10"/>
      <c r="AZ6412" s="10"/>
    </row>
    <row r="6413" spans="31:52">
      <c r="AE6413" s="10"/>
      <c r="AF6413" s="10"/>
      <c r="AG6413" s="10"/>
      <c r="AH6413" s="10"/>
      <c r="AI6413" s="10"/>
      <c r="AJ6413" s="10"/>
      <c r="AK6413" s="10"/>
      <c r="AL6413" s="10"/>
      <c r="AM6413" s="10"/>
      <c r="AN6413" s="10"/>
      <c r="AO6413" s="10"/>
      <c r="AP6413" s="10"/>
      <c r="AQ6413" s="10"/>
      <c r="AR6413" s="10"/>
      <c r="AS6413" s="10"/>
      <c r="AT6413" s="10"/>
      <c r="AU6413" s="10"/>
      <c r="AV6413" s="10"/>
      <c r="AW6413" s="10"/>
      <c r="AX6413" s="10"/>
      <c r="AY6413" s="10"/>
      <c r="AZ6413" s="10"/>
    </row>
    <row r="6414" spans="31:52">
      <c r="AE6414" s="10"/>
      <c r="AF6414" s="10"/>
      <c r="AG6414" s="10"/>
      <c r="AH6414" s="10"/>
      <c r="AI6414" s="10"/>
      <c r="AJ6414" s="10"/>
      <c r="AK6414" s="10"/>
      <c r="AL6414" s="10"/>
      <c r="AM6414" s="10"/>
      <c r="AN6414" s="10"/>
      <c r="AO6414" s="10"/>
      <c r="AP6414" s="10"/>
      <c r="AQ6414" s="10"/>
      <c r="AR6414" s="10"/>
      <c r="AS6414" s="10"/>
      <c r="AT6414" s="10"/>
      <c r="AU6414" s="10"/>
      <c r="AV6414" s="10"/>
      <c r="AW6414" s="10"/>
      <c r="AX6414" s="10"/>
      <c r="AY6414" s="10"/>
      <c r="AZ6414" s="10"/>
    </row>
    <row r="6415" spans="31:52">
      <c r="AE6415" s="10"/>
      <c r="AF6415" s="10"/>
      <c r="AG6415" s="10"/>
      <c r="AH6415" s="10"/>
      <c r="AI6415" s="10"/>
      <c r="AJ6415" s="10"/>
      <c r="AK6415" s="10"/>
      <c r="AL6415" s="10"/>
      <c r="AM6415" s="10"/>
      <c r="AN6415" s="10"/>
      <c r="AO6415" s="10"/>
      <c r="AP6415" s="10"/>
      <c r="AQ6415" s="10"/>
      <c r="AR6415" s="10"/>
      <c r="AS6415" s="10"/>
      <c r="AT6415" s="10"/>
      <c r="AU6415" s="10"/>
      <c r="AV6415" s="10"/>
      <c r="AW6415" s="10"/>
      <c r="AX6415" s="10"/>
      <c r="AY6415" s="10"/>
      <c r="AZ6415" s="10"/>
    </row>
    <row r="6416" spans="31:52">
      <c r="AE6416" s="10"/>
      <c r="AF6416" s="10"/>
      <c r="AG6416" s="10"/>
      <c r="AH6416" s="10"/>
      <c r="AI6416" s="10"/>
      <c r="AJ6416" s="10"/>
      <c r="AK6416" s="10"/>
      <c r="AL6416" s="10"/>
      <c r="AM6416" s="10"/>
      <c r="AN6416" s="10"/>
      <c r="AO6416" s="10"/>
      <c r="AP6416" s="10"/>
      <c r="AQ6416" s="10"/>
      <c r="AR6416" s="10"/>
      <c r="AS6416" s="10"/>
      <c r="AT6416" s="10"/>
      <c r="AU6416" s="10"/>
      <c r="AV6416" s="10"/>
      <c r="AW6416" s="10"/>
      <c r="AX6416" s="10"/>
      <c r="AY6416" s="10"/>
      <c r="AZ6416" s="10"/>
    </row>
    <row r="6417" spans="31:52">
      <c r="AE6417" s="10"/>
      <c r="AF6417" s="10"/>
      <c r="AG6417" s="10"/>
      <c r="AH6417" s="10"/>
      <c r="AI6417" s="10"/>
      <c r="AJ6417" s="10"/>
      <c r="AK6417" s="10"/>
      <c r="AL6417" s="10"/>
      <c r="AM6417" s="10"/>
      <c r="AN6417" s="10"/>
      <c r="AO6417" s="10"/>
      <c r="AP6417" s="10"/>
      <c r="AQ6417" s="10"/>
      <c r="AR6417" s="10"/>
      <c r="AS6417" s="10"/>
      <c r="AT6417" s="10"/>
      <c r="AU6417" s="10"/>
      <c r="AV6417" s="10"/>
      <c r="AW6417" s="10"/>
      <c r="AX6417" s="10"/>
      <c r="AY6417" s="10"/>
      <c r="AZ6417" s="10"/>
    </row>
    <row r="6418" spans="31:52">
      <c r="AE6418" s="10"/>
      <c r="AF6418" s="10"/>
      <c r="AG6418" s="10"/>
      <c r="AH6418" s="10"/>
      <c r="AI6418" s="10"/>
      <c r="AJ6418" s="10"/>
      <c r="AK6418" s="10"/>
      <c r="AL6418" s="10"/>
      <c r="AM6418" s="10"/>
      <c r="AN6418" s="10"/>
      <c r="AO6418" s="10"/>
      <c r="AP6418" s="10"/>
      <c r="AQ6418" s="10"/>
      <c r="AR6418" s="10"/>
      <c r="AS6418" s="10"/>
      <c r="AT6418" s="10"/>
      <c r="AU6418" s="10"/>
      <c r="AV6418" s="10"/>
      <c r="AW6418" s="10"/>
      <c r="AX6418" s="10"/>
      <c r="AY6418" s="10"/>
      <c r="AZ6418" s="10"/>
    </row>
    <row r="6419" spans="31:52">
      <c r="AE6419" s="10"/>
      <c r="AF6419" s="10"/>
      <c r="AG6419" s="10"/>
      <c r="AH6419" s="10"/>
      <c r="AI6419" s="10"/>
      <c r="AJ6419" s="10"/>
      <c r="AK6419" s="10"/>
      <c r="AL6419" s="10"/>
      <c r="AM6419" s="10"/>
      <c r="AN6419" s="10"/>
      <c r="AO6419" s="10"/>
      <c r="AP6419" s="10"/>
      <c r="AQ6419" s="10"/>
      <c r="AR6419" s="10"/>
      <c r="AS6419" s="10"/>
      <c r="AT6419" s="10"/>
      <c r="AU6419" s="10"/>
      <c r="AV6419" s="10"/>
      <c r="AW6419" s="10"/>
      <c r="AX6419" s="10"/>
      <c r="AY6419" s="10"/>
      <c r="AZ6419" s="10"/>
    </row>
    <row r="6420" spans="31:52">
      <c r="AE6420" s="10"/>
      <c r="AF6420" s="10"/>
      <c r="AG6420" s="10"/>
      <c r="AH6420" s="10"/>
      <c r="AI6420" s="10"/>
      <c r="AJ6420" s="10"/>
      <c r="AK6420" s="10"/>
      <c r="AL6420" s="10"/>
      <c r="AM6420" s="10"/>
      <c r="AN6420" s="10"/>
      <c r="AO6420" s="10"/>
      <c r="AP6420" s="10"/>
      <c r="AQ6420" s="10"/>
      <c r="AR6420" s="10"/>
      <c r="AS6420" s="10"/>
      <c r="AT6420" s="10"/>
      <c r="AU6420" s="10"/>
      <c r="AV6420" s="10"/>
      <c r="AW6420" s="10"/>
      <c r="AX6420" s="10"/>
      <c r="AY6420" s="10"/>
      <c r="AZ6420" s="10"/>
    </row>
    <row r="6421" spans="31:52">
      <c r="AE6421" s="10"/>
      <c r="AF6421" s="10"/>
      <c r="AG6421" s="10"/>
      <c r="AH6421" s="10"/>
      <c r="AI6421" s="10"/>
      <c r="AJ6421" s="10"/>
      <c r="AK6421" s="10"/>
      <c r="AL6421" s="10"/>
      <c r="AM6421" s="10"/>
      <c r="AN6421" s="10"/>
      <c r="AO6421" s="10"/>
      <c r="AP6421" s="10"/>
      <c r="AQ6421" s="10"/>
      <c r="AR6421" s="10"/>
      <c r="AS6421" s="10"/>
      <c r="AT6421" s="10"/>
      <c r="AU6421" s="10"/>
      <c r="AV6421" s="10"/>
      <c r="AW6421" s="10"/>
      <c r="AX6421" s="10"/>
      <c r="AY6421" s="10"/>
      <c r="AZ6421" s="10"/>
    </row>
    <row r="6422" spans="31:52">
      <c r="AE6422" s="10"/>
      <c r="AF6422" s="10"/>
      <c r="AG6422" s="10"/>
      <c r="AH6422" s="10"/>
      <c r="AI6422" s="10"/>
      <c r="AJ6422" s="10"/>
      <c r="AK6422" s="10"/>
      <c r="AL6422" s="10"/>
      <c r="AM6422" s="10"/>
      <c r="AN6422" s="10"/>
      <c r="AO6422" s="10"/>
      <c r="AP6422" s="10"/>
      <c r="AQ6422" s="10"/>
      <c r="AR6422" s="10"/>
      <c r="AS6422" s="10"/>
      <c r="AT6422" s="10"/>
      <c r="AU6422" s="10"/>
      <c r="AV6422" s="10"/>
      <c r="AW6422" s="10"/>
      <c r="AX6422" s="10"/>
      <c r="AY6422" s="10"/>
      <c r="AZ6422" s="10"/>
    </row>
    <row r="6423" spans="31:52">
      <c r="AE6423" s="10"/>
      <c r="AF6423" s="10"/>
      <c r="AG6423" s="10"/>
      <c r="AH6423" s="10"/>
      <c r="AI6423" s="10"/>
      <c r="AJ6423" s="10"/>
      <c r="AK6423" s="10"/>
      <c r="AL6423" s="10"/>
      <c r="AM6423" s="10"/>
      <c r="AN6423" s="10"/>
      <c r="AO6423" s="10"/>
      <c r="AP6423" s="10"/>
      <c r="AQ6423" s="10"/>
      <c r="AR6423" s="10"/>
      <c r="AS6423" s="10"/>
      <c r="AT6423" s="10"/>
      <c r="AU6423" s="10"/>
      <c r="AV6423" s="10"/>
      <c r="AW6423" s="10"/>
      <c r="AX6423" s="10"/>
      <c r="AY6423" s="10"/>
      <c r="AZ6423" s="10"/>
    </row>
    <row r="6424" spans="31:52">
      <c r="AE6424" s="10"/>
      <c r="AF6424" s="10"/>
      <c r="AG6424" s="10"/>
      <c r="AH6424" s="10"/>
      <c r="AI6424" s="10"/>
      <c r="AJ6424" s="10"/>
      <c r="AK6424" s="10"/>
      <c r="AL6424" s="10"/>
      <c r="AM6424" s="10"/>
      <c r="AN6424" s="10"/>
      <c r="AO6424" s="10"/>
      <c r="AP6424" s="10"/>
      <c r="AQ6424" s="10"/>
      <c r="AR6424" s="10"/>
      <c r="AS6424" s="10"/>
      <c r="AT6424" s="10"/>
      <c r="AU6424" s="10"/>
      <c r="AV6424" s="10"/>
      <c r="AW6424" s="10"/>
      <c r="AX6424" s="10"/>
      <c r="AY6424" s="10"/>
      <c r="AZ6424" s="10"/>
    </row>
    <row r="6425" spans="31:52">
      <c r="AE6425" s="10"/>
      <c r="AF6425" s="10"/>
      <c r="AG6425" s="10"/>
      <c r="AH6425" s="10"/>
      <c r="AI6425" s="10"/>
      <c r="AJ6425" s="10"/>
      <c r="AK6425" s="10"/>
      <c r="AL6425" s="10"/>
      <c r="AM6425" s="10"/>
      <c r="AN6425" s="10"/>
      <c r="AO6425" s="10"/>
      <c r="AP6425" s="10"/>
      <c r="AQ6425" s="10"/>
      <c r="AR6425" s="10"/>
      <c r="AS6425" s="10"/>
      <c r="AT6425" s="10"/>
      <c r="AU6425" s="10"/>
      <c r="AV6425" s="10"/>
      <c r="AW6425" s="10"/>
      <c r="AX6425" s="10"/>
      <c r="AY6425" s="10"/>
      <c r="AZ6425" s="10"/>
    </row>
    <row r="6426" spans="31:52">
      <c r="AE6426" s="10"/>
      <c r="AF6426" s="10"/>
      <c r="AG6426" s="10"/>
      <c r="AH6426" s="10"/>
      <c r="AI6426" s="10"/>
      <c r="AJ6426" s="10"/>
      <c r="AK6426" s="10"/>
      <c r="AL6426" s="10"/>
      <c r="AM6426" s="10"/>
      <c r="AN6426" s="10"/>
      <c r="AO6426" s="10"/>
      <c r="AP6426" s="10"/>
      <c r="AQ6426" s="10"/>
      <c r="AR6426" s="10"/>
      <c r="AS6426" s="10"/>
      <c r="AT6426" s="10"/>
      <c r="AU6426" s="10"/>
      <c r="AV6426" s="10"/>
      <c r="AW6426" s="10"/>
      <c r="AX6426" s="10"/>
      <c r="AY6426" s="10"/>
      <c r="AZ6426" s="10"/>
    </row>
    <row r="6427" spans="31:52">
      <c r="AE6427" s="10"/>
      <c r="AF6427" s="10"/>
      <c r="AG6427" s="10"/>
      <c r="AH6427" s="10"/>
      <c r="AI6427" s="10"/>
      <c r="AJ6427" s="10"/>
      <c r="AK6427" s="10"/>
      <c r="AL6427" s="10"/>
      <c r="AM6427" s="10"/>
      <c r="AN6427" s="10"/>
      <c r="AO6427" s="10"/>
      <c r="AP6427" s="10"/>
      <c r="AQ6427" s="10"/>
      <c r="AR6427" s="10"/>
      <c r="AS6427" s="10"/>
      <c r="AT6427" s="10"/>
      <c r="AU6427" s="10"/>
      <c r="AV6427" s="10"/>
      <c r="AW6427" s="10"/>
      <c r="AX6427" s="10"/>
      <c r="AY6427" s="10"/>
      <c r="AZ6427" s="10"/>
    </row>
    <row r="6428" spans="31:52">
      <c r="AE6428" s="10"/>
      <c r="AF6428" s="10"/>
      <c r="AG6428" s="10"/>
      <c r="AH6428" s="10"/>
      <c r="AI6428" s="10"/>
      <c r="AJ6428" s="10"/>
      <c r="AK6428" s="10"/>
      <c r="AL6428" s="10"/>
      <c r="AM6428" s="10"/>
      <c r="AN6428" s="10"/>
      <c r="AO6428" s="10"/>
      <c r="AP6428" s="10"/>
      <c r="AQ6428" s="10"/>
      <c r="AR6428" s="10"/>
      <c r="AS6428" s="10"/>
      <c r="AT6428" s="10"/>
      <c r="AU6428" s="10"/>
      <c r="AV6428" s="10"/>
      <c r="AW6428" s="10"/>
      <c r="AX6428" s="10"/>
      <c r="AY6428" s="10"/>
      <c r="AZ6428" s="10"/>
    </row>
    <row r="6429" spans="31:52">
      <c r="AE6429" s="10"/>
      <c r="AF6429" s="10"/>
      <c r="AG6429" s="10"/>
      <c r="AH6429" s="10"/>
      <c r="AI6429" s="10"/>
      <c r="AJ6429" s="10"/>
      <c r="AK6429" s="10"/>
      <c r="AL6429" s="10"/>
      <c r="AM6429" s="10"/>
      <c r="AN6429" s="10"/>
      <c r="AO6429" s="10"/>
      <c r="AP6429" s="10"/>
      <c r="AQ6429" s="10"/>
      <c r="AR6429" s="10"/>
      <c r="AS6429" s="10"/>
      <c r="AT6429" s="10"/>
      <c r="AU6429" s="10"/>
      <c r="AV6429" s="10"/>
      <c r="AW6429" s="10"/>
      <c r="AX6429" s="10"/>
      <c r="AY6429" s="10"/>
      <c r="AZ6429" s="10"/>
    </row>
    <row r="6430" spans="31:52">
      <c r="AE6430" s="10"/>
      <c r="AF6430" s="10"/>
      <c r="AG6430" s="10"/>
      <c r="AH6430" s="10"/>
      <c r="AI6430" s="10"/>
      <c r="AJ6430" s="10"/>
      <c r="AK6430" s="10"/>
      <c r="AL6430" s="10"/>
      <c r="AM6430" s="10"/>
      <c r="AN6430" s="10"/>
      <c r="AO6430" s="10"/>
      <c r="AP6430" s="10"/>
      <c r="AQ6430" s="10"/>
      <c r="AR6430" s="10"/>
      <c r="AS6430" s="10"/>
      <c r="AT6430" s="10"/>
      <c r="AU6430" s="10"/>
      <c r="AV6430" s="10"/>
      <c r="AW6430" s="10"/>
      <c r="AX6430" s="10"/>
      <c r="AY6430" s="10"/>
      <c r="AZ6430" s="10"/>
    </row>
    <row r="6431" spans="31:52">
      <c r="AE6431" s="10"/>
      <c r="AF6431" s="10"/>
      <c r="AG6431" s="10"/>
      <c r="AH6431" s="10"/>
      <c r="AI6431" s="10"/>
      <c r="AJ6431" s="10"/>
      <c r="AK6431" s="10"/>
      <c r="AL6431" s="10"/>
      <c r="AM6431" s="10"/>
      <c r="AN6431" s="10"/>
      <c r="AO6431" s="10"/>
      <c r="AP6431" s="10"/>
      <c r="AQ6431" s="10"/>
      <c r="AR6431" s="10"/>
      <c r="AS6431" s="10"/>
      <c r="AT6431" s="10"/>
      <c r="AU6431" s="10"/>
      <c r="AV6431" s="10"/>
      <c r="AW6431" s="10"/>
      <c r="AX6431" s="10"/>
      <c r="AY6431" s="10"/>
      <c r="AZ6431" s="10"/>
    </row>
    <row r="6432" spans="31:52">
      <c r="AE6432" s="10"/>
      <c r="AF6432" s="10"/>
      <c r="AG6432" s="10"/>
      <c r="AH6432" s="10"/>
      <c r="AI6432" s="10"/>
      <c r="AJ6432" s="10"/>
      <c r="AK6432" s="10"/>
      <c r="AL6432" s="10"/>
      <c r="AM6432" s="10"/>
      <c r="AN6432" s="10"/>
      <c r="AO6432" s="10"/>
      <c r="AP6432" s="10"/>
      <c r="AQ6432" s="10"/>
      <c r="AR6432" s="10"/>
      <c r="AS6432" s="10"/>
      <c r="AT6432" s="10"/>
      <c r="AU6432" s="10"/>
      <c r="AV6432" s="10"/>
      <c r="AW6432" s="10"/>
      <c r="AX6432" s="10"/>
      <c r="AY6432" s="10"/>
      <c r="AZ6432" s="10"/>
    </row>
    <row r="6433" spans="31:52">
      <c r="AE6433" s="10"/>
      <c r="AF6433" s="10"/>
      <c r="AG6433" s="10"/>
      <c r="AH6433" s="10"/>
      <c r="AI6433" s="10"/>
      <c r="AJ6433" s="10"/>
      <c r="AK6433" s="10"/>
      <c r="AL6433" s="10"/>
      <c r="AM6433" s="10"/>
      <c r="AN6433" s="10"/>
      <c r="AO6433" s="10"/>
      <c r="AP6433" s="10"/>
      <c r="AQ6433" s="10"/>
      <c r="AR6433" s="10"/>
      <c r="AS6433" s="10"/>
      <c r="AT6433" s="10"/>
      <c r="AU6433" s="10"/>
      <c r="AV6433" s="10"/>
      <c r="AW6433" s="10"/>
      <c r="AX6433" s="10"/>
      <c r="AY6433" s="10"/>
      <c r="AZ6433" s="10"/>
    </row>
    <row r="6434" spans="31:52">
      <c r="AE6434" s="10"/>
      <c r="AF6434" s="10"/>
      <c r="AG6434" s="10"/>
      <c r="AH6434" s="10"/>
      <c r="AI6434" s="10"/>
      <c r="AJ6434" s="10"/>
      <c r="AK6434" s="10"/>
      <c r="AL6434" s="10"/>
      <c r="AM6434" s="10"/>
      <c r="AN6434" s="10"/>
      <c r="AO6434" s="10"/>
      <c r="AP6434" s="10"/>
      <c r="AQ6434" s="10"/>
      <c r="AR6434" s="10"/>
      <c r="AS6434" s="10"/>
      <c r="AT6434" s="10"/>
      <c r="AU6434" s="10"/>
      <c r="AV6434" s="10"/>
      <c r="AW6434" s="10"/>
      <c r="AX6434" s="10"/>
      <c r="AY6434" s="10"/>
      <c r="AZ6434" s="10"/>
    </row>
    <row r="6435" spans="31:52">
      <c r="AE6435" s="10"/>
      <c r="AF6435" s="10"/>
      <c r="AG6435" s="10"/>
      <c r="AH6435" s="10"/>
      <c r="AI6435" s="10"/>
      <c r="AJ6435" s="10"/>
      <c r="AK6435" s="10"/>
      <c r="AL6435" s="10"/>
      <c r="AM6435" s="10"/>
      <c r="AN6435" s="10"/>
      <c r="AO6435" s="10"/>
      <c r="AP6435" s="10"/>
      <c r="AQ6435" s="10"/>
      <c r="AR6435" s="10"/>
      <c r="AS6435" s="10"/>
      <c r="AT6435" s="10"/>
      <c r="AU6435" s="10"/>
      <c r="AV6435" s="10"/>
      <c r="AW6435" s="10"/>
      <c r="AX6435" s="10"/>
      <c r="AY6435" s="10"/>
      <c r="AZ6435" s="10"/>
    </row>
    <row r="6436" spans="31:52">
      <c r="AE6436" s="10"/>
      <c r="AF6436" s="10"/>
      <c r="AG6436" s="10"/>
      <c r="AH6436" s="10"/>
      <c r="AI6436" s="10"/>
      <c r="AJ6436" s="10"/>
      <c r="AK6436" s="10"/>
      <c r="AL6436" s="10"/>
      <c r="AM6436" s="10"/>
      <c r="AN6436" s="10"/>
      <c r="AO6436" s="10"/>
      <c r="AP6436" s="10"/>
      <c r="AQ6436" s="10"/>
      <c r="AR6436" s="10"/>
      <c r="AS6436" s="10"/>
      <c r="AT6436" s="10"/>
      <c r="AU6436" s="10"/>
      <c r="AV6436" s="10"/>
      <c r="AW6436" s="10"/>
      <c r="AX6436" s="10"/>
      <c r="AY6436" s="10"/>
      <c r="AZ6436" s="10"/>
    </row>
    <row r="6437" spans="31:52">
      <c r="AE6437" s="10"/>
      <c r="AF6437" s="10"/>
      <c r="AG6437" s="10"/>
      <c r="AH6437" s="10"/>
      <c r="AI6437" s="10"/>
      <c r="AJ6437" s="10"/>
      <c r="AK6437" s="10"/>
      <c r="AL6437" s="10"/>
      <c r="AM6437" s="10"/>
      <c r="AN6437" s="10"/>
      <c r="AO6437" s="10"/>
      <c r="AP6437" s="10"/>
      <c r="AQ6437" s="10"/>
      <c r="AR6437" s="10"/>
      <c r="AS6437" s="10"/>
      <c r="AT6437" s="10"/>
      <c r="AU6437" s="10"/>
      <c r="AV6437" s="10"/>
      <c r="AW6437" s="10"/>
      <c r="AX6437" s="10"/>
      <c r="AY6437" s="10"/>
      <c r="AZ6437" s="10"/>
    </row>
    <row r="6438" spans="31:52">
      <c r="AE6438" s="10"/>
      <c r="AF6438" s="10"/>
      <c r="AG6438" s="10"/>
      <c r="AH6438" s="10"/>
      <c r="AI6438" s="10"/>
      <c r="AJ6438" s="10"/>
      <c r="AK6438" s="10"/>
      <c r="AL6438" s="10"/>
      <c r="AM6438" s="10"/>
      <c r="AN6438" s="10"/>
      <c r="AO6438" s="10"/>
      <c r="AP6438" s="10"/>
      <c r="AQ6438" s="10"/>
      <c r="AR6438" s="10"/>
      <c r="AS6438" s="10"/>
      <c r="AT6438" s="10"/>
      <c r="AU6438" s="10"/>
      <c r="AV6438" s="10"/>
      <c r="AW6438" s="10"/>
      <c r="AX6438" s="10"/>
      <c r="AY6438" s="10"/>
      <c r="AZ6438" s="10"/>
    </row>
    <row r="6439" spans="31:52">
      <c r="AE6439" s="10"/>
      <c r="AF6439" s="10"/>
      <c r="AG6439" s="10"/>
      <c r="AH6439" s="10"/>
      <c r="AI6439" s="10"/>
      <c r="AJ6439" s="10"/>
      <c r="AK6439" s="10"/>
      <c r="AL6439" s="10"/>
      <c r="AM6439" s="10"/>
      <c r="AN6439" s="10"/>
      <c r="AO6439" s="10"/>
      <c r="AP6439" s="10"/>
      <c r="AQ6439" s="10"/>
      <c r="AR6439" s="10"/>
      <c r="AS6439" s="10"/>
      <c r="AT6439" s="10"/>
      <c r="AU6439" s="10"/>
      <c r="AV6439" s="10"/>
      <c r="AW6439" s="10"/>
      <c r="AX6439" s="10"/>
      <c r="AY6439" s="10"/>
      <c r="AZ6439" s="10"/>
    </row>
    <row r="6440" spans="31:52">
      <c r="AE6440" s="10"/>
      <c r="AF6440" s="10"/>
      <c r="AG6440" s="10"/>
      <c r="AH6440" s="10"/>
      <c r="AI6440" s="10"/>
      <c r="AJ6440" s="10"/>
      <c r="AK6440" s="10"/>
      <c r="AL6440" s="10"/>
      <c r="AM6440" s="10"/>
      <c r="AN6440" s="10"/>
      <c r="AO6440" s="10"/>
      <c r="AP6440" s="10"/>
      <c r="AQ6440" s="10"/>
      <c r="AR6440" s="10"/>
      <c r="AS6440" s="10"/>
      <c r="AT6440" s="10"/>
      <c r="AU6440" s="10"/>
      <c r="AV6440" s="10"/>
      <c r="AW6440" s="10"/>
      <c r="AX6440" s="10"/>
      <c r="AY6440" s="10"/>
      <c r="AZ6440" s="10"/>
    </row>
    <row r="6441" spans="31:52">
      <c r="AE6441" s="10"/>
      <c r="AF6441" s="10"/>
      <c r="AG6441" s="10"/>
      <c r="AH6441" s="10"/>
      <c r="AI6441" s="10"/>
      <c r="AJ6441" s="10"/>
      <c r="AK6441" s="10"/>
      <c r="AL6441" s="10"/>
      <c r="AM6441" s="10"/>
      <c r="AN6441" s="10"/>
      <c r="AO6441" s="10"/>
      <c r="AP6441" s="10"/>
      <c r="AQ6441" s="10"/>
      <c r="AR6441" s="10"/>
      <c r="AS6441" s="10"/>
      <c r="AT6441" s="10"/>
      <c r="AU6441" s="10"/>
      <c r="AV6441" s="10"/>
      <c r="AW6441" s="10"/>
      <c r="AX6441" s="10"/>
      <c r="AY6441" s="10"/>
      <c r="AZ6441" s="10"/>
    </row>
    <row r="6442" spans="31:52">
      <c r="AE6442" s="10"/>
      <c r="AF6442" s="10"/>
      <c r="AG6442" s="10"/>
      <c r="AH6442" s="10"/>
      <c r="AI6442" s="10"/>
      <c r="AJ6442" s="10"/>
      <c r="AK6442" s="10"/>
      <c r="AL6442" s="10"/>
      <c r="AM6442" s="10"/>
      <c r="AN6442" s="10"/>
      <c r="AO6442" s="10"/>
      <c r="AP6442" s="10"/>
      <c r="AQ6442" s="10"/>
      <c r="AR6442" s="10"/>
      <c r="AS6442" s="10"/>
      <c r="AT6442" s="10"/>
      <c r="AU6442" s="10"/>
      <c r="AV6442" s="10"/>
      <c r="AW6442" s="10"/>
      <c r="AX6442" s="10"/>
      <c r="AY6442" s="10"/>
      <c r="AZ6442" s="10"/>
    </row>
    <row r="6443" spans="31:52">
      <c r="AE6443" s="10"/>
      <c r="AF6443" s="10"/>
      <c r="AG6443" s="10"/>
      <c r="AH6443" s="10"/>
      <c r="AI6443" s="10"/>
      <c r="AJ6443" s="10"/>
      <c r="AK6443" s="10"/>
      <c r="AL6443" s="10"/>
      <c r="AM6443" s="10"/>
      <c r="AN6443" s="10"/>
      <c r="AO6443" s="10"/>
      <c r="AP6443" s="10"/>
      <c r="AQ6443" s="10"/>
      <c r="AR6443" s="10"/>
      <c r="AS6443" s="10"/>
      <c r="AT6443" s="10"/>
      <c r="AU6443" s="10"/>
      <c r="AV6443" s="10"/>
      <c r="AW6443" s="10"/>
      <c r="AX6443" s="10"/>
      <c r="AY6443" s="10"/>
      <c r="AZ6443" s="10"/>
    </row>
    <row r="6444" spans="31:52">
      <c r="AE6444" s="10"/>
      <c r="AF6444" s="10"/>
      <c r="AG6444" s="10"/>
      <c r="AH6444" s="10"/>
      <c r="AI6444" s="10"/>
      <c r="AJ6444" s="10"/>
      <c r="AK6444" s="10"/>
      <c r="AL6444" s="10"/>
      <c r="AM6444" s="10"/>
      <c r="AN6444" s="10"/>
      <c r="AO6444" s="10"/>
      <c r="AP6444" s="10"/>
      <c r="AQ6444" s="10"/>
      <c r="AR6444" s="10"/>
      <c r="AS6444" s="10"/>
      <c r="AT6444" s="10"/>
      <c r="AU6444" s="10"/>
      <c r="AV6444" s="10"/>
      <c r="AW6444" s="10"/>
      <c r="AX6444" s="10"/>
      <c r="AY6444" s="10"/>
      <c r="AZ6444" s="10"/>
    </row>
    <row r="6445" spans="31:52">
      <c r="AE6445" s="10"/>
      <c r="AF6445" s="10"/>
      <c r="AG6445" s="10"/>
      <c r="AH6445" s="10"/>
      <c r="AI6445" s="10"/>
      <c r="AJ6445" s="10"/>
      <c r="AK6445" s="10"/>
      <c r="AL6445" s="10"/>
      <c r="AM6445" s="10"/>
      <c r="AN6445" s="10"/>
      <c r="AO6445" s="10"/>
      <c r="AP6445" s="10"/>
      <c r="AQ6445" s="10"/>
      <c r="AR6445" s="10"/>
      <c r="AS6445" s="10"/>
      <c r="AT6445" s="10"/>
      <c r="AU6445" s="10"/>
      <c r="AV6445" s="10"/>
      <c r="AW6445" s="10"/>
      <c r="AX6445" s="10"/>
      <c r="AY6445" s="10"/>
      <c r="AZ6445" s="10"/>
    </row>
    <row r="6446" spans="31:52">
      <c r="AE6446" s="10"/>
      <c r="AF6446" s="10"/>
      <c r="AG6446" s="10"/>
      <c r="AH6446" s="10"/>
      <c r="AI6446" s="10"/>
      <c r="AJ6446" s="10"/>
      <c r="AK6446" s="10"/>
      <c r="AL6446" s="10"/>
      <c r="AM6446" s="10"/>
      <c r="AN6446" s="10"/>
      <c r="AO6446" s="10"/>
      <c r="AP6446" s="10"/>
      <c r="AQ6446" s="10"/>
      <c r="AR6446" s="10"/>
      <c r="AS6446" s="10"/>
      <c r="AT6446" s="10"/>
      <c r="AU6446" s="10"/>
      <c r="AV6446" s="10"/>
      <c r="AW6446" s="10"/>
      <c r="AX6446" s="10"/>
      <c r="AY6446" s="10"/>
      <c r="AZ6446" s="10"/>
    </row>
    <row r="6447" spans="31:52">
      <c r="AE6447" s="10"/>
      <c r="AF6447" s="10"/>
      <c r="AG6447" s="10"/>
      <c r="AH6447" s="10"/>
      <c r="AI6447" s="10"/>
      <c r="AJ6447" s="10"/>
      <c r="AK6447" s="10"/>
      <c r="AL6447" s="10"/>
      <c r="AM6447" s="10"/>
      <c r="AN6447" s="10"/>
      <c r="AO6447" s="10"/>
      <c r="AP6447" s="10"/>
      <c r="AQ6447" s="10"/>
      <c r="AR6447" s="10"/>
      <c r="AS6447" s="10"/>
      <c r="AT6447" s="10"/>
      <c r="AU6447" s="10"/>
      <c r="AV6447" s="10"/>
      <c r="AW6447" s="10"/>
      <c r="AX6447" s="10"/>
      <c r="AY6447" s="10"/>
      <c r="AZ6447" s="10"/>
    </row>
    <row r="6448" spans="31:52">
      <c r="AE6448" s="10"/>
      <c r="AF6448" s="10"/>
      <c r="AG6448" s="10"/>
      <c r="AH6448" s="10"/>
      <c r="AI6448" s="10"/>
      <c r="AJ6448" s="10"/>
      <c r="AK6448" s="10"/>
      <c r="AL6448" s="10"/>
      <c r="AM6448" s="10"/>
      <c r="AN6448" s="10"/>
      <c r="AO6448" s="10"/>
      <c r="AP6448" s="10"/>
      <c r="AQ6448" s="10"/>
      <c r="AR6448" s="10"/>
      <c r="AS6448" s="10"/>
      <c r="AT6448" s="10"/>
      <c r="AU6448" s="10"/>
      <c r="AV6448" s="10"/>
      <c r="AW6448" s="10"/>
      <c r="AX6448" s="10"/>
      <c r="AY6448" s="10"/>
      <c r="AZ6448" s="10"/>
    </row>
    <row r="6449" spans="31:52">
      <c r="AE6449" s="10"/>
      <c r="AF6449" s="10"/>
      <c r="AG6449" s="10"/>
      <c r="AH6449" s="10"/>
      <c r="AI6449" s="10"/>
      <c r="AJ6449" s="10"/>
      <c r="AK6449" s="10"/>
      <c r="AL6449" s="10"/>
      <c r="AM6449" s="10"/>
      <c r="AN6449" s="10"/>
      <c r="AO6449" s="10"/>
      <c r="AP6449" s="10"/>
      <c r="AQ6449" s="10"/>
      <c r="AR6449" s="10"/>
      <c r="AS6449" s="10"/>
      <c r="AT6449" s="10"/>
      <c r="AU6449" s="10"/>
      <c r="AV6449" s="10"/>
      <c r="AW6449" s="10"/>
      <c r="AX6449" s="10"/>
      <c r="AY6449" s="10"/>
      <c r="AZ6449" s="10"/>
    </row>
    <row r="6450" spans="31:52">
      <c r="AE6450" s="10"/>
      <c r="AF6450" s="10"/>
      <c r="AG6450" s="10"/>
      <c r="AH6450" s="10"/>
      <c r="AI6450" s="10"/>
      <c r="AJ6450" s="10"/>
      <c r="AK6450" s="10"/>
      <c r="AL6450" s="10"/>
      <c r="AM6450" s="10"/>
      <c r="AN6450" s="10"/>
      <c r="AO6450" s="10"/>
      <c r="AP6450" s="10"/>
      <c r="AQ6450" s="10"/>
      <c r="AR6450" s="10"/>
      <c r="AS6450" s="10"/>
      <c r="AT6450" s="10"/>
      <c r="AU6450" s="10"/>
      <c r="AV6450" s="10"/>
      <c r="AW6450" s="10"/>
      <c r="AX6450" s="10"/>
      <c r="AY6450" s="10"/>
      <c r="AZ6450" s="10"/>
    </row>
    <row r="6451" spans="31:52">
      <c r="AE6451" s="10"/>
      <c r="AF6451" s="10"/>
      <c r="AG6451" s="10"/>
      <c r="AH6451" s="10"/>
      <c r="AI6451" s="10"/>
      <c r="AJ6451" s="10"/>
      <c r="AK6451" s="10"/>
      <c r="AL6451" s="10"/>
      <c r="AM6451" s="10"/>
      <c r="AN6451" s="10"/>
      <c r="AO6451" s="10"/>
      <c r="AP6451" s="10"/>
      <c r="AQ6451" s="10"/>
      <c r="AR6451" s="10"/>
      <c r="AS6451" s="10"/>
      <c r="AT6451" s="10"/>
      <c r="AU6451" s="10"/>
      <c r="AV6451" s="10"/>
      <c r="AW6451" s="10"/>
      <c r="AX6451" s="10"/>
      <c r="AY6451" s="10"/>
      <c r="AZ6451" s="10"/>
    </row>
    <row r="6452" spans="31:52">
      <c r="AE6452" s="10"/>
      <c r="AF6452" s="10"/>
      <c r="AG6452" s="10"/>
      <c r="AH6452" s="10"/>
      <c r="AI6452" s="10"/>
      <c r="AJ6452" s="10"/>
      <c r="AK6452" s="10"/>
      <c r="AL6452" s="10"/>
      <c r="AM6452" s="10"/>
      <c r="AN6452" s="10"/>
      <c r="AO6452" s="10"/>
      <c r="AP6452" s="10"/>
      <c r="AQ6452" s="10"/>
      <c r="AR6452" s="10"/>
      <c r="AS6452" s="10"/>
      <c r="AT6452" s="10"/>
      <c r="AU6452" s="10"/>
      <c r="AV6452" s="10"/>
      <c r="AW6452" s="10"/>
      <c r="AX6452" s="10"/>
      <c r="AY6452" s="10"/>
      <c r="AZ6452" s="10"/>
    </row>
    <row r="6453" spans="31:52">
      <c r="AE6453" s="10"/>
      <c r="AF6453" s="10"/>
      <c r="AG6453" s="10"/>
      <c r="AH6453" s="10"/>
      <c r="AI6453" s="10"/>
      <c r="AJ6453" s="10"/>
      <c r="AK6453" s="10"/>
      <c r="AL6453" s="10"/>
      <c r="AM6453" s="10"/>
      <c r="AN6453" s="10"/>
      <c r="AO6453" s="10"/>
      <c r="AP6453" s="10"/>
      <c r="AQ6453" s="10"/>
      <c r="AR6453" s="10"/>
      <c r="AS6453" s="10"/>
      <c r="AT6453" s="10"/>
      <c r="AU6453" s="10"/>
      <c r="AV6453" s="10"/>
      <c r="AW6453" s="10"/>
      <c r="AX6453" s="10"/>
      <c r="AY6453" s="10"/>
      <c r="AZ6453" s="10"/>
    </row>
    <row r="6454" spans="31:52">
      <c r="AE6454" s="10"/>
      <c r="AF6454" s="10"/>
      <c r="AG6454" s="10"/>
      <c r="AH6454" s="10"/>
      <c r="AI6454" s="10"/>
      <c r="AJ6454" s="10"/>
      <c r="AK6454" s="10"/>
      <c r="AL6454" s="10"/>
      <c r="AM6454" s="10"/>
      <c r="AN6454" s="10"/>
      <c r="AO6454" s="10"/>
      <c r="AP6454" s="10"/>
      <c r="AQ6454" s="10"/>
      <c r="AR6454" s="10"/>
      <c r="AS6454" s="10"/>
      <c r="AT6454" s="10"/>
      <c r="AU6454" s="10"/>
      <c r="AV6454" s="10"/>
      <c r="AW6454" s="10"/>
      <c r="AX6454" s="10"/>
      <c r="AY6454" s="10"/>
      <c r="AZ6454" s="10"/>
    </row>
    <row r="6455" spans="31:52">
      <c r="AE6455" s="10"/>
      <c r="AF6455" s="10"/>
      <c r="AG6455" s="10"/>
      <c r="AH6455" s="10"/>
      <c r="AI6455" s="10"/>
      <c r="AJ6455" s="10"/>
      <c r="AK6455" s="10"/>
      <c r="AL6455" s="10"/>
      <c r="AM6455" s="10"/>
      <c r="AN6455" s="10"/>
      <c r="AO6455" s="10"/>
      <c r="AP6455" s="10"/>
      <c r="AQ6455" s="10"/>
      <c r="AR6455" s="10"/>
      <c r="AS6455" s="10"/>
      <c r="AT6455" s="10"/>
      <c r="AU6455" s="10"/>
      <c r="AV6455" s="10"/>
      <c r="AW6455" s="10"/>
      <c r="AX6455" s="10"/>
      <c r="AY6455" s="10"/>
      <c r="AZ6455" s="10"/>
    </row>
    <row r="6456" spans="31:52">
      <c r="AE6456" s="10"/>
      <c r="AF6456" s="10"/>
      <c r="AG6456" s="10"/>
      <c r="AH6456" s="10"/>
      <c r="AI6456" s="10"/>
      <c r="AJ6456" s="10"/>
      <c r="AK6456" s="10"/>
      <c r="AL6456" s="10"/>
      <c r="AM6456" s="10"/>
      <c r="AN6456" s="10"/>
      <c r="AO6456" s="10"/>
      <c r="AP6456" s="10"/>
      <c r="AQ6456" s="10"/>
      <c r="AR6456" s="10"/>
      <c r="AS6456" s="10"/>
      <c r="AT6456" s="10"/>
      <c r="AU6456" s="10"/>
      <c r="AV6456" s="10"/>
      <c r="AW6456" s="10"/>
      <c r="AX6456" s="10"/>
      <c r="AY6456" s="10"/>
      <c r="AZ6456" s="10"/>
    </row>
    <row r="6457" spans="31:52">
      <c r="AE6457" s="10"/>
      <c r="AF6457" s="10"/>
      <c r="AG6457" s="10"/>
      <c r="AH6457" s="10"/>
      <c r="AI6457" s="10"/>
      <c r="AJ6457" s="10"/>
      <c r="AK6457" s="10"/>
      <c r="AL6457" s="10"/>
      <c r="AM6457" s="10"/>
      <c r="AN6457" s="10"/>
      <c r="AO6457" s="10"/>
      <c r="AP6457" s="10"/>
      <c r="AQ6457" s="10"/>
      <c r="AR6457" s="10"/>
      <c r="AS6457" s="10"/>
      <c r="AT6457" s="10"/>
      <c r="AU6457" s="10"/>
      <c r="AV6457" s="10"/>
      <c r="AW6457" s="10"/>
      <c r="AX6457" s="10"/>
      <c r="AY6457" s="10"/>
      <c r="AZ6457" s="10"/>
    </row>
    <row r="6458" spans="31:52">
      <c r="AE6458" s="10"/>
      <c r="AF6458" s="10"/>
      <c r="AG6458" s="10"/>
      <c r="AH6458" s="10"/>
      <c r="AI6458" s="10"/>
      <c r="AJ6458" s="10"/>
      <c r="AK6458" s="10"/>
      <c r="AL6458" s="10"/>
      <c r="AM6458" s="10"/>
      <c r="AN6458" s="10"/>
      <c r="AO6458" s="10"/>
      <c r="AP6458" s="10"/>
      <c r="AQ6458" s="10"/>
      <c r="AR6458" s="10"/>
      <c r="AS6458" s="10"/>
      <c r="AT6458" s="10"/>
      <c r="AU6458" s="10"/>
      <c r="AV6458" s="10"/>
      <c r="AW6458" s="10"/>
      <c r="AX6458" s="10"/>
      <c r="AY6458" s="10"/>
      <c r="AZ6458" s="10"/>
    </row>
    <row r="6459" spans="31:52">
      <c r="AE6459" s="10"/>
      <c r="AF6459" s="10"/>
      <c r="AG6459" s="10"/>
      <c r="AH6459" s="10"/>
      <c r="AI6459" s="10"/>
      <c r="AJ6459" s="10"/>
      <c r="AK6459" s="10"/>
      <c r="AL6459" s="10"/>
      <c r="AM6459" s="10"/>
      <c r="AN6459" s="10"/>
      <c r="AO6459" s="10"/>
      <c r="AP6459" s="10"/>
      <c r="AQ6459" s="10"/>
      <c r="AR6459" s="10"/>
      <c r="AS6459" s="10"/>
      <c r="AT6459" s="10"/>
      <c r="AU6459" s="10"/>
      <c r="AV6459" s="10"/>
      <c r="AW6459" s="10"/>
      <c r="AX6459" s="10"/>
      <c r="AY6459" s="10"/>
      <c r="AZ6459" s="10"/>
    </row>
    <row r="6460" spans="31:52">
      <c r="AE6460" s="10"/>
      <c r="AF6460" s="10"/>
      <c r="AG6460" s="10"/>
      <c r="AH6460" s="10"/>
      <c r="AI6460" s="10"/>
      <c r="AJ6460" s="10"/>
      <c r="AK6460" s="10"/>
      <c r="AL6460" s="10"/>
      <c r="AM6460" s="10"/>
      <c r="AN6460" s="10"/>
      <c r="AO6460" s="10"/>
      <c r="AP6460" s="10"/>
      <c r="AQ6460" s="10"/>
      <c r="AR6460" s="10"/>
      <c r="AS6460" s="10"/>
      <c r="AT6460" s="10"/>
      <c r="AU6460" s="10"/>
      <c r="AV6460" s="10"/>
      <c r="AW6460" s="10"/>
      <c r="AX6460" s="10"/>
      <c r="AY6460" s="10"/>
      <c r="AZ6460" s="10"/>
    </row>
    <row r="6461" spans="31:52">
      <c r="AE6461" s="10"/>
      <c r="AF6461" s="10"/>
      <c r="AG6461" s="10"/>
      <c r="AH6461" s="10"/>
      <c r="AI6461" s="10"/>
      <c r="AJ6461" s="10"/>
      <c r="AK6461" s="10"/>
      <c r="AL6461" s="10"/>
      <c r="AM6461" s="10"/>
      <c r="AN6461" s="10"/>
      <c r="AO6461" s="10"/>
      <c r="AP6461" s="10"/>
      <c r="AQ6461" s="10"/>
      <c r="AR6461" s="10"/>
      <c r="AS6461" s="10"/>
      <c r="AT6461" s="10"/>
      <c r="AU6461" s="10"/>
      <c r="AV6461" s="10"/>
      <c r="AW6461" s="10"/>
      <c r="AX6461" s="10"/>
      <c r="AY6461" s="10"/>
      <c r="AZ6461" s="10"/>
    </row>
    <row r="6462" spans="31:52">
      <c r="AE6462" s="10"/>
      <c r="AF6462" s="10"/>
      <c r="AG6462" s="10"/>
      <c r="AH6462" s="10"/>
      <c r="AI6462" s="10"/>
      <c r="AJ6462" s="10"/>
      <c r="AK6462" s="10"/>
      <c r="AL6462" s="10"/>
      <c r="AM6462" s="10"/>
      <c r="AN6462" s="10"/>
      <c r="AO6462" s="10"/>
      <c r="AP6462" s="10"/>
      <c r="AQ6462" s="10"/>
      <c r="AR6462" s="10"/>
      <c r="AS6462" s="10"/>
      <c r="AT6462" s="10"/>
      <c r="AU6462" s="10"/>
      <c r="AV6462" s="10"/>
      <c r="AW6462" s="10"/>
      <c r="AX6462" s="10"/>
      <c r="AY6462" s="10"/>
      <c r="AZ6462" s="10"/>
    </row>
    <row r="6463" spans="31:52">
      <c r="AE6463" s="10"/>
      <c r="AF6463" s="10"/>
      <c r="AG6463" s="10"/>
      <c r="AH6463" s="10"/>
      <c r="AI6463" s="10"/>
      <c r="AJ6463" s="10"/>
      <c r="AK6463" s="10"/>
      <c r="AL6463" s="10"/>
      <c r="AM6463" s="10"/>
      <c r="AN6463" s="10"/>
      <c r="AO6463" s="10"/>
      <c r="AP6463" s="10"/>
      <c r="AQ6463" s="10"/>
      <c r="AR6463" s="10"/>
      <c r="AS6463" s="10"/>
      <c r="AT6463" s="10"/>
      <c r="AU6463" s="10"/>
      <c r="AV6463" s="10"/>
      <c r="AW6463" s="10"/>
      <c r="AX6463" s="10"/>
      <c r="AY6463" s="10"/>
      <c r="AZ6463" s="10"/>
    </row>
    <row r="6464" spans="31:52">
      <c r="AE6464" s="10"/>
      <c r="AF6464" s="10"/>
      <c r="AG6464" s="10"/>
      <c r="AH6464" s="10"/>
      <c r="AI6464" s="10"/>
      <c r="AJ6464" s="10"/>
      <c r="AK6464" s="10"/>
      <c r="AL6464" s="10"/>
      <c r="AM6464" s="10"/>
      <c r="AN6464" s="10"/>
      <c r="AO6464" s="10"/>
      <c r="AP6464" s="10"/>
      <c r="AQ6464" s="10"/>
      <c r="AR6464" s="10"/>
      <c r="AS6464" s="10"/>
      <c r="AT6464" s="10"/>
      <c r="AU6464" s="10"/>
      <c r="AV6464" s="10"/>
      <c r="AW6464" s="10"/>
      <c r="AX6464" s="10"/>
      <c r="AY6464" s="10"/>
      <c r="AZ6464" s="10"/>
    </row>
    <row r="6465" spans="31:52">
      <c r="AE6465" s="10"/>
      <c r="AF6465" s="10"/>
      <c r="AG6465" s="10"/>
      <c r="AH6465" s="10"/>
      <c r="AI6465" s="10"/>
      <c r="AJ6465" s="10"/>
      <c r="AK6465" s="10"/>
      <c r="AL6465" s="10"/>
      <c r="AM6465" s="10"/>
      <c r="AN6465" s="10"/>
      <c r="AO6465" s="10"/>
      <c r="AP6465" s="10"/>
      <c r="AQ6465" s="10"/>
      <c r="AR6465" s="10"/>
      <c r="AS6465" s="10"/>
      <c r="AT6465" s="10"/>
      <c r="AU6465" s="10"/>
      <c r="AV6465" s="10"/>
      <c r="AW6465" s="10"/>
      <c r="AX6465" s="10"/>
      <c r="AY6465" s="10"/>
      <c r="AZ6465" s="10"/>
    </row>
    <row r="6466" spans="31:52">
      <c r="AE6466" s="10"/>
      <c r="AF6466" s="10"/>
      <c r="AG6466" s="10"/>
      <c r="AH6466" s="10"/>
      <c r="AI6466" s="10"/>
      <c r="AJ6466" s="10"/>
      <c r="AK6466" s="10"/>
      <c r="AL6466" s="10"/>
      <c r="AM6466" s="10"/>
      <c r="AN6466" s="10"/>
      <c r="AO6466" s="10"/>
      <c r="AP6466" s="10"/>
      <c r="AQ6466" s="10"/>
      <c r="AR6466" s="10"/>
      <c r="AS6466" s="10"/>
      <c r="AT6466" s="10"/>
      <c r="AU6466" s="10"/>
      <c r="AV6466" s="10"/>
      <c r="AW6466" s="10"/>
      <c r="AX6466" s="10"/>
      <c r="AY6466" s="10"/>
      <c r="AZ6466" s="10"/>
    </row>
    <row r="6467" spans="31:52">
      <c r="AE6467" s="10"/>
      <c r="AF6467" s="10"/>
      <c r="AG6467" s="10"/>
      <c r="AH6467" s="10"/>
      <c r="AI6467" s="10"/>
      <c r="AJ6467" s="10"/>
      <c r="AK6467" s="10"/>
      <c r="AL6467" s="10"/>
      <c r="AM6467" s="10"/>
      <c r="AN6467" s="10"/>
      <c r="AO6467" s="10"/>
      <c r="AP6467" s="10"/>
      <c r="AQ6467" s="10"/>
      <c r="AR6467" s="10"/>
      <c r="AS6467" s="10"/>
      <c r="AT6467" s="10"/>
      <c r="AU6467" s="10"/>
      <c r="AV6467" s="10"/>
      <c r="AW6467" s="10"/>
      <c r="AX6467" s="10"/>
      <c r="AY6467" s="10"/>
      <c r="AZ6467" s="10"/>
    </row>
    <row r="6468" spans="31:52">
      <c r="AE6468" s="10"/>
      <c r="AF6468" s="10"/>
      <c r="AG6468" s="10"/>
      <c r="AH6468" s="10"/>
      <c r="AI6468" s="10"/>
      <c r="AJ6468" s="10"/>
      <c r="AK6468" s="10"/>
      <c r="AL6468" s="10"/>
      <c r="AM6468" s="10"/>
      <c r="AN6468" s="10"/>
      <c r="AO6468" s="10"/>
      <c r="AP6468" s="10"/>
      <c r="AQ6468" s="10"/>
      <c r="AR6468" s="10"/>
      <c r="AS6468" s="10"/>
      <c r="AT6468" s="10"/>
      <c r="AU6468" s="10"/>
      <c r="AV6468" s="10"/>
      <c r="AW6468" s="10"/>
      <c r="AX6468" s="10"/>
      <c r="AY6468" s="10"/>
      <c r="AZ6468" s="10"/>
    </row>
    <row r="6469" spans="31:52">
      <c r="AE6469" s="10"/>
      <c r="AF6469" s="10"/>
      <c r="AG6469" s="10"/>
      <c r="AH6469" s="10"/>
      <c r="AI6469" s="10"/>
      <c r="AJ6469" s="10"/>
      <c r="AK6469" s="10"/>
      <c r="AL6469" s="10"/>
      <c r="AM6469" s="10"/>
      <c r="AN6469" s="10"/>
      <c r="AO6469" s="10"/>
      <c r="AP6469" s="10"/>
      <c r="AQ6469" s="10"/>
      <c r="AR6469" s="10"/>
      <c r="AS6469" s="10"/>
      <c r="AT6469" s="10"/>
      <c r="AU6469" s="10"/>
      <c r="AV6469" s="10"/>
      <c r="AW6469" s="10"/>
      <c r="AX6469" s="10"/>
      <c r="AY6469" s="10"/>
      <c r="AZ6469" s="10"/>
    </row>
    <row r="6470" spans="31:52">
      <c r="AE6470" s="10"/>
      <c r="AF6470" s="10"/>
      <c r="AG6470" s="10"/>
      <c r="AH6470" s="10"/>
      <c r="AI6470" s="10"/>
      <c r="AJ6470" s="10"/>
      <c r="AK6470" s="10"/>
      <c r="AL6470" s="10"/>
      <c r="AM6470" s="10"/>
      <c r="AN6470" s="10"/>
      <c r="AO6470" s="10"/>
      <c r="AP6470" s="10"/>
      <c r="AQ6470" s="10"/>
      <c r="AR6470" s="10"/>
      <c r="AS6470" s="10"/>
      <c r="AT6470" s="10"/>
      <c r="AU6470" s="10"/>
      <c r="AV6470" s="10"/>
      <c r="AW6470" s="10"/>
      <c r="AX6470" s="10"/>
      <c r="AY6470" s="10"/>
      <c r="AZ6470" s="10"/>
    </row>
    <row r="6471" spans="31:52">
      <c r="AE6471" s="10"/>
      <c r="AF6471" s="10"/>
      <c r="AG6471" s="10"/>
      <c r="AH6471" s="10"/>
      <c r="AI6471" s="10"/>
      <c r="AJ6471" s="10"/>
      <c r="AK6471" s="10"/>
      <c r="AL6471" s="10"/>
      <c r="AM6471" s="10"/>
      <c r="AN6471" s="10"/>
      <c r="AO6471" s="10"/>
      <c r="AP6471" s="10"/>
      <c r="AQ6471" s="10"/>
      <c r="AR6471" s="10"/>
      <c r="AS6471" s="10"/>
      <c r="AT6471" s="10"/>
      <c r="AU6471" s="10"/>
      <c r="AV6471" s="10"/>
      <c r="AW6471" s="10"/>
      <c r="AX6471" s="10"/>
      <c r="AY6471" s="10"/>
      <c r="AZ6471" s="10"/>
    </row>
    <row r="6472" spans="31:52">
      <c r="AE6472" s="10"/>
      <c r="AF6472" s="10"/>
      <c r="AG6472" s="10"/>
      <c r="AH6472" s="10"/>
      <c r="AI6472" s="10"/>
      <c r="AJ6472" s="10"/>
      <c r="AK6472" s="10"/>
      <c r="AL6472" s="10"/>
      <c r="AM6472" s="10"/>
      <c r="AN6472" s="10"/>
      <c r="AO6472" s="10"/>
      <c r="AP6472" s="10"/>
      <c r="AQ6472" s="10"/>
      <c r="AR6472" s="10"/>
      <c r="AS6472" s="10"/>
      <c r="AT6472" s="10"/>
      <c r="AU6472" s="10"/>
      <c r="AV6472" s="10"/>
      <c r="AW6472" s="10"/>
      <c r="AX6472" s="10"/>
      <c r="AY6472" s="10"/>
      <c r="AZ6472" s="10"/>
    </row>
    <row r="6473" spans="31:52">
      <c r="AE6473" s="10"/>
      <c r="AF6473" s="10"/>
      <c r="AG6473" s="10"/>
      <c r="AH6473" s="10"/>
      <c r="AI6473" s="10"/>
      <c r="AJ6473" s="10"/>
      <c r="AK6473" s="10"/>
      <c r="AL6473" s="10"/>
      <c r="AM6473" s="10"/>
      <c r="AN6473" s="10"/>
      <c r="AO6473" s="10"/>
      <c r="AP6473" s="10"/>
      <c r="AQ6473" s="10"/>
      <c r="AR6473" s="10"/>
      <c r="AS6473" s="10"/>
      <c r="AT6473" s="10"/>
      <c r="AU6473" s="10"/>
      <c r="AV6473" s="10"/>
      <c r="AW6473" s="10"/>
      <c r="AX6473" s="10"/>
      <c r="AY6473" s="10"/>
      <c r="AZ6473" s="10"/>
    </row>
    <row r="6474" spans="31:52">
      <c r="AE6474" s="10"/>
      <c r="AF6474" s="10"/>
      <c r="AG6474" s="10"/>
      <c r="AH6474" s="10"/>
      <c r="AI6474" s="10"/>
      <c r="AJ6474" s="10"/>
      <c r="AK6474" s="10"/>
      <c r="AL6474" s="10"/>
      <c r="AM6474" s="10"/>
      <c r="AN6474" s="10"/>
      <c r="AO6474" s="10"/>
      <c r="AP6474" s="10"/>
      <c r="AQ6474" s="10"/>
      <c r="AR6474" s="10"/>
      <c r="AS6474" s="10"/>
      <c r="AT6474" s="10"/>
      <c r="AU6474" s="10"/>
      <c r="AV6474" s="10"/>
      <c r="AW6474" s="10"/>
      <c r="AX6474" s="10"/>
      <c r="AY6474" s="10"/>
      <c r="AZ6474" s="10"/>
    </row>
    <row r="6475" spans="31:52">
      <c r="AE6475" s="10"/>
      <c r="AF6475" s="10"/>
      <c r="AG6475" s="10"/>
      <c r="AH6475" s="10"/>
      <c r="AI6475" s="10"/>
      <c r="AJ6475" s="10"/>
      <c r="AK6475" s="10"/>
      <c r="AL6475" s="10"/>
      <c r="AM6475" s="10"/>
      <c r="AN6475" s="10"/>
      <c r="AO6475" s="10"/>
      <c r="AP6475" s="10"/>
      <c r="AQ6475" s="10"/>
      <c r="AR6475" s="10"/>
      <c r="AS6475" s="10"/>
      <c r="AT6475" s="10"/>
      <c r="AU6475" s="10"/>
      <c r="AV6475" s="10"/>
      <c r="AW6475" s="10"/>
      <c r="AX6475" s="10"/>
      <c r="AY6475" s="10"/>
      <c r="AZ6475" s="10"/>
    </row>
    <row r="6476" spans="31:52">
      <c r="AE6476" s="10"/>
      <c r="AF6476" s="10"/>
      <c r="AG6476" s="10"/>
      <c r="AH6476" s="10"/>
      <c r="AI6476" s="10"/>
      <c r="AJ6476" s="10"/>
      <c r="AK6476" s="10"/>
      <c r="AL6476" s="10"/>
      <c r="AM6476" s="10"/>
      <c r="AN6476" s="10"/>
      <c r="AO6476" s="10"/>
      <c r="AP6476" s="10"/>
      <c r="AQ6476" s="10"/>
      <c r="AR6476" s="10"/>
      <c r="AS6476" s="10"/>
      <c r="AT6476" s="10"/>
      <c r="AU6476" s="10"/>
      <c r="AV6476" s="10"/>
      <c r="AW6476" s="10"/>
      <c r="AX6476" s="10"/>
      <c r="AY6476" s="10"/>
      <c r="AZ6476" s="10"/>
    </row>
    <row r="6477" spans="31:52">
      <c r="AE6477" s="10"/>
      <c r="AF6477" s="10"/>
      <c r="AG6477" s="10"/>
      <c r="AH6477" s="10"/>
      <c r="AI6477" s="10"/>
      <c r="AJ6477" s="10"/>
      <c r="AK6477" s="10"/>
      <c r="AL6477" s="10"/>
      <c r="AM6477" s="10"/>
      <c r="AN6477" s="10"/>
      <c r="AO6477" s="10"/>
      <c r="AP6477" s="10"/>
      <c r="AQ6477" s="10"/>
      <c r="AR6477" s="10"/>
      <c r="AS6477" s="10"/>
      <c r="AT6477" s="10"/>
      <c r="AU6477" s="10"/>
      <c r="AV6477" s="10"/>
      <c r="AW6477" s="10"/>
      <c r="AX6477" s="10"/>
      <c r="AY6477" s="10"/>
      <c r="AZ6477" s="10"/>
    </row>
    <row r="6478" spans="31:52">
      <c r="AE6478" s="10"/>
      <c r="AF6478" s="10"/>
      <c r="AG6478" s="10"/>
      <c r="AH6478" s="10"/>
      <c r="AI6478" s="10"/>
      <c r="AJ6478" s="10"/>
      <c r="AK6478" s="10"/>
      <c r="AL6478" s="10"/>
      <c r="AM6478" s="10"/>
      <c r="AN6478" s="10"/>
      <c r="AO6478" s="10"/>
      <c r="AP6478" s="10"/>
      <c r="AQ6478" s="10"/>
      <c r="AR6478" s="10"/>
      <c r="AS6478" s="10"/>
      <c r="AT6478" s="10"/>
      <c r="AU6478" s="10"/>
      <c r="AV6478" s="10"/>
      <c r="AW6478" s="10"/>
      <c r="AX6478" s="10"/>
      <c r="AY6478" s="10"/>
      <c r="AZ6478" s="10"/>
    </row>
    <row r="6479" spans="31:52">
      <c r="AE6479" s="10"/>
      <c r="AF6479" s="10"/>
      <c r="AG6479" s="10"/>
      <c r="AH6479" s="10"/>
      <c r="AI6479" s="10"/>
      <c r="AJ6479" s="10"/>
      <c r="AK6479" s="10"/>
      <c r="AL6479" s="10"/>
      <c r="AM6479" s="10"/>
      <c r="AN6479" s="10"/>
      <c r="AO6479" s="10"/>
      <c r="AP6479" s="10"/>
      <c r="AQ6479" s="10"/>
      <c r="AR6479" s="10"/>
      <c r="AS6479" s="10"/>
      <c r="AT6479" s="10"/>
      <c r="AU6479" s="10"/>
      <c r="AV6479" s="10"/>
      <c r="AW6479" s="10"/>
      <c r="AX6479" s="10"/>
      <c r="AY6479" s="10"/>
      <c r="AZ6479" s="10"/>
    </row>
    <row r="6480" spans="31:52">
      <c r="AE6480" s="10"/>
      <c r="AF6480" s="10"/>
      <c r="AG6480" s="10"/>
      <c r="AH6480" s="10"/>
      <c r="AI6480" s="10"/>
      <c r="AJ6480" s="10"/>
      <c r="AK6480" s="10"/>
      <c r="AL6480" s="10"/>
      <c r="AM6480" s="10"/>
      <c r="AN6480" s="10"/>
      <c r="AO6480" s="10"/>
      <c r="AP6480" s="10"/>
      <c r="AQ6480" s="10"/>
      <c r="AR6480" s="10"/>
      <c r="AS6480" s="10"/>
      <c r="AT6480" s="10"/>
      <c r="AU6480" s="10"/>
      <c r="AV6480" s="10"/>
      <c r="AW6480" s="10"/>
      <c r="AX6480" s="10"/>
      <c r="AY6480" s="10"/>
      <c r="AZ6480" s="10"/>
    </row>
    <row r="6481" spans="31:52">
      <c r="AE6481" s="10"/>
      <c r="AF6481" s="10"/>
      <c r="AG6481" s="10"/>
      <c r="AH6481" s="10"/>
      <c r="AI6481" s="10"/>
      <c r="AJ6481" s="10"/>
      <c r="AK6481" s="10"/>
      <c r="AL6481" s="10"/>
      <c r="AM6481" s="10"/>
      <c r="AN6481" s="10"/>
      <c r="AO6481" s="10"/>
      <c r="AP6481" s="10"/>
      <c r="AQ6481" s="10"/>
      <c r="AR6481" s="10"/>
      <c r="AS6481" s="10"/>
      <c r="AT6481" s="10"/>
      <c r="AU6481" s="10"/>
      <c r="AV6481" s="10"/>
      <c r="AW6481" s="10"/>
      <c r="AX6481" s="10"/>
      <c r="AY6481" s="10"/>
      <c r="AZ6481" s="10"/>
    </row>
    <row r="6482" spans="31:52">
      <c r="AE6482" s="10"/>
      <c r="AF6482" s="10"/>
      <c r="AG6482" s="10"/>
      <c r="AH6482" s="10"/>
      <c r="AI6482" s="10"/>
      <c r="AJ6482" s="10"/>
      <c r="AK6482" s="10"/>
      <c r="AL6482" s="10"/>
      <c r="AM6482" s="10"/>
      <c r="AN6482" s="10"/>
      <c r="AO6482" s="10"/>
      <c r="AP6482" s="10"/>
      <c r="AQ6482" s="10"/>
      <c r="AR6482" s="10"/>
      <c r="AS6482" s="10"/>
      <c r="AT6482" s="10"/>
      <c r="AU6482" s="10"/>
      <c r="AV6482" s="10"/>
      <c r="AW6482" s="10"/>
      <c r="AX6482" s="10"/>
      <c r="AY6482" s="10"/>
      <c r="AZ6482" s="10"/>
    </row>
    <row r="6483" spans="31:52">
      <c r="AE6483" s="10"/>
      <c r="AF6483" s="10"/>
      <c r="AG6483" s="10"/>
      <c r="AH6483" s="10"/>
      <c r="AI6483" s="10"/>
      <c r="AJ6483" s="10"/>
      <c r="AK6483" s="10"/>
      <c r="AL6483" s="10"/>
      <c r="AM6483" s="10"/>
      <c r="AN6483" s="10"/>
      <c r="AO6483" s="10"/>
      <c r="AP6483" s="10"/>
      <c r="AQ6483" s="10"/>
      <c r="AR6483" s="10"/>
      <c r="AS6483" s="10"/>
      <c r="AT6483" s="10"/>
      <c r="AU6483" s="10"/>
      <c r="AV6483" s="10"/>
      <c r="AW6483" s="10"/>
      <c r="AX6483" s="10"/>
      <c r="AY6483" s="10"/>
      <c r="AZ6483" s="10"/>
    </row>
    <row r="6484" spans="31:52">
      <c r="AE6484" s="10"/>
      <c r="AF6484" s="10"/>
      <c r="AG6484" s="10"/>
      <c r="AH6484" s="10"/>
      <c r="AI6484" s="10"/>
      <c r="AJ6484" s="10"/>
      <c r="AK6484" s="10"/>
      <c r="AL6484" s="10"/>
      <c r="AM6484" s="10"/>
      <c r="AN6484" s="10"/>
      <c r="AO6484" s="10"/>
      <c r="AP6484" s="10"/>
      <c r="AQ6484" s="10"/>
      <c r="AR6484" s="10"/>
      <c r="AS6484" s="10"/>
      <c r="AT6484" s="10"/>
      <c r="AU6484" s="10"/>
      <c r="AV6484" s="10"/>
      <c r="AW6484" s="10"/>
      <c r="AX6484" s="10"/>
      <c r="AY6484" s="10"/>
      <c r="AZ6484" s="10"/>
    </row>
    <row r="6485" spans="31:52">
      <c r="AE6485" s="10"/>
      <c r="AF6485" s="10"/>
      <c r="AG6485" s="10"/>
      <c r="AH6485" s="10"/>
      <c r="AI6485" s="10"/>
      <c r="AJ6485" s="10"/>
      <c r="AK6485" s="10"/>
      <c r="AL6485" s="10"/>
      <c r="AM6485" s="10"/>
      <c r="AN6485" s="10"/>
      <c r="AO6485" s="10"/>
      <c r="AP6485" s="10"/>
      <c r="AQ6485" s="10"/>
      <c r="AR6485" s="10"/>
      <c r="AS6485" s="10"/>
      <c r="AT6485" s="10"/>
      <c r="AU6485" s="10"/>
      <c r="AV6485" s="10"/>
      <c r="AW6485" s="10"/>
      <c r="AX6485" s="10"/>
      <c r="AY6485" s="10"/>
      <c r="AZ6485" s="10"/>
    </row>
    <row r="6486" spans="31:52">
      <c r="AE6486" s="10"/>
      <c r="AF6486" s="10"/>
      <c r="AG6486" s="10"/>
      <c r="AH6486" s="10"/>
      <c r="AI6486" s="10"/>
      <c r="AJ6486" s="10"/>
      <c r="AK6486" s="10"/>
      <c r="AL6486" s="10"/>
      <c r="AM6486" s="10"/>
      <c r="AN6486" s="10"/>
      <c r="AO6486" s="10"/>
      <c r="AP6486" s="10"/>
      <c r="AQ6486" s="10"/>
      <c r="AR6486" s="10"/>
      <c r="AS6486" s="10"/>
      <c r="AT6486" s="10"/>
      <c r="AU6486" s="10"/>
      <c r="AV6486" s="10"/>
      <c r="AW6486" s="10"/>
      <c r="AX6486" s="10"/>
      <c r="AY6486" s="10"/>
      <c r="AZ6486" s="10"/>
    </row>
    <row r="6487" spans="31:52">
      <c r="AE6487" s="10"/>
      <c r="AF6487" s="10"/>
      <c r="AG6487" s="10"/>
      <c r="AH6487" s="10"/>
      <c r="AI6487" s="10"/>
      <c r="AJ6487" s="10"/>
      <c r="AK6487" s="10"/>
      <c r="AL6487" s="10"/>
      <c r="AM6487" s="10"/>
      <c r="AN6487" s="10"/>
      <c r="AO6487" s="10"/>
      <c r="AP6487" s="10"/>
      <c r="AQ6487" s="10"/>
      <c r="AR6487" s="10"/>
      <c r="AS6487" s="10"/>
      <c r="AT6487" s="10"/>
      <c r="AU6487" s="10"/>
      <c r="AV6487" s="10"/>
      <c r="AW6487" s="10"/>
      <c r="AX6487" s="10"/>
      <c r="AY6487" s="10"/>
      <c r="AZ6487" s="10"/>
    </row>
    <row r="6488" spans="31:52">
      <c r="AE6488" s="10"/>
      <c r="AF6488" s="10"/>
      <c r="AG6488" s="10"/>
      <c r="AH6488" s="10"/>
      <c r="AI6488" s="10"/>
      <c r="AJ6488" s="10"/>
      <c r="AK6488" s="10"/>
      <c r="AL6488" s="10"/>
      <c r="AM6488" s="10"/>
      <c r="AN6488" s="10"/>
      <c r="AO6488" s="10"/>
      <c r="AP6488" s="10"/>
      <c r="AQ6488" s="10"/>
      <c r="AR6488" s="10"/>
      <c r="AS6488" s="10"/>
      <c r="AT6488" s="10"/>
      <c r="AU6488" s="10"/>
      <c r="AV6488" s="10"/>
      <c r="AW6488" s="10"/>
      <c r="AX6488" s="10"/>
      <c r="AY6488" s="10"/>
      <c r="AZ6488" s="10"/>
    </row>
    <row r="6489" spans="31:52">
      <c r="AE6489" s="10"/>
      <c r="AF6489" s="10"/>
      <c r="AG6489" s="10"/>
      <c r="AH6489" s="10"/>
      <c r="AI6489" s="10"/>
      <c r="AJ6489" s="10"/>
      <c r="AK6489" s="10"/>
      <c r="AL6489" s="10"/>
      <c r="AM6489" s="10"/>
      <c r="AN6489" s="10"/>
      <c r="AO6489" s="10"/>
      <c r="AP6489" s="10"/>
      <c r="AQ6489" s="10"/>
      <c r="AR6489" s="10"/>
      <c r="AS6489" s="10"/>
      <c r="AT6489" s="10"/>
      <c r="AU6489" s="10"/>
      <c r="AV6489" s="10"/>
      <c r="AW6489" s="10"/>
      <c r="AX6489" s="10"/>
      <c r="AY6489" s="10"/>
      <c r="AZ6489" s="10"/>
    </row>
    <row r="6490" spans="31:52">
      <c r="AE6490" s="10"/>
      <c r="AF6490" s="10"/>
      <c r="AG6490" s="10"/>
      <c r="AH6490" s="10"/>
      <c r="AI6490" s="10"/>
      <c r="AJ6490" s="10"/>
      <c r="AK6490" s="10"/>
      <c r="AL6490" s="10"/>
      <c r="AM6490" s="10"/>
      <c r="AN6490" s="10"/>
      <c r="AO6490" s="10"/>
      <c r="AP6490" s="10"/>
      <c r="AQ6490" s="10"/>
      <c r="AR6490" s="10"/>
      <c r="AS6490" s="10"/>
      <c r="AT6490" s="10"/>
      <c r="AU6490" s="10"/>
      <c r="AV6490" s="10"/>
      <c r="AW6490" s="10"/>
      <c r="AX6490" s="10"/>
      <c r="AY6490" s="10"/>
      <c r="AZ6490" s="10"/>
    </row>
    <row r="6491" spans="31:52">
      <c r="AE6491" s="10"/>
      <c r="AF6491" s="10"/>
      <c r="AG6491" s="10"/>
      <c r="AH6491" s="10"/>
      <c r="AI6491" s="10"/>
      <c r="AJ6491" s="10"/>
      <c r="AK6491" s="10"/>
      <c r="AL6491" s="10"/>
      <c r="AM6491" s="10"/>
      <c r="AN6491" s="10"/>
      <c r="AO6491" s="10"/>
      <c r="AP6491" s="10"/>
      <c r="AQ6491" s="10"/>
      <c r="AR6491" s="10"/>
      <c r="AS6491" s="10"/>
      <c r="AT6491" s="10"/>
      <c r="AU6491" s="10"/>
      <c r="AV6491" s="10"/>
      <c r="AW6491" s="10"/>
      <c r="AX6491" s="10"/>
      <c r="AY6491" s="10"/>
      <c r="AZ6491" s="10"/>
    </row>
    <row r="6492" spans="31:52">
      <c r="AE6492" s="10"/>
      <c r="AF6492" s="10"/>
      <c r="AG6492" s="10"/>
      <c r="AH6492" s="10"/>
      <c r="AI6492" s="10"/>
      <c r="AJ6492" s="10"/>
      <c r="AK6492" s="10"/>
      <c r="AL6492" s="10"/>
      <c r="AM6492" s="10"/>
      <c r="AN6492" s="10"/>
      <c r="AO6492" s="10"/>
      <c r="AP6492" s="10"/>
      <c r="AQ6492" s="10"/>
      <c r="AR6492" s="10"/>
      <c r="AS6492" s="10"/>
      <c r="AT6492" s="10"/>
      <c r="AU6492" s="10"/>
      <c r="AV6492" s="10"/>
      <c r="AW6492" s="10"/>
      <c r="AX6492" s="10"/>
      <c r="AY6492" s="10"/>
      <c r="AZ6492" s="10"/>
    </row>
    <row r="6493" spans="31:52">
      <c r="AE6493" s="10"/>
      <c r="AF6493" s="10"/>
      <c r="AG6493" s="10"/>
      <c r="AH6493" s="10"/>
      <c r="AI6493" s="10"/>
      <c r="AJ6493" s="10"/>
      <c r="AK6493" s="10"/>
      <c r="AL6493" s="10"/>
      <c r="AM6493" s="10"/>
      <c r="AN6493" s="10"/>
      <c r="AO6493" s="10"/>
      <c r="AP6493" s="10"/>
      <c r="AQ6493" s="10"/>
      <c r="AR6493" s="10"/>
      <c r="AS6493" s="10"/>
      <c r="AT6493" s="10"/>
      <c r="AU6493" s="10"/>
      <c r="AV6493" s="10"/>
      <c r="AW6493" s="10"/>
      <c r="AX6493" s="10"/>
      <c r="AY6493" s="10"/>
      <c r="AZ6493" s="10"/>
    </row>
    <row r="6494" spans="31:52">
      <c r="AE6494" s="10"/>
      <c r="AF6494" s="10"/>
      <c r="AG6494" s="10"/>
      <c r="AH6494" s="10"/>
      <c r="AI6494" s="10"/>
      <c r="AJ6494" s="10"/>
      <c r="AK6494" s="10"/>
      <c r="AL6494" s="10"/>
      <c r="AM6494" s="10"/>
      <c r="AN6494" s="10"/>
      <c r="AO6494" s="10"/>
      <c r="AP6494" s="10"/>
      <c r="AQ6494" s="10"/>
      <c r="AR6494" s="10"/>
      <c r="AS6494" s="10"/>
      <c r="AT6494" s="10"/>
      <c r="AU6494" s="10"/>
      <c r="AV6494" s="10"/>
      <c r="AW6494" s="10"/>
      <c r="AX6494" s="10"/>
      <c r="AY6494" s="10"/>
      <c r="AZ6494" s="10"/>
    </row>
    <row r="6495" spans="31:52">
      <c r="AE6495" s="10"/>
      <c r="AF6495" s="10"/>
      <c r="AG6495" s="10"/>
      <c r="AH6495" s="10"/>
      <c r="AI6495" s="10"/>
      <c r="AJ6495" s="10"/>
      <c r="AK6495" s="10"/>
      <c r="AL6495" s="10"/>
      <c r="AM6495" s="10"/>
      <c r="AN6495" s="10"/>
      <c r="AO6495" s="10"/>
      <c r="AP6495" s="10"/>
      <c r="AQ6495" s="10"/>
      <c r="AR6495" s="10"/>
      <c r="AS6495" s="10"/>
      <c r="AT6495" s="10"/>
      <c r="AU6495" s="10"/>
      <c r="AV6495" s="10"/>
      <c r="AW6495" s="10"/>
      <c r="AX6495" s="10"/>
      <c r="AY6495" s="10"/>
      <c r="AZ6495" s="10"/>
    </row>
    <row r="6496" spans="31:52">
      <c r="AE6496" s="10"/>
      <c r="AF6496" s="10"/>
      <c r="AG6496" s="10"/>
      <c r="AH6496" s="10"/>
      <c r="AI6496" s="10"/>
      <c r="AJ6496" s="10"/>
      <c r="AK6496" s="10"/>
      <c r="AL6496" s="10"/>
      <c r="AM6496" s="10"/>
      <c r="AN6496" s="10"/>
      <c r="AO6496" s="10"/>
      <c r="AP6496" s="10"/>
      <c r="AQ6496" s="10"/>
      <c r="AR6496" s="10"/>
      <c r="AS6496" s="10"/>
      <c r="AT6496" s="10"/>
      <c r="AU6496" s="10"/>
      <c r="AV6496" s="10"/>
      <c r="AW6496" s="10"/>
      <c r="AX6496" s="10"/>
      <c r="AY6496" s="10"/>
      <c r="AZ6496" s="10"/>
    </row>
    <row r="6497" spans="31:52">
      <c r="AE6497" s="10"/>
      <c r="AF6497" s="10"/>
      <c r="AG6497" s="10"/>
      <c r="AH6497" s="10"/>
      <c r="AI6497" s="10"/>
      <c r="AJ6497" s="10"/>
      <c r="AK6497" s="10"/>
      <c r="AL6497" s="10"/>
      <c r="AM6497" s="10"/>
      <c r="AN6497" s="10"/>
      <c r="AO6497" s="10"/>
      <c r="AP6497" s="10"/>
      <c r="AQ6497" s="10"/>
      <c r="AR6497" s="10"/>
      <c r="AS6497" s="10"/>
      <c r="AT6497" s="10"/>
      <c r="AU6497" s="10"/>
      <c r="AV6497" s="10"/>
      <c r="AW6497" s="10"/>
      <c r="AX6497" s="10"/>
      <c r="AY6497" s="10"/>
      <c r="AZ6497" s="10"/>
    </row>
    <row r="6498" spans="31:52">
      <c r="AE6498" s="10"/>
      <c r="AF6498" s="10"/>
      <c r="AG6498" s="10"/>
      <c r="AH6498" s="10"/>
      <c r="AI6498" s="10"/>
      <c r="AJ6498" s="10"/>
      <c r="AK6498" s="10"/>
      <c r="AL6498" s="10"/>
      <c r="AM6498" s="10"/>
      <c r="AN6498" s="10"/>
      <c r="AO6498" s="10"/>
      <c r="AP6498" s="10"/>
      <c r="AQ6498" s="10"/>
      <c r="AR6498" s="10"/>
      <c r="AS6498" s="10"/>
      <c r="AT6498" s="10"/>
      <c r="AU6498" s="10"/>
      <c r="AV6498" s="10"/>
      <c r="AW6498" s="10"/>
      <c r="AX6498" s="10"/>
      <c r="AY6498" s="10"/>
      <c r="AZ6498" s="10"/>
    </row>
    <row r="6499" spans="31:52">
      <c r="AE6499" s="10"/>
      <c r="AF6499" s="10"/>
      <c r="AG6499" s="10"/>
      <c r="AH6499" s="10"/>
      <c r="AI6499" s="10"/>
      <c r="AJ6499" s="10"/>
      <c r="AK6499" s="10"/>
      <c r="AL6499" s="10"/>
      <c r="AM6499" s="10"/>
      <c r="AN6499" s="10"/>
      <c r="AO6499" s="10"/>
      <c r="AP6499" s="10"/>
      <c r="AQ6499" s="10"/>
      <c r="AR6499" s="10"/>
      <c r="AS6499" s="10"/>
      <c r="AT6499" s="10"/>
      <c r="AU6499" s="10"/>
      <c r="AV6499" s="10"/>
      <c r="AW6499" s="10"/>
      <c r="AX6499" s="10"/>
      <c r="AY6499" s="10"/>
      <c r="AZ6499" s="10"/>
    </row>
    <row r="6500" spans="31:52">
      <c r="AE6500" s="10"/>
      <c r="AF6500" s="10"/>
      <c r="AG6500" s="10"/>
      <c r="AH6500" s="10"/>
      <c r="AI6500" s="10"/>
      <c r="AJ6500" s="10"/>
      <c r="AK6500" s="10"/>
      <c r="AL6500" s="10"/>
      <c r="AM6500" s="10"/>
      <c r="AN6500" s="10"/>
      <c r="AO6500" s="10"/>
      <c r="AP6500" s="10"/>
      <c r="AQ6500" s="10"/>
      <c r="AR6500" s="10"/>
      <c r="AS6500" s="10"/>
      <c r="AT6500" s="10"/>
      <c r="AU6500" s="10"/>
      <c r="AV6500" s="10"/>
      <c r="AW6500" s="10"/>
      <c r="AX6500" s="10"/>
      <c r="AY6500" s="10"/>
      <c r="AZ6500" s="10"/>
    </row>
    <row r="6501" spans="31:52">
      <c r="AE6501" s="10"/>
      <c r="AF6501" s="10"/>
      <c r="AG6501" s="10"/>
      <c r="AH6501" s="10"/>
      <c r="AI6501" s="10"/>
      <c r="AJ6501" s="10"/>
      <c r="AK6501" s="10"/>
      <c r="AL6501" s="10"/>
      <c r="AM6501" s="10"/>
      <c r="AN6501" s="10"/>
      <c r="AO6501" s="10"/>
      <c r="AP6501" s="10"/>
      <c r="AQ6501" s="10"/>
      <c r="AR6501" s="10"/>
      <c r="AS6501" s="10"/>
      <c r="AT6501" s="10"/>
      <c r="AU6501" s="10"/>
      <c r="AV6501" s="10"/>
      <c r="AW6501" s="10"/>
      <c r="AX6501" s="10"/>
      <c r="AY6501" s="10"/>
      <c r="AZ6501" s="10"/>
    </row>
    <row r="6502" spans="31:52">
      <c r="AE6502" s="10"/>
      <c r="AF6502" s="10"/>
      <c r="AG6502" s="10"/>
      <c r="AH6502" s="10"/>
      <c r="AI6502" s="10"/>
      <c r="AJ6502" s="10"/>
      <c r="AK6502" s="10"/>
      <c r="AL6502" s="10"/>
      <c r="AM6502" s="10"/>
      <c r="AN6502" s="10"/>
      <c r="AO6502" s="10"/>
      <c r="AP6502" s="10"/>
      <c r="AQ6502" s="10"/>
      <c r="AR6502" s="10"/>
      <c r="AS6502" s="10"/>
      <c r="AT6502" s="10"/>
      <c r="AU6502" s="10"/>
      <c r="AV6502" s="10"/>
      <c r="AW6502" s="10"/>
      <c r="AX6502" s="10"/>
      <c r="AY6502" s="10"/>
      <c r="AZ6502" s="10"/>
    </row>
    <row r="6503" spans="31:52">
      <c r="AE6503" s="10"/>
      <c r="AF6503" s="10"/>
      <c r="AG6503" s="10"/>
      <c r="AH6503" s="10"/>
      <c r="AI6503" s="10"/>
      <c r="AJ6503" s="10"/>
      <c r="AK6503" s="10"/>
      <c r="AL6503" s="10"/>
      <c r="AM6503" s="10"/>
      <c r="AN6503" s="10"/>
      <c r="AO6503" s="10"/>
      <c r="AP6503" s="10"/>
      <c r="AQ6503" s="10"/>
      <c r="AR6503" s="10"/>
      <c r="AS6503" s="10"/>
      <c r="AT6503" s="10"/>
      <c r="AU6503" s="10"/>
      <c r="AV6503" s="10"/>
      <c r="AW6503" s="10"/>
      <c r="AX6503" s="10"/>
      <c r="AY6503" s="10"/>
      <c r="AZ6503" s="10"/>
    </row>
    <row r="6504" spans="31:52">
      <c r="AE6504" s="10"/>
      <c r="AF6504" s="10"/>
      <c r="AG6504" s="10"/>
      <c r="AH6504" s="10"/>
      <c r="AI6504" s="10"/>
      <c r="AJ6504" s="10"/>
      <c r="AK6504" s="10"/>
      <c r="AL6504" s="10"/>
      <c r="AM6504" s="10"/>
      <c r="AN6504" s="10"/>
      <c r="AO6504" s="10"/>
      <c r="AP6504" s="10"/>
      <c r="AQ6504" s="10"/>
      <c r="AR6504" s="10"/>
      <c r="AS6504" s="10"/>
      <c r="AT6504" s="10"/>
      <c r="AU6504" s="10"/>
      <c r="AV6504" s="10"/>
      <c r="AW6504" s="10"/>
      <c r="AX6504" s="10"/>
      <c r="AY6504" s="10"/>
      <c r="AZ6504" s="10"/>
    </row>
    <row r="6505" spans="31:52">
      <c r="AE6505" s="10"/>
      <c r="AF6505" s="10"/>
      <c r="AG6505" s="10"/>
      <c r="AH6505" s="10"/>
      <c r="AI6505" s="10"/>
      <c r="AJ6505" s="10"/>
      <c r="AK6505" s="10"/>
      <c r="AL6505" s="10"/>
      <c r="AM6505" s="10"/>
      <c r="AN6505" s="10"/>
      <c r="AO6505" s="10"/>
      <c r="AP6505" s="10"/>
      <c r="AQ6505" s="10"/>
      <c r="AR6505" s="10"/>
      <c r="AS6505" s="10"/>
      <c r="AT6505" s="10"/>
      <c r="AU6505" s="10"/>
      <c r="AV6505" s="10"/>
      <c r="AW6505" s="10"/>
      <c r="AX6505" s="10"/>
      <c r="AY6505" s="10"/>
      <c r="AZ6505" s="10"/>
    </row>
    <row r="6506" spans="31:52">
      <c r="AE6506" s="10"/>
      <c r="AF6506" s="10"/>
      <c r="AG6506" s="10"/>
      <c r="AH6506" s="10"/>
      <c r="AI6506" s="10"/>
      <c r="AJ6506" s="10"/>
      <c r="AK6506" s="10"/>
      <c r="AL6506" s="10"/>
      <c r="AM6506" s="10"/>
      <c r="AN6506" s="10"/>
      <c r="AO6506" s="10"/>
      <c r="AP6506" s="10"/>
      <c r="AQ6506" s="10"/>
      <c r="AR6506" s="10"/>
      <c r="AS6506" s="10"/>
      <c r="AT6506" s="10"/>
      <c r="AU6506" s="10"/>
      <c r="AV6506" s="10"/>
      <c r="AW6506" s="10"/>
      <c r="AX6506" s="10"/>
      <c r="AY6506" s="10"/>
      <c r="AZ6506" s="10"/>
    </row>
    <row r="6507" spans="31:52">
      <c r="AE6507" s="10"/>
      <c r="AF6507" s="10"/>
      <c r="AG6507" s="10"/>
      <c r="AH6507" s="10"/>
      <c r="AI6507" s="10"/>
      <c r="AJ6507" s="10"/>
      <c r="AK6507" s="10"/>
      <c r="AL6507" s="10"/>
      <c r="AM6507" s="10"/>
      <c r="AN6507" s="10"/>
      <c r="AO6507" s="10"/>
      <c r="AP6507" s="10"/>
      <c r="AQ6507" s="10"/>
      <c r="AR6507" s="10"/>
      <c r="AS6507" s="10"/>
      <c r="AT6507" s="10"/>
      <c r="AU6507" s="10"/>
      <c r="AV6507" s="10"/>
      <c r="AW6507" s="10"/>
      <c r="AX6507" s="10"/>
      <c r="AY6507" s="10"/>
      <c r="AZ6507" s="10"/>
    </row>
    <row r="6508" spans="31:52">
      <c r="AE6508" s="10"/>
      <c r="AF6508" s="10"/>
      <c r="AG6508" s="10"/>
      <c r="AH6508" s="10"/>
      <c r="AI6508" s="10"/>
      <c r="AJ6508" s="10"/>
      <c r="AK6508" s="10"/>
      <c r="AL6508" s="10"/>
      <c r="AM6508" s="10"/>
      <c r="AN6508" s="10"/>
      <c r="AO6508" s="10"/>
      <c r="AP6508" s="10"/>
      <c r="AQ6508" s="10"/>
      <c r="AR6508" s="10"/>
      <c r="AS6508" s="10"/>
      <c r="AT6508" s="10"/>
      <c r="AU6508" s="10"/>
      <c r="AV6508" s="10"/>
      <c r="AW6508" s="10"/>
      <c r="AX6508" s="10"/>
      <c r="AY6508" s="10"/>
      <c r="AZ6508" s="10"/>
    </row>
    <row r="6509" spans="31:52">
      <c r="AE6509" s="10"/>
      <c r="AF6509" s="10"/>
      <c r="AG6509" s="10"/>
      <c r="AH6509" s="10"/>
      <c r="AI6509" s="10"/>
      <c r="AJ6509" s="10"/>
      <c r="AK6509" s="10"/>
      <c r="AL6509" s="10"/>
      <c r="AM6509" s="10"/>
      <c r="AN6509" s="10"/>
      <c r="AO6509" s="10"/>
      <c r="AP6509" s="10"/>
      <c r="AQ6509" s="10"/>
      <c r="AR6509" s="10"/>
      <c r="AS6509" s="10"/>
      <c r="AT6509" s="10"/>
      <c r="AU6509" s="10"/>
      <c r="AV6509" s="10"/>
      <c r="AW6509" s="10"/>
      <c r="AX6509" s="10"/>
      <c r="AY6509" s="10"/>
      <c r="AZ6509" s="10"/>
    </row>
    <row r="6510" spans="31:52">
      <c r="AE6510" s="10"/>
      <c r="AF6510" s="10"/>
      <c r="AG6510" s="10"/>
      <c r="AH6510" s="10"/>
      <c r="AI6510" s="10"/>
      <c r="AJ6510" s="10"/>
      <c r="AK6510" s="10"/>
      <c r="AL6510" s="10"/>
      <c r="AM6510" s="10"/>
      <c r="AN6510" s="10"/>
      <c r="AO6510" s="10"/>
      <c r="AP6510" s="10"/>
      <c r="AQ6510" s="10"/>
      <c r="AR6510" s="10"/>
      <c r="AS6510" s="10"/>
      <c r="AT6510" s="10"/>
      <c r="AU6510" s="10"/>
      <c r="AV6510" s="10"/>
      <c r="AW6510" s="10"/>
      <c r="AX6510" s="10"/>
      <c r="AY6510" s="10"/>
      <c r="AZ6510" s="10"/>
    </row>
    <row r="6511" spans="31:52">
      <c r="AE6511" s="10"/>
      <c r="AF6511" s="10"/>
      <c r="AG6511" s="10"/>
      <c r="AH6511" s="10"/>
      <c r="AI6511" s="10"/>
      <c r="AJ6511" s="10"/>
      <c r="AK6511" s="10"/>
      <c r="AL6511" s="10"/>
      <c r="AM6511" s="10"/>
      <c r="AN6511" s="10"/>
      <c r="AO6511" s="10"/>
      <c r="AP6511" s="10"/>
      <c r="AQ6511" s="10"/>
      <c r="AR6511" s="10"/>
      <c r="AS6511" s="10"/>
      <c r="AT6511" s="10"/>
      <c r="AU6511" s="10"/>
      <c r="AV6511" s="10"/>
      <c r="AW6511" s="10"/>
      <c r="AX6511" s="10"/>
      <c r="AY6511" s="10"/>
      <c r="AZ6511" s="10"/>
    </row>
    <row r="6512" spans="31:52">
      <c r="AE6512" s="10"/>
      <c r="AF6512" s="10"/>
      <c r="AG6512" s="10"/>
      <c r="AH6512" s="10"/>
      <c r="AI6512" s="10"/>
      <c r="AJ6512" s="10"/>
      <c r="AK6512" s="10"/>
      <c r="AL6512" s="10"/>
      <c r="AM6512" s="10"/>
      <c r="AN6512" s="10"/>
      <c r="AO6512" s="10"/>
      <c r="AP6512" s="10"/>
      <c r="AQ6512" s="10"/>
      <c r="AR6512" s="10"/>
      <c r="AS6512" s="10"/>
      <c r="AT6512" s="10"/>
      <c r="AU6512" s="10"/>
      <c r="AV6512" s="10"/>
      <c r="AW6512" s="10"/>
      <c r="AX6512" s="10"/>
      <c r="AY6512" s="10"/>
      <c r="AZ6512" s="10"/>
    </row>
    <row r="6513" spans="31:52">
      <c r="AE6513" s="10"/>
      <c r="AF6513" s="10"/>
      <c r="AG6513" s="10"/>
      <c r="AH6513" s="10"/>
      <c r="AI6513" s="10"/>
      <c r="AJ6513" s="10"/>
      <c r="AK6513" s="10"/>
      <c r="AL6513" s="10"/>
      <c r="AM6513" s="10"/>
      <c r="AN6513" s="10"/>
      <c r="AO6513" s="10"/>
      <c r="AP6513" s="10"/>
      <c r="AQ6513" s="10"/>
      <c r="AR6513" s="10"/>
      <c r="AS6513" s="10"/>
      <c r="AT6513" s="10"/>
      <c r="AU6513" s="10"/>
      <c r="AV6513" s="10"/>
      <c r="AW6513" s="10"/>
      <c r="AX6513" s="10"/>
      <c r="AY6513" s="10"/>
      <c r="AZ6513" s="10"/>
    </row>
    <row r="6514" spans="31:52">
      <c r="AE6514" s="10"/>
      <c r="AF6514" s="10"/>
      <c r="AG6514" s="10"/>
      <c r="AH6514" s="10"/>
      <c r="AI6514" s="10"/>
      <c r="AJ6514" s="10"/>
      <c r="AK6514" s="10"/>
      <c r="AL6514" s="10"/>
      <c r="AM6514" s="10"/>
      <c r="AN6514" s="10"/>
      <c r="AO6514" s="10"/>
      <c r="AP6514" s="10"/>
      <c r="AQ6514" s="10"/>
      <c r="AR6514" s="10"/>
      <c r="AS6514" s="10"/>
      <c r="AT6514" s="10"/>
      <c r="AU6514" s="10"/>
      <c r="AV6514" s="10"/>
      <c r="AW6514" s="10"/>
      <c r="AX6514" s="10"/>
      <c r="AY6514" s="10"/>
      <c r="AZ6514" s="10"/>
    </row>
    <row r="6515" spans="31:52">
      <c r="AE6515" s="10"/>
      <c r="AF6515" s="10"/>
      <c r="AG6515" s="10"/>
      <c r="AH6515" s="10"/>
      <c r="AI6515" s="10"/>
      <c r="AJ6515" s="10"/>
      <c r="AK6515" s="10"/>
      <c r="AL6515" s="10"/>
      <c r="AM6515" s="10"/>
      <c r="AN6515" s="10"/>
      <c r="AO6515" s="10"/>
      <c r="AP6515" s="10"/>
      <c r="AQ6515" s="10"/>
      <c r="AR6515" s="10"/>
      <c r="AS6515" s="10"/>
      <c r="AT6515" s="10"/>
      <c r="AU6515" s="10"/>
      <c r="AV6515" s="10"/>
      <c r="AW6515" s="10"/>
      <c r="AX6515" s="10"/>
      <c r="AY6515" s="10"/>
      <c r="AZ6515" s="10"/>
    </row>
    <row r="6516" spans="31:52">
      <c r="AE6516" s="10"/>
      <c r="AF6516" s="10"/>
      <c r="AG6516" s="10"/>
      <c r="AH6516" s="10"/>
      <c r="AI6516" s="10"/>
      <c r="AJ6516" s="10"/>
      <c r="AK6516" s="10"/>
      <c r="AL6516" s="10"/>
      <c r="AM6516" s="10"/>
      <c r="AN6516" s="10"/>
      <c r="AO6516" s="10"/>
      <c r="AP6516" s="10"/>
      <c r="AQ6516" s="10"/>
      <c r="AR6516" s="10"/>
      <c r="AS6516" s="10"/>
      <c r="AT6516" s="10"/>
      <c r="AU6516" s="10"/>
      <c r="AV6516" s="10"/>
      <c r="AW6516" s="10"/>
      <c r="AX6516" s="10"/>
      <c r="AY6516" s="10"/>
      <c r="AZ6516" s="10"/>
    </row>
    <row r="6517" spans="31:52">
      <c r="AE6517" s="10"/>
      <c r="AF6517" s="10"/>
      <c r="AG6517" s="10"/>
      <c r="AH6517" s="10"/>
      <c r="AI6517" s="10"/>
      <c r="AJ6517" s="10"/>
      <c r="AK6517" s="10"/>
      <c r="AL6517" s="10"/>
      <c r="AM6517" s="10"/>
      <c r="AN6517" s="10"/>
      <c r="AO6517" s="10"/>
      <c r="AP6517" s="10"/>
      <c r="AQ6517" s="10"/>
      <c r="AR6517" s="10"/>
      <c r="AS6517" s="10"/>
      <c r="AT6517" s="10"/>
      <c r="AU6517" s="10"/>
      <c r="AV6517" s="10"/>
      <c r="AW6517" s="10"/>
      <c r="AX6517" s="10"/>
      <c r="AY6517" s="10"/>
      <c r="AZ6517" s="10"/>
    </row>
    <row r="6518" spans="31:52">
      <c r="AE6518" s="10"/>
      <c r="AF6518" s="10"/>
      <c r="AG6518" s="10"/>
      <c r="AH6518" s="10"/>
      <c r="AI6518" s="10"/>
      <c r="AJ6518" s="10"/>
      <c r="AK6518" s="10"/>
      <c r="AL6518" s="10"/>
      <c r="AM6518" s="10"/>
      <c r="AN6518" s="10"/>
      <c r="AO6518" s="10"/>
      <c r="AP6518" s="10"/>
      <c r="AQ6518" s="10"/>
      <c r="AR6518" s="10"/>
      <c r="AS6518" s="10"/>
      <c r="AT6518" s="10"/>
      <c r="AU6518" s="10"/>
      <c r="AV6518" s="10"/>
      <c r="AW6518" s="10"/>
      <c r="AX6518" s="10"/>
      <c r="AY6518" s="10"/>
      <c r="AZ6518" s="10"/>
    </row>
    <row r="6519" spans="31:52">
      <c r="AE6519" s="10"/>
      <c r="AF6519" s="10"/>
      <c r="AG6519" s="10"/>
      <c r="AH6519" s="10"/>
      <c r="AI6519" s="10"/>
      <c r="AJ6519" s="10"/>
      <c r="AK6519" s="10"/>
      <c r="AL6519" s="10"/>
      <c r="AM6519" s="10"/>
      <c r="AN6519" s="10"/>
      <c r="AO6519" s="10"/>
      <c r="AP6519" s="10"/>
      <c r="AQ6519" s="10"/>
      <c r="AR6519" s="10"/>
      <c r="AS6519" s="10"/>
      <c r="AT6519" s="10"/>
      <c r="AU6519" s="10"/>
      <c r="AV6519" s="10"/>
      <c r="AW6519" s="10"/>
      <c r="AX6519" s="10"/>
      <c r="AY6519" s="10"/>
      <c r="AZ6519" s="10"/>
    </row>
    <row r="6520" spans="31:52">
      <c r="AE6520" s="10"/>
      <c r="AF6520" s="10"/>
      <c r="AG6520" s="10"/>
      <c r="AH6520" s="10"/>
      <c r="AI6520" s="10"/>
      <c r="AJ6520" s="10"/>
      <c r="AK6520" s="10"/>
      <c r="AL6520" s="10"/>
      <c r="AM6520" s="10"/>
      <c r="AN6520" s="10"/>
      <c r="AO6520" s="10"/>
      <c r="AP6520" s="10"/>
      <c r="AQ6520" s="10"/>
      <c r="AR6520" s="10"/>
      <c r="AS6520" s="10"/>
      <c r="AT6520" s="10"/>
      <c r="AU6520" s="10"/>
      <c r="AV6520" s="10"/>
      <c r="AW6520" s="10"/>
      <c r="AX6520" s="10"/>
      <c r="AY6520" s="10"/>
      <c r="AZ6520" s="10"/>
    </row>
    <row r="6521" spans="31:52">
      <c r="AE6521" s="10"/>
      <c r="AF6521" s="10"/>
      <c r="AG6521" s="10"/>
      <c r="AH6521" s="10"/>
      <c r="AI6521" s="10"/>
      <c r="AJ6521" s="10"/>
      <c r="AK6521" s="10"/>
      <c r="AL6521" s="10"/>
      <c r="AM6521" s="10"/>
      <c r="AN6521" s="10"/>
      <c r="AO6521" s="10"/>
      <c r="AP6521" s="10"/>
      <c r="AQ6521" s="10"/>
      <c r="AR6521" s="10"/>
      <c r="AS6521" s="10"/>
      <c r="AT6521" s="10"/>
      <c r="AU6521" s="10"/>
      <c r="AV6521" s="10"/>
      <c r="AW6521" s="10"/>
      <c r="AX6521" s="10"/>
      <c r="AY6521" s="10"/>
      <c r="AZ6521" s="10"/>
    </row>
    <row r="6522" spans="31:52">
      <c r="AE6522" s="10"/>
      <c r="AF6522" s="10"/>
      <c r="AG6522" s="10"/>
      <c r="AH6522" s="10"/>
      <c r="AI6522" s="10"/>
      <c r="AJ6522" s="10"/>
      <c r="AK6522" s="10"/>
      <c r="AL6522" s="10"/>
      <c r="AM6522" s="10"/>
      <c r="AN6522" s="10"/>
      <c r="AO6522" s="10"/>
      <c r="AP6522" s="10"/>
      <c r="AQ6522" s="10"/>
      <c r="AR6522" s="10"/>
      <c r="AS6522" s="10"/>
      <c r="AT6522" s="10"/>
      <c r="AU6522" s="10"/>
      <c r="AV6522" s="10"/>
      <c r="AW6522" s="10"/>
      <c r="AX6522" s="10"/>
      <c r="AY6522" s="10"/>
      <c r="AZ6522" s="10"/>
    </row>
    <row r="6523" spans="31:52">
      <c r="AE6523" s="10"/>
      <c r="AF6523" s="10"/>
      <c r="AG6523" s="10"/>
      <c r="AH6523" s="10"/>
      <c r="AI6523" s="10"/>
      <c r="AJ6523" s="10"/>
      <c r="AK6523" s="10"/>
      <c r="AL6523" s="10"/>
      <c r="AM6523" s="10"/>
      <c r="AN6523" s="10"/>
      <c r="AO6523" s="10"/>
      <c r="AP6523" s="10"/>
      <c r="AQ6523" s="10"/>
      <c r="AR6523" s="10"/>
      <c r="AS6523" s="10"/>
      <c r="AT6523" s="10"/>
      <c r="AU6523" s="10"/>
      <c r="AV6523" s="10"/>
      <c r="AW6523" s="10"/>
      <c r="AX6523" s="10"/>
      <c r="AY6523" s="10"/>
      <c r="AZ6523" s="10"/>
    </row>
    <row r="6524" spans="31:52">
      <c r="AE6524" s="10"/>
      <c r="AF6524" s="10"/>
      <c r="AG6524" s="10"/>
      <c r="AH6524" s="10"/>
      <c r="AI6524" s="10"/>
      <c r="AJ6524" s="10"/>
      <c r="AK6524" s="10"/>
      <c r="AL6524" s="10"/>
      <c r="AM6524" s="10"/>
      <c r="AN6524" s="10"/>
      <c r="AO6524" s="10"/>
      <c r="AP6524" s="10"/>
      <c r="AQ6524" s="10"/>
      <c r="AR6524" s="10"/>
      <c r="AS6524" s="10"/>
      <c r="AT6524" s="10"/>
      <c r="AU6524" s="10"/>
      <c r="AV6524" s="10"/>
      <c r="AW6524" s="10"/>
      <c r="AX6524" s="10"/>
      <c r="AY6524" s="10"/>
      <c r="AZ6524" s="10"/>
    </row>
    <row r="6525" spans="31:52">
      <c r="AE6525" s="10"/>
      <c r="AF6525" s="10"/>
      <c r="AG6525" s="10"/>
      <c r="AH6525" s="10"/>
      <c r="AI6525" s="10"/>
      <c r="AJ6525" s="10"/>
      <c r="AK6525" s="10"/>
      <c r="AL6525" s="10"/>
      <c r="AM6525" s="10"/>
      <c r="AN6525" s="10"/>
      <c r="AO6525" s="10"/>
      <c r="AP6525" s="10"/>
      <c r="AQ6525" s="10"/>
      <c r="AR6525" s="10"/>
      <c r="AS6525" s="10"/>
      <c r="AT6525" s="10"/>
      <c r="AU6525" s="10"/>
      <c r="AV6525" s="10"/>
      <c r="AW6525" s="10"/>
      <c r="AX6525" s="10"/>
      <c r="AY6525" s="10"/>
      <c r="AZ6525" s="10"/>
    </row>
    <row r="6526" spans="31:52">
      <c r="AE6526" s="10"/>
      <c r="AF6526" s="10"/>
      <c r="AG6526" s="10"/>
      <c r="AH6526" s="10"/>
      <c r="AI6526" s="10"/>
      <c r="AJ6526" s="10"/>
      <c r="AK6526" s="10"/>
      <c r="AL6526" s="10"/>
      <c r="AM6526" s="10"/>
      <c r="AN6526" s="10"/>
      <c r="AO6526" s="10"/>
      <c r="AP6526" s="10"/>
      <c r="AQ6526" s="10"/>
      <c r="AR6526" s="10"/>
      <c r="AS6526" s="10"/>
      <c r="AT6526" s="10"/>
      <c r="AU6526" s="10"/>
      <c r="AV6526" s="10"/>
      <c r="AW6526" s="10"/>
      <c r="AX6526" s="10"/>
      <c r="AY6526" s="10"/>
      <c r="AZ6526" s="10"/>
    </row>
    <row r="6527" spans="31:52">
      <c r="AE6527" s="10"/>
      <c r="AF6527" s="10"/>
      <c r="AG6527" s="10"/>
      <c r="AH6527" s="10"/>
      <c r="AI6527" s="10"/>
      <c r="AJ6527" s="10"/>
      <c r="AK6527" s="10"/>
      <c r="AL6527" s="10"/>
      <c r="AM6527" s="10"/>
      <c r="AN6527" s="10"/>
      <c r="AO6527" s="10"/>
      <c r="AP6527" s="10"/>
      <c r="AQ6527" s="10"/>
      <c r="AR6527" s="10"/>
      <c r="AS6527" s="10"/>
      <c r="AT6527" s="10"/>
      <c r="AU6527" s="10"/>
      <c r="AV6527" s="10"/>
      <c r="AW6527" s="10"/>
      <c r="AX6527" s="10"/>
      <c r="AY6527" s="10"/>
      <c r="AZ6527" s="10"/>
    </row>
    <row r="6528" spans="31:52">
      <c r="AE6528" s="10"/>
      <c r="AF6528" s="10"/>
      <c r="AG6528" s="10"/>
      <c r="AH6528" s="10"/>
      <c r="AI6528" s="10"/>
      <c r="AJ6528" s="10"/>
      <c r="AK6528" s="10"/>
      <c r="AL6528" s="10"/>
      <c r="AM6528" s="10"/>
      <c r="AN6528" s="10"/>
      <c r="AO6528" s="10"/>
      <c r="AP6528" s="10"/>
      <c r="AQ6528" s="10"/>
      <c r="AR6528" s="10"/>
      <c r="AS6528" s="10"/>
      <c r="AT6528" s="10"/>
      <c r="AU6528" s="10"/>
      <c r="AV6528" s="10"/>
      <c r="AW6528" s="10"/>
      <c r="AX6528" s="10"/>
      <c r="AY6528" s="10"/>
      <c r="AZ6528" s="10"/>
    </row>
    <row r="6529" spans="31:52">
      <c r="AE6529" s="10"/>
      <c r="AF6529" s="10"/>
      <c r="AG6529" s="10"/>
      <c r="AH6529" s="10"/>
      <c r="AI6529" s="10"/>
      <c r="AJ6529" s="10"/>
      <c r="AK6529" s="10"/>
      <c r="AL6529" s="10"/>
      <c r="AM6529" s="10"/>
      <c r="AN6529" s="10"/>
      <c r="AO6529" s="10"/>
      <c r="AP6529" s="10"/>
      <c r="AQ6529" s="10"/>
      <c r="AR6529" s="10"/>
      <c r="AS6529" s="10"/>
      <c r="AT6529" s="10"/>
      <c r="AU6529" s="10"/>
      <c r="AV6529" s="10"/>
      <c r="AW6529" s="10"/>
      <c r="AX6529" s="10"/>
      <c r="AY6529" s="10"/>
      <c r="AZ6529" s="10"/>
    </row>
    <row r="6530" spans="31:52">
      <c r="AE6530" s="10"/>
      <c r="AF6530" s="10"/>
      <c r="AG6530" s="10"/>
      <c r="AH6530" s="10"/>
      <c r="AI6530" s="10"/>
      <c r="AJ6530" s="10"/>
      <c r="AK6530" s="10"/>
      <c r="AL6530" s="10"/>
      <c r="AM6530" s="10"/>
      <c r="AN6530" s="10"/>
      <c r="AO6530" s="10"/>
      <c r="AP6530" s="10"/>
      <c r="AQ6530" s="10"/>
      <c r="AR6530" s="10"/>
      <c r="AS6530" s="10"/>
      <c r="AT6530" s="10"/>
      <c r="AU6530" s="10"/>
      <c r="AV6530" s="10"/>
      <c r="AW6530" s="10"/>
      <c r="AX6530" s="10"/>
      <c r="AY6530" s="10"/>
      <c r="AZ6530" s="10"/>
    </row>
    <row r="6531" spans="31:52">
      <c r="AE6531" s="10"/>
      <c r="AF6531" s="10"/>
      <c r="AG6531" s="10"/>
      <c r="AH6531" s="10"/>
      <c r="AI6531" s="10"/>
      <c r="AJ6531" s="10"/>
      <c r="AK6531" s="10"/>
      <c r="AL6531" s="10"/>
      <c r="AM6531" s="10"/>
      <c r="AN6531" s="10"/>
      <c r="AO6531" s="10"/>
      <c r="AP6531" s="10"/>
      <c r="AQ6531" s="10"/>
      <c r="AR6531" s="10"/>
      <c r="AS6531" s="10"/>
      <c r="AT6531" s="10"/>
      <c r="AU6531" s="10"/>
      <c r="AV6531" s="10"/>
      <c r="AW6531" s="10"/>
      <c r="AX6531" s="10"/>
      <c r="AY6531" s="10"/>
      <c r="AZ6531" s="10"/>
    </row>
    <row r="6532" spans="31:52">
      <c r="AE6532" s="10"/>
      <c r="AF6532" s="10"/>
      <c r="AG6532" s="10"/>
      <c r="AH6532" s="10"/>
      <c r="AI6532" s="10"/>
      <c r="AJ6532" s="10"/>
      <c r="AK6532" s="10"/>
      <c r="AL6532" s="10"/>
      <c r="AM6532" s="10"/>
      <c r="AN6532" s="10"/>
      <c r="AO6532" s="10"/>
      <c r="AP6532" s="10"/>
      <c r="AQ6532" s="10"/>
      <c r="AR6532" s="10"/>
      <c r="AS6532" s="10"/>
      <c r="AT6532" s="10"/>
      <c r="AU6532" s="10"/>
      <c r="AV6532" s="10"/>
      <c r="AW6532" s="10"/>
      <c r="AX6532" s="10"/>
      <c r="AY6532" s="10"/>
      <c r="AZ6532" s="10"/>
    </row>
    <row r="6533" spans="31:52">
      <c r="AE6533" s="10"/>
      <c r="AF6533" s="10"/>
      <c r="AG6533" s="10"/>
      <c r="AH6533" s="10"/>
      <c r="AI6533" s="10"/>
      <c r="AJ6533" s="10"/>
      <c r="AK6533" s="10"/>
      <c r="AL6533" s="10"/>
      <c r="AM6533" s="10"/>
      <c r="AN6533" s="10"/>
      <c r="AO6533" s="10"/>
      <c r="AP6533" s="10"/>
      <c r="AQ6533" s="10"/>
      <c r="AR6533" s="10"/>
      <c r="AS6533" s="10"/>
      <c r="AT6533" s="10"/>
      <c r="AU6533" s="10"/>
      <c r="AV6533" s="10"/>
      <c r="AW6533" s="10"/>
      <c r="AX6533" s="10"/>
      <c r="AY6533" s="10"/>
      <c r="AZ6533" s="10"/>
    </row>
    <row r="6534" spans="31:52">
      <c r="AE6534" s="10"/>
      <c r="AF6534" s="10"/>
      <c r="AG6534" s="10"/>
      <c r="AH6534" s="10"/>
      <c r="AI6534" s="10"/>
      <c r="AJ6534" s="10"/>
      <c r="AK6534" s="10"/>
      <c r="AL6534" s="10"/>
      <c r="AM6534" s="10"/>
      <c r="AN6534" s="10"/>
      <c r="AO6534" s="10"/>
      <c r="AP6534" s="10"/>
      <c r="AQ6534" s="10"/>
      <c r="AR6534" s="10"/>
      <c r="AS6534" s="10"/>
      <c r="AT6534" s="10"/>
      <c r="AU6534" s="10"/>
      <c r="AV6534" s="10"/>
      <c r="AW6534" s="10"/>
      <c r="AX6534" s="10"/>
      <c r="AY6534" s="10"/>
      <c r="AZ6534" s="10"/>
    </row>
    <row r="6535" spans="31:52">
      <c r="AE6535" s="10"/>
      <c r="AF6535" s="10"/>
      <c r="AG6535" s="10"/>
      <c r="AH6535" s="10"/>
      <c r="AI6535" s="10"/>
      <c r="AJ6535" s="10"/>
      <c r="AK6535" s="10"/>
      <c r="AL6535" s="10"/>
      <c r="AM6535" s="10"/>
      <c r="AN6535" s="10"/>
      <c r="AO6535" s="10"/>
      <c r="AP6535" s="10"/>
      <c r="AQ6535" s="10"/>
      <c r="AR6535" s="10"/>
      <c r="AS6535" s="10"/>
      <c r="AT6535" s="10"/>
      <c r="AU6535" s="10"/>
      <c r="AV6535" s="10"/>
      <c r="AW6535" s="10"/>
      <c r="AX6535" s="10"/>
      <c r="AY6535" s="10"/>
      <c r="AZ6535" s="10"/>
    </row>
    <row r="6536" spans="31:52">
      <c r="AE6536" s="10"/>
      <c r="AF6536" s="10"/>
      <c r="AG6536" s="10"/>
      <c r="AH6536" s="10"/>
      <c r="AI6536" s="10"/>
      <c r="AJ6536" s="10"/>
      <c r="AK6536" s="10"/>
      <c r="AL6536" s="10"/>
      <c r="AM6536" s="10"/>
      <c r="AN6536" s="10"/>
      <c r="AO6536" s="10"/>
      <c r="AP6536" s="10"/>
      <c r="AQ6536" s="10"/>
      <c r="AR6536" s="10"/>
      <c r="AS6536" s="10"/>
      <c r="AT6536" s="10"/>
      <c r="AU6536" s="10"/>
      <c r="AV6536" s="10"/>
      <c r="AW6536" s="10"/>
      <c r="AX6536" s="10"/>
      <c r="AY6536" s="10"/>
      <c r="AZ6536" s="10"/>
    </row>
    <row r="6537" spans="31:52">
      <c r="AE6537" s="10"/>
      <c r="AF6537" s="10"/>
      <c r="AG6537" s="10"/>
      <c r="AH6537" s="10"/>
      <c r="AI6537" s="10"/>
      <c r="AJ6537" s="10"/>
      <c r="AK6537" s="10"/>
      <c r="AL6537" s="10"/>
      <c r="AM6537" s="10"/>
      <c r="AN6537" s="10"/>
      <c r="AO6537" s="10"/>
      <c r="AP6537" s="10"/>
      <c r="AQ6537" s="10"/>
      <c r="AR6537" s="10"/>
      <c r="AS6537" s="10"/>
      <c r="AT6537" s="10"/>
      <c r="AU6537" s="10"/>
      <c r="AV6537" s="10"/>
      <c r="AW6537" s="10"/>
      <c r="AX6537" s="10"/>
      <c r="AY6537" s="10"/>
      <c r="AZ6537" s="10"/>
    </row>
    <row r="6538" spans="31:52">
      <c r="AE6538" s="10"/>
      <c r="AF6538" s="10"/>
      <c r="AG6538" s="10"/>
      <c r="AH6538" s="10"/>
      <c r="AI6538" s="10"/>
      <c r="AJ6538" s="10"/>
      <c r="AK6538" s="10"/>
      <c r="AL6538" s="10"/>
      <c r="AM6538" s="10"/>
      <c r="AN6538" s="10"/>
      <c r="AO6538" s="10"/>
      <c r="AP6538" s="10"/>
      <c r="AQ6538" s="10"/>
      <c r="AR6538" s="10"/>
      <c r="AS6538" s="10"/>
      <c r="AT6538" s="10"/>
      <c r="AU6538" s="10"/>
      <c r="AV6538" s="10"/>
      <c r="AW6538" s="10"/>
      <c r="AX6538" s="10"/>
      <c r="AY6538" s="10"/>
      <c r="AZ6538" s="10"/>
    </row>
    <row r="6539" spans="31:52">
      <c r="AE6539" s="10"/>
      <c r="AF6539" s="10"/>
      <c r="AG6539" s="10"/>
      <c r="AH6539" s="10"/>
      <c r="AI6539" s="10"/>
      <c r="AJ6539" s="10"/>
      <c r="AK6539" s="10"/>
      <c r="AL6539" s="10"/>
      <c r="AM6539" s="10"/>
      <c r="AN6539" s="10"/>
      <c r="AO6539" s="10"/>
      <c r="AP6539" s="10"/>
      <c r="AQ6539" s="10"/>
      <c r="AR6539" s="10"/>
      <c r="AS6539" s="10"/>
      <c r="AT6539" s="10"/>
      <c r="AU6539" s="10"/>
      <c r="AV6539" s="10"/>
      <c r="AW6539" s="10"/>
      <c r="AX6539" s="10"/>
      <c r="AY6539" s="10"/>
      <c r="AZ6539" s="10"/>
    </row>
    <row r="6540" spans="31:52">
      <c r="AE6540" s="10"/>
      <c r="AF6540" s="10"/>
      <c r="AG6540" s="10"/>
      <c r="AH6540" s="10"/>
      <c r="AI6540" s="10"/>
      <c r="AJ6540" s="10"/>
      <c r="AK6540" s="10"/>
      <c r="AL6540" s="10"/>
      <c r="AM6540" s="10"/>
      <c r="AN6540" s="10"/>
      <c r="AO6540" s="10"/>
      <c r="AP6540" s="10"/>
      <c r="AQ6540" s="10"/>
      <c r="AR6540" s="10"/>
      <c r="AS6540" s="10"/>
      <c r="AT6540" s="10"/>
      <c r="AU6540" s="10"/>
      <c r="AV6540" s="10"/>
      <c r="AW6540" s="10"/>
      <c r="AX6540" s="10"/>
      <c r="AY6540" s="10"/>
      <c r="AZ6540" s="10"/>
    </row>
    <row r="6541" spans="31:52">
      <c r="AE6541" s="10"/>
      <c r="AF6541" s="10"/>
      <c r="AG6541" s="10"/>
      <c r="AH6541" s="10"/>
      <c r="AI6541" s="10"/>
      <c r="AJ6541" s="10"/>
      <c r="AK6541" s="10"/>
      <c r="AL6541" s="10"/>
      <c r="AM6541" s="10"/>
      <c r="AN6541" s="10"/>
      <c r="AO6541" s="10"/>
      <c r="AP6541" s="10"/>
      <c r="AQ6541" s="10"/>
      <c r="AR6541" s="10"/>
      <c r="AS6541" s="10"/>
      <c r="AT6541" s="10"/>
      <c r="AU6541" s="10"/>
      <c r="AV6541" s="10"/>
      <c r="AW6541" s="10"/>
      <c r="AX6541" s="10"/>
      <c r="AY6541" s="10"/>
      <c r="AZ6541" s="10"/>
    </row>
    <row r="6542" spans="31:52">
      <c r="AE6542" s="10"/>
      <c r="AF6542" s="10"/>
      <c r="AG6542" s="10"/>
      <c r="AH6542" s="10"/>
      <c r="AI6542" s="10"/>
      <c r="AJ6542" s="10"/>
      <c r="AK6542" s="10"/>
      <c r="AL6542" s="10"/>
      <c r="AM6542" s="10"/>
      <c r="AN6542" s="10"/>
      <c r="AO6542" s="10"/>
      <c r="AP6542" s="10"/>
      <c r="AQ6542" s="10"/>
      <c r="AR6542" s="10"/>
      <c r="AS6542" s="10"/>
      <c r="AT6542" s="10"/>
      <c r="AU6542" s="10"/>
      <c r="AV6542" s="10"/>
      <c r="AW6542" s="10"/>
      <c r="AX6542" s="10"/>
      <c r="AY6542" s="10"/>
      <c r="AZ6542" s="10"/>
    </row>
    <row r="6543" spans="31:52">
      <c r="AE6543" s="10"/>
      <c r="AF6543" s="10"/>
      <c r="AG6543" s="10"/>
      <c r="AH6543" s="10"/>
      <c r="AI6543" s="10"/>
      <c r="AJ6543" s="10"/>
      <c r="AK6543" s="10"/>
      <c r="AL6543" s="10"/>
      <c r="AM6543" s="10"/>
      <c r="AN6543" s="10"/>
      <c r="AO6543" s="10"/>
      <c r="AP6543" s="10"/>
      <c r="AQ6543" s="10"/>
      <c r="AR6543" s="10"/>
      <c r="AS6543" s="10"/>
      <c r="AT6543" s="10"/>
      <c r="AU6543" s="10"/>
      <c r="AV6543" s="10"/>
      <c r="AW6543" s="10"/>
      <c r="AX6543" s="10"/>
      <c r="AY6543" s="10"/>
      <c r="AZ6543" s="10"/>
    </row>
    <row r="6544" spans="31:52">
      <c r="AE6544" s="10"/>
      <c r="AF6544" s="10"/>
      <c r="AG6544" s="10"/>
      <c r="AH6544" s="10"/>
      <c r="AI6544" s="10"/>
      <c r="AJ6544" s="10"/>
      <c r="AK6544" s="10"/>
      <c r="AL6544" s="10"/>
      <c r="AM6544" s="10"/>
      <c r="AN6544" s="10"/>
      <c r="AO6544" s="10"/>
      <c r="AP6544" s="10"/>
      <c r="AQ6544" s="10"/>
      <c r="AR6544" s="10"/>
      <c r="AS6544" s="10"/>
      <c r="AT6544" s="10"/>
      <c r="AU6544" s="10"/>
      <c r="AV6544" s="10"/>
      <c r="AW6544" s="10"/>
      <c r="AX6544" s="10"/>
      <c r="AY6544" s="10"/>
      <c r="AZ6544" s="10"/>
    </row>
    <row r="6545" spans="31:52">
      <c r="AE6545" s="10"/>
      <c r="AF6545" s="10"/>
      <c r="AG6545" s="10"/>
      <c r="AH6545" s="10"/>
      <c r="AI6545" s="10"/>
      <c r="AJ6545" s="10"/>
      <c r="AK6545" s="10"/>
      <c r="AL6545" s="10"/>
      <c r="AM6545" s="10"/>
      <c r="AN6545" s="10"/>
      <c r="AO6545" s="10"/>
      <c r="AP6545" s="10"/>
      <c r="AQ6545" s="10"/>
      <c r="AR6545" s="10"/>
      <c r="AS6545" s="10"/>
      <c r="AT6545" s="10"/>
      <c r="AU6545" s="10"/>
      <c r="AV6545" s="10"/>
      <c r="AW6545" s="10"/>
      <c r="AX6545" s="10"/>
      <c r="AY6545" s="10"/>
      <c r="AZ6545" s="10"/>
    </row>
    <row r="6546" spans="31:52">
      <c r="AE6546" s="10"/>
      <c r="AF6546" s="10"/>
      <c r="AG6546" s="10"/>
      <c r="AH6546" s="10"/>
      <c r="AI6546" s="10"/>
      <c r="AJ6546" s="10"/>
      <c r="AK6546" s="10"/>
      <c r="AL6546" s="10"/>
      <c r="AM6546" s="10"/>
      <c r="AN6546" s="10"/>
      <c r="AO6546" s="10"/>
      <c r="AP6546" s="10"/>
      <c r="AQ6546" s="10"/>
      <c r="AR6546" s="10"/>
      <c r="AS6546" s="10"/>
      <c r="AT6546" s="10"/>
      <c r="AU6546" s="10"/>
      <c r="AV6546" s="10"/>
      <c r="AW6546" s="10"/>
      <c r="AX6546" s="10"/>
      <c r="AY6546" s="10"/>
      <c r="AZ6546" s="10"/>
    </row>
    <row r="6547" spans="31:52">
      <c r="AE6547" s="10"/>
      <c r="AF6547" s="10"/>
      <c r="AG6547" s="10"/>
      <c r="AH6547" s="10"/>
      <c r="AI6547" s="10"/>
      <c r="AJ6547" s="10"/>
      <c r="AK6547" s="10"/>
      <c r="AL6547" s="10"/>
      <c r="AM6547" s="10"/>
      <c r="AN6547" s="10"/>
      <c r="AO6547" s="10"/>
      <c r="AP6547" s="10"/>
      <c r="AQ6547" s="10"/>
      <c r="AR6547" s="10"/>
      <c r="AS6547" s="10"/>
      <c r="AT6547" s="10"/>
      <c r="AU6547" s="10"/>
      <c r="AV6547" s="10"/>
      <c r="AW6547" s="10"/>
      <c r="AX6547" s="10"/>
      <c r="AY6547" s="10"/>
      <c r="AZ6547" s="10"/>
    </row>
    <row r="6548" spans="31:52">
      <c r="AE6548" s="10"/>
      <c r="AF6548" s="10"/>
      <c r="AG6548" s="10"/>
      <c r="AH6548" s="10"/>
      <c r="AI6548" s="10"/>
      <c r="AJ6548" s="10"/>
      <c r="AK6548" s="10"/>
      <c r="AL6548" s="10"/>
      <c r="AM6548" s="10"/>
      <c r="AN6548" s="10"/>
      <c r="AO6548" s="10"/>
      <c r="AP6548" s="10"/>
      <c r="AQ6548" s="10"/>
      <c r="AR6548" s="10"/>
      <c r="AS6548" s="10"/>
      <c r="AT6548" s="10"/>
      <c r="AU6548" s="10"/>
      <c r="AV6548" s="10"/>
      <c r="AW6548" s="10"/>
      <c r="AX6548" s="10"/>
      <c r="AY6548" s="10"/>
      <c r="AZ6548" s="10"/>
    </row>
    <row r="6549" spans="31:52">
      <c r="AE6549" s="10"/>
      <c r="AF6549" s="10"/>
      <c r="AG6549" s="10"/>
      <c r="AH6549" s="10"/>
      <c r="AI6549" s="10"/>
      <c r="AJ6549" s="10"/>
      <c r="AK6549" s="10"/>
      <c r="AL6549" s="10"/>
      <c r="AM6549" s="10"/>
      <c r="AN6549" s="10"/>
      <c r="AO6549" s="10"/>
      <c r="AP6549" s="10"/>
      <c r="AQ6549" s="10"/>
      <c r="AR6549" s="10"/>
      <c r="AS6549" s="10"/>
      <c r="AT6549" s="10"/>
      <c r="AU6549" s="10"/>
      <c r="AV6549" s="10"/>
      <c r="AW6549" s="10"/>
      <c r="AX6549" s="10"/>
      <c r="AY6549" s="10"/>
      <c r="AZ6549" s="10"/>
    </row>
    <row r="6550" spans="31:52">
      <c r="AE6550" s="10"/>
      <c r="AF6550" s="10"/>
      <c r="AG6550" s="10"/>
      <c r="AH6550" s="10"/>
      <c r="AI6550" s="10"/>
      <c r="AJ6550" s="10"/>
      <c r="AK6550" s="10"/>
      <c r="AL6550" s="10"/>
      <c r="AM6550" s="10"/>
      <c r="AN6550" s="10"/>
      <c r="AO6550" s="10"/>
      <c r="AP6550" s="10"/>
      <c r="AQ6550" s="10"/>
      <c r="AR6550" s="10"/>
      <c r="AS6550" s="10"/>
      <c r="AT6550" s="10"/>
      <c r="AU6550" s="10"/>
      <c r="AV6550" s="10"/>
      <c r="AW6550" s="10"/>
      <c r="AX6550" s="10"/>
      <c r="AY6550" s="10"/>
      <c r="AZ6550" s="10"/>
    </row>
    <row r="6551" spans="31:52">
      <c r="AE6551" s="10"/>
      <c r="AF6551" s="10"/>
      <c r="AG6551" s="10"/>
      <c r="AH6551" s="10"/>
      <c r="AI6551" s="10"/>
      <c r="AJ6551" s="10"/>
      <c r="AK6551" s="10"/>
      <c r="AL6551" s="10"/>
      <c r="AM6551" s="10"/>
      <c r="AN6551" s="10"/>
      <c r="AO6551" s="10"/>
      <c r="AP6551" s="10"/>
      <c r="AQ6551" s="10"/>
      <c r="AR6551" s="10"/>
      <c r="AS6551" s="10"/>
      <c r="AT6551" s="10"/>
      <c r="AU6551" s="10"/>
      <c r="AV6551" s="10"/>
      <c r="AW6551" s="10"/>
      <c r="AX6551" s="10"/>
      <c r="AY6551" s="10"/>
      <c r="AZ6551" s="10"/>
    </row>
    <row r="6552" spans="31:52">
      <c r="AE6552" s="10"/>
      <c r="AF6552" s="10"/>
      <c r="AG6552" s="10"/>
      <c r="AH6552" s="10"/>
      <c r="AI6552" s="10"/>
      <c r="AJ6552" s="10"/>
      <c r="AK6552" s="10"/>
      <c r="AL6552" s="10"/>
      <c r="AM6552" s="10"/>
      <c r="AN6552" s="10"/>
      <c r="AO6552" s="10"/>
      <c r="AP6552" s="10"/>
      <c r="AQ6552" s="10"/>
      <c r="AR6552" s="10"/>
      <c r="AS6552" s="10"/>
      <c r="AT6552" s="10"/>
      <c r="AU6552" s="10"/>
      <c r="AV6552" s="10"/>
      <c r="AW6552" s="10"/>
      <c r="AX6552" s="10"/>
      <c r="AY6552" s="10"/>
      <c r="AZ6552" s="10"/>
    </row>
    <row r="6553" spans="31:52">
      <c r="AE6553" s="10"/>
      <c r="AF6553" s="10"/>
      <c r="AG6553" s="10"/>
      <c r="AH6553" s="10"/>
      <c r="AI6553" s="10"/>
      <c r="AJ6553" s="10"/>
      <c r="AK6553" s="10"/>
      <c r="AL6553" s="10"/>
      <c r="AM6553" s="10"/>
      <c r="AN6553" s="10"/>
      <c r="AO6553" s="10"/>
      <c r="AP6553" s="10"/>
      <c r="AQ6553" s="10"/>
      <c r="AR6553" s="10"/>
      <c r="AS6553" s="10"/>
      <c r="AT6553" s="10"/>
      <c r="AU6553" s="10"/>
      <c r="AV6553" s="10"/>
      <c r="AW6553" s="10"/>
      <c r="AX6553" s="10"/>
      <c r="AY6553" s="10"/>
      <c r="AZ6553" s="10"/>
    </row>
    <row r="6554" spans="31:52">
      <c r="AE6554" s="10"/>
      <c r="AF6554" s="10"/>
      <c r="AG6554" s="10"/>
      <c r="AH6554" s="10"/>
      <c r="AI6554" s="10"/>
      <c r="AJ6554" s="10"/>
      <c r="AK6554" s="10"/>
      <c r="AL6554" s="10"/>
      <c r="AM6554" s="10"/>
      <c r="AN6554" s="10"/>
      <c r="AO6554" s="10"/>
      <c r="AP6554" s="10"/>
      <c r="AQ6554" s="10"/>
      <c r="AR6554" s="10"/>
      <c r="AS6554" s="10"/>
      <c r="AT6554" s="10"/>
      <c r="AU6554" s="10"/>
      <c r="AV6554" s="10"/>
      <c r="AW6554" s="10"/>
      <c r="AX6554" s="10"/>
      <c r="AY6554" s="10"/>
      <c r="AZ6554" s="10"/>
    </row>
    <row r="6555" spans="31:52">
      <c r="AE6555" s="10"/>
      <c r="AF6555" s="10"/>
      <c r="AG6555" s="10"/>
      <c r="AH6555" s="10"/>
      <c r="AI6555" s="10"/>
      <c r="AJ6555" s="10"/>
      <c r="AK6555" s="10"/>
      <c r="AL6555" s="10"/>
      <c r="AM6555" s="10"/>
      <c r="AN6555" s="10"/>
      <c r="AO6555" s="10"/>
      <c r="AP6555" s="10"/>
      <c r="AQ6555" s="10"/>
      <c r="AR6555" s="10"/>
      <c r="AS6555" s="10"/>
      <c r="AT6555" s="10"/>
      <c r="AU6555" s="10"/>
      <c r="AV6555" s="10"/>
      <c r="AW6555" s="10"/>
      <c r="AX6555" s="10"/>
      <c r="AY6555" s="10"/>
      <c r="AZ6555" s="10"/>
    </row>
    <row r="6556" spans="31:52">
      <c r="AE6556" s="10"/>
      <c r="AF6556" s="10"/>
      <c r="AG6556" s="10"/>
      <c r="AH6556" s="10"/>
      <c r="AI6556" s="10"/>
      <c r="AJ6556" s="10"/>
      <c r="AK6556" s="10"/>
      <c r="AL6556" s="10"/>
      <c r="AM6556" s="10"/>
      <c r="AN6556" s="10"/>
      <c r="AO6556" s="10"/>
      <c r="AP6556" s="10"/>
      <c r="AQ6556" s="10"/>
      <c r="AR6556" s="10"/>
      <c r="AS6556" s="10"/>
      <c r="AT6556" s="10"/>
      <c r="AU6556" s="10"/>
      <c r="AV6556" s="10"/>
      <c r="AW6556" s="10"/>
      <c r="AX6556" s="10"/>
      <c r="AY6556" s="10"/>
      <c r="AZ6556" s="10"/>
    </row>
    <row r="6557" spans="31:52">
      <c r="AE6557" s="10"/>
      <c r="AF6557" s="10"/>
      <c r="AG6557" s="10"/>
      <c r="AH6557" s="10"/>
      <c r="AI6557" s="10"/>
      <c r="AJ6557" s="10"/>
      <c r="AK6557" s="10"/>
      <c r="AL6557" s="10"/>
      <c r="AM6557" s="10"/>
      <c r="AN6557" s="10"/>
      <c r="AO6557" s="10"/>
      <c r="AP6557" s="10"/>
      <c r="AQ6557" s="10"/>
      <c r="AR6557" s="10"/>
      <c r="AS6557" s="10"/>
      <c r="AT6557" s="10"/>
      <c r="AU6557" s="10"/>
      <c r="AV6557" s="10"/>
      <c r="AW6557" s="10"/>
      <c r="AX6557" s="10"/>
      <c r="AY6557" s="10"/>
      <c r="AZ6557" s="10"/>
    </row>
    <row r="6558" spans="31:52">
      <c r="AE6558" s="10"/>
      <c r="AF6558" s="10"/>
      <c r="AG6558" s="10"/>
      <c r="AH6558" s="10"/>
      <c r="AI6558" s="10"/>
      <c r="AJ6558" s="10"/>
      <c r="AK6558" s="10"/>
      <c r="AL6558" s="10"/>
      <c r="AM6558" s="10"/>
      <c r="AN6558" s="10"/>
      <c r="AO6558" s="10"/>
      <c r="AP6558" s="10"/>
      <c r="AQ6558" s="10"/>
      <c r="AR6558" s="10"/>
      <c r="AS6558" s="10"/>
      <c r="AT6558" s="10"/>
      <c r="AU6558" s="10"/>
      <c r="AV6558" s="10"/>
      <c r="AW6558" s="10"/>
      <c r="AX6558" s="10"/>
      <c r="AY6558" s="10"/>
      <c r="AZ6558" s="10"/>
    </row>
    <row r="6559" spans="31:52">
      <c r="AE6559" s="10"/>
      <c r="AF6559" s="10"/>
      <c r="AG6559" s="10"/>
      <c r="AH6559" s="10"/>
      <c r="AI6559" s="10"/>
      <c r="AJ6559" s="10"/>
      <c r="AK6559" s="10"/>
      <c r="AL6559" s="10"/>
      <c r="AM6559" s="10"/>
      <c r="AN6559" s="10"/>
      <c r="AO6559" s="10"/>
      <c r="AP6559" s="10"/>
      <c r="AQ6559" s="10"/>
      <c r="AR6559" s="10"/>
      <c r="AS6559" s="10"/>
      <c r="AT6559" s="10"/>
      <c r="AU6559" s="10"/>
      <c r="AV6559" s="10"/>
      <c r="AW6559" s="10"/>
      <c r="AX6559" s="10"/>
      <c r="AY6559" s="10"/>
      <c r="AZ6559" s="10"/>
    </row>
    <row r="6560" spans="31:52">
      <c r="AE6560" s="10"/>
      <c r="AF6560" s="10"/>
      <c r="AG6560" s="10"/>
      <c r="AH6560" s="10"/>
      <c r="AI6560" s="10"/>
      <c r="AJ6560" s="10"/>
      <c r="AK6560" s="10"/>
      <c r="AL6560" s="10"/>
      <c r="AM6560" s="10"/>
      <c r="AN6560" s="10"/>
      <c r="AO6560" s="10"/>
      <c r="AP6560" s="10"/>
      <c r="AQ6560" s="10"/>
      <c r="AR6560" s="10"/>
      <c r="AS6560" s="10"/>
      <c r="AT6560" s="10"/>
      <c r="AU6560" s="10"/>
      <c r="AV6560" s="10"/>
      <c r="AW6560" s="10"/>
      <c r="AX6560" s="10"/>
      <c r="AY6560" s="10"/>
      <c r="AZ6560" s="10"/>
    </row>
    <row r="6561" spans="31:52">
      <c r="AE6561" s="10"/>
      <c r="AF6561" s="10"/>
      <c r="AG6561" s="10"/>
      <c r="AH6561" s="10"/>
      <c r="AI6561" s="10"/>
      <c r="AJ6561" s="10"/>
      <c r="AK6561" s="10"/>
      <c r="AL6561" s="10"/>
      <c r="AM6561" s="10"/>
      <c r="AN6561" s="10"/>
      <c r="AO6561" s="10"/>
      <c r="AP6561" s="10"/>
      <c r="AQ6561" s="10"/>
      <c r="AR6561" s="10"/>
      <c r="AS6561" s="10"/>
      <c r="AT6561" s="10"/>
      <c r="AU6561" s="10"/>
      <c r="AV6561" s="10"/>
      <c r="AW6561" s="10"/>
      <c r="AX6561" s="10"/>
      <c r="AY6561" s="10"/>
      <c r="AZ6561" s="10"/>
    </row>
    <row r="6562" spans="31:52">
      <c r="AE6562" s="10"/>
      <c r="AF6562" s="10"/>
      <c r="AG6562" s="10"/>
      <c r="AH6562" s="10"/>
      <c r="AI6562" s="10"/>
      <c r="AJ6562" s="10"/>
      <c r="AK6562" s="10"/>
      <c r="AL6562" s="10"/>
      <c r="AM6562" s="10"/>
      <c r="AN6562" s="10"/>
      <c r="AO6562" s="10"/>
      <c r="AP6562" s="10"/>
      <c r="AQ6562" s="10"/>
      <c r="AR6562" s="10"/>
      <c r="AS6562" s="10"/>
      <c r="AT6562" s="10"/>
      <c r="AU6562" s="10"/>
      <c r="AV6562" s="10"/>
      <c r="AW6562" s="10"/>
      <c r="AX6562" s="10"/>
      <c r="AY6562" s="10"/>
      <c r="AZ6562" s="10"/>
    </row>
    <row r="6563" spans="31:52">
      <c r="AE6563" s="10"/>
      <c r="AF6563" s="10"/>
      <c r="AG6563" s="10"/>
      <c r="AH6563" s="10"/>
      <c r="AI6563" s="10"/>
      <c r="AJ6563" s="10"/>
      <c r="AK6563" s="10"/>
      <c r="AL6563" s="10"/>
      <c r="AM6563" s="10"/>
      <c r="AN6563" s="10"/>
      <c r="AO6563" s="10"/>
      <c r="AP6563" s="10"/>
      <c r="AQ6563" s="10"/>
      <c r="AR6563" s="10"/>
      <c r="AS6563" s="10"/>
      <c r="AT6563" s="10"/>
      <c r="AU6563" s="10"/>
      <c r="AV6563" s="10"/>
      <c r="AW6563" s="10"/>
      <c r="AX6563" s="10"/>
      <c r="AY6563" s="10"/>
      <c r="AZ6563" s="10"/>
    </row>
    <row r="6564" spans="31:52">
      <c r="AE6564" s="10"/>
      <c r="AF6564" s="10"/>
      <c r="AG6564" s="10"/>
      <c r="AH6564" s="10"/>
      <c r="AI6564" s="10"/>
      <c r="AJ6564" s="10"/>
      <c r="AK6564" s="10"/>
      <c r="AL6564" s="10"/>
      <c r="AM6564" s="10"/>
      <c r="AN6564" s="10"/>
      <c r="AO6564" s="10"/>
      <c r="AP6564" s="10"/>
      <c r="AQ6564" s="10"/>
      <c r="AR6564" s="10"/>
      <c r="AS6564" s="10"/>
      <c r="AT6564" s="10"/>
      <c r="AU6564" s="10"/>
      <c r="AV6564" s="10"/>
      <c r="AW6564" s="10"/>
      <c r="AX6564" s="10"/>
      <c r="AY6564" s="10"/>
      <c r="AZ6564" s="10"/>
    </row>
    <row r="6565" spans="31:52">
      <c r="AE6565" s="10"/>
      <c r="AF6565" s="10"/>
      <c r="AG6565" s="10"/>
      <c r="AH6565" s="10"/>
      <c r="AI6565" s="10"/>
      <c r="AJ6565" s="10"/>
      <c r="AK6565" s="10"/>
      <c r="AL6565" s="10"/>
      <c r="AM6565" s="10"/>
      <c r="AN6565" s="10"/>
      <c r="AO6565" s="10"/>
      <c r="AP6565" s="10"/>
      <c r="AQ6565" s="10"/>
      <c r="AR6565" s="10"/>
      <c r="AS6565" s="10"/>
      <c r="AT6565" s="10"/>
      <c r="AU6565" s="10"/>
      <c r="AV6565" s="10"/>
      <c r="AW6565" s="10"/>
      <c r="AX6565" s="10"/>
      <c r="AY6565" s="10"/>
      <c r="AZ6565" s="10"/>
    </row>
    <row r="6566" spans="31:52">
      <c r="AE6566" s="10"/>
      <c r="AF6566" s="10"/>
      <c r="AG6566" s="10"/>
      <c r="AH6566" s="10"/>
      <c r="AI6566" s="10"/>
      <c r="AJ6566" s="10"/>
      <c r="AK6566" s="10"/>
      <c r="AL6566" s="10"/>
      <c r="AM6566" s="10"/>
      <c r="AN6566" s="10"/>
      <c r="AO6566" s="10"/>
      <c r="AP6566" s="10"/>
      <c r="AQ6566" s="10"/>
      <c r="AR6566" s="10"/>
      <c r="AS6566" s="10"/>
      <c r="AT6566" s="10"/>
      <c r="AU6566" s="10"/>
      <c r="AV6566" s="10"/>
      <c r="AW6566" s="10"/>
      <c r="AX6566" s="10"/>
      <c r="AY6566" s="10"/>
      <c r="AZ6566" s="10"/>
    </row>
    <row r="6567" spans="31:52">
      <c r="AE6567" s="10"/>
      <c r="AF6567" s="10"/>
      <c r="AG6567" s="10"/>
      <c r="AH6567" s="10"/>
      <c r="AI6567" s="10"/>
      <c r="AJ6567" s="10"/>
      <c r="AK6567" s="10"/>
      <c r="AL6567" s="10"/>
      <c r="AM6567" s="10"/>
      <c r="AN6567" s="10"/>
      <c r="AO6567" s="10"/>
      <c r="AP6567" s="10"/>
      <c r="AQ6567" s="10"/>
      <c r="AR6567" s="10"/>
      <c r="AS6567" s="10"/>
      <c r="AT6567" s="10"/>
      <c r="AU6567" s="10"/>
      <c r="AV6567" s="10"/>
      <c r="AW6567" s="10"/>
      <c r="AX6567" s="10"/>
      <c r="AY6567" s="10"/>
      <c r="AZ6567" s="10"/>
    </row>
    <row r="6568" spans="31:52">
      <c r="AE6568" s="10"/>
      <c r="AF6568" s="10"/>
      <c r="AG6568" s="10"/>
      <c r="AH6568" s="10"/>
      <c r="AI6568" s="10"/>
      <c r="AJ6568" s="10"/>
      <c r="AK6568" s="10"/>
      <c r="AL6568" s="10"/>
      <c r="AM6568" s="10"/>
      <c r="AN6568" s="10"/>
      <c r="AO6568" s="10"/>
      <c r="AP6568" s="10"/>
      <c r="AQ6568" s="10"/>
      <c r="AR6568" s="10"/>
      <c r="AS6568" s="10"/>
      <c r="AT6568" s="10"/>
      <c r="AU6568" s="10"/>
      <c r="AV6568" s="10"/>
      <c r="AW6568" s="10"/>
      <c r="AX6568" s="10"/>
      <c r="AY6568" s="10"/>
      <c r="AZ6568" s="10"/>
    </row>
    <row r="6569" spans="31:52">
      <c r="AE6569" s="10"/>
      <c r="AF6569" s="10"/>
      <c r="AG6569" s="10"/>
      <c r="AH6569" s="10"/>
      <c r="AI6569" s="10"/>
      <c r="AJ6569" s="10"/>
      <c r="AK6569" s="10"/>
      <c r="AL6569" s="10"/>
      <c r="AM6569" s="10"/>
      <c r="AN6569" s="10"/>
      <c r="AO6569" s="10"/>
      <c r="AP6569" s="10"/>
      <c r="AQ6569" s="10"/>
      <c r="AR6569" s="10"/>
      <c r="AS6569" s="10"/>
      <c r="AT6569" s="10"/>
      <c r="AU6569" s="10"/>
      <c r="AV6569" s="10"/>
      <c r="AW6569" s="10"/>
      <c r="AX6569" s="10"/>
      <c r="AY6569" s="10"/>
      <c r="AZ6569" s="10"/>
    </row>
    <row r="6570" spans="31:52">
      <c r="AE6570" s="10"/>
      <c r="AF6570" s="10"/>
      <c r="AG6570" s="10"/>
      <c r="AH6570" s="10"/>
      <c r="AI6570" s="10"/>
      <c r="AJ6570" s="10"/>
      <c r="AK6570" s="10"/>
      <c r="AL6570" s="10"/>
      <c r="AM6570" s="10"/>
      <c r="AN6570" s="10"/>
      <c r="AO6570" s="10"/>
      <c r="AP6570" s="10"/>
      <c r="AQ6570" s="10"/>
      <c r="AR6570" s="10"/>
      <c r="AS6570" s="10"/>
      <c r="AT6570" s="10"/>
      <c r="AU6570" s="10"/>
      <c r="AV6570" s="10"/>
      <c r="AW6570" s="10"/>
      <c r="AX6570" s="10"/>
      <c r="AY6570" s="10"/>
      <c r="AZ6570" s="10"/>
    </row>
    <row r="6571" spans="31:52">
      <c r="AE6571" s="10"/>
      <c r="AF6571" s="10"/>
      <c r="AG6571" s="10"/>
      <c r="AH6571" s="10"/>
      <c r="AI6571" s="10"/>
      <c r="AJ6571" s="10"/>
      <c r="AK6571" s="10"/>
      <c r="AL6571" s="10"/>
      <c r="AM6571" s="10"/>
      <c r="AN6571" s="10"/>
      <c r="AO6571" s="10"/>
      <c r="AP6571" s="10"/>
      <c r="AQ6571" s="10"/>
      <c r="AR6571" s="10"/>
      <c r="AS6571" s="10"/>
      <c r="AT6571" s="10"/>
      <c r="AU6571" s="10"/>
      <c r="AV6571" s="10"/>
      <c r="AW6571" s="10"/>
      <c r="AX6571" s="10"/>
      <c r="AY6571" s="10"/>
      <c r="AZ6571" s="10"/>
    </row>
    <row r="6572" spans="31:52">
      <c r="AE6572" s="10"/>
      <c r="AF6572" s="10"/>
      <c r="AG6572" s="10"/>
      <c r="AH6572" s="10"/>
      <c r="AI6572" s="10"/>
      <c r="AJ6572" s="10"/>
      <c r="AK6572" s="10"/>
      <c r="AL6572" s="10"/>
      <c r="AM6572" s="10"/>
      <c r="AN6572" s="10"/>
      <c r="AO6572" s="10"/>
      <c r="AP6572" s="10"/>
      <c r="AQ6572" s="10"/>
      <c r="AR6572" s="10"/>
      <c r="AS6572" s="10"/>
      <c r="AT6572" s="10"/>
      <c r="AU6572" s="10"/>
      <c r="AV6572" s="10"/>
      <c r="AW6572" s="10"/>
      <c r="AX6572" s="10"/>
      <c r="AY6572" s="10"/>
      <c r="AZ6572" s="10"/>
    </row>
    <row r="6573" spans="31:52">
      <c r="AE6573" s="10"/>
      <c r="AF6573" s="10"/>
      <c r="AG6573" s="10"/>
      <c r="AH6573" s="10"/>
      <c r="AI6573" s="10"/>
      <c r="AJ6573" s="10"/>
      <c r="AK6573" s="10"/>
      <c r="AL6573" s="10"/>
      <c r="AM6573" s="10"/>
      <c r="AN6573" s="10"/>
      <c r="AO6573" s="10"/>
      <c r="AP6573" s="10"/>
      <c r="AQ6573" s="10"/>
      <c r="AR6573" s="10"/>
      <c r="AS6573" s="10"/>
      <c r="AT6573" s="10"/>
      <c r="AU6573" s="10"/>
      <c r="AV6573" s="10"/>
      <c r="AW6573" s="10"/>
      <c r="AX6573" s="10"/>
      <c r="AY6573" s="10"/>
      <c r="AZ6573" s="10"/>
    </row>
    <row r="6574" spans="31:52">
      <c r="AE6574" s="10"/>
      <c r="AF6574" s="10"/>
      <c r="AG6574" s="10"/>
      <c r="AH6574" s="10"/>
      <c r="AI6574" s="10"/>
      <c r="AJ6574" s="10"/>
      <c r="AK6574" s="10"/>
      <c r="AL6574" s="10"/>
      <c r="AM6574" s="10"/>
      <c r="AN6574" s="10"/>
      <c r="AO6574" s="10"/>
      <c r="AP6574" s="10"/>
      <c r="AQ6574" s="10"/>
      <c r="AR6574" s="10"/>
      <c r="AS6574" s="10"/>
      <c r="AT6574" s="10"/>
      <c r="AU6574" s="10"/>
      <c r="AV6574" s="10"/>
      <c r="AW6574" s="10"/>
      <c r="AX6574" s="10"/>
      <c r="AY6574" s="10"/>
      <c r="AZ6574" s="10"/>
    </row>
    <row r="6575" spans="31:52">
      <c r="AE6575" s="10"/>
      <c r="AF6575" s="10"/>
      <c r="AG6575" s="10"/>
      <c r="AH6575" s="10"/>
      <c r="AI6575" s="10"/>
      <c r="AJ6575" s="10"/>
      <c r="AK6575" s="10"/>
      <c r="AL6575" s="10"/>
      <c r="AM6575" s="10"/>
      <c r="AN6575" s="10"/>
      <c r="AO6575" s="10"/>
      <c r="AP6575" s="10"/>
      <c r="AQ6575" s="10"/>
      <c r="AR6575" s="10"/>
      <c r="AS6575" s="10"/>
      <c r="AT6575" s="10"/>
      <c r="AU6575" s="10"/>
      <c r="AV6575" s="10"/>
      <c r="AW6575" s="10"/>
      <c r="AX6575" s="10"/>
      <c r="AY6575" s="10"/>
      <c r="AZ6575" s="10"/>
    </row>
    <row r="6576" spans="31:52">
      <c r="AE6576" s="10"/>
      <c r="AF6576" s="10"/>
      <c r="AG6576" s="10"/>
      <c r="AH6576" s="10"/>
      <c r="AI6576" s="10"/>
      <c r="AJ6576" s="10"/>
      <c r="AK6576" s="10"/>
      <c r="AL6576" s="10"/>
      <c r="AM6576" s="10"/>
      <c r="AN6576" s="10"/>
      <c r="AO6576" s="10"/>
      <c r="AP6576" s="10"/>
      <c r="AQ6576" s="10"/>
      <c r="AR6576" s="10"/>
      <c r="AS6576" s="10"/>
      <c r="AT6576" s="10"/>
      <c r="AU6576" s="10"/>
      <c r="AV6576" s="10"/>
      <c r="AW6576" s="10"/>
      <c r="AX6576" s="10"/>
      <c r="AY6576" s="10"/>
      <c r="AZ6576" s="10"/>
    </row>
    <row r="6577" spans="31:52">
      <c r="AE6577" s="10"/>
      <c r="AF6577" s="10"/>
      <c r="AG6577" s="10"/>
      <c r="AH6577" s="10"/>
      <c r="AI6577" s="10"/>
      <c r="AJ6577" s="10"/>
      <c r="AK6577" s="10"/>
      <c r="AL6577" s="10"/>
      <c r="AM6577" s="10"/>
      <c r="AN6577" s="10"/>
      <c r="AO6577" s="10"/>
      <c r="AP6577" s="10"/>
      <c r="AQ6577" s="10"/>
      <c r="AR6577" s="10"/>
      <c r="AS6577" s="10"/>
      <c r="AT6577" s="10"/>
      <c r="AU6577" s="10"/>
      <c r="AV6577" s="10"/>
      <c r="AW6577" s="10"/>
      <c r="AX6577" s="10"/>
      <c r="AY6577" s="10"/>
      <c r="AZ6577" s="10"/>
    </row>
    <row r="6578" spans="31:52">
      <c r="AE6578" s="10"/>
      <c r="AF6578" s="10"/>
      <c r="AG6578" s="10"/>
      <c r="AH6578" s="10"/>
      <c r="AI6578" s="10"/>
      <c r="AJ6578" s="10"/>
      <c r="AK6578" s="10"/>
      <c r="AL6578" s="10"/>
      <c r="AM6578" s="10"/>
      <c r="AN6578" s="10"/>
      <c r="AO6578" s="10"/>
      <c r="AP6578" s="10"/>
      <c r="AQ6578" s="10"/>
      <c r="AR6578" s="10"/>
      <c r="AS6578" s="10"/>
      <c r="AT6578" s="10"/>
      <c r="AU6578" s="10"/>
      <c r="AV6578" s="10"/>
      <c r="AW6578" s="10"/>
      <c r="AX6578" s="10"/>
      <c r="AY6578" s="10"/>
      <c r="AZ6578" s="10"/>
    </row>
    <row r="6579" spans="31:52">
      <c r="AE6579" s="10"/>
      <c r="AF6579" s="10"/>
      <c r="AG6579" s="10"/>
      <c r="AH6579" s="10"/>
      <c r="AI6579" s="10"/>
      <c r="AJ6579" s="10"/>
      <c r="AK6579" s="10"/>
      <c r="AL6579" s="10"/>
      <c r="AM6579" s="10"/>
      <c r="AN6579" s="10"/>
      <c r="AO6579" s="10"/>
      <c r="AP6579" s="10"/>
      <c r="AQ6579" s="10"/>
      <c r="AR6579" s="10"/>
      <c r="AS6579" s="10"/>
      <c r="AT6579" s="10"/>
      <c r="AU6579" s="10"/>
      <c r="AV6579" s="10"/>
      <c r="AW6579" s="10"/>
      <c r="AX6579" s="10"/>
      <c r="AY6579" s="10"/>
      <c r="AZ6579" s="10"/>
    </row>
    <row r="6580" spans="31:52">
      <c r="AE6580" s="10"/>
      <c r="AF6580" s="10"/>
      <c r="AG6580" s="10"/>
      <c r="AH6580" s="10"/>
      <c r="AI6580" s="10"/>
      <c r="AJ6580" s="10"/>
      <c r="AK6580" s="10"/>
      <c r="AL6580" s="10"/>
      <c r="AM6580" s="10"/>
      <c r="AN6580" s="10"/>
      <c r="AO6580" s="10"/>
      <c r="AP6580" s="10"/>
      <c r="AQ6580" s="10"/>
      <c r="AR6580" s="10"/>
      <c r="AS6580" s="10"/>
      <c r="AT6580" s="10"/>
      <c r="AU6580" s="10"/>
      <c r="AV6580" s="10"/>
      <c r="AW6580" s="10"/>
      <c r="AX6580" s="10"/>
      <c r="AY6580" s="10"/>
      <c r="AZ6580" s="10"/>
    </row>
    <row r="6581" spans="31:52">
      <c r="AE6581" s="10"/>
      <c r="AF6581" s="10"/>
      <c r="AG6581" s="10"/>
      <c r="AH6581" s="10"/>
      <c r="AI6581" s="10"/>
      <c r="AJ6581" s="10"/>
      <c r="AK6581" s="10"/>
      <c r="AL6581" s="10"/>
      <c r="AM6581" s="10"/>
      <c r="AN6581" s="10"/>
      <c r="AO6581" s="10"/>
      <c r="AP6581" s="10"/>
      <c r="AQ6581" s="10"/>
      <c r="AR6581" s="10"/>
      <c r="AS6581" s="10"/>
      <c r="AT6581" s="10"/>
      <c r="AU6581" s="10"/>
      <c r="AV6581" s="10"/>
      <c r="AW6581" s="10"/>
      <c r="AX6581" s="10"/>
      <c r="AY6581" s="10"/>
      <c r="AZ6581" s="10"/>
    </row>
    <row r="6582" spans="31:52">
      <c r="AE6582" s="10"/>
      <c r="AF6582" s="10"/>
      <c r="AG6582" s="10"/>
      <c r="AH6582" s="10"/>
      <c r="AI6582" s="10"/>
      <c r="AJ6582" s="10"/>
      <c r="AK6582" s="10"/>
      <c r="AL6582" s="10"/>
      <c r="AM6582" s="10"/>
      <c r="AN6582" s="10"/>
      <c r="AO6582" s="10"/>
      <c r="AP6582" s="10"/>
      <c r="AQ6582" s="10"/>
      <c r="AR6582" s="10"/>
      <c r="AS6582" s="10"/>
      <c r="AT6582" s="10"/>
      <c r="AU6582" s="10"/>
      <c r="AV6582" s="10"/>
      <c r="AW6582" s="10"/>
      <c r="AX6582" s="10"/>
      <c r="AY6582" s="10"/>
      <c r="AZ6582" s="10"/>
    </row>
    <row r="6583" spans="31:52">
      <c r="AE6583" s="10"/>
      <c r="AF6583" s="10"/>
      <c r="AG6583" s="10"/>
      <c r="AH6583" s="10"/>
      <c r="AI6583" s="10"/>
      <c r="AJ6583" s="10"/>
      <c r="AK6583" s="10"/>
      <c r="AL6583" s="10"/>
      <c r="AM6583" s="10"/>
      <c r="AN6583" s="10"/>
      <c r="AO6583" s="10"/>
      <c r="AP6583" s="10"/>
      <c r="AQ6583" s="10"/>
      <c r="AR6583" s="10"/>
      <c r="AS6583" s="10"/>
      <c r="AT6583" s="10"/>
      <c r="AU6583" s="10"/>
      <c r="AV6583" s="10"/>
      <c r="AW6583" s="10"/>
      <c r="AX6583" s="10"/>
      <c r="AY6583" s="10"/>
      <c r="AZ6583" s="10"/>
    </row>
    <row r="6584" spans="31:52">
      <c r="AE6584" s="10"/>
      <c r="AF6584" s="10"/>
      <c r="AG6584" s="10"/>
      <c r="AH6584" s="10"/>
      <c r="AI6584" s="10"/>
      <c r="AJ6584" s="10"/>
      <c r="AK6584" s="10"/>
      <c r="AL6584" s="10"/>
      <c r="AM6584" s="10"/>
      <c r="AN6584" s="10"/>
      <c r="AO6584" s="10"/>
      <c r="AP6584" s="10"/>
      <c r="AQ6584" s="10"/>
      <c r="AR6584" s="10"/>
      <c r="AS6584" s="10"/>
      <c r="AT6584" s="10"/>
      <c r="AU6584" s="10"/>
      <c r="AV6584" s="10"/>
      <c r="AW6584" s="10"/>
      <c r="AX6584" s="10"/>
      <c r="AY6584" s="10"/>
      <c r="AZ6584" s="10"/>
    </row>
    <row r="6585" spans="31:52">
      <c r="AE6585" s="10"/>
      <c r="AF6585" s="10"/>
      <c r="AG6585" s="10"/>
      <c r="AH6585" s="10"/>
      <c r="AI6585" s="10"/>
      <c r="AJ6585" s="10"/>
      <c r="AK6585" s="10"/>
      <c r="AL6585" s="10"/>
      <c r="AM6585" s="10"/>
      <c r="AN6585" s="10"/>
      <c r="AO6585" s="10"/>
      <c r="AP6585" s="10"/>
      <c r="AQ6585" s="10"/>
      <c r="AR6585" s="10"/>
      <c r="AS6585" s="10"/>
      <c r="AT6585" s="10"/>
      <c r="AU6585" s="10"/>
      <c r="AV6585" s="10"/>
      <c r="AW6585" s="10"/>
      <c r="AX6585" s="10"/>
      <c r="AY6585" s="10"/>
      <c r="AZ6585" s="10"/>
    </row>
    <row r="6586" spans="31:52">
      <c r="AE6586" s="10"/>
      <c r="AF6586" s="10"/>
      <c r="AG6586" s="10"/>
      <c r="AH6586" s="10"/>
      <c r="AI6586" s="10"/>
      <c r="AJ6586" s="10"/>
      <c r="AK6586" s="10"/>
      <c r="AL6586" s="10"/>
      <c r="AM6586" s="10"/>
      <c r="AN6586" s="10"/>
      <c r="AO6586" s="10"/>
      <c r="AP6586" s="10"/>
      <c r="AQ6586" s="10"/>
      <c r="AR6586" s="10"/>
      <c r="AS6586" s="10"/>
      <c r="AT6586" s="10"/>
      <c r="AU6586" s="10"/>
      <c r="AV6586" s="10"/>
      <c r="AW6586" s="10"/>
      <c r="AX6586" s="10"/>
      <c r="AY6586" s="10"/>
      <c r="AZ6586" s="10"/>
    </row>
    <row r="6587" spans="31:52">
      <c r="AE6587" s="10"/>
      <c r="AF6587" s="10"/>
      <c r="AG6587" s="10"/>
      <c r="AH6587" s="10"/>
      <c r="AI6587" s="10"/>
      <c r="AJ6587" s="10"/>
      <c r="AK6587" s="10"/>
      <c r="AL6587" s="10"/>
      <c r="AM6587" s="10"/>
      <c r="AN6587" s="10"/>
      <c r="AO6587" s="10"/>
      <c r="AP6587" s="10"/>
      <c r="AQ6587" s="10"/>
      <c r="AR6587" s="10"/>
      <c r="AS6587" s="10"/>
      <c r="AT6587" s="10"/>
      <c r="AU6587" s="10"/>
      <c r="AV6587" s="10"/>
      <c r="AW6587" s="10"/>
      <c r="AX6587" s="10"/>
      <c r="AY6587" s="10"/>
      <c r="AZ6587" s="10"/>
    </row>
    <row r="6588" spans="31:52">
      <c r="AE6588" s="10"/>
      <c r="AF6588" s="10"/>
      <c r="AG6588" s="10"/>
      <c r="AH6588" s="10"/>
      <c r="AI6588" s="10"/>
      <c r="AJ6588" s="10"/>
      <c r="AK6588" s="10"/>
      <c r="AL6588" s="10"/>
      <c r="AM6588" s="10"/>
      <c r="AN6588" s="10"/>
      <c r="AO6588" s="10"/>
      <c r="AP6588" s="10"/>
      <c r="AQ6588" s="10"/>
      <c r="AR6588" s="10"/>
      <c r="AS6588" s="10"/>
      <c r="AT6588" s="10"/>
      <c r="AU6588" s="10"/>
      <c r="AV6588" s="10"/>
      <c r="AW6588" s="10"/>
      <c r="AX6588" s="10"/>
      <c r="AY6588" s="10"/>
      <c r="AZ6588" s="10"/>
    </row>
    <row r="6589" spans="31:52">
      <c r="AE6589" s="10"/>
      <c r="AF6589" s="10"/>
      <c r="AG6589" s="10"/>
      <c r="AH6589" s="10"/>
      <c r="AI6589" s="10"/>
      <c r="AJ6589" s="10"/>
      <c r="AK6589" s="10"/>
      <c r="AL6589" s="10"/>
      <c r="AM6589" s="10"/>
      <c r="AN6589" s="10"/>
      <c r="AO6589" s="10"/>
      <c r="AP6589" s="10"/>
      <c r="AQ6589" s="10"/>
      <c r="AR6589" s="10"/>
      <c r="AS6589" s="10"/>
      <c r="AT6589" s="10"/>
      <c r="AU6589" s="10"/>
      <c r="AV6589" s="10"/>
      <c r="AW6589" s="10"/>
      <c r="AX6589" s="10"/>
      <c r="AY6589" s="10"/>
      <c r="AZ6589" s="10"/>
    </row>
    <row r="6590" spans="31:52">
      <c r="AE6590" s="10"/>
      <c r="AF6590" s="10"/>
      <c r="AG6590" s="10"/>
      <c r="AH6590" s="10"/>
      <c r="AI6590" s="10"/>
      <c r="AJ6590" s="10"/>
      <c r="AK6590" s="10"/>
      <c r="AL6590" s="10"/>
      <c r="AM6590" s="10"/>
      <c r="AN6590" s="10"/>
      <c r="AO6590" s="10"/>
      <c r="AP6590" s="10"/>
      <c r="AQ6590" s="10"/>
      <c r="AR6590" s="10"/>
      <c r="AS6590" s="10"/>
      <c r="AT6590" s="10"/>
      <c r="AU6590" s="10"/>
      <c r="AV6590" s="10"/>
      <c r="AW6590" s="10"/>
      <c r="AX6590" s="10"/>
      <c r="AY6590" s="10"/>
      <c r="AZ6590" s="10"/>
    </row>
    <row r="6591" spans="31:52">
      <c r="AE6591" s="10"/>
      <c r="AF6591" s="10"/>
      <c r="AG6591" s="10"/>
      <c r="AH6591" s="10"/>
      <c r="AI6591" s="10"/>
      <c r="AJ6591" s="10"/>
      <c r="AK6591" s="10"/>
      <c r="AL6591" s="10"/>
      <c r="AM6591" s="10"/>
      <c r="AN6591" s="10"/>
      <c r="AO6591" s="10"/>
      <c r="AP6591" s="10"/>
      <c r="AQ6591" s="10"/>
      <c r="AR6591" s="10"/>
      <c r="AS6591" s="10"/>
      <c r="AT6591" s="10"/>
      <c r="AU6591" s="10"/>
      <c r="AV6591" s="10"/>
      <c r="AW6591" s="10"/>
      <c r="AX6591" s="10"/>
      <c r="AY6591" s="10"/>
      <c r="AZ6591" s="10"/>
    </row>
    <row r="6592" spans="31:52">
      <c r="AE6592" s="10"/>
      <c r="AF6592" s="10"/>
      <c r="AG6592" s="10"/>
      <c r="AH6592" s="10"/>
      <c r="AI6592" s="10"/>
      <c r="AJ6592" s="10"/>
      <c r="AK6592" s="10"/>
      <c r="AL6592" s="10"/>
      <c r="AM6592" s="10"/>
      <c r="AN6592" s="10"/>
      <c r="AO6592" s="10"/>
      <c r="AP6592" s="10"/>
      <c r="AQ6592" s="10"/>
      <c r="AR6592" s="10"/>
      <c r="AS6592" s="10"/>
      <c r="AT6592" s="10"/>
      <c r="AU6592" s="10"/>
      <c r="AV6592" s="10"/>
      <c r="AW6592" s="10"/>
      <c r="AX6592" s="10"/>
      <c r="AY6592" s="10"/>
      <c r="AZ6592" s="10"/>
    </row>
    <row r="6593" spans="31:52">
      <c r="AE6593" s="10"/>
      <c r="AF6593" s="10"/>
      <c r="AG6593" s="10"/>
      <c r="AH6593" s="10"/>
      <c r="AI6593" s="10"/>
      <c r="AJ6593" s="10"/>
      <c r="AK6593" s="10"/>
      <c r="AL6593" s="10"/>
      <c r="AM6593" s="10"/>
      <c r="AN6593" s="10"/>
      <c r="AO6593" s="10"/>
      <c r="AP6593" s="10"/>
      <c r="AQ6593" s="10"/>
      <c r="AR6593" s="10"/>
      <c r="AS6593" s="10"/>
      <c r="AT6593" s="10"/>
      <c r="AU6593" s="10"/>
      <c r="AV6593" s="10"/>
      <c r="AW6593" s="10"/>
      <c r="AX6593" s="10"/>
      <c r="AY6593" s="10"/>
      <c r="AZ6593" s="10"/>
    </row>
    <row r="6594" spans="31:52">
      <c r="AE6594" s="10"/>
      <c r="AF6594" s="10"/>
      <c r="AG6594" s="10"/>
      <c r="AH6594" s="10"/>
      <c r="AI6594" s="10"/>
      <c r="AJ6594" s="10"/>
      <c r="AK6594" s="10"/>
      <c r="AL6594" s="10"/>
      <c r="AM6594" s="10"/>
      <c r="AN6594" s="10"/>
      <c r="AO6594" s="10"/>
      <c r="AP6594" s="10"/>
      <c r="AQ6594" s="10"/>
      <c r="AR6594" s="10"/>
      <c r="AS6594" s="10"/>
      <c r="AT6594" s="10"/>
      <c r="AU6594" s="10"/>
      <c r="AV6594" s="10"/>
      <c r="AW6594" s="10"/>
      <c r="AX6594" s="10"/>
      <c r="AY6594" s="10"/>
      <c r="AZ6594" s="10"/>
    </row>
    <row r="6595" spans="31:52">
      <c r="AE6595" s="10"/>
      <c r="AF6595" s="10"/>
      <c r="AG6595" s="10"/>
      <c r="AH6595" s="10"/>
      <c r="AI6595" s="10"/>
      <c r="AJ6595" s="10"/>
      <c r="AK6595" s="10"/>
      <c r="AL6595" s="10"/>
      <c r="AM6595" s="10"/>
      <c r="AN6595" s="10"/>
      <c r="AO6595" s="10"/>
      <c r="AP6595" s="10"/>
      <c r="AQ6595" s="10"/>
      <c r="AR6595" s="10"/>
      <c r="AS6595" s="10"/>
      <c r="AT6595" s="10"/>
      <c r="AU6595" s="10"/>
      <c r="AV6595" s="10"/>
      <c r="AW6595" s="10"/>
      <c r="AX6595" s="10"/>
      <c r="AY6595" s="10"/>
      <c r="AZ6595" s="10"/>
    </row>
    <row r="6596" spans="31:52">
      <c r="AE6596" s="10"/>
      <c r="AF6596" s="10"/>
      <c r="AG6596" s="10"/>
      <c r="AH6596" s="10"/>
      <c r="AI6596" s="10"/>
      <c r="AJ6596" s="10"/>
      <c r="AK6596" s="10"/>
      <c r="AL6596" s="10"/>
      <c r="AM6596" s="10"/>
      <c r="AN6596" s="10"/>
      <c r="AO6596" s="10"/>
      <c r="AP6596" s="10"/>
      <c r="AQ6596" s="10"/>
      <c r="AR6596" s="10"/>
      <c r="AS6596" s="10"/>
      <c r="AT6596" s="10"/>
      <c r="AU6596" s="10"/>
      <c r="AV6596" s="10"/>
      <c r="AW6596" s="10"/>
      <c r="AX6596" s="10"/>
      <c r="AY6596" s="10"/>
      <c r="AZ6596" s="10"/>
    </row>
    <row r="6597" spans="31:52">
      <c r="AE6597" s="10"/>
      <c r="AF6597" s="10"/>
      <c r="AG6597" s="10"/>
      <c r="AH6597" s="10"/>
      <c r="AI6597" s="10"/>
      <c r="AJ6597" s="10"/>
      <c r="AK6597" s="10"/>
      <c r="AL6597" s="10"/>
      <c r="AM6597" s="10"/>
      <c r="AN6597" s="10"/>
      <c r="AO6597" s="10"/>
      <c r="AP6597" s="10"/>
      <c r="AQ6597" s="10"/>
      <c r="AR6597" s="10"/>
      <c r="AS6597" s="10"/>
      <c r="AT6597" s="10"/>
      <c r="AU6597" s="10"/>
      <c r="AV6597" s="10"/>
      <c r="AW6597" s="10"/>
      <c r="AX6597" s="10"/>
      <c r="AY6597" s="10"/>
      <c r="AZ6597" s="10"/>
    </row>
    <row r="6598" spans="31:52">
      <c r="AE6598" s="10"/>
      <c r="AF6598" s="10"/>
      <c r="AG6598" s="10"/>
      <c r="AH6598" s="10"/>
      <c r="AI6598" s="10"/>
      <c r="AJ6598" s="10"/>
      <c r="AK6598" s="10"/>
      <c r="AL6598" s="10"/>
      <c r="AM6598" s="10"/>
      <c r="AN6598" s="10"/>
      <c r="AO6598" s="10"/>
      <c r="AP6598" s="10"/>
      <c r="AQ6598" s="10"/>
      <c r="AR6598" s="10"/>
      <c r="AS6598" s="10"/>
      <c r="AT6598" s="10"/>
      <c r="AU6598" s="10"/>
      <c r="AV6598" s="10"/>
      <c r="AW6598" s="10"/>
      <c r="AX6598" s="10"/>
      <c r="AY6598" s="10"/>
      <c r="AZ6598" s="10"/>
    </row>
    <row r="6599" spans="31:52">
      <c r="AE6599" s="10"/>
      <c r="AF6599" s="10"/>
      <c r="AG6599" s="10"/>
      <c r="AH6599" s="10"/>
      <c r="AI6599" s="10"/>
      <c r="AJ6599" s="10"/>
      <c r="AK6599" s="10"/>
      <c r="AL6599" s="10"/>
      <c r="AM6599" s="10"/>
      <c r="AN6599" s="10"/>
      <c r="AO6599" s="10"/>
      <c r="AP6599" s="10"/>
      <c r="AQ6599" s="10"/>
      <c r="AR6599" s="10"/>
      <c r="AS6599" s="10"/>
      <c r="AT6599" s="10"/>
      <c r="AU6599" s="10"/>
      <c r="AV6599" s="10"/>
      <c r="AW6599" s="10"/>
      <c r="AX6599" s="10"/>
      <c r="AY6599" s="10"/>
      <c r="AZ6599" s="10"/>
    </row>
    <row r="6600" spans="31:52">
      <c r="AE6600" s="10"/>
      <c r="AF6600" s="10"/>
      <c r="AG6600" s="10"/>
      <c r="AH6600" s="10"/>
      <c r="AI6600" s="10"/>
      <c r="AJ6600" s="10"/>
      <c r="AK6600" s="10"/>
      <c r="AL6600" s="10"/>
      <c r="AM6600" s="10"/>
      <c r="AN6600" s="10"/>
      <c r="AO6600" s="10"/>
      <c r="AP6600" s="10"/>
      <c r="AQ6600" s="10"/>
      <c r="AR6600" s="10"/>
      <c r="AS6600" s="10"/>
      <c r="AT6600" s="10"/>
      <c r="AU6600" s="10"/>
      <c r="AV6600" s="10"/>
      <c r="AW6600" s="10"/>
      <c r="AX6600" s="10"/>
      <c r="AY6600" s="10"/>
      <c r="AZ6600" s="10"/>
    </row>
    <row r="6601" spans="31:52">
      <c r="AE6601" s="10"/>
      <c r="AF6601" s="10"/>
      <c r="AG6601" s="10"/>
      <c r="AH6601" s="10"/>
      <c r="AI6601" s="10"/>
      <c r="AJ6601" s="10"/>
      <c r="AK6601" s="10"/>
      <c r="AL6601" s="10"/>
      <c r="AM6601" s="10"/>
      <c r="AN6601" s="10"/>
      <c r="AO6601" s="10"/>
      <c r="AP6601" s="10"/>
      <c r="AQ6601" s="10"/>
      <c r="AR6601" s="10"/>
      <c r="AS6601" s="10"/>
      <c r="AT6601" s="10"/>
      <c r="AU6601" s="10"/>
      <c r="AV6601" s="10"/>
      <c r="AW6601" s="10"/>
      <c r="AX6601" s="10"/>
      <c r="AY6601" s="10"/>
      <c r="AZ6601" s="10"/>
    </row>
    <row r="6602" spans="31:52">
      <c r="AE6602" s="10"/>
      <c r="AF6602" s="10"/>
      <c r="AG6602" s="10"/>
      <c r="AH6602" s="10"/>
      <c r="AI6602" s="10"/>
      <c r="AJ6602" s="10"/>
      <c r="AK6602" s="10"/>
      <c r="AL6602" s="10"/>
      <c r="AM6602" s="10"/>
      <c r="AN6602" s="10"/>
      <c r="AO6602" s="10"/>
      <c r="AP6602" s="10"/>
      <c r="AQ6602" s="10"/>
      <c r="AR6602" s="10"/>
      <c r="AS6602" s="10"/>
      <c r="AT6602" s="10"/>
      <c r="AU6602" s="10"/>
      <c r="AV6602" s="10"/>
      <c r="AW6602" s="10"/>
      <c r="AX6602" s="10"/>
      <c r="AY6602" s="10"/>
      <c r="AZ6602" s="10"/>
    </row>
    <row r="6603" spans="31:52">
      <c r="AE6603" s="10"/>
      <c r="AF6603" s="10"/>
      <c r="AG6603" s="10"/>
      <c r="AH6603" s="10"/>
      <c r="AI6603" s="10"/>
      <c r="AJ6603" s="10"/>
      <c r="AK6603" s="10"/>
      <c r="AL6603" s="10"/>
      <c r="AM6603" s="10"/>
      <c r="AN6603" s="10"/>
      <c r="AO6603" s="10"/>
      <c r="AP6603" s="10"/>
      <c r="AQ6603" s="10"/>
      <c r="AR6603" s="10"/>
      <c r="AS6603" s="10"/>
      <c r="AT6603" s="10"/>
      <c r="AU6603" s="10"/>
      <c r="AV6603" s="10"/>
      <c r="AW6603" s="10"/>
      <c r="AX6603" s="10"/>
      <c r="AY6603" s="10"/>
      <c r="AZ6603" s="10"/>
    </row>
    <row r="6604" spans="31:52">
      <c r="AE6604" s="10"/>
      <c r="AF6604" s="10"/>
      <c r="AG6604" s="10"/>
      <c r="AH6604" s="10"/>
      <c r="AI6604" s="10"/>
      <c r="AJ6604" s="10"/>
      <c r="AK6604" s="10"/>
      <c r="AL6604" s="10"/>
      <c r="AM6604" s="10"/>
      <c r="AN6604" s="10"/>
      <c r="AO6604" s="10"/>
      <c r="AP6604" s="10"/>
      <c r="AQ6604" s="10"/>
      <c r="AR6604" s="10"/>
      <c r="AS6604" s="10"/>
      <c r="AT6604" s="10"/>
      <c r="AU6604" s="10"/>
      <c r="AV6604" s="10"/>
      <c r="AW6604" s="10"/>
      <c r="AX6604" s="10"/>
      <c r="AY6604" s="10"/>
      <c r="AZ6604" s="10"/>
    </row>
    <row r="6605" spans="31:52">
      <c r="AE6605" s="10"/>
      <c r="AF6605" s="10"/>
      <c r="AG6605" s="10"/>
      <c r="AH6605" s="10"/>
      <c r="AI6605" s="10"/>
      <c r="AJ6605" s="10"/>
      <c r="AK6605" s="10"/>
      <c r="AL6605" s="10"/>
      <c r="AM6605" s="10"/>
      <c r="AN6605" s="10"/>
      <c r="AO6605" s="10"/>
      <c r="AP6605" s="10"/>
      <c r="AQ6605" s="10"/>
      <c r="AR6605" s="10"/>
      <c r="AS6605" s="10"/>
      <c r="AT6605" s="10"/>
      <c r="AU6605" s="10"/>
      <c r="AV6605" s="10"/>
      <c r="AW6605" s="10"/>
      <c r="AX6605" s="10"/>
      <c r="AY6605" s="10"/>
      <c r="AZ6605" s="10"/>
    </row>
    <row r="6606" spans="31:52">
      <c r="AE6606" s="10"/>
      <c r="AF6606" s="10"/>
      <c r="AG6606" s="10"/>
      <c r="AH6606" s="10"/>
      <c r="AI6606" s="10"/>
      <c r="AJ6606" s="10"/>
      <c r="AK6606" s="10"/>
      <c r="AL6606" s="10"/>
      <c r="AM6606" s="10"/>
      <c r="AN6606" s="10"/>
      <c r="AO6606" s="10"/>
      <c r="AP6606" s="10"/>
      <c r="AQ6606" s="10"/>
      <c r="AR6606" s="10"/>
      <c r="AS6606" s="10"/>
      <c r="AT6606" s="10"/>
      <c r="AU6606" s="10"/>
      <c r="AV6606" s="10"/>
      <c r="AW6606" s="10"/>
      <c r="AX6606" s="10"/>
      <c r="AY6606" s="10"/>
      <c r="AZ6606" s="10"/>
    </row>
    <row r="6607" spans="31:52">
      <c r="AE6607" s="10"/>
      <c r="AF6607" s="10"/>
      <c r="AG6607" s="10"/>
      <c r="AH6607" s="10"/>
      <c r="AI6607" s="10"/>
      <c r="AJ6607" s="10"/>
      <c r="AK6607" s="10"/>
      <c r="AL6607" s="10"/>
      <c r="AM6607" s="10"/>
      <c r="AN6607" s="10"/>
      <c r="AO6607" s="10"/>
      <c r="AP6607" s="10"/>
      <c r="AQ6607" s="10"/>
      <c r="AR6607" s="10"/>
      <c r="AS6607" s="10"/>
      <c r="AT6607" s="10"/>
      <c r="AU6607" s="10"/>
      <c r="AV6607" s="10"/>
      <c r="AW6607" s="10"/>
      <c r="AX6607" s="10"/>
      <c r="AY6607" s="10"/>
      <c r="AZ6607" s="10"/>
    </row>
    <row r="6608" spans="31:52">
      <c r="AE6608" s="10"/>
      <c r="AF6608" s="10"/>
      <c r="AG6608" s="10"/>
      <c r="AH6608" s="10"/>
      <c r="AI6608" s="10"/>
      <c r="AJ6608" s="10"/>
      <c r="AK6608" s="10"/>
      <c r="AL6608" s="10"/>
      <c r="AM6608" s="10"/>
      <c r="AN6608" s="10"/>
      <c r="AO6608" s="10"/>
      <c r="AP6608" s="10"/>
      <c r="AQ6608" s="10"/>
      <c r="AR6608" s="10"/>
      <c r="AS6608" s="10"/>
      <c r="AT6608" s="10"/>
      <c r="AU6608" s="10"/>
      <c r="AV6608" s="10"/>
      <c r="AW6608" s="10"/>
      <c r="AX6608" s="10"/>
      <c r="AY6608" s="10"/>
      <c r="AZ6608" s="10"/>
    </row>
    <row r="6609" spans="31:52">
      <c r="AE6609" s="10"/>
      <c r="AF6609" s="10"/>
      <c r="AG6609" s="10"/>
      <c r="AH6609" s="10"/>
      <c r="AI6609" s="10"/>
      <c r="AJ6609" s="10"/>
      <c r="AK6609" s="10"/>
      <c r="AL6609" s="10"/>
      <c r="AM6609" s="10"/>
      <c r="AN6609" s="10"/>
      <c r="AO6609" s="10"/>
      <c r="AP6609" s="10"/>
      <c r="AQ6609" s="10"/>
      <c r="AR6609" s="10"/>
      <c r="AS6609" s="10"/>
      <c r="AT6609" s="10"/>
      <c r="AU6609" s="10"/>
      <c r="AV6609" s="10"/>
      <c r="AW6609" s="10"/>
      <c r="AX6609" s="10"/>
      <c r="AY6609" s="10"/>
      <c r="AZ6609" s="10"/>
    </row>
    <row r="6610" spans="31:52">
      <c r="AE6610" s="10"/>
      <c r="AF6610" s="10"/>
      <c r="AG6610" s="10"/>
      <c r="AH6610" s="10"/>
      <c r="AI6610" s="10"/>
      <c r="AJ6610" s="10"/>
      <c r="AK6610" s="10"/>
      <c r="AL6610" s="10"/>
      <c r="AM6610" s="10"/>
      <c r="AN6610" s="10"/>
      <c r="AO6610" s="10"/>
      <c r="AP6610" s="10"/>
      <c r="AQ6610" s="10"/>
      <c r="AR6610" s="10"/>
      <c r="AS6610" s="10"/>
      <c r="AT6610" s="10"/>
      <c r="AU6610" s="10"/>
      <c r="AV6610" s="10"/>
      <c r="AW6610" s="10"/>
      <c r="AX6610" s="10"/>
      <c r="AY6610" s="10"/>
      <c r="AZ6610" s="10"/>
    </row>
    <row r="6611" spans="31:52">
      <c r="AE6611" s="10"/>
      <c r="AF6611" s="10"/>
      <c r="AG6611" s="10"/>
      <c r="AH6611" s="10"/>
      <c r="AI6611" s="10"/>
      <c r="AJ6611" s="10"/>
      <c r="AK6611" s="10"/>
      <c r="AL6611" s="10"/>
      <c r="AM6611" s="10"/>
      <c r="AN6611" s="10"/>
      <c r="AO6611" s="10"/>
      <c r="AP6611" s="10"/>
      <c r="AQ6611" s="10"/>
      <c r="AR6611" s="10"/>
      <c r="AS6611" s="10"/>
      <c r="AT6611" s="10"/>
      <c r="AU6611" s="10"/>
      <c r="AV6611" s="10"/>
      <c r="AW6611" s="10"/>
      <c r="AX6611" s="10"/>
      <c r="AY6611" s="10"/>
      <c r="AZ6611" s="10"/>
    </row>
    <row r="6612" spans="31:52">
      <c r="AE6612" s="10"/>
      <c r="AF6612" s="10"/>
      <c r="AG6612" s="10"/>
      <c r="AH6612" s="10"/>
      <c r="AI6612" s="10"/>
      <c r="AJ6612" s="10"/>
      <c r="AK6612" s="10"/>
      <c r="AL6612" s="10"/>
      <c r="AM6612" s="10"/>
      <c r="AN6612" s="10"/>
      <c r="AO6612" s="10"/>
      <c r="AP6612" s="10"/>
      <c r="AQ6612" s="10"/>
      <c r="AR6612" s="10"/>
      <c r="AS6612" s="10"/>
      <c r="AT6612" s="10"/>
      <c r="AU6612" s="10"/>
      <c r="AV6612" s="10"/>
      <c r="AW6612" s="10"/>
      <c r="AX6612" s="10"/>
      <c r="AY6612" s="10"/>
      <c r="AZ6612" s="10"/>
    </row>
    <row r="6613" spans="31:52">
      <c r="AE6613" s="10"/>
      <c r="AF6613" s="10"/>
      <c r="AG6613" s="10"/>
      <c r="AH6613" s="10"/>
      <c r="AI6613" s="10"/>
      <c r="AJ6613" s="10"/>
      <c r="AK6613" s="10"/>
      <c r="AL6613" s="10"/>
      <c r="AM6613" s="10"/>
      <c r="AN6613" s="10"/>
      <c r="AO6613" s="10"/>
      <c r="AP6613" s="10"/>
      <c r="AQ6613" s="10"/>
      <c r="AR6613" s="10"/>
      <c r="AS6613" s="10"/>
      <c r="AT6613" s="10"/>
      <c r="AU6613" s="10"/>
      <c r="AV6613" s="10"/>
      <c r="AW6613" s="10"/>
      <c r="AX6613" s="10"/>
      <c r="AY6613" s="10"/>
      <c r="AZ6613" s="10"/>
    </row>
    <row r="6614" spans="31:52">
      <c r="AE6614" s="10"/>
      <c r="AF6614" s="10"/>
      <c r="AG6614" s="10"/>
      <c r="AH6614" s="10"/>
      <c r="AI6614" s="10"/>
      <c r="AJ6614" s="10"/>
      <c r="AK6614" s="10"/>
      <c r="AL6614" s="10"/>
      <c r="AM6614" s="10"/>
      <c r="AN6614" s="10"/>
      <c r="AO6614" s="10"/>
      <c r="AP6614" s="10"/>
      <c r="AQ6614" s="10"/>
      <c r="AR6614" s="10"/>
      <c r="AS6614" s="10"/>
      <c r="AT6614" s="10"/>
      <c r="AU6614" s="10"/>
      <c r="AV6614" s="10"/>
      <c r="AW6614" s="10"/>
      <c r="AX6614" s="10"/>
      <c r="AY6614" s="10"/>
      <c r="AZ6614" s="10"/>
    </row>
    <row r="6615" spans="31:52">
      <c r="AE6615" s="10"/>
      <c r="AF6615" s="10"/>
      <c r="AG6615" s="10"/>
      <c r="AH6615" s="10"/>
      <c r="AI6615" s="10"/>
      <c r="AJ6615" s="10"/>
      <c r="AK6615" s="10"/>
      <c r="AL6615" s="10"/>
      <c r="AM6615" s="10"/>
      <c r="AN6615" s="10"/>
      <c r="AO6615" s="10"/>
      <c r="AP6615" s="10"/>
      <c r="AQ6615" s="10"/>
      <c r="AR6615" s="10"/>
      <c r="AS6615" s="10"/>
      <c r="AT6615" s="10"/>
      <c r="AU6615" s="10"/>
      <c r="AV6615" s="10"/>
      <c r="AW6615" s="10"/>
      <c r="AX6615" s="10"/>
      <c r="AY6615" s="10"/>
      <c r="AZ6615" s="10"/>
    </row>
    <row r="6616" spans="31:52">
      <c r="AE6616" s="10"/>
      <c r="AF6616" s="10"/>
      <c r="AG6616" s="10"/>
      <c r="AH6616" s="10"/>
      <c r="AI6616" s="10"/>
      <c r="AJ6616" s="10"/>
      <c r="AK6616" s="10"/>
      <c r="AL6616" s="10"/>
      <c r="AM6616" s="10"/>
      <c r="AN6616" s="10"/>
      <c r="AO6616" s="10"/>
      <c r="AP6616" s="10"/>
      <c r="AQ6616" s="10"/>
      <c r="AR6616" s="10"/>
      <c r="AS6616" s="10"/>
      <c r="AT6616" s="10"/>
      <c r="AU6616" s="10"/>
      <c r="AV6616" s="10"/>
      <c r="AW6616" s="10"/>
      <c r="AX6616" s="10"/>
      <c r="AY6616" s="10"/>
      <c r="AZ6616" s="10"/>
    </row>
    <row r="6617" spans="31:52">
      <c r="AE6617" s="10"/>
      <c r="AF6617" s="10"/>
      <c r="AG6617" s="10"/>
      <c r="AH6617" s="10"/>
      <c r="AI6617" s="10"/>
      <c r="AJ6617" s="10"/>
      <c r="AK6617" s="10"/>
      <c r="AL6617" s="10"/>
      <c r="AM6617" s="10"/>
      <c r="AN6617" s="10"/>
      <c r="AO6617" s="10"/>
      <c r="AP6617" s="10"/>
      <c r="AQ6617" s="10"/>
      <c r="AR6617" s="10"/>
      <c r="AS6617" s="10"/>
      <c r="AT6617" s="10"/>
      <c r="AU6617" s="10"/>
      <c r="AV6617" s="10"/>
      <c r="AW6617" s="10"/>
      <c r="AX6617" s="10"/>
      <c r="AY6617" s="10"/>
      <c r="AZ6617" s="10"/>
    </row>
    <row r="6618" spans="31:52">
      <c r="AE6618" s="10"/>
      <c r="AF6618" s="10"/>
      <c r="AG6618" s="10"/>
      <c r="AH6618" s="10"/>
      <c r="AI6618" s="10"/>
      <c r="AJ6618" s="10"/>
      <c r="AK6618" s="10"/>
      <c r="AL6618" s="10"/>
      <c r="AM6618" s="10"/>
      <c r="AN6618" s="10"/>
      <c r="AO6618" s="10"/>
      <c r="AP6618" s="10"/>
      <c r="AQ6618" s="10"/>
      <c r="AR6618" s="10"/>
      <c r="AS6618" s="10"/>
      <c r="AT6618" s="10"/>
      <c r="AU6618" s="10"/>
      <c r="AV6618" s="10"/>
      <c r="AW6618" s="10"/>
      <c r="AX6618" s="10"/>
      <c r="AY6618" s="10"/>
      <c r="AZ6618" s="10"/>
    </row>
    <row r="6619" spans="31:52">
      <c r="AE6619" s="10"/>
      <c r="AF6619" s="10"/>
      <c r="AG6619" s="10"/>
      <c r="AH6619" s="10"/>
      <c r="AI6619" s="10"/>
      <c r="AJ6619" s="10"/>
      <c r="AK6619" s="10"/>
      <c r="AL6619" s="10"/>
      <c r="AM6619" s="10"/>
      <c r="AN6619" s="10"/>
      <c r="AO6619" s="10"/>
      <c r="AP6619" s="10"/>
      <c r="AQ6619" s="10"/>
      <c r="AR6619" s="10"/>
      <c r="AS6619" s="10"/>
      <c r="AT6619" s="10"/>
      <c r="AU6619" s="10"/>
      <c r="AV6619" s="10"/>
      <c r="AW6619" s="10"/>
      <c r="AX6619" s="10"/>
      <c r="AY6619" s="10"/>
      <c r="AZ6619" s="10"/>
    </row>
    <row r="6620" spans="31:52">
      <c r="AE6620" s="10"/>
      <c r="AF6620" s="10"/>
      <c r="AG6620" s="10"/>
      <c r="AH6620" s="10"/>
      <c r="AI6620" s="10"/>
      <c r="AJ6620" s="10"/>
      <c r="AK6620" s="10"/>
      <c r="AL6620" s="10"/>
      <c r="AM6620" s="10"/>
      <c r="AN6620" s="10"/>
      <c r="AO6620" s="10"/>
      <c r="AP6620" s="10"/>
      <c r="AQ6620" s="10"/>
      <c r="AR6620" s="10"/>
      <c r="AS6620" s="10"/>
      <c r="AT6620" s="10"/>
      <c r="AU6620" s="10"/>
      <c r="AV6620" s="10"/>
      <c r="AW6620" s="10"/>
      <c r="AX6620" s="10"/>
      <c r="AY6620" s="10"/>
      <c r="AZ6620" s="10"/>
    </row>
    <row r="6621" spans="31:52">
      <c r="AE6621" s="10"/>
      <c r="AF6621" s="10"/>
      <c r="AG6621" s="10"/>
      <c r="AH6621" s="10"/>
      <c r="AI6621" s="10"/>
      <c r="AJ6621" s="10"/>
      <c r="AK6621" s="10"/>
      <c r="AL6621" s="10"/>
      <c r="AM6621" s="10"/>
      <c r="AN6621" s="10"/>
      <c r="AO6621" s="10"/>
      <c r="AP6621" s="10"/>
      <c r="AQ6621" s="10"/>
      <c r="AR6621" s="10"/>
      <c r="AS6621" s="10"/>
      <c r="AT6621" s="10"/>
      <c r="AU6621" s="10"/>
      <c r="AV6621" s="10"/>
      <c r="AW6621" s="10"/>
      <c r="AX6621" s="10"/>
      <c r="AY6621" s="10"/>
      <c r="AZ6621" s="10"/>
    </row>
    <row r="6622" spans="31:52">
      <c r="AE6622" s="10"/>
      <c r="AF6622" s="10"/>
      <c r="AG6622" s="10"/>
      <c r="AH6622" s="10"/>
      <c r="AI6622" s="10"/>
      <c r="AJ6622" s="10"/>
      <c r="AK6622" s="10"/>
      <c r="AL6622" s="10"/>
      <c r="AM6622" s="10"/>
      <c r="AN6622" s="10"/>
      <c r="AO6622" s="10"/>
      <c r="AP6622" s="10"/>
      <c r="AQ6622" s="10"/>
      <c r="AR6622" s="10"/>
      <c r="AS6622" s="10"/>
      <c r="AT6622" s="10"/>
      <c r="AU6622" s="10"/>
      <c r="AV6622" s="10"/>
      <c r="AW6622" s="10"/>
      <c r="AX6622" s="10"/>
      <c r="AY6622" s="10"/>
      <c r="AZ6622" s="10"/>
    </row>
    <row r="6623" spans="31:52">
      <c r="AE6623" s="10"/>
      <c r="AF6623" s="10"/>
      <c r="AG6623" s="10"/>
      <c r="AH6623" s="10"/>
      <c r="AI6623" s="10"/>
      <c r="AJ6623" s="10"/>
      <c r="AK6623" s="10"/>
      <c r="AL6623" s="10"/>
      <c r="AM6623" s="10"/>
      <c r="AN6623" s="10"/>
      <c r="AO6623" s="10"/>
      <c r="AP6623" s="10"/>
      <c r="AQ6623" s="10"/>
      <c r="AR6623" s="10"/>
      <c r="AS6623" s="10"/>
      <c r="AT6623" s="10"/>
      <c r="AU6623" s="10"/>
      <c r="AV6623" s="10"/>
      <c r="AW6623" s="10"/>
      <c r="AX6623" s="10"/>
      <c r="AY6623" s="10"/>
      <c r="AZ6623" s="10"/>
    </row>
    <row r="6624" spans="31:52">
      <c r="AE6624" s="10"/>
      <c r="AF6624" s="10"/>
      <c r="AG6624" s="10"/>
      <c r="AH6624" s="10"/>
      <c r="AI6624" s="10"/>
      <c r="AJ6624" s="10"/>
      <c r="AK6624" s="10"/>
      <c r="AL6624" s="10"/>
      <c r="AM6624" s="10"/>
      <c r="AN6624" s="10"/>
      <c r="AO6624" s="10"/>
      <c r="AP6624" s="10"/>
      <c r="AQ6624" s="10"/>
      <c r="AR6624" s="10"/>
      <c r="AS6624" s="10"/>
      <c r="AT6624" s="10"/>
      <c r="AU6624" s="10"/>
      <c r="AV6624" s="10"/>
      <c r="AW6624" s="10"/>
      <c r="AX6624" s="10"/>
      <c r="AY6624" s="10"/>
      <c r="AZ6624" s="10"/>
    </row>
    <row r="6625" spans="31:52">
      <c r="AE6625" s="10"/>
      <c r="AF6625" s="10"/>
      <c r="AG6625" s="10"/>
      <c r="AH6625" s="10"/>
      <c r="AI6625" s="10"/>
      <c r="AJ6625" s="10"/>
      <c r="AK6625" s="10"/>
      <c r="AL6625" s="10"/>
      <c r="AM6625" s="10"/>
      <c r="AN6625" s="10"/>
      <c r="AO6625" s="10"/>
      <c r="AP6625" s="10"/>
      <c r="AQ6625" s="10"/>
      <c r="AR6625" s="10"/>
      <c r="AS6625" s="10"/>
      <c r="AT6625" s="10"/>
      <c r="AU6625" s="10"/>
      <c r="AV6625" s="10"/>
      <c r="AW6625" s="10"/>
      <c r="AX6625" s="10"/>
      <c r="AY6625" s="10"/>
      <c r="AZ6625" s="10"/>
    </row>
    <row r="6626" spans="31:52">
      <c r="AE6626" s="10"/>
      <c r="AF6626" s="10"/>
      <c r="AG6626" s="10"/>
      <c r="AH6626" s="10"/>
      <c r="AI6626" s="10"/>
      <c r="AJ6626" s="10"/>
      <c r="AK6626" s="10"/>
      <c r="AL6626" s="10"/>
      <c r="AM6626" s="10"/>
      <c r="AN6626" s="10"/>
      <c r="AO6626" s="10"/>
      <c r="AP6626" s="10"/>
      <c r="AQ6626" s="10"/>
      <c r="AR6626" s="10"/>
      <c r="AS6626" s="10"/>
      <c r="AT6626" s="10"/>
      <c r="AU6626" s="10"/>
      <c r="AV6626" s="10"/>
      <c r="AW6626" s="10"/>
      <c r="AX6626" s="10"/>
      <c r="AY6626" s="10"/>
      <c r="AZ6626" s="10"/>
    </row>
    <row r="6627" spans="31:52">
      <c r="AE6627" s="10"/>
      <c r="AF6627" s="10"/>
      <c r="AG6627" s="10"/>
      <c r="AH6627" s="10"/>
      <c r="AI6627" s="10"/>
      <c r="AJ6627" s="10"/>
      <c r="AK6627" s="10"/>
      <c r="AL6627" s="10"/>
      <c r="AM6627" s="10"/>
      <c r="AN6627" s="10"/>
      <c r="AO6627" s="10"/>
      <c r="AP6627" s="10"/>
      <c r="AQ6627" s="10"/>
      <c r="AR6627" s="10"/>
      <c r="AS6627" s="10"/>
      <c r="AT6627" s="10"/>
      <c r="AU6627" s="10"/>
      <c r="AV6627" s="10"/>
      <c r="AW6627" s="10"/>
      <c r="AX6627" s="10"/>
      <c r="AY6627" s="10"/>
      <c r="AZ6627" s="10"/>
    </row>
    <row r="6628" spans="31:52">
      <c r="AE6628" s="10"/>
      <c r="AF6628" s="10"/>
      <c r="AG6628" s="10"/>
      <c r="AH6628" s="10"/>
      <c r="AI6628" s="10"/>
      <c r="AJ6628" s="10"/>
      <c r="AK6628" s="10"/>
      <c r="AL6628" s="10"/>
      <c r="AM6628" s="10"/>
      <c r="AN6628" s="10"/>
      <c r="AO6628" s="10"/>
      <c r="AP6628" s="10"/>
      <c r="AQ6628" s="10"/>
      <c r="AR6628" s="10"/>
      <c r="AS6628" s="10"/>
      <c r="AT6628" s="10"/>
      <c r="AU6628" s="10"/>
      <c r="AV6628" s="10"/>
      <c r="AW6628" s="10"/>
      <c r="AX6628" s="10"/>
      <c r="AY6628" s="10"/>
      <c r="AZ6628" s="10"/>
    </row>
    <row r="6629" spans="31:52">
      <c r="AE6629" s="10"/>
      <c r="AF6629" s="10"/>
      <c r="AG6629" s="10"/>
      <c r="AH6629" s="10"/>
      <c r="AI6629" s="10"/>
      <c r="AJ6629" s="10"/>
      <c r="AK6629" s="10"/>
      <c r="AL6629" s="10"/>
      <c r="AM6629" s="10"/>
      <c r="AN6629" s="10"/>
      <c r="AO6629" s="10"/>
      <c r="AP6629" s="10"/>
      <c r="AQ6629" s="10"/>
      <c r="AR6629" s="10"/>
      <c r="AS6629" s="10"/>
      <c r="AT6629" s="10"/>
      <c r="AU6629" s="10"/>
      <c r="AV6629" s="10"/>
      <c r="AW6629" s="10"/>
      <c r="AX6629" s="10"/>
      <c r="AY6629" s="10"/>
      <c r="AZ6629" s="10"/>
    </row>
    <row r="6630" spans="31:52">
      <c r="AE6630" s="10"/>
      <c r="AF6630" s="10"/>
      <c r="AG6630" s="10"/>
      <c r="AH6630" s="10"/>
      <c r="AI6630" s="10"/>
      <c r="AJ6630" s="10"/>
      <c r="AK6630" s="10"/>
      <c r="AL6630" s="10"/>
      <c r="AM6630" s="10"/>
      <c r="AN6630" s="10"/>
      <c r="AO6630" s="10"/>
      <c r="AP6630" s="10"/>
      <c r="AQ6630" s="10"/>
      <c r="AR6630" s="10"/>
      <c r="AS6630" s="10"/>
      <c r="AT6630" s="10"/>
      <c r="AU6630" s="10"/>
      <c r="AV6630" s="10"/>
      <c r="AW6630" s="10"/>
      <c r="AX6630" s="10"/>
      <c r="AY6630" s="10"/>
      <c r="AZ6630" s="10"/>
    </row>
    <row r="6631" spans="31:52">
      <c r="AE6631" s="10"/>
      <c r="AF6631" s="10"/>
      <c r="AG6631" s="10"/>
      <c r="AH6631" s="10"/>
      <c r="AI6631" s="10"/>
      <c r="AJ6631" s="10"/>
      <c r="AK6631" s="10"/>
      <c r="AL6631" s="10"/>
      <c r="AM6631" s="10"/>
      <c r="AN6631" s="10"/>
      <c r="AO6631" s="10"/>
      <c r="AP6631" s="10"/>
      <c r="AQ6631" s="10"/>
      <c r="AR6631" s="10"/>
      <c r="AS6631" s="10"/>
      <c r="AT6631" s="10"/>
      <c r="AU6631" s="10"/>
      <c r="AV6631" s="10"/>
      <c r="AW6631" s="10"/>
      <c r="AX6631" s="10"/>
      <c r="AY6631" s="10"/>
      <c r="AZ6631" s="10"/>
    </row>
    <row r="6632" spans="31:52">
      <c r="AE6632" s="10"/>
      <c r="AF6632" s="10"/>
      <c r="AG6632" s="10"/>
      <c r="AH6632" s="10"/>
      <c r="AI6632" s="10"/>
      <c r="AJ6632" s="10"/>
      <c r="AK6632" s="10"/>
      <c r="AL6632" s="10"/>
      <c r="AM6632" s="10"/>
      <c r="AN6632" s="10"/>
      <c r="AO6632" s="10"/>
      <c r="AP6632" s="10"/>
      <c r="AQ6632" s="10"/>
      <c r="AR6632" s="10"/>
      <c r="AS6632" s="10"/>
      <c r="AT6632" s="10"/>
      <c r="AU6632" s="10"/>
      <c r="AV6632" s="10"/>
      <c r="AW6632" s="10"/>
      <c r="AX6632" s="10"/>
      <c r="AY6632" s="10"/>
      <c r="AZ6632" s="10"/>
    </row>
    <row r="6633" spans="31:52">
      <c r="AE6633" s="10"/>
      <c r="AF6633" s="10"/>
      <c r="AG6633" s="10"/>
      <c r="AH6633" s="10"/>
      <c r="AI6633" s="10"/>
      <c r="AJ6633" s="10"/>
      <c r="AK6633" s="10"/>
      <c r="AL6633" s="10"/>
      <c r="AM6633" s="10"/>
      <c r="AN6633" s="10"/>
      <c r="AO6633" s="10"/>
      <c r="AP6633" s="10"/>
      <c r="AQ6633" s="10"/>
      <c r="AR6633" s="10"/>
      <c r="AS6633" s="10"/>
      <c r="AT6633" s="10"/>
      <c r="AU6633" s="10"/>
      <c r="AV6633" s="10"/>
      <c r="AW6633" s="10"/>
      <c r="AX6633" s="10"/>
      <c r="AY6633" s="10"/>
      <c r="AZ6633" s="10"/>
    </row>
    <row r="6634" spans="31:52">
      <c r="AE6634" s="10"/>
      <c r="AF6634" s="10"/>
      <c r="AG6634" s="10"/>
      <c r="AH6634" s="10"/>
      <c r="AI6634" s="10"/>
      <c r="AJ6634" s="10"/>
      <c r="AK6634" s="10"/>
      <c r="AL6634" s="10"/>
      <c r="AM6634" s="10"/>
      <c r="AN6634" s="10"/>
      <c r="AO6634" s="10"/>
      <c r="AP6634" s="10"/>
      <c r="AQ6634" s="10"/>
      <c r="AR6634" s="10"/>
      <c r="AS6634" s="10"/>
      <c r="AT6634" s="10"/>
      <c r="AU6634" s="10"/>
      <c r="AV6634" s="10"/>
      <c r="AW6634" s="10"/>
      <c r="AX6634" s="10"/>
      <c r="AY6634" s="10"/>
      <c r="AZ6634" s="10"/>
    </row>
    <row r="6635" spans="31:52">
      <c r="AE6635" s="10"/>
      <c r="AF6635" s="10"/>
      <c r="AG6635" s="10"/>
      <c r="AH6635" s="10"/>
      <c r="AI6635" s="10"/>
      <c r="AJ6635" s="10"/>
      <c r="AK6635" s="10"/>
      <c r="AL6635" s="10"/>
      <c r="AM6635" s="10"/>
      <c r="AN6635" s="10"/>
      <c r="AO6635" s="10"/>
      <c r="AP6635" s="10"/>
      <c r="AQ6635" s="10"/>
      <c r="AR6635" s="10"/>
      <c r="AS6635" s="10"/>
      <c r="AT6635" s="10"/>
      <c r="AU6635" s="10"/>
      <c r="AV6635" s="10"/>
      <c r="AW6635" s="10"/>
      <c r="AX6635" s="10"/>
      <c r="AY6635" s="10"/>
      <c r="AZ6635" s="10"/>
    </row>
    <row r="6636" spans="31:52">
      <c r="AE6636" s="10"/>
      <c r="AF6636" s="10"/>
      <c r="AG6636" s="10"/>
      <c r="AH6636" s="10"/>
      <c r="AI6636" s="10"/>
      <c r="AJ6636" s="10"/>
      <c r="AK6636" s="10"/>
      <c r="AL6636" s="10"/>
      <c r="AM6636" s="10"/>
      <c r="AN6636" s="10"/>
      <c r="AO6636" s="10"/>
      <c r="AP6636" s="10"/>
      <c r="AQ6636" s="10"/>
      <c r="AR6636" s="10"/>
      <c r="AS6636" s="10"/>
      <c r="AT6636" s="10"/>
      <c r="AU6636" s="10"/>
      <c r="AV6636" s="10"/>
      <c r="AW6636" s="10"/>
      <c r="AX6636" s="10"/>
      <c r="AY6636" s="10"/>
      <c r="AZ6636" s="10"/>
    </row>
    <row r="6637" spans="31:52">
      <c r="AE6637" s="10"/>
      <c r="AF6637" s="10"/>
      <c r="AG6637" s="10"/>
      <c r="AH6637" s="10"/>
      <c r="AI6637" s="10"/>
      <c r="AJ6637" s="10"/>
      <c r="AK6637" s="10"/>
      <c r="AL6637" s="10"/>
      <c r="AM6637" s="10"/>
      <c r="AN6637" s="10"/>
      <c r="AO6637" s="10"/>
      <c r="AP6637" s="10"/>
      <c r="AQ6637" s="10"/>
      <c r="AR6637" s="10"/>
      <c r="AS6637" s="10"/>
      <c r="AT6637" s="10"/>
      <c r="AU6637" s="10"/>
      <c r="AV6637" s="10"/>
      <c r="AW6637" s="10"/>
      <c r="AX6637" s="10"/>
      <c r="AY6637" s="10"/>
      <c r="AZ6637" s="10"/>
    </row>
    <row r="6638" spans="31:52">
      <c r="AE6638" s="10"/>
      <c r="AF6638" s="10"/>
      <c r="AG6638" s="10"/>
      <c r="AH6638" s="10"/>
      <c r="AI6638" s="10"/>
      <c r="AJ6638" s="10"/>
      <c r="AK6638" s="10"/>
      <c r="AL6638" s="10"/>
      <c r="AM6638" s="10"/>
      <c r="AN6638" s="10"/>
      <c r="AO6638" s="10"/>
      <c r="AP6638" s="10"/>
      <c r="AQ6638" s="10"/>
      <c r="AR6638" s="10"/>
      <c r="AS6638" s="10"/>
      <c r="AT6638" s="10"/>
      <c r="AU6638" s="10"/>
      <c r="AV6638" s="10"/>
      <c r="AW6638" s="10"/>
      <c r="AX6638" s="10"/>
      <c r="AY6638" s="10"/>
      <c r="AZ6638" s="10"/>
    </row>
    <row r="6639" spans="31:52">
      <c r="AE6639" s="10"/>
      <c r="AF6639" s="10"/>
      <c r="AG6639" s="10"/>
      <c r="AH6639" s="10"/>
      <c r="AI6639" s="10"/>
      <c r="AJ6639" s="10"/>
      <c r="AK6639" s="10"/>
      <c r="AL6639" s="10"/>
      <c r="AM6639" s="10"/>
      <c r="AN6639" s="10"/>
      <c r="AO6639" s="10"/>
      <c r="AP6639" s="10"/>
      <c r="AQ6639" s="10"/>
      <c r="AR6639" s="10"/>
      <c r="AS6639" s="10"/>
      <c r="AT6639" s="10"/>
      <c r="AU6639" s="10"/>
      <c r="AV6639" s="10"/>
      <c r="AW6639" s="10"/>
      <c r="AX6639" s="10"/>
      <c r="AY6639" s="10"/>
      <c r="AZ6639" s="10"/>
    </row>
    <row r="6640" spans="31:52">
      <c r="AE6640" s="10"/>
      <c r="AF6640" s="10"/>
      <c r="AG6640" s="10"/>
      <c r="AH6640" s="10"/>
      <c r="AI6640" s="10"/>
      <c r="AJ6640" s="10"/>
      <c r="AK6640" s="10"/>
      <c r="AL6640" s="10"/>
      <c r="AM6640" s="10"/>
      <c r="AN6640" s="10"/>
      <c r="AO6640" s="10"/>
      <c r="AP6640" s="10"/>
      <c r="AQ6640" s="10"/>
      <c r="AR6640" s="10"/>
      <c r="AS6640" s="10"/>
      <c r="AT6640" s="10"/>
      <c r="AU6640" s="10"/>
      <c r="AV6640" s="10"/>
      <c r="AW6640" s="10"/>
      <c r="AX6640" s="10"/>
      <c r="AY6640" s="10"/>
      <c r="AZ6640" s="10"/>
    </row>
    <row r="6641" spans="31:52">
      <c r="AE6641" s="10"/>
      <c r="AF6641" s="10"/>
      <c r="AG6641" s="10"/>
      <c r="AH6641" s="10"/>
      <c r="AI6641" s="10"/>
      <c r="AJ6641" s="10"/>
      <c r="AK6641" s="10"/>
      <c r="AL6641" s="10"/>
      <c r="AM6641" s="10"/>
      <c r="AN6641" s="10"/>
      <c r="AO6641" s="10"/>
      <c r="AP6641" s="10"/>
      <c r="AQ6641" s="10"/>
      <c r="AR6641" s="10"/>
      <c r="AS6641" s="10"/>
      <c r="AT6641" s="10"/>
      <c r="AU6641" s="10"/>
      <c r="AV6641" s="10"/>
      <c r="AW6641" s="10"/>
      <c r="AX6641" s="10"/>
      <c r="AY6641" s="10"/>
      <c r="AZ6641" s="10"/>
    </row>
    <row r="6642" spans="31:52">
      <c r="AE6642" s="10"/>
      <c r="AF6642" s="10"/>
      <c r="AG6642" s="10"/>
      <c r="AH6642" s="10"/>
      <c r="AI6642" s="10"/>
      <c r="AJ6642" s="10"/>
      <c r="AK6642" s="10"/>
      <c r="AL6642" s="10"/>
      <c r="AM6642" s="10"/>
      <c r="AN6642" s="10"/>
      <c r="AO6642" s="10"/>
      <c r="AP6642" s="10"/>
      <c r="AQ6642" s="10"/>
      <c r="AR6642" s="10"/>
      <c r="AS6642" s="10"/>
      <c r="AT6642" s="10"/>
      <c r="AU6642" s="10"/>
      <c r="AV6642" s="10"/>
      <c r="AW6642" s="10"/>
      <c r="AX6642" s="10"/>
      <c r="AY6642" s="10"/>
      <c r="AZ6642" s="10"/>
    </row>
    <row r="6643" spans="31:52">
      <c r="AE6643" s="10"/>
      <c r="AF6643" s="10"/>
      <c r="AG6643" s="10"/>
      <c r="AH6643" s="10"/>
      <c r="AI6643" s="10"/>
      <c r="AJ6643" s="10"/>
      <c r="AK6643" s="10"/>
      <c r="AL6643" s="10"/>
      <c r="AM6643" s="10"/>
      <c r="AN6643" s="10"/>
      <c r="AO6643" s="10"/>
      <c r="AP6643" s="10"/>
      <c r="AQ6643" s="10"/>
      <c r="AR6643" s="10"/>
      <c r="AS6643" s="10"/>
      <c r="AT6643" s="10"/>
      <c r="AU6643" s="10"/>
      <c r="AV6643" s="10"/>
      <c r="AW6643" s="10"/>
      <c r="AX6643" s="10"/>
      <c r="AY6643" s="10"/>
      <c r="AZ6643" s="10"/>
    </row>
    <row r="6644" spans="31:52">
      <c r="AE6644" s="10"/>
      <c r="AF6644" s="10"/>
      <c r="AG6644" s="10"/>
      <c r="AH6644" s="10"/>
      <c r="AI6644" s="10"/>
      <c r="AJ6644" s="10"/>
      <c r="AK6644" s="10"/>
      <c r="AL6644" s="10"/>
      <c r="AM6644" s="10"/>
      <c r="AN6644" s="10"/>
      <c r="AO6644" s="10"/>
      <c r="AP6644" s="10"/>
      <c r="AQ6644" s="10"/>
      <c r="AR6644" s="10"/>
      <c r="AS6644" s="10"/>
      <c r="AT6644" s="10"/>
      <c r="AU6644" s="10"/>
      <c r="AV6644" s="10"/>
      <c r="AW6644" s="10"/>
      <c r="AX6644" s="10"/>
      <c r="AY6644" s="10"/>
      <c r="AZ6644" s="10"/>
    </row>
    <row r="6645" spans="31:52">
      <c r="AE6645" s="10"/>
      <c r="AF6645" s="10"/>
      <c r="AG6645" s="10"/>
      <c r="AH6645" s="10"/>
      <c r="AI6645" s="10"/>
      <c r="AJ6645" s="10"/>
      <c r="AK6645" s="10"/>
      <c r="AL6645" s="10"/>
      <c r="AM6645" s="10"/>
      <c r="AN6645" s="10"/>
      <c r="AO6645" s="10"/>
      <c r="AP6645" s="10"/>
      <c r="AQ6645" s="10"/>
      <c r="AR6645" s="10"/>
      <c r="AS6645" s="10"/>
      <c r="AT6645" s="10"/>
      <c r="AU6645" s="10"/>
      <c r="AV6645" s="10"/>
      <c r="AW6645" s="10"/>
      <c r="AX6645" s="10"/>
      <c r="AY6645" s="10"/>
      <c r="AZ6645" s="10"/>
    </row>
    <row r="6646" spans="31:52">
      <c r="AE6646" s="10"/>
      <c r="AF6646" s="10"/>
      <c r="AG6646" s="10"/>
      <c r="AH6646" s="10"/>
      <c r="AI6646" s="10"/>
      <c r="AJ6646" s="10"/>
      <c r="AK6646" s="10"/>
      <c r="AL6646" s="10"/>
      <c r="AM6646" s="10"/>
      <c r="AN6646" s="10"/>
      <c r="AO6646" s="10"/>
      <c r="AP6646" s="10"/>
      <c r="AQ6646" s="10"/>
      <c r="AR6646" s="10"/>
      <c r="AS6646" s="10"/>
      <c r="AT6646" s="10"/>
      <c r="AU6646" s="10"/>
      <c r="AV6646" s="10"/>
      <c r="AW6646" s="10"/>
      <c r="AX6646" s="10"/>
      <c r="AY6646" s="10"/>
      <c r="AZ6646" s="10"/>
    </row>
    <row r="6647" spans="31:52">
      <c r="AE6647" s="10"/>
      <c r="AF6647" s="10"/>
      <c r="AG6647" s="10"/>
      <c r="AH6647" s="10"/>
      <c r="AI6647" s="10"/>
      <c r="AJ6647" s="10"/>
      <c r="AK6647" s="10"/>
      <c r="AL6647" s="10"/>
      <c r="AM6647" s="10"/>
      <c r="AN6647" s="10"/>
      <c r="AO6647" s="10"/>
      <c r="AP6647" s="10"/>
      <c r="AQ6647" s="10"/>
      <c r="AR6647" s="10"/>
      <c r="AS6647" s="10"/>
      <c r="AT6647" s="10"/>
      <c r="AU6647" s="10"/>
      <c r="AV6647" s="10"/>
      <c r="AW6647" s="10"/>
      <c r="AX6647" s="10"/>
      <c r="AY6647" s="10"/>
      <c r="AZ6647" s="10"/>
    </row>
    <row r="6648" spans="31:52">
      <c r="AE6648" s="10"/>
      <c r="AF6648" s="10"/>
      <c r="AG6648" s="10"/>
      <c r="AH6648" s="10"/>
      <c r="AI6648" s="10"/>
      <c r="AJ6648" s="10"/>
      <c r="AK6648" s="10"/>
      <c r="AL6648" s="10"/>
      <c r="AM6648" s="10"/>
      <c r="AN6648" s="10"/>
      <c r="AO6648" s="10"/>
      <c r="AP6648" s="10"/>
      <c r="AQ6648" s="10"/>
      <c r="AR6648" s="10"/>
      <c r="AS6648" s="10"/>
      <c r="AT6648" s="10"/>
      <c r="AU6648" s="10"/>
      <c r="AV6648" s="10"/>
      <c r="AW6648" s="10"/>
      <c r="AX6648" s="10"/>
      <c r="AY6648" s="10"/>
      <c r="AZ6648" s="10"/>
    </row>
    <row r="6649" spans="31:52">
      <c r="AE6649" s="10"/>
      <c r="AF6649" s="10"/>
      <c r="AG6649" s="10"/>
      <c r="AH6649" s="10"/>
      <c r="AI6649" s="10"/>
      <c r="AJ6649" s="10"/>
      <c r="AK6649" s="10"/>
      <c r="AL6649" s="10"/>
      <c r="AM6649" s="10"/>
      <c r="AN6649" s="10"/>
      <c r="AO6649" s="10"/>
      <c r="AP6649" s="10"/>
      <c r="AQ6649" s="10"/>
      <c r="AR6649" s="10"/>
      <c r="AS6649" s="10"/>
      <c r="AT6649" s="10"/>
      <c r="AU6649" s="10"/>
      <c r="AV6649" s="10"/>
      <c r="AW6649" s="10"/>
      <c r="AX6649" s="10"/>
      <c r="AY6649" s="10"/>
      <c r="AZ6649" s="10"/>
    </row>
    <row r="6650" spans="31:52">
      <c r="AE6650" s="10"/>
      <c r="AF6650" s="10"/>
      <c r="AG6650" s="10"/>
      <c r="AH6650" s="10"/>
      <c r="AI6650" s="10"/>
      <c r="AJ6650" s="10"/>
      <c r="AK6650" s="10"/>
      <c r="AL6650" s="10"/>
      <c r="AM6650" s="10"/>
      <c r="AN6650" s="10"/>
      <c r="AO6650" s="10"/>
      <c r="AP6650" s="10"/>
      <c r="AQ6650" s="10"/>
      <c r="AR6650" s="10"/>
      <c r="AS6650" s="10"/>
      <c r="AT6650" s="10"/>
      <c r="AU6650" s="10"/>
      <c r="AV6650" s="10"/>
      <c r="AW6650" s="10"/>
      <c r="AX6650" s="10"/>
      <c r="AY6650" s="10"/>
      <c r="AZ6650" s="10"/>
    </row>
    <row r="6651" spans="31:52">
      <c r="AE6651" s="10"/>
      <c r="AF6651" s="10"/>
      <c r="AG6651" s="10"/>
      <c r="AH6651" s="10"/>
      <c r="AI6651" s="10"/>
      <c r="AJ6651" s="10"/>
      <c r="AK6651" s="10"/>
      <c r="AL6651" s="10"/>
      <c r="AM6651" s="10"/>
      <c r="AN6651" s="10"/>
      <c r="AO6651" s="10"/>
      <c r="AP6651" s="10"/>
      <c r="AQ6651" s="10"/>
      <c r="AR6651" s="10"/>
      <c r="AS6651" s="10"/>
      <c r="AT6651" s="10"/>
      <c r="AU6651" s="10"/>
      <c r="AV6651" s="10"/>
      <c r="AW6651" s="10"/>
      <c r="AX6651" s="10"/>
      <c r="AY6651" s="10"/>
      <c r="AZ6651" s="10"/>
    </row>
    <row r="6652" spans="31:52">
      <c r="AE6652" s="10"/>
      <c r="AF6652" s="10"/>
      <c r="AG6652" s="10"/>
      <c r="AH6652" s="10"/>
      <c r="AI6652" s="10"/>
      <c r="AJ6652" s="10"/>
      <c r="AK6652" s="10"/>
      <c r="AL6652" s="10"/>
      <c r="AM6652" s="10"/>
      <c r="AN6652" s="10"/>
      <c r="AO6652" s="10"/>
      <c r="AP6652" s="10"/>
      <c r="AQ6652" s="10"/>
      <c r="AR6652" s="10"/>
      <c r="AS6652" s="10"/>
      <c r="AT6652" s="10"/>
      <c r="AU6652" s="10"/>
      <c r="AV6652" s="10"/>
      <c r="AW6652" s="10"/>
      <c r="AX6652" s="10"/>
      <c r="AY6652" s="10"/>
      <c r="AZ6652" s="10"/>
    </row>
    <row r="6653" spans="31:52">
      <c r="AE6653" s="10"/>
      <c r="AF6653" s="10"/>
      <c r="AG6653" s="10"/>
      <c r="AH6653" s="10"/>
      <c r="AI6653" s="10"/>
      <c r="AJ6653" s="10"/>
      <c r="AK6653" s="10"/>
      <c r="AL6653" s="10"/>
      <c r="AM6653" s="10"/>
      <c r="AN6653" s="10"/>
      <c r="AO6653" s="10"/>
      <c r="AP6653" s="10"/>
      <c r="AQ6653" s="10"/>
      <c r="AR6653" s="10"/>
      <c r="AS6653" s="10"/>
      <c r="AT6653" s="10"/>
      <c r="AU6653" s="10"/>
      <c r="AV6653" s="10"/>
      <c r="AW6653" s="10"/>
      <c r="AX6653" s="10"/>
      <c r="AY6653" s="10"/>
      <c r="AZ6653" s="10"/>
    </row>
    <row r="6654" spans="31:52">
      <c r="AE6654" s="10"/>
      <c r="AF6654" s="10"/>
      <c r="AG6654" s="10"/>
      <c r="AH6654" s="10"/>
      <c r="AI6654" s="10"/>
      <c r="AJ6654" s="10"/>
      <c r="AK6654" s="10"/>
      <c r="AL6654" s="10"/>
      <c r="AM6654" s="10"/>
      <c r="AN6654" s="10"/>
      <c r="AO6654" s="10"/>
      <c r="AP6654" s="10"/>
      <c r="AQ6654" s="10"/>
      <c r="AR6654" s="10"/>
      <c r="AS6654" s="10"/>
      <c r="AT6654" s="10"/>
      <c r="AU6654" s="10"/>
      <c r="AV6654" s="10"/>
      <c r="AW6654" s="10"/>
      <c r="AX6654" s="10"/>
      <c r="AY6654" s="10"/>
      <c r="AZ6654" s="10"/>
    </row>
    <row r="6655" spans="31:52">
      <c r="AE6655" s="10"/>
      <c r="AF6655" s="10"/>
      <c r="AG6655" s="10"/>
      <c r="AH6655" s="10"/>
      <c r="AI6655" s="10"/>
      <c r="AJ6655" s="10"/>
      <c r="AK6655" s="10"/>
      <c r="AL6655" s="10"/>
      <c r="AM6655" s="10"/>
      <c r="AN6655" s="10"/>
      <c r="AO6655" s="10"/>
      <c r="AP6655" s="10"/>
      <c r="AQ6655" s="10"/>
      <c r="AR6655" s="10"/>
      <c r="AS6655" s="10"/>
      <c r="AT6655" s="10"/>
      <c r="AU6655" s="10"/>
      <c r="AV6655" s="10"/>
      <c r="AW6655" s="10"/>
      <c r="AX6655" s="10"/>
      <c r="AY6655" s="10"/>
      <c r="AZ6655" s="10"/>
    </row>
    <row r="6656" spans="31:52">
      <c r="AE6656" s="10"/>
      <c r="AF6656" s="10"/>
      <c r="AG6656" s="10"/>
      <c r="AH6656" s="10"/>
      <c r="AI6656" s="10"/>
      <c r="AJ6656" s="10"/>
      <c r="AK6656" s="10"/>
      <c r="AL6656" s="10"/>
      <c r="AM6656" s="10"/>
      <c r="AN6656" s="10"/>
      <c r="AO6656" s="10"/>
      <c r="AP6656" s="10"/>
      <c r="AQ6656" s="10"/>
      <c r="AR6656" s="10"/>
      <c r="AS6656" s="10"/>
      <c r="AT6656" s="10"/>
      <c r="AU6656" s="10"/>
      <c r="AV6656" s="10"/>
      <c r="AW6656" s="10"/>
      <c r="AX6656" s="10"/>
      <c r="AY6656" s="10"/>
      <c r="AZ6656" s="10"/>
    </row>
    <row r="6657" spans="31:52">
      <c r="AE6657" s="10"/>
      <c r="AF6657" s="10"/>
      <c r="AG6657" s="10"/>
      <c r="AH6657" s="10"/>
      <c r="AI6657" s="10"/>
      <c r="AJ6657" s="10"/>
      <c r="AK6657" s="10"/>
      <c r="AL6657" s="10"/>
      <c r="AM6657" s="10"/>
      <c r="AN6657" s="10"/>
      <c r="AO6657" s="10"/>
      <c r="AP6657" s="10"/>
      <c r="AQ6657" s="10"/>
      <c r="AR6657" s="10"/>
      <c r="AS6657" s="10"/>
      <c r="AT6657" s="10"/>
      <c r="AU6657" s="10"/>
      <c r="AV6657" s="10"/>
      <c r="AW6657" s="10"/>
      <c r="AX6657" s="10"/>
      <c r="AY6657" s="10"/>
      <c r="AZ6657" s="10"/>
    </row>
    <row r="6658" spans="31:52">
      <c r="AE6658" s="10"/>
      <c r="AF6658" s="10"/>
      <c r="AG6658" s="10"/>
      <c r="AH6658" s="10"/>
      <c r="AI6658" s="10"/>
      <c r="AJ6658" s="10"/>
      <c r="AK6658" s="10"/>
      <c r="AL6658" s="10"/>
      <c r="AM6658" s="10"/>
      <c r="AN6658" s="10"/>
      <c r="AO6658" s="10"/>
      <c r="AP6658" s="10"/>
      <c r="AQ6658" s="10"/>
      <c r="AR6658" s="10"/>
      <c r="AS6658" s="10"/>
      <c r="AT6658" s="10"/>
      <c r="AU6658" s="10"/>
      <c r="AV6658" s="10"/>
      <c r="AW6658" s="10"/>
      <c r="AX6658" s="10"/>
      <c r="AY6658" s="10"/>
      <c r="AZ6658" s="10"/>
    </row>
    <row r="6659" spans="31:52">
      <c r="AE6659" s="10"/>
      <c r="AF6659" s="10"/>
      <c r="AG6659" s="10"/>
      <c r="AH6659" s="10"/>
      <c r="AI6659" s="10"/>
      <c r="AJ6659" s="10"/>
      <c r="AK6659" s="10"/>
      <c r="AL6659" s="10"/>
      <c r="AM6659" s="10"/>
      <c r="AN6659" s="10"/>
      <c r="AO6659" s="10"/>
      <c r="AP6659" s="10"/>
      <c r="AQ6659" s="10"/>
      <c r="AR6659" s="10"/>
      <c r="AS6659" s="10"/>
      <c r="AT6659" s="10"/>
      <c r="AU6659" s="10"/>
      <c r="AV6659" s="10"/>
      <c r="AW6659" s="10"/>
      <c r="AX6659" s="10"/>
      <c r="AY6659" s="10"/>
      <c r="AZ6659" s="10"/>
    </row>
    <row r="6660" spans="31:52">
      <c r="AE6660" s="10"/>
      <c r="AF6660" s="10"/>
      <c r="AG6660" s="10"/>
      <c r="AH6660" s="10"/>
      <c r="AI6660" s="10"/>
      <c r="AJ6660" s="10"/>
      <c r="AK6660" s="10"/>
      <c r="AL6660" s="10"/>
      <c r="AM6660" s="10"/>
      <c r="AN6660" s="10"/>
      <c r="AO6660" s="10"/>
      <c r="AP6660" s="10"/>
      <c r="AQ6660" s="10"/>
      <c r="AR6660" s="10"/>
      <c r="AS6660" s="10"/>
      <c r="AT6660" s="10"/>
      <c r="AU6660" s="10"/>
      <c r="AV6660" s="10"/>
      <c r="AW6660" s="10"/>
      <c r="AX6660" s="10"/>
      <c r="AY6660" s="10"/>
      <c r="AZ6660" s="10"/>
    </row>
    <row r="6661" spans="31:52">
      <c r="AE6661" s="10"/>
      <c r="AF6661" s="10"/>
      <c r="AG6661" s="10"/>
      <c r="AH6661" s="10"/>
      <c r="AI6661" s="10"/>
      <c r="AJ6661" s="10"/>
      <c r="AK6661" s="10"/>
      <c r="AL6661" s="10"/>
      <c r="AM6661" s="10"/>
      <c r="AN6661" s="10"/>
      <c r="AO6661" s="10"/>
      <c r="AP6661" s="10"/>
      <c r="AQ6661" s="10"/>
      <c r="AR6661" s="10"/>
      <c r="AS6661" s="10"/>
      <c r="AT6661" s="10"/>
      <c r="AU6661" s="10"/>
      <c r="AV6661" s="10"/>
      <c r="AW6661" s="10"/>
      <c r="AX6661" s="10"/>
      <c r="AY6661" s="10"/>
      <c r="AZ6661" s="10"/>
    </row>
    <row r="6662" spans="31:52">
      <c r="AE6662" s="10"/>
      <c r="AF6662" s="10"/>
      <c r="AG6662" s="10"/>
      <c r="AH6662" s="10"/>
      <c r="AI6662" s="10"/>
      <c r="AJ6662" s="10"/>
      <c r="AK6662" s="10"/>
      <c r="AL6662" s="10"/>
      <c r="AM6662" s="10"/>
      <c r="AN6662" s="10"/>
      <c r="AO6662" s="10"/>
      <c r="AP6662" s="10"/>
      <c r="AQ6662" s="10"/>
      <c r="AR6662" s="10"/>
      <c r="AS6662" s="10"/>
      <c r="AT6662" s="10"/>
      <c r="AU6662" s="10"/>
      <c r="AV6662" s="10"/>
      <c r="AW6662" s="10"/>
      <c r="AX6662" s="10"/>
      <c r="AY6662" s="10"/>
      <c r="AZ6662" s="10"/>
    </row>
    <row r="6663" spans="31:52">
      <c r="AE6663" s="10"/>
      <c r="AF6663" s="10"/>
      <c r="AG6663" s="10"/>
      <c r="AH6663" s="10"/>
      <c r="AI6663" s="10"/>
      <c r="AJ6663" s="10"/>
      <c r="AK6663" s="10"/>
      <c r="AL6663" s="10"/>
      <c r="AM6663" s="10"/>
      <c r="AN6663" s="10"/>
      <c r="AO6663" s="10"/>
      <c r="AP6663" s="10"/>
      <c r="AQ6663" s="10"/>
      <c r="AR6663" s="10"/>
      <c r="AS6663" s="10"/>
      <c r="AT6663" s="10"/>
      <c r="AU6663" s="10"/>
      <c r="AV6663" s="10"/>
      <c r="AW6663" s="10"/>
      <c r="AX6663" s="10"/>
      <c r="AY6663" s="10"/>
      <c r="AZ6663" s="10"/>
    </row>
    <row r="6664" spans="31:52">
      <c r="AE6664" s="10"/>
      <c r="AF6664" s="10"/>
      <c r="AG6664" s="10"/>
      <c r="AH6664" s="10"/>
      <c r="AI6664" s="10"/>
      <c r="AJ6664" s="10"/>
      <c r="AK6664" s="10"/>
      <c r="AL6664" s="10"/>
      <c r="AM6664" s="10"/>
      <c r="AN6664" s="10"/>
      <c r="AO6664" s="10"/>
      <c r="AP6664" s="10"/>
      <c r="AQ6664" s="10"/>
      <c r="AR6664" s="10"/>
      <c r="AS6664" s="10"/>
      <c r="AT6664" s="10"/>
      <c r="AU6664" s="10"/>
      <c r="AV6664" s="10"/>
      <c r="AW6664" s="10"/>
      <c r="AX6664" s="10"/>
      <c r="AY6664" s="10"/>
      <c r="AZ6664" s="10"/>
    </row>
    <row r="6665" spans="31:52">
      <c r="AE6665" s="10"/>
      <c r="AF6665" s="10"/>
      <c r="AG6665" s="10"/>
      <c r="AH6665" s="10"/>
      <c r="AI6665" s="10"/>
      <c r="AJ6665" s="10"/>
      <c r="AK6665" s="10"/>
      <c r="AL6665" s="10"/>
      <c r="AM6665" s="10"/>
      <c r="AN6665" s="10"/>
      <c r="AO6665" s="10"/>
      <c r="AP6665" s="10"/>
      <c r="AQ6665" s="10"/>
      <c r="AR6665" s="10"/>
      <c r="AS6665" s="10"/>
      <c r="AT6665" s="10"/>
      <c r="AU6665" s="10"/>
      <c r="AV6665" s="10"/>
      <c r="AW6665" s="10"/>
      <c r="AX6665" s="10"/>
      <c r="AY6665" s="10"/>
      <c r="AZ6665" s="10"/>
    </row>
    <row r="6666" spans="31:52">
      <c r="AE6666" s="10"/>
      <c r="AF6666" s="10"/>
      <c r="AG6666" s="10"/>
      <c r="AH6666" s="10"/>
      <c r="AI6666" s="10"/>
      <c r="AJ6666" s="10"/>
      <c r="AK6666" s="10"/>
      <c r="AL6666" s="10"/>
      <c r="AM6666" s="10"/>
      <c r="AN6666" s="10"/>
      <c r="AO6666" s="10"/>
      <c r="AP6666" s="10"/>
      <c r="AQ6666" s="10"/>
      <c r="AR6666" s="10"/>
      <c r="AS6666" s="10"/>
      <c r="AT6666" s="10"/>
      <c r="AU6666" s="10"/>
      <c r="AV6666" s="10"/>
      <c r="AW6666" s="10"/>
      <c r="AX6666" s="10"/>
      <c r="AY6666" s="10"/>
      <c r="AZ6666" s="10"/>
    </row>
    <row r="6667" spans="31:52">
      <c r="AE6667" s="10"/>
      <c r="AF6667" s="10"/>
      <c r="AG6667" s="10"/>
      <c r="AH6667" s="10"/>
      <c r="AI6667" s="10"/>
      <c r="AJ6667" s="10"/>
      <c r="AK6667" s="10"/>
      <c r="AL6667" s="10"/>
      <c r="AM6667" s="10"/>
      <c r="AN6667" s="10"/>
      <c r="AO6667" s="10"/>
      <c r="AP6667" s="10"/>
      <c r="AQ6667" s="10"/>
      <c r="AR6667" s="10"/>
      <c r="AS6667" s="10"/>
      <c r="AT6667" s="10"/>
      <c r="AU6667" s="10"/>
      <c r="AV6667" s="10"/>
      <c r="AW6667" s="10"/>
      <c r="AX6667" s="10"/>
      <c r="AY6667" s="10"/>
      <c r="AZ6667" s="10"/>
    </row>
    <row r="6668" spans="31:52">
      <c r="AE6668" s="10"/>
      <c r="AF6668" s="10"/>
      <c r="AG6668" s="10"/>
      <c r="AH6668" s="10"/>
      <c r="AI6668" s="10"/>
      <c r="AJ6668" s="10"/>
      <c r="AK6668" s="10"/>
      <c r="AL6668" s="10"/>
      <c r="AM6668" s="10"/>
      <c r="AN6668" s="10"/>
      <c r="AO6668" s="10"/>
      <c r="AP6668" s="10"/>
      <c r="AQ6668" s="10"/>
      <c r="AR6668" s="10"/>
      <c r="AS6668" s="10"/>
      <c r="AT6668" s="10"/>
      <c r="AU6668" s="10"/>
      <c r="AV6668" s="10"/>
      <c r="AW6668" s="10"/>
      <c r="AX6668" s="10"/>
      <c r="AY6668" s="10"/>
      <c r="AZ6668" s="10"/>
    </row>
    <row r="6669" spans="31:52">
      <c r="AE6669" s="10"/>
      <c r="AF6669" s="10"/>
      <c r="AG6669" s="10"/>
      <c r="AH6669" s="10"/>
      <c r="AI6669" s="10"/>
      <c r="AJ6669" s="10"/>
      <c r="AK6669" s="10"/>
      <c r="AL6669" s="10"/>
      <c r="AM6669" s="10"/>
      <c r="AN6669" s="10"/>
      <c r="AO6669" s="10"/>
      <c r="AP6669" s="10"/>
      <c r="AQ6669" s="10"/>
      <c r="AR6669" s="10"/>
      <c r="AS6669" s="10"/>
      <c r="AT6669" s="10"/>
      <c r="AU6669" s="10"/>
      <c r="AV6669" s="10"/>
      <c r="AW6669" s="10"/>
      <c r="AX6669" s="10"/>
      <c r="AY6669" s="10"/>
      <c r="AZ6669" s="10"/>
    </row>
    <row r="6670" spans="31:52">
      <c r="AE6670" s="10"/>
      <c r="AF6670" s="10"/>
      <c r="AG6670" s="10"/>
      <c r="AH6670" s="10"/>
      <c r="AI6670" s="10"/>
      <c r="AJ6670" s="10"/>
      <c r="AK6670" s="10"/>
      <c r="AL6670" s="10"/>
      <c r="AM6670" s="10"/>
      <c r="AN6670" s="10"/>
      <c r="AO6670" s="10"/>
      <c r="AP6670" s="10"/>
      <c r="AQ6670" s="10"/>
      <c r="AR6670" s="10"/>
      <c r="AS6670" s="10"/>
      <c r="AT6670" s="10"/>
      <c r="AU6670" s="10"/>
      <c r="AV6670" s="10"/>
      <c r="AW6670" s="10"/>
      <c r="AX6670" s="10"/>
      <c r="AY6670" s="10"/>
      <c r="AZ6670" s="10"/>
    </row>
    <row r="6671" spans="31:52">
      <c r="AE6671" s="10"/>
      <c r="AF6671" s="10"/>
      <c r="AG6671" s="10"/>
      <c r="AH6671" s="10"/>
      <c r="AI6671" s="10"/>
      <c r="AJ6671" s="10"/>
      <c r="AK6671" s="10"/>
      <c r="AL6671" s="10"/>
      <c r="AM6671" s="10"/>
      <c r="AN6671" s="10"/>
      <c r="AO6671" s="10"/>
      <c r="AP6671" s="10"/>
      <c r="AQ6671" s="10"/>
      <c r="AR6671" s="10"/>
      <c r="AS6671" s="10"/>
      <c r="AT6671" s="10"/>
      <c r="AU6671" s="10"/>
      <c r="AV6671" s="10"/>
      <c r="AW6671" s="10"/>
      <c r="AX6671" s="10"/>
      <c r="AY6671" s="10"/>
      <c r="AZ6671" s="10"/>
    </row>
    <row r="6672" spans="31:52">
      <c r="AE6672" s="10"/>
      <c r="AF6672" s="10"/>
      <c r="AG6672" s="10"/>
      <c r="AH6672" s="10"/>
      <c r="AI6672" s="10"/>
      <c r="AJ6672" s="10"/>
      <c r="AK6672" s="10"/>
      <c r="AL6672" s="10"/>
      <c r="AM6672" s="10"/>
      <c r="AN6672" s="10"/>
      <c r="AO6672" s="10"/>
      <c r="AP6672" s="10"/>
      <c r="AQ6672" s="10"/>
      <c r="AR6672" s="10"/>
      <c r="AS6672" s="10"/>
      <c r="AT6672" s="10"/>
      <c r="AU6672" s="10"/>
      <c r="AV6672" s="10"/>
      <c r="AW6672" s="10"/>
      <c r="AX6672" s="10"/>
      <c r="AY6672" s="10"/>
      <c r="AZ6672" s="10"/>
    </row>
    <row r="6673" spans="31:52">
      <c r="AE6673" s="10"/>
      <c r="AF6673" s="10"/>
      <c r="AG6673" s="10"/>
      <c r="AH6673" s="10"/>
      <c r="AI6673" s="10"/>
      <c r="AJ6673" s="10"/>
      <c r="AK6673" s="10"/>
      <c r="AL6673" s="10"/>
      <c r="AM6673" s="10"/>
      <c r="AN6673" s="10"/>
      <c r="AO6673" s="10"/>
      <c r="AP6673" s="10"/>
      <c r="AQ6673" s="10"/>
      <c r="AR6673" s="10"/>
      <c r="AS6673" s="10"/>
      <c r="AT6673" s="10"/>
      <c r="AU6673" s="10"/>
      <c r="AV6673" s="10"/>
      <c r="AW6673" s="10"/>
      <c r="AX6673" s="10"/>
      <c r="AY6673" s="10"/>
      <c r="AZ6673" s="10"/>
    </row>
    <row r="6674" spans="31:52">
      <c r="AE6674" s="10"/>
      <c r="AF6674" s="10"/>
      <c r="AG6674" s="10"/>
      <c r="AH6674" s="10"/>
      <c r="AI6674" s="10"/>
      <c r="AJ6674" s="10"/>
      <c r="AK6674" s="10"/>
      <c r="AL6674" s="10"/>
      <c r="AM6674" s="10"/>
      <c r="AN6674" s="10"/>
      <c r="AO6674" s="10"/>
      <c r="AP6674" s="10"/>
      <c r="AQ6674" s="10"/>
      <c r="AR6674" s="10"/>
      <c r="AS6674" s="10"/>
      <c r="AT6674" s="10"/>
      <c r="AU6674" s="10"/>
      <c r="AV6674" s="10"/>
      <c r="AW6674" s="10"/>
      <c r="AX6674" s="10"/>
      <c r="AY6674" s="10"/>
      <c r="AZ6674" s="10"/>
    </row>
    <row r="6675" spans="31:52">
      <c r="AE6675" s="10"/>
      <c r="AF6675" s="10"/>
      <c r="AG6675" s="10"/>
      <c r="AH6675" s="10"/>
      <c r="AI6675" s="10"/>
      <c r="AJ6675" s="10"/>
      <c r="AK6675" s="10"/>
      <c r="AL6675" s="10"/>
      <c r="AM6675" s="10"/>
      <c r="AN6675" s="10"/>
      <c r="AO6675" s="10"/>
      <c r="AP6675" s="10"/>
      <c r="AQ6675" s="10"/>
      <c r="AR6675" s="10"/>
      <c r="AS6675" s="10"/>
      <c r="AT6675" s="10"/>
      <c r="AU6675" s="10"/>
      <c r="AV6675" s="10"/>
      <c r="AW6675" s="10"/>
      <c r="AX6675" s="10"/>
      <c r="AY6675" s="10"/>
      <c r="AZ6675" s="10"/>
    </row>
    <row r="6676" spans="31:52">
      <c r="AE6676" s="10"/>
      <c r="AF6676" s="10"/>
      <c r="AG6676" s="10"/>
      <c r="AH6676" s="10"/>
      <c r="AI6676" s="10"/>
      <c r="AJ6676" s="10"/>
      <c r="AK6676" s="10"/>
      <c r="AL6676" s="10"/>
      <c r="AM6676" s="10"/>
      <c r="AN6676" s="10"/>
      <c r="AO6676" s="10"/>
      <c r="AP6676" s="10"/>
      <c r="AQ6676" s="10"/>
      <c r="AR6676" s="10"/>
      <c r="AS6676" s="10"/>
      <c r="AT6676" s="10"/>
      <c r="AU6676" s="10"/>
      <c r="AV6676" s="10"/>
      <c r="AW6676" s="10"/>
      <c r="AX6676" s="10"/>
      <c r="AY6676" s="10"/>
      <c r="AZ6676" s="10"/>
    </row>
    <row r="6677" spans="31:52">
      <c r="AE6677" s="10"/>
      <c r="AF6677" s="10"/>
      <c r="AG6677" s="10"/>
      <c r="AH6677" s="10"/>
      <c r="AI6677" s="10"/>
      <c r="AJ6677" s="10"/>
      <c r="AK6677" s="10"/>
      <c r="AL6677" s="10"/>
      <c r="AM6677" s="10"/>
      <c r="AN6677" s="10"/>
      <c r="AO6677" s="10"/>
      <c r="AP6677" s="10"/>
      <c r="AQ6677" s="10"/>
      <c r="AR6677" s="10"/>
      <c r="AS6677" s="10"/>
      <c r="AT6677" s="10"/>
      <c r="AU6677" s="10"/>
      <c r="AV6677" s="10"/>
      <c r="AW6677" s="10"/>
      <c r="AX6677" s="10"/>
      <c r="AY6677" s="10"/>
      <c r="AZ6677" s="10"/>
    </row>
    <row r="6678" spans="31:52">
      <c r="AE6678" s="10"/>
      <c r="AF6678" s="10"/>
      <c r="AG6678" s="10"/>
      <c r="AH6678" s="10"/>
      <c r="AI6678" s="10"/>
      <c r="AJ6678" s="10"/>
      <c r="AK6678" s="10"/>
      <c r="AL6678" s="10"/>
      <c r="AM6678" s="10"/>
      <c r="AN6678" s="10"/>
      <c r="AO6678" s="10"/>
      <c r="AP6678" s="10"/>
      <c r="AQ6678" s="10"/>
      <c r="AR6678" s="10"/>
      <c r="AS6678" s="10"/>
      <c r="AT6678" s="10"/>
      <c r="AU6678" s="10"/>
      <c r="AV6678" s="10"/>
      <c r="AW6678" s="10"/>
      <c r="AX6678" s="10"/>
      <c r="AY6678" s="10"/>
      <c r="AZ6678" s="10"/>
    </row>
    <row r="6679" spans="31:52">
      <c r="AE6679" s="10"/>
      <c r="AF6679" s="10"/>
      <c r="AG6679" s="10"/>
      <c r="AH6679" s="10"/>
      <c r="AI6679" s="10"/>
      <c r="AJ6679" s="10"/>
      <c r="AK6679" s="10"/>
      <c r="AL6679" s="10"/>
      <c r="AM6679" s="10"/>
      <c r="AN6679" s="10"/>
      <c r="AO6679" s="10"/>
      <c r="AP6679" s="10"/>
      <c r="AQ6679" s="10"/>
      <c r="AR6679" s="10"/>
      <c r="AS6679" s="10"/>
      <c r="AT6679" s="10"/>
      <c r="AU6679" s="10"/>
      <c r="AV6679" s="10"/>
      <c r="AW6679" s="10"/>
      <c r="AX6679" s="10"/>
      <c r="AY6679" s="10"/>
      <c r="AZ6679" s="10"/>
    </row>
    <row r="6680" spans="31:52">
      <c r="AE6680" s="10"/>
      <c r="AF6680" s="10"/>
      <c r="AG6680" s="10"/>
      <c r="AH6680" s="10"/>
      <c r="AI6680" s="10"/>
      <c r="AJ6680" s="10"/>
      <c r="AK6680" s="10"/>
      <c r="AL6680" s="10"/>
      <c r="AM6680" s="10"/>
      <c r="AN6680" s="10"/>
      <c r="AO6680" s="10"/>
      <c r="AP6680" s="10"/>
      <c r="AQ6680" s="10"/>
      <c r="AR6680" s="10"/>
      <c r="AS6680" s="10"/>
      <c r="AT6680" s="10"/>
      <c r="AU6680" s="10"/>
      <c r="AV6680" s="10"/>
      <c r="AW6680" s="10"/>
      <c r="AX6680" s="10"/>
      <c r="AY6680" s="10"/>
      <c r="AZ6680" s="10"/>
    </row>
    <row r="6681" spans="31:52">
      <c r="AE6681" s="10"/>
      <c r="AF6681" s="10"/>
      <c r="AG6681" s="10"/>
      <c r="AH6681" s="10"/>
      <c r="AI6681" s="10"/>
      <c r="AJ6681" s="10"/>
      <c r="AK6681" s="10"/>
      <c r="AL6681" s="10"/>
      <c r="AM6681" s="10"/>
      <c r="AN6681" s="10"/>
      <c r="AO6681" s="10"/>
      <c r="AP6681" s="10"/>
      <c r="AQ6681" s="10"/>
      <c r="AR6681" s="10"/>
      <c r="AS6681" s="10"/>
      <c r="AT6681" s="10"/>
      <c r="AU6681" s="10"/>
      <c r="AV6681" s="10"/>
      <c r="AW6681" s="10"/>
      <c r="AX6681" s="10"/>
      <c r="AY6681" s="10"/>
      <c r="AZ6681" s="10"/>
    </row>
    <row r="6682" spans="31:52">
      <c r="AE6682" s="10"/>
      <c r="AF6682" s="10"/>
      <c r="AG6682" s="10"/>
      <c r="AH6682" s="10"/>
      <c r="AI6682" s="10"/>
      <c r="AJ6682" s="10"/>
      <c r="AK6682" s="10"/>
      <c r="AL6682" s="10"/>
      <c r="AM6682" s="10"/>
      <c r="AN6682" s="10"/>
      <c r="AO6682" s="10"/>
      <c r="AP6682" s="10"/>
      <c r="AQ6682" s="10"/>
      <c r="AR6682" s="10"/>
      <c r="AS6682" s="10"/>
      <c r="AT6682" s="10"/>
      <c r="AU6682" s="10"/>
      <c r="AV6682" s="10"/>
      <c r="AW6682" s="10"/>
      <c r="AX6682" s="10"/>
      <c r="AY6682" s="10"/>
      <c r="AZ6682" s="10"/>
    </row>
    <row r="6683" spans="31:52">
      <c r="AE6683" s="10"/>
      <c r="AF6683" s="10"/>
      <c r="AG6683" s="10"/>
      <c r="AH6683" s="10"/>
      <c r="AI6683" s="10"/>
      <c r="AJ6683" s="10"/>
      <c r="AK6683" s="10"/>
      <c r="AL6683" s="10"/>
      <c r="AM6683" s="10"/>
      <c r="AN6683" s="10"/>
      <c r="AO6683" s="10"/>
      <c r="AP6683" s="10"/>
      <c r="AQ6683" s="10"/>
      <c r="AR6683" s="10"/>
      <c r="AS6683" s="10"/>
      <c r="AT6683" s="10"/>
      <c r="AU6683" s="10"/>
      <c r="AV6683" s="10"/>
      <c r="AW6683" s="10"/>
      <c r="AX6683" s="10"/>
      <c r="AY6683" s="10"/>
      <c r="AZ6683" s="10"/>
    </row>
    <row r="6684" spans="31:52">
      <c r="AE6684" s="10"/>
      <c r="AF6684" s="10"/>
      <c r="AG6684" s="10"/>
      <c r="AH6684" s="10"/>
      <c r="AI6684" s="10"/>
      <c r="AJ6684" s="10"/>
      <c r="AK6684" s="10"/>
      <c r="AL6684" s="10"/>
      <c r="AM6684" s="10"/>
      <c r="AN6684" s="10"/>
      <c r="AO6684" s="10"/>
      <c r="AP6684" s="10"/>
      <c r="AQ6684" s="10"/>
      <c r="AR6684" s="10"/>
      <c r="AS6684" s="10"/>
      <c r="AT6684" s="10"/>
      <c r="AU6684" s="10"/>
      <c r="AV6684" s="10"/>
      <c r="AW6684" s="10"/>
      <c r="AX6684" s="10"/>
      <c r="AY6684" s="10"/>
      <c r="AZ6684" s="10"/>
    </row>
    <row r="6685" spans="31:52">
      <c r="AE6685" s="10"/>
      <c r="AF6685" s="10"/>
      <c r="AG6685" s="10"/>
      <c r="AH6685" s="10"/>
      <c r="AI6685" s="10"/>
      <c r="AJ6685" s="10"/>
      <c r="AK6685" s="10"/>
      <c r="AL6685" s="10"/>
      <c r="AM6685" s="10"/>
      <c r="AN6685" s="10"/>
      <c r="AO6685" s="10"/>
      <c r="AP6685" s="10"/>
      <c r="AQ6685" s="10"/>
      <c r="AR6685" s="10"/>
      <c r="AS6685" s="10"/>
      <c r="AT6685" s="10"/>
      <c r="AU6685" s="10"/>
      <c r="AV6685" s="10"/>
      <c r="AW6685" s="10"/>
      <c r="AX6685" s="10"/>
      <c r="AY6685" s="10"/>
      <c r="AZ6685" s="10"/>
    </row>
    <row r="6686" spans="31:52">
      <c r="AE6686" s="10"/>
      <c r="AF6686" s="10"/>
      <c r="AG6686" s="10"/>
      <c r="AH6686" s="10"/>
      <c r="AI6686" s="10"/>
      <c r="AJ6686" s="10"/>
      <c r="AK6686" s="10"/>
      <c r="AL6686" s="10"/>
      <c r="AM6686" s="10"/>
      <c r="AN6686" s="10"/>
      <c r="AO6686" s="10"/>
      <c r="AP6686" s="10"/>
      <c r="AQ6686" s="10"/>
      <c r="AR6686" s="10"/>
      <c r="AS6686" s="10"/>
      <c r="AT6686" s="10"/>
      <c r="AU6686" s="10"/>
      <c r="AV6686" s="10"/>
      <c r="AW6686" s="10"/>
      <c r="AX6686" s="10"/>
      <c r="AY6686" s="10"/>
      <c r="AZ6686" s="10"/>
    </row>
    <row r="6687" spans="31:52">
      <c r="AE6687" s="10"/>
      <c r="AF6687" s="10"/>
      <c r="AG6687" s="10"/>
      <c r="AH6687" s="10"/>
      <c r="AI6687" s="10"/>
      <c r="AJ6687" s="10"/>
      <c r="AK6687" s="10"/>
      <c r="AL6687" s="10"/>
      <c r="AM6687" s="10"/>
      <c r="AN6687" s="10"/>
      <c r="AO6687" s="10"/>
      <c r="AP6687" s="10"/>
      <c r="AQ6687" s="10"/>
      <c r="AR6687" s="10"/>
      <c r="AS6687" s="10"/>
      <c r="AT6687" s="10"/>
      <c r="AU6687" s="10"/>
      <c r="AV6687" s="10"/>
      <c r="AW6687" s="10"/>
      <c r="AX6687" s="10"/>
      <c r="AY6687" s="10"/>
      <c r="AZ6687" s="10"/>
    </row>
    <row r="6688" spans="31:52">
      <c r="AE6688" s="10"/>
      <c r="AF6688" s="10"/>
      <c r="AG6688" s="10"/>
      <c r="AH6688" s="10"/>
      <c r="AI6688" s="10"/>
      <c r="AJ6688" s="10"/>
      <c r="AK6688" s="10"/>
      <c r="AL6688" s="10"/>
      <c r="AM6688" s="10"/>
      <c r="AN6688" s="10"/>
      <c r="AO6688" s="10"/>
      <c r="AP6688" s="10"/>
      <c r="AQ6688" s="10"/>
      <c r="AR6688" s="10"/>
      <c r="AS6688" s="10"/>
      <c r="AT6688" s="10"/>
      <c r="AU6688" s="10"/>
      <c r="AV6688" s="10"/>
      <c r="AW6688" s="10"/>
      <c r="AX6688" s="10"/>
      <c r="AY6688" s="10"/>
      <c r="AZ6688" s="10"/>
    </row>
    <row r="6689" spans="31:52">
      <c r="AE6689" s="10"/>
      <c r="AF6689" s="10"/>
      <c r="AG6689" s="10"/>
      <c r="AH6689" s="10"/>
      <c r="AI6689" s="10"/>
      <c r="AJ6689" s="10"/>
      <c r="AK6689" s="10"/>
      <c r="AL6689" s="10"/>
      <c r="AM6689" s="10"/>
      <c r="AN6689" s="10"/>
      <c r="AO6689" s="10"/>
      <c r="AP6689" s="10"/>
      <c r="AQ6689" s="10"/>
      <c r="AR6689" s="10"/>
      <c r="AS6689" s="10"/>
      <c r="AT6689" s="10"/>
      <c r="AU6689" s="10"/>
      <c r="AV6689" s="10"/>
      <c r="AW6689" s="10"/>
      <c r="AX6689" s="10"/>
      <c r="AY6689" s="10"/>
      <c r="AZ6689" s="10"/>
    </row>
    <row r="6690" spans="31:52">
      <c r="AE6690" s="10"/>
      <c r="AF6690" s="10"/>
      <c r="AG6690" s="10"/>
      <c r="AH6690" s="10"/>
      <c r="AI6690" s="10"/>
      <c r="AJ6690" s="10"/>
      <c r="AK6690" s="10"/>
      <c r="AL6690" s="10"/>
      <c r="AM6690" s="10"/>
      <c r="AN6690" s="10"/>
      <c r="AO6690" s="10"/>
      <c r="AP6690" s="10"/>
      <c r="AQ6690" s="10"/>
      <c r="AR6690" s="10"/>
      <c r="AS6690" s="10"/>
      <c r="AT6690" s="10"/>
      <c r="AU6690" s="10"/>
      <c r="AV6690" s="10"/>
      <c r="AW6690" s="10"/>
      <c r="AX6690" s="10"/>
      <c r="AY6690" s="10"/>
      <c r="AZ6690" s="10"/>
    </row>
    <row r="6691" spans="31:52">
      <c r="AE6691" s="10"/>
      <c r="AF6691" s="10"/>
      <c r="AG6691" s="10"/>
      <c r="AH6691" s="10"/>
      <c r="AI6691" s="10"/>
      <c r="AJ6691" s="10"/>
      <c r="AK6691" s="10"/>
      <c r="AL6691" s="10"/>
      <c r="AM6691" s="10"/>
      <c r="AN6691" s="10"/>
      <c r="AO6691" s="10"/>
      <c r="AP6691" s="10"/>
      <c r="AQ6691" s="10"/>
      <c r="AR6691" s="10"/>
      <c r="AS6691" s="10"/>
      <c r="AT6691" s="10"/>
      <c r="AU6691" s="10"/>
      <c r="AV6691" s="10"/>
      <c r="AW6691" s="10"/>
      <c r="AX6691" s="10"/>
      <c r="AY6691" s="10"/>
      <c r="AZ6691" s="10"/>
    </row>
    <row r="6692" spans="31:52">
      <c r="AE6692" s="10"/>
      <c r="AF6692" s="10"/>
      <c r="AG6692" s="10"/>
      <c r="AH6692" s="10"/>
      <c r="AI6692" s="10"/>
      <c r="AJ6692" s="10"/>
      <c r="AK6692" s="10"/>
      <c r="AL6692" s="10"/>
      <c r="AM6692" s="10"/>
      <c r="AN6692" s="10"/>
      <c r="AO6692" s="10"/>
      <c r="AP6692" s="10"/>
      <c r="AQ6692" s="10"/>
      <c r="AR6692" s="10"/>
      <c r="AS6692" s="10"/>
      <c r="AT6692" s="10"/>
      <c r="AU6692" s="10"/>
      <c r="AV6692" s="10"/>
      <c r="AW6692" s="10"/>
      <c r="AX6692" s="10"/>
      <c r="AY6692" s="10"/>
      <c r="AZ6692" s="10"/>
    </row>
    <row r="6693" spans="31:52">
      <c r="AE6693" s="10"/>
      <c r="AF6693" s="10"/>
      <c r="AG6693" s="10"/>
      <c r="AH6693" s="10"/>
      <c r="AI6693" s="10"/>
      <c r="AJ6693" s="10"/>
      <c r="AK6693" s="10"/>
      <c r="AL6693" s="10"/>
      <c r="AM6693" s="10"/>
      <c r="AN6693" s="10"/>
      <c r="AO6693" s="10"/>
      <c r="AP6693" s="10"/>
      <c r="AQ6693" s="10"/>
      <c r="AR6693" s="10"/>
      <c r="AS6693" s="10"/>
      <c r="AT6693" s="10"/>
      <c r="AU6693" s="10"/>
      <c r="AV6693" s="10"/>
      <c r="AW6693" s="10"/>
      <c r="AX6693" s="10"/>
      <c r="AY6693" s="10"/>
      <c r="AZ6693" s="10"/>
    </row>
    <row r="6694" spans="31:52">
      <c r="AE6694" s="10"/>
      <c r="AF6694" s="10"/>
      <c r="AG6694" s="10"/>
      <c r="AH6694" s="10"/>
      <c r="AI6694" s="10"/>
      <c r="AJ6694" s="10"/>
      <c r="AK6694" s="10"/>
      <c r="AL6694" s="10"/>
      <c r="AM6694" s="10"/>
      <c r="AN6694" s="10"/>
      <c r="AO6694" s="10"/>
      <c r="AP6694" s="10"/>
      <c r="AQ6694" s="10"/>
      <c r="AR6694" s="10"/>
      <c r="AS6694" s="10"/>
      <c r="AT6694" s="10"/>
      <c r="AU6694" s="10"/>
      <c r="AV6694" s="10"/>
      <c r="AW6694" s="10"/>
      <c r="AX6694" s="10"/>
      <c r="AY6694" s="10"/>
      <c r="AZ6694" s="10"/>
    </row>
    <row r="6695" spans="31:52">
      <c r="AE6695" s="10"/>
      <c r="AF6695" s="10"/>
      <c r="AG6695" s="10"/>
      <c r="AH6695" s="10"/>
      <c r="AI6695" s="10"/>
      <c r="AJ6695" s="10"/>
      <c r="AK6695" s="10"/>
      <c r="AL6695" s="10"/>
      <c r="AM6695" s="10"/>
      <c r="AN6695" s="10"/>
      <c r="AO6695" s="10"/>
      <c r="AP6695" s="10"/>
      <c r="AQ6695" s="10"/>
      <c r="AR6695" s="10"/>
      <c r="AS6695" s="10"/>
      <c r="AT6695" s="10"/>
      <c r="AU6695" s="10"/>
      <c r="AV6695" s="10"/>
      <c r="AW6695" s="10"/>
      <c r="AX6695" s="10"/>
      <c r="AY6695" s="10"/>
      <c r="AZ6695" s="10"/>
    </row>
    <row r="6696" spans="31:52">
      <c r="AE6696" s="10"/>
      <c r="AF6696" s="10"/>
      <c r="AG6696" s="10"/>
      <c r="AH6696" s="10"/>
      <c r="AI6696" s="10"/>
      <c r="AJ6696" s="10"/>
      <c r="AK6696" s="10"/>
      <c r="AL6696" s="10"/>
      <c r="AM6696" s="10"/>
      <c r="AN6696" s="10"/>
      <c r="AO6696" s="10"/>
      <c r="AP6696" s="10"/>
      <c r="AQ6696" s="10"/>
      <c r="AR6696" s="10"/>
      <c r="AS6696" s="10"/>
      <c r="AT6696" s="10"/>
      <c r="AU6696" s="10"/>
      <c r="AV6696" s="10"/>
      <c r="AW6696" s="10"/>
      <c r="AX6696" s="10"/>
      <c r="AY6696" s="10"/>
      <c r="AZ6696" s="10"/>
    </row>
    <row r="6697" spans="31:52">
      <c r="AE6697" s="10"/>
      <c r="AF6697" s="10"/>
      <c r="AG6697" s="10"/>
      <c r="AH6697" s="10"/>
      <c r="AI6697" s="10"/>
      <c r="AJ6697" s="10"/>
      <c r="AK6697" s="10"/>
      <c r="AL6697" s="10"/>
      <c r="AM6697" s="10"/>
      <c r="AN6697" s="10"/>
      <c r="AO6697" s="10"/>
      <c r="AP6697" s="10"/>
      <c r="AQ6697" s="10"/>
      <c r="AR6697" s="10"/>
      <c r="AS6697" s="10"/>
      <c r="AT6697" s="10"/>
      <c r="AU6697" s="10"/>
      <c r="AV6697" s="10"/>
      <c r="AW6697" s="10"/>
      <c r="AX6697" s="10"/>
      <c r="AY6697" s="10"/>
      <c r="AZ6697" s="10"/>
    </row>
    <row r="6698" spans="31:52">
      <c r="AE6698" s="10"/>
      <c r="AF6698" s="10"/>
      <c r="AG6698" s="10"/>
      <c r="AH6698" s="10"/>
      <c r="AI6698" s="10"/>
      <c r="AJ6698" s="10"/>
      <c r="AK6698" s="10"/>
      <c r="AL6698" s="10"/>
      <c r="AM6698" s="10"/>
      <c r="AN6698" s="10"/>
      <c r="AO6698" s="10"/>
      <c r="AP6698" s="10"/>
      <c r="AQ6698" s="10"/>
      <c r="AR6698" s="10"/>
      <c r="AS6698" s="10"/>
      <c r="AT6698" s="10"/>
      <c r="AU6698" s="10"/>
      <c r="AV6698" s="10"/>
      <c r="AW6698" s="10"/>
      <c r="AX6698" s="10"/>
      <c r="AY6698" s="10"/>
      <c r="AZ6698" s="10"/>
    </row>
    <row r="6699" spans="31:52">
      <c r="AE6699" s="10"/>
      <c r="AF6699" s="10"/>
      <c r="AG6699" s="10"/>
      <c r="AH6699" s="10"/>
      <c r="AI6699" s="10"/>
      <c r="AJ6699" s="10"/>
      <c r="AK6699" s="10"/>
      <c r="AL6699" s="10"/>
      <c r="AM6699" s="10"/>
      <c r="AN6699" s="10"/>
      <c r="AO6699" s="10"/>
      <c r="AP6699" s="10"/>
      <c r="AQ6699" s="10"/>
      <c r="AR6699" s="10"/>
      <c r="AS6699" s="10"/>
      <c r="AT6699" s="10"/>
      <c r="AU6699" s="10"/>
      <c r="AV6699" s="10"/>
      <c r="AW6699" s="10"/>
      <c r="AX6699" s="10"/>
      <c r="AY6699" s="10"/>
      <c r="AZ6699" s="10"/>
    </row>
    <row r="6700" spans="31:52">
      <c r="AE6700" s="10"/>
      <c r="AF6700" s="10"/>
      <c r="AG6700" s="10"/>
      <c r="AH6700" s="10"/>
      <c r="AI6700" s="10"/>
      <c r="AJ6700" s="10"/>
      <c r="AK6700" s="10"/>
      <c r="AL6700" s="10"/>
      <c r="AM6700" s="10"/>
      <c r="AN6700" s="10"/>
      <c r="AO6700" s="10"/>
      <c r="AP6700" s="10"/>
      <c r="AQ6700" s="10"/>
      <c r="AR6700" s="10"/>
      <c r="AS6700" s="10"/>
      <c r="AT6700" s="10"/>
      <c r="AU6700" s="10"/>
      <c r="AV6700" s="10"/>
      <c r="AW6700" s="10"/>
      <c r="AX6700" s="10"/>
      <c r="AY6700" s="10"/>
      <c r="AZ6700" s="10"/>
    </row>
    <row r="6701" spans="31:52">
      <c r="AE6701" s="10"/>
      <c r="AF6701" s="10"/>
      <c r="AG6701" s="10"/>
      <c r="AH6701" s="10"/>
      <c r="AI6701" s="10"/>
      <c r="AJ6701" s="10"/>
      <c r="AK6701" s="10"/>
      <c r="AL6701" s="10"/>
      <c r="AM6701" s="10"/>
      <c r="AN6701" s="10"/>
      <c r="AO6701" s="10"/>
      <c r="AP6701" s="10"/>
      <c r="AQ6701" s="10"/>
      <c r="AR6701" s="10"/>
      <c r="AS6701" s="10"/>
      <c r="AT6701" s="10"/>
      <c r="AU6701" s="10"/>
      <c r="AV6701" s="10"/>
      <c r="AW6701" s="10"/>
      <c r="AX6701" s="10"/>
      <c r="AY6701" s="10"/>
      <c r="AZ6701" s="10"/>
    </row>
    <row r="6702" spans="31:52">
      <c r="AE6702" s="10"/>
      <c r="AF6702" s="10"/>
      <c r="AG6702" s="10"/>
      <c r="AH6702" s="10"/>
      <c r="AI6702" s="10"/>
      <c r="AJ6702" s="10"/>
      <c r="AK6702" s="10"/>
      <c r="AL6702" s="10"/>
      <c r="AM6702" s="10"/>
      <c r="AN6702" s="10"/>
      <c r="AO6702" s="10"/>
      <c r="AP6702" s="10"/>
      <c r="AQ6702" s="10"/>
      <c r="AR6702" s="10"/>
      <c r="AS6702" s="10"/>
      <c r="AT6702" s="10"/>
      <c r="AU6702" s="10"/>
      <c r="AV6702" s="10"/>
      <c r="AW6702" s="10"/>
      <c r="AX6702" s="10"/>
      <c r="AY6702" s="10"/>
      <c r="AZ6702" s="10"/>
    </row>
    <row r="6703" spans="31:52">
      <c r="AE6703" s="10"/>
      <c r="AF6703" s="10"/>
      <c r="AG6703" s="10"/>
      <c r="AH6703" s="10"/>
      <c r="AI6703" s="10"/>
      <c r="AJ6703" s="10"/>
      <c r="AK6703" s="10"/>
      <c r="AL6703" s="10"/>
      <c r="AM6703" s="10"/>
      <c r="AN6703" s="10"/>
      <c r="AO6703" s="10"/>
      <c r="AP6703" s="10"/>
      <c r="AQ6703" s="10"/>
      <c r="AR6703" s="10"/>
      <c r="AS6703" s="10"/>
      <c r="AT6703" s="10"/>
      <c r="AU6703" s="10"/>
      <c r="AV6703" s="10"/>
      <c r="AW6703" s="10"/>
      <c r="AX6703" s="10"/>
      <c r="AY6703" s="10"/>
      <c r="AZ6703" s="10"/>
    </row>
    <row r="6704" spans="31:52">
      <c r="AE6704" s="10"/>
      <c r="AF6704" s="10"/>
      <c r="AG6704" s="10"/>
      <c r="AH6704" s="10"/>
      <c r="AI6704" s="10"/>
      <c r="AJ6704" s="10"/>
      <c r="AK6704" s="10"/>
      <c r="AL6704" s="10"/>
      <c r="AM6704" s="10"/>
      <c r="AN6704" s="10"/>
      <c r="AO6704" s="10"/>
      <c r="AP6704" s="10"/>
      <c r="AQ6704" s="10"/>
      <c r="AR6704" s="10"/>
      <c r="AS6704" s="10"/>
      <c r="AT6704" s="10"/>
      <c r="AU6704" s="10"/>
      <c r="AV6704" s="10"/>
      <c r="AW6704" s="10"/>
      <c r="AX6704" s="10"/>
      <c r="AY6704" s="10"/>
      <c r="AZ6704" s="10"/>
    </row>
    <row r="6705" spans="31:52">
      <c r="AE6705" s="10"/>
      <c r="AF6705" s="10"/>
      <c r="AG6705" s="10"/>
      <c r="AH6705" s="10"/>
      <c r="AI6705" s="10"/>
      <c r="AJ6705" s="10"/>
      <c r="AK6705" s="10"/>
      <c r="AL6705" s="10"/>
      <c r="AM6705" s="10"/>
      <c r="AN6705" s="10"/>
      <c r="AO6705" s="10"/>
      <c r="AP6705" s="10"/>
      <c r="AQ6705" s="10"/>
      <c r="AR6705" s="10"/>
      <c r="AS6705" s="10"/>
      <c r="AT6705" s="10"/>
      <c r="AU6705" s="10"/>
      <c r="AV6705" s="10"/>
      <c r="AW6705" s="10"/>
      <c r="AX6705" s="10"/>
      <c r="AY6705" s="10"/>
      <c r="AZ6705" s="10"/>
    </row>
    <row r="6706" spans="31:52">
      <c r="AE6706" s="10"/>
      <c r="AF6706" s="10"/>
      <c r="AG6706" s="10"/>
      <c r="AH6706" s="10"/>
      <c r="AI6706" s="10"/>
      <c r="AJ6706" s="10"/>
      <c r="AK6706" s="10"/>
      <c r="AL6706" s="10"/>
      <c r="AM6706" s="10"/>
      <c r="AN6706" s="10"/>
      <c r="AO6706" s="10"/>
      <c r="AP6706" s="10"/>
      <c r="AQ6706" s="10"/>
      <c r="AR6706" s="10"/>
      <c r="AS6706" s="10"/>
      <c r="AT6706" s="10"/>
      <c r="AU6706" s="10"/>
      <c r="AV6706" s="10"/>
      <c r="AW6706" s="10"/>
      <c r="AX6706" s="10"/>
      <c r="AY6706" s="10"/>
      <c r="AZ6706" s="10"/>
    </row>
    <row r="6707" spans="31:52">
      <c r="AE6707" s="10"/>
      <c r="AF6707" s="10"/>
      <c r="AG6707" s="10"/>
      <c r="AH6707" s="10"/>
      <c r="AI6707" s="10"/>
      <c r="AJ6707" s="10"/>
      <c r="AK6707" s="10"/>
      <c r="AL6707" s="10"/>
      <c r="AM6707" s="10"/>
      <c r="AN6707" s="10"/>
      <c r="AO6707" s="10"/>
      <c r="AP6707" s="10"/>
      <c r="AQ6707" s="10"/>
      <c r="AR6707" s="10"/>
      <c r="AS6707" s="10"/>
      <c r="AT6707" s="10"/>
      <c r="AU6707" s="10"/>
      <c r="AV6707" s="10"/>
      <c r="AW6707" s="10"/>
      <c r="AX6707" s="10"/>
      <c r="AY6707" s="10"/>
      <c r="AZ6707" s="10"/>
    </row>
    <row r="6708" spans="31:52">
      <c r="AE6708" s="10"/>
      <c r="AF6708" s="10"/>
      <c r="AG6708" s="10"/>
      <c r="AH6708" s="10"/>
      <c r="AI6708" s="10"/>
      <c r="AJ6708" s="10"/>
      <c r="AK6708" s="10"/>
      <c r="AL6708" s="10"/>
      <c r="AM6708" s="10"/>
      <c r="AN6708" s="10"/>
      <c r="AO6708" s="10"/>
      <c r="AP6708" s="10"/>
      <c r="AQ6708" s="10"/>
      <c r="AR6708" s="10"/>
      <c r="AS6708" s="10"/>
      <c r="AT6708" s="10"/>
      <c r="AU6708" s="10"/>
      <c r="AV6708" s="10"/>
      <c r="AW6708" s="10"/>
      <c r="AX6708" s="10"/>
      <c r="AY6708" s="10"/>
      <c r="AZ6708" s="10"/>
    </row>
    <row r="6709" spans="31:52">
      <c r="AE6709" s="10"/>
      <c r="AF6709" s="10"/>
      <c r="AG6709" s="10"/>
      <c r="AH6709" s="10"/>
      <c r="AI6709" s="10"/>
      <c r="AJ6709" s="10"/>
      <c r="AK6709" s="10"/>
      <c r="AL6709" s="10"/>
      <c r="AM6709" s="10"/>
      <c r="AN6709" s="10"/>
      <c r="AO6709" s="10"/>
      <c r="AP6709" s="10"/>
      <c r="AQ6709" s="10"/>
      <c r="AR6709" s="10"/>
      <c r="AS6709" s="10"/>
      <c r="AT6709" s="10"/>
      <c r="AU6709" s="10"/>
      <c r="AV6709" s="10"/>
      <c r="AW6709" s="10"/>
      <c r="AX6709" s="10"/>
      <c r="AY6709" s="10"/>
      <c r="AZ6709" s="10"/>
    </row>
    <row r="6710" spans="31:52">
      <c r="AE6710" s="10"/>
      <c r="AF6710" s="10"/>
      <c r="AG6710" s="10"/>
      <c r="AH6710" s="10"/>
      <c r="AI6710" s="10"/>
      <c r="AJ6710" s="10"/>
      <c r="AK6710" s="10"/>
      <c r="AL6710" s="10"/>
      <c r="AM6710" s="10"/>
      <c r="AN6710" s="10"/>
      <c r="AO6710" s="10"/>
      <c r="AP6710" s="10"/>
      <c r="AQ6710" s="10"/>
      <c r="AR6710" s="10"/>
      <c r="AS6710" s="10"/>
      <c r="AT6710" s="10"/>
      <c r="AU6710" s="10"/>
      <c r="AV6710" s="10"/>
      <c r="AW6710" s="10"/>
      <c r="AX6710" s="10"/>
      <c r="AY6710" s="10"/>
      <c r="AZ6710" s="10"/>
    </row>
    <row r="6711" spans="31:52">
      <c r="AE6711" s="10"/>
      <c r="AF6711" s="10"/>
      <c r="AG6711" s="10"/>
      <c r="AH6711" s="10"/>
      <c r="AI6711" s="10"/>
      <c r="AJ6711" s="10"/>
      <c r="AK6711" s="10"/>
      <c r="AL6711" s="10"/>
      <c r="AM6711" s="10"/>
      <c r="AN6711" s="10"/>
      <c r="AO6711" s="10"/>
      <c r="AP6711" s="10"/>
      <c r="AQ6711" s="10"/>
      <c r="AR6711" s="10"/>
      <c r="AS6711" s="10"/>
      <c r="AT6711" s="10"/>
      <c r="AU6711" s="10"/>
      <c r="AV6711" s="10"/>
      <c r="AW6711" s="10"/>
      <c r="AX6711" s="10"/>
      <c r="AY6711" s="10"/>
      <c r="AZ6711" s="10"/>
    </row>
    <row r="6712" spans="31:52">
      <c r="AE6712" s="10"/>
      <c r="AF6712" s="10"/>
      <c r="AG6712" s="10"/>
      <c r="AH6712" s="10"/>
      <c r="AI6712" s="10"/>
      <c r="AJ6712" s="10"/>
      <c r="AK6712" s="10"/>
      <c r="AL6712" s="10"/>
      <c r="AM6712" s="10"/>
      <c r="AN6712" s="10"/>
      <c r="AO6712" s="10"/>
      <c r="AP6712" s="10"/>
      <c r="AQ6712" s="10"/>
      <c r="AR6712" s="10"/>
      <c r="AS6712" s="10"/>
      <c r="AT6712" s="10"/>
      <c r="AU6712" s="10"/>
      <c r="AV6712" s="10"/>
      <c r="AW6712" s="10"/>
      <c r="AX6712" s="10"/>
      <c r="AY6712" s="10"/>
      <c r="AZ6712" s="10"/>
    </row>
    <row r="6713" spans="31:52">
      <c r="AE6713" s="10"/>
      <c r="AF6713" s="10"/>
      <c r="AG6713" s="10"/>
      <c r="AH6713" s="10"/>
      <c r="AI6713" s="10"/>
      <c r="AJ6713" s="10"/>
      <c r="AK6713" s="10"/>
      <c r="AL6713" s="10"/>
      <c r="AM6713" s="10"/>
      <c r="AN6713" s="10"/>
      <c r="AO6713" s="10"/>
      <c r="AP6713" s="10"/>
      <c r="AQ6713" s="10"/>
      <c r="AR6713" s="10"/>
      <c r="AS6713" s="10"/>
      <c r="AT6713" s="10"/>
      <c r="AU6713" s="10"/>
      <c r="AV6713" s="10"/>
      <c r="AW6713" s="10"/>
      <c r="AX6713" s="10"/>
      <c r="AY6713" s="10"/>
      <c r="AZ6713" s="10"/>
    </row>
    <row r="6714" spans="31:52">
      <c r="AE6714" s="10"/>
      <c r="AF6714" s="10"/>
      <c r="AG6714" s="10"/>
      <c r="AH6714" s="10"/>
      <c r="AI6714" s="10"/>
      <c r="AJ6714" s="10"/>
      <c r="AK6714" s="10"/>
      <c r="AL6714" s="10"/>
      <c r="AM6714" s="10"/>
      <c r="AN6714" s="10"/>
      <c r="AO6714" s="10"/>
      <c r="AP6714" s="10"/>
      <c r="AQ6714" s="10"/>
      <c r="AR6714" s="10"/>
      <c r="AS6714" s="10"/>
      <c r="AT6714" s="10"/>
      <c r="AU6714" s="10"/>
      <c r="AV6714" s="10"/>
      <c r="AW6714" s="10"/>
      <c r="AX6714" s="10"/>
      <c r="AY6714" s="10"/>
      <c r="AZ6714" s="10"/>
    </row>
    <row r="6715" spans="31:52">
      <c r="AE6715" s="10"/>
      <c r="AF6715" s="10"/>
      <c r="AG6715" s="10"/>
      <c r="AH6715" s="10"/>
      <c r="AI6715" s="10"/>
      <c r="AJ6715" s="10"/>
      <c r="AK6715" s="10"/>
      <c r="AL6715" s="10"/>
      <c r="AM6715" s="10"/>
      <c r="AN6715" s="10"/>
      <c r="AO6715" s="10"/>
      <c r="AP6715" s="10"/>
      <c r="AQ6715" s="10"/>
      <c r="AR6715" s="10"/>
      <c r="AS6715" s="10"/>
      <c r="AT6715" s="10"/>
      <c r="AU6715" s="10"/>
      <c r="AV6715" s="10"/>
      <c r="AW6715" s="10"/>
      <c r="AX6715" s="10"/>
      <c r="AY6715" s="10"/>
      <c r="AZ6715" s="10"/>
    </row>
    <row r="6716" spans="31:52">
      <c r="AE6716" s="10"/>
      <c r="AF6716" s="10"/>
      <c r="AG6716" s="10"/>
      <c r="AH6716" s="10"/>
      <c r="AI6716" s="10"/>
      <c r="AJ6716" s="10"/>
      <c r="AK6716" s="10"/>
      <c r="AL6716" s="10"/>
      <c r="AM6716" s="10"/>
      <c r="AN6716" s="10"/>
      <c r="AO6716" s="10"/>
      <c r="AP6716" s="10"/>
      <c r="AQ6716" s="10"/>
      <c r="AR6716" s="10"/>
      <c r="AS6716" s="10"/>
      <c r="AT6716" s="10"/>
      <c r="AU6716" s="10"/>
      <c r="AV6716" s="10"/>
      <c r="AW6716" s="10"/>
      <c r="AX6716" s="10"/>
      <c r="AY6716" s="10"/>
      <c r="AZ6716" s="10"/>
    </row>
    <row r="6717" spans="31:52">
      <c r="AE6717" s="10"/>
      <c r="AF6717" s="10"/>
      <c r="AG6717" s="10"/>
      <c r="AH6717" s="10"/>
      <c r="AI6717" s="10"/>
      <c r="AJ6717" s="10"/>
      <c r="AK6717" s="10"/>
      <c r="AL6717" s="10"/>
      <c r="AM6717" s="10"/>
      <c r="AN6717" s="10"/>
      <c r="AO6717" s="10"/>
      <c r="AP6717" s="10"/>
      <c r="AQ6717" s="10"/>
      <c r="AR6717" s="10"/>
      <c r="AS6717" s="10"/>
      <c r="AT6717" s="10"/>
      <c r="AU6717" s="10"/>
      <c r="AV6717" s="10"/>
      <c r="AW6717" s="10"/>
      <c r="AX6717" s="10"/>
      <c r="AY6717" s="10"/>
      <c r="AZ6717" s="10"/>
    </row>
    <row r="6718" spans="31:52">
      <c r="AE6718" s="10"/>
      <c r="AF6718" s="10"/>
      <c r="AG6718" s="10"/>
      <c r="AH6718" s="10"/>
      <c r="AI6718" s="10"/>
      <c r="AJ6718" s="10"/>
      <c r="AK6718" s="10"/>
      <c r="AL6718" s="10"/>
      <c r="AM6718" s="10"/>
      <c r="AN6718" s="10"/>
      <c r="AO6718" s="10"/>
      <c r="AP6718" s="10"/>
      <c r="AQ6718" s="10"/>
      <c r="AR6718" s="10"/>
      <c r="AS6718" s="10"/>
      <c r="AT6718" s="10"/>
      <c r="AU6718" s="10"/>
      <c r="AV6718" s="10"/>
      <c r="AW6718" s="10"/>
      <c r="AX6718" s="10"/>
      <c r="AY6718" s="10"/>
      <c r="AZ6718" s="10"/>
    </row>
    <row r="6719" spans="31:52">
      <c r="AE6719" s="10"/>
      <c r="AF6719" s="10"/>
      <c r="AG6719" s="10"/>
      <c r="AH6719" s="10"/>
      <c r="AI6719" s="10"/>
      <c r="AJ6719" s="10"/>
      <c r="AK6719" s="10"/>
      <c r="AL6719" s="10"/>
      <c r="AM6719" s="10"/>
      <c r="AN6719" s="10"/>
      <c r="AO6719" s="10"/>
      <c r="AP6719" s="10"/>
      <c r="AQ6719" s="10"/>
      <c r="AR6719" s="10"/>
      <c r="AS6719" s="10"/>
      <c r="AT6719" s="10"/>
      <c r="AU6719" s="10"/>
      <c r="AV6719" s="10"/>
      <c r="AW6719" s="10"/>
      <c r="AX6719" s="10"/>
      <c r="AY6719" s="10"/>
      <c r="AZ6719" s="10"/>
    </row>
    <row r="6720" spans="31:52">
      <c r="AE6720" s="10"/>
      <c r="AF6720" s="10"/>
      <c r="AG6720" s="10"/>
      <c r="AH6720" s="10"/>
      <c r="AI6720" s="10"/>
      <c r="AJ6720" s="10"/>
      <c r="AK6720" s="10"/>
      <c r="AL6720" s="10"/>
      <c r="AM6720" s="10"/>
      <c r="AN6720" s="10"/>
      <c r="AO6720" s="10"/>
      <c r="AP6720" s="10"/>
      <c r="AQ6720" s="10"/>
      <c r="AR6720" s="10"/>
      <c r="AS6720" s="10"/>
      <c r="AT6720" s="10"/>
      <c r="AU6720" s="10"/>
      <c r="AV6720" s="10"/>
      <c r="AW6720" s="10"/>
      <c r="AX6720" s="10"/>
      <c r="AY6720" s="10"/>
      <c r="AZ6720" s="10"/>
    </row>
    <row r="6721" spans="31:52">
      <c r="AE6721" s="10"/>
      <c r="AF6721" s="10"/>
      <c r="AG6721" s="10"/>
      <c r="AH6721" s="10"/>
      <c r="AI6721" s="10"/>
      <c r="AJ6721" s="10"/>
      <c r="AK6721" s="10"/>
      <c r="AL6721" s="10"/>
      <c r="AM6721" s="10"/>
      <c r="AN6721" s="10"/>
      <c r="AO6721" s="10"/>
      <c r="AP6721" s="10"/>
      <c r="AQ6721" s="10"/>
      <c r="AR6721" s="10"/>
      <c r="AS6721" s="10"/>
      <c r="AT6721" s="10"/>
      <c r="AU6721" s="10"/>
      <c r="AV6721" s="10"/>
      <c r="AW6721" s="10"/>
      <c r="AX6721" s="10"/>
      <c r="AY6721" s="10"/>
      <c r="AZ6721" s="10"/>
    </row>
    <row r="6722" spans="31:52">
      <c r="AE6722" s="10"/>
      <c r="AF6722" s="10"/>
      <c r="AG6722" s="10"/>
      <c r="AH6722" s="10"/>
      <c r="AI6722" s="10"/>
      <c r="AJ6722" s="10"/>
      <c r="AK6722" s="10"/>
      <c r="AL6722" s="10"/>
      <c r="AM6722" s="10"/>
      <c r="AN6722" s="10"/>
      <c r="AO6722" s="10"/>
      <c r="AP6722" s="10"/>
      <c r="AQ6722" s="10"/>
      <c r="AR6722" s="10"/>
      <c r="AS6722" s="10"/>
      <c r="AT6722" s="10"/>
      <c r="AU6722" s="10"/>
      <c r="AV6722" s="10"/>
      <c r="AW6722" s="10"/>
      <c r="AX6722" s="10"/>
      <c r="AY6722" s="10"/>
      <c r="AZ6722" s="10"/>
    </row>
    <row r="6723" spans="31:52">
      <c r="AE6723" s="10"/>
      <c r="AF6723" s="10"/>
      <c r="AG6723" s="10"/>
      <c r="AH6723" s="10"/>
      <c r="AI6723" s="10"/>
      <c r="AJ6723" s="10"/>
      <c r="AK6723" s="10"/>
      <c r="AL6723" s="10"/>
      <c r="AM6723" s="10"/>
      <c r="AN6723" s="10"/>
      <c r="AO6723" s="10"/>
      <c r="AP6723" s="10"/>
      <c r="AQ6723" s="10"/>
      <c r="AR6723" s="10"/>
      <c r="AS6723" s="10"/>
      <c r="AT6723" s="10"/>
      <c r="AU6723" s="10"/>
      <c r="AV6723" s="10"/>
      <c r="AW6723" s="10"/>
      <c r="AX6723" s="10"/>
      <c r="AY6723" s="10"/>
      <c r="AZ6723" s="10"/>
    </row>
    <row r="6724" spans="31:52">
      <c r="AE6724" s="10"/>
      <c r="AF6724" s="10"/>
      <c r="AG6724" s="10"/>
      <c r="AH6724" s="10"/>
      <c r="AI6724" s="10"/>
      <c r="AJ6724" s="10"/>
      <c r="AK6724" s="10"/>
      <c r="AL6724" s="10"/>
      <c r="AM6724" s="10"/>
      <c r="AN6724" s="10"/>
      <c r="AO6724" s="10"/>
      <c r="AP6724" s="10"/>
      <c r="AQ6724" s="10"/>
      <c r="AR6724" s="10"/>
      <c r="AS6724" s="10"/>
      <c r="AT6724" s="10"/>
      <c r="AU6724" s="10"/>
      <c r="AV6724" s="10"/>
      <c r="AW6724" s="10"/>
      <c r="AX6724" s="10"/>
      <c r="AY6724" s="10"/>
      <c r="AZ6724" s="10"/>
    </row>
    <row r="6725" spans="31:52">
      <c r="AE6725" s="10"/>
      <c r="AF6725" s="10"/>
      <c r="AG6725" s="10"/>
      <c r="AH6725" s="10"/>
      <c r="AI6725" s="10"/>
      <c r="AJ6725" s="10"/>
      <c r="AK6725" s="10"/>
      <c r="AL6725" s="10"/>
      <c r="AM6725" s="10"/>
      <c r="AN6725" s="10"/>
      <c r="AO6725" s="10"/>
      <c r="AP6725" s="10"/>
      <c r="AQ6725" s="10"/>
      <c r="AR6725" s="10"/>
      <c r="AS6725" s="10"/>
      <c r="AT6725" s="10"/>
      <c r="AU6725" s="10"/>
      <c r="AV6725" s="10"/>
      <c r="AW6725" s="10"/>
      <c r="AX6725" s="10"/>
      <c r="AY6725" s="10"/>
      <c r="AZ6725" s="10"/>
    </row>
    <row r="6726" spans="31:52">
      <c r="AE6726" s="10"/>
      <c r="AF6726" s="10"/>
      <c r="AG6726" s="10"/>
      <c r="AH6726" s="10"/>
      <c r="AI6726" s="10"/>
      <c r="AJ6726" s="10"/>
      <c r="AK6726" s="10"/>
      <c r="AL6726" s="10"/>
      <c r="AM6726" s="10"/>
      <c r="AN6726" s="10"/>
      <c r="AO6726" s="10"/>
      <c r="AP6726" s="10"/>
      <c r="AQ6726" s="10"/>
      <c r="AR6726" s="10"/>
      <c r="AS6726" s="10"/>
      <c r="AT6726" s="10"/>
      <c r="AU6726" s="10"/>
      <c r="AV6726" s="10"/>
      <c r="AW6726" s="10"/>
      <c r="AX6726" s="10"/>
      <c r="AY6726" s="10"/>
      <c r="AZ6726" s="10"/>
    </row>
    <row r="6727" spans="31:52">
      <c r="AE6727" s="10"/>
      <c r="AF6727" s="10"/>
      <c r="AG6727" s="10"/>
      <c r="AH6727" s="10"/>
      <c r="AI6727" s="10"/>
      <c r="AJ6727" s="10"/>
      <c r="AK6727" s="10"/>
      <c r="AL6727" s="10"/>
      <c r="AM6727" s="10"/>
      <c r="AN6727" s="10"/>
      <c r="AO6727" s="10"/>
      <c r="AP6727" s="10"/>
      <c r="AQ6727" s="10"/>
      <c r="AR6727" s="10"/>
      <c r="AS6727" s="10"/>
      <c r="AT6727" s="10"/>
      <c r="AU6727" s="10"/>
      <c r="AV6727" s="10"/>
      <c r="AW6727" s="10"/>
      <c r="AX6727" s="10"/>
      <c r="AY6727" s="10"/>
      <c r="AZ6727" s="10"/>
    </row>
    <row r="6728" spans="31:52">
      <c r="AE6728" s="10"/>
      <c r="AF6728" s="10"/>
      <c r="AG6728" s="10"/>
      <c r="AH6728" s="10"/>
      <c r="AI6728" s="10"/>
      <c r="AJ6728" s="10"/>
      <c r="AK6728" s="10"/>
      <c r="AL6728" s="10"/>
      <c r="AM6728" s="10"/>
      <c r="AN6728" s="10"/>
      <c r="AO6728" s="10"/>
      <c r="AP6728" s="10"/>
      <c r="AQ6728" s="10"/>
      <c r="AR6728" s="10"/>
      <c r="AS6728" s="10"/>
      <c r="AT6728" s="10"/>
      <c r="AU6728" s="10"/>
      <c r="AV6728" s="10"/>
      <c r="AW6728" s="10"/>
      <c r="AX6728" s="10"/>
      <c r="AY6728" s="10"/>
      <c r="AZ6728" s="10"/>
    </row>
    <row r="6729" spans="31:52">
      <c r="AE6729" s="10"/>
      <c r="AF6729" s="10"/>
      <c r="AG6729" s="10"/>
      <c r="AH6729" s="10"/>
      <c r="AI6729" s="10"/>
      <c r="AJ6729" s="10"/>
      <c r="AK6729" s="10"/>
      <c r="AL6729" s="10"/>
      <c r="AM6729" s="10"/>
      <c r="AN6729" s="10"/>
      <c r="AO6729" s="10"/>
      <c r="AP6729" s="10"/>
      <c r="AQ6729" s="10"/>
      <c r="AR6729" s="10"/>
      <c r="AS6729" s="10"/>
      <c r="AT6729" s="10"/>
      <c r="AU6729" s="10"/>
      <c r="AV6729" s="10"/>
      <c r="AW6729" s="10"/>
      <c r="AX6729" s="10"/>
      <c r="AY6729" s="10"/>
      <c r="AZ6729" s="10"/>
    </row>
    <row r="6730" spans="31:52">
      <c r="AE6730" s="10"/>
      <c r="AF6730" s="10"/>
      <c r="AG6730" s="10"/>
      <c r="AH6730" s="10"/>
      <c r="AI6730" s="10"/>
      <c r="AJ6730" s="10"/>
      <c r="AK6730" s="10"/>
      <c r="AL6730" s="10"/>
      <c r="AM6730" s="10"/>
      <c r="AN6730" s="10"/>
      <c r="AO6730" s="10"/>
      <c r="AP6730" s="10"/>
      <c r="AQ6730" s="10"/>
      <c r="AR6730" s="10"/>
      <c r="AS6730" s="10"/>
      <c r="AT6730" s="10"/>
      <c r="AU6730" s="10"/>
      <c r="AV6730" s="10"/>
      <c r="AW6730" s="10"/>
      <c r="AX6730" s="10"/>
      <c r="AY6730" s="10"/>
      <c r="AZ6730" s="10"/>
    </row>
    <row r="6731" spans="31:52">
      <c r="AE6731" s="10"/>
      <c r="AF6731" s="10"/>
      <c r="AG6731" s="10"/>
      <c r="AH6731" s="10"/>
      <c r="AI6731" s="10"/>
      <c r="AJ6731" s="10"/>
      <c r="AK6731" s="10"/>
      <c r="AL6731" s="10"/>
      <c r="AM6731" s="10"/>
      <c r="AN6731" s="10"/>
      <c r="AO6731" s="10"/>
      <c r="AP6731" s="10"/>
      <c r="AQ6731" s="10"/>
      <c r="AR6731" s="10"/>
      <c r="AS6731" s="10"/>
      <c r="AT6731" s="10"/>
      <c r="AU6731" s="10"/>
      <c r="AV6731" s="10"/>
      <c r="AW6731" s="10"/>
      <c r="AX6731" s="10"/>
      <c r="AY6731" s="10"/>
      <c r="AZ6731" s="10"/>
    </row>
    <row r="6732" spans="31:52">
      <c r="AE6732" s="10"/>
      <c r="AF6732" s="10"/>
      <c r="AG6732" s="10"/>
      <c r="AH6732" s="10"/>
      <c r="AI6732" s="10"/>
      <c r="AJ6732" s="10"/>
      <c r="AK6732" s="10"/>
      <c r="AL6732" s="10"/>
      <c r="AM6732" s="10"/>
      <c r="AN6732" s="10"/>
      <c r="AO6732" s="10"/>
      <c r="AP6732" s="10"/>
      <c r="AQ6732" s="10"/>
      <c r="AR6732" s="10"/>
      <c r="AS6732" s="10"/>
      <c r="AT6732" s="10"/>
      <c r="AU6732" s="10"/>
      <c r="AV6732" s="10"/>
      <c r="AW6732" s="10"/>
      <c r="AX6732" s="10"/>
      <c r="AY6732" s="10"/>
      <c r="AZ6732" s="10"/>
    </row>
    <row r="6733" spans="31:52">
      <c r="AE6733" s="10"/>
      <c r="AF6733" s="10"/>
      <c r="AG6733" s="10"/>
      <c r="AH6733" s="10"/>
      <c r="AI6733" s="10"/>
      <c r="AJ6733" s="10"/>
      <c r="AK6733" s="10"/>
      <c r="AL6733" s="10"/>
      <c r="AM6733" s="10"/>
      <c r="AN6733" s="10"/>
      <c r="AO6733" s="10"/>
      <c r="AP6733" s="10"/>
      <c r="AQ6733" s="10"/>
      <c r="AR6733" s="10"/>
      <c r="AS6733" s="10"/>
      <c r="AT6733" s="10"/>
      <c r="AU6733" s="10"/>
      <c r="AV6733" s="10"/>
      <c r="AW6733" s="10"/>
      <c r="AX6733" s="10"/>
      <c r="AY6733" s="10"/>
      <c r="AZ6733" s="10"/>
    </row>
    <row r="6734" spans="31:52">
      <c r="AE6734" s="10"/>
      <c r="AF6734" s="10"/>
      <c r="AG6734" s="10"/>
      <c r="AH6734" s="10"/>
      <c r="AI6734" s="10"/>
      <c r="AJ6734" s="10"/>
      <c r="AK6734" s="10"/>
      <c r="AL6734" s="10"/>
      <c r="AM6734" s="10"/>
      <c r="AN6734" s="10"/>
      <c r="AO6734" s="10"/>
      <c r="AP6734" s="10"/>
      <c r="AQ6734" s="10"/>
      <c r="AR6734" s="10"/>
      <c r="AS6734" s="10"/>
      <c r="AT6734" s="10"/>
      <c r="AU6734" s="10"/>
      <c r="AV6734" s="10"/>
      <c r="AW6734" s="10"/>
      <c r="AX6734" s="10"/>
      <c r="AY6734" s="10"/>
      <c r="AZ6734" s="10"/>
    </row>
    <row r="6735" spans="31:52">
      <c r="AE6735" s="10"/>
      <c r="AF6735" s="10"/>
      <c r="AG6735" s="10"/>
      <c r="AH6735" s="10"/>
      <c r="AI6735" s="10"/>
      <c r="AJ6735" s="10"/>
      <c r="AK6735" s="10"/>
      <c r="AL6735" s="10"/>
      <c r="AM6735" s="10"/>
      <c r="AN6735" s="10"/>
      <c r="AO6735" s="10"/>
      <c r="AP6735" s="10"/>
      <c r="AQ6735" s="10"/>
      <c r="AR6735" s="10"/>
      <c r="AS6735" s="10"/>
      <c r="AT6735" s="10"/>
      <c r="AU6735" s="10"/>
      <c r="AV6735" s="10"/>
      <c r="AW6735" s="10"/>
      <c r="AX6735" s="10"/>
      <c r="AY6735" s="10"/>
      <c r="AZ6735" s="10"/>
    </row>
    <row r="6736" spans="31:52">
      <c r="AE6736" s="10"/>
      <c r="AF6736" s="10"/>
      <c r="AG6736" s="10"/>
      <c r="AH6736" s="10"/>
      <c r="AI6736" s="10"/>
      <c r="AJ6736" s="10"/>
      <c r="AK6736" s="10"/>
      <c r="AL6736" s="10"/>
      <c r="AM6736" s="10"/>
      <c r="AN6736" s="10"/>
      <c r="AO6736" s="10"/>
      <c r="AP6736" s="10"/>
      <c r="AQ6736" s="10"/>
      <c r="AR6736" s="10"/>
      <c r="AS6736" s="10"/>
      <c r="AT6736" s="10"/>
      <c r="AU6736" s="10"/>
      <c r="AV6736" s="10"/>
      <c r="AW6736" s="10"/>
      <c r="AX6736" s="10"/>
      <c r="AY6736" s="10"/>
      <c r="AZ6736" s="10"/>
    </row>
    <row r="6737" spans="31:52">
      <c r="AE6737" s="10"/>
      <c r="AF6737" s="10"/>
      <c r="AG6737" s="10"/>
      <c r="AH6737" s="10"/>
      <c r="AI6737" s="10"/>
      <c r="AJ6737" s="10"/>
      <c r="AK6737" s="10"/>
      <c r="AL6737" s="10"/>
      <c r="AM6737" s="10"/>
      <c r="AN6737" s="10"/>
      <c r="AO6737" s="10"/>
      <c r="AP6737" s="10"/>
      <c r="AQ6737" s="10"/>
      <c r="AR6737" s="10"/>
      <c r="AS6737" s="10"/>
      <c r="AT6737" s="10"/>
      <c r="AU6737" s="10"/>
      <c r="AV6737" s="10"/>
      <c r="AW6737" s="10"/>
      <c r="AX6737" s="10"/>
      <c r="AY6737" s="10"/>
      <c r="AZ6737" s="10"/>
    </row>
    <row r="6738" spans="31:52">
      <c r="AE6738" s="10"/>
      <c r="AF6738" s="10"/>
      <c r="AG6738" s="10"/>
      <c r="AH6738" s="10"/>
      <c r="AI6738" s="10"/>
      <c r="AJ6738" s="10"/>
      <c r="AK6738" s="10"/>
      <c r="AL6738" s="10"/>
      <c r="AM6738" s="10"/>
      <c r="AN6738" s="10"/>
      <c r="AO6738" s="10"/>
      <c r="AP6738" s="10"/>
      <c r="AQ6738" s="10"/>
      <c r="AR6738" s="10"/>
      <c r="AS6738" s="10"/>
      <c r="AT6738" s="10"/>
      <c r="AU6738" s="10"/>
      <c r="AV6738" s="10"/>
      <c r="AW6738" s="10"/>
      <c r="AX6738" s="10"/>
      <c r="AY6738" s="10"/>
      <c r="AZ6738" s="10"/>
    </row>
    <row r="6739" spans="31:52">
      <c r="AE6739" s="10"/>
      <c r="AF6739" s="10"/>
      <c r="AG6739" s="10"/>
      <c r="AH6739" s="10"/>
      <c r="AI6739" s="10"/>
      <c r="AJ6739" s="10"/>
      <c r="AK6739" s="10"/>
      <c r="AL6739" s="10"/>
      <c r="AM6739" s="10"/>
      <c r="AN6739" s="10"/>
      <c r="AO6739" s="10"/>
      <c r="AP6739" s="10"/>
      <c r="AQ6739" s="10"/>
      <c r="AR6739" s="10"/>
      <c r="AS6739" s="10"/>
      <c r="AT6739" s="10"/>
      <c r="AU6739" s="10"/>
      <c r="AV6739" s="10"/>
      <c r="AW6739" s="10"/>
      <c r="AX6739" s="10"/>
      <c r="AY6739" s="10"/>
      <c r="AZ6739" s="10"/>
    </row>
    <row r="6740" spans="31:52">
      <c r="AE6740" s="10"/>
      <c r="AF6740" s="10"/>
      <c r="AG6740" s="10"/>
      <c r="AH6740" s="10"/>
      <c r="AI6740" s="10"/>
      <c r="AJ6740" s="10"/>
      <c r="AK6740" s="10"/>
      <c r="AL6740" s="10"/>
      <c r="AM6740" s="10"/>
      <c r="AN6740" s="10"/>
      <c r="AO6740" s="10"/>
      <c r="AP6740" s="10"/>
      <c r="AQ6740" s="10"/>
      <c r="AR6740" s="10"/>
      <c r="AS6740" s="10"/>
      <c r="AT6740" s="10"/>
      <c r="AU6740" s="10"/>
      <c r="AV6740" s="10"/>
      <c r="AW6740" s="10"/>
      <c r="AX6740" s="10"/>
      <c r="AY6740" s="10"/>
      <c r="AZ6740" s="10"/>
    </row>
    <row r="6741" spans="31:52">
      <c r="AE6741" s="10"/>
      <c r="AF6741" s="10"/>
      <c r="AG6741" s="10"/>
      <c r="AH6741" s="10"/>
      <c r="AI6741" s="10"/>
      <c r="AJ6741" s="10"/>
      <c r="AK6741" s="10"/>
      <c r="AL6741" s="10"/>
      <c r="AM6741" s="10"/>
      <c r="AN6741" s="10"/>
      <c r="AO6741" s="10"/>
      <c r="AP6741" s="10"/>
      <c r="AQ6741" s="10"/>
      <c r="AR6741" s="10"/>
      <c r="AS6741" s="10"/>
      <c r="AT6741" s="10"/>
      <c r="AU6741" s="10"/>
      <c r="AV6741" s="10"/>
      <c r="AW6741" s="10"/>
      <c r="AX6741" s="10"/>
      <c r="AY6741" s="10"/>
      <c r="AZ6741" s="10"/>
    </row>
    <row r="6742" spans="31:52">
      <c r="AE6742" s="10"/>
      <c r="AF6742" s="10"/>
      <c r="AG6742" s="10"/>
      <c r="AH6742" s="10"/>
      <c r="AI6742" s="10"/>
      <c r="AJ6742" s="10"/>
      <c r="AK6742" s="10"/>
      <c r="AL6742" s="10"/>
      <c r="AM6742" s="10"/>
      <c r="AN6742" s="10"/>
      <c r="AO6742" s="10"/>
      <c r="AP6742" s="10"/>
      <c r="AQ6742" s="10"/>
      <c r="AR6742" s="10"/>
      <c r="AS6742" s="10"/>
      <c r="AT6742" s="10"/>
      <c r="AU6742" s="10"/>
      <c r="AV6742" s="10"/>
      <c r="AW6742" s="10"/>
      <c r="AX6742" s="10"/>
      <c r="AY6742" s="10"/>
      <c r="AZ6742" s="10"/>
    </row>
    <row r="6743" spans="31:52">
      <c r="AE6743" s="10"/>
      <c r="AF6743" s="10"/>
      <c r="AG6743" s="10"/>
      <c r="AH6743" s="10"/>
      <c r="AI6743" s="10"/>
      <c r="AJ6743" s="10"/>
      <c r="AK6743" s="10"/>
      <c r="AL6743" s="10"/>
      <c r="AM6743" s="10"/>
      <c r="AN6743" s="10"/>
      <c r="AO6743" s="10"/>
      <c r="AP6743" s="10"/>
      <c r="AQ6743" s="10"/>
      <c r="AR6743" s="10"/>
      <c r="AS6743" s="10"/>
      <c r="AT6743" s="10"/>
      <c r="AU6743" s="10"/>
      <c r="AV6743" s="10"/>
      <c r="AW6743" s="10"/>
      <c r="AX6743" s="10"/>
      <c r="AY6743" s="10"/>
      <c r="AZ6743" s="10"/>
    </row>
    <row r="6744" spans="31:52">
      <c r="AE6744" s="10"/>
      <c r="AF6744" s="10"/>
      <c r="AG6744" s="10"/>
      <c r="AH6744" s="10"/>
      <c r="AI6744" s="10"/>
      <c r="AJ6744" s="10"/>
      <c r="AK6744" s="10"/>
      <c r="AL6744" s="10"/>
      <c r="AM6744" s="10"/>
      <c r="AN6744" s="10"/>
      <c r="AO6744" s="10"/>
      <c r="AP6744" s="10"/>
      <c r="AQ6744" s="10"/>
      <c r="AR6744" s="10"/>
      <c r="AS6744" s="10"/>
      <c r="AT6744" s="10"/>
      <c r="AU6744" s="10"/>
      <c r="AV6744" s="10"/>
      <c r="AW6744" s="10"/>
      <c r="AX6744" s="10"/>
      <c r="AY6744" s="10"/>
      <c r="AZ6744" s="10"/>
    </row>
    <row r="6745" spans="31:52">
      <c r="AE6745" s="10"/>
      <c r="AF6745" s="10"/>
      <c r="AG6745" s="10"/>
      <c r="AH6745" s="10"/>
      <c r="AI6745" s="10"/>
      <c r="AJ6745" s="10"/>
      <c r="AK6745" s="10"/>
      <c r="AL6745" s="10"/>
      <c r="AM6745" s="10"/>
      <c r="AN6745" s="10"/>
      <c r="AO6745" s="10"/>
      <c r="AP6745" s="10"/>
      <c r="AQ6745" s="10"/>
      <c r="AR6745" s="10"/>
      <c r="AS6745" s="10"/>
      <c r="AT6745" s="10"/>
      <c r="AU6745" s="10"/>
      <c r="AV6745" s="10"/>
      <c r="AW6745" s="10"/>
      <c r="AX6745" s="10"/>
      <c r="AY6745" s="10"/>
      <c r="AZ6745" s="10"/>
    </row>
    <row r="6746" spans="31:52">
      <c r="AE6746" s="10"/>
      <c r="AF6746" s="10"/>
      <c r="AG6746" s="10"/>
      <c r="AH6746" s="10"/>
      <c r="AI6746" s="10"/>
      <c r="AJ6746" s="10"/>
      <c r="AK6746" s="10"/>
      <c r="AL6746" s="10"/>
      <c r="AM6746" s="10"/>
      <c r="AN6746" s="10"/>
      <c r="AO6746" s="10"/>
      <c r="AP6746" s="10"/>
      <c r="AQ6746" s="10"/>
      <c r="AR6746" s="10"/>
      <c r="AS6746" s="10"/>
      <c r="AT6746" s="10"/>
      <c r="AU6746" s="10"/>
      <c r="AV6746" s="10"/>
      <c r="AW6746" s="10"/>
      <c r="AX6746" s="10"/>
      <c r="AY6746" s="10"/>
      <c r="AZ6746" s="10"/>
    </row>
    <row r="6747" spans="31:52">
      <c r="AE6747" s="10"/>
      <c r="AF6747" s="10"/>
      <c r="AG6747" s="10"/>
      <c r="AH6747" s="10"/>
      <c r="AI6747" s="10"/>
      <c r="AJ6747" s="10"/>
      <c r="AK6747" s="10"/>
      <c r="AL6747" s="10"/>
      <c r="AM6747" s="10"/>
      <c r="AN6747" s="10"/>
      <c r="AO6747" s="10"/>
      <c r="AP6747" s="10"/>
      <c r="AQ6747" s="10"/>
      <c r="AR6747" s="10"/>
      <c r="AS6747" s="10"/>
      <c r="AT6747" s="10"/>
      <c r="AU6747" s="10"/>
      <c r="AV6747" s="10"/>
      <c r="AW6747" s="10"/>
      <c r="AX6747" s="10"/>
      <c r="AY6747" s="10"/>
      <c r="AZ6747" s="10"/>
    </row>
    <row r="6748" spans="31:52">
      <c r="AE6748" s="10"/>
      <c r="AF6748" s="10"/>
      <c r="AG6748" s="10"/>
      <c r="AH6748" s="10"/>
      <c r="AI6748" s="10"/>
      <c r="AJ6748" s="10"/>
      <c r="AK6748" s="10"/>
      <c r="AL6748" s="10"/>
      <c r="AM6748" s="10"/>
      <c r="AN6748" s="10"/>
      <c r="AO6748" s="10"/>
      <c r="AP6748" s="10"/>
      <c r="AQ6748" s="10"/>
      <c r="AR6748" s="10"/>
      <c r="AS6748" s="10"/>
      <c r="AT6748" s="10"/>
      <c r="AU6748" s="10"/>
      <c r="AV6748" s="10"/>
      <c r="AW6748" s="10"/>
      <c r="AX6748" s="10"/>
      <c r="AY6748" s="10"/>
      <c r="AZ6748" s="10"/>
    </row>
    <row r="6749" spans="31:52">
      <c r="AE6749" s="10"/>
      <c r="AF6749" s="10"/>
      <c r="AG6749" s="10"/>
      <c r="AH6749" s="10"/>
      <c r="AI6749" s="10"/>
      <c r="AJ6749" s="10"/>
      <c r="AK6749" s="10"/>
      <c r="AL6749" s="10"/>
      <c r="AM6749" s="10"/>
      <c r="AN6749" s="10"/>
      <c r="AO6749" s="10"/>
      <c r="AP6749" s="10"/>
      <c r="AQ6749" s="10"/>
      <c r="AR6749" s="10"/>
      <c r="AS6749" s="10"/>
      <c r="AT6749" s="10"/>
      <c r="AU6749" s="10"/>
      <c r="AV6749" s="10"/>
      <c r="AW6749" s="10"/>
      <c r="AX6749" s="10"/>
      <c r="AY6749" s="10"/>
      <c r="AZ6749" s="10"/>
    </row>
    <row r="6750" spans="31:52">
      <c r="AE6750" s="10"/>
      <c r="AF6750" s="10"/>
      <c r="AG6750" s="10"/>
      <c r="AH6750" s="10"/>
      <c r="AI6750" s="10"/>
      <c r="AJ6750" s="10"/>
      <c r="AK6750" s="10"/>
      <c r="AL6750" s="10"/>
      <c r="AM6750" s="10"/>
      <c r="AN6750" s="10"/>
      <c r="AO6750" s="10"/>
      <c r="AP6750" s="10"/>
      <c r="AQ6750" s="10"/>
      <c r="AR6750" s="10"/>
      <c r="AS6750" s="10"/>
      <c r="AT6750" s="10"/>
      <c r="AU6750" s="10"/>
      <c r="AV6750" s="10"/>
      <c r="AW6750" s="10"/>
      <c r="AX6750" s="10"/>
      <c r="AY6750" s="10"/>
      <c r="AZ6750" s="10"/>
    </row>
    <row r="6751" spans="31:52">
      <c r="AE6751" s="10"/>
      <c r="AF6751" s="10"/>
      <c r="AG6751" s="10"/>
      <c r="AH6751" s="10"/>
      <c r="AI6751" s="10"/>
      <c r="AJ6751" s="10"/>
      <c r="AK6751" s="10"/>
      <c r="AL6751" s="10"/>
      <c r="AM6751" s="10"/>
      <c r="AN6751" s="10"/>
      <c r="AO6751" s="10"/>
      <c r="AP6751" s="10"/>
      <c r="AQ6751" s="10"/>
      <c r="AR6751" s="10"/>
      <c r="AS6751" s="10"/>
      <c r="AT6751" s="10"/>
      <c r="AU6751" s="10"/>
      <c r="AV6751" s="10"/>
      <c r="AW6751" s="10"/>
      <c r="AX6751" s="10"/>
      <c r="AY6751" s="10"/>
      <c r="AZ6751" s="10"/>
    </row>
    <row r="6752" spans="31:52">
      <c r="AE6752" s="10"/>
      <c r="AF6752" s="10"/>
      <c r="AG6752" s="10"/>
      <c r="AH6752" s="10"/>
      <c r="AI6752" s="10"/>
      <c r="AJ6752" s="10"/>
      <c r="AK6752" s="10"/>
      <c r="AL6752" s="10"/>
      <c r="AM6752" s="10"/>
      <c r="AN6752" s="10"/>
      <c r="AO6752" s="10"/>
      <c r="AP6752" s="10"/>
      <c r="AQ6752" s="10"/>
      <c r="AR6752" s="10"/>
      <c r="AS6752" s="10"/>
      <c r="AT6752" s="10"/>
      <c r="AU6752" s="10"/>
      <c r="AV6752" s="10"/>
      <c r="AW6752" s="10"/>
      <c r="AX6752" s="10"/>
      <c r="AY6752" s="10"/>
      <c r="AZ6752" s="10"/>
    </row>
    <row r="6753" spans="31:52">
      <c r="AE6753" s="10"/>
      <c r="AF6753" s="10"/>
      <c r="AG6753" s="10"/>
      <c r="AH6753" s="10"/>
      <c r="AI6753" s="10"/>
      <c r="AJ6753" s="10"/>
      <c r="AK6753" s="10"/>
      <c r="AL6753" s="10"/>
      <c r="AM6753" s="10"/>
      <c r="AN6753" s="10"/>
      <c r="AO6753" s="10"/>
      <c r="AP6753" s="10"/>
      <c r="AQ6753" s="10"/>
      <c r="AR6753" s="10"/>
      <c r="AS6753" s="10"/>
      <c r="AT6753" s="10"/>
      <c r="AU6753" s="10"/>
      <c r="AV6753" s="10"/>
      <c r="AW6753" s="10"/>
      <c r="AX6753" s="10"/>
      <c r="AY6753" s="10"/>
      <c r="AZ6753" s="10"/>
    </row>
    <row r="6754" spans="31:52">
      <c r="AE6754" s="10"/>
      <c r="AF6754" s="10"/>
      <c r="AG6754" s="10"/>
      <c r="AH6754" s="10"/>
      <c r="AI6754" s="10"/>
      <c r="AJ6754" s="10"/>
      <c r="AK6754" s="10"/>
      <c r="AL6754" s="10"/>
      <c r="AM6754" s="10"/>
      <c r="AN6754" s="10"/>
      <c r="AO6754" s="10"/>
      <c r="AP6754" s="10"/>
      <c r="AQ6754" s="10"/>
      <c r="AR6754" s="10"/>
      <c r="AS6754" s="10"/>
      <c r="AT6754" s="10"/>
      <c r="AU6754" s="10"/>
      <c r="AV6754" s="10"/>
      <c r="AW6754" s="10"/>
      <c r="AX6754" s="10"/>
      <c r="AY6754" s="10"/>
      <c r="AZ6754" s="10"/>
    </row>
    <row r="6755" spans="31:52">
      <c r="AE6755" s="10"/>
      <c r="AF6755" s="10"/>
      <c r="AG6755" s="10"/>
      <c r="AH6755" s="10"/>
      <c r="AI6755" s="10"/>
      <c r="AJ6755" s="10"/>
      <c r="AK6755" s="10"/>
      <c r="AL6755" s="10"/>
      <c r="AM6755" s="10"/>
      <c r="AN6755" s="10"/>
      <c r="AO6755" s="10"/>
      <c r="AP6755" s="10"/>
      <c r="AQ6755" s="10"/>
      <c r="AR6755" s="10"/>
      <c r="AS6755" s="10"/>
      <c r="AT6755" s="10"/>
      <c r="AU6755" s="10"/>
      <c r="AV6755" s="10"/>
      <c r="AW6755" s="10"/>
      <c r="AX6755" s="10"/>
      <c r="AY6755" s="10"/>
      <c r="AZ6755" s="10"/>
    </row>
    <row r="6756" spans="31:52">
      <c r="AE6756" s="10"/>
      <c r="AF6756" s="10"/>
      <c r="AG6756" s="10"/>
      <c r="AH6756" s="10"/>
      <c r="AI6756" s="10"/>
      <c r="AJ6756" s="10"/>
      <c r="AK6756" s="10"/>
      <c r="AL6756" s="10"/>
      <c r="AM6756" s="10"/>
      <c r="AN6756" s="10"/>
      <c r="AO6756" s="10"/>
      <c r="AP6756" s="10"/>
      <c r="AQ6756" s="10"/>
      <c r="AR6756" s="10"/>
      <c r="AS6756" s="10"/>
      <c r="AT6756" s="10"/>
      <c r="AU6756" s="10"/>
      <c r="AV6756" s="10"/>
      <c r="AW6756" s="10"/>
      <c r="AX6756" s="10"/>
      <c r="AY6756" s="10"/>
      <c r="AZ6756" s="10"/>
    </row>
    <row r="6757" spans="31:52">
      <c r="AE6757" s="10"/>
      <c r="AF6757" s="10"/>
      <c r="AG6757" s="10"/>
      <c r="AH6757" s="10"/>
      <c r="AI6757" s="10"/>
      <c r="AJ6757" s="10"/>
      <c r="AK6757" s="10"/>
      <c r="AL6757" s="10"/>
      <c r="AM6757" s="10"/>
      <c r="AN6757" s="10"/>
      <c r="AO6757" s="10"/>
      <c r="AP6757" s="10"/>
      <c r="AQ6757" s="10"/>
      <c r="AR6757" s="10"/>
      <c r="AS6757" s="10"/>
      <c r="AT6757" s="10"/>
      <c r="AU6757" s="10"/>
      <c r="AV6757" s="10"/>
      <c r="AW6757" s="10"/>
      <c r="AX6757" s="10"/>
      <c r="AY6757" s="10"/>
      <c r="AZ6757" s="10"/>
    </row>
    <row r="6758" spans="31:52">
      <c r="AE6758" s="10"/>
      <c r="AF6758" s="10"/>
      <c r="AG6758" s="10"/>
      <c r="AH6758" s="10"/>
      <c r="AI6758" s="10"/>
      <c r="AJ6758" s="10"/>
      <c r="AK6758" s="10"/>
      <c r="AL6758" s="10"/>
      <c r="AM6758" s="10"/>
      <c r="AN6758" s="10"/>
      <c r="AO6758" s="10"/>
      <c r="AP6758" s="10"/>
      <c r="AQ6758" s="10"/>
      <c r="AR6758" s="10"/>
      <c r="AS6758" s="10"/>
      <c r="AT6758" s="10"/>
      <c r="AU6758" s="10"/>
      <c r="AV6758" s="10"/>
      <c r="AW6758" s="10"/>
      <c r="AX6758" s="10"/>
      <c r="AY6758" s="10"/>
      <c r="AZ6758" s="10"/>
    </row>
    <row r="6759" spans="31:52">
      <c r="AE6759" s="10"/>
      <c r="AF6759" s="10"/>
      <c r="AG6759" s="10"/>
      <c r="AH6759" s="10"/>
      <c r="AI6759" s="10"/>
      <c r="AJ6759" s="10"/>
      <c r="AK6759" s="10"/>
      <c r="AL6759" s="10"/>
      <c r="AM6759" s="10"/>
      <c r="AN6759" s="10"/>
      <c r="AO6759" s="10"/>
      <c r="AP6759" s="10"/>
      <c r="AQ6759" s="10"/>
      <c r="AR6759" s="10"/>
      <c r="AS6759" s="10"/>
      <c r="AT6759" s="10"/>
      <c r="AU6759" s="10"/>
      <c r="AV6759" s="10"/>
      <c r="AW6759" s="10"/>
      <c r="AX6759" s="10"/>
      <c r="AY6759" s="10"/>
      <c r="AZ6759" s="10"/>
    </row>
    <row r="6760" spans="31:52">
      <c r="AE6760" s="10"/>
      <c r="AF6760" s="10"/>
      <c r="AG6760" s="10"/>
      <c r="AH6760" s="10"/>
      <c r="AI6760" s="10"/>
      <c r="AJ6760" s="10"/>
      <c r="AK6760" s="10"/>
      <c r="AL6760" s="10"/>
      <c r="AM6760" s="10"/>
      <c r="AN6760" s="10"/>
      <c r="AO6760" s="10"/>
      <c r="AP6760" s="10"/>
      <c r="AQ6760" s="10"/>
      <c r="AR6760" s="10"/>
      <c r="AS6760" s="10"/>
      <c r="AT6760" s="10"/>
      <c r="AU6760" s="10"/>
      <c r="AV6760" s="10"/>
      <c r="AW6760" s="10"/>
      <c r="AX6760" s="10"/>
      <c r="AY6760" s="10"/>
      <c r="AZ6760" s="10"/>
    </row>
    <row r="6761" spans="31:52">
      <c r="AE6761" s="10"/>
      <c r="AF6761" s="10"/>
      <c r="AG6761" s="10"/>
      <c r="AH6761" s="10"/>
      <c r="AI6761" s="10"/>
      <c r="AJ6761" s="10"/>
      <c r="AK6761" s="10"/>
      <c r="AL6761" s="10"/>
      <c r="AM6761" s="10"/>
      <c r="AN6761" s="10"/>
      <c r="AO6761" s="10"/>
      <c r="AP6761" s="10"/>
      <c r="AQ6761" s="10"/>
      <c r="AR6761" s="10"/>
      <c r="AS6761" s="10"/>
      <c r="AT6761" s="10"/>
      <c r="AU6761" s="10"/>
      <c r="AV6761" s="10"/>
      <c r="AW6761" s="10"/>
      <c r="AX6761" s="10"/>
      <c r="AY6761" s="10"/>
      <c r="AZ6761" s="10"/>
    </row>
    <row r="6762" spans="31:52">
      <c r="AE6762" s="10"/>
      <c r="AF6762" s="10"/>
      <c r="AG6762" s="10"/>
      <c r="AH6762" s="10"/>
      <c r="AI6762" s="10"/>
      <c r="AJ6762" s="10"/>
      <c r="AK6762" s="10"/>
      <c r="AL6762" s="10"/>
      <c r="AM6762" s="10"/>
      <c r="AN6762" s="10"/>
      <c r="AO6762" s="10"/>
      <c r="AP6762" s="10"/>
      <c r="AQ6762" s="10"/>
      <c r="AR6762" s="10"/>
      <c r="AS6762" s="10"/>
      <c r="AT6762" s="10"/>
      <c r="AU6762" s="10"/>
      <c r="AV6762" s="10"/>
      <c r="AW6762" s="10"/>
      <c r="AX6762" s="10"/>
      <c r="AY6762" s="10"/>
      <c r="AZ6762" s="10"/>
    </row>
    <row r="6763" spans="31:52">
      <c r="AE6763" s="10"/>
      <c r="AF6763" s="10"/>
      <c r="AG6763" s="10"/>
      <c r="AH6763" s="10"/>
      <c r="AI6763" s="10"/>
      <c r="AJ6763" s="10"/>
      <c r="AK6763" s="10"/>
      <c r="AL6763" s="10"/>
      <c r="AM6763" s="10"/>
      <c r="AN6763" s="10"/>
      <c r="AO6763" s="10"/>
      <c r="AP6763" s="10"/>
      <c r="AQ6763" s="10"/>
      <c r="AR6763" s="10"/>
      <c r="AS6763" s="10"/>
      <c r="AT6763" s="10"/>
      <c r="AU6763" s="10"/>
      <c r="AV6763" s="10"/>
      <c r="AW6763" s="10"/>
      <c r="AX6763" s="10"/>
      <c r="AY6763" s="10"/>
      <c r="AZ6763" s="10"/>
    </row>
    <row r="6764" spans="31:52">
      <c r="AE6764" s="10"/>
      <c r="AF6764" s="10"/>
      <c r="AG6764" s="10"/>
      <c r="AH6764" s="10"/>
      <c r="AI6764" s="10"/>
      <c r="AJ6764" s="10"/>
      <c r="AK6764" s="10"/>
      <c r="AL6764" s="10"/>
      <c r="AM6764" s="10"/>
      <c r="AN6764" s="10"/>
      <c r="AO6764" s="10"/>
      <c r="AP6764" s="10"/>
      <c r="AQ6764" s="10"/>
      <c r="AR6764" s="10"/>
      <c r="AS6764" s="10"/>
      <c r="AT6764" s="10"/>
      <c r="AU6764" s="10"/>
      <c r="AV6764" s="10"/>
      <c r="AW6764" s="10"/>
      <c r="AX6764" s="10"/>
      <c r="AY6764" s="10"/>
      <c r="AZ6764" s="10"/>
    </row>
    <row r="6765" spans="31:52">
      <c r="AE6765" s="10"/>
      <c r="AF6765" s="10"/>
      <c r="AG6765" s="10"/>
      <c r="AH6765" s="10"/>
      <c r="AI6765" s="10"/>
      <c r="AJ6765" s="10"/>
      <c r="AK6765" s="10"/>
      <c r="AL6765" s="10"/>
      <c r="AM6765" s="10"/>
      <c r="AN6765" s="10"/>
      <c r="AO6765" s="10"/>
      <c r="AP6765" s="10"/>
      <c r="AQ6765" s="10"/>
      <c r="AR6765" s="10"/>
      <c r="AS6765" s="10"/>
      <c r="AT6765" s="10"/>
      <c r="AU6765" s="10"/>
      <c r="AV6765" s="10"/>
      <c r="AW6765" s="10"/>
      <c r="AX6765" s="10"/>
      <c r="AY6765" s="10"/>
      <c r="AZ6765" s="10"/>
    </row>
    <row r="6766" spans="31:52">
      <c r="AE6766" s="10"/>
      <c r="AF6766" s="10"/>
      <c r="AG6766" s="10"/>
      <c r="AH6766" s="10"/>
      <c r="AI6766" s="10"/>
      <c r="AJ6766" s="10"/>
      <c r="AK6766" s="10"/>
      <c r="AL6766" s="10"/>
      <c r="AM6766" s="10"/>
      <c r="AN6766" s="10"/>
      <c r="AO6766" s="10"/>
      <c r="AP6766" s="10"/>
      <c r="AQ6766" s="10"/>
      <c r="AR6766" s="10"/>
      <c r="AS6766" s="10"/>
      <c r="AT6766" s="10"/>
      <c r="AU6766" s="10"/>
      <c r="AV6766" s="10"/>
      <c r="AW6766" s="10"/>
      <c r="AX6766" s="10"/>
      <c r="AY6766" s="10"/>
      <c r="AZ6766" s="10"/>
    </row>
    <row r="6767" spans="31:52">
      <c r="AE6767" s="10"/>
      <c r="AF6767" s="10"/>
      <c r="AG6767" s="10"/>
      <c r="AH6767" s="10"/>
      <c r="AI6767" s="10"/>
      <c r="AJ6767" s="10"/>
      <c r="AK6767" s="10"/>
      <c r="AL6767" s="10"/>
      <c r="AM6767" s="10"/>
      <c r="AN6767" s="10"/>
      <c r="AO6767" s="10"/>
      <c r="AP6767" s="10"/>
      <c r="AQ6767" s="10"/>
      <c r="AR6767" s="10"/>
      <c r="AS6767" s="10"/>
      <c r="AT6767" s="10"/>
      <c r="AU6767" s="10"/>
      <c r="AV6767" s="10"/>
      <c r="AW6767" s="10"/>
      <c r="AX6767" s="10"/>
      <c r="AY6767" s="10"/>
      <c r="AZ6767" s="10"/>
    </row>
    <row r="6768" spans="31:52">
      <c r="AE6768" s="10"/>
      <c r="AF6768" s="10"/>
      <c r="AG6768" s="10"/>
      <c r="AH6768" s="10"/>
      <c r="AI6768" s="10"/>
      <c r="AJ6768" s="10"/>
      <c r="AK6768" s="10"/>
      <c r="AL6768" s="10"/>
      <c r="AM6768" s="10"/>
      <c r="AN6768" s="10"/>
      <c r="AO6768" s="10"/>
      <c r="AP6768" s="10"/>
      <c r="AQ6768" s="10"/>
      <c r="AR6768" s="10"/>
      <c r="AS6768" s="10"/>
      <c r="AT6768" s="10"/>
      <c r="AU6768" s="10"/>
      <c r="AV6768" s="10"/>
      <c r="AW6768" s="10"/>
      <c r="AX6768" s="10"/>
      <c r="AY6768" s="10"/>
      <c r="AZ6768" s="10"/>
    </row>
    <row r="6769" spans="31:52">
      <c r="AE6769" s="10"/>
      <c r="AF6769" s="10"/>
      <c r="AG6769" s="10"/>
      <c r="AH6769" s="10"/>
      <c r="AI6769" s="10"/>
      <c r="AJ6769" s="10"/>
      <c r="AK6769" s="10"/>
      <c r="AL6769" s="10"/>
      <c r="AM6769" s="10"/>
      <c r="AN6769" s="10"/>
      <c r="AO6769" s="10"/>
      <c r="AP6769" s="10"/>
      <c r="AQ6769" s="10"/>
      <c r="AR6769" s="10"/>
      <c r="AS6769" s="10"/>
      <c r="AT6769" s="10"/>
      <c r="AU6769" s="10"/>
      <c r="AV6769" s="10"/>
      <c r="AW6769" s="10"/>
      <c r="AX6769" s="10"/>
      <c r="AY6769" s="10"/>
      <c r="AZ6769" s="10"/>
    </row>
    <row r="6770" spans="31:52">
      <c r="AE6770" s="10"/>
      <c r="AF6770" s="10"/>
      <c r="AG6770" s="10"/>
      <c r="AH6770" s="10"/>
      <c r="AI6770" s="10"/>
      <c r="AJ6770" s="10"/>
      <c r="AK6770" s="10"/>
      <c r="AL6770" s="10"/>
      <c r="AM6770" s="10"/>
      <c r="AN6770" s="10"/>
      <c r="AO6770" s="10"/>
      <c r="AP6770" s="10"/>
      <c r="AQ6770" s="10"/>
      <c r="AR6770" s="10"/>
      <c r="AS6770" s="10"/>
      <c r="AT6770" s="10"/>
      <c r="AU6770" s="10"/>
      <c r="AV6770" s="10"/>
      <c r="AW6770" s="10"/>
      <c r="AX6770" s="10"/>
      <c r="AY6770" s="10"/>
      <c r="AZ6770" s="10"/>
    </row>
    <row r="6771" spans="31:52">
      <c r="AE6771" s="10"/>
      <c r="AF6771" s="10"/>
      <c r="AG6771" s="10"/>
      <c r="AH6771" s="10"/>
      <c r="AI6771" s="10"/>
      <c r="AJ6771" s="10"/>
      <c r="AK6771" s="10"/>
      <c r="AL6771" s="10"/>
      <c r="AM6771" s="10"/>
      <c r="AN6771" s="10"/>
      <c r="AO6771" s="10"/>
      <c r="AP6771" s="10"/>
      <c r="AQ6771" s="10"/>
      <c r="AR6771" s="10"/>
      <c r="AS6771" s="10"/>
      <c r="AT6771" s="10"/>
      <c r="AU6771" s="10"/>
      <c r="AV6771" s="10"/>
      <c r="AW6771" s="10"/>
      <c r="AX6771" s="10"/>
      <c r="AY6771" s="10"/>
      <c r="AZ6771" s="10"/>
    </row>
    <row r="6772" spans="31:52">
      <c r="AE6772" s="10"/>
      <c r="AF6772" s="10"/>
      <c r="AG6772" s="10"/>
      <c r="AH6772" s="10"/>
      <c r="AI6772" s="10"/>
      <c r="AJ6772" s="10"/>
      <c r="AK6772" s="10"/>
      <c r="AL6772" s="10"/>
      <c r="AM6772" s="10"/>
      <c r="AN6772" s="10"/>
      <c r="AO6772" s="10"/>
      <c r="AP6772" s="10"/>
      <c r="AQ6772" s="10"/>
      <c r="AR6772" s="10"/>
      <c r="AS6772" s="10"/>
      <c r="AT6772" s="10"/>
      <c r="AU6772" s="10"/>
      <c r="AV6772" s="10"/>
      <c r="AW6772" s="10"/>
      <c r="AX6772" s="10"/>
      <c r="AY6772" s="10"/>
      <c r="AZ6772" s="10"/>
    </row>
    <row r="6773" spans="31:52">
      <c r="AE6773" s="10"/>
      <c r="AF6773" s="10"/>
      <c r="AG6773" s="10"/>
      <c r="AH6773" s="10"/>
      <c r="AI6773" s="10"/>
      <c r="AJ6773" s="10"/>
      <c r="AK6773" s="10"/>
      <c r="AL6773" s="10"/>
      <c r="AM6773" s="10"/>
      <c r="AN6773" s="10"/>
      <c r="AO6773" s="10"/>
      <c r="AP6773" s="10"/>
      <c r="AQ6773" s="10"/>
      <c r="AR6773" s="10"/>
      <c r="AS6773" s="10"/>
      <c r="AT6773" s="10"/>
      <c r="AU6773" s="10"/>
      <c r="AV6773" s="10"/>
      <c r="AW6773" s="10"/>
      <c r="AX6773" s="10"/>
      <c r="AY6773" s="10"/>
      <c r="AZ6773" s="10"/>
    </row>
    <row r="6774" spans="31:52">
      <c r="AE6774" s="10"/>
      <c r="AF6774" s="10"/>
      <c r="AG6774" s="10"/>
      <c r="AH6774" s="10"/>
      <c r="AI6774" s="10"/>
      <c r="AJ6774" s="10"/>
      <c r="AK6774" s="10"/>
      <c r="AL6774" s="10"/>
      <c r="AM6774" s="10"/>
      <c r="AN6774" s="10"/>
      <c r="AO6774" s="10"/>
      <c r="AP6774" s="10"/>
      <c r="AQ6774" s="10"/>
      <c r="AR6774" s="10"/>
      <c r="AS6774" s="10"/>
      <c r="AT6774" s="10"/>
      <c r="AU6774" s="10"/>
      <c r="AV6774" s="10"/>
      <c r="AW6774" s="10"/>
      <c r="AX6774" s="10"/>
      <c r="AY6774" s="10"/>
      <c r="AZ6774" s="10"/>
    </row>
    <row r="6775" spans="31:52">
      <c r="AE6775" s="10"/>
      <c r="AF6775" s="10"/>
      <c r="AG6775" s="10"/>
      <c r="AH6775" s="10"/>
      <c r="AI6775" s="10"/>
      <c r="AJ6775" s="10"/>
      <c r="AK6775" s="10"/>
      <c r="AL6775" s="10"/>
      <c r="AM6775" s="10"/>
      <c r="AN6775" s="10"/>
      <c r="AO6775" s="10"/>
      <c r="AP6775" s="10"/>
      <c r="AQ6775" s="10"/>
      <c r="AR6775" s="10"/>
      <c r="AS6775" s="10"/>
      <c r="AT6775" s="10"/>
      <c r="AU6775" s="10"/>
      <c r="AV6775" s="10"/>
      <c r="AW6775" s="10"/>
      <c r="AX6775" s="10"/>
      <c r="AY6775" s="10"/>
      <c r="AZ6775" s="10"/>
    </row>
    <row r="6776" spans="31:52">
      <c r="AE6776" s="10"/>
      <c r="AF6776" s="10"/>
      <c r="AG6776" s="10"/>
      <c r="AH6776" s="10"/>
      <c r="AI6776" s="10"/>
      <c r="AJ6776" s="10"/>
      <c r="AK6776" s="10"/>
      <c r="AL6776" s="10"/>
      <c r="AM6776" s="10"/>
      <c r="AN6776" s="10"/>
      <c r="AO6776" s="10"/>
      <c r="AP6776" s="10"/>
      <c r="AQ6776" s="10"/>
      <c r="AR6776" s="10"/>
      <c r="AS6776" s="10"/>
      <c r="AT6776" s="10"/>
      <c r="AU6776" s="10"/>
      <c r="AV6776" s="10"/>
      <c r="AW6776" s="10"/>
      <c r="AX6776" s="10"/>
      <c r="AY6776" s="10"/>
      <c r="AZ6776" s="10"/>
    </row>
    <row r="6777" spans="31:52">
      <c r="AE6777" s="10"/>
      <c r="AF6777" s="10"/>
      <c r="AG6777" s="10"/>
      <c r="AH6777" s="10"/>
      <c r="AI6777" s="10"/>
      <c r="AJ6777" s="10"/>
      <c r="AK6777" s="10"/>
      <c r="AL6777" s="10"/>
      <c r="AM6777" s="10"/>
      <c r="AN6777" s="10"/>
      <c r="AO6777" s="10"/>
      <c r="AP6777" s="10"/>
      <c r="AQ6777" s="10"/>
      <c r="AR6777" s="10"/>
      <c r="AS6777" s="10"/>
      <c r="AT6777" s="10"/>
      <c r="AU6777" s="10"/>
      <c r="AV6777" s="10"/>
      <c r="AW6777" s="10"/>
      <c r="AX6777" s="10"/>
      <c r="AY6777" s="10"/>
      <c r="AZ6777" s="10"/>
    </row>
    <row r="6778" spans="31:52">
      <c r="AE6778" s="10"/>
      <c r="AF6778" s="10"/>
      <c r="AG6778" s="10"/>
      <c r="AH6778" s="10"/>
      <c r="AI6778" s="10"/>
      <c r="AJ6778" s="10"/>
      <c r="AK6778" s="10"/>
      <c r="AL6778" s="10"/>
      <c r="AM6778" s="10"/>
      <c r="AN6778" s="10"/>
      <c r="AO6778" s="10"/>
      <c r="AP6778" s="10"/>
      <c r="AQ6778" s="10"/>
      <c r="AR6778" s="10"/>
      <c r="AS6778" s="10"/>
      <c r="AT6778" s="10"/>
      <c r="AU6778" s="10"/>
      <c r="AV6778" s="10"/>
      <c r="AW6778" s="10"/>
      <c r="AX6778" s="10"/>
      <c r="AY6778" s="10"/>
      <c r="AZ6778" s="10"/>
    </row>
    <row r="6779" spans="31:52">
      <c r="AE6779" s="10"/>
      <c r="AF6779" s="10"/>
      <c r="AG6779" s="10"/>
      <c r="AH6779" s="10"/>
      <c r="AI6779" s="10"/>
      <c r="AJ6779" s="10"/>
      <c r="AK6779" s="10"/>
      <c r="AL6779" s="10"/>
      <c r="AM6779" s="10"/>
      <c r="AN6779" s="10"/>
      <c r="AO6779" s="10"/>
      <c r="AP6779" s="10"/>
      <c r="AQ6779" s="10"/>
      <c r="AR6779" s="10"/>
      <c r="AS6779" s="10"/>
      <c r="AT6779" s="10"/>
      <c r="AU6779" s="10"/>
      <c r="AV6779" s="10"/>
      <c r="AW6779" s="10"/>
      <c r="AX6779" s="10"/>
      <c r="AY6779" s="10"/>
      <c r="AZ6779" s="10"/>
    </row>
    <row r="6780" spans="31:52">
      <c r="AE6780" s="10"/>
      <c r="AF6780" s="10"/>
      <c r="AG6780" s="10"/>
      <c r="AH6780" s="10"/>
      <c r="AI6780" s="10"/>
      <c r="AJ6780" s="10"/>
      <c r="AK6780" s="10"/>
      <c r="AL6780" s="10"/>
      <c r="AM6780" s="10"/>
      <c r="AN6780" s="10"/>
      <c r="AO6780" s="10"/>
      <c r="AP6780" s="10"/>
      <c r="AQ6780" s="10"/>
      <c r="AR6780" s="10"/>
      <c r="AS6780" s="10"/>
      <c r="AT6780" s="10"/>
      <c r="AU6780" s="10"/>
      <c r="AV6780" s="10"/>
      <c r="AW6780" s="10"/>
      <c r="AX6780" s="10"/>
      <c r="AY6780" s="10"/>
      <c r="AZ6780" s="10"/>
    </row>
    <row r="6781" spans="31:52">
      <c r="AE6781" s="10"/>
      <c r="AF6781" s="10"/>
      <c r="AG6781" s="10"/>
      <c r="AH6781" s="10"/>
      <c r="AI6781" s="10"/>
      <c r="AJ6781" s="10"/>
      <c r="AK6781" s="10"/>
      <c r="AL6781" s="10"/>
      <c r="AM6781" s="10"/>
      <c r="AN6781" s="10"/>
      <c r="AO6781" s="10"/>
      <c r="AP6781" s="10"/>
      <c r="AQ6781" s="10"/>
      <c r="AR6781" s="10"/>
      <c r="AS6781" s="10"/>
      <c r="AT6781" s="10"/>
      <c r="AU6781" s="10"/>
      <c r="AV6781" s="10"/>
      <c r="AW6781" s="10"/>
      <c r="AX6781" s="10"/>
      <c r="AY6781" s="10"/>
      <c r="AZ6781" s="10"/>
    </row>
    <row r="6782" spans="31:52">
      <c r="AE6782" s="10"/>
      <c r="AF6782" s="10"/>
      <c r="AG6782" s="10"/>
      <c r="AH6782" s="10"/>
      <c r="AI6782" s="10"/>
      <c r="AJ6782" s="10"/>
      <c r="AK6782" s="10"/>
      <c r="AL6782" s="10"/>
      <c r="AM6782" s="10"/>
      <c r="AN6782" s="10"/>
      <c r="AO6782" s="10"/>
      <c r="AP6782" s="10"/>
      <c r="AQ6782" s="10"/>
      <c r="AR6782" s="10"/>
      <c r="AS6782" s="10"/>
      <c r="AT6782" s="10"/>
      <c r="AU6782" s="10"/>
      <c r="AV6782" s="10"/>
      <c r="AW6782" s="10"/>
      <c r="AX6782" s="10"/>
      <c r="AY6782" s="10"/>
      <c r="AZ6782" s="10"/>
    </row>
    <row r="6783" spans="31:52">
      <c r="AE6783" s="10"/>
      <c r="AF6783" s="10"/>
      <c r="AG6783" s="10"/>
      <c r="AH6783" s="10"/>
      <c r="AI6783" s="10"/>
      <c r="AJ6783" s="10"/>
      <c r="AK6783" s="10"/>
      <c r="AL6783" s="10"/>
      <c r="AM6783" s="10"/>
      <c r="AN6783" s="10"/>
      <c r="AO6783" s="10"/>
      <c r="AP6783" s="10"/>
      <c r="AQ6783" s="10"/>
      <c r="AR6783" s="10"/>
      <c r="AS6783" s="10"/>
      <c r="AT6783" s="10"/>
      <c r="AU6783" s="10"/>
      <c r="AV6783" s="10"/>
      <c r="AW6783" s="10"/>
      <c r="AX6783" s="10"/>
      <c r="AY6783" s="10"/>
      <c r="AZ6783" s="10"/>
    </row>
    <row r="6784" spans="31:52">
      <c r="AE6784" s="10"/>
      <c r="AF6784" s="10"/>
      <c r="AG6784" s="10"/>
      <c r="AH6784" s="10"/>
      <c r="AI6784" s="10"/>
      <c r="AJ6784" s="10"/>
      <c r="AK6784" s="10"/>
      <c r="AL6784" s="10"/>
      <c r="AM6784" s="10"/>
      <c r="AN6784" s="10"/>
      <c r="AO6784" s="10"/>
      <c r="AP6784" s="10"/>
      <c r="AQ6784" s="10"/>
      <c r="AR6784" s="10"/>
      <c r="AS6784" s="10"/>
      <c r="AT6784" s="10"/>
      <c r="AU6784" s="10"/>
      <c r="AV6784" s="10"/>
      <c r="AW6784" s="10"/>
      <c r="AX6784" s="10"/>
      <c r="AY6784" s="10"/>
      <c r="AZ6784" s="10"/>
    </row>
    <row r="6785" spans="31:52">
      <c r="AE6785" s="10"/>
      <c r="AF6785" s="10"/>
      <c r="AG6785" s="10"/>
      <c r="AH6785" s="10"/>
      <c r="AI6785" s="10"/>
      <c r="AJ6785" s="10"/>
      <c r="AK6785" s="10"/>
      <c r="AL6785" s="10"/>
      <c r="AM6785" s="10"/>
      <c r="AN6785" s="10"/>
      <c r="AO6785" s="10"/>
      <c r="AP6785" s="10"/>
      <c r="AQ6785" s="10"/>
      <c r="AR6785" s="10"/>
      <c r="AS6785" s="10"/>
      <c r="AT6785" s="10"/>
      <c r="AU6785" s="10"/>
      <c r="AV6785" s="10"/>
      <c r="AW6785" s="10"/>
      <c r="AX6785" s="10"/>
      <c r="AY6785" s="10"/>
      <c r="AZ6785" s="10"/>
    </row>
    <row r="6786" spans="31:52">
      <c r="AE6786" s="10"/>
      <c r="AF6786" s="10"/>
      <c r="AG6786" s="10"/>
      <c r="AH6786" s="10"/>
      <c r="AI6786" s="10"/>
      <c r="AJ6786" s="10"/>
      <c r="AK6786" s="10"/>
      <c r="AL6786" s="10"/>
      <c r="AM6786" s="10"/>
      <c r="AN6786" s="10"/>
      <c r="AO6786" s="10"/>
      <c r="AP6786" s="10"/>
      <c r="AQ6786" s="10"/>
      <c r="AR6786" s="10"/>
      <c r="AS6786" s="10"/>
      <c r="AT6786" s="10"/>
      <c r="AU6786" s="10"/>
      <c r="AV6786" s="10"/>
      <c r="AW6786" s="10"/>
      <c r="AX6786" s="10"/>
      <c r="AY6786" s="10"/>
      <c r="AZ6786" s="10"/>
    </row>
    <row r="6787" spans="31:52">
      <c r="AE6787" s="10"/>
      <c r="AF6787" s="10"/>
      <c r="AG6787" s="10"/>
      <c r="AH6787" s="10"/>
      <c r="AI6787" s="10"/>
      <c r="AJ6787" s="10"/>
      <c r="AK6787" s="10"/>
      <c r="AL6787" s="10"/>
      <c r="AM6787" s="10"/>
      <c r="AN6787" s="10"/>
      <c r="AO6787" s="10"/>
      <c r="AP6787" s="10"/>
      <c r="AQ6787" s="10"/>
      <c r="AR6787" s="10"/>
      <c r="AS6787" s="10"/>
      <c r="AT6787" s="10"/>
      <c r="AU6787" s="10"/>
      <c r="AV6787" s="10"/>
      <c r="AW6787" s="10"/>
      <c r="AX6787" s="10"/>
      <c r="AY6787" s="10"/>
      <c r="AZ6787" s="10"/>
    </row>
    <row r="6788" spans="31:52">
      <c r="AE6788" s="10"/>
      <c r="AF6788" s="10"/>
      <c r="AG6788" s="10"/>
      <c r="AH6788" s="10"/>
      <c r="AI6788" s="10"/>
      <c r="AJ6788" s="10"/>
      <c r="AK6788" s="10"/>
      <c r="AL6788" s="10"/>
      <c r="AM6788" s="10"/>
      <c r="AN6788" s="10"/>
      <c r="AO6788" s="10"/>
      <c r="AP6788" s="10"/>
      <c r="AQ6788" s="10"/>
      <c r="AR6788" s="10"/>
      <c r="AS6788" s="10"/>
      <c r="AT6788" s="10"/>
      <c r="AU6788" s="10"/>
      <c r="AV6788" s="10"/>
      <c r="AW6788" s="10"/>
      <c r="AX6788" s="10"/>
      <c r="AY6788" s="10"/>
      <c r="AZ6788" s="10"/>
    </row>
    <row r="6789" spans="31:52">
      <c r="AE6789" s="10"/>
      <c r="AF6789" s="10"/>
      <c r="AG6789" s="10"/>
      <c r="AH6789" s="10"/>
      <c r="AI6789" s="10"/>
      <c r="AJ6789" s="10"/>
      <c r="AK6789" s="10"/>
      <c r="AL6789" s="10"/>
      <c r="AM6789" s="10"/>
      <c r="AN6789" s="10"/>
      <c r="AO6789" s="10"/>
      <c r="AP6789" s="10"/>
      <c r="AQ6789" s="10"/>
      <c r="AR6789" s="10"/>
      <c r="AS6789" s="10"/>
      <c r="AT6789" s="10"/>
      <c r="AU6789" s="10"/>
      <c r="AV6789" s="10"/>
      <c r="AW6789" s="10"/>
      <c r="AX6789" s="10"/>
      <c r="AY6789" s="10"/>
      <c r="AZ6789" s="10"/>
    </row>
    <row r="6790" spans="31:52">
      <c r="AE6790" s="10"/>
      <c r="AF6790" s="10"/>
      <c r="AG6790" s="10"/>
      <c r="AH6790" s="10"/>
      <c r="AI6790" s="10"/>
      <c r="AJ6790" s="10"/>
      <c r="AK6790" s="10"/>
      <c r="AL6790" s="10"/>
      <c r="AM6790" s="10"/>
      <c r="AN6790" s="10"/>
      <c r="AO6790" s="10"/>
      <c r="AP6790" s="10"/>
      <c r="AQ6790" s="10"/>
      <c r="AR6790" s="10"/>
      <c r="AS6790" s="10"/>
      <c r="AT6790" s="10"/>
      <c r="AU6790" s="10"/>
      <c r="AV6790" s="10"/>
      <c r="AW6790" s="10"/>
      <c r="AX6790" s="10"/>
      <c r="AY6790" s="10"/>
      <c r="AZ6790" s="10"/>
    </row>
    <row r="6791" spans="31:52">
      <c r="AE6791" s="10"/>
      <c r="AF6791" s="10"/>
      <c r="AG6791" s="10"/>
      <c r="AH6791" s="10"/>
      <c r="AI6791" s="10"/>
      <c r="AJ6791" s="10"/>
      <c r="AK6791" s="10"/>
      <c r="AL6791" s="10"/>
      <c r="AM6791" s="10"/>
      <c r="AN6791" s="10"/>
      <c r="AO6791" s="10"/>
      <c r="AP6791" s="10"/>
      <c r="AQ6791" s="10"/>
      <c r="AR6791" s="10"/>
      <c r="AS6791" s="10"/>
      <c r="AT6791" s="10"/>
      <c r="AU6791" s="10"/>
      <c r="AV6791" s="10"/>
      <c r="AW6791" s="10"/>
      <c r="AX6791" s="10"/>
      <c r="AY6791" s="10"/>
      <c r="AZ6791" s="10"/>
    </row>
    <row r="6792" spans="31:52">
      <c r="AE6792" s="10"/>
      <c r="AF6792" s="10"/>
      <c r="AG6792" s="10"/>
      <c r="AH6792" s="10"/>
      <c r="AI6792" s="10"/>
      <c r="AJ6792" s="10"/>
      <c r="AK6792" s="10"/>
      <c r="AL6792" s="10"/>
      <c r="AM6792" s="10"/>
      <c r="AN6792" s="10"/>
      <c r="AO6792" s="10"/>
      <c r="AP6792" s="10"/>
      <c r="AQ6792" s="10"/>
      <c r="AR6792" s="10"/>
      <c r="AS6792" s="10"/>
      <c r="AT6792" s="10"/>
      <c r="AU6792" s="10"/>
      <c r="AV6792" s="10"/>
      <c r="AW6792" s="10"/>
      <c r="AX6792" s="10"/>
      <c r="AY6792" s="10"/>
      <c r="AZ6792" s="10"/>
    </row>
    <row r="6793" spans="31:52">
      <c r="AE6793" s="10"/>
      <c r="AF6793" s="10"/>
      <c r="AG6793" s="10"/>
      <c r="AH6793" s="10"/>
      <c r="AI6793" s="10"/>
      <c r="AJ6793" s="10"/>
      <c r="AK6793" s="10"/>
      <c r="AL6793" s="10"/>
      <c r="AM6793" s="10"/>
      <c r="AN6793" s="10"/>
      <c r="AO6793" s="10"/>
      <c r="AP6793" s="10"/>
      <c r="AQ6793" s="10"/>
      <c r="AR6793" s="10"/>
      <c r="AS6793" s="10"/>
      <c r="AT6793" s="10"/>
      <c r="AU6793" s="10"/>
      <c r="AV6793" s="10"/>
      <c r="AW6793" s="10"/>
      <c r="AX6793" s="10"/>
      <c r="AY6793" s="10"/>
      <c r="AZ6793" s="10"/>
    </row>
    <row r="6794" spans="31:52">
      <c r="AE6794" s="10"/>
      <c r="AF6794" s="10"/>
      <c r="AG6794" s="10"/>
      <c r="AH6794" s="10"/>
      <c r="AI6794" s="10"/>
      <c r="AJ6794" s="10"/>
      <c r="AK6794" s="10"/>
      <c r="AL6794" s="10"/>
      <c r="AM6794" s="10"/>
      <c r="AN6794" s="10"/>
      <c r="AO6794" s="10"/>
      <c r="AP6794" s="10"/>
      <c r="AQ6794" s="10"/>
      <c r="AR6794" s="10"/>
      <c r="AS6794" s="10"/>
      <c r="AT6794" s="10"/>
      <c r="AU6794" s="10"/>
      <c r="AV6794" s="10"/>
      <c r="AW6794" s="10"/>
      <c r="AX6794" s="10"/>
      <c r="AY6794" s="10"/>
      <c r="AZ6794" s="10"/>
    </row>
    <row r="6795" spans="31:52">
      <c r="AE6795" s="10"/>
      <c r="AF6795" s="10"/>
      <c r="AG6795" s="10"/>
      <c r="AH6795" s="10"/>
      <c r="AI6795" s="10"/>
      <c r="AJ6795" s="10"/>
      <c r="AK6795" s="10"/>
      <c r="AL6795" s="10"/>
      <c r="AM6795" s="10"/>
      <c r="AN6795" s="10"/>
      <c r="AO6795" s="10"/>
      <c r="AP6795" s="10"/>
      <c r="AQ6795" s="10"/>
      <c r="AR6795" s="10"/>
      <c r="AS6795" s="10"/>
      <c r="AT6795" s="10"/>
      <c r="AU6795" s="10"/>
      <c r="AV6795" s="10"/>
      <c r="AW6795" s="10"/>
      <c r="AX6795" s="10"/>
      <c r="AY6795" s="10"/>
      <c r="AZ6795" s="10"/>
    </row>
    <row r="6796" spans="31:52">
      <c r="AE6796" s="10"/>
      <c r="AF6796" s="10"/>
      <c r="AG6796" s="10"/>
      <c r="AH6796" s="10"/>
      <c r="AI6796" s="10"/>
      <c r="AJ6796" s="10"/>
      <c r="AK6796" s="10"/>
      <c r="AL6796" s="10"/>
      <c r="AM6796" s="10"/>
      <c r="AN6796" s="10"/>
      <c r="AO6796" s="10"/>
      <c r="AP6796" s="10"/>
      <c r="AQ6796" s="10"/>
      <c r="AR6796" s="10"/>
      <c r="AS6796" s="10"/>
      <c r="AT6796" s="10"/>
      <c r="AU6796" s="10"/>
      <c r="AV6796" s="10"/>
      <c r="AW6796" s="10"/>
      <c r="AX6796" s="10"/>
      <c r="AY6796" s="10"/>
      <c r="AZ6796" s="10"/>
    </row>
    <row r="6797" spans="31:52">
      <c r="AE6797" s="10"/>
      <c r="AF6797" s="10"/>
      <c r="AG6797" s="10"/>
      <c r="AH6797" s="10"/>
      <c r="AI6797" s="10"/>
      <c r="AJ6797" s="10"/>
      <c r="AK6797" s="10"/>
      <c r="AL6797" s="10"/>
      <c r="AM6797" s="10"/>
      <c r="AN6797" s="10"/>
      <c r="AO6797" s="10"/>
      <c r="AP6797" s="10"/>
      <c r="AQ6797" s="10"/>
      <c r="AR6797" s="10"/>
      <c r="AS6797" s="10"/>
      <c r="AT6797" s="10"/>
      <c r="AU6797" s="10"/>
      <c r="AV6797" s="10"/>
      <c r="AW6797" s="10"/>
      <c r="AX6797" s="10"/>
      <c r="AY6797" s="10"/>
      <c r="AZ6797" s="10"/>
    </row>
    <row r="6798" spans="31:52">
      <c r="AE6798" s="10"/>
      <c r="AF6798" s="10"/>
      <c r="AG6798" s="10"/>
      <c r="AH6798" s="10"/>
      <c r="AI6798" s="10"/>
      <c r="AJ6798" s="10"/>
      <c r="AK6798" s="10"/>
      <c r="AL6798" s="10"/>
      <c r="AM6798" s="10"/>
      <c r="AN6798" s="10"/>
      <c r="AO6798" s="10"/>
      <c r="AP6798" s="10"/>
      <c r="AQ6798" s="10"/>
      <c r="AR6798" s="10"/>
      <c r="AS6798" s="10"/>
      <c r="AT6798" s="10"/>
      <c r="AU6798" s="10"/>
      <c r="AV6798" s="10"/>
      <c r="AW6798" s="10"/>
      <c r="AX6798" s="10"/>
      <c r="AY6798" s="10"/>
      <c r="AZ6798" s="10"/>
    </row>
    <row r="6799" spans="31:52">
      <c r="AE6799" s="10"/>
      <c r="AF6799" s="10"/>
      <c r="AG6799" s="10"/>
      <c r="AH6799" s="10"/>
      <c r="AI6799" s="10"/>
      <c r="AJ6799" s="10"/>
      <c r="AK6799" s="10"/>
      <c r="AL6799" s="10"/>
      <c r="AM6799" s="10"/>
      <c r="AN6799" s="10"/>
      <c r="AO6799" s="10"/>
      <c r="AP6799" s="10"/>
      <c r="AQ6799" s="10"/>
      <c r="AR6799" s="10"/>
      <c r="AS6799" s="10"/>
      <c r="AT6799" s="10"/>
      <c r="AU6799" s="10"/>
      <c r="AV6799" s="10"/>
      <c r="AW6799" s="10"/>
      <c r="AX6799" s="10"/>
      <c r="AY6799" s="10"/>
      <c r="AZ6799" s="10"/>
    </row>
    <row r="6800" spans="31:52">
      <c r="AE6800" s="10"/>
      <c r="AF6800" s="10"/>
      <c r="AG6800" s="10"/>
      <c r="AH6800" s="10"/>
      <c r="AI6800" s="10"/>
      <c r="AJ6800" s="10"/>
      <c r="AK6800" s="10"/>
      <c r="AL6800" s="10"/>
      <c r="AM6800" s="10"/>
      <c r="AN6800" s="10"/>
      <c r="AO6800" s="10"/>
      <c r="AP6800" s="10"/>
      <c r="AQ6800" s="10"/>
      <c r="AR6800" s="10"/>
      <c r="AS6800" s="10"/>
      <c r="AT6800" s="10"/>
      <c r="AU6800" s="10"/>
      <c r="AV6800" s="10"/>
      <c r="AW6800" s="10"/>
      <c r="AX6800" s="10"/>
      <c r="AY6800" s="10"/>
      <c r="AZ6800" s="10"/>
    </row>
    <row r="6801" spans="31:52">
      <c r="AE6801" s="10"/>
      <c r="AF6801" s="10"/>
      <c r="AG6801" s="10"/>
      <c r="AH6801" s="10"/>
      <c r="AI6801" s="10"/>
      <c r="AJ6801" s="10"/>
      <c r="AK6801" s="10"/>
      <c r="AL6801" s="10"/>
      <c r="AM6801" s="10"/>
      <c r="AN6801" s="10"/>
      <c r="AO6801" s="10"/>
      <c r="AP6801" s="10"/>
      <c r="AQ6801" s="10"/>
      <c r="AR6801" s="10"/>
      <c r="AS6801" s="10"/>
      <c r="AT6801" s="10"/>
      <c r="AU6801" s="10"/>
      <c r="AV6801" s="10"/>
      <c r="AW6801" s="10"/>
      <c r="AX6801" s="10"/>
      <c r="AY6801" s="10"/>
      <c r="AZ6801" s="10"/>
    </row>
    <row r="6802" spans="31:52">
      <c r="AE6802" s="10"/>
      <c r="AF6802" s="10"/>
      <c r="AG6802" s="10"/>
      <c r="AH6802" s="10"/>
      <c r="AI6802" s="10"/>
      <c r="AJ6802" s="10"/>
      <c r="AK6802" s="10"/>
      <c r="AL6802" s="10"/>
      <c r="AM6802" s="10"/>
      <c r="AN6802" s="10"/>
      <c r="AO6802" s="10"/>
      <c r="AP6802" s="10"/>
      <c r="AQ6802" s="10"/>
      <c r="AR6802" s="10"/>
      <c r="AS6802" s="10"/>
      <c r="AT6802" s="10"/>
      <c r="AU6802" s="10"/>
      <c r="AV6802" s="10"/>
      <c r="AW6802" s="10"/>
      <c r="AX6802" s="10"/>
      <c r="AY6802" s="10"/>
      <c r="AZ6802" s="10"/>
    </row>
    <row r="6803" spans="31:52">
      <c r="AE6803" s="10"/>
      <c r="AF6803" s="10"/>
      <c r="AG6803" s="10"/>
      <c r="AH6803" s="10"/>
      <c r="AI6803" s="10"/>
      <c r="AJ6803" s="10"/>
      <c r="AK6803" s="10"/>
      <c r="AL6803" s="10"/>
      <c r="AM6803" s="10"/>
      <c r="AN6803" s="10"/>
      <c r="AO6803" s="10"/>
      <c r="AP6803" s="10"/>
      <c r="AQ6803" s="10"/>
      <c r="AR6803" s="10"/>
      <c r="AS6803" s="10"/>
      <c r="AT6803" s="10"/>
      <c r="AU6803" s="10"/>
      <c r="AV6803" s="10"/>
      <c r="AW6803" s="10"/>
      <c r="AX6803" s="10"/>
      <c r="AY6803" s="10"/>
      <c r="AZ6803" s="10"/>
    </row>
    <row r="6804" spans="31:52">
      <c r="AE6804" s="10"/>
      <c r="AF6804" s="10"/>
      <c r="AG6804" s="10"/>
      <c r="AH6804" s="10"/>
      <c r="AI6804" s="10"/>
      <c r="AJ6804" s="10"/>
      <c r="AK6804" s="10"/>
      <c r="AL6804" s="10"/>
      <c r="AM6804" s="10"/>
      <c r="AN6804" s="10"/>
      <c r="AO6804" s="10"/>
      <c r="AP6804" s="10"/>
      <c r="AQ6804" s="10"/>
      <c r="AR6804" s="10"/>
      <c r="AS6804" s="10"/>
      <c r="AT6804" s="10"/>
      <c r="AU6804" s="10"/>
      <c r="AV6804" s="10"/>
      <c r="AW6804" s="10"/>
      <c r="AX6804" s="10"/>
      <c r="AY6804" s="10"/>
      <c r="AZ6804" s="10"/>
    </row>
    <row r="6805" spans="31:52">
      <c r="AE6805" s="10"/>
      <c r="AF6805" s="10"/>
      <c r="AG6805" s="10"/>
      <c r="AH6805" s="10"/>
      <c r="AI6805" s="10"/>
      <c r="AJ6805" s="10"/>
      <c r="AK6805" s="10"/>
      <c r="AL6805" s="10"/>
      <c r="AM6805" s="10"/>
      <c r="AN6805" s="10"/>
      <c r="AO6805" s="10"/>
      <c r="AP6805" s="10"/>
      <c r="AQ6805" s="10"/>
      <c r="AR6805" s="10"/>
      <c r="AS6805" s="10"/>
      <c r="AT6805" s="10"/>
      <c r="AU6805" s="10"/>
      <c r="AV6805" s="10"/>
      <c r="AW6805" s="10"/>
      <c r="AX6805" s="10"/>
      <c r="AY6805" s="10"/>
      <c r="AZ6805" s="10"/>
    </row>
    <row r="6806" spans="31:52">
      <c r="AE6806" s="10"/>
      <c r="AF6806" s="10"/>
      <c r="AG6806" s="10"/>
      <c r="AH6806" s="10"/>
      <c r="AI6806" s="10"/>
      <c r="AJ6806" s="10"/>
      <c r="AK6806" s="10"/>
      <c r="AL6806" s="10"/>
      <c r="AM6806" s="10"/>
      <c r="AN6806" s="10"/>
      <c r="AO6806" s="10"/>
      <c r="AP6806" s="10"/>
      <c r="AQ6806" s="10"/>
      <c r="AR6806" s="10"/>
      <c r="AS6806" s="10"/>
      <c r="AT6806" s="10"/>
      <c r="AU6806" s="10"/>
      <c r="AV6806" s="10"/>
      <c r="AW6806" s="10"/>
      <c r="AX6806" s="10"/>
      <c r="AY6806" s="10"/>
      <c r="AZ6806" s="10"/>
    </row>
    <row r="6807" spans="31:52">
      <c r="AE6807" s="10"/>
      <c r="AF6807" s="10"/>
      <c r="AG6807" s="10"/>
      <c r="AH6807" s="10"/>
      <c r="AI6807" s="10"/>
      <c r="AJ6807" s="10"/>
      <c r="AK6807" s="10"/>
      <c r="AL6807" s="10"/>
      <c r="AM6807" s="10"/>
      <c r="AN6807" s="10"/>
      <c r="AO6807" s="10"/>
      <c r="AP6807" s="10"/>
      <c r="AQ6807" s="10"/>
      <c r="AR6807" s="10"/>
      <c r="AS6807" s="10"/>
      <c r="AT6807" s="10"/>
      <c r="AU6807" s="10"/>
      <c r="AV6807" s="10"/>
      <c r="AW6807" s="10"/>
      <c r="AX6807" s="10"/>
      <c r="AY6807" s="10"/>
      <c r="AZ6807" s="10"/>
    </row>
    <row r="6808" spans="31:52">
      <c r="AE6808" s="10"/>
      <c r="AF6808" s="10"/>
      <c r="AG6808" s="10"/>
      <c r="AH6808" s="10"/>
      <c r="AI6808" s="10"/>
      <c r="AJ6808" s="10"/>
      <c r="AK6808" s="10"/>
      <c r="AL6808" s="10"/>
      <c r="AM6808" s="10"/>
      <c r="AN6808" s="10"/>
      <c r="AO6808" s="10"/>
      <c r="AP6808" s="10"/>
      <c r="AQ6808" s="10"/>
      <c r="AR6808" s="10"/>
      <c r="AS6808" s="10"/>
      <c r="AT6808" s="10"/>
      <c r="AU6808" s="10"/>
      <c r="AV6808" s="10"/>
      <c r="AW6808" s="10"/>
      <c r="AX6808" s="10"/>
      <c r="AY6808" s="10"/>
      <c r="AZ6808" s="10"/>
    </row>
    <row r="6809" spans="31:52">
      <c r="AE6809" s="10"/>
      <c r="AF6809" s="10"/>
      <c r="AG6809" s="10"/>
      <c r="AH6809" s="10"/>
      <c r="AI6809" s="10"/>
      <c r="AJ6809" s="10"/>
      <c r="AK6809" s="10"/>
      <c r="AL6809" s="10"/>
      <c r="AM6809" s="10"/>
      <c r="AN6809" s="10"/>
      <c r="AO6809" s="10"/>
      <c r="AP6809" s="10"/>
      <c r="AQ6809" s="10"/>
      <c r="AR6809" s="10"/>
      <c r="AS6809" s="10"/>
      <c r="AT6809" s="10"/>
      <c r="AU6809" s="10"/>
      <c r="AV6809" s="10"/>
      <c r="AW6809" s="10"/>
      <c r="AX6809" s="10"/>
      <c r="AY6809" s="10"/>
      <c r="AZ6809" s="10"/>
    </row>
    <row r="6810" spans="31:52">
      <c r="AE6810" s="10"/>
      <c r="AF6810" s="10"/>
      <c r="AG6810" s="10"/>
      <c r="AH6810" s="10"/>
      <c r="AI6810" s="10"/>
      <c r="AJ6810" s="10"/>
      <c r="AK6810" s="10"/>
      <c r="AL6810" s="10"/>
      <c r="AM6810" s="10"/>
      <c r="AN6810" s="10"/>
      <c r="AO6810" s="10"/>
      <c r="AP6810" s="10"/>
      <c r="AQ6810" s="10"/>
      <c r="AR6810" s="10"/>
      <c r="AS6810" s="10"/>
      <c r="AT6810" s="10"/>
      <c r="AU6810" s="10"/>
      <c r="AV6810" s="10"/>
      <c r="AW6810" s="10"/>
      <c r="AX6810" s="10"/>
      <c r="AY6810" s="10"/>
      <c r="AZ6810" s="10"/>
    </row>
    <row r="6811" spans="31:52">
      <c r="AE6811" s="10"/>
      <c r="AF6811" s="10"/>
      <c r="AG6811" s="10"/>
      <c r="AH6811" s="10"/>
      <c r="AI6811" s="10"/>
      <c r="AJ6811" s="10"/>
      <c r="AK6811" s="10"/>
      <c r="AL6811" s="10"/>
      <c r="AM6811" s="10"/>
      <c r="AN6811" s="10"/>
      <c r="AO6811" s="10"/>
      <c r="AP6811" s="10"/>
      <c r="AQ6811" s="10"/>
      <c r="AR6811" s="10"/>
      <c r="AS6811" s="10"/>
      <c r="AT6811" s="10"/>
      <c r="AU6811" s="10"/>
      <c r="AV6811" s="10"/>
      <c r="AW6811" s="10"/>
      <c r="AX6811" s="10"/>
      <c r="AY6811" s="10"/>
      <c r="AZ6811" s="10"/>
    </row>
    <row r="6812" spans="31:52">
      <c r="AE6812" s="10"/>
      <c r="AF6812" s="10"/>
      <c r="AG6812" s="10"/>
      <c r="AH6812" s="10"/>
      <c r="AI6812" s="10"/>
      <c r="AJ6812" s="10"/>
      <c r="AK6812" s="10"/>
      <c r="AL6812" s="10"/>
      <c r="AM6812" s="10"/>
      <c r="AN6812" s="10"/>
      <c r="AO6812" s="10"/>
      <c r="AP6812" s="10"/>
      <c r="AQ6812" s="10"/>
      <c r="AR6812" s="10"/>
      <c r="AS6812" s="10"/>
      <c r="AT6812" s="10"/>
      <c r="AU6812" s="10"/>
      <c r="AV6812" s="10"/>
      <c r="AW6812" s="10"/>
      <c r="AX6812" s="10"/>
      <c r="AY6812" s="10"/>
      <c r="AZ6812" s="10"/>
    </row>
    <row r="6813" spans="31:52">
      <c r="AE6813" s="10"/>
      <c r="AF6813" s="10"/>
      <c r="AG6813" s="10"/>
      <c r="AH6813" s="10"/>
      <c r="AI6813" s="10"/>
      <c r="AJ6813" s="10"/>
      <c r="AK6813" s="10"/>
      <c r="AL6813" s="10"/>
      <c r="AM6813" s="10"/>
      <c r="AN6813" s="10"/>
      <c r="AO6813" s="10"/>
      <c r="AP6813" s="10"/>
      <c r="AQ6813" s="10"/>
      <c r="AR6813" s="10"/>
      <c r="AS6813" s="10"/>
      <c r="AT6813" s="10"/>
      <c r="AU6813" s="10"/>
      <c r="AV6813" s="10"/>
      <c r="AW6813" s="10"/>
      <c r="AX6813" s="10"/>
      <c r="AY6813" s="10"/>
      <c r="AZ6813" s="10"/>
    </row>
    <row r="6814" spans="31:52">
      <c r="AE6814" s="10"/>
      <c r="AF6814" s="10"/>
      <c r="AG6814" s="10"/>
      <c r="AH6814" s="10"/>
      <c r="AI6814" s="10"/>
      <c r="AJ6814" s="10"/>
      <c r="AK6814" s="10"/>
      <c r="AL6814" s="10"/>
      <c r="AM6814" s="10"/>
      <c r="AN6814" s="10"/>
      <c r="AO6814" s="10"/>
      <c r="AP6814" s="10"/>
      <c r="AQ6814" s="10"/>
      <c r="AR6814" s="10"/>
      <c r="AS6814" s="10"/>
      <c r="AT6814" s="10"/>
      <c r="AU6814" s="10"/>
      <c r="AV6814" s="10"/>
      <c r="AW6814" s="10"/>
      <c r="AX6814" s="10"/>
      <c r="AY6814" s="10"/>
      <c r="AZ6814" s="10"/>
    </row>
    <row r="6815" spans="31:52">
      <c r="AE6815" s="10"/>
      <c r="AF6815" s="10"/>
      <c r="AG6815" s="10"/>
      <c r="AH6815" s="10"/>
      <c r="AI6815" s="10"/>
      <c r="AJ6815" s="10"/>
      <c r="AK6815" s="10"/>
      <c r="AL6815" s="10"/>
      <c r="AM6815" s="10"/>
      <c r="AN6815" s="10"/>
      <c r="AO6815" s="10"/>
      <c r="AP6815" s="10"/>
      <c r="AQ6815" s="10"/>
      <c r="AR6815" s="10"/>
      <c r="AS6815" s="10"/>
      <c r="AT6815" s="10"/>
      <c r="AU6815" s="10"/>
      <c r="AV6815" s="10"/>
      <c r="AW6815" s="10"/>
      <c r="AX6815" s="10"/>
      <c r="AY6815" s="10"/>
      <c r="AZ6815" s="10"/>
    </row>
    <row r="6816" spans="31:52">
      <c r="AE6816" s="10"/>
      <c r="AF6816" s="10"/>
      <c r="AG6816" s="10"/>
      <c r="AH6816" s="10"/>
      <c r="AI6816" s="10"/>
      <c r="AJ6816" s="10"/>
      <c r="AK6816" s="10"/>
      <c r="AL6816" s="10"/>
      <c r="AM6816" s="10"/>
      <c r="AN6816" s="10"/>
      <c r="AO6816" s="10"/>
      <c r="AP6816" s="10"/>
      <c r="AQ6816" s="10"/>
      <c r="AR6816" s="10"/>
      <c r="AS6816" s="10"/>
      <c r="AT6816" s="10"/>
      <c r="AU6816" s="10"/>
      <c r="AV6816" s="10"/>
      <c r="AW6816" s="10"/>
      <c r="AX6816" s="10"/>
      <c r="AY6816" s="10"/>
      <c r="AZ6816" s="10"/>
    </row>
    <row r="6817" spans="31:52">
      <c r="AE6817" s="10"/>
      <c r="AF6817" s="10"/>
      <c r="AG6817" s="10"/>
      <c r="AH6817" s="10"/>
      <c r="AI6817" s="10"/>
      <c r="AJ6817" s="10"/>
      <c r="AK6817" s="10"/>
      <c r="AL6817" s="10"/>
      <c r="AM6817" s="10"/>
      <c r="AN6817" s="10"/>
      <c r="AO6817" s="10"/>
      <c r="AP6817" s="10"/>
      <c r="AQ6817" s="10"/>
      <c r="AR6817" s="10"/>
      <c r="AS6817" s="10"/>
      <c r="AT6817" s="10"/>
      <c r="AU6817" s="10"/>
      <c r="AV6817" s="10"/>
      <c r="AW6817" s="10"/>
      <c r="AX6817" s="10"/>
      <c r="AY6817" s="10"/>
      <c r="AZ6817" s="10"/>
    </row>
    <row r="6818" spans="31:52">
      <c r="AE6818" s="10"/>
      <c r="AF6818" s="10"/>
      <c r="AG6818" s="10"/>
      <c r="AH6818" s="10"/>
      <c r="AI6818" s="10"/>
      <c r="AJ6818" s="10"/>
      <c r="AK6818" s="10"/>
      <c r="AL6818" s="10"/>
      <c r="AM6818" s="10"/>
      <c r="AN6818" s="10"/>
      <c r="AO6818" s="10"/>
      <c r="AP6818" s="10"/>
      <c r="AQ6818" s="10"/>
      <c r="AR6818" s="10"/>
      <c r="AS6818" s="10"/>
      <c r="AT6818" s="10"/>
      <c r="AU6818" s="10"/>
      <c r="AV6818" s="10"/>
      <c r="AW6818" s="10"/>
      <c r="AX6818" s="10"/>
      <c r="AY6818" s="10"/>
      <c r="AZ6818" s="10"/>
    </row>
    <row r="6819" spans="31:52">
      <c r="AE6819" s="10"/>
      <c r="AF6819" s="10"/>
      <c r="AG6819" s="10"/>
      <c r="AH6819" s="10"/>
      <c r="AI6819" s="10"/>
      <c r="AJ6819" s="10"/>
      <c r="AK6819" s="10"/>
      <c r="AL6819" s="10"/>
      <c r="AM6819" s="10"/>
      <c r="AN6819" s="10"/>
      <c r="AO6819" s="10"/>
      <c r="AP6819" s="10"/>
      <c r="AQ6819" s="10"/>
      <c r="AR6819" s="10"/>
      <c r="AS6819" s="10"/>
      <c r="AT6819" s="10"/>
      <c r="AU6819" s="10"/>
      <c r="AV6819" s="10"/>
      <c r="AW6819" s="10"/>
      <c r="AX6819" s="10"/>
      <c r="AY6819" s="10"/>
      <c r="AZ6819" s="10"/>
    </row>
    <row r="6820" spans="31:52">
      <c r="AE6820" s="10"/>
      <c r="AF6820" s="10"/>
      <c r="AG6820" s="10"/>
      <c r="AH6820" s="10"/>
      <c r="AI6820" s="10"/>
      <c r="AJ6820" s="10"/>
      <c r="AK6820" s="10"/>
      <c r="AL6820" s="10"/>
      <c r="AM6820" s="10"/>
      <c r="AN6820" s="10"/>
      <c r="AO6820" s="10"/>
      <c r="AP6820" s="10"/>
      <c r="AQ6820" s="10"/>
      <c r="AR6820" s="10"/>
      <c r="AS6820" s="10"/>
      <c r="AT6820" s="10"/>
      <c r="AU6820" s="10"/>
      <c r="AV6820" s="10"/>
      <c r="AW6820" s="10"/>
      <c r="AX6820" s="10"/>
      <c r="AY6820" s="10"/>
      <c r="AZ6820" s="10"/>
    </row>
    <row r="6821" spans="31:52">
      <c r="AE6821" s="10"/>
      <c r="AF6821" s="10"/>
      <c r="AG6821" s="10"/>
      <c r="AH6821" s="10"/>
      <c r="AI6821" s="10"/>
      <c r="AJ6821" s="10"/>
      <c r="AK6821" s="10"/>
      <c r="AL6821" s="10"/>
      <c r="AM6821" s="10"/>
      <c r="AN6821" s="10"/>
      <c r="AO6821" s="10"/>
      <c r="AP6821" s="10"/>
      <c r="AQ6821" s="10"/>
      <c r="AR6821" s="10"/>
      <c r="AS6821" s="10"/>
      <c r="AT6821" s="10"/>
      <c r="AU6821" s="10"/>
      <c r="AV6821" s="10"/>
      <c r="AW6821" s="10"/>
      <c r="AX6821" s="10"/>
      <c r="AY6821" s="10"/>
      <c r="AZ6821" s="10"/>
    </row>
    <row r="6822" spans="31:52">
      <c r="AE6822" s="10"/>
      <c r="AF6822" s="10"/>
      <c r="AG6822" s="10"/>
      <c r="AH6822" s="10"/>
      <c r="AI6822" s="10"/>
      <c r="AJ6822" s="10"/>
      <c r="AK6822" s="10"/>
      <c r="AL6822" s="10"/>
      <c r="AM6822" s="10"/>
      <c r="AN6822" s="10"/>
      <c r="AO6822" s="10"/>
      <c r="AP6822" s="10"/>
      <c r="AQ6822" s="10"/>
      <c r="AR6822" s="10"/>
      <c r="AS6822" s="10"/>
      <c r="AT6822" s="10"/>
      <c r="AU6822" s="10"/>
      <c r="AV6822" s="10"/>
      <c r="AW6822" s="10"/>
      <c r="AX6822" s="10"/>
      <c r="AY6822" s="10"/>
      <c r="AZ6822" s="10"/>
    </row>
    <row r="6823" spans="31:52">
      <c r="AE6823" s="10"/>
      <c r="AF6823" s="10"/>
      <c r="AG6823" s="10"/>
      <c r="AH6823" s="10"/>
      <c r="AI6823" s="10"/>
      <c r="AJ6823" s="10"/>
      <c r="AK6823" s="10"/>
      <c r="AL6823" s="10"/>
      <c r="AM6823" s="10"/>
      <c r="AN6823" s="10"/>
      <c r="AO6823" s="10"/>
      <c r="AP6823" s="10"/>
      <c r="AQ6823" s="10"/>
      <c r="AR6823" s="10"/>
      <c r="AS6823" s="10"/>
      <c r="AT6823" s="10"/>
      <c r="AU6823" s="10"/>
      <c r="AV6823" s="10"/>
      <c r="AW6823" s="10"/>
      <c r="AX6823" s="10"/>
      <c r="AY6823" s="10"/>
      <c r="AZ6823" s="10"/>
    </row>
    <row r="6824" spans="31:52">
      <c r="AE6824" s="10"/>
      <c r="AF6824" s="10"/>
      <c r="AG6824" s="10"/>
      <c r="AH6824" s="10"/>
      <c r="AI6824" s="10"/>
      <c r="AJ6824" s="10"/>
      <c r="AK6824" s="10"/>
      <c r="AL6824" s="10"/>
      <c r="AM6824" s="10"/>
      <c r="AN6824" s="10"/>
      <c r="AO6824" s="10"/>
      <c r="AP6824" s="10"/>
      <c r="AQ6824" s="10"/>
      <c r="AR6824" s="10"/>
      <c r="AS6824" s="10"/>
      <c r="AT6824" s="10"/>
      <c r="AU6824" s="10"/>
      <c r="AV6824" s="10"/>
      <c r="AW6824" s="10"/>
      <c r="AX6824" s="10"/>
      <c r="AY6824" s="10"/>
      <c r="AZ6824" s="10"/>
    </row>
    <row r="6825" spans="31:52">
      <c r="AE6825" s="10"/>
      <c r="AF6825" s="10"/>
      <c r="AG6825" s="10"/>
      <c r="AH6825" s="10"/>
      <c r="AI6825" s="10"/>
      <c r="AJ6825" s="10"/>
      <c r="AK6825" s="10"/>
      <c r="AL6825" s="10"/>
      <c r="AM6825" s="10"/>
      <c r="AN6825" s="10"/>
      <c r="AO6825" s="10"/>
      <c r="AP6825" s="10"/>
      <c r="AQ6825" s="10"/>
      <c r="AR6825" s="10"/>
      <c r="AS6825" s="10"/>
      <c r="AT6825" s="10"/>
      <c r="AU6825" s="10"/>
      <c r="AV6825" s="10"/>
      <c r="AW6825" s="10"/>
      <c r="AX6825" s="10"/>
      <c r="AY6825" s="10"/>
      <c r="AZ6825" s="10"/>
    </row>
    <row r="6826" spans="31:52">
      <c r="AE6826" s="10"/>
      <c r="AF6826" s="10"/>
      <c r="AG6826" s="10"/>
      <c r="AH6826" s="10"/>
      <c r="AI6826" s="10"/>
      <c r="AJ6826" s="10"/>
      <c r="AK6826" s="10"/>
      <c r="AL6826" s="10"/>
      <c r="AM6826" s="10"/>
      <c r="AN6826" s="10"/>
      <c r="AO6826" s="10"/>
      <c r="AP6826" s="10"/>
      <c r="AQ6826" s="10"/>
      <c r="AR6826" s="10"/>
      <c r="AS6826" s="10"/>
      <c r="AT6826" s="10"/>
      <c r="AU6826" s="10"/>
      <c r="AV6826" s="10"/>
      <c r="AW6826" s="10"/>
      <c r="AX6826" s="10"/>
      <c r="AY6826" s="10"/>
      <c r="AZ6826" s="10"/>
    </row>
    <row r="6827" spans="31:52">
      <c r="AE6827" s="10"/>
      <c r="AF6827" s="10"/>
      <c r="AG6827" s="10"/>
      <c r="AH6827" s="10"/>
      <c r="AI6827" s="10"/>
      <c r="AJ6827" s="10"/>
      <c r="AK6827" s="10"/>
      <c r="AL6827" s="10"/>
      <c r="AM6827" s="10"/>
      <c r="AN6827" s="10"/>
      <c r="AO6827" s="10"/>
      <c r="AP6827" s="10"/>
      <c r="AQ6827" s="10"/>
      <c r="AR6827" s="10"/>
      <c r="AS6827" s="10"/>
      <c r="AT6827" s="10"/>
      <c r="AU6827" s="10"/>
      <c r="AV6827" s="10"/>
      <c r="AW6827" s="10"/>
      <c r="AX6827" s="10"/>
      <c r="AY6827" s="10"/>
      <c r="AZ6827" s="10"/>
    </row>
    <row r="6828" spans="31:52">
      <c r="AE6828" s="10"/>
      <c r="AF6828" s="10"/>
      <c r="AG6828" s="10"/>
      <c r="AH6828" s="10"/>
      <c r="AI6828" s="10"/>
      <c r="AJ6828" s="10"/>
      <c r="AK6828" s="10"/>
      <c r="AL6828" s="10"/>
      <c r="AM6828" s="10"/>
      <c r="AN6828" s="10"/>
      <c r="AO6828" s="10"/>
      <c r="AP6828" s="10"/>
      <c r="AQ6828" s="10"/>
      <c r="AR6828" s="10"/>
      <c r="AS6828" s="10"/>
      <c r="AT6828" s="10"/>
      <c r="AU6828" s="10"/>
      <c r="AV6828" s="10"/>
      <c r="AW6828" s="10"/>
      <c r="AX6828" s="10"/>
      <c r="AY6828" s="10"/>
      <c r="AZ6828" s="10"/>
    </row>
    <row r="6829" spans="31:52">
      <c r="AE6829" s="10"/>
      <c r="AF6829" s="10"/>
      <c r="AG6829" s="10"/>
      <c r="AH6829" s="10"/>
      <c r="AI6829" s="10"/>
      <c r="AJ6829" s="10"/>
      <c r="AK6829" s="10"/>
      <c r="AL6829" s="10"/>
      <c r="AM6829" s="10"/>
      <c r="AN6829" s="10"/>
      <c r="AO6829" s="10"/>
      <c r="AP6829" s="10"/>
      <c r="AQ6829" s="10"/>
      <c r="AR6829" s="10"/>
      <c r="AS6829" s="10"/>
      <c r="AT6829" s="10"/>
      <c r="AU6829" s="10"/>
      <c r="AV6829" s="10"/>
      <c r="AW6829" s="10"/>
      <c r="AX6829" s="10"/>
      <c r="AY6829" s="10"/>
      <c r="AZ6829" s="10"/>
    </row>
    <row r="6830" spans="31:52">
      <c r="AE6830" s="10"/>
      <c r="AF6830" s="10"/>
      <c r="AG6830" s="10"/>
      <c r="AH6830" s="10"/>
      <c r="AI6830" s="10"/>
      <c r="AJ6830" s="10"/>
      <c r="AK6830" s="10"/>
      <c r="AL6830" s="10"/>
      <c r="AM6830" s="10"/>
      <c r="AN6830" s="10"/>
      <c r="AO6830" s="10"/>
      <c r="AP6830" s="10"/>
      <c r="AQ6830" s="10"/>
      <c r="AR6830" s="10"/>
      <c r="AS6830" s="10"/>
      <c r="AT6830" s="10"/>
      <c r="AU6830" s="10"/>
      <c r="AV6830" s="10"/>
      <c r="AW6830" s="10"/>
      <c r="AX6830" s="10"/>
      <c r="AY6830" s="10"/>
      <c r="AZ6830" s="10"/>
    </row>
    <row r="6831" spans="31:52">
      <c r="AE6831" s="10"/>
      <c r="AF6831" s="10"/>
      <c r="AG6831" s="10"/>
      <c r="AH6831" s="10"/>
      <c r="AI6831" s="10"/>
      <c r="AJ6831" s="10"/>
      <c r="AK6831" s="10"/>
      <c r="AL6831" s="10"/>
      <c r="AM6831" s="10"/>
      <c r="AN6831" s="10"/>
      <c r="AO6831" s="10"/>
      <c r="AP6831" s="10"/>
      <c r="AQ6831" s="10"/>
      <c r="AR6831" s="10"/>
      <c r="AS6831" s="10"/>
      <c r="AT6831" s="10"/>
      <c r="AU6831" s="10"/>
      <c r="AV6831" s="10"/>
      <c r="AW6831" s="10"/>
      <c r="AX6831" s="10"/>
      <c r="AY6831" s="10"/>
      <c r="AZ6831" s="10"/>
    </row>
    <row r="6832" spans="31:52">
      <c r="AE6832" s="10"/>
      <c r="AF6832" s="10"/>
      <c r="AG6832" s="10"/>
      <c r="AH6832" s="10"/>
      <c r="AI6832" s="10"/>
      <c r="AJ6832" s="10"/>
      <c r="AK6832" s="10"/>
      <c r="AL6832" s="10"/>
      <c r="AM6832" s="10"/>
      <c r="AN6832" s="10"/>
      <c r="AO6832" s="10"/>
      <c r="AP6832" s="10"/>
      <c r="AQ6832" s="10"/>
      <c r="AR6832" s="10"/>
      <c r="AS6832" s="10"/>
      <c r="AT6832" s="10"/>
      <c r="AU6832" s="10"/>
      <c r="AV6832" s="10"/>
      <c r="AW6832" s="10"/>
      <c r="AX6832" s="10"/>
      <c r="AY6832" s="10"/>
      <c r="AZ6832" s="10"/>
    </row>
    <row r="6833" spans="31:52">
      <c r="AE6833" s="10"/>
      <c r="AF6833" s="10"/>
      <c r="AG6833" s="10"/>
      <c r="AH6833" s="10"/>
      <c r="AI6833" s="10"/>
      <c r="AJ6833" s="10"/>
      <c r="AK6833" s="10"/>
      <c r="AL6833" s="10"/>
      <c r="AM6833" s="10"/>
      <c r="AN6833" s="10"/>
      <c r="AO6833" s="10"/>
      <c r="AP6833" s="10"/>
      <c r="AQ6833" s="10"/>
      <c r="AR6833" s="10"/>
      <c r="AS6833" s="10"/>
      <c r="AT6833" s="10"/>
      <c r="AU6833" s="10"/>
      <c r="AV6833" s="10"/>
      <c r="AW6833" s="10"/>
      <c r="AX6833" s="10"/>
      <c r="AY6833" s="10"/>
      <c r="AZ6833" s="10"/>
    </row>
    <row r="6834" spans="31:52">
      <c r="AE6834" s="10"/>
      <c r="AF6834" s="10"/>
      <c r="AG6834" s="10"/>
      <c r="AH6834" s="10"/>
      <c r="AI6834" s="10"/>
      <c r="AJ6834" s="10"/>
      <c r="AK6834" s="10"/>
      <c r="AL6834" s="10"/>
      <c r="AM6834" s="10"/>
      <c r="AN6834" s="10"/>
      <c r="AO6834" s="10"/>
      <c r="AP6834" s="10"/>
      <c r="AQ6834" s="10"/>
      <c r="AR6834" s="10"/>
      <c r="AS6834" s="10"/>
      <c r="AT6834" s="10"/>
      <c r="AU6834" s="10"/>
      <c r="AV6834" s="10"/>
      <c r="AW6834" s="10"/>
      <c r="AX6834" s="10"/>
      <c r="AY6834" s="10"/>
      <c r="AZ6834" s="10"/>
    </row>
    <row r="6835" spans="31:52">
      <c r="AE6835" s="10"/>
      <c r="AF6835" s="10"/>
      <c r="AG6835" s="10"/>
      <c r="AH6835" s="10"/>
      <c r="AI6835" s="10"/>
      <c r="AJ6835" s="10"/>
      <c r="AK6835" s="10"/>
      <c r="AL6835" s="10"/>
      <c r="AM6835" s="10"/>
      <c r="AN6835" s="10"/>
      <c r="AO6835" s="10"/>
      <c r="AP6835" s="10"/>
      <c r="AQ6835" s="10"/>
      <c r="AR6835" s="10"/>
      <c r="AS6835" s="10"/>
      <c r="AT6835" s="10"/>
      <c r="AU6835" s="10"/>
      <c r="AV6835" s="10"/>
      <c r="AW6835" s="10"/>
      <c r="AX6835" s="10"/>
      <c r="AY6835" s="10"/>
      <c r="AZ6835" s="10"/>
    </row>
    <row r="6836" spans="31:52">
      <c r="AE6836" s="10"/>
      <c r="AF6836" s="10"/>
      <c r="AG6836" s="10"/>
      <c r="AH6836" s="10"/>
      <c r="AI6836" s="10"/>
      <c r="AJ6836" s="10"/>
      <c r="AK6836" s="10"/>
      <c r="AL6836" s="10"/>
      <c r="AM6836" s="10"/>
      <c r="AN6836" s="10"/>
      <c r="AO6836" s="10"/>
      <c r="AP6836" s="10"/>
      <c r="AQ6836" s="10"/>
      <c r="AR6836" s="10"/>
      <c r="AS6836" s="10"/>
      <c r="AT6836" s="10"/>
      <c r="AU6836" s="10"/>
      <c r="AV6836" s="10"/>
      <c r="AW6836" s="10"/>
      <c r="AX6836" s="10"/>
      <c r="AY6836" s="10"/>
      <c r="AZ6836" s="10"/>
    </row>
    <row r="6837" spans="31:52">
      <c r="AE6837" s="10"/>
      <c r="AF6837" s="10"/>
      <c r="AG6837" s="10"/>
      <c r="AH6837" s="10"/>
      <c r="AI6837" s="10"/>
      <c r="AJ6837" s="10"/>
      <c r="AK6837" s="10"/>
      <c r="AL6837" s="10"/>
      <c r="AM6837" s="10"/>
      <c r="AN6837" s="10"/>
      <c r="AO6837" s="10"/>
      <c r="AP6837" s="10"/>
      <c r="AQ6837" s="10"/>
      <c r="AR6837" s="10"/>
      <c r="AS6837" s="10"/>
      <c r="AT6837" s="10"/>
      <c r="AU6837" s="10"/>
      <c r="AV6837" s="10"/>
      <c r="AW6837" s="10"/>
      <c r="AX6837" s="10"/>
      <c r="AY6837" s="10"/>
      <c r="AZ6837" s="10"/>
    </row>
    <row r="6838" spans="31:52">
      <c r="AE6838" s="10"/>
      <c r="AF6838" s="10"/>
      <c r="AG6838" s="10"/>
      <c r="AH6838" s="10"/>
      <c r="AI6838" s="10"/>
      <c r="AJ6838" s="10"/>
      <c r="AK6838" s="10"/>
      <c r="AL6838" s="10"/>
      <c r="AM6838" s="10"/>
      <c r="AN6838" s="10"/>
      <c r="AO6838" s="10"/>
      <c r="AP6838" s="10"/>
      <c r="AQ6838" s="10"/>
      <c r="AR6838" s="10"/>
      <c r="AS6838" s="10"/>
      <c r="AT6838" s="10"/>
      <c r="AU6838" s="10"/>
      <c r="AV6838" s="10"/>
      <c r="AW6838" s="10"/>
      <c r="AX6838" s="10"/>
      <c r="AY6838" s="10"/>
      <c r="AZ6838" s="10"/>
    </row>
    <row r="6839" spans="31:52">
      <c r="AE6839" s="10"/>
      <c r="AF6839" s="10"/>
      <c r="AG6839" s="10"/>
      <c r="AH6839" s="10"/>
      <c r="AI6839" s="10"/>
      <c r="AJ6839" s="10"/>
      <c r="AK6839" s="10"/>
      <c r="AL6839" s="10"/>
      <c r="AM6839" s="10"/>
      <c r="AN6839" s="10"/>
      <c r="AO6839" s="10"/>
      <c r="AP6839" s="10"/>
      <c r="AQ6839" s="10"/>
      <c r="AR6839" s="10"/>
      <c r="AS6839" s="10"/>
      <c r="AT6839" s="10"/>
      <c r="AU6839" s="10"/>
      <c r="AV6839" s="10"/>
      <c r="AW6839" s="10"/>
      <c r="AX6839" s="10"/>
      <c r="AY6839" s="10"/>
      <c r="AZ6839" s="10"/>
    </row>
    <row r="6840" spans="31:52">
      <c r="AE6840" s="10"/>
      <c r="AF6840" s="10"/>
      <c r="AG6840" s="10"/>
      <c r="AH6840" s="10"/>
      <c r="AI6840" s="10"/>
      <c r="AJ6840" s="10"/>
      <c r="AK6840" s="10"/>
      <c r="AL6840" s="10"/>
      <c r="AM6840" s="10"/>
      <c r="AN6840" s="10"/>
      <c r="AO6840" s="10"/>
      <c r="AP6840" s="10"/>
      <c r="AQ6840" s="10"/>
      <c r="AR6840" s="10"/>
      <c r="AS6840" s="10"/>
      <c r="AT6840" s="10"/>
      <c r="AU6840" s="10"/>
      <c r="AV6840" s="10"/>
      <c r="AW6840" s="10"/>
      <c r="AX6840" s="10"/>
      <c r="AY6840" s="10"/>
      <c r="AZ6840" s="10"/>
    </row>
    <row r="6841" spans="31:52">
      <c r="AE6841" s="10"/>
      <c r="AF6841" s="10"/>
      <c r="AG6841" s="10"/>
      <c r="AH6841" s="10"/>
      <c r="AI6841" s="10"/>
      <c r="AJ6841" s="10"/>
      <c r="AK6841" s="10"/>
      <c r="AL6841" s="10"/>
      <c r="AM6841" s="10"/>
      <c r="AN6841" s="10"/>
      <c r="AO6841" s="10"/>
      <c r="AP6841" s="10"/>
      <c r="AQ6841" s="10"/>
      <c r="AR6841" s="10"/>
      <c r="AS6841" s="10"/>
      <c r="AT6841" s="10"/>
      <c r="AU6841" s="10"/>
      <c r="AV6841" s="10"/>
      <c r="AW6841" s="10"/>
      <c r="AX6841" s="10"/>
      <c r="AY6841" s="10"/>
      <c r="AZ6841" s="10"/>
    </row>
    <row r="6842" spans="31:52">
      <c r="AE6842" s="10"/>
      <c r="AF6842" s="10"/>
      <c r="AG6842" s="10"/>
      <c r="AH6842" s="10"/>
      <c r="AI6842" s="10"/>
      <c r="AJ6842" s="10"/>
      <c r="AK6842" s="10"/>
      <c r="AL6842" s="10"/>
      <c r="AM6842" s="10"/>
      <c r="AN6842" s="10"/>
      <c r="AO6842" s="10"/>
      <c r="AP6842" s="10"/>
      <c r="AQ6842" s="10"/>
      <c r="AR6842" s="10"/>
      <c r="AS6842" s="10"/>
      <c r="AT6842" s="10"/>
      <c r="AU6842" s="10"/>
      <c r="AV6842" s="10"/>
      <c r="AW6842" s="10"/>
      <c r="AX6842" s="10"/>
      <c r="AY6842" s="10"/>
      <c r="AZ6842" s="10"/>
    </row>
    <row r="6843" spans="31:52">
      <c r="AE6843" s="10"/>
      <c r="AF6843" s="10"/>
      <c r="AG6843" s="10"/>
      <c r="AH6843" s="10"/>
      <c r="AI6843" s="10"/>
      <c r="AJ6843" s="10"/>
      <c r="AK6843" s="10"/>
      <c r="AL6843" s="10"/>
      <c r="AM6843" s="10"/>
      <c r="AN6843" s="10"/>
      <c r="AO6843" s="10"/>
      <c r="AP6843" s="10"/>
      <c r="AQ6843" s="10"/>
      <c r="AR6843" s="10"/>
      <c r="AS6843" s="10"/>
      <c r="AT6843" s="10"/>
      <c r="AU6843" s="10"/>
      <c r="AV6843" s="10"/>
      <c r="AW6843" s="10"/>
      <c r="AX6843" s="10"/>
      <c r="AY6843" s="10"/>
      <c r="AZ6843" s="10"/>
    </row>
    <row r="6844" spans="31:52">
      <c r="AE6844" s="10"/>
      <c r="AF6844" s="10"/>
      <c r="AG6844" s="10"/>
      <c r="AH6844" s="10"/>
      <c r="AI6844" s="10"/>
      <c r="AJ6844" s="10"/>
      <c r="AK6844" s="10"/>
      <c r="AL6844" s="10"/>
      <c r="AM6844" s="10"/>
      <c r="AN6844" s="10"/>
      <c r="AO6844" s="10"/>
      <c r="AP6844" s="10"/>
      <c r="AQ6844" s="10"/>
      <c r="AR6844" s="10"/>
      <c r="AS6844" s="10"/>
      <c r="AT6844" s="10"/>
      <c r="AU6844" s="10"/>
      <c r="AV6844" s="10"/>
      <c r="AW6844" s="10"/>
      <c r="AX6844" s="10"/>
      <c r="AY6844" s="10"/>
      <c r="AZ6844" s="10"/>
    </row>
    <row r="6845" spans="31:52">
      <c r="AE6845" s="10"/>
      <c r="AF6845" s="10"/>
      <c r="AG6845" s="10"/>
      <c r="AH6845" s="10"/>
      <c r="AI6845" s="10"/>
      <c r="AJ6845" s="10"/>
      <c r="AK6845" s="10"/>
      <c r="AL6845" s="10"/>
      <c r="AM6845" s="10"/>
      <c r="AN6845" s="10"/>
      <c r="AO6845" s="10"/>
      <c r="AP6845" s="10"/>
      <c r="AQ6845" s="10"/>
      <c r="AR6845" s="10"/>
      <c r="AS6845" s="10"/>
      <c r="AT6845" s="10"/>
      <c r="AU6845" s="10"/>
      <c r="AV6845" s="10"/>
      <c r="AW6845" s="10"/>
      <c r="AX6845" s="10"/>
      <c r="AY6845" s="10"/>
      <c r="AZ6845" s="10"/>
    </row>
    <row r="6846" spans="31:52">
      <c r="AE6846" s="10"/>
      <c r="AF6846" s="10"/>
      <c r="AG6846" s="10"/>
      <c r="AH6846" s="10"/>
      <c r="AI6846" s="10"/>
      <c r="AJ6846" s="10"/>
      <c r="AK6846" s="10"/>
      <c r="AL6846" s="10"/>
      <c r="AM6846" s="10"/>
      <c r="AN6846" s="10"/>
      <c r="AO6846" s="10"/>
      <c r="AP6846" s="10"/>
      <c r="AQ6846" s="10"/>
      <c r="AR6846" s="10"/>
      <c r="AS6846" s="10"/>
      <c r="AT6846" s="10"/>
      <c r="AU6846" s="10"/>
      <c r="AV6846" s="10"/>
      <c r="AW6846" s="10"/>
      <c r="AX6846" s="10"/>
      <c r="AY6846" s="10"/>
      <c r="AZ6846" s="10"/>
    </row>
    <row r="6847" spans="31:52">
      <c r="AE6847" s="10"/>
      <c r="AF6847" s="10"/>
      <c r="AG6847" s="10"/>
      <c r="AH6847" s="10"/>
      <c r="AI6847" s="10"/>
      <c r="AJ6847" s="10"/>
      <c r="AK6847" s="10"/>
      <c r="AL6847" s="10"/>
      <c r="AM6847" s="10"/>
      <c r="AN6847" s="10"/>
      <c r="AO6847" s="10"/>
      <c r="AP6847" s="10"/>
      <c r="AQ6847" s="10"/>
      <c r="AR6847" s="10"/>
      <c r="AS6847" s="10"/>
      <c r="AT6847" s="10"/>
      <c r="AU6847" s="10"/>
      <c r="AV6847" s="10"/>
      <c r="AW6847" s="10"/>
      <c r="AX6847" s="10"/>
      <c r="AY6847" s="10"/>
      <c r="AZ6847" s="10"/>
    </row>
    <row r="6848" spans="31:52">
      <c r="AE6848" s="10"/>
      <c r="AF6848" s="10"/>
      <c r="AG6848" s="10"/>
      <c r="AH6848" s="10"/>
      <c r="AI6848" s="10"/>
      <c r="AJ6848" s="10"/>
      <c r="AK6848" s="10"/>
      <c r="AL6848" s="10"/>
      <c r="AM6848" s="10"/>
      <c r="AN6848" s="10"/>
      <c r="AO6848" s="10"/>
      <c r="AP6848" s="10"/>
      <c r="AQ6848" s="10"/>
      <c r="AR6848" s="10"/>
      <c r="AS6848" s="10"/>
      <c r="AT6848" s="10"/>
      <c r="AU6848" s="10"/>
      <c r="AV6848" s="10"/>
      <c r="AW6848" s="10"/>
      <c r="AX6848" s="10"/>
      <c r="AY6848" s="10"/>
      <c r="AZ6848" s="10"/>
    </row>
    <row r="6849" spans="31:52">
      <c r="AE6849" s="10"/>
      <c r="AF6849" s="10"/>
      <c r="AG6849" s="10"/>
      <c r="AH6849" s="10"/>
      <c r="AI6849" s="10"/>
      <c r="AJ6849" s="10"/>
      <c r="AK6849" s="10"/>
      <c r="AL6849" s="10"/>
      <c r="AM6849" s="10"/>
      <c r="AN6849" s="10"/>
      <c r="AO6849" s="10"/>
      <c r="AP6849" s="10"/>
      <c r="AQ6849" s="10"/>
      <c r="AR6849" s="10"/>
      <c r="AS6849" s="10"/>
      <c r="AT6849" s="10"/>
      <c r="AU6849" s="10"/>
      <c r="AV6849" s="10"/>
      <c r="AW6849" s="10"/>
      <c r="AX6849" s="10"/>
      <c r="AY6849" s="10"/>
      <c r="AZ6849" s="10"/>
    </row>
    <row r="6850" spans="31:52">
      <c r="AE6850" s="10"/>
      <c r="AF6850" s="10"/>
      <c r="AG6850" s="10"/>
      <c r="AH6850" s="10"/>
      <c r="AI6850" s="10"/>
      <c r="AJ6850" s="10"/>
      <c r="AK6850" s="10"/>
      <c r="AL6850" s="10"/>
      <c r="AM6850" s="10"/>
      <c r="AN6850" s="10"/>
      <c r="AO6850" s="10"/>
      <c r="AP6850" s="10"/>
      <c r="AQ6850" s="10"/>
      <c r="AR6850" s="10"/>
      <c r="AS6850" s="10"/>
      <c r="AT6850" s="10"/>
      <c r="AU6850" s="10"/>
      <c r="AV6850" s="10"/>
      <c r="AW6850" s="10"/>
      <c r="AX6850" s="10"/>
      <c r="AY6850" s="10"/>
      <c r="AZ6850" s="10"/>
    </row>
    <row r="6851" spans="31:52">
      <c r="AE6851" s="10"/>
      <c r="AF6851" s="10"/>
      <c r="AG6851" s="10"/>
      <c r="AH6851" s="10"/>
      <c r="AI6851" s="10"/>
      <c r="AJ6851" s="10"/>
      <c r="AK6851" s="10"/>
      <c r="AL6851" s="10"/>
      <c r="AM6851" s="10"/>
      <c r="AN6851" s="10"/>
      <c r="AO6851" s="10"/>
      <c r="AP6851" s="10"/>
      <c r="AQ6851" s="10"/>
      <c r="AR6851" s="10"/>
      <c r="AS6851" s="10"/>
      <c r="AT6851" s="10"/>
      <c r="AU6851" s="10"/>
      <c r="AV6851" s="10"/>
      <c r="AW6851" s="10"/>
      <c r="AX6851" s="10"/>
      <c r="AY6851" s="10"/>
      <c r="AZ6851" s="10"/>
    </row>
    <row r="6852" spans="31:52">
      <c r="AE6852" s="10"/>
      <c r="AF6852" s="10"/>
      <c r="AG6852" s="10"/>
      <c r="AH6852" s="10"/>
      <c r="AI6852" s="10"/>
      <c r="AJ6852" s="10"/>
      <c r="AK6852" s="10"/>
      <c r="AL6852" s="10"/>
      <c r="AM6852" s="10"/>
      <c r="AN6852" s="10"/>
      <c r="AO6852" s="10"/>
      <c r="AP6852" s="10"/>
      <c r="AQ6852" s="10"/>
      <c r="AR6852" s="10"/>
      <c r="AS6852" s="10"/>
      <c r="AT6852" s="10"/>
      <c r="AU6852" s="10"/>
      <c r="AV6852" s="10"/>
      <c r="AW6852" s="10"/>
      <c r="AX6852" s="10"/>
      <c r="AY6852" s="10"/>
      <c r="AZ6852" s="10"/>
    </row>
    <row r="6853" spans="31:52">
      <c r="AE6853" s="10"/>
      <c r="AF6853" s="10"/>
      <c r="AG6853" s="10"/>
      <c r="AH6853" s="10"/>
      <c r="AI6853" s="10"/>
      <c r="AJ6853" s="10"/>
      <c r="AK6853" s="10"/>
      <c r="AL6853" s="10"/>
      <c r="AM6853" s="10"/>
      <c r="AN6853" s="10"/>
      <c r="AO6853" s="10"/>
      <c r="AP6853" s="10"/>
      <c r="AQ6853" s="10"/>
      <c r="AR6853" s="10"/>
      <c r="AS6853" s="10"/>
      <c r="AT6853" s="10"/>
      <c r="AU6853" s="10"/>
      <c r="AV6853" s="10"/>
      <c r="AW6853" s="10"/>
      <c r="AX6853" s="10"/>
      <c r="AY6853" s="10"/>
      <c r="AZ6853" s="10"/>
    </row>
    <row r="6854" spans="31:52">
      <c r="AE6854" s="10"/>
      <c r="AF6854" s="10"/>
      <c r="AG6854" s="10"/>
      <c r="AH6854" s="10"/>
      <c r="AI6854" s="10"/>
      <c r="AJ6854" s="10"/>
      <c r="AK6854" s="10"/>
      <c r="AL6854" s="10"/>
      <c r="AM6854" s="10"/>
      <c r="AN6854" s="10"/>
      <c r="AO6854" s="10"/>
      <c r="AP6854" s="10"/>
      <c r="AQ6854" s="10"/>
      <c r="AR6854" s="10"/>
      <c r="AS6854" s="10"/>
      <c r="AT6854" s="10"/>
      <c r="AU6854" s="10"/>
      <c r="AV6854" s="10"/>
      <c r="AW6854" s="10"/>
      <c r="AX6854" s="10"/>
      <c r="AY6854" s="10"/>
      <c r="AZ6854" s="10"/>
    </row>
    <row r="6855" spans="31:52">
      <c r="AE6855" s="10"/>
      <c r="AF6855" s="10"/>
      <c r="AG6855" s="10"/>
      <c r="AH6855" s="10"/>
      <c r="AI6855" s="10"/>
      <c r="AJ6855" s="10"/>
      <c r="AK6855" s="10"/>
      <c r="AL6855" s="10"/>
      <c r="AM6855" s="10"/>
      <c r="AN6855" s="10"/>
      <c r="AO6855" s="10"/>
      <c r="AP6855" s="10"/>
      <c r="AQ6855" s="10"/>
      <c r="AR6855" s="10"/>
      <c r="AS6855" s="10"/>
      <c r="AT6855" s="10"/>
      <c r="AU6855" s="10"/>
      <c r="AV6855" s="10"/>
      <c r="AW6855" s="10"/>
      <c r="AX6855" s="10"/>
      <c r="AY6855" s="10"/>
      <c r="AZ6855" s="10"/>
    </row>
    <row r="6856" spans="31:52">
      <c r="AE6856" s="10"/>
      <c r="AF6856" s="10"/>
      <c r="AG6856" s="10"/>
      <c r="AH6856" s="10"/>
      <c r="AI6856" s="10"/>
      <c r="AJ6856" s="10"/>
      <c r="AK6856" s="10"/>
      <c r="AL6856" s="10"/>
      <c r="AM6856" s="10"/>
      <c r="AN6856" s="10"/>
      <c r="AO6856" s="10"/>
      <c r="AP6856" s="10"/>
      <c r="AQ6856" s="10"/>
      <c r="AR6856" s="10"/>
      <c r="AS6856" s="10"/>
      <c r="AT6856" s="10"/>
      <c r="AU6856" s="10"/>
      <c r="AV6856" s="10"/>
      <c r="AW6856" s="10"/>
      <c r="AX6856" s="10"/>
      <c r="AY6856" s="10"/>
      <c r="AZ6856" s="10"/>
    </row>
    <row r="6857" spans="31:52">
      <c r="AE6857" s="10"/>
      <c r="AF6857" s="10"/>
      <c r="AG6857" s="10"/>
      <c r="AH6857" s="10"/>
      <c r="AI6857" s="10"/>
      <c r="AJ6857" s="10"/>
      <c r="AK6857" s="10"/>
      <c r="AL6857" s="10"/>
      <c r="AM6857" s="10"/>
      <c r="AN6857" s="10"/>
      <c r="AO6857" s="10"/>
      <c r="AP6857" s="10"/>
      <c r="AQ6857" s="10"/>
      <c r="AR6857" s="10"/>
      <c r="AS6857" s="10"/>
      <c r="AT6857" s="10"/>
      <c r="AU6857" s="10"/>
      <c r="AV6857" s="10"/>
      <c r="AW6857" s="10"/>
      <c r="AX6857" s="10"/>
      <c r="AY6857" s="10"/>
      <c r="AZ6857" s="10"/>
    </row>
    <row r="6858" spans="31:52">
      <c r="AE6858" s="10"/>
      <c r="AF6858" s="10"/>
      <c r="AG6858" s="10"/>
      <c r="AH6858" s="10"/>
      <c r="AI6858" s="10"/>
      <c r="AJ6858" s="10"/>
      <c r="AK6858" s="10"/>
      <c r="AL6858" s="10"/>
      <c r="AM6858" s="10"/>
      <c r="AN6858" s="10"/>
      <c r="AO6858" s="10"/>
      <c r="AP6858" s="10"/>
      <c r="AQ6858" s="10"/>
      <c r="AR6858" s="10"/>
      <c r="AS6858" s="10"/>
      <c r="AT6858" s="10"/>
      <c r="AU6858" s="10"/>
      <c r="AV6858" s="10"/>
      <c r="AW6858" s="10"/>
      <c r="AX6858" s="10"/>
      <c r="AY6858" s="10"/>
      <c r="AZ6858" s="10"/>
    </row>
    <row r="6859" spans="31:52">
      <c r="AE6859" s="10"/>
      <c r="AF6859" s="10"/>
      <c r="AG6859" s="10"/>
      <c r="AH6859" s="10"/>
      <c r="AI6859" s="10"/>
      <c r="AJ6859" s="10"/>
      <c r="AK6859" s="10"/>
      <c r="AL6859" s="10"/>
      <c r="AM6859" s="10"/>
      <c r="AN6859" s="10"/>
      <c r="AO6859" s="10"/>
      <c r="AP6859" s="10"/>
      <c r="AQ6859" s="10"/>
      <c r="AR6859" s="10"/>
      <c r="AS6859" s="10"/>
      <c r="AT6859" s="10"/>
      <c r="AU6859" s="10"/>
      <c r="AV6859" s="10"/>
      <c r="AW6859" s="10"/>
      <c r="AX6859" s="10"/>
      <c r="AY6859" s="10"/>
      <c r="AZ6859" s="10"/>
    </row>
    <row r="6860" spans="31:52">
      <c r="AE6860" s="10"/>
      <c r="AF6860" s="10"/>
      <c r="AG6860" s="10"/>
      <c r="AH6860" s="10"/>
      <c r="AI6860" s="10"/>
      <c r="AJ6860" s="10"/>
      <c r="AK6860" s="10"/>
      <c r="AL6860" s="10"/>
      <c r="AM6860" s="10"/>
      <c r="AN6860" s="10"/>
      <c r="AO6860" s="10"/>
      <c r="AP6860" s="10"/>
      <c r="AQ6860" s="10"/>
      <c r="AR6860" s="10"/>
      <c r="AS6860" s="10"/>
      <c r="AT6860" s="10"/>
      <c r="AU6860" s="10"/>
      <c r="AV6860" s="10"/>
      <c r="AW6860" s="10"/>
      <c r="AX6860" s="10"/>
      <c r="AY6860" s="10"/>
      <c r="AZ6860" s="10"/>
    </row>
    <row r="6861" spans="31:52">
      <c r="AE6861" s="10"/>
      <c r="AF6861" s="10"/>
      <c r="AG6861" s="10"/>
      <c r="AH6861" s="10"/>
      <c r="AI6861" s="10"/>
      <c r="AJ6861" s="10"/>
      <c r="AK6861" s="10"/>
      <c r="AL6861" s="10"/>
      <c r="AM6861" s="10"/>
      <c r="AN6861" s="10"/>
      <c r="AO6861" s="10"/>
      <c r="AP6861" s="10"/>
      <c r="AQ6861" s="10"/>
      <c r="AR6861" s="10"/>
      <c r="AS6861" s="10"/>
      <c r="AT6861" s="10"/>
      <c r="AU6861" s="10"/>
      <c r="AV6861" s="10"/>
      <c r="AW6861" s="10"/>
      <c r="AX6861" s="10"/>
      <c r="AY6861" s="10"/>
      <c r="AZ6861" s="10"/>
    </row>
    <row r="6862" spans="31:52">
      <c r="AE6862" s="10"/>
      <c r="AF6862" s="10"/>
      <c r="AG6862" s="10"/>
      <c r="AH6862" s="10"/>
      <c r="AI6862" s="10"/>
      <c r="AJ6862" s="10"/>
      <c r="AK6862" s="10"/>
      <c r="AL6862" s="10"/>
      <c r="AM6862" s="10"/>
      <c r="AN6862" s="10"/>
      <c r="AO6862" s="10"/>
      <c r="AP6862" s="10"/>
      <c r="AQ6862" s="10"/>
      <c r="AR6862" s="10"/>
      <c r="AS6862" s="10"/>
      <c r="AT6862" s="10"/>
      <c r="AU6862" s="10"/>
      <c r="AV6862" s="10"/>
      <c r="AW6862" s="10"/>
      <c r="AX6862" s="10"/>
      <c r="AY6862" s="10"/>
      <c r="AZ6862" s="10"/>
    </row>
    <row r="6863" spans="31:52">
      <c r="AE6863" s="10"/>
      <c r="AF6863" s="10"/>
      <c r="AG6863" s="10"/>
      <c r="AH6863" s="10"/>
      <c r="AI6863" s="10"/>
      <c r="AJ6863" s="10"/>
      <c r="AK6863" s="10"/>
      <c r="AL6863" s="10"/>
      <c r="AM6863" s="10"/>
      <c r="AN6863" s="10"/>
      <c r="AO6863" s="10"/>
      <c r="AP6863" s="10"/>
      <c r="AQ6863" s="10"/>
      <c r="AR6863" s="10"/>
      <c r="AS6863" s="10"/>
      <c r="AT6863" s="10"/>
      <c r="AU6863" s="10"/>
      <c r="AV6863" s="10"/>
      <c r="AW6863" s="10"/>
      <c r="AX6863" s="10"/>
      <c r="AY6863" s="10"/>
      <c r="AZ6863" s="10"/>
    </row>
    <row r="6864" spans="31:52">
      <c r="AE6864" s="10"/>
      <c r="AF6864" s="10"/>
      <c r="AG6864" s="10"/>
      <c r="AH6864" s="10"/>
      <c r="AI6864" s="10"/>
      <c r="AJ6864" s="10"/>
      <c r="AK6864" s="10"/>
      <c r="AL6864" s="10"/>
      <c r="AM6864" s="10"/>
      <c r="AN6864" s="10"/>
      <c r="AO6864" s="10"/>
      <c r="AP6864" s="10"/>
      <c r="AQ6864" s="10"/>
      <c r="AR6864" s="10"/>
      <c r="AS6864" s="10"/>
      <c r="AT6864" s="10"/>
      <c r="AU6864" s="10"/>
      <c r="AV6864" s="10"/>
      <c r="AW6864" s="10"/>
      <c r="AX6864" s="10"/>
      <c r="AY6864" s="10"/>
      <c r="AZ6864" s="10"/>
    </row>
    <row r="6865" spans="31:52">
      <c r="AE6865" s="10"/>
      <c r="AF6865" s="10"/>
      <c r="AG6865" s="10"/>
      <c r="AH6865" s="10"/>
      <c r="AI6865" s="10"/>
      <c r="AJ6865" s="10"/>
      <c r="AK6865" s="10"/>
      <c r="AL6865" s="10"/>
      <c r="AM6865" s="10"/>
      <c r="AN6865" s="10"/>
      <c r="AO6865" s="10"/>
      <c r="AP6865" s="10"/>
      <c r="AQ6865" s="10"/>
      <c r="AR6865" s="10"/>
      <c r="AS6865" s="10"/>
      <c r="AT6865" s="10"/>
      <c r="AU6865" s="10"/>
      <c r="AV6865" s="10"/>
      <c r="AW6865" s="10"/>
      <c r="AX6865" s="10"/>
      <c r="AY6865" s="10"/>
      <c r="AZ6865" s="10"/>
    </row>
    <row r="6866" spans="31:52">
      <c r="AE6866" s="10"/>
      <c r="AF6866" s="10"/>
      <c r="AG6866" s="10"/>
      <c r="AH6866" s="10"/>
      <c r="AI6866" s="10"/>
      <c r="AJ6866" s="10"/>
      <c r="AK6866" s="10"/>
      <c r="AL6866" s="10"/>
      <c r="AM6866" s="10"/>
      <c r="AN6866" s="10"/>
      <c r="AO6866" s="10"/>
      <c r="AP6866" s="10"/>
      <c r="AQ6866" s="10"/>
      <c r="AR6866" s="10"/>
      <c r="AS6866" s="10"/>
      <c r="AT6866" s="10"/>
      <c r="AU6866" s="10"/>
      <c r="AV6866" s="10"/>
      <c r="AW6866" s="10"/>
      <c r="AX6866" s="10"/>
      <c r="AY6866" s="10"/>
      <c r="AZ6866" s="10"/>
    </row>
    <row r="6867" spans="31:52">
      <c r="AE6867" s="10"/>
      <c r="AF6867" s="10"/>
      <c r="AG6867" s="10"/>
      <c r="AH6867" s="10"/>
      <c r="AI6867" s="10"/>
      <c r="AJ6867" s="10"/>
      <c r="AK6867" s="10"/>
      <c r="AL6867" s="10"/>
      <c r="AM6867" s="10"/>
      <c r="AN6867" s="10"/>
      <c r="AO6867" s="10"/>
      <c r="AP6867" s="10"/>
      <c r="AQ6867" s="10"/>
      <c r="AR6867" s="10"/>
      <c r="AS6867" s="10"/>
      <c r="AT6867" s="10"/>
      <c r="AU6867" s="10"/>
      <c r="AV6867" s="10"/>
      <c r="AW6867" s="10"/>
      <c r="AX6867" s="10"/>
      <c r="AY6867" s="10"/>
      <c r="AZ6867" s="10"/>
    </row>
    <row r="6868" spans="31:52">
      <c r="AE6868" s="10"/>
      <c r="AF6868" s="10"/>
      <c r="AG6868" s="10"/>
      <c r="AH6868" s="10"/>
      <c r="AI6868" s="10"/>
      <c r="AJ6868" s="10"/>
      <c r="AK6868" s="10"/>
      <c r="AL6868" s="10"/>
      <c r="AM6868" s="10"/>
      <c r="AN6868" s="10"/>
      <c r="AO6868" s="10"/>
      <c r="AP6868" s="10"/>
      <c r="AQ6868" s="10"/>
      <c r="AR6868" s="10"/>
      <c r="AS6868" s="10"/>
      <c r="AT6868" s="10"/>
      <c r="AU6868" s="10"/>
      <c r="AV6868" s="10"/>
      <c r="AW6868" s="10"/>
      <c r="AX6868" s="10"/>
      <c r="AY6868" s="10"/>
      <c r="AZ6868" s="10"/>
    </row>
    <row r="6869" spans="31:52">
      <c r="AE6869" s="10"/>
      <c r="AF6869" s="10"/>
      <c r="AG6869" s="10"/>
      <c r="AH6869" s="10"/>
      <c r="AI6869" s="10"/>
      <c r="AJ6869" s="10"/>
      <c r="AK6869" s="10"/>
      <c r="AL6869" s="10"/>
      <c r="AM6869" s="10"/>
      <c r="AN6869" s="10"/>
      <c r="AO6869" s="10"/>
      <c r="AP6869" s="10"/>
      <c r="AQ6869" s="10"/>
      <c r="AR6869" s="10"/>
      <c r="AS6869" s="10"/>
      <c r="AT6869" s="10"/>
      <c r="AU6869" s="10"/>
      <c r="AV6869" s="10"/>
      <c r="AW6869" s="10"/>
      <c r="AX6869" s="10"/>
      <c r="AY6869" s="10"/>
      <c r="AZ6869" s="10"/>
    </row>
    <row r="6870" spans="31:52">
      <c r="AE6870" s="10"/>
      <c r="AF6870" s="10"/>
      <c r="AG6870" s="10"/>
      <c r="AH6870" s="10"/>
      <c r="AI6870" s="10"/>
      <c r="AJ6870" s="10"/>
      <c r="AK6870" s="10"/>
      <c r="AL6870" s="10"/>
      <c r="AM6870" s="10"/>
      <c r="AN6870" s="10"/>
      <c r="AO6870" s="10"/>
      <c r="AP6870" s="10"/>
      <c r="AQ6870" s="10"/>
      <c r="AR6870" s="10"/>
      <c r="AS6870" s="10"/>
      <c r="AT6870" s="10"/>
      <c r="AU6870" s="10"/>
      <c r="AV6870" s="10"/>
      <c r="AW6870" s="10"/>
      <c r="AX6870" s="10"/>
      <c r="AY6870" s="10"/>
      <c r="AZ6870" s="10"/>
    </row>
    <row r="6871" spans="31:52">
      <c r="AE6871" s="10"/>
      <c r="AF6871" s="10"/>
      <c r="AG6871" s="10"/>
      <c r="AH6871" s="10"/>
      <c r="AI6871" s="10"/>
      <c r="AJ6871" s="10"/>
      <c r="AK6871" s="10"/>
      <c r="AL6871" s="10"/>
      <c r="AM6871" s="10"/>
      <c r="AN6871" s="10"/>
      <c r="AO6871" s="10"/>
      <c r="AP6871" s="10"/>
      <c r="AQ6871" s="10"/>
      <c r="AR6871" s="10"/>
      <c r="AS6871" s="10"/>
      <c r="AT6871" s="10"/>
      <c r="AU6871" s="10"/>
      <c r="AV6871" s="10"/>
      <c r="AW6871" s="10"/>
      <c r="AX6871" s="10"/>
      <c r="AY6871" s="10"/>
      <c r="AZ6871" s="10"/>
    </row>
    <row r="6872" spans="31:52">
      <c r="AE6872" s="10"/>
      <c r="AF6872" s="10"/>
      <c r="AG6872" s="10"/>
      <c r="AH6872" s="10"/>
      <c r="AI6872" s="10"/>
      <c r="AJ6872" s="10"/>
      <c r="AK6872" s="10"/>
      <c r="AL6872" s="10"/>
      <c r="AM6872" s="10"/>
      <c r="AN6872" s="10"/>
      <c r="AO6872" s="10"/>
      <c r="AP6872" s="10"/>
      <c r="AQ6872" s="10"/>
      <c r="AR6872" s="10"/>
      <c r="AS6872" s="10"/>
      <c r="AT6872" s="10"/>
      <c r="AU6872" s="10"/>
      <c r="AV6872" s="10"/>
      <c r="AW6872" s="10"/>
      <c r="AX6872" s="10"/>
      <c r="AY6872" s="10"/>
      <c r="AZ6872" s="10"/>
    </row>
    <row r="6873" spans="31:52">
      <c r="AE6873" s="10"/>
      <c r="AF6873" s="10"/>
      <c r="AG6873" s="10"/>
      <c r="AH6873" s="10"/>
      <c r="AI6873" s="10"/>
      <c r="AJ6873" s="10"/>
      <c r="AK6873" s="10"/>
      <c r="AL6873" s="10"/>
      <c r="AM6873" s="10"/>
      <c r="AN6873" s="10"/>
      <c r="AO6873" s="10"/>
      <c r="AP6873" s="10"/>
      <c r="AQ6873" s="10"/>
      <c r="AR6873" s="10"/>
      <c r="AS6873" s="10"/>
      <c r="AT6873" s="10"/>
      <c r="AU6873" s="10"/>
      <c r="AV6873" s="10"/>
      <c r="AW6873" s="10"/>
      <c r="AX6873" s="10"/>
      <c r="AY6873" s="10"/>
      <c r="AZ6873" s="10"/>
    </row>
    <row r="6874" spans="31:52">
      <c r="AE6874" s="10"/>
      <c r="AF6874" s="10"/>
      <c r="AG6874" s="10"/>
      <c r="AH6874" s="10"/>
      <c r="AI6874" s="10"/>
      <c r="AJ6874" s="10"/>
      <c r="AK6874" s="10"/>
      <c r="AL6874" s="10"/>
      <c r="AM6874" s="10"/>
      <c r="AN6874" s="10"/>
      <c r="AO6874" s="10"/>
      <c r="AP6874" s="10"/>
      <c r="AQ6874" s="10"/>
      <c r="AR6874" s="10"/>
      <c r="AS6874" s="10"/>
      <c r="AT6874" s="10"/>
      <c r="AU6874" s="10"/>
      <c r="AV6874" s="10"/>
      <c r="AW6874" s="10"/>
      <c r="AX6874" s="10"/>
      <c r="AY6874" s="10"/>
      <c r="AZ6874" s="10"/>
    </row>
    <row r="6875" spans="31:52">
      <c r="AE6875" s="10"/>
      <c r="AF6875" s="10"/>
      <c r="AG6875" s="10"/>
      <c r="AH6875" s="10"/>
      <c r="AI6875" s="10"/>
      <c r="AJ6875" s="10"/>
      <c r="AK6875" s="10"/>
      <c r="AL6875" s="10"/>
      <c r="AM6875" s="10"/>
      <c r="AN6875" s="10"/>
      <c r="AO6875" s="10"/>
      <c r="AP6875" s="10"/>
      <c r="AQ6875" s="10"/>
      <c r="AR6875" s="10"/>
      <c r="AS6875" s="10"/>
      <c r="AT6875" s="10"/>
      <c r="AU6875" s="10"/>
      <c r="AV6875" s="10"/>
      <c r="AW6875" s="10"/>
      <c r="AX6875" s="10"/>
      <c r="AY6875" s="10"/>
      <c r="AZ6875" s="10"/>
    </row>
    <row r="6876" spans="31:52">
      <c r="AE6876" s="10"/>
      <c r="AF6876" s="10"/>
      <c r="AG6876" s="10"/>
      <c r="AH6876" s="10"/>
      <c r="AI6876" s="10"/>
      <c r="AJ6876" s="10"/>
      <c r="AK6876" s="10"/>
      <c r="AL6876" s="10"/>
      <c r="AM6876" s="10"/>
      <c r="AN6876" s="10"/>
      <c r="AO6876" s="10"/>
      <c r="AP6876" s="10"/>
      <c r="AQ6876" s="10"/>
      <c r="AR6876" s="10"/>
      <c r="AS6876" s="10"/>
      <c r="AT6876" s="10"/>
      <c r="AU6876" s="10"/>
      <c r="AV6876" s="10"/>
      <c r="AW6876" s="10"/>
      <c r="AX6876" s="10"/>
      <c r="AY6876" s="10"/>
      <c r="AZ6876" s="10"/>
    </row>
    <row r="6877" spans="31:52">
      <c r="AE6877" s="10"/>
      <c r="AF6877" s="10"/>
      <c r="AG6877" s="10"/>
      <c r="AH6877" s="10"/>
      <c r="AI6877" s="10"/>
      <c r="AJ6877" s="10"/>
      <c r="AK6877" s="10"/>
      <c r="AL6877" s="10"/>
      <c r="AM6877" s="10"/>
      <c r="AN6877" s="10"/>
      <c r="AO6877" s="10"/>
      <c r="AP6877" s="10"/>
      <c r="AQ6877" s="10"/>
      <c r="AR6877" s="10"/>
      <c r="AS6877" s="10"/>
      <c r="AT6877" s="10"/>
      <c r="AU6877" s="10"/>
      <c r="AV6877" s="10"/>
      <c r="AW6877" s="10"/>
      <c r="AX6877" s="10"/>
      <c r="AY6877" s="10"/>
      <c r="AZ6877" s="10"/>
    </row>
    <row r="6878" spans="31:52">
      <c r="AE6878" s="10"/>
      <c r="AF6878" s="10"/>
      <c r="AG6878" s="10"/>
      <c r="AH6878" s="10"/>
      <c r="AI6878" s="10"/>
      <c r="AJ6878" s="10"/>
      <c r="AK6878" s="10"/>
      <c r="AL6878" s="10"/>
      <c r="AM6878" s="10"/>
      <c r="AN6878" s="10"/>
      <c r="AO6878" s="10"/>
      <c r="AP6878" s="10"/>
      <c r="AQ6878" s="10"/>
      <c r="AR6878" s="10"/>
      <c r="AS6878" s="10"/>
      <c r="AT6878" s="10"/>
      <c r="AU6878" s="10"/>
      <c r="AV6878" s="10"/>
      <c r="AW6878" s="10"/>
      <c r="AX6878" s="10"/>
      <c r="AY6878" s="10"/>
      <c r="AZ6878" s="10"/>
    </row>
    <row r="6879" spans="31:52">
      <c r="AE6879" s="10"/>
      <c r="AF6879" s="10"/>
      <c r="AG6879" s="10"/>
      <c r="AH6879" s="10"/>
      <c r="AI6879" s="10"/>
      <c r="AJ6879" s="10"/>
      <c r="AK6879" s="10"/>
      <c r="AL6879" s="10"/>
      <c r="AM6879" s="10"/>
      <c r="AN6879" s="10"/>
      <c r="AO6879" s="10"/>
      <c r="AP6879" s="10"/>
      <c r="AQ6879" s="10"/>
      <c r="AR6879" s="10"/>
      <c r="AS6879" s="10"/>
      <c r="AT6879" s="10"/>
      <c r="AU6879" s="10"/>
      <c r="AV6879" s="10"/>
      <c r="AW6879" s="10"/>
      <c r="AX6879" s="10"/>
      <c r="AY6879" s="10"/>
      <c r="AZ6879" s="10"/>
    </row>
    <row r="6880" spans="31:52">
      <c r="AE6880" s="10"/>
      <c r="AF6880" s="10"/>
      <c r="AG6880" s="10"/>
      <c r="AH6880" s="10"/>
      <c r="AI6880" s="10"/>
      <c r="AJ6880" s="10"/>
      <c r="AK6880" s="10"/>
      <c r="AL6880" s="10"/>
      <c r="AM6880" s="10"/>
      <c r="AN6880" s="10"/>
      <c r="AO6880" s="10"/>
      <c r="AP6880" s="10"/>
      <c r="AQ6880" s="10"/>
      <c r="AR6880" s="10"/>
      <c r="AS6880" s="10"/>
      <c r="AT6880" s="10"/>
      <c r="AU6880" s="10"/>
      <c r="AV6880" s="10"/>
      <c r="AW6880" s="10"/>
      <c r="AX6880" s="10"/>
      <c r="AY6880" s="10"/>
      <c r="AZ6880" s="10"/>
    </row>
    <row r="6881" spans="31:52">
      <c r="AE6881" s="10"/>
      <c r="AF6881" s="10"/>
      <c r="AG6881" s="10"/>
      <c r="AH6881" s="10"/>
      <c r="AI6881" s="10"/>
      <c r="AJ6881" s="10"/>
      <c r="AK6881" s="10"/>
      <c r="AL6881" s="10"/>
      <c r="AM6881" s="10"/>
      <c r="AN6881" s="10"/>
      <c r="AO6881" s="10"/>
      <c r="AP6881" s="10"/>
      <c r="AQ6881" s="10"/>
      <c r="AR6881" s="10"/>
      <c r="AS6881" s="10"/>
      <c r="AT6881" s="10"/>
      <c r="AU6881" s="10"/>
      <c r="AV6881" s="10"/>
      <c r="AW6881" s="10"/>
      <c r="AX6881" s="10"/>
      <c r="AY6881" s="10"/>
      <c r="AZ6881" s="10"/>
    </row>
    <row r="6882" spans="31:52">
      <c r="AE6882" s="10"/>
      <c r="AF6882" s="10"/>
      <c r="AG6882" s="10"/>
      <c r="AH6882" s="10"/>
      <c r="AI6882" s="10"/>
      <c r="AJ6882" s="10"/>
      <c r="AK6882" s="10"/>
      <c r="AL6882" s="10"/>
      <c r="AM6882" s="10"/>
      <c r="AN6882" s="10"/>
      <c r="AO6882" s="10"/>
      <c r="AP6882" s="10"/>
      <c r="AQ6882" s="10"/>
      <c r="AR6882" s="10"/>
      <c r="AS6882" s="10"/>
      <c r="AT6882" s="10"/>
      <c r="AU6882" s="10"/>
      <c r="AV6882" s="10"/>
      <c r="AW6882" s="10"/>
      <c r="AX6882" s="10"/>
      <c r="AY6882" s="10"/>
      <c r="AZ6882" s="10"/>
    </row>
    <row r="6883" spans="31:52">
      <c r="AE6883" s="10"/>
      <c r="AF6883" s="10"/>
      <c r="AG6883" s="10"/>
      <c r="AH6883" s="10"/>
      <c r="AI6883" s="10"/>
      <c r="AJ6883" s="10"/>
      <c r="AK6883" s="10"/>
      <c r="AL6883" s="10"/>
      <c r="AM6883" s="10"/>
      <c r="AN6883" s="10"/>
      <c r="AO6883" s="10"/>
      <c r="AP6883" s="10"/>
      <c r="AQ6883" s="10"/>
      <c r="AR6883" s="10"/>
      <c r="AS6883" s="10"/>
      <c r="AT6883" s="10"/>
      <c r="AU6883" s="10"/>
      <c r="AV6883" s="10"/>
      <c r="AW6883" s="10"/>
      <c r="AX6883" s="10"/>
      <c r="AY6883" s="10"/>
      <c r="AZ6883" s="10"/>
    </row>
    <row r="6884" spans="31:52">
      <c r="AE6884" s="10"/>
      <c r="AF6884" s="10"/>
      <c r="AG6884" s="10"/>
      <c r="AH6884" s="10"/>
      <c r="AI6884" s="10"/>
      <c r="AJ6884" s="10"/>
      <c r="AK6884" s="10"/>
      <c r="AL6884" s="10"/>
      <c r="AM6884" s="10"/>
      <c r="AN6884" s="10"/>
      <c r="AO6884" s="10"/>
      <c r="AP6884" s="10"/>
      <c r="AQ6884" s="10"/>
      <c r="AR6884" s="10"/>
      <c r="AS6884" s="10"/>
      <c r="AT6884" s="10"/>
      <c r="AU6884" s="10"/>
      <c r="AV6884" s="10"/>
      <c r="AW6884" s="10"/>
      <c r="AX6884" s="10"/>
      <c r="AY6884" s="10"/>
      <c r="AZ6884" s="10"/>
    </row>
    <row r="6885" spans="31:52">
      <c r="AE6885" s="10"/>
      <c r="AF6885" s="10"/>
      <c r="AG6885" s="10"/>
      <c r="AH6885" s="10"/>
      <c r="AI6885" s="10"/>
      <c r="AJ6885" s="10"/>
      <c r="AK6885" s="10"/>
      <c r="AL6885" s="10"/>
      <c r="AM6885" s="10"/>
      <c r="AN6885" s="10"/>
      <c r="AO6885" s="10"/>
      <c r="AP6885" s="10"/>
      <c r="AQ6885" s="10"/>
      <c r="AR6885" s="10"/>
      <c r="AS6885" s="10"/>
      <c r="AT6885" s="10"/>
      <c r="AU6885" s="10"/>
      <c r="AV6885" s="10"/>
      <c r="AW6885" s="10"/>
      <c r="AX6885" s="10"/>
      <c r="AY6885" s="10"/>
      <c r="AZ6885" s="10"/>
    </row>
    <row r="6886" spans="31:52">
      <c r="AE6886" s="10"/>
      <c r="AF6886" s="10"/>
      <c r="AG6886" s="10"/>
      <c r="AH6886" s="10"/>
      <c r="AI6886" s="10"/>
      <c r="AJ6886" s="10"/>
      <c r="AK6886" s="10"/>
      <c r="AL6886" s="10"/>
      <c r="AM6886" s="10"/>
      <c r="AN6886" s="10"/>
      <c r="AO6886" s="10"/>
      <c r="AP6886" s="10"/>
      <c r="AQ6886" s="10"/>
      <c r="AR6886" s="10"/>
      <c r="AS6886" s="10"/>
      <c r="AT6886" s="10"/>
      <c r="AU6886" s="10"/>
      <c r="AV6886" s="10"/>
      <c r="AW6886" s="10"/>
      <c r="AX6886" s="10"/>
      <c r="AY6886" s="10"/>
      <c r="AZ6886" s="10"/>
    </row>
    <row r="6887" spans="31:52">
      <c r="AE6887" s="10"/>
      <c r="AF6887" s="10"/>
      <c r="AG6887" s="10"/>
      <c r="AH6887" s="10"/>
      <c r="AI6887" s="10"/>
      <c r="AJ6887" s="10"/>
      <c r="AK6887" s="10"/>
      <c r="AL6887" s="10"/>
      <c r="AM6887" s="10"/>
      <c r="AN6887" s="10"/>
      <c r="AO6887" s="10"/>
      <c r="AP6887" s="10"/>
      <c r="AQ6887" s="10"/>
      <c r="AR6887" s="10"/>
      <c r="AS6887" s="10"/>
      <c r="AT6887" s="10"/>
      <c r="AU6887" s="10"/>
      <c r="AV6887" s="10"/>
      <c r="AW6887" s="10"/>
      <c r="AX6887" s="10"/>
      <c r="AY6887" s="10"/>
      <c r="AZ6887" s="10"/>
    </row>
    <row r="6888" spans="31:52">
      <c r="AE6888" s="10"/>
      <c r="AF6888" s="10"/>
      <c r="AG6888" s="10"/>
      <c r="AH6888" s="10"/>
      <c r="AI6888" s="10"/>
      <c r="AJ6888" s="10"/>
      <c r="AK6888" s="10"/>
      <c r="AL6888" s="10"/>
      <c r="AM6888" s="10"/>
      <c r="AN6888" s="10"/>
      <c r="AO6888" s="10"/>
      <c r="AP6888" s="10"/>
      <c r="AQ6888" s="10"/>
      <c r="AR6888" s="10"/>
      <c r="AS6888" s="10"/>
      <c r="AT6888" s="10"/>
      <c r="AU6888" s="10"/>
      <c r="AV6888" s="10"/>
      <c r="AW6888" s="10"/>
      <c r="AX6888" s="10"/>
      <c r="AY6888" s="10"/>
      <c r="AZ6888" s="10"/>
    </row>
    <row r="6889" spans="31:52">
      <c r="AE6889" s="10"/>
      <c r="AF6889" s="10"/>
      <c r="AG6889" s="10"/>
      <c r="AH6889" s="10"/>
      <c r="AI6889" s="10"/>
      <c r="AJ6889" s="10"/>
      <c r="AK6889" s="10"/>
      <c r="AL6889" s="10"/>
      <c r="AM6889" s="10"/>
      <c r="AN6889" s="10"/>
      <c r="AO6889" s="10"/>
      <c r="AP6889" s="10"/>
      <c r="AQ6889" s="10"/>
      <c r="AR6889" s="10"/>
      <c r="AS6889" s="10"/>
      <c r="AT6889" s="10"/>
      <c r="AU6889" s="10"/>
      <c r="AV6889" s="10"/>
      <c r="AW6889" s="10"/>
      <c r="AX6889" s="10"/>
      <c r="AY6889" s="10"/>
      <c r="AZ6889" s="10"/>
    </row>
    <row r="6890" spans="31:52">
      <c r="AE6890" s="10"/>
      <c r="AF6890" s="10"/>
      <c r="AG6890" s="10"/>
      <c r="AH6890" s="10"/>
      <c r="AI6890" s="10"/>
      <c r="AJ6890" s="10"/>
      <c r="AK6890" s="10"/>
      <c r="AL6890" s="10"/>
      <c r="AM6890" s="10"/>
      <c r="AN6890" s="10"/>
      <c r="AO6890" s="10"/>
      <c r="AP6890" s="10"/>
      <c r="AQ6890" s="10"/>
      <c r="AR6890" s="10"/>
      <c r="AS6890" s="10"/>
      <c r="AT6890" s="10"/>
      <c r="AU6890" s="10"/>
      <c r="AV6890" s="10"/>
      <c r="AW6890" s="10"/>
      <c r="AX6890" s="10"/>
      <c r="AY6890" s="10"/>
      <c r="AZ6890" s="10"/>
    </row>
    <row r="6891" spans="31:52">
      <c r="AE6891" s="10"/>
      <c r="AF6891" s="10"/>
      <c r="AG6891" s="10"/>
      <c r="AH6891" s="10"/>
      <c r="AI6891" s="10"/>
      <c r="AJ6891" s="10"/>
      <c r="AK6891" s="10"/>
      <c r="AL6891" s="10"/>
      <c r="AM6891" s="10"/>
      <c r="AN6891" s="10"/>
      <c r="AO6891" s="10"/>
      <c r="AP6891" s="10"/>
      <c r="AQ6891" s="10"/>
      <c r="AR6891" s="10"/>
      <c r="AS6891" s="10"/>
      <c r="AT6891" s="10"/>
      <c r="AU6891" s="10"/>
      <c r="AV6891" s="10"/>
      <c r="AW6891" s="10"/>
      <c r="AX6891" s="10"/>
      <c r="AY6891" s="10"/>
      <c r="AZ6891" s="10"/>
    </row>
    <row r="6892" spans="31:52">
      <c r="AE6892" s="10"/>
      <c r="AF6892" s="10"/>
      <c r="AG6892" s="10"/>
      <c r="AH6892" s="10"/>
      <c r="AI6892" s="10"/>
      <c r="AJ6892" s="10"/>
      <c r="AK6892" s="10"/>
      <c r="AL6892" s="10"/>
      <c r="AM6892" s="10"/>
      <c r="AN6892" s="10"/>
      <c r="AO6892" s="10"/>
      <c r="AP6892" s="10"/>
      <c r="AQ6892" s="10"/>
      <c r="AR6892" s="10"/>
      <c r="AS6892" s="10"/>
      <c r="AT6892" s="10"/>
      <c r="AU6892" s="10"/>
      <c r="AV6892" s="10"/>
      <c r="AW6892" s="10"/>
      <c r="AX6892" s="10"/>
      <c r="AY6892" s="10"/>
      <c r="AZ6892" s="10"/>
    </row>
    <row r="6893" spans="31:52">
      <c r="AE6893" s="10"/>
      <c r="AF6893" s="10"/>
      <c r="AG6893" s="10"/>
      <c r="AH6893" s="10"/>
      <c r="AI6893" s="10"/>
      <c r="AJ6893" s="10"/>
      <c r="AK6893" s="10"/>
      <c r="AL6893" s="10"/>
      <c r="AM6893" s="10"/>
      <c r="AN6893" s="10"/>
      <c r="AO6893" s="10"/>
      <c r="AP6893" s="10"/>
      <c r="AQ6893" s="10"/>
      <c r="AR6893" s="10"/>
      <c r="AS6893" s="10"/>
      <c r="AT6893" s="10"/>
      <c r="AU6893" s="10"/>
      <c r="AV6893" s="10"/>
      <c r="AW6893" s="10"/>
      <c r="AX6893" s="10"/>
      <c r="AY6893" s="10"/>
      <c r="AZ6893" s="10"/>
    </row>
    <row r="6894" spans="31:52">
      <c r="AE6894" s="10"/>
      <c r="AF6894" s="10"/>
      <c r="AG6894" s="10"/>
      <c r="AH6894" s="10"/>
      <c r="AI6894" s="10"/>
      <c r="AJ6894" s="10"/>
      <c r="AK6894" s="10"/>
      <c r="AL6894" s="10"/>
      <c r="AM6894" s="10"/>
      <c r="AN6894" s="10"/>
      <c r="AO6894" s="10"/>
      <c r="AP6894" s="10"/>
      <c r="AQ6894" s="10"/>
      <c r="AR6894" s="10"/>
      <c r="AS6894" s="10"/>
      <c r="AT6894" s="10"/>
      <c r="AU6894" s="10"/>
      <c r="AV6894" s="10"/>
      <c r="AW6894" s="10"/>
      <c r="AX6894" s="10"/>
      <c r="AY6894" s="10"/>
      <c r="AZ6894" s="10"/>
    </row>
    <row r="6895" spans="31:52">
      <c r="AE6895" s="10"/>
      <c r="AF6895" s="10"/>
      <c r="AG6895" s="10"/>
      <c r="AH6895" s="10"/>
      <c r="AI6895" s="10"/>
      <c r="AJ6895" s="10"/>
      <c r="AK6895" s="10"/>
      <c r="AL6895" s="10"/>
      <c r="AM6895" s="10"/>
      <c r="AN6895" s="10"/>
      <c r="AO6895" s="10"/>
      <c r="AP6895" s="10"/>
      <c r="AQ6895" s="10"/>
      <c r="AR6895" s="10"/>
      <c r="AS6895" s="10"/>
      <c r="AT6895" s="10"/>
      <c r="AU6895" s="10"/>
      <c r="AV6895" s="10"/>
      <c r="AW6895" s="10"/>
      <c r="AX6895" s="10"/>
      <c r="AY6895" s="10"/>
      <c r="AZ6895" s="10"/>
    </row>
    <row r="6896" spans="31:52">
      <c r="AE6896" s="10"/>
      <c r="AF6896" s="10"/>
      <c r="AG6896" s="10"/>
      <c r="AH6896" s="10"/>
      <c r="AI6896" s="10"/>
      <c r="AJ6896" s="10"/>
      <c r="AK6896" s="10"/>
      <c r="AL6896" s="10"/>
      <c r="AM6896" s="10"/>
      <c r="AN6896" s="10"/>
      <c r="AO6896" s="10"/>
      <c r="AP6896" s="10"/>
      <c r="AQ6896" s="10"/>
      <c r="AR6896" s="10"/>
      <c r="AS6896" s="10"/>
      <c r="AT6896" s="10"/>
      <c r="AU6896" s="10"/>
      <c r="AV6896" s="10"/>
      <c r="AW6896" s="10"/>
      <c r="AX6896" s="10"/>
      <c r="AY6896" s="10"/>
      <c r="AZ6896" s="10"/>
    </row>
    <row r="6897" spans="31:52">
      <c r="AE6897" s="10"/>
      <c r="AF6897" s="10"/>
      <c r="AG6897" s="10"/>
      <c r="AH6897" s="10"/>
      <c r="AI6897" s="10"/>
      <c r="AJ6897" s="10"/>
      <c r="AK6897" s="10"/>
      <c r="AL6897" s="10"/>
      <c r="AM6897" s="10"/>
      <c r="AN6897" s="10"/>
      <c r="AO6897" s="10"/>
      <c r="AP6897" s="10"/>
      <c r="AQ6897" s="10"/>
      <c r="AR6897" s="10"/>
      <c r="AS6897" s="10"/>
      <c r="AT6897" s="10"/>
      <c r="AU6897" s="10"/>
      <c r="AV6897" s="10"/>
      <c r="AW6897" s="10"/>
      <c r="AX6897" s="10"/>
      <c r="AY6897" s="10"/>
      <c r="AZ6897" s="10"/>
    </row>
    <row r="6898" spans="31:52">
      <c r="AE6898" s="10"/>
      <c r="AF6898" s="10"/>
      <c r="AG6898" s="10"/>
      <c r="AH6898" s="10"/>
      <c r="AI6898" s="10"/>
      <c r="AJ6898" s="10"/>
      <c r="AK6898" s="10"/>
      <c r="AL6898" s="10"/>
      <c r="AM6898" s="10"/>
      <c r="AN6898" s="10"/>
      <c r="AO6898" s="10"/>
      <c r="AP6898" s="10"/>
      <c r="AQ6898" s="10"/>
      <c r="AR6898" s="10"/>
      <c r="AS6898" s="10"/>
      <c r="AT6898" s="10"/>
      <c r="AU6898" s="10"/>
      <c r="AV6898" s="10"/>
      <c r="AW6898" s="10"/>
      <c r="AX6898" s="10"/>
      <c r="AY6898" s="10"/>
      <c r="AZ6898" s="10"/>
    </row>
    <row r="6899" spans="31:52">
      <c r="AE6899" s="10"/>
      <c r="AF6899" s="10"/>
      <c r="AG6899" s="10"/>
      <c r="AH6899" s="10"/>
      <c r="AI6899" s="10"/>
      <c r="AJ6899" s="10"/>
      <c r="AK6899" s="10"/>
      <c r="AL6899" s="10"/>
      <c r="AM6899" s="10"/>
      <c r="AN6899" s="10"/>
      <c r="AO6899" s="10"/>
      <c r="AP6899" s="10"/>
      <c r="AQ6899" s="10"/>
      <c r="AR6899" s="10"/>
      <c r="AS6899" s="10"/>
      <c r="AT6899" s="10"/>
      <c r="AU6899" s="10"/>
      <c r="AV6899" s="10"/>
      <c r="AW6899" s="10"/>
      <c r="AX6899" s="10"/>
      <c r="AY6899" s="10"/>
      <c r="AZ6899" s="10"/>
    </row>
    <row r="6900" spans="31:52">
      <c r="AE6900" s="10"/>
      <c r="AF6900" s="10"/>
      <c r="AG6900" s="10"/>
      <c r="AH6900" s="10"/>
      <c r="AI6900" s="10"/>
      <c r="AJ6900" s="10"/>
      <c r="AK6900" s="10"/>
      <c r="AL6900" s="10"/>
      <c r="AM6900" s="10"/>
      <c r="AN6900" s="10"/>
      <c r="AO6900" s="10"/>
      <c r="AP6900" s="10"/>
      <c r="AQ6900" s="10"/>
      <c r="AR6900" s="10"/>
      <c r="AS6900" s="10"/>
      <c r="AT6900" s="10"/>
      <c r="AU6900" s="10"/>
      <c r="AV6900" s="10"/>
      <c r="AW6900" s="10"/>
      <c r="AX6900" s="10"/>
      <c r="AY6900" s="10"/>
      <c r="AZ6900" s="10"/>
    </row>
    <row r="6901" spans="31:52">
      <c r="AE6901" s="10"/>
      <c r="AF6901" s="10"/>
      <c r="AG6901" s="10"/>
      <c r="AH6901" s="10"/>
      <c r="AI6901" s="10"/>
      <c r="AJ6901" s="10"/>
      <c r="AK6901" s="10"/>
      <c r="AL6901" s="10"/>
      <c r="AM6901" s="10"/>
      <c r="AN6901" s="10"/>
      <c r="AO6901" s="10"/>
      <c r="AP6901" s="10"/>
      <c r="AQ6901" s="10"/>
      <c r="AR6901" s="10"/>
      <c r="AS6901" s="10"/>
      <c r="AT6901" s="10"/>
      <c r="AU6901" s="10"/>
      <c r="AV6901" s="10"/>
      <c r="AW6901" s="10"/>
      <c r="AX6901" s="10"/>
      <c r="AY6901" s="10"/>
      <c r="AZ6901" s="10"/>
    </row>
    <row r="6902" spans="31:52">
      <c r="AE6902" s="10"/>
      <c r="AF6902" s="10"/>
      <c r="AG6902" s="10"/>
      <c r="AH6902" s="10"/>
      <c r="AI6902" s="10"/>
      <c r="AJ6902" s="10"/>
      <c r="AK6902" s="10"/>
      <c r="AL6902" s="10"/>
      <c r="AM6902" s="10"/>
      <c r="AN6902" s="10"/>
      <c r="AO6902" s="10"/>
      <c r="AP6902" s="10"/>
      <c r="AQ6902" s="10"/>
      <c r="AR6902" s="10"/>
      <c r="AS6902" s="10"/>
      <c r="AT6902" s="10"/>
      <c r="AU6902" s="10"/>
      <c r="AV6902" s="10"/>
      <c r="AW6902" s="10"/>
      <c r="AX6902" s="10"/>
      <c r="AY6902" s="10"/>
      <c r="AZ6902" s="10"/>
    </row>
    <row r="6903" spans="31:52">
      <c r="AE6903" s="10"/>
      <c r="AF6903" s="10"/>
      <c r="AG6903" s="10"/>
      <c r="AH6903" s="10"/>
      <c r="AI6903" s="10"/>
      <c r="AJ6903" s="10"/>
      <c r="AK6903" s="10"/>
      <c r="AL6903" s="10"/>
      <c r="AM6903" s="10"/>
      <c r="AN6903" s="10"/>
      <c r="AO6903" s="10"/>
      <c r="AP6903" s="10"/>
      <c r="AQ6903" s="10"/>
      <c r="AR6903" s="10"/>
      <c r="AS6903" s="10"/>
      <c r="AT6903" s="10"/>
      <c r="AU6903" s="10"/>
      <c r="AV6903" s="10"/>
      <c r="AW6903" s="10"/>
      <c r="AX6903" s="10"/>
      <c r="AY6903" s="10"/>
      <c r="AZ6903" s="10"/>
    </row>
    <row r="6904" spans="31:52">
      <c r="AE6904" s="10"/>
      <c r="AF6904" s="10"/>
      <c r="AG6904" s="10"/>
      <c r="AH6904" s="10"/>
      <c r="AI6904" s="10"/>
      <c r="AJ6904" s="10"/>
      <c r="AK6904" s="10"/>
      <c r="AL6904" s="10"/>
      <c r="AM6904" s="10"/>
      <c r="AN6904" s="10"/>
      <c r="AO6904" s="10"/>
      <c r="AP6904" s="10"/>
      <c r="AQ6904" s="10"/>
      <c r="AR6904" s="10"/>
      <c r="AS6904" s="10"/>
      <c r="AT6904" s="10"/>
      <c r="AU6904" s="10"/>
      <c r="AV6904" s="10"/>
      <c r="AW6904" s="10"/>
      <c r="AX6904" s="10"/>
      <c r="AY6904" s="10"/>
      <c r="AZ6904" s="10"/>
    </row>
    <row r="6905" spans="31:52">
      <c r="AE6905" s="10"/>
      <c r="AF6905" s="10"/>
      <c r="AG6905" s="10"/>
      <c r="AH6905" s="10"/>
      <c r="AI6905" s="10"/>
      <c r="AJ6905" s="10"/>
      <c r="AK6905" s="10"/>
      <c r="AL6905" s="10"/>
      <c r="AM6905" s="10"/>
      <c r="AN6905" s="10"/>
      <c r="AO6905" s="10"/>
      <c r="AP6905" s="10"/>
      <c r="AQ6905" s="10"/>
      <c r="AR6905" s="10"/>
      <c r="AS6905" s="10"/>
      <c r="AT6905" s="10"/>
      <c r="AU6905" s="10"/>
      <c r="AV6905" s="10"/>
      <c r="AW6905" s="10"/>
      <c r="AX6905" s="10"/>
      <c r="AY6905" s="10"/>
      <c r="AZ6905" s="10"/>
    </row>
    <row r="6906" spans="31:52">
      <c r="AE6906" s="10"/>
      <c r="AF6906" s="10"/>
      <c r="AG6906" s="10"/>
      <c r="AH6906" s="10"/>
      <c r="AI6906" s="10"/>
      <c r="AJ6906" s="10"/>
      <c r="AK6906" s="10"/>
      <c r="AL6906" s="10"/>
      <c r="AM6906" s="10"/>
      <c r="AN6906" s="10"/>
      <c r="AO6906" s="10"/>
      <c r="AP6906" s="10"/>
      <c r="AQ6906" s="10"/>
      <c r="AR6906" s="10"/>
      <c r="AS6906" s="10"/>
      <c r="AT6906" s="10"/>
      <c r="AU6906" s="10"/>
      <c r="AV6906" s="10"/>
      <c r="AW6906" s="10"/>
      <c r="AX6906" s="10"/>
      <c r="AY6906" s="10"/>
      <c r="AZ6906" s="10"/>
    </row>
    <row r="6907" spans="31:52">
      <c r="AE6907" s="10"/>
      <c r="AF6907" s="10"/>
      <c r="AG6907" s="10"/>
      <c r="AH6907" s="10"/>
      <c r="AI6907" s="10"/>
      <c r="AJ6907" s="10"/>
      <c r="AK6907" s="10"/>
      <c r="AL6907" s="10"/>
      <c r="AM6907" s="10"/>
      <c r="AN6907" s="10"/>
      <c r="AO6907" s="10"/>
      <c r="AP6907" s="10"/>
      <c r="AQ6907" s="10"/>
      <c r="AR6907" s="10"/>
      <c r="AS6907" s="10"/>
      <c r="AT6907" s="10"/>
      <c r="AU6907" s="10"/>
      <c r="AV6907" s="10"/>
      <c r="AW6907" s="10"/>
      <c r="AX6907" s="10"/>
      <c r="AY6907" s="10"/>
      <c r="AZ6907" s="10"/>
    </row>
    <row r="6908" spans="31:52">
      <c r="AE6908" s="10"/>
      <c r="AF6908" s="10"/>
      <c r="AG6908" s="10"/>
      <c r="AH6908" s="10"/>
      <c r="AI6908" s="10"/>
      <c r="AJ6908" s="10"/>
      <c r="AK6908" s="10"/>
      <c r="AL6908" s="10"/>
      <c r="AM6908" s="10"/>
      <c r="AN6908" s="10"/>
      <c r="AO6908" s="10"/>
      <c r="AP6908" s="10"/>
      <c r="AQ6908" s="10"/>
      <c r="AR6908" s="10"/>
      <c r="AS6908" s="10"/>
      <c r="AT6908" s="10"/>
      <c r="AU6908" s="10"/>
      <c r="AV6908" s="10"/>
      <c r="AW6908" s="10"/>
      <c r="AX6908" s="10"/>
      <c r="AY6908" s="10"/>
      <c r="AZ6908" s="10"/>
    </row>
    <row r="6909" spans="31:52">
      <c r="AE6909" s="10"/>
      <c r="AF6909" s="10"/>
      <c r="AG6909" s="10"/>
      <c r="AH6909" s="10"/>
      <c r="AI6909" s="10"/>
      <c r="AJ6909" s="10"/>
      <c r="AK6909" s="10"/>
      <c r="AL6909" s="10"/>
      <c r="AM6909" s="10"/>
      <c r="AN6909" s="10"/>
      <c r="AO6909" s="10"/>
      <c r="AP6909" s="10"/>
      <c r="AQ6909" s="10"/>
      <c r="AR6909" s="10"/>
      <c r="AS6909" s="10"/>
      <c r="AT6909" s="10"/>
      <c r="AU6909" s="10"/>
      <c r="AV6909" s="10"/>
      <c r="AW6909" s="10"/>
      <c r="AX6909" s="10"/>
      <c r="AY6909" s="10"/>
      <c r="AZ6909" s="10"/>
    </row>
    <row r="6910" spans="31:52">
      <c r="AE6910" s="10"/>
      <c r="AF6910" s="10"/>
      <c r="AG6910" s="10"/>
      <c r="AH6910" s="10"/>
      <c r="AI6910" s="10"/>
      <c r="AJ6910" s="10"/>
      <c r="AK6910" s="10"/>
      <c r="AL6910" s="10"/>
      <c r="AM6910" s="10"/>
      <c r="AN6910" s="10"/>
      <c r="AO6910" s="10"/>
      <c r="AP6910" s="10"/>
      <c r="AQ6910" s="10"/>
      <c r="AR6910" s="10"/>
      <c r="AS6910" s="10"/>
      <c r="AT6910" s="10"/>
      <c r="AU6910" s="10"/>
      <c r="AV6910" s="10"/>
      <c r="AW6910" s="10"/>
      <c r="AX6910" s="10"/>
      <c r="AY6910" s="10"/>
      <c r="AZ6910" s="10"/>
    </row>
    <row r="6911" spans="31:52">
      <c r="AE6911" s="10"/>
      <c r="AF6911" s="10"/>
      <c r="AG6911" s="10"/>
      <c r="AH6911" s="10"/>
      <c r="AI6911" s="10"/>
      <c r="AJ6911" s="10"/>
      <c r="AK6911" s="10"/>
      <c r="AL6911" s="10"/>
      <c r="AM6911" s="10"/>
      <c r="AN6911" s="10"/>
      <c r="AO6911" s="10"/>
      <c r="AP6911" s="10"/>
      <c r="AQ6911" s="10"/>
      <c r="AR6911" s="10"/>
      <c r="AS6911" s="10"/>
      <c r="AT6911" s="10"/>
      <c r="AU6911" s="10"/>
      <c r="AV6911" s="10"/>
      <c r="AW6911" s="10"/>
      <c r="AX6911" s="10"/>
      <c r="AY6911" s="10"/>
      <c r="AZ6911" s="10"/>
    </row>
    <row r="6912" spans="31:52">
      <c r="AE6912" s="10"/>
      <c r="AF6912" s="10"/>
      <c r="AG6912" s="10"/>
      <c r="AH6912" s="10"/>
      <c r="AI6912" s="10"/>
      <c r="AJ6912" s="10"/>
      <c r="AK6912" s="10"/>
      <c r="AL6912" s="10"/>
      <c r="AM6912" s="10"/>
      <c r="AN6912" s="10"/>
      <c r="AO6912" s="10"/>
      <c r="AP6912" s="10"/>
      <c r="AQ6912" s="10"/>
      <c r="AR6912" s="10"/>
      <c r="AS6912" s="10"/>
      <c r="AT6912" s="10"/>
      <c r="AU6912" s="10"/>
      <c r="AV6912" s="10"/>
      <c r="AW6912" s="10"/>
      <c r="AX6912" s="10"/>
      <c r="AY6912" s="10"/>
      <c r="AZ6912" s="10"/>
    </row>
    <row r="6913" spans="31:52">
      <c r="AE6913" s="10"/>
      <c r="AF6913" s="10"/>
      <c r="AG6913" s="10"/>
      <c r="AH6913" s="10"/>
      <c r="AI6913" s="10"/>
      <c r="AJ6913" s="10"/>
      <c r="AK6913" s="10"/>
      <c r="AL6913" s="10"/>
      <c r="AM6913" s="10"/>
      <c r="AN6913" s="10"/>
      <c r="AO6913" s="10"/>
      <c r="AP6913" s="10"/>
      <c r="AQ6913" s="10"/>
      <c r="AR6913" s="10"/>
      <c r="AS6913" s="10"/>
      <c r="AT6913" s="10"/>
      <c r="AU6913" s="10"/>
      <c r="AV6913" s="10"/>
      <c r="AW6913" s="10"/>
      <c r="AX6913" s="10"/>
      <c r="AY6913" s="10"/>
      <c r="AZ6913" s="10"/>
    </row>
    <row r="6914" spans="31:52">
      <c r="AE6914" s="10"/>
      <c r="AF6914" s="10"/>
      <c r="AG6914" s="10"/>
      <c r="AH6914" s="10"/>
      <c r="AI6914" s="10"/>
      <c r="AJ6914" s="10"/>
      <c r="AK6914" s="10"/>
      <c r="AL6914" s="10"/>
      <c r="AM6914" s="10"/>
      <c r="AN6914" s="10"/>
      <c r="AO6914" s="10"/>
      <c r="AP6914" s="10"/>
      <c r="AQ6914" s="10"/>
      <c r="AR6914" s="10"/>
      <c r="AS6914" s="10"/>
      <c r="AT6914" s="10"/>
      <c r="AU6914" s="10"/>
      <c r="AV6914" s="10"/>
      <c r="AW6914" s="10"/>
      <c r="AX6914" s="10"/>
      <c r="AY6914" s="10"/>
      <c r="AZ6914" s="10"/>
    </row>
    <row r="6915" spans="31:52">
      <c r="AE6915" s="10"/>
      <c r="AF6915" s="10"/>
      <c r="AG6915" s="10"/>
      <c r="AH6915" s="10"/>
      <c r="AI6915" s="10"/>
      <c r="AJ6915" s="10"/>
      <c r="AK6915" s="10"/>
      <c r="AL6915" s="10"/>
      <c r="AM6915" s="10"/>
      <c r="AN6915" s="10"/>
      <c r="AO6915" s="10"/>
      <c r="AP6915" s="10"/>
      <c r="AQ6915" s="10"/>
      <c r="AR6915" s="10"/>
      <c r="AS6915" s="10"/>
      <c r="AT6915" s="10"/>
      <c r="AU6915" s="10"/>
      <c r="AV6915" s="10"/>
      <c r="AW6915" s="10"/>
      <c r="AX6915" s="10"/>
      <c r="AY6915" s="10"/>
      <c r="AZ6915" s="10"/>
    </row>
    <row r="6916" spans="31:52">
      <c r="AE6916" s="10"/>
      <c r="AF6916" s="10"/>
      <c r="AG6916" s="10"/>
      <c r="AH6916" s="10"/>
      <c r="AI6916" s="10"/>
      <c r="AJ6916" s="10"/>
      <c r="AK6916" s="10"/>
      <c r="AL6916" s="10"/>
      <c r="AM6916" s="10"/>
      <c r="AN6916" s="10"/>
      <c r="AO6916" s="10"/>
      <c r="AP6916" s="10"/>
      <c r="AQ6916" s="10"/>
      <c r="AR6916" s="10"/>
      <c r="AS6916" s="10"/>
      <c r="AT6916" s="10"/>
      <c r="AU6916" s="10"/>
      <c r="AV6916" s="10"/>
      <c r="AW6916" s="10"/>
      <c r="AX6916" s="10"/>
      <c r="AY6916" s="10"/>
      <c r="AZ6916" s="10"/>
    </row>
    <row r="6917" spans="31:52">
      <c r="AE6917" s="10"/>
      <c r="AF6917" s="10"/>
      <c r="AG6917" s="10"/>
      <c r="AH6917" s="10"/>
      <c r="AI6917" s="10"/>
      <c r="AJ6917" s="10"/>
      <c r="AK6917" s="10"/>
      <c r="AL6917" s="10"/>
      <c r="AM6917" s="10"/>
      <c r="AN6917" s="10"/>
      <c r="AO6917" s="10"/>
      <c r="AP6917" s="10"/>
      <c r="AQ6917" s="10"/>
      <c r="AR6917" s="10"/>
      <c r="AS6917" s="10"/>
      <c r="AT6917" s="10"/>
      <c r="AU6917" s="10"/>
      <c r="AV6917" s="10"/>
      <c r="AW6917" s="10"/>
      <c r="AX6917" s="10"/>
      <c r="AY6917" s="10"/>
      <c r="AZ6917" s="10"/>
    </row>
    <row r="6918" spans="31:52">
      <c r="AE6918" s="10"/>
      <c r="AF6918" s="10"/>
      <c r="AG6918" s="10"/>
      <c r="AH6918" s="10"/>
      <c r="AI6918" s="10"/>
      <c r="AJ6918" s="10"/>
      <c r="AK6918" s="10"/>
      <c r="AL6918" s="10"/>
      <c r="AM6918" s="10"/>
      <c r="AN6918" s="10"/>
      <c r="AO6918" s="10"/>
      <c r="AP6918" s="10"/>
      <c r="AQ6918" s="10"/>
      <c r="AR6918" s="10"/>
      <c r="AS6918" s="10"/>
      <c r="AT6918" s="10"/>
      <c r="AU6918" s="10"/>
      <c r="AV6918" s="10"/>
      <c r="AW6918" s="10"/>
      <c r="AX6918" s="10"/>
      <c r="AY6918" s="10"/>
      <c r="AZ6918" s="10"/>
    </row>
    <row r="6919" spans="31:52">
      <c r="AE6919" s="10"/>
      <c r="AF6919" s="10"/>
      <c r="AG6919" s="10"/>
      <c r="AH6919" s="10"/>
      <c r="AI6919" s="10"/>
      <c r="AJ6919" s="10"/>
      <c r="AK6919" s="10"/>
      <c r="AL6919" s="10"/>
      <c r="AM6919" s="10"/>
      <c r="AN6919" s="10"/>
      <c r="AO6919" s="10"/>
      <c r="AP6919" s="10"/>
      <c r="AQ6919" s="10"/>
      <c r="AR6919" s="10"/>
      <c r="AS6919" s="10"/>
      <c r="AT6919" s="10"/>
      <c r="AU6919" s="10"/>
      <c r="AV6919" s="10"/>
      <c r="AW6919" s="10"/>
      <c r="AX6919" s="10"/>
      <c r="AY6919" s="10"/>
      <c r="AZ6919" s="10"/>
    </row>
    <row r="6920" spans="31:52">
      <c r="AE6920" s="10"/>
      <c r="AF6920" s="10"/>
      <c r="AG6920" s="10"/>
      <c r="AH6920" s="10"/>
      <c r="AI6920" s="10"/>
      <c r="AJ6920" s="10"/>
      <c r="AK6920" s="10"/>
      <c r="AL6920" s="10"/>
      <c r="AM6920" s="10"/>
      <c r="AN6920" s="10"/>
      <c r="AO6920" s="10"/>
      <c r="AP6920" s="10"/>
      <c r="AQ6920" s="10"/>
      <c r="AR6920" s="10"/>
      <c r="AS6920" s="10"/>
      <c r="AT6920" s="10"/>
      <c r="AU6920" s="10"/>
      <c r="AV6920" s="10"/>
      <c r="AW6920" s="10"/>
      <c r="AX6920" s="10"/>
      <c r="AY6920" s="10"/>
      <c r="AZ6920" s="10"/>
    </row>
    <row r="6921" spans="31:52">
      <c r="AE6921" s="10"/>
      <c r="AF6921" s="10"/>
      <c r="AG6921" s="10"/>
      <c r="AH6921" s="10"/>
      <c r="AI6921" s="10"/>
      <c r="AJ6921" s="10"/>
      <c r="AK6921" s="10"/>
      <c r="AL6921" s="10"/>
      <c r="AM6921" s="10"/>
      <c r="AN6921" s="10"/>
      <c r="AO6921" s="10"/>
      <c r="AP6921" s="10"/>
      <c r="AQ6921" s="10"/>
      <c r="AR6921" s="10"/>
      <c r="AS6921" s="10"/>
      <c r="AT6921" s="10"/>
      <c r="AU6921" s="10"/>
      <c r="AV6921" s="10"/>
      <c r="AW6921" s="10"/>
      <c r="AX6921" s="10"/>
      <c r="AY6921" s="10"/>
      <c r="AZ6921" s="10"/>
    </row>
    <row r="6922" spans="31:52">
      <c r="AE6922" s="10"/>
      <c r="AF6922" s="10"/>
      <c r="AG6922" s="10"/>
      <c r="AH6922" s="10"/>
      <c r="AI6922" s="10"/>
      <c r="AJ6922" s="10"/>
      <c r="AK6922" s="10"/>
      <c r="AL6922" s="10"/>
      <c r="AM6922" s="10"/>
      <c r="AN6922" s="10"/>
      <c r="AO6922" s="10"/>
      <c r="AP6922" s="10"/>
      <c r="AQ6922" s="10"/>
      <c r="AR6922" s="10"/>
      <c r="AS6922" s="10"/>
      <c r="AT6922" s="10"/>
      <c r="AU6922" s="10"/>
      <c r="AV6922" s="10"/>
      <c r="AW6922" s="10"/>
      <c r="AX6922" s="10"/>
      <c r="AY6922" s="10"/>
      <c r="AZ6922" s="10"/>
    </row>
    <row r="6923" spans="31:52">
      <c r="AE6923" s="10"/>
      <c r="AF6923" s="10"/>
      <c r="AG6923" s="10"/>
      <c r="AH6923" s="10"/>
      <c r="AI6923" s="10"/>
      <c r="AJ6923" s="10"/>
      <c r="AK6923" s="10"/>
      <c r="AL6923" s="10"/>
      <c r="AM6923" s="10"/>
      <c r="AN6923" s="10"/>
      <c r="AO6923" s="10"/>
      <c r="AP6923" s="10"/>
      <c r="AQ6923" s="10"/>
      <c r="AR6923" s="10"/>
      <c r="AS6923" s="10"/>
      <c r="AT6923" s="10"/>
      <c r="AU6923" s="10"/>
      <c r="AV6923" s="10"/>
      <c r="AW6923" s="10"/>
      <c r="AX6923" s="10"/>
      <c r="AY6923" s="10"/>
      <c r="AZ6923" s="10"/>
    </row>
    <row r="6924" spans="31:52">
      <c r="AE6924" s="10"/>
      <c r="AF6924" s="10"/>
      <c r="AG6924" s="10"/>
      <c r="AH6924" s="10"/>
      <c r="AI6924" s="10"/>
      <c r="AJ6924" s="10"/>
      <c r="AK6924" s="10"/>
      <c r="AL6924" s="10"/>
      <c r="AM6924" s="10"/>
      <c r="AN6924" s="10"/>
      <c r="AO6924" s="10"/>
      <c r="AP6924" s="10"/>
      <c r="AQ6924" s="10"/>
      <c r="AR6924" s="10"/>
      <c r="AS6924" s="10"/>
      <c r="AT6924" s="10"/>
      <c r="AU6924" s="10"/>
      <c r="AV6924" s="10"/>
      <c r="AW6924" s="10"/>
      <c r="AX6924" s="10"/>
      <c r="AY6924" s="10"/>
      <c r="AZ6924" s="10"/>
    </row>
    <row r="6925" spans="31:52">
      <c r="AE6925" s="10"/>
      <c r="AF6925" s="10"/>
      <c r="AG6925" s="10"/>
      <c r="AH6925" s="10"/>
      <c r="AI6925" s="10"/>
      <c r="AJ6925" s="10"/>
      <c r="AK6925" s="10"/>
      <c r="AL6925" s="10"/>
      <c r="AM6925" s="10"/>
      <c r="AN6925" s="10"/>
      <c r="AO6925" s="10"/>
      <c r="AP6925" s="10"/>
      <c r="AQ6925" s="10"/>
      <c r="AR6925" s="10"/>
      <c r="AS6925" s="10"/>
      <c r="AT6925" s="10"/>
      <c r="AU6925" s="10"/>
      <c r="AV6925" s="10"/>
      <c r="AW6925" s="10"/>
      <c r="AX6925" s="10"/>
      <c r="AY6925" s="10"/>
      <c r="AZ6925" s="10"/>
    </row>
    <row r="6926" spans="31:52">
      <c r="AE6926" s="10"/>
      <c r="AF6926" s="10"/>
      <c r="AG6926" s="10"/>
      <c r="AH6926" s="10"/>
      <c r="AI6926" s="10"/>
      <c r="AJ6926" s="10"/>
      <c r="AK6926" s="10"/>
      <c r="AL6926" s="10"/>
      <c r="AM6926" s="10"/>
      <c r="AN6926" s="10"/>
      <c r="AO6926" s="10"/>
      <c r="AP6926" s="10"/>
      <c r="AQ6926" s="10"/>
      <c r="AR6926" s="10"/>
      <c r="AS6926" s="10"/>
      <c r="AT6926" s="10"/>
      <c r="AU6926" s="10"/>
      <c r="AV6926" s="10"/>
      <c r="AW6926" s="10"/>
      <c r="AX6926" s="10"/>
      <c r="AY6926" s="10"/>
      <c r="AZ6926" s="10"/>
    </row>
    <row r="6927" spans="31:52">
      <c r="AE6927" s="10"/>
      <c r="AF6927" s="10"/>
      <c r="AG6927" s="10"/>
      <c r="AH6927" s="10"/>
      <c r="AI6927" s="10"/>
      <c r="AJ6927" s="10"/>
      <c r="AK6927" s="10"/>
      <c r="AL6927" s="10"/>
      <c r="AM6927" s="10"/>
      <c r="AN6927" s="10"/>
      <c r="AO6927" s="10"/>
      <c r="AP6927" s="10"/>
      <c r="AQ6927" s="10"/>
      <c r="AR6927" s="10"/>
      <c r="AS6927" s="10"/>
      <c r="AT6927" s="10"/>
      <c r="AU6927" s="10"/>
      <c r="AV6927" s="10"/>
      <c r="AW6927" s="10"/>
      <c r="AX6927" s="10"/>
      <c r="AY6927" s="10"/>
      <c r="AZ6927" s="10"/>
    </row>
    <row r="6928" spans="31:52">
      <c r="AE6928" s="10"/>
      <c r="AF6928" s="10"/>
      <c r="AG6928" s="10"/>
      <c r="AH6928" s="10"/>
      <c r="AI6928" s="10"/>
      <c r="AJ6928" s="10"/>
      <c r="AK6928" s="10"/>
      <c r="AL6928" s="10"/>
      <c r="AM6928" s="10"/>
      <c r="AN6928" s="10"/>
      <c r="AO6928" s="10"/>
      <c r="AP6928" s="10"/>
      <c r="AQ6928" s="10"/>
      <c r="AR6928" s="10"/>
      <c r="AS6928" s="10"/>
      <c r="AT6928" s="10"/>
      <c r="AU6928" s="10"/>
      <c r="AV6928" s="10"/>
      <c r="AW6928" s="10"/>
      <c r="AX6928" s="10"/>
      <c r="AY6928" s="10"/>
      <c r="AZ6928" s="10"/>
    </row>
    <row r="6929" spans="31:52">
      <c r="AE6929" s="10"/>
      <c r="AF6929" s="10"/>
      <c r="AG6929" s="10"/>
      <c r="AH6929" s="10"/>
      <c r="AI6929" s="10"/>
      <c r="AJ6929" s="10"/>
      <c r="AK6929" s="10"/>
      <c r="AL6929" s="10"/>
      <c r="AM6929" s="10"/>
      <c r="AN6929" s="10"/>
      <c r="AO6929" s="10"/>
      <c r="AP6929" s="10"/>
      <c r="AQ6929" s="10"/>
      <c r="AR6929" s="10"/>
      <c r="AS6929" s="10"/>
      <c r="AT6929" s="10"/>
      <c r="AU6929" s="10"/>
      <c r="AV6929" s="10"/>
      <c r="AW6929" s="10"/>
      <c r="AX6929" s="10"/>
      <c r="AY6929" s="10"/>
      <c r="AZ6929" s="10"/>
    </row>
    <row r="6930" spans="31:52">
      <c r="AE6930" s="10"/>
      <c r="AF6930" s="10"/>
      <c r="AG6930" s="10"/>
      <c r="AH6930" s="10"/>
      <c r="AI6930" s="10"/>
      <c r="AJ6930" s="10"/>
      <c r="AK6930" s="10"/>
      <c r="AL6930" s="10"/>
      <c r="AM6930" s="10"/>
      <c r="AN6930" s="10"/>
      <c r="AO6930" s="10"/>
      <c r="AP6930" s="10"/>
      <c r="AQ6930" s="10"/>
      <c r="AR6930" s="10"/>
      <c r="AS6930" s="10"/>
      <c r="AT6930" s="10"/>
      <c r="AU6930" s="10"/>
      <c r="AV6930" s="10"/>
      <c r="AW6930" s="10"/>
      <c r="AX6930" s="10"/>
      <c r="AY6930" s="10"/>
      <c r="AZ6930" s="10"/>
    </row>
    <row r="6931" spans="31:52">
      <c r="AE6931" s="10"/>
      <c r="AF6931" s="10"/>
      <c r="AG6931" s="10"/>
      <c r="AH6931" s="10"/>
      <c r="AI6931" s="10"/>
      <c r="AJ6931" s="10"/>
      <c r="AK6931" s="10"/>
      <c r="AL6931" s="10"/>
      <c r="AM6931" s="10"/>
      <c r="AN6931" s="10"/>
      <c r="AO6931" s="10"/>
      <c r="AP6931" s="10"/>
      <c r="AQ6931" s="10"/>
      <c r="AR6931" s="10"/>
      <c r="AS6931" s="10"/>
      <c r="AT6931" s="10"/>
      <c r="AU6931" s="10"/>
      <c r="AV6931" s="10"/>
      <c r="AW6931" s="10"/>
      <c r="AX6931" s="10"/>
      <c r="AY6931" s="10"/>
      <c r="AZ6931" s="10"/>
    </row>
    <row r="6932" spans="31:52">
      <c r="AE6932" s="10"/>
      <c r="AF6932" s="10"/>
      <c r="AG6932" s="10"/>
      <c r="AH6932" s="10"/>
      <c r="AI6932" s="10"/>
      <c r="AJ6932" s="10"/>
      <c r="AK6932" s="10"/>
      <c r="AL6932" s="10"/>
      <c r="AM6932" s="10"/>
      <c r="AN6932" s="10"/>
      <c r="AO6932" s="10"/>
      <c r="AP6932" s="10"/>
      <c r="AQ6932" s="10"/>
      <c r="AR6932" s="10"/>
      <c r="AS6932" s="10"/>
      <c r="AT6932" s="10"/>
      <c r="AU6932" s="10"/>
      <c r="AV6932" s="10"/>
      <c r="AW6932" s="10"/>
      <c r="AX6932" s="10"/>
      <c r="AY6932" s="10"/>
      <c r="AZ6932" s="10"/>
    </row>
    <row r="6933" spans="31:52">
      <c r="AE6933" s="10"/>
      <c r="AF6933" s="10"/>
      <c r="AG6933" s="10"/>
      <c r="AH6933" s="10"/>
      <c r="AI6933" s="10"/>
      <c r="AJ6933" s="10"/>
      <c r="AK6933" s="10"/>
      <c r="AL6933" s="10"/>
      <c r="AM6933" s="10"/>
      <c r="AN6933" s="10"/>
      <c r="AO6933" s="10"/>
      <c r="AP6933" s="10"/>
      <c r="AQ6933" s="10"/>
      <c r="AR6933" s="10"/>
      <c r="AS6933" s="10"/>
      <c r="AT6933" s="10"/>
      <c r="AU6933" s="10"/>
      <c r="AV6933" s="10"/>
      <c r="AW6933" s="10"/>
      <c r="AX6933" s="10"/>
      <c r="AY6933" s="10"/>
      <c r="AZ6933" s="10"/>
    </row>
    <row r="6934" spans="31:52">
      <c r="AE6934" s="10"/>
      <c r="AF6934" s="10"/>
      <c r="AG6934" s="10"/>
      <c r="AH6934" s="10"/>
      <c r="AI6934" s="10"/>
      <c r="AJ6934" s="10"/>
      <c r="AK6934" s="10"/>
      <c r="AL6934" s="10"/>
      <c r="AM6934" s="10"/>
      <c r="AN6934" s="10"/>
      <c r="AO6934" s="10"/>
      <c r="AP6934" s="10"/>
      <c r="AQ6934" s="10"/>
      <c r="AR6934" s="10"/>
      <c r="AS6934" s="10"/>
      <c r="AT6934" s="10"/>
      <c r="AU6934" s="10"/>
      <c r="AV6934" s="10"/>
      <c r="AW6934" s="10"/>
      <c r="AX6934" s="10"/>
      <c r="AY6934" s="10"/>
      <c r="AZ6934" s="10"/>
    </row>
    <row r="6935" spans="31:52">
      <c r="AE6935" s="10"/>
      <c r="AF6935" s="10"/>
      <c r="AG6935" s="10"/>
      <c r="AH6935" s="10"/>
      <c r="AI6935" s="10"/>
      <c r="AJ6935" s="10"/>
      <c r="AK6935" s="10"/>
      <c r="AL6935" s="10"/>
      <c r="AM6935" s="10"/>
      <c r="AN6935" s="10"/>
      <c r="AO6935" s="10"/>
      <c r="AP6935" s="10"/>
      <c r="AQ6935" s="10"/>
      <c r="AR6935" s="10"/>
      <c r="AS6935" s="10"/>
      <c r="AT6935" s="10"/>
      <c r="AU6935" s="10"/>
      <c r="AV6935" s="10"/>
      <c r="AW6935" s="10"/>
      <c r="AX6935" s="10"/>
      <c r="AY6935" s="10"/>
      <c r="AZ6935" s="10"/>
    </row>
    <row r="6936" spans="31:52">
      <c r="AE6936" s="10"/>
      <c r="AF6936" s="10"/>
      <c r="AG6936" s="10"/>
      <c r="AH6936" s="10"/>
      <c r="AI6936" s="10"/>
      <c r="AJ6936" s="10"/>
      <c r="AK6936" s="10"/>
      <c r="AL6936" s="10"/>
      <c r="AM6936" s="10"/>
      <c r="AN6936" s="10"/>
      <c r="AO6936" s="10"/>
      <c r="AP6936" s="10"/>
      <c r="AQ6936" s="10"/>
      <c r="AR6936" s="10"/>
      <c r="AS6936" s="10"/>
      <c r="AT6936" s="10"/>
      <c r="AU6936" s="10"/>
      <c r="AV6936" s="10"/>
      <c r="AW6936" s="10"/>
      <c r="AX6936" s="10"/>
      <c r="AY6936" s="10"/>
      <c r="AZ6936" s="10"/>
    </row>
    <row r="6937" spans="31:52">
      <c r="AE6937" s="10"/>
      <c r="AF6937" s="10"/>
      <c r="AG6937" s="10"/>
      <c r="AH6937" s="10"/>
      <c r="AI6937" s="10"/>
      <c r="AJ6937" s="10"/>
      <c r="AK6937" s="10"/>
      <c r="AL6937" s="10"/>
      <c r="AM6937" s="10"/>
      <c r="AN6937" s="10"/>
      <c r="AO6937" s="10"/>
      <c r="AP6937" s="10"/>
      <c r="AQ6937" s="10"/>
      <c r="AR6937" s="10"/>
      <c r="AS6937" s="10"/>
      <c r="AT6937" s="10"/>
      <c r="AU6937" s="10"/>
      <c r="AV6937" s="10"/>
      <c r="AW6937" s="10"/>
      <c r="AX6937" s="10"/>
      <c r="AY6937" s="10"/>
      <c r="AZ6937" s="10"/>
    </row>
    <row r="6938" spans="31:52">
      <c r="AE6938" s="10"/>
      <c r="AF6938" s="10"/>
      <c r="AG6938" s="10"/>
      <c r="AH6938" s="10"/>
      <c r="AI6938" s="10"/>
      <c r="AJ6938" s="10"/>
      <c r="AK6938" s="10"/>
      <c r="AL6938" s="10"/>
      <c r="AM6938" s="10"/>
      <c r="AN6938" s="10"/>
      <c r="AO6938" s="10"/>
      <c r="AP6938" s="10"/>
      <c r="AQ6938" s="10"/>
      <c r="AR6938" s="10"/>
      <c r="AS6938" s="10"/>
      <c r="AT6938" s="10"/>
      <c r="AU6938" s="10"/>
      <c r="AV6938" s="10"/>
      <c r="AW6938" s="10"/>
      <c r="AX6938" s="10"/>
      <c r="AY6938" s="10"/>
      <c r="AZ6938" s="10"/>
    </row>
    <row r="6939" spans="31:52">
      <c r="AE6939" s="10"/>
      <c r="AF6939" s="10"/>
      <c r="AG6939" s="10"/>
      <c r="AH6939" s="10"/>
      <c r="AI6939" s="10"/>
      <c r="AJ6939" s="10"/>
      <c r="AK6939" s="10"/>
      <c r="AL6939" s="10"/>
      <c r="AM6939" s="10"/>
      <c r="AN6939" s="10"/>
      <c r="AO6939" s="10"/>
      <c r="AP6939" s="10"/>
      <c r="AQ6939" s="10"/>
      <c r="AR6939" s="10"/>
      <c r="AS6939" s="10"/>
      <c r="AT6939" s="10"/>
      <c r="AU6939" s="10"/>
      <c r="AV6939" s="10"/>
      <c r="AW6939" s="10"/>
      <c r="AX6939" s="10"/>
      <c r="AY6939" s="10"/>
      <c r="AZ6939" s="10"/>
    </row>
    <row r="6940" spans="31:52">
      <c r="AE6940" s="10"/>
      <c r="AF6940" s="10"/>
      <c r="AG6940" s="10"/>
      <c r="AH6940" s="10"/>
      <c r="AI6940" s="10"/>
      <c r="AJ6940" s="10"/>
      <c r="AK6940" s="10"/>
      <c r="AL6940" s="10"/>
      <c r="AM6940" s="10"/>
      <c r="AN6940" s="10"/>
      <c r="AO6940" s="10"/>
      <c r="AP6940" s="10"/>
      <c r="AQ6940" s="10"/>
      <c r="AR6940" s="10"/>
      <c r="AS6940" s="10"/>
      <c r="AT6940" s="10"/>
      <c r="AU6940" s="10"/>
      <c r="AV6940" s="10"/>
      <c r="AW6940" s="10"/>
      <c r="AX6940" s="10"/>
      <c r="AY6940" s="10"/>
      <c r="AZ6940" s="10"/>
    </row>
    <row r="6941" spans="31:52">
      <c r="AE6941" s="10"/>
      <c r="AF6941" s="10"/>
      <c r="AG6941" s="10"/>
      <c r="AH6941" s="10"/>
      <c r="AI6941" s="10"/>
      <c r="AJ6941" s="10"/>
      <c r="AK6941" s="10"/>
      <c r="AL6941" s="10"/>
      <c r="AM6941" s="10"/>
      <c r="AN6941" s="10"/>
      <c r="AO6941" s="10"/>
      <c r="AP6941" s="10"/>
      <c r="AQ6941" s="10"/>
      <c r="AR6941" s="10"/>
      <c r="AS6941" s="10"/>
      <c r="AT6941" s="10"/>
      <c r="AU6941" s="10"/>
      <c r="AV6941" s="10"/>
      <c r="AW6941" s="10"/>
      <c r="AX6941" s="10"/>
      <c r="AY6941" s="10"/>
      <c r="AZ6941" s="10"/>
    </row>
    <row r="6942" spans="31:52">
      <c r="AE6942" s="10"/>
      <c r="AF6942" s="10"/>
      <c r="AG6942" s="10"/>
      <c r="AH6942" s="10"/>
      <c r="AI6942" s="10"/>
      <c r="AJ6942" s="10"/>
      <c r="AK6942" s="10"/>
      <c r="AL6942" s="10"/>
      <c r="AM6942" s="10"/>
      <c r="AN6942" s="10"/>
      <c r="AO6942" s="10"/>
      <c r="AP6942" s="10"/>
      <c r="AQ6942" s="10"/>
      <c r="AR6942" s="10"/>
      <c r="AS6942" s="10"/>
      <c r="AT6942" s="10"/>
      <c r="AU6942" s="10"/>
      <c r="AV6942" s="10"/>
      <c r="AW6942" s="10"/>
      <c r="AX6942" s="10"/>
      <c r="AY6942" s="10"/>
      <c r="AZ6942" s="10"/>
    </row>
    <row r="6943" spans="31:52">
      <c r="AE6943" s="10"/>
      <c r="AF6943" s="10"/>
      <c r="AG6943" s="10"/>
      <c r="AH6943" s="10"/>
      <c r="AI6943" s="10"/>
      <c r="AJ6943" s="10"/>
      <c r="AK6943" s="10"/>
      <c r="AL6943" s="10"/>
      <c r="AM6943" s="10"/>
      <c r="AN6943" s="10"/>
      <c r="AO6943" s="10"/>
      <c r="AP6943" s="10"/>
      <c r="AQ6943" s="10"/>
      <c r="AR6943" s="10"/>
      <c r="AS6943" s="10"/>
      <c r="AT6943" s="10"/>
      <c r="AU6943" s="10"/>
      <c r="AV6943" s="10"/>
      <c r="AW6943" s="10"/>
      <c r="AX6943" s="10"/>
      <c r="AY6943" s="10"/>
      <c r="AZ6943" s="10"/>
    </row>
    <row r="6944" spans="31:52">
      <c r="AE6944" s="10"/>
      <c r="AF6944" s="10"/>
      <c r="AG6944" s="10"/>
      <c r="AH6944" s="10"/>
      <c r="AI6944" s="10"/>
      <c r="AJ6944" s="10"/>
      <c r="AK6944" s="10"/>
      <c r="AL6944" s="10"/>
      <c r="AM6944" s="10"/>
      <c r="AN6944" s="10"/>
      <c r="AO6944" s="10"/>
      <c r="AP6944" s="10"/>
      <c r="AQ6944" s="10"/>
      <c r="AR6944" s="10"/>
      <c r="AS6944" s="10"/>
      <c r="AT6944" s="10"/>
      <c r="AU6944" s="10"/>
      <c r="AV6944" s="10"/>
      <c r="AW6944" s="10"/>
      <c r="AX6944" s="10"/>
      <c r="AY6944" s="10"/>
      <c r="AZ6944" s="10"/>
    </row>
    <row r="6945" spans="31:52">
      <c r="AE6945" s="10"/>
      <c r="AF6945" s="10"/>
      <c r="AG6945" s="10"/>
      <c r="AH6945" s="10"/>
      <c r="AI6945" s="10"/>
      <c r="AJ6945" s="10"/>
      <c r="AK6945" s="10"/>
      <c r="AL6945" s="10"/>
      <c r="AM6945" s="10"/>
      <c r="AN6945" s="10"/>
      <c r="AO6945" s="10"/>
      <c r="AP6945" s="10"/>
      <c r="AQ6945" s="10"/>
      <c r="AR6945" s="10"/>
      <c r="AS6945" s="10"/>
      <c r="AT6945" s="10"/>
      <c r="AU6945" s="10"/>
      <c r="AV6945" s="10"/>
      <c r="AW6945" s="10"/>
      <c r="AX6945" s="10"/>
      <c r="AY6945" s="10"/>
      <c r="AZ6945" s="10"/>
    </row>
    <row r="6946" spans="31:52">
      <c r="AE6946" s="10"/>
      <c r="AF6946" s="10"/>
      <c r="AG6946" s="10"/>
      <c r="AH6946" s="10"/>
      <c r="AI6946" s="10"/>
      <c r="AJ6946" s="10"/>
      <c r="AK6946" s="10"/>
      <c r="AL6946" s="10"/>
      <c r="AM6946" s="10"/>
      <c r="AN6946" s="10"/>
      <c r="AO6946" s="10"/>
      <c r="AP6946" s="10"/>
      <c r="AQ6946" s="10"/>
      <c r="AR6946" s="10"/>
      <c r="AS6946" s="10"/>
      <c r="AT6946" s="10"/>
      <c r="AU6946" s="10"/>
      <c r="AV6946" s="10"/>
      <c r="AW6946" s="10"/>
      <c r="AX6946" s="10"/>
      <c r="AY6946" s="10"/>
      <c r="AZ6946" s="10"/>
    </row>
    <row r="6947" spans="31:52">
      <c r="AE6947" s="10"/>
      <c r="AF6947" s="10"/>
      <c r="AG6947" s="10"/>
      <c r="AH6947" s="10"/>
      <c r="AI6947" s="10"/>
      <c r="AJ6947" s="10"/>
      <c r="AK6947" s="10"/>
      <c r="AL6947" s="10"/>
      <c r="AM6947" s="10"/>
      <c r="AN6947" s="10"/>
      <c r="AO6947" s="10"/>
      <c r="AP6947" s="10"/>
      <c r="AQ6947" s="10"/>
      <c r="AR6947" s="10"/>
      <c r="AS6947" s="10"/>
      <c r="AT6947" s="10"/>
      <c r="AU6947" s="10"/>
      <c r="AV6947" s="10"/>
      <c r="AW6947" s="10"/>
      <c r="AX6947" s="10"/>
      <c r="AY6947" s="10"/>
      <c r="AZ6947" s="10"/>
    </row>
    <row r="6948" spans="31:52">
      <c r="AE6948" s="10"/>
      <c r="AF6948" s="10"/>
      <c r="AG6948" s="10"/>
      <c r="AH6948" s="10"/>
      <c r="AI6948" s="10"/>
      <c r="AJ6948" s="10"/>
      <c r="AK6948" s="10"/>
      <c r="AL6948" s="10"/>
      <c r="AM6948" s="10"/>
      <c r="AN6948" s="10"/>
      <c r="AO6948" s="10"/>
      <c r="AP6948" s="10"/>
      <c r="AQ6948" s="10"/>
      <c r="AR6948" s="10"/>
      <c r="AS6948" s="10"/>
      <c r="AT6948" s="10"/>
      <c r="AU6948" s="10"/>
      <c r="AV6948" s="10"/>
      <c r="AW6948" s="10"/>
      <c r="AX6948" s="10"/>
      <c r="AY6948" s="10"/>
      <c r="AZ6948" s="10"/>
    </row>
    <row r="6949" spans="31:52">
      <c r="AE6949" s="10"/>
      <c r="AF6949" s="10"/>
      <c r="AG6949" s="10"/>
      <c r="AH6949" s="10"/>
      <c r="AI6949" s="10"/>
      <c r="AJ6949" s="10"/>
      <c r="AK6949" s="10"/>
      <c r="AL6949" s="10"/>
      <c r="AM6949" s="10"/>
      <c r="AN6949" s="10"/>
      <c r="AO6949" s="10"/>
      <c r="AP6949" s="10"/>
      <c r="AQ6949" s="10"/>
      <c r="AR6949" s="10"/>
      <c r="AS6949" s="10"/>
      <c r="AT6949" s="10"/>
      <c r="AU6949" s="10"/>
      <c r="AV6949" s="10"/>
      <c r="AW6949" s="10"/>
      <c r="AX6949" s="10"/>
      <c r="AY6949" s="10"/>
      <c r="AZ6949" s="10"/>
    </row>
    <row r="6950" spans="31:52">
      <c r="AE6950" s="10"/>
      <c r="AF6950" s="10"/>
      <c r="AG6950" s="10"/>
      <c r="AH6950" s="10"/>
      <c r="AI6950" s="10"/>
      <c r="AJ6950" s="10"/>
      <c r="AK6950" s="10"/>
      <c r="AL6950" s="10"/>
      <c r="AM6950" s="10"/>
      <c r="AN6950" s="10"/>
      <c r="AO6950" s="10"/>
      <c r="AP6950" s="10"/>
      <c r="AQ6950" s="10"/>
      <c r="AR6950" s="10"/>
      <c r="AS6950" s="10"/>
      <c r="AT6950" s="10"/>
      <c r="AU6950" s="10"/>
      <c r="AV6950" s="10"/>
      <c r="AW6950" s="10"/>
      <c r="AX6950" s="10"/>
      <c r="AY6950" s="10"/>
      <c r="AZ6950" s="10"/>
    </row>
    <row r="6951" spans="31:52">
      <c r="AE6951" s="10"/>
      <c r="AF6951" s="10"/>
      <c r="AG6951" s="10"/>
      <c r="AH6951" s="10"/>
      <c r="AI6951" s="10"/>
      <c r="AJ6951" s="10"/>
      <c r="AK6951" s="10"/>
      <c r="AL6951" s="10"/>
      <c r="AM6951" s="10"/>
      <c r="AN6951" s="10"/>
      <c r="AO6951" s="10"/>
      <c r="AP6951" s="10"/>
      <c r="AQ6951" s="10"/>
      <c r="AR6951" s="10"/>
      <c r="AS6951" s="10"/>
      <c r="AT6951" s="10"/>
      <c r="AU6951" s="10"/>
      <c r="AV6951" s="10"/>
      <c r="AW6951" s="10"/>
      <c r="AX6951" s="10"/>
      <c r="AY6951" s="10"/>
      <c r="AZ6951" s="10"/>
    </row>
    <row r="6952" spans="31:52">
      <c r="AE6952" s="10"/>
      <c r="AF6952" s="10"/>
      <c r="AG6952" s="10"/>
      <c r="AH6952" s="10"/>
      <c r="AI6952" s="10"/>
      <c r="AJ6952" s="10"/>
      <c r="AK6952" s="10"/>
      <c r="AL6952" s="10"/>
      <c r="AM6952" s="10"/>
      <c r="AN6952" s="10"/>
      <c r="AO6952" s="10"/>
      <c r="AP6952" s="10"/>
      <c r="AQ6952" s="10"/>
      <c r="AR6952" s="10"/>
      <c r="AS6952" s="10"/>
      <c r="AT6952" s="10"/>
      <c r="AU6952" s="10"/>
      <c r="AV6952" s="10"/>
      <c r="AW6952" s="10"/>
      <c r="AX6952" s="10"/>
      <c r="AY6952" s="10"/>
      <c r="AZ6952" s="10"/>
    </row>
    <row r="6953" spans="31:52">
      <c r="AE6953" s="10"/>
      <c r="AF6953" s="10"/>
      <c r="AG6953" s="10"/>
      <c r="AH6953" s="10"/>
      <c r="AI6953" s="10"/>
      <c r="AJ6953" s="10"/>
      <c r="AK6953" s="10"/>
      <c r="AL6953" s="10"/>
      <c r="AM6953" s="10"/>
      <c r="AN6953" s="10"/>
      <c r="AO6953" s="10"/>
      <c r="AP6953" s="10"/>
      <c r="AQ6953" s="10"/>
      <c r="AR6953" s="10"/>
      <c r="AS6953" s="10"/>
      <c r="AT6953" s="10"/>
      <c r="AU6953" s="10"/>
      <c r="AV6953" s="10"/>
      <c r="AW6953" s="10"/>
      <c r="AX6953" s="10"/>
      <c r="AY6953" s="10"/>
      <c r="AZ6953" s="10"/>
    </row>
    <row r="6954" spans="31:52">
      <c r="AE6954" s="10"/>
      <c r="AF6954" s="10"/>
      <c r="AG6954" s="10"/>
      <c r="AH6954" s="10"/>
      <c r="AI6954" s="10"/>
      <c r="AJ6954" s="10"/>
      <c r="AK6954" s="10"/>
      <c r="AL6954" s="10"/>
      <c r="AM6954" s="10"/>
      <c r="AN6954" s="10"/>
      <c r="AO6954" s="10"/>
      <c r="AP6954" s="10"/>
      <c r="AQ6954" s="10"/>
      <c r="AR6954" s="10"/>
      <c r="AS6954" s="10"/>
      <c r="AT6954" s="10"/>
      <c r="AU6954" s="10"/>
      <c r="AV6954" s="10"/>
      <c r="AW6954" s="10"/>
      <c r="AX6954" s="10"/>
      <c r="AY6954" s="10"/>
      <c r="AZ6954" s="10"/>
    </row>
    <row r="6955" spans="31:52">
      <c r="AE6955" s="10"/>
      <c r="AF6955" s="10"/>
      <c r="AG6955" s="10"/>
      <c r="AH6955" s="10"/>
      <c r="AI6955" s="10"/>
      <c r="AJ6955" s="10"/>
      <c r="AK6955" s="10"/>
      <c r="AL6955" s="10"/>
      <c r="AM6955" s="10"/>
      <c r="AN6955" s="10"/>
      <c r="AO6955" s="10"/>
      <c r="AP6955" s="10"/>
      <c r="AQ6955" s="10"/>
      <c r="AR6955" s="10"/>
      <c r="AS6955" s="10"/>
      <c r="AT6955" s="10"/>
      <c r="AU6955" s="10"/>
      <c r="AV6955" s="10"/>
      <c r="AW6955" s="10"/>
      <c r="AX6955" s="10"/>
      <c r="AY6955" s="10"/>
      <c r="AZ6955" s="10"/>
    </row>
    <row r="6956" spans="31:52">
      <c r="AE6956" s="10"/>
      <c r="AF6956" s="10"/>
      <c r="AG6956" s="10"/>
      <c r="AH6956" s="10"/>
      <c r="AI6956" s="10"/>
      <c r="AJ6956" s="10"/>
      <c r="AK6956" s="10"/>
      <c r="AL6956" s="10"/>
      <c r="AM6956" s="10"/>
      <c r="AN6956" s="10"/>
      <c r="AO6956" s="10"/>
      <c r="AP6956" s="10"/>
      <c r="AQ6956" s="10"/>
      <c r="AR6956" s="10"/>
      <c r="AS6956" s="10"/>
      <c r="AT6956" s="10"/>
      <c r="AU6956" s="10"/>
      <c r="AV6956" s="10"/>
      <c r="AW6956" s="10"/>
      <c r="AX6956" s="10"/>
      <c r="AY6956" s="10"/>
      <c r="AZ6956" s="10"/>
    </row>
    <row r="6957" spans="31:52">
      <c r="AE6957" s="10"/>
      <c r="AF6957" s="10"/>
      <c r="AG6957" s="10"/>
      <c r="AH6957" s="10"/>
      <c r="AI6957" s="10"/>
      <c r="AJ6957" s="10"/>
      <c r="AK6957" s="10"/>
      <c r="AL6957" s="10"/>
      <c r="AM6957" s="10"/>
      <c r="AN6957" s="10"/>
      <c r="AO6957" s="10"/>
      <c r="AP6957" s="10"/>
      <c r="AQ6957" s="10"/>
      <c r="AR6957" s="10"/>
      <c r="AS6957" s="10"/>
      <c r="AT6957" s="10"/>
      <c r="AU6957" s="10"/>
      <c r="AV6957" s="10"/>
      <c r="AW6957" s="10"/>
      <c r="AX6957" s="10"/>
      <c r="AY6957" s="10"/>
      <c r="AZ6957" s="10"/>
    </row>
    <row r="6958" spans="31:52">
      <c r="AE6958" s="10"/>
      <c r="AF6958" s="10"/>
      <c r="AG6958" s="10"/>
      <c r="AH6958" s="10"/>
      <c r="AI6958" s="10"/>
      <c r="AJ6958" s="10"/>
      <c r="AK6958" s="10"/>
      <c r="AL6958" s="10"/>
      <c r="AM6958" s="10"/>
      <c r="AN6958" s="10"/>
      <c r="AO6958" s="10"/>
      <c r="AP6958" s="10"/>
      <c r="AQ6958" s="10"/>
      <c r="AR6958" s="10"/>
      <c r="AS6958" s="10"/>
      <c r="AT6958" s="10"/>
      <c r="AU6958" s="10"/>
      <c r="AV6958" s="10"/>
      <c r="AW6958" s="10"/>
      <c r="AX6958" s="10"/>
      <c r="AY6958" s="10"/>
      <c r="AZ6958" s="10"/>
    </row>
    <row r="6959" spans="31:52">
      <c r="AE6959" s="10"/>
      <c r="AF6959" s="10"/>
      <c r="AG6959" s="10"/>
      <c r="AH6959" s="10"/>
      <c r="AI6959" s="10"/>
      <c r="AJ6959" s="10"/>
      <c r="AK6959" s="10"/>
      <c r="AL6959" s="10"/>
      <c r="AM6959" s="10"/>
      <c r="AN6959" s="10"/>
      <c r="AO6959" s="10"/>
      <c r="AP6959" s="10"/>
      <c r="AQ6959" s="10"/>
      <c r="AR6959" s="10"/>
      <c r="AS6959" s="10"/>
      <c r="AT6959" s="10"/>
      <c r="AU6959" s="10"/>
      <c r="AV6959" s="10"/>
      <c r="AW6959" s="10"/>
      <c r="AX6959" s="10"/>
      <c r="AY6959" s="10"/>
      <c r="AZ6959" s="10"/>
    </row>
    <row r="6960" spans="31:52">
      <c r="AE6960" s="10"/>
      <c r="AF6960" s="10"/>
      <c r="AG6960" s="10"/>
      <c r="AH6960" s="10"/>
      <c r="AI6960" s="10"/>
      <c r="AJ6960" s="10"/>
      <c r="AK6960" s="10"/>
      <c r="AL6960" s="10"/>
      <c r="AM6960" s="10"/>
      <c r="AN6960" s="10"/>
      <c r="AO6960" s="10"/>
      <c r="AP6960" s="10"/>
      <c r="AQ6960" s="10"/>
      <c r="AR6960" s="10"/>
      <c r="AS6960" s="10"/>
      <c r="AT6960" s="10"/>
      <c r="AU6960" s="10"/>
      <c r="AV6960" s="10"/>
      <c r="AW6960" s="10"/>
      <c r="AX6960" s="10"/>
      <c r="AY6960" s="10"/>
      <c r="AZ6960" s="10"/>
    </row>
    <row r="6961" spans="31:52">
      <c r="AE6961" s="10"/>
      <c r="AF6961" s="10"/>
      <c r="AG6961" s="10"/>
      <c r="AH6961" s="10"/>
      <c r="AI6961" s="10"/>
      <c r="AJ6961" s="10"/>
      <c r="AK6961" s="10"/>
      <c r="AL6961" s="10"/>
      <c r="AM6961" s="10"/>
      <c r="AN6961" s="10"/>
      <c r="AO6961" s="10"/>
      <c r="AP6961" s="10"/>
      <c r="AQ6961" s="10"/>
      <c r="AR6961" s="10"/>
      <c r="AS6961" s="10"/>
      <c r="AT6961" s="10"/>
      <c r="AU6961" s="10"/>
      <c r="AV6961" s="10"/>
      <c r="AW6961" s="10"/>
      <c r="AX6961" s="10"/>
      <c r="AY6961" s="10"/>
      <c r="AZ6961" s="10"/>
    </row>
    <row r="6962" spans="31:52">
      <c r="AE6962" s="10"/>
      <c r="AF6962" s="10"/>
      <c r="AG6962" s="10"/>
      <c r="AH6962" s="10"/>
      <c r="AI6962" s="10"/>
      <c r="AJ6962" s="10"/>
      <c r="AK6962" s="10"/>
      <c r="AL6962" s="10"/>
      <c r="AM6962" s="10"/>
      <c r="AN6962" s="10"/>
      <c r="AO6962" s="10"/>
      <c r="AP6962" s="10"/>
      <c r="AQ6962" s="10"/>
      <c r="AR6962" s="10"/>
      <c r="AS6962" s="10"/>
      <c r="AT6962" s="10"/>
      <c r="AU6962" s="10"/>
      <c r="AV6962" s="10"/>
      <c r="AW6962" s="10"/>
      <c r="AX6962" s="10"/>
      <c r="AY6962" s="10"/>
      <c r="AZ6962" s="10"/>
    </row>
    <row r="6963" spans="31:52">
      <c r="AE6963" s="10"/>
      <c r="AF6963" s="10"/>
      <c r="AG6963" s="10"/>
      <c r="AH6963" s="10"/>
      <c r="AI6963" s="10"/>
      <c r="AJ6963" s="10"/>
      <c r="AK6963" s="10"/>
      <c r="AL6963" s="10"/>
      <c r="AM6963" s="10"/>
      <c r="AN6963" s="10"/>
      <c r="AO6963" s="10"/>
      <c r="AP6963" s="10"/>
      <c r="AQ6963" s="10"/>
      <c r="AR6963" s="10"/>
      <c r="AS6963" s="10"/>
      <c r="AT6963" s="10"/>
      <c r="AU6963" s="10"/>
      <c r="AV6963" s="10"/>
      <c r="AW6963" s="10"/>
      <c r="AX6963" s="10"/>
      <c r="AY6963" s="10"/>
      <c r="AZ6963" s="10"/>
    </row>
    <row r="6964" spans="31:52">
      <c r="AE6964" s="10"/>
      <c r="AF6964" s="10"/>
      <c r="AG6964" s="10"/>
      <c r="AH6964" s="10"/>
      <c r="AI6964" s="10"/>
      <c r="AJ6964" s="10"/>
      <c r="AK6964" s="10"/>
      <c r="AL6964" s="10"/>
      <c r="AM6964" s="10"/>
      <c r="AN6964" s="10"/>
      <c r="AO6964" s="10"/>
      <c r="AP6964" s="10"/>
      <c r="AQ6964" s="10"/>
      <c r="AR6964" s="10"/>
      <c r="AS6964" s="10"/>
      <c r="AT6964" s="10"/>
      <c r="AU6964" s="10"/>
      <c r="AV6964" s="10"/>
      <c r="AW6964" s="10"/>
      <c r="AX6964" s="10"/>
      <c r="AY6964" s="10"/>
      <c r="AZ6964" s="10"/>
    </row>
    <row r="6965" spans="31:52">
      <c r="AE6965" s="10"/>
      <c r="AF6965" s="10"/>
      <c r="AG6965" s="10"/>
      <c r="AH6965" s="10"/>
      <c r="AI6965" s="10"/>
      <c r="AJ6965" s="10"/>
      <c r="AK6965" s="10"/>
      <c r="AL6965" s="10"/>
      <c r="AM6965" s="10"/>
      <c r="AN6965" s="10"/>
      <c r="AO6965" s="10"/>
      <c r="AP6965" s="10"/>
      <c r="AQ6965" s="10"/>
      <c r="AR6965" s="10"/>
      <c r="AS6965" s="10"/>
      <c r="AT6965" s="10"/>
      <c r="AU6965" s="10"/>
      <c r="AV6965" s="10"/>
      <c r="AW6965" s="10"/>
      <c r="AX6965" s="10"/>
      <c r="AY6965" s="10"/>
      <c r="AZ6965" s="10"/>
    </row>
    <row r="6966" spans="31:52">
      <c r="AE6966" s="10"/>
      <c r="AF6966" s="10"/>
      <c r="AG6966" s="10"/>
      <c r="AH6966" s="10"/>
      <c r="AI6966" s="10"/>
      <c r="AJ6966" s="10"/>
      <c r="AK6966" s="10"/>
      <c r="AL6966" s="10"/>
      <c r="AM6966" s="10"/>
      <c r="AN6966" s="10"/>
      <c r="AO6966" s="10"/>
      <c r="AP6966" s="10"/>
      <c r="AQ6966" s="10"/>
      <c r="AR6966" s="10"/>
      <c r="AS6966" s="10"/>
      <c r="AT6966" s="10"/>
      <c r="AU6966" s="10"/>
      <c r="AV6966" s="10"/>
      <c r="AW6966" s="10"/>
      <c r="AX6966" s="10"/>
      <c r="AY6966" s="10"/>
      <c r="AZ6966" s="10"/>
    </row>
    <row r="6967" spans="31:52">
      <c r="AE6967" s="10"/>
      <c r="AF6967" s="10"/>
      <c r="AG6967" s="10"/>
      <c r="AH6967" s="10"/>
      <c r="AI6967" s="10"/>
      <c r="AJ6967" s="10"/>
      <c r="AK6967" s="10"/>
      <c r="AL6967" s="10"/>
      <c r="AM6967" s="10"/>
      <c r="AN6967" s="10"/>
      <c r="AO6967" s="10"/>
      <c r="AP6967" s="10"/>
      <c r="AQ6967" s="10"/>
      <c r="AR6967" s="10"/>
      <c r="AS6967" s="10"/>
      <c r="AT6967" s="10"/>
      <c r="AU6967" s="10"/>
      <c r="AV6967" s="10"/>
      <c r="AW6967" s="10"/>
      <c r="AX6967" s="10"/>
      <c r="AY6967" s="10"/>
      <c r="AZ6967" s="10"/>
    </row>
    <row r="6968" spans="31:52">
      <c r="AE6968" s="10"/>
      <c r="AF6968" s="10"/>
      <c r="AG6968" s="10"/>
      <c r="AH6968" s="10"/>
      <c r="AI6968" s="10"/>
      <c r="AJ6968" s="10"/>
      <c r="AK6968" s="10"/>
      <c r="AL6968" s="10"/>
      <c r="AM6968" s="10"/>
      <c r="AN6968" s="10"/>
      <c r="AO6968" s="10"/>
      <c r="AP6968" s="10"/>
      <c r="AQ6968" s="10"/>
      <c r="AR6968" s="10"/>
      <c r="AS6968" s="10"/>
      <c r="AT6968" s="10"/>
      <c r="AU6968" s="10"/>
      <c r="AV6968" s="10"/>
      <c r="AW6968" s="10"/>
      <c r="AX6968" s="10"/>
      <c r="AY6968" s="10"/>
      <c r="AZ6968" s="10"/>
    </row>
    <row r="6969" spans="31:52">
      <c r="AE6969" s="10"/>
      <c r="AF6969" s="10"/>
      <c r="AG6969" s="10"/>
      <c r="AH6969" s="10"/>
      <c r="AI6969" s="10"/>
      <c r="AJ6969" s="10"/>
      <c r="AK6969" s="10"/>
      <c r="AL6969" s="10"/>
      <c r="AM6969" s="10"/>
      <c r="AN6969" s="10"/>
      <c r="AO6969" s="10"/>
      <c r="AP6969" s="10"/>
      <c r="AQ6969" s="10"/>
      <c r="AR6969" s="10"/>
      <c r="AS6969" s="10"/>
      <c r="AT6969" s="10"/>
      <c r="AU6969" s="10"/>
      <c r="AV6969" s="10"/>
      <c r="AW6969" s="10"/>
      <c r="AX6969" s="10"/>
      <c r="AY6969" s="10"/>
      <c r="AZ6969" s="10"/>
    </row>
    <row r="6970" spans="31:52">
      <c r="AE6970" s="10"/>
      <c r="AF6970" s="10"/>
      <c r="AG6970" s="10"/>
      <c r="AH6970" s="10"/>
      <c r="AI6970" s="10"/>
      <c r="AJ6970" s="10"/>
      <c r="AK6970" s="10"/>
      <c r="AL6970" s="10"/>
      <c r="AM6970" s="10"/>
      <c r="AN6970" s="10"/>
      <c r="AO6970" s="10"/>
      <c r="AP6970" s="10"/>
      <c r="AQ6970" s="10"/>
      <c r="AR6970" s="10"/>
      <c r="AS6970" s="10"/>
      <c r="AT6970" s="10"/>
      <c r="AU6970" s="10"/>
      <c r="AV6970" s="10"/>
      <c r="AW6970" s="10"/>
      <c r="AX6970" s="10"/>
      <c r="AY6970" s="10"/>
      <c r="AZ6970" s="10"/>
    </row>
    <row r="6971" spans="31:52">
      <c r="AE6971" s="10"/>
      <c r="AF6971" s="10"/>
      <c r="AG6971" s="10"/>
      <c r="AH6971" s="10"/>
      <c r="AI6971" s="10"/>
      <c r="AJ6971" s="10"/>
      <c r="AK6971" s="10"/>
      <c r="AL6971" s="10"/>
      <c r="AM6971" s="10"/>
      <c r="AN6971" s="10"/>
      <c r="AO6971" s="10"/>
      <c r="AP6971" s="10"/>
      <c r="AQ6971" s="10"/>
      <c r="AR6971" s="10"/>
      <c r="AS6971" s="10"/>
      <c r="AT6971" s="10"/>
      <c r="AU6971" s="10"/>
      <c r="AV6971" s="10"/>
      <c r="AW6971" s="10"/>
      <c r="AX6971" s="10"/>
      <c r="AY6971" s="10"/>
      <c r="AZ6971" s="10"/>
    </row>
    <row r="6972" spans="31:52">
      <c r="AE6972" s="10"/>
      <c r="AF6972" s="10"/>
      <c r="AG6972" s="10"/>
      <c r="AH6972" s="10"/>
      <c r="AI6972" s="10"/>
      <c r="AJ6972" s="10"/>
      <c r="AK6972" s="10"/>
      <c r="AL6972" s="10"/>
      <c r="AM6972" s="10"/>
      <c r="AN6972" s="10"/>
      <c r="AO6972" s="10"/>
      <c r="AP6972" s="10"/>
      <c r="AQ6972" s="10"/>
      <c r="AR6972" s="10"/>
      <c r="AS6972" s="10"/>
      <c r="AT6972" s="10"/>
      <c r="AU6972" s="10"/>
      <c r="AV6972" s="10"/>
      <c r="AW6972" s="10"/>
      <c r="AX6972" s="10"/>
      <c r="AY6972" s="10"/>
      <c r="AZ6972" s="10"/>
    </row>
    <row r="6973" spans="31:52">
      <c r="AE6973" s="10"/>
      <c r="AF6973" s="10"/>
      <c r="AG6973" s="10"/>
      <c r="AH6973" s="10"/>
      <c r="AI6973" s="10"/>
      <c r="AJ6973" s="10"/>
      <c r="AK6973" s="10"/>
      <c r="AL6973" s="10"/>
      <c r="AM6973" s="10"/>
      <c r="AN6973" s="10"/>
      <c r="AO6973" s="10"/>
      <c r="AP6973" s="10"/>
      <c r="AQ6973" s="10"/>
      <c r="AR6973" s="10"/>
      <c r="AS6973" s="10"/>
      <c r="AT6973" s="10"/>
      <c r="AU6973" s="10"/>
      <c r="AV6973" s="10"/>
      <c r="AW6973" s="10"/>
      <c r="AX6973" s="10"/>
      <c r="AY6973" s="10"/>
      <c r="AZ6973" s="10"/>
    </row>
    <row r="6974" spans="31:52">
      <c r="AE6974" s="10"/>
      <c r="AF6974" s="10"/>
      <c r="AG6974" s="10"/>
      <c r="AH6974" s="10"/>
      <c r="AI6974" s="10"/>
      <c r="AJ6974" s="10"/>
      <c r="AK6974" s="10"/>
      <c r="AL6974" s="10"/>
      <c r="AM6974" s="10"/>
      <c r="AN6974" s="10"/>
      <c r="AO6974" s="10"/>
      <c r="AP6974" s="10"/>
      <c r="AQ6974" s="10"/>
      <c r="AR6974" s="10"/>
      <c r="AS6974" s="10"/>
      <c r="AT6974" s="10"/>
      <c r="AU6974" s="10"/>
      <c r="AV6974" s="10"/>
      <c r="AW6974" s="10"/>
      <c r="AX6974" s="10"/>
      <c r="AY6974" s="10"/>
      <c r="AZ6974" s="10"/>
    </row>
    <row r="6975" spans="31:52">
      <c r="AE6975" s="10"/>
      <c r="AF6975" s="10"/>
      <c r="AG6975" s="10"/>
      <c r="AH6975" s="10"/>
      <c r="AI6975" s="10"/>
      <c r="AJ6975" s="10"/>
      <c r="AK6975" s="10"/>
      <c r="AL6975" s="10"/>
      <c r="AM6975" s="10"/>
      <c r="AN6975" s="10"/>
      <c r="AO6975" s="10"/>
      <c r="AP6975" s="10"/>
      <c r="AQ6975" s="10"/>
      <c r="AR6975" s="10"/>
      <c r="AS6975" s="10"/>
      <c r="AT6975" s="10"/>
      <c r="AU6975" s="10"/>
      <c r="AV6975" s="10"/>
      <c r="AW6975" s="10"/>
      <c r="AX6975" s="10"/>
      <c r="AY6975" s="10"/>
      <c r="AZ6975" s="10"/>
    </row>
    <row r="6976" spans="31:52">
      <c r="AE6976" s="10"/>
      <c r="AF6976" s="10"/>
      <c r="AG6976" s="10"/>
      <c r="AH6976" s="10"/>
      <c r="AI6976" s="10"/>
      <c r="AJ6976" s="10"/>
      <c r="AK6976" s="10"/>
      <c r="AL6976" s="10"/>
      <c r="AM6976" s="10"/>
      <c r="AN6976" s="10"/>
      <c r="AO6976" s="10"/>
      <c r="AP6976" s="10"/>
      <c r="AQ6976" s="10"/>
      <c r="AR6976" s="10"/>
      <c r="AS6976" s="10"/>
      <c r="AT6976" s="10"/>
      <c r="AU6976" s="10"/>
      <c r="AV6976" s="10"/>
      <c r="AW6976" s="10"/>
      <c r="AX6976" s="10"/>
      <c r="AY6976" s="10"/>
      <c r="AZ6976" s="10"/>
    </row>
    <row r="6977" spans="31:52">
      <c r="AE6977" s="10"/>
      <c r="AF6977" s="10"/>
      <c r="AG6977" s="10"/>
      <c r="AH6977" s="10"/>
      <c r="AI6977" s="10"/>
      <c r="AJ6977" s="10"/>
      <c r="AK6977" s="10"/>
      <c r="AL6977" s="10"/>
      <c r="AM6977" s="10"/>
      <c r="AN6977" s="10"/>
      <c r="AO6977" s="10"/>
      <c r="AP6977" s="10"/>
      <c r="AQ6977" s="10"/>
      <c r="AR6977" s="10"/>
      <c r="AS6977" s="10"/>
      <c r="AT6977" s="10"/>
      <c r="AU6977" s="10"/>
      <c r="AV6977" s="10"/>
      <c r="AW6977" s="10"/>
      <c r="AX6977" s="10"/>
      <c r="AY6977" s="10"/>
      <c r="AZ6977" s="10"/>
    </row>
    <row r="6978" spans="31:52">
      <c r="AE6978" s="10"/>
      <c r="AF6978" s="10"/>
      <c r="AG6978" s="10"/>
      <c r="AH6978" s="10"/>
      <c r="AI6978" s="10"/>
      <c r="AJ6978" s="10"/>
      <c r="AK6978" s="10"/>
      <c r="AL6978" s="10"/>
      <c r="AM6978" s="10"/>
      <c r="AN6978" s="10"/>
      <c r="AO6978" s="10"/>
      <c r="AP6978" s="10"/>
      <c r="AQ6978" s="10"/>
      <c r="AR6978" s="10"/>
      <c r="AS6978" s="10"/>
      <c r="AT6978" s="10"/>
      <c r="AU6978" s="10"/>
      <c r="AV6978" s="10"/>
      <c r="AW6978" s="10"/>
      <c r="AX6978" s="10"/>
      <c r="AY6978" s="10"/>
      <c r="AZ6978" s="10"/>
    </row>
    <row r="6979" spans="31:52">
      <c r="AE6979" s="10"/>
      <c r="AF6979" s="10"/>
      <c r="AG6979" s="10"/>
      <c r="AH6979" s="10"/>
      <c r="AI6979" s="10"/>
      <c r="AJ6979" s="10"/>
      <c r="AK6979" s="10"/>
      <c r="AL6979" s="10"/>
      <c r="AM6979" s="10"/>
      <c r="AN6979" s="10"/>
      <c r="AO6979" s="10"/>
      <c r="AP6979" s="10"/>
      <c r="AQ6979" s="10"/>
      <c r="AR6979" s="10"/>
      <c r="AS6979" s="10"/>
      <c r="AT6979" s="10"/>
      <c r="AU6979" s="10"/>
      <c r="AV6979" s="10"/>
      <c r="AW6979" s="10"/>
      <c r="AX6979" s="10"/>
      <c r="AY6979" s="10"/>
      <c r="AZ6979" s="10"/>
    </row>
    <row r="6980" spans="31:52">
      <c r="AE6980" s="10"/>
      <c r="AF6980" s="10"/>
      <c r="AG6980" s="10"/>
      <c r="AH6980" s="10"/>
      <c r="AI6980" s="10"/>
      <c r="AJ6980" s="10"/>
      <c r="AK6980" s="10"/>
      <c r="AL6980" s="10"/>
      <c r="AM6980" s="10"/>
      <c r="AN6980" s="10"/>
      <c r="AO6980" s="10"/>
      <c r="AP6980" s="10"/>
      <c r="AQ6980" s="10"/>
      <c r="AR6980" s="10"/>
      <c r="AS6980" s="10"/>
      <c r="AT6980" s="10"/>
      <c r="AU6980" s="10"/>
      <c r="AV6980" s="10"/>
      <c r="AW6980" s="10"/>
      <c r="AX6980" s="10"/>
      <c r="AY6980" s="10"/>
      <c r="AZ6980" s="10"/>
    </row>
    <row r="6981" spans="31:52">
      <c r="AE6981" s="10"/>
      <c r="AF6981" s="10"/>
      <c r="AG6981" s="10"/>
      <c r="AH6981" s="10"/>
      <c r="AI6981" s="10"/>
      <c r="AJ6981" s="10"/>
      <c r="AK6981" s="10"/>
      <c r="AL6981" s="10"/>
      <c r="AM6981" s="10"/>
      <c r="AN6981" s="10"/>
      <c r="AO6981" s="10"/>
      <c r="AP6981" s="10"/>
      <c r="AQ6981" s="10"/>
      <c r="AR6981" s="10"/>
      <c r="AS6981" s="10"/>
      <c r="AT6981" s="10"/>
      <c r="AU6981" s="10"/>
      <c r="AV6981" s="10"/>
      <c r="AW6981" s="10"/>
      <c r="AX6981" s="10"/>
      <c r="AY6981" s="10"/>
      <c r="AZ6981" s="10"/>
    </row>
    <row r="6982" spans="31:52">
      <c r="AE6982" s="10"/>
      <c r="AF6982" s="10"/>
      <c r="AG6982" s="10"/>
      <c r="AH6982" s="10"/>
      <c r="AI6982" s="10"/>
      <c r="AJ6982" s="10"/>
      <c r="AK6982" s="10"/>
      <c r="AL6982" s="10"/>
      <c r="AM6982" s="10"/>
      <c r="AN6982" s="10"/>
      <c r="AO6982" s="10"/>
      <c r="AP6982" s="10"/>
      <c r="AQ6982" s="10"/>
      <c r="AR6982" s="10"/>
      <c r="AS6982" s="10"/>
      <c r="AT6982" s="10"/>
      <c r="AU6982" s="10"/>
      <c r="AV6982" s="10"/>
      <c r="AW6982" s="10"/>
      <c r="AX6982" s="10"/>
      <c r="AY6982" s="10"/>
      <c r="AZ6982" s="10"/>
    </row>
    <row r="6983" spans="31:52">
      <c r="AE6983" s="10"/>
      <c r="AF6983" s="10"/>
      <c r="AG6983" s="10"/>
      <c r="AH6983" s="10"/>
      <c r="AI6983" s="10"/>
      <c r="AJ6983" s="10"/>
      <c r="AK6983" s="10"/>
      <c r="AL6983" s="10"/>
      <c r="AM6983" s="10"/>
      <c r="AN6983" s="10"/>
      <c r="AO6983" s="10"/>
      <c r="AP6983" s="10"/>
      <c r="AQ6983" s="10"/>
      <c r="AR6983" s="10"/>
      <c r="AS6983" s="10"/>
      <c r="AT6983" s="10"/>
      <c r="AU6983" s="10"/>
      <c r="AV6983" s="10"/>
      <c r="AW6983" s="10"/>
      <c r="AX6983" s="10"/>
      <c r="AY6983" s="10"/>
      <c r="AZ6983" s="10"/>
    </row>
    <row r="6984" spans="31:52">
      <c r="AE6984" s="10"/>
      <c r="AF6984" s="10"/>
      <c r="AG6984" s="10"/>
      <c r="AH6984" s="10"/>
      <c r="AI6984" s="10"/>
      <c r="AJ6984" s="10"/>
      <c r="AK6984" s="10"/>
      <c r="AL6984" s="10"/>
      <c r="AM6984" s="10"/>
      <c r="AN6984" s="10"/>
      <c r="AO6984" s="10"/>
      <c r="AP6984" s="10"/>
      <c r="AQ6984" s="10"/>
      <c r="AR6984" s="10"/>
      <c r="AS6984" s="10"/>
      <c r="AT6984" s="10"/>
      <c r="AU6984" s="10"/>
      <c r="AV6984" s="10"/>
      <c r="AW6984" s="10"/>
      <c r="AX6984" s="10"/>
      <c r="AY6984" s="10"/>
      <c r="AZ6984" s="10"/>
    </row>
    <row r="6985" spans="31:52">
      <c r="AE6985" s="10"/>
      <c r="AF6985" s="10"/>
      <c r="AG6985" s="10"/>
      <c r="AH6985" s="10"/>
      <c r="AI6985" s="10"/>
      <c r="AJ6985" s="10"/>
      <c r="AK6985" s="10"/>
      <c r="AL6985" s="10"/>
      <c r="AM6985" s="10"/>
      <c r="AN6985" s="10"/>
      <c r="AO6985" s="10"/>
      <c r="AP6985" s="10"/>
      <c r="AQ6985" s="10"/>
      <c r="AR6985" s="10"/>
      <c r="AS6985" s="10"/>
      <c r="AT6985" s="10"/>
      <c r="AU6985" s="10"/>
      <c r="AV6985" s="10"/>
      <c r="AW6985" s="10"/>
      <c r="AX6985" s="10"/>
      <c r="AY6985" s="10"/>
      <c r="AZ6985" s="10"/>
    </row>
    <row r="6986" spans="31:52">
      <c r="AE6986" s="10"/>
      <c r="AF6986" s="10"/>
      <c r="AG6986" s="10"/>
      <c r="AH6986" s="10"/>
      <c r="AI6986" s="10"/>
      <c r="AJ6986" s="10"/>
      <c r="AK6986" s="10"/>
      <c r="AL6986" s="10"/>
      <c r="AM6986" s="10"/>
      <c r="AN6986" s="10"/>
      <c r="AO6986" s="10"/>
      <c r="AP6986" s="10"/>
      <c r="AQ6986" s="10"/>
      <c r="AR6986" s="10"/>
      <c r="AS6986" s="10"/>
      <c r="AT6986" s="10"/>
      <c r="AU6986" s="10"/>
      <c r="AV6986" s="10"/>
      <c r="AW6986" s="10"/>
      <c r="AX6986" s="10"/>
      <c r="AY6986" s="10"/>
      <c r="AZ6986" s="10"/>
    </row>
    <row r="6987" spans="31:52">
      <c r="AE6987" s="10"/>
      <c r="AF6987" s="10"/>
      <c r="AG6987" s="10"/>
      <c r="AH6987" s="10"/>
      <c r="AI6987" s="10"/>
      <c r="AJ6987" s="10"/>
      <c r="AK6987" s="10"/>
      <c r="AL6987" s="10"/>
      <c r="AM6987" s="10"/>
      <c r="AN6987" s="10"/>
      <c r="AO6987" s="10"/>
      <c r="AP6987" s="10"/>
      <c r="AQ6987" s="10"/>
      <c r="AR6987" s="10"/>
      <c r="AS6987" s="10"/>
      <c r="AT6987" s="10"/>
      <c r="AU6987" s="10"/>
      <c r="AV6987" s="10"/>
      <c r="AW6987" s="10"/>
      <c r="AX6987" s="10"/>
      <c r="AY6987" s="10"/>
      <c r="AZ6987" s="10"/>
    </row>
    <row r="6988" spans="31:52">
      <c r="AE6988" s="10"/>
      <c r="AF6988" s="10"/>
      <c r="AG6988" s="10"/>
      <c r="AH6988" s="10"/>
      <c r="AI6988" s="10"/>
      <c r="AJ6988" s="10"/>
      <c r="AK6988" s="10"/>
      <c r="AL6988" s="10"/>
      <c r="AM6988" s="10"/>
      <c r="AN6988" s="10"/>
      <c r="AO6988" s="10"/>
      <c r="AP6988" s="10"/>
      <c r="AQ6988" s="10"/>
      <c r="AR6988" s="10"/>
      <c r="AS6988" s="10"/>
      <c r="AT6988" s="10"/>
      <c r="AU6988" s="10"/>
      <c r="AV6988" s="10"/>
      <c r="AW6988" s="10"/>
      <c r="AX6988" s="10"/>
      <c r="AY6988" s="10"/>
      <c r="AZ6988" s="10"/>
    </row>
    <row r="6989" spans="31:52">
      <c r="AE6989" s="10"/>
      <c r="AF6989" s="10"/>
      <c r="AG6989" s="10"/>
      <c r="AH6989" s="10"/>
      <c r="AI6989" s="10"/>
      <c r="AJ6989" s="10"/>
      <c r="AK6989" s="10"/>
      <c r="AL6989" s="10"/>
      <c r="AM6989" s="10"/>
      <c r="AN6989" s="10"/>
      <c r="AO6989" s="10"/>
      <c r="AP6989" s="10"/>
      <c r="AQ6989" s="10"/>
      <c r="AR6989" s="10"/>
      <c r="AS6989" s="10"/>
      <c r="AT6989" s="10"/>
      <c r="AU6989" s="10"/>
      <c r="AV6989" s="10"/>
      <c r="AW6989" s="10"/>
      <c r="AX6989" s="10"/>
      <c r="AY6989" s="10"/>
      <c r="AZ6989" s="10"/>
    </row>
    <row r="6990" spans="31:52">
      <c r="AE6990" s="10"/>
      <c r="AF6990" s="10"/>
      <c r="AG6990" s="10"/>
      <c r="AH6990" s="10"/>
      <c r="AI6990" s="10"/>
      <c r="AJ6990" s="10"/>
      <c r="AK6990" s="10"/>
      <c r="AL6990" s="10"/>
      <c r="AM6990" s="10"/>
      <c r="AN6990" s="10"/>
      <c r="AO6990" s="10"/>
      <c r="AP6990" s="10"/>
      <c r="AQ6990" s="10"/>
      <c r="AR6990" s="10"/>
      <c r="AS6990" s="10"/>
      <c r="AT6990" s="10"/>
      <c r="AU6990" s="10"/>
      <c r="AV6990" s="10"/>
      <c r="AW6990" s="10"/>
      <c r="AX6990" s="10"/>
      <c r="AY6990" s="10"/>
      <c r="AZ6990" s="10"/>
    </row>
    <row r="6991" spans="31:52">
      <c r="AE6991" s="10"/>
      <c r="AF6991" s="10"/>
      <c r="AG6991" s="10"/>
      <c r="AH6991" s="10"/>
      <c r="AI6991" s="10"/>
      <c r="AJ6991" s="10"/>
      <c r="AK6991" s="10"/>
      <c r="AL6991" s="10"/>
      <c r="AM6991" s="10"/>
      <c r="AN6991" s="10"/>
      <c r="AO6991" s="10"/>
      <c r="AP6991" s="10"/>
      <c r="AQ6991" s="10"/>
      <c r="AR6991" s="10"/>
      <c r="AS6991" s="10"/>
      <c r="AT6991" s="10"/>
      <c r="AU6991" s="10"/>
      <c r="AV6991" s="10"/>
      <c r="AW6991" s="10"/>
      <c r="AX6991" s="10"/>
      <c r="AY6991" s="10"/>
      <c r="AZ6991" s="10"/>
    </row>
    <row r="6992" spans="31:52">
      <c r="AE6992" s="10"/>
      <c r="AF6992" s="10"/>
      <c r="AG6992" s="10"/>
      <c r="AH6992" s="10"/>
      <c r="AI6992" s="10"/>
      <c r="AJ6992" s="10"/>
      <c r="AK6992" s="10"/>
      <c r="AL6992" s="10"/>
      <c r="AM6992" s="10"/>
      <c r="AN6992" s="10"/>
      <c r="AO6992" s="10"/>
      <c r="AP6992" s="10"/>
      <c r="AQ6992" s="10"/>
      <c r="AR6992" s="10"/>
      <c r="AS6992" s="10"/>
      <c r="AT6992" s="10"/>
      <c r="AU6992" s="10"/>
      <c r="AV6992" s="10"/>
      <c r="AW6992" s="10"/>
      <c r="AX6992" s="10"/>
      <c r="AY6992" s="10"/>
      <c r="AZ6992" s="10"/>
    </row>
    <row r="6993" spans="31:52">
      <c r="AE6993" s="10"/>
      <c r="AF6993" s="10"/>
      <c r="AG6993" s="10"/>
      <c r="AH6993" s="10"/>
      <c r="AI6993" s="10"/>
      <c r="AJ6993" s="10"/>
      <c r="AK6993" s="10"/>
      <c r="AL6993" s="10"/>
      <c r="AM6993" s="10"/>
      <c r="AN6993" s="10"/>
      <c r="AO6993" s="10"/>
      <c r="AP6993" s="10"/>
      <c r="AQ6993" s="10"/>
      <c r="AR6993" s="10"/>
      <c r="AS6993" s="10"/>
      <c r="AT6993" s="10"/>
      <c r="AU6993" s="10"/>
      <c r="AV6993" s="10"/>
      <c r="AW6993" s="10"/>
      <c r="AX6993" s="10"/>
      <c r="AY6993" s="10"/>
      <c r="AZ6993" s="10"/>
    </row>
    <row r="6994" spans="31:52">
      <c r="AE6994" s="10"/>
      <c r="AF6994" s="10"/>
      <c r="AG6994" s="10"/>
      <c r="AH6994" s="10"/>
      <c r="AI6994" s="10"/>
      <c r="AJ6994" s="10"/>
      <c r="AK6994" s="10"/>
      <c r="AL6994" s="10"/>
      <c r="AM6994" s="10"/>
      <c r="AN6994" s="10"/>
      <c r="AO6994" s="10"/>
      <c r="AP6994" s="10"/>
      <c r="AQ6994" s="10"/>
      <c r="AR6994" s="10"/>
      <c r="AS6994" s="10"/>
      <c r="AT6994" s="10"/>
      <c r="AU6994" s="10"/>
      <c r="AV6994" s="10"/>
      <c r="AW6994" s="10"/>
      <c r="AX6994" s="10"/>
      <c r="AY6994" s="10"/>
      <c r="AZ6994" s="10"/>
    </row>
    <row r="6995" spans="31:52">
      <c r="AE6995" s="10"/>
      <c r="AF6995" s="10"/>
      <c r="AG6995" s="10"/>
      <c r="AH6995" s="10"/>
      <c r="AI6995" s="10"/>
      <c r="AJ6995" s="10"/>
      <c r="AK6995" s="10"/>
      <c r="AL6995" s="10"/>
      <c r="AM6995" s="10"/>
      <c r="AN6995" s="10"/>
      <c r="AO6995" s="10"/>
      <c r="AP6995" s="10"/>
      <c r="AQ6995" s="10"/>
      <c r="AR6995" s="10"/>
      <c r="AS6995" s="10"/>
      <c r="AT6995" s="10"/>
      <c r="AU6995" s="10"/>
      <c r="AV6995" s="10"/>
      <c r="AW6995" s="10"/>
      <c r="AX6995" s="10"/>
      <c r="AY6995" s="10"/>
      <c r="AZ6995" s="10"/>
    </row>
    <row r="6996" spans="31:52">
      <c r="AE6996" s="10"/>
      <c r="AF6996" s="10"/>
      <c r="AG6996" s="10"/>
      <c r="AH6996" s="10"/>
      <c r="AI6996" s="10"/>
      <c r="AJ6996" s="10"/>
      <c r="AK6996" s="10"/>
      <c r="AL6996" s="10"/>
      <c r="AM6996" s="10"/>
      <c r="AN6996" s="10"/>
      <c r="AO6996" s="10"/>
      <c r="AP6996" s="10"/>
      <c r="AQ6996" s="10"/>
      <c r="AR6996" s="10"/>
      <c r="AS6996" s="10"/>
      <c r="AT6996" s="10"/>
      <c r="AU6996" s="10"/>
      <c r="AV6996" s="10"/>
      <c r="AW6996" s="10"/>
      <c r="AX6996" s="10"/>
      <c r="AY6996" s="10"/>
      <c r="AZ6996" s="10"/>
    </row>
    <row r="6997" spans="31:52">
      <c r="AE6997" s="10"/>
      <c r="AF6997" s="10"/>
      <c r="AG6997" s="10"/>
      <c r="AH6997" s="10"/>
      <c r="AI6997" s="10"/>
      <c r="AJ6997" s="10"/>
      <c r="AK6997" s="10"/>
      <c r="AL6997" s="10"/>
      <c r="AM6997" s="10"/>
      <c r="AN6997" s="10"/>
      <c r="AO6997" s="10"/>
      <c r="AP6997" s="10"/>
      <c r="AQ6997" s="10"/>
      <c r="AR6997" s="10"/>
      <c r="AS6997" s="10"/>
      <c r="AT6997" s="10"/>
      <c r="AU6997" s="10"/>
      <c r="AV6997" s="10"/>
      <c r="AW6997" s="10"/>
      <c r="AX6997" s="10"/>
      <c r="AY6997" s="10"/>
      <c r="AZ6997" s="10"/>
    </row>
    <row r="6998" spans="31:52">
      <c r="AE6998" s="10"/>
      <c r="AF6998" s="10"/>
      <c r="AG6998" s="10"/>
      <c r="AH6998" s="10"/>
      <c r="AI6998" s="10"/>
      <c r="AJ6998" s="10"/>
      <c r="AK6998" s="10"/>
      <c r="AL6998" s="10"/>
      <c r="AM6998" s="10"/>
      <c r="AN6998" s="10"/>
      <c r="AO6998" s="10"/>
      <c r="AP6998" s="10"/>
      <c r="AQ6998" s="10"/>
      <c r="AR6998" s="10"/>
      <c r="AS6998" s="10"/>
      <c r="AT6998" s="10"/>
      <c r="AU6998" s="10"/>
      <c r="AV6998" s="10"/>
      <c r="AW6998" s="10"/>
      <c r="AX6998" s="10"/>
      <c r="AY6998" s="10"/>
      <c r="AZ6998" s="10"/>
    </row>
    <row r="6999" spans="31:52">
      <c r="AE6999" s="10"/>
      <c r="AF6999" s="10"/>
      <c r="AG6999" s="10"/>
      <c r="AH6999" s="10"/>
      <c r="AI6999" s="10"/>
      <c r="AJ6999" s="10"/>
      <c r="AK6999" s="10"/>
      <c r="AL6999" s="10"/>
      <c r="AM6999" s="10"/>
      <c r="AN6999" s="10"/>
      <c r="AO6999" s="10"/>
      <c r="AP6999" s="10"/>
      <c r="AQ6999" s="10"/>
      <c r="AR6999" s="10"/>
      <c r="AS6999" s="10"/>
      <c r="AT6999" s="10"/>
      <c r="AU6999" s="10"/>
      <c r="AV6999" s="10"/>
      <c r="AW6999" s="10"/>
      <c r="AX6999" s="10"/>
      <c r="AY6999" s="10"/>
      <c r="AZ6999" s="10"/>
    </row>
    <row r="7000" spans="31:52">
      <c r="AE7000" s="10"/>
      <c r="AF7000" s="10"/>
      <c r="AG7000" s="10"/>
      <c r="AH7000" s="10"/>
      <c r="AI7000" s="10"/>
      <c r="AJ7000" s="10"/>
      <c r="AK7000" s="10"/>
      <c r="AL7000" s="10"/>
      <c r="AM7000" s="10"/>
      <c r="AN7000" s="10"/>
      <c r="AO7000" s="10"/>
      <c r="AP7000" s="10"/>
      <c r="AQ7000" s="10"/>
      <c r="AR7000" s="10"/>
      <c r="AS7000" s="10"/>
      <c r="AT7000" s="10"/>
      <c r="AU7000" s="10"/>
      <c r="AV7000" s="10"/>
      <c r="AW7000" s="10"/>
      <c r="AX7000" s="10"/>
      <c r="AY7000" s="10"/>
      <c r="AZ7000" s="10"/>
    </row>
    <row r="7001" spans="31:52">
      <c r="AE7001" s="10"/>
      <c r="AF7001" s="10"/>
      <c r="AG7001" s="10"/>
      <c r="AH7001" s="10"/>
      <c r="AI7001" s="10"/>
      <c r="AJ7001" s="10"/>
      <c r="AK7001" s="10"/>
      <c r="AL7001" s="10"/>
      <c r="AM7001" s="10"/>
      <c r="AN7001" s="10"/>
      <c r="AO7001" s="10"/>
      <c r="AP7001" s="10"/>
      <c r="AQ7001" s="10"/>
      <c r="AR7001" s="10"/>
      <c r="AS7001" s="10"/>
      <c r="AT7001" s="10"/>
      <c r="AU7001" s="10"/>
      <c r="AV7001" s="10"/>
      <c r="AW7001" s="10"/>
      <c r="AX7001" s="10"/>
      <c r="AY7001" s="10"/>
      <c r="AZ7001" s="10"/>
    </row>
    <row r="7002" spans="31:52">
      <c r="AE7002" s="10"/>
      <c r="AF7002" s="10"/>
      <c r="AG7002" s="10"/>
      <c r="AH7002" s="10"/>
      <c r="AI7002" s="10"/>
      <c r="AJ7002" s="10"/>
      <c r="AK7002" s="10"/>
      <c r="AL7002" s="10"/>
      <c r="AM7002" s="10"/>
      <c r="AN7002" s="10"/>
      <c r="AO7002" s="10"/>
      <c r="AP7002" s="10"/>
      <c r="AQ7002" s="10"/>
      <c r="AR7002" s="10"/>
      <c r="AS7002" s="10"/>
      <c r="AT7002" s="10"/>
      <c r="AU7002" s="10"/>
      <c r="AV7002" s="10"/>
      <c r="AW7002" s="10"/>
      <c r="AX7002" s="10"/>
      <c r="AY7002" s="10"/>
      <c r="AZ7002" s="10"/>
    </row>
    <row r="7003" spans="31:52">
      <c r="AE7003" s="10"/>
      <c r="AF7003" s="10"/>
      <c r="AG7003" s="10"/>
      <c r="AH7003" s="10"/>
      <c r="AI7003" s="10"/>
      <c r="AJ7003" s="10"/>
      <c r="AK7003" s="10"/>
      <c r="AL7003" s="10"/>
      <c r="AM7003" s="10"/>
      <c r="AN7003" s="10"/>
      <c r="AO7003" s="10"/>
      <c r="AP7003" s="10"/>
      <c r="AQ7003" s="10"/>
      <c r="AR7003" s="10"/>
      <c r="AS7003" s="10"/>
      <c r="AT7003" s="10"/>
      <c r="AU7003" s="10"/>
      <c r="AV7003" s="10"/>
      <c r="AW7003" s="10"/>
      <c r="AX7003" s="10"/>
      <c r="AY7003" s="10"/>
      <c r="AZ7003" s="10"/>
    </row>
    <row r="7004" spans="31:52">
      <c r="AE7004" s="10"/>
      <c r="AF7004" s="10"/>
      <c r="AG7004" s="10"/>
      <c r="AH7004" s="10"/>
      <c r="AI7004" s="10"/>
      <c r="AJ7004" s="10"/>
      <c r="AK7004" s="10"/>
      <c r="AL7004" s="10"/>
      <c r="AM7004" s="10"/>
      <c r="AN7004" s="10"/>
      <c r="AO7004" s="10"/>
      <c r="AP7004" s="10"/>
      <c r="AQ7004" s="10"/>
      <c r="AR7004" s="10"/>
      <c r="AS7004" s="10"/>
      <c r="AT7004" s="10"/>
      <c r="AU7004" s="10"/>
      <c r="AV7004" s="10"/>
      <c r="AW7004" s="10"/>
      <c r="AX7004" s="10"/>
      <c r="AY7004" s="10"/>
      <c r="AZ7004" s="10"/>
    </row>
    <row r="7005" spans="31:52">
      <c r="AE7005" s="10"/>
      <c r="AF7005" s="10"/>
      <c r="AG7005" s="10"/>
      <c r="AH7005" s="10"/>
      <c r="AI7005" s="10"/>
      <c r="AJ7005" s="10"/>
      <c r="AK7005" s="10"/>
      <c r="AL7005" s="10"/>
      <c r="AM7005" s="10"/>
      <c r="AN7005" s="10"/>
      <c r="AO7005" s="10"/>
      <c r="AP7005" s="10"/>
      <c r="AQ7005" s="10"/>
      <c r="AR7005" s="10"/>
      <c r="AS7005" s="10"/>
      <c r="AT7005" s="10"/>
      <c r="AU7005" s="10"/>
      <c r="AV7005" s="10"/>
      <c r="AW7005" s="10"/>
      <c r="AX7005" s="10"/>
      <c r="AY7005" s="10"/>
      <c r="AZ7005" s="10"/>
    </row>
    <row r="7006" spans="31:52">
      <c r="AE7006" s="10"/>
      <c r="AF7006" s="10"/>
      <c r="AG7006" s="10"/>
      <c r="AH7006" s="10"/>
      <c r="AI7006" s="10"/>
      <c r="AJ7006" s="10"/>
      <c r="AK7006" s="10"/>
      <c r="AL7006" s="10"/>
      <c r="AM7006" s="10"/>
      <c r="AN7006" s="10"/>
      <c r="AO7006" s="10"/>
      <c r="AP7006" s="10"/>
      <c r="AQ7006" s="10"/>
      <c r="AR7006" s="10"/>
      <c r="AS7006" s="10"/>
      <c r="AT7006" s="10"/>
      <c r="AU7006" s="10"/>
      <c r="AV7006" s="10"/>
      <c r="AW7006" s="10"/>
      <c r="AX7006" s="10"/>
      <c r="AY7006" s="10"/>
      <c r="AZ7006" s="10"/>
    </row>
    <row r="7007" spans="31:52">
      <c r="AE7007" s="10"/>
      <c r="AF7007" s="10"/>
      <c r="AG7007" s="10"/>
      <c r="AH7007" s="10"/>
      <c r="AI7007" s="10"/>
      <c r="AJ7007" s="10"/>
      <c r="AK7007" s="10"/>
      <c r="AL7007" s="10"/>
      <c r="AM7007" s="10"/>
      <c r="AN7007" s="10"/>
      <c r="AO7007" s="10"/>
      <c r="AP7007" s="10"/>
      <c r="AQ7007" s="10"/>
      <c r="AR7007" s="10"/>
      <c r="AS7007" s="10"/>
      <c r="AT7007" s="10"/>
      <c r="AU7007" s="10"/>
      <c r="AV7007" s="10"/>
      <c r="AW7007" s="10"/>
      <c r="AX7007" s="10"/>
      <c r="AY7007" s="10"/>
      <c r="AZ7007" s="10"/>
    </row>
    <row r="7008" spans="31:52">
      <c r="AE7008" s="10"/>
      <c r="AF7008" s="10"/>
      <c r="AG7008" s="10"/>
      <c r="AH7008" s="10"/>
      <c r="AI7008" s="10"/>
      <c r="AJ7008" s="10"/>
      <c r="AK7008" s="10"/>
      <c r="AL7008" s="10"/>
      <c r="AM7008" s="10"/>
      <c r="AN7008" s="10"/>
      <c r="AO7008" s="10"/>
      <c r="AP7008" s="10"/>
      <c r="AQ7008" s="10"/>
      <c r="AR7008" s="10"/>
      <c r="AS7008" s="10"/>
      <c r="AT7008" s="10"/>
      <c r="AU7008" s="10"/>
      <c r="AV7008" s="10"/>
      <c r="AW7008" s="10"/>
      <c r="AX7008" s="10"/>
      <c r="AY7008" s="10"/>
      <c r="AZ7008" s="10"/>
    </row>
    <row r="7009" spans="31:52">
      <c r="AE7009" s="10"/>
      <c r="AF7009" s="10"/>
      <c r="AG7009" s="10"/>
      <c r="AH7009" s="10"/>
      <c r="AI7009" s="10"/>
      <c r="AJ7009" s="10"/>
      <c r="AK7009" s="10"/>
      <c r="AL7009" s="10"/>
      <c r="AM7009" s="10"/>
      <c r="AN7009" s="10"/>
      <c r="AO7009" s="10"/>
      <c r="AP7009" s="10"/>
      <c r="AQ7009" s="10"/>
      <c r="AR7009" s="10"/>
      <c r="AS7009" s="10"/>
      <c r="AT7009" s="10"/>
      <c r="AU7009" s="10"/>
      <c r="AV7009" s="10"/>
      <c r="AW7009" s="10"/>
      <c r="AX7009" s="10"/>
      <c r="AY7009" s="10"/>
      <c r="AZ7009" s="10"/>
    </row>
    <row r="7010" spans="31:52">
      <c r="AE7010" s="10"/>
      <c r="AF7010" s="10"/>
      <c r="AG7010" s="10"/>
      <c r="AH7010" s="10"/>
      <c r="AI7010" s="10"/>
      <c r="AJ7010" s="10"/>
      <c r="AK7010" s="10"/>
      <c r="AL7010" s="10"/>
      <c r="AM7010" s="10"/>
      <c r="AN7010" s="10"/>
      <c r="AO7010" s="10"/>
      <c r="AP7010" s="10"/>
      <c r="AQ7010" s="10"/>
      <c r="AR7010" s="10"/>
      <c r="AS7010" s="10"/>
      <c r="AT7010" s="10"/>
      <c r="AU7010" s="10"/>
      <c r="AV7010" s="10"/>
      <c r="AW7010" s="10"/>
      <c r="AX7010" s="10"/>
      <c r="AY7010" s="10"/>
      <c r="AZ7010" s="10"/>
    </row>
    <row r="7011" spans="31:52">
      <c r="AE7011" s="10"/>
      <c r="AF7011" s="10"/>
      <c r="AG7011" s="10"/>
      <c r="AH7011" s="10"/>
      <c r="AI7011" s="10"/>
      <c r="AJ7011" s="10"/>
      <c r="AK7011" s="10"/>
      <c r="AL7011" s="10"/>
      <c r="AM7011" s="10"/>
      <c r="AN7011" s="10"/>
      <c r="AO7011" s="10"/>
      <c r="AP7011" s="10"/>
      <c r="AQ7011" s="10"/>
      <c r="AR7011" s="10"/>
      <c r="AS7011" s="10"/>
      <c r="AT7011" s="10"/>
      <c r="AU7011" s="10"/>
      <c r="AV7011" s="10"/>
      <c r="AW7011" s="10"/>
      <c r="AX7011" s="10"/>
      <c r="AY7011" s="10"/>
      <c r="AZ7011" s="10"/>
    </row>
    <row r="7012" spans="31:52">
      <c r="AE7012" s="10"/>
      <c r="AF7012" s="10"/>
      <c r="AG7012" s="10"/>
      <c r="AH7012" s="10"/>
      <c r="AI7012" s="10"/>
      <c r="AJ7012" s="10"/>
      <c r="AK7012" s="10"/>
      <c r="AL7012" s="10"/>
      <c r="AM7012" s="10"/>
      <c r="AN7012" s="10"/>
      <c r="AO7012" s="10"/>
      <c r="AP7012" s="10"/>
      <c r="AQ7012" s="10"/>
      <c r="AR7012" s="10"/>
      <c r="AS7012" s="10"/>
      <c r="AT7012" s="10"/>
      <c r="AU7012" s="10"/>
      <c r="AV7012" s="10"/>
      <c r="AW7012" s="10"/>
      <c r="AX7012" s="10"/>
      <c r="AY7012" s="10"/>
      <c r="AZ7012" s="10"/>
    </row>
    <row r="7013" spans="31:52">
      <c r="AE7013" s="10"/>
      <c r="AF7013" s="10"/>
      <c r="AG7013" s="10"/>
      <c r="AH7013" s="10"/>
      <c r="AI7013" s="10"/>
      <c r="AJ7013" s="10"/>
      <c r="AK7013" s="10"/>
      <c r="AL7013" s="10"/>
      <c r="AM7013" s="10"/>
      <c r="AN7013" s="10"/>
      <c r="AO7013" s="10"/>
      <c r="AP7013" s="10"/>
      <c r="AQ7013" s="10"/>
      <c r="AR7013" s="10"/>
      <c r="AS7013" s="10"/>
      <c r="AT7013" s="10"/>
      <c r="AU7013" s="10"/>
      <c r="AV7013" s="10"/>
      <c r="AW7013" s="10"/>
      <c r="AX7013" s="10"/>
      <c r="AY7013" s="10"/>
      <c r="AZ7013" s="10"/>
    </row>
    <row r="7014" spans="31:52">
      <c r="AE7014" s="10"/>
      <c r="AF7014" s="10"/>
      <c r="AG7014" s="10"/>
      <c r="AH7014" s="10"/>
      <c r="AI7014" s="10"/>
      <c r="AJ7014" s="10"/>
      <c r="AK7014" s="10"/>
      <c r="AL7014" s="10"/>
      <c r="AM7014" s="10"/>
      <c r="AN7014" s="10"/>
      <c r="AO7014" s="10"/>
      <c r="AP7014" s="10"/>
      <c r="AQ7014" s="10"/>
      <c r="AR7014" s="10"/>
      <c r="AS7014" s="10"/>
      <c r="AT7014" s="10"/>
      <c r="AU7014" s="10"/>
      <c r="AV7014" s="10"/>
      <c r="AW7014" s="10"/>
      <c r="AX7014" s="10"/>
      <c r="AY7014" s="10"/>
      <c r="AZ7014" s="10"/>
    </row>
    <row r="7015" spans="31:52">
      <c r="AE7015" s="10"/>
      <c r="AF7015" s="10"/>
      <c r="AG7015" s="10"/>
      <c r="AH7015" s="10"/>
      <c r="AI7015" s="10"/>
      <c r="AJ7015" s="10"/>
      <c r="AK7015" s="10"/>
      <c r="AL7015" s="10"/>
      <c r="AM7015" s="10"/>
      <c r="AN7015" s="10"/>
      <c r="AO7015" s="10"/>
      <c r="AP7015" s="10"/>
      <c r="AQ7015" s="10"/>
      <c r="AR7015" s="10"/>
      <c r="AS7015" s="10"/>
      <c r="AT7015" s="10"/>
      <c r="AU7015" s="10"/>
      <c r="AV7015" s="10"/>
      <c r="AW7015" s="10"/>
      <c r="AX7015" s="10"/>
      <c r="AY7015" s="10"/>
      <c r="AZ7015" s="10"/>
    </row>
    <row r="7016" spans="31:52">
      <c r="AE7016" s="10"/>
      <c r="AF7016" s="10"/>
      <c r="AG7016" s="10"/>
      <c r="AH7016" s="10"/>
      <c r="AI7016" s="10"/>
      <c r="AJ7016" s="10"/>
      <c r="AK7016" s="10"/>
      <c r="AL7016" s="10"/>
      <c r="AM7016" s="10"/>
      <c r="AN7016" s="10"/>
      <c r="AO7016" s="10"/>
      <c r="AP7016" s="10"/>
      <c r="AQ7016" s="10"/>
      <c r="AR7016" s="10"/>
      <c r="AS7016" s="10"/>
      <c r="AT7016" s="10"/>
      <c r="AU7016" s="10"/>
      <c r="AV7016" s="10"/>
      <c r="AW7016" s="10"/>
      <c r="AX7016" s="10"/>
      <c r="AY7016" s="10"/>
      <c r="AZ7016" s="10"/>
    </row>
    <row r="7017" spans="31:52">
      <c r="AE7017" s="10"/>
      <c r="AF7017" s="10"/>
      <c r="AG7017" s="10"/>
      <c r="AH7017" s="10"/>
      <c r="AI7017" s="10"/>
      <c r="AJ7017" s="10"/>
      <c r="AK7017" s="10"/>
      <c r="AL7017" s="10"/>
      <c r="AM7017" s="10"/>
      <c r="AN7017" s="10"/>
      <c r="AO7017" s="10"/>
      <c r="AP7017" s="10"/>
      <c r="AQ7017" s="10"/>
      <c r="AR7017" s="10"/>
      <c r="AS7017" s="10"/>
      <c r="AT7017" s="10"/>
      <c r="AU7017" s="10"/>
      <c r="AV7017" s="10"/>
      <c r="AW7017" s="10"/>
      <c r="AX7017" s="10"/>
      <c r="AY7017" s="10"/>
      <c r="AZ7017" s="10"/>
    </row>
    <row r="7018" spans="31:52">
      <c r="AE7018" s="10"/>
      <c r="AF7018" s="10"/>
      <c r="AG7018" s="10"/>
      <c r="AH7018" s="10"/>
      <c r="AI7018" s="10"/>
      <c r="AJ7018" s="10"/>
      <c r="AK7018" s="10"/>
      <c r="AL7018" s="10"/>
      <c r="AM7018" s="10"/>
      <c r="AN7018" s="10"/>
      <c r="AO7018" s="10"/>
      <c r="AP7018" s="10"/>
      <c r="AQ7018" s="10"/>
      <c r="AR7018" s="10"/>
      <c r="AS7018" s="10"/>
      <c r="AT7018" s="10"/>
      <c r="AU7018" s="10"/>
      <c r="AV7018" s="10"/>
      <c r="AW7018" s="10"/>
      <c r="AX7018" s="10"/>
      <c r="AY7018" s="10"/>
      <c r="AZ7018" s="10"/>
    </row>
    <row r="7019" spans="31:52">
      <c r="AE7019" s="10"/>
      <c r="AF7019" s="10"/>
      <c r="AG7019" s="10"/>
      <c r="AH7019" s="10"/>
      <c r="AI7019" s="10"/>
      <c r="AJ7019" s="10"/>
      <c r="AK7019" s="10"/>
      <c r="AL7019" s="10"/>
      <c r="AM7019" s="10"/>
      <c r="AN7019" s="10"/>
      <c r="AO7019" s="10"/>
      <c r="AP7019" s="10"/>
      <c r="AQ7019" s="10"/>
      <c r="AR7019" s="10"/>
      <c r="AS7019" s="10"/>
      <c r="AT7019" s="10"/>
      <c r="AU7019" s="10"/>
      <c r="AV7019" s="10"/>
      <c r="AW7019" s="10"/>
      <c r="AX7019" s="10"/>
      <c r="AY7019" s="10"/>
      <c r="AZ7019" s="10"/>
    </row>
    <row r="7020" spans="31:52">
      <c r="AE7020" s="10"/>
      <c r="AF7020" s="10"/>
      <c r="AG7020" s="10"/>
      <c r="AH7020" s="10"/>
      <c r="AI7020" s="10"/>
      <c r="AJ7020" s="10"/>
      <c r="AK7020" s="10"/>
      <c r="AL7020" s="10"/>
      <c r="AM7020" s="10"/>
      <c r="AN7020" s="10"/>
      <c r="AO7020" s="10"/>
      <c r="AP7020" s="10"/>
      <c r="AQ7020" s="10"/>
      <c r="AR7020" s="10"/>
      <c r="AS7020" s="10"/>
      <c r="AT7020" s="10"/>
      <c r="AU7020" s="10"/>
      <c r="AV7020" s="10"/>
      <c r="AW7020" s="10"/>
      <c r="AX7020" s="10"/>
      <c r="AY7020" s="10"/>
      <c r="AZ7020" s="10"/>
    </row>
    <row r="7021" spans="31:52">
      <c r="AE7021" s="10"/>
      <c r="AF7021" s="10"/>
      <c r="AG7021" s="10"/>
      <c r="AH7021" s="10"/>
      <c r="AI7021" s="10"/>
      <c r="AJ7021" s="10"/>
      <c r="AK7021" s="10"/>
      <c r="AL7021" s="10"/>
      <c r="AM7021" s="10"/>
      <c r="AN7021" s="10"/>
      <c r="AO7021" s="10"/>
      <c r="AP7021" s="10"/>
      <c r="AQ7021" s="10"/>
      <c r="AR7021" s="10"/>
      <c r="AS7021" s="10"/>
      <c r="AT7021" s="10"/>
      <c r="AU7021" s="10"/>
      <c r="AV7021" s="10"/>
      <c r="AW7021" s="10"/>
      <c r="AX7021" s="10"/>
      <c r="AY7021" s="10"/>
      <c r="AZ7021" s="10"/>
    </row>
    <row r="7022" spans="31:52">
      <c r="AE7022" s="10"/>
      <c r="AF7022" s="10"/>
      <c r="AG7022" s="10"/>
      <c r="AH7022" s="10"/>
      <c r="AI7022" s="10"/>
      <c r="AJ7022" s="10"/>
      <c r="AK7022" s="10"/>
      <c r="AL7022" s="10"/>
      <c r="AM7022" s="10"/>
      <c r="AN7022" s="10"/>
      <c r="AO7022" s="10"/>
      <c r="AP7022" s="10"/>
      <c r="AQ7022" s="10"/>
      <c r="AR7022" s="10"/>
      <c r="AS7022" s="10"/>
      <c r="AT7022" s="10"/>
      <c r="AU7022" s="10"/>
      <c r="AV7022" s="10"/>
      <c r="AW7022" s="10"/>
      <c r="AX7022" s="10"/>
      <c r="AY7022" s="10"/>
      <c r="AZ7022" s="10"/>
    </row>
    <row r="7023" spans="31:52">
      <c r="AE7023" s="10"/>
      <c r="AF7023" s="10"/>
      <c r="AG7023" s="10"/>
      <c r="AH7023" s="10"/>
      <c r="AI7023" s="10"/>
      <c r="AJ7023" s="10"/>
      <c r="AK7023" s="10"/>
      <c r="AL7023" s="10"/>
      <c r="AM7023" s="10"/>
      <c r="AN7023" s="10"/>
      <c r="AO7023" s="10"/>
      <c r="AP7023" s="10"/>
      <c r="AQ7023" s="10"/>
      <c r="AR7023" s="10"/>
      <c r="AS7023" s="10"/>
      <c r="AT7023" s="10"/>
      <c r="AU7023" s="10"/>
      <c r="AV7023" s="10"/>
      <c r="AW7023" s="10"/>
      <c r="AX7023" s="10"/>
      <c r="AY7023" s="10"/>
      <c r="AZ7023" s="10"/>
    </row>
    <row r="7024" spans="31:52">
      <c r="AE7024" s="10"/>
      <c r="AF7024" s="10"/>
      <c r="AG7024" s="10"/>
      <c r="AH7024" s="10"/>
      <c r="AI7024" s="10"/>
      <c r="AJ7024" s="10"/>
      <c r="AK7024" s="10"/>
      <c r="AL7024" s="10"/>
      <c r="AM7024" s="10"/>
      <c r="AN7024" s="10"/>
      <c r="AO7024" s="10"/>
      <c r="AP7024" s="10"/>
      <c r="AQ7024" s="10"/>
      <c r="AR7024" s="10"/>
      <c r="AS7024" s="10"/>
      <c r="AT7024" s="10"/>
      <c r="AU7024" s="10"/>
      <c r="AV7024" s="10"/>
      <c r="AW7024" s="10"/>
      <c r="AX7024" s="10"/>
      <c r="AY7024" s="10"/>
      <c r="AZ7024" s="10"/>
    </row>
    <row r="7025" spans="31:52">
      <c r="AE7025" s="10"/>
      <c r="AF7025" s="10"/>
      <c r="AG7025" s="10"/>
      <c r="AH7025" s="10"/>
      <c r="AI7025" s="10"/>
      <c r="AJ7025" s="10"/>
      <c r="AK7025" s="10"/>
      <c r="AL7025" s="10"/>
      <c r="AM7025" s="10"/>
      <c r="AN7025" s="10"/>
      <c r="AO7025" s="10"/>
      <c r="AP7025" s="10"/>
      <c r="AQ7025" s="10"/>
      <c r="AR7025" s="10"/>
      <c r="AS7025" s="10"/>
      <c r="AT7025" s="10"/>
      <c r="AU7025" s="10"/>
      <c r="AV7025" s="10"/>
      <c r="AW7025" s="10"/>
      <c r="AX7025" s="10"/>
      <c r="AY7025" s="10"/>
      <c r="AZ7025" s="10"/>
    </row>
    <row r="7026" spans="31:52">
      <c r="AE7026" s="10"/>
      <c r="AF7026" s="10"/>
      <c r="AG7026" s="10"/>
      <c r="AH7026" s="10"/>
      <c r="AI7026" s="10"/>
      <c r="AJ7026" s="10"/>
      <c r="AK7026" s="10"/>
      <c r="AL7026" s="10"/>
      <c r="AM7026" s="10"/>
      <c r="AN7026" s="10"/>
      <c r="AO7026" s="10"/>
      <c r="AP7026" s="10"/>
      <c r="AQ7026" s="10"/>
      <c r="AR7026" s="10"/>
      <c r="AS7026" s="10"/>
      <c r="AT7026" s="10"/>
      <c r="AU7026" s="10"/>
      <c r="AV7026" s="10"/>
      <c r="AW7026" s="10"/>
      <c r="AX7026" s="10"/>
      <c r="AY7026" s="10"/>
      <c r="AZ7026" s="10"/>
    </row>
    <row r="7027" spans="31:52">
      <c r="AE7027" s="10"/>
      <c r="AF7027" s="10"/>
      <c r="AG7027" s="10"/>
      <c r="AH7027" s="10"/>
      <c r="AI7027" s="10"/>
      <c r="AJ7027" s="10"/>
      <c r="AK7027" s="10"/>
      <c r="AL7027" s="10"/>
      <c r="AM7027" s="10"/>
      <c r="AN7027" s="10"/>
      <c r="AO7027" s="10"/>
      <c r="AP7027" s="10"/>
      <c r="AQ7027" s="10"/>
      <c r="AR7027" s="10"/>
      <c r="AS7027" s="10"/>
      <c r="AT7027" s="10"/>
      <c r="AU7027" s="10"/>
      <c r="AV7027" s="10"/>
      <c r="AW7027" s="10"/>
      <c r="AX7027" s="10"/>
      <c r="AY7027" s="10"/>
      <c r="AZ7027" s="10"/>
    </row>
    <row r="7028" spans="31:52">
      <c r="AE7028" s="10"/>
      <c r="AF7028" s="10"/>
      <c r="AG7028" s="10"/>
      <c r="AH7028" s="10"/>
      <c r="AI7028" s="10"/>
      <c r="AJ7028" s="10"/>
      <c r="AK7028" s="10"/>
      <c r="AL7028" s="10"/>
      <c r="AM7028" s="10"/>
      <c r="AN7028" s="10"/>
      <c r="AO7028" s="10"/>
      <c r="AP7028" s="10"/>
      <c r="AQ7028" s="10"/>
      <c r="AR7028" s="10"/>
      <c r="AS7028" s="10"/>
      <c r="AT7028" s="10"/>
      <c r="AU7028" s="10"/>
      <c r="AV7028" s="10"/>
      <c r="AW7028" s="10"/>
      <c r="AX7028" s="10"/>
      <c r="AY7028" s="10"/>
      <c r="AZ7028" s="10"/>
    </row>
    <row r="7029" spans="31:52">
      <c r="AE7029" s="10"/>
      <c r="AF7029" s="10"/>
      <c r="AG7029" s="10"/>
      <c r="AH7029" s="10"/>
      <c r="AI7029" s="10"/>
      <c r="AJ7029" s="10"/>
      <c r="AK7029" s="10"/>
      <c r="AL7029" s="10"/>
      <c r="AM7029" s="10"/>
      <c r="AN7029" s="10"/>
      <c r="AO7029" s="10"/>
      <c r="AP7029" s="10"/>
      <c r="AQ7029" s="10"/>
      <c r="AR7029" s="10"/>
      <c r="AS7029" s="10"/>
      <c r="AT7029" s="10"/>
      <c r="AU7029" s="10"/>
      <c r="AV7029" s="10"/>
      <c r="AW7029" s="10"/>
      <c r="AX7029" s="10"/>
      <c r="AY7029" s="10"/>
      <c r="AZ7029" s="10"/>
    </row>
    <row r="7030" spans="31:52">
      <c r="AE7030" s="10"/>
      <c r="AF7030" s="10"/>
      <c r="AG7030" s="10"/>
      <c r="AH7030" s="10"/>
      <c r="AI7030" s="10"/>
      <c r="AJ7030" s="10"/>
      <c r="AK7030" s="10"/>
      <c r="AL7030" s="10"/>
      <c r="AM7030" s="10"/>
      <c r="AN7030" s="10"/>
      <c r="AO7030" s="10"/>
      <c r="AP7030" s="10"/>
      <c r="AQ7030" s="10"/>
      <c r="AR7030" s="10"/>
      <c r="AS7030" s="10"/>
      <c r="AT7030" s="10"/>
      <c r="AU7030" s="10"/>
      <c r="AV7030" s="10"/>
      <c r="AW7030" s="10"/>
      <c r="AX7030" s="10"/>
      <c r="AY7030" s="10"/>
      <c r="AZ7030" s="10"/>
    </row>
    <row r="7031" spans="31:52">
      <c r="AE7031" s="10"/>
      <c r="AF7031" s="10"/>
      <c r="AG7031" s="10"/>
      <c r="AH7031" s="10"/>
      <c r="AI7031" s="10"/>
      <c r="AJ7031" s="10"/>
      <c r="AK7031" s="10"/>
      <c r="AL7031" s="10"/>
      <c r="AM7031" s="10"/>
      <c r="AN7031" s="10"/>
      <c r="AO7031" s="10"/>
      <c r="AP7031" s="10"/>
      <c r="AQ7031" s="10"/>
      <c r="AR7031" s="10"/>
      <c r="AS7031" s="10"/>
      <c r="AT7031" s="10"/>
      <c r="AU7031" s="10"/>
      <c r="AV7031" s="10"/>
      <c r="AW7031" s="10"/>
      <c r="AX7031" s="10"/>
      <c r="AY7031" s="10"/>
      <c r="AZ7031" s="10"/>
    </row>
    <row r="7032" spans="31:52">
      <c r="AE7032" s="10"/>
      <c r="AF7032" s="10"/>
      <c r="AG7032" s="10"/>
      <c r="AH7032" s="10"/>
      <c r="AI7032" s="10"/>
      <c r="AJ7032" s="10"/>
      <c r="AK7032" s="10"/>
      <c r="AL7032" s="10"/>
      <c r="AM7032" s="10"/>
      <c r="AN7032" s="10"/>
      <c r="AO7032" s="10"/>
      <c r="AP7032" s="10"/>
      <c r="AQ7032" s="10"/>
      <c r="AR7032" s="10"/>
      <c r="AS7032" s="10"/>
      <c r="AT7032" s="10"/>
      <c r="AU7032" s="10"/>
      <c r="AV7032" s="10"/>
      <c r="AW7032" s="10"/>
      <c r="AX7032" s="10"/>
      <c r="AY7032" s="10"/>
      <c r="AZ7032" s="10"/>
    </row>
    <row r="7033" spans="31:52">
      <c r="AE7033" s="10"/>
      <c r="AF7033" s="10"/>
      <c r="AG7033" s="10"/>
      <c r="AH7033" s="10"/>
      <c r="AI7033" s="10"/>
      <c r="AJ7033" s="10"/>
      <c r="AK7033" s="10"/>
      <c r="AL7033" s="10"/>
      <c r="AM7033" s="10"/>
      <c r="AN7033" s="10"/>
      <c r="AO7033" s="10"/>
      <c r="AP7033" s="10"/>
      <c r="AQ7033" s="10"/>
      <c r="AR7033" s="10"/>
      <c r="AS7033" s="10"/>
      <c r="AT7033" s="10"/>
      <c r="AU7033" s="10"/>
      <c r="AV7033" s="10"/>
      <c r="AW7033" s="10"/>
      <c r="AX7033" s="10"/>
      <c r="AY7033" s="10"/>
      <c r="AZ7033" s="10"/>
    </row>
    <row r="7034" spans="31:52">
      <c r="AE7034" s="10"/>
      <c r="AF7034" s="10"/>
      <c r="AG7034" s="10"/>
      <c r="AH7034" s="10"/>
      <c r="AI7034" s="10"/>
      <c r="AJ7034" s="10"/>
      <c r="AK7034" s="10"/>
      <c r="AL7034" s="10"/>
      <c r="AM7034" s="10"/>
      <c r="AN7034" s="10"/>
      <c r="AO7034" s="10"/>
      <c r="AP7034" s="10"/>
      <c r="AQ7034" s="10"/>
      <c r="AR7034" s="10"/>
      <c r="AS7034" s="10"/>
      <c r="AT7034" s="10"/>
      <c r="AU7034" s="10"/>
      <c r="AV7034" s="10"/>
      <c r="AW7034" s="10"/>
      <c r="AX7034" s="10"/>
      <c r="AY7034" s="10"/>
      <c r="AZ7034" s="10"/>
    </row>
    <row r="7035" spans="31:52">
      <c r="AE7035" s="10"/>
      <c r="AF7035" s="10"/>
      <c r="AG7035" s="10"/>
      <c r="AH7035" s="10"/>
      <c r="AI7035" s="10"/>
      <c r="AJ7035" s="10"/>
      <c r="AK7035" s="10"/>
      <c r="AL7035" s="10"/>
      <c r="AM7035" s="10"/>
      <c r="AN7035" s="10"/>
      <c r="AO7035" s="10"/>
      <c r="AP7035" s="10"/>
      <c r="AQ7035" s="10"/>
      <c r="AR7035" s="10"/>
      <c r="AS7035" s="10"/>
      <c r="AT7035" s="10"/>
      <c r="AU7035" s="10"/>
      <c r="AV7035" s="10"/>
      <c r="AW7035" s="10"/>
      <c r="AX7035" s="10"/>
      <c r="AY7035" s="10"/>
      <c r="AZ7035" s="10"/>
    </row>
    <row r="7036" spans="31:52">
      <c r="AE7036" s="10"/>
      <c r="AF7036" s="10"/>
      <c r="AG7036" s="10"/>
      <c r="AH7036" s="10"/>
      <c r="AI7036" s="10"/>
      <c r="AJ7036" s="10"/>
      <c r="AK7036" s="10"/>
      <c r="AL7036" s="10"/>
      <c r="AM7036" s="10"/>
      <c r="AN7036" s="10"/>
      <c r="AO7036" s="10"/>
      <c r="AP7036" s="10"/>
      <c r="AQ7036" s="10"/>
      <c r="AR7036" s="10"/>
      <c r="AS7036" s="10"/>
      <c r="AT7036" s="10"/>
      <c r="AU7036" s="10"/>
      <c r="AV7036" s="10"/>
      <c r="AW7036" s="10"/>
      <c r="AX7036" s="10"/>
      <c r="AY7036" s="10"/>
      <c r="AZ7036" s="10"/>
    </row>
    <row r="7037" spans="31:52">
      <c r="AE7037" s="10"/>
      <c r="AF7037" s="10"/>
      <c r="AG7037" s="10"/>
      <c r="AH7037" s="10"/>
      <c r="AI7037" s="10"/>
      <c r="AJ7037" s="10"/>
      <c r="AK7037" s="10"/>
      <c r="AL7037" s="10"/>
      <c r="AM7037" s="10"/>
      <c r="AN7037" s="10"/>
      <c r="AO7037" s="10"/>
      <c r="AP7037" s="10"/>
      <c r="AQ7037" s="10"/>
      <c r="AR7037" s="10"/>
      <c r="AS7037" s="10"/>
      <c r="AT7037" s="10"/>
      <c r="AU7037" s="10"/>
      <c r="AV7037" s="10"/>
      <c r="AW7037" s="10"/>
      <c r="AX7037" s="10"/>
      <c r="AY7037" s="10"/>
      <c r="AZ7037" s="10"/>
    </row>
    <row r="7038" spans="31:52">
      <c r="AE7038" s="10"/>
      <c r="AF7038" s="10"/>
      <c r="AG7038" s="10"/>
      <c r="AH7038" s="10"/>
      <c r="AI7038" s="10"/>
      <c r="AJ7038" s="10"/>
      <c r="AK7038" s="10"/>
      <c r="AL7038" s="10"/>
      <c r="AM7038" s="10"/>
      <c r="AN7038" s="10"/>
      <c r="AO7038" s="10"/>
      <c r="AP7038" s="10"/>
      <c r="AQ7038" s="10"/>
      <c r="AR7038" s="10"/>
      <c r="AS7038" s="10"/>
      <c r="AT7038" s="10"/>
      <c r="AU7038" s="10"/>
      <c r="AV7038" s="10"/>
      <c r="AW7038" s="10"/>
      <c r="AX7038" s="10"/>
      <c r="AY7038" s="10"/>
      <c r="AZ7038" s="10"/>
    </row>
    <row r="7039" spans="31:52">
      <c r="AE7039" s="10"/>
      <c r="AF7039" s="10"/>
      <c r="AG7039" s="10"/>
      <c r="AH7039" s="10"/>
      <c r="AI7039" s="10"/>
      <c r="AJ7039" s="10"/>
      <c r="AK7039" s="10"/>
      <c r="AL7039" s="10"/>
      <c r="AM7039" s="10"/>
      <c r="AN7039" s="10"/>
      <c r="AO7039" s="10"/>
      <c r="AP7039" s="10"/>
      <c r="AQ7039" s="10"/>
      <c r="AR7039" s="10"/>
      <c r="AS7039" s="10"/>
      <c r="AT7039" s="10"/>
      <c r="AU7039" s="10"/>
      <c r="AV7039" s="10"/>
      <c r="AW7039" s="10"/>
      <c r="AX7039" s="10"/>
      <c r="AY7039" s="10"/>
      <c r="AZ7039" s="10"/>
    </row>
    <row r="7040" spans="31:52">
      <c r="AE7040" s="10"/>
      <c r="AF7040" s="10"/>
      <c r="AG7040" s="10"/>
      <c r="AH7040" s="10"/>
      <c r="AI7040" s="10"/>
      <c r="AJ7040" s="10"/>
      <c r="AK7040" s="10"/>
      <c r="AL7040" s="10"/>
      <c r="AM7040" s="10"/>
      <c r="AN7040" s="10"/>
      <c r="AO7040" s="10"/>
      <c r="AP7040" s="10"/>
      <c r="AQ7040" s="10"/>
      <c r="AR7040" s="10"/>
      <c r="AS7040" s="10"/>
      <c r="AT7040" s="10"/>
      <c r="AU7040" s="10"/>
      <c r="AV7040" s="10"/>
      <c r="AW7040" s="10"/>
      <c r="AX7040" s="10"/>
      <c r="AY7040" s="10"/>
      <c r="AZ7040" s="10"/>
    </row>
    <row r="7041" spans="31:52">
      <c r="AE7041" s="10"/>
      <c r="AF7041" s="10"/>
      <c r="AG7041" s="10"/>
      <c r="AH7041" s="10"/>
      <c r="AI7041" s="10"/>
      <c r="AJ7041" s="10"/>
      <c r="AK7041" s="10"/>
      <c r="AL7041" s="10"/>
      <c r="AM7041" s="10"/>
      <c r="AN7041" s="10"/>
      <c r="AO7041" s="10"/>
      <c r="AP7041" s="10"/>
      <c r="AQ7041" s="10"/>
      <c r="AR7041" s="10"/>
      <c r="AS7041" s="10"/>
      <c r="AT7041" s="10"/>
      <c r="AU7041" s="10"/>
      <c r="AV7041" s="10"/>
      <c r="AW7041" s="10"/>
      <c r="AX7041" s="10"/>
      <c r="AY7041" s="10"/>
      <c r="AZ7041" s="10"/>
    </row>
    <row r="7042" spans="31:52">
      <c r="AE7042" s="10"/>
      <c r="AF7042" s="10"/>
      <c r="AG7042" s="10"/>
      <c r="AH7042" s="10"/>
      <c r="AI7042" s="10"/>
      <c r="AJ7042" s="10"/>
      <c r="AK7042" s="10"/>
      <c r="AL7042" s="10"/>
      <c r="AM7042" s="10"/>
      <c r="AN7042" s="10"/>
      <c r="AO7042" s="10"/>
      <c r="AP7042" s="10"/>
      <c r="AQ7042" s="10"/>
      <c r="AR7042" s="10"/>
      <c r="AS7042" s="10"/>
      <c r="AT7042" s="10"/>
      <c r="AU7042" s="10"/>
      <c r="AV7042" s="10"/>
      <c r="AW7042" s="10"/>
      <c r="AX7042" s="10"/>
      <c r="AY7042" s="10"/>
      <c r="AZ7042" s="10"/>
    </row>
    <row r="7043" spans="31:52">
      <c r="AE7043" s="10"/>
      <c r="AF7043" s="10"/>
      <c r="AG7043" s="10"/>
      <c r="AH7043" s="10"/>
      <c r="AI7043" s="10"/>
      <c r="AJ7043" s="10"/>
      <c r="AK7043" s="10"/>
      <c r="AL7043" s="10"/>
      <c r="AM7043" s="10"/>
      <c r="AN7043" s="10"/>
      <c r="AO7043" s="10"/>
      <c r="AP7043" s="10"/>
      <c r="AQ7043" s="10"/>
      <c r="AR7043" s="10"/>
      <c r="AS7043" s="10"/>
      <c r="AT7043" s="10"/>
      <c r="AU7043" s="10"/>
      <c r="AV7043" s="10"/>
      <c r="AW7043" s="10"/>
      <c r="AX7043" s="10"/>
      <c r="AY7043" s="10"/>
      <c r="AZ7043" s="10"/>
    </row>
    <row r="7044" spans="31:52">
      <c r="AE7044" s="10"/>
      <c r="AF7044" s="10"/>
      <c r="AG7044" s="10"/>
      <c r="AH7044" s="10"/>
      <c r="AI7044" s="10"/>
      <c r="AJ7044" s="10"/>
      <c r="AK7044" s="10"/>
      <c r="AL7044" s="10"/>
      <c r="AM7044" s="10"/>
      <c r="AN7044" s="10"/>
      <c r="AO7044" s="10"/>
      <c r="AP7044" s="10"/>
      <c r="AQ7044" s="10"/>
      <c r="AR7044" s="10"/>
      <c r="AS7044" s="10"/>
      <c r="AT7044" s="10"/>
      <c r="AU7044" s="10"/>
      <c r="AV7044" s="10"/>
      <c r="AW7044" s="10"/>
      <c r="AX7044" s="10"/>
      <c r="AY7044" s="10"/>
      <c r="AZ7044" s="10"/>
    </row>
    <row r="7045" spans="31:52">
      <c r="AE7045" s="10"/>
      <c r="AF7045" s="10"/>
      <c r="AG7045" s="10"/>
      <c r="AH7045" s="10"/>
      <c r="AI7045" s="10"/>
      <c r="AJ7045" s="10"/>
      <c r="AK7045" s="10"/>
      <c r="AL7045" s="10"/>
      <c r="AM7045" s="10"/>
      <c r="AN7045" s="10"/>
      <c r="AO7045" s="10"/>
      <c r="AP7045" s="10"/>
      <c r="AQ7045" s="10"/>
      <c r="AR7045" s="10"/>
      <c r="AS7045" s="10"/>
      <c r="AT7045" s="10"/>
      <c r="AU7045" s="10"/>
      <c r="AV7045" s="10"/>
      <c r="AW7045" s="10"/>
      <c r="AX7045" s="10"/>
      <c r="AY7045" s="10"/>
      <c r="AZ7045" s="10"/>
    </row>
    <row r="7046" spans="31:52">
      <c r="AE7046" s="10"/>
      <c r="AF7046" s="10"/>
      <c r="AG7046" s="10"/>
      <c r="AH7046" s="10"/>
      <c r="AI7046" s="10"/>
      <c r="AJ7046" s="10"/>
      <c r="AK7046" s="10"/>
      <c r="AL7046" s="10"/>
      <c r="AM7046" s="10"/>
      <c r="AN7046" s="10"/>
      <c r="AO7046" s="10"/>
      <c r="AP7046" s="10"/>
      <c r="AQ7046" s="10"/>
      <c r="AR7046" s="10"/>
      <c r="AS7046" s="10"/>
      <c r="AT7046" s="10"/>
      <c r="AU7046" s="10"/>
      <c r="AV7046" s="10"/>
      <c r="AW7046" s="10"/>
      <c r="AX7046" s="10"/>
      <c r="AY7046" s="10"/>
      <c r="AZ7046" s="10"/>
    </row>
    <row r="7047" spans="31:52">
      <c r="AE7047" s="10"/>
      <c r="AF7047" s="10"/>
      <c r="AG7047" s="10"/>
      <c r="AH7047" s="10"/>
      <c r="AI7047" s="10"/>
      <c r="AJ7047" s="10"/>
      <c r="AK7047" s="10"/>
      <c r="AL7047" s="10"/>
      <c r="AM7047" s="10"/>
      <c r="AN7047" s="10"/>
      <c r="AO7047" s="10"/>
      <c r="AP7047" s="10"/>
      <c r="AQ7047" s="10"/>
      <c r="AR7047" s="10"/>
      <c r="AS7047" s="10"/>
      <c r="AT7047" s="10"/>
      <c r="AU7047" s="10"/>
      <c r="AV7047" s="10"/>
      <c r="AW7047" s="10"/>
      <c r="AX7047" s="10"/>
      <c r="AY7047" s="10"/>
      <c r="AZ7047" s="10"/>
    </row>
    <row r="7048" spans="31:52">
      <c r="AE7048" s="10"/>
      <c r="AF7048" s="10"/>
      <c r="AG7048" s="10"/>
      <c r="AH7048" s="10"/>
      <c r="AI7048" s="10"/>
      <c r="AJ7048" s="10"/>
      <c r="AK7048" s="10"/>
      <c r="AL7048" s="10"/>
      <c r="AM7048" s="10"/>
      <c r="AN7048" s="10"/>
      <c r="AO7048" s="10"/>
      <c r="AP7048" s="10"/>
      <c r="AQ7048" s="10"/>
      <c r="AR7048" s="10"/>
      <c r="AS7048" s="10"/>
      <c r="AT7048" s="10"/>
      <c r="AU7048" s="10"/>
      <c r="AV7048" s="10"/>
      <c r="AW7048" s="10"/>
      <c r="AX7048" s="10"/>
      <c r="AY7048" s="10"/>
      <c r="AZ7048" s="10"/>
    </row>
    <row r="7049" spans="31:52">
      <c r="AE7049" s="10"/>
      <c r="AF7049" s="10"/>
      <c r="AG7049" s="10"/>
      <c r="AH7049" s="10"/>
      <c r="AI7049" s="10"/>
      <c r="AJ7049" s="10"/>
      <c r="AK7049" s="10"/>
      <c r="AL7049" s="10"/>
      <c r="AM7049" s="10"/>
      <c r="AN7049" s="10"/>
      <c r="AO7049" s="10"/>
      <c r="AP7049" s="10"/>
      <c r="AQ7049" s="10"/>
      <c r="AR7049" s="10"/>
      <c r="AS7049" s="10"/>
      <c r="AT7049" s="10"/>
      <c r="AU7049" s="10"/>
      <c r="AV7049" s="10"/>
      <c r="AW7049" s="10"/>
      <c r="AX7049" s="10"/>
      <c r="AY7049" s="10"/>
      <c r="AZ7049" s="10"/>
    </row>
    <row r="7050" spans="31:52">
      <c r="AE7050" s="10"/>
      <c r="AF7050" s="10"/>
      <c r="AG7050" s="10"/>
      <c r="AH7050" s="10"/>
      <c r="AI7050" s="10"/>
      <c r="AJ7050" s="10"/>
      <c r="AK7050" s="10"/>
      <c r="AL7050" s="10"/>
      <c r="AM7050" s="10"/>
      <c r="AN7050" s="10"/>
      <c r="AO7050" s="10"/>
      <c r="AP7050" s="10"/>
      <c r="AQ7050" s="10"/>
      <c r="AR7050" s="10"/>
      <c r="AS7050" s="10"/>
      <c r="AT7050" s="10"/>
      <c r="AU7050" s="10"/>
      <c r="AV7050" s="10"/>
      <c r="AW7050" s="10"/>
      <c r="AX7050" s="10"/>
      <c r="AY7050" s="10"/>
      <c r="AZ7050" s="10"/>
    </row>
    <row r="7051" spans="31:52">
      <c r="AE7051" s="10"/>
      <c r="AF7051" s="10"/>
      <c r="AG7051" s="10"/>
      <c r="AH7051" s="10"/>
      <c r="AI7051" s="10"/>
      <c r="AJ7051" s="10"/>
      <c r="AK7051" s="10"/>
      <c r="AL7051" s="10"/>
      <c r="AM7051" s="10"/>
      <c r="AN7051" s="10"/>
      <c r="AO7051" s="10"/>
      <c r="AP7051" s="10"/>
      <c r="AQ7051" s="10"/>
      <c r="AR7051" s="10"/>
      <c r="AS7051" s="10"/>
      <c r="AT7051" s="10"/>
      <c r="AU7051" s="10"/>
      <c r="AV7051" s="10"/>
      <c r="AW7051" s="10"/>
      <c r="AX7051" s="10"/>
      <c r="AY7051" s="10"/>
      <c r="AZ7051" s="10"/>
    </row>
    <row r="7052" spans="31:52">
      <c r="AE7052" s="10"/>
      <c r="AF7052" s="10"/>
      <c r="AG7052" s="10"/>
      <c r="AH7052" s="10"/>
      <c r="AI7052" s="10"/>
      <c r="AJ7052" s="10"/>
      <c r="AK7052" s="10"/>
      <c r="AL7052" s="10"/>
      <c r="AM7052" s="10"/>
      <c r="AN7052" s="10"/>
      <c r="AO7052" s="10"/>
      <c r="AP7052" s="10"/>
      <c r="AQ7052" s="10"/>
      <c r="AR7052" s="10"/>
      <c r="AS7052" s="10"/>
      <c r="AT7052" s="10"/>
      <c r="AU7052" s="10"/>
      <c r="AV7052" s="10"/>
      <c r="AW7052" s="10"/>
      <c r="AX7052" s="10"/>
      <c r="AY7052" s="10"/>
      <c r="AZ7052" s="10"/>
    </row>
    <row r="7053" spans="31:52">
      <c r="AE7053" s="10"/>
      <c r="AF7053" s="10"/>
      <c r="AG7053" s="10"/>
      <c r="AH7053" s="10"/>
      <c r="AI7053" s="10"/>
      <c r="AJ7053" s="10"/>
      <c r="AK7053" s="10"/>
      <c r="AL7053" s="10"/>
      <c r="AM7053" s="10"/>
      <c r="AN7053" s="10"/>
      <c r="AO7053" s="10"/>
      <c r="AP7053" s="10"/>
      <c r="AQ7053" s="10"/>
      <c r="AR7053" s="10"/>
      <c r="AS7053" s="10"/>
      <c r="AT7053" s="10"/>
      <c r="AU7053" s="10"/>
      <c r="AV7053" s="10"/>
      <c r="AW7053" s="10"/>
      <c r="AX7053" s="10"/>
      <c r="AY7053" s="10"/>
      <c r="AZ7053" s="10"/>
    </row>
    <row r="7054" spans="31:52">
      <c r="AE7054" s="10"/>
      <c r="AF7054" s="10"/>
      <c r="AG7054" s="10"/>
      <c r="AH7054" s="10"/>
      <c r="AI7054" s="10"/>
      <c r="AJ7054" s="10"/>
      <c r="AK7054" s="10"/>
      <c r="AL7054" s="10"/>
      <c r="AM7054" s="10"/>
      <c r="AN7054" s="10"/>
      <c r="AO7054" s="10"/>
      <c r="AP7054" s="10"/>
      <c r="AQ7054" s="10"/>
      <c r="AR7054" s="10"/>
      <c r="AS7054" s="10"/>
      <c r="AT7054" s="10"/>
      <c r="AU7054" s="10"/>
      <c r="AV7054" s="10"/>
      <c r="AW7054" s="10"/>
      <c r="AX7054" s="10"/>
      <c r="AY7054" s="10"/>
      <c r="AZ7054" s="10"/>
    </row>
    <row r="7055" spans="31:52">
      <c r="AE7055" s="10"/>
      <c r="AF7055" s="10"/>
      <c r="AG7055" s="10"/>
      <c r="AH7055" s="10"/>
      <c r="AI7055" s="10"/>
      <c r="AJ7055" s="10"/>
      <c r="AK7055" s="10"/>
      <c r="AL7055" s="10"/>
      <c r="AM7055" s="10"/>
      <c r="AN7055" s="10"/>
      <c r="AO7055" s="10"/>
      <c r="AP7055" s="10"/>
      <c r="AQ7055" s="10"/>
      <c r="AR7055" s="10"/>
      <c r="AS7055" s="10"/>
      <c r="AT7055" s="10"/>
      <c r="AU7055" s="10"/>
      <c r="AV7055" s="10"/>
      <c r="AW7055" s="10"/>
      <c r="AX7055" s="10"/>
      <c r="AY7055" s="10"/>
      <c r="AZ7055" s="10"/>
    </row>
    <row r="7056" spans="31:52">
      <c r="AE7056" s="10"/>
      <c r="AF7056" s="10"/>
      <c r="AG7056" s="10"/>
      <c r="AH7056" s="10"/>
      <c r="AI7056" s="10"/>
      <c r="AJ7056" s="10"/>
      <c r="AK7056" s="10"/>
      <c r="AL7056" s="10"/>
      <c r="AM7056" s="10"/>
      <c r="AN7056" s="10"/>
      <c r="AO7056" s="10"/>
      <c r="AP7056" s="10"/>
      <c r="AQ7056" s="10"/>
      <c r="AR7056" s="10"/>
      <c r="AS7056" s="10"/>
      <c r="AT7056" s="10"/>
      <c r="AU7056" s="10"/>
      <c r="AV7056" s="10"/>
      <c r="AW7056" s="10"/>
      <c r="AX7056" s="10"/>
      <c r="AY7056" s="10"/>
      <c r="AZ7056" s="10"/>
    </row>
    <row r="7057" spans="31:52">
      <c r="AE7057" s="10"/>
      <c r="AF7057" s="10"/>
      <c r="AG7057" s="10"/>
      <c r="AH7057" s="10"/>
      <c r="AI7057" s="10"/>
      <c r="AJ7057" s="10"/>
      <c r="AK7057" s="10"/>
      <c r="AL7057" s="10"/>
      <c r="AM7057" s="10"/>
      <c r="AN7057" s="10"/>
      <c r="AO7057" s="10"/>
      <c r="AP7057" s="10"/>
      <c r="AQ7057" s="10"/>
      <c r="AR7057" s="10"/>
      <c r="AS7057" s="10"/>
      <c r="AT7057" s="10"/>
      <c r="AU7057" s="10"/>
      <c r="AV7057" s="10"/>
      <c r="AW7057" s="10"/>
      <c r="AX7057" s="10"/>
      <c r="AY7057" s="10"/>
      <c r="AZ7057" s="10"/>
    </row>
    <row r="7058" spans="31:52">
      <c r="AE7058" s="10"/>
      <c r="AF7058" s="10"/>
      <c r="AG7058" s="10"/>
      <c r="AH7058" s="10"/>
      <c r="AI7058" s="10"/>
      <c r="AJ7058" s="10"/>
      <c r="AK7058" s="10"/>
      <c r="AL7058" s="10"/>
      <c r="AM7058" s="10"/>
      <c r="AN7058" s="10"/>
      <c r="AO7058" s="10"/>
      <c r="AP7058" s="10"/>
      <c r="AQ7058" s="10"/>
      <c r="AR7058" s="10"/>
      <c r="AS7058" s="10"/>
      <c r="AT7058" s="10"/>
      <c r="AU7058" s="10"/>
      <c r="AV7058" s="10"/>
      <c r="AW7058" s="10"/>
      <c r="AX7058" s="10"/>
      <c r="AY7058" s="10"/>
      <c r="AZ7058" s="10"/>
    </row>
    <row r="7059" spans="31:52">
      <c r="AE7059" s="10"/>
      <c r="AF7059" s="10"/>
      <c r="AG7059" s="10"/>
      <c r="AH7059" s="10"/>
      <c r="AI7059" s="10"/>
      <c r="AJ7059" s="10"/>
      <c r="AK7059" s="10"/>
      <c r="AL7059" s="10"/>
      <c r="AM7059" s="10"/>
      <c r="AN7059" s="10"/>
      <c r="AO7059" s="10"/>
      <c r="AP7059" s="10"/>
      <c r="AQ7059" s="10"/>
      <c r="AR7059" s="10"/>
      <c r="AS7059" s="10"/>
      <c r="AT7059" s="10"/>
      <c r="AU7059" s="10"/>
      <c r="AV7059" s="10"/>
      <c r="AW7059" s="10"/>
      <c r="AX7059" s="10"/>
      <c r="AY7059" s="10"/>
      <c r="AZ7059" s="10"/>
    </row>
    <row r="7060" spans="31:52">
      <c r="AE7060" s="10"/>
      <c r="AF7060" s="10"/>
      <c r="AG7060" s="10"/>
      <c r="AH7060" s="10"/>
      <c r="AI7060" s="10"/>
      <c r="AJ7060" s="10"/>
      <c r="AK7060" s="10"/>
      <c r="AL7060" s="10"/>
      <c r="AM7060" s="10"/>
      <c r="AN7060" s="10"/>
      <c r="AO7060" s="10"/>
      <c r="AP7060" s="10"/>
      <c r="AQ7060" s="10"/>
      <c r="AR7060" s="10"/>
      <c r="AS7060" s="10"/>
      <c r="AT7060" s="10"/>
      <c r="AU7060" s="10"/>
      <c r="AV7060" s="10"/>
      <c r="AW7060" s="10"/>
      <c r="AX7060" s="10"/>
      <c r="AY7060" s="10"/>
      <c r="AZ7060" s="10"/>
    </row>
    <row r="7061" spans="31:52">
      <c r="AE7061" s="10"/>
      <c r="AF7061" s="10"/>
      <c r="AG7061" s="10"/>
      <c r="AH7061" s="10"/>
      <c r="AI7061" s="10"/>
      <c r="AJ7061" s="10"/>
      <c r="AK7061" s="10"/>
      <c r="AL7061" s="10"/>
      <c r="AM7061" s="10"/>
      <c r="AN7061" s="10"/>
      <c r="AO7061" s="10"/>
      <c r="AP7061" s="10"/>
      <c r="AQ7061" s="10"/>
      <c r="AR7061" s="10"/>
      <c r="AS7061" s="10"/>
      <c r="AT7061" s="10"/>
      <c r="AU7061" s="10"/>
      <c r="AV7061" s="10"/>
      <c r="AW7061" s="10"/>
      <c r="AX7061" s="10"/>
      <c r="AY7061" s="10"/>
      <c r="AZ7061" s="10"/>
    </row>
    <row r="7062" spans="31:52">
      <c r="AE7062" s="10"/>
      <c r="AF7062" s="10"/>
      <c r="AG7062" s="10"/>
      <c r="AH7062" s="10"/>
      <c r="AI7062" s="10"/>
      <c r="AJ7062" s="10"/>
      <c r="AK7062" s="10"/>
      <c r="AL7062" s="10"/>
      <c r="AM7062" s="10"/>
      <c r="AN7062" s="10"/>
      <c r="AO7062" s="10"/>
      <c r="AP7062" s="10"/>
      <c r="AQ7062" s="10"/>
      <c r="AR7062" s="10"/>
      <c r="AS7062" s="10"/>
      <c r="AT7062" s="10"/>
      <c r="AU7062" s="10"/>
      <c r="AV7062" s="10"/>
      <c r="AW7062" s="10"/>
      <c r="AX7062" s="10"/>
      <c r="AY7062" s="10"/>
      <c r="AZ7062" s="10"/>
    </row>
    <row r="7063" spans="31:52">
      <c r="AE7063" s="10"/>
      <c r="AF7063" s="10"/>
      <c r="AG7063" s="10"/>
      <c r="AH7063" s="10"/>
      <c r="AI7063" s="10"/>
      <c r="AJ7063" s="10"/>
      <c r="AK7063" s="10"/>
      <c r="AL7063" s="10"/>
      <c r="AM7063" s="10"/>
      <c r="AN7063" s="10"/>
      <c r="AO7063" s="10"/>
      <c r="AP7063" s="10"/>
      <c r="AQ7063" s="10"/>
      <c r="AR7063" s="10"/>
      <c r="AS7063" s="10"/>
      <c r="AT7063" s="10"/>
      <c r="AU7063" s="10"/>
      <c r="AV7063" s="10"/>
      <c r="AW7063" s="10"/>
      <c r="AX7063" s="10"/>
      <c r="AY7063" s="10"/>
      <c r="AZ7063" s="10"/>
    </row>
    <row r="7064" spans="31:52">
      <c r="AE7064" s="10"/>
      <c r="AF7064" s="10"/>
      <c r="AG7064" s="10"/>
      <c r="AH7064" s="10"/>
      <c r="AI7064" s="10"/>
      <c r="AJ7064" s="10"/>
      <c r="AK7064" s="10"/>
      <c r="AL7064" s="10"/>
      <c r="AM7064" s="10"/>
      <c r="AN7064" s="10"/>
      <c r="AO7064" s="10"/>
      <c r="AP7064" s="10"/>
      <c r="AQ7064" s="10"/>
      <c r="AR7064" s="10"/>
      <c r="AS7064" s="10"/>
      <c r="AT7064" s="10"/>
      <c r="AU7064" s="10"/>
      <c r="AV7064" s="10"/>
      <c r="AW7064" s="10"/>
      <c r="AX7064" s="10"/>
      <c r="AY7064" s="10"/>
      <c r="AZ7064" s="10"/>
    </row>
    <row r="7065" spans="31:52">
      <c r="AE7065" s="10"/>
      <c r="AF7065" s="10"/>
      <c r="AG7065" s="10"/>
      <c r="AH7065" s="10"/>
      <c r="AI7065" s="10"/>
      <c r="AJ7065" s="10"/>
      <c r="AK7065" s="10"/>
      <c r="AL7065" s="10"/>
      <c r="AM7065" s="10"/>
      <c r="AN7065" s="10"/>
      <c r="AO7065" s="10"/>
      <c r="AP7065" s="10"/>
      <c r="AQ7065" s="10"/>
      <c r="AR7065" s="10"/>
      <c r="AS7065" s="10"/>
      <c r="AT7065" s="10"/>
      <c r="AU7065" s="10"/>
      <c r="AV7065" s="10"/>
      <c r="AW7065" s="10"/>
      <c r="AX7065" s="10"/>
      <c r="AY7065" s="10"/>
      <c r="AZ7065" s="10"/>
    </row>
    <row r="7066" spans="31:52">
      <c r="AE7066" s="10"/>
      <c r="AF7066" s="10"/>
      <c r="AG7066" s="10"/>
      <c r="AH7066" s="10"/>
      <c r="AI7066" s="10"/>
      <c r="AJ7066" s="10"/>
      <c r="AK7066" s="10"/>
      <c r="AL7066" s="10"/>
      <c r="AM7066" s="10"/>
      <c r="AN7066" s="10"/>
      <c r="AO7066" s="10"/>
      <c r="AP7066" s="10"/>
      <c r="AQ7066" s="10"/>
      <c r="AR7066" s="10"/>
      <c r="AS7066" s="10"/>
      <c r="AT7066" s="10"/>
      <c r="AU7066" s="10"/>
      <c r="AV7066" s="10"/>
      <c r="AW7066" s="10"/>
      <c r="AX7066" s="10"/>
      <c r="AY7066" s="10"/>
      <c r="AZ7066" s="10"/>
    </row>
    <row r="7067" spans="31:52">
      <c r="AE7067" s="10"/>
      <c r="AF7067" s="10"/>
      <c r="AG7067" s="10"/>
      <c r="AH7067" s="10"/>
      <c r="AI7067" s="10"/>
      <c r="AJ7067" s="10"/>
      <c r="AK7067" s="10"/>
      <c r="AL7067" s="10"/>
      <c r="AM7067" s="10"/>
      <c r="AN7067" s="10"/>
      <c r="AO7067" s="10"/>
      <c r="AP7067" s="10"/>
      <c r="AQ7067" s="10"/>
      <c r="AR7067" s="10"/>
      <c r="AS7067" s="10"/>
      <c r="AT7067" s="10"/>
      <c r="AU7067" s="10"/>
      <c r="AV7067" s="10"/>
      <c r="AW7067" s="10"/>
      <c r="AX7067" s="10"/>
      <c r="AY7067" s="10"/>
      <c r="AZ7067" s="10"/>
    </row>
    <row r="7068" spans="31:52">
      <c r="AE7068" s="10"/>
      <c r="AF7068" s="10"/>
      <c r="AG7068" s="10"/>
      <c r="AH7068" s="10"/>
      <c r="AI7068" s="10"/>
      <c r="AJ7068" s="10"/>
      <c r="AK7068" s="10"/>
      <c r="AL7068" s="10"/>
      <c r="AM7068" s="10"/>
      <c r="AN7068" s="10"/>
      <c r="AO7068" s="10"/>
      <c r="AP7068" s="10"/>
      <c r="AQ7068" s="10"/>
      <c r="AR7068" s="10"/>
      <c r="AS7068" s="10"/>
      <c r="AT7068" s="10"/>
      <c r="AU7068" s="10"/>
      <c r="AV7068" s="10"/>
      <c r="AW7068" s="10"/>
      <c r="AX7068" s="10"/>
      <c r="AY7068" s="10"/>
      <c r="AZ7068" s="10"/>
    </row>
    <row r="7069" spans="31:52">
      <c r="AE7069" s="10"/>
      <c r="AF7069" s="10"/>
      <c r="AG7069" s="10"/>
      <c r="AH7069" s="10"/>
      <c r="AI7069" s="10"/>
      <c r="AJ7069" s="10"/>
      <c r="AK7069" s="10"/>
      <c r="AL7069" s="10"/>
      <c r="AM7069" s="10"/>
      <c r="AN7069" s="10"/>
      <c r="AO7069" s="10"/>
      <c r="AP7069" s="10"/>
      <c r="AQ7069" s="10"/>
      <c r="AR7069" s="10"/>
      <c r="AS7069" s="10"/>
      <c r="AT7069" s="10"/>
      <c r="AU7069" s="10"/>
      <c r="AV7069" s="10"/>
      <c r="AW7069" s="10"/>
      <c r="AX7069" s="10"/>
      <c r="AY7069" s="10"/>
      <c r="AZ7069" s="10"/>
    </row>
    <row r="7070" spans="31:52">
      <c r="AE7070" s="10"/>
      <c r="AF7070" s="10"/>
      <c r="AG7070" s="10"/>
      <c r="AH7070" s="10"/>
      <c r="AI7070" s="10"/>
      <c r="AJ7070" s="10"/>
      <c r="AK7070" s="10"/>
      <c r="AL7070" s="10"/>
      <c r="AM7070" s="10"/>
      <c r="AN7070" s="10"/>
      <c r="AO7070" s="10"/>
      <c r="AP7070" s="10"/>
      <c r="AQ7070" s="10"/>
      <c r="AR7070" s="10"/>
      <c r="AS7070" s="10"/>
      <c r="AT7070" s="10"/>
      <c r="AU7070" s="10"/>
      <c r="AV7070" s="10"/>
      <c r="AW7070" s="10"/>
      <c r="AX7070" s="10"/>
      <c r="AY7070" s="10"/>
      <c r="AZ7070" s="10"/>
    </row>
    <row r="7071" spans="31:52">
      <c r="AE7071" s="10"/>
      <c r="AF7071" s="10"/>
      <c r="AG7071" s="10"/>
      <c r="AH7071" s="10"/>
      <c r="AI7071" s="10"/>
      <c r="AJ7071" s="10"/>
      <c r="AK7071" s="10"/>
      <c r="AL7071" s="10"/>
      <c r="AM7071" s="10"/>
      <c r="AN7071" s="10"/>
      <c r="AO7071" s="10"/>
      <c r="AP7071" s="10"/>
      <c r="AQ7071" s="10"/>
      <c r="AR7071" s="10"/>
      <c r="AS7071" s="10"/>
      <c r="AT7071" s="10"/>
      <c r="AU7071" s="10"/>
      <c r="AV7071" s="10"/>
      <c r="AW7071" s="10"/>
      <c r="AX7071" s="10"/>
      <c r="AY7071" s="10"/>
      <c r="AZ7071" s="10"/>
    </row>
    <row r="7072" spans="31:52">
      <c r="AE7072" s="10"/>
      <c r="AF7072" s="10"/>
      <c r="AG7072" s="10"/>
      <c r="AH7072" s="10"/>
      <c r="AI7072" s="10"/>
      <c r="AJ7072" s="10"/>
      <c r="AK7072" s="10"/>
      <c r="AL7072" s="10"/>
      <c r="AM7072" s="10"/>
      <c r="AN7072" s="10"/>
      <c r="AO7072" s="10"/>
      <c r="AP7072" s="10"/>
      <c r="AQ7072" s="10"/>
      <c r="AR7072" s="10"/>
      <c r="AS7072" s="10"/>
      <c r="AT7072" s="10"/>
      <c r="AU7072" s="10"/>
      <c r="AV7072" s="10"/>
      <c r="AW7072" s="10"/>
      <c r="AX7072" s="10"/>
      <c r="AY7072" s="10"/>
      <c r="AZ7072" s="10"/>
    </row>
    <row r="7073" spans="31:52">
      <c r="AE7073" s="10"/>
      <c r="AF7073" s="10"/>
      <c r="AG7073" s="10"/>
      <c r="AH7073" s="10"/>
      <c r="AI7073" s="10"/>
      <c r="AJ7073" s="10"/>
      <c r="AK7073" s="10"/>
      <c r="AL7073" s="10"/>
      <c r="AM7073" s="10"/>
      <c r="AN7073" s="10"/>
      <c r="AO7073" s="10"/>
      <c r="AP7073" s="10"/>
      <c r="AQ7073" s="10"/>
      <c r="AR7073" s="10"/>
      <c r="AS7073" s="10"/>
      <c r="AT7073" s="10"/>
      <c r="AU7073" s="10"/>
      <c r="AV7073" s="10"/>
      <c r="AW7073" s="10"/>
      <c r="AX7073" s="10"/>
      <c r="AY7073" s="10"/>
      <c r="AZ7073" s="10"/>
    </row>
    <row r="7074" spans="31:52">
      <c r="AE7074" s="10"/>
      <c r="AF7074" s="10"/>
      <c r="AG7074" s="10"/>
      <c r="AH7074" s="10"/>
      <c r="AI7074" s="10"/>
      <c r="AJ7074" s="10"/>
      <c r="AK7074" s="10"/>
      <c r="AL7074" s="10"/>
      <c r="AM7074" s="10"/>
      <c r="AN7074" s="10"/>
      <c r="AO7074" s="10"/>
      <c r="AP7074" s="10"/>
      <c r="AQ7074" s="10"/>
      <c r="AR7074" s="10"/>
      <c r="AS7074" s="10"/>
      <c r="AT7074" s="10"/>
      <c r="AU7074" s="10"/>
      <c r="AV7074" s="10"/>
      <c r="AW7074" s="10"/>
      <c r="AX7074" s="10"/>
      <c r="AY7074" s="10"/>
      <c r="AZ7074" s="10"/>
    </row>
    <row r="7075" spans="31:52">
      <c r="AE7075" s="10"/>
      <c r="AF7075" s="10"/>
      <c r="AG7075" s="10"/>
      <c r="AH7075" s="10"/>
      <c r="AI7075" s="10"/>
      <c r="AJ7075" s="10"/>
      <c r="AK7075" s="10"/>
      <c r="AL7075" s="10"/>
      <c r="AM7075" s="10"/>
      <c r="AN7075" s="10"/>
      <c r="AO7075" s="10"/>
      <c r="AP7075" s="10"/>
      <c r="AQ7075" s="10"/>
      <c r="AR7075" s="10"/>
      <c r="AS7075" s="10"/>
      <c r="AT7075" s="10"/>
      <c r="AU7075" s="10"/>
      <c r="AV7075" s="10"/>
      <c r="AW7075" s="10"/>
      <c r="AX7075" s="10"/>
      <c r="AY7075" s="10"/>
      <c r="AZ7075" s="10"/>
    </row>
    <row r="7076" spans="31:52">
      <c r="AE7076" s="10"/>
      <c r="AF7076" s="10"/>
      <c r="AG7076" s="10"/>
      <c r="AH7076" s="10"/>
      <c r="AI7076" s="10"/>
      <c r="AJ7076" s="10"/>
      <c r="AK7076" s="10"/>
      <c r="AL7076" s="10"/>
      <c r="AM7076" s="10"/>
      <c r="AN7076" s="10"/>
      <c r="AO7076" s="10"/>
      <c r="AP7076" s="10"/>
      <c r="AQ7076" s="10"/>
      <c r="AR7076" s="10"/>
      <c r="AS7076" s="10"/>
      <c r="AT7076" s="10"/>
      <c r="AU7076" s="10"/>
      <c r="AV7076" s="10"/>
      <c r="AW7076" s="10"/>
      <c r="AX7076" s="10"/>
      <c r="AY7076" s="10"/>
      <c r="AZ7076" s="10"/>
    </row>
    <row r="7077" spans="31:52">
      <c r="AE7077" s="10"/>
      <c r="AF7077" s="10"/>
      <c r="AG7077" s="10"/>
      <c r="AH7077" s="10"/>
      <c r="AI7077" s="10"/>
      <c r="AJ7077" s="10"/>
      <c r="AK7077" s="10"/>
      <c r="AL7077" s="10"/>
      <c r="AM7077" s="10"/>
      <c r="AN7077" s="10"/>
      <c r="AO7077" s="10"/>
      <c r="AP7077" s="10"/>
      <c r="AQ7077" s="10"/>
      <c r="AR7077" s="10"/>
      <c r="AS7077" s="10"/>
      <c r="AT7077" s="10"/>
      <c r="AU7077" s="10"/>
      <c r="AV7077" s="10"/>
      <c r="AW7077" s="10"/>
      <c r="AX7077" s="10"/>
      <c r="AY7077" s="10"/>
      <c r="AZ7077" s="10"/>
    </row>
    <row r="7078" spans="31:52">
      <c r="AE7078" s="10"/>
      <c r="AF7078" s="10"/>
      <c r="AG7078" s="10"/>
      <c r="AH7078" s="10"/>
      <c r="AI7078" s="10"/>
      <c r="AJ7078" s="10"/>
      <c r="AK7078" s="10"/>
      <c r="AL7078" s="10"/>
      <c r="AM7078" s="10"/>
      <c r="AN7078" s="10"/>
      <c r="AO7078" s="10"/>
      <c r="AP7078" s="10"/>
      <c r="AQ7078" s="10"/>
      <c r="AR7078" s="10"/>
      <c r="AS7078" s="10"/>
      <c r="AT7078" s="10"/>
      <c r="AU7078" s="10"/>
      <c r="AV7078" s="10"/>
      <c r="AW7078" s="10"/>
      <c r="AX7078" s="10"/>
      <c r="AY7078" s="10"/>
      <c r="AZ7078" s="10"/>
    </row>
    <row r="7079" spans="31:52">
      <c r="AE7079" s="10"/>
      <c r="AF7079" s="10"/>
      <c r="AG7079" s="10"/>
      <c r="AH7079" s="10"/>
      <c r="AI7079" s="10"/>
      <c r="AJ7079" s="10"/>
      <c r="AK7079" s="10"/>
      <c r="AL7079" s="10"/>
      <c r="AM7079" s="10"/>
      <c r="AN7079" s="10"/>
      <c r="AO7079" s="10"/>
      <c r="AP7079" s="10"/>
      <c r="AQ7079" s="10"/>
      <c r="AR7079" s="10"/>
      <c r="AS7079" s="10"/>
      <c r="AT7079" s="10"/>
      <c r="AU7079" s="10"/>
      <c r="AV7079" s="10"/>
      <c r="AW7079" s="10"/>
      <c r="AX7079" s="10"/>
      <c r="AY7079" s="10"/>
      <c r="AZ7079" s="10"/>
    </row>
    <row r="7080" spans="31:52">
      <c r="AE7080" s="10"/>
      <c r="AF7080" s="10"/>
      <c r="AG7080" s="10"/>
      <c r="AH7080" s="10"/>
      <c r="AI7080" s="10"/>
      <c r="AJ7080" s="10"/>
      <c r="AK7080" s="10"/>
      <c r="AL7080" s="10"/>
      <c r="AM7080" s="10"/>
      <c r="AN7080" s="10"/>
      <c r="AO7080" s="10"/>
      <c r="AP7080" s="10"/>
      <c r="AQ7080" s="10"/>
      <c r="AR7080" s="10"/>
      <c r="AS7080" s="10"/>
      <c r="AT7080" s="10"/>
      <c r="AU7080" s="10"/>
      <c r="AV7080" s="10"/>
      <c r="AW7080" s="10"/>
      <c r="AX7080" s="10"/>
      <c r="AY7080" s="10"/>
      <c r="AZ7080" s="10"/>
    </row>
    <row r="7081" spans="31:52">
      <c r="AE7081" s="10"/>
      <c r="AF7081" s="10"/>
      <c r="AG7081" s="10"/>
      <c r="AH7081" s="10"/>
      <c r="AI7081" s="10"/>
      <c r="AJ7081" s="10"/>
      <c r="AK7081" s="10"/>
      <c r="AL7081" s="10"/>
      <c r="AM7081" s="10"/>
      <c r="AN7081" s="10"/>
      <c r="AO7081" s="10"/>
      <c r="AP7081" s="10"/>
      <c r="AQ7081" s="10"/>
      <c r="AR7081" s="10"/>
      <c r="AS7081" s="10"/>
      <c r="AT7081" s="10"/>
      <c r="AU7081" s="10"/>
      <c r="AV7081" s="10"/>
      <c r="AW7081" s="10"/>
      <c r="AX7081" s="10"/>
      <c r="AY7081" s="10"/>
      <c r="AZ7081" s="10"/>
    </row>
    <row r="7082" spans="31:52">
      <c r="AE7082" s="10"/>
      <c r="AF7082" s="10"/>
      <c r="AG7082" s="10"/>
      <c r="AH7082" s="10"/>
      <c r="AI7082" s="10"/>
      <c r="AJ7082" s="10"/>
      <c r="AK7082" s="10"/>
      <c r="AL7082" s="10"/>
      <c r="AM7082" s="10"/>
      <c r="AN7082" s="10"/>
      <c r="AO7082" s="10"/>
      <c r="AP7082" s="10"/>
      <c r="AQ7082" s="10"/>
      <c r="AR7082" s="10"/>
      <c r="AS7082" s="10"/>
      <c r="AT7082" s="10"/>
      <c r="AU7082" s="10"/>
      <c r="AV7082" s="10"/>
      <c r="AW7082" s="10"/>
      <c r="AX7082" s="10"/>
      <c r="AY7082" s="10"/>
      <c r="AZ7082" s="10"/>
    </row>
    <row r="7083" spans="31:52">
      <c r="AE7083" s="10"/>
      <c r="AF7083" s="10"/>
      <c r="AG7083" s="10"/>
      <c r="AH7083" s="10"/>
      <c r="AI7083" s="10"/>
      <c r="AJ7083" s="10"/>
      <c r="AK7083" s="10"/>
      <c r="AL7083" s="10"/>
      <c r="AM7083" s="10"/>
      <c r="AN7083" s="10"/>
      <c r="AO7083" s="10"/>
      <c r="AP7083" s="10"/>
      <c r="AQ7083" s="10"/>
      <c r="AR7083" s="10"/>
      <c r="AS7083" s="10"/>
      <c r="AT7083" s="10"/>
      <c r="AU7083" s="10"/>
      <c r="AV7083" s="10"/>
      <c r="AW7083" s="10"/>
      <c r="AX7083" s="10"/>
      <c r="AY7083" s="10"/>
      <c r="AZ7083" s="10"/>
    </row>
    <row r="7084" spans="31:52">
      <c r="AE7084" s="10"/>
      <c r="AF7084" s="10"/>
      <c r="AG7084" s="10"/>
      <c r="AH7084" s="10"/>
      <c r="AI7084" s="10"/>
      <c r="AJ7084" s="10"/>
      <c r="AK7084" s="10"/>
      <c r="AL7084" s="10"/>
      <c r="AM7084" s="10"/>
      <c r="AN7084" s="10"/>
      <c r="AO7084" s="10"/>
      <c r="AP7084" s="10"/>
      <c r="AQ7084" s="10"/>
      <c r="AR7084" s="10"/>
      <c r="AS7084" s="10"/>
      <c r="AT7084" s="10"/>
      <c r="AU7084" s="10"/>
      <c r="AV7084" s="10"/>
      <c r="AW7084" s="10"/>
      <c r="AX7084" s="10"/>
      <c r="AY7084" s="10"/>
      <c r="AZ7084" s="10"/>
    </row>
    <row r="7085" spans="31:52">
      <c r="AE7085" s="10"/>
      <c r="AF7085" s="10"/>
      <c r="AG7085" s="10"/>
      <c r="AH7085" s="10"/>
      <c r="AI7085" s="10"/>
      <c r="AJ7085" s="10"/>
      <c r="AK7085" s="10"/>
      <c r="AL7085" s="10"/>
      <c r="AM7085" s="10"/>
      <c r="AN7085" s="10"/>
      <c r="AO7085" s="10"/>
      <c r="AP7085" s="10"/>
      <c r="AQ7085" s="10"/>
      <c r="AR7085" s="10"/>
      <c r="AS7085" s="10"/>
      <c r="AT7085" s="10"/>
      <c r="AU7085" s="10"/>
      <c r="AV7085" s="10"/>
      <c r="AW7085" s="10"/>
      <c r="AX7085" s="10"/>
      <c r="AY7085" s="10"/>
      <c r="AZ7085" s="10"/>
    </row>
    <row r="7086" spans="31:52">
      <c r="AE7086" s="10"/>
      <c r="AF7086" s="10"/>
      <c r="AG7086" s="10"/>
      <c r="AH7086" s="10"/>
      <c r="AI7086" s="10"/>
      <c r="AJ7086" s="10"/>
      <c r="AK7086" s="10"/>
      <c r="AL7086" s="10"/>
      <c r="AM7086" s="10"/>
      <c r="AN7086" s="10"/>
      <c r="AO7086" s="10"/>
      <c r="AP7086" s="10"/>
      <c r="AQ7086" s="10"/>
      <c r="AR7086" s="10"/>
      <c r="AS7086" s="10"/>
      <c r="AT7086" s="10"/>
      <c r="AU7086" s="10"/>
      <c r="AV7086" s="10"/>
      <c r="AW7086" s="10"/>
      <c r="AX7086" s="10"/>
      <c r="AY7086" s="10"/>
      <c r="AZ7086" s="10"/>
    </row>
    <row r="7087" spans="31:52">
      <c r="AE7087" s="10"/>
      <c r="AF7087" s="10"/>
      <c r="AG7087" s="10"/>
      <c r="AH7087" s="10"/>
      <c r="AI7087" s="10"/>
      <c r="AJ7087" s="10"/>
      <c r="AK7087" s="10"/>
      <c r="AL7087" s="10"/>
      <c r="AM7087" s="10"/>
      <c r="AN7087" s="10"/>
      <c r="AO7087" s="10"/>
      <c r="AP7087" s="10"/>
      <c r="AQ7087" s="10"/>
      <c r="AR7087" s="10"/>
      <c r="AS7087" s="10"/>
      <c r="AT7087" s="10"/>
      <c r="AU7087" s="10"/>
      <c r="AV7087" s="10"/>
      <c r="AW7087" s="10"/>
      <c r="AX7087" s="10"/>
      <c r="AY7087" s="10"/>
      <c r="AZ7087" s="10"/>
    </row>
    <row r="7088" spans="31:52">
      <c r="AE7088" s="10"/>
      <c r="AF7088" s="10"/>
      <c r="AG7088" s="10"/>
      <c r="AH7088" s="10"/>
      <c r="AI7088" s="10"/>
      <c r="AJ7088" s="10"/>
      <c r="AK7088" s="10"/>
      <c r="AL7088" s="10"/>
      <c r="AM7088" s="10"/>
      <c r="AN7088" s="10"/>
      <c r="AO7088" s="10"/>
      <c r="AP7088" s="10"/>
      <c r="AQ7088" s="10"/>
      <c r="AR7088" s="10"/>
      <c r="AS7088" s="10"/>
      <c r="AT7088" s="10"/>
      <c r="AU7088" s="10"/>
      <c r="AV7088" s="10"/>
      <c r="AW7088" s="10"/>
      <c r="AX7088" s="10"/>
      <c r="AY7088" s="10"/>
      <c r="AZ7088" s="10"/>
    </row>
    <row r="7089" spans="31:52">
      <c r="AE7089" s="10"/>
      <c r="AF7089" s="10"/>
      <c r="AG7089" s="10"/>
      <c r="AH7089" s="10"/>
      <c r="AI7089" s="10"/>
      <c r="AJ7089" s="10"/>
      <c r="AK7089" s="10"/>
      <c r="AL7089" s="10"/>
      <c r="AM7089" s="10"/>
      <c r="AN7089" s="10"/>
      <c r="AO7089" s="10"/>
      <c r="AP7089" s="10"/>
      <c r="AQ7089" s="10"/>
      <c r="AR7089" s="10"/>
      <c r="AS7089" s="10"/>
      <c r="AT7089" s="10"/>
      <c r="AU7089" s="10"/>
      <c r="AV7089" s="10"/>
      <c r="AW7089" s="10"/>
      <c r="AX7089" s="10"/>
      <c r="AY7089" s="10"/>
      <c r="AZ7089" s="10"/>
    </row>
    <row r="7090" spans="31:52">
      <c r="AE7090" s="10"/>
      <c r="AF7090" s="10"/>
      <c r="AG7090" s="10"/>
      <c r="AH7090" s="10"/>
      <c r="AI7090" s="10"/>
      <c r="AJ7090" s="10"/>
      <c r="AK7090" s="10"/>
      <c r="AL7090" s="10"/>
      <c r="AM7090" s="10"/>
      <c r="AN7090" s="10"/>
      <c r="AO7090" s="10"/>
      <c r="AP7090" s="10"/>
      <c r="AQ7090" s="10"/>
      <c r="AR7090" s="10"/>
      <c r="AS7090" s="10"/>
      <c r="AT7090" s="10"/>
      <c r="AU7090" s="10"/>
      <c r="AV7090" s="10"/>
      <c r="AW7090" s="10"/>
      <c r="AX7090" s="10"/>
      <c r="AY7090" s="10"/>
      <c r="AZ7090" s="10"/>
    </row>
    <row r="7091" spans="31:52">
      <c r="AE7091" s="10"/>
      <c r="AF7091" s="10"/>
      <c r="AG7091" s="10"/>
      <c r="AH7091" s="10"/>
      <c r="AI7091" s="10"/>
      <c r="AJ7091" s="10"/>
      <c r="AK7091" s="10"/>
      <c r="AL7091" s="10"/>
      <c r="AM7091" s="10"/>
      <c r="AN7091" s="10"/>
      <c r="AO7091" s="10"/>
      <c r="AP7091" s="10"/>
      <c r="AQ7091" s="10"/>
      <c r="AR7091" s="10"/>
      <c r="AS7091" s="10"/>
      <c r="AT7091" s="10"/>
      <c r="AU7091" s="10"/>
      <c r="AV7091" s="10"/>
      <c r="AW7091" s="10"/>
      <c r="AX7091" s="10"/>
      <c r="AY7091" s="10"/>
      <c r="AZ7091" s="10"/>
    </row>
    <row r="7092" spans="31:52">
      <c r="AE7092" s="10"/>
      <c r="AF7092" s="10"/>
      <c r="AG7092" s="10"/>
      <c r="AH7092" s="10"/>
      <c r="AI7092" s="10"/>
      <c r="AJ7092" s="10"/>
      <c r="AK7092" s="10"/>
      <c r="AL7092" s="10"/>
      <c r="AM7092" s="10"/>
      <c r="AN7092" s="10"/>
      <c r="AO7092" s="10"/>
      <c r="AP7092" s="10"/>
      <c r="AQ7092" s="10"/>
      <c r="AR7092" s="10"/>
      <c r="AS7092" s="10"/>
      <c r="AT7092" s="10"/>
      <c r="AU7092" s="10"/>
      <c r="AV7092" s="10"/>
      <c r="AW7092" s="10"/>
      <c r="AX7092" s="10"/>
      <c r="AY7092" s="10"/>
      <c r="AZ7092" s="10"/>
    </row>
    <row r="7093" spans="31:52">
      <c r="AE7093" s="10"/>
      <c r="AF7093" s="10"/>
      <c r="AG7093" s="10"/>
      <c r="AH7093" s="10"/>
      <c r="AI7093" s="10"/>
      <c r="AJ7093" s="10"/>
      <c r="AK7093" s="10"/>
      <c r="AL7093" s="10"/>
      <c r="AM7093" s="10"/>
      <c r="AN7093" s="10"/>
      <c r="AO7093" s="10"/>
      <c r="AP7093" s="10"/>
      <c r="AQ7093" s="10"/>
      <c r="AR7093" s="10"/>
      <c r="AS7093" s="10"/>
      <c r="AT7093" s="10"/>
      <c r="AU7093" s="10"/>
      <c r="AV7093" s="10"/>
      <c r="AW7093" s="10"/>
      <c r="AX7093" s="10"/>
      <c r="AY7093" s="10"/>
      <c r="AZ7093" s="10"/>
    </row>
    <row r="7094" spans="31:52">
      <c r="AE7094" s="10"/>
      <c r="AF7094" s="10"/>
      <c r="AG7094" s="10"/>
      <c r="AH7094" s="10"/>
      <c r="AI7094" s="10"/>
      <c r="AJ7094" s="10"/>
      <c r="AK7094" s="10"/>
      <c r="AL7094" s="10"/>
      <c r="AM7094" s="10"/>
      <c r="AN7094" s="10"/>
      <c r="AO7094" s="10"/>
      <c r="AP7094" s="10"/>
      <c r="AQ7094" s="10"/>
      <c r="AR7094" s="10"/>
      <c r="AS7094" s="10"/>
      <c r="AT7094" s="10"/>
      <c r="AU7094" s="10"/>
      <c r="AV7094" s="10"/>
      <c r="AW7094" s="10"/>
      <c r="AX7094" s="10"/>
      <c r="AY7094" s="10"/>
      <c r="AZ7094" s="10"/>
    </row>
    <row r="7095" spans="31:52">
      <c r="AE7095" s="10"/>
      <c r="AF7095" s="10"/>
      <c r="AG7095" s="10"/>
      <c r="AH7095" s="10"/>
      <c r="AI7095" s="10"/>
      <c r="AJ7095" s="10"/>
      <c r="AK7095" s="10"/>
      <c r="AL7095" s="10"/>
      <c r="AM7095" s="10"/>
      <c r="AN7095" s="10"/>
      <c r="AO7095" s="10"/>
      <c r="AP7095" s="10"/>
      <c r="AQ7095" s="10"/>
      <c r="AR7095" s="10"/>
      <c r="AS7095" s="10"/>
      <c r="AT7095" s="10"/>
      <c r="AU7095" s="10"/>
      <c r="AV7095" s="10"/>
      <c r="AW7095" s="10"/>
      <c r="AX7095" s="10"/>
      <c r="AY7095" s="10"/>
      <c r="AZ7095" s="10"/>
    </row>
    <row r="7096" spans="31:52">
      <c r="AE7096" s="10"/>
      <c r="AF7096" s="10"/>
      <c r="AG7096" s="10"/>
      <c r="AH7096" s="10"/>
      <c r="AI7096" s="10"/>
      <c r="AJ7096" s="10"/>
      <c r="AK7096" s="10"/>
      <c r="AL7096" s="10"/>
      <c r="AM7096" s="10"/>
      <c r="AN7096" s="10"/>
      <c r="AO7096" s="10"/>
      <c r="AP7096" s="10"/>
      <c r="AQ7096" s="10"/>
      <c r="AR7096" s="10"/>
      <c r="AS7096" s="10"/>
      <c r="AT7096" s="10"/>
      <c r="AU7096" s="10"/>
      <c r="AV7096" s="10"/>
      <c r="AW7096" s="10"/>
      <c r="AX7096" s="10"/>
      <c r="AY7096" s="10"/>
      <c r="AZ7096" s="10"/>
    </row>
    <row r="7097" spans="31:52">
      <c r="AE7097" s="10"/>
      <c r="AF7097" s="10"/>
      <c r="AG7097" s="10"/>
      <c r="AH7097" s="10"/>
      <c r="AI7097" s="10"/>
      <c r="AJ7097" s="10"/>
      <c r="AK7097" s="10"/>
      <c r="AL7097" s="10"/>
      <c r="AM7097" s="10"/>
      <c r="AN7097" s="10"/>
      <c r="AO7097" s="10"/>
      <c r="AP7097" s="10"/>
      <c r="AQ7097" s="10"/>
      <c r="AR7097" s="10"/>
      <c r="AS7097" s="10"/>
      <c r="AT7097" s="10"/>
      <c r="AU7097" s="10"/>
      <c r="AV7097" s="10"/>
      <c r="AW7097" s="10"/>
      <c r="AX7097" s="10"/>
      <c r="AY7097" s="10"/>
      <c r="AZ7097" s="10"/>
    </row>
    <row r="7098" spans="31:52">
      <c r="AE7098" s="10"/>
      <c r="AF7098" s="10"/>
      <c r="AG7098" s="10"/>
      <c r="AH7098" s="10"/>
      <c r="AI7098" s="10"/>
      <c r="AJ7098" s="10"/>
      <c r="AK7098" s="10"/>
      <c r="AL7098" s="10"/>
      <c r="AM7098" s="10"/>
      <c r="AN7098" s="10"/>
      <c r="AO7098" s="10"/>
      <c r="AP7098" s="10"/>
      <c r="AQ7098" s="10"/>
      <c r="AR7098" s="10"/>
      <c r="AS7098" s="10"/>
      <c r="AT7098" s="10"/>
      <c r="AU7098" s="10"/>
      <c r="AV7098" s="10"/>
      <c r="AW7098" s="10"/>
      <c r="AX7098" s="10"/>
      <c r="AY7098" s="10"/>
      <c r="AZ7098" s="10"/>
    </row>
    <row r="7099" spans="31:52">
      <c r="AE7099" s="10"/>
      <c r="AF7099" s="10"/>
      <c r="AG7099" s="10"/>
      <c r="AH7099" s="10"/>
      <c r="AI7099" s="10"/>
      <c r="AJ7099" s="10"/>
      <c r="AK7099" s="10"/>
      <c r="AL7099" s="10"/>
      <c r="AM7099" s="10"/>
      <c r="AN7099" s="10"/>
      <c r="AO7099" s="10"/>
      <c r="AP7099" s="10"/>
      <c r="AQ7099" s="10"/>
      <c r="AR7099" s="10"/>
      <c r="AS7099" s="10"/>
      <c r="AT7099" s="10"/>
      <c r="AU7099" s="10"/>
      <c r="AV7099" s="10"/>
      <c r="AW7099" s="10"/>
      <c r="AX7099" s="10"/>
      <c r="AY7099" s="10"/>
      <c r="AZ7099" s="10"/>
    </row>
    <row r="7100" spans="31:52">
      <c r="AE7100" s="10"/>
      <c r="AF7100" s="10"/>
      <c r="AG7100" s="10"/>
      <c r="AH7100" s="10"/>
      <c r="AI7100" s="10"/>
      <c r="AJ7100" s="10"/>
      <c r="AK7100" s="10"/>
      <c r="AL7100" s="10"/>
      <c r="AM7100" s="10"/>
      <c r="AN7100" s="10"/>
      <c r="AO7100" s="10"/>
      <c r="AP7100" s="10"/>
      <c r="AQ7100" s="10"/>
      <c r="AR7100" s="10"/>
      <c r="AS7100" s="10"/>
      <c r="AT7100" s="10"/>
      <c r="AU7100" s="10"/>
      <c r="AV7100" s="10"/>
      <c r="AW7100" s="10"/>
      <c r="AX7100" s="10"/>
      <c r="AY7100" s="10"/>
      <c r="AZ7100" s="10"/>
    </row>
    <row r="7101" spans="31:52">
      <c r="AE7101" s="10"/>
      <c r="AF7101" s="10"/>
      <c r="AG7101" s="10"/>
      <c r="AH7101" s="10"/>
      <c r="AI7101" s="10"/>
      <c r="AJ7101" s="10"/>
      <c r="AK7101" s="10"/>
      <c r="AL7101" s="10"/>
      <c r="AM7101" s="10"/>
      <c r="AN7101" s="10"/>
      <c r="AO7101" s="10"/>
      <c r="AP7101" s="10"/>
      <c r="AQ7101" s="10"/>
      <c r="AR7101" s="10"/>
      <c r="AS7101" s="10"/>
      <c r="AT7101" s="10"/>
      <c r="AU7101" s="10"/>
      <c r="AV7101" s="10"/>
      <c r="AW7101" s="10"/>
      <c r="AX7101" s="10"/>
      <c r="AY7101" s="10"/>
      <c r="AZ7101" s="10"/>
    </row>
    <row r="7102" spans="31:52">
      <c r="AE7102" s="10"/>
      <c r="AF7102" s="10"/>
      <c r="AG7102" s="10"/>
      <c r="AH7102" s="10"/>
      <c r="AI7102" s="10"/>
      <c r="AJ7102" s="10"/>
      <c r="AK7102" s="10"/>
      <c r="AL7102" s="10"/>
      <c r="AM7102" s="10"/>
      <c r="AN7102" s="10"/>
      <c r="AO7102" s="10"/>
      <c r="AP7102" s="10"/>
      <c r="AQ7102" s="10"/>
      <c r="AR7102" s="10"/>
      <c r="AS7102" s="10"/>
      <c r="AT7102" s="10"/>
      <c r="AU7102" s="10"/>
      <c r="AV7102" s="10"/>
      <c r="AW7102" s="10"/>
      <c r="AX7102" s="10"/>
      <c r="AY7102" s="10"/>
      <c r="AZ7102" s="10"/>
    </row>
    <row r="7103" spans="31:52">
      <c r="AE7103" s="10"/>
      <c r="AF7103" s="10"/>
      <c r="AG7103" s="10"/>
      <c r="AH7103" s="10"/>
      <c r="AI7103" s="10"/>
      <c r="AJ7103" s="10"/>
      <c r="AK7103" s="10"/>
      <c r="AL7103" s="10"/>
      <c r="AM7103" s="10"/>
      <c r="AN7103" s="10"/>
      <c r="AO7103" s="10"/>
      <c r="AP7103" s="10"/>
      <c r="AQ7103" s="10"/>
      <c r="AR7103" s="10"/>
      <c r="AS7103" s="10"/>
      <c r="AT7103" s="10"/>
      <c r="AU7103" s="10"/>
      <c r="AV7103" s="10"/>
      <c r="AW7103" s="10"/>
      <c r="AX7103" s="10"/>
      <c r="AY7103" s="10"/>
      <c r="AZ7103" s="10"/>
    </row>
    <row r="7104" spans="31:52">
      <c r="AE7104" s="10"/>
      <c r="AF7104" s="10"/>
      <c r="AG7104" s="10"/>
      <c r="AH7104" s="10"/>
      <c r="AI7104" s="10"/>
      <c r="AJ7104" s="10"/>
      <c r="AK7104" s="10"/>
      <c r="AL7104" s="10"/>
      <c r="AM7104" s="10"/>
      <c r="AN7104" s="10"/>
      <c r="AO7104" s="10"/>
      <c r="AP7104" s="10"/>
      <c r="AQ7104" s="10"/>
      <c r="AR7104" s="10"/>
      <c r="AS7104" s="10"/>
      <c r="AT7104" s="10"/>
      <c r="AU7104" s="10"/>
      <c r="AV7104" s="10"/>
      <c r="AW7104" s="10"/>
      <c r="AX7104" s="10"/>
      <c r="AY7104" s="10"/>
      <c r="AZ7104" s="10"/>
    </row>
    <row r="7105" spans="31:52">
      <c r="AE7105" s="10"/>
      <c r="AF7105" s="10"/>
      <c r="AG7105" s="10"/>
      <c r="AH7105" s="10"/>
      <c r="AI7105" s="10"/>
      <c r="AJ7105" s="10"/>
      <c r="AK7105" s="10"/>
      <c r="AL7105" s="10"/>
      <c r="AM7105" s="10"/>
      <c r="AN7105" s="10"/>
      <c r="AO7105" s="10"/>
      <c r="AP7105" s="10"/>
      <c r="AQ7105" s="10"/>
      <c r="AR7105" s="10"/>
      <c r="AS7105" s="10"/>
      <c r="AT7105" s="10"/>
      <c r="AU7105" s="10"/>
      <c r="AV7105" s="10"/>
      <c r="AW7105" s="10"/>
      <c r="AX7105" s="10"/>
      <c r="AY7105" s="10"/>
      <c r="AZ7105" s="10"/>
    </row>
    <row r="7106" spans="31:52">
      <c r="AE7106" s="10"/>
      <c r="AF7106" s="10"/>
      <c r="AG7106" s="10"/>
      <c r="AH7106" s="10"/>
      <c r="AI7106" s="10"/>
      <c r="AJ7106" s="10"/>
      <c r="AK7106" s="10"/>
      <c r="AL7106" s="10"/>
      <c r="AM7106" s="10"/>
      <c r="AN7106" s="10"/>
      <c r="AO7106" s="10"/>
      <c r="AP7106" s="10"/>
      <c r="AQ7106" s="10"/>
      <c r="AR7106" s="10"/>
      <c r="AS7106" s="10"/>
      <c r="AT7106" s="10"/>
      <c r="AU7106" s="10"/>
      <c r="AV7106" s="10"/>
      <c r="AW7106" s="10"/>
      <c r="AX7106" s="10"/>
      <c r="AY7106" s="10"/>
      <c r="AZ7106" s="10"/>
    </row>
    <row r="7107" spans="31:52">
      <c r="AE7107" s="10"/>
      <c r="AF7107" s="10"/>
      <c r="AG7107" s="10"/>
      <c r="AH7107" s="10"/>
      <c r="AI7107" s="10"/>
      <c r="AJ7107" s="10"/>
      <c r="AK7107" s="10"/>
      <c r="AL7107" s="10"/>
      <c r="AM7107" s="10"/>
      <c r="AN7107" s="10"/>
      <c r="AO7107" s="10"/>
      <c r="AP7107" s="10"/>
      <c r="AQ7107" s="10"/>
      <c r="AR7107" s="10"/>
      <c r="AS7107" s="10"/>
      <c r="AT7107" s="10"/>
      <c r="AU7107" s="10"/>
      <c r="AV7107" s="10"/>
      <c r="AW7107" s="10"/>
      <c r="AX7107" s="10"/>
      <c r="AY7107" s="10"/>
      <c r="AZ7107" s="10"/>
    </row>
    <row r="7108" spans="31:52">
      <c r="AE7108" s="10"/>
      <c r="AF7108" s="10"/>
      <c r="AG7108" s="10"/>
      <c r="AH7108" s="10"/>
      <c r="AI7108" s="10"/>
      <c r="AJ7108" s="10"/>
      <c r="AK7108" s="10"/>
      <c r="AL7108" s="10"/>
      <c r="AM7108" s="10"/>
      <c r="AN7108" s="10"/>
      <c r="AO7108" s="10"/>
      <c r="AP7108" s="10"/>
      <c r="AQ7108" s="10"/>
      <c r="AR7108" s="10"/>
      <c r="AS7108" s="10"/>
      <c r="AT7108" s="10"/>
      <c r="AU7108" s="10"/>
      <c r="AV7108" s="10"/>
      <c r="AW7108" s="10"/>
      <c r="AX7108" s="10"/>
      <c r="AY7108" s="10"/>
      <c r="AZ7108" s="10"/>
    </row>
    <row r="7109" spans="31:52">
      <c r="AE7109" s="10"/>
      <c r="AF7109" s="10"/>
      <c r="AG7109" s="10"/>
      <c r="AH7109" s="10"/>
      <c r="AI7109" s="10"/>
      <c r="AJ7109" s="10"/>
      <c r="AK7109" s="10"/>
      <c r="AL7109" s="10"/>
      <c r="AM7109" s="10"/>
      <c r="AN7109" s="10"/>
      <c r="AO7109" s="10"/>
      <c r="AP7109" s="10"/>
      <c r="AQ7109" s="10"/>
      <c r="AR7109" s="10"/>
      <c r="AS7109" s="10"/>
      <c r="AT7109" s="10"/>
      <c r="AU7109" s="10"/>
      <c r="AV7109" s="10"/>
      <c r="AW7109" s="10"/>
      <c r="AX7109" s="10"/>
      <c r="AY7109" s="10"/>
      <c r="AZ7109" s="10"/>
    </row>
    <row r="7110" spans="31:52">
      <c r="AE7110" s="10"/>
      <c r="AF7110" s="10"/>
      <c r="AG7110" s="10"/>
      <c r="AH7110" s="10"/>
      <c r="AI7110" s="10"/>
      <c r="AJ7110" s="10"/>
      <c r="AK7110" s="10"/>
      <c r="AL7110" s="10"/>
      <c r="AM7110" s="10"/>
      <c r="AN7110" s="10"/>
      <c r="AO7110" s="10"/>
      <c r="AP7110" s="10"/>
      <c r="AQ7110" s="10"/>
      <c r="AR7110" s="10"/>
      <c r="AS7110" s="10"/>
      <c r="AT7110" s="10"/>
      <c r="AU7110" s="10"/>
      <c r="AV7110" s="10"/>
      <c r="AW7110" s="10"/>
      <c r="AX7110" s="10"/>
      <c r="AY7110" s="10"/>
      <c r="AZ7110" s="10"/>
    </row>
    <row r="7111" spans="31:52">
      <c r="AE7111" s="10"/>
      <c r="AF7111" s="10"/>
      <c r="AG7111" s="10"/>
      <c r="AH7111" s="10"/>
      <c r="AI7111" s="10"/>
      <c r="AJ7111" s="10"/>
      <c r="AK7111" s="10"/>
      <c r="AL7111" s="10"/>
      <c r="AM7111" s="10"/>
      <c r="AN7111" s="10"/>
      <c r="AO7111" s="10"/>
      <c r="AP7111" s="10"/>
      <c r="AQ7111" s="10"/>
      <c r="AR7111" s="10"/>
      <c r="AS7111" s="10"/>
      <c r="AT7111" s="10"/>
      <c r="AU7111" s="10"/>
      <c r="AV7111" s="10"/>
      <c r="AW7111" s="10"/>
      <c r="AX7111" s="10"/>
      <c r="AY7111" s="10"/>
      <c r="AZ7111" s="10"/>
    </row>
    <row r="7112" spans="31:52">
      <c r="AE7112" s="10"/>
      <c r="AF7112" s="10"/>
      <c r="AG7112" s="10"/>
      <c r="AH7112" s="10"/>
      <c r="AI7112" s="10"/>
      <c r="AJ7112" s="10"/>
      <c r="AK7112" s="10"/>
      <c r="AL7112" s="10"/>
      <c r="AM7112" s="10"/>
      <c r="AN7112" s="10"/>
      <c r="AO7112" s="10"/>
      <c r="AP7112" s="10"/>
      <c r="AQ7112" s="10"/>
      <c r="AR7112" s="10"/>
      <c r="AS7112" s="10"/>
      <c r="AT7112" s="10"/>
      <c r="AU7112" s="10"/>
      <c r="AV7112" s="10"/>
      <c r="AW7112" s="10"/>
      <c r="AX7112" s="10"/>
      <c r="AY7112" s="10"/>
      <c r="AZ7112" s="10"/>
    </row>
    <row r="7113" spans="31:52">
      <c r="AE7113" s="10"/>
      <c r="AF7113" s="10"/>
      <c r="AG7113" s="10"/>
      <c r="AH7113" s="10"/>
      <c r="AI7113" s="10"/>
      <c r="AJ7113" s="10"/>
      <c r="AK7113" s="10"/>
      <c r="AL7113" s="10"/>
      <c r="AM7113" s="10"/>
      <c r="AN7113" s="10"/>
      <c r="AO7113" s="10"/>
      <c r="AP7113" s="10"/>
      <c r="AQ7113" s="10"/>
      <c r="AR7113" s="10"/>
      <c r="AS7113" s="10"/>
      <c r="AT7113" s="10"/>
      <c r="AU7113" s="10"/>
      <c r="AV7113" s="10"/>
      <c r="AW7113" s="10"/>
      <c r="AX7113" s="10"/>
      <c r="AY7113" s="10"/>
      <c r="AZ7113" s="10"/>
    </row>
    <row r="7114" spans="31:52">
      <c r="AE7114" s="10"/>
      <c r="AF7114" s="10"/>
      <c r="AG7114" s="10"/>
      <c r="AH7114" s="10"/>
      <c r="AI7114" s="10"/>
      <c r="AJ7114" s="10"/>
      <c r="AK7114" s="10"/>
      <c r="AL7114" s="10"/>
      <c r="AM7114" s="10"/>
      <c r="AN7114" s="10"/>
      <c r="AO7114" s="10"/>
      <c r="AP7114" s="10"/>
      <c r="AQ7114" s="10"/>
      <c r="AR7114" s="10"/>
      <c r="AS7114" s="10"/>
      <c r="AT7114" s="10"/>
      <c r="AU7114" s="10"/>
      <c r="AV7114" s="10"/>
      <c r="AW7114" s="10"/>
      <c r="AX7114" s="10"/>
      <c r="AY7114" s="10"/>
      <c r="AZ7114" s="10"/>
    </row>
    <row r="7115" spans="31:52">
      <c r="AE7115" s="10"/>
      <c r="AF7115" s="10"/>
      <c r="AG7115" s="10"/>
      <c r="AH7115" s="10"/>
      <c r="AI7115" s="10"/>
      <c r="AJ7115" s="10"/>
      <c r="AK7115" s="10"/>
      <c r="AL7115" s="10"/>
      <c r="AM7115" s="10"/>
      <c r="AN7115" s="10"/>
      <c r="AO7115" s="10"/>
      <c r="AP7115" s="10"/>
      <c r="AQ7115" s="10"/>
      <c r="AR7115" s="10"/>
      <c r="AS7115" s="10"/>
      <c r="AT7115" s="10"/>
      <c r="AU7115" s="10"/>
      <c r="AV7115" s="10"/>
      <c r="AW7115" s="10"/>
      <c r="AX7115" s="10"/>
      <c r="AY7115" s="10"/>
      <c r="AZ7115" s="10"/>
    </row>
    <row r="7116" spans="31:52">
      <c r="AE7116" s="10"/>
      <c r="AF7116" s="10"/>
      <c r="AG7116" s="10"/>
      <c r="AH7116" s="10"/>
      <c r="AI7116" s="10"/>
      <c r="AJ7116" s="10"/>
      <c r="AK7116" s="10"/>
      <c r="AL7116" s="10"/>
      <c r="AM7116" s="10"/>
      <c r="AN7116" s="10"/>
      <c r="AO7116" s="10"/>
      <c r="AP7116" s="10"/>
      <c r="AQ7116" s="10"/>
      <c r="AR7116" s="10"/>
      <c r="AS7116" s="10"/>
      <c r="AT7116" s="10"/>
      <c r="AU7116" s="10"/>
      <c r="AV7116" s="10"/>
      <c r="AW7116" s="10"/>
      <c r="AX7116" s="10"/>
      <c r="AY7116" s="10"/>
      <c r="AZ7116" s="10"/>
    </row>
    <row r="7117" spans="31:52">
      <c r="AE7117" s="10"/>
      <c r="AF7117" s="10"/>
      <c r="AG7117" s="10"/>
      <c r="AH7117" s="10"/>
      <c r="AI7117" s="10"/>
      <c r="AJ7117" s="10"/>
      <c r="AK7117" s="10"/>
      <c r="AL7117" s="10"/>
      <c r="AM7117" s="10"/>
      <c r="AN7117" s="10"/>
      <c r="AO7117" s="10"/>
      <c r="AP7117" s="10"/>
      <c r="AQ7117" s="10"/>
      <c r="AR7117" s="10"/>
      <c r="AS7117" s="10"/>
      <c r="AT7117" s="10"/>
      <c r="AU7117" s="10"/>
      <c r="AV7117" s="10"/>
      <c r="AW7117" s="10"/>
      <c r="AX7117" s="10"/>
      <c r="AY7117" s="10"/>
      <c r="AZ7117" s="10"/>
    </row>
    <row r="7118" spans="31:52">
      <c r="AE7118" s="10"/>
      <c r="AF7118" s="10"/>
      <c r="AG7118" s="10"/>
      <c r="AH7118" s="10"/>
      <c r="AI7118" s="10"/>
      <c r="AJ7118" s="10"/>
      <c r="AK7118" s="10"/>
      <c r="AL7118" s="10"/>
      <c r="AM7118" s="10"/>
      <c r="AN7118" s="10"/>
      <c r="AO7118" s="10"/>
      <c r="AP7118" s="10"/>
      <c r="AQ7118" s="10"/>
      <c r="AR7118" s="10"/>
      <c r="AS7118" s="10"/>
      <c r="AT7118" s="10"/>
      <c r="AU7118" s="10"/>
      <c r="AV7118" s="10"/>
      <c r="AW7118" s="10"/>
      <c r="AX7118" s="10"/>
      <c r="AY7118" s="10"/>
      <c r="AZ7118" s="10"/>
    </row>
    <row r="7119" spans="31:52">
      <c r="AE7119" s="10"/>
      <c r="AF7119" s="10"/>
      <c r="AG7119" s="10"/>
      <c r="AH7119" s="10"/>
      <c r="AI7119" s="10"/>
      <c r="AJ7119" s="10"/>
      <c r="AK7119" s="10"/>
      <c r="AL7119" s="10"/>
      <c r="AM7119" s="10"/>
      <c r="AN7119" s="10"/>
      <c r="AO7119" s="10"/>
      <c r="AP7119" s="10"/>
      <c r="AQ7119" s="10"/>
      <c r="AR7119" s="10"/>
      <c r="AS7119" s="10"/>
      <c r="AT7119" s="10"/>
      <c r="AU7119" s="10"/>
      <c r="AV7119" s="10"/>
      <c r="AW7119" s="10"/>
      <c r="AX7119" s="10"/>
      <c r="AY7119" s="10"/>
      <c r="AZ7119" s="10"/>
    </row>
    <row r="7120" spans="31:52">
      <c r="AE7120" s="10"/>
      <c r="AF7120" s="10"/>
      <c r="AG7120" s="10"/>
      <c r="AH7120" s="10"/>
      <c r="AI7120" s="10"/>
      <c r="AJ7120" s="10"/>
      <c r="AK7120" s="10"/>
      <c r="AL7120" s="10"/>
      <c r="AM7120" s="10"/>
      <c r="AN7120" s="10"/>
      <c r="AO7120" s="10"/>
      <c r="AP7120" s="10"/>
      <c r="AQ7120" s="10"/>
      <c r="AR7120" s="10"/>
      <c r="AS7120" s="10"/>
      <c r="AT7120" s="10"/>
      <c r="AU7120" s="10"/>
      <c r="AV7120" s="10"/>
      <c r="AW7120" s="10"/>
      <c r="AX7120" s="10"/>
      <c r="AY7120" s="10"/>
      <c r="AZ7120" s="10"/>
    </row>
    <row r="7121" spans="31:52">
      <c r="AE7121" s="10"/>
      <c r="AF7121" s="10"/>
      <c r="AG7121" s="10"/>
      <c r="AH7121" s="10"/>
      <c r="AI7121" s="10"/>
      <c r="AJ7121" s="10"/>
      <c r="AK7121" s="10"/>
      <c r="AL7121" s="10"/>
      <c r="AM7121" s="10"/>
      <c r="AN7121" s="10"/>
      <c r="AO7121" s="10"/>
      <c r="AP7121" s="10"/>
      <c r="AQ7121" s="10"/>
      <c r="AR7121" s="10"/>
      <c r="AS7121" s="10"/>
      <c r="AT7121" s="10"/>
      <c r="AU7121" s="10"/>
      <c r="AV7121" s="10"/>
      <c r="AW7121" s="10"/>
      <c r="AX7121" s="10"/>
      <c r="AY7121" s="10"/>
      <c r="AZ7121" s="10"/>
    </row>
    <row r="7122" spans="31:52">
      <c r="AE7122" s="10"/>
      <c r="AF7122" s="10"/>
      <c r="AG7122" s="10"/>
      <c r="AH7122" s="10"/>
      <c r="AI7122" s="10"/>
      <c r="AJ7122" s="10"/>
      <c r="AK7122" s="10"/>
      <c r="AL7122" s="10"/>
      <c r="AM7122" s="10"/>
      <c r="AN7122" s="10"/>
      <c r="AO7122" s="10"/>
      <c r="AP7122" s="10"/>
      <c r="AQ7122" s="10"/>
      <c r="AR7122" s="10"/>
      <c r="AS7122" s="10"/>
      <c r="AT7122" s="10"/>
      <c r="AU7122" s="10"/>
      <c r="AV7122" s="10"/>
      <c r="AW7122" s="10"/>
      <c r="AX7122" s="10"/>
      <c r="AY7122" s="10"/>
      <c r="AZ7122" s="10"/>
    </row>
    <row r="7123" spans="31:52">
      <c r="AE7123" s="10"/>
      <c r="AF7123" s="10"/>
      <c r="AG7123" s="10"/>
      <c r="AH7123" s="10"/>
      <c r="AI7123" s="10"/>
      <c r="AJ7123" s="10"/>
      <c r="AK7123" s="10"/>
      <c r="AL7123" s="10"/>
      <c r="AM7123" s="10"/>
      <c r="AN7123" s="10"/>
      <c r="AO7123" s="10"/>
      <c r="AP7123" s="10"/>
      <c r="AQ7123" s="10"/>
      <c r="AR7123" s="10"/>
      <c r="AS7123" s="10"/>
      <c r="AT7123" s="10"/>
      <c r="AU7123" s="10"/>
      <c r="AV7123" s="10"/>
      <c r="AW7123" s="10"/>
      <c r="AX7123" s="10"/>
      <c r="AY7123" s="10"/>
      <c r="AZ7123" s="10"/>
    </row>
    <row r="7124" spans="31:52">
      <c r="AE7124" s="10"/>
      <c r="AF7124" s="10"/>
      <c r="AG7124" s="10"/>
      <c r="AH7124" s="10"/>
      <c r="AI7124" s="10"/>
      <c r="AJ7124" s="10"/>
      <c r="AK7124" s="10"/>
      <c r="AL7124" s="10"/>
      <c r="AM7124" s="10"/>
      <c r="AN7124" s="10"/>
      <c r="AO7124" s="10"/>
      <c r="AP7124" s="10"/>
      <c r="AQ7124" s="10"/>
      <c r="AR7124" s="10"/>
      <c r="AS7124" s="10"/>
      <c r="AT7124" s="10"/>
      <c r="AU7124" s="10"/>
      <c r="AV7124" s="10"/>
      <c r="AW7124" s="10"/>
      <c r="AX7124" s="10"/>
      <c r="AY7124" s="10"/>
      <c r="AZ7124" s="10"/>
    </row>
    <row r="7125" spans="31:52">
      <c r="AE7125" s="10"/>
      <c r="AF7125" s="10"/>
      <c r="AG7125" s="10"/>
      <c r="AH7125" s="10"/>
      <c r="AI7125" s="10"/>
      <c r="AJ7125" s="10"/>
      <c r="AK7125" s="10"/>
      <c r="AL7125" s="10"/>
      <c r="AM7125" s="10"/>
      <c r="AN7125" s="10"/>
      <c r="AO7125" s="10"/>
      <c r="AP7125" s="10"/>
      <c r="AQ7125" s="10"/>
      <c r="AR7125" s="10"/>
      <c r="AS7125" s="10"/>
      <c r="AT7125" s="10"/>
      <c r="AU7125" s="10"/>
      <c r="AV7125" s="10"/>
      <c r="AW7125" s="10"/>
      <c r="AX7125" s="10"/>
      <c r="AY7125" s="10"/>
      <c r="AZ7125" s="10"/>
    </row>
    <row r="7126" spans="31:52">
      <c r="AE7126" s="10"/>
      <c r="AF7126" s="10"/>
      <c r="AG7126" s="10"/>
      <c r="AH7126" s="10"/>
      <c r="AI7126" s="10"/>
      <c r="AJ7126" s="10"/>
      <c r="AK7126" s="10"/>
      <c r="AL7126" s="10"/>
      <c r="AM7126" s="10"/>
      <c r="AN7126" s="10"/>
      <c r="AO7126" s="10"/>
      <c r="AP7126" s="10"/>
      <c r="AQ7126" s="10"/>
      <c r="AR7126" s="10"/>
      <c r="AS7126" s="10"/>
      <c r="AT7126" s="10"/>
      <c r="AU7126" s="10"/>
      <c r="AV7126" s="10"/>
      <c r="AW7126" s="10"/>
      <c r="AX7126" s="10"/>
      <c r="AY7126" s="10"/>
      <c r="AZ7126" s="10"/>
    </row>
    <row r="7127" spans="31:52">
      <c r="AE7127" s="10"/>
      <c r="AF7127" s="10"/>
      <c r="AG7127" s="10"/>
      <c r="AH7127" s="10"/>
      <c r="AI7127" s="10"/>
      <c r="AJ7127" s="10"/>
      <c r="AK7127" s="10"/>
      <c r="AL7127" s="10"/>
      <c r="AM7127" s="10"/>
      <c r="AN7127" s="10"/>
      <c r="AO7127" s="10"/>
      <c r="AP7127" s="10"/>
      <c r="AQ7127" s="10"/>
      <c r="AR7127" s="10"/>
      <c r="AS7127" s="10"/>
      <c r="AT7127" s="10"/>
      <c r="AU7127" s="10"/>
      <c r="AV7127" s="10"/>
      <c r="AW7127" s="10"/>
      <c r="AX7127" s="10"/>
      <c r="AY7127" s="10"/>
      <c r="AZ7127" s="10"/>
    </row>
    <row r="7128" spans="31:52">
      <c r="AE7128" s="10"/>
      <c r="AF7128" s="10"/>
      <c r="AG7128" s="10"/>
      <c r="AH7128" s="10"/>
      <c r="AI7128" s="10"/>
      <c r="AJ7128" s="10"/>
      <c r="AK7128" s="10"/>
      <c r="AL7128" s="10"/>
      <c r="AM7128" s="10"/>
      <c r="AN7128" s="10"/>
      <c r="AO7128" s="10"/>
      <c r="AP7128" s="10"/>
      <c r="AQ7128" s="10"/>
      <c r="AR7128" s="10"/>
      <c r="AS7128" s="10"/>
      <c r="AT7128" s="10"/>
      <c r="AU7128" s="10"/>
      <c r="AV7128" s="10"/>
      <c r="AW7128" s="10"/>
      <c r="AX7128" s="10"/>
      <c r="AY7128" s="10"/>
      <c r="AZ7128" s="10"/>
    </row>
    <row r="7129" spans="31:52">
      <c r="AE7129" s="10"/>
      <c r="AF7129" s="10"/>
      <c r="AG7129" s="10"/>
      <c r="AH7129" s="10"/>
      <c r="AI7129" s="10"/>
      <c r="AJ7129" s="10"/>
      <c r="AK7129" s="10"/>
      <c r="AL7129" s="10"/>
      <c r="AM7129" s="10"/>
      <c r="AN7129" s="10"/>
      <c r="AO7129" s="10"/>
      <c r="AP7129" s="10"/>
      <c r="AQ7129" s="10"/>
      <c r="AR7129" s="10"/>
      <c r="AS7129" s="10"/>
      <c r="AT7129" s="10"/>
      <c r="AU7129" s="10"/>
      <c r="AV7129" s="10"/>
      <c r="AW7129" s="10"/>
      <c r="AX7129" s="10"/>
      <c r="AY7129" s="10"/>
      <c r="AZ7129" s="10"/>
    </row>
    <row r="7130" spans="31:52">
      <c r="AE7130" s="10"/>
      <c r="AF7130" s="10"/>
      <c r="AG7130" s="10"/>
      <c r="AH7130" s="10"/>
      <c r="AI7130" s="10"/>
      <c r="AJ7130" s="10"/>
      <c r="AK7130" s="10"/>
      <c r="AL7130" s="10"/>
      <c r="AM7130" s="10"/>
      <c r="AN7130" s="10"/>
      <c r="AO7130" s="10"/>
      <c r="AP7130" s="10"/>
      <c r="AQ7130" s="10"/>
      <c r="AR7130" s="10"/>
      <c r="AS7130" s="10"/>
      <c r="AT7130" s="10"/>
      <c r="AU7130" s="10"/>
      <c r="AV7130" s="10"/>
      <c r="AW7130" s="10"/>
      <c r="AX7130" s="10"/>
      <c r="AY7130" s="10"/>
      <c r="AZ7130" s="10"/>
    </row>
    <row r="7131" spans="31:52">
      <c r="AE7131" s="10"/>
      <c r="AF7131" s="10"/>
      <c r="AG7131" s="10"/>
      <c r="AH7131" s="10"/>
      <c r="AI7131" s="10"/>
      <c r="AJ7131" s="10"/>
      <c r="AK7131" s="10"/>
      <c r="AL7131" s="10"/>
      <c r="AM7131" s="10"/>
      <c r="AN7131" s="10"/>
      <c r="AO7131" s="10"/>
      <c r="AP7131" s="10"/>
      <c r="AQ7131" s="10"/>
      <c r="AR7131" s="10"/>
      <c r="AS7131" s="10"/>
      <c r="AT7131" s="10"/>
      <c r="AU7131" s="10"/>
      <c r="AV7131" s="10"/>
      <c r="AW7131" s="10"/>
      <c r="AX7131" s="10"/>
      <c r="AY7131" s="10"/>
      <c r="AZ7131" s="10"/>
    </row>
    <row r="7132" spans="31:52">
      <c r="AE7132" s="10"/>
      <c r="AF7132" s="10"/>
      <c r="AG7132" s="10"/>
      <c r="AH7132" s="10"/>
      <c r="AI7132" s="10"/>
      <c r="AJ7132" s="10"/>
      <c r="AK7132" s="10"/>
      <c r="AL7132" s="10"/>
      <c r="AM7132" s="10"/>
      <c r="AN7132" s="10"/>
      <c r="AO7132" s="10"/>
      <c r="AP7132" s="10"/>
      <c r="AQ7132" s="10"/>
      <c r="AR7132" s="10"/>
      <c r="AS7132" s="10"/>
      <c r="AT7132" s="10"/>
      <c r="AU7132" s="10"/>
      <c r="AV7132" s="10"/>
      <c r="AW7132" s="10"/>
      <c r="AX7132" s="10"/>
      <c r="AY7132" s="10"/>
      <c r="AZ7132" s="10"/>
    </row>
    <row r="7133" spans="31:52">
      <c r="AE7133" s="10"/>
      <c r="AF7133" s="10"/>
      <c r="AG7133" s="10"/>
      <c r="AH7133" s="10"/>
      <c r="AI7133" s="10"/>
      <c r="AJ7133" s="10"/>
      <c r="AK7133" s="10"/>
      <c r="AL7133" s="10"/>
      <c r="AM7133" s="10"/>
      <c r="AN7133" s="10"/>
      <c r="AO7133" s="10"/>
      <c r="AP7133" s="10"/>
      <c r="AQ7133" s="10"/>
      <c r="AR7133" s="10"/>
      <c r="AS7133" s="10"/>
      <c r="AT7133" s="10"/>
      <c r="AU7133" s="10"/>
      <c r="AV7133" s="10"/>
      <c r="AW7133" s="10"/>
      <c r="AX7133" s="10"/>
      <c r="AY7133" s="10"/>
      <c r="AZ7133" s="10"/>
    </row>
    <row r="7134" spans="31:52">
      <c r="AE7134" s="10"/>
      <c r="AF7134" s="10"/>
      <c r="AG7134" s="10"/>
      <c r="AH7134" s="10"/>
      <c r="AI7134" s="10"/>
      <c r="AJ7134" s="10"/>
      <c r="AK7134" s="10"/>
      <c r="AL7134" s="10"/>
      <c r="AM7134" s="10"/>
      <c r="AN7134" s="10"/>
      <c r="AO7134" s="10"/>
      <c r="AP7134" s="10"/>
      <c r="AQ7134" s="10"/>
      <c r="AR7134" s="10"/>
      <c r="AS7134" s="10"/>
      <c r="AT7134" s="10"/>
      <c r="AU7134" s="10"/>
      <c r="AV7134" s="10"/>
      <c r="AW7134" s="10"/>
      <c r="AX7134" s="10"/>
      <c r="AY7134" s="10"/>
      <c r="AZ7134" s="10"/>
    </row>
    <row r="7135" spans="31:52">
      <c r="AE7135" s="10"/>
      <c r="AF7135" s="10"/>
      <c r="AG7135" s="10"/>
      <c r="AH7135" s="10"/>
      <c r="AI7135" s="10"/>
      <c r="AJ7135" s="10"/>
      <c r="AK7135" s="10"/>
      <c r="AL7135" s="10"/>
      <c r="AM7135" s="10"/>
      <c r="AN7135" s="10"/>
      <c r="AO7135" s="10"/>
      <c r="AP7135" s="10"/>
      <c r="AQ7135" s="10"/>
      <c r="AR7135" s="10"/>
      <c r="AS7135" s="10"/>
      <c r="AT7135" s="10"/>
      <c r="AU7135" s="10"/>
      <c r="AV7135" s="10"/>
      <c r="AW7135" s="10"/>
      <c r="AX7135" s="10"/>
      <c r="AY7135" s="10"/>
      <c r="AZ7135" s="10"/>
    </row>
    <row r="7136" spans="31:52">
      <c r="AE7136" s="10"/>
      <c r="AF7136" s="10"/>
      <c r="AG7136" s="10"/>
      <c r="AH7136" s="10"/>
      <c r="AI7136" s="10"/>
      <c r="AJ7136" s="10"/>
      <c r="AK7136" s="10"/>
      <c r="AL7136" s="10"/>
      <c r="AM7136" s="10"/>
      <c r="AN7136" s="10"/>
      <c r="AO7136" s="10"/>
      <c r="AP7136" s="10"/>
      <c r="AQ7136" s="10"/>
      <c r="AR7136" s="10"/>
      <c r="AS7136" s="10"/>
      <c r="AT7136" s="10"/>
      <c r="AU7136" s="10"/>
      <c r="AV7136" s="10"/>
      <c r="AW7136" s="10"/>
      <c r="AX7136" s="10"/>
      <c r="AY7136" s="10"/>
      <c r="AZ7136" s="10"/>
    </row>
    <row r="7137" spans="31:52">
      <c r="AE7137" s="10"/>
      <c r="AF7137" s="10"/>
      <c r="AG7137" s="10"/>
      <c r="AH7137" s="10"/>
      <c r="AI7137" s="10"/>
      <c r="AJ7137" s="10"/>
      <c r="AK7137" s="10"/>
      <c r="AL7137" s="10"/>
      <c r="AM7137" s="10"/>
      <c r="AN7137" s="10"/>
      <c r="AO7137" s="10"/>
      <c r="AP7137" s="10"/>
      <c r="AQ7137" s="10"/>
      <c r="AR7137" s="10"/>
      <c r="AS7137" s="10"/>
      <c r="AT7137" s="10"/>
      <c r="AU7137" s="10"/>
      <c r="AV7137" s="10"/>
      <c r="AW7137" s="10"/>
      <c r="AX7137" s="10"/>
      <c r="AY7137" s="10"/>
      <c r="AZ7137" s="10"/>
    </row>
    <row r="7138" spans="31:52">
      <c r="AE7138" s="10"/>
      <c r="AF7138" s="10"/>
      <c r="AG7138" s="10"/>
      <c r="AH7138" s="10"/>
      <c r="AI7138" s="10"/>
      <c r="AJ7138" s="10"/>
      <c r="AK7138" s="10"/>
      <c r="AL7138" s="10"/>
      <c r="AM7138" s="10"/>
      <c r="AN7138" s="10"/>
      <c r="AO7138" s="10"/>
      <c r="AP7138" s="10"/>
      <c r="AQ7138" s="10"/>
      <c r="AR7138" s="10"/>
      <c r="AS7138" s="10"/>
      <c r="AT7138" s="10"/>
      <c r="AU7138" s="10"/>
      <c r="AV7138" s="10"/>
      <c r="AW7138" s="10"/>
      <c r="AX7138" s="10"/>
      <c r="AY7138" s="10"/>
      <c r="AZ7138" s="10"/>
    </row>
    <row r="7139" spans="31:52">
      <c r="AE7139" s="10"/>
      <c r="AF7139" s="10"/>
      <c r="AG7139" s="10"/>
      <c r="AH7139" s="10"/>
      <c r="AI7139" s="10"/>
      <c r="AJ7139" s="10"/>
      <c r="AK7139" s="10"/>
      <c r="AL7139" s="10"/>
      <c r="AM7139" s="10"/>
      <c r="AN7139" s="10"/>
      <c r="AO7139" s="10"/>
      <c r="AP7139" s="10"/>
      <c r="AQ7139" s="10"/>
      <c r="AR7139" s="10"/>
      <c r="AS7139" s="10"/>
      <c r="AT7139" s="10"/>
      <c r="AU7139" s="10"/>
      <c r="AV7139" s="10"/>
      <c r="AW7139" s="10"/>
      <c r="AX7139" s="10"/>
      <c r="AY7139" s="10"/>
      <c r="AZ7139" s="10"/>
    </row>
    <row r="7140" spans="31:52">
      <c r="AE7140" s="10"/>
      <c r="AF7140" s="10"/>
      <c r="AG7140" s="10"/>
      <c r="AH7140" s="10"/>
      <c r="AI7140" s="10"/>
      <c r="AJ7140" s="10"/>
      <c r="AK7140" s="10"/>
      <c r="AL7140" s="10"/>
      <c r="AM7140" s="10"/>
      <c r="AN7140" s="10"/>
      <c r="AO7140" s="10"/>
      <c r="AP7140" s="10"/>
      <c r="AQ7140" s="10"/>
      <c r="AR7140" s="10"/>
      <c r="AS7140" s="10"/>
      <c r="AT7140" s="10"/>
      <c r="AU7140" s="10"/>
      <c r="AV7140" s="10"/>
      <c r="AW7140" s="10"/>
      <c r="AX7140" s="10"/>
      <c r="AY7140" s="10"/>
      <c r="AZ7140" s="10"/>
    </row>
    <row r="7141" spans="31:52">
      <c r="AE7141" s="10"/>
      <c r="AF7141" s="10"/>
      <c r="AG7141" s="10"/>
      <c r="AH7141" s="10"/>
      <c r="AI7141" s="10"/>
      <c r="AJ7141" s="10"/>
      <c r="AK7141" s="10"/>
      <c r="AL7141" s="10"/>
      <c r="AM7141" s="10"/>
      <c r="AN7141" s="10"/>
      <c r="AO7141" s="10"/>
      <c r="AP7141" s="10"/>
      <c r="AQ7141" s="10"/>
      <c r="AR7141" s="10"/>
      <c r="AS7141" s="10"/>
      <c r="AT7141" s="10"/>
      <c r="AU7141" s="10"/>
      <c r="AV7141" s="10"/>
      <c r="AW7141" s="10"/>
      <c r="AX7141" s="10"/>
      <c r="AY7141" s="10"/>
      <c r="AZ7141" s="10"/>
    </row>
    <row r="7142" spans="31:52">
      <c r="AE7142" s="10"/>
      <c r="AF7142" s="10"/>
      <c r="AG7142" s="10"/>
      <c r="AH7142" s="10"/>
      <c r="AI7142" s="10"/>
      <c r="AJ7142" s="10"/>
      <c r="AK7142" s="10"/>
      <c r="AL7142" s="10"/>
      <c r="AM7142" s="10"/>
      <c r="AN7142" s="10"/>
      <c r="AO7142" s="10"/>
      <c r="AP7142" s="10"/>
      <c r="AQ7142" s="10"/>
      <c r="AR7142" s="10"/>
      <c r="AS7142" s="10"/>
      <c r="AT7142" s="10"/>
      <c r="AU7142" s="10"/>
      <c r="AV7142" s="10"/>
      <c r="AW7142" s="10"/>
      <c r="AX7142" s="10"/>
      <c r="AY7142" s="10"/>
      <c r="AZ7142" s="10"/>
    </row>
    <row r="7143" spans="31:52">
      <c r="AE7143" s="10"/>
      <c r="AF7143" s="10"/>
      <c r="AG7143" s="10"/>
      <c r="AH7143" s="10"/>
      <c r="AI7143" s="10"/>
      <c r="AJ7143" s="10"/>
      <c r="AK7143" s="10"/>
      <c r="AL7143" s="10"/>
      <c r="AM7143" s="10"/>
      <c r="AN7143" s="10"/>
      <c r="AO7143" s="10"/>
      <c r="AP7143" s="10"/>
      <c r="AQ7143" s="10"/>
      <c r="AR7143" s="10"/>
      <c r="AS7143" s="10"/>
      <c r="AT7143" s="10"/>
      <c r="AU7143" s="10"/>
      <c r="AV7143" s="10"/>
      <c r="AW7143" s="10"/>
      <c r="AX7143" s="10"/>
      <c r="AY7143" s="10"/>
      <c r="AZ7143" s="10"/>
    </row>
    <row r="7144" spans="31:52">
      <c r="AE7144" s="10"/>
      <c r="AF7144" s="10"/>
      <c r="AG7144" s="10"/>
      <c r="AH7144" s="10"/>
      <c r="AI7144" s="10"/>
      <c r="AJ7144" s="10"/>
      <c r="AK7144" s="10"/>
      <c r="AL7144" s="10"/>
      <c r="AM7144" s="10"/>
      <c r="AN7144" s="10"/>
      <c r="AO7144" s="10"/>
      <c r="AP7144" s="10"/>
      <c r="AQ7144" s="10"/>
      <c r="AR7144" s="10"/>
      <c r="AS7144" s="10"/>
      <c r="AT7144" s="10"/>
      <c r="AU7144" s="10"/>
      <c r="AV7144" s="10"/>
      <c r="AW7144" s="10"/>
      <c r="AX7144" s="10"/>
      <c r="AY7144" s="10"/>
      <c r="AZ7144" s="10"/>
    </row>
    <row r="7145" spans="31:52">
      <c r="AE7145" s="10"/>
      <c r="AF7145" s="10"/>
      <c r="AG7145" s="10"/>
      <c r="AH7145" s="10"/>
      <c r="AI7145" s="10"/>
      <c r="AJ7145" s="10"/>
      <c r="AK7145" s="10"/>
      <c r="AL7145" s="10"/>
      <c r="AM7145" s="10"/>
      <c r="AN7145" s="10"/>
      <c r="AO7145" s="10"/>
      <c r="AP7145" s="10"/>
      <c r="AQ7145" s="10"/>
      <c r="AR7145" s="10"/>
      <c r="AS7145" s="10"/>
      <c r="AT7145" s="10"/>
      <c r="AU7145" s="10"/>
      <c r="AV7145" s="10"/>
      <c r="AW7145" s="10"/>
      <c r="AX7145" s="10"/>
      <c r="AY7145" s="10"/>
      <c r="AZ7145" s="10"/>
    </row>
    <row r="7146" spans="31:52">
      <c r="AE7146" s="10"/>
      <c r="AF7146" s="10"/>
      <c r="AG7146" s="10"/>
      <c r="AH7146" s="10"/>
      <c r="AI7146" s="10"/>
      <c r="AJ7146" s="10"/>
      <c r="AK7146" s="10"/>
      <c r="AL7146" s="10"/>
      <c r="AM7146" s="10"/>
      <c r="AN7146" s="10"/>
      <c r="AO7146" s="10"/>
      <c r="AP7146" s="10"/>
      <c r="AQ7146" s="10"/>
      <c r="AR7146" s="10"/>
      <c r="AS7146" s="10"/>
      <c r="AT7146" s="10"/>
      <c r="AU7146" s="10"/>
      <c r="AV7146" s="10"/>
      <c r="AW7146" s="10"/>
      <c r="AX7146" s="10"/>
      <c r="AY7146" s="10"/>
      <c r="AZ7146" s="10"/>
    </row>
    <row r="7147" spans="31:52">
      <c r="AE7147" s="10"/>
      <c r="AF7147" s="10"/>
      <c r="AG7147" s="10"/>
      <c r="AH7147" s="10"/>
      <c r="AI7147" s="10"/>
      <c r="AJ7147" s="10"/>
      <c r="AK7147" s="10"/>
      <c r="AL7147" s="10"/>
      <c r="AM7147" s="10"/>
      <c r="AN7147" s="10"/>
      <c r="AO7147" s="10"/>
      <c r="AP7147" s="10"/>
      <c r="AQ7147" s="10"/>
      <c r="AR7147" s="10"/>
      <c r="AS7147" s="10"/>
      <c r="AT7147" s="10"/>
      <c r="AU7147" s="10"/>
      <c r="AV7147" s="10"/>
      <c r="AW7147" s="10"/>
      <c r="AX7147" s="10"/>
      <c r="AY7147" s="10"/>
      <c r="AZ7147" s="10"/>
    </row>
    <row r="7148" spans="31:52">
      <c r="AE7148" s="10"/>
      <c r="AF7148" s="10"/>
      <c r="AG7148" s="10"/>
      <c r="AH7148" s="10"/>
      <c r="AI7148" s="10"/>
      <c r="AJ7148" s="10"/>
      <c r="AK7148" s="10"/>
      <c r="AL7148" s="10"/>
      <c r="AM7148" s="10"/>
      <c r="AN7148" s="10"/>
      <c r="AO7148" s="10"/>
      <c r="AP7148" s="10"/>
      <c r="AQ7148" s="10"/>
      <c r="AR7148" s="10"/>
      <c r="AS7148" s="10"/>
      <c r="AT7148" s="10"/>
      <c r="AU7148" s="10"/>
      <c r="AV7148" s="10"/>
      <c r="AW7148" s="10"/>
      <c r="AX7148" s="10"/>
      <c r="AY7148" s="10"/>
      <c r="AZ7148" s="10"/>
    </row>
    <row r="7149" spans="31:52">
      <c r="AE7149" s="10"/>
      <c r="AF7149" s="10"/>
      <c r="AG7149" s="10"/>
      <c r="AH7149" s="10"/>
      <c r="AI7149" s="10"/>
      <c r="AJ7149" s="10"/>
      <c r="AK7149" s="10"/>
      <c r="AL7149" s="10"/>
      <c r="AM7149" s="10"/>
      <c r="AN7149" s="10"/>
      <c r="AO7149" s="10"/>
      <c r="AP7149" s="10"/>
      <c r="AQ7149" s="10"/>
      <c r="AR7149" s="10"/>
      <c r="AS7149" s="10"/>
      <c r="AT7149" s="10"/>
      <c r="AU7149" s="10"/>
      <c r="AV7149" s="10"/>
      <c r="AW7149" s="10"/>
      <c r="AX7149" s="10"/>
      <c r="AY7149" s="10"/>
      <c r="AZ7149" s="10"/>
    </row>
    <row r="7150" spans="31:52">
      <c r="AE7150" s="10"/>
      <c r="AF7150" s="10"/>
      <c r="AG7150" s="10"/>
      <c r="AH7150" s="10"/>
      <c r="AI7150" s="10"/>
      <c r="AJ7150" s="10"/>
      <c r="AK7150" s="10"/>
      <c r="AL7150" s="10"/>
      <c r="AM7150" s="10"/>
      <c r="AN7150" s="10"/>
      <c r="AO7150" s="10"/>
      <c r="AP7150" s="10"/>
      <c r="AQ7150" s="10"/>
      <c r="AR7150" s="10"/>
      <c r="AS7150" s="10"/>
      <c r="AT7150" s="10"/>
      <c r="AU7150" s="10"/>
      <c r="AV7150" s="10"/>
      <c r="AW7150" s="10"/>
      <c r="AX7150" s="10"/>
      <c r="AY7150" s="10"/>
      <c r="AZ7150" s="10"/>
    </row>
    <row r="7151" spans="31:52">
      <c r="AE7151" s="10"/>
      <c r="AF7151" s="10"/>
      <c r="AG7151" s="10"/>
      <c r="AH7151" s="10"/>
      <c r="AI7151" s="10"/>
      <c r="AJ7151" s="10"/>
      <c r="AK7151" s="10"/>
      <c r="AL7151" s="10"/>
      <c r="AM7151" s="10"/>
      <c r="AN7151" s="10"/>
      <c r="AO7151" s="10"/>
      <c r="AP7151" s="10"/>
      <c r="AQ7151" s="10"/>
      <c r="AR7151" s="10"/>
      <c r="AS7151" s="10"/>
      <c r="AT7151" s="10"/>
      <c r="AU7151" s="10"/>
      <c r="AV7151" s="10"/>
      <c r="AW7151" s="10"/>
      <c r="AX7151" s="10"/>
      <c r="AY7151" s="10"/>
      <c r="AZ7151" s="10"/>
    </row>
    <row r="7152" spans="31:52">
      <c r="AE7152" s="10"/>
      <c r="AF7152" s="10"/>
      <c r="AG7152" s="10"/>
      <c r="AH7152" s="10"/>
      <c r="AI7152" s="10"/>
      <c r="AJ7152" s="10"/>
      <c r="AK7152" s="10"/>
      <c r="AL7152" s="10"/>
      <c r="AM7152" s="10"/>
      <c r="AN7152" s="10"/>
      <c r="AO7152" s="10"/>
      <c r="AP7152" s="10"/>
      <c r="AQ7152" s="10"/>
      <c r="AR7152" s="10"/>
      <c r="AS7152" s="10"/>
      <c r="AT7152" s="10"/>
      <c r="AU7152" s="10"/>
      <c r="AV7152" s="10"/>
      <c r="AW7152" s="10"/>
      <c r="AX7152" s="10"/>
      <c r="AY7152" s="10"/>
      <c r="AZ7152" s="10"/>
    </row>
    <row r="7153" spans="31:52">
      <c r="AE7153" s="10"/>
      <c r="AF7153" s="10"/>
      <c r="AG7153" s="10"/>
      <c r="AH7153" s="10"/>
      <c r="AI7153" s="10"/>
      <c r="AJ7153" s="10"/>
      <c r="AK7153" s="10"/>
      <c r="AL7153" s="10"/>
      <c r="AM7153" s="10"/>
      <c r="AN7153" s="10"/>
      <c r="AO7153" s="10"/>
      <c r="AP7153" s="10"/>
      <c r="AQ7153" s="10"/>
      <c r="AR7153" s="10"/>
      <c r="AS7153" s="10"/>
      <c r="AT7153" s="10"/>
      <c r="AU7153" s="10"/>
      <c r="AV7153" s="10"/>
      <c r="AW7153" s="10"/>
      <c r="AX7153" s="10"/>
      <c r="AY7153" s="10"/>
      <c r="AZ7153" s="10"/>
    </row>
    <row r="7154" spans="31:52">
      <c r="AE7154" s="10"/>
      <c r="AF7154" s="10"/>
      <c r="AG7154" s="10"/>
      <c r="AH7154" s="10"/>
      <c r="AI7154" s="10"/>
      <c r="AJ7154" s="10"/>
      <c r="AK7154" s="10"/>
      <c r="AL7154" s="10"/>
      <c r="AM7154" s="10"/>
      <c r="AN7154" s="10"/>
      <c r="AO7154" s="10"/>
      <c r="AP7154" s="10"/>
      <c r="AQ7154" s="10"/>
      <c r="AR7154" s="10"/>
      <c r="AS7154" s="10"/>
      <c r="AT7154" s="10"/>
      <c r="AU7154" s="10"/>
      <c r="AV7154" s="10"/>
      <c r="AW7154" s="10"/>
      <c r="AX7154" s="10"/>
      <c r="AY7154" s="10"/>
      <c r="AZ7154" s="10"/>
    </row>
    <row r="7155" spans="31:52">
      <c r="AE7155" s="10"/>
      <c r="AF7155" s="10"/>
      <c r="AG7155" s="10"/>
      <c r="AH7155" s="10"/>
      <c r="AI7155" s="10"/>
      <c r="AJ7155" s="10"/>
      <c r="AK7155" s="10"/>
      <c r="AL7155" s="10"/>
      <c r="AM7155" s="10"/>
      <c r="AN7155" s="10"/>
      <c r="AO7155" s="10"/>
      <c r="AP7155" s="10"/>
      <c r="AQ7155" s="10"/>
      <c r="AR7155" s="10"/>
      <c r="AS7155" s="10"/>
      <c r="AT7155" s="10"/>
      <c r="AU7155" s="10"/>
      <c r="AV7155" s="10"/>
      <c r="AW7155" s="10"/>
      <c r="AX7155" s="10"/>
      <c r="AY7155" s="10"/>
      <c r="AZ7155" s="10"/>
    </row>
    <row r="7156" spans="31:52">
      <c r="AE7156" s="10"/>
      <c r="AF7156" s="10"/>
      <c r="AG7156" s="10"/>
      <c r="AH7156" s="10"/>
      <c r="AI7156" s="10"/>
      <c r="AJ7156" s="10"/>
      <c r="AK7156" s="10"/>
      <c r="AL7156" s="10"/>
      <c r="AM7156" s="10"/>
      <c r="AN7156" s="10"/>
      <c r="AO7156" s="10"/>
      <c r="AP7156" s="10"/>
      <c r="AQ7156" s="10"/>
      <c r="AR7156" s="10"/>
      <c r="AS7156" s="10"/>
      <c r="AT7156" s="10"/>
      <c r="AU7156" s="10"/>
      <c r="AV7156" s="10"/>
      <c r="AW7156" s="10"/>
      <c r="AX7156" s="10"/>
      <c r="AY7156" s="10"/>
      <c r="AZ7156" s="10"/>
    </row>
    <row r="7157" spans="31:52">
      <c r="AE7157" s="10"/>
      <c r="AF7157" s="10"/>
      <c r="AG7157" s="10"/>
      <c r="AH7157" s="10"/>
      <c r="AI7157" s="10"/>
      <c r="AJ7157" s="10"/>
      <c r="AK7157" s="10"/>
      <c r="AL7157" s="10"/>
      <c r="AM7157" s="10"/>
      <c r="AN7157" s="10"/>
      <c r="AO7157" s="10"/>
      <c r="AP7157" s="10"/>
      <c r="AQ7157" s="10"/>
      <c r="AR7157" s="10"/>
      <c r="AS7157" s="10"/>
      <c r="AT7157" s="10"/>
      <c r="AU7157" s="10"/>
      <c r="AV7157" s="10"/>
      <c r="AW7157" s="10"/>
      <c r="AX7157" s="10"/>
      <c r="AY7157" s="10"/>
      <c r="AZ7157" s="10"/>
    </row>
    <row r="7158" spans="31:52">
      <c r="AE7158" s="10"/>
      <c r="AF7158" s="10"/>
      <c r="AG7158" s="10"/>
      <c r="AH7158" s="10"/>
      <c r="AI7158" s="10"/>
      <c r="AJ7158" s="10"/>
      <c r="AK7158" s="10"/>
      <c r="AL7158" s="10"/>
      <c r="AM7158" s="10"/>
      <c r="AN7158" s="10"/>
      <c r="AO7158" s="10"/>
      <c r="AP7158" s="10"/>
      <c r="AQ7158" s="10"/>
      <c r="AR7158" s="10"/>
      <c r="AS7158" s="10"/>
      <c r="AT7158" s="10"/>
      <c r="AU7158" s="10"/>
      <c r="AV7158" s="10"/>
      <c r="AW7158" s="10"/>
      <c r="AX7158" s="10"/>
      <c r="AY7158" s="10"/>
      <c r="AZ7158" s="10"/>
    </row>
    <row r="7159" spans="31:52">
      <c r="AE7159" s="10"/>
      <c r="AF7159" s="10"/>
      <c r="AG7159" s="10"/>
      <c r="AH7159" s="10"/>
      <c r="AI7159" s="10"/>
      <c r="AJ7159" s="10"/>
      <c r="AK7159" s="10"/>
      <c r="AL7159" s="10"/>
      <c r="AM7159" s="10"/>
      <c r="AN7159" s="10"/>
      <c r="AO7159" s="10"/>
      <c r="AP7159" s="10"/>
      <c r="AQ7159" s="10"/>
      <c r="AR7159" s="10"/>
      <c r="AS7159" s="10"/>
      <c r="AT7159" s="10"/>
      <c r="AU7159" s="10"/>
      <c r="AV7159" s="10"/>
      <c r="AW7159" s="10"/>
      <c r="AX7159" s="10"/>
      <c r="AY7159" s="10"/>
      <c r="AZ7159" s="10"/>
    </row>
    <row r="7160" spans="31:52">
      <c r="AE7160" s="10"/>
      <c r="AF7160" s="10"/>
      <c r="AG7160" s="10"/>
      <c r="AH7160" s="10"/>
      <c r="AI7160" s="10"/>
      <c r="AJ7160" s="10"/>
      <c r="AK7160" s="10"/>
      <c r="AL7160" s="10"/>
      <c r="AM7160" s="10"/>
      <c r="AN7160" s="10"/>
      <c r="AO7160" s="10"/>
      <c r="AP7160" s="10"/>
      <c r="AQ7160" s="10"/>
      <c r="AR7160" s="10"/>
      <c r="AS7160" s="10"/>
      <c r="AT7160" s="10"/>
      <c r="AU7160" s="10"/>
      <c r="AV7160" s="10"/>
      <c r="AW7160" s="10"/>
      <c r="AX7160" s="10"/>
      <c r="AY7160" s="10"/>
      <c r="AZ7160" s="10"/>
    </row>
    <row r="7161" spans="31:52">
      <c r="AE7161" s="10"/>
      <c r="AF7161" s="10"/>
      <c r="AG7161" s="10"/>
      <c r="AH7161" s="10"/>
      <c r="AI7161" s="10"/>
      <c r="AJ7161" s="10"/>
      <c r="AK7161" s="10"/>
      <c r="AL7161" s="10"/>
      <c r="AM7161" s="10"/>
      <c r="AN7161" s="10"/>
      <c r="AO7161" s="10"/>
      <c r="AP7161" s="10"/>
      <c r="AQ7161" s="10"/>
      <c r="AR7161" s="10"/>
      <c r="AS7161" s="10"/>
      <c r="AT7161" s="10"/>
      <c r="AU7161" s="10"/>
      <c r="AV7161" s="10"/>
      <c r="AW7161" s="10"/>
      <c r="AX7161" s="10"/>
      <c r="AY7161" s="10"/>
      <c r="AZ7161" s="10"/>
    </row>
    <row r="7162" spans="31:52">
      <c r="AE7162" s="10"/>
      <c r="AF7162" s="10"/>
      <c r="AG7162" s="10"/>
      <c r="AH7162" s="10"/>
      <c r="AI7162" s="10"/>
      <c r="AJ7162" s="10"/>
      <c r="AK7162" s="10"/>
      <c r="AL7162" s="10"/>
      <c r="AM7162" s="10"/>
      <c r="AN7162" s="10"/>
      <c r="AO7162" s="10"/>
      <c r="AP7162" s="10"/>
      <c r="AQ7162" s="10"/>
      <c r="AR7162" s="10"/>
      <c r="AS7162" s="10"/>
      <c r="AT7162" s="10"/>
      <c r="AU7162" s="10"/>
      <c r="AV7162" s="10"/>
      <c r="AW7162" s="10"/>
      <c r="AX7162" s="10"/>
      <c r="AY7162" s="10"/>
      <c r="AZ7162" s="10"/>
    </row>
    <row r="7163" spans="31:52">
      <c r="AE7163" s="10"/>
      <c r="AF7163" s="10"/>
      <c r="AG7163" s="10"/>
      <c r="AH7163" s="10"/>
      <c r="AI7163" s="10"/>
      <c r="AJ7163" s="10"/>
      <c r="AK7163" s="10"/>
      <c r="AL7163" s="10"/>
      <c r="AM7163" s="10"/>
      <c r="AN7163" s="10"/>
      <c r="AO7163" s="10"/>
      <c r="AP7163" s="10"/>
      <c r="AQ7163" s="10"/>
      <c r="AR7163" s="10"/>
      <c r="AS7163" s="10"/>
      <c r="AT7163" s="10"/>
      <c r="AU7163" s="10"/>
      <c r="AV7163" s="10"/>
      <c r="AW7163" s="10"/>
      <c r="AX7163" s="10"/>
      <c r="AY7163" s="10"/>
      <c r="AZ7163" s="10"/>
    </row>
    <row r="7164" spans="31:52">
      <c r="AE7164" s="10"/>
      <c r="AF7164" s="10"/>
      <c r="AG7164" s="10"/>
      <c r="AH7164" s="10"/>
      <c r="AI7164" s="10"/>
      <c r="AJ7164" s="10"/>
      <c r="AK7164" s="10"/>
      <c r="AL7164" s="10"/>
      <c r="AM7164" s="10"/>
      <c r="AN7164" s="10"/>
      <c r="AO7164" s="10"/>
      <c r="AP7164" s="10"/>
      <c r="AQ7164" s="10"/>
      <c r="AR7164" s="10"/>
      <c r="AS7164" s="10"/>
      <c r="AT7164" s="10"/>
      <c r="AU7164" s="10"/>
      <c r="AV7164" s="10"/>
      <c r="AW7164" s="10"/>
      <c r="AX7164" s="10"/>
      <c r="AY7164" s="10"/>
      <c r="AZ7164" s="10"/>
    </row>
    <row r="7165" spans="31:52">
      <c r="AE7165" s="10"/>
      <c r="AF7165" s="10"/>
      <c r="AG7165" s="10"/>
      <c r="AH7165" s="10"/>
      <c r="AI7165" s="10"/>
      <c r="AJ7165" s="10"/>
      <c r="AK7165" s="10"/>
      <c r="AL7165" s="10"/>
      <c r="AM7165" s="10"/>
      <c r="AN7165" s="10"/>
      <c r="AO7165" s="10"/>
      <c r="AP7165" s="10"/>
      <c r="AQ7165" s="10"/>
      <c r="AR7165" s="10"/>
      <c r="AS7165" s="10"/>
      <c r="AT7165" s="10"/>
      <c r="AU7165" s="10"/>
      <c r="AV7165" s="10"/>
      <c r="AW7165" s="10"/>
      <c r="AX7165" s="10"/>
      <c r="AY7165" s="10"/>
      <c r="AZ7165" s="10"/>
    </row>
    <row r="7166" spans="31:52">
      <c r="AE7166" s="10"/>
      <c r="AF7166" s="10"/>
      <c r="AG7166" s="10"/>
      <c r="AH7166" s="10"/>
      <c r="AI7166" s="10"/>
      <c r="AJ7166" s="10"/>
      <c r="AK7166" s="10"/>
      <c r="AL7166" s="10"/>
      <c r="AM7166" s="10"/>
      <c r="AN7166" s="10"/>
      <c r="AO7166" s="10"/>
      <c r="AP7166" s="10"/>
      <c r="AQ7166" s="10"/>
      <c r="AR7166" s="10"/>
      <c r="AS7166" s="10"/>
      <c r="AT7166" s="10"/>
      <c r="AU7166" s="10"/>
      <c r="AV7166" s="10"/>
      <c r="AW7166" s="10"/>
      <c r="AX7166" s="10"/>
      <c r="AY7166" s="10"/>
      <c r="AZ7166" s="10"/>
    </row>
    <row r="7167" spans="31:52">
      <c r="AE7167" s="10"/>
      <c r="AF7167" s="10"/>
      <c r="AG7167" s="10"/>
      <c r="AH7167" s="10"/>
      <c r="AI7167" s="10"/>
      <c r="AJ7167" s="10"/>
      <c r="AK7167" s="10"/>
      <c r="AL7167" s="10"/>
      <c r="AM7167" s="10"/>
      <c r="AN7167" s="10"/>
      <c r="AO7167" s="10"/>
      <c r="AP7167" s="10"/>
      <c r="AQ7167" s="10"/>
      <c r="AR7167" s="10"/>
      <c r="AS7167" s="10"/>
      <c r="AT7167" s="10"/>
      <c r="AU7167" s="10"/>
      <c r="AV7167" s="10"/>
      <c r="AW7167" s="10"/>
      <c r="AX7167" s="10"/>
      <c r="AY7167" s="10"/>
      <c r="AZ7167" s="10"/>
    </row>
    <row r="7168" spans="31:52">
      <c r="AE7168" s="10"/>
      <c r="AF7168" s="10"/>
      <c r="AG7168" s="10"/>
      <c r="AH7168" s="10"/>
      <c r="AI7168" s="10"/>
      <c r="AJ7168" s="10"/>
      <c r="AK7168" s="10"/>
      <c r="AL7168" s="10"/>
      <c r="AM7168" s="10"/>
      <c r="AN7168" s="10"/>
      <c r="AO7168" s="10"/>
      <c r="AP7168" s="10"/>
      <c r="AQ7168" s="10"/>
      <c r="AR7168" s="10"/>
      <c r="AS7168" s="10"/>
      <c r="AT7168" s="10"/>
      <c r="AU7168" s="10"/>
      <c r="AV7168" s="10"/>
      <c r="AW7168" s="10"/>
      <c r="AX7168" s="10"/>
      <c r="AY7168" s="10"/>
      <c r="AZ7168" s="10"/>
    </row>
    <row r="7169" spans="31:52">
      <c r="AE7169" s="10"/>
      <c r="AF7169" s="10"/>
      <c r="AG7169" s="10"/>
      <c r="AH7169" s="10"/>
      <c r="AI7169" s="10"/>
      <c r="AJ7169" s="10"/>
      <c r="AK7169" s="10"/>
      <c r="AL7169" s="10"/>
      <c r="AM7169" s="10"/>
      <c r="AN7169" s="10"/>
      <c r="AO7169" s="10"/>
      <c r="AP7169" s="10"/>
      <c r="AQ7169" s="10"/>
      <c r="AR7169" s="10"/>
      <c r="AS7169" s="10"/>
      <c r="AT7169" s="10"/>
      <c r="AU7169" s="10"/>
      <c r="AV7169" s="10"/>
      <c r="AW7169" s="10"/>
      <c r="AX7169" s="10"/>
      <c r="AY7169" s="10"/>
      <c r="AZ7169" s="10"/>
    </row>
    <row r="7170" spans="31:52">
      <c r="AE7170" s="10"/>
      <c r="AF7170" s="10"/>
      <c r="AG7170" s="10"/>
      <c r="AH7170" s="10"/>
      <c r="AI7170" s="10"/>
      <c r="AJ7170" s="10"/>
      <c r="AK7170" s="10"/>
      <c r="AL7170" s="10"/>
      <c r="AM7170" s="10"/>
      <c r="AN7170" s="10"/>
      <c r="AO7170" s="10"/>
      <c r="AP7170" s="10"/>
      <c r="AQ7170" s="10"/>
      <c r="AR7170" s="10"/>
      <c r="AS7170" s="10"/>
      <c r="AT7170" s="10"/>
      <c r="AU7170" s="10"/>
      <c r="AV7170" s="10"/>
      <c r="AW7170" s="10"/>
      <c r="AX7170" s="10"/>
      <c r="AY7170" s="10"/>
      <c r="AZ7170" s="10"/>
    </row>
    <row r="7171" spans="31:52">
      <c r="AE7171" s="10"/>
      <c r="AF7171" s="10"/>
      <c r="AG7171" s="10"/>
      <c r="AH7171" s="10"/>
      <c r="AI7171" s="10"/>
      <c r="AJ7171" s="10"/>
      <c r="AK7171" s="10"/>
      <c r="AL7171" s="10"/>
      <c r="AM7171" s="10"/>
      <c r="AN7171" s="10"/>
      <c r="AO7171" s="10"/>
      <c r="AP7171" s="10"/>
      <c r="AQ7171" s="10"/>
      <c r="AR7171" s="10"/>
      <c r="AS7171" s="10"/>
      <c r="AT7171" s="10"/>
      <c r="AU7171" s="10"/>
      <c r="AV7171" s="10"/>
      <c r="AW7171" s="10"/>
      <c r="AX7171" s="10"/>
      <c r="AY7171" s="10"/>
      <c r="AZ7171" s="10"/>
    </row>
    <row r="7172" spans="31:52">
      <c r="AE7172" s="10"/>
      <c r="AF7172" s="10"/>
      <c r="AG7172" s="10"/>
      <c r="AH7172" s="10"/>
      <c r="AI7172" s="10"/>
      <c r="AJ7172" s="10"/>
      <c r="AK7172" s="10"/>
      <c r="AL7172" s="10"/>
      <c r="AM7172" s="10"/>
      <c r="AN7172" s="10"/>
      <c r="AO7172" s="10"/>
      <c r="AP7172" s="10"/>
      <c r="AQ7172" s="10"/>
      <c r="AR7172" s="10"/>
      <c r="AS7172" s="10"/>
      <c r="AT7172" s="10"/>
      <c r="AU7172" s="10"/>
      <c r="AV7172" s="10"/>
      <c r="AW7172" s="10"/>
      <c r="AX7172" s="10"/>
      <c r="AY7172" s="10"/>
      <c r="AZ7172" s="10"/>
    </row>
    <row r="7173" spans="31:52">
      <c r="AE7173" s="10"/>
      <c r="AF7173" s="10"/>
      <c r="AG7173" s="10"/>
      <c r="AH7173" s="10"/>
      <c r="AI7173" s="10"/>
      <c r="AJ7173" s="10"/>
      <c r="AK7173" s="10"/>
      <c r="AL7173" s="10"/>
      <c r="AM7173" s="10"/>
      <c r="AN7173" s="10"/>
      <c r="AO7173" s="10"/>
      <c r="AP7173" s="10"/>
      <c r="AQ7173" s="10"/>
      <c r="AR7173" s="10"/>
      <c r="AS7173" s="10"/>
      <c r="AT7173" s="10"/>
      <c r="AU7173" s="10"/>
      <c r="AV7173" s="10"/>
      <c r="AW7173" s="10"/>
      <c r="AX7173" s="10"/>
      <c r="AY7173" s="10"/>
      <c r="AZ7173" s="10"/>
    </row>
    <row r="7174" spans="31:52">
      <c r="AE7174" s="10"/>
      <c r="AF7174" s="10"/>
      <c r="AG7174" s="10"/>
      <c r="AH7174" s="10"/>
      <c r="AI7174" s="10"/>
      <c r="AJ7174" s="10"/>
      <c r="AK7174" s="10"/>
      <c r="AL7174" s="10"/>
      <c r="AM7174" s="10"/>
      <c r="AN7174" s="10"/>
      <c r="AO7174" s="10"/>
      <c r="AP7174" s="10"/>
      <c r="AQ7174" s="10"/>
      <c r="AR7174" s="10"/>
      <c r="AS7174" s="10"/>
      <c r="AT7174" s="10"/>
      <c r="AU7174" s="10"/>
      <c r="AV7174" s="10"/>
      <c r="AW7174" s="10"/>
      <c r="AX7174" s="10"/>
      <c r="AY7174" s="10"/>
      <c r="AZ7174" s="10"/>
    </row>
    <row r="7175" spans="31:52">
      <c r="AE7175" s="10"/>
      <c r="AF7175" s="10"/>
      <c r="AG7175" s="10"/>
      <c r="AH7175" s="10"/>
      <c r="AI7175" s="10"/>
      <c r="AJ7175" s="10"/>
      <c r="AK7175" s="10"/>
      <c r="AL7175" s="10"/>
      <c r="AM7175" s="10"/>
      <c r="AN7175" s="10"/>
      <c r="AO7175" s="10"/>
      <c r="AP7175" s="10"/>
      <c r="AQ7175" s="10"/>
      <c r="AR7175" s="10"/>
      <c r="AS7175" s="10"/>
      <c r="AT7175" s="10"/>
      <c r="AU7175" s="10"/>
      <c r="AV7175" s="10"/>
      <c r="AW7175" s="10"/>
      <c r="AX7175" s="10"/>
      <c r="AY7175" s="10"/>
      <c r="AZ7175" s="10"/>
    </row>
    <row r="7176" spans="31:52">
      <c r="AE7176" s="10"/>
      <c r="AF7176" s="10"/>
      <c r="AG7176" s="10"/>
      <c r="AH7176" s="10"/>
      <c r="AI7176" s="10"/>
      <c r="AJ7176" s="10"/>
      <c r="AK7176" s="10"/>
      <c r="AL7176" s="10"/>
      <c r="AM7176" s="10"/>
      <c r="AN7176" s="10"/>
      <c r="AO7176" s="10"/>
      <c r="AP7176" s="10"/>
      <c r="AQ7176" s="10"/>
      <c r="AR7176" s="10"/>
      <c r="AS7176" s="10"/>
      <c r="AT7176" s="10"/>
      <c r="AU7176" s="10"/>
      <c r="AV7176" s="10"/>
      <c r="AW7176" s="10"/>
      <c r="AX7176" s="10"/>
      <c r="AY7176" s="10"/>
      <c r="AZ7176" s="10"/>
    </row>
    <row r="7177" spans="31:52">
      <c r="AE7177" s="10"/>
      <c r="AF7177" s="10"/>
      <c r="AG7177" s="10"/>
      <c r="AH7177" s="10"/>
      <c r="AI7177" s="10"/>
      <c r="AJ7177" s="10"/>
      <c r="AK7177" s="10"/>
      <c r="AL7177" s="10"/>
      <c r="AM7177" s="10"/>
      <c r="AN7177" s="10"/>
      <c r="AO7177" s="10"/>
      <c r="AP7177" s="10"/>
      <c r="AQ7177" s="10"/>
      <c r="AR7177" s="10"/>
      <c r="AS7177" s="10"/>
      <c r="AT7177" s="10"/>
      <c r="AU7177" s="10"/>
      <c r="AV7177" s="10"/>
      <c r="AW7177" s="10"/>
      <c r="AX7177" s="10"/>
      <c r="AY7177" s="10"/>
      <c r="AZ7177" s="10"/>
    </row>
    <row r="7178" spans="31:52">
      <c r="AE7178" s="10"/>
      <c r="AF7178" s="10"/>
      <c r="AG7178" s="10"/>
      <c r="AH7178" s="10"/>
      <c r="AI7178" s="10"/>
      <c r="AJ7178" s="10"/>
      <c r="AK7178" s="10"/>
      <c r="AL7178" s="10"/>
      <c r="AM7178" s="10"/>
      <c r="AN7178" s="10"/>
      <c r="AO7178" s="10"/>
      <c r="AP7178" s="10"/>
      <c r="AQ7178" s="10"/>
      <c r="AR7178" s="10"/>
      <c r="AS7178" s="10"/>
      <c r="AT7178" s="10"/>
      <c r="AU7178" s="10"/>
      <c r="AV7178" s="10"/>
      <c r="AW7178" s="10"/>
      <c r="AX7178" s="10"/>
      <c r="AY7178" s="10"/>
      <c r="AZ7178" s="10"/>
    </row>
    <row r="7179" spans="31:52">
      <c r="AE7179" s="10"/>
      <c r="AF7179" s="10"/>
      <c r="AG7179" s="10"/>
      <c r="AH7179" s="10"/>
      <c r="AI7179" s="10"/>
      <c r="AJ7179" s="10"/>
      <c r="AK7179" s="10"/>
      <c r="AL7179" s="10"/>
      <c r="AM7179" s="10"/>
      <c r="AN7179" s="10"/>
      <c r="AO7179" s="10"/>
      <c r="AP7179" s="10"/>
      <c r="AQ7179" s="10"/>
      <c r="AR7179" s="10"/>
      <c r="AS7179" s="10"/>
      <c r="AT7179" s="10"/>
      <c r="AU7179" s="10"/>
      <c r="AV7179" s="10"/>
      <c r="AW7179" s="10"/>
      <c r="AX7179" s="10"/>
      <c r="AY7179" s="10"/>
      <c r="AZ7179" s="10"/>
    </row>
    <row r="7180" spans="31:52">
      <c r="AE7180" s="10"/>
      <c r="AF7180" s="10"/>
      <c r="AG7180" s="10"/>
      <c r="AH7180" s="10"/>
      <c r="AI7180" s="10"/>
      <c r="AJ7180" s="10"/>
      <c r="AK7180" s="10"/>
      <c r="AL7180" s="10"/>
      <c r="AM7180" s="10"/>
      <c r="AN7180" s="10"/>
      <c r="AO7180" s="10"/>
      <c r="AP7180" s="10"/>
      <c r="AQ7180" s="10"/>
      <c r="AR7180" s="10"/>
      <c r="AS7180" s="10"/>
      <c r="AT7180" s="10"/>
      <c r="AU7180" s="10"/>
      <c r="AV7180" s="10"/>
      <c r="AW7180" s="10"/>
      <c r="AX7180" s="10"/>
      <c r="AY7180" s="10"/>
      <c r="AZ7180" s="10"/>
    </row>
    <row r="7181" spans="31:52">
      <c r="AE7181" s="10"/>
      <c r="AF7181" s="10"/>
      <c r="AG7181" s="10"/>
      <c r="AH7181" s="10"/>
      <c r="AI7181" s="10"/>
      <c r="AJ7181" s="10"/>
      <c r="AK7181" s="10"/>
      <c r="AL7181" s="10"/>
      <c r="AM7181" s="10"/>
      <c r="AN7181" s="10"/>
      <c r="AO7181" s="10"/>
      <c r="AP7181" s="10"/>
      <c r="AQ7181" s="10"/>
      <c r="AR7181" s="10"/>
      <c r="AS7181" s="10"/>
      <c r="AT7181" s="10"/>
      <c r="AU7181" s="10"/>
      <c r="AV7181" s="10"/>
      <c r="AW7181" s="10"/>
      <c r="AX7181" s="10"/>
      <c r="AY7181" s="10"/>
      <c r="AZ7181" s="10"/>
    </row>
    <row r="7182" spans="31:52">
      <c r="AE7182" s="10"/>
      <c r="AF7182" s="10"/>
      <c r="AG7182" s="10"/>
      <c r="AH7182" s="10"/>
      <c r="AI7182" s="10"/>
      <c r="AJ7182" s="10"/>
      <c r="AK7182" s="10"/>
      <c r="AL7182" s="10"/>
      <c r="AM7182" s="10"/>
      <c r="AN7182" s="10"/>
      <c r="AO7182" s="10"/>
      <c r="AP7182" s="10"/>
      <c r="AQ7182" s="10"/>
      <c r="AR7182" s="10"/>
      <c r="AS7182" s="10"/>
      <c r="AT7182" s="10"/>
      <c r="AU7182" s="10"/>
      <c r="AV7182" s="10"/>
      <c r="AW7182" s="10"/>
      <c r="AX7182" s="10"/>
      <c r="AY7182" s="10"/>
      <c r="AZ7182" s="10"/>
    </row>
    <row r="7183" spans="31:52">
      <c r="AE7183" s="10"/>
      <c r="AF7183" s="10"/>
      <c r="AG7183" s="10"/>
      <c r="AH7183" s="10"/>
      <c r="AI7183" s="10"/>
      <c r="AJ7183" s="10"/>
      <c r="AK7183" s="10"/>
      <c r="AL7183" s="10"/>
      <c r="AM7183" s="10"/>
      <c r="AN7183" s="10"/>
      <c r="AO7183" s="10"/>
      <c r="AP7183" s="10"/>
      <c r="AQ7183" s="10"/>
      <c r="AR7183" s="10"/>
      <c r="AS7183" s="10"/>
      <c r="AT7183" s="10"/>
      <c r="AU7183" s="10"/>
      <c r="AV7183" s="10"/>
      <c r="AW7183" s="10"/>
      <c r="AX7183" s="10"/>
      <c r="AY7183" s="10"/>
      <c r="AZ7183" s="10"/>
    </row>
    <row r="7184" spans="31:52">
      <c r="AE7184" s="10"/>
      <c r="AF7184" s="10"/>
      <c r="AG7184" s="10"/>
      <c r="AH7184" s="10"/>
      <c r="AI7184" s="10"/>
      <c r="AJ7184" s="10"/>
      <c r="AK7184" s="10"/>
      <c r="AL7184" s="10"/>
      <c r="AM7184" s="10"/>
      <c r="AN7184" s="10"/>
      <c r="AO7184" s="10"/>
      <c r="AP7184" s="10"/>
      <c r="AQ7184" s="10"/>
      <c r="AR7184" s="10"/>
      <c r="AS7184" s="10"/>
      <c r="AT7184" s="10"/>
      <c r="AU7184" s="10"/>
      <c r="AV7184" s="10"/>
      <c r="AW7184" s="10"/>
      <c r="AX7184" s="10"/>
      <c r="AY7184" s="10"/>
      <c r="AZ7184" s="10"/>
    </row>
    <row r="7185" spans="31:52">
      <c r="AE7185" s="10"/>
      <c r="AF7185" s="10"/>
      <c r="AG7185" s="10"/>
      <c r="AH7185" s="10"/>
      <c r="AI7185" s="10"/>
      <c r="AJ7185" s="10"/>
      <c r="AK7185" s="10"/>
      <c r="AL7185" s="10"/>
      <c r="AM7185" s="10"/>
      <c r="AN7185" s="10"/>
      <c r="AO7185" s="10"/>
      <c r="AP7185" s="10"/>
      <c r="AQ7185" s="10"/>
      <c r="AR7185" s="10"/>
      <c r="AS7185" s="10"/>
      <c r="AT7185" s="10"/>
      <c r="AU7185" s="10"/>
      <c r="AV7185" s="10"/>
      <c r="AW7185" s="10"/>
      <c r="AX7185" s="10"/>
      <c r="AY7185" s="10"/>
      <c r="AZ7185" s="10"/>
    </row>
    <row r="7186" spans="31:52">
      <c r="AE7186" s="10"/>
      <c r="AF7186" s="10"/>
      <c r="AG7186" s="10"/>
      <c r="AH7186" s="10"/>
      <c r="AI7186" s="10"/>
      <c r="AJ7186" s="10"/>
      <c r="AK7186" s="10"/>
      <c r="AL7186" s="10"/>
      <c r="AM7186" s="10"/>
      <c r="AN7186" s="10"/>
      <c r="AO7186" s="10"/>
      <c r="AP7186" s="10"/>
      <c r="AQ7186" s="10"/>
      <c r="AR7186" s="10"/>
      <c r="AS7186" s="10"/>
      <c r="AT7186" s="10"/>
      <c r="AU7186" s="10"/>
      <c r="AV7186" s="10"/>
      <c r="AW7186" s="10"/>
      <c r="AX7186" s="10"/>
      <c r="AY7186" s="10"/>
      <c r="AZ7186" s="10"/>
    </row>
    <row r="7187" spans="31:52">
      <c r="AE7187" s="10"/>
      <c r="AF7187" s="10"/>
      <c r="AG7187" s="10"/>
      <c r="AH7187" s="10"/>
      <c r="AI7187" s="10"/>
      <c r="AJ7187" s="10"/>
      <c r="AK7187" s="10"/>
      <c r="AL7187" s="10"/>
      <c r="AM7187" s="10"/>
      <c r="AN7187" s="10"/>
      <c r="AO7187" s="10"/>
      <c r="AP7187" s="10"/>
      <c r="AQ7187" s="10"/>
      <c r="AR7187" s="10"/>
      <c r="AS7187" s="10"/>
      <c r="AT7187" s="10"/>
      <c r="AU7187" s="10"/>
      <c r="AV7187" s="10"/>
      <c r="AW7187" s="10"/>
      <c r="AX7187" s="10"/>
      <c r="AY7187" s="10"/>
      <c r="AZ7187" s="10"/>
    </row>
    <row r="7188" spans="31:52">
      <c r="AE7188" s="10"/>
      <c r="AF7188" s="10"/>
      <c r="AG7188" s="10"/>
      <c r="AH7188" s="10"/>
      <c r="AI7188" s="10"/>
      <c r="AJ7188" s="10"/>
      <c r="AK7188" s="10"/>
      <c r="AL7188" s="10"/>
      <c r="AM7188" s="10"/>
      <c r="AN7188" s="10"/>
      <c r="AO7188" s="10"/>
      <c r="AP7188" s="10"/>
      <c r="AQ7188" s="10"/>
      <c r="AR7188" s="10"/>
      <c r="AS7188" s="10"/>
      <c r="AT7188" s="10"/>
      <c r="AU7188" s="10"/>
      <c r="AV7188" s="10"/>
      <c r="AW7188" s="10"/>
      <c r="AX7188" s="10"/>
      <c r="AY7188" s="10"/>
      <c r="AZ7188" s="10"/>
    </row>
    <row r="7189" spans="31:52">
      <c r="AE7189" s="10"/>
      <c r="AF7189" s="10"/>
      <c r="AG7189" s="10"/>
      <c r="AH7189" s="10"/>
      <c r="AI7189" s="10"/>
      <c r="AJ7189" s="10"/>
      <c r="AK7189" s="10"/>
      <c r="AL7189" s="10"/>
      <c r="AM7189" s="10"/>
      <c r="AN7189" s="10"/>
      <c r="AO7189" s="10"/>
      <c r="AP7189" s="10"/>
      <c r="AQ7189" s="10"/>
      <c r="AR7189" s="10"/>
      <c r="AS7189" s="10"/>
      <c r="AT7189" s="10"/>
      <c r="AU7189" s="10"/>
      <c r="AV7189" s="10"/>
      <c r="AW7189" s="10"/>
      <c r="AX7189" s="10"/>
      <c r="AY7189" s="10"/>
      <c r="AZ7189" s="10"/>
    </row>
    <row r="7190" spans="31:52">
      <c r="AE7190" s="10"/>
      <c r="AF7190" s="10"/>
      <c r="AG7190" s="10"/>
      <c r="AH7190" s="10"/>
      <c r="AI7190" s="10"/>
      <c r="AJ7190" s="10"/>
      <c r="AK7190" s="10"/>
      <c r="AL7190" s="10"/>
      <c r="AM7190" s="10"/>
      <c r="AN7190" s="10"/>
      <c r="AO7190" s="10"/>
      <c r="AP7190" s="10"/>
      <c r="AQ7190" s="10"/>
      <c r="AR7190" s="10"/>
      <c r="AS7190" s="10"/>
      <c r="AT7190" s="10"/>
      <c r="AU7190" s="10"/>
      <c r="AV7190" s="10"/>
      <c r="AW7190" s="10"/>
      <c r="AX7190" s="10"/>
      <c r="AY7190" s="10"/>
      <c r="AZ7190" s="10"/>
    </row>
    <row r="7191" spans="31:52">
      <c r="AE7191" s="10"/>
      <c r="AF7191" s="10"/>
      <c r="AG7191" s="10"/>
      <c r="AH7191" s="10"/>
      <c r="AI7191" s="10"/>
      <c r="AJ7191" s="10"/>
      <c r="AK7191" s="10"/>
      <c r="AL7191" s="10"/>
      <c r="AM7191" s="10"/>
      <c r="AN7191" s="10"/>
      <c r="AO7191" s="10"/>
      <c r="AP7191" s="10"/>
      <c r="AQ7191" s="10"/>
      <c r="AR7191" s="10"/>
      <c r="AS7191" s="10"/>
      <c r="AT7191" s="10"/>
      <c r="AU7191" s="10"/>
      <c r="AV7191" s="10"/>
      <c r="AW7191" s="10"/>
      <c r="AX7191" s="10"/>
      <c r="AY7191" s="10"/>
      <c r="AZ7191" s="10"/>
    </row>
    <row r="7192" spans="31:52">
      <c r="AE7192" s="10"/>
      <c r="AF7192" s="10"/>
      <c r="AG7192" s="10"/>
      <c r="AH7192" s="10"/>
      <c r="AI7192" s="10"/>
      <c r="AJ7192" s="10"/>
      <c r="AK7192" s="10"/>
      <c r="AL7192" s="10"/>
      <c r="AM7192" s="10"/>
      <c r="AN7192" s="10"/>
      <c r="AO7192" s="10"/>
      <c r="AP7192" s="10"/>
      <c r="AQ7192" s="10"/>
      <c r="AR7192" s="10"/>
      <c r="AS7192" s="10"/>
      <c r="AT7192" s="10"/>
      <c r="AU7192" s="10"/>
      <c r="AV7192" s="10"/>
      <c r="AW7192" s="10"/>
      <c r="AX7192" s="10"/>
      <c r="AY7192" s="10"/>
      <c r="AZ7192" s="10"/>
    </row>
    <row r="7193" spans="31:52">
      <c r="AE7193" s="10"/>
      <c r="AF7193" s="10"/>
      <c r="AG7193" s="10"/>
      <c r="AH7193" s="10"/>
      <c r="AI7193" s="10"/>
      <c r="AJ7193" s="10"/>
      <c r="AK7193" s="10"/>
      <c r="AL7193" s="10"/>
      <c r="AM7193" s="10"/>
      <c r="AN7193" s="10"/>
      <c r="AO7193" s="10"/>
      <c r="AP7193" s="10"/>
      <c r="AQ7193" s="10"/>
      <c r="AR7193" s="10"/>
      <c r="AS7193" s="10"/>
      <c r="AT7193" s="10"/>
      <c r="AU7193" s="10"/>
      <c r="AV7193" s="10"/>
      <c r="AW7193" s="10"/>
      <c r="AX7193" s="10"/>
      <c r="AY7193" s="10"/>
      <c r="AZ7193" s="10"/>
    </row>
    <row r="7194" spans="31:52">
      <c r="AE7194" s="10"/>
      <c r="AF7194" s="10"/>
      <c r="AG7194" s="10"/>
      <c r="AH7194" s="10"/>
      <c r="AI7194" s="10"/>
      <c r="AJ7194" s="10"/>
      <c r="AK7194" s="10"/>
      <c r="AL7194" s="10"/>
      <c r="AM7194" s="10"/>
      <c r="AN7194" s="10"/>
      <c r="AO7194" s="10"/>
      <c r="AP7194" s="10"/>
      <c r="AQ7194" s="10"/>
      <c r="AR7194" s="10"/>
      <c r="AS7194" s="10"/>
      <c r="AT7194" s="10"/>
      <c r="AU7194" s="10"/>
      <c r="AV7194" s="10"/>
      <c r="AW7194" s="10"/>
      <c r="AX7194" s="10"/>
      <c r="AY7194" s="10"/>
      <c r="AZ7194" s="10"/>
    </row>
    <row r="7195" spans="31:52">
      <c r="AE7195" s="10"/>
      <c r="AF7195" s="10"/>
      <c r="AG7195" s="10"/>
      <c r="AH7195" s="10"/>
      <c r="AI7195" s="10"/>
      <c r="AJ7195" s="10"/>
      <c r="AK7195" s="10"/>
      <c r="AL7195" s="10"/>
      <c r="AM7195" s="10"/>
      <c r="AN7195" s="10"/>
      <c r="AO7195" s="10"/>
      <c r="AP7195" s="10"/>
      <c r="AQ7195" s="10"/>
      <c r="AR7195" s="10"/>
      <c r="AS7195" s="10"/>
      <c r="AT7195" s="10"/>
      <c r="AU7195" s="10"/>
      <c r="AV7195" s="10"/>
      <c r="AW7195" s="10"/>
      <c r="AX7195" s="10"/>
      <c r="AY7195" s="10"/>
      <c r="AZ7195" s="10"/>
    </row>
    <row r="7196" spans="31:52">
      <c r="AE7196" s="10"/>
      <c r="AF7196" s="10"/>
      <c r="AG7196" s="10"/>
      <c r="AH7196" s="10"/>
      <c r="AI7196" s="10"/>
      <c r="AJ7196" s="10"/>
      <c r="AK7196" s="10"/>
      <c r="AL7196" s="10"/>
      <c r="AM7196" s="10"/>
      <c r="AN7196" s="10"/>
      <c r="AO7196" s="10"/>
      <c r="AP7196" s="10"/>
      <c r="AQ7196" s="10"/>
      <c r="AR7196" s="10"/>
      <c r="AS7196" s="10"/>
      <c r="AT7196" s="10"/>
      <c r="AU7196" s="10"/>
      <c r="AV7196" s="10"/>
      <c r="AW7196" s="10"/>
      <c r="AX7196" s="10"/>
      <c r="AY7196" s="10"/>
      <c r="AZ7196" s="10"/>
    </row>
    <row r="7197" spans="31:52">
      <c r="AE7197" s="10"/>
      <c r="AF7197" s="10"/>
      <c r="AG7197" s="10"/>
      <c r="AH7197" s="10"/>
      <c r="AI7197" s="10"/>
      <c r="AJ7197" s="10"/>
      <c r="AK7197" s="10"/>
      <c r="AL7197" s="10"/>
      <c r="AM7197" s="10"/>
      <c r="AN7197" s="10"/>
      <c r="AO7197" s="10"/>
      <c r="AP7197" s="10"/>
      <c r="AQ7197" s="10"/>
      <c r="AR7197" s="10"/>
      <c r="AS7197" s="10"/>
      <c r="AT7197" s="10"/>
      <c r="AU7197" s="10"/>
      <c r="AV7197" s="10"/>
      <c r="AW7197" s="10"/>
      <c r="AX7197" s="10"/>
      <c r="AY7197" s="10"/>
      <c r="AZ7197" s="10"/>
    </row>
    <row r="7198" spans="31:52">
      <c r="AE7198" s="10"/>
      <c r="AF7198" s="10"/>
      <c r="AG7198" s="10"/>
      <c r="AH7198" s="10"/>
      <c r="AI7198" s="10"/>
      <c r="AJ7198" s="10"/>
      <c r="AK7198" s="10"/>
      <c r="AL7198" s="10"/>
      <c r="AM7198" s="10"/>
      <c r="AN7198" s="10"/>
      <c r="AO7198" s="10"/>
      <c r="AP7198" s="10"/>
      <c r="AQ7198" s="10"/>
      <c r="AR7198" s="10"/>
      <c r="AS7198" s="10"/>
      <c r="AT7198" s="10"/>
      <c r="AU7198" s="10"/>
      <c r="AV7198" s="10"/>
      <c r="AW7198" s="10"/>
      <c r="AX7198" s="10"/>
      <c r="AY7198" s="10"/>
      <c r="AZ7198" s="10"/>
    </row>
    <row r="7199" spans="31:52">
      <c r="AE7199" s="10"/>
      <c r="AF7199" s="10"/>
      <c r="AG7199" s="10"/>
      <c r="AH7199" s="10"/>
      <c r="AI7199" s="10"/>
      <c r="AJ7199" s="10"/>
      <c r="AK7199" s="10"/>
      <c r="AL7199" s="10"/>
      <c r="AM7199" s="10"/>
      <c r="AN7199" s="10"/>
      <c r="AO7199" s="10"/>
      <c r="AP7199" s="10"/>
      <c r="AQ7199" s="10"/>
      <c r="AR7199" s="10"/>
      <c r="AS7199" s="10"/>
      <c r="AT7199" s="10"/>
      <c r="AU7199" s="10"/>
      <c r="AV7199" s="10"/>
      <c r="AW7199" s="10"/>
      <c r="AX7199" s="10"/>
      <c r="AY7199" s="10"/>
      <c r="AZ7199" s="10"/>
    </row>
    <row r="7200" spans="31:52">
      <c r="AE7200" s="10"/>
      <c r="AF7200" s="10"/>
      <c r="AG7200" s="10"/>
      <c r="AH7200" s="10"/>
      <c r="AI7200" s="10"/>
      <c r="AJ7200" s="10"/>
      <c r="AK7200" s="10"/>
      <c r="AL7200" s="10"/>
      <c r="AM7200" s="10"/>
      <c r="AN7200" s="10"/>
      <c r="AO7200" s="10"/>
      <c r="AP7200" s="10"/>
      <c r="AQ7200" s="10"/>
      <c r="AR7200" s="10"/>
      <c r="AS7200" s="10"/>
      <c r="AT7200" s="10"/>
      <c r="AU7200" s="10"/>
      <c r="AV7200" s="10"/>
      <c r="AW7200" s="10"/>
      <c r="AX7200" s="10"/>
      <c r="AY7200" s="10"/>
      <c r="AZ7200" s="10"/>
    </row>
    <row r="7201" spans="31:52">
      <c r="AE7201" s="10"/>
      <c r="AF7201" s="10"/>
      <c r="AG7201" s="10"/>
      <c r="AH7201" s="10"/>
      <c r="AI7201" s="10"/>
      <c r="AJ7201" s="10"/>
      <c r="AK7201" s="10"/>
      <c r="AL7201" s="10"/>
      <c r="AM7201" s="10"/>
      <c r="AN7201" s="10"/>
      <c r="AO7201" s="10"/>
      <c r="AP7201" s="10"/>
      <c r="AQ7201" s="10"/>
      <c r="AR7201" s="10"/>
      <c r="AS7201" s="10"/>
      <c r="AT7201" s="10"/>
      <c r="AU7201" s="10"/>
      <c r="AV7201" s="10"/>
      <c r="AW7201" s="10"/>
      <c r="AX7201" s="10"/>
      <c r="AY7201" s="10"/>
      <c r="AZ7201" s="10"/>
    </row>
    <row r="7202" spans="31:52">
      <c r="AE7202" s="10"/>
      <c r="AF7202" s="10"/>
      <c r="AG7202" s="10"/>
      <c r="AH7202" s="10"/>
      <c r="AI7202" s="10"/>
      <c r="AJ7202" s="10"/>
      <c r="AK7202" s="10"/>
      <c r="AL7202" s="10"/>
      <c r="AM7202" s="10"/>
      <c r="AN7202" s="10"/>
      <c r="AO7202" s="10"/>
      <c r="AP7202" s="10"/>
      <c r="AQ7202" s="10"/>
      <c r="AR7202" s="10"/>
      <c r="AS7202" s="10"/>
      <c r="AT7202" s="10"/>
      <c r="AU7202" s="10"/>
      <c r="AV7202" s="10"/>
      <c r="AW7202" s="10"/>
      <c r="AX7202" s="10"/>
      <c r="AY7202" s="10"/>
      <c r="AZ7202" s="10"/>
    </row>
    <row r="7203" spans="31:52">
      <c r="AE7203" s="10"/>
      <c r="AF7203" s="10"/>
      <c r="AG7203" s="10"/>
      <c r="AH7203" s="10"/>
      <c r="AI7203" s="10"/>
      <c r="AJ7203" s="10"/>
      <c r="AK7203" s="10"/>
      <c r="AL7203" s="10"/>
      <c r="AM7203" s="10"/>
      <c r="AN7203" s="10"/>
      <c r="AO7203" s="10"/>
      <c r="AP7203" s="10"/>
      <c r="AQ7203" s="10"/>
      <c r="AR7203" s="10"/>
      <c r="AS7203" s="10"/>
      <c r="AT7203" s="10"/>
      <c r="AU7203" s="10"/>
      <c r="AV7203" s="10"/>
      <c r="AW7203" s="10"/>
      <c r="AX7203" s="10"/>
      <c r="AY7203" s="10"/>
      <c r="AZ7203" s="10"/>
    </row>
    <row r="7204" spans="31:52">
      <c r="AE7204" s="10"/>
      <c r="AF7204" s="10"/>
      <c r="AG7204" s="10"/>
      <c r="AH7204" s="10"/>
      <c r="AI7204" s="10"/>
      <c r="AJ7204" s="10"/>
      <c r="AK7204" s="10"/>
      <c r="AL7204" s="10"/>
      <c r="AM7204" s="10"/>
      <c r="AN7204" s="10"/>
      <c r="AO7204" s="10"/>
      <c r="AP7204" s="10"/>
      <c r="AQ7204" s="10"/>
      <c r="AR7204" s="10"/>
      <c r="AS7204" s="10"/>
      <c r="AT7204" s="10"/>
      <c r="AU7204" s="10"/>
      <c r="AV7204" s="10"/>
      <c r="AW7204" s="10"/>
      <c r="AX7204" s="10"/>
      <c r="AY7204" s="10"/>
      <c r="AZ7204" s="10"/>
    </row>
    <row r="7205" spans="31:52">
      <c r="AE7205" s="10"/>
      <c r="AF7205" s="10"/>
      <c r="AG7205" s="10"/>
      <c r="AH7205" s="10"/>
      <c r="AI7205" s="10"/>
      <c r="AJ7205" s="10"/>
      <c r="AK7205" s="10"/>
      <c r="AL7205" s="10"/>
      <c r="AM7205" s="10"/>
      <c r="AN7205" s="10"/>
      <c r="AO7205" s="10"/>
      <c r="AP7205" s="10"/>
      <c r="AQ7205" s="10"/>
      <c r="AR7205" s="10"/>
      <c r="AS7205" s="10"/>
      <c r="AT7205" s="10"/>
      <c r="AU7205" s="10"/>
      <c r="AV7205" s="10"/>
      <c r="AW7205" s="10"/>
      <c r="AX7205" s="10"/>
      <c r="AY7205" s="10"/>
      <c r="AZ7205" s="10"/>
    </row>
    <row r="7206" spans="31:52">
      <c r="AE7206" s="10"/>
      <c r="AF7206" s="10"/>
      <c r="AG7206" s="10"/>
      <c r="AH7206" s="10"/>
      <c r="AI7206" s="10"/>
      <c r="AJ7206" s="10"/>
      <c r="AK7206" s="10"/>
      <c r="AL7206" s="10"/>
      <c r="AM7206" s="10"/>
      <c r="AN7206" s="10"/>
      <c r="AO7206" s="10"/>
      <c r="AP7206" s="10"/>
      <c r="AQ7206" s="10"/>
      <c r="AR7206" s="10"/>
      <c r="AS7206" s="10"/>
      <c r="AT7206" s="10"/>
      <c r="AU7206" s="10"/>
      <c r="AV7206" s="10"/>
      <c r="AW7206" s="10"/>
      <c r="AX7206" s="10"/>
      <c r="AY7206" s="10"/>
      <c r="AZ7206" s="10"/>
    </row>
    <row r="7207" spans="31:52">
      <c r="AE7207" s="10"/>
      <c r="AF7207" s="10"/>
      <c r="AG7207" s="10"/>
      <c r="AH7207" s="10"/>
      <c r="AI7207" s="10"/>
      <c r="AJ7207" s="10"/>
      <c r="AK7207" s="10"/>
      <c r="AL7207" s="10"/>
      <c r="AM7207" s="10"/>
      <c r="AN7207" s="10"/>
      <c r="AO7207" s="10"/>
      <c r="AP7207" s="10"/>
      <c r="AQ7207" s="10"/>
      <c r="AR7207" s="10"/>
      <c r="AS7207" s="10"/>
      <c r="AT7207" s="10"/>
      <c r="AU7207" s="10"/>
      <c r="AV7207" s="10"/>
      <c r="AW7207" s="10"/>
      <c r="AX7207" s="10"/>
      <c r="AY7207" s="10"/>
      <c r="AZ7207" s="10"/>
    </row>
    <row r="7208" spans="31:52">
      <c r="AE7208" s="10"/>
      <c r="AF7208" s="10"/>
      <c r="AG7208" s="10"/>
      <c r="AH7208" s="10"/>
      <c r="AI7208" s="10"/>
      <c r="AJ7208" s="10"/>
      <c r="AK7208" s="10"/>
      <c r="AL7208" s="10"/>
      <c r="AM7208" s="10"/>
      <c r="AN7208" s="10"/>
      <c r="AO7208" s="10"/>
      <c r="AP7208" s="10"/>
      <c r="AQ7208" s="10"/>
      <c r="AR7208" s="10"/>
      <c r="AS7208" s="10"/>
      <c r="AT7208" s="10"/>
      <c r="AU7208" s="10"/>
      <c r="AV7208" s="10"/>
      <c r="AW7208" s="10"/>
      <c r="AX7208" s="10"/>
      <c r="AY7208" s="10"/>
      <c r="AZ7208" s="10"/>
    </row>
    <row r="7209" spans="31:52">
      <c r="AE7209" s="10"/>
      <c r="AF7209" s="10"/>
      <c r="AG7209" s="10"/>
      <c r="AH7209" s="10"/>
      <c r="AI7209" s="10"/>
      <c r="AJ7209" s="10"/>
      <c r="AK7209" s="10"/>
      <c r="AL7209" s="10"/>
      <c r="AM7209" s="10"/>
      <c r="AN7209" s="10"/>
      <c r="AO7209" s="10"/>
      <c r="AP7209" s="10"/>
      <c r="AQ7209" s="10"/>
      <c r="AR7209" s="10"/>
      <c r="AS7209" s="10"/>
      <c r="AT7209" s="10"/>
      <c r="AU7209" s="10"/>
      <c r="AV7209" s="10"/>
      <c r="AW7209" s="10"/>
      <c r="AX7209" s="10"/>
      <c r="AY7209" s="10"/>
      <c r="AZ7209" s="10"/>
    </row>
    <row r="7210" spans="31:52">
      <c r="AE7210" s="10"/>
      <c r="AF7210" s="10"/>
      <c r="AG7210" s="10"/>
      <c r="AH7210" s="10"/>
      <c r="AI7210" s="10"/>
      <c r="AJ7210" s="10"/>
      <c r="AK7210" s="10"/>
      <c r="AL7210" s="10"/>
      <c r="AM7210" s="10"/>
      <c r="AN7210" s="10"/>
      <c r="AO7210" s="10"/>
      <c r="AP7210" s="10"/>
      <c r="AQ7210" s="10"/>
      <c r="AR7210" s="10"/>
      <c r="AS7210" s="10"/>
      <c r="AT7210" s="10"/>
      <c r="AU7210" s="10"/>
      <c r="AV7210" s="10"/>
      <c r="AW7210" s="10"/>
      <c r="AX7210" s="10"/>
      <c r="AY7210" s="10"/>
      <c r="AZ7210" s="10"/>
    </row>
    <row r="7211" spans="31:52">
      <c r="AE7211" s="10"/>
      <c r="AF7211" s="10"/>
      <c r="AG7211" s="10"/>
      <c r="AH7211" s="10"/>
      <c r="AI7211" s="10"/>
      <c r="AJ7211" s="10"/>
      <c r="AK7211" s="10"/>
      <c r="AL7211" s="10"/>
      <c r="AM7211" s="10"/>
      <c r="AN7211" s="10"/>
      <c r="AO7211" s="10"/>
      <c r="AP7211" s="10"/>
      <c r="AQ7211" s="10"/>
      <c r="AR7211" s="10"/>
      <c r="AS7211" s="10"/>
      <c r="AT7211" s="10"/>
      <c r="AU7211" s="10"/>
      <c r="AV7211" s="10"/>
      <c r="AW7211" s="10"/>
      <c r="AX7211" s="10"/>
      <c r="AY7211" s="10"/>
      <c r="AZ7211" s="10"/>
    </row>
    <row r="7212" spans="31:52">
      <c r="AE7212" s="10"/>
      <c r="AF7212" s="10"/>
      <c r="AG7212" s="10"/>
      <c r="AH7212" s="10"/>
      <c r="AI7212" s="10"/>
      <c r="AJ7212" s="10"/>
      <c r="AK7212" s="10"/>
      <c r="AL7212" s="10"/>
      <c r="AM7212" s="10"/>
      <c r="AN7212" s="10"/>
      <c r="AO7212" s="10"/>
      <c r="AP7212" s="10"/>
      <c r="AQ7212" s="10"/>
      <c r="AR7212" s="10"/>
      <c r="AS7212" s="10"/>
      <c r="AT7212" s="10"/>
      <c r="AU7212" s="10"/>
      <c r="AV7212" s="10"/>
      <c r="AW7212" s="10"/>
      <c r="AX7212" s="10"/>
      <c r="AY7212" s="10"/>
      <c r="AZ7212" s="10"/>
    </row>
    <row r="7213" spans="31:52">
      <c r="AE7213" s="10"/>
      <c r="AF7213" s="10"/>
      <c r="AG7213" s="10"/>
      <c r="AH7213" s="10"/>
      <c r="AI7213" s="10"/>
      <c r="AJ7213" s="10"/>
      <c r="AK7213" s="10"/>
      <c r="AL7213" s="10"/>
      <c r="AM7213" s="10"/>
      <c r="AN7213" s="10"/>
      <c r="AO7213" s="10"/>
      <c r="AP7213" s="10"/>
      <c r="AQ7213" s="10"/>
      <c r="AR7213" s="10"/>
      <c r="AS7213" s="10"/>
      <c r="AT7213" s="10"/>
      <c r="AU7213" s="10"/>
      <c r="AV7213" s="10"/>
      <c r="AW7213" s="10"/>
      <c r="AX7213" s="10"/>
      <c r="AY7213" s="10"/>
      <c r="AZ7213" s="10"/>
    </row>
    <row r="7214" spans="31:52">
      <c r="AE7214" s="10"/>
      <c r="AF7214" s="10"/>
      <c r="AG7214" s="10"/>
      <c r="AH7214" s="10"/>
      <c r="AI7214" s="10"/>
      <c r="AJ7214" s="10"/>
      <c r="AK7214" s="10"/>
      <c r="AL7214" s="10"/>
      <c r="AM7214" s="10"/>
      <c r="AN7214" s="10"/>
      <c r="AO7214" s="10"/>
      <c r="AP7214" s="10"/>
      <c r="AQ7214" s="10"/>
      <c r="AR7214" s="10"/>
      <c r="AS7214" s="10"/>
      <c r="AT7214" s="10"/>
      <c r="AU7214" s="10"/>
      <c r="AV7214" s="10"/>
      <c r="AW7214" s="10"/>
      <c r="AX7214" s="10"/>
      <c r="AY7214" s="10"/>
      <c r="AZ7214" s="10"/>
    </row>
    <row r="7215" spans="31:52">
      <c r="AE7215" s="10"/>
      <c r="AF7215" s="10"/>
      <c r="AG7215" s="10"/>
      <c r="AH7215" s="10"/>
      <c r="AI7215" s="10"/>
      <c r="AJ7215" s="10"/>
      <c r="AK7215" s="10"/>
      <c r="AL7215" s="10"/>
      <c r="AM7215" s="10"/>
      <c r="AN7215" s="10"/>
      <c r="AO7215" s="10"/>
      <c r="AP7215" s="10"/>
      <c r="AQ7215" s="10"/>
      <c r="AR7215" s="10"/>
      <c r="AS7215" s="10"/>
      <c r="AT7215" s="10"/>
      <c r="AU7215" s="10"/>
      <c r="AV7215" s="10"/>
      <c r="AW7215" s="10"/>
      <c r="AX7215" s="10"/>
      <c r="AY7215" s="10"/>
      <c r="AZ7215" s="10"/>
    </row>
    <row r="7216" spans="31:52">
      <c r="AE7216" s="10"/>
      <c r="AF7216" s="10"/>
      <c r="AG7216" s="10"/>
      <c r="AH7216" s="10"/>
      <c r="AI7216" s="10"/>
      <c r="AJ7216" s="10"/>
      <c r="AK7216" s="10"/>
      <c r="AL7216" s="10"/>
      <c r="AM7216" s="10"/>
      <c r="AN7216" s="10"/>
      <c r="AO7216" s="10"/>
      <c r="AP7216" s="10"/>
      <c r="AQ7216" s="10"/>
      <c r="AR7216" s="10"/>
      <c r="AS7216" s="10"/>
      <c r="AT7216" s="10"/>
      <c r="AU7216" s="10"/>
      <c r="AV7216" s="10"/>
      <c r="AW7216" s="10"/>
      <c r="AX7216" s="10"/>
      <c r="AY7216" s="10"/>
      <c r="AZ7216" s="10"/>
    </row>
    <row r="7217" spans="31:52">
      <c r="AE7217" s="10"/>
      <c r="AF7217" s="10"/>
      <c r="AG7217" s="10"/>
      <c r="AH7217" s="10"/>
      <c r="AI7217" s="10"/>
      <c r="AJ7217" s="10"/>
      <c r="AK7217" s="10"/>
      <c r="AL7217" s="10"/>
      <c r="AM7217" s="10"/>
      <c r="AN7217" s="10"/>
      <c r="AO7217" s="10"/>
      <c r="AP7217" s="10"/>
      <c r="AQ7217" s="10"/>
      <c r="AR7217" s="10"/>
      <c r="AS7217" s="10"/>
      <c r="AT7217" s="10"/>
      <c r="AU7217" s="10"/>
      <c r="AV7217" s="10"/>
      <c r="AW7217" s="10"/>
      <c r="AX7217" s="10"/>
      <c r="AY7217" s="10"/>
      <c r="AZ7217" s="10"/>
    </row>
    <row r="7218" spans="31:52">
      <c r="AE7218" s="10"/>
      <c r="AF7218" s="10"/>
      <c r="AG7218" s="10"/>
      <c r="AH7218" s="10"/>
      <c r="AI7218" s="10"/>
      <c r="AJ7218" s="10"/>
      <c r="AK7218" s="10"/>
      <c r="AL7218" s="10"/>
      <c r="AM7218" s="10"/>
      <c r="AN7218" s="10"/>
      <c r="AO7218" s="10"/>
      <c r="AP7218" s="10"/>
      <c r="AQ7218" s="10"/>
      <c r="AR7218" s="10"/>
      <c r="AS7218" s="10"/>
      <c r="AT7218" s="10"/>
      <c r="AU7218" s="10"/>
      <c r="AV7218" s="10"/>
      <c r="AW7218" s="10"/>
      <c r="AX7218" s="10"/>
      <c r="AY7218" s="10"/>
      <c r="AZ7218" s="10"/>
    </row>
    <row r="7219" spans="31:52">
      <c r="AE7219" s="10"/>
      <c r="AF7219" s="10"/>
      <c r="AG7219" s="10"/>
      <c r="AH7219" s="10"/>
      <c r="AI7219" s="10"/>
      <c r="AJ7219" s="10"/>
      <c r="AK7219" s="10"/>
      <c r="AL7219" s="10"/>
      <c r="AM7219" s="10"/>
      <c r="AN7219" s="10"/>
      <c r="AO7219" s="10"/>
      <c r="AP7219" s="10"/>
      <c r="AQ7219" s="10"/>
      <c r="AR7219" s="10"/>
      <c r="AS7219" s="10"/>
      <c r="AT7219" s="10"/>
      <c r="AU7219" s="10"/>
      <c r="AV7219" s="10"/>
      <c r="AW7219" s="10"/>
      <c r="AX7219" s="10"/>
      <c r="AY7219" s="10"/>
      <c r="AZ7219" s="10"/>
    </row>
    <row r="7220" spans="31:52">
      <c r="AE7220" s="10"/>
      <c r="AF7220" s="10"/>
      <c r="AG7220" s="10"/>
      <c r="AH7220" s="10"/>
      <c r="AI7220" s="10"/>
      <c r="AJ7220" s="10"/>
      <c r="AK7220" s="10"/>
      <c r="AL7220" s="10"/>
      <c r="AM7220" s="10"/>
      <c r="AN7220" s="10"/>
      <c r="AO7220" s="10"/>
      <c r="AP7220" s="10"/>
      <c r="AQ7220" s="10"/>
      <c r="AR7220" s="10"/>
      <c r="AS7220" s="10"/>
      <c r="AT7220" s="10"/>
      <c r="AU7220" s="10"/>
      <c r="AV7220" s="10"/>
      <c r="AW7220" s="10"/>
      <c r="AX7220" s="10"/>
      <c r="AY7220" s="10"/>
      <c r="AZ7220" s="10"/>
    </row>
    <row r="7221" spans="31:52">
      <c r="AE7221" s="10"/>
      <c r="AF7221" s="10"/>
      <c r="AG7221" s="10"/>
      <c r="AH7221" s="10"/>
      <c r="AI7221" s="10"/>
      <c r="AJ7221" s="10"/>
      <c r="AK7221" s="10"/>
      <c r="AL7221" s="10"/>
      <c r="AM7221" s="10"/>
      <c r="AN7221" s="10"/>
      <c r="AO7221" s="10"/>
      <c r="AP7221" s="10"/>
      <c r="AQ7221" s="10"/>
      <c r="AR7221" s="10"/>
      <c r="AS7221" s="10"/>
      <c r="AT7221" s="10"/>
      <c r="AU7221" s="10"/>
      <c r="AV7221" s="10"/>
      <c r="AW7221" s="10"/>
      <c r="AX7221" s="10"/>
      <c r="AY7221" s="10"/>
      <c r="AZ7221" s="10"/>
    </row>
    <row r="7222" spans="31:52">
      <c r="AE7222" s="10"/>
      <c r="AF7222" s="10"/>
      <c r="AG7222" s="10"/>
      <c r="AH7222" s="10"/>
      <c r="AI7222" s="10"/>
      <c r="AJ7222" s="10"/>
      <c r="AK7222" s="10"/>
      <c r="AL7222" s="10"/>
      <c r="AM7222" s="10"/>
      <c r="AN7222" s="10"/>
      <c r="AO7222" s="10"/>
      <c r="AP7222" s="10"/>
      <c r="AQ7222" s="10"/>
      <c r="AR7222" s="10"/>
      <c r="AS7222" s="10"/>
      <c r="AT7222" s="10"/>
      <c r="AU7222" s="10"/>
      <c r="AV7222" s="10"/>
      <c r="AW7222" s="10"/>
      <c r="AX7222" s="10"/>
      <c r="AY7222" s="10"/>
      <c r="AZ7222" s="10"/>
    </row>
    <row r="7223" spans="31:52">
      <c r="AE7223" s="10"/>
      <c r="AF7223" s="10"/>
      <c r="AG7223" s="10"/>
      <c r="AH7223" s="10"/>
      <c r="AI7223" s="10"/>
      <c r="AJ7223" s="10"/>
      <c r="AK7223" s="10"/>
      <c r="AL7223" s="10"/>
      <c r="AM7223" s="10"/>
      <c r="AN7223" s="10"/>
      <c r="AO7223" s="10"/>
      <c r="AP7223" s="10"/>
      <c r="AQ7223" s="10"/>
      <c r="AR7223" s="10"/>
      <c r="AS7223" s="10"/>
      <c r="AT7223" s="10"/>
      <c r="AU7223" s="10"/>
      <c r="AV7223" s="10"/>
      <c r="AW7223" s="10"/>
      <c r="AX7223" s="10"/>
      <c r="AY7223" s="10"/>
      <c r="AZ7223" s="10"/>
    </row>
    <row r="7224" spans="31:52">
      <c r="AE7224" s="10"/>
      <c r="AF7224" s="10"/>
      <c r="AG7224" s="10"/>
      <c r="AH7224" s="10"/>
      <c r="AI7224" s="10"/>
      <c r="AJ7224" s="10"/>
      <c r="AK7224" s="10"/>
      <c r="AL7224" s="10"/>
      <c r="AM7224" s="10"/>
      <c r="AN7224" s="10"/>
      <c r="AO7224" s="10"/>
      <c r="AP7224" s="10"/>
      <c r="AQ7224" s="10"/>
      <c r="AR7224" s="10"/>
      <c r="AS7224" s="10"/>
      <c r="AT7224" s="10"/>
      <c r="AU7224" s="10"/>
      <c r="AV7224" s="10"/>
      <c r="AW7224" s="10"/>
      <c r="AX7224" s="10"/>
      <c r="AY7224" s="10"/>
      <c r="AZ7224" s="10"/>
    </row>
    <row r="7225" spans="31:52">
      <c r="AE7225" s="10"/>
      <c r="AF7225" s="10"/>
      <c r="AG7225" s="10"/>
      <c r="AH7225" s="10"/>
      <c r="AI7225" s="10"/>
      <c r="AJ7225" s="10"/>
      <c r="AK7225" s="10"/>
      <c r="AL7225" s="10"/>
      <c r="AM7225" s="10"/>
      <c r="AN7225" s="10"/>
      <c r="AO7225" s="10"/>
      <c r="AP7225" s="10"/>
      <c r="AQ7225" s="10"/>
      <c r="AR7225" s="10"/>
      <c r="AS7225" s="10"/>
      <c r="AT7225" s="10"/>
      <c r="AU7225" s="10"/>
      <c r="AV7225" s="10"/>
      <c r="AW7225" s="10"/>
      <c r="AX7225" s="10"/>
      <c r="AY7225" s="10"/>
      <c r="AZ7225" s="10"/>
    </row>
    <row r="7226" spans="31:52">
      <c r="AE7226" s="10"/>
      <c r="AF7226" s="10"/>
      <c r="AG7226" s="10"/>
      <c r="AH7226" s="10"/>
      <c r="AI7226" s="10"/>
      <c r="AJ7226" s="10"/>
      <c r="AK7226" s="10"/>
      <c r="AL7226" s="10"/>
      <c r="AM7226" s="10"/>
      <c r="AN7226" s="10"/>
      <c r="AO7226" s="10"/>
      <c r="AP7226" s="10"/>
      <c r="AQ7226" s="10"/>
      <c r="AR7226" s="10"/>
      <c r="AS7226" s="10"/>
      <c r="AT7226" s="10"/>
      <c r="AU7226" s="10"/>
      <c r="AV7226" s="10"/>
      <c r="AW7226" s="10"/>
      <c r="AX7226" s="10"/>
      <c r="AY7226" s="10"/>
      <c r="AZ7226" s="10"/>
    </row>
    <row r="7227" spans="31:52">
      <c r="AE7227" s="10"/>
      <c r="AF7227" s="10"/>
      <c r="AG7227" s="10"/>
      <c r="AH7227" s="10"/>
      <c r="AI7227" s="10"/>
      <c r="AJ7227" s="10"/>
      <c r="AK7227" s="10"/>
      <c r="AL7227" s="10"/>
      <c r="AM7227" s="10"/>
      <c r="AN7227" s="10"/>
      <c r="AO7227" s="10"/>
      <c r="AP7227" s="10"/>
      <c r="AQ7227" s="10"/>
      <c r="AR7227" s="10"/>
      <c r="AS7227" s="10"/>
      <c r="AT7227" s="10"/>
      <c r="AU7227" s="10"/>
      <c r="AV7227" s="10"/>
      <c r="AW7227" s="10"/>
      <c r="AX7227" s="10"/>
      <c r="AY7227" s="10"/>
      <c r="AZ7227" s="10"/>
    </row>
    <row r="7228" spans="31:52">
      <c r="AE7228" s="10"/>
      <c r="AF7228" s="10"/>
      <c r="AG7228" s="10"/>
      <c r="AH7228" s="10"/>
      <c r="AI7228" s="10"/>
      <c r="AJ7228" s="10"/>
      <c r="AK7228" s="10"/>
      <c r="AL7228" s="10"/>
      <c r="AM7228" s="10"/>
      <c r="AN7228" s="10"/>
      <c r="AO7228" s="10"/>
      <c r="AP7228" s="10"/>
      <c r="AQ7228" s="10"/>
      <c r="AR7228" s="10"/>
      <c r="AS7228" s="10"/>
      <c r="AT7228" s="10"/>
      <c r="AU7228" s="10"/>
      <c r="AV7228" s="10"/>
      <c r="AW7228" s="10"/>
      <c r="AX7228" s="10"/>
      <c r="AY7228" s="10"/>
      <c r="AZ7228" s="10"/>
    </row>
    <row r="7229" spans="31:52">
      <c r="AE7229" s="10"/>
      <c r="AF7229" s="10"/>
      <c r="AG7229" s="10"/>
      <c r="AH7229" s="10"/>
      <c r="AI7229" s="10"/>
      <c r="AJ7229" s="10"/>
      <c r="AK7229" s="10"/>
      <c r="AL7229" s="10"/>
      <c r="AM7229" s="10"/>
      <c r="AN7229" s="10"/>
      <c r="AO7229" s="10"/>
      <c r="AP7229" s="10"/>
      <c r="AQ7229" s="10"/>
      <c r="AR7229" s="10"/>
      <c r="AS7229" s="10"/>
      <c r="AT7229" s="10"/>
      <c r="AU7229" s="10"/>
      <c r="AV7229" s="10"/>
      <c r="AW7229" s="10"/>
      <c r="AX7229" s="10"/>
      <c r="AY7229" s="10"/>
      <c r="AZ7229" s="10"/>
    </row>
    <row r="7230" spans="31:52">
      <c r="AE7230" s="10"/>
      <c r="AF7230" s="10"/>
      <c r="AG7230" s="10"/>
      <c r="AH7230" s="10"/>
      <c r="AI7230" s="10"/>
      <c r="AJ7230" s="10"/>
      <c r="AK7230" s="10"/>
      <c r="AL7230" s="10"/>
      <c r="AM7230" s="10"/>
      <c r="AN7230" s="10"/>
      <c r="AO7230" s="10"/>
      <c r="AP7230" s="10"/>
      <c r="AQ7230" s="10"/>
      <c r="AR7230" s="10"/>
      <c r="AS7230" s="10"/>
      <c r="AT7230" s="10"/>
      <c r="AU7230" s="10"/>
      <c r="AV7230" s="10"/>
      <c r="AW7230" s="10"/>
      <c r="AX7230" s="10"/>
      <c r="AY7230" s="10"/>
      <c r="AZ7230" s="10"/>
    </row>
    <row r="7231" spans="31:52">
      <c r="AE7231" s="10"/>
      <c r="AF7231" s="10"/>
      <c r="AG7231" s="10"/>
      <c r="AH7231" s="10"/>
      <c r="AI7231" s="10"/>
      <c r="AJ7231" s="10"/>
      <c r="AK7231" s="10"/>
      <c r="AL7231" s="10"/>
      <c r="AM7231" s="10"/>
      <c r="AN7231" s="10"/>
      <c r="AO7231" s="10"/>
      <c r="AP7231" s="10"/>
      <c r="AQ7231" s="10"/>
      <c r="AR7231" s="10"/>
      <c r="AS7231" s="10"/>
      <c r="AT7231" s="10"/>
      <c r="AU7231" s="10"/>
      <c r="AV7231" s="10"/>
      <c r="AW7231" s="10"/>
      <c r="AX7231" s="10"/>
      <c r="AY7231" s="10"/>
      <c r="AZ7231" s="10"/>
    </row>
    <row r="7232" spans="31:52">
      <c r="AE7232" s="10"/>
      <c r="AF7232" s="10"/>
      <c r="AG7232" s="10"/>
      <c r="AH7232" s="10"/>
      <c r="AI7232" s="10"/>
      <c r="AJ7232" s="10"/>
      <c r="AK7232" s="10"/>
      <c r="AL7232" s="10"/>
      <c r="AM7232" s="10"/>
      <c r="AN7232" s="10"/>
      <c r="AO7232" s="10"/>
      <c r="AP7232" s="10"/>
      <c r="AQ7232" s="10"/>
      <c r="AR7232" s="10"/>
      <c r="AS7232" s="10"/>
      <c r="AT7232" s="10"/>
      <c r="AU7232" s="10"/>
      <c r="AV7232" s="10"/>
      <c r="AW7232" s="10"/>
      <c r="AX7232" s="10"/>
      <c r="AY7232" s="10"/>
      <c r="AZ7232" s="10"/>
    </row>
    <row r="7233" spans="31:52">
      <c r="AE7233" s="10"/>
      <c r="AF7233" s="10"/>
      <c r="AG7233" s="10"/>
      <c r="AH7233" s="10"/>
      <c r="AI7233" s="10"/>
      <c r="AJ7233" s="10"/>
      <c r="AK7233" s="10"/>
      <c r="AL7233" s="10"/>
      <c r="AM7233" s="10"/>
      <c r="AN7233" s="10"/>
      <c r="AO7233" s="10"/>
      <c r="AP7233" s="10"/>
      <c r="AQ7233" s="10"/>
      <c r="AR7233" s="10"/>
      <c r="AS7233" s="10"/>
      <c r="AT7233" s="10"/>
      <c r="AU7233" s="10"/>
      <c r="AV7233" s="10"/>
      <c r="AW7233" s="10"/>
      <c r="AX7233" s="10"/>
      <c r="AY7233" s="10"/>
      <c r="AZ7233" s="10"/>
    </row>
    <row r="7234" spans="31:52">
      <c r="AE7234" s="10"/>
      <c r="AF7234" s="10"/>
      <c r="AG7234" s="10"/>
      <c r="AH7234" s="10"/>
      <c r="AI7234" s="10"/>
      <c r="AJ7234" s="10"/>
      <c r="AK7234" s="10"/>
      <c r="AL7234" s="10"/>
      <c r="AM7234" s="10"/>
      <c r="AN7234" s="10"/>
      <c r="AO7234" s="10"/>
      <c r="AP7234" s="10"/>
      <c r="AQ7234" s="10"/>
      <c r="AR7234" s="10"/>
      <c r="AS7234" s="10"/>
      <c r="AT7234" s="10"/>
      <c r="AU7234" s="10"/>
      <c r="AV7234" s="10"/>
      <c r="AW7234" s="10"/>
      <c r="AX7234" s="10"/>
      <c r="AY7234" s="10"/>
      <c r="AZ7234" s="10"/>
    </row>
    <row r="7235" spans="31:52">
      <c r="AE7235" s="10"/>
      <c r="AF7235" s="10"/>
      <c r="AG7235" s="10"/>
      <c r="AH7235" s="10"/>
      <c r="AI7235" s="10"/>
      <c r="AJ7235" s="10"/>
      <c r="AK7235" s="10"/>
      <c r="AL7235" s="10"/>
      <c r="AM7235" s="10"/>
      <c r="AN7235" s="10"/>
      <c r="AO7235" s="10"/>
      <c r="AP7235" s="10"/>
      <c r="AQ7235" s="10"/>
      <c r="AR7235" s="10"/>
      <c r="AS7235" s="10"/>
      <c r="AT7235" s="10"/>
      <c r="AU7235" s="10"/>
      <c r="AV7235" s="10"/>
      <c r="AW7235" s="10"/>
      <c r="AX7235" s="10"/>
      <c r="AY7235" s="10"/>
      <c r="AZ7235" s="10"/>
    </row>
    <row r="7236" spans="31:52">
      <c r="AE7236" s="10"/>
      <c r="AF7236" s="10"/>
      <c r="AG7236" s="10"/>
      <c r="AH7236" s="10"/>
      <c r="AI7236" s="10"/>
      <c r="AJ7236" s="10"/>
      <c r="AK7236" s="10"/>
      <c r="AL7236" s="10"/>
      <c r="AM7236" s="10"/>
      <c r="AN7236" s="10"/>
      <c r="AO7236" s="10"/>
      <c r="AP7236" s="10"/>
      <c r="AQ7236" s="10"/>
      <c r="AR7236" s="10"/>
      <c r="AS7236" s="10"/>
      <c r="AT7236" s="10"/>
      <c r="AU7236" s="10"/>
      <c r="AV7236" s="10"/>
      <c r="AW7236" s="10"/>
      <c r="AX7236" s="10"/>
      <c r="AY7236" s="10"/>
      <c r="AZ7236" s="10"/>
    </row>
    <row r="7237" spans="31:52">
      <c r="AE7237" s="10"/>
      <c r="AF7237" s="10"/>
      <c r="AG7237" s="10"/>
      <c r="AH7237" s="10"/>
      <c r="AI7237" s="10"/>
      <c r="AJ7237" s="10"/>
      <c r="AK7237" s="10"/>
      <c r="AL7237" s="10"/>
      <c r="AM7237" s="10"/>
      <c r="AN7237" s="10"/>
      <c r="AO7237" s="10"/>
      <c r="AP7237" s="10"/>
      <c r="AQ7237" s="10"/>
      <c r="AR7237" s="10"/>
      <c r="AS7237" s="10"/>
      <c r="AT7237" s="10"/>
      <c r="AU7237" s="10"/>
      <c r="AV7237" s="10"/>
      <c r="AW7237" s="10"/>
      <c r="AX7237" s="10"/>
      <c r="AY7237" s="10"/>
      <c r="AZ7237" s="10"/>
    </row>
    <row r="7238" spans="31:52">
      <c r="AE7238" s="10"/>
      <c r="AF7238" s="10"/>
      <c r="AG7238" s="10"/>
      <c r="AH7238" s="10"/>
      <c r="AI7238" s="10"/>
      <c r="AJ7238" s="10"/>
      <c r="AK7238" s="10"/>
      <c r="AL7238" s="10"/>
      <c r="AM7238" s="10"/>
      <c r="AN7238" s="10"/>
      <c r="AO7238" s="10"/>
      <c r="AP7238" s="10"/>
      <c r="AQ7238" s="10"/>
      <c r="AR7238" s="10"/>
      <c r="AS7238" s="10"/>
      <c r="AT7238" s="10"/>
      <c r="AU7238" s="10"/>
      <c r="AV7238" s="10"/>
      <c r="AW7238" s="10"/>
      <c r="AX7238" s="10"/>
      <c r="AY7238" s="10"/>
      <c r="AZ7238" s="10"/>
    </row>
    <row r="7239" spans="31:52">
      <c r="AE7239" s="10"/>
      <c r="AF7239" s="10"/>
      <c r="AG7239" s="10"/>
      <c r="AH7239" s="10"/>
      <c r="AI7239" s="10"/>
      <c r="AJ7239" s="10"/>
      <c r="AK7239" s="10"/>
      <c r="AL7239" s="10"/>
      <c r="AM7239" s="10"/>
      <c r="AN7239" s="10"/>
      <c r="AO7239" s="10"/>
      <c r="AP7239" s="10"/>
      <c r="AQ7239" s="10"/>
      <c r="AR7239" s="10"/>
      <c r="AS7239" s="10"/>
      <c r="AT7239" s="10"/>
      <c r="AU7239" s="10"/>
      <c r="AV7239" s="10"/>
      <c r="AW7239" s="10"/>
      <c r="AX7239" s="10"/>
      <c r="AY7239" s="10"/>
      <c r="AZ7239" s="10"/>
    </row>
    <row r="7240" spans="31:52">
      <c r="AE7240" s="10"/>
      <c r="AF7240" s="10"/>
      <c r="AG7240" s="10"/>
      <c r="AH7240" s="10"/>
      <c r="AI7240" s="10"/>
      <c r="AJ7240" s="10"/>
      <c r="AK7240" s="10"/>
      <c r="AL7240" s="10"/>
      <c r="AM7240" s="10"/>
      <c r="AN7240" s="10"/>
      <c r="AO7240" s="10"/>
      <c r="AP7240" s="10"/>
      <c r="AQ7240" s="10"/>
      <c r="AR7240" s="10"/>
      <c r="AS7240" s="10"/>
      <c r="AT7240" s="10"/>
      <c r="AU7240" s="10"/>
      <c r="AV7240" s="10"/>
      <c r="AW7240" s="10"/>
      <c r="AX7240" s="10"/>
      <c r="AY7240" s="10"/>
      <c r="AZ7240" s="10"/>
    </row>
    <row r="7241" spans="31:52">
      <c r="AE7241" s="10"/>
      <c r="AF7241" s="10"/>
      <c r="AG7241" s="10"/>
      <c r="AH7241" s="10"/>
      <c r="AI7241" s="10"/>
      <c r="AJ7241" s="10"/>
      <c r="AK7241" s="10"/>
      <c r="AL7241" s="10"/>
      <c r="AM7241" s="10"/>
      <c r="AN7241" s="10"/>
      <c r="AO7241" s="10"/>
      <c r="AP7241" s="10"/>
      <c r="AQ7241" s="10"/>
      <c r="AR7241" s="10"/>
      <c r="AS7241" s="10"/>
      <c r="AT7241" s="10"/>
      <c r="AU7241" s="10"/>
      <c r="AV7241" s="10"/>
      <c r="AW7241" s="10"/>
      <c r="AX7241" s="10"/>
      <c r="AY7241" s="10"/>
      <c r="AZ7241" s="10"/>
    </row>
    <row r="7242" spans="31:52">
      <c r="AE7242" s="10"/>
      <c r="AF7242" s="10"/>
      <c r="AG7242" s="10"/>
      <c r="AH7242" s="10"/>
      <c r="AI7242" s="10"/>
      <c r="AJ7242" s="10"/>
      <c r="AK7242" s="10"/>
      <c r="AL7242" s="10"/>
      <c r="AM7242" s="10"/>
      <c r="AN7242" s="10"/>
      <c r="AO7242" s="10"/>
      <c r="AP7242" s="10"/>
      <c r="AQ7242" s="10"/>
      <c r="AR7242" s="10"/>
      <c r="AS7242" s="10"/>
      <c r="AT7242" s="10"/>
      <c r="AU7242" s="10"/>
      <c r="AV7242" s="10"/>
      <c r="AW7242" s="10"/>
      <c r="AX7242" s="10"/>
      <c r="AY7242" s="10"/>
      <c r="AZ7242" s="10"/>
    </row>
    <row r="7243" spans="31:52">
      <c r="AE7243" s="10"/>
      <c r="AF7243" s="10"/>
      <c r="AG7243" s="10"/>
      <c r="AH7243" s="10"/>
      <c r="AI7243" s="10"/>
      <c r="AJ7243" s="10"/>
      <c r="AK7243" s="10"/>
      <c r="AL7243" s="10"/>
      <c r="AM7243" s="10"/>
      <c r="AN7243" s="10"/>
      <c r="AO7243" s="10"/>
      <c r="AP7243" s="10"/>
      <c r="AQ7243" s="10"/>
      <c r="AR7243" s="10"/>
      <c r="AS7243" s="10"/>
      <c r="AT7243" s="10"/>
      <c r="AU7243" s="10"/>
      <c r="AV7243" s="10"/>
      <c r="AW7243" s="10"/>
      <c r="AX7243" s="10"/>
      <c r="AY7243" s="10"/>
      <c r="AZ7243" s="10"/>
    </row>
    <row r="7244" spans="31:52">
      <c r="AE7244" s="10"/>
      <c r="AF7244" s="10"/>
      <c r="AG7244" s="10"/>
      <c r="AH7244" s="10"/>
      <c r="AI7244" s="10"/>
      <c r="AJ7244" s="10"/>
      <c r="AK7244" s="10"/>
      <c r="AL7244" s="10"/>
      <c r="AM7244" s="10"/>
      <c r="AN7244" s="10"/>
      <c r="AO7244" s="10"/>
      <c r="AP7244" s="10"/>
      <c r="AQ7244" s="10"/>
      <c r="AR7244" s="10"/>
      <c r="AS7244" s="10"/>
      <c r="AT7244" s="10"/>
      <c r="AU7244" s="10"/>
      <c r="AV7244" s="10"/>
      <c r="AW7244" s="10"/>
      <c r="AX7244" s="10"/>
      <c r="AY7244" s="10"/>
      <c r="AZ7244" s="10"/>
    </row>
    <row r="7245" spans="31:52">
      <c r="AE7245" s="10"/>
      <c r="AF7245" s="10"/>
      <c r="AG7245" s="10"/>
      <c r="AH7245" s="10"/>
      <c r="AI7245" s="10"/>
      <c r="AJ7245" s="10"/>
      <c r="AK7245" s="10"/>
      <c r="AL7245" s="10"/>
      <c r="AM7245" s="10"/>
      <c r="AN7245" s="10"/>
      <c r="AO7245" s="10"/>
      <c r="AP7245" s="10"/>
      <c r="AQ7245" s="10"/>
      <c r="AR7245" s="10"/>
      <c r="AS7245" s="10"/>
      <c r="AT7245" s="10"/>
      <c r="AU7245" s="10"/>
      <c r="AV7245" s="10"/>
      <c r="AW7245" s="10"/>
      <c r="AX7245" s="10"/>
      <c r="AY7245" s="10"/>
      <c r="AZ7245" s="10"/>
    </row>
    <row r="7246" spans="31:52">
      <c r="AE7246" s="10"/>
      <c r="AF7246" s="10"/>
      <c r="AG7246" s="10"/>
      <c r="AH7246" s="10"/>
      <c r="AI7246" s="10"/>
      <c r="AJ7246" s="10"/>
      <c r="AK7246" s="10"/>
      <c r="AL7246" s="10"/>
      <c r="AM7246" s="10"/>
      <c r="AN7246" s="10"/>
      <c r="AO7246" s="10"/>
      <c r="AP7246" s="10"/>
      <c r="AQ7246" s="10"/>
      <c r="AR7246" s="10"/>
      <c r="AS7246" s="10"/>
      <c r="AT7246" s="10"/>
      <c r="AU7246" s="10"/>
      <c r="AV7246" s="10"/>
      <c r="AW7246" s="10"/>
      <c r="AX7246" s="10"/>
      <c r="AY7246" s="10"/>
      <c r="AZ7246" s="10"/>
    </row>
    <row r="7247" spans="31:52">
      <c r="AE7247" s="10"/>
      <c r="AF7247" s="10"/>
      <c r="AG7247" s="10"/>
      <c r="AH7247" s="10"/>
      <c r="AI7247" s="10"/>
      <c r="AJ7247" s="10"/>
      <c r="AK7247" s="10"/>
      <c r="AL7247" s="10"/>
      <c r="AM7247" s="10"/>
      <c r="AN7247" s="10"/>
      <c r="AO7247" s="10"/>
      <c r="AP7247" s="10"/>
      <c r="AQ7247" s="10"/>
      <c r="AR7247" s="10"/>
      <c r="AS7247" s="10"/>
      <c r="AT7247" s="10"/>
      <c r="AU7247" s="10"/>
      <c r="AV7247" s="10"/>
      <c r="AW7247" s="10"/>
      <c r="AX7247" s="10"/>
      <c r="AY7247" s="10"/>
      <c r="AZ7247" s="10"/>
    </row>
    <row r="7248" spans="31:52">
      <c r="AE7248" s="10"/>
      <c r="AF7248" s="10"/>
      <c r="AG7248" s="10"/>
      <c r="AH7248" s="10"/>
      <c r="AI7248" s="10"/>
      <c r="AJ7248" s="10"/>
      <c r="AK7248" s="10"/>
      <c r="AL7248" s="10"/>
      <c r="AM7248" s="10"/>
      <c r="AN7248" s="10"/>
      <c r="AO7248" s="10"/>
      <c r="AP7248" s="10"/>
      <c r="AQ7248" s="10"/>
      <c r="AR7248" s="10"/>
      <c r="AS7248" s="10"/>
      <c r="AT7248" s="10"/>
      <c r="AU7248" s="10"/>
      <c r="AV7248" s="10"/>
      <c r="AW7248" s="10"/>
      <c r="AX7248" s="10"/>
      <c r="AY7248" s="10"/>
      <c r="AZ7248" s="10"/>
    </row>
    <row r="7249" spans="31:52">
      <c r="AE7249" s="10"/>
      <c r="AF7249" s="10"/>
      <c r="AG7249" s="10"/>
      <c r="AH7249" s="10"/>
      <c r="AI7249" s="10"/>
      <c r="AJ7249" s="10"/>
      <c r="AK7249" s="10"/>
      <c r="AL7249" s="10"/>
      <c r="AM7249" s="10"/>
      <c r="AN7249" s="10"/>
      <c r="AO7249" s="10"/>
      <c r="AP7249" s="10"/>
      <c r="AQ7249" s="10"/>
      <c r="AR7249" s="10"/>
      <c r="AS7249" s="10"/>
      <c r="AT7249" s="10"/>
      <c r="AU7249" s="10"/>
      <c r="AV7249" s="10"/>
      <c r="AW7249" s="10"/>
      <c r="AX7249" s="10"/>
      <c r="AY7249" s="10"/>
      <c r="AZ7249" s="10"/>
    </row>
    <row r="7250" spans="31:52">
      <c r="AE7250" s="10"/>
      <c r="AF7250" s="10"/>
      <c r="AG7250" s="10"/>
      <c r="AH7250" s="10"/>
      <c r="AI7250" s="10"/>
      <c r="AJ7250" s="10"/>
      <c r="AK7250" s="10"/>
      <c r="AL7250" s="10"/>
      <c r="AM7250" s="10"/>
      <c r="AN7250" s="10"/>
      <c r="AO7250" s="10"/>
      <c r="AP7250" s="10"/>
      <c r="AQ7250" s="10"/>
      <c r="AR7250" s="10"/>
      <c r="AS7250" s="10"/>
      <c r="AT7250" s="10"/>
      <c r="AU7250" s="10"/>
      <c r="AV7250" s="10"/>
      <c r="AW7250" s="10"/>
      <c r="AX7250" s="10"/>
      <c r="AY7250" s="10"/>
      <c r="AZ7250" s="10"/>
    </row>
    <row r="7251" spans="31:52">
      <c r="AE7251" s="10"/>
      <c r="AF7251" s="10"/>
      <c r="AG7251" s="10"/>
      <c r="AH7251" s="10"/>
      <c r="AI7251" s="10"/>
      <c r="AJ7251" s="10"/>
      <c r="AK7251" s="10"/>
      <c r="AL7251" s="10"/>
      <c r="AM7251" s="10"/>
      <c r="AN7251" s="10"/>
      <c r="AO7251" s="10"/>
      <c r="AP7251" s="10"/>
      <c r="AQ7251" s="10"/>
      <c r="AR7251" s="10"/>
      <c r="AS7251" s="10"/>
      <c r="AT7251" s="10"/>
      <c r="AU7251" s="10"/>
      <c r="AV7251" s="10"/>
      <c r="AW7251" s="10"/>
      <c r="AX7251" s="10"/>
      <c r="AY7251" s="10"/>
      <c r="AZ7251" s="10"/>
    </row>
    <row r="7252" spans="31:52">
      <c r="AE7252" s="10"/>
      <c r="AF7252" s="10"/>
      <c r="AG7252" s="10"/>
      <c r="AH7252" s="10"/>
      <c r="AI7252" s="10"/>
      <c r="AJ7252" s="10"/>
      <c r="AK7252" s="10"/>
      <c r="AL7252" s="10"/>
      <c r="AM7252" s="10"/>
      <c r="AN7252" s="10"/>
      <c r="AO7252" s="10"/>
      <c r="AP7252" s="10"/>
      <c r="AQ7252" s="10"/>
      <c r="AR7252" s="10"/>
      <c r="AS7252" s="10"/>
      <c r="AT7252" s="10"/>
      <c r="AU7252" s="10"/>
      <c r="AV7252" s="10"/>
      <c r="AW7252" s="10"/>
      <c r="AX7252" s="10"/>
      <c r="AY7252" s="10"/>
      <c r="AZ7252" s="10"/>
    </row>
    <row r="7253" spans="31:52">
      <c r="AE7253" s="10"/>
      <c r="AF7253" s="10"/>
      <c r="AG7253" s="10"/>
      <c r="AH7253" s="10"/>
      <c r="AI7253" s="10"/>
      <c r="AJ7253" s="10"/>
      <c r="AK7253" s="10"/>
      <c r="AL7253" s="10"/>
      <c r="AM7253" s="10"/>
      <c r="AN7253" s="10"/>
      <c r="AO7253" s="10"/>
      <c r="AP7253" s="10"/>
      <c r="AQ7253" s="10"/>
      <c r="AR7253" s="10"/>
      <c r="AS7253" s="10"/>
      <c r="AT7253" s="10"/>
      <c r="AU7253" s="10"/>
      <c r="AV7253" s="10"/>
      <c r="AW7253" s="10"/>
      <c r="AX7253" s="10"/>
      <c r="AY7253" s="10"/>
      <c r="AZ7253" s="10"/>
    </row>
    <row r="7254" spans="31:52">
      <c r="AE7254" s="10"/>
      <c r="AF7254" s="10"/>
      <c r="AG7254" s="10"/>
      <c r="AH7254" s="10"/>
      <c r="AI7254" s="10"/>
      <c r="AJ7254" s="10"/>
      <c r="AK7254" s="10"/>
      <c r="AL7254" s="10"/>
      <c r="AM7254" s="10"/>
      <c r="AN7254" s="10"/>
      <c r="AO7254" s="10"/>
      <c r="AP7254" s="10"/>
      <c r="AQ7254" s="10"/>
      <c r="AR7254" s="10"/>
      <c r="AS7254" s="10"/>
      <c r="AT7254" s="10"/>
      <c r="AU7254" s="10"/>
      <c r="AV7254" s="10"/>
      <c r="AW7254" s="10"/>
      <c r="AX7254" s="10"/>
      <c r="AY7254" s="10"/>
      <c r="AZ7254" s="10"/>
    </row>
    <row r="7255" spans="31:52">
      <c r="AE7255" s="10"/>
      <c r="AF7255" s="10"/>
      <c r="AG7255" s="10"/>
      <c r="AH7255" s="10"/>
      <c r="AI7255" s="10"/>
      <c r="AJ7255" s="10"/>
      <c r="AK7255" s="10"/>
      <c r="AL7255" s="10"/>
      <c r="AM7255" s="10"/>
      <c r="AN7255" s="10"/>
      <c r="AO7255" s="10"/>
      <c r="AP7255" s="10"/>
      <c r="AQ7255" s="10"/>
      <c r="AR7255" s="10"/>
      <c r="AS7255" s="10"/>
      <c r="AT7255" s="10"/>
      <c r="AU7255" s="10"/>
      <c r="AV7255" s="10"/>
      <c r="AW7255" s="10"/>
      <c r="AX7255" s="10"/>
      <c r="AY7255" s="10"/>
      <c r="AZ7255" s="10"/>
    </row>
    <row r="7256" spans="31:52">
      <c r="AE7256" s="10"/>
      <c r="AF7256" s="10"/>
      <c r="AG7256" s="10"/>
      <c r="AH7256" s="10"/>
      <c r="AI7256" s="10"/>
      <c r="AJ7256" s="10"/>
      <c r="AK7256" s="10"/>
      <c r="AL7256" s="10"/>
      <c r="AM7256" s="10"/>
      <c r="AN7256" s="10"/>
      <c r="AO7256" s="10"/>
      <c r="AP7256" s="10"/>
      <c r="AQ7256" s="10"/>
      <c r="AR7256" s="10"/>
      <c r="AS7256" s="10"/>
      <c r="AT7256" s="10"/>
      <c r="AU7256" s="10"/>
      <c r="AV7256" s="10"/>
      <c r="AW7256" s="10"/>
      <c r="AX7256" s="10"/>
      <c r="AY7256" s="10"/>
      <c r="AZ7256" s="10"/>
    </row>
    <row r="7257" spans="31:52">
      <c r="AE7257" s="10"/>
      <c r="AF7257" s="10"/>
      <c r="AG7257" s="10"/>
      <c r="AH7257" s="10"/>
      <c r="AI7257" s="10"/>
      <c r="AJ7257" s="10"/>
      <c r="AK7257" s="10"/>
      <c r="AL7257" s="10"/>
      <c r="AM7257" s="10"/>
      <c r="AN7257" s="10"/>
      <c r="AO7257" s="10"/>
      <c r="AP7257" s="10"/>
      <c r="AQ7257" s="10"/>
      <c r="AR7257" s="10"/>
      <c r="AS7257" s="10"/>
      <c r="AT7257" s="10"/>
      <c r="AU7257" s="10"/>
      <c r="AV7257" s="10"/>
      <c r="AW7257" s="10"/>
      <c r="AX7257" s="10"/>
      <c r="AY7257" s="10"/>
      <c r="AZ7257" s="10"/>
    </row>
    <row r="7258" spans="31:52">
      <c r="AE7258" s="10"/>
      <c r="AF7258" s="10"/>
      <c r="AG7258" s="10"/>
      <c r="AH7258" s="10"/>
      <c r="AI7258" s="10"/>
      <c r="AJ7258" s="10"/>
      <c r="AK7258" s="10"/>
      <c r="AL7258" s="10"/>
      <c r="AM7258" s="10"/>
      <c r="AN7258" s="10"/>
      <c r="AO7258" s="10"/>
      <c r="AP7258" s="10"/>
      <c r="AQ7258" s="10"/>
      <c r="AR7258" s="10"/>
      <c r="AS7258" s="10"/>
      <c r="AT7258" s="10"/>
      <c r="AU7258" s="10"/>
      <c r="AV7258" s="10"/>
      <c r="AW7258" s="10"/>
      <c r="AX7258" s="10"/>
      <c r="AY7258" s="10"/>
      <c r="AZ7258" s="10"/>
    </row>
    <row r="7259" spans="31:52">
      <c r="AE7259" s="10"/>
      <c r="AF7259" s="10"/>
      <c r="AG7259" s="10"/>
      <c r="AH7259" s="10"/>
      <c r="AI7259" s="10"/>
      <c r="AJ7259" s="10"/>
      <c r="AK7259" s="10"/>
      <c r="AL7259" s="10"/>
      <c r="AM7259" s="10"/>
      <c r="AN7259" s="10"/>
      <c r="AO7259" s="10"/>
      <c r="AP7259" s="10"/>
      <c r="AQ7259" s="10"/>
      <c r="AR7259" s="10"/>
      <c r="AS7259" s="10"/>
      <c r="AT7259" s="10"/>
      <c r="AU7259" s="10"/>
      <c r="AV7259" s="10"/>
      <c r="AW7259" s="10"/>
      <c r="AX7259" s="10"/>
      <c r="AY7259" s="10"/>
      <c r="AZ7259" s="10"/>
    </row>
    <row r="7260" spans="31:52">
      <c r="AE7260" s="10"/>
      <c r="AF7260" s="10"/>
      <c r="AG7260" s="10"/>
      <c r="AH7260" s="10"/>
      <c r="AI7260" s="10"/>
      <c r="AJ7260" s="10"/>
      <c r="AK7260" s="10"/>
      <c r="AL7260" s="10"/>
      <c r="AM7260" s="10"/>
      <c r="AN7260" s="10"/>
      <c r="AO7260" s="10"/>
      <c r="AP7260" s="10"/>
      <c r="AQ7260" s="10"/>
      <c r="AR7260" s="10"/>
      <c r="AS7260" s="10"/>
      <c r="AT7260" s="10"/>
      <c r="AU7260" s="10"/>
      <c r="AV7260" s="10"/>
      <c r="AW7260" s="10"/>
      <c r="AX7260" s="10"/>
      <c r="AY7260" s="10"/>
      <c r="AZ7260" s="10"/>
    </row>
    <row r="7261" spans="31:52">
      <c r="AE7261" s="10"/>
      <c r="AF7261" s="10"/>
      <c r="AG7261" s="10"/>
      <c r="AH7261" s="10"/>
      <c r="AI7261" s="10"/>
      <c r="AJ7261" s="10"/>
      <c r="AK7261" s="10"/>
      <c r="AL7261" s="10"/>
      <c r="AM7261" s="10"/>
      <c r="AN7261" s="10"/>
      <c r="AO7261" s="10"/>
      <c r="AP7261" s="10"/>
      <c r="AQ7261" s="10"/>
      <c r="AR7261" s="10"/>
      <c r="AS7261" s="10"/>
      <c r="AT7261" s="10"/>
      <c r="AU7261" s="10"/>
      <c r="AV7261" s="10"/>
      <c r="AW7261" s="10"/>
      <c r="AX7261" s="10"/>
      <c r="AY7261" s="10"/>
      <c r="AZ7261" s="10"/>
    </row>
    <row r="7262" spans="31:52">
      <c r="AE7262" s="10"/>
      <c r="AF7262" s="10"/>
      <c r="AG7262" s="10"/>
      <c r="AH7262" s="10"/>
      <c r="AI7262" s="10"/>
      <c r="AJ7262" s="10"/>
      <c r="AK7262" s="10"/>
      <c r="AL7262" s="10"/>
      <c r="AM7262" s="10"/>
      <c r="AN7262" s="10"/>
      <c r="AO7262" s="10"/>
      <c r="AP7262" s="10"/>
      <c r="AQ7262" s="10"/>
      <c r="AR7262" s="10"/>
      <c r="AS7262" s="10"/>
      <c r="AT7262" s="10"/>
      <c r="AU7262" s="10"/>
      <c r="AV7262" s="10"/>
      <c r="AW7262" s="10"/>
      <c r="AX7262" s="10"/>
      <c r="AY7262" s="10"/>
      <c r="AZ7262" s="10"/>
    </row>
    <row r="7263" spans="31:52">
      <c r="AE7263" s="10"/>
      <c r="AF7263" s="10"/>
      <c r="AG7263" s="10"/>
      <c r="AH7263" s="10"/>
      <c r="AI7263" s="10"/>
      <c r="AJ7263" s="10"/>
      <c r="AK7263" s="10"/>
      <c r="AL7263" s="10"/>
      <c r="AM7263" s="10"/>
      <c r="AN7263" s="10"/>
      <c r="AO7263" s="10"/>
      <c r="AP7263" s="10"/>
      <c r="AQ7263" s="10"/>
      <c r="AR7263" s="10"/>
      <c r="AS7263" s="10"/>
      <c r="AT7263" s="10"/>
      <c r="AU7263" s="10"/>
      <c r="AV7263" s="10"/>
      <c r="AW7263" s="10"/>
      <c r="AX7263" s="10"/>
      <c r="AY7263" s="10"/>
      <c r="AZ7263" s="10"/>
    </row>
    <row r="7264" spans="31:52">
      <c r="AE7264" s="10"/>
      <c r="AF7264" s="10"/>
      <c r="AG7264" s="10"/>
      <c r="AH7264" s="10"/>
      <c r="AI7264" s="10"/>
      <c r="AJ7264" s="10"/>
      <c r="AK7264" s="10"/>
      <c r="AL7264" s="10"/>
      <c r="AM7264" s="10"/>
      <c r="AN7264" s="10"/>
      <c r="AO7264" s="10"/>
      <c r="AP7264" s="10"/>
      <c r="AQ7264" s="10"/>
      <c r="AR7264" s="10"/>
      <c r="AS7264" s="10"/>
      <c r="AT7264" s="10"/>
      <c r="AU7264" s="10"/>
      <c r="AV7264" s="10"/>
      <c r="AW7264" s="10"/>
      <c r="AX7264" s="10"/>
      <c r="AY7264" s="10"/>
      <c r="AZ7264" s="10"/>
    </row>
    <row r="7265" spans="31:52">
      <c r="AE7265" s="10"/>
      <c r="AF7265" s="10"/>
      <c r="AG7265" s="10"/>
      <c r="AH7265" s="10"/>
      <c r="AI7265" s="10"/>
      <c r="AJ7265" s="10"/>
      <c r="AK7265" s="10"/>
      <c r="AL7265" s="10"/>
      <c r="AM7265" s="10"/>
      <c r="AN7265" s="10"/>
      <c r="AO7265" s="10"/>
      <c r="AP7265" s="10"/>
      <c r="AQ7265" s="10"/>
      <c r="AR7265" s="10"/>
      <c r="AS7265" s="10"/>
      <c r="AT7265" s="10"/>
      <c r="AU7265" s="10"/>
      <c r="AV7265" s="10"/>
      <c r="AW7265" s="10"/>
      <c r="AX7265" s="10"/>
      <c r="AY7265" s="10"/>
      <c r="AZ7265" s="10"/>
    </row>
    <row r="7266" spans="31:52">
      <c r="AE7266" s="10"/>
      <c r="AF7266" s="10"/>
      <c r="AG7266" s="10"/>
      <c r="AH7266" s="10"/>
      <c r="AI7266" s="10"/>
      <c r="AJ7266" s="10"/>
      <c r="AK7266" s="10"/>
      <c r="AL7266" s="10"/>
      <c r="AM7266" s="10"/>
      <c r="AN7266" s="10"/>
      <c r="AO7266" s="10"/>
      <c r="AP7266" s="10"/>
      <c r="AQ7266" s="10"/>
      <c r="AR7266" s="10"/>
      <c r="AS7266" s="10"/>
      <c r="AT7266" s="10"/>
      <c r="AU7266" s="10"/>
      <c r="AV7266" s="10"/>
      <c r="AW7266" s="10"/>
      <c r="AX7266" s="10"/>
      <c r="AY7266" s="10"/>
      <c r="AZ7266" s="10"/>
    </row>
    <row r="7267" spans="31:52">
      <c r="AE7267" s="10"/>
      <c r="AF7267" s="10"/>
      <c r="AG7267" s="10"/>
      <c r="AH7267" s="10"/>
      <c r="AI7267" s="10"/>
      <c r="AJ7267" s="10"/>
      <c r="AK7267" s="10"/>
      <c r="AL7267" s="10"/>
      <c r="AM7267" s="10"/>
      <c r="AN7267" s="10"/>
      <c r="AO7267" s="10"/>
      <c r="AP7267" s="10"/>
      <c r="AQ7267" s="10"/>
      <c r="AR7267" s="10"/>
      <c r="AS7267" s="10"/>
      <c r="AT7267" s="10"/>
      <c r="AU7267" s="10"/>
      <c r="AV7267" s="10"/>
      <c r="AW7267" s="10"/>
      <c r="AX7267" s="10"/>
      <c r="AY7267" s="10"/>
      <c r="AZ7267" s="10"/>
    </row>
    <row r="7268" spans="31:52">
      <c r="AE7268" s="10"/>
      <c r="AF7268" s="10"/>
      <c r="AG7268" s="10"/>
      <c r="AH7268" s="10"/>
      <c r="AI7268" s="10"/>
      <c r="AJ7268" s="10"/>
      <c r="AK7268" s="10"/>
      <c r="AL7268" s="10"/>
      <c r="AM7268" s="10"/>
      <c r="AN7268" s="10"/>
      <c r="AO7268" s="10"/>
      <c r="AP7268" s="10"/>
      <c r="AQ7268" s="10"/>
      <c r="AR7268" s="10"/>
      <c r="AS7268" s="10"/>
      <c r="AT7268" s="10"/>
      <c r="AU7268" s="10"/>
      <c r="AV7268" s="10"/>
      <c r="AW7268" s="10"/>
      <c r="AX7268" s="10"/>
      <c r="AY7268" s="10"/>
      <c r="AZ7268" s="10"/>
    </row>
    <row r="7269" spans="31:52">
      <c r="AE7269" s="10"/>
      <c r="AF7269" s="10"/>
      <c r="AG7269" s="10"/>
      <c r="AH7269" s="10"/>
      <c r="AI7269" s="10"/>
      <c r="AJ7269" s="10"/>
      <c r="AK7269" s="10"/>
      <c r="AL7269" s="10"/>
      <c r="AM7269" s="10"/>
      <c r="AN7269" s="10"/>
      <c r="AO7269" s="10"/>
      <c r="AP7269" s="10"/>
      <c r="AQ7269" s="10"/>
      <c r="AR7269" s="10"/>
      <c r="AS7269" s="10"/>
      <c r="AT7269" s="10"/>
      <c r="AU7269" s="10"/>
      <c r="AV7269" s="10"/>
      <c r="AW7269" s="10"/>
      <c r="AX7269" s="10"/>
      <c r="AY7269" s="10"/>
      <c r="AZ7269" s="10"/>
    </row>
    <row r="7270" spans="31:52">
      <c r="AE7270" s="10"/>
      <c r="AF7270" s="10"/>
      <c r="AG7270" s="10"/>
      <c r="AH7270" s="10"/>
      <c r="AI7270" s="10"/>
      <c r="AJ7270" s="10"/>
      <c r="AK7270" s="10"/>
      <c r="AL7270" s="10"/>
      <c r="AM7270" s="10"/>
      <c r="AN7270" s="10"/>
      <c r="AO7270" s="10"/>
      <c r="AP7270" s="10"/>
      <c r="AQ7270" s="10"/>
      <c r="AR7270" s="10"/>
      <c r="AS7270" s="10"/>
      <c r="AT7270" s="10"/>
      <c r="AU7270" s="10"/>
      <c r="AV7270" s="10"/>
      <c r="AW7270" s="10"/>
      <c r="AX7270" s="10"/>
      <c r="AY7270" s="10"/>
      <c r="AZ7270" s="10"/>
    </row>
    <row r="7271" spans="31:52">
      <c r="AE7271" s="10"/>
      <c r="AF7271" s="10"/>
      <c r="AG7271" s="10"/>
      <c r="AH7271" s="10"/>
      <c r="AI7271" s="10"/>
      <c r="AJ7271" s="10"/>
      <c r="AK7271" s="10"/>
      <c r="AL7271" s="10"/>
      <c r="AM7271" s="10"/>
      <c r="AN7271" s="10"/>
      <c r="AO7271" s="10"/>
      <c r="AP7271" s="10"/>
      <c r="AQ7271" s="10"/>
      <c r="AR7271" s="10"/>
      <c r="AS7271" s="10"/>
      <c r="AT7271" s="10"/>
      <c r="AU7271" s="10"/>
      <c r="AV7271" s="10"/>
      <c r="AW7271" s="10"/>
      <c r="AX7271" s="10"/>
      <c r="AY7271" s="10"/>
      <c r="AZ7271" s="10"/>
    </row>
    <row r="7272" spans="31:52">
      <c r="AE7272" s="10"/>
      <c r="AF7272" s="10"/>
      <c r="AG7272" s="10"/>
      <c r="AH7272" s="10"/>
      <c r="AI7272" s="10"/>
      <c r="AJ7272" s="10"/>
      <c r="AK7272" s="10"/>
      <c r="AL7272" s="10"/>
      <c r="AM7272" s="10"/>
      <c r="AN7272" s="10"/>
      <c r="AO7272" s="10"/>
      <c r="AP7272" s="10"/>
      <c r="AQ7272" s="10"/>
      <c r="AR7272" s="10"/>
      <c r="AS7272" s="10"/>
      <c r="AT7272" s="10"/>
      <c r="AU7272" s="10"/>
      <c r="AV7272" s="10"/>
      <c r="AW7272" s="10"/>
      <c r="AX7272" s="10"/>
      <c r="AY7272" s="10"/>
      <c r="AZ7272" s="10"/>
    </row>
    <row r="7273" spans="31:52">
      <c r="AE7273" s="10"/>
      <c r="AF7273" s="10"/>
      <c r="AG7273" s="10"/>
      <c r="AH7273" s="10"/>
      <c r="AI7273" s="10"/>
      <c r="AJ7273" s="10"/>
      <c r="AK7273" s="10"/>
      <c r="AL7273" s="10"/>
      <c r="AM7273" s="10"/>
      <c r="AN7273" s="10"/>
      <c r="AO7273" s="10"/>
      <c r="AP7273" s="10"/>
      <c r="AQ7273" s="10"/>
      <c r="AR7273" s="10"/>
      <c r="AS7273" s="10"/>
      <c r="AT7273" s="10"/>
      <c r="AU7273" s="10"/>
      <c r="AV7273" s="10"/>
      <c r="AW7273" s="10"/>
      <c r="AX7273" s="10"/>
      <c r="AY7273" s="10"/>
      <c r="AZ7273" s="10"/>
    </row>
    <row r="7274" spans="31:52">
      <c r="AE7274" s="10"/>
      <c r="AF7274" s="10"/>
      <c r="AG7274" s="10"/>
      <c r="AH7274" s="10"/>
      <c r="AI7274" s="10"/>
      <c r="AJ7274" s="10"/>
      <c r="AK7274" s="10"/>
      <c r="AL7274" s="10"/>
      <c r="AM7274" s="10"/>
      <c r="AN7274" s="10"/>
      <c r="AO7274" s="10"/>
      <c r="AP7274" s="10"/>
      <c r="AQ7274" s="10"/>
      <c r="AR7274" s="10"/>
      <c r="AS7274" s="10"/>
      <c r="AT7274" s="10"/>
      <c r="AU7274" s="10"/>
      <c r="AV7274" s="10"/>
      <c r="AW7274" s="10"/>
      <c r="AX7274" s="10"/>
      <c r="AY7274" s="10"/>
      <c r="AZ7274" s="10"/>
    </row>
    <row r="7275" spans="31:52">
      <c r="AE7275" s="10"/>
      <c r="AF7275" s="10"/>
      <c r="AG7275" s="10"/>
      <c r="AH7275" s="10"/>
      <c r="AI7275" s="10"/>
      <c r="AJ7275" s="10"/>
      <c r="AK7275" s="10"/>
      <c r="AL7275" s="10"/>
      <c r="AM7275" s="10"/>
      <c r="AN7275" s="10"/>
      <c r="AO7275" s="10"/>
      <c r="AP7275" s="10"/>
      <c r="AQ7275" s="10"/>
      <c r="AR7275" s="10"/>
      <c r="AS7275" s="10"/>
      <c r="AT7275" s="10"/>
      <c r="AU7275" s="10"/>
      <c r="AV7275" s="10"/>
      <c r="AW7275" s="10"/>
      <c r="AX7275" s="10"/>
      <c r="AY7275" s="10"/>
      <c r="AZ7275" s="10"/>
    </row>
    <row r="7276" spans="31:52">
      <c r="AE7276" s="10"/>
      <c r="AF7276" s="10"/>
      <c r="AG7276" s="10"/>
      <c r="AH7276" s="10"/>
      <c r="AI7276" s="10"/>
      <c r="AJ7276" s="10"/>
      <c r="AK7276" s="10"/>
      <c r="AL7276" s="10"/>
      <c r="AM7276" s="10"/>
      <c r="AN7276" s="10"/>
      <c r="AO7276" s="10"/>
      <c r="AP7276" s="10"/>
      <c r="AQ7276" s="10"/>
      <c r="AR7276" s="10"/>
      <c r="AS7276" s="10"/>
      <c r="AT7276" s="10"/>
      <c r="AU7276" s="10"/>
      <c r="AV7276" s="10"/>
      <c r="AW7276" s="10"/>
      <c r="AX7276" s="10"/>
      <c r="AY7276" s="10"/>
      <c r="AZ7276" s="10"/>
    </row>
    <row r="7277" spans="31:52">
      <c r="AE7277" s="10"/>
      <c r="AF7277" s="10"/>
      <c r="AG7277" s="10"/>
      <c r="AH7277" s="10"/>
      <c r="AI7277" s="10"/>
      <c r="AJ7277" s="10"/>
      <c r="AK7277" s="10"/>
      <c r="AL7277" s="10"/>
      <c r="AM7277" s="10"/>
      <c r="AN7277" s="10"/>
      <c r="AO7277" s="10"/>
      <c r="AP7277" s="10"/>
      <c r="AQ7277" s="10"/>
      <c r="AR7277" s="10"/>
      <c r="AS7277" s="10"/>
      <c r="AT7277" s="10"/>
      <c r="AU7277" s="10"/>
      <c r="AV7277" s="10"/>
      <c r="AW7277" s="10"/>
      <c r="AX7277" s="10"/>
      <c r="AY7277" s="10"/>
      <c r="AZ7277" s="10"/>
    </row>
    <row r="7278" spans="31:52">
      <c r="AE7278" s="10"/>
      <c r="AF7278" s="10"/>
      <c r="AG7278" s="10"/>
      <c r="AH7278" s="10"/>
      <c r="AI7278" s="10"/>
      <c r="AJ7278" s="10"/>
      <c r="AK7278" s="10"/>
      <c r="AL7278" s="10"/>
      <c r="AM7278" s="10"/>
      <c r="AN7278" s="10"/>
      <c r="AO7278" s="10"/>
      <c r="AP7278" s="10"/>
      <c r="AQ7278" s="10"/>
      <c r="AR7278" s="10"/>
      <c r="AS7278" s="10"/>
      <c r="AT7278" s="10"/>
      <c r="AU7278" s="10"/>
      <c r="AV7278" s="10"/>
      <c r="AW7278" s="10"/>
      <c r="AX7278" s="10"/>
      <c r="AY7278" s="10"/>
      <c r="AZ7278" s="10"/>
    </row>
    <row r="7279" spans="31:52">
      <c r="AE7279" s="10"/>
      <c r="AF7279" s="10"/>
      <c r="AG7279" s="10"/>
      <c r="AH7279" s="10"/>
      <c r="AI7279" s="10"/>
      <c r="AJ7279" s="10"/>
      <c r="AK7279" s="10"/>
      <c r="AL7279" s="10"/>
      <c r="AM7279" s="10"/>
      <c r="AN7279" s="10"/>
      <c r="AO7279" s="10"/>
      <c r="AP7279" s="10"/>
      <c r="AQ7279" s="10"/>
      <c r="AR7279" s="10"/>
      <c r="AS7279" s="10"/>
      <c r="AT7279" s="10"/>
      <c r="AU7279" s="10"/>
      <c r="AV7279" s="10"/>
      <c r="AW7279" s="10"/>
      <c r="AX7279" s="10"/>
      <c r="AY7279" s="10"/>
      <c r="AZ7279" s="10"/>
    </row>
    <row r="7280" spans="31:52">
      <c r="AE7280" s="10"/>
      <c r="AF7280" s="10"/>
      <c r="AG7280" s="10"/>
      <c r="AH7280" s="10"/>
      <c r="AI7280" s="10"/>
      <c r="AJ7280" s="10"/>
      <c r="AK7280" s="10"/>
      <c r="AL7280" s="10"/>
      <c r="AM7280" s="10"/>
      <c r="AN7280" s="10"/>
      <c r="AO7280" s="10"/>
      <c r="AP7280" s="10"/>
      <c r="AQ7280" s="10"/>
      <c r="AR7280" s="10"/>
      <c r="AS7280" s="10"/>
      <c r="AT7280" s="10"/>
      <c r="AU7280" s="10"/>
      <c r="AV7280" s="10"/>
      <c r="AW7280" s="10"/>
      <c r="AX7280" s="10"/>
      <c r="AY7280" s="10"/>
      <c r="AZ7280" s="10"/>
    </row>
    <row r="7281" spans="31:52">
      <c r="AE7281" s="10"/>
      <c r="AF7281" s="10"/>
      <c r="AG7281" s="10"/>
      <c r="AH7281" s="10"/>
      <c r="AI7281" s="10"/>
      <c r="AJ7281" s="10"/>
      <c r="AK7281" s="10"/>
      <c r="AL7281" s="10"/>
      <c r="AM7281" s="10"/>
      <c r="AN7281" s="10"/>
      <c r="AO7281" s="10"/>
      <c r="AP7281" s="10"/>
      <c r="AQ7281" s="10"/>
      <c r="AR7281" s="10"/>
      <c r="AS7281" s="10"/>
      <c r="AT7281" s="10"/>
      <c r="AU7281" s="10"/>
      <c r="AV7281" s="10"/>
      <c r="AW7281" s="10"/>
      <c r="AX7281" s="10"/>
      <c r="AY7281" s="10"/>
      <c r="AZ7281" s="10"/>
    </row>
    <row r="7282" spans="31:52">
      <c r="AE7282" s="10"/>
      <c r="AF7282" s="10"/>
      <c r="AG7282" s="10"/>
      <c r="AH7282" s="10"/>
      <c r="AI7282" s="10"/>
      <c r="AJ7282" s="10"/>
      <c r="AK7282" s="10"/>
      <c r="AL7282" s="10"/>
      <c r="AM7282" s="10"/>
      <c r="AN7282" s="10"/>
      <c r="AO7282" s="10"/>
      <c r="AP7282" s="10"/>
      <c r="AQ7282" s="10"/>
      <c r="AR7282" s="10"/>
      <c r="AS7282" s="10"/>
      <c r="AT7282" s="10"/>
      <c r="AU7282" s="10"/>
      <c r="AV7282" s="10"/>
      <c r="AW7282" s="10"/>
      <c r="AX7282" s="10"/>
      <c r="AY7282" s="10"/>
      <c r="AZ7282" s="10"/>
    </row>
    <row r="7283" spans="31:52">
      <c r="AE7283" s="10"/>
      <c r="AF7283" s="10"/>
      <c r="AG7283" s="10"/>
      <c r="AH7283" s="10"/>
      <c r="AI7283" s="10"/>
      <c r="AJ7283" s="10"/>
      <c r="AK7283" s="10"/>
      <c r="AL7283" s="10"/>
      <c r="AM7283" s="10"/>
      <c r="AN7283" s="10"/>
      <c r="AO7283" s="10"/>
      <c r="AP7283" s="10"/>
      <c r="AQ7283" s="10"/>
      <c r="AR7283" s="10"/>
      <c r="AS7283" s="10"/>
      <c r="AT7283" s="10"/>
      <c r="AU7283" s="10"/>
      <c r="AV7283" s="10"/>
      <c r="AW7283" s="10"/>
      <c r="AX7283" s="10"/>
      <c r="AY7283" s="10"/>
      <c r="AZ7283" s="10"/>
    </row>
    <row r="7284" spans="31:52">
      <c r="AE7284" s="10"/>
      <c r="AF7284" s="10"/>
      <c r="AG7284" s="10"/>
      <c r="AH7284" s="10"/>
      <c r="AI7284" s="10"/>
      <c r="AJ7284" s="10"/>
      <c r="AK7284" s="10"/>
      <c r="AL7284" s="10"/>
      <c r="AM7284" s="10"/>
      <c r="AN7284" s="10"/>
      <c r="AO7284" s="10"/>
      <c r="AP7284" s="10"/>
      <c r="AQ7284" s="10"/>
      <c r="AR7284" s="10"/>
      <c r="AS7284" s="10"/>
      <c r="AT7284" s="10"/>
      <c r="AU7284" s="10"/>
      <c r="AV7284" s="10"/>
      <c r="AW7284" s="10"/>
      <c r="AX7284" s="10"/>
      <c r="AY7284" s="10"/>
      <c r="AZ7284" s="10"/>
    </row>
    <row r="7285" spans="31:52">
      <c r="AE7285" s="10"/>
      <c r="AF7285" s="10"/>
      <c r="AG7285" s="10"/>
      <c r="AH7285" s="10"/>
      <c r="AI7285" s="10"/>
      <c r="AJ7285" s="10"/>
      <c r="AK7285" s="10"/>
      <c r="AL7285" s="10"/>
      <c r="AM7285" s="10"/>
      <c r="AN7285" s="10"/>
      <c r="AO7285" s="10"/>
      <c r="AP7285" s="10"/>
      <c r="AQ7285" s="10"/>
      <c r="AR7285" s="10"/>
      <c r="AS7285" s="10"/>
      <c r="AT7285" s="10"/>
      <c r="AU7285" s="10"/>
      <c r="AV7285" s="10"/>
      <c r="AW7285" s="10"/>
      <c r="AX7285" s="10"/>
      <c r="AY7285" s="10"/>
      <c r="AZ7285" s="10"/>
    </row>
    <row r="7286" spans="31:52">
      <c r="AE7286" s="10"/>
      <c r="AF7286" s="10"/>
      <c r="AG7286" s="10"/>
      <c r="AH7286" s="10"/>
      <c r="AI7286" s="10"/>
      <c r="AJ7286" s="10"/>
      <c r="AK7286" s="10"/>
      <c r="AL7286" s="10"/>
      <c r="AM7286" s="10"/>
      <c r="AN7286" s="10"/>
      <c r="AO7286" s="10"/>
      <c r="AP7286" s="10"/>
      <c r="AQ7286" s="10"/>
      <c r="AR7286" s="10"/>
      <c r="AS7286" s="10"/>
      <c r="AT7286" s="10"/>
      <c r="AU7286" s="10"/>
      <c r="AV7286" s="10"/>
      <c r="AW7286" s="10"/>
      <c r="AX7286" s="10"/>
      <c r="AY7286" s="10"/>
      <c r="AZ7286" s="10"/>
    </row>
    <row r="7287" spans="31:52">
      <c r="AE7287" s="10"/>
      <c r="AF7287" s="10"/>
      <c r="AG7287" s="10"/>
      <c r="AH7287" s="10"/>
      <c r="AI7287" s="10"/>
      <c r="AJ7287" s="10"/>
      <c r="AK7287" s="10"/>
      <c r="AL7287" s="10"/>
      <c r="AM7287" s="10"/>
      <c r="AN7287" s="10"/>
      <c r="AO7287" s="10"/>
      <c r="AP7287" s="10"/>
      <c r="AQ7287" s="10"/>
      <c r="AR7287" s="10"/>
      <c r="AS7287" s="10"/>
      <c r="AT7287" s="10"/>
      <c r="AU7287" s="10"/>
      <c r="AV7287" s="10"/>
      <c r="AW7287" s="10"/>
      <c r="AX7287" s="10"/>
      <c r="AY7287" s="10"/>
      <c r="AZ7287" s="10"/>
    </row>
    <row r="7288" spans="31:52">
      <c r="AE7288" s="10"/>
      <c r="AF7288" s="10"/>
      <c r="AG7288" s="10"/>
      <c r="AH7288" s="10"/>
      <c r="AI7288" s="10"/>
      <c r="AJ7288" s="10"/>
      <c r="AK7288" s="10"/>
      <c r="AL7288" s="10"/>
      <c r="AM7288" s="10"/>
      <c r="AN7288" s="10"/>
      <c r="AO7288" s="10"/>
      <c r="AP7288" s="10"/>
      <c r="AQ7288" s="10"/>
      <c r="AR7288" s="10"/>
      <c r="AS7288" s="10"/>
      <c r="AT7288" s="10"/>
      <c r="AU7288" s="10"/>
      <c r="AV7288" s="10"/>
      <c r="AW7288" s="10"/>
      <c r="AX7288" s="10"/>
      <c r="AY7288" s="10"/>
      <c r="AZ7288" s="10"/>
    </row>
    <row r="7289" spans="31:52">
      <c r="AE7289" s="10"/>
      <c r="AF7289" s="10"/>
      <c r="AG7289" s="10"/>
      <c r="AH7289" s="10"/>
      <c r="AI7289" s="10"/>
      <c r="AJ7289" s="10"/>
      <c r="AK7289" s="10"/>
      <c r="AL7289" s="10"/>
      <c r="AM7289" s="10"/>
      <c r="AN7289" s="10"/>
      <c r="AO7289" s="10"/>
      <c r="AP7289" s="10"/>
      <c r="AQ7289" s="10"/>
      <c r="AR7289" s="10"/>
      <c r="AS7289" s="10"/>
      <c r="AT7289" s="10"/>
      <c r="AU7289" s="10"/>
      <c r="AV7289" s="10"/>
      <c r="AW7289" s="10"/>
      <c r="AX7289" s="10"/>
      <c r="AY7289" s="10"/>
      <c r="AZ7289" s="10"/>
    </row>
    <row r="7290" spans="31:52">
      <c r="AE7290" s="10"/>
      <c r="AF7290" s="10"/>
      <c r="AG7290" s="10"/>
      <c r="AH7290" s="10"/>
      <c r="AI7290" s="10"/>
      <c r="AJ7290" s="10"/>
      <c r="AK7290" s="10"/>
      <c r="AL7290" s="10"/>
      <c r="AM7290" s="10"/>
      <c r="AN7290" s="10"/>
      <c r="AO7290" s="10"/>
      <c r="AP7290" s="10"/>
      <c r="AQ7290" s="10"/>
      <c r="AR7290" s="10"/>
      <c r="AS7290" s="10"/>
      <c r="AT7290" s="10"/>
      <c r="AU7290" s="10"/>
      <c r="AV7290" s="10"/>
      <c r="AW7290" s="10"/>
      <c r="AX7290" s="10"/>
      <c r="AY7290" s="10"/>
      <c r="AZ7290" s="10"/>
    </row>
    <row r="7291" spans="31:52">
      <c r="AE7291" s="10"/>
      <c r="AF7291" s="10"/>
      <c r="AG7291" s="10"/>
      <c r="AH7291" s="10"/>
      <c r="AI7291" s="10"/>
      <c r="AJ7291" s="10"/>
      <c r="AK7291" s="10"/>
      <c r="AL7291" s="10"/>
      <c r="AM7291" s="10"/>
      <c r="AN7291" s="10"/>
      <c r="AO7291" s="10"/>
      <c r="AP7291" s="10"/>
      <c r="AQ7291" s="10"/>
      <c r="AR7291" s="10"/>
      <c r="AS7291" s="10"/>
      <c r="AT7291" s="10"/>
      <c r="AU7291" s="10"/>
      <c r="AV7291" s="10"/>
      <c r="AW7291" s="10"/>
      <c r="AX7291" s="10"/>
      <c r="AY7291" s="10"/>
      <c r="AZ7291" s="10"/>
    </row>
    <row r="7292" spans="31:52">
      <c r="AE7292" s="10"/>
      <c r="AF7292" s="10"/>
      <c r="AG7292" s="10"/>
      <c r="AH7292" s="10"/>
      <c r="AI7292" s="10"/>
      <c r="AJ7292" s="10"/>
      <c r="AK7292" s="10"/>
      <c r="AL7292" s="10"/>
      <c r="AM7292" s="10"/>
      <c r="AN7292" s="10"/>
      <c r="AO7292" s="10"/>
      <c r="AP7292" s="10"/>
      <c r="AQ7292" s="10"/>
      <c r="AR7292" s="10"/>
      <c r="AS7292" s="10"/>
      <c r="AT7292" s="10"/>
      <c r="AU7292" s="10"/>
      <c r="AV7292" s="10"/>
      <c r="AW7292" s="10"/>
      <c r="AX7292" s="10"/>
      <c r="AY7292" s="10"/>
      <c r="AZ7292" s="10"/>
    </row>
    <row r="7293" spans="31:52">
      <c r="AE7293" s="10"/>
      <c r="AF7293" s="10"/>
      <c r="AG7293" s="10"/>
      <c r="AH7293" s="10"/>
      <c r="AI7293" s="10"/>
      <c r="AJ7293" s="10"/>
      <c r="AK7293" s="10"/>
      <c r="AL7293" s="10"/>
      <c r="AM7293" s="10"/>
      <c r="AN7293" s="10"/>
      <c r="AO7293" s="10"/>
      <c r="AP7293" s="10"/>
      <c r="AQ7293" s="10"/>
      <c r="AR7293" s="10"/>
      <c r="AS7293" s="10"/>
      <c r="AT7293" s="10"/>
      <c r="AU7293" s="10"/>
      <c r="AV7293" s="10"/>
      <c r="AW7293" s="10"/>
      <c r="AX7293" s="10"/>
      <c r="AY7293" s="10"/>
      <c r="AZ7293" s="10"/>
    </row>
    <row r="7294" spans="31:52">
      <c r="AE7294" s="10"/>
      <c r="AF7294" s="10"/>
      <c r="AG7294" s="10"/>
      <c r="AH7294" s="10"/>
      <c r="AI7294" s="10"/>
      <c r="AJ7294" s="10"/>
      <c r="AK7294" s="10"/>
      <c r="AL7294" s="10"/>
      <c r="AM7294" s="10"/>
      <c r="AN7294" s="10"/>
      <c r="AO7294" s="10"/>
      <c r="AP7294" s="10"/>
      <c r="AQ7294" s="10"/>
      <c r="AR7294" s="10"/>
      <c r="AS7294" s="10"/>
      <c r="AT7294" s="10"/>
      <c r="AU7294" s="10"/>
      <c r="AV7294" s="10"/>
      <c r="AW7294" s="10"/>
      <c r="AX7294" s="10"/>
      <c r="AY7294" s="10"/>
      <c r="AZ7294" s="10"/>
    </row>
    <row r="7295" spans="31:52">
      <c r="AE7295" s="10"/>
      <c r="AF7295" s="10"/>
      <c r="AG7295" s="10"/>
      <c r="AH7295" s="10"/>
      <c r="AI7295" s="10"/>
      <c r="AJ7295" s="10"/>
      <c r="AK7295" s="10"/>
      <c r="AL7295" s="10"/>
      <c r="AM7295" s="10"/>
      <c r="AN7295" s="10"/>
      <c r="AO7295" s="10"/>
      <c r="AP7295" s="10"/>
      <c r="AQ7295" s="10"/>
      <c r="AR7295" s="10"/>
      <c r="AS7295" s="10"/>
      <c r="AT7295" s="10"/>
      <c r="AU7295" s="10"/>
      <c r="AV7295" s="10"/>
      <c r="AW7295" s="10"/>
      <c r="AX7295" s="10"/>
      <c r="AY7295" s="10"/>
      <c r="AZ7295" s="10"/>
    </row>
    <row r="7296" spans="31:52">
      <c r="AE7296" s="10"/>
      <c r="AF7296" s="10"/>
      <c r="AG7296" s="10"/>
      <c r="AH7296" s="10"/>
      <c r="AI7296" s="10"/>
      <c r="AJ7296" s="10"/>
      <c r="AK7296" s="10"/>
      <c r="AL7296" s="10"/>
      <c r="AM7296" s="10"/>
      <c r="AN7296" s="10"/>
      <c r="AO7296" s="10"/>
      <c r="AP7296" s="10"/>
      <c r="AQ7296" s="10"/>
      <c r="AR7296" s="10"/>
      <c r="AS7296" s="10"/>
      <c r="AT7296" s="10"/>
      <c r="AU7296" s="10"/>
      <c r="AV7296" s="10"/>
      <c r="AW7296" s="10"/>
      <c r="AX7296" s="10"/>
      <c r="AY7296" s="10"/>
      <c r="AZ7296" s="10"/>
    </row>
    <row r="7297" spans="31:52">
      <c r="AE7297" s="10"/>
      <c r="AF7297" s="10"/>
      <c r="AG7297" s="10"/>
      <c r="AH7297" s="10"/>
      <c r="AI7297" s="10"/>
      <c r="AJ7297" s="10"/>
      <c r="AK7297" s="10"/>
      <c r="AL7297" s="10"/>
      <c r="AM7297" s="10"/>
      <c r="AN7297" s="10"/>
      <c r="AO7297" s="10"/>
      <c r="AP7297" s="10"/>
      <c r="AQ7297" s="10"/>
      <c r="AR7297" s="10"/>
      <c r="AS7297" s="10"/>
      <c r="AT7297" s="10"/>
      <c r="AU7297" s="10"/>
      <c r="AV7297" s="10"/>
      <c r="AW7297" s="10"/>
      <c r="AX7297" s="10"/>
      <c r="AY7297" s="10"/>
      <c r="AZ7297" s="10"/>
    </row>
    <row r="7298" spans="31:52">
      <c r="AE7298" s="10"/>
      <c r="AF7298" s="10"/>
      <c r="AG7298" s="10"/>
      <c r="AH7298" s="10"/>
      <c r="AI7298" s="10"/>
      <c r="AJ7298" s="10"/>
      <c r="AK7298" s="10"/>
      <c r="AL7298" s="10"/>
      <c r="AM7298" s="10"/>
      <c r="AN7298" s="10"/>
      <c r="AO7298" s="10"/>
      <c r="AP7298" s="10"/>
      <c r="AQ7298" s="10"/>
      <c r="AR7298" s="10"/>
      <c r="AS7298" s="10"/>
      <c r="AT7298" s="10"/>
      <c r="AU7298" s="10"/>
      <c r="AV7298" s="10"/>
      <c r="AW7298" s="10"/>
      <c r="AX7298" s="10"/>
      <c r="AY7298" s="10"/>
      <c r="AZ7298" s="10"/>
    </row>
    <row r="7299" spans="31:52">
      <c r="AE7299" s="10"/>
      <c r="AF7299" s="10"/>
      <c r="AG7299" s="10"/>
      <c r="AH7299" s="10"/>
      <c r="AI7299" s="10"/>
      <c r="AJ7299" s="10"/>
      <c r="AK7299" s="10"/>
      <c r="AL7299" s="10"/>
      <c r="AM7299" s="10"/>
      <c r="AN7299" s="10"/>
      <c r="AO7299" s="10"/>
      <c r="AP7299" s="10"/>
      <c r="AQ7299" s="10"/>
      <c r="AR7299" s="10"/>
      <c r="AS7299" s="10"/>
      <c r="AT7299" s="10"/>
      <c r="AU7299" s="10"/>
      <c r="AV7299" s="10"/>
      <c r="AW7299" s="10"/>
      <c r="AX7299" s="10"/>
      <c r="AY7299" s="10"/>
      <c r="AZ7299" s="10"/>
    </row>
    <row r="7300" spans="31:52">
      <c r="AE7300" s="10"/>
      <c r="AF7300" s="10"/>
      <c r="AG7300" s="10"/>
      <c r="AH7300" s="10"/>
      <c r="AI7300" s="10"/>
      <c r="AJ7300" s="10"/>
      <c r="AK7300" s="10"/>
      <c r="AL7300" s="10"/>
      <c r="AM7300" s="10"/>
      <c r="AN7300" s="10"/>
      <c r="AO7300" s="10"/>
      <c r="AP7300" s="10"/>
      <c r="AQ7300" s="10"/>
      <c r="AR7300" s="10"/>
      <c r="AS7300" s="10"/>
      <c r="AT7300" s="10"/>
      <c r="AU7300" s="10"/>
      <c r="AV7300" s="10"/>
      <c r="AW7300" s="10"/>
      <c r="AX7300" s="10"/>
      <c r="AY7300" s="10"/>
      <c r="AZ7300" s="10"/>
    </row>
    <row r="7301" spans="31:52">
      <c r="AE7301" s="10"/>
      <c r="AF7301" s="10"/>
      <c r="AG7301" s="10"/>
      <c r="AH7301" s="10"/>
      <c r="AI7301" s="10"/>
      <c r="AJ7301" s="10"/>
      <c r="AK7301" s="10"/>
      <c r="AL7301" s="10"/>
      <c r="AM7301" s="10"/>
      <c r="AN7301" s="10"/>
      <c r="AO7301" s="10"/>
      <c r="AP7301" s="10"/>
      <c r="AQ7301" s="10"/>
      <c r="AR7301" s="10"/>
      <c r="AS7301" s="10"/>
      <c r="AT7301" s="10"/>
      <c r="AU7301" s="10"/>
      <c r="AV7301" s="10"/>
      <c r="AW7301" s="10"/>
      <c r="AX7301" s="10"/>
      <c r="AY7301" s="10"/>
      <c r="AZ7301" s="10"/>
    </row>
    <row r="7302" spans="31:52">
      <c r="AE7302" s="10"/>
      <c r="AF7302" s="10"/>
      <c r="AG7302" s="10"/>
      <c r="AH7302" s="10"/>
      <c r="AI7302" s="10"/>
      <c r="AJ7302" s="10"/>
      <c r="AK7302" s="10"/>
      <c r="AL7302" s="10"/>
      <c r="AM7302" s="10"/>
      <c r="AN7302" s="10"/>
      <c r="AO7302" s="10"/>
      <c r="AP7302" s="10"/>
      <c r="AQ7302" s="10"/>
      <c r="AR7302" s="10"/>
      <c r="AS7302" s="10"/>
      <c r="AT7302" s="10"/>
      <c r="AU7302" s="10"/>
      <c r="AV7302" s="10"/>
      <c r="AW7302" s="10"/>
      <c r="AX7302" s="10"/>
      <c r="AY7302" s="10"/>
      <c r="AZ7302" s="10"/>
    </row>
    <row r="7303" spans="31:52">
      <c r="AE7303" s="10"/>
      <c r="AF7303" s="10"/>
      <c r="AG7303" s="10"/>
      <c r="AH7303" s="10"/>
      <c r="AI7303" s="10"/>
      <c r="AJ7303" s="10"/>
      <c r="AK7303" s="10"/>
      <c r="AL7303" s="10"/>
      <c r="AM7303" s="10"/>
      <c r="AN7303" s="10"/>
      <c r="AO7303" s="10"/>
      <c r="AP7303" s="10"/>
      <c r="AQ7303" s="10"/>
      <c r="AR7303" s="10"/>
      <c r="AS7303" s="10"/>
      <c r="AT7303" s="10"/>
      <c r="AU7303" s="10"/>
      <c r="AV7303" s="10"/>
      <c r="AW7303" s="10"/>
      <c r="AX7303" s="10"/>
      <c r="AY7303" s="10"/>
      <c r="AZ7303" s="10"/>
    </row>
    <row r="7304" spans="31:52">
      <c r="AE7304" s="10"/>
      <c r="AF7304" s="10"/>
      <c r="AG7304" s="10"/>
      <c r="AH7304" s="10"/>
      <c r="AI7304" s="10"/>
      <c r="AJ7304" s="10"/>
      <c r="AK7304" s="10"/>
      <c r="AL7304" s="10"/>
      <c r="AM7304" s="10"/>
      <c r="AN7304" s="10"/>
      <c r="AO7304" s="10"/>
      <c r="AP7304" s="10"/>
      <c r="AQ7304" s="10"/>
      <c r="AR7304" s="10"/>
      <c r="AS7304" s="10"/>
      <c r="AT7304" s="10"/>
      <c r="AU7304" s="10"/>
      <c r="AV7304" s="10"/>
      <c r="AW7304" s="10"/>
      <c r="AX7304" s="10"/>
      <c r="AY7304" s="10"/>
      <c r="AZ7304" s="10"/>
    </row>
    <row r="7305" spans="31:52">
      <c r="AE7305" s="10"/>
      <c r="AF7305" s="10"/>
      <c r="AG7305" s="10"/>
      <c r="AH7305" s="10"/>
      <c r="AI7305" s="10"/>
      <c r="AJ7305" s="10"/>
      <c r="AK7305" s="10"/>
      <c r="AL7305" s="10"/>
      <c r="AM7305" s="10"/>
      <c r="AN7305" s="10"/>
      <c r="AO7305" s="10"/>
      <c r="AP7305" s="10"/>
      <c r="AQ7305" s="10"/>
      <c r="AR7305" s="10"/>
      <c r="AS7305" s="10"/>
      <c r="AT7305" s="10"/>
      <c r="AU7305" s="10"/>
      <c r="AV7305" s="10"/>
      <c r="AW7305" s="10"/>
      <c r="AX7305" s="10"/>
      <c r="AY7305" s="10"/>
      <c r="AZ7305" s="10"/>
    </row>
    <row r="7306" spans="31:52">
      <c r="AE7306" s="10"/>
      <c r="AF7306" s="10"/>
      <c r="AG7306" s="10"/>
      <c r="AH7306" s="10"/>
      <c r="AI7306" s="10"/>
      <c r="AJ7306" s="10"/>
      <c r="AK7306" s="10"/>
      <c r="AL7306" s="10"/>
      <c r="AM7306" s="10"/>
      <c r="AN7306" s="10"/>
      <c r="AO7306" s="10"/>
      <c r="AP7306" s="10"/>
      <c r="AQ7306" s="10"/>
      <c r="AR7306" s="10"/>
      <c r="AS7306" s="10"/>
      <c r="AT7306" s="10"/>
      <c r="AU7306" s="10"/>
      <c r="AV7306" s="10"/>
      <c r="AW7306" s="10"/>
      <c r="AX7306" s="10"/>
      <c r="AY7306" s="10"/>
      <c r="AZ7306" s="10"/>
    </row>
    <row r="7307" spans="31:52">
      <c r="AE7307" s="10"/>
      <c r="AF7307" s="10"/>
      <c r="AG7307" s="10"/>
      <c r="AH7307" s="10"/>
      <c r="AI7307" s="10"/>
      <c r="AJ7307" s="10"/>
      <c r="AK7307" s="10"/>
      <c r="AL7307" s="10"/>
      <c r="AM7307" s="10"/>
      <c r="AN7307" s="10"/>
      <c r="AO7307" s="10"/>
      <c r="AP7307" s="10"/>
      <c r="AQ7307" s="10"/>
      <c r="AR7307" s="10"/>
      <c r="AS7307" s="10"/>
      <c r="AT7307" s="10"/>
      <c r="AU7307" s="10"/>
      <c r="AV7307" s="10"/>
      <c r="AW7307" s="10"/>
      <c r="AX7307" s="10"/>
      <c r="AY7307" s="10"/>
      <c r="AZ7307" s="10"/>
    </row>
    <row r="7308" spans="31:52">
      <c r="AE7308" s="10"/>
      <c r="AF7308" s="10"/>
      <c r="AG7308" s="10"/>
      <c r="AH7308" s="10"/>
      <c r="AI7308" s="10"/>
      <c r="AJ7308" s="10"/>
      <c r="AK7308" s="10"/>
      <c r="AL7308" s="10"/>
      <c r="AM7308" s="10"/>
      <c r="AN7308" s="10"/>
      <c r="AO7308" s="10"/>
      <c r="AP7308" s="10"/>
      <c r="AQ7308" s="10"/>
      <c r="AR7308" s="10"/>
      <c r="AS7308" s="10"/>
      <c r="AT7308" s="10"/>
      <c r="AU7308" s="10"/>
      <c r="AV7308" s="10"/>
      <c r="AW7308" s="10"/>
      <c r="AX7308" s="10"/>
      <c r="AY7308" s="10"/>
      <c r="AZ7308" s="10"/>
    </row>
    <row r="7309" spans="31:52">
      <c r="AE7309" s="10"/>
      <c r="AF7309" s="10"/>
      <c r="AG7309" s="10"/>
      <c r="AH7309" s="10"/>
      <c r="AI7309" s="10"/>
      <c r="AJ7309" s="10"/>
      <c r="AK7309" s="10"/>
      <c r="AL7309" s="10"/>
      <c r="AM7309" s="10"/>
      <c r="AN7309" s="10"/>
      <c r="AO7309" s="10"/>
      <c r="AP7309" s="10"/>
      <c r="AQ7309" s="10"/>
      <c r="AR7309" s="10"/>
      <c r="AS7309" s="10"/>
      <c r="AT7309" s="10"/>
      <c r="AU7309" s="10"/>
      <c r="AV7309" s="10"/>
      <c r="AW7309" s="10"/>
      <c r="AX7309" s="10"/>
      <c r="AY7309" s="10"/>
      <c r="AZ7309" s="10"/>
    </row>
    <row r="7310" spans="31:52">
      <c r="AE7310" s="10"/>
      <c r="AF7310" s="10"/>
      <c r="AG7310" s="10"/>
      <c r="AH7310" s="10"/>
      <c r="AI7310" s="10"/>
      <c r="AJ7310" s="10"/>
      <c r="AK7310" s="10"/>
      <c r="AL7310" s="10"/>
      <c r="AM7310" s="10"/>
      <c r="AN7310" s="10"/>
      <c r="AO7310" s="10"/>
      <c r="AP7310" s="10"/>
      <c r="AQ7310" s="10"/>
      <c r="AR7310" s="10"/>
      <c r="AS7310" s="10"/>
      <c r="AT7310" s="10"/>
      <c r="AU7310" s="10"/>
      <c r="AV7310" s="10"/>
      <c r="AW7310" s="10"/>
      <c r="AX7310" s="10"/>
      <c r="AY7310" s="10"/>
      <c r="AZ7310" s="10"/>
    </row>
    <row r="7311" spans="31:52">
      <c r="AE7311" s="10"/>
      <c r="AF7311" s="10"/>
      <c r="AG7311" s="10"/>
      <c r="AH7311" s="10"/>
      <c r="AI7311" s="10"/>
      <c r="AJ7311" s="10"/>
      <c r="AK7311" s="10"/>
      <c r="AL7311" s="10"/>
      <c r="AM7311" s="10"/>
      <c r="AN7311" s="10"/>
      <c r="AO7311" s="10"/>
      <c r="AP7311" s="10"/>
      <c r="AQ7311" s="10"/>
      <c r="AR7311" s="10"/>
      <c r="AS7311" s="10"/>
      <c r="AT7311" s="10"/>
      <c r="AU7311" s="10"/>
      <c r="AV7311" s="10"/>
      <c r="AW7311" s="10"/>
      <c r="AX7311" s="10"/>
      <c r="AY7311" s="10"/>
      <c r="AZ7311" s="10"/>
    </row>
    <row r="7312" spans="31:52">
      <c r="AE7312" s="10"/>
      <c r="AF7312" s="10"/>
      <c r="AG7312" s="10"/>
      <c r="AH7312" s="10"/>
      <c r="AI7312" s="10"/>
      <c r="AJ7312" s="10"/>
      <c r="AK7312" s="10"/>
      <c r="AL7312" s="10"/>
      <c r="AM7312" s="10"/>
      <c r="AN7312" s="10"/>
      <c r="AO7312" s="10"/>
      <c r="AP7312" s="10"/>
      <c r="AQ7312" s="10"/>
      <c r="AR7312" s="10"/>
      <c r="AS7312" s="10"/>
      <c r="AT7312" s="10"/>
      <c r="AU7312" s="10"/>
      <c r="AV7312" s="10"/>
      <c r="AW7312" s="10"/>
      <c r="AX7312" s="10"/>
      <c r="AY7312" s="10"/>
      <c r="AZ7312" s="10"/>
    </row>
    <row r="7313" spans="31:52">
      <c r="AE7313" s="10"/>
      <c r="AF7313" s="10"/>
      <c r="AG7313" s="10"/>
      <c r="AH7313" s="10"/>
      <c r="AI7313" s="10"/>
      <c r="AJ7313" s="10"/>
      <c r="AK7313" s="10"/>
      <c r="AL7313" s="10"/>
      <c r="AM7313" s="10"/>
      <c r="AN7313" s="10"/>
      <c r="AO7313" s="10"/>
      <c r="AP7313" s="10"/>
      <c r="AQ7313" s="10"/>
      <c r="AR7313" s="10"/>
      <c r="AS7313" s="10"/>
      <c r="AT7313" s="10"/>
      <c r="AU7313" s="10"/>
      <c r="AV7313" s="10"/>
      <c r="AW7313" s="10"/>
      <c r="AX7313" s="10"/>
      <c r="AY7313" s="10"/>
      <c r="AZ7313" s="10"/>
    </row>
    <row r="7314" spans="31:52">
      <c r="AE7314" s="10"/>
      <c r="AF7314" s="10"/>
      <c r="AG7314" s="10"/>
      <c r="AH7314" s="10"/>
      <c r="AI7314" s="10"/>
      <c r="AJ7314" s="10"/>
      <c r="AK7314" s="10"/>
      <c r="AL7314" s="10"/>
      <c r="AM7314" s="10"/>
      <c r="AN7314" s="10"/>
      <c r="AO7314" s="10"/>
      <c r="AP7314" s="10"/>
      <c r="AQ7314" s="10"/>
      <c r="AR7314" s="10"/>
      <c r="AS7314" s="10"/>
      <c r="AT7314" s="10"/>
      <c r="AU7314" s="10"/>
      <c r="AV7314" s="10"/>
      <c r="AW7314" s="10"/>
      <c r="AX7314" s="10"/>
      <c r="AY7314" s="10"/>
      <c r="AZ7314" s="10"/>
    </row>
    <row r="7315" spans="31:52">
      <c r="AE7315" s="10"/>
      <c r="AF7315" s="10"/>
      <c r="AG7315" s="10"/>
      <c r="AH7315" s="10"/>
      <c r="AI7315" s="10"/>
      <c r="AJ7315" s="10"/>
      <c r="AK7315" s="10"/>
      <c r="AL7315" s="10"/>
      <c r="AM7315" s="10"/>
      <c r="AN7315" s="10"/>
      <c r="AO7315" s="10"/>
      <c r="AP7315" s="10"/>
      <c r="AQ7315" s="10"/>
      <c r="AR7315" s="10"/>
      <c r="AS7315" s="10"/>
      <c r="AT7315" s="10"/>
      <c r="AU7315" s="10"/>
      <c r="AV7315" s="10"/>
      <c r="AW7315" s="10"/>
      <c r="AX7315" s="10"/>
      <c r="AY7315" s="10"/>
      <c r="AZ7315" s="10"/>
    </row>
    <row r="7316" spans="31:52">
      <c r="AE7316" s="10"/>
      <c r="AF7316" s="10"/>
      <c r="AG7316" s="10"/>
      <c r="AH7316" s="10"/>
      <c r="AI7316" s="10"/>
      <c r="AJ7316" s="10"/>
      <c r="AK7316" s="10"/>
      <c r="AL7316" s="10"/>
      <c r="AM7316" s="10"/>
      <c r="AN7316" s="10"/>
      <c r="AO7316" s="10"/>
      <c r="AP7316" s="10"/>
      <c r="AQ7316" s="10"/>
      <c r="AR7316" s="10"/>
      <c r="AS7316" s="10"/>
      <c r="AT7316" s="10"/>
      <c r="AU7316" s="10"/>
      <c r="AV7316" s="10"/>
      <c r="AW7316" s="10"/>
      <c r="AX7316" s="10"/>
      <c r="AY7316" s="10"/>
      <c r="AZ7316" s="10"/>
    </row>
    <row r="7317" spans="31:52">
      <c r="AE7317" s="10"/>
      <c r="AF7317" s="10"/>
      <c r="AG7317" s="10"/>
      <c r="AH7317" s="10"/>
      <c r="AI7317" s="10"/>
      <c r="AJ7317" s="10"/>
      <c r="AK7317" s="10"/>
      <c r="AL7317" s="10"/>
      <c r="AM7317" s="10"/>
      <c r="AN7317" s="10"/>
      <c r="AO7317" s="10"/>
      <c r="AP7317" s="10"/>
      <c r="AQ7317" s="10"/>
      <c r="AR7317" s="10"/>
      <c r="AS7317" s="10"/>
      <c r="AT7317" s="10"/>
      <c r="AU7317" s="10"/>
      <c r="AV7317" s="10"/>
      <c r="AW7317" s="10"/>
      <c r="AX7317" s="10"/>
      <c r="AY7317" s="10"/>
      <c r="AZ7317" s="10"/>
    </row>
    <row r="7318" spans="31:52">
      <c r="AE7318" s="10"/>
      <c r="AF7318" s="10"/>
      <c r="AG7318" s="10"/>
      <c r="AH7318" s="10"/>
      <c r="AI7318" s="10"/>
      <c r="AJ7318" s="10"/>
      <c r="AK7318" s="10"/>
      <c r="AL7318" s="10"/>
      <c r="AM7318" s="10"/>
      <c r="AN7318" s="10"/>
      <c r="AO7318" s="10"/>
      <c r="AP7318" s="10"/>
      <c r="AQ7318" s="10"/>
      <c r="AR7318" s="10"/>
      <c r="AS7318" s="10"/>
      <c r="AT7318" s="10"/>
      <c r="AU7318" s="10"/>
      <c r="AV7318" s="10"/>
      <c r="AW7318" s="10"/>
      <c r="AX7318" s="10"/>
      <c r="AY7318" s="10"/>
      <c r="AZ7318" s="10"/>
    </row>
    <row r="7319" spans="31:52">
      <c r="AE7319" s="10"/>
      <c r="AF7319" s="10"/>
      <c r="AG7319" s="10"/>
      <c r="AH7319" s="10"/>
      <c r="AI7319" s="10"/>
      <c r="AJ7319" s="10"/>
      <c r="AK7319" s="10"/>
      <c r="AL7319" s="10"/>
      <c r="AM7319" s="10"/>
      <c r="AN7319" s="10"/>
      <c r="AO7319" s="10"/>
      <c r="AP7319" s="10"/>
      <c r="AQ7319" s="10"/>
      <c r="AR7319" s="10"/>
      <c r="AS7319" s="10"/>
      <c r="AT7319" s="10"/>
      <c r="AU7319" s="10"/>
      <c r="AV7319" s="10"/>
      <c r="AW7319" s="10"/>
      <c r="AX7319" s="10"/>
      <c r="AY7319" s="10"/>
      <c r="AZ7319" s="10"/>
    </row>
    <row r="7320" spans="31:52">
      <c r="AE7320" s="10"/>
      <c r="AF7320" s="10"/>
      <c r="AG7320" s="10"/>
      <c r="AH7320" s="10"/>
      <c r="AI7320" s="10"/>
      <c r="AJ7320" s="10"/>
      <c r="AK7320" s="10"/>
      <c r="AL7320" s="10"/>
      <c r="AM7320" s="10"/>
      <c r="AN7320" s="10"/>
      <c r="AO7320" s="10"/>
      <c r="AP7320" s="10"/>
      <c r="AQ7320" s="10"/>
      <c r="AR7320" s="10"/>
      <c r="AS7320" s="10"/>
      <c r="AT7320" s="10"/>
      <c r="AU7320" s="10"/>
      <c r="AV7320" s="10"/>
      <c r="AW7320" s="10"/>
      <c r="AX7320" s="10"/>
      <c r="AY7320" s="10"/>
      <c r="AZ7320" s="10"/>
    </row>
    <row r="7321" spans="31:52">
      <c r="AE7321" s="10"/>
      <c r="AF7321" s="10"/>
      <c r="AG7321" s="10"/>
      <c r="AH7321" s="10"/>
      <c r="AI7321" s="10"/>
      <c r="AJ7321" s="10"/>
      <c r="AK7321" s="10"/>
      <c r="AL7321" s="10"/>
      <c r="AM7321" s="10"/>
      <c r="AN7321" s="10"/>
      <c r="AO7321" s="10"/>
      <c r="AP7321" s="10"/>
      <c r="AQ7321" s="10"/>
      <c r="AR7321" s="10"/>
      <c r="AS7321" s="10"/>
      <c r="AT7321" s="10"/>
      <c r="AU7321" s="10"/>
      <c r="AV7321" s="10"/>
      <c r="AW7321" s="10"/>
      <c r="AX7321" s="10"/>
      <c r="AY7321" s="10"/>
      <c r="AZ7321" s="10"/>
    </row>
    <row r="7322" spans="31:52">
      <c r="AE7322" s="10"/>
      <c r="AF7322" s="10"/>
      <c r="AG7322" s="10"/>
      <c r="AH7322" s="10"/>
      <c r="AI7322" s="10"/>
      <c r="AJ7322" s="10"/>
      <c r="AK7322" s="10"/>
      <c r="AL7322" s="10"/>
      <c r="AM7322" s="10"/>
      <c r="AN7322" s="10"/>
      <c r="AO7322" s="10"/>
      <c r="AP7322" s="10"/>
      <c r="AQ7322" s="10"/>
      <c r="AR7322" s="10"/>
      <c r="AS7322" s="10"/>
      <c r="AT7322" s="10"/>
      <c r="AU7322" s="10"/>
      <c r="AV7322" s="10"/>
      <c r="AW7322" s="10"/>
      <c r="AX7322" s="10"/>
      <c r="AY7322" s="10"/>
      <c r="AZ7322" s="10"/>
    </row>
    <row r="7323" spans="31:52">
      <c r="AE7323" s="10"/>
      <c r="AF7323" s="10"/>
      <c r="AG7323" s="10"/>
      <c r="AH7323" s="10"/>
      <c r="AI7323" s="10"/>
      <c r="AJ7323" s="10"/>
      <c r="AK7323" s="10"/>
      <c r="AL7323" s="10"/>
      <c r="AM7323" s="10"/>
      <c r="AN7323" s="10"/>
      <c r="AO7323" s="10"/>
      <c r="AP7323" s="10"/>
      <c r="AQ7323" s="10"/>
      <c r="AR7323" s="10"/>
      <c r="AS7323" s="10"/>
      <c r="AT7323" s="10"/>
      <c r="AU7323" s="10"/>
      <c r="AV7323" s="10"/>
      <c r="AW7323" s="10"/>
      <c r="AX7323" s="10"/>
      <c r="AY7323" s="10"/>
      <c r="AZ7323" s="10"/>
    </row>
    <row r="7324" spans="31:52">
      <c r="AE7324" s="10"/>
      <c r="AF7324" s="10"/>
      <c r="AG7324" s="10"/>
      <c r="AH7324" s="10"/>
      <c r="AI7324" s="10"/>
      <c r="AJ7324" s="10"/>
      <c r="AK7324" s="10"/>
      <c r="AL7324" s="10"/>
      <c r="AM7324" s="10"/>
      <c r="AN7324" s="10"/>
      <c r="AO7324" s="10"/>
      <c r="AP7324" s="10"/>
      <c r="AQ7324" s="10"/>
      <c r="AR7324" s="10"/>
      <c r="AS7324" s="10"/>
      <c r="AT7324" s="10"/>
      <c r="AU7324" s="10"/>
      <c r="AV7324" s="10"/>
      <c r="AW7324" s="10"/>
      <c r="AX7324" s="10"/>
      <c r="AY7324" s="10"/>
      <c r="AZ7324" s="10"/>
    </row>
    <row r="7325" spans="31:52">
      <c r="AE7325" s="10"/>
      <c r="AF7325" s="10"/>
      <c r="AG7325" s="10"/>
      <c r="AH7325" s="10"/>
      <c r="AI7325" s="10"/>
      <c r="AJ7325" s="10"/>
      <c r="AK7325" s="10"/>
      <c r="AL7325" s="10"/>
      <c r="AM7325" s="10"/>
      <c r="AN7325" s="10"/>
      <c r="AO7325" s="10"/>
      <c r="AP7325" s="10"/>
      <c r="AQ7325" s="10"/>
      <c r="AR7325" s="10"/>
      <c r="AS7325" s="10"/>
      <c r="AT7325" s="10"/>
      <c r="AU7325" s="10"/>
      <c r="AV7325" s="10"/>
      <c r="AW7325" s="10"/>
      <c r="AX7325" s="10"/>
      <c r="AY7325" s="10"/>
      <c r="AZ7325" s="10"/>
    </row>
    <row r="7326" spans="31:52">
      <c r="AE7326" s="10"/>
      <c r="AF7326" s="10"/>
      <c r="AG7326" s="10"/>
      <c r="AH7326" s="10"/>
      <c r="AI7326" s="10"/>
      <c r="AJ7326" s="10"/>
      <c r="AK7326" s="10"/>
      <c r="AL7326" s="10"/>
      <c r="AM7326" s="10"/>
      <c r="AN7326" s="10"/>
      <c r="AO7326" s="10"/>
      <c r="AP7326" s="10"/>
      <c r="AQ7326" s="10"/>
      <c r="AR7326" s="10"/>
      <c r="AS7326" s="10"/>
      <c r="AT7326" s="10"/>
      <c r="AU7326" s="10"/>
      <c r="AV7326" s="10"/>
      <c r="AW7326" s="10"/>
      <c r="AX7326" s="10"/>
      <c r="AY7326" s="10"/>
      <c r="AZ7326" s="10"/>
    </row>
    <row r="7327" spans="31:52">
      <c r="AE7327" s="10"/>
      <c r="AF7327" s="10"/>
      <c r="AG7327" s="10"/>
      <c r="AH7327" s="10"/>
      <c r="AI7327" s="10"/>
      <c r="AJ7327" s="10"/>
      <c r="AK7327" s="10"/>
      <c r="AL7327" s="10"/>
      <c r="AM7327" s="10"/>
      <c r="AN7327" s="10"/>
      <c r="AO7327" s="10"/>
      <c r="AP7327" s="10"/>
      <c r="AQ7327" s="10"/>
      <c r="AR7327" s="10"/>
      <c r="AS7327" s="10"/>
      <c r="AT7327" s="10"/>
      <c r="AU7327" s="10"/>
      <c r="AV7327" s="10"/>
      <c r="AW7327" s="10"/>
      <c r="AX7327" s="10"/>
      <c r="AY7327" s="10"/>
      <c r="AZ7327" s="10"/>
    </row>
    <row r="7328" spans="31:52">
      <c r="AE7328" s="10"/>
      <c r="AF7328" s="10"/>
      <c r="AG7328" s="10"/>
      <c r="AH7328" s="10"/>
      <c r="AI7328" s="10"/>
      <c r="AJ7328" s="10"/>
      <c r="AK7328" s="10"/>
      <c r="AL7328" s="10"/>
      <c r="AM7328" s="10"/>
      <c r="AN7328" s="10"/>
      <c r="AO7328" s="10"/>
      <c r="AP7328" s="10"/>
      <c r="AQ7328" s="10"/>
      <c r="AR7328" s="10"/>
      <c r="AS7328" s="10"/>
      <c r="AT7328" s="10"/>
      <c r="AU7328" s="10"/>
      <c r="AV7328" s="10"/>
      <c r="AW7328" s="10"/>
      <c r="AX7328" s="10"/>
      <c r="AY7328" s="10"/>
      <c r="AZ7328" s="10"/>
    </row>
    <row r="7329" spans="31:52">
      <c r="AE7329" s="10"/>
      <c r="AF7329" s="10"/>
      <c r="AG7329" s="10"/>
      <c r="AH7329" s="10"/>
      <c r="AI7329" s="10"/>
      <c r="AJ7329" s="10"/>
      <c r="AK7329" s="10"/>
      <c r="AL7329" s="10"/>
      <c r="AM7329" s="10"/>
      <c r="AN7329" s="10"/>
      <c r="AO7329" s="10"/>
      <c r="AP7329" s="10"/>
      <c r="AQ7329" s="10"/>
      <c r="AR7329" s="10"/>
      <c r="AS7329" s="10"/>
      <c r="AT7329" s="10"/>
      <c r="AU7329" s="10"/>
      <c r="AV7329" s="10"/>
      <c r="AW7329" s="10"/>
      <c r="AX7329" s="10"/>
      <c r="AY7329" s="10"/>
      <c r="AZ7329" s="10"/>
    </row>
    <row r="7330" spans="31:52">
      <c r="AE7330" s="10"/>
      <c r="AF7330" s="10"/>
      <c r="AG7330" s="10"/>
      <c r="AH7330" s="10"/>
      <c r="AI7330" s="10"/>
      <c r="AJ7330" s="10"/>
      <c r="AK7330" s="10"/>
      <c r="AL7330" s="10"/>
      <c r="AM7330" s="10"/>
      <c r="AN7330" s="10"/>
      <c r="AO7330" s="10"/>
      <c r="AP7330" s="10"/>
      <c r="AQ7330" s="10"/>
      <c r="AR7330" s="10"/>
      <c r="AS7330" s="10"/>
      <c r="AT7330" s="10"/>
      <c r="AU7330" s="10"/>
      <c r="AV7330" s="10"/>
      <c r="AW7330" s="10"/>
      <c r="AX7330" s="10"/>
      <c r="AY7330" s="10"/>
      <c r="AZ7330" s="10"/>
    </row>
    <row r="7331" spans="31:52">
      <c r="AE7331" s="10"/>
      <c r="AF7331" s="10"/>
      <c r="AG7331" s="10"/>
      <c r="AH7331" s="10"/>
      <c r="AI7331" s="10"/>
      <c r="AJ7331" s="10"/>
      <c r="AK7331" s="10"/>
      <c r="AL7331" s="10"/>
      <c r="AM7331" s="10"/>
      <c r="AN7331" s="10"/>
      <c r="AO7331" s="10"/>
      <c r="AP7331" s="10"/>
      <c r="AQ7331" s="10"/>
      <c r="AR7331" s="10"/>
      <c r="AS7331" s="10"/>
      <c r="AT7331" s="10"/>
      <c r="AU7331" s="10"/>
      <c r="AV7331" s="10"/>
      <c r="AW7331" s="10"/>
      <c r="AX7331" s="10"/>
      <c r="AY7331" s="10"/>
      <c r="AZ7331" s="10"/>
    </row>
    <row r="7332" spans="31:52">
      <c r="AE7332" s="10"/>
      <c r="AF7332" s="10"/>
      <c r="AG7332" s="10"/>
      <c r="AH7332" s="10"/>
      <c r="AI7332" s="10"/>
      <c r="AJ7332" s="10"/>
      <c r="AK7332" s="10"/>
      <c r="AL7332" s="10"/>
      <c r="AM7332" s="10"/>
      <c r="AN7332" s="10"/>
      <c r="AO7332" s="10"/>
      <c r="AP7332" s="10"/>
      <c r="AQ7332" s="10"/>
      <c r="AR7332" s="10"/>
      <c r="AS7332" s="10"/>
      <c r="AT7332" s="10"/>
      <c r="AU7332" s="10"/>
      <c r="AV7332" s="10"/>
      <c r="AW7332" s="10"/>
      <c r="AX7332" s="10"/>
      <c r="AY7332" s="10"/>
      <c r="AZ7332" s="10"/>
    </row>
    <row r="7333" spans="31:52">
      <c r="AE7333" s="10"/>
      <c r="AF7333" s="10"/>
      <c r="AG7333" s="10"/>
      <c r="AH7333" s="10"/>
      <c r="AI7333" s="10"/>
      <c r="AJ7333" s="10"/>
      <c r="AK7333" s="10"/>
      <c r="AL7333" s="10"/>
      <c r="AM7333" s="10"/>
      <c r="AN7333" s="10"/>
      <c r="AO7333" s="10"/>
      <c r="AP7333" s="10"/>
      <c r="AQ7333" s="10"/>
      <c r="AR7333" s="10"/>
      <c r="AS7333" s="10"/>
      <c r="AT7333" s="10"/>
      <c r="AU7333" s="10"/>
      <c r="AV7333" s="10"/>
      <c r="AW7333" s="10"/>
      <c r="AX7333" s="10"/>
      <c r="AY7333" s="10"/>
      <c r="AZ7333" s="10"/>
    </row>
    <row r="7334" spans="31:52">
      <c r="AE7334" s="10"/>
      <c r="AF7334" s="10"/>
      <c r="AG7334" s="10"/>
      <c r="AH7334" s="10"/>
      <c r="AI7334" s="10"/>
      <c r="AJ7334" s="10"/>
      <c r="AK7334" s="10"/>
      <c r="AL7334" s="10"/>
      <c r="AM7334" s="10"/>
      <c r="AN7334" s="10"/>
      <c r="AO7334" s="10"/>
      <c r="AP7334" s="10"/>
      <c r="AQ7334" s="10"/>
      <c r="AR7334" s="10"/>
      <c r="AS7334" s="10"/>
      <c r="AT7334" s="10"/>
      <c r="AU7334" s="10"/>
      <c r="AV7334" s="10"/>
      <c r="AW7334" s="10"/>
      <c r="AX7334" s="10"/>
      <c r="AY7334" s="10"/>
      <c r="AZ7334" s="10"/>
    </row>
    <row r="7335" spans="31:52">
      <c r="AE7335" s="10"/>
      <c r="AF7335" s="10"/>
      <c r="AG7335" s="10"/>
      <c r="AH7335" s="10"/>
      <c r="AI7335" s="10"/>
      <c r="AJ7335" s="10"/>
      <c r="AK7335" s="10"/>
      <c r="AL7335" s="10"/>
      <c r="AM7335" s="10"/>
      <c r="AN7335" s="10"/>
      <c r="AO7335" s="10"/>
      <c r="AP7335" s="10"/>
      <c r="AQ7335" s="10"/>
      <c r="AR7335" s="10"/>
      <c r="AS7335" s="10"/>
      <c r="AT7335" s="10"/>
      <c r="AU7335" s="10"/>
      <c r="AV7335" s="10"/>
      <c r="AW7335" s="10"/>
      <c r="AX7335" s="10"/>
      <c r="AY7335" s="10"/>
      <c r="AZ7335" s="10"/>
    </row>
    <row r="7336" spans="31:52">
      <c r="AE7336" s="10"/>
      <c r="AF7336" s="10"/>
      <c r="AG7336" s="10"/>
      <c r="AH7336" s="10"/>
      <c r="AI7336" s="10"/>
      <c r="AJ7336" s="10"/>
      <c r="AK7336" s="10"/>
      <c r="AL7336" s="10"/>
      <c r="AM7336" s="10"/>
      <c r="AN7336" s="10"/>
      <c r="AO7336" s="10"/>
      <c r="AP7336" s="10"/>
      <c r="AQ7336" s="10"/>
      <c r="AR7336" s="10"/>
      <c r="AS7336" s="10"/>
      <c r="AT7336" s="10"/>
      <c r="AU7336" s="10"/>
      <c r="AV7336" s="10"/>
      <c r="AW7336" s="10"/>
      <c r="AX7336" s="10"/>
      <c r="AY7336" s="10"/>
      <c r="AZ7336" s="10"/>
    </row>
    <row r="7337" spans="31:52">
      <c r="AE7337" s="10"/>
      <c r="AF7337" s="10"/>
      <c r="AG7337" s="10"/>
      <c r="AH7337" s="10"/>
      <c r="AI7337" s="10"/>
      <c r="AJ7337" s="10"/>
      <c r="AK7337" s="10"/>
      <c r="AL7337" s="10"/>
      <c r="AM7337" s="10"/>
      <c r="AN7337" s="10"/>
      <c r="AO7337" s="10"/>
      <c r="AP7337" s="10"/>
      <c r="AQ7337" s="10"/>
      <c r="AR7337" s="10"/>
      <c r="AS7337" s="10"/>
      <c r="AT7337" s="10"/>
      <c r="AU7337" s="10"/>
      <c r="AV7337" s="10"/>
      <c r="AW7337" s="10"/>
      <c r="AX7337" s="10"/>
      <c r="AY7337" s="10"/>
      <c r="AZ7337" s="10"/>
    </row>
    <row r="7338" spans="31:52">
      <c r="AE7338" s="10"/>
      <c r="AF7338" s="10"/>
      <c r="AG7338" s="10"/>
      <c r="AH7338" s="10"/>
      <c r="AI7338" s="10"/>
      <c r="AJ7338" s="10"/>
      <c r="AK7338" s="10"/>
      <c r="AL7338" s="10"/>
      <c r="AM7338" s="10"/>
      <c r="AN7338" s="10"/>
      <c r="AO7338" s="10"/>
      <c r="AP7338" s="10"/>
      <c r="AQ7338" s="10"/>
      <c r="AR7338" s="10"/>
      <c r="AS7338" s="10"/>
      <c r="AT7338" s="10"/>
      <c r="AU7338" s="10"/>
      <c r="AV7338" s="10"/>
      <c r="AW7338" s="10"/>
      <c r="AX7338" s="10"/>
      <c r="AY7338" s="10"/>
      <c r="AZ7338" s="10"/>
    </row>
    <row r="7339" spans="31:52">
      <c r="AE7339" s="10"/>
      <c r="AF7339" s="10"/>
      <c r="AG7339" s="10"/>
      <c r="AH7339" s="10"/>
      <c r="AI7339" s="10"/>
      <c r="AJ7339" s="10"/>
      <c r="AK7339" s="10"/>
      <c r="AL7339" s="10"/>
      <c r="AM7339" s="10"/>
      <c r="AN7339" s="10"/>
      <c r="AO7339" s="10"/>
      <c r="AP7339" s="10"/>
      <c r="AQ7339" s="10"/>
      <c r="AR7339" s="10"/>
      <c r="AS7339" s="10"/>
      <c r="AT7339" s="10"/>
      <c r="AU7339" s="10"/>
      <c r="AV7339" s="10"/>
      <c r="AW7339" s="10"/>
      <c r="AX7339" s="10"/>
      <c r="AY7339" s="10"/>
      <c r="AZ7339" s="10"/>
    </row>
    <row r="7340" spans="31:52">
      <c r="AE7340" s="10"/>
      <c r="AF7340" s="10"/>
      <c r="AG7340" s="10"/>
      <c r="AH7340" s="10"/>
      <c r="AI7340" s="10"/>
      <c r="AJ7340" s="10"/>
      <c r="AK7340" s="10"/>
      <c r="AL7340" s="10"/>
      <c r="AM7340" s="10"/>
      <c r="AN7340" s="10"/>
      <c r="AO7340" s="10"/>
      <c r="AP7340" s="10"/>
      <c r="AQ7340" s="10"/>
      <c r="AR7340" s="10"/>
      <c r="AS7340" s="10"/>
      <c r="AT7340" s="10"/>
      <c r="AU7340" s="10"/>
      <c r="AV7340" s="10"/>
      <c r="AW7340" s="10"/>
      <c r="AX7340" s="10"/>
      <c r="AY7340" s="10"/>
      <c r="AZ7340" s="10"/>
    </row>
    <row r="7341" spans="31:52">
      <c r="AE7341" s="10"/>
      <c r="AF7341" s="10"/>
      <c r="AG7341" s="10"/>
      <c r="AH7341" s="10"/>
      <c r="AI7341" s="10"/>
      <c r="AJ7341" s="10"/>
      <c r="AK7341" s="10"/>
      <c r="AL7341" s="10"/>
      <c r="AM7341" s="10"/>
      <c r="AN7341" s="10"/>
      <c r="AO7341" s="10"/>
      <c r="AP7341" s="10"/>
      <c r="AQ7341" s="10"/>
      <c r="AR7341" s="10"/>
      <c r="AS7341" s="10"/>
      <c r="AT7341" s="10"/>
      <c r="AU7341" s="10"/>
      <c r="AV7341" s="10"/>
      <c r="AW7341" s="10"/>
      <c r="AX7341" s="10"/>
      <c r="AY7341" s="10"/>
      <c r="AZ7341" s="10"/>
    </row>
    <row r="7342" spans="31:52">
      <c r="AE7342" s="10"/>
      <c r="AF7342" s="10"/>
      <c r="AG7342" s="10"/>
      <c r="AH7342" s="10"/>
      <c r="AI7342" s="10"/>
      <c r="AJ7342" s="10"/>
      <c r="AK7342" s="10"/>
      <c r="AL7342" s="10"/>
      <c r="AM7342" s="10"/>
      <c r="AN7342" s="10"/>
      <c r="AO7342" s="10"/>
      <c r="AP7342" s="10"/>
      <c r="AQ7342" s="10"/>
      <c r="AR7342" s="10"/>
      <c r="AS7342" s="10"/>
      <c r="AT7342" s="10"/>
      <c r="AU7342" s="10"/>
      <c r="AV7342" s="10"/>
      <c r="AW7342" s="10"/>
      <c r="AX7342" s="10"/>
      <c r="AY7342" s="10"/>
      <c r="AZ7342" s="10"/>
    </row>
    <row r="7343" spans="31:52">
      <c r="AE7343" s="10"/>
      <c r="AF7343" s="10"/>
      <c r="AG7343" s="10"/>
      <c r="AH7343" s="10"/>
      <c r="AI7343" s="10"/>
      <c r="AJ7343" s="10"/>
      <c r="AK7343" s="10"/>
      <c r="AL7343" s="10"/>
      <c r="AM7343" s="10"/>
      <c r="AN7343" s="10"/>
      <c r="AO7343" s="10"/>
      <c r="AP7343" s="10"/>
      <c r="AQ7343" s="10"/>
      <c r="AR7343" s="10"/>
      <c r="AS7343" s="10"/>
      <c r="AT7343" s="10"/>
      <c r="AU7343" s="10"/>
      <c r="AV7343" s="10"/>
      <c r="AW7343" s="10"/>
      <c r="AX7343" s="10"/>
      <c r="AY7343" s="10"/>
      <c r="AZ7343" s="10"/>
    </row>
    <row r="7344" spans="31:52">
      <c r="AE7344" s="10"/>
      <c r="AF7344" s="10"/>
      <c r="AG7344" s="10"/>
      <c r="AH7344" s="10"/>
      <c r="AI7344" s="10"/>
      <c r="AJ7344" s="10"/>
      <c r="AK7344" s="10"/>
      <c r="AL7344" s="10"/>
      <c r="AM7344" s="10"/>
      <c r="AN7344" s="10"/>
      <c r="AO7344" s="10"/>
      <c r="AP7344" s="10"/>
      <c r="AQ7344" s="10"/>
      <c r="AR7344" s="10"/>
      <c r="AS7344" s="10"/>
      <c r="AT7344" s="10"/>
      <c r="AU7344" s="10"/>
      <c r="AV7344" s="10"/>
      <c r="AW7344" s="10"/>
      <c r="AX7344" s="10"/>
      <c r="AY7344" s="10"/>
      <c r="AZ7344" s="10"/>
    </row>
    <row r="7345" spans="31:52">
      <c r="AE7345" s="10"/>
      <c r="AF7345" s="10"/>
      <c r="AG7345" s="10"/>
      <c r="AH7345" s="10"/>
      <c r="AI7345" s="10"/>
      <c r="AJ7345" s="10"/>
      <c r="AK7345" s="10"/>
      <c r="AL7345" s="10"/>
      <c r="AM7345" s="10"/>
      <c r="AN7345" s="10"/>
      <c r="AO7345" s="10"/>
      <c r="AP7345" s="10"/>
      <c r="AQ7345" s="10"/>
      <c r="AR7345" s="10"/>
      <c r="AS7345" s="10"/>
      <c r="AT7345" s="10"/>
      <c r="AU7345" s="10"/>
      <c r="AV7345" s="10"/>
      <c r="AW7345" s="10"/>
      <c r="AX7345" s="10"/>
      <c r="AY7345" s="10"/>
      <c r="AZ7345" s="10"/>
    </row>
    <row r="7346" spans="31:52">
      <c r="AE7346" s="10"/>
      <c r="AF7346" s="10"/>
      <c r="AG7346" s="10"/>
      <c r="AH7346" s="10"/>
      <c r="AI7346" s="10"/>
      <c r="AJ7346" s="10"/>
      <c r="AK7346" s="10"/>
      <c r="AL7346" s="10"/>
      <c r="AM7346" s="10"/>
      <c r="AN7346" s="10"/>
      <c r="AO7346" s="10"/>
      <c r="AP7346" s="10"/>
      <c r="AQ7346" s="10"/>
      <c r="AR7346" s="10"/>
      <c r="AS7346" s="10"/>
      <c r="AT7346" s="10"/>
      <c r="AU7346" s="10"/>
      <c r="AV7346" s="10"/>
      <c r="AW7346" s="10"/>
      <c r="AX7346" s="10"/>
      <c r="AY7346" s="10"/>
      <c r="AZ7346" s="10"/>
    </row>
    <row r="7347" spans="31:52">
      <c r="AE7347" s="10"/>
      <c r="AF7347" s="10"/>
      <c r="AG7347" s="10"/>
      <c r="AH7347" s="10"/>
      <c r="AI7347" s="10"/>
      <c r="AJ7347" s="10"/>
      <c r="AK7347" s="10"/>
      <c r="AL7347" s="10"/>
      <c r="AM7347" s="10"/>
      <c r="AN7347" s="10"/>
      <c r="AO7347" s="10"/>
      <c r="AP7347" s="10"/>
      <c r="AQ7347" s="10"/>
      <c r="AR7347" s="10"/>
      <c r="AS7347" s="10"/>
      <c r="AT7347" s="10"/>
      <c r="AU7347" s="10"/>
      <c r="AV7347" s="10"/>
      <c r="AW7347" s="10"/>
      <c r="AX7347" s="10"/>
      <c r="AY7347" s="10"/>
      <c r="AZ7347" s="10"/>
    </row>
    <row r="7348" spans="31:52">
      <c r="AE7348" s="10"/>
      <c r="AF7348" s="10"/>
      <c r="AG7348" s="10"/>
      <c r="AH7348" s="10"/>
      <c r="AI7348" s="10"/>
      <c r="AJ7348" s="10"/>
      <c r="AK7348" s="10"/>
      <c r="AL7348" s="10"/>
      <c r="AM7348" s="10"/>
      <c r="AN7348" s="10"/>
      <c r="AO7348" s="10"/>
      <c r="AP7348" s="10"/>
      <c r="AQ7348" s="10"/>
      <c r="AR7348" s="10"/>
      <c r="AS7348" s="10"/>
      <c r="AT7348" s="10"/>
      <c r="AU7348" s="10"/>
      <c r="AV7348" s="10"/>
      <c r="AW7348" s="10"/>
      <c r="AX7348" s="10"/>
      <c r="AY7348" s="10"/>
      <c r="AZ7348" s="10"/>
    </row>
    <row r="7349" spans="31:52">
      <c r="AE7349" s="10"/>
      <c r="AF7349" s="10"/>
      <c r="AG7349" s="10"/>
      <c r="AH7349" s="10"/>
      <c r="AI7349" s="10"/>
      <c r="AJ7349" s="10"/>
      <c r="AK7349" s="10"/>
      <c r="AL7349" s="10"/>
      <c r="AM7349" s="10"/>
      <c r="AN7349" s="10"/>
      <c r="AO7349" s="10"/>
      <c r="AP7349" s="10"/>
      <c r="AQ7349" s="10"/>
      <c r="AR7349" s="10"/>
      <c r="AS7349" s="10"/>
      <c r="AT7349" s="10"/>
      <c r="AU7349" s="10"/>
      <c r="AV7349" s="10"/>
      <c r="AW7349" s="10"/>
      <c r="AX7349" s="10"/>
      <c r="AY7349" s="10"/>
      <c r="AZ7349" s="10"/>
    </row>
    <row r="7350" spans="31:52">
      <c r="AE7350" s="10"/>
      <c r="AF7350" s="10"/>
      <c r="AG7350" s="10"/>
      <c r="AH7350" s="10"/>
      <c r="AI7350" s="10"/>
      <c r="AJ7350" s="10"/>
      <c r="AK7350" s="10"/>
      <c r="AL7350" s="10"/>
      <c r="AM7350" s="10"/>
      <c r="AN7350" s="10"/>
      <c r="AO7350" s="10"/>
      <c r="AP7350" s="10"/>
      <c r="AQ7350" s="10"/>
      <c r="AR7350" s="10"/>
      <c r="AS7350" s="10"/>
      <c r="AT7350" s="10"/>
      <c r="AU7350" s="10"/>
      <c r="AV7350" s="10"/>
      <c r="AW7350" s="10"/>
      <c r="AX7350" s="10"/>
      <c r="AY7350" s="10"/>
      <c r="AZ7350" s="10"/>
    </row>
    <row r="7351" spans="31:52">
      <c r="AE7351" s="10"/>
      <c r="AF7351" s="10"/>
      <c r="AG7351" s="10"/>
      <c r="AH7351" s="10"/>
      <c r="AI7351" s="10"/>
      <c r="AJ7351" s="10"/>
      <c r="AK7351" s="10"/>
      <c r="AL7351" s="10"/>
      <c r="AM7351" s="10"/>
      <c r="AN7351" s="10"/>
      <c r="AO7351" s="10"/>
      <c r="AP7351" s="10"/>
      <c r="AQ7351" s="10"/>
      <c r="AR7351" s="10"/>
      <c r="AS7351" s="10"/>
      <c r="AT7351" s="10"/>
      <c r="AU7351" s="10"/>
      <c r="AV7351" s="10"/>
      <c r="AW7351" s="10"/>
      <c r="AX7351" s="10"/>
      <c r="AY7351" s="10"/>
      <c r="AZ7351" s="10"/>
    </row>
    <row r="7352" spans="31:52">
      <c r="AE7352" s="10"/>
      <c r="AF7352" s="10"/>
      <c r="AG7352" s="10"/>
      <c r="AH7352" s="10"/>
      <c r="AI7352" s="10"/>
      <c r="AJ7352" s="10"/>
      <c r="AK7352" s="10"/>
      <c r="AL7352" s="10"/>
      <c r="AM7352" s="10"/>
      <c r="AN7352" s="10"/>
      <c r="AO7352" s="10"/>
      <c r="AP7352" s="10"/>
      <c r="AQ7352" s="10"/>
      <c r="AR7352" s="10"/>
      <c r="AS7352" s="10"/>
      <c r="AT7352" s="10"/>
      <c r="AU7352" s="10"/>
      <c r="AV7352" s="10"/>
      <c r="AW7352" s="10"/>
      <c r="AX7352" s="10"/>
      <c r="AY7352" s="10"/>
      <c r="AZ7352" s="10"/>
    </row>
    <row r="7353" spans="31:52">
      <c r="AE7353" s="10"/>
      <c r="AF7353" s="10"/>
      <c r="AG7353" s="10"/>
      <c r="AH7353" s="10"/>
      <c r="AI7353" s="10"/>
      <c r="AJ7353" s="10"/>
      <c r="AK7353" s="10"/>
      <c r="AL7353" s="10"/>
      <c r="AM7353" s="10"/>
      <c r="AN7353" s="10"/>
      <c r="AO7353" s="10"/>
      <c r="AP7353" s="10"/>
      <c r="AQ7353" s="10"/>
      <c r="AR7353" s="10"/>
      <c r="AS7353" s="10"/>
      <c r="AT7353" s="10"/>
      <c r="AU7353" s="10"/>
      <c r="AV7353" s="10"/>
      <c r="AW7353" s="10"/>
      <c r="AX7353" s="10"/>
      <c r="AY7353" s="10"/>
      <c r="AZ7353" s="10"/>
    </row>
    <row r="7354" spans="31:52">
      <c r="AE7354" s="10"/>
      <c r="AF7354" s="10"/>
      <c r="AG7354" s="10"/>
      <c r="AH7354" s="10"/>
      <c r="AI7354" s="10"/>
      <c r="AJ7354" s="10"/>
      <c r="AK7354" s="10"/>
      <c r="AL7354" s="10"/>
      <c r="AM7354" s="10"/>
      <c r="AN7354" s="10"/>
      <c r="AO7354" s="10"/>
      <c r="AP7354" s="10"/>
      <c r="AQ7354" s="10"/>
      <c r="AR7354" s="10"/>
      <c r="AS7354" s="10"/>
      <c r="AT7354" s="10"/>
      <c r="AU7354" s="10"/>
      <c r="AV7354" s="10"/>
      <c r="AW7354" s="10"/>
      <c r="AX7354" s="10"/>
      <c r="AY7354" s="10"/>
      <c r="AZ7354" s="10"/>
    </row>
    <row r="7355" spans="31:52">
      <c r="AE7355" s="10"/>
      <c r="AF7355" s="10"/>
      <c r="AG7355" s="10"/>
      <c r="AH7355" s="10"/>
      <c r="AI7355" s="10"/>
      <c r="AJ7355" s="10"/>
      <c r="AK7355" s="10"/>
      <c r="AL7355" s="10"/>
      <c r="AM7355" s="10"/>
      <c r="AN7355" s="10"/>
      <c r="AO7355" s="10"/>
      <c r="AP7355" s="10"/>
      <c r="AQ7355" s="10"/>
      <c r="AR7355" s="10"/>
      <c r="AS7355" s="10"/>
      <c r="AT7355" s="10"/>
      <c r="AU7355" s="10"/>
      <c r="AV7355" s="10"/>
      <c r="AW7355" s="10"/>
      <c r="AX7355" s="10"/>
      <c r="AY7355" s="10"/>
      <c r="AZ7355" s="10"/>
    </row>
    <row r="7356" spans="31:52">
      <c r="AE7356" s="10"/>
      <c r="AF7356" s="10"/>
      <c r="AG7356" s="10"/>
      <c r="AH7356" s="10"/>
      <c r="AI7356" s="10"/>
      <c r="AJ7356" s="10"/>
      <c r="AK7356" s="10"/>
      <c r="AL7356" s="10"/>
      <c r="AM7356" s="10"/>
      <c r="AN7356" s="10"/>
      <c r="AO7356" s="10"/>
      <c r="AP7356" s="10"/>
      <c r="AQ7356" s="10"/>
      <c r="AR7356" s="10"/>
      <c r="AS7356" s="10"/>
      <c r="AT7356" s="10"/>
      <c r="AU7356" s="10"/>
      <c r="AV7356" s="10"/>
      <c r="AW7356" s="10"/>
      <c r="AX7356" s="10"/>
      <c r="AY7356" s="10"/>
      <c r="AZ7356" s="10"/>
    </row>
    <row r="7357" spans="31:52">
      <c r="AE7357" s="10"/>
      <c r="AF7357" s="10"/>
      <c r="AG7357" s="10"/>
      <c r="AH7357" s="10"/>
      <c r="AI7357" s="10"/>
      <c r="AJ7357" s="10"/>
      <c r="AK7357" s="10"/>
      <c r="AL7357" s="10"/>
      <c r="AM7357" s="10"/>
      <c r="AN7357" s="10"/>
      <c r="AO7357" s="10"/>
      <c r="AP7357" s="10"/>
      <c r="AQ7357" s="10"/>
      <c r="AR7357" s="10"/>
      <c r="AS7357" s="10"/>
      <c r="AT7357" s="10"/>
      <c r="AU7357" s="10"/>
      <c r="AV7357" s="10"/>
      <c r="AW7357" s="10"/>
      <c r="AX7357" s="10"/>
      <c r="AY7357" s="10"/>
      <c r="AZ7357" s="10"/>
    </row>
    <row r="7358" spans="31:52">
      <c r="AE7358" s="10"/>
      <c r="AF7358" s="10"/>
      <c r="AG7358" s="10"/>
      <c r="AH7358" s="10"/>
      <c r="AI7358" s="10"/>
      <c r="AJ7358" s="10"/>
      <c r="AK7358" s="10"/>
      <c r="AL7358" s="10"/>
      <c r="AM7358" s="10"/>
      <c r="AN7358" s="10"/>
      <c r="AO7358" s="10"/>
      <c r="AP7358" s="10"/>
      <c r="AQ7358" s="10"/>
      <c r="AR7358" s="10"/>
      <c r="AS7358" s="10"/>
      <c r="AT7358" s="10"/>
      <c r="AU7358" s="10"/>
      <c r="AV7358" s="10"/>
      <c r="AW7358" s="10"/>
      <c r="AX7358" s="10"/>
      <c r="AY7358" s="10"/>
      <c r="AZ7358" s="10"/>
    </row>
    <row r="7359" spans="31:52">
      <c r="AE7359" s="10"/>
      <c r="AF7359" s="10"/>
      <c r="AG7359" s="10"/>
      <c r="AH7359" s="10"/>
      <c r="AI7359" s="10"/>
      <c r="AJ7359" s="10"/>
      <c r="AK7359" s="10"/>
      <c r="AL7359" s="10"/>
      <c r="AM7359" s="10"/>
      <c r="AN7359" s="10"/>
      <c r="AO7359" s="10"/>
      <c r="AP7359" s="10"/>
      <c r="AQ7359" s="10"/>
      <c r="AR7359" s="10"/>
      <c r="AS7359" s="10"/>
      <c r="AT7359" s="10"/>
      <c r="AU7359" s="10"/>
      <c r="AV7359" s="10"/>
      <c r="AW7359" s="10"/>
      <c r="AX7359" s="10"/>
      <c r="AY7359" s="10"/>
      <c r="AZ7359" s="10"/>
    </row>
    <row r="7360" spans="31:52">
      <c r="AE7360" s="10"/>
      <c r="AF7360" s="10"/>
      <c r="AG7360" s="10"/>
      <c r="AH7360" s="10"/>
      <c r="AI7360" s="10"/>
      <c r="AJ7360" s="10"/>
      <c r="AK7360" s="10"/>
      <c r="AL7360" s="10"/>
      <c r="AM7360" s="10"/>
      <c r="AN7360" s="10"/>
      <c r="AO7360" s="10"/>
      <c r="AP7360" s="10"/>
      <c r="AQ7360" s="10"/>
      <c r="AR7360" s="10"/>
      <c r="AS7360" s="10"/>
      <c r="AT7360" s="10"/>
      <c r="AU7360" s="10"/>
      <c r="AV7360" s="10"/>
      <c r="AW7360" s="10"/>
      <c r="AX7360" s="10"/>
      <c r="AY7360" s="10"/>
      <c r="AZ7360" s="10"/>
    </row>
    <row r="7361" spans="31:52">
      <c r="AE7361" s="10"/>
      <c r="AF7361" s="10"/>
      <c r="AG7361" s="10"/>
      <c r="AH7361" s="10"/>
      <c r="AI7361" s="10"/>
      <c r="AJ7361" s="10"/>
      <c r="AK7361" s="10"/>
      <c r="AL7361" s="10"/>
      <c r="AM7361" s="10"/>
      <c r="AN7361" s="10"/>
      <c r="AO7361" s="10"/>
      <c r="AP7361" s="10"/>
      <c r="AQ7361" s="10"/>
      <c r="AR7361" s="10"/>
      <c r="AS7361" s="10"/>
      <c r="AT7361" s="10"/>
      <c r="AU7361" s="10"/>
      <c r="AV7361" s="10"/>
      <c r="AW7361" s="10"/>
      <c r="AX7361" s="10"/>
      <c r="AY7361" s="10"/>
      <c r="AZ7361" s="10"/>
    </row>
    <row r="7362" spans="31:52">
      <c r="AE7362" s="10"/>
      <c r="AF7362" s="10"/>
      <c r="AG7362" s="10"/>
      <c r="AH7362" s="10"/>
      <c r="AI7362" s="10"/>
      <c r="AJ7362" s="10"/>
      <c r="AK7362" s="10"/>
      <c r="AL7362" s="10"/>
      <c r="AM7362" s="10"/>
      <c r="AN7362" s="10"/>
      <c r="AO7362" s="10"/>
      <c r="AP7362" s="10"/>
      <c r="AQ7362" s="10"/>
      <c r="AR7362" s="10"/>
      <c r="AS7362" s="10"/>
      <c r="AT7362" s="10"/>
      <c r="AU7362" s="10"/>
      <c r="AV7362" s="10"/>
      <c r="AW7362" s="10"/>
      <c r="AX7362" s="10"/>
      <c r="AY7362" s="10"/>
      <c r="AZ7362" s="10"/>
    </row>
    <row r="7363" spans="31:52">
      <c r="AE7363" s="10"/>
      <c r="AF7363" s="10"/>
      <c r="AG7363" s="10"/>
      <c r="AH7363" s="10"/>
      <c r="AI7363" s="10"/>
      <c r="AJ7363" s="10"/>
      <c r="AK7363" s="10"/>
      <c r="AL7363" s="10"/>
      <c r="AM7363" s="10"/>
      <c r="AN7363" s="10"/>
      <c r="AO7363" s="10"/>
      <c r="AP7363" s="10"/>
      <c r="AQ7363" s="10"/>
      <c r="AR7363" s="10"/>
      <c r="AS7363" s="10"/>
      <c r="AT7363" s="10"/>
      <c r="AU7363" s="10"/>
      <c r="AV7363" s="10"/>
      <c r="AW7363" s="10"/>
      <c r="AX7363" s="10"/>
      <c r="AY7363" s="10"/>
      <c r="AZ7363" s="10"/>
    </row>
    <row r="7364" spans="31:52">
      <c r="AE7364" s="10"/>
      <c r="AF7364" s="10"/>
      <c r="AG7364" s="10"/>
      <c r="AH7364" s="10"/>
      <c r="AI7364" s="10"/>
      <c r="AJ7364" s="10"/>
      <c r="AK7364" s="10"/>
      <c r="AL7364" s="10"/>
      <c r="AM7364" s="10"/>
      <c r="AN7364" s="10"/>
      <c r="AO7364" s="10"/>
      <c r="AP7364" s="10"/>
      <c r="AQ7364" s="10"/>
      <c r="AR7364" s="10"/>
      <c r="AS7364" s="10"/>
      <c r="AT7364" s="10"/>
      <c r="AU7364" s="10"/>
      <c r="AV7364" s="10"/>
      <c r="AW7364" s="10"/>
      <c r="AX7364" s="10"/>
      <c r="AY7364" s="10"/>
      <c r="AZ7364" s="10"/>
    </row>
    <row r="7365" spans="31:52">
      <c r="AE7365" s="10"/>
      <c r="AF7365" s="10"/>
      <c r="AG7365" s="10"/>
      <c r="AH7365" s="10"/>
      <c r="AI7365" s="10"/>
      <c r="AJ7365" s="10"/>
      <c r="AK7365" s="10"/>
      <c r="AL7365" s="10"/>
      <c r="AM7365" s="10"/>
      <c r="AN7365" s="10"/>
      <c r="AO7365" s="10"/>
      <c r="AP7365" s="10"/>
      <c r="AQ7365" s="10"/>
      <c r="AR7365" s="10"/>
      <c r="AS7365" s="10"/>
      <c r="AT7365" s="10"/>
      <c r="AU7365" s="10"/>
      <c r="AV7365" s="10"/>
      <c r="AW7365" s="10"/>
      <c r="AX7365" s="10"/>
      <c r="AY7365" s="10"/>
      <c r="AZ7365" s="10"/>
    </row>
    <row r="7366" spans="31:52">
      <c r="AE7366" s="10"/>
      <c r="AF7366" s="10"/>
      <c r="AG7366" s="10"/>
      <c r="AH7366" s="10"/>
      <c r="AI7366" s="10"/>
      <c r="AJ7366" s="10"/>
      <c r="AK7366" s="10"/>
      <c r="AL7366" s="10"/>
      <c r="AM7366" s="10"/>
      <c r="AN7366" s="10"/>
      <c r="AO7366" s="10"/>
      <c r="AP7366" s="10"/>
      <c r="AQ7366" s="10"/>
      <c r="AR7366" s="10"/>
      <c r="AS7366" s="10"/>
      <c r="AT7366" s="10"/>
      <c r="AU7366" s="10"/>
      <c r="AV7366" s="10"/>
      <c r="AW7366" s="10"/>
      <c r="AX7366" s="10"/>
      <c r="AY7366" s="10"/>
      <c r="AZ7366" s="10"/>
    </row>
    <row r="7367" spans="31:52">
      <c r="AE7367" s="10"/>
      <c r="AF7367" s="10"/>
      <c r="AG7367" s="10"/>
      <c r="AH7367" s="10"/>
      <c r="AI7367" s="10"/>
      <c r="AJ7367" s="10"/>
      <c r="AK7367" s="10"/>
      <c r="AL7367" s="10"/>
      <c r="AM7367" s="10"/>
      <c r="AN7367" s="10"/>
      <c r="AO7367" s="10"/>
      <c r="AP7367" s="10"/>
      <c r="AQ7367" s="10"/>
      <c r="AR7367" s="10"/>
      <c r="AS7367" s="10"/>
      <c r="AT7367" s="10"/>
      <c r="AU7367" s="10"/>
      <c r="AV7367" s="10"/>
      <c r="AW7367" s="10"/>
      <c r="AX7367" s="10"/>
      <c r="AY7367" s="10"/>
      <c r="AZ7367" s="10"/>
    </row>
    <row r="7368" spans="31:52">
      <c r="AE7368" s="10"/>
      <c r="AF7368" s="10"/>
      <c r="AG7368" s="10"/>
      <c r="AH7368" s="10"/>
      <c r="AI7368" s="10"/>
      <c r="AJ7368" s="10"/>
      <c r="AK7368" s="10"/>
      <c r="AL7368" s="10"/>
      <c r="AM7368" s="10"/>
      <c r="AN7368" s="10"/>
      <c r="AO7368" s="10"/>
      <c r="AP7368" s="10"/>
      <c r="AQ7368" s="10"/>
      <c r="AR7368" s="10"/>
      <c r="AS7368" s="10"/>
      <c r="AT7368" s="10"/>
      <c r="AU7368" s="10"/>
      <c r="AV7368" s="10"/>
      <c r="AW7368" s="10"/>
      <c r="AX7368" s="10"/>
      <c r="AY7368" s="10"/>
      <c r="AZ7368" s="10"/>
    </row>
    <row r="7369" spans="31:52">
      <c r="AE7369" s="10"/>
      <c r="AF7369" s="10"/>
      <c r="AG7369" s="10"/>
      <c r="AH7369" s="10"/>
      <c r="AI7369" s="10"/>
      <c r="AJ7369" s="10"/>
      <c r="AK7369" s="10"/>
      <c r="AL7369" s="10"/>
      <c r="AM7369" s="10"/>
      <c r="AN7369" s="10"/>
      <c r="AO7369" s="10"/>
      <c r="AP7369" s="10"/>
      <c r="AQ7369" s="10"/>
      <c r="AR7369" s="10"/>
      <c r="AS7369" s="10"/>
      <c r="AT7369" s="10"/>
      <c r="AU7369" s="10"/>
      <c r="AV7369" s="10"/>
      <c r="AW7369" s="10"/>
      <c r="AX7369" s="10"/>
      <c r="AY7369" s="10"/>
      <c r="AZ7369" s="10"/>
    </row>
    <row r="7370" spans="31:52">
      <c r="AE7370" s="10"/>
      <c r="AF7370" s="10"/>
      <c r="AG7370" s="10"/>
      <c r="AH7370" s="10"/>
      <c r="AI7370" s="10"/>
      <c r="AJ7370" s="10"/>
      <c r="AK7370" s="10"/>
      <c r="AL7370" s="10"/>
      <c r="AM7370" s="10"/>
      <c r="AN7370" s="10"/>
      <c r="AO7370" s="10"/>
      <c r="AP7370" s="10"/>
      <c r="AQ7370" s="10"/>
      <c r="AR7370" s="10"/>
      <c r="AS7370" s="10"/>
      <c r="AT7370" s="10"/>
      <c r="AU7370" s="10"/>
      <c r="AV7370" s="10"/>
      <c r="AW7370" s="10"/>
      <c r="AX7370" s="10"/>
      <c r="AY7370" s="10"/>
      <c r="AZ7370" s="10"/>
    </row>
    <row r="7371" spans="31:52">
      <c r="AE7371" s="10"/>
      <c r="AF7371" s="10"/>
      <c r="AG7371" s="10"/>
      <c r="AH7371" s="10"/>
      <c r="AI7371" s="10"/>
      <c r="AJ7371" s="10"/>
      <c r="AK7371" s="10"/>
      <c r="AL7371" s="10"/>
      <c r="AM7371" s="10"/>
      <c r="AN7371" s="10"/>
      <c r="AO7371" s="10"/>
      <c r="AP7371" s="10"/>
      <c r="AQ7371" s="10"/>
      <c r="AR7371" s="10"/>
      <c r="AS7371" s="10"/>
      <c r="AT7371" s="10"/>
      <c r="AU7371" s="10"/>
      <c r="AV7371" s="10"/>
      <c r="AW7371" s="10"/>
      <c r="AX7371" s="10"/>
      <c r="AY7371" s="10"/>
      <c r="AZ7371" s="10"/>
    </row>
    <row r="7372" spans="31:52">
      <c r="AE7372" s="10"/>
      <c r="AF7372" s="10"/>
      <c r="AG7372" s="10"/>
      <c r="AH7372" s="10"/>
      <c r="AI7372" s="10"/>
      <c r="AJ7372" s="10"/>
      <c r="AK7372" s="10"/>
      <c r="AL7372" s="10"/>
      <c r="AM7372" s="10"/>
      <c r="AN7372" s="10"/>
      <c r="AO7372" s="10"/>
      <c r="AP7372" s="10"/>
      <c r="AQ7372" s="10"/>
      <c r="AR7372" s="10"/>
      <c r="AS7372" s="10"/>
      <c r="AT7372" s="10"/>
      <c r="AU7372" s="10"/>
      <c r="AV7372" s="10"/>
      <c r="AW7372" s="10"/>
      <c r="AX7372" s="10"/>
      <c r="AY7372" s="10"/>
      <c r="AZ7372" s="10"/>
    </row>
    <row r="7373" spans="31:52">
      <c r="AE7373" s="10"/>
      <c r="AF7373" s="10"/>
      <c r="AG7373" s="10"/>
      <c r="AH7373" s="10"/>
      <c r="AI7373" s="10"/>
      <c r="AJ7373" s="10"/>
      <c r="AK7373" s="10"/>
      <c r="AL7373" s="10"/>
      <c r="AM7373" s="10"/>
      <c r="AN7373" s="10"/>
      <c r="AO7373" s="10"/>
      <c r="AP7373" s="10"/>
      <c r="AQ7373" s="10"/>
      <c r="AR7373" s="10"/>
      <c r="AS7373" s="10"/>
      <c r="AT7373" s="10"/>
      <c r="AU7373" s="10"/>
      <c r="AV7373" s="10"/>
      <c r="AW7373" s="10"/>
      <c r="AX7373" s="10"/>
      <c r="AY7373" s="10"/>
      <c r="AZ7373" s="10"/>
    </row>
    <row r="7374" spans="31:52">
      <c r="AE7374" s="10"/>
      <c r="AF7374" s="10"/>
      <c r="AG7374" s="10"/>
      <c r="AH7374" s="10"/>
      <c r="AI7374" s="10"/>
      <c r="AJ7374" s="10"/>
      <c r="AK7374" s="10"/>
      <c r="AL7374" s="10"/>
      <c r="AM7374" s="10"/>
      <c r="AN7374" s="10"/>
      <c r="AO7374" s="10"/>
      <c r="AP7374" s="10"/>
      <c r="AQ7374" s="10"/>
      <c r="AR7374" s="10"/>
      <c r="AS7374" s="10"/>
      <c r="AT7374" s="10"/>
      <c r="AU7374" s="10"/>
      <c r="AV7374" s="10"/>
      <c r="AW7374" s="10"/>
      <c r="AX7374" s="10"/>
      <c r="AY7374" s="10"/>
      <c r="AZ7374" s="10"/>
    </row>
    <row r="7375" spans="31:52">
      <c r="AE7375" s="10"/>
      <c r="AF7375" s="10"/>
      <c r="AG7375" s="10"/>
      <c r="AH7375" s="10"/>
      <c r="AI7375" s="10"/>
      <c r="AJ7375" s="10"/>
      <c r="AK7375" s="10"/>
      <c r="AL7375" s="10"/>
      <c r="AM7375" s="10"/>
      <c r="AN7375" s="10"/>
      <c r="AO7375" s="10"/>
      <c r="AP7375" s="10"/>
      <c r="AQ7375" s="10"/>
      <c r="AR7375" s="10"/>
      <c r="AS7375" s="10"/>
      <c r="AT7375" s="10"/>
      <c r="AU7375" s="10"/>
      <c r="AV7375" s="10"/>
      <c r="AW7375" s="10"/>
      <c r="AX7375" s="10"/>
      <c r="AY7375" s="10"/>
      <c r="AZ7375" s="10"/>
    </row>
    <row r="7376" spans="31:52">
      <c r="AE7376" s="10"/>
      <c r="AF7376" s="10"/>
      <c r="AG7376" s="10"/>
      <c r="AH7376" s="10"/>
      <c r="AI7376" s="10"/>
      <c r="AJ7376" s="10"/>
      <c r="AK7376" s="10"/>
      <c r="AL7376" s="10"/>
      <c r="AM7376" s="10"/>
      <c r="AN7376" s="10"/>
      <c r="AO7376" s="10"/>
      <c r="AP7376" s="10"/>
      <c r="AQ7376" s="10"/>
      <c r="AR7376" s="10"/>
      <c r="AS7376" s="10"/>
      <c r="AT7376" s="10"/>
      <c r="AU7376" s="10"/>
      <c r="AV7376" s="10"/>
      <c r="AW7376" s="10"/>
      <c r="AX7376" s="10"/>
      <c r="AY7376" s="10"/>
      <c r="AZ7376" s="10"/>
    </row>
    <row r="7377" spans="31:52">
      <c r="AE7377" s="10"/>
      <c r="AF7377" s="10"/>
      <c r="AG7377" s="10"/>
      <c r="AH7377" s="10"/>
      <c r="AI7377" s="10"/>
      <c r="AJ7377" s="10"/>
      <c r="AK7377" s="10"/>
      <c r="AL7377" s="10"/>
      <c r="AM7377" s="10"/>
      <c r="AN7377" s="10"/>
      <c r="AO7377" s="10"/>
      <c r="AP7377" s="10"/>
      <c r="AQ7377" s="10"/>
      <c r="AR7377" s="10"/>
      <c r="AS7377" s="10"/>
      <c r="AT7377" s="10"/>
      <c r="AU7377" s="10"/>
      <c r="AV7377" s="10"/>
      <c r="AW7377" s="10"/>
      <c r="AX7377" s="10"/>
      <c r="AY7377" s="10"/>
      <c r="AZ7377" s="10"/>
    </row>
    <row r="7378" spans="31:52">
      <c r="AE7378" s="10"/>
      <c r="AF7378" s="10"/>
      <c r="AG7378" s="10"/>
      <c r="AH7378" s="10"/>
      <c r="AI7378" s="10"/>
      <c r="AJ7378" s="10"/>
      <c r="AK7378" s="10"/>
      <c r="AL7378" s="10"/>
      <c r="AM7378" s="10"/>
      <c r="AN7378" s="10"/>
      <c r="AO7378" s="10"/>
      <c r="AP7378" s="10"/>
      <c r="AQ7378" s="10"/>
      <c r="AR7378" s="10"/>
      <c r="AS7378" s="10"/>
      <c r="AT7378" s="10"/>
      <c r="AU7378" s="10"/>
      <c r="AV7378" s="10"/>
      <c r="AW7378" s="10"/>
      <c r="AX7378" s="10"/>
      <c r="AY7378" s="10"/>
      <c r="AZ7378" s="10"/>
    </row>
    <row r="7379" spans="31:52">
      <c r="AE7379" s="10"/>
      <c r="AF7379" s="10"/>
      <c r="AG7379" s="10"/>
      <c r="AH7379" s="10"/>
      <c r="AI7379" s="10"/>
      <c r="AJ7379" s="10"/>
      <c r="AK7379" s="10"/>
      <c r="AL7379" s="10"/>
      <c r="AM7379" s="10"/>
      <c r="AN7379" s="10"/>
      <c r="AO7379" s="10"/>
      <c r="AP7379" s="10"/>
      <c r="AQ7379" s="10"/>
      <c r="AR7379" s="10"/>
      <c r="AS7379" s="10"/>
      <c r="AT7379" s="10"/>
      <c r="AU7379" s="10"/>
      <c r="AV7379" s="10"/>
      <c r="AW7379" s="10"/>
      <c r="AX7379" s="10"/>
      <c r="AY7379" s="10"/>
      <c r="AZ7379" s="10"/>
    </row>
    <row r="7380" spans="31:52">
      <c r="AE7380" s="10"/>
      <c r="AF7380" s="10"/>
      <c r="AG7380" s="10"/>
      <c r="AH7380" s="10"/>
      <c r="AI7380" s="10"/>
      <c r="AJ7380" s="10"/>
      <c r="AK7380" s="10"/>
      <c r="AL7380" s="10"/>
      <c r="AM7380" s="10"/>
      <c r="AN7380" s="10"/>
      <c r="AO7380" s="10"/>
      <c r="AP7380" s="10"/>
      <c r="AQ7380" s="10"/>
      <c r="AR7380" s="10"/>
      <c r="AS7380" s="10"/>
      <c r="AT7380" s="10"/>
      <c r="AU7380" s="10"/>
      <c r="AV7380" s="10"/>
      <c r="AW7380" s="10"/>
      <c r="AX7380" s="10"/>
      <c r="AY7380" s="10"/>
      <c r="AZ7380" s="10"/>
    </row>
    <row r="7381" spans="31:52">
      <c r="AE7381" s="10"/>
      <c r="AF7381" s="10"/>
      <c r="AG7381" s="10"/>
      <c r="AH7381" s="10"/>
      <c r="AI7381" s="10"/>
      <c r="AJ7381" s="10"/>
      <c r="AK7381" s="10"/>
      <c r="AL7381" s="10"/>
      <c r="AM7381" s="10"/>
      <c r="AN7381" s="10"/>
      <c r="AO7381" s="10"/>
      <c r="AP7381" s="10"/>
      <c r="AQ7381" s="10"/>
      <c r="AR7381" s="10"/>
      <c r="AS7381" s="10"/>
      <c r="AT7381" s="10"/>
      <c r="AU7381" s="10"/>
      <c r="AV7381" s="10"/>
      <c r="AW7381" s="10"/>
      <c r="AX7381" s="10"/>
      <c r="AY7381" s="10"/>
      <c r="AZ7381" s="10"/>
    </row>
    <row r="7382" spans="31:52">
      <c r="AE7382" s="10"/>
      <c r="AF7382" s="10"/>
      <c r="AG7382" s="10"/>
      <c r="AH7382" s="10"/>
      <c r="AI7382" s="10"/>
      <c r="AJ7382" s="10"/>
      <c r="AK7382" s="10"/>
      <c r="AL7382" s="10"/>
      <c r="AM7382" s="10"/>
      <c r="AN7382" s="10"/>
      <c r="AO7382" s="10"/>
      <c r="AP7382" s="10"/>
      <c r="AQ7382" s="10"/>
      <c r="AR7382" s="10"/>
      <c r="AS7382" s="10"/>
      <c r="AT7382" s="10"/>
      <c r="AU7382" s="10"/>
      <c r="AV7382" s="10"/>
      <c r="AW7382" s="10"/>
      <c r="AX7382" s="10"/>
      <c r="AY7382" s="10"/>
      <c r="AZ7382" s="10"/>
    </row>
    <row r="7383" spans="31:52">
      <c r="AE7383" s="10"/>
      <c r="AF7383" s="10"/>
      <c r="AG7383" s="10"/>
      <c r="AH7383" s="10"/>
      <c r="AI7383" s="10"/>
      <c r="AJ7383" s="10"/>
      <c r="AK7383" s="10"/>
      <c r="AL7383" s="10"/>
      <c r="AM7383" s="10"/>
      <c r="AN7383" s="10"/>
      <c r="AO7383" s="10"/>
      <c r="AP7383" s="10"/>
      <c r="AQ7383" s="10"/>
      <c r="AR7383" s="10"/>
      <c r="AS7383" s="10"/>
      <c r="AT7383" s="10"/>
      <c r="AU7383" s="10"/>
      <c r="AV7383" s="10"/>
      <c r="AW7383" s="10"/>
      <c r="AX7383" s="10"/>
      <c r="AY7383" s="10"/>
      <c r="AZ7383" s="10"/>
    </row>
    <row r="7384" spans="31:52">
      <c r="AE7384" s="10"/>
      <c r="AF7384" s="10"/>
      <c r="AG7384" s="10"/>
      <c r="AH7384" s="10"/>
      <c r="AI7384" s="10"/>
      <c r="AJ7384" s="10"/>
      <c r="AK7384" s="10"/>
      <c r="AL7384" s="10"/>
      <c r="AM7384" s="10"/>
      <c r="AN7384" s="10"/>
      <c r="AO7384" s="10"/>
      <c r="AP7384" s="10"/>
      <c r="AQ7384" s="10"/>
      <c r="AR7384" s="10"/>
      <c r="AS7384" s="10"/>
      <c r="AT7384" s="10"/>
      <c r="AU7384" s="10"/>
      <c r="AV7384" s="10"/>
      <c r="AW7384" s="10"/>
      <c r="AX7384" s="10"/>
      <c r="AY7384" s="10"/>
      <c r="AZ7384" s="10"/>
    </row>
    <row r="7385" spans="31:52">
      <c r="AE7385" s="10"/>
      <c r="AF7385" s="10"/>
      <c r="AG7385" s="10"/>
      <c r="AH7385" s="10"/>
      <c r="AI7385" s="10"/>
      <c r="AJ7385" s="10"/>
      <c r="AK7385" s="10"/>
      <c r="AL7385" s="10"/>
      <c r="AM7385" s="10"/>
      <c r="AN7385" s="10"/>
      <c r="AO7385" s="10"/>
      <c r="AP7385" s="10"/>
      <c r="AQ7385" s="10"/>
      <c r="AR7385" s="10"/>
      <c r="AS7385" s="10"/>
      <c r="AT7385" s="10"/>
      <c r="AU7385" s="10"/>
      <c r="AV7385" s="10"/>
      <c r="AW7385" s="10"/>
      <c r="AX7385" s="10"/>
      <c r="AY7385" s="10"/>
      <c r="AZ7385" s="10"/>
    </row>
    <row r="7386" spans="31:52">
      <c r="AE7386" s="10"/>
      <c r="AF7386" s="10"/>
      <c r="AG7386" s="10"/>
      <c r="AH7386" s="10"/>
      <c r="AI7386" s="10"/>
      <c r="AJ7386" s="10"/>
      <c r="AK7386" s="10"/>
      <c r="AL7386" s="10"/>
      <c r="AM7386" s="10"/>
      <c r="AN7386" s="10"/>
      <c r="AO7386" s="10"/>
      <c r="AP7386" s="10"/>
      <c r="AQ7386" s="10"/>
      <c r="AR7386" s="10"/>
      <c r="AS7386" s="10"/>
      <c r="AT7386" s="10"/>
      <c r="AU7386" s="10"/>
      <c r="AV7386" s="10"/>
      <c r="AW7386" s="10"/>
      <c r="AX7386" s="10"/>
      <c r="AY7386" s="10"/>
      <c r="AZ7386" s="10"/>
    </row>
    <row r="7387" spans="31:52">
      <c r="AE7387" s="10"/>
      <c r="AF7387" s="10"/>
      <c r="AG7387" s="10"/>
      <c r="AH7387" s="10"/>
      <c r="AI7387" s="10"/>
      <c r="AJ7387" s="10"/>
      <c r="AK7387" s="10"/>
      <c r="AL7387" s="10"/>
      <c r="AM7387" s="10"/>
      <c r="AN7387" s="10"/>
      <c r="AO7387" s="10"/>
      <c r="AP7387" s="10"/>
      <c r="AQ7387" s="10"/>
      <c r="AR7387" s="10"/>
      <c r="AS7387" s="10"/>
      <c r="AT7387" s="10"/>
      <c r="AU7387" s="10"/>
      <c r="AV7387" s="10"/>
      <c r="AW7387" s="10"/>
      <c r="AX7387" s="10"/>
      <c r="AY7387" s="10"/>
      <c r="AZ7387" s="10"/>
    </row>
    <row r="7388" spans="31:52">
      <c r="AE7388" s="10"/>
      <c r="AF7388" s="10"/>
      <c r="AG7388" s="10"/>
      <c r="AH7388" s="10"/>
      <c r="AI7388" s="10"/>
      <c r="AJ7388" s="10"/>
      <c r="AK7388" s="10"/>
      <c r="AL7388" s="10"/>
      <c r="AM7388" s="10"/>
      <c r="AN7388" s="10"/>
      <c r="AO7388" s="10"/>
      <c r="AP7388" s="10"/>
      <c r="AQ7388" s="10"/>
      <c r="AR7388" s="10"/>
      <c r="AS7388" s="10"/>
      <c r="AT7388" s="10"/>
      <c r="AU7388" s="10"/>
      <c r="AV7388" s="10"/>
      <c r="AW7388" s="10"/>
      <c r="AX7388" s="10"/>
      <c r="AY7388" s="10"/>
      <c r="AZ7388" s="10"/>
    </row>
    <row r="7389" spans="31:52">
      <c r="AE7389" s="10"/>
      <c r="AF7389" s="10"/>
      <c r="AG7389" s="10"/>
      <c r="AH7389" s="10"/>
      <c r="AI7389" s="10"/>
      <c r="AJ7389" s="10"/>
      <c r="AK7389" s="10"/>
      <c r="AL7389" s="10"/>
      <c r="AM7389" s="10"/>
      <c r="AN7389" s="10"/>
      <c r="AO7389" s="10"/>
      <c r="AP7389" s="10"/>
      <c r="AQ7389" s="10"/>
      <c r="AR7389" s="10"/>
      <c r="AS7389" s="10"/>
      <c r="AT7389" s="10"/>
      <c r="AU7389" s="10"/>
      <c r="AV7389" s="10"/>
      <c r="AW7389" s="10"/>
      <c r="AX7389" s="10"/>
      <c r="AY7389" s="10"/>
      <c r="AZ7389" s="10"/>
    </row>
    <row r="7390" spans="31:52">
      <c r="AE7390" s="10"/>
      <c r="AF7390" s="10"/>
      <c r="AG7390" s="10"/>
      <c r="AH7390" s="10"/>
      <c r="AI7390" s="10"/>
      <c r="AJ7390" s="10"/>
      <c r="AK7390" s="10"/>
      <c r="AL7390" s="10"/>
      <c r="AM7390" s="10"/>
      <c r="AN7390" s="10"/>
      <c r="AO7390" s="10"/>
      <c r="AP7390" s="10"/>
      <c r="AQ7390" s="10"/>
      <c r="AR7390" s="10"/>
      <c r="AS7390" s="10"/>
      <c r="AT7390" s="10"/>
      <c r="AU7390" s="10"/>
      <c r="AV7390" s="10"/>
      <c r="AW7390" s="10"/>
      <c r="AX7390" s="10"/>
      <c r="AY7390" s="10"/>
      <c r="AZ7390" s="10"/>
    </row>
    <row r="7391" spans="31:52">
      <c r="AE7391" s="10"/>
      <c r="AF7391" s="10"/>
      <c r="AG7391" s="10"/>
      <c r="AH7391" s="10"/>
      <c r="AI7391" s="10"/>
      <c r="AJ7391" s="10"/>
      <c r="AK7391" s="10"/>
      <c r="AL7391" s="10"/>
      <c r="AM7391" s="10"/>
      <c r="AN7391" s="10"/>
      <c r="AO7391" s="10"/>
      <c r="AP7391" s="10"/>
      <c r="AQ7391" s="10"/>
      <c r="AR7391" s="10"/>
      <c r="AS7391" s="10"/>
      <c r="AT7391" s="10"/>
      <c r="AU7391" s="10"/>
      <c r="AV7391" s="10"/>
      <c r="AW7391" s="10"/>
      <c r="AX7391" s="10"/>
      <c r="AY7391" s="10"/>
      <c r="AZ7391" s="10"/>
    </row>
    <row r="7392" spans="31:52">
      <c r="AE7392" s="10"/>
      <c r="AF7392" s="10"/>
      <c r="AG7392" s="10"/>
      <c r="AH7392" s="10"/>
      <c r="AI7392" s="10"/>
      <c r="AJ7392" s="10"/>
      <c r="AK7392" s="10"/>
      <c r="AL7392" s="10"/>
      <c r="AM7392" s="10"/>
      <c r="AN7392" s="10"/>
      <c r="AO7392" s="10"/>
      <c r="AP7392" s="10"/>
      <c r="AQ7392" s="10"/>
      <c r="AR7392" s="10"/>
      <c r="AS7392" s="10"/>
      <c r="AT7392" s="10"/>
      <c r="AU7392" s="10"/>
      <c r="AV7392" s="10"/>
      <c r="AW7392" s="10"/>
      <c r="AX7392" s="10"/>
      <c r="AY7392" s="10"/>
      <c r="AZ7392" s="10"/>
    </row>
    <row r="7393" spans="31:52">
      <c r="AE7393" s="10"/>
      <c r="AF7393" s="10"/>
      <c r="AG7393" s="10"/>
      <c r="AH7393" s="10"/>
      <c r="AI7393" s="10"/>
      <c r="AJ7393" s="10"/>
      <c r="AK7393" s="10"/>
      <c r="AL7393" s="10"/>
      <c r="AM7393" s="10"/>
      <c r="AN7393" s="10"/>
      <c r="AO7393" s="10"/>
      <c r="AP7393" s="10"/>
      <c r="AQ7393" s="10"/>
      <c r="AR7393" s="10"/>
      <c r="AS7393" s="10"/>
      <c r="AT7393" s="10"/>
      <c r="AU7393" s="10"/>
      <c r="AV7393" s="10"/>
      <c r="AW7393" s="10"/>
      <c r="AX7393" s="10"/>
      <c r="AY7393" s="10"/>
      <c r="AZ7393" s="10"/>
    </row>
    <row r="7394" spans="31:52">
      <c r="AE7394" s="10"/>
      <c r="AF7394" s="10"/>
      <c r="AG7394" s="10"/>
      <c r="AH7394" s="10"/>
      <c r="AI7394" s="10"/>
      <c r="AJ7394" s="10"/>
      <c r="AK7394" s="10"/>
      <c r="AL7394" s="10"/>
      <c r="AM7394" s="10"/>
      <c r="AN7394" s="10"/>
      <c r="AO7394" s="10"/>
      <c r="AP7394" s="10"/>
      <c r="AQ7394" s="10"/>
      <c r="AR7394" s="10"/>
      <c r="AS7394" s="10"/>
      <c r="AT7394" s="10"/>
      <c r="AU7394" s="10"/>
      <c r="AV7394" s="10"/>
      <c r="AW7394" s="10"/>
      <c r="AX7394" s="10"/>
      <c r="AY7394" s="10"/>
      <c r="AZ7394" s="10"/>
    </row>
    <row r="7395" spans="31:52">
      <c r="AE7395" s="10"/>
      <c r="AF7395" s="10"/>
      <c r="AG7395" s="10"/>
      <c r="AH7395" s="10"/>
      <c r="AI7395" s="10"/>
      <c r="AJ7395" s="10"/>
      <c r="AK7395" s="10"/>
      <c r="AL7395" s="10"/>
      <c r="AM7395" s="10"/>
      <c r="AN7395" s="10"/>
      <c r="AO7395" s="10"/>
      <c r="AP7395" s="10"/>
      <c r="AQ7395" s="10"/>
      <c r="AR7395" s="10"/>
      <c r="AS7395" s="10"/>
      <c r="AT7395" s="10"/>
      <c r="AU7395" s="10"/>
      <c r="AV7395" s="10"/>
      <c r="AW7395" s="10"/>
      <c r="AX7395" s="10"/>
      <c r="AY7395" s="10"/>
      <c r="AZ7395" s="10"/>
    </row>
    <row r="7396" spans="31:52">
      <c r="AE7396" s="10"/>
      <c r="AF7396" s="10"/>
      <c r="AG7396" s="10"/>
      <c r="AH7396" s="10"/>
      <c r="AI7396" s="10"/>
      <c r="AJ7396" s="10"/>
      <c r="AK7396" s="10"/>
      <c r="AL7396" s="10"/>
      <c r="AM7396" s="10"/>
      <c r="AN7396" s="10"/>
      <c r="AO7396" s="10"/>
      <c r="AP7396" s="10"/>
      <c r="AQ7396" s="10"/>
      <c r="AR7396" s="10"/>
      <c r="AS7396" s="10"/>
      <c r="AT7396" s="10"/>
      <c r="AU7396" s="10"/>
      <c r="AV7396" s="10"/>
      <c r="AW7396" s="10"/>
      <c r="AX7396" s="10"/>
      <c r="AY7396" s="10"/>
      <c r="AZ7396" s="10"/>
    </row>
    <row r="7397" spans="31:52">
      <c r="AE7397" s="10"/>
      <c r="AF7397" s="10"/>
      <c r="AG7397" s="10"/>
      <c r="AH7397" s="10"/>
      <c r="AI7397" s="10"/>
      <c r="AJ7397" s="10"/>
      <c r="AK7397" s="10"/>
      <c r="AL7397" s="10"/>
      <c r="AM7397" s="10"/>
      <c r="AN7397" s="10"/>
      <c r="AO7397" s="10"/>
      <c r="AP7397" s="10"/>
      <c r="AQ7397" s="10"/>
      <c r="AR7397" s="10"/>
      <c r="AS7397" s="10"/>
      <c r="AT7397" s="10"/>
      <c r="AU7397" s="10"/>
      <c r="AV7397" s="10"/>
      <c r="AW7397" s="10"/>
      <c r="AX7397" s="10"/>
      <c r="AY7397" s="10"/>
      <c r="AZ7397" s="10"/>
    </row>
    <row r="7398" spans="31:52">
      <c r="AE7398" s="10"/>
      <c r="AF7398" s="10"/>
      <c r="AG7398" s="10"/>
      <c r="AH7398" s="10"/>
      <c r="AI7398" s="10"/>
      <c r="AJ7398" s="10"/>
      <c r="AK7398" s="10"/>
      <c r="AL7398" s="10"/>
      <c r="AM7398" s="10"/>
      <c r="AN7398" s="10"/>
      <c r="AO7398" s="10"/>
      <c r="AP7398" s="10"/>
      <c r="AQ7398" s="10"/>
      <c r="AR7398" s="10"/>
      <c r="AS7398" s="10"/>
      <c r="AT7398" s="10"/>
      <c r="AU7398" s="10"/>
      <c r="AV7398" s="10"/>
      <c r="AW7398" s="10"/>
      <c r="AX7398" s="10"/>
      <c r="AY7398" s="10"/>
      <c r="AZ7398" s="10"/>
    </row>
    <row r="7399" spans="31:52">
      <c r="AE7399" s="10"/>
      <c r="AF7399" s="10"/>
      <c r="AG7399" s="10"/>
      <c r="AH7399" s="10"/>
      <c r="AI7399" s="10"/>
      <c r="AJ7399" s="10"/>
      <c r="AK7399" s="10"/>
      <c r="AL7399" s="10"/>
      <c r="AM7399" s="10"/>
      <c r="AN7399" s="10"/>
      <c r="AO7399" s="10"/>
      <c r="AP7399" s="10"/>
      <c r="AQ7399" s="10"/>
      <c r="AR7399" s="10"/>
      <c r="AS7399" s="10"/>
      <c r="AT7399" s="10"/>
      <c r="AU7399" s="10"/>
      <c r="AV7399" s="10"/>
      <c r="AW7399" s="10"/>
      <c r="AX7399" s="10"/>
      <c r="AY7399" s="10"/>
      <c r="AZ7399" s="10"/>
    </row>
    <row r="7400" spans="31:52">
      <c r="AE7400" s="10"/>
      <c r="AF7400" s="10"/>
      <c r="AG7400" s="10"/>
      <c r="AH7400" s="10"/>
      <c r="AI7400" s="10"/>
      <c r="AJ7400" s="10"/>
      <c r="AK7400" s="10"/>
      <c r="AL7400" s="10"/>
      <c r="AM7400" s="10"/>
      <c r="AN7400" s="10"/>
      <c r="AO7400" s="10"/>
      <c r="AP7400" s="10"/>
      <c r="AQ7400" s="10"/>
      <c r="AR7400" s="10"/>
      <c r="AS7400" s="10"/>
      <c r="AT7400" s="10"/>
      <c r="AU7400" s="10"/>
      <c r="AV7400" s="10"/>
      <c r="AW7400" s="10"/>
      <c r="AX7400" s="10"/>
      <c r="AY7400" s="10"/>
      <c r="AZ7400" s="10"/>
    </row>
    <row r="7401" spans="31:52">
      <c r="AE7401" s="10"/>
      <c r="AF7401" s="10"/>
      <c r="AG7401" s="10"/>
      <c r="AH7401" s="10"/>
      <c r="AI7401" s="10"/>
      <c r="AJ7401" s="10"/>
      <c r="AK7401" s="10"/>
      <c r="AL7401" s="10"/>
      <c r="AM7401" s="10"/>
      <c r="AN7401" s="10"/>
      <c r="AO7401" s="10"/>
      <c r="AP7401" s="10"/>
      <c r="AQ7401" s="10"/>
      <c r="AR7401" s="10"/>
      <c r="AS7401" s="10"/>
      <c r="AT7401" s="10"/>
      <c r="AU7401" s="10"/>
      <c r="AV7401" s="10"/>
      <c r="AW7401" s="10"/>
      <c r="AX7401" s="10"/>
      <c r="AY7401" s="10"/>
      <c r="AZ7401" s="10"/>
    </row>
    <row r="7402" spans="31:52">
      <c r="AE7402" s="10"/>
      <c r="AF7402" s="10"/>
      <c r="AG7402" s="10"/>
      <c r="AH7402" s="10"/>
      <c r="AI7402" s="10"/>
      <c r="AJ7402" s="10"/>
      <c r="AK7402" s="10"/>
      <c r="AL7402" s="10"/>
      <c r="AM7402" s="10"/>
      <c r="AN7402" s="10"/>
      <c r="AO7402" s="10"/>
      <c r="AP7402" s="10"/>
      <c r="AQ7402" s="10"/>
      <c r="AR7402" s="10"/>
      <c r="AS7402" s="10"/>
      <c r="AT7402" s="10"/>
      <c r="AU7402" s="10"/>
      <c r="AV7402" s="10"/>
      <c r="AW7402" s="10"/>
      <c r="AX7402" s="10"/>
      <c r="AY7402" s="10"/>
      <c r="AZ7402" s="10"/>
    </row>
    <row r="7403" spans="31:52">
      <c r="AE7403" s="10"/>
      <c r="AF7403" s="10"/>
      <c r="AG7403" s="10"/>
      <c r="AH7403" s="10"/>
      <c r="AI7403" s="10"/>
      <c r="AJ7403" s="10"/>
      <c r="AK7403" s="10"/>
      <c r="AL7403" s="10"/>
      <c r="AM7403" s="10"/>
      <c r="AN7403" s="10"/>
      <c r="AO7403" s="10"/>
      <c r="AP7403" s="10"/>
      <c r="AQ7403" s="10"/>
      <c r="AR7403" s="10"/>
      <c r="AS7403" s="10"/>
      <c r="AT7403" s="10"/>
      <c r="AU7403" s="10"/>
      <c r="AV7403" s="10"/>
      <c r="AW7403" s="10"/>
      <c r="AX7403" s="10"/>
      <c r="AY7403" s="10"/>
      <c r="AZ7403" s="10"/>
    </row>
    <row r="7404" spans="31:52">
      <c r="AE7404" s="10"/>
      <c r="AF7404" s="10"/>
      <c r="AG7404" s="10"/>
      <c r="AH7404" s="10"/>
      <c r="AI7404" s="10"/>
      <c r="AJ7404" s="10"/>
      <c r="AK7404" s="10"/>
      <c r="AL7404" s="10"/>
      <c r="AM7404" s="10"/>
      <c r="AN7404" s="10"/>
      <c r="AO7404" s="10"/>
      <c r="AP7404" s="10"/>
      <c r="AQ7404" s="10"/>
      <c r="AR7404" s="10"/>
      <c r="AS7404" s="10"/>
      <c r="AT7404" s="10"/>
      <c r="AU7404" s="10"/>
      <c r="AV7404" s="10"/>
      <c r="AW7404" s="10"/>
      <c r="AX7404" s="10"/>
      <c r="AY7404" s="10"/>
      <c r="AZ7404" s="10"/>
    </row>
    <row r="7405" spans="31:52">
      <c r="AE7405" s="10"/>
      <c r="AF7405" s="10"/>
      <c r="AG7405" s="10"/>
      <c r="AH7405" s="10"/>
      <c r="AI7405" s="10"/>
      <c r="AJ7405" s="10"/>
      <c r="AK7405" s="10"/>
      <c r="AL7405" s="10"/>
      <c r="AM7405" s="10"/>
      <c r="AN7405" s="10"/>
      <c r="AO7405" s="10"/>
      <c r="AP7405" s="10"/>
      <c r="AQ7405" s="10"/>
      <c r="AR7405" s="10"/>
      <c r="AS7405" s="10"/>
      <c r="AT7405" s="10"/>
      <c r="AU7405" s="10"/>
      <c r="AV7405" s="10"/>
      <c r="AW7405" s="10"/>
      <c r="AX7405" s="10"/>
      <c r="AY7405" s="10"/>
      <c r="AZ7405" s="10"/>
    </row>
    <row r="7406" spans="31:52">
      <c r="AE7406" s="10"/>
      <c r="AF7406" s="10"/>
      <c r="AG7406" s="10"/>
      <c r="AH7406" s="10"/>
      <c r="AI7406" s="10"/>
      <c r="AJ7406" s="10"/>
      <c r="AK7406" s="10"/>
      <c r="AL7406" s="10"/>
      <c r="AM7406" s="10"/>
      <c r="AN7406" s="10"/>
      <c r="AO7406" s="10"/>
      <c r="AP7406" s="10"/>
      <c r="AQ7406" s="10"/>
      <c r="AR7406" s="10"/>
      <c r="AS7406" s="10"/>
      <c r="AT7406" s="10"/>
      <c r="AU7406" s="10"/>
      <c r="AV7406" s="10"/>
      <c r="AW7406" s="10"/>
      <c r="AX7406" s="10"/>
      <c r="AY7406" s="10"/>
      <c r="AZ7406" s="10"/>
    </row>
    <row r="7407" spans="31:52">
      <c r="AE7407" s="10"/>
      <c r="AF7407" s="10"/>
      <c r="AG7407" s="10"/>
      <c r="AH7407" s="10"/>
      <c r="AI7407" s="10"/>
      <c r="AJ7407" s="10"/>
      <c r="AK7407" s="10"/>
      <c r="AL7407" s="10"/>
      <c r="AM7407" s="10"/>
      <c r="AN7407" s="10"/>
      <c r="AO7407" s="10"/>
      <c r="AP7407" s="10"/>
      <c r="AQ7407" s="10"/>
      <c r="AR7407" s="10"/>
      <c r="AS7407" s="10"/>
      <c r="AT7407" s="10"/>
      <c r="AU7407" s="10"/>
      <c r="AV7407" s="10"/>
      <c r="AW7407" s="10"/>
      <c r="AX7407" s="10"/>
      <c r="AY7407" s="10"/>
      <c r="AZ7407" s="10"/>
    </row>
    <row r="7408" spans="31:52">
      <c r="AE7408" s="10"/>
      <c r="AF7408" s="10"/>
      <c r="AG7408" s="10"/>
      <c r="AH7408" s="10"/>
      <c r="AI7408" s="10"/>
      <c r="AJ7408" s="10"/>
      <c r="AK7408" s="10"/>
      <c r="AL7408" s="10"/>
      <c r="AM7408" s="10"/>
      <c r="AN7408" s="10"/>
      <c r="AO7408" s="10"/>
      <c r="AP7408" s="10"/>
      <c r="AQ7408" s="10"/>
      <c r="AR7408" s="10"/>
      <c r="AS7408" s="10"/>
      <c r="AT7408" s="10"/>
      <c r="AU7408" s="10"/>
      <c r="AV7408" s="10"/>
      <c r="AW7408" s="10"/>
      <c r="AX7408" s="10"/>
      <c r="AY7408" s="10"/>
      <c r="AZ7408" s="10"/>
    </row>
    <row r="7409" spans="31:52">
      <c r="AE7409" s="10"/>
      <c r="AF7409" s="10"/>
      <c r="AG7409" s="10"/>
      <c r="AH7409" s="10"/>
      <c r="AI7409" s="10"/>
      <c r="AJ7409" s="10"/>
      <c r="AK7409" s="10"/>
      <c r="AL7409" s="10"/>
      <c r="AM7409" s="10"/>
      <c r="AN7409" s="10"/>
      <c r="AO7409" s="10"/>
      <c r="AP7409" s="10"/>
      <c r="AQ7409" s="10"/>
      <c r="AR7409" s="10"/>
      <c r="AS7409" s="10"/>
      <c r="AT7409" s="10"/>
      <c r="AU7409" s="10"/>
      <c r="AV7409" s="10"/>
      <c r="AW7409" s="10"/>
      <c r="AX7409" s="10"/>
      <c r="AY7409" s="10"/>
      <c r="AZ7409" s="10"/>
    </row>
    <row r="7410" spans="31:52">
      <c r="AE7410" s="10"/>
      <c r="AF7410" s="10"/>
      <c r="AG7410" s="10"/>
      <c r="AH7410" s="10"/>
      <c r="AI7410" s="10"/>
      <c r="AJ7410" s="10"/>
      <c r="AK7410" s="10"/>
      <c r="AL7410" s="10"/>
      <c r="AM7410" s="10"/>
      <c r="AN7410" s="10"/>
      <c r="AO7410" s="10"/>
      <c r="AP7410" s="10"/>
      <c r="AQ7410" s="10"/>
      <c r="AR7410" s="10"/>
      <c r="AS7410" s="10"/>
      <c r="AT7410" s="10"/>
      <c r="AU7410" s="10"/>
      <c r="AV7410" s="10"/>
      <c r="AW7410" s="10"/>
      <c r="AX7410" s="10"/>
      <c r="AY7410" s="10"/>
      <c r="AZ7410" s="10"/>
    </row>
    <row r="7411" spans="31:52">
      <c r="AE7411" s="10"/>
      <c r="AF7411" s="10"/>
      <c r="AG7411" s="10"/>
      <c r="AH7411" s="10"/>
      <c r="AI7411" s="10"/>
      <c r="AJ7411" s="10"/>
      <c r="AK7411" s="10"/>
      <c r="AL7411" s="10"/>
      <c r="AM7411" s="10"/>
      <c r="AN7411" s="10"/>
      <c r="AO7411" s="10"/>
      <c r="AP7411" s="10"/>
      <c r="AQ7411" s="10"/>
      <c r="AR7411" s="10"/>
      <c r="AS7411" s="10"/>
      <c r="AT7411" s="10"/>
      <c r="AU7411" s="10"/>
      <c r="AV7411" s="10"/>
      <c r="AW7411" s="10"/>
      <c r="AX7411" s="10"/>
      <c r="AY7411" s="10"/>
      <c r="AZ7411" s="10"/>
    </row>
    <row r="7412" spans="31:52">
      <c r="AE7412" s="10"/>
      <c r="AF7412" s="10"/>
      <c r="AG7412" s="10"/>
      <c r="AH7412" s="10"/>
      <c r="AI7412" s="10"/>
      <c r="AJ7412" s="10"/>
      <c r="AK7412" s="10"/>
      <c r="AL7412" s="10"/>
      <c r="AM7412" s="10"/>
      <c r="AN7412" s="10"/>
      <c r="AO7412" s="10"/>
      <c r="AP7412" s="10"/>
      <c r="AQ7412" s="10"/>
      <c r="AR7412" s="10"/>
      <c r="AS7412" s="10"/>
      <c r="AT7412" s="10"/>
      <c r="AU7412" s="10"/>
      <c r="AV7412" s="10"/>
      <c r="AW7412" s="10"/>
      <c r="AX7412" s="10"/>
      <c r="AY7412" s="10"/>
      <c r="AZ7412" s="10"/>
    </row>
    <row r="7413" spans="31:52">
      <c r="AE7413" s="10"/>
      <c r="AF7413" s="10"/>
      <c r="AG7413" s="10"/>
      <c r="AH7413" s="10"/>
      <c r="AI7413" s="10"/>
      <c r="AJ7413" s="10"/>
      <c r="AK7413" s="10"/>
      <c r="AL7413" s="10"/>
      <c r="AM7413" s="10"/>
      <c r="AN7413" s="10"/>
      <c r="AO7413" s="10"/>
      <c r="AP7413" s="10"/>
      <c r="AQ7413" s="10"/>
      <c r="AR7413" s="10"/>
      <c r="AS7413" s="10"/>
      <c r="AT7413" s="10"/>
      <c r="AU7413" s="10"/>
      <c r="AV7413" s="10"/>
      <c r="AW7413" s="10"/>
      <c r="AX7413" s="10"/>
      <c r="AY7413" s="10"/>
      <c r="AZ7413" s="10"/>
    </row>
    <row r="7414" spans="31:52">
      <c r="AE7414" s="10"/>
      <c r="AF7414" s="10"/>
      <c r="AG7414" s="10"/>
      <c r="AH7414" s="10"/>
      <c r="AI7414" s="10"/>
      <c r="AJ7414" s="10"/>
      <c r="AK7414" s="10"/>
      <c r="AL7414" s="10"/>
      <c r="AM7414" s="10"/>
      <c r="AN7414" s="10"/>
      <c r="AO7414" s="10"/>
      <c r="AP7414" s="10"/>
      <c r="AQ7414" s="10"/>
      <c r="AR7414" s="10"/>
      <c r="AS7414" s="10"/>
      <c r="AT7414" s="10"/>
      <c r="AU7414" s="10"/>
      <c r="AV7414" s="10"/>
      <c r="AW7414" s="10"/>
      <c r="AX7414" s="10"/>
      <c r="AY7414" s="10"/>
      <c r="AZ7414" s="10"/>
    </row>
    <row r="7415" spans="31:52">
      <c r="AE7415" s="10"/>
      <c r="AF7415" s="10"/>
      <c r="AG7415" s="10"/>
      <c r="AH7415" s="10"/>
      <c r="AI7415" s="10"/>
      <c r="AJ7415" s="10"/>
      <c r="AK7415" s="10"/>
      <c r="AL7415" s="10"/>
      <c r="AM7415" s="10"/>
      <c r="AN7415" s="10"/>
      <c r="AO7415" s="10"/>
      <c r="AP7415" s="10"/>
      <c r="AQ7415" s="10"/>
      <c r="AR7415" s="10"/>
      <c r="AS7415" s="10"/>
      <c r="AT7415" s="10"/>
      <c r="AU7415" s="10"/>
      <c r="AV7415" s="10"/>
      <c r="AW7415" s="10"/>
      <c r="AX7415" s="10"/>
      <c r="AY7415" s="10"/>
      <c r="AZ7415" s="10"/>
    </row>
    <row r="7416" spans="31:52">
      <c r="AE7416" s="10"/>
      <c r="AF7416" s="10"/>
      <c r="AG7416" s="10"/>
      <c r="AH7416" s="10"/>
      <c r="AI7416" s="10"/>
      <c r="AJ7416" s="10"/>
      <c r="AK7416" s="10"/>
      <c r="AL7416" s="10"/>
      <c r="AM7416" s="10"/>
      <c r="AN7416" s="10"/>
      <c r="AO7416" s="10"/>
      <c r="AP7416" s="10"/>
      <c r="AQ7416" s="10"/>
      <c r="AR7416" s="10"/>
      <c r="AS7416" s="10"/>
      <c r="AT7416" s="10"/>
      <c r="AU7416" s="10"/>
      <c r="AV7416" s="10"/>
      <c r="AW7416" s="10"/>
      <c r="AX7416" s="10"/>
      <c r="AY7416" s="10"/>
      <c r="AZ7416" s="10"/>
    </row>
    <row r="7417" spans="31:52">
      <c r="AE7417" s="10"/>
      <c r="AF7417" s="10"/>
      <c r="AG7417" s="10"/>
      <c r="AH7417" s="10"/>
      <c r="AI7417" s="10"/>
      <c r="AJ7417" s="10"/>
      <c r="AK7417" s="10"/>
      <c r="AL7417" s="10"/>
      <c r="AM7417" s="10"/>
      <c r="AN7417" s="10"/>
      <c r="AO7417" s="10"/>
      <c r="AP7417" s="10"/>
      <c r="AQ7417" s="10"/>
      <c r="AR7417" s="10"/>
      <c r="AS7417" s="10"/>
      <c r="AT7417" s="10"/>
      <c r="AU7417" s="10"/>
      <c r="AV7417" s="10"/>
      <c r="AW7417" s="10"/>
      <c r="AX7417" s="10"/>
      <c r="AY7417" s="10"/>
      <c r="AZ7417" s="10"/>
    </row>
    <row r="7418" spans="31:52">
      <c r="AE7418" s="10"/>
      <c r="AF7418" s="10"/>
      <c r="AG7418" s="10"/>
      <c r="AH7418" s="10"/>
      <c r="AI7418" s="10"/>
      <c r="AJ7418" s="10"/>
      <c r="AK7418" s="10"/>
      <c r="AL7418" s="10"/>
      <c r="AM7418" s="10"/>
      <c r="AN7418" s="10"/>
      <c r="AO7418" s="10"/>
      <c r="AP7418" s="10"/>
      <c r="AQ7418" s="10"/>
      <c r="AR7418" s="10"/>
      <c r="AS7418" s="10"/>
      <c r="AT7418" s="10"/>
      <c r="AU7418" s="10"/>
      <c r="AV7418" s="10"/>
      <c r="AW7418" s="10"/>
      <c r="AX7418" s="10"/>
      <c r="AY7418" s="10"/>
      <c r="AZ7418" s="10"/>
    </row>
    <row r="7419" spans="31:52">
      <c r="AE7419" s="10"/>
      <c r="AF7419" s="10"/>
      <c r="AG7419" s="10"/>
      <c r="AH7419" s="10"/>
      <c r="AI7419" s="10"/>
      <c r="AJ7419" s="10"/>
      <c r="AK7419" s="10"/>
      <c r="AL7419" s="10"/>
      <c r="AM7419" s="10"/>
      <c r="AN7419" s="10"/>
      <c r="AO7419" s="10"/>
      <c r="AP7419" s="10"/>
      <c r="AQ7419" s="10"/>
      <c r="AR7419" s="10"/>
      <c r="AS7419" s="10"/>
      <c r="AT7419" s="10"/>
      <c r="AU7419" s="10"/>
      <c r="AV7419" s="10"/>
      <c r="AW7419" s="10"/>
      <c r="AX7419" s="10"/>
      <c r="AY7419" s="10"/>
      <c r="AZ7419" s="10"/>
    </row>
    <row r="7420" spans="31:52">
      <c r="AE7420" s="10"/>
      <c r="AF7420" s="10"/>
      <c r="AG7420" s="10"/>
      <c r="AH7420" s="10"/>
      <c r="AI7420" s="10"/>
      <c r="AJ7420" s="10"/>
      <c r="AK7420" s="10"/>
      <c r="AL7420" s="10"/>
      <c r="AM7420" s="10"/>
      <c r="AN7420" s="10"/>
      <c r="AO7420" s="10"/>
      <c r="AP7420" s="10"/>
      <c r="AQ7420" s="10"/>
      <c r="AR7420" s="10"/>
      <c r="AS7420" s="10"/>
      <c r="AT7420" s="10"/>
      <c r="AU7420" s="10"/>
      <c r="AV7420" s="10"/>
      <c r="AW7420" s="10"/>
      <c r="AX7420" s="10"/>
      <c r="AY7420" s="10"/>
      <c r="AZ7420" s="10"/>
    </row>
    <row r="7421" spans="31:52">
      <c r="AE7421" s="10"/>
      <c r="AF7421" s="10"/>
      <c r="AG7421" s="10"/>
      <c r="AH7421" s="10"/>
      <c r="AI7421" s="10"/>
      <c r="AJ7421" s="10"/>
      <c r="AK7421" s="10"/>
      <c r="AL7421" s="10"/>
      <c r="AM7421" s="10"/>
      <c r="AN7421" s="10"/>
      <c r="AO7421" s="10"/>
      <c r="AP7421" s="10"/>
      <c r="AQ7421" s="10"/>
      <c r="AR7421" s="10"/>
      <c r="AS7421" s="10"/>
      <c r="AT7421" s="10"/>
      <c r="AU7421" s="10"/>
      <c r="AV7421" s="10"/>
      <c r="AW7421" s="10"/>
      <c r="AX7421" s="10"/>
      <c r="AY7421" s="10"/>
      <c r="AZ7421" s="10"/>
    </row>
    <row r="7422" spans="31:52">
      <c r="AE7422" s="10"/>
      <c r="AF7422" s="10"/>
      <c r="AG7422" s="10"/>
      <c r="AH7422" s="10"/>
      <c r="AI7422" s="10"/>
      <c r="AJ7422" s="10"/>
      <c r="AK7422" s="10"/>
      <c r="AL7422" s="10"/>
      <c r="AM7422" s="10"/>
      <c r="AN7422" s="10"/>
      <c r="AO7422" s="10"/>
      <c r="AP7422" s="10"/>
      <c r="AQ7422" s="10"/>
      <c r="AR7422" s="10"/>
      <c r="AS7422" s="10"/>
      <c r="AT7422" s="10"/>
      <c r="AU7422" s="10"/>
      <c r="AV7422" s="10"/>
      <c r="AW7422" s="10"/>
      <c r="AX7422" s="10"/>
      <c r="AY7422" s="10"/>
      <c r="AZ7422" s="10"/>
    </row>
    <row r="7423" spans="31:52">
      <c r="AE7423" s="10"/>
      <c r="AF7423" s="10"/>
      <c r="AG7423" s="10"/>
      <c r="AH7423" s="10"/>
      <c r="AI7423" s="10"/>
      <c r="AJ7423" s="10"/>
      <c r="AK7423" s="10"/>
      <c r="AL7423" s="10"/>
      <c r="AM7423" s="10"/>
      <c r="AN7423" s="10"/>
      <c r="AO7423" s="10"/>
      <c r="AP7423" s="10"/>
      <c r="AQ7423" s="10"/>
      <c r="AR7423" s="10"/>
      <c r="AS7423" s="10"/>
      <c r="AT7423" s="10"/>
      <c r="AU7423" s="10"/>
      <c r="AV7423" s="10"/>
      <c r="AW7423" s="10"/>
      <c r="AX7423" s="10"/>
      <c r="AY7423" s="10"/>
      <c r="AZ7423" s="10"/>
    </row>
    <row r="7424" spans="31:52">
      <c r="AE7424" s="10"/>
      <c r="AF7424" s="10"/>
      <c r="AG7424" s="10"/>
      <c r="AH7424" s="10"/>
      <c r="AI7424" s="10"/>
      <c r="AJ7424" s="10"/>
      <c r="AK7424" s="10"/>
      <c r="AL7424" s="10"/>
      <c r="AM7424" s="10"/>
      <c r="AN7424" s="10"/>
      <c r="AO7424" s="10"/>
      <c r="AP7424" s="10"/>
      <c r="AQ7424" s="10"/>
      <c r="AR7424" s="10"/>
      <c r="AS7424" s="10"/>
      <c r="AT7424" s="10"/>
      <c r="AU7424" s="10"/>
      <c r="AV7424" s="10"/>
      <c r="AW7424" s="10"/>
      <c r="AX7424" s="10"/>
      <c r="AY7424" s="10"/>
      <c r="AZ7424" s="10"/>
    </row>
    <row r="7425" spans="31:52">
      <c r="AE7425" s="10"/>
      <c r="AF7425" s="10"/>
      <c r="AG7425" s="10"/>
      <c r="AH7425" s="10"/>
      <c r="AI7425" s="10"/>
      <c r="AJ7425" s="10"/>
      <c r="AK7425" s="10"/>
      <c r="AL7425" s="10"/>
      <c r="AM7425" s="10"/>
      <c r="AN7425" s="10"/>
      <c r="AO7425" s="10"/>
      <c r="AP7425" s="10"/>
      <c r="AQ7425" s="10"/>
      <c r="AR7425" s="10"/>
      <c r="AS7425" s="10"/>
      <c r="AT7425" s="10"/>
      <c r="AU7425" s="10"/>
      <c r="AV7425" s="10"/>
      <c r="AW7425" s="10"/>
      <c r="AX7425" s="10"/>
      <c r="AY7425" s="10"/>
      <c r="AZ7425" s="10"/>
    </row>
    <row r="7426" spans="31:52">
      <c r="AE7426" s="10"/>
      <c r="AF7426" s="10"/>
      <c r="AG7426" s="10"/>
      <c r="AH7426" s="10"/>
      <c r="AI7426" s="10"/>
      <c r="AJ7426" s="10"/>
      <c r="AK7426" s="10"/>
      <c r="AL7426" s="10"/>
      <c r="AM7426" s="10"/>
      <c r="AN7426" s="10"/>
      <c r="AO7426" s="10"/>
      <c r="AP7426" s="10"/>
      <c r="AQ7426" s="10"/>
      <c r="AR7426" s="10"/>
      <c r="AS7426" s="10"/>
      <c r="AT7426" s="10"/>
      <c r="AU7426" s="10"/>
      <c r="AV7426" s="10"/>
      <c r="AW7426" s="10"/>
      <c r="AX7426" s="10"/>
      <c r="AY7426" s="10"/>
      <c r="AZ7426" s="10"/>
    </row>
    <row r="7427" spans="31:52">
      <c r="AE7427" s="10"/>
      <c r="AF7427" s="10"/>
      <c r="AG7427" s="10"/>
      <c r="AH7427" s="10"/>
      <c r="AI7427" s="10"/>
      <c r="AJ7427" s="10"/>
      <c r="AK7427" s="10"/>
      <c r="AL7427" s="10"/>
      <c r="AM7427" s="10"/>
      <c r="AN7427" s="10"/>
      <c r="AO7427" s="10"/>
      <c r="AP7427" s="10"/>
      <c r="AQ7427" s="10"/>
      <c r="AR7427" s="10"/>
      <c r="AS7427" s="10"/>
      <c r="AT7427" s="10"/>
      <c r="AU7427" s="10"/>
      <c r="AV7427" s="10"/>
      <c r="AW7427" s="10"/>
      <c r="AX7427" s="10"/>
      <c r="AY7427" s="10"/>
      <c r="AZ7427" s="10"/>
    </row>
    <row r="7428" spans="31:52">
      <c r="AE7428" s="10"/>
      <c r="AF7428" s="10"/>
      <c r="AG7428" s="10"/>
      <c r="AH7428" s="10"/>
      <c r="AI7428" s="10"/>
      <c r="AJ7428" s="10"/>
      <c r="AK7428" s="10"/>
      <c r="AL7428" s="10"/>
      <c r="AM7428" s="10"/>
      <c r="AN7428" s="10"/>
      <c r="AO7428" s="10"/>
      <c r="AP7428" s="10"/>
      <c r="AQ7428" s="10"/>
      <c r="AR7428" s="10"/>
      <c r="AS7428" s="10"/>
      <c r="AT7428" s="10"/>
      <c r="AU7428" s="10"/>
      <c r="AV7428" s="10"/>
      <c r="AW7428" s="10"/>
      <c r="AX7428" s="10"/>
      <c r="AY7428" s="10"/>
      <c r="AZ7428" s="10"/>
    </row>
    <row r="7429" spans="31:52">
      <c r="AE7429" s="10"/>
      <c r="AF7429" s="10"/>
      <c r="AG7429" s="10"/>
      <c r="AH7429" s="10"/>
      <c r="AI7429" s="10"/>
      <c r="AJ7429" s="10"/>
      <c r="AK7429" s="10"/>
      <c r="AL7429" s="10"/>
      <c r="AM7429" s="10"/>
      <c r="AN7429" s="10"/>
      <c r="AO7429" s="10"/>
      <c r="AP7429" s="10"/>
      <c r="AQ7429" s="10"/>
      <c r="AR7429" s="10"/>
      <c r="AS7429" s="10"/>
      <c r="AT7429" s="10"/>
      <c r="AU7429" s="10"/>
      <c r="AV7429" s="10"/>
      <c r="AW7429" s="10"/>
      <c r="AX7429" s="10"/>
      <c r="AY7429" s="10"/>
      <c r="AZ7429" s="10"/>
    </row>
    <row r="7430" spans="31:52">
      <c r="AE7430" s="10"/>
      <c r="AF7430" s="10"/>
      <c r="AG7430" s="10"/>
      <c r="AH7430" s="10"/>
      <c r="AI7430" s="10"/>
      <c r="AJ7430" s="10"/>
      <c r="AK7430" s="10"/>
      <c r="AL7430" s="10"/>
      <c r="AM7430" s="10"/>
      <c r="AN7430" s="10"/>
      <c r="AO7430" s="10"/>
      <c r="AP7430" s="10"/>
      <c r="AQ7430" s="10"/>
      <c r="AR7430" s="10"/>
      <c r="AS7430" s="10"/>
      <c r="AT7430" s="10"/>
      <c r="AU7430" s="10"/>
      <c r="AV7430" s="10"/>
      <c r="AW7430" s="10"/>
      <c r="AX7430" s="10"/>
      <c r="AY7430" s="10"/>
      <c r="AZ7430" s="10"/>
    </row>
    <row r="7431" spans="31:52">
      <c r="AE7431" s="10"/>
      <c r="AF7431" s="10"/>
      <c r="AG7431" s="10"/>
      <c r="AH7431" s="10"/>
      <c r="AI7431" s="10"/>
      <c r="AJ7431" s="10"/>
      <c r="AK7431" s="10"/>
      <c r="AL7431" s="10"/>
      <c r="AM7431" s="10"/>
      <c r="AN7431" s="10"/>
      <c r="AO7431" s="10"/>
      <c r="AP7431" s="10"/>
      <c r="AQ7431" s="10"/>
      <c r="AR7431" s="10"/>
      <c r="AS7431" s="10"/>
      <c r="AT7431" s="10"/>
      <c r="AU7431" s="10"/>
      <c r="AV7431" s="10"/>
      <c r="AW7431" s="10"/>
      <c r="AX7431" s="10"/>
      <c r="AY7431" s="10"/>
      <c r="AZ7431" s="10"/>
    </row>
    <row r="7432" spans="31:52">
      <c r="AE7432" s="10"/>
      <c r="AF7432" s="10"/>
      <c r="AG7432" s="10"/>
      <c r="AH7432" s="10"/>
      <c r="AI7432" s="10"/>
      <c r="AJ7432" s="10"/>
      <c r="AK7432" s="10"/>
      <c r="AL7432" s="10"/>
      <c r="AM7432" s="10"/>
      <c r="AN7432" s="10"/>
      <c r="AO7432" s="10"/>
      <c r="AP7432" s="10"/>
      <c r="AQ7432" s="10"/>
      <c r="AR7432" s="10"/>
      <c r="AS7432" s="10"/>
      <c r="AT7432" s="10"/>
      <c r="AU7432" s="10"/>
      <c r="AV7432" s="10"/>
      <c r="AW7432" s="10"/>
      <c r="AX7432" s="10"/>
      <c r="AY7432" s="10"/>
      <c r="AZ7432" s="10"/>
    </row>
    <row r="7433" spans="31:52">
      <c r="AE7433" s="10"/>
      <c r="AF7433" s="10"/>
      <c r="AG7433" s="10"/>
      <c r="AH7433" s="10"/>
      <c r="AI7433" s="10"/>
      <c r="AJ7433" s="10"/>
      <c r="AK7433" s="10"/>
      <c r="AL7433" s="10"/>
      <c r="AM7433" s="10"/>
      <c r="AN7433" s="10"/>
      <c r="AO7433" s="10"/>
      <c r="AP7433" s="10"/>
      <c r="AQ7433" s="10"/>
      <c r="AR7433" s="10"/>
      <c r="AS7433" s="10"/>
      <c r="AT7433" s="10"/>
      <c r="AU7433" s="10"/>
      <c r="AV7433" s="10"/>
      <c r="AW7433" s="10"/>
      <c r="AX7433" s="10"/>
      <c r="AY7433" s="10"/>
      <c r="AZ7433" s="10"/>
    </row>
    <row r="7434" spans="31:52">
      <c r="AE7434" s="10"/>
      <c r="AF7434" s="10"/>
      <c r="AG7434" s="10"/>
      <c r="AH7434" s="10"/>
      <c r="AI7434" s="10"/>
      <c r="AJ7434" s="10"/>
      <c r="AK7434" s="10"/>
      <c r="AL7434" s="10"/>
      <c r="AM7434" s="10"/>
      <c r="AN7434" s="10"/>
      <c r="AO7434" s="10"/>
      <c r="AP7434" s="10"/>
      <c r="AQ7434" s="10"/>
      <c r="AR7434" s="10"/>
      <c r="AS7434" s="10"/>
      <c r="AT7434" s="10"/>
      <c r="AU7434" s="10"/>
      <c r="AV7434" s="10"/>
      <c r="AW7434" s="10"/>
      <c r="AX7434" s="10"/>
      <c r="AY7434" s="10"/>
      <c r="AZ7434" s="10"/>
    </row>
    <row r="7435" spans="31:52">
      <c r="AE7435" s="10"/>
      <c r="AF7435" s="10"/>
      <c r="AG7435" s="10"/>
      <c r="AH7435" s="10"/>
      <c r="AI7435" s="10"/>
      <c r="AJ7435" s="10"/>
      <c r="AK7435" s="10"/>
      <c r="AL7435" s="10"/>
      <c r="AM7435" s="10"/>
      <c r="AN7435" s="10"/>
      <c r="AO7435" s="10"/>
      <c r="AP7435" s="10"/>
      <c r="AQ7435" s="10"/>
      <c r="AR7435" s="10"/>
      <c r="AS7435" s="10"/>
      <c r="AT7435" s="10"/>
      <c r="AU7435" s="10"/>
      <c r="AV7435" s="10"/>
      <c r="AW7435" s="10"/>
      <c r="AX7435" s="10"/>
      <c r="AY7435" s="10"/>
      <c r="AZ7435" s="10"/>
    </row>
    <row r="7436" spans="31:52">
      <c r="AE7436" s="10"/>
      <c r="AF7436" s="10"/>
      <c r="AG7436" s="10"/>
      <c r="AH7436" s="10"/>
      <c r="AI7436" s="10"/>
      <c r="AJ7436" s="10"/>
      <c r="AK7436" s="10"/>
      <c r="AL7436" s="10"/>
      <c r="AM7436" s="10"/>
      <c r="AN7436" s="10"/>
      <c r="AO7436" s="10"/>
      <c r="AP7436" s="10"/>
      <c r="AQ7436" s="10"/>
      <c r="AR7436" s="10"/>
      <c r="AS7436" s="10"/>
      <c r="AT7436" s="10"/>
      <c r="AU7436" s="10"/>
      <c r="AV7436" s="10"/>
      <c r="AW7436" s="10"/>
      <c r="AX7436" s="10"/>
      <c r="AY7436" s="10"/>
      <c r="AZ7436" s="10"/>
    </row>
    <row r="7437" spans="31:52">
      <c r="AE7437" s="10"/>
      <c r="AF7437" s="10"/>
      <c r="AG7437" s="10"/>
      <c r="AH7437" s="10"/>
      <c r="AI7437" s="10"/>
      <c r="AJ7437" s="10"/>
      <c r="AK7437" s="10"/>
      <c r="AL7437" s="10"/>
      <c r="AM7437" s="10"/>
      <c r="AN7437" s="10"/>
      <c r="AO7437" s="10"/>
      <c r="AP7437" s="10"/>
      <c r="AQ7437" s="10"/>
      <c r="AR7437" s="10"/>
      <c r="AS7437" s="10"/>
      <c r="AT7437" s="10"/>
      <c r="AU7437" s="10"/>
      <c r="AV7437" s="10"/>
      <c r="AW7437" s="10"/>
      <c r="AX7437" s="10"/>
      <c r="AY7437" s="10"/>
      <c r="AZ7437" s="10"/>
    </row>
    <row r="7438" spans="31:52">
      <c r="AE7438" s="10"/>
      <c r="AF7438" s="10"/>
      <c r="AG7438" s="10"/>
      <c r="AH7438" s="10"/>
      <c r="AI7438" s="10"/>
      <c r="AJ7438" s="10"/>
      <c r="AK7438" s="10"/>
      <c r="AL7438" s="10"/>
      <c r="AM7438" s="10"/>
      <c r="AN7438" s="10"/>
      <c r="AO7438" s="10"/>
      <c r="AP7438" s="10"/>
      <c r="AQ7438" s="10"/>
      <c r="AR7438" s="10"/>
      <c r="AS7438" s="10"/>
      <c r="AT7438" s="10"/>
      <c r="AU7438" s="10"/>
      <c r="AV7438" s="10"/>
      <c r="AW7438" s="10"/>
      <c r="AX7438" s="10"/>
      <c r="AY7438" s="10"/>
      <c r="AZ7438" s="10"/>
    </row>
    <row r="7439" spans="31:52">
      <c r="AE7439" s="10"/>
      <c r="AF7439" s="10"/>
      <c r="AG7439" s="10"/>
      <c r="AH7439" s="10"/>
      <c r="AI7439" s="10"/>
      <c r="AJ7439" s="10"/>
      <c r="AK7439" s="10"/>
      <c r="AL7439" s="10"/>
      <c r="AM7439" s="10"/>
      <c r="AN7439" s="10"/>
      <c r="AO7439" s="10"/>
      <c r="AP7439" s="10"/>
      <c r="AQ7439" s="10"/>
      <c r="AR7439" s="10"/>
      <c r="AS7439" s="10"/>
      <c r="AT7439" s="10"/>
      <c r="AU7439" s="10"/>
      <c r="AV7439" s="10"/>
      <c r="AW7439" s="10"/>
      <c r="AX7439" s="10"/>
      <c r="AY7439" s="10"/>
      <c r="AZ7439" s="10"/>
    </row>
    <row r="7440" spans="31:52">
      <c r="AE7440" s="10"/>
      <c r="AF7440" s="10"/>
      <c r="AG7440" s="10"/>
      <c r="AH7440" s="10"/>
      <c r="AI7440" s="10"/>
      <c r="AJ7440" s="10"/>
      <c r="AK7440" s="10"/>
      <c r="AL7440" s="10"/>
      <c r="AM7440" s="10"/>
      <c r="AN7440" s="10"/>
      <c r="AO7440" s="10"/>
      <c r="AP7440" s="10"/>
      <c r="AQ7440" s="10"/>
      <c r="AR7440" s="10"/>
      <c r="AS7440" s="10"/>
      <c r="AT7440" s="10"/>
      <c r="AU7440" s="10"/>
      <c r="AV7440" s="10"/>
      <c r="AW7440" s="10"/>
      <c r="AX7440" s="10"/>
      <c r="AY7440" s="10"/>
      <c r="AZ7440" s="10"/>
    </row>
    <row r="7441" spans="31:52">
      <c r="AE7441" s="10"/>
      <c r="AF7441" s="10"/>
      <c r="AG7441" s="10"/>
      <c r="AH7441" s="10"/>
      <c r="AI7441" s="10"/>
      <c r="AJ7441" s="10"/>
      <c r="AK7441" s="10"/>
      <c r="AL7441" s="10"/>
      <c r="AM7441" s="10"/>
      <c r="AN7441" s="10"/>
      <c r="AO7441" s="10"/>
      <c r="AP7441" s="10"/>
      <c r="AQ7441" s="10"/>
      <c r="AR7441" s="10"/>
      <c r="AS7441" s="10"/>
      <c r="AT7441" s="10"/>
      <c r="AU7441" s="10"/>
      <c r="AV7441" s="10"/>
      <c r="AW7441" s="10"/>
      <c r="AX7441" s="10"/>
      <c r="AY7441" s="10"/>
      <c r="AZ7441" s="10"/>
    </row>
    <row r="7442" spans="31:52">
      <c r="AE7442" s="10"/>
      <c r="AF7442" s="10"/>
      <c r="AG7442" s="10"/>
      <c r="AH7442" s="10"/>
      <c r="AI7442" s="10"/>
      <c r="AJ7442" s="10"/>
      <c r="AK7442" s="10"/>
      <c r="AL7442" s="10"/>
      <c r="AM7442" s="10"/>
      <c r="AN7442" s="10"/>
      <c r="AO7442" s="10"/>
      <c r="AP7442" s="10"/>
      <c r="AQ7442" s="10"/>
      <c r="AR7442" s="10"/>
      <c r="AS7442" s="10"/>
      <c r="AT7442" s="10"/>
      <c r="AU7442" s="10"/>
      <c r="AV7442" s="10"/>
      <c r="AW7442" s="10"/>
      <c r="AX7442" s="10"/>
      <c r="AY7442" s="10"/>
      <c r="AZ7442" s="10"/>
    </row>
    <row r="7443" spans="31:52">
      <c r="AE7443" s="10"/>
      <c r="AF7443" s="10"/>
      <c r="AG7443" s="10"/>
      <c r="AH7443" s="10"/>
      <c r="AI7443" s="10"/>
      <c r="AJ7443" s="10"/>
      <c r="AK7443" s="10"/>
      <c r="AL7443" s="10"/>
      <c r="AM7443" s="10"/>
      <c r="AN7443" s="10"/>
      <c r="AO7443" s="10"/>
      <c r="AP7443" s="10"/>
      <c r="AQ7443" s="10"/>
      <c r="AR7443" s="10"/>
      <c r="AS7443" s="10"/>
      <c r="AT7443" s="10"/>
      <c r="AU7443" s="10"/>
      <c r="AV7443" s="10"/>
      <c r="AW7443" s="10"/>
      <c r="AX7443" s="10"/>
      <c r="AY7443" s="10"/>
      <c r="AZ7443" s="10"/>
    </row>
    <row r="7444" spans="31:52">
      <c r="AE7444" s="10"/>
      <c r="AF7444" s="10"/>
      <c r="AG7444" s="10"/>
      <c r="AH7444" s="10"/>
      <c r="AI7444" s="10"/>
      <c r="AJ7444" s="10"/>
      <c r="AK7444" s="10"/>
      <c r="AL7444" s="10"/>
      <c r="AM7444" s="10"/>
      <c r="AN7444" s="10"/>
      <c r="AO7444" s="10"/>
      <c r="AP7444" s="10"/>
      <c r="AQ7444" s="10"/>
      <c r="AR7444" s="10"/>
      <c r="AS7444" s="10"/>
      <c r="AT7444" s="10"/>
      <c r="AU7444" s="10"/>
      <c r="AV7444" s="10"/>
      <c r="AW7444" s="10"/>
      <c r="AX7444" s="10"/>
      <c r="AY7444" s="10"/>
      <c r="AZ7444" s="10"/>
    </row>
    <row r="7445" spans="31:52">
      <c r="AE7445" s="10"/>
      <c r="AF7445" s="10"/>
      <c r="AG7445" s="10"/>
      <c r="AH7445" s="10"/>
      <c r="AI7445" s="10"/>
      <c r="AJ7445" s="10"/>
      <c r="AK7445" s="10"/>
      <c r="AL7445" s="10"/>
      <c r="AM7445" s="10"/>
      <c r="AN7445" s="10"/>
      <c r="AO7445" s="10"/>
      <c r="AP7445" s="10"/>
      <c r="AQ7445" s="10"/>
      <c r="AR7445" s="10"/>
      <c r="AS7445" s="10"/>
      <c r="AT7445" s="10"/>
      <c r="AU7445" s="10"/>
      <c r="AV7445" s="10"/>
      <c r="AW7445" s="10"/>
      <c r="AX7445" s="10"/>
      <c r="AY7445" s="10"/>
      <c r="AZ7445" s="10"/>
    </row>
    <row r="7446" spans="31:52">
      <c r="AE7446" s="10"/>
      <c r="AF7446" s="10"/>
      <c r="AG7446" s="10"/>
      <c r="AH7446" s="10"/>
      <c r="AI7446" s="10"/>
      <c r="AJ7446" s="10"/>
      <c r="AK7446" s="10"/>
      <c r="AL7446" s="10"/>
      <c r="AM7446" s="10"/>
      <c r="AN7446" s="10"/>
      <c r="AO7446" s="10"/>
      <c r="AP7446" s="10"/>
      <c r="AQ7446" s="10"/>
      <c r="AR7446" s="10"/>
      <c r="AS7446" s="10"/>
      <c r="AT7446" s="10"/>
      <c r="AU7446" s="10"/>
      <c r="AV7446" s="10"/>
      <c r="AW7446" s="10"/>
      <c r="AX7446" s="10"/>
      <c r="AY7446" s="10"/>
      <c r="AZ7446" s="10"/>
    </row>
    <row r="7447" spans="31:52">
      <c r="AE7447" s="10"/>
      <c r="AF7447" s="10"/>
      <c r="AG7447" s="10"/>
      <c r="AH7447" s="10"/>
      <c r="AI7447" s="10"/>
      <c r="AJ7447" s="10"/>
      <c r="AK7447" s="10"/>
      <c r="AL7447" s="10"/>
      <c r="AM7447" s="10"/>
      <c r="AN7447" s="10"/>
      <c r="AO7447" s="10"/>
      <c r="AP7447" s="10"/>
      <c r="AQ7447" s="10"/>
      <c r="AR7447" s="10"/>
      <c r="AS7447" s="10"/>
      <c r="AT7447" s="10"/>
      <c r="AU7447" s="10"/>
      <c r="AV7447" s="10"/>
      <c r="AW7447" s="10"/>
      <c r="AX7447" s="10"/>
      <c r="AY7447" s="10"/>
      <c r="AZ7447" s="10"/>
    </row>
    <row r="7448" spans="31:52">
      <c r="AE7448" s="10"/>
      <c r="AF7448" s="10"/>
      <c r="AG7448" s="10"/>
      <c r="AH7448" s="10"/>
      <c r="AI7448" s="10"/>
      <c r="AJ7448" s="10"/>
      <c r="AK7448" s="10"/>
      <c r="AL7448" s="10"/>
      <c r="AM7448" s="10"/>
      <c r="AN7448" s="10"/>
      <c r="AO7448" s="10"/>
      <c r="AP7448" s="10"/>
      <c r="AQ7448" s="10"/>
      <c r="AR7448" s="10"/>
      <c r="AS7448" s="10"/>
      <c r="AT7448" s="10"/>
      <c r="AU7448" s="10"/>
      <c r="AV7448" s="10"/>
      <c r="AW7448" s="10"/>
      <c r="AX7448" s="10"/>
      <c r="AY7448" s="10"/>
      <c r="AZ7448" s="10"/>
    </row>
    <row r="7449" spans="31:52">
      <c r="AE7449" s="10"/>
      <c r="AF7449" s="10"/>
      <c r="AG7449" s="10"/>
      <c r="AH7449" s="10"/>
      <c r="AI7449" s="10"/>
      <c r="AJ7449" s="10"/>
      <c r="AK7449" s="10"/>
      <c r="AL7449" s="10"/>
      <c r="AM7449" s="10"/>
      <c r="AN7449" s="10"/>
      <c r="AO7449" s="10"/>
      <c r="AP7449" s="10"/>
      <c r="AQ7449" s="10"/>
      <c r="AR7449" s="10"/>
      <c r="AS7449" s="10"/>
      <c r="AT7449" s="10"/>
      <c r="AU7449" s="10"/>
      <c r="AV7449" s="10"/>
      <c r="AW7449" s="10"/>
      <c r="AX7449" s="10"/>
      <c r="AY7449" s="10"/>
      <c r="AZ7449" s="10"/>
    </row>
    <row r="7450" spans="31:52">
      <c r="AE7450" s="10"/>
      <c r="AF7450" s="10"/>
      <c r="AG7450" s="10"/>
      <c r="AH7450" s="10"/>
      <c r="AI7450" s="10"/>
      <c r="AJ7450" s="10"/>
      <c r="AK7450" s="10"/>
      <c r="AL7450" s="10"/>
      <c r="AM7450" s="10"/>
      <c r="AN7450" s="10"/>
      <c r="AO7450" s="10"/>
      <c r="AP7450" s="10"/>
      <c r="AQ7450" s="10"/>
      <c r="AR7450" s="10"/>
      <c r="AS7450" s="10"/>
      <c r="AT7450" s="10"/>
      <c r="AU7450" s="10"/>
      <c r="AV7450" s="10"/>
      <c r="AW7450" s="10"/>
      <c r="AX7450" s="10"/>
      <c r="AY7450" s="10"/>
      <c r="AZ7450" s="10"/>
    </row>
    <row r="7451" spans="31:52">
      <c r="AE7451" s="10"/>
      <c r="AF7451" s="10"/>
      <c r="AG7451" s="10"/>
      <c r="AH7451" s="10"/>
      <c r="AI7451" s="10"/>
      <c r="AJ7451" s="10"/>
      <c r="AK7451" s="10"/>
      <c r="AL7451" s="10"/>
      <c r="AM7451" s="10"/>
      <c r="AN7451" s="10"/>
      <c r="AO7451" s="10"/>
      <c r="AP7451" s="10"/>
      <c r="AQ7451" s="10"/>
      <c r="AR7451" s="10"/>
      <c r="AS7451" s="10"/>
      <c r="AT7451" s="10"/>
      <c r="AU7451" s="10"/>
      <c r="AV7451" s="10"/>
      <c r="AW7451" s="10"/>
      <c r="AX7451" s="10"/>
      <c r="AY7451" s="10"/>
      <c r="AZ7451" s="10"/>
    </row>
    <row r="7452" spans="31:52">
      <c r="AE7452" s="10"/>
      <c r="AF7452" s="10"/>
      <c r="AG7452" s="10"/>
      <c r="AH7452" s="10"/>
      <c r="AI7452" s="10"/>
      <c r="AJ7452" s="10"/>
      <c r="AK7452" s="10"/>
      <c r="AL7452" s="10"/>
      <c r="AM7452" s="10"/>
      <c r="AN7452" s="10"/>
      <c r="AO7452" s="10"/>
      <c r="AP7452" s="10"/>
      <c r="AQ7452" s="10"/>
      <c r="AR7452" s="10"/>
      <c r="AS7452" s="10"/>
      <c r="AT7452" s="10"/>
      <c r="AU7452" s="10"/>
      <c r="AV7452" s="10"/>
      <c r="AW7452" s="10"/>
      <c r="AX7452" s="10"/>
      <c r="AY7452" s="10"/>
      <c r="AZ7452" s="10"/>
    </row>
    <row r="7453" spans="31:52">
      <c r="AE7453" s="10"/>
      <c r="AF7453" s="10"/>
      <c r="AG7453" s="10"/>
      <c r="AH7453" s="10"/>
      <c r="AI7453" s="10"/>
      <c r="AJ7453" s="10"/>
      <c r="AK7453" s="10"/>
      <c r="AL7453" s="10"/>
      <c r="AM7453" s="10"/>
      <c r="AN7453" s="10"/>
      <c r="AO7453" s="10"/>
      <c r="AP7453" s="10"/>
      <c r="AQ7453" s="10"/>
      <c r="AR7453" s="10"/>
      <c r="AS7453" s="10"/>
      <c r="AT7453" s="10"/>
      <c r="AU7453" s="10"/>
      <c r="AV7453" s="10"/>
      <c r="AW7453" s="10"/>
      <c r="AX7453" s="10"/>
      <c r="AY7453" s="10"/>
      <c r="AZ7453" s="10"/>
    </row>
    <row r="7454" spans="31:52">
      <c r="AE7454" s="10"/>
      <c r="AF7454" s="10"/>
      <c r="AG7454" s="10"/>
      <c r="AH7454" s="10"/>
      <c r="AI7454" s="10"/>
      <c r="AJ7454" s="10"/>
      <c r="AK7454" s="10"/>
      <c r="AL7454" s="10"/>
      <c r="AM7454" s="10"/>
      <c r="AN7454" s="10"/>
      <c r="AO7454" s="10"/>
      <c r="AP7454" s="10"/>
      <c r="AQ7454" s="10"/>
      <c r="AR7454" s="10"/>
      <c r="AS7454" s="10"/>
      <c r="AT7454" s="10"/>
      <c r="AU7454" s="10"/>
      <c r="AV7454" s="10"/>
      <c r="AW7454" s="10"/>
      <c r="AX7454" s="10"/>
      <c r="AY7454" s="10"/>
      <c r="AZ7454" s="10"/>
    </row>
    <row r="7455" spans="31:52">
      <c r="AE7455" s="10"/>
      <c r="AF7455" s="10"/>
      <c r="AG7455" s="10"/>
      <c r="AH7455" s="10"/>
      <c r="AI7455" s="10"/>
      <c r="AJ7455" s="10"/>
      <c r="AK7455" s="10"/>
      <c r="AL7455" s="10"/>
      <c r="AM7455" s="10"/>
      <c r="AN7455" s="10"/>
      <c r="AO7455" s="10"/>
      <c r="AP7455" s="10"/>
      <c r="AQ7455" s="10"/>
      <c r="AR7455" s="10"/>
      <c r="AS7455" s="10"/>
      <c r="AT7455" s="10"/>
      <c r="AU7455" s="10"/>
      <c r="AV7455" s="10"/>
      <c r="AW7455" s="10"/>
      <c r="AX7455" s="10"/>
      <c r="AY7455" s="10"/>
      <c r="AZ7455" s="10"/>
    </row>
    <row r="7456" spans="31:52">
      <c r="AE7456" s="10"/>
      <c r="AF7456" s="10"/>
      <c r="AG7456" s="10"/>
      <c r="AH7456" s="10"/>
      <c r="AI7456" s="10"/>
      <c r="AJ7456" s="10"/>
      <c r="AK7456" s="10"/>
      <c r="AL7456" s="10"/>
      <c r="AM7456" s="10"/>
      <c r="AN7456" s="10"/>
      <c r="AO7456" s="10"/>
      <c r="AP7456" s="10"/>
      <c r="AQ7456" s="10"/>
      <c r="AR7456" s="10"/>
      <c r="AS7456" s="10"/>
      <c r="AT7456" s="10"/>
      <c r="AU7456" s="10"/>
      <c r="AV7456" s="10"/>
      <c r="AW7456" s="10"/>
      <c r="AX7456" s="10"/>
      <c r="AY7456" s="10"/>
      <c r="AZ7456" s="10"/>
    </row>
    <row r="7457" spans="31:52">
      <c r="AE7457" s="10"/>
      <c r="AF7457" s="10"/>
      <c r="AG7457" s="10"/>
      <c r="AH7457" s="10"/>
      <c r="AI7457" s="10"/>
      <c r="AJ7457" s="10"/>
      <c r="AK7457" s="10"/>
      <c r="AL7457" s="10"/>
      <c r="AM7457" s="10"/>
      <c r="AN7457" s="10"/>
      <c r="AO7457" s="10"/>
      <c r="AP7457" s="10"/>
      <c r="AQ7457" s="10"/>
      <c r="AR7457" s="10"/>
      <c r="AS7457" s="10"/>
      <c r="AT7457" s="10"/>
      <c r="AU7457" s="10"/>
      <c r="AV7457" s="10"/>
      <c r="AW7457" s="10"/>
      <c r="AX7457" s="10"/>
      <c r="AY7457" s="10"/>
      <c r="AZ7457" s="10"/>
    </row>
    <row r="7458" spans="31:52">
      <c r="AE7458" s="10"/>
      <c r="AF7458" s="10"/>
      <c r="AG7458" s="10"/>
      <c r="AH7458" s="10"/>
      <c r="AI7458" s="10"/>
      <c r="AJ7458" s="10"/>
      <c r="AK7458" s="10"/>
      <c r="AL7458" s="10"/>
      <c r="AM7458" s="10"/>
      <c r="AN7458" s="10"/>
      <c r="AO7458" s="10"/>
      <c r="AP7458" s="10"/>
      <c r="AQ7458" s="10"/>
      <c r="AR7458" s="10"/>
      <c r="AS7458" s="10"/>
      <c r="AT7458" s="10"/>
      <c r="AU7458" s="10"/>
      <c r="AV7458" s="10"/>
      <c r="AW7458" s="10"/>
      <c r="AX7458" s="10"/>
      <c r="AY7458" s="10"/>
      <c r="AZ7458" s="10"/>
    </row>
    <row r="7459" spans="31:52">
      <c r="AE7459" s="10"/>
      <c r="AF7459" s="10"/>
      <c r="AG7459" s="10"/>
      <c r="AH7459" s="10"/>
      <c r="AI7459" s="10"/>
      <c r="AJ7459" s="10"/>
      <c r="AK7459" s="10"/>
      <c r="AL7459" s="10"/>
      <c r="AM7459" s="10"/>
      <c r="AN7459" s="10"/>
      <c r="AO7459" s="10"/>
      <c r="AP7459" s="10"/>
      <c r="AQ7459" s="10"/>
      <c r="AR7459" s="10"/>
      <c r="AS7459" s="10"/>
      <c r="AT7459" s="10"/>
      <c r="AU7459" s="10"/>
      <c r="AV7459" s="10"/>
      <c r="AW7459" s="10"/>
      <c r="AX7459" s="10"/>
      <c r="AY7459" s="10"/>
      <c r="AZ7459" s="10"/>
    </row>
    <row r="7460" spans="31:52">
      <c r="AE7460" s="10"/>
      <c r="AF7460" s="10"/>
      <c r="AG7460" s="10"/>
      <c r="AH7460" s="10"/>
      <c r="AI7460" s="10"/>
      <c r="AJ7460" s="10"/>
      <c r="AK7460" s="10"/>
      <c r="AL7460" s="10"/>
      <c r="AM7460" s="10"/>
      <c r="AN7460" s="10"/>
      <c r="AO7460" s="10"/>
      <c r="AP7460" s="10"/>
      <c r="AQ7460" s="10"/>
      <c r="AR7460" s="10"/>
      <c r="AS7460" s="10"/>
      <c r="AT7460" s="10"/>
      <c r="AU7460" s="10"/>
      <c r="AV7460" s="10"/>
      <c r="AW7460" s="10"/>
      <c r="AX7460" s="10"/>
      <c r="AY7460" s="10"/>
      <c r="AZ7460" s="10"/>
    </row>
    <row r="7461" spans="31:52">
      <c r="AE7461" s="10"/>
      <c r="AF7461" s="10"/>
      <c r="AG7461" s="10"/>
      <c r="AH7461" s="10"/>
      <c r="AI7461" s="10"/>
      <c r="AJ7461" s="10"/>
      <c r="AK7461" s="10"/>
      <c r="AL7461" s="10"/>
      <c r="AM7461" s="10"/>
      <c r="AN7461" s="10"/>
      <c r="AO7461" s="10"/>
      <c r="AP7461" s="10"/>
      <c r="AQ7461" s="10"/>
      <c r="AR7461" s="10"/>
      <c r="AS7461" s="10"/>
      <c r="AT7461" s="10"/>
      <c r="AU7461" s="10"/>
      <c r="AV7461" s="10"/>
      <c r="AW7461" s="10"/>
      <c r="AX7461" s="10"/>
      <c r="AY7461" s="10"/>
      <c r="AZ7461" s="10"/>
    </row>
    <row r="7462" spans="31:52">
      <c r="AE7462" s="10"/>
      <c r="AF7462" s="10"/>
      <c r="AG7462" s="10"/>
      <c r="AH7462" s="10"/>
      <c r="AI7462" s="10"/>
      <c r="AJ7462" s="10"/>
      <c r="AK7462" s="10"/>
      <c r="AL7462" s="10"/>
      <c r="AM7462" s="10"/>
      <c r="AN7462" s="10"/>
      <c r="AO7462" s="10"/>
      <c r="AP7462" s="10"/>
      <c r="AQ7462" s="10"/>
      <c r="AR7462" s="10"/>
      <c r="AS7462" s="10"/>
      <c r="AT7462" s="10"/>
      <c r="AU7462" s="10"/>
      <c r="AV7462" s="10"/>
      <c r="AW7462" s="10"/>
      <c r="AX7462" s="10"/>
      <c r="AY7462" s="10"/>
      <c r="AZ7462" s="10"/>
    </row>
    <row r="7463" spans="31:52">
      <c r="AE7463" s="10"/>
      <c r="AF7463" s="10"/>
      <c r="AG7463" s="10"/>
      <c r="AH7463" s="10"/>
      <c r="AI7463" s="10"/>
      <c r="AJ7463" s="10"/>
      <c r="AK7463" s="10"/>
      <c r="AL7463" s="10"/>
      <c r="AM7463" s="10"/>
      <c r="AN7463" s="10"/>
      <c r="AO7463" s="10"/>
      <c r="AP7463" s="10"/>
      <c r="AQ7463" s="10"/>
      <c r="AR7463" s="10"/>
      <c r="AS7463" s="10"/>
      <c r="AT7463" s="10"/>
      <c r="AU7463" s="10"/>
      <c r="AV7463" s="10"/>
      <c r="AW7463" s="10"/>
      <c r="AX7463" s="10"/>
      <c r="AY7463" s="10"/>
      <c r="AZ7463" s="10"/>
    </row>
    <row r="7464" spans="31:52">
      <c r="AE7464" s="10"/>
      <c r="AF7464" s="10"/>
      <c r="AG7464" s="10"/>
      <c r="AH7464" s="10"/>
      <c r="AI7464" s="10"/>
      <c r="AJ7464" s="10"/>
      <c r="AK7464" s="10"/>
      <c r="AL7464" s="10"/>
      <c r="AM7464" s="10"/>
      <c r="AN7464" s="10"/>
      <c r="AO7464" s="10"/>
      <c r="AP7464" s="10"/>
      <c r="AQ7464" s="10"/>
      <c r="AR7464" s="10"/>
      <c r="AS7464" s="10"/>
      <c r="AT7464" s="10"/>
      <c r="AU7464" s="10"/>
      <c r="AV7464" s="10"/>
      <c r="AW7464" s="10"/>
      <c r="AX7464" s="10"/>
      <c r="AY7464" s="10"/>
      <c r="AZ7464" s="10"/>
    </row>
    <row r="7465" spans="31:52">
      <c r="AE7465" s="10"/>
      <c r="AF7465" s="10"/>
      <c r="AG7465" s="10"/>
      <c r="AH7465" s="10"/>
      <c r="AI7465" s="10"/>
      <c r="AJ7465" s="10"/>
      <c r="AK7465" s="10"/>
      <c r="AL7465" s="10"/>
      <c r="AM7465" s="10"/>
      <c r="AN7465" s="10"/>
      <c r="AO7465" s="10"/>
      <c r="AP7465" s="10"/>
      <c r="AQ7465" s="10"/>
      <c r="AR7465" s="10"/>
      <c r="AS7465" s="10"/>
      <c r="AT7465" s="10"/>
      <c r="AU7465" s="10"/>
      <c r="AV7465" s="10"/>
      <c r="AW7465" s="10"/>
      <c r="AX7465" s="10"/>
      <c r="AY7465" s="10"/>
      <c r="AZ7465" s="10"/>
    </row>
    <row r="7466" spans="31:52">
      <c r="AE7466" s="10"/>
      <c r="AF7466" s="10"/>
      <c r="AG7466" s="10"/>
      <c r="AH7466" s="10"/>
      <c r="AI7466" s="10"/>
      <c r="AJ7466" s="10"/>
      <c r="AK7466" s="10"/>
      <c r="AL7466" s="10"/>
      <c r="AM7466" s="10"/>
      <c r="AN7466" s="10"/>
      <c r="AO7466" s="10"/>
      <c r="AP7466" s="10"/>
      <c r="AQ7466" s="10"/>
      <c r="AR7466" s="10"/>
      <c r="AS7466" s="10"/>
      <c r="AT7466" s="10"/>
      <c r="AU7466" s="10"/>
      <c r="AV7466" s="10"/>
      <c r="AW7466" s="10"/>
      <c r="AX7466" s="10"/>
      <c r="AY7466" s="10"/>
      <c r="AZ7466" s="10"/>
    </row>
    <row r="7467" spans="31:52">
      <c r="AE7467" s="10"/>
      <c r="AF7467" s="10"/>
      <c r="AG7467" s="10"/>
      <c r="AH7467" s="10"/>
      <c r="AI7467" s="10"/>
      <c r="AJ7467" s="10"/>
      <c r="AK7467" s="10"/>
      <c r="AL7467" s="10"/>
      <c r="AM7467" s="10"/>
      <c r="AN7467" s="10"/>
      <c r="AO7467" s="10"/>
      <c r="AP7467" s="10"/>
      <c r="AQ7467" s="10"/>
      <c r="AR7467" s="10"/>
      <c r="AS7467" s="10"/>
      <c r="AT7467" s="10"/>
      <c r="AU7467" s="10"/>
      <c r="AV7467" s="10"/>
      <c r="AW7467" s="10"/>
      <c r="AX7467" s="10"/>
      <c r="AY7467" s="10"/>
      <c r="AZ7467" s="10"/>
    </row>
    <row r="7468" spans="31:52">
      <c r="AE7468" s="10"/>
      <c r="AF7468" s="10"/>
      <c r="AG7468" s="10"/>
      <c r="AH7468" s="10"/>
      <c r="AI7468" s="10"/>
      <c r="AJ7468" s="10"/>
      <c r="AK7468" s="10"/>
      <c r="AL7468" s="10"/>
      <c r="AM7468" s="10"/>
      <c r="AN7468" s="10"/>
      <c r="AO7468" s="10"/>
      <c r="AP7468" s="10"/>
      <c r="AQ7468" s="10"/>
      <c r="AR7468" s="10"/>
      <c r="AS7468" s="10"/>
      <c r="AT7468" s="10"/>
      <c r="AU7468" s="10"/>
      <c r="AV7468" s="10"/>
      <c r="AW7468" s="10"/>
      <c r="AX7468" s="10"/>
      <c r="AY7468" s="10"/>
      <c r="AZ7468" s="10"/>
    </row>
    <row r="7469" spans="31:52">
      <c r="AE7469" s="10"/>
      <c r="AF7469" s="10"/>
      <c r="AG7469" s="10"/>
      <c r="AH7469" s="10"/>
      <c r="AI7469" s="10"/>
      <c r="AJ7469" s="10"/>
      <c r="AK7469" s="10"/>
      <c r="AL7469" s="10"/>
      <c r="AM7469" s="10"/>
      <c r="AN7469" s="10"/>
      <c r="AO7469" s="10"/>
      <c r="AP7469" s="10"/>
      <c r="AQ7469" s="10"/>
      <c r="AR7469" s="10"/>
      <c r="AS7469" s="10"/>
      <c r="AT7469" s="10"/>
      <c r="AU7469" s="10"/>
      <c r="AV7469" s="10"/>
      <c r="AW7469" s="10"/>
      <c r="AX7469" s="10"/>
      <c r="AY7469" s="10"/>
      <c r="AZ7469" s="10"/>
    </row>
    <row r="7470" spans="31:52">
      <c r="AE7470" s="10"/>
      <c r="AF7470" s="10"/>
      <c r="AG7470" s="10"/>
      <c r="AH7470" s="10"/>
      <c r="AI7470" s="10"/>
      <c r="AJ7470" s="10"/>
      <c r="AK7470" s="10"/>
      <c r="AL7470" s="10"/>
      <c r="AM7470" s="10"/>
      <c r="AN7470" s="10"/>
      <c r="AO7470" s="10"/>
      <c r="AP7470" s="10"/>
      <c r="AQ7470" s="10"/>
      <c r="AR7470" s="10"/>
      <c r="AS7470" s="10"/>
      <c r="AT7470" s="10"/>
      <c r="AU7470" s="10"/>
      <c r="AV7470" s="10"/>
      <c r="AW7470" s="10"/>
      <c r="AX7470" s="10"/>
      <c r="AY7470" s="10"/>
      <c r="AZ7470" s="10"/>
    </row>
    <row r="7471" spans="31:52">
      <c r="AE7471" s="10"/>
      <c r="AF7471" s="10"/>
      <c r="AG7471" s="10"/>
      <c r="AH7471" s="10"/>
      <c r="AI7471" s="10"/>
      <c r="AJ7471" s="10"/>
      <c r="AK7471" s="10"/>
      <c r="AL7471" s="10"/>
      <c r="AM7471" s="10"/>
      <c r="AN7471" s="10"/>
      <c r="AO7471" s="10"/>
      <c r="AP7471" s="10"/>
      <c r="AQ7471" s="10"/>
      <c r="AR7471" s="10"/>
      <c r="AS7471" s="10"/>
      <c r="AT7471" s="10"/>
      <c r="AU7471" s="10"/>
      <c r="AV7471" s="10"/>
      <c r="AW7471" s="10"/>
      <c r="AX7471" s="10"/>
      <c r="AY7471" s="10"/>
      <c r="AZ7471" s="10"/>
    </row>
    <row r="7472" spans="31:52">
      <c r="AE7472" s="10"/>
      <c r="AF7472" s="10"/>
      <c r="AG7472" s="10"/>
      <c r="AH7472" s="10"/>
      <c r="AI7472" s="10"/>
      <c r="AJ7472" s="10"/>
      <c r="AK7472" s="10"/>
      <c r="AL7472" s="10"/>
      <c r="AM7472" s="10"/>
      <c r="AN7472" s="10"/>
      <c r="AO7472" s="10"/>
      <c r="AP7472" s="10"/>
      <c r="AQ7472" s="10"/>
      <c r="AR7472" s="10"/>
      <c r="AS7472" s="10"/>
      <c r="AT7472" s="10"/>
      <c r="AU7472" s="10"/>
      <c r="AV7472" s="10"/>
      <c r="AW7472" s="10"/>
      <c r="AX7472" s="10"/>
      <c r="AY7472" s="10"/>
      <c r="AZ7472" s="10"/>
    </row>
    <row r="7473" spans="31:52">
      <c r="AE7473" s="10"/>
      <c r="AF7473" s="10"/>
      <c r="AG7473" s="10"/>
      <c r="AH7473" s="10"/>
      <c r="AI7473" s="10"/>
      <c r="AJ7473" s="10"/>
      <c r="AK7473" s="10"/>
      <c r="AL7473" s="10"/>
      <c r="AM7473" s="10"/>
      <c r="AN7473" s="10"/>
      <c r="AO7473" s="10"/>
      <c r="AP7473" s="10"/>
      <c r="AQ7473" s="10"/>
      <c r="AR7473" s="10"/>
      <c r="AS7473" s="10"/>
      <c r="AT7473" s="10"/>
      <c r="AU7473" s="10"/>
      <c r="AV7473" s="10"/>
      <c r="AW7473" s="10"/>
      <c r="AX7473" s="10"/>
      <c r="AY7473" s="10"/>
      <c r="AZ7473" s="10"/>
    </row>
    <row r="7474" spans="31:52">
      <c r="AE7474" s="10"/>
      <c r="AF7474" s="10"/>
      <c r="AG7474" s="10"/>
      <c r="AH7474" s="10"/>
      <c r="AI7474" s="10"/>
      <c r="AJ7474" s="10"/>
      <c r="AK7474" s="10"/>
      <c r="AL7474" s="10"/>
      <c r="AM7474" s="10"/>
      <c r="AN7474" s="10"/>
      <c r="AO7474" s="10"/>
      <c r="AP7474" s="10"/>
      <c r="AQ7474" s="10"/>
      <c r="AR7474" s="10"/>
      <c r="AS7474" s="10"/>
      <c r="AT7474" s="10"/>
      <c r="AU7474" s="10"/>
      <c r="AV7474" s="10"/>
      <c r="AW7474" s="10"/>
      <c r="AX7474" s="10"/>
      <c r="AY7474" s="10"/>
      <c r="AZ7474" s="10"/>
    </row>
    <row r="7475" spans="31:52">
      <c r="AE7475" s="10"/>
      <c r="AF7475" s="10"/>
      <c r="AG7475" s="10"/>
      <c r="AH7475" s="10"/>
      <c r="AI7475" s="10"/>
      <c r="AJ7475" s="10"/>
      <c r="AK7475" s="10"/>
      <c r="AL7475" s="10"/>
      <c r="AM7475" s="10"/>
      <c r="AN7475" s="10"/>
      <c r="AO7475" s="10"/>
      <c r="AP7475" s="10"/>
      <c r="AQ7475" s="10"/>
      <c r="AR7475" s="10"/>
      <c r="AS7475" s="10"/>
      <c r="AT7475" s="10"/>
      <c r="AU7475" s="10"/>
      <c r="AV7475" s="10"/>
      <c r="AW7475" s="10"/>
      <c r="AX7475" s="10"/>
      <c r="AY7475" s="10"/>
      <c r="AZ7475" s="10"/>
    </row>
    <row r="7476" spans="31:52">
      <c r="AE7476" s="10"/>
      <c r="AF7476" s="10"/>
      <c r="AG7476" s="10"/>
      <c r="AH7476" s="10"/>
      <c r="AI7476" s="10"/>
      <c r="AJ7476" s="10"/>
      <c r="AK7476" s="10"/>
      <c r="AL7476" s="10"/>
      <c r="AM7476" s="10"/>
      <c r="AN7476" s="10"/>
      <c r="AO7476" s="10"/>
      <c r="AP7476" s="10"/>
      <c r="AQ7476" s="10"/>
      <c r="AR7476" s="10"/>
      <c r="AS7476" s="10"/>
      <c r="AT7476" s="10"/>
      <c r="AU7476" s="10"/>
      <c r="AV7476" s="10"/>
      <c r="AW7476" s="10"/>
      <c r="AX7476" s="10"/>
      <c r="AY7476" s="10"/>
      <c r="AZ7476" s="10"/>
    </row>
    <row r="7477" spans="31:52">
      <c r="AE7477" s="10"/>
      <c r="AF7477" s="10"/>
      <c r="AG7477" s="10"/>
      <c r="AH7477" s="10"/>
      <c r="AI7477" s="10"/>
      <c r="AJ7477" s="10"/>
      <c r="AK7477" s="10"/>
      <c r="AL7477" s="10"/>
      <c r="AM7477" s="10"/>
      <c r="AN7477" s="10"/>
      <c r="AO7477" s="10"/>
      <c r="AP7477" s="10"/>
      <c r="AQ7477" s="10"/>
      <c r="AR7477" s="10"/>
      <c r="AS7477" s="10"/>
      <c r="AT7477" s="10"/>
      <c r="AU7477" s="10"/>
      <c r="AV7477" s="10"/>
      <c r="AW7477" s="10"/>
      <c r="AX7477" s="10"/>
      <c r="AY7477" s="10"/>
      <c r="AZ7477" s="10"/>
    </row>
    <row r="7478" spans="31:52">
      <c r="AE7478" s="10"/>
      <c r="AF7478" s="10"/>
      <c r="AG7478" s="10"/>
      <c r="AH7478" s="10"/>
      <c r="AI7478" s="10"/>
      <c r="AJ7478" s="10"/>
      <c r="AK7478" s="10"/>
      <c r="AL7478" s="10"/>
      <c r="AM7478" s="10"/>
      <c r="AN7478" s="10"/>
      <c r="AO7478" s="10"/>
      <c r="AP7478" s="10"/>
      <c r="AQ7478" s="10"/>
      <c r="AR7478" s="10"/>
      <c r="AS7478" s="10"/>
      <c r="AT7478" s="10"/>
      <c r="AU7478" s="10"/>
      <c r="AV7478" s="10"/>
      <c r="AW7478" s="10"/>
      <c r="AX7478" s="10"/>
      <c r="AY7478" s="10"/>
      <c r="AZ7478" s="10"/>
    </row>
    <row r="7479" spans="31:52">
      <c r="AE7479" s="10"/>
      <c r="AF7479" s="10"/>
      <c r="AG7479" s="10"/>
      <c r="AH7479" s="10"/>
      <c r="AI7479" s="10"/>
      <c r="AJ7479" s="10"/>
      <c r="AK7479" s="10"/>
      <c r="AL7479" s="10"/>
      <c r="AM7479" s="10"/>
      <c r="AN7479" s="10"/>
      <c r="AO7479" s="10"/>
      <c r="AP7479" s="10"/>
      <c r="AQ7479" s="10"/>
      <c r="AR7479" s="10"/>
      <c r="AS7479" s="10"/>
      <c r="AT7479" s="10"/>
      <c r="AU7479" s="10"/>
      <c r="AV7479" s="10"/>
      <c r="AW7479" s="10"/>
      <c r="AX7479" s="10"/>
      <c r="AY7479" s="10"/>
      <c r="AZ7479" s="10"/>
    </row>
    <row r="7480" spans="31:52">
      <c r="AE7480" s="10"/>
      <c r="AF7480" s="10"/>
      <c r="AG7480" s="10"/>
      <c r="AH7480" s="10"/>
      <c r="AI7480" s="10"/>
      <c r="AJ7480" s="10"/>
      <c r="AK7480" s="10"/>
      <c r="AL7480" s="10"/>
      <c r="AM7480" s="10"/>
      <c r="AN7480" s="10"/>
      <c r="AO7480" s="10"/>
      <c r="AP7480" s="10"/>
      <c r="AQ7480" s="10"/>
      <c r="AR7480" s="10"/>
      <c r="AS7480" s="10"/>
      <c r="AT7480" s="10"/>
      <c r="AU7480" s="10"/>
      <c r="AV7480" s="10"/>
      <c r="AW7480" s="10"/>
      <c r="AX7480" s="10"/>
      <c r="AY7480" s="10"/>
      <c r="AZ7480" s="10"/>
    </row>
    <row r="7481" spans="31:52">
      <c r="AE7481" s="10"/>
      <c r="AF7481" s="10"/>
      <c r="AG7481" s="10"/>
      <c r="AH7481" s="10"/>
      <c r="AI7481" s="10"/>
      <c r="AJ7481" s="10"/>
      <c r="AK7481" s="10"/>
      <c r="AL7481" s="10"/>
      <c r="AM7481" s="10"/>
      <c r="AN7481" s="10"/>
      <c r="AO7481" s="10"/>
      <c r="AP7481" s="10"/>
      <c r="AQ7481" s="10"/>
      <c r="AR7481" s="10"/>
      <c r="AS7481" s="10"/>
      <c r="AT7481" s="10"/>
      <c r="AU7481" s="10"/>
      <c r="AV7481" s="10"/>
      <c r="AW7481" s="10"/>
      <c r="AX7481" s="10"/>
      <c r="AY7481" s="10"/>
      <c r="AZ7481" s="10"/>
    </row>
    <row r="7482" spans="31:52">
      <c r="AE7482" s="10"/>
      <c r="AF7482" s="10"/>
      <c r="AG7482" s="10"/>
      <c r="AH7482" s="10"/>
      <c r="AI7482" s="10"/>
      <c r="AJ7482" s="10"/>
      <c r="AK7482" s="10"/>
      <c r="AL7482" s="10"/>
      <c r="AM7482" s="10"/>
      <c r="AN7482" s="10"/>
      <c r="AO7482" s="10"/>
      <c r="AP7482" s="10"/>
      <c r="AQ7482" s="10"/>
      <c r="AR7482" s="10"/>
      <c r="AS7482" s="10"/>
      <c r="AT7482" s="10"/>
      <c r="AU7482" s="10"/>
      <c r="AV7482" s="10"/>
      <c r="AW7482" s="10"/>
      <c r="AX7482" s="10"/>
      <c r="AY7482" s="10"/>
      <c r="AZ7482" s="10"/>
    </row>
    <row r="7483" spans="31:52">
      <c r="AE7483" s="10"/>
      <c r="AF7483" s="10"/>
      <c r="AG7483" s="10"/>
      <c r="AH7483" s="10"/>
      <c r="AI7483" s="10"/>
      <c r="AJ7483" s="10"/>
      <c r="AK7483" s="10"/>
      <c r="AL7483" s="10"/>
      <c r="AM7483" s="10"/>
      <c r="AN7483" s="10"/>
      <c r="AO7483" s="10"/>
      <c r="AP7483" s="10"/>
      <c r="AQ7483" s="10"/>
      <c r="AR7483" s="10"/>
      <c r="AS7483" s="10"/>
      <c r="AT7483" s="10"/>
      <c r="AU7483" s="10"/>
      <c r="AV7483" s="10"/>
      <c r="AW7483" s="10"/>
      <c r="AX7483" s="10"/>
      <c r="AY7483" s="10"/>
      <c r="AZ7483" s="10"/>
    </row>
    <row r="7484" spans="31:52">
      <c r="AE7484" s="10"/>
      <c r="AF7484" s="10"/>
      <c r="AG7484" s="10"/>
      <c r="AH7484" s="10"/>
      <c r="AI7484" s="10"/>
      <c r="AJ7484" s="10"/>
      <c r="AK7484" s="10"/>
      <c r="AL7484" s="10"/>
      <c r="AM7484" s="10"/>
      <c r="AN7484" s="10"/>
      <c r="AO7484" s="10"/>
      <c r="AP7484" s="10"/>
      <c r="AQ7484" s="10"/>
      <c r="AR7484" s="10"/>
      <c r="AS7484" s="10"/>
      <c r="AT7484" s="10"/>
      <c r="AU7484" s="10"/>
      <c r="AV7484" s="10"/>
      <c r="AW7484" s="10"/>
      <c r="AX7484" s="10"/>
      <c r="AY7484" s="10"/>
      <c r="AZ7484" s="10"/>
    </row>
    <row r="7485" spans="31:52">
      <c r="AE7485" s="10"/>
      <c r="AF7485" s="10"/>
      <c r="AG7485" s="10"/>
      <c r="AH7485" s="10"/>
      <c r="AI7485" s="10"/>
      <c r="AJ7485" s="10"/>
      <c r="AK7485" s="10"/>
      <c r="AL7485" s="10"/>
      <c r="AM7485" s="10"/>
      <c r="AN7485" s="10"/>
      <c r="AO7485" s="10"/>
      <c r="AP7485" s="10"/>
      <c r="AQ7485" s="10"/>
      <c r="AR7485" s="10"/>
      <c r="AS7485" s="10"/>
      <c r="AT7485" s="10"/>
      <c r="AU7485" s="10"/>
      <c r="AV7485" s="10"/>
      <c r="AW7485" s="10"/>
      <c r="AX7485" s="10"/>
      <c r="AY7485" s="10"/>
      <c r="AZ7485" s="10"/>
    </row>
    <row r="7486" spans="31:52">
      <c r="AE7486" s="10"/>
      <c r="AF7486" s="10"/>
      <c r="AG7486" s="10"/>
      <c r="AH7486" s="10"/>
      <c r="AI7486" s="10"/>
      <c r="AJ7486" s="10"/>
      <c r="AK7486" s="10"/>
      <c r="AL7486" s="10"/>
      <c r="AM7486" s="10"/>
      <c r="AN7486" s="10"/>
      <c r="AO7486" s="10"/>
      <c r="AP7486" s="10"/>
      <c r="AQ7486" s="10"/>
      <c r="AR7486" s="10"/>
      <c r="AS7486" s="10"/>
      <c r="AT7486" s="10"/>
      <c r="AU7486" s="10"/>
      <c r="AV7486" s="10"/>
      <c r="AW7486" s="10"/>
      <c r="AX7486" s="10"/>
      <c r="AY7486" s="10"/>
      <c r="AZ7486" s="10"/>
    </row>
    <row r="7487" spans="31:52">
      <c r="AE7487" s="10"/>
      <c r="AF7487" s="10"/>
      <c r="AG7487" s="10"/>
      <c r="AH7487" s="10"/>
      <c r="AI7487" s="10"/>
      <c r="AJ7487" s="10"/>
      <c r="AK7487" s="10"/>
      <c r="AL7487" s="10"/>
      <c r="AM7487" s="10"/>
      <c r="AN7487" s="10"/>
      <c r="AO7487" s="10"/>
      <c r="AP7487" s="10"/>
      <c r="AQ7487" s="10"/>
      <c r="AR7487" s="10"/>
      <c r="AS7487" s="10"/>
      <c r="AT7487" s="10"/>
      <c r="AU7487" s="10"/>
      <c r="AV7487" s="10"/>
      <c r="AW7487" s="10"/>
      <c r="AX7487" s="10"/>
      <c r="AY7487" s="10"/>
      <c r="AZ7487" s="10"/>
    </row>
    <row r="7488" spans="31:52">
      <c r="AE7488" s="10"/>
      <c r="AF7488" s="10"/>
      <c r="AG7488" s="10"/>
      <c r="AH7488" s="10"/>
      <c r="AI7488" s="10"/>
      <c r="AJ7488" s="10"/>
      <c r="AK7488" s="10"/>
      <c r="AL7488" s="10"/>
      <c r="AM7488" s="10"/>
      <c r="AN7488" s="10"/>
      <c r="AO7488" s="10"/>
      <c r="AP7488" s="10"/>
      <c r="AQ7488" s="10"/>
      <c r="AR7488" s="10"/>
      <c r="AS7488" s="10"/>
      <c r="AT7488" s="10"/>
      <c r="AU7488" s="10"/>
      <c r="AV7488" s="10"/>
      <c r="AW7488" s="10"/>
      <c r="AX7488" s="10"/>
      <c r="AY7488" s="10"/>
      <c r="AZ7488" s="10"/>
    </row>
    <row r="7489" spans="31:52">
      <c r="AE7489" s="10"/>
      <c r="AF7489" s="10"/>
      <c r="AG7489" s="10"/>
      <c r="AH7489" s="10"/>
      <c r="AI7489" s="10"/>
      <c r="AJ7489" s="10"/>
      <c r="AK7489" s="10"/>
      <c r="AL7489" s="10"/>
      <c r="AM7489" s="10"/>
      <c r="AN7489" s="10"/>
      <c r="AO7489" s="10"/>
      <c r="AP7489" s="10"/>
      <c r="AQ7489" s="10"/>
      <c r="AR7489" s="10"/>
      <c r="AS7489" s="10"/>
      <c r="AT7489" s="10"/>
      <c r="AU7489" s="10"/>
      <c r="AV7489" s="10"/>
      <c r="AW7489" s="10"/>
      <c r="AX7489" s="10"/>
      <c r="AY7489" s="10"/>
      <c r="AZ7489" s="10"/>
    </row>
    <row r="7490" spans="31:52">
      <c r="AE7490" s="10"/>
      <c r="AF7490" s="10"/>
      <c r="AG7490" s="10"/>
      <c r="AH7490" s="10"/>
      <c r="AI7490" s="10"/>
      <c r="AJ7490" s="10"/>
      <c r="AK7490" s="10"/>
      <c r="AL7490" s="10"/>
      <c r="AM7490" s="10"/>
      <c r="AN7490" s="10"/>
      <c r="AO7490" s="10"/>
      <c r="AP7490" s="10"/>
      <c r="AQ7490" s="10"/>
      <c r="AR7490" s="10"/>
      <c r="AS7490" s="10"/>
      <c r="AT7490" s="10"/>
      <c r="AU7490" s="10"/>
      <c r="AV7490" s="10"/>
      <c r="AW7490" s="10"/>
      <c r="AX7490" s="10"/>
      <c r="AY7490" s="10"/>
      <c r="AZ7490" s="10"/>
    </row>
    <row r="7491" spans="31:52">
      <c r="AE7491" s="10"/>
      <c r="AF7491" s="10"/>
      <c r="AG7491" s="10"/>
      <c r="AH7491" s="10"/>
      <c r="AI7491" s="10"/>
      <c r="AJ7491" s="10"/>
      <c r="AK7491" s="10"/>
      <c r="AL7491" s="10"/>
      <c r="AM7491" s="10"/>
      <c r="AN7491" s="10"/>
      <c r="AO7491" s="10"/>
      <c r="AP7491" s="10"/>
      <c r="AQ7491" s="10"/>
      <c r="AR7491" s="10"/>
      <c r="AS7491" s="10"/>
      <c r="AT7491" s="10"/>
      <c r="AU7491" s="10"/>
      <c r="AV7491" s="10"/>
      <c r="AW7491" s="10"/>
      <c r="AX7491" s="10"/>
      <c r="AY7491" s="10"/>
      <c r="AZ7491" s="10"/>
    </row>
    <row r="7492" spans="31:52">
      <c r="AE7492" s="10"/>
      <c r="AF7492" s="10"/>
      <c r="AG7492" s="10"/>
      <c r="AH7492" s="10"/>
      <c r="AI7492" s="10"/>
      <c r="AJ7492" s="10"/>
      <c r="AK7492" s="10"/>
      <c r="AL7492" s="10"/>
      <c r="AM7492" s="10"/>
      <c r="AN7492" s="10"/>
      <c r="AO7492" s="10"/>
      <c r="AP7492" s="10"/>
      <c r="AQ7492" s="10"/>
      <c r="AR7492" s="10"/>
      <c r="AS7492" s="10"/>
      <c r="AT7492" s="10"/>
      <c r="AU7492" s="10"/>
      <c r="AV7492" s="10"/>
      <c r="AW7492" s="10"/>
      <c r="AX7492" s="10"/>
      <c r="AY7492" s="10"/>
      <c r="AZ7492" s="10"/>
    </row>
    <row r="7493" spans="31:52">
      <c r="AE7493" s="10"/>
      <c r="AF7493" s="10"/>
      <c r="AG7493" s="10"/>
      <c r="AH7493" s="10"/>
      <c r="AI7493" s="10"/>
      <c r="AJ7493" s="10"/>
      <c r="AK7493" s="10"/>
      <c r="AL7493" s="10"/>
      <c r="AM7493" s="10"/>
      <c r="AN7493" s="10"/>
      <c r="AO7493" s="10"/>
      <c r="AP7493" s="10"/>
      <c r="AQ7493" s="10"/>
      <c r="AR7493" s="10"/>
      <c r="AS7493" s="10"/>
      <c r="AT7493" s="10"/>
      <c r="AU7493" s="10"/>
      <c r="AV7493" s="10"/>
      <c r="AW7493" s="10"/>
      <c r="AX7493" s="10"/>
      <c r="AY7493" s="10"/>
      <c r="AZ7493" s="10"/>
    </row>
    <row r="7494" spans="31:52">
      <c r="AE7494" s="10"/>
      <c r="AF7494" s="10"/>
      <c r="AG7494" s="10"/>
      <c r="AH7494" s="10"/>
      <c r="AI7494" s="10"/>
      <c r="AJ7494" s="10"/>
      <c r="AK7494" s="10"/>
      <c r="AL7494" s="10"/>
      <c r="AM7494" s="10"/>
      <c r="AN7494" s="10"/>
      <c r="AO7494" s="10"/>
      <c r="AP7494" s="10"/>
      <c r="AQ7494" s="10"/>
      <c r="AR7494" s="10"/>
      <c r="AS7494" s="10"/>
      <c r="AT7494" s="10"/>
      <c r="AU7494" s="10"/>
      <c r="AV7494" s="10"/>
      <c r="AW7494" s="10"/>
      <c r="AX7494" s="10"/>
      <c r="AY7494" s="10"/>
      <c r="AZ7494" s="10"/>
    </row>
    <row r="7495" spans="31:52">
      <c r="AE7495" s="10"/>
      <c r="AF7495" s="10"/>
      <c r="AG7495" s="10"/>
      <c r="AH7495" s="10"/>
      <c r="AI7495" s="10"/>
      <c r="AJ7495" s="10"/>
      <c r="AK7495" s="10"/>
      <c r="AL7495" s="10"/>
      <c r="AM7495" s="10"/>
      <c r="AN7495" s="10"/>
      <c r="AO7495" s="10"/>
      <c r="AP7495" s="10"/>
      <c r="AQ7495" s="10"/>
      <c r="AR7495" s="10"/>
      <c r="AS7495" s="10"/>
      <c r="AT7495" s="10"/>
      <c r="AU7495" s="10"/>
      <c r="AV7495" s="10"/>
      <c r="AW7495" s="10"/>
      <c r="AX7495" s="10"/>
      <c r="AY7495" s="10"/>
      <c r="AZ7495" s="10"/>
    </row>
    <row r="7496" spans="31:52">
      <c r="AE7496" s="10"/>
      <c r="AF7496" s="10"/>
      <c r="AG7496" s="10"/>
      <c r="AH7496" s="10"/>
      <c r="AI7496" s="10"/>
      <c r="AJ7496" s="10"/>
      <c r="AK7496" s="10"/>
      <c r="AL7496" s="10"/>
      <c r="AM7496" s="10"/>
      <c r="AN7496" s="10"/>
      <c r="AO7496" s="10"/>
      <c r="AP7496" s="10"/>
      <c r="AQ7496" s="10"/>
      <c r="AR7496" s="10"/>
      <c r="AS7496" s="10"/>
      <c r="AT7496" s="10"/>
      <c r="AU7496" s="10"/>
      <c r="AV7496" s="10"/>
      <c r="AW7496" s="10"/>
      <c r="AX7496" s="10"/>
      <c r="AY7496" s="10"/>
      <c r="AZ7496" s="10"/>
    </row>
    <row r="7497" spans="31:52">
      <c r="AE7497" s="10"/>
      <c r="AF7497" s="10"/>
      <c r="AG7497" s="10"/>
      <c r="AH7497" s="10"/>
      <c r="AI7497" s="10"/>
      <c r="AJ7497" s="10"/>
      <c r="AK7497" s="10"/>
      <c r="AL7497" s="10"/>
      <c r="AM7497" s="10"/>
      <c r="AN7497" s="10"/>
      <c r="AO7497" s="10"/>
      <c r="AP7497" s="10"/>
      <c r="AQ7497" s="10"/>
      <c r="AR7497" s="10"/>
      <c r="AS7497" s="10"/>
      <c r="AT7497" s="10"/>
      <c r="AU7497" s="10"/>
      <c r="AV7497" s="10"/>
      <c r="AW7497" s="10"/>
      <c r="AX7497" s="10"/>
      <c r="AY7497" s="10"/>
      <c r="AZ7497" s="10"/>
    </row>
    <row r="7498" spans="31:52">
      <c r="AE7498" s="10"/>
      <c r="AF7498" s="10"/>
      <c r="AG7498" s="10"/>
      <c r="AH7498" s="10"/>
      <c r="AI7498" s="10"/>
      <c r="AJ7498" s="10"/>
      <c r="AK7498" s="10"/>
      <c r="AL7498" s="10"/>
      <c r="AM7498" s="10"/>
      <c r="AN7498" s="10"/>
      <c r="AO7498" s="10"/>
      <c r="AP7498" s="10"/>
      <c r="AQ7498" s="10"/>
      <c r="AR7498" s="10"/>
      <c r="AS7498" s="10"/>
      <c r="AT7498" s="10"/>
      <c r="AU7498" s="10"/>
      <c r="AV7498" s="10"/>
      <c r="AW7498" s="10"/>
      <c r="AX7498" s="10"/>
      <c r="AY7498" s="10"/>
      <c r="AZ7498" s="10"/>
    </row>
    <row r="7499" spans="31:52">
      <c r="AE7499" s="10"/>
      <c r="AF7499" s="10"/>
      <c r="AG7499" s="10"/>
      <c r="AH7499" s="10"/>
      <c r="AI7499" s="10"/>
      <c r="AJ7499" s="10"/>
      <c r="AK7499" s="10"/>
      <c r="AL7499" s="10"/>
      <c r="AM7499" s="10"/>
      <c r="AN7499" s="10"/>
      <c r="AO7499" s="10"/>
      <c r="AP7499" s="10"/>
      <c r="AQ7499" s="10"/>
      <c r="AR7499" s="10"/>
      <c r="AS7499" s="10"/>
      <c r="AT7499" s="10"/>
      <c r="AU7499" s="10"/>
      <c r="AV7499" s="10"/>
      <c r="AW7499" s="10"/>
      <c r="AX7499" s="10"/>
      <c r="AY7499" s="10"/>
      <c r="AZ7499" s="10"/>
    </row>
    <row r="7500" spans="31:52">
      <c r="AE7500" s="10"/>
      <c r="AF7500" s="10"/>
      <c r="AG7500" s="10"/>
      <c r="AH7500" s="10"/>
      <c r="AI7500" s="10"/>
      <c r="AJ7500" s="10"/>
      <c r="AK7500" s="10"/>
      <c r="AL7500" s="10"/>
      <c r="AM7500" s="10"/>
      <c r="AN7500" s="10"/>
      <c r="AO7500" s="10"/>
      <c r="AP7500" s="10"/>
      <c r="AQ7500" s="10"/>
      <c r="AR7500" s="10"/>
      <c r="AS7500" s="10"/>
      <c r="AT7500" s="10"/>
      <c r="AU7500" s="10"/>
      <c r="AV7500" s="10"/>
      <c r="AW7500" s="10"/>
      <c r="AX7500" s="10"/>
      <c r="AY7500" s="10"/>
      <c r="AZ7500" s="10"/>
    </row>
    <row r="7501" spans="31:52">
      <c r="AE7501" s="10"/>
      <c r="AF7501" s="10"/>
      <c r="AG7501" s="10"/>
      <c r="AH7501" s="10"/>
      <c r="AI7501" s="10"/>
      <c r="AJ7501" s="10"/>
      <c r="AK7501" s="10"/>
      <c r="AL7501" s="10"/>
      <c r="AM7501" s="10"/>
      <c r="AN7501" s="10"/>
      <c r="AO7501" s="10"/>
      <c r="AP7501" s="10"/>
      <c r="AQ7501" s="10"/>
      <c r="AR7501" s="10"/>
      <c r="AS7501" s="10"/>
      <c r="AT7501" s="10"/>
      <c r="AU7501" s="10"/>
      <c r="AV7501" s="10"/>
      <c r="AW7501" s="10"/>
      <c r="AX7501" s="10"/>
      <c r="AY7501" s="10"/>
      <c r="AZ7501" s="10"/>
    </row>
    <row r="7502" spans="31:52">
      <c r="AE7502" s="10"/>
      <c r="AF7502" s="10"/>
      <c r="AG7502" s="10"/>
      <c r="AH7502" s="10"/>
      <c r="AI7502" s="10"/>
      <c r="AJ7502" s="10"/>
      <c r="AK7502" s="10"/>
      <c r="AL7502" s="10"/>
      <c r="AM7502" s="10"/>
      <c r="AN7502" s="10"/>
      <c r="AO7502" s="10"/>
      <c r="AP7502" s="10"/>
      <c r="AQ7502" s="10"/>
      <c r="AR7502" s="10"/>
      <c r="AS7502" s="10"/>
      <c r="AT7502" s="10"/>
      <c r="AU7502" s="10"/>
      <c r="AV7502" s="10"/>
      <c r="AW7502" s="10"/>
      <c r="AX7502" s="10"/>
      <c r="AY7502" s="10"/>
      <c r="AZ7502" s="10"/>
    </row>
    <row r="7503" spans="31:52">
      <c r="AE7503" s="10"/>
      <c r="AF7503" s="10"/>
      <c r="AG7503" s="10"/>
      <c r="AH7503" s="10"/>
      <c r="AI7503" s="10"/>
      <c r="AJ7503" s="10"/>
      <c r="AK7503" s="10"/>
      <c r="AL7503" s="10"/>
      <c r="AM7503" s="10"/>
      <c r="AN7503" s="10"/>
      <c r="AO7503" s="10"/>
      <c r="AP7503" s="10"/>
      <c r="AQ7503" s="10"/>
      <c r="AR7503" s="10"/>
      <c r="AS7503" s="10"/>
      <c r="AT7503" s="10"/>
      <c r="AU7503" s="10"/>
      <c r="AV7503" s="10"/>
      <c r="AW7503" s="10"/>
      <c r="AX7503" s="10"/>
      <c r="AY7503" s="10"/>
      <c r="AZ7503" s="10"/>
    </row>
    <row r="7504" spans="31:52">
      <c r="AE7504" s="10"/>
      <c r="AF7504" s="10"/>
      <c r="AG7504" s="10"/>
      <c r="AH7504" s="10"/>
      <c r="AI7504" s="10"/>
      <c r="AJ7504" s="10"/>
      <c r="AK7504" s="10"/>
      <c r="AL7504" s="10"/>
      <c r="AM7504" s="10"/>
      <c r="AN7504" s="10"/>
      <c r="AO7504" s="10"/>
      <c r="AP7504" s="10"/>
      <c r="AQ7504" s="10"/>
      <c r="AR7504" s="10"/>
      <c r="AS7504" s="10"/>
      <c r="AT7504" s="10"/>
      <c r="AU7504" s="10"/>
      <c r="AV7504" s="10"/>
      <c r="AW7504" s="10"/>
      <c r="AX7504" s="10"/>
      <c r="AY7504" s="10"/>
      <c r="AZ7504" s="10"/>
    </row>
    <row r="7505" spans="31:52">
      <c r="AE7505" s="10"/>
      <c r="AF7505" s="10"/>
      <c r="AG7505" s="10"/>
      <c r="AH7505" s="10"/>
      <c r="AI7505" s="10"/>
      <c r="AJ7505" s="10"/>
      <c r="AK7505" s="10"/>
      <c r="AL7505" s="10"/>
      <c r="AM7505" s="10"/>
      <c r="AN7505" s="10"/>
      <c r="AO7505" s="10"/>
      <c r="AP7505" s="10"/>
      <c r="AQ7505" s="10"/>
      <c r="AR7505" s="10"/>
      <c r="AS7505" s="10"/>
      <c r="AT7505" s="10"/>
      <c r="AU7505" s="10"/>
      <c r="AV7505" s="10"/>
      <c r="AW7505" s="10"/>
      <c r="AX7505" s="10"/>
      <c r="AY7505" s="10"/>
      <c r="AZ7505" s="10"/>
    </row>
    <row r="7506" spans="31:52">
      <c r="AE7506" s="10"/>
      <c r="AF7506" s="10"/>
      <c r="AG7506" s="10"/>
      <c r="AH7506" s="10"/>
      <c r="AI7506" s="10"/>
      <c r="AJ7506" s="10"/>
      <c r="AK7506" s="10"/>
      <c r="AL7506" s="10"/>
      <c r="AM7506" s="10"/>
      <c r="AN7506" s="10"/>
      <c r="AO7506" s="10"/>
      <c r="AP7506" s="10"/>
      <c r="AQ7506" s="10"/>
      <c r="AR7506" s="10"/>
      <c r="AS7506" s="10"/>
      <c r="AT7506" s="10"/>
      <c r="AU7506" s="10"/>
      <c r="AV7506" s="10"/>
      <c r="AW7506" s="10"/>
      <c r="AX7506" s="10"/>
      <c r="AY7506" s="10"/>
      <c r="AZ7506" s="10"/>
    </row>
    <row r="7507" spans="31:52">
      <c r="AE7507" s="10"/>
      <c r="AF7507" s="10"/>
      <c r="AG7507" s="10"/>
      <c r="AH7507" s="10"/>
      <c r="AI7507" s="10"/>
      <c r="AJ7507" s="10"/>
      <c r="AK7507" s="10"/>
      <c r="AL7507" s="10"/>
      <c r="AM7507" s="10"/>
      <c r="AN7507" s="10"/>
      <c r="AO7507" s="10"/>
      <c r="AP7507" s="10"/>
      <c r="AQ7507" s="10"/>
      <c r="AR7507" s="10"/>
      <c r="AS7507" s="10"/>
      <c r="AT7507" s="10"/>
      <c r="AU7507" s="10"/>
      <c r="AV7507" s="10"/>
      <c r="AW7507" s="10"/>
      <c r="AX7507" s="10"/>
      <c r="AY7507" s="10"/>
      <c r="AZ7507" s="10"/>
    </row>
    <row r="7508" spans="31:52">
      <c r="AE7508" s="10"/>
      <c r="AF7508" s="10"/>
      <c r="AG7508" s="10"/>
      <c r="AH7508" s="10"/>
      <c r="AI7508" s="10"/>
      <c r="AJ7508" s="10"/>
      <c r="AK7508" s="10"/>
      <c r="AL7508" s="10"/>
      <c r="AM7508" s="10"/>
      <c r="AN7508" s="10"/>
      <c r="AO7508" s="10"/>
      <c r="AP7508" s="10"/>
      <c r="AQ7508" s="10"/>
      <c r="AR7508" s="10"/>
      <c r="AS7508" s="10"/>
      <c r="AT7508" s="10"/>
      <c r="AU7508" s="10"/>
      <c r="AV7508" s="10"/>
      <c r="AW7508" s="10"/>
      <c r="AX7508" s="10"/>
      <c r="AY7508" s="10"/>
      <c r="AZ7508" s="10"/>
    </row>
    <row r="7509" spans="31:52">
      <c r="AE7509" s="10"/>
      <c r="AF7509" s="10"/>
      <c r="AG7509" s="10"/>
      <c r="AH7509" s="10"/>
      <c r="AI7509" s="10"/>
      <c r="AJ7509" s="10"/>
      <c r="AK7509" s="10"/>
      <c r="AL7509" s="10"/>
      <c r="AM7509" s="10"/>
      <c r="AN7509" s="10"/>
      <c r="AO7509" s="10"/>
      <c r="AP7509" s="10"/>
      <c r="AQ7509" s="10"/>
      <c r="AR7509" s="10"/>
      <c r="AS7509" s="10"/>
      <c r="AT7509" s="10"/>
      <c r="AU7509" s="10"/>
      <c r="AV7509" s="10"/>
      <c r="AW7509" s="10"/>
      <c r="AX7509" s="10"/>
      <c r="AY7509" s="10"/>
      <c r="AZ7509" s="10"/>
    </row>
    <row r="7510" spans="31:52">
      <c r="AE7510" s="10"/>
      <c r="AF7510" s="10"/>
      <c r="AG7510" s="10"/>
      <c r="AH7510" s="10"/>
      <c r="AI7510" s="10"/>
      <c r="AJ7510" s="10"/>
      <c r="AK7510" s="10"/>
      <c r="AL7510" s="10"/>
      <c r="AM7510" s="10"/>
      <c r="AN7510" s="10"/>
      <c r="AO7510" s="10"/>
      <c r="AP7510" s="10"/>
      <c r="AQ7510" s="10"/>
      <c r="AR7510" s="10"/>
      <c r="AS7510" s="10"/>
      <c r="AT7510" s="10"/>
      <c r="AU7510" s="10"/>
      <c r="AV7510" s="10"/>
      <c r="AW7510" s="10"/>
      <c r="AX7510" s="10"/>
      <c r="AY7510" s="10"/>
      <c r="AZ7510" s="10"/>
    </row>
    <row r="7511" spans="31:52">
      <c r="AE7511" s="10"/>
      <c r="AF7511" s="10"/>
      <c r="AG7511" s="10"/>
      <c r="AH7511" s="10"/>
      <c r="AI7511" s="10"/>
      <c r="AJ7511" s="10"/>
      <c r="AK7511" s="10"/>
      <c r="AL7511" s="10"/>
      <c r="AM7511" s="10"/>
      <c r="AN7511" s="10"/>
      <c r="AO7511" s="10"/>
      <c r="AP7511" s="10"/>
      <c r="AQ7511" s="10"/>
      <c r="AR7511" s="10"/>
      <c r="AS7511" s="10"/>
      <c r="AT7511" s="10"/>
      <c r="AU7511" s="10"/>
      <c r="AV7511" s="10"/>
      <c r="AW7511" s="10"/>
      <c r="AX7511" s="10"/>
      <c r="AY7511" s="10"/>
      <c r="AZ7511" s="10"/>
    </row>
    <row r="7512" spans="31:52">
      <c r="AE7512" s="10"/>
      <c r="AF7512" s="10"/>
      <c r="AG7512" s="10"/>
      <c r="AH7512" s="10"/>
      <c r="AI7512" s="10"/>
      <c r="AJ7512" s="10"/>
      <c r="AK7512" s="10"/>
      <c r="AL7512" s="10"/>
      <c r="AM7512" s="10"/>
      <c r="AN7512" s="10"/>
      <c r="AO7512" s="10"/>
      <c r="AP7512" s="10"/>
      <c r="AQ7512" s="10"/>
      <c r="AR7512" s="10"/>
      <c r="AS7512" s="10"/>
      <c r="AT7512" s="10"/>
      <c r="AU7512" s="10"/>
      <c r="AV7512" s="10"/>
      <c r="AW7512" s="10"/>
      <c r="AX7512" s="10"/>
      <c r="AY7512" s="10"/>
      <c r="AZ7512" s="10"/>
    </row>
    <row r="7513" spans="31:52">
      <c r="AE7513" s="10"/>
      <c r="AF7513" s="10"/>
      <c r="AG7513" s="10"/>
      <c r="AH7513" s="10"/>
      <c r="AI7513" s="10"/>
      <c r="AJ7513" s="10"/>
      <c r="AK7513" s="10"/>
      <c r="AL7513" s="10"/>
      <c r="AM7513" s="10"/>
      <c r="AN7513" s="10"/>
      <c r="AO7513" s="10"/>
      <c r="AP7513" s="10"/>
      <c r="AQ7513" s="10"/>
      <c r="AR7513" s="10"/>
      <c r="AS7513" s="10"/>
      <c r="AT7513" s="10"/>
      <c r="AU7513" s="10"/>
      <c r="AV7513" s="10"/>
      <c r="AW7513" s="10"/>
      <c r="AX7513" s="10"/>
      <c r="AY7513" s="10"/>
      <c r="AZ7513" s="10"/>
    </row>
    <row r="7514" spans="31:52">
      <c r="AE7514" s="10"/>
      <c r="AF7514" s="10"/>
      <c r="AG7514" s="10"/>
      <c r="AH7514" s="10"/>
      <c r="AI7514" s="10"/>
      <c r="AJ7514" s="10"/>
      <c r="AK7514" s="10"/>
      <c r="AL7514" s="10"/>
      <c r="AM7514" s="10"/>
      <c r="AN7514" s="10"/>
      <c r="AO7514" s="10"/>
      <c r="AP7514" s="10"/>
      <c r="AQ7514" s="10"/>
      <c r="AR7514" s="10"/>
      <c r="AS7514" s="10"/>
      <c r="AT7514" s="10"/>
      <c r="AU7514" s="10"/>
      <c r="AV7514" s="10"/>
      <c r="AW7514" s="10"/>
      <c r="AX7514" s="10"/>
      <c r="AY7514" s="10"/>
      <c r="AZ7514" s="10"/>
    </row>
    <row r="7515" spans="31:52">
      <c r="AE7515" s="10"/>
      <c r="AF7515" s="10"/>
      <c r="AG7515" s="10"/>
      <c r="AH7515" s="10"/>
      <c r="AI7515" s="10"/>
      <c r="AJ7515" s="10"/>
      <c r="AK7515" s="10"/>
      <c r="AL7515" s="10"/>
      <c r="AM7515" s="10"/>
      <c r="AN7515" s="10"/>
      <c r="AO7515" s="10"/>
      <c r="AP7515" s="10"/>
      <c r="AQ7515" s="10"/>
      <c r="AR7515" s="10"/>
      <c r="AS7515" s="10"/>
      <c r="AT7515" s="10"/>
      <c r="AU7515" s="10"/>
      <c r="AV7515" s="10"/>
      <c r="AW7515" s="10"/>
      <c r="AX7515" s="10"/>
      <c r="AY7515" s="10"/>
      <c r="AZ7515" s="10"/>
    </row>
    <row r="7516" spans="31:52">
      <c r="AE7516" s="10"/>
      <c r="AF7516" s="10"/>
      <c r="AG7516" s="10"/>
      <c r="AH7516" s="10"/>
      <c r="AI7516" s="10"/>
      <c r="AJ7516" s="10"/>
      <c r="AK7516" s="10"/>
      <c r="AL7516" s="10"/>
      <c r="AM7516" s="10"/>
      <c r="AN7516" s="10"/>
      <c r="AO7516" s="10"/>
      <c r="AP7516" s="10"/>
      <c r="AQ7516" s="10"/>
      <c r="AR7516" s="10"/>
      <c r="AS7516" s="10"/>
      <c r="AT7516" s="10"/>
      <c r="AU7516" s="10"/>
      <c r="AV7516" s="10"/>
      <c r="AW7516" s="10"/>
      <c r="AX7516" s="10"/>
      <c r="AY7516" s="10"/>
      <c r="AZ7516" s="10"/>
    </row>
    <row r="7517" spans="31:52">
      <c r="AE7517" s="10"/>
      <c r="AF7517" s="10"/>
      <c r="AG7517" s="10"/>
      <c r="AH7517" s="10"/>
      <c r="AI7517" s="10"/>
      <c r="AJ7517" s="10"/>
      <c r="AK7517" s="10"/>
      <c r="AL7517" s="10"/>
      <c r="AM7517" s="10"/>
      <c r="AN7517" s="10"/>
      <c r="AO7517" s="10"/>
      <c r="AP7517" s="10"/>
      <c r="AQ7517" s="10"/>
      <c r="AR7517" s="10"/>
      <c r="AS7517" s="10"/>
      <c r="AT7517" s="10"/>
      <c r="AU7517" s="10"/>
      <c r="AV7517" s="10"/>
      <c r="AW7517" s="10"/>
      <c r="AX7517" s="10"/>
      <c r="AY7517" s="10"/>
      <c r="AZ7517" s="10"/>
    </row>
    <row r="7518" spans="31:52">
      <c r="AE7518" s="10"/>
      <c r="AF7518" s="10"/>
      <c r="AG7518" s="10"/>
      <c r="AH7518" s="10"/>
      <c r="AI7518" s="10"/>
      <c r="AJ7518" s="10"/>
      <c r="AK7518" s="10"/>
      <c r="AL7518" s="10"/>
      <c r="AM7518" s="10"/>
      <c r="AN7518" s="10"/>
      <c r="AO7518" s="10"/>
      <c r="AP7518" s="10"/>
      <c r="AQ7518" s="10"/>
      <c r="AR7518" s="10"/>
      <c r="AS7518" s="10"/>
      <c r="AT7518" s="10"/>
      <c r="AU7518" s="10"/>
      <c r="AV7518" s="10"/>
      <c r="AW7518" s="10"/>
      <c r="AX7518" s="10"/>
      <c r="AY7518" s="10"/>
      <c r="AZ7518" s="10"/>
    </row>
    <row r="7519" spans="31:52">
      <c r="AE7519" s="10"/>
      <c r="AF7519" s="10"/>
      <c r="AG7519" s="10"/>
      <c r="AH7519" s="10"/>
      <c r="AI7519" s="10"/>
      <c r="AJ7519" s="10"/>
      <c r="AK7519" s="10"/>
      <c r="AL7519" s="10"/>
      <c r="AM7519" s="10"/>
      <c r="AN7519" s="10"/>
      <c r="AO7519" s="10"/>
      <c r="AP7519" s="10"/>
      <c r="AQ7519" s="10"/>
      <c r="AR7519" s="10"/>
      <c r="AS7519" s="10"/>
      <c r="AT7519" s="10"/>
      <c r="AU7519" s="10"/>
      <c r="AV7519" s="10"/>
      <c r="AW7519" s="10"/>
      <c r="AX7519" s="10"/>
      <c r="AY7519" s="10"/>
      <c r="AZ7519" s="10"/>
    </row>
    <row r="7520" spans="31:52">
      <c r="AE7520" s="10"/>
      <c r="AF7520" s="10"/>
      <c r="AG7520" s="10"/>
      <c r="AH7520" s="10"/>
      <c r="AI7520" s="10"/>
      <c r="AJ7520" s="10"/>
      <c r="AK7520" s="10"/>
      <c r="AL7520" s="10"/>
      <c r="AM7520" s="10"/>
      <c r="AN7520" s="10"/>
      <c r="AO7520" s="10"/>
      <c r="AP7520" s="10"/>
      <c r="AQ7520" s="10"/>
      <c r="AR7520" s="10"/>
      <c r="AS7520" s="10"/>
      <c r="AT7520" s="10"/>
      <c r="AU7520" s="10"/>
      <c r="AV7520" s="10"/>
      <c r="AW7520" s="10"/>
      <c r="AX7520" s="10"/>
      <c r="AY7520" s="10"/>
      <c r="AZ7520" s="10"/>
    </row>
    <row r="7521" spans="31:52">
      <c r="AE7521" s="10"/>
      <c r="AF7521" s="10"/>
      <c r="AG7521" s="10"/>
      <c r="AH7521" s="10"/>
      <c r="AI7521" s="10"/>
      <c r="AJ7521" s="10"/>
      <c r="AK7521" s="10"/>
      <c r="AL7521" s="10"/>
      <c r="AM7521" s="10"/>
      <c r="AN7521" s="10"/>
      <c r="AO7521" s="10"/>
      <c r="AP7521" s="10"/>
      <c r="AQ7521" s="10"/>
      <c r="AR7521" s="10"/>
      <c r="AS7521" s="10"/>
      <c r="AT7521" s="10"/>
      <c r="AU7521" s="10"/>
      <c r="AV7521" s="10"/>
      <c r="AW7521" s="10"/>
      <c r="AX7521" s="10"/>
      <c r="AY7521" s="10"/>
      <c r="AZ7521" s="10"/>
    </row>
    <row r="7522" spans="31:52">
      <c r="AE7522" s="10"/>
      <c r="AF7522" s="10"/>
      <c r="AG7522" s="10"/>
      <c r="AH7522" s="10"/>
      <c r="AI7522" s="10"/>
      <c r="AJ7522" s="10"/>
      <c r="AK7522" s="10"/>
      <c r="AL7522" s="10"/>
      <c r="AM7522" s="10"/>
      <c r="AN7522" s="10"/>
      <c r="AO7522" s="10"/>
      <c r="AP7522" s="10"/>
      <c r="AQ7522" s="10"/>
      <c r="AR7522" s="10"/>
      <c r="AS7522" s="10"/>
      <c r="AT7522" s="10"/>
      <c r="AU7522" s="10"/>
      <c r="AV7522" s="10"/>
      <c r="AW7522" s="10"/>
      <c r="AX7522" s="10"/>
      <c r="AY7522" s="10"/>
      <c r="AZ7522" s="10"/>
    </row>
    <row r="7523" spans="31:52">
      <c r="AE7523" s="10"/>
      <c r="AF7523" s="10"/>
      <c r="AG7523" s="10"/>
      <c r="AH7523" s="10"/>
      <c r="AI7523" s="10"/>
      <c r="AJ7523" s="10"/>
      <c r="AK7523" s="10"/>
      <c r="AL7523" s="10"/>
      <c r="AM7523" s="10"/>
      <c r="AN7523" s="10"/>
      <c r="AO7523" s="10"/>
      <c r="AP7523" s="10"/>
      <c r="AQ7523" s="10"/>
      <c r="AR7523" s="10"/>
      <c r="AS7523" s="10"/>
      <c r="AT7523" s="10"/>
      <c r="AU7523" s="10"/>
      <c r="AV7523" s="10"/>
      <c r="AW7523" s="10"/>
      <c r="AX7523" s="10"/>
      <c r="AY7523" s="10"/>
      <c r="AZ7523" s="10"/>
    </row>
    <row r="7524" spans="31:52">
      <c r="AE7524" s="10"/>
      <c r="AF7524" s="10"/>
      <c r="AG7524" s="10"/>
      <c r="AH7524" s="10"/>
      <c r="AI7524" s="10"/>
      <c r="AJ7524" s="10"/>
      <c r="AK7524" s="10"/>
      <c r="AL7524" s="10"/>
      <c r="AM7524" s="10"/>
      <c r="AN7524" s="10"/>
      <c r="AO7524" s="10"/>
      <c r="AP7524" s="10"/>
      <c r="AQ7524" s="10"/>
      <c r="AR7524" s="10"/>
      <c r="AS7524" s="10"/>
      <c r="AT7524" s="10"/>
      <c r="AU7524" s="10"/>
      <c r="AV7524" s="10"/>
      <c r="AW7524" s="10"/>
      <c r="AX7524" s="10"/>
      <c r="AY7524" s="10"/>
      <c r="AZ7524" s="10"/>
    </row>
    <row r="7525" spans="31:52">
      <c r="AE7525" s="10"/>
      <c r="AF7525" s="10"/>
      <c r="AG7525" s="10"/>
      <c r="AH7525" s="10"/>
      <c r="AI7525" s="10"/>
      <c r="AJ7525" s="10"/>
      <c r="AK7525" s="10"/>
      <c r="AL7525" s="10"/>
      <c r="AM7525" s="10"/>
      <c r="AN7525" s="10"/>
      <c r="AO7525" s="10"/>
      <c r="AP7525" s="10"/>
      <c r="AQ7525" s="10"/>
      <c r="AR7525" s="10"/>
      <c r="AS7525" s="10"/>
      <c r="AT7525" s="10"/>
      <c r="AU7525" s="10"/>
      <c r="AV7525" s="10"/>
      <c r="AW7525" s="10"/>
      <c r="AX7525" s="10"/>
      <c r="AY7525" s="10"/>
      <c r="AZ7525" s="10"/>
    </row>
    <row r="7526" spans="31:52">
      <c r="AE7526" s="10"/>
      <c r="AF7526" s="10"/>
      <c r="AG7526" s="10"/>
      <c r="AH7526" s="10"/>
      <c r="AI7526" s="10"/>
      <c r="AJ7526" s="10"/>
      <c r="AK7526" s="10"/>
      <c r="AL7526" s="10"/>
      <c r="AM7526" s="10"/>
      <c r="AN7526" s="10"/>
      <c r="AO7526" s="10"/>
      <c r="AP7526" s="10"/>
      <c r="AQ7526" s="10"/>
      <c r="AR7526" s="10"/>
      <c r="AS7526" s="10"/>
      <c r="AT7526" s="10"/>
      <c r="AU7526" s="10"/>
      <c r="AV7526" s="10"/>
      <c r="AW7526" s="10"/>
      <c r="AX7526" s="10"/>
      <c r="AY7526" s="10"/>
      <c r="AZ7526" s="10"/>
    </row>
    <row r="7527" spans="31:52">
      <c r="AE7527" s="10"/>
      <c r="AF7527" s="10"/>
      <c r="AG7527" s="10"/>
      <c r="AH7527" s="10"/>
      <c r="AI7527" s="10"/>
      <c r="AJ7527" s="10"/>
      <c r="AK7527" s="10"/>
      <c r="AL7527" s="10"/>
      <c r="AM7527" s="10"/>
      <c r="AN7527" s="10"/>
      <c r="AO7527" s="10"/>
      <c r="AP7527" s="10"/>
      <c r="AQ7527" s="10"/>
      <c r="AR7527" s="10"/>
      <c r="AS7527" s="10"/>
      <c r="AT7527" s="10"/>
      <c r="AU7527" s="10"/>
      <c r="AV7527" s="10"/>
      <c r="AW7527" s="10"/>
      <c r="AX7527" s="10"/>
      <c r="AY7527" s="10"/>
      <c r="AZ7527" s="10"/>
    </row>
    <row r="7528" spans="31:52">
      <c r="AE7528" s="10"/>
      <c r="AF7528" s="10"/>
      <c r="AG7528" s="10"/>
      <c r="AH7528" s="10"/>
      <c r="AI7528" s="10"/>
      <c r="AJ7528" s="10"/>
      <c r="AK7528" s="10"/>
      <c r="AL7528" s="10"/>
      <c r="AM7528" s="10"/>
      <c r="AN7528" s="10"/>
      <c r="AO7528" s="10"/>
      <c r="AP7528" s="10"/>
      <c r="AQ7528" s="10"/>
      <c r="AR7528" s="10"/>
      <c r="AS7528" s="10"/>
      <c r="AT7528" s="10"/>
      <c r="AU7528" s="10"/>
      <c r="AV7528" s="10"/>
      <c r="AW7528" s="10"/>
      <c r="AX7528" s="10"/>
      <c r="AY7528" s="10"/>
      <c r="AZ7528" s="10"/>
    </row>
    <row r="7529" spans="31:52">
      <c r="AE7529" s="10"/>
      <c r="AF7529" s="10"/>
      <c r="AG7529" s="10"/>
      <c r="AH7529" s="10"/>
      <c r="AI7529" s="10"/>
      <c r="AJ7529" s="10"/>
      <c r="AK7529" s="10"/>
      <c r="AL7529" s="10"/>
      <c r="AM7529" s="10"/>
      <c r="AN7529" s="10"/>
      <c r="AO7529" s="10"/>
      <c r="AP7529" s="10"/>
      <c r="AQ7529" s="10"/>
      <c r="AR7529" s="10"/>
      <c r="AS7529" s="10"/>
      <c r="AT7529" s="10"/>
      <c r="AU7529" s="10"/>
      <c r="AV7529" s="10"/>
      <c r="AW7529" s="10"/>
      <c r="AX7529" s="10"/>
      <c r="AY7529" s="10"/>
      <c r="AZ7529" s="10"/>
    </row>
    <row r="7530" spans="31:52">
      <c r="AE7530" s="10"/>
      <c r="AF7530" s="10"/>
      <c r="AG7530" s="10"/>
      <c r="AH7530" s="10"/>
      <c r="AI7530" s="10"/>
      <c r="AJ7530" s="10"/>
      <c r="AK7530" s="10"/>
      <c r="AL7530" s="10"/>
      <c r="AM7530" s="10"/>
      <c r="AN7530" s="10"/>
      <c r="AO7530" s="10"/>
      <c r="AP7530" s="10"/>
      <c r="AQ7530" s="10"/>
      <c r="AR7530" s="10"/>
      <c r="AS7530" s="10"/>
      <c r="AT7530" s="10"/>
      <c r="AU7530" s="10"/>
      <c r="AV7530" s="10"/>
      <c r="AW7530" s="10"/>
      <c r="AX7530" s="10"/>
      <c r="AY7530" s="10"/>
      <c r="AZ7530" s="10"/>
    </row>
    <row r="7531" spans="31:52">
      <c r="AE7531" s="10"/>
      <c r="AF7531" s="10"/>
      <c r="AG7531" s="10"/>
      <c r="AH7531" s="10"/>
      <c r="AI7531" s="10"/>
      <c r="AJ7531" s="10"/>
      <c r="AK7531" s="10"/>
      <c r="AL7531" s="10"/>
      <c r="AM7531" s="10"/>
      <c r="AN7531" s="10"/>
      <c r="AO7531" s="10"/>
      <c r="AP7531" s="10"/>
      <c r="AQ7531" s="10"/>
      <c r="AR7531" s="10"/>
      <c r="AS7531" s="10"/>
      <c r="AT7531" s="10"/>
      <c r="AU7531" s="10"/>
      <c r="AV7531" s="10"/>
      <c r="AW7531" s="10"/>
      <c r="AX7531" s="10"/>
      <c r="AY7531" s="10"/>
      <c r="AZ7531" s="10"/>
    </row>
    <row r="7532" spans="31:52">
      <c r="AE7532" s="10"/>
      <c r="AF7532" s="10"/>
      <c r="AG7532" s="10"/>
      <c r="AH7532" s="10"/>
      <c r="AI7532" s="10"/>
      <c r="AJ7532" s="10"/>
      <c r="AK7532" s="10"/>
      <c r="AL7532" s="10"/>
      <c r="AM7532" s="10"/>
      <c r="AN7532" s="10"/>
      <c r="AO7532" s="10"/>
      <c r="AP7532" s="10"/>
      <c r="AQ7532" s="10"/>
      <c r="AR7532" s="10"/>
      <c r="AS7532" s="10"/>
      <c r="AT7532" s="10"/>
      <c r="AU7532" s="10"/>
      <c r="AV7532" s="10"/>
      <c r="AW7532" s="10"/>
      <c r="AX7532" s="10"/>
      <c r="AY7532" s="10"/>
      <c r="AZ7532" s="10"/>
    </row>
    <row r="7533" spans="31:52">
      <c r="AE7533" s="10"/>
      <c r="AF7533" s="10"/>
      <c r="AG7533" s="10"/>
      <c r="AH7533" s="10"/>
      <c r="AI7533" s="10"/>
      <c r="AJ7533" s="10"/>
      <c r="AK7533" s="10"/>
      <c r="AL7533" s="10"/>
      <c r="AM7533" s="10"/>
      <c r="AN7533" s="10"/>
      <c r="AO7533" s="10"/>
      <c r="AP7533" s="10"/>
      <c r="AQ7533" s="10"/>
      <c r="AR7533" s="10"/>
      <c r="AS7533" s="10"/>
      <c r="AT7533" s="10"/>
      <c r="AU7533" s="10"/>
      <c r="AV7533" s="10"/>
      <c r="AW7533" s="10"/>
      <c r="AX7533" s="10"/>
      <c r="AY7533" s="10"/>
      <c r="AZ7533" s="10"/>
    </row>
    <row r="7534" spans="31:52">
      <c r="AE7534" s="10"/>
      <c r="AF7534" s="10"/>
      <c r="AG7534" s="10"/>
      <c r="AH7534" s="10"/>
      <c r="AI7534" s="10"/>
      <c r="AJ7534" s="10"/>
      <c r="AK7534" s="10"/>
      <c r="AL7534" s="10"/>
      <c r="AM7534" s="10"/>
      <c r="AN7534" s="10"/>
      <c r="AO7534" s="10"/>
      <c r="AP7534" s="10"/>
      <c r="AQ7534" s="10"/>
      <c r="AR7534" s="10"/>
      <c r="AS7534" s="10"/>
      <c r="AT7534" s="10"/>
      <c r="AU7534" s="10"/>
      <c r="AV7534" s="10"/>
      <c r="AW7534" s="10"/>
      <c r="AX7534" s="10"/>
      <c r="AY7534" s="10"/>
      <c r="AZ7534" s="10"/>
    </row>
    <row r="7535" spans="31:52">
      <c r="AE7535" s="10"/>
      <c r="AF7535" s="10"/>
      <c r="AG7535" s="10"/>
      <c r="AH7535" s="10"/>
      <c r="AI7535" s="10"/>
      <c r="AJ7535" s="10"/>
      <c r="AK7535" s="10"/>
      <c r="AL7535" s="10"/>
      <c r="AM7535" s="10"/>
      <c r="AN7535" s="10"/>
      <c r="AO7535" s="10"/>
      <c r="AP7535" s="10"/>
      <c r="AQ7535" s="10"/>
      <c r="AR7535" s="10"/>
      <c r="AS7535" s="10"/>
      <c r="AT7535" s="10"/>
      <c r="AU7535" s="10"/>
      <c r="AV7535" s="10"/>
      <c r="AW7535" s="10"/>
      <c r="AX7535" s="10"/>
      <c r="AY7535" s="10"/>
      <c r="AZ7535" s="10"/>
    </row>
    <row r="7536" spans="31:52">
      <c r="AE7536" s="10"/>
      <c r="AF7536" s="10"/>
      <c r="AG7536" s="10"/>
      <c r="AH7536" s="10"/>
      <c r="AI7536" s="10"/>
      <c r="AJ7536" s="10"/>
      <c r="AK7536" s="10"/>
      <c r="AL7536" s="10"/>
      <c r="AM7536" s="10"/>
      <c r="AN7536" s="10"/>
      <c r="AO7536" s="10"/>
      <c r="AP7536" s="10"/>
      <c r="AQ7536" s="10"/>
      <c r="AR7536" s="10"/>
      <c r="AS7536" s="10"/>
      <c r="AT7536" s="10"/>
      <c r="AU7536" s="10"/>
      <c r="AV7536" s="10"/>
      <c r="AW7536" s="10"/>
      <c r="AX7536" s="10"/>
      <c r="AY7536" s="10"/>
      <c r="AZ7536" s="10"/>
    </row>
    <row r="7537" spans="31:52">
      <c r="AE7537" s="10"/>
      <c r="AF7537" s="10"/>
      <c r="AG7537" s="10"/>
      <c r="AH7537" s="10"/>
      <c r="AI7537" s="10"/>
      <c r="AJ7537" s="10"/>
      <c r="AK7537" s="10"/>
      <c r="AL7537" s="10"/>
      <c r="AM7537" s="10"/>
      <c r="AN7537" s="10"/>
      <c r="AO7537" s="10"/>
      <c r="AP7537" s="10"/>
      <c r="AQ7537" s="10"/>
      <c r="AR7537" s="10"/>
      <c r="AS7537" s="10"/>
      <c r="AT7537" s="10"/>
      <c r="AU7537" s="10"/>
      <c r="AV7537" s="10"/>
      <c r="AW7537" s="10"/>
      <c r="AX7537" s="10"/>
      <c r="AY7537" s="10"/>
      <c r="AZ7537" s="10"/>
    </row>
    <row r="7538" spans="31:52">
      <c r="AE7538" s="10"/>
      <c r="AF7538" s="10"/>
      <c r="AG7538" s="10"/>
      <c r="AH7538" s="10"/>
      <c r="AI7538" s="10"/>
      <c r="AJ7538" s="10"/>
      <c r="AK7538" s="10"/>
      <c r="AL7538" s="10"/>
      <c r="AM7538" s="10"/>
      <c r="AN7538" s="10"/>
      <c r="AO7538" s="10"/>
      <c r="AP7538" s="10"/>
      <c r="AQ7538" s="10"/>
      <c r="AR7538" s="10"/>
      <c r="AS7538" s="10"/>
      <c r="AT7538" s="10"/>
      <c r="AU7538" s="10"/>
      <c r="AV7538" s="10"/>
      <c r="AW7538" s="10"/>
      <c r="AX7538" s="10"/>
      <c r="AY7538" s="10"/>
      <c r="AZ7538" s="10"/>
    </row>
    <row r="7539" spans="31:52">
      <c r="AE7539" s="10"/>
      <c r="AF7539" s="10"/>
      <c r="AG7539" s="10"/>
      <c r="AH7539" s="10"/>
      <c r="AI7539" s="10"/>
      <c r="AJ7539" s="10"/>
      <c r="AK7539" s="10"/>
      <c r="AL7539" s="10"/>
      <c r="AM7539" s="10"/>
      <c r="AN7539" s="10"/>
      <c r="AO7539" s="10"/>
      <c r="AP7539" s="10"/>
      <c r="AQ7539" s="10"/>
      <c r="AR7539" s="10"/>
      <c r="AS7539" s="10"/>
      <c r="AT7539" s="10"/>
      <c r="AU7539" s="10"/>
      <c r="AV7539" s="10"/>
      <c r="AW7539" s="10"/>
      <c r="AX7539" s="10"/>
      <c r="AY7539" s="10"/>
      <c r="AZ7539" s="10"/>
    </row>
    <row r="7540" spans="31:52">
      <c r="AE7540" s="10"/>
      <c r="AF7540" s="10"/>
      <c r="AG7540" s="10"/>
      <c r="AH7540" s="10"/>
      <c r="AI7540" s="10"/>
      <c r="AJ7540" s="10"/>
      <c r="AK7540" s="10"/>
      <c r="AL7540" s="10"/>
      <c r="AM7540" s="10"/>
      <c r="AN7540" s="10"/>
      <c r="AO7540" s="10"/>
      <c r="AP7540" s="10"/>
      <c r="AQ7540" s="10"/>
      <c r="AR7540" s="10"/>
      <c r="AS7540" s="10"/>
      <c r="AT7540" s="10"/>
      <c r="AU7540" s="10"/>
      <c r="AV7540" s="10"/>
      <c r="AW7540" s="10"/>
      <c r="AX7540" s="10"/>
      <c r="AY7540" s="10"/>
      <c r="AZ7540" s="10"/>
    </row>
    <row r="7541" spans="31:52">
      <c r="AE7541" s="10"/>
      <c r="AF7541" s="10"/>
      <c r="AG7541" s="10"/>
      <c r="AH7541" s="10"/>
      <c r="AI7541" s="10"/>
      <c r="AJ7541" s="10"/>
      <c r="AK7541" s="10"/>
      <c r="AL7541" s="10"/>
      <c r="AM7541" s="10"/>
      <c r="AN7541" s="10"/>
      <c r="AO7541" s="10"/>
      <c r="AP7541" s="10"/>
      <c r="AQ7541" s="10"/>
      <c r="AR7541" s="10"/>
      <c r="AS7541" s="10"/>
      <c r="AT7541" s="10"/>
      <c r="AU7541" s="10"/>
      <c r="AV7541" s="10"/>
      <c r="AW7541" s="10"/>
      <c r="AX7541" s="10"/>
      <c r="AY7541" s="10"/>
      <c r="AZ7541" s="10"/>
    </row>
    <row r="7542" spans="31:52">
      <c r="AE7542" s="10"/>
      <c r="AF7542" s="10"/>
      <c r="AG7542" s="10"/>
      <c r="AH7542" s="10"/>
      <c r="AI7542" s="10"/>
      <c r="AJ7542" s="10"/>
      <c r="AK7542" s="10"/>
      <c r="AL7542" s="10"/>
      <c r="AM7542" s="10"/>
      <c r="AN7542" s="10"/>
      <c r="AO7542" s="10"/>
      <c r="AP7542" s="10"/>
      <c r="AQ7542" s="10"/>
      <c r="AR7542" s="10"/>
      <c r="AS7542" s="10"/>
      <c r="AT7542" s="10"/>
      <c r="AU7542" s="10"/>
      <c r="AV7542" s="10"/>
      <c r="AW7542" s="10"/>
      <c r="AX7542" s="10"/>
      <c r="AY7542" s="10"/>
      <c r="AZ7542" s="10"/>
    </row>
    <row r="7543" spans="31:52">
      <c r="AE7543" s="10"/>
      <c r="AF7543" s="10"/>
      <c r="AG7543" s="10"/>
      <c r="AH7543" s="10"/>
      <c r="AI7543" s="10"/>
      <c r="AJ7543" s="10"/>
      <c r="AK7543" s="10"/>
      <c r="AL7543" s="10"/>
      <c r="AM7543" s="10"/>
      <c r="AN7543" s="10"/>
      <c r="AO7543" s="10"/>
      <c r="AP7543" s="10"/>
      <c r="AQ7543" s="10"/>
      <c r="AR7543" s="10"/>
      <c r="AS7543" s="10"/>
      <c r="AT7543" s="10"/>
      <c r="AU7543" s="10"/>
      <c r="AV7543" s="10"/>
      <c r="AW7543" s="10"/>
      <c r="AX7543" s="10"/>
      <c r="AY7543" s="10"/>
      <c r="AZ7543" s="10"/>
    </row>
    <row r="7544" spans="31:52">
      <c r="AE7544" s="10"/>
      <c r="AF7544" s="10"/>
      <c r="AG7544" s="10"/>
      <c r="AH7544" s="10"/>
      <c r="AI7544" s="10"/>
      <c r="AJ7544" s="10"/>
      <c r="AK7544" s="10"/>
      <c r="AL7544" s="10"/>
      <c r="AM7544" s="10"/>
      <c r="AN7544" s="10"/>
      <c r="AO7544" s="10"/>
      <c r="AP7544" s="10"/>
      <c r="AQ7544" s="10"/>
      <c r="AR7544" s="10"/>
      <c r="AS7544" s="10"/>
      <c r="AT7544" s="10"/>
      <c r="AU7544" s="10"/>
      <c r="AV7544" s="10"/>
      <c r="AW7544" s="10"/>
      <c r="AX7544" s="10"/>
      <c r="AY7544" s="10"/>
      <c r="AZ7544" s="10"/>
    </row>
    <row r="7545" spans="31:52">
      <c r="AE7545" s="10"/>
      <c r="AF7545" s="10"/>
      <c r="AG7545" s="10"/>
      <c r="AH7545" s="10"/>
      <c r="AI7545" s="10"/>
      <c r="AJ7545" s="10"/>
      <c r="AK7545" s="10"/>
      <c r="AL7545" s="10"/>
      <c r="AM7545" s="10"/>
      <c r="AN7545" s="10"/>
      <c r="AO7545" s="10"/>
      <c r="AP7545" s="10"/>
      <c r="AQ7545" s="10"/>
      <c r="AR7545" s="10"/>
      <c r="AS7545" s="10"/>
      <c r="AT7545" s="10"/>
      <c r="AU7545" s="10"/>
      <c r="AV7545" s="10"/>
      <c r="AW7545" s="10"/>
      <c r="AX7545" s="10"/>
      <c r="AY7545" s="10"/>
      <c r="AZ7545" s="10"/>
    </row>
    <row r="7546" spans="31:52">
      <c r="AE7546" s="10"/>
      <c r="AF7546" s="10"/>
      <c r="AG7546" s="10"/>
      <c r="AH7546" s="10"/>
      <c r="AI7546" s="10"/>
      <c r="AJ7546" s="10"/>
      <c r="AK7546" s="10"/>
      <c r="AL7546" s="10"/>
      <c r="AM7546" s="10"/>
      <c r="AN7546" s="10"/>
      <c r="AO7546" s="10"/>
      <c r="AP7546" s="10"/>
      <c r="AQ7546" s="10"/>
      <c r="AR7546" s="10"/>
      <c r="AS7546" s="10"/>
      <c r="AT7546" s="10"/>
      <c r="AU7546" s="10"/>
      <c r="AV7546" s="10"/>
      <c r="AW7546" s="10"/>
      <c r="AX7546" s="10"/>
      <c r="AY7546" s="10"/>
      <c r="AZ7546" s="10"/>
    </row>
    <row r="7547" spans="31:52">
      <c r="AE7547" s="10"/>
      <c r="AF7547" s="10"/>
      <c r="AG7547" s="10"/>
      <c r="AH7547" s="10"/>
      <c r="AI7547" s="10"/>
      <c r="AJ7547" s="10"/>
      <c r="AK7547" s="10"/>
      <c r="AL7547" s="10"/>
      <c r="AM7547" s="10"/>
      <c r="AN7547" s="10"/>
      <c r="AO7547" s="10"/>
      <c r="AP7547" s="10"/>
      <c r="AQ7547" s="10"/>
      <c r="AR7547" s="10"/>
      <c r="AS7547" s="10"/>
      <c r="AT7547" s="10"/>
      <c r="AU7547" s="10"/>
      <c r="AV7547" s="10"/>
      <c r="AW7547" s="10"/>
      <c r="AX7547" s="10"/>
      <c r="AY7547" s="10"/>
      <c r="AZ7547" s="10"/>
    </row>
    <row r="7548" spans="31:52">
      <c r="AE7548" s="10"/>
      <c r="AF7548" s="10"/>
      <c r="AG7548" s="10"/>
      <c r="AH7548" s="10"/>
      <c r="AI7548" s="10"/>
      <c r="AJ7548" s="10"/>
      <c r="AK7548" s="10"/>
      <c r="AL7548" s="10"/>
      <c r="AM7548" s="10"/>
      <c r="AN7548" s="10"/>
      <c r="AO7548" s="10"/>
      <c r="AP7548" s="10"/>
      <c r="AQ7548" s="10"/>
      <c r="AR7548" s="10"/>
      <c r="AS7548" s="10"/>
      <c r="AT7548" s="10"/>
      <c r="AU7548" s="10"/>
      <c r="AV7548" s="10"/>
      <c r="AW7548" s="10"/>
      <c r="AX7548" s="10"/>
      <c r="AY7548" s="10"/>
      <c r="AZ7548" s="10"/>
    </row>
    <row r="7549" spans="31:52">
      <c r="AE7549" s="10"/>
      <c r="AF7549" s="10"/>
      <c r="AG7549" s="10"/>
      <c r="AH7549" s="10"/>
      <c r="AI7549" s="10"/>
      <c r="AJ7549" s="10"/>
      <c r="AK7549" s="10"/>
      <c r="AL7549" s="10"/>
      <c r="AM7549" s="10"/>
      <c r="AN7549" s="10"/>
      <c r="AO7549" s="10"/>
      <c r="AP7549" s="10"/>
      <c r="AQ7549" s="10"/>
      <c r="AR7549" s="10"/>
      <c r="AS7549" s="10"/>
      <c r="AT7549" s="10"/>
      <c r="AU7549" s="10"/>
      <c r="AV7549" s="10"/>
      <c r="AW7549" s="10"/>
      <c r="AX7549" s="10"/>
      <c r="AY7549" s="10"/>
      <c r="AZ7549" s="10"/>
    </row>
    <row r="7550" spans="31:52">
      <c r="AE7550" s="10"/>
      <c r="AF7550" s="10"/>
      <c r="AG7550" s="10"/>
      <c r="AH7550" s="10"/>
      <c r="AI7550" s="10"/>
      <c r="AJ7550" s="10"/>
      <c r="AK7550" s="10"/>
      <c r="AL7550" s="10"/>
      <c r="AM7550" s="10"/>
      <c r="AN7550" s="10"/>
      <c r="AO7550" s="10"/>
      <c r="AP7550" s="10"/>
      <c r="AQ7550" s="10"/>
      <c r="AR7550" s="10"/>
      <c r="AS7550" s="10"/>
      <c r="AT7550" s="10"/>
      <c r="AU7550" s="10"/>
      <c r="AV7550" s="10"/>
      <c r="AW7550" s="10"/>
      <c r="AX7550" s="10"/>
      <c r="AY7550" s="10"/>
      <c r="AZ7550" s="10"/>
    </row>
    <row r="7551" spans="31:52">
      <c r="AE7551" s="10"/>
      <c r="AF7551" s="10"/>
      <c r="AG7551" s="10"/>
      <c r="AH7551" s="10"/>
      <c r="AI7551" s="10"/>
      <c r="AJ7551" s="10"/>
      <c r="AK7551" s="10"/>
      <c r="AL7551" s="10"/>
      <c r="AM7551" s="10"/>
      <c r="AN7551" s="10"/>
      <c r="AO7551" s="10"/>
      <c r="AP7551" s="10"/>
      <c r="AQ7551" s="10"/>
      <c r="AR7551" s="10"/>
      <c r="AS7551" s="10"/>
      <c r="AT7551" s="10"/>
      <c r="AU7551" s="10"/>
      <c r="AV7551" s="10"/>
      <c r="AW7551" s="10"/>
      <c r="AX7551" s="10"/>
      <c r="AY7551" s="10"/>
      <c r="AZ7551" s="10"/>
    </row>
    <row r="7552" spans="31:52">
      <c r="AE7552" s="10"/>
      <c r="AF7552" s="10"/>
      <c r="AG7552" s="10"/>
      <c r="AH7552" s="10"/>
      <c r="AI7552" s="10"/>
      <c r="AJ7552" s="10"/>
      <c r="AK7552" s="10"/>
      <c r="AL7552" s="10"/>
      <c r="AM7552" s="10"/>
      <c r="AN7552" s="10"/>
      <c r="AO7552" s="10"/>
      <c r="AP7552" s="10"/>
      <c r="AQ7552" s="10"/>
      <c r="AR7552" s="10"/>
      <c r="AS7552" s="10"/>
      <c r="AT7552" s="10"/>
      <c r="AU7552" s="10"/>
      <c r="AV7552" s="10"/>
      <c r="AW7552" s="10"/>
      <c r="AX7552" s="10"/>
      <c r="AY7552" s="10"/>
      <c r="AZ7552" s="10"/>
    </row>
    <row r="7553" spans="31:52">
      <c r="AE7553" s="10"/>
      <c r="AF7553" s="10"/>
      <c r="AG7553" s="10"/>
      <c r="AH7553" s="10"/>
      <c r="AI7553" s="10"/>
      <c r="AJ7553" s="10"/>
      <c r="AK7553" s="10"/>
      <c r="AL7553" s="10"/>
      <c r="AM7553" s="10"/>
      <c r="AN7553" s="10"/>
      <c r="AO7553" s="10"/>
      <c r="AP7553" s="10"/>
      <c r="AQ7553" s="10"/>
      <c r="AR7553" s="10"/>
      <c r="AS7553" s="10"/>
      <c r="AT7553" s="10"/>
      <c r="AU7553" s="10"/>
      <c r="AV7553" s="10"/>
      <c r="AW7553" s="10"/>
      <c r="AX7553" s="10"/>
      <c r="AY7553" s="10"/>
      <c r="AZ7553" s="10"/>
    </row>
    <row r="7554" spans="31:52">
      <c r="AE7554" s="10"/>
      <c r="AF7554" s="10"/>
      <c r="AG7554" s="10"/>
      <c r="AH7554" s="10"/>
      <c r="AI7554" s="10"/>
      <c r="AJ7554" s="10"/>
      <c r="AK7554" s="10"/>
      <c r="AL7554" s="10"/>
      <c r="AM7554" s="10"/>
      <c r="AN7554" s="10"/>
      <c r="AO7554" s="10"/>
      <c r="AP7554" s="10"/>
      <c r="AQ7554" s="10"/>
      <c r="AR7554" s="10"/>
      <c r="AS7554" s="10"/>
      <c r="AT7554" s="10"/>
      <c r="AU7554" s="10"/>
      <c r="AV7554" s="10"/>
      <c r="AW7554" s="10"/>
      <c r="AX7554" s="10"/>
      <c r="AY7554" s="10"/>
      <c r="AZ7554" s="10"/>
    </row>
    <row r="7555" spans="31:52">
      <c r="AE7555" s="10"/>
      <c r="AF7555" s="10"/>
      <c r="AG7555" s="10"/>
      <c r="AH7555" s="10"/>
      <c r="AI7555" s="10"/>
      <c r="AJ7555" s="10"/>
      <c r="AK7555" s="10"/>
      <c r="AL7555" s="10"/>
      <c r="AM7555" s="10"/>
      <c r="AN7555" s="10"/>
      <c r="AO7555" s="10"/>
      <c r="AP7555" s="10"/>
      <c r="AQ7555" s="10"/>
      <c r="AR7555" s="10"/>
      <c r="AS7555" s="10"/>
      <c r="AT7555" s="10"/>
      <c r="AU7555" s="10"/>
      <c r="AV7555" s="10"/>
      <c r="AW7555" s="10"/>
      <c r="AX7555" s="10"/>
      <c r="AY7555" s="10"/>
      <c r="AZ7555" s="10"/>
    </row>
    <row r="7556" spans="31:52">
      <c r="AE7556" s="10"/>
      <c r="AF7556" s="10"/>
      <c r="AG7556" s="10"/>
      <c r="AH7556" s="10"/>
      <c r="AI7556" s="10"/>
      <c r="AJ7556" s="10"/>
      <c r="AK7556" s="10"/>
      <c r="AL7556" s="10"/>
      <c r="AM7556" s="10"/>
      <c r="AN7556" s="10"/>
      <c r="AO7556" s="10"/>
      <c r="AP7556" s="10"/>
      <c r="AQ7556" s="10"/>
      <c r="AR7556" s="10"/>
      <c r="AS7556" s="10"/>
      <c r="AT7556" s="10"/>
      <c r="AU7556" s="10"/>
      <c r="AV7556" s="10"/>
      <c r="AW7556" s="10"/>
      <c r="AX7556" s="10"/>
      <c r="AY7556" s="10"/>
      <c r="AZ7556" s="10"/>
    </row>
    <row r="7557" spans="31:52">
      <c r="AE7557" s="10"/>
      <c r="AF7557" s="10"/>
      <c r="AG7557" s="10"/>
      <c r="AH7557" s="10"/>
      <c r="AI7557" s="10"/>
      <c r="AJ7557" s="10"/>
      <c r="AK7557" s="10"/>
      <c r="AL7557" s="10"/>
      <c r="AM7557" s="10"/>
      <c r="AN7557" s="10"/>
      <c r="AO7557" s="10"/>
      <c r="AP7557" s="10"/>
      <c r="AQ7557" s="10"/>
      <c r="AR7557" s="10"/>
      <c r="AS7557" s="10"/>
      <c r="AT7557" s="10"/>
      <c r="AU7557" s="10"/>
      <c r="AV7557" s="10"/>
      <c r="AW7557" s="10"/>
      <c r="AX7557" s="10"/>
      <c r="AY7557" s="10"/>
      <c r="AZ7557" s="10"/>
    </row>
    <row r="7558" spans="31:52">
      <c r="AE7558" s="10"/>
      <c r="AF7558" s="10"/>
      <c r="AG7558" s="10"/>
      <c r="AH7558" s="10"/>
      <c r="AI7558" s="10"/>
      <c r="AJ7558" s="10"/>
      <c r="AK7558" s="10"/>
      <c r="AL7558" s="10"/>
      <c r="AM7558" s="10"/>
      <c r="AN7558" s="10"/>
      <c r="AO7558" s="10"/>
      <c r="AP7558" s="10"/>
      <c r="AQ7558" s="10"/>
      <c r="AR7558" s="10"/>
      <c r="AS7558" s="10"/>
      <c r="AT7558" s="10"/>
      <c r="AU7558" s="10"/>
      <c r="AV7558" s="10"/>
      <c r="AW7558" s="10"/>
      <c r="AX7558" s="10"/>
      <c r="AY7558" s="10"/>
      <c r="AZ7558" s="10"/>
    </row>
    <row r="7559" spans="31:52">
      <c r="AE7559" s="10"/>
      <c r="AF7559" s="10"/>
      <c r="AG7559" s="10"/>
      <c r="AH7559" s="10"/>
      <c r="AI7559" s="10"/>
      <c r="AJ7559" s="10"/>
      <c r="AK7559" s="10"/>
      <c r="AL7559" s="10"/>
      <c r="AM7559" s="10"/>
      <c r="AN7559" s="10"/>
      <c r="AO7559" s="10"/>
      <c r="AP7559" s="10"/>
      <c r="AQ7559" s="10"/>
      <c r="AR7559" s="10"/>
      <c r="AS7559" s="10"/>
      <c r="AT7559" s="10"/>
      <c r="AU7559" s="10"/>
      <c r="AV7559" s="10"/>
      <c r="AW7559" s="10"/>
      <c r="AX7559" s="10"/>
      <c r="AY7559" s="10"/>
      <c r="AZ7559" s="10"/>
    </row>
    <row r="7560" spans="31:52">
      <c r="AE7560" s="10"/>
      <c r="AF7560" s="10"/>
      <c r="AG7560" s="10"/>
      <c r="AH7560" s="10"/>
      <c r="AI7560" s="10"/>
      <c r="AJ7560" s="10"/>
      <c r="AK7560" s="10"/>
      <c r="AL7560" s="10"/>
      <c r="AM7560" s="10"/>
      <c r="AN7560" s="10"/>
      <c r="AO7560" s="10"/>
      <c r="AP7560" s="10"/>
      <c r="AQ7560" s="10"/>
      <c r="AR7560" s="10"/>
      <c r="AS7560" s="10"/>
      <c r="AT7560" s="10"/>
      <c r="AU7560" s="10"/>
      <c r="AV7560" s="10"/>
      <c r="AW7560" s="10"/>
      <c r="AX7560" s="10"/>
      <c r="AY7560" s="10"/>
      <c r="AZ7560" s="10"/>
    </row>
    <row r="7561" spans="31:52">
      <c r="AE7561" s="10"/>
      <c r="AF7561" s="10"/>
      <c r="AG7561" s="10"/>
      <c r="AH7561" s="10"/>
      <c r="AI7561" s="10"/>
      <c r="AJ7561" s="10"/>
      <c r="AK7561" s="10"/>
      <c r="AL7561" s="10"/>
      <c r="AM7561" s="10"/>
      <c r="AN7561" s="10"/>
      <c r="AO7561" s="10"/>
      <c r="AP7561" s="10"/>
      <c r="AQ7561" s="10"/>
      <c r="AR7561" s="10"/>
      <c r="AS7561" s="10"/>
      <c r="AT7561" s="10"/>
      <c r="AU7561" s="10"/>
      <c r="AV7561" s="10"/>
      <c r="AW7561" s="10"/>
      <c r="AX7561" s="10"/>
      <c r="AY7561" s="10"/>
      <c r="AZ7561" s="10"/>
    </row>
    <row r="7562" spans="31:52">
      <c r="AE7562" s="10"/>
      <c r="AF7562" s="10"/>
      <c r="AG7562" s="10"/>
      <c r="AH7562" s="10"/>
      <c r="AI7562" s="10"/>
      <c r="AJ7562" s="10"/>
      <c r="AK7562" s="10"/>
      <c r="AL7562" s="10"/>
      <c r="AM7562" s="10"/>
      <c r="AN7562" s="10"/>
      <c r="AO7562" s="10"/>
      <c r="AP7562" s="10"/>
      <c r="AQ7562" s="10"/>
      <c r="AR7562" s="10"/>
      <c r="AS7562" s="10"/>
      <c r="AT7562" s="10"/>
      <c r="AU7562" s="10"/>
      <c r="AV7562" s="10"/>
      <c r="AW7562" s="10"/>
      <c r="AX7562" s="10"/>
      <c r="AY7562" s="10"/>
      <c r="AZ7562" s="10"/>
    </row>
    <row r="7563" spans="31:52">
      <c r="AE7563" s="10"/>
      <c r="AF7563" s="10"/>
      <c r="AG7563" s="10"/>
      <c r="AH7563" s="10"/>
      <c r="AI7563" s="10"/>
      <c r="AJ7563" s="10"/>
      <c r="AK7563" s="10"/>
      <c r="AL7563" s="10"/>
      <c r="AM7563" s="10"/>
      <c r="AN7563" s="10"/>
      <c r="AO7563" s="10"/>
      <c r="AP7563" s="10"/>
      <c r="AQ7563" s="10"/>
      <c r="AR7563" s="10"/>
      <c r="AS7563" s="10"/>
      <c r="AT7563" s="10"/>
      <c r="AU7563" s="10"/>
      <c r="AV7563" s="10"/>
      <c r="AW7563" s="10"/>
      <c r="AX7563" s="10"/>
      <c r="AY7563" s="10"/>
      <c r="AZ7563" s="10"/>
    </row>
    <row r="7564" spans="31:52">
      <c r="AE7564" s="10"/>
      <c r="AF7564" s="10"/>
      <c r="AG7564" s="10"/>
      <c r="AH7564" s="10"/>
      <c r="AI7564" s="10"/>
      <c r="AJ7564" s="10"/>
      <c r="AK7564" s="10"/>
      <c r="AL7564" s="10"/>
      <c r="AM7564" s="10"/>
      <c r="AN7564" s="10"/>
      <c r="AO7564" s="10"/>
      <c r="AP7564" s="10"/>
      <c r="AQ7564" s="10"/>
      <c r="AR7564" s="10"/>
      <c r="AS7564" s="10"/>
      <c r="AT7564" s="10"/>
      <c r="AU7564" s="10"/>
      <c r="AV7564" s="10"/>
      <c r="AW7564" s="10"/>
      <c r="AX7564" s="10"/>
      <c r="AY7564" s="10"/>
      <c r="AZ7564" s="10"/>
    </row>
    <row r="7565" spans="31:52">
      <c r="AE7565" s="10"/>
      <c r="AF7565" s="10"/>
      <c r="AG7565" s="10"/>
      <c r="AH7565" s="10"/>
      <c r="AI7565" s="10"/>
      <c r="AJ7565" s="10"/>
      <c r="AK7565" s="10"/>
      <c r="AL7565" s="10"/>
      <c r="AM7565" s="10"/>
      <c r="AN7565" s="10"/>
      <c r="AO7565" s="10"/>
      <c r="AP7565" s="10"/>
      <c r="AQ7565" s="10"/>
      <c r="AR7565" s="10"/>
      <c r="AS7565" s="10"/>
      <c r="AT7565" s="10"/>
      <c r="AU7565" s="10"/>
      <c r="AV7565" s="10"/>
      <c r="AW7565" s="10"/>
      <c r="AX7565" s="10"/>
      <c r="AY7565" s="10"/>
      <c r="AZ7565" s="10"/>
    </row>
    <row r="7566" spans="31:52">
      <c r="AE7566" s="10"/>
      <c r="AF7566" s="10"/>
      <c r="AG7566" s="10"/>
      <c r="AH7566" s="10"/>
      <c r="AI7566" s="10"/>
      <c r="AJ7566" s="10"/>
      <c r="AK7566" s="10"/>
      <c r="AL7566" s="10"/>
      <c r="AM7566" s="10"/>
      <c r="AN7566" s="10"/>
      <c r="AO7566" s="10"/>
      <c r="AP7566" s="10"/>
      <c r="AQ7566" s="10"/>
      <c r="AR7566" s="10"/>
      <c r="AS7566" s="10"/>
      <c r="AT7566" s="10"/>
      <c r="AU7566" s="10"/>
      <c r="AV7566" s="10"/>
      <c r="AW7566" s="10"/>
      <c r="AX7566" s="10"/>
      <c r="AY7566" s="10"/>
      <c r="AZ7566" s="10"/>
    </row>
    <row r="7567" spans="31:52">
      <c r="AE7567" s="10"/>
      <c r="AF7567" s="10"/>
      <c r="AG7567" s="10"/>
      <c r="AH7567" s="10"/>
      <c r="AI7567" s="10"/>
      <c r="AJ7567" s="10"/>
      <c r="AK7567" s="10"/>
      <c r="AL7567" s="10"/>
      <c r="AM7567" s="10"/>
      <c r="AN7567" s="10"/>
      <c r="AO7567" s="10"/>
      <c r="AP7567" s="10"/>
      <c r="AQ7567" s="10"/>
      <c r="AR7567" s="10"/>
      <c r="AS7567" s="10"/>
      <c r="AT7567" s="10"/>
      <c r="AU7567" s="10"/>
      <c r="AV7567" s="10"/>
      <c r="AW7567" s="10"/>
      <c r="AX7567" s="10"/>
      <c r="AY7567" s="10"/>
      <c r="AZ7567" s="10"/>
    </row>
    <row r="7568" spans="31:52">
      <c r="AE7568" s="10"/>
      <c r="AF7568" s="10"/>
      <c r="AG7568" s="10"/>
      <c r="AH7568" s="10"/>
      <c r="AI7568" s="10"/>
      <c r="AJ7568" s="10"/>
      <c r="AK7568" s="10"/>
      <c r="AL7568" s="10"/>
      <c r="AM7568" s="10"/>
      <c r="AN7568" s="10"/>
      <c r="AO7568" s="10"/>
      <c r="AP7568" s="10"/>
      <c r="AQ7568" s="10"/>
      <c r="AR7568" s="10"/>
      <c r="AS7568" s="10"/>
      <c r="AT7568" s="10"/>
      <c r="AU7568" s="10"/>
      <c r="AV7568" s="10"/>
      <c r="AW7568" s="10"/>
      <c r="AX7568" s="10"/>
      <c r="AY7568" s="10"/>
      <c r="AZ7568" s="10"/>
    </row>
    <row r="7569" spans="31:52">
      <c r="AE7569" s="10"/>
      <c r="AF7569" s="10"/>
      <c r="AG7569" s="10"/>
      <c r="AH7569" s="10"/>
      <c r="AI7569" s="10"/>
      <c r="AJ7569" s="10"/>
      <c r="AK7569" s="10"/>
      <c r="AL7569" s="10"/>
      <c r="AM7569" s="10"/>
      <c r="AN7569" s="10"/>
      <c r="AO7569" s="10"/>
      <c r="AP7569" s="10"/>
      <c r="AQ7569" s="10"/>
      <c r="AR7569" s="10"/>
      <c r="AS7569" s="10"/>
      <c r="AT7569" s="10"/>
      <c r="AU7569" s="10"/>
      <c r="AV7569" s="10"/>
      <c r="AW7569" s="10"/>
      <c r="AX7569" s="10"/>
      <c r="AY7569" s="10"/>
      <c r="AZ7569" s="10"/>
    </row>
    <row r="7570" spans="31:52">
      <c r="AE7570" s="10"/>
      <c r="AF7570" s="10"/>
      <c r="AG7570" s="10"/>
      <c r="AH7570" s="10"/>
      <c r="AI7570" s="10"/>
      <c r="AJ7570" s="10"/>
      <c r="AK7570" s="10"/>
      <c r="AL7570" s="10"/>
      <c r="AM7570" s="10"/>
      <c r="AN7570" s="10"/>
      <c r="AO7570" s="10"/>
      <c r="AP7570" s="10"/>
      <c r="AQ7570" s="10"/>
      <c r="AR7570" s="10"/>
      <c r="AS7570" s="10"/>
      <c r="AT7570" s="10"/>
      <c r="AU7570" s="10"/>
      <c r="AV7570" s="10"/>
      <c r="AW7570" s="10"/>
      <c r="AX7570" s="10"/>
      <c r="AY7570" s="10"/>
      <c r="AZ7570" s="10"/>
    </row>
    <row r="7571" spans="31:52">
      <c r="AE7571" s="10"/>
      <c r="AF7571" s="10"/>
      <c r="AG7571" s="10"/>
      <c r="AH7571" s="10"/>
      <c r="AI7571" s="10"/>
      <c r="AJ7571" s="10"/>
      <c r="AK7571" s="10"/>
      <c r="AL7571" s="10"/>
      <c r="AM7571" s="10"/>
      <c r="AN7571" s="10"/>
      <c r="AO7571" s="10"/>
      <c r="AP7571" s="10"/>
      <c r="AQ7571" s="10"/>
      <c r="AR7571" s="10"/>
      <c r="AS7571" s="10"/>
      <c r="AT7571" s="10"/>
      <c r="AU7571" s="10"/>
      <c r="AV7571" s="10"/>
      <c r="AW7571" s="10"/>
      <c r="AX7571" s="10"/>
      <c r="AY7571" s="10"/>
      <c r="AZ7571" s="10"/>
    </row>
    <row r="7572" spans="31:52">
      <c r="AE7572" s="10"/>
      <c r="AF7572" s="10"/>
      <c r="AG7572" s="10"/>
      <c r="AH7572" s="10"/>
      <c r="AI7572" s="10"/>
      <c r="AJ7572" s="10"/>
      <c r="AK7572" s="10"/>
      <c r="AL7572" s="10"/>
      <c r="AM7572" s="10"/>
      <c r="AN7572" s="10"/>
      <c r="AO7572" s="10"/>
      <c r="AP7572" s="10"/>
      <c r="AQ7572" s="10"/>
      <c r="AR7572" s="10"/>
      <c r="AS7572" s="10"/>
      <c r="AT7572" s="10"/>
      <c r="AU7572" s="10"/>
      <c r="AV7572" s="10"/>
      <c r="AW7572" s="10"/>
      <c r="AX7572" s="10"/>
      <c r="AY7572" s="10"/>
      <c r="AZ7572" s="10"/>
    </row>
    <row r="7573" spans="31:52">
      <c r="AE7573" s="10"/>
      <c r="AF7573" s="10"/>
      <c r="AG7573" s="10"/>
      <c r="AH7573" s="10"/>
      <c r="AI7573" s="10"/>
      <c r="AJ7573" s="10"/>
      <c r="AK7573" s="10"/>
      <c r="AL7573" s="10"/>
      <c r="AM7573" s="10"/>
      <c r="AN7573" s="10"/>
      <c r="AO7573" s="10"/>
      <c r="AP7573" s="10"/>
      <c r="AQ7573" s="10"/>
      <c r="AR7573" s="10"/>
      <c r="AS7573" s="10"/>
      <c r="AT7573" s="10"/>
      <c r="AU7573" s="10"/>
      <c r="AV7573" s="10"/>
      <c r="AW7573" s="10"/>
      <c r="AX7573" s="10"/>
      <c r="AY7573" s="10"/>
      <c r="AZ7573" s="10"/>
    </row>
    <row r="7574" spans="31:52">
      <c r="AE7574" s="10"/>
      <c r="AF7574" s="10"/>
      <c r="AG7574" s="10"/>
      <c r="AH7574" s="10"/>
      <c r="AI7574" s="10"/>
      <c r="AJ7574" s="10"/>
      <c r="AK7574" s="10"/>
      <c r="AL7574" s="10"/>
      <c r="AM7574" s="10"/>
      <c r="AN7574" s="10"/>
      <c r="AO7574" s="10"/>
      <c r="AP7574" s="10"/>
      <c r="AQ7574" s="10"/>
      <c r="AR7574" s="10"/>
      <c r="AS7574" s="10"/>
      <c r="AT7574" s="10"/>
      <c r="AU7574" s="10"/>
      <c r="AV7574" s="10"/>
      <c r="AW7574" s="10"/>
      <c r="AX7574" s="10"/>
      <c r="AY7574" s="10"/>
      <c r="AZ7574" s="10"/>
    </row>
    <row r="7575" spans="31:52">
      <c r="AE7575" s="10"/>
      <c r="AF7575" s="10"/>
      <c r="AG7575" s="10"/>
      <c r="AH7575" s="10"/>
      <c r="AI7575" s="10"/>
      <c r="AJ7575" s="10"/>
      <c r="AK7575" s="10"/>
      <c r="AL7575" s="10"/>
      <c r="AM7575" s="10"/>
      <c r="AN7575" s="10"/>
      <c r="AO7575" s="10"/>
      <c r="AP7575" s="10"/>
      <c r="AQ7575" s="10"/>
      <c r="AR7575" s="10"/>
      <c r="AS7575" s="10"/>
      <c r="AT7575" s="10"/>
      <c r="AU7575" s="10"/>
      <c r="AV7575" s="10"/>
      <c r="AW7575" s="10"/>
      <c r="AX7575" s="10"/>
      <c r="AY7575" s="10"/>
      <c r="AZ7575" s="10"/>
    </row>
    <row r="7576" spans="31:52">
      <c r="AE7576" s="10"/>
      <c r="AF7576" s="10"/>
      <c r="AG7576" s="10"/>
      <c r="AH7576" s="10"/>
      <c r="AI7576" s="10"/>
      <c r="AJ7576" s="10"/>
      <c r="AK7576" s="10"/>
      <c r="AL7576" s="10"/>
      <c r="AM7576" s="10"/>
      <c r="AN7576" s="10"/>
      <c r="AO7576" s="10"/>
      <c r="AP7576" s="10"/>
      <c r="AQ7576" s="10"/>
      <c r="AR7576" s="10"/>
      <c r="AS7576" s="10"/>
      <c r="AT7576" s="10"/>
      <c r="AU7576" s="10"/>
      <c r="AV7576" s="10"/>
      <c r="AW7576" s="10"/>
      <c r="AX7576" s="10"/>
      <c r="AY7576" s="10"/>
      <c r="AZ7576" s="10"/>
    </row>
    <row r="7577" spans="31:52">
      <c r="AE7577" s="10"/>
      <c r="AF7577" s="10"/>
      <c r="AG7577" s="10"/>
      <c r="AH7577" s="10"/>
      <c r="AI7577" s="10"/>
      <c r="AJ7577" s="10"/>
      <c r="AK7577" s="10"/>
      <c r="AL7577" s="10"/>
      <c r="AM7577" s="10"/>
      <c r="AN7577" s="10"/>
      <c r="AO7577" s="10"/>
      <c r="AP7577" s="10"/>
      <c r="AQ7577" s="10"/>
      <c r="AR7577" s="10"/>
      <c r="AS7577" s="10"/>
      <c r="AT7577" s="10"/>
      <c r="AU7577" s="10"/>
      <c r="AV7577" s="10"/>
      <c r="AW7577" s="10"/>
      <c r="AX7577" s="10"/>
      <c r="AY7577" s="10"/>
      <c r="AZ7577" s="10"/>
    </row>
    <row r="7578" spans="31:52">
      <c r="AE7578" s="10"/>
      <c r="AF7578" s="10"/>
      <c r="AG7578" s="10"/>
      <c r="AH7578" s="10"/>
      <c r="AI7578" s="10"/>
      <c r="AJ7578" s="10"/>
      <c r="AK7578" s="10"/>
      <c r="AL7578" s="10"/>
      <c r="AM7578" s="10"/>
      <c r="AN7578" s="10"/>
      <c r="AO7578" s="10"/>
      <c r="AP7578" s="10"/>
      <c r="AQ7578" s="10"/>
      <c r="AR7578" s="10"/>
      <c r="AS7578" s="10"/>
      <c r="AT7578" s="10"/>
      <c r="AU7578" s="10"/>
      <c r="AV7578" s="10"/>
      <c r="AW7578" s="10"/>
      <c r="AX7578" s="10"/>
      <c r="AY7578" s="10"/>
      <c r="AZ7578" s="10"/>
    </row>
    <row r="7579" spans="31:52">
      <c r="AE7579" s="10"/>
      <c r="AF7579" s="10"/>
      <c r="AG7579" s="10"/>
      <c r="AH7579" s="10"/>
      <c r="AI7579" s="10"/>
      <c r="AJ7579" s="10"/>
      <c r="AK7579" s="10"/>
      <c r="AL7579" s="10"/>
      <c r="AM7579" s="10"/>
      <c r="AN7579" s="10"/>
      <c r="AO7579" s="10"/>
      <c r="AP7579" s="10"/>
      <c r="AQ7579" s="10"/>
      <c r="AR7579" s="10"/>
      <c r="AS7579" s="10"/>
      <c r="AT7579" s="10"/>
      <c r="AU7579" s="10"/>
      <c r="AV7579" s="10"/>
      <c r="AW7579" s="10"/>
      <c r="AX7579" s="10"/>
      <c r="AY7579" s="10"/>
      <c r="AZ7579" s="10"/>
    </row>
    <row r="7580" spans="31:52">
      <c r="AE7580" s="10"/>
      <c r="AF7580" s="10"/>
      <c r="AG7580" s="10"/>
      <c r="AH7580" s="10"/>
      <c r="AI7580" s="10"/>
      <c r="AJ7580" s="10"/>
      <c r="AK7580" s="10"/>
      <c r="AL7580" s="10"/>
      <c r="AM7580" s="10"/>
      <c r="AN7580" s="10"/>
      <c r="AO7580" s="10"/>
      <c r="AP7580" s="10"/>
      <c r="AQ7580" s="10"/>
      <c r="AR7580" s="10"/>
      <c r="AS7580" s="10"/>
      <c r="AT7580" s="10"/>
      <c r="AU7580" s="10"/>
      <c r="AV7580" s="10"/>
      <c r="AW7580" s="10"/>
      <c r="AX7580" s="10"/>
      <c r="AY7580" s="10"/>
      <c r="AZ7580" s="10"/>
    </row>
    <row r="7581" spans="31:52">
      <c r="AE7581" s="10"/>
      <c r="AF7581" s="10"/>
      <c r="AG7581" s="10"/>
      <c r="AH7581" s="10"/>
      <c r="AI7581" s="10"/>
      <c r="AJ7581" s="10"/>
      <c r="AK7581" s="10"/>
      <c r="AL7581" s="10"/>
      <c r="AM7581" s="10"/>
      <c r="AN7581" s="10"/>
      <c r="AO7581" s="10"/>
      <c r="AP7581" s="10"/>
      <c r="AQ7581" s="10"/>
      <c r="AR7581" s="10"/>
      <c r="AS7581" s="10"/>
      <c r="AT7581" s="10"/>
      <c r="AU7581" s="10"/>
      <c r="AV7581" s="10"/>
      <c r="AW7581" s="10"/>
      <c r="AX7581" s="10"/>
      <c r="AY7581" s="10"/>
      <c r="AZ7581" s="10"/>
    </row>
    <row r="7582" spans="31:52">
      <c r="AE7582" s="10"/>
      <c r="AF7582" s="10"/>
      <c r="AG7582" s="10"/>
      <c r="AH7582" s="10"/>
      <c r="AI7582" s="10"/>
      <c r="AJ7582" s="10"/>
      <c r="AK7582" s="10"/>
      <c r="AL7582" s="10"/>
      <c r="AM7582" s="10"/>
      <c r="AN7582" s="10"/>
      <c r="AO7582" s="10"/>
      <c r="AP7582" s="10"/>
      <c r="AQ7582" s="10"/>
      <c r="AR7582" s="10"/>
      <c r="AS7582" s="10"/>
      <c r="AT7582" s="10"/>
      <c r="AU7582" s="10"/>
      <c r="AV7582" s="10"/>
      <c r="AW7582" s="10"/>
      <c r="AX7582" s="10"/>
      <c r="AY7582" s="10"/>
      <c r="AZ7582" s="10"/>
    </row>
    <row r="7583" spans="31:52">
      <c r="AE7583" s="10"/>
      <c r="AF7583" s="10"/>
      <c r="AG7583" s="10"/>
      <c r="AH7583" s="10"/>
      <c r="AI7583" s="10"/>
      <c r="AJ7583" s="10"/>
      <c r="AK7583" s="10"/>
      <c r="AL7583" s="10"/>
      <c r="AM7583" s="10"/>
      <c r="AN7583" s="10"/>
      <c r="AO7583" s="10"/>
      <c r="AP7583" s="10"/>
      <c r="AQ7583" s="10"/>
      <c r="AR7583" s="10"/>
      <c r="AS7583" s="10"/>
      <c r="AT7583" s="10"/>
      <c r="AU7583" s="10"/>
      <c r="AV7583" s="10"/>
      <c r="AW7583" s="10"/>
      <c r="AX7583" s="10"/>
      <c r="AY7583" s="10"/>
      <c r="AZ7583" s="10"/>
    </row>
    <row r="7584" spans="31:52">
      <c r="AE7584" s="10"/>
      <c r="AF7584" s="10"/>
      <c r="AG7584" s="10"/>
      <c r="AH7584" s="10"/>
      <c r="AI7584" s="10"/>
      <c r="AJ7584" s="10"/>
      <c r="AK7584" s="10"/>
      <c r="AL7584" s="10"/>
      <c r="AM7584" s="10"/>
      <c r="AN7584" s="10"/>
      <c r="AO7584" s="10"/>
      <c r="AP7584" s="10"/>
      <c r="AQ7584" s="10"/>
      <c r="AR7584" s="10"/>
      <c r="AS7584" s="10"/>
      <c r="AT7584" s="10"/>
      <c r="AU7584" s="10"/>
      <c r="AV7584" s="10"/>
      <c r="AW7584" s="10"/>
      <c r="AX7584" s="10"/>
      <c r="AY7584" s="10"/>
      <c r="AZ7584" s="10"/>
    </row>
    <row r="7585" spans="31:52">
      <c r="AE7585" s="10"/>
      <c r="AF7585" s="10"/>
      <c r="AG7585" s="10"/>
      <c r="AH7585" s="10"/>
      <c r="AI7585" s="10"/>
      <c r="AJ7585" s="10"/>
      <c r="AK7585" s="10"/>
      <c r="AL7585" s="10"/>
      <c r="AM7585" s="10"/>
      <c r="AN7585" s="10"/>
      <c r="AO7585" s="10"/>
      <c r="AP7585" s="10"/>
      <c r="AQ7585" s="10"/>
      <c r="AR7585" s="10"/>
      <c r="AS7585" s="10"/>
      <c r="AT7585" s="10"/>
      <c r="AU7585" s="10"/>
      <c r="AV7585" s="10"/>
      <c r="AW7585" s="10"/>
      <c r="AX7585" s="10"/>
      <c r="AY7585" s="10"/>
      <c r="AZ7585" s="10"/>
    </row>
    <row r="7586" spans="31:52">
      <c r="AE7586" s="10"/>
      <c r="AF7586" s="10"/>
      <c r="AG7586" s="10"/>
      <c r="AH7586" s="10"/>
      <c r="AI7586" s="10"/>
      <c r="AJ7586" s="10"/>
      <c r="AK7586" s="10"/>
      <c r="AL7586" s="10"/>
      <c r="AM7586" s="10"/>
      <c r="AN7586" s="10"/>
      <c r="AO7586" s="10"/>
      <c r="AP7586" s="10"/>
      <c r="AQ7586" s="10"/>
      <c r="AR7586" s="10"/>
      <c r="AS7586" s="10"/>
      <c r="AT7586" s="10"/>
      <c r="AU7586" s="10"/>
      <c r="AV7586" s="10"/>
      <c r="AW7586" s="10"/>
      <c r="AX7586" s="10"/>
      <c r="AY7586" s="10"/>
      <c r="AZ7586" s="10"/>
    </row>
    <row r="7587" spans="31:52">
      <c r="AE7587" s="10"/>
      <c r="AF7587" s="10"/>
      <c r="AG7587" s="10"/>
      <c r="AH7587" s="10"/>
      <c r="AI7587" s="10"/>
      <c r="AJ7587" s="10"/>
      <c r="AK7587" s="10"/>
      <c r="AL7587" s="10"/>
      <c r="AM7587" s="10"/>
      <c r="AN7587" s="10"/>
      <c r="AO7587" s="10"/>
      <c r="AP7587" s="10"/>
      <c r="AQ7587" s="10"/>
      <c r="AR7587" s="10"/>
      <c r="AS7587" s="10"/>
      <c r="AT7587" s="10"/>
      <c r="AU7587" s="10"/>
      <c r="AV7587" s="10"/>
      <c r="AW7587" s="10"/>
      <c r="AX7587" s="10"/>
      <c r="AY7587" s="10"/>
      <c r="AZ7587" s="10"/>
    </row>
    <row r="7588" spans="31:52">
      <c r="AE7588" s="10"/>
      <c r="AF7588" s="10"/>
      <c r="AG7588" s="10"/>
      <c r="AH7588" s="10"/>
      <c r="AI7588" s="10"/>
      <c r="AJ7588" s="10"/>
      <c r="AK7588" s="10"/>
      <c r="AL7588" s="10"/>
      <c r="AM7588" s="10"/>
      <c r="AN7588" s="10"/>
      <c r="AO7588" s="10"/>
      <c r="AP7588" s="10"/>
      <c r="AQ7588" s="10"/>
      <c r="AR7588" s="10"/>
      <c r="AS7588" s="10"/>
      <c r="AT7588" s="10"/>
      <c r="AU7588" s="10"/>
      <c r="AV7588" s="10"/>
      <c r="AW7588" s="10"/>
      <c r="AX7588" s="10"/>
      <c r="AY7588" s="10"/>
      <c r="AZ7588" s="10"/>
    </row>
    <row r="7589" spans="31:52">
      <c r="AE7589" s="10"/>
      <c r="AF7589" s="10"/>
      <c r="AG7589" s="10"/>
      <c r="AH7589" s="10"/>
      <c r="AI7589" s="10"/>
      <c r="AJ7589" s="10"/>
      <c r="AK7589" s="10"/>
      <c r="AL7589" s="10"/>
      <c r="AM7589" s="10"/>
      <c r="AN7589" s="10"/>
      <c r="AO7589" s="10"/>
      <c r="AP7589" s="10"/>
      <c r="AQ7589" s="10"/>
      <c r="AR7589" s="10"/>
      <c r="AS7589" s="10"/>
      <c r="AT7589" s="10"/>
      <c r="AU7589" s="10"/>
      <c r="AV7589" s="10"/>
      <c r="AW7589" s="10"/>
      <c r="AX7589" s="10"/>
      <c r="AY7589" s="10"/>
      <c r="AZ7589" s="10"/>
    </row>
    <row r="7590" spans="31:52">
      <c r="AE7590" s="10"/>
      <c r="AF7590" s="10"/>
      <c r="AG7590" s="10"/>
      <c r="AH7590" s="10"/>
      <c r="AI7590" s="10"/>
      <c r="AJ7590" s="10"/>
      <c r="AK7590" s="10"/>
      <c r="AL7590" s="10"/>
      <c r="AM7590" s="10"/>
      <c r="AN7590" s="10"/>
      <c r="AO7590" s="10"/>
      <c r="AP7590" s="10"/>
      <c r="AQ7590" s="10"/>
      <c r="AR7590" s="10"/>
      <c r="AS7590" s="10"/>
      <c r="AT7590" s="10"/>
      <c r="AU7590" s="10"/>
      <c r="AV7590" s="10"/>
      <c r="AW7590" s="10"/>
      <c r="AX7590" s="10"/>
      <c r="AY7590" s="10"/>
      <c r="AZ7590" s="10"/>
    </row>
    <row r="7591" spans="31:52">
      <c r="AE7591" s="10"/>
      <c r="AF7591" s="10"/>
      <c r="AG7591" s="10"/>
      <c r="AH7591" s="10"/>
      <c r="AI7591" s="10"/>
      <c r="AJ7591" s="10"/>
      <c r="AK7591" s="10"/>
      <c r="AL7591" s="10"/>
      <c r="AM7591" s="10"/>
      <c r="AN7591" s="10"/>
      <c r="AO7591" s="10"/>
      <c r="AP7591" s="10"/>
      <c r="AQ7591" s="10"/>
      <c r="AR7591" s="10"/>
      <c r="AS7591" s="10"/>
      <c r="AT7591" s="10"/>
      <c r="AU7591" s="10"/>
      <c r="AV7591" s="10"/>
      <c r="AW7591" s="10"/>
      <c r="AX7591" s="10"/>
      <c r="AY7591" s="10"/>
      <c r="AZ7591" s="10"/>
    </row>
    <row r="7592" spans="31:52">
      <c r="AE7592" s="10"/>
      <c r="AF7592" s="10"/>
      <c r="AG7592" s="10"/>
      <c r="AH7592" s="10"/>
      <c r="AI7592" s="10"/>
      <c r="AJ7592" s="10"/>
      <c r="AK7592" s="10"/>
      <c r="AL7592" s="10"/>
      <c r="AM7592" s="10"/>
      <c r="AN7592" s="10"/>
      <c r="AO7592" s="10"/>
      <c r="AP7592" s="10"/>
      <c r="AQ7592" s="10"/>
      <c r="AR7592" s="10"/>
      <c r="AS7592" s="10"/>
      <c r="AT7592" s="10"/>
      <c r="AU7592" s="10"/>
      <c r="AV7592" s="10"/>
      <c r="AW7592" s="10"/>
      <c r="AX7592" s="10"/>
      <c r="AY7592" s="10"/>
      <c r="AZ7592" s="10"/>
    </row>
    <row r="7593" spans="31:52">
      <c r="AE7593" s="10"/>
      <c r="AF7593" s="10"/>
      <c r="AG7593" s="10"/>
      <c r="AH7593" s="10"/>
      <c r="AI7593" s="10"/>
      <c r="AJ7593" s="10"/>
      <c r="AK7593" s="10"/>
      <c r="AL7593" s="10"/>
      <c r="AM7593" s="10"/>
      <c r="AN7593" s="10"/>
      <c r="AO7593" s="10"/>
      <c r="AP7593" s="10"/>
      <c r="AQ7593" s="10"/>
      <c r="AR7593" s="10"/>
      <c r="AS7593" s="10"/>
      <c r="AT7593" s="10"/>
      <c r="AU7593" s="10"/>
      <c r="AV7593" s="10"/>
      <c r="AW7593" s="10"/>
      <c r="AX7593" s="10"/>
      <c r="AY7593" s="10"/>
      <c r="AZ7593" s="10"/>
    </row>
    <row r="7594" spans="31:52">
      <c r="AE7594" s="10"/>
      <c r="AF7594" s="10"/>
      <c r="AG7594" s="10"/>
      <c r="AH7594" s="10"/>
      <c r="AI7594" s="10"/>
      <c r="AJ7594" s="10"/>
      <c r="AK7594" s="10"/>
      <c r="AL7594" s="10"/>
      <c r="AM7594" s="10"/>
      <c r="AN7594" s="10"/>
      <c r="AO7594" s="10"/>
      <c r="AP7594" s="10"/>
      <c r="AQ7594" s="10"/>
      <c r="AR7594" s="10"/>
      <c r="AS7594" s="10"/>
      <c r="AT7594" s="10"/>
      <c r="AU7594" s="10"/>
      <c r="AV7594" s="10"/>
      <c r="AW7594" s="10"/>
      <c r="AX7594" s="10"/>
      <c r="AY7594" s="10"/>
      <c r="AZ7594" s="10"/>
    </row>
    <row r="7595" spans="31:52">
      <c r="AE7595" s="10"/>
      <c r="AF7595" s="10"/>
      <c r="AG7595" s="10"/>
      <c r="AH7595" s="10"/>
      <c r="AI7595" s="10"/>
      <c r="AJ7595" s="10"/>
      <c r="AK7595" s="10"/>
      <c r="AL7595" s="10"/>
      <c r="AM7595" s="10"/>
      <c r="AN7595" s="10"/>
      <c r="AO7595" s="10"/>
      <c r="AP7595" s="10"/>
      <c r="AQ7595" s="10"/>
      <c r="AR7595" s="10"/>
      <c r="AS7595" s="10"/>
      <c r="AT7595" s="10"/>
      <c r="AU7595" s="10"/>
      <c r="AV7595" s="10"/>
      <c r="AW7595" s="10"/>
      <c r="AX7595" s="10"/>
      <c r="AY7595" s="10"/>
      <c r="AZ7595" s="10"/>
    </row>
    <row r="7596" spans="31:52">
      <c r="AE7596" s="10"/>
      <c r="AF7596" s="10"/>
      <c r="AG7596" s="10"/>
      <c r="AH7596" s="10"/>
      <c r="AI7596" s="10"/>
      <c r="AJ7596" s="10"/>
      <c r="AK7596" s="10"/>
      <c r="AL7596" s="10"/>
      <c r="AM7596" s="10"/>
      <c r="AN7596" s="10"/>
      <c r="AO7596" s="10"/>
      <c r="AP7596" s="10"/>
      <c r="AQ7596" s="10"/>
      <c r="AR7596" s="10"/>
      <c r="AS7596" s="10"/>
      <c r="AT7596" s="10"/>
      <c r="AU7596" s="10"/>
      <c r="AV7596" s="10"/>
      <c r="AW7596" s="10"/>
      <c r="AX7596" s="10"/>
      <c r="AY7596" s="10"/>
      <c r="AZ7596" s="10"/>
    </row>
    <row r="7597" spans="31:52">
      <c r="AE7597" s="10"/>
      <c r="AF7597" s="10"/>
      <c r="AG7597" s="10"/>
      <c r="AH7597" s="10"/>
      <c r="AI7597" s="10"/>
      <c r="AJ7597" s="10"/>
      <c r="AK7597" s="10"/>
      <c r="AL7597" s="10"/>
      <c r="AM7597" s="10"/>
      <c r="AN7597" s="10"/>
      <c r="AO7597" s="10"/>
      <c r="AP7597" s="10"/>
      <c r="AQ7597" s="10"/>
      <c r="AR7597" s="10"/>
      <c r="AS7597" s="10"/>
      <c r="AT7597" s="10"/>
      <c r="AU7597" s="10"/>
      <c r="AV7597" s="10"/>
      <c r="AW7597" s="10"/>
      <c r="AX7597" s="10"/>
      <c r="AY7597" s="10"/>
      <c r="AZ7597" s="10"/>
    </row>
    <row r="7598" spans="31:52">
      <c r="AE7598" s="10"/>
      <c r="AF7598" s="10"/>
      <c r="AG7598" s="10"/>
      <c r="AH7598" s="10"/>
      <c r="AI7598" s="10"/>
      <c r="AJ7598" s="10"/>
      <c r="AK7598" s="10"/>
      <c r="AL7598" s="10"/>
      <c r="AM7598" s="10"/>
      <c r="AN7598" s="10"/>
      <c r="AO7598" s="10"/>
      <c r="AP7598" s="10"/>
      <c r="AQ7598" s="10"/>
      <c r="AR7598" s="10"/>
      <c r="AS7598" s="10"/>
      <c r="AT7598" s="10"/>
      <c r="AU7598" s="10"/>
      <c r="AV7598" s="10"/>
      <c r="AW7598" s="10"/>
      <c r="AX7598" s="10"/>
      <c r="AY7598" s="10"/>
      <c r="AZ7598" s="10"/>
    </row>
    <row r="7599" spans="31:52">
      <c r="AE7599" s="10"/>
      <c r="AF7599" s="10"/>
      <c r="AG7599" s="10"/>
      <c r="AH7599" s="10"/>
      <c r="AI7599" s="10"/>
      <c r="AJ7599" s="10"/>
      <c r="AK7599" s="10"/>
      <c r="AL7599" s="10"/>
      <c r="AM7599" s="10"/>
      <c r="AN7599" s="10"/>
      <c r="AO7599" s="10"/>
      <c r="AP7599" s="10"/>
      <c r="AQ7599" s="10"/>
      <c r="AR7599" s="10"/>
      <c r="AS7599" s="10"/>
      <c r="AT7599" s="10"/>
      <c r="AU7599" s="10"/>
      <c r="AV7599" s="10"/>
      <c r="AW7599" s="10"/>
      <c r="AX7599" s="10"/>
      <c r="AY7599" s="10"/>
      <c r="AZ7599" s="10"/>
    </row>
    <row r="7600" spans="31:52">
      <c r="AE7600" s="10"/>
      <c r="AF7600" s="10"/>
      <c r="AG7600" s="10"/>
      <c r="AH7600" s="10"/>
      <c r="AI7600" s="10"/>
      <c r="AJ7600" s="10"/>
      <c r="AK7600" s="10"/>
      <c r="AL7600" s="10"/>
      <c r="AM7600" s="10"/>
      <c r="AN7600" s="10"/>
      <c r="AO7600" s="10"/>
      <c r="AP7600" s="10"/>
      <c r="AQ7600" s="10"/>
      <c r="AR7600" s="10"/>
      <c r="AS7600" s="10"/>
      <c r="AT7600" s="10"/>
      <c r="AU7600" s="10"/>
      <c r="AV7600" s="10"/>
      <c r="AW7600" s="10"/>
      <c r="AX7600" s="10"/>
      <c r="AY7600" s="10"/>
      <c r="AZ7600" s="10"/>
    </row>
    <row r="7601" spans="31:52">
      <c r="AE7601" s="10"/>
      <c r="AF7601" s="10"/>
      <c r="AG7601" s="10"/>
      <c r="AH7601" s="10"/>
      <c r="AI7601" s="10"/>
      <c r="AJ7601" s="10"/>
      <c r="AK7601" s="10"/>
      <c r="AL7601" s="10"/>
      <c r="AM7601" s="10"/>
      <c r="AN7601" s="10"/>
      <c r="AO7601" s="10"/>
      <c r="AP7601" s="10"/>
      <c r="AQ7601" s="10"/>
      <c r="AR7601" s="10"/>
      <c r="AS7601" s="10"/>
      <c r="AT7601" s="10"/>
      <c r="AU7601" s="10"/>
      <c r="AV7601" s="10"/>
      <c r="AW7601" s="10"/>
      <c r="AX7601" s="10"/>
      <c r="AY7601" s="10"/>
      <c r="AZ7601" s="10"/>
    </row>
    <row r="7602" spans="31:52">
      <c r="AE7602" s="10"/>
      <c r="AF7602" s="10"/>
      <c r="AG7602" s="10"/>
      <c r="AH7602" s="10"/>
      <c r="AI7602" s="10"/>
      <c r="AJ7602" s="10"/>
      <c r="AK7602" s="10"/>
      <c r="AL7602" s="10"/>
      <c r="AM7602" s="10"/>
      <c r="AN7602" s="10"/>
      <c r="AO7602" s="10"/>
      <c r="AP7602" s="10"/>
      <c r="AQ7602" s="10"/>
      <c r="AR7602" s="10"/>
      <c r="AS7602" s="10"/>
      <c r="AT7602" s="10"/>
      <c r="AU7602" s="10"/>
      <c r="AV7602" s="10"/>
      <c r="AW7602" s="10"/>
      <c r="AX7602" s="10"/>
      <c r="AY7602" s="10"/>
      <c r="AZ7602" s="10"/>
    </row>
    <row r="7603" spans="31:52">
      <c r="AE7603" s="10"/>
      <c r="AF7603" s="10"/>
      <c r="AG7603" s="10"/>
      <c r="AH7603" s="10"/>
      <c r="AI7603" s="10"/>
      <c r="AJ7603" s="10"/>
      <c r="AK7603" s="10"/>
      <c r="AL7603" s="10"/>
      <c r="AM7603" s="10"/>
      <c r="AN7603" s="10"/>
      <c r="AO7603" s="10"/>
      <c r="AP7603" s="10"/>
      <c r="AQ7603" s="10"/>
      <c r="AR7603" s="10"/>
      <c r="AS7603" s="10"/>
      <c r="AT7603" s="10"/>
      <c r="AU7603" s="10"/>
      <c r="AV7603" s="10"/>
      <c r="AW7603" s="10"/>
      <c r="AX7603" s="10"/>
      <c r="AY7603" s="10"/>
      <c r="AZ7603" s="10"/>
    </row>
    <row r="7604" spans="31:52">
      <c r="AE7604" s="10"/>
      <c r="AF7604" s="10"/>
      <c r="AG7604" s="10"/>
      <c r="AH7604" s="10"/>
      <c r="AI7604" s="10"/>
      <c r="AJ7604" s="10"/>
      <c r="AK7604" s="10"/>
      <c r="AL7604" s="10"/>
      <c r="AM7604" s="10"/>
      <c r="AN7604" s="10"/>
      <c r="AO7604" s="10"/>
      <c r="AP7604" s="10"/>
      <c r="AQ7604" s="10"/>
      <c r="AR7604" s="10"/>
      <c r="AS7604" s="10"/>
      <c r="AT7604" s="10"/>
      <c r="AU7604" s="10"/>
      <c r="AV7604" s="10"/>
      <c r="AW7604" s="10"/>
      <c r="AX7604" s="10"/>
      <c r="AY7604" s="10"/>
      <c r="AZ7604" s="10"/>
    </row>
    <row r="7605" spans="31:52">
      <c r="AE7605" s="10"/>
      <c r="AF7605" s="10"/>
      <c r="AG7605" s="10"/>
      <c r="AH7605" s="10"/>
      <c r="AI7605" s="10"/>
      <c r="AJ7605" s="10"/>
      <c r="AK7605" s="10"/>
      <c r="AL7605" s="10"/>
      <c r="AM7605" s="10"/>
      <c r="AN7605" s="10"/>
      <c r="AO7605" s="10"/>
      <c r="AP7605" s="10"/>
      <c r="AQ7605" s="10"/>
      <c r="AR7605" s="10"/>
      <c r="AS7605" s="10"/>
      <c r="AT7605" s="10"/>
      <c r="AU7605" s="10"/>
      <c r="AV7605" s="10"/>
      <c r="AW7605" s="10"/>
      <c r="AX7605" s="10"/>
      <c r="AY7605" s="10"/>
      <c r="AZ7605" s="10"/>
    </row>
    <row r="7606" spans="31:52">
      <c r="AE7606" s="10"/>
      <c r="AF7606" s="10"/>
      <c r="AG7606" s="10"/>
      <c r="AH7606" s="10"/>
      <c r="AI7606" s="10"/>
      <c r="AJ7606" s="10"/>
      <c r="AK7606" s="10"/>
      <c r="AL7606" s="10"/>
      <c r="AM7606" s="10"/>
      <c r="AN7606" s="10"/>
      <c r="AO7606" s="10"/>
      <c r="AP7606" s="10"/>
      <c r="AQ7606" s="10"/>
      <c r="AR7606" s="10"/>
      <c r="AS7606" s="10"/>
      <c r="AT7606" s="10"/>
      <c r="AU7606" s="10"/>
      <c r="AV7606" s="10"/>
      <c r="AW7606" s="10"/>
      <c r="AX7606" s="10"/>
      <c r="AY7606" s="10"/>
      <c r="AZ7606" s="10"/>
    </row>
    <row r="7607" spans="31:52">
      <c r="AE7607" s="10"/>
      <c r="AF7607" s="10"/>
      <c r="AG7607" s="10"/>
      <c r="AH7607" s="10"/>
      <c r="AI7607" s="10"/>
      <c r="AJ7607" s="10"/>
      <c r="AK7607" s="10"/>
      <c r="AL7607" s="10"/>
      <c r="AM7607" s="10"/>
      <c r="AN7607" s="10"/>
      <c r="AO7607" s="10"/>
      <c r="AP7607" s="10"/>
      <c r="AQ7607" s="10"/>
      <c r="AR7607" s="10"/>
      <c r="AS7607" s="10"/>
      <c r="AT7607" s="10"/>
      <c r="AU7607" s="10"/>
      <c r="AV7607" s="10"/>
      <c r="AW7607" s="10"/>
      <c r="AX7607" s="10"/>
      <c r="AY7607" s="10"/>
      <c r="AZ7607" s="10"/>
    </row>
    <row r="7608" spans="31:52">
      <c r="AE7608" s="10"/>
      <c r="AF7608" s="10"/>
      <c r="AG7608" s="10"/>
      <c r="AH7608" s="10"/>
      <c r="AI7608" s="10"/>
      <c r="AJ7608" s="10"/>
      <c r="AK7608" s="10"/>
      <c r="AL7608" s="10"/>
      <c r="AM7608" s="10"/>
      <c r="AN7608" s="10"/>
      <c r="AO7608" s="10"/>
      <c r="AP7608" s="10"/>
      <c r="AQ7608" s="10"/>
      <c r="AR7608" s="10"/>
      <c r="AS7608" s="10"/>
      <c r="AT7608" s="10"/>
      <c r="AU7608" s="10"/>
      <c r="AV7608" s="10"/>
      <c r="AW7608" s="10"/>
      <c r="AX7608" s="10"/>
      <c r="AY7608" s="10"/>
      <c r="AZ7608" s="10"/>
    </row>
    <row r="7609" spans="31:52">
      <c r="AE7609" s="10"/>
      <c r="AF7609" s="10"/>
      <c r="AG7609" s="10"/>
      <c r="AH7609" s="10"/>
      <c r="AI7609" s="10"/>
      <c r="AJ7609" s="10"/>
      <c r="AK7609" s="10"/>
      <c r="AL7609" s="10"/>
      <c r="AM7609" s="10"/>
      <c r="AN7609" s="10"/>
      <c r="AO7609" s="10"/>
      <c r="AP7609" s="10"/>
      <c r="AQ7609" s="10"/>
      <c r="AR7609" s="10"/>
      <c r="AS7609" s="10"/>
      <c r="AT7609" s="10"/>
      <c r="AU7609" s="10"/>
      <c r="AV7609" s="10"/>
      <c r="AW7609" s="10"/>
      <c r="AX7609" s="10"/>
      <c r="AY7609" s="10"/>
      <c r="AZ7609" s="10"/>
    </row>
    <row r="7610" spans="31:52">
      <c r="AE7610" s="10"/>
      <c r="AF7610" s="10"/>
      <c r="AG7610" s="10"/>
      <c r="AH7610" s="10"/>
      <c r="AI7610" s="10"/>
      <c r="AJ7610" s="10"/>
      <c r="AK7610" s="10"/>
      <c r="AL7610" s="10"/>
      <c r="AM7610" s="10"/>
      <c r="AN7610" s="10"/>
      <c r="AO7610" s="10"/>
      <c r="AP7610" s="10"/>
      <c r="AQ7610" s="10"/>
      <c r="AR7610" s="10"/>
      <c r="AS7610" s="10"/>
      <c r="AT7610" s="10"/>
      <c r="AU7610" s="10"/>
      <c r="AV7610" s="10"/>
      <c r="AW7610" s="10"/>
      <c r="AX7610" s="10"/>
      <c r="AY7610" s="10"/>
      <c r="AZ7610" s="10"/>
    </row>
    <row r="7611" spans="31:52">
      <c r="AE7611" s="10"/>
      <c r="AF7611" s="10"/>
      <c r="AG7611" s="10"/>
      <c r="AH7611" s="10"/>
      <c r="AI7611" s="10"/>
      <c r="AJ7611" s="10"/>
      <c r="AK7611" s="10"/>
      <c r="AL7611" s="10"/>
      <c r="AM7611" s="10"/>
      <c r="AN7611" s="10"/>
      <c r="AO7611" s="10"/>
      <c r="AP7611" s="10"/>
      <c r="AQ7611" s="10"/>
      <c r="AR7611" s="10"/>
      <c r="AS7611" s="10"/>
      <c r="AT7611" s="10"/>
      <c r="AU7611" s="10"/>
      <c r="AV7611" s="10"/>
      <c r="AW7611" s="10"/>
      <c r="AX7611" s="10"/>
      <c r="AY7611" s="10"/>
      <c r="AZ7611" s="10"/>
    </row>
    <row r="7612" spans="31:52">
      <c r="AE7612" s="10"/>
      <c r="AF7612" s="10"/>
      <c r="AG7612" s="10"/>
      <c r="AH7612" s="10"/>
      <c r="AI7612" s="10"/>
      <c r="AJ7612" s="10"/>
      <c r="AK7612" s="10"/>
      <c r="AL7612" s="10"/>
      <c r="AM7612" s="10"/>
      <c r="AN7612" s="10"/>
      <c r="AO7612" s="10"/>
      <c r="AP7612" s="10"/>
      <c r="AQ7612" s="10"/>
      <c r="AR7612" s="10"/>
      <c r="AS7612" s="10"/>
      <c r="AT7612" s="10"/>
      <c r="AU7612" s="10"/>
      <c r="AV7612" s="10"/>
      <c r="AW7612" s="10"/>
      <c r="AX7612" s="10"/>
      <c r="AY7612" s="10"/>
      <c r="AZ7612" s="10"/>
    </row>
    <row r="7613" spans="31:52">
      <c r="AE7613" s="10"/>
      <c r="AF7613" s="10"/>
      <c r="AG7613" s="10"/>
      <c r="AH7613" s="10"/>
      <c r="AI7613" s="10"/>
      <c r="AJ7613" s="10"/>
      <c r="AK7613" s="10"/>
      <c r="AL7613" s="10"/>
      <c r="AM7613" s="10"/>
      <c r="AN7613" s="10"/>
      <c r="AO7613" s="10"/>
      <c r="AP7613" s="10"/>
      <c r="AQ7613" s="10"/>
      <c r="AR7613" s="10"/>
      <c r="AS7613" s="10"/>
      <c r="AT7613" s="10"/>
      <c r="AU7613" s="10"/>
      <c r="AV7613" s="10"/>
      <c r="AW7613" s="10"/>
      <c r="AX7613" s="10"/>
      <c r="AY7613" s="10"/>
      <c r="AZ7613" s="10"/>
    </row>
    <row r="7614" spans="31:52">
      <c r="AE7614" s="10"/>
      <c r="AF7614" s="10"/>
      <c r="AG7614" s="10"/>
      <c r="AH7614" s="10"/>
      <c r="AI7614" s="10"/>
      <c r="AJ7614" s="10"/>
      <c r="AK7614" s="10"/>
      <c r="AL7614" s="10"/>
      <c r="AM7614" s="10"/>
      <c r="AN7614" s="10"/>
      <c r="AO7614" s="10"/>
      <c r="AP7614" s="10"/>
      <c r="AQ7614" s="10"/>
      <c r="AR7614" s="10"/>
      <c r="AS7614" s="10"/>
      <c r="AT7614" s="10"/>
      <c r="AU7614" s="10"/>
      <c r="AV7614" s="10"/>
      <c r="AW7614" s="10"/>
      <c r="AX7614" s="10"/>
      <c r="AY7614" s="10"/>
      <c r="AZ7614" s="10"/>
    </row>
    <row r="7615" spans="31:52">
      <c r="AE7615" s="10"/>
      <c r="AF7615" s="10"/>
      <c r="AG7615" s="10"/>
      <c r="AH7615" s="10"/>
      <c r="AI7615" s="10"/>
      <c r="AJ7615" s="10"/>
      <c r="AK7615" s="10"/>
      <c r="AL7615" s="10"/>
      <c r="AM7615" s="10"/>
      <c r="AN7615" s="10"/>
      <c r="AO7615" s="10"/>
      <c r="AP7615" s="10"/>
      <c r="AQ7615" s="10"/>
      <c r="AR7615" s="10"/>
      <c r="AS7615" s="10"/>
      <c r="AT7615" s="10"/>
      <c r="AU7615" s="10"/>
      <c r="AV7615" s="10"/>
      <c r="AW7615" s="10"/>
      <c r="AX7615" s="10"/>
      <c r="AY7615" s="10"/>
      <c r="AZ7615" s="10"/>
    </row>
    <row r="7616" spans="31:52">
      <c r="AE7616" s="10"/>
      <c r="AF7616" s="10"/>
      <c r="AG7616" s="10"/>
      <c r="AH7616" s="10"/>
      <c r="AI7616" s="10"/>
      <c r="AJ7616" s="10"/>
      <c r="AK7616" s="10"/>
      <c r="AL7616" s="10"/>
      <c r="AM7616" s="10"/>
      <c r="AN7616" s="10"/>
      <c r="AO7616" s="10"/>
      <c r="AP7616" s="10"/>
      <c r="AQ7616" s="10"/>
      <c r="AR7616" s="10"/>
      <c r="AS7616" s="10"/>
      <c r="AT7616" s="10"/>
      <c r="AU7616" s="10"/>
      <c r="AV7616" s="10"/>
      <c r="AW7616" s="10"/>
      <c r="AX7616" s="10"/>
      <c r="AY7616" s="10"/>
      <c r="AZ7616" s="10"/>
    </row>
    <row r="7617" spans="31:52">
      <c r="AE7617" s="10"/>
      <c r="AF7617" s="10"/>
      <c r="AG7617" s="10"/>
      <c r="AH7617" s="10"/>
      <c r="AI7617" s="10"/>
      <c r="AJ7617" s="10"/>
      <c r="AK7617" s="10"/>
      <c r="AL7617" s="10"/>
      <c r="AM7617" s="10"/>
      <c r="AN7617" s="10"/>
      <c r="AO7617" s="10"/>
      <c r="AP7617" s="10"/>
      <c r="AQ7617" s="10"/>
      <c r="AR7617" s="10"/>
      <c r="AS7617" s="10"/>
      <c r="AT7617" s="10"/>
      <c r="AU7617" s="10"/>
      <c r="AV7617" s="10"/>
      <c r="AW7617" s="10"/>
      <c r="AX7617" s="10"/>
      <c r="AY7617" s="10"/>
      <c r="AZ7617" s="10"/>
    </row>
    <row r="7618" spans="31:52">
      <c r="AE7618" s="10"/>
      <c r="AF7618" s="10"/>
      <c r="AG7618" s="10"/>
      <c r="AH7618" s="10"/>
      <c r="AI7618" s="10"/>
      <c r="AJ7618" s="10"/>
      <c r="AK7618" s="10"/>
      <c r="AL7618" s="10"/>
      <c r="AM7618" s="10"/>
      <c r="AN7618" s="10"/>
      <c r="AO7618" s="10"/>
      <c r="AP7618" s="10"/>
      <c r="AQ7618" s="10"/>
      <c r="AR7618" s="10"/>
      <c r="AS7618" s="10"/>
      <c r="AT7618" s="10"/>
      <c r="AU7618" s="10"/>
      <c r="AV7618" s="10"/>
      <c r="AW7618" s="10"/>
      <c r="AX7618" s="10"/>
      <c r="AY7618" s="10"/>
      <c r="AZ7618" s="10"/>
    </row>
    <row r="7619" spans="31:52">
      <c r="AE7619" s="10"/>
      <c r="AF7619" s="10"/>
      <c r="AG7619" s="10"/>
      <c r="AH7619" s="10"/>
      <c r="AI7619" s="10"/>
      <c r="AJ7619" s="10"/>
      <c r="AK7619" s="10"/>
      <c r="AL7619" s="10"/>
      <c r="AM7619" s="10"/>
      <c r="AN7619" s="10"/>
      <c r="AO7619" s="10"/>
      <c r="AP7619" s="10"/>
      <c r="AQ7619" s="10"/>
      <c r="AR7619" s="10"/>
      <c r="AS7619" s="10"/>
      <c r="AT7619" s="10"/>
      <c r="AU7619" s="10"/>
      <c r="AV7619" s="10"/>
      <c r="AW7619" s="10"/>
      <c r="AX7619" s="10"/>
      <c r="AY7619" s="10"/>
      <c r="AZ7619" s="10"/>
    </row>
    <row r="7620" spans="31:52">
      <c r="AE7620" s="10"/>
      <c r="AF7620" s="10"/>
      <c r="AG7620" s="10"/>
      <c r="AH7620" s="10"/>
      <c r="AI7620" s="10"/>
      <c r="AJ7620" s="10"/>
      <c r="AK7620" s="10"/>
      <c r="AL7620" s="10"/>
      <c r="AM7620" s="10"/>
      <c r="AN7620" s="10"/>
      <c r="AO7620" s="10"/>
      <c r="AP7620" s="10"/>
      <c r="AQ7620" s="10"/>
      <c r="AR7620" s="10"/>
      <c r="AS7620" s="10"/>
      <c r="AT7620" s="10"/>
      <c r="AU7620" s="10"/>
      <c r="AV7620" s="10"/>
      <c r="AW7620" s="10"/>
      <c r="AX7620" s="10"/>
      <c r="AY7620" s="10"/>
      <c r="AZ7620" s="10"/>
    </row>
    <row r="7621" spans="31:52">
      <c r="AE7621" s="10"/>
      <c r="AF7621" s="10"/>
      <c r="AG7621" s="10"/>
      <c r="AH7621" s="10"/>
      <c r="AI7621" s="10"/>
      <c r="AJ7621" s="10"/>
      <c r="AK7621" s="10"/>
      <c r="AL7621" s="10"/>
      <c r="AM7621" s="10"/>
      <c r="AN7621" s="10"/>
      <c r="AO7621" s="10"/>
      <c r="AP7621" s="10"/>
      <c r="AQ7621" s="10"/>
      <c r="AR7621" s="10"/>
      <c r="AS7621" s="10"/>
      <c r="AT7621" s="10"/>
      <c r="AU7621" s="10"/>
      <c r="AV7621" s="10"/>
      <c r="AW7621" s="10"/>
      <c r="AX7621" s="10"/>
      <c r="AY7621" s="10"/>
      <c r="AZ7621" s="10"/>
    </row>
    <row r="7622" spans="31:52">
      <c r="AE7622" s="10"/>
      <c r="AF7622" s="10"/>
      <c r="AG7622" s="10"/>
      <c r="AH7622" s="10"/>
      <c r="AI7622" s="10"/>
      <c r="AJ7622" s="10"/>
      <c r="AK7622" s="10"/>
      <c r="AL7622" s="10"/>
      <c r="AM7622" s="10"/>
      <c r="AN7622" s="10"/>
      <c r="AO7622" s="10"/>
      <c r="AP7622" s="10"/>
      <c r="AQ7622" s="10"/>
      <c r="AR7622" s="10"/>
      <c r="AS7622" s="10"/>
      <c r="AT7622" s="10"/>
      <c r="AU7622" s="10"/>
      <c r="AV7622" s="10"/>
      <c r="AW7622" s="10"/>
      <c r="AX7622" s="10"/>
      <c r="AY7622" s="10"/>
      <c r="AZ7622" s="10"/>
    </row>
    <row r="7623" spans="31:52">
      <c r="AE7623" s="10"/>
      <c r="AF7623" s="10"/>
      <c r="AG7623" s="10"/>
      <c r="AH7623" s="10"/>
      <c r="AI7623" s="10"/>
      <c r="AJ7623" s="10"/>
      <c r="AK7623" s="10"/>
      <c r="AL7623" s="10"/>
      <c r="AM7623" s="10"/>
      <c r="AN7623" s="10"/>
      <c r="AO7623" s="10"/>
      <c r="AP7623" s="10"/>
      <c r="AQ7623" s="10"/>
      <c r="AR7623" s="10"/>
      <c r="AS7623" s="10"/>
      <c r="AT7623" s="10"/>
      <c r="AU7623" s="10"/>
      <c r="AV7623" s="10"/>
      <c r="AW7623" s="10"/>
      <c r="AX7623" s="10"/>
      <c r="AY7623" s="10"/>
      <c r="AZ7623" s="10"/>
    </row>
    <row r="7624" spans="31:52">
      <c r="AE7624" s="10"/>
      <c r="AF7624" s="10"/>
      <c r="AG7624" s="10"/>
      <c r="AH7624" s="10"/>
      <c r="AI7624" s="10"/>
      <c r="AJ7624" s="10"/>
      <c r="AK7624" s="10"/>
      <c r="AL7624" s="10"/>
      <c r="AM7624" s="10"/>
      <c r="AN7624" s="10"/>
      <c r="AO7624" s="10"/>
      <c r="AP7624" s="10"/>
      <c r="AQ7624" s="10"/>
      <c r="AR7624" s="10"/>
      <c r="AS7624" s="10"/>
      <c r="AT7624" s="10"/>
      <c r="AU7624" s="10"/>
      <c r="AV7624" s="10"/>
      <c r="AW7624" s="10"/>
      <c r="AX7624" s="10"/>
      <c r="AY7624" s="10"/>
      <c r="AZ7624" s="10"/>
    </row>
    <row r="7625" spans="31:52">
      <c r="AE7625" s="10"/>
      <c r="AF7625" s="10"/>
      <c r="AG7625" s="10"/>
      <c r="AH7625" s="10"/>
      <c r="AI7625" s="10"/>
      <c r="AJ7625" s="10"/>
      <c r="AK7625" s="10"/>
      <c r="AL7625" s="10"/>
      <c r="AM7625" s="10"/>
      <c r="AN7625" s="10"/>
      <c r="AO7625" s="10"/>
      <c r="AP7625" s="10"/>
      <c r="AQ7625" s="10"/>
      <c r="AR7625" s="10"/>
      <c r="AS7625" s="10"/>
      <c r="AT7625" s="10"/>
      <c r="AU7625" s="10"/>
      <c r="AV7625" s="10"/>
      <c r="AW7625" s="10"/>
      <c r="AX7625" s="10"/>
      <c r="AY7625" s="10"/>
      <c r="AZ7625" s="10"/>
    </row>
    <row r="7626" spans="31:52">
      <c r="AE7626" s="10"/>
      <c r="AF7626" s="10"/>
      <c r="AG7626" s="10"/>
      <c r="AH7626" s="10"/>
      <c r="AI7626" s="10"/>
      <c r="AJ7626" s="10"/>
      <c r="AK7626" s="10"/>
      <c r="AL7626" s="10"/>
      <c r="AM7626" s="10"/>
      <c r="AN7626" s="10"/>
      <c r="AO7626" s="10"/>
      <c r="AP7626" s="10"/>
      <c r="AQ7626" s="10"/>
      <c r="AR7626" s="10"/>
      <c r="AS7626" s="10"/>
      <c r="AT7626" s="10"/>
      <c r="AU7626" s="10"/>
      <c r="AV7626" s="10"/>
      <c r="AW7626" s="10"/>
      <c r="AX7626" s="10"/>
      <c r="AY7626" s="10"/>
      <c r="AZ7626" s="10"/>
    </row>
    <row r="7627" spans="31:52">
      <c r="AE7627" s="10"/>
      <c r="AF7627" s="10"/>
      <c r="AG7627" s="10"/>
      <c r="AH7627" s="10"/>
      <c r="AI7627" s="10"/>
      <c r="AJ7627" s="10"/>
      <c r="AK7627" s="10"/>
      <c r="AL7627" s="10"/>
      <c r="AM7627" s="10"/>
      <c r="AN7627" s="10"/>
      <c r="AO7627" s="10"/>
      <c r="AP7627" s="10"/>
      <c r="AQ7627" s="10"/>
      <c r="AR7627" s="10"/>
      <c r="AS7627" s="10"/>
      <c r="AT7627" s="10"/>
      <c r="AU7627" s="10"/>
      <c r="AV7627" s="10"/>
      <c r="AW7627" s="10"/>
      <c r="AX7627" s="10"/>
      <c r="AY7627" s="10"/>
      <c r="AZ7627" s="10"/>
    </row>
    <row r="7628" spans="31:52">
      <c r="AE7628" s="10"/>
      <c r="AF7628" s="10"/>
      <c r="AG7628" s="10"/>
      <c r="AH7628" s="10"/>
      <c r="AI7628" s="10"/>
      <c r="AJ7628" s="10"/>
      <c r="AK7628" s="10"/>
      <c r="AL7628" s="10"/>
      <c r="AM7628" s="10"/>
      <c r="AN7628" s="10"/>
      <c r="AO7628" s="10"/>
      <c r="AP7628" s="10"/>
      <c r="AQ7628" s="10"/>
      <c r="AR7628" s="10"/>
      <c r="AS7628" s="10"/>
      <c r="AT7628" s="10"/>
      <c r="AU7628" s="10"/>
      <c r="AV7628" s="10"/>
      <c r="AW7628" s="10"/>
      <c r="AX7628" s="10"/>
      <c r="AY7628" s="10"/>
      <c r="AZ7628" s="10"/>
    </row>
    <row r="7629" spans="31:52">
      <c r="AE7629" s="10"/>
      <c r="AF7629" s="10"/>
      <c r="AG7629" s="10"/>
      <c r="AH7629" s="10"/>
      <c r="AI7629" s="10"/>
      <c r="AJ7629" s="10"/>
      <c r="AK7629" s="10"/>
      <c r="AL7629" s="10"/>
      <c r="AM7629" s="10"/>
      <c r="AN7629" s="10"/>
      <c r="AO7629" s="10"/>
      <c r="AP7629" s="10"/>
      <c r="AQ7629" s="10"/>
      <c r="AR7629" s="10"/>
      <c r="AS7629" s="10"/>
      <c r="AT7629" s="10"/>
      <c r="AU7629" s="10"/>
      <c r="AV7629" s="10"/>
      <c r="AW7629" s="10"/>
      <c r="AX7629" s="10"/>
      <c r="AY7629" s="10"/>
      <c r="AZ7629" s="10"/>
    </row>
    <row r="7630" spans="31:52">
      <c r="AE7630" s="10"/>
      <c r="AF7630" s="10"/>
      <c r="AG7630" s="10"/>
      <c r="AH7630" s="10"/>
      <c r="AI7630" s="10"/>
      <c r="AJ7630" s="10"/>
      <c r="AK7630" s="10"/>
      <c r="AL7630" s="10"/>
      <c r="AM7630" s="10"/>
      <c r="AN7630" s="10"/>
      <c r="AO7630" s="10"/>
      <c r="AP7630" s="10"/>
      <c r="AQ7630" s="10"/>
      <c r="AR7630" s="10"/>
      <c r="AS7630" s="10"/>
      <c r="AT7630" s="10"/>
      <c r="AU7630" s="10"/>
      <c r="AV7630" s="10"/>
      <c r="AW7630" s="10"/>
      <c r="AX7630" s="10"/>
      <c r="AY7630" s="10"/>
      <c r="AZ7630" s="10"/>
    </row>
    <row r="7631" spans="31:52">
      <c r="AE7631" s="10"/>
      <c r="AF7631" s="10"/>
      <c r="AG7631" s="10"/>
      <c r="AH7631" s="10"/>
      <c r="AI7631" s="10"/>
      <c r="AJ7631" s="10"/>
      <c r="AK7631" s="10"/>
      <c r="AL7631" s="10"/>
      <c r="AM7631" s="10"/>
      <c r="AN7631" s="10"/>
      <c r="AO7631" s="10"/>
      <c r="AP7631" s="10"/>
      <c r="AQ7631" s="10"/>
      <c r="AR7631" s="10"/>
      <c r="AS7631" s="10"/>
      <c r="AT7631" s="10"/>
      <c r="AU7631" s="10"/>
      <c r="AV7631" s="10"/>
      <c r="AW7631" s="10"/>
      <c r="AX7631" s="10"/>
      <c r="AY7631" s="10"/>
      <c r="AZ7631" s="10"/>
    </row>
    <row r="7632" spans="31:52">
      <c r="AE7632" s="10"/>
      <c r="AF7632" s="10"/>
      <c r="AG7632" s="10"/>
      <c r="AH7632" s="10"/>
      <c r="AI7632" s="10"/>
      <c r="AJ7632" s="10"/>
      <c r="AK7632" s="10"/>
      <c r="AL7632" s="10"/>
      <c r="AM7632" s="10"/>
      <c r="AN7632" s="10"/>
      <c r="AO7632" s="10"/>
      <c r="AP7632" s="10"/>
      <c r="AQ7632" s="10"/>
      <c r="AR7632" s="10"/>
      <c r="AS7632" s="10"/>
      <c r="AT7632" s="10"/>
      <c r="AU7632" s="10"/>
      <c r="AV7632" s="10"/>
      <c r="AW7632" s="10"/>
      <c r="AX7632" s="10"/>
      <c r="AY7632" s="10"/>
      <c r="AZ7632" s="10"/>
    </row>
    <row r="7633" spans="31:52">
      <c r="AE7633" s="10"/>
      <c r="AF7633" s="10"/>
      <c r="AG7633" s="10"/>
      <c r="AH7633" s="10"/>
      <c r="AI7633" s="10"/>
      <c r="AJ7633" s="10"/>
      <c r="AK7633" s="10"/>
      <c r="AL7633" s="10"/>
      <c r="AM7633" s="10"/>
      <c r="AN7633" s="10"/>
      <c r="AO7633" s="10"/>
      <c r="AP7633" s="10"/>
      <c r="AQ7633" s="10"/>
      <c r="AR7633" s="10"/>
      <c r="AS7633" s="10"/>
      <c r="AT7633" s="10"/>
      <c r="AU7633" s="10"/>
      <c r="AV7633" s="10"/>
      <c r="AW7633" s="10"/>
      <c r="AX7633" s="10"/>
      <c r="AY7633" s="10"/>
      <c r="AZ7633" s="10"/>
    </row>
    <row r="7634" spans="31:52">
      <c r="AE7634" s="10"/>
      <c r="AF7634" s="10"/>
      <c r="AG7634" s="10"/>
      <c r="AH7634" s="10"/>
      <c r="AI7634" s="10"/>
      <c r="AJ7634" s="10"/>
      <c r="AK7634" s="10"/>
      <c r="AL7634" s="10"/>
      <c r="AM7634" s="10"/>
      <c r="AN7634" s="10"/>
      <c r="AO7634" s="10"/>
      <c r="AP7634" s="10"/>
      <c r="AQ7634" s="10"/>
      <c r="AR7634" s="10"/>
      <c r="AS7634" s="10"/>
      <c r="AT7634" s="10"/>
      <c r="AU7634" s="10"/>
      <c r="AV7634" s="10"/>
      <c r="AW7634" s="10"/>
      <c r="AX7634" s="10"/>
      <c r="AY7634" s="10"/>
      <c r="AZ7634" s="10"/>
    </row>
    <row r="7635" spans="31:52">
      <c r="AE7635" s="10"/>
      <c r="AF7635" s="10"/>
      <c r="AG7635" s="10"/>
      <c r="AH7635" s="10"/>
      <c r="AI7635" s="10"/>
      <c r="AJ7635" s="10"/>
      <c r="AK7635" s="10"/>
      <c r="AL7635" s="10"/>
      <c r="AM7635" s="10"/>
      <c r="AN7635" s="10"/>
      <c r="AO7635" s="10"/>
      <c r="AP7635" s="10"/>
      <c r="AQ7635" s="10"/>
      <c r="AR7635" s="10"/>
      <c r="AS7635" s="10"/>
      <c r="AT7635" s="10"/>
      <c r="AU7635" s="10"/>
      <c r="AV7635" s="10"/>
      <c r="AW7635" s="10"/>
      <c r="AX7635" s="10"/>
      <c r="AY7635" s="10"/>
      <c r="AZ7635" s="10"/>
    </row>
    <row r="7636" spans="31:52">
      <c r="AE7636" s="10"/>
      <c r="AF7636" s="10"/>
      <c r="AG7636" s="10"/>
      <c r="AH7636" s="10"/>
      <c r="AI7636" s="10"/>
      <c r="AJ7636" s="10"/>
      <c r="AK7636" s="10"/>
      <c r="AL7636" s="10"/>
      <c r="AM7636" s="10"/>
      <c r="AN7636" s="10"/>
      <c r="AO7636" s="10"/>
      <c r="AP7636" s="10"/>
      <c r="AQ7636" s="10"/>
      <c r="AR7636" s="10"/>
      <c r="AS7636" s="10"/>
      <c r="AT7636" s="10"/>
      <c r="AU7636" s="10"/>
      <c r="AV7636" s="10"/>
      <c r="AW7636" s="10"/>
      <c r="AX7636" s="10"/>
      <c r="AY7636" s="10"/>
      <c r="AZ7636" s="10"/>
    </row>
    <row r="7637" spans="31:52">
      <c r="AE7637" s="10"/>
      <c r="AF7637" s="10"/>
      <c r="AG7637" s="10"/>
      <c r="AH7637" s="10"/>
      <c r="AI7637" s="10"/>
      <c r="AJ7637" s="10"/>
      <c r="AK7637" s="10"/>
      <c r="AL7637" s="10"/>
      <c r="AM7637" s="10"/>
      <c r="AN7637" s="10"/>
      <c r="AO7637" s="10"/>
      <c r="AP7637" s="10"/>
      <c r="AQ7637" s="10"/>
      <c r="AR7637" s="10"/>
      <c r="AS7637" s="10"/>
      <c r="AT7637" s="10"/>
      <c r="AU7637" s="10"/>
      <c r="AV7637" s="10"/>
      <c r="AW7637" s="10"/>
      <c r="AX7637" s="10"/>
      <c r="AY7637" s="10"/>
      <c r="AZ7637" s="10"/>
    </row>
    <row r="7638" spans="31:52">
      <c r="AE7638" s="10"/>
      <c r="AF7638" s="10"/>
      <c r="AG7638" s="10"/>
      <c r="AH7638" s="10"/>
      <c r="AI7638" s="10"/>
      <c r="AJ7638" s="10"/>
      <c r="AK7638" s="10"/>
      <c r="AL7638" s="10"/>
      <c r="AM7638" s="10"/>
      <c r="AN7638" s="10"/>
      <c r="AO7638" s="10"/>
      <c r="AP7638" s="10"/>
      <c r="AQ7638" s="10"/>
      <c r="AR7638" s="10"/>
      <c r="AS7638" s="10"/>
      <c r="AT7638" s="10"/>
      <c r="AU7638" s="10"/>
      <c r="AV7638" s="10"/>
      <c r="AW7638" s="10"/>
      <c r="AX7638" s="10"/>
      <c r="AY7638" s="10"/>
      <c r="AZ7638" s="10"/>
    </row>
    <row r="7639" spans="31:52">
      <c r="AE7639" s="10"/>
      <c r="AF7639" s="10"/>
      <c r="AG7639" s="10"/>
      <c r="AH7639" s="10"/>
      <c r="AI7639" s="10"/>
      <c r="AJ7639" s="10"/>
      <c r="AK7639" s="10"/>
      <c r="AL7639" s="10"/>
      <c r="AM7639" s="10"/>
      <c r="AN7639" s="10"/>
      <c r="AO7639" s="10"/>
      <c r="AP7639" s="10"/>
      <c r="AQ7639" s="10"/>
      <c r="AR7639" s="10"/>
      <c r="AS7639" s="10"/>
      <c r="AT7639" s="10"/>
      <c r="AU7639" s="10"/>
      <c r="AV7639" s="10"/>
      <c r="AW7639" s="10"/>
      <c r="AX7639" s="10"/>
      <c r="AY7639" s="10"/>
      <c r="AZ7639" s="10"/>
    </row>
    <row r="7640" spans="31:52">
      <c r="AE7640" s="10"/>
      <c r="AF7640" s="10"/>
      <c r="AG7640" s="10"/>
      <c r="AH7640" s="10"/>
      <c r="AI7640" s="10"/>
      <c r="AJ7640" s="10"/>
      <c r="AK7640" s="10"/>
      <c r="AL7640" s="10"/>
      <c r="AM7640" s="10"/>
      <c r="AN7640" s="10"/>
      <c r="AO7640" s="10"/>
      <c r="AP7640" s="10"/>
      <c r="AQ7640" s="10"/>
      <c r="AR7640" s="10"/>
      <c r="AS7640" s="10"/>
      <c r="AT7640" s="10"/>
      <c r="AU7640" s="10"/>
      <c r="AV7640" s="10"/>
      <c r="AW7640" s="10"/>
      <c r="AX7640" s="10"/>
      <c r="AY7640" s="10"/>
      <c r="AZ7640" s="10"/>
    </row>
    <row r="7641" spans="31:52">
      <c r="AE7641" s="10"/>
      <c r="AF7641" s="10"/>
      <c r="AG7641" s="10"/>
      <c r="AH7641" s="10"/>
      <c r="AI7641" s="10"/>
      <c r="AJ7641" s="10"/>
      <c r="AK7641" s="10"/>
      <c r="AL7641" s="10"/>
      <c r="AM7641" s="10"/>
      <c r="AN7641" s="10"/>
      <c r="AO7641" s="10"/>
      <c r="AP7641" s="10"/>
      <c r="AQ7641" s="10"/>
      <c r="AR7641" s="10"/>
      <c r="AS7641" s="10"/>
      <c r="AT7641" s="10"/>
      <c r="AU7641" s="10"/>
      <c r="AV7641" s="10"/>
      <c r="AW7641" s="10"/>
      <c r="AX7641" s="10"/>
      <c r="AY7641" s="10"/>
      <c r="AZ7641" s="10"/>
    </row>
    <row r="7642" spans="31:52">
      <c r="AE7642" s="10"/>
      <c r="AF7642" s="10"/>
      <c r="AG7642" s="10"/>
      <c r="AH7642" s="10"/>
      <c r="AI7642" s="10"/>
      <c r="AJ7642" s="10"/>
      <c r="AK7642" s="10"/>
      <c r="AL7642" s="10"/>
      <c r="AM7642" s="10"/>
      <c r="AN7642" s="10"/>
      <c r="AO7642" s="10"/>
      <c r="AP7642" s="10"/>
      <c r="AQ7642" s="10"/>
      <c r="AR7642" s="10"/>
      <c r="AS7642" s="10"/>
      <c r="AT7642" s="10"/>
      <c r="AU7642" s="10"/>
      <c r="AV7642" s="10"/>
      <c r="AW7642" s="10"/>
      <c r="AX7642" s="10"/>
      <c r="AY7642" s="10"/>
      <c r="AZ7642" s="10"/>
    </row>
    <row r="7643" spans="31:52">
      <c r="AE7643" s="10"/>
      <c r="AF7643" s="10"/>
      <c r="AG7643" s="10"/>
      <c r="AH7643" s="10"/>
      <c r="AI7643" s="10"/>
      <c r="AJ7643" s="10"/>
      <c r="AK7643" s="10"/>
      <c r="AL7643" s="10"/>
      <c r="AM7643" s="10"/>
      <c r="AN7643" s="10"/>
      <c r="AO7643" s="10"/>
      <c r="AP7643" s="10"/>
      <c r="AQ7643" s="10"/>
      <c r="AR7643" s="10"/>
      <c r="AS7643" s="10"/>
      <c r="AT7643" s="10"/>
      <c r="AU7643" s="10"/>
      <c r="AV7643" s="10"/>
      <c r="AW7643" s="10"/>
      <c r="AX7643" s="10"/>
      <c r="AY7643" s="10"/>
      <c r="AZ7643" s="10"/>
    </row>
    <row r="7644" spans="31:52">
      <c r="AE7644" s="10"/>
      <c r="AF7644" s="10"/>
      <c r="AG7644" s="10"/>
      <c r="AH7644" s="10"/>
      <c r="AI7644" s="10"/>
      <c r="AJ7644" s="10"/>
      <c r="AK7644" s="10"/>
      <c r="AL7644" s="10"/>
      <c r="AM7644" s="10"/>
      <c r="AN7644" s="10"/>
      <c r="AO7644" s="10"/>
      <c r="AP7644" s="10"/>
      <c r="AQ7644" s="10"/>
      <c r="AR7644" s="10"/>
      <c r="AS7644" s="10"/>
      <c r="AT7644" s="10"/>
      <c r="AU7644" s="10"/>
      <c r="AV7644" s="10"/>
      <c r="AW7644" s="10"/>
      <c r="AX7644" s="10"/>
      <c r="AY7644" s="10"/>
      <c r="AZ7644" s="10"/>
    </row>
    <row r="7645" spans="31:52">
      <c r="AE7645" s="10"/>
      <c r="AF7645" s="10"/>
      <c r="AG7645" s="10"/>
      <c r="AH7645" s="10"/>
      <c r="AI7645" s="10"/>
      <c r="AJ7645" s="10"/>
      <c r="AK7645" s="10"/>
      <c r="AL7645" s="10"/>
      <c r="AM7645" s="10"/>
      <c r="AN7645" s="10"/>
      <c r="AO7645" s="10"/>
      <c r="AP7645" s="10"/>
      <c r="AQ7645" s="10"/>
      <c r="AR7645" s="10"/>
      <c r="AS7645" s="10"/>
      <c r="AT7645" s="10"/>
      <c r="AU7645" s="10"/>
      <c r="AV7645" s="10"/>
      <c r="AW7645" s="10"/>
      <c r="AX7645" s="10"/>
      <c r="AY7645" s="10"/>
      <c r="AZ7645" s="10"/>
    </row>
    <row r="7646" spans="31:52">
      <c r="AE7646" s="10"/>
      <c r="AF7646" s="10"/>
      <c r="AG7646" s="10"/>
      <c r="AH7646" s="10"/>
      <c r="AI7646" s="10"/>
      <c r="AJ7646" s="10"/>
      <c r="AK7646" s="10"/>
      <c r="AL7646" s="10"/>
      <c r="AM7646" s="10"/>
      <c r="AN7646" s="10"/>
      <c r="AO7646" s="10"/>
      <c r="AP7646" s="10"/>
      <c r="AQ7646" s="10"/>
      <c r="AR7646" s="10"/>
      <c r="AS7646" s="10"/>
      <c r="AT7646" s="10"/>
      <c r="AU7646" s="10"/>
      <c r="AV7646" s="10"/>
      <c r="AW7646" s="10"/>
      <c r="AX7646" s="10"/>
      <c r="AY7646" s="10"/>
      <c r="AZ7646" s="10"/>
    </row>
    <row r="7647" spans="31:52">
      <c r="AE7647" s="10"/>
      <c r="AF7647" s="10"/>
      <c r="AG7647" s="10"/>
      <c r="AH7647" s="10"/>
      <c r="AI7647" s="10"/>
      <c r="AJ7647" s="10"/>
      <c r="AK7647" s="10"/>
      <c r="AL7647" s="10"/>
      <c r="AM7647" s="10"/>
      <c r="AN7647" s="10"/>
      <c r="AO7647" s="10"/>
      <c r="AP7647" s="10"/>
      <c r="AQ7647" s="10"/>
      <c r="AR7647" s="10"/>
      <c r="AS7647" s="10"/>
      <c r="AT7647" s="10"/>
      <c r="AU7647" s="10"/>
      <c r="AV7647" s="10"/>
      <c r="AW7647" s="10"/>
      <c r="AX7647" s="10"/>
      <c r="AY7647" s="10"/>
      <c r="AZ7647" s="10"/>
    </row>
    <row r="7648" spans="31:52">
      <c r="AE7648" s="10"/>
      <c r="AF7648" s="10"/>
      <c r="AG7648" s="10"/>
      <c r="AH7648" s="10"/>
      <c r="AI7648" s="10"/>
      <c r="AJ7648" s="10"/>
      <c r="AK7648" s="10"/>
      <c r="AL7648" s="10"/>
      <c r="AM7648" s="10"/>
      <c r="AN7648" s="10"/>
      <c r="AO7648" s="10"/>
      <c r="AP7648" s="10"/>
      <c r="AQ7648" s="10"/>
      <c r="AR7648" s="10"/>
      <c r="AS7648" s="10"/>
      <c r="AT7648" s="10"/>
      <c r="AU7648" s="10"/>
      <c r="AV7648" s="10"/>
      <c r="AW7648" s="10"/>
      <c r="AX7648" s="10"/>
      <c r="AY7648" s="10"/>
      <c r="AZ7648" s="10"/>
    </row>
    <row r="7649" spans="31:52">
      <c r="AE7649" s="10"/>
      <c r="AF7649" s="10"/>
      <c r="AG7649" s="10"/>
      <c r="AH7649" s="10"/>
      <c r="AI7649" s="10"/>
      <c r="AJ7649" s="10"/>
      <c r="AK7649" s="10"/>
      <c r="AL7649" s="10"/>
      <c r="AM7649" s="10"/>
      <c r="AN7649" s="10"/>
      <c r="AO7649" s="10"/>
      <c r="AP7649" s="10"/>
      <c r="AQ7649" s="10"/>
      <c r="AR7649" s="10"/>
      <c r="AS7649" s="10"/>
      <c r="AT7649" s="10"/>
      <c r="AU7649" s="10"/>
      <c r="AV7649" s="10"/>
      <c r="AW7649" s="10"/>
      <c r="AX7649" s="10"/>
      <c r="AY7649" s="10"/>
      <c r="AZ7649" s="10"/>
    </row>
    <row r="7650" spans="31:52">
      <c r="AE7650" s="10"/>
      <c r="AF7650" s="10"/>
      <c r="AG7650" s="10"/>
      <c r="AH7650" s="10"/>
      <c r="AI7650" s="10"/>
      <c r="AJ7650" s="10"/>
      <c r="AK7650" s="10"/>
      <c r="AL7650" s="10"/>
      <c r="AM7650" s="10"/>
      <c r="AN7650" s="10"/>
      <c r="AO7650" s="10"/>
      <c r="AP7650" s="10"/>
      <c r="AQ7650" s="10"/>
      <c r="AR7650" s="10"/>
      <c r="AS7650" s="10"/>
      <c r="AT7650" s="10"/>
      <c r="AU7650" s="10"/>
      <c r="AV7650" s="10"/>
      <c r="AW7650" s="10"/>
      <c r="AX7650" s="10"/>
      <c r="AY7650" s="10"/>
      <c r="AZ7650" s="10"/>
    </row>
    <row r="7651" spans="31:52">
      <c r="AE7651" s="10"/>
      <c r="AF7651" s="10"/>
      <c r="AG7651" s="10"/>
      <c r="AH7651" s="10"/>
      <c r="AI7651" s="10"/>
      <c r="AJ7651" s="10"/>
      <c r="AK7651" s="10"/>
      <c r="AL7651" s="10"/>
      <c r="AM7651" s="10"/>
      <c r="AN7651" s="10"/>
      <c r="AO7651" s="10"/>
      <c r="AP7651" s="10"/>
      <c r="AQ7651" s="10"/>
      <c r="AR7651" s="10"/>
      <c r="AS7651" s="10"/>
      <c r="AT7651" s="10"/>
      <c r="AU7651" s="10"/>
      <c r="AV7651" s="10"/>
      <c r="AW7651" s="10"/>
      <c r="AX7651" s="10"/>
      <c r="AY7651" s="10"/>
      <c r="AZ7651" s="10"/>
    </row>
    <row r="7652" spans="31:52">
      <c r="AE7652" s="10"/>
      <c r="AF7652" s="10"/>
      <c r="AG7652" s="10"/>
      <c r="AH7652" s="10"/>
      <c r="AI7652" s="10"/>
      <c r="AJ7652" s="10"/>
      <c r="AK7652" s="10"/>
      <c r="AL7652" s="10"/>
      <c r="AM7652" s="10"/>
      <c r="AN7652" s="10"/>
      <c r="AO7652" s="10"/>
      <c r="AP7652" s="10"/>
      <c r="AQ7652" s="10"/>
      <c r="AR7652" s="10"/>
      <c r="AS7652" s="10"/>
      <c r="AT7652" s="10"/>
      <c r="AU7652" s="10"/>
      <c r="AV7652" s="10"/>
      <c r="AW7652" s="10"/>
      <c r="AX7652" s="10"/>
      <c r="AY7652" s="10"/>
      <c r="AZ7652" s="10"/>
    </row>
    <row r="7653" spans="31:52">
      <c r="AE7653" s="10"/>
      <c r="AF7653" s="10"/>
      <c r="AG7653" s="10"/>
      <c r="AH7653" s="10"/>
      <c r="AI7653" s="10"/>
      <c r="AJ7653" s="10"/>
      <c r="AK7653" s="10"/>
      <c r="AL7653" s="10"/>
      <c r="AM7653" s="10"/>
      <c r="AN7653" s="10"/>
      <c r="AO7653" s="10"/>
      <c r="AP7653" s="10"/>
      <c r="AQ7653" s="10"/>
      <c r="AR7653" s="10"/>
      <c r="AS7653" s="10"/>
      <c r="AT7653" s="10"/>
      <c r="AU7653" s="10"/>
      <c r="AV7653" s="10"/>
      <c r="AW7653" s="10"/>
      <c r="AX7653" s="10"/>
      <c r="AY7653" s="10"/>
      <c r="AZ7653" s="10"/>
    </row>
    <row r="7654" spans="31:52">
      <c r="AE7654" s="10"/>
      <c r="AF7654" s="10"/>
      <c r="AG7654" s="10"/>
      <c r="AH7654" s="10"/>
      <c r="AI7654" s="10"/>
      <c r="AJ7654" s="10"/>
      <c r="AK7654" s="10"/>
      <c r="AL7654" s="10"/>
      <c r="AM7654" s="10"/>
      <c r="AN7654" s="10"/>
      <c r="AO7654" s="10"/>
      <c r="AP7654" s="10"/>
      <c r="AQ7654" s="10"/>
      <c r="AR7654" s="10"/>
      <c r="AS7654" s="10"/>
      <c r="AT7654" s="10"/>
      <c r="AU7654" s="10"/>
      <c r="AV7654" s="10"/>
      <c r="AW7654" s="10"/>
      <c r="AX7654" s="10"/>
      <c r="AY7654" s="10"/>
      <c r="AZ7654" s="10"/>
    </row>
    <row r="7655" spans="31:52">
      <c r="AE7655" s="10"/>
      <c r="AF7655" s="10"/>
      <c r="AG7655" s="10"/>
      <c r="AH7655" s="10"/>
      <c r="AI7655" s="10"/>
      <c r="AJ7655" s="10"/>
      <c r="AK7655" s="10"/>
      <c r="AL7655" s="10"/>
      <c r="AM7655" s="10"/>
      <c r="AN7655" s="10"/>
      <c r="AO7655" s="10"/>
      <c r="AP7655" s="10"/>
      <c r="AQ7655" s="10"/>
      <c r="AR7655" s="10"/>
      <c r="AS7655" s="10"/>
      <c r="AT7655" s="10"/>
      <c r="AU7655" s="10"/>
      <c r="AV7655" s="10"/>
      <c r="AW7655" s="10"/>
      <c r="AX7655" s="10"/>
      <c r="AY7655" s="10"/>
      <c r="AZ7655" s="10"/>
    </row>
    <row r="7656" spans="31:52">
      <c r="AE7656" s="10"/>
      <c r="AF7656" s="10"/>
      <c r="AG7656" s="10"/>
      <c r="AH7656" s="10"/>
      <c r="AI7656" s="10"/>
      <c r="AJ7656" s="10"/>
      <c r="AK7656" s="10"/>
      <c r="AL7656" s="10"/>
      <c r="AM7656" s="10"/>
      <c r="AN7656" s="10"/>
      <c r="AO7656" s="10"/>
      <c r="AP7656" s="10"/>
      <c r="AQ7656" s="10"/>
      <c r="AR7656" s="10"/>
      <c r="AS7656" s="10"/>
      <c r="AT7656" s="10"/>
      <c r="AU7656" s="10"/>
      <c r="AV7656" s="10"/>
      <c r="AW7656" s="10"/>
      <c r="AX7656" s="10"/>
      <c r="AY7656" s="10"/>
      <c r="AZ7656" s="10"/>
    </row>
    <row r="7657" spans="31:52">
      <c r="AE7657" s="10"/>
      <c r="AF7657" s="10"/>
      <c r="AG7657" s="10"/>
      <c r="AH7657" s="10"/>
      <c r="AI7657" s="10"/>
      <c r="AJ7657" s="10"/>
      <c r="AK7657" s="10"/>
      <c r="AL7657" s="10"/>
      <c r="AM7657" s="10"/>
      <c r="AN7657" s="10"/>
      <c r="AO7657" s="10"/>
      <c r="AP7657" s="10"/>
      <c r="AQ7657" s="10"/>
      <c r="AR7657" s="10"/>
      <c r="AS7657" s="10"/>
      <c r="AT7657" s="10"/>
      <c r="AU7657" s="10"/>
      <c r="AV7657" s="10"/>
      <c r="AW7657" s="10"/>
      <c r="AX7657" s="10"/>
      <c r="AY7657" s="10"/>
      <c r="AZ7657" s="10"/>
    </row>
    <row r="7658" spans="31:52">
      <c r="AE7658" s="10"/>
      <c r="AF7658" s="10"/>
      <c r="AG7658" s="10"/>
      <c r="AH7658" s="10"/>
      <c r="AI7658" s="10"/>
      <c r="AJ7658" s="10"/>
      <c r="AK7658" s="10"/>
      <c r="AL7658" s="10"/>
      <c r="AM7658" s="10"/>
      <c r="AN7658" s="10"/>
      <c r="AO7658" s="10"/>
      <c r="AP7658" s="10"/>
      <c r="AQ7658" s="10"/>
      <c r="AR7658" s="10"/>
      <c r="AS7658" s="10"/>
      <c r="AT7658" s="10"/>
      <c r="AU7658" s="10"/>
      <c r="AV7658" s="10"/>
      <c r="AW7658" s="10"/>
      <c r="AX7658" s="10"/>
      <c r="AY7658" s="10"/>
      <c r="AZ7658" s="10"/>
    </row>
    <row r="7659" spans="31:52">
      <c r="AE7659" s="10"/>
      <c r="AF7659" s="10"/>
      <c r="AG7659" s="10"/>
      <c r="AH7659" s="10"/>
      <c r="AI7659" s="10"/>
      <c r="AJ7659" s="10"/>
      <c r="AK7659" s="10"/>
      <c r="AL7659" s="10"/>
      <c r="AM7659" s="10"/>
      <c r="AN7659" s="10"/>
      <c r="AO7659" s="10"/>
      <c r="AP7659" s="10"/>
      <c r="AQ7659" s="10"/>
      <c r="AR7659" s="10"/>
      <c r="AS7659" s="10"/>
      <c r="AT7659" s="10"/>
      <c r="AU7659" s="10"/>
      <c r="AV7659" s="10"/>
      <c r="AW7659" s="10"/>
      <c r="AX7659" s="10"/>
      <c r="AY7659" s="10"/>
      <c r="AZ7659" s="10"/>
    </row>
    <row r="7660" spans="31:52">
      <c r="AE7660" s="10"/>
      <c r="AF7660" s="10"/>
      <c r="AG7660" s="10"/>
      <c r="AH7660" s="10"/>
      <c r="AI7660" s="10"/>
      <c r="AJ7660" s="10"/>
      <c r="AK7660" s="10"/>
      <c r="AL7660" s="10"/>
      <c r="AM7660" s="10"/>
      <c r="AN7660" s="10"/>
      <c r="AO7660" s="10"/>
      <c r="AP7660" s="10"/>
      <c r="AQ7660" s="10"/>
      <c r="AR7660" s="10"/>
      <c r="AS7660" s="10"/>
      <c r="AT7660" s="10"/>
      <c r="AU7660" s="10"/>
      <c r="AV7660" s="10"/>
      <c r="AW7660" s="10"/>
      <c r="AX7660" s="10"/>
      <c r="AY7660" s="10"/>
      <c r="AZ7660" s="10"/>
    </row>
    <row r="7661" spans="31:52">
      <c r="AE7661" s="10"/>
      <c r="AF7661" s="10"/>
      <c r="AG7661" s="10"/>
      <c r="AH7661" s="10"/>
      <c r="AI7661" s="10"/>
      <c r="AJ7661" s="10"/>
      <c r="AK7661" s="10"/>
      <c r="AL7661" s="10"/>
      <c r="AM7661" s="10"/>
      <c r="AN7661" s="10"/>
      <c r="AO7661" s="10"/>
      <c r="AP7661" s="10"/>
      <c r="AQ7661" s="10"/>
      <c r="AR7661" s="10"/>
      <c r="AS7661" s="10"/>
      <c r="AT7661" s="10"/>
      <c r="AU7661" s="10"/>
      <c r="AV7661" s="10"/>
      <c r="AW7661" s="10"/>
      <c r="AX7661" s="10"/>
      <c r="AY7661" s="10"/>
      <c r="AZ7661" s="10"/>
    </row>
    <row r="7662" spans="31:52">
      <c r="AE7662" s="10"/>
      <c r="AF7662" s="10"/>
      <c r="AG7662" s="10"/>
      <c r="AH7662" s="10"/>
      <c r="AI7662" s="10"/>
      <c r="AJ7662" s="10"/>
      <c r="AK7662" s="10"/>
      <c r="AL7662" s="10"/>
      <c r="AM7662" s="10"/>
      <c r="AN7662" s="10"/>
      <c r="AO7662" s="10"/>
      <c r="AP7662" s="10"/>
      <c r="AQ7662" s="10"/>
      <c r="AR7662" s="10"/>
      <c r="AS7662" s="10"/>
      <c r="AT7662" s="10"/>
      <c r="AU7662" s="10"/>
      <c r="AV7662" s="10"/>
      <c r="AW7662" s="10"/>
      <c r="AX7662" s="10"/>
      <c r="AY7662" s="10"/>
      <c r="AZ7662" s="10"/>
    </row>
    <row r="7663" spans="31:52">
      <c r="AE7663" s="10"/>
      <c r="AF7663" s="10"/>
      <c r="AG7663" s="10"/>
      <c r="AH7663" s="10"/>
      <c r="AI7663" s="10"/>
      <c r="AJ7663" s="10"/>
      <c r="AK7663" s="10"/>
      <c r="AL7663" s="10"/>
      <c r="AM7663" s="10"/>
      <c r="AN7663" s="10"/>
      <c r="AO7663" s="10"/>
      <c r="AP7663" s="10"/>
      <c r="AQ7663" s="10"/>
      <c r="AR7663" s="10"/>
      <c r="AS7663" s="10"/>
      <c r="AT7663" s="10"/>
      <c r="AU7663" s="10"/>
      <c r="AV7663" s="10"/>
      <c r="AW7663" s="10"/>
      <c r="AX7663" s="10"/>
      <c r="AY7663" s="10"/>
      <c r="AZ7663" s="10"/>
    </row>
    <row r="7664" spans="31:52">
      <c r="AE7664" s="10"/>
      <c r="AF7664" s="10"/>
      <c r="AG7664" s="10"/>
      <c r="AH7664" s="10"/>
      <c r="AI7664" s="10"/>
      <c r="AJ7664" s="10"/>
      <c r="AK7664" s="10"/>
      <c r="AL7664" s="10"/>
      <c r="AM7664" s="10"/>
      <c r="AN7664" s="10"/>
      <c r="AO7664" s="10"/>
      <c r="AP7664" s="10"/>
      <c r="AQ7664" s="10"/>
      <c r="AR7664" s="10"/>
      <c r="AS7664" s="10"/>
      <c r="AT7664" s="10"/>
      <c r="AU7664" s="10"/>
      <c r="AV7664" s="10"/>
      <c r="AW7664" s="10"/>
      <c r="AX7664" s="10"/>
      <c r="AY7664" s="10"/>
      <c r="AZ7664" s="10"/>
    </row>
    <row r="7665" spans="31:52">
      <c r="AE7665" s="10"/>
      <c r="AF7665" s="10"/>
      <c r="AG7665" s="10"/>
      <c r="AH7665" s="10"/>
      <c r="AI7665" s="10"/>
      <c r="AJ7665" s="10"/>
      <c r="AK7665" s="10"/>
      <c r="AL7665" s="10"/>
      <c r="AM7665" s="10"/>
      <c r="AN7665" s="10"/>
      <c r="AO7665" s="10"/>
      <c r="AP7665" s="10"/>
      <c r="AQ7665" s="10"/>
      <c r="AR7665" s="10"/>
      <c r="AS7665" s="10"/>
      <c r="AT7665" s="10"/>
      <c r="AU7665" s="10"/>
      <c r="AV7665" s="10"/>
      <c r="AW7665" s="10"/>
      <c r="AX7665" s="10"/>
      <c r="AY7665" s="10"/>
      <c r="AZ7665" s="10"/>
    </row>
    <row r="7666" spans="31:52">
      <c r="AE7666" s="10"/>
      <c r="AF7666" s="10"/>
      <c r="AG7666" s="10"/>
      <c r="AH7666" s="10"/>
      <c r="AI7666" s="10"/>
      <c r="AJ7666" s="10"/>
      <c r="AK7666" s="10"/>
      <c r="AL7666" s="10"/>
      <c r="AM7666" s="10"/>
      <c r="AN7666" s="10"/>
      <c r="AO7666" s="10"/>
      <c r="AP7666" s="10"/>
      <c r="AQ7666" s="10"/>
      <c r="AR7666" s="10"/>
      <c r="AS7666" s="10"/>
      <c r="AT7666" s="10"/>
      <c r="AU7666" s="10"/>
      <c r="AV7666" s="10"/>
      <c r="AW7666" s="10"/>
      <c r="AX7666" s="10"/>
      <c r="AY7666" s="10"/>
      <c r="AZ7666" s="10"/>
    </row>
    <row r="7667" spans="31:52">
      <c r="AE7667" s="10"/>
      <c r="AF7667" s="10"/>
      <c r="AG7667" s="10"/>
      <c r="AH7667" s="10"/>
      <c r="AI7667" s="10"/>
      <c r="AJ7667" s="10"/>
      <c r="AK7667" s="10"/>
      <c r="AL7667" s="10"/>
      <c r="AM7667" s="10"/>
      <c r="AN7667" s="10"/>
      <c r="AO7667" s="10"/>
      <c r="AP7667" s="10"/>
      <c r="AQ7667" s="10"/>
      <c r="AR7667" s="10"/>
      <c r="AS7667" s="10"/>
      <c r="AT7667" s="10"/>
      <c r="AU7667" s="10"/>
      <c r="AV7667" s="10"/>
      <c r="AW7667" s="10"/>
      <c r="AX7667" s="10"/>
      <c r="AY7667" s="10"/>
      <c r="AZ7667" s="10"/>
    </row>
    <row r="7668" spans="31:52">
      <c r="AE7668" s="10"/>
      <c r="AF7668" s="10"/>
      <c r="AG7668" s="10"/>
      <c r="AH7668" s="10"/>
      <c r="AI7668" s="10"/>
      <c r="AJ7668" s="10"/>
      <c r="AK7668" s="10"/>
      <c r="AL7668" s="10"/>
      <c r="AM7668" s="10"/>
      <c r="AN7668" s="10"/>
      <c r="AO7668" s="10"/>
      <c r="AP7668" s="10"/>
      <c r="AQ7668" s="10"/>
      <c r="AR7668" s="10"/>
      <c r="AS7668" s="10"/>
      <c r="AT7668" s="10"/>
      <c r="AU7668" s="10"/>
      <c r="AV7668" s="10"/>
      <c r="AW7668" s="10"/>
      <c r="AX7668" s="10"/>
      <c r="AY7668" s="10"/>
      <c r="AZ7668" s="10"/>
    </row>
    <row r="7669" spans="31:52">
      <c r="AE7669" s="10"/>
      <c r="AF7669" s="10"/>
      <c r="AG7669" s="10"/>
      <c r="AH7669" s="10"/>
      <c r="AI7669" s="10"/>
      <c r="AJ7669" s="10"/>
      <c r="AK7669" s="10"/>
      <c r="AL7669" s="10"/>
      <c r="AM7669" s="10"/>
      <c r="AN7669" s="10"/>
      <c r="AO7669" s="10"/>
      <c r="AP7669" s="10"/>
      <c r="AQ7669" s="10"/>
      <c r="AR7669" s="10"/>
      <c r="AS7669" s="10"/>
      <c r="AT7669" s="10"/>
      <c r="AU7669" s="10"/>
      <c r="AV7669" s="10"/>
      <c r="AW7669" s="10"/>
      <c r="AX7669" s="10"/>
      <c r="AY7669" s="10"/>
      <c r="AZ7669" s="10"/>
    </row>
    <row r="7670" spans="31:52">
      <c r="AE7670" s="10"/>
      <c r="AF7670" s="10"/>
      <c r="AG7670" s="10"/>
      <c r="AH7670" s="10"/>
      <c r="AI7670" s="10"/>
      <c r="AJ7670" s="10"/>
      <c r="AK7670" s="10"/>
      <c r="AL7670" s="10"/>
      <c r="AM7670" s="10"/>
      <c r="AN7670" s="10"/>
      <c r="AO7670" s="10"/>
      <c r="AP7670" s="10"/>
      <c r="AQ7670" s="10"/>
      <c r="AR7670" s="10"/>
      <c r="AS7670" s="10"/>
      <c r="AT7670" s="10"/>
      <c r="AU7670" s="10"/>
      <c r="AV7670" s="10"/>
      <c r="AW7670" s="10"/>
      <c r="AX7670" s="10"/>
      <c r="AY7670" s="10"/>
      <c r="AZ7670" s="10"/>
    </row>
    <row r="7671" spans="31:52">
      <c r="AE7671" s="10"/>
      <c r="AF7671" s="10"/>
      <c r="AG7671" s="10"/>
      <c r="AH7671" s="10"/>
      <c r="AI7671" s="10"/>
      <c r="AJ7671" s="10"/>
      <c r="AK7671" s="10"/>
      <c r="AL7671" s="10"/>
      <c r="AM7671" s="10"/>
      <c r="AN7671" s="10"/>
      <c r="AO7671" s="10"/>
      <c r="AP7671" s="10"/>
      <c r="AQ7671" s="10"/>
      <c r="AR7671" s="10"/>
      <c r="AS7671" s="10"/>
      <c r="AT7671" s="10"/>
      <c r="AU7671" s="10"/>
      <c r="AV7671" s="10"/>
      <c r="AW7671" s="10"/>
      <c r="AX7671" s="10"/>
      <c r="AY7671" s="10"/>
      <c r="AZ7671" s="10"/>
    </row>
    <row r="7672" spans="31:52">
      <c r="AE7672" s="10"/>
      <c r="AF7672" s="10"/>
      <c r="AG7672" s="10"/>
      <c r="AH7672" s="10"/>
      <c r="AI7672" s="10"/>
      <c r="AJ7672" s="10"/>
      <c r="AK7672" s="10"/>
      <c r="AL7672" s="10"/>
      <c r="AM7672" s="10"/>
      <c r="AN7672" s="10"/>
      <c r="AO7672" s="10"/>
      <c r="AP7672" s="10"/>
      <c r="AQ7672" s="10"/>
      <c r="AR7672" s="10"/>
      <c r="AS7672" s="10"/>
      <c r="AT7672" s="10"/>
      <c r="AU7672" s="10"/>
      <c r="AV7672" s="10"/>
      <c r="AW7672" s="10"/>
      <c r="AX7672" s="10"/>
      <c r="AY7672" s="10"/>
      <c r="AZ7672" s="10"/>
    </row>
    <row r="7673" spans="31:52">
      <c r="AE7673" s="10"/>
      <c r="AF7673" s="10"/>
      <c r="AG7673" s="10"/>
      <c r="AH7673" s="10"/>
      <c r="AI7673" s="10"/>
      <c r="AJ7673" s="10"/>
      <c r="AK7673" s="10"/>
      <c r="AL7673" s="10"/>
      <c r="AM7673" s="10"/>
      <c r="AN7673" s="10"/>
      <c r="AO7673" s="10"/>
      <c r="AP7673" s="10"/>
      <c r="AQ7673" s="10"/>
      <c r="AR7673" s="10"/>
      <c r="AS7673" s="10"/>
      <c r="AT7673" s="10"/>
      <c r="AU7673" s="10"/>
      <c r="AV7673" s="10"/>
      <c r="AW7673" s="10"/>
      <c r="AX7673" s="10"/>
      <c r="AY7673" s="10"/>
      <c r="AZ7673" s="10"/>
    </row>
    <row r="7674" spans="31:52">
      <c r="AE7674" s="10"/>
      <c r="AF7674" s="10"/>
      <c r="AG7674" s="10"/>
      <c r="AH7674" s="10"/>
      <c r="AI7674" s="10"/>
      <c r="AJ7674" s="10"/>
      <c r="AK7674" s="10"/>
      <c r="AL7674" s="10"/>
      <c r="AM7674" s="10"/>
      <c r="AN7674" s="10"/>
      <c r="AO7674" s="10"/>
      <c r="AP7674" s="10"/>
      <c r="AQ7674" s="10"/>
      <c r="AR7674" s="10"/>
      <c r="AS7674" s="10"/>
      <c r="AT7674" s="10"/>
      <c r="AU7674" s="10"/>
      <c r="AV7674" s="10"/>
      <c r="AW7674" s="10"/>
      <c r="AX7674" s="10"/>
      <c r="AY7674" s="10"/>
      <c r="AZ7674" s="10"/>
    </row>
    <row r="7675" spans="31:52">
      <c r="AE7675" s="10"/>
      <c r="AF7675" s="10"/>
      <c r="AG7675" s="10"/>
      <c r="AH7675" s="10"/>
      <c r="AI7675" s="10"/>
      <c r="AJ7675" s="10"/>
      <c r="AK7675" s="10"/>
      <c r="AL7675" s="10"/>
      <c r="AM7675" s="10"/>
      <c r="AN7675" s="10"/>
      <c r="AO7675" s="10"/>
      <c r="AP7675" s="10"/>
      <c r="AQ7675" s="10"/>
      <c r="AR7675" s="10"/>
      <c r="AS7675" s="10"/>
      <c r="AT7675" s="10"/>
      <c r="AU7675" s="10"/>
      <c r="AV7675" s="10"/>
      <c r="AW7675" s="10"/>
      <c r="AX7675" s="10"/>
      <c r="AY7675" s="10"/>
      <c r="AZ7675" s="10"/>
    </row>
    <row r="7676" spans="31:52">
      <c r="AE7676" s="10"/>
      <c r="AF7676" s="10"/>
      <c r="AG7676" s="10"/>
      <c r="AH7676" s="10"/>
      <c r="AI7676" s="10"/>
      <c r="AJ7676" s="10"/>
      <c r="AK7676" s="10"/>
      <c r="AL7676" s="10"/>
      <c r="AM7676" s="10"/>
      <c r="AN7676" s="10"/>
      <c r="AO7676" s="10"/>
      <c r="AP7676" s="10"/>
      <c r="AQ7676" s="10"/>
      <c r="AR7676" s="10"/>
      <c r="AS7676" s="10"/>
      <c r="AT7676" s="10"/>
      <c r="AU7676" s="10"/>
      <c r="AV7676" s="10"/>
      <c r="AW7676" s="10"/>
      <c r="AX7676" s="10"/>
      <c r="AY7676" s="10"/>
      <c r="AZ7676" s="10"/>
    </row>
    <row r="7677" spans="31:52">
      <c r="AE7677" s="10"/>
      <c r="AF7677" s="10"/>
      <c r="AG7677" s="10"/>
      <c r="AH7677" s="10"/>
      <c r="AI7677" s="10"/>
      <c r="AJ7677" s="10"/>
      <c r="AK7677" s="10"/>
      <c r="AL7677" s="10"/>
      <c r="AM7677" s="10"/>
      <c r="AN7677" s="10"/>
      <c r="AO7677" s="10"/>
      <c r="AP7677" s="10"/>
      <c r="AQ7677" s="10"/>
      <c r="AR7677" s="10"/>
      <c r="AS7677" s="10"/>
      <c r="AT7677" s="10"/>
      <c r="AU7677" s="10"/>
      <c r="AV7677" s="10"/>
      <c r="AW7677" s="10"/>
      <c r="AX7677" s="10"/>
      <c r="AY7677" s="10"/>
      <c r="AZ7677" s="10"/>
    </row>
    <row r="7678" spans="31:52">
      <c r="AE7678" s="10"/>
      <c r="AF7678" s="10"/>
      <c r="AG7678" s="10"/>
      <c r="AH7678" s="10"/>
      <c r="AI7678" s="10"/>
      <c r="AJ7678" s="10"/>
      <c r="AK7678" s="10"/>
      <c r="AL7678" s="10"/>
      <c r="AM7678" s="10"/>
      <c r="AN7678" s="10"/>
      <c r="AO7678" s="10"/>
      <c r="AP7678" s="10"/>
      <c r="AQ7678" s="10"/>
      <c r="AR7678" s="10"/>
      <c r="AS7678" s="10"/>
      <c r="AT7678" s="10"/>
      <c r="AU7678" s="10"/>
      <c r="AV7678" s="10"/>
      <c r="AW7678" s="10"/>
      <c r="AX7678" s="10"/>
      <c r="AY7678" s="10"/>
      <c r="AZ7678" s="10"/>
    </row>
    <row r="7679" spans="31:52">
      <c r="AE7679" s="10"/>
      <c r="AF7679" s="10"/>
      <c r="AG7679" s="10"/>
      <c r="AH7679" s="10"/>
      <c r="AI7679" s="10"/>
      <c r="AJ7679" s="10"/>
      <c r="AK7679" s="10"/>
      <c r="AL7679" s="10"/>
      <c r="AM7679" s="10"/>
      <c r="AN7679" s="10"/>
      <c r="AO7679" s="10"/>
      <c r="AP7679" s="10"/>
      <c r="AQ7679" s="10"/>
      <c r="AR7679" s="10"/>
      <c r="AS7679" s="10"/>
      <c r="AT7679" s="10"/>
      <c r="AU7679" s="10"/>
      <c r="AV7679" s="10"/>
      <c r="AW7679" s="10"/>
      <c r="AX7679" s="10"/>
      <c r="AY7679" s="10"/>
      <c r="AZ7679" s="10"/>
    </row>
    <row r="7680" spans="31:52">
      <c r="AE7680" s="10"/>
      <c r="AF7680" s="10"/>
      <c r="AG7680" s="10"/>
      <c r="AH7680" s="10"/>
      <c r="AI7680" s="10"/>
      <c r="AJ7680" s="10"/>
      <c r="AK7680" s="10"/>
      <c r="AL7680" s="10"/>
      <c r="AM7680" s="10"/>
      <c r="AN7680" s="10"/>
      <c r="AO7680" s="10"/>
      <c r="AP7680" s="10"/>
      <c r="AQ7680" s="10"/>
      <c r="AR7680" s="10"/>
      <c r="AS7680" s="10"/>
      <c r="AT7680" s="10"/>
      <c r="AU7680" s="10"/>
      <c r="AV7680" s="10"/>
      <c r="AW7680" s="10"/>
      <c r="AX7680" s="10"/>
      <c r="AY7680" s="10"/>
      <c r="AZ7680" s="10"/>
    </row>
    <row r="7681" spans="31:52">
      <c r="AE7681" s="10"/>
      <c r="AF7681" s="10"/>
      <c r="AG7681" s="10"/>
      <c r="AH7681" s="10"/>
      <c r="AI7681" s="10"/>
      <c r="AJ7681" s="10"/>
      <c r="AK7681" s="10"/>
      <c r="AL7681" s="10"/>
      <c r="AM7681" s="10"/>
      <c r="AN7681" s="10"/>
      <c r="AO7681" s="10"/>
      <c r="AP7681" s="10"/>
      <c r="AQ7681" s="10"/>
      <c r="AR7681" s="10"/>
      <c r="AS7681" s="10"/>
      <c r="AT7681" s="10"/>
      <c r="AU7681" s="10"/>
      <c r="AV7681" s="10"/>
      <c r="AW7681" s="10"/>
      <c r="AX7681" s="10"/>
      <c r="AY7681" s="10"/>
      <c r="AZ7681" s="10"/>
    </row>
    <row r="7682" spans="31:52">
      <c r="AE7682" s="10"/>
      <c r="AF7682" s="10"/>
      <c r="AG7682" s="10"/>
      <c r="AH7682" s="10"/>
      <c r="AI7682" s="10"/>
      <c r="AJ7682" s="10"/>
      <c r="AK7682" s="10"/>
      <c r="AL7682" s="10"/>
      <c r="AM7682" s="10"/>
      <c r="AN7682" s="10"/>
      <c r="AO7682" s="10"/>
      <c r="AP7682" s="10"/>
      <c r="AQ7682" s="10"/>
      <c r="AR7682" s="10"/>
      <c r="AS7682" s="10"/>
      <c r="AT7682" s="10"/>
      <c r="AU7682" s="10"/>
      <c r="AV7682" s="10"/>
      <c r="AW7682" s="10"/>
      <c r="AX7682" s="10"/>
      <c r="AY7682" s="10"/>
      <c r="AZ7682" s="10"/>
    </row>
    <row r="7683" spans="31:52">
      <c r="AE7683" s="10"/>
      <c r="AF7683" s="10"/>
      <c r="AG7683" s="10"/>
      <c r="AH7683" s="10"/>
      <c r="AI7683" s="10"/>
      <c r="AJ7683" s="10"/>
      <c r="AK7683" s="10"/>
      <c r="AL7683" s="10"/>
      <c r="AM7683" s="10"/>
      <c r="AN7683" s="10"/>
      <c r="AO7683" s="10"/>
      <c r="AP7683" s="10"/>
      <c r="AQ7683" s="10"/>
      <c r="AR7683" s="10"/>
      <c r="AS7683" s="10"/>
      <c r="AT7683" s="10"/>
      <c r="AU7683" s="10"/>
      <c r="AV7683" s="10"/>
      <c r="AW7683" s="10"/>
      <c r="AX7683" s="10"/>
      <c r="AY7683" s="10"/>
      <c r="AZ7683" s="10"/>
    </row>
    <row r="7684" spans="31:52">
      <c r="AE7684" s="10"/>
      <c r="AF7684" s="10"/>
      <c r="AG7684" s="10"/>
      <c r="AH7684" s="10"/>
      <c r="AI7684" s="10"/>
      <c r="AJ7684" s="10"/>
      <c r="AK7684" s="10"/>
      <c r="AL7684" s="10"/>
      <c r="AM7684" s="10"/>
      <c r="AN7684" s="10"/>
      <c r="AO7684" s="10"/>
      <c r="AP7684" s="10"/>
      <c r="AQ7684" s="10"/>
      <c r="AR7684" s="10"/>
      <c r="AS7684" s="10"/>
      <c r="AT7684" s="10"/>
      <c r="AU7684" s="10"/>
      <c r="AV7684" s="10"/>
      <c r="AW7684" s="10"/>
      <c r="AX7684" s="10"/>
      <c r="AY7684" s="10"/>
      <c r="AZ7684" s="10"/>
    </row>
    <row r="7685" spans="31:52">
      <c r="AE7685" s="10"/>
      <c r="AF7685" s="10"/>
      <c r="AG7685" s="10"/>
      <c r="AH7685" s="10"/>
      <c r="AI7685" s="10"/>
      <c r="AJ7685" s="10"/>
      <c r="AK7685" s="10"/>
      <c r="AL7685" s="10"/>
      <c r="AM7685" s="10"/>
      <c r="AN7685" s="10"/>
      <c r="AO7685" s="10"/>
      <c r="AP7685" s="10"/>
      <c r="AQ7685" s="10"/>
      <c r="AR7685" s="10"/>
      <c r="AS7685" s="10"/>
      <c r="AT7685" s="10"/>
      <c r="AU7685" s="10"/>
      <c r="AV7685" s="10"/>
      <c r="AW7685" s="10"/>
      <c r="AX7685" s="10"/>
      <c r="AY7685" s="10"/>
      <c r="AZ7685" s="10"/>
    </row>
    <row r="7686" spans="31:52">
      <c r="AE7686" s="10"/>
      <c r="AF7686" s="10"/>
      <c r="AG7686" s="10"/>
      <c r="AH7686" s="10"/>
      <c r="AI7686" s="10"/>
      <c r="AJ7686" s="10"/>
      <c r="AK7686" s="10"/>
      <c r="AL7686" s="10"/>
      <c r="AM7686" s="10"/>
      <c r="AN7686" s="10"/>
      <c r="AO7686" s="10"/>
      <c r="AP7686" s="10"/>
      <c r="AQ7686" s="10"/>
      <c r="AR7686" s="10"/>
      <c r="AS7686" s="10"/>
      <c r="AT7686" s="10"/>
      <c r="AU7686" s="10"/>
      <c r="AV7686" s="10"/>
      <c r="AW7686" s="10"/>
      <c r="AX7686" s="10"/>
      <c r="AY7686" s="10"/>
      <c r="AZ7686" s="10"/>
    </row>
    <row r="7687" spans="31:52">
      <c r="AE7687" s="10"/>
      <c r="AF7687" s="10"/>
      <c r="AG7687" s="10"/>
      <c r="AH7687" s="10"/>
      <c r="AI7687" s="10"/>
      <c r="AJ7687" s="10"/>
      <c r="AK7687" s="10"/>
      <c r="AL7687" s="10"/>
      <c r="AM7687" s="10"/>
      <c r="AN7687" s="10"/>
      <c r="AO7687" s="10"/>
      <c r="AP7687" s="10"/>
      <c r="AQ7687" s="10"/>
      <c r="AR7687" s="10"/>
      <c r="AS7687" s="10"/>
      <c r="AT7687" s="10"/>
      <c r="AU7687" s="10"/>
      <c r="AV7687" s="10"/>
      <c r="AW7687" s="10"/>
      <c r="AX7687" s="10"/>
      <c r="AY7687" s="10"/>
      <c r="AZ7687" s="10"/>
    </row>
    <row r="7688" spans="31:52">
      <c r="AE7688" s="10"/>
      <c r="AF7688" s="10"/>
      <c r="AG7688" s="10"/>
      <c r="AH7688" s="10"/>
      <c r="AI7688" s="10"/>
      <c r="AJ7688" s="10"/>
      <c r="AK7688" s="10"/>
      <c r="AL7688" s="10"/>
      <c r="AM7688" s="10"/>
      <c r="AN7688" s="10"/>
      <c r="AO7688" s="10"/>
      <c r="AP7688" s="10"/>
      <c r="AQ7688" s="10"/>
      <c r="AR7688" s="10"/>
      <c r="AS7688" s="10"/>
      <c r="AT7688" s="10"/>
      <c r="AU7688" s="10"/>
      <c r="AV7688" s="10"/>
      <c r="AW7688" s="10"/>
      <c r="AX7688" s="10"/>
      <c r="AY7688" s="10"/>
      <c r="AZ7688" s="10"/>
    </row>
    <row r="7689" spans="31:52">
      <c r="AE7689" s="10"/>
      <c r="AF7689" s="10"/>
      <c r="AG7689" s="10"/>
      <c r="AH7689" s="10"/>
      <c r="AI7689" s="10"/>
      <c r="AJ7689" s="10"/>
      <c r="AK7689" s="10"/>
      <c r="AL7689" s="10"/>
      <c r="AM7689" s="10"/>
      <c r="AN7689" s="10"/>
      <c r="AO7689" s="10"/>
      <c r="AP7689" s="10"/>
      <c r="AQ7689" s="10"/>
      <c r="AR7689" s="10"/>
      <c r="AS7689" s="10"/>
      <c r="AT7689" s="10"/>
      <c r="AU7689" s="10"/>
      <c r="AV7689" s="10"/>
      <c r="AW7689" s="10"/>
      <c r="AX7689" s="10"/>
      <c r="AY7689" s="10"/>
      <c r="AZ7689" s="10"/>
    </row>
    <row r="7690" spans="31:52">
      <c r="AE7690" s="10"/>
      <c r="AF7690" s="10"/>
      <c r="AG7690" s="10"/>
      <c r="AH7690" s="10"/>
      <c r="AI7690" s="10"/>
      <c r="AJ7690" s="10"/>
      <c r="AK7690" s="10"/>
      <c r="AL7690" s="10"/>
      <c r="AM7690" s="10"/>
      <c r="AN7690" s="10"/>
      <c r="AO7690" s="10"/>
      <c r="AP7690" s="10"/>
      <c r="AQ7690" s="10"/>
      <c r="AR7690" s="10"/>
      <c r="AS7690" s="10"/>
      <c r="AT7690" s="10"/>
      <c r="AU7690" s="10"/>
      <c r="AV7690" s="10"/>
      <c r="AW7690" s="10"/>
      <c r="AX7690" s="10"/>
      <c r="AY7690" s="10"/>
      <c r="AZ7690" s="10"/>
    </row>
    <row r="7691" spans="31:52">
      <c r="AE7691" s="10"/>
      <c r="AF7691" s="10"/>
      <c r="AG7691" s="10"/>
      <c r="AH7691" s="10"/>
      <c r="AI7691" s="10"/>
      <c r="AJ7691" s="10"/>
      <c r="AK7691" s="10"/>
      <c r="AL7691" s="10"/>
      <c r="AM7691" s="10"/>
      <c r="AN7691" s="10"/>
      <c r="AO7691" s="10"/>
      <c r="AP7691" s="10"/>
      <c r="AQ7691" s="10"/>
      <c r="AR7691" s="10"/>
      <c r="AS7691" s="10"/>
      <c r="AT7691" s="10"/>
      <c r="AU7691" s="10"/>
      <c r="AV7691" s="10"/>
      <c r="AW7691" s="10"/>
      <c r="AX7691" s="10"/>
      <c r="AY7691" s="10"/>
      <c r="AZ7691" s="10"/>
    </row>
    <row r="7692" spans="31:52">
      <c r="AE7692" s="10"/>
      <c r="AF7692" s="10"/>
      <c r="AG7692" s="10"/>
      <c r="AH7692" s="10"/>
      <c r="AI7692" s="10"/>
      <c r="AJ7692" s="10"/>
      <c r="AK7692" s="10"/>
      <c r="AL7692" s="10"/>
      <c r="AM7692" s="10"/>
      <c r="AN7692" s="10"/>
      <c r="AO7692" s="10"/>
      <c r="AP7692" s="10"/>
      <c r="AQ7692" s="10"/>
      <c r="AR7692" s="10"/>
      <c r="AS7692" s="10"/>
      <c r="AT7692" s="10"/>
      <c r="AU7692" s="10"/>
      <c r="AV7692" s="10"/>
      <c r="AW7692" s="10"/>
      <c r="AX7692" s="10"/>
      <c r="AY7692" s="10"/>
      <c r="AZ7692" s="10"/>
    </row>
    <row r="7693" spans="31:52">
      <c r="AE7693" s="10"/>
      <c r="AF7693" s="10"/>
      <c r="AG7693" s="10"/>
      <c r="AH7693" s="10"/>
      <c r="AI7693" s="10"/>
      <c r="AJ7693" s="10"/>
      <c r="AK7693" s="10"/>
      <c r="AL7693" s="10"/>
      <c r="AM7693" s="10"/>
      <c r="AN7693" s="10"/>
      <c r="AO7693" s="10"/>
      <c r="AP7693" s="10"/>
      <c r="AQ7693" s="10"/>
      <c r="AR7693" s="10"/>
      <c r="AS7693" s="10"/>
      <c r="AT7693" s="10"/>
      <c r="AU7693" s="10"/>
      <c r="AV7693" s="10"/>
      <c r="AW7693" s="10"/>
      <c r="AX7693" s="10"/>
      <c r="AY7693" s="10"/>
      <c r="AZ7693" s="10"/>
    </row>
    <row r="7694" spans="31:52">
      <c r="AE7694" s="10"/>
      <c r="AF7694" s="10"/>
      <c r="AG7694" s="10"/>
      <c r="AH7694" s="10"/>
      <c r="AI7694" s="10"/>
      <c r="AJ7694" s="10"/>
      <c r="AK7694" s="10"/>
      <c r="AL7694" s="10"/>
      <c r="AM7694" s="10"/>
      <c r="AN7694" s="10"/>
      <c r="AO7694" s="10"/>
      <c r="AP7694" s="10"/>
      <c r="AQ7694" s="10"/>
      <c r="AR7694" s="10"/>
      <c r="AS7694" s="10"/>
      <c r="AT7694" s="10"/>
      <c r="AU7694" s="10"/>
      <c r="AV7694" s="10"/>
      <c r="AW7694" s="10"/>
      <c r="AX7694" s="10"/>
      <c r="AY7694" s="10"/>
      <c r="AZ7694" s="10"/>
    </row>
    <row r="7695" spans="31:52">
      <c r="AE7695" s="10"/>
      <c r="AF7695" s="10"/>
      <c r="AG7695" s="10"/>
      <c r="AH7695" s="10"/>
      <c r="AI7695" s="10"/>
      <c r="AJ7695" s="10"/>
      <c r="AK7695" s="10"/>
      <c r="AL7695" s="10"/>
      <c r="AM7695" s="10"/>
      <c r="AN7695" s="10"/>
      <c r="AO7695" s="10"/>
      <c r="AP7695" s="10"/>
      <c r="AQ7695" s="10"/>
      <c r="AR7695" s="10"/>
      <c r="AS7695" s="10"/>
      <c r="AT7695" s="10"/>
      <c r="AU7695" s="10"/>
      <c r="AV7695" s="10"/>
      <c r="AW7695" s="10"/>
      <c r="AX7695" s="10"/>
      <c r="AY7695" s="10"/>
      <c r="AZ7695" s="10"/>
    </row>
    <row r="7696" spans="31:52">
      <c r="AE7696" s="10"/>
      <c r="AF7696" s="10"/>
      <c r="AG7696" s="10"/>
      <c r="AH7696" s="10"/>
      <c r="AI7696" s="10"/>
      <c r="AJ7696" s="10"/>
      <c r="AK7696" s="10"/>
      <c r="AL7696" s="10"/>
      <c r="AM7696" s="10"/>
      <c r="AN7696" s="10"/>
      <c r="AO7696" s="10"/>
      <c r="AP7696" s="10"/>
      <c r="AQ7696" s="10"/>
      <c r="AR7696" s="10"/>
      <c r="AS7696" s="10"/>
      <c r="AT7696" s="10"/>
      <c r="AU7696" s="10"/>
      <c r="AV7696" s="10"/>
      <c r="AW7696" s="10"/>
      <c r="AX7696" s="10"/>
      <c r="AY7696" s="10"/>
      <c r="AZ7696" s="10"/>
    </row>
    <row r="7697" spans="31:52">
      <c r="AE7697" s="10"/>
      <c r="AF7697" s="10"/>
      <c r="AG7697" s="10"/>
      <c r="AH7697" s="10"/>
      <c r="AI7697" s="10"/>
      <c r="AJ7697" s="10"/>
      <c r="AK7697" s="10"/>
      <c r="AL7697" s="10"/>
      <c r="AM7697" s="10"/>
      <c r="AN7697" s="10"/>
      <c r="AO7697" s="10"/>
      <c r="AP7697" s="10"/>
      <c r="AQ7697" s="10"/>
      <c r="AR7697" s="10"/>
      <c r="AS7697" s="10"/>
      <c r="AT7697" s="10"/>
      <c r="AU7697" s="10"/>
      <c r="AV7697" s="10"/>
      <c r="AW7697" s="10"/>
      <c r="AX7697" s="10"/>
      <c r="AY7697" s="10"/>
      <c r="AZ7697" s="10"/>
    </row>
    <row r="7698" spans="31:52">
      <c r="AE7698" s="10"/>
      <c r="AF7698" s="10"/>
      <c r="AG7698" s="10"/>
      <c r="AH7698" s="10"/>
      <c r="AI7698" s="10"/>
      <c r="AJ7698" s="10"/>
      <c r="AK7698" s="10"/>
      <c r="AL7698" s="10"/>
      <c r="AM7698" s="10"/>
      <c r="AN7698" s="10"/>
      <c r="AO7698" s="10"/>
      <c r="AP7698" s="10"/>
      <c r="AQ7698" s="10"/>
      <c r="AR7698" s="10"/>
      <c r="AS7698" s="10"/>
      <c r="AT7698" s="10"/>
      <c r="AU7698" s="10"/>
      <c r="AV7698" s="10"/>
      <c r="AW7698" s="10"/>
      <c r="AX7698" s="10"/>
      <c r="AY7698" s="10"/>
      <c r="AZ7698" s="10"/>
    </row>
    <row r="7699" spans="31:52">
      <c r="AE7699" s="10"/>
      <c r="AF7699" s="10"/>
      <c r="AG7699" s="10"/>
      <c r="AH7699" s="10"/>
      <c r="AI7699" s="10"/>
      <c r="AJ7699" s="10"/>
      <c r="AK7699" s="10"/>
      <c r="AL7699" s="10"/>
      <c r="AM7699" s="10"/>
      <c r="AN7699" s="10"/>
      <c r="AO7699" s="10"/>
      <c r="AP7699" s="10"/>
      <c r="AQ7699" s="10"/>
      <c r="AR7699" s="10"/>
      <c r="AS7699" s="10"/>
      <c r="AT7699" s="10"/>
      <c r="AU7699" s="10"/>
      <c r="AV7699" s="10"/>
      <c r="AW7699" s="10"/>
      <c r="AX7699" s="10"/>
      <c r="AY7699" s="10"/>
      <c r="AZ7699" s="10"/>
    </row>
    <row r="7700" spans="31:52">
      <c r="AE7700" s="10"/>
      <c r="AF7700" s="10"/>
      <c r="AG7700" s="10"/>
      <c r="AH7700" s="10"/>
      <c r="AI7700" s="10"/>
      <c r="AJ7700" s="10"/>
      <c r="AK7700" s="10"/>
      <c r="AL7700" s="10"/>
      <c r="AM7700" s="10"/>
      <c r="AN7700" s="10"/>
      <c r="AO7700" s="10"/>
      <c r="AP7700" s="10"/>
      <c r="AQ7700" s="10"/>
      <c r="AR7700" s="10"/>
      <c r="AS7700" s="10"/>
      <c r="AT7700" s="10"/>
      <c r="AU7700" s="10"/>
      <c r="AV7700" s="10"/>
      <c r="AW7700" s="10"/>
      <c r="AX7700" s="10"/>
      <c r="AY7700" s="10"/>
      <c r="AZ7700" s="10"/>
    </row>
    <row r="7701" spans="31:52">
      <c r="AE7701" s="10"/>
      <c r="AF7701" s="10"/>
      <c r="AG7701" s="10"/>
      <c r="AH7701" s="10"/>
      <c r="AI7701" s="10"/>
      <c r="AJ7701" s="10"/>
      <c r="AK7701" s="10"/>
      <c r="AL7701" s="10"/>
      <c r="AM7701" s="10"/>
      <c r="AN7701" s="10"/>
      <c r="AO7701" s="10"/>
      <c r="AP7701" s="10"/>
      <c r="AQ7701" s="10"/>
      <c r="AR7701" s="10"/>
      <c r="AS7701" s="10"/>
      <c r="AT7701" s="10"/>
      <c r="AU7701" s="10"/>
      <c r="AV7701" s="10"/>
      <c r="AW7701" s="10"/>
      <c r="AX7701" s="10"/>
      <c r="AY7701" s="10"/>
      <c r="AZ7701" s="10"/>
    </row>
    <row r="7702" spans="31:52">
      <c r="AE7702" s="10"/>
      <c r="AF7702" s="10"/>
      <c r="AG7702" s="10"/>
      <c r="AH7702" s="10"/>
      <c r="AI7702" s="10"/>
      <c r="AJ7702" s="10"/>
      <c r="AK7702" s="10"/>
      <c r="AL7702" s="10"/>
      <c r="AM7702" s="10"/>
      <c r="AN7702" s="10"/>
      <c r="AO7702" s="10"/>
      <c r="AP7702" s="10"/>
      <c r="AQ7702" s="10"/>
      <c r="AR7702" s="10"/>
      <c r="AS7702" s="10"/>
      <c r="AT7702" s="10"/>
      <c r="AU7702" s="10"/>
      <c r="AV7702" s="10"/>
      <c r="AW7702" s="10"/>
      <c r="AX7702" s="10"/>
      <c r="AY7702" s="10"/>
      <c r="AZ7702" s="10"/>
    </row>
    <row r="7703" spans="31:52">
      <c r="AE7703" s="10"/>
      <c r="AF7703" s="10"/>
      <c r="AG7703" s="10"/>
      <c r="AH7703" s="10"/>
      <c r="AI7703" s="10"/>
      <c r="AJ7703" s="10"/>
      <c r="AK7703" s="10"/>
      <c r="AL7703" s="10"/>
      <c r="AM7703" s="10"/>
      <c r="AN7703" s="10"/>
      <c r="AO7703" s="10"/>
      <c r="AP7703" s="10"/>
      <c r="AQ7703" s="10"/>
      <c r="AR7703" s="10"/>
      <c r="AS7703" s="10"/>
      <c r="AT7703" s="10"/>
      <c r="AU7703" s="10"/>
      <c r="AV7703" s="10"/>
      <c r="AW7703" s="10"/>
      <c r="AX7703" s="10"/>
      <c r="AY7703" s="10"/>
      <c r="AZ7703" s="10"/>
    </row>
    <row r="7704" spans="31:52">
      <c r="AE7704" s="10"/>
      <c r="AF7704" s="10"/>
      <c r="AG7704" s="10"/>
      <c r="AH7704" s="10"/>
      <c r="AI7704" s="10"/>
      <c r="AJ7704" s="10"/>
      <c r="AK7704" s="10"/>
      <c r="AL7704" s="10"/>
      <c r="AM7704" s="10"/>
      <c r="AN7704" s="10"/>
      <c r="AO7704" s="10"/>
      <c r="AP7704" s="10"/>
      <c r="AQ7704" s="10"/>
      <c r="AR7704" s="10"/>
      <c r="AS7704" s="10"/>
      <c r="AT7704" s="10"/>
      <c r="AU7704" s="10"/>
      <c r="AV7704" s="10"/>
      <c r="AW7704" s="10"/>
      <c r="AX7704" s="10"/>
      <c r="AY7704" s="10"/>
      <c r="AZ7704" s="10"/>
    </row>
    <row r="7705" spans="31:52">
      <c r="AE7705" s="10"/>
      <c r="AF7705" s="10"/>
      <c r="AG7705" s="10"/>
      <c r="AH7705" s="10"/>
      <c r="AI7705" s="10"/>
      <c r="AJ7705" s="10"/>
      <c r="AK7705" s="10"/>
      <c r="AL7705" s="10"/>
      <c r="AM7705" s="10"/>
      <c r="AN7705" s="10"/>
      <c r="AO7705" s="10"/>
      <c r="AP7705" s="10"/>
      <c r="AQ7705" s="10"/>
      <c r="AR7705" s="10"/>
      <c r="AS7705" s="10"/>
      <c r="AT7705" s="10"/>
      <c r="AU7705" s="10"/>
      <c r="AV7705" s="10"/>
      <c r="AW7705" s="10"/>
      <c r="AX7705" s="10"/>
      <c r="AY7705" s="10"/>
      <c r="AZ7705" s="10"/>
    </row>
    <row r="7706" spans="31:52">
      <c r="AE7706" s="10"/>
      <c r="AF7706" s="10"/>
      <c r="AG7706" s="10"/>
      <c r="AH7706" s="10"/>
      <c r="AI7706" s="10"/>
      <c r="AJ7706" s="10"/>
      <c r="AK7706" s="10"/>
      <c r="AL7706" s="10"/>
      <c r="AM7706" s="10"/>
      <c r="AN7706" s="10"/>
      <c r="AO7706" s="10"/>
      <c r="AP7706" s="10"/>
      <c r="AQ7706" s="10"/>
      <c r="AR7706" s="10"/>
      <c r="AS7706" s="10"/>
      <c r="AT7706" s="10"/>
      <c r="AU7706" s="10"/>
      <c r="AV7706" s="10"/>
      <c r="AW7706" s="10"/>
      <c r="AX7706" s="10"/>
      <c r="AY7706" s="10"/>
      <c r="AZ7706" s="10"/>
    </row>
    <row r="7707" spans="31:52">
      <c r="AE7707" s="10"/>
      <c r="AF7707" s="10"/>
      <c r="AG7707" s="10"/>
      <c r="AH7707" s="10"/>
      <c r="AI7707" s="10"/>
      <c r="AJ7707" s="10"/>
      <c r="AK7707" s="10"/>
      <c r="AL7707" s="10"/>
      <c r="AM7707" s="10"/>
      <c r="AN7707" s="10"/>
      <c r="AO7707" s="10"/>
      <c r="AP7707" s="10"/>
      <c r="AQ7707" s="10"/>
      <c r="AR7707" s="10"/>
      <c r="AS7707" s="10"/>
      <c r="AT7707" s="10"/>
      <c r="AU7707" s="10"/>
      <c r="AV7707" s="10"/>
      <c r="AW7707" s="10"/>
      <c r="AX7707" s="10"/>
      <c r="AY7707" s="10"/>
      <c r="AZ7707" s="10"/>
    </row>
    <row r="7708" spans="31:52">
      <c r="AE7708" s="10"/>
      <c r="AF7708" s="10"/>
      <c r="AG7708" s="10"/>
      <c r="AH7708" s="10"/>
      <c r="AI7708" s="10"/>
      <c r="AJ7708" s="10"/>
      <c r="AK7708" s="10"/>
      <c r="AL7708" s="10"/>
      <c r="AM7708" s="10"/>
      <c r="AN7708" s="10"/>
      <c r="AO7708" s="10"/>
      <c r="AP7708" s="10"/>
      <c r="AQ7708" s="10"/>
      <c r="AR7708" s="10"/>
      <c r="AS7708" s="10"/>
      <c r="AT7708" s="10"/>
      <c r="AU7708" s="10"/>
      <c r="AV7708" s="10"/>
      <c r="AW7708" s="10"/>
      <c r="AX7708" s="10"/>
      <c r="AY7708" s="10"/>
      <c r="AZ7708" s="10"/>
    </row>
    <row r="7709" spans="31:52">
      <c r="AE7709" s="10"/>
      <c r="AF7709" s="10"/>
      <c r="AG7709" s="10"/>
      <c r="AH7709" s="10"/>
      <c r="AI7709" s="10"/>
      <c r="AJ7709" s="10"/>
      <c r="AK7709" s="10"/>
      <c r="AL7709" s="10"/>
      <c r="AM7709" s="10"/>
      <c r="AN7709" s="10"/>
      <c r="AO7709" s="10"/>
      <c r="AP7709" s="10"/>
      <c r="AQ7709" s="10"/>
      <c r="AR7709" s="10"/>
      <c r="AS7709" s="10"/>
      <c r="AT7709" s="10"/>
      <c r="AU7709" s="10"/>
      <c r="AV7709" s="10"/>
      <c r="AW7709" s="10"/>
      <c r="AX7709" s="10"/>
      <c r="AY7709" s="10"/>
      <c r="AZ7709" s="10"/>
    </row>
    <row r="7710" spans="31:52">
      <c r="AE7710" s="10"/>
      <c r="AF7710" s="10"/>
      <c r="AG7710" s="10"/>
      <c r="AH7710" s="10"/>
      <c r="AI7710" s="10"/>
      <c r="AJ7710" s="10"/>
      <c r="AK7710" s="10"/>
      <c r="AL7710" s="10"/>
      <c r="AM7710" s="10"/>
      <c r="AN7710" s="10"/>
      <c r="AO7710" s="10"/>
      <c r="AP7710" s="10"/>
      <c r="AQ7710" s="10"/>
      <c r="AR7710" s="10"/>
      <c r="AS7710" s="10"/>
      <c r="AT7710" s="10"/>
      <c r="AU7710" s="10"/>
      <c r="AV7710" s="10"/>
      <c r="AW7710" s="10"/>
      <c r="AX7710" s="10"/>
      <c r="AY7710" s="10"/>
      <c r="AZ7710" s="10"/>
    </row>
    <row r="7711" spans="31:52">
      <c r="AE7711" s="10"/>
      <c r="AF7711" s="10"/>
      <c r="AG7711" s="10"/>
      <c r="AH7711" s="10"/>
      <c r="AI7711" s="10"/>
      <c r="AJ7711" s="10"/>
      <c r="AK7711" s="10"/>
      <c r="AL7711" s="10"/>
      <c r="AM7711" s="10"/>
      <c r="AN7711" s="10"/>
      <c r="AO7711" s="10"/>
      <c r="AP7711" s="10"/>
      <c r="AQ7711" s="10"/>
      <c r="AR7711" s="10"/>
      <c r="AS7711" s="10"/>
      <c r="AT7711" s="10"/>
      <c r="AU7711" s="10"/>
      <c r="AV7711" s="10"/>
      <c r="AW7711" s="10"/>
      <c r="AX7711" s="10"/>
      <c r="AY7711" s="10"/>
      <c r="AZ7711" s="10"/>
    </row>
    <row r="7712" spans="31:52">
      <c r="AE7712" s="10"/>
      <c r="AF7712" s="10"/>
      <c r="AG7712" s="10"/>
      <c r="AH7712" s="10"/>
      <c r="AI7712" s="10"/>
      <c r="AJ7712" s="10"/>
      <c r="AK7712" s="10"/>
      <c r="AL7712" s="10"/>
      <c r="AM7712" s="10"/>
      <c r="AN7712" s="10"/>
      <c r="AO7712" s="10"/>
      <c r="AP7712" s="10"/>
      <c r="AQ7712" s="10"/>
      <c r="AR7712" s="10"/>
      <c r="AS7712" s="10"/>
      <c r="AT7712" s="10"/>
      <c r="AU7712" s="10"/>
      <c r="AV7712" s="10"/>
      <c r="AW7712" s="10"/>
      <c r="AX7712" s="10"/>
      <c r="AY7712" s="10"/>
      <c r="AZ7712" s="10"/>
    </row>
    <row r="7713" spans="31:52">
      <c r="AE7713" s="10"/>
      <c r="AF7713" s="10"/>
      <c r="AG7713" s="10"/>
      <c r="AH7713" s="10"/>
      <c r="AI7713" s="10"/>
      <c r="AJ7713" s="10"/>
      <c r="AK7713" s="10"/>
      <c r="AL7713" s="10"/>
      <c r="AM7713" s="10"/>
      <c r="AN7713" s="10"/>
      <c r="AO7713" s="10"/>
      <c r="AP7713" s="10"/>
      <c r="AQ7713" s="10"/>
      <c r="AR7713" s="10"/>
      <c r="AS7713" s="10"/>
      <c r="AT7713" s="10"/>
      <c r="AU7713" s="10"/>
      <c r="AV7713" s="10"/>
      <c r="AW7713" s="10"/>
      <c r="AX7713" s="10"/>
      <c r="AY7713" s="10"/>
      <c r="AZ7713" s="10"/>
    </row>
    <row r="7714" spans="31:52">
      <c r="AE7714" s="10"/>
      <c r="AF7714" s="10"/>
      <c r="AG7714" s="10"/>
      <c r="AH7714" s="10"/>
      <c r="AI7714" s="10"/>
      <c r="AJ7714" s="10"/>
      <c r="AK7714" s="10"/>
      <c r="AL7714" s="10"/>
      <c r="AM7714" s="10"/>
      <c r="AN7714" s="10"/>
      <c r="AO7714" s="10"/>
      <c r="AP7714" s="10"/>
      <c r="AQ7714" s="10"/>
      <c r="AR7714" s="10"/>
      <c r="AS7714" s="10"/>
      <c r="AT7714" s="10"/>
      <c r="AU7714" s="10"/>
      <c r="AV7714" s="10"/>
      <c r="AW7714" s="10"/>
      <c r="AX7714" s="10"/>
      <c r="AY7714" s="10"/>
      <c r="AZ7714" s="10"/>
    </row>
    <row r="7715" spans="31:52">
      <c r="AE7715" s="10"/>
      <c r="AF7715" s="10"/>
      <c r="AG7715" s="10"/>
      <c r="AH7715" s="10"/>
      <c r="AI7715" s="10"/>
      <c r="AJ7715" s="10"/>
      <c r="AK7715" s="10"/>
      <c r="AL7715" s="10"/>
      <c r="AM7715" s="10"/>
      <c r="AN7715" s="10"/>
      <c r="AO7715" s="10"/>
      <c r="AP7715" s="10"/>
      <c r="AQ7715" s="10"/>
      <c r="AR7715" s="10"/>
      <c r="AS7715" s="10"/>
      <c r="AT7715" s="10"/>
      <c r="AU7715" s="10"/>
      <c r="AV7715" s="10"/>
      <c r="AW7715" s="10"/>
      <c r="AX7715" s="10"/>
      <c r="AY7715" s="10"/>
      <c r="AZ7715" s="10"/>
    </row>
    <row r="7716" spans="31:52">
      <c r="AE7716" s="10"/>
      <c r="AF7716" s="10"/>
      <c r="AG7716" s="10"/>
      <c r="AH7716" s="10"/>
      <c r="AI7716" s="10"/>
      <c r="AJ7716" s="10"/>
      <c r="AK7716" s="10"/>
      <c r="AL7716" s="10"/>
      <c r="AM7716" s="10"/>
      <c r="AN7716" s="10"/>
      <c r="AO7716" s="10"/>
      <c r="AP7716" s="10"/>
      <c r="AQ7716" s="10"/>
      <c r="AR7716" s="10"/>
      <c r="AS7716" s="10"/>
      <c r="AT7716" s="10"/>
      <c r="AU7716" s="10"/>
      <c r="AV7716" s="10"/>
      <c r="AW7716" s="10"/>
      <c r="AX7716" s="10"/>
      <c r="AY7716" s="10"/>
      <c r="AZ7716" s="10"/>
    </row>
    <row r="7717" spans="31:52">
      <c r="AE7717" s="10"/>
      <c r="AF7717" s="10"/>
      <c r="AG7717" s="10"/>
      <c r="AH7717" s="10"/>
      <c r="AI7717" s="10"/>
      <c r="AJ7717" s="10"/>
      <c r="AK7717" s="10"/>
      <c r="AL7717" s="10"/>
      <c r="AM7717" s="10"/>
      <c r="AN7717" s="10"/>
      <c r="AO7717" s="10"/>
      <c r="AP7717" s="10"/>
      <c r="AQ7717" s="10"/>
      <c r="AR7717" s="10"/>
      <c r="AS7717" s="10"/>
      <c r="AT7717" s="10"/>
      <c r="AU7717" s="10"/>
      <c r="AV7717" s="10"/>
      <c r="AW7717" s="10"/>
      <c r="AX7717" s="10"/>
      <c r="AY7717" s="10"/>
      <c r="AZ7717" s="10"/>
    </row>
    <row r="7718" spans="31:52">
      <c r="AE7718" s="10"/>
      <c r="AF7718" s="10"/>
      <c r="AG7718" s="10"/>
      <c r="AH7718" s="10"/>
      <c r="AI7718" s="10"/>
      <c r="AJ7718" s="10"/>
      <c r="AK7718" s="10"/>
      <c r="AL7718" s="10"/>
      <c r="AM7718" s="10"/>
      <c r="AN7718" s="10"/>
      <c r="AO7718" s="10"/>
      <c r="AP7718" s="10"/>
      <c r="AQ7718" s="10"/>
      <c r="AR7718" s="10"/>
      <c r="AS7718" s="10"/>
      <c r="AT7718" s="10"/>
      <c r="AU7718" s="10"/>
      <c r="AV7718" s="10"/>
      <c r="AW7718" s="10"/>
      <c r="AX7718" s="10"/>
      <c r="AY7718" s="10"/>
      <c r="AZ7718" s="10"/>
    </row>
    <row r="7719" spans="31:52">
      <c r="AE7719" s="10"/>
      <c r="AF7719" s="10"/>
      <c r="AG7719" s="10"/>
      <c r="AH7719" s="10"/>
      <c r="AI7719" s="10"/>
      <c r="AJ7719" s="10"/>
      <c r="AK7719" s="10"/>
      <c r="AL7719" s="10"/>
      <c r="AM7719" s="10"/>
      <c r="AN7719" s="10"/>
      <c r="AO7719" s="10"/>
      <c r="AP7719" s="10"/>
      <c r="AQ7719" s="10"/>
      <c r="AR7719" s="10"/>
      <c r="AS7719" s="10"/>
      <c r="AT7719" s="10"/>
      <c r="AU7719" s="10"/>
      <c r="AV7719" s="10"/>
      <c r="AW7719" s="10"/>
      <c r="AX7719" s="10"/>
      <c r="AY7719" s="10"/>
      <c r="AZ7719" s="10"/>
    </row>
    <row r="7720" spans="31:52">
      <c r="AE7720" s="10"/>
      <c r="AF7720" s="10"/>
      <c r="AG7720" s="10"/>
      <c r="AH7720" s="10"/>
      <c r="AI7720" s="10"/>
      <c r="AJ7720" s="10"/>
      <c r="AK7720" s="10"/>
      <c r="AL7720" s="10"/>
      <c r="AM7720" s="10"/>
      <c r="AN7720" s="10"/>
      <c r="AO7720" s="10"/>
      <c r="AP7720" s="10"/>
      <c r="AQ7720" s="10"/>
      <c r="AR7720" s="10"/>
      <c r="AS7720" s="10"/>
      <c r="AT7720" s="10"/>
      <c r="AU7720" s="10"/>
      <c r="AV7720" s="10"/>
      <c r="AW7720" s="10"/>
      <c r="AX7720" s="10"/>
      <c r="AY7720" s="10"/>
      <c r="AZ7720" s="10"/>
    </row>
    <row r="7721" spans="31:52">
      <c r="AE7721" s="10"/>
      <c r="AF7721" s="10"/>
      <c r="AG7721" s="10"/>
      <c r="AH7721" s="10"/>
      <c r="AI7721" s="10"/>
      <c r="AJ7721" s="10"/>
      <c r="AK7721" s="10"/>
      <c r="AL7721" s="10"/>
      <c r="AM7721" s="10"/>
      <c r="AN7721" s="10"/>
      <c r="AO7721" s="10"/>
      <c r="AP7721" s="10"/>
      <c r="AQ7721" s="10"/>
      <c r="AR7721" s="10"/>
      <c r="AS7721" s="10"/>
      <c r="AT7721" s="10"/>
      <c r="AU7721" s="10"/>
      <c r="AV7721" s="10"/>
      <c r="AW7721" s="10"/>
      <c r="AX7721" s="10"/>
      <c r="AY7721" s="10"/>
      <c r="AZ7721" s="10"/>
    </row>
    <row r="7722" spans="31:52">
      <c r="AE7722" s="10"/>
      <c r="AF7722" s="10"/>
      <c r="AG7722" s="10"/>
      <c r="AH7722" s="10"/>
      <c r="AI7722" s="10"/>
      <c r="AJ7722" s="10"/>
      <c r="AK7722" s="10"/>
      <c r="AL7722" s="10"/>
      <c r="AM7722" s="10"/>
      <c r="AN7722" s="10"/>
      <c r="AO7722" s="10"/>
      <c r="AP7722" s="10"/>
      <c r="AQ7722" s="10"/>
      <c r="AR7722" s="10"/>
      <c r="AS7722" s="10"/>
      <c r="AT7722" s="10"/>
      <c r="AU7722" s="10"/>
      <c r="AV7722" s="10"/>
      <c r="AW7722" s="10"/>
      <c r="AX7722" s="10"/>
      <c r="AY7722" s="10"/>
      <c r="AZ7722" s="10"/>
    </row>
    <row r="7723" spans="31:52">
      <c r="AE7723" s="10"/>
      <c r="AF7723" s="10"/>
      <c r="AG7723" s="10"/>
      <c r="AH7723" s="10"/>
      <c r="AI7723" s="10"/>
      <c r="AJ7723" s="10"/>
      <c r="AK7723" s="10"/>
      <c r="AL7723" s="10"/>
      <c r="AM7723" s="10"/>
      <c r="AN7723" s="10"/>
      <c r="AO7723" s="10"/>
      <c r="AP7723" s="10"/>
      <c r="AQ7723" s="10"/>
      <c r="AR7723" s="10"/>
      <c r="AS7723" s="10"/>
      <c r="AT7723" s="10"/>
      <c r="AU7723" s="10"/>
      <c r="AV7723" s="10"/>
      <c r="AW7723" s="10"/>
      <c r="AX7723" s="10"/>
      <c r="AY7723" s="10"/>
      <c r="AZ7723" s="10"/>
    </row>
    <row r="7724" spans="31:52">
      <c r="AE7724" s="10"/>
      <c r="AF7724" s="10"/>
      <c r="AG7724" s="10"/>
      <c r="AH7724" s="10"/>
      <c r="AI7724" s="10"/>
      <c r="AJ7724" s="10"/>
      <c r="AK7724" s="10"/>
      <c r="AL7724" s="10"/>
      <c r="AM7724" s="10"/>
      <c r="AN7724" s="10"/>
      <c r="AO7724" s="10"/>
      <c r="AP7724" s="10"/>
      <c r="AQ7724" s="10"/>
      <c r="AR7724" s="10"/>
      <c r="AS7724" s="10"/>
      <c r="AT7724" s="10"/>
      <c r="AU7724" s="10"/>
      <c r="AV7724" s="10"/>
      <c r="AW7724" s="10"/>
      <c r="AX7724" s="10"/>
      <c r="AY7724" s="10"/>
      <c r="AZ7724" s="10"/>
    </row>
    <row r="7725" spans="31:52">
      <c r="AE7725" s="10"/>
      <c r="AF7725" s="10"/>
      <c r="AG7725" s="10"/>
      <c r="AH7725" s="10"/>
      <c r="AI7725" s="10"/>
      <c r="AJ7725" s="10"/>
      <c r="AK7725" s="10"/>
      <c r="AL7725" s="10"/>
      <c r="AM7725" s="10"/>
      <c r="AN7725" s="10"/>
      <c r="AO7725" s="10"/>
      <c r="AP7725" s="10"/>
      <c r="AQ7725" s="10"/>
      <c r="AR7725" s="10"/>
      <c r="AS7725" s="10"/>
      <c r="AT7725" s="10"/>
      <c r="AU7725" s="10"/>
      <c r="AV7725" s="10"/>
      <c r="AW7725" s="10"/>
      <c r="AX7725" s="10"/>
      <c r="AY7725" s="10"/>
      <c r="AZ7725" s="10"/>
    </row>
    <row r="7726" spans="31:52">
      <c r="AE7726" s="10"/>
      <c r="AF7726" s="10"/>
      <c r="AG7726" s="10"/>
      <c r="AH7726" s="10"/>
      <c r="AI7726" s="10"/>
      <c r="AJ7726" s="10"/>
      <c r="AK7726" s="10"/>
      <c r="AL7726" s="10"/>
      <c r="AM7726" s="10"/>
      <c r="AN7726" s="10"/>
      <c r="AO7726" s="10"/>
      <c r="AP7726" s="10"/>
      <c r="AQ7726" s="10"/>
      <c r="AR7726" s="10"/>
      <c r="AS7726" s="10"/>
      <c r="AT7726" s="10"/>
      <c r="AU7726" s="10"/>
      <c r="AV7726" s="10"/>
      <c r="AW7726" s="10"/>
      <c r="AX7726" s="10"/>
      <c r="AY7726" s="10"/>
      <c r="AZ7726" s="10"/>
    </row>
    <row r="7727" spans="31:52">
      <c r="AE7727" s="10"/>
      <c r="AF7727" s="10"/>
      <c r="AG7727" s="10"/>
      <c r="AH7727" s="10"/>
      <c r="AI7727" s="10"/>
      <c r="AJ7727" s="10"/>
      <c r="AK7727" s="10"/>
      <c r="AL7727" s="10"/>
      <c r="AM7727" s="10"/>
      <c r="AN7727" s="10"/>
      <c r="AO7727" s="10"/>
      <c r="AP7727" s="10"/>
      <c r="AQ7727" s="10"/>
      <c r="AR7727" s="10"/>
      <c r="AS7727" s="10"/>
      <c r="AT7727" s="10"/>
      <c r="AU7727" s="10"/>
      <c r="AV7727" s="10"/>
      <c r="AW7727" s="10"/>
      <c r="AX7727" s="10"/>
      <c r="AY7727" s="10"/>
      <c r="AZ7727" s="10"/>
    </row>
    <row r="7728" spans="31:52">
      <c r="AE7728" s="10"/>
      <c r="AF7728" s="10"/>
      <c r="AG7728" s="10"/>
      <c r="AH7728" s="10"/>
      <c r="AI7728" s="10"/>
      <c r="AJ7728" s="10"/>
      <c r="AK7728" s="10"/>
      <c r="AL7728" s="10"/>
      <c r="AM7728" s="10"/>
      <c r="AN7728" s="10"/>
      <c r="AO7728" s="10"/>
      <c r="AP7728" s="10"/>
      <c r="AQ7728" s="10"/>
      <c r="AR7728" s="10"/>
      <c r="AS7728" s="10"/>
      <c r="AT7728" s="10"/>
      <c r="AU7728" s="10"/>
      <c r="AV7728" s="10"/>
      <c r="AW7728" s="10"/>
      <c r="AX7728" s="10"/>
      <c r="AY7728" s="10"/>
      <c r="AZ7728" s="10"/>
    </row>
    <row r="7729" spans="31:52">
      <c r="AE7729" s="10"/>
      <c r="AF7729" s="10"/>
      <c r="AG7729" s="10"/>
      <c r="AH7729" s="10"/>
      <c r="AI7729" s="10"/>
      <c r="AJ7729" s="10"/>
      <c r="AK7729" s="10"/>
      <c r="AL7729" s="10"/>
      <c r="AM7729" s="10"/>
      <c r="AN7729" s="10"/>
      <c r="AO7729" s="10"/>
      <c r="AP7729" s="10"/>
      <c r="AQ7729" s="10"/>
      <c r="AR7729" s="10"/>
      <c r="AS7729" s="10"/>
      <c r="AT7729" s="10"/>
      <c r="AU7729" s="10"/>
      <c r="AV7729" s="10"/>
      <c r="AW7729" s="10"/>
      <c r="AX7729" s="10"/>
      <c r="AY7729" s="10"/>
      <c r="AZ7729" s="10"/>
    </row>
    <row r="7730" spans="31:52">
      <c r="AE7730" s="10"/>
      <c r="AF7730" s="10"/>
      <c r="AG7730" s="10"/>
      <c r="AH7730" s="10"/>
      <c r="AI7730" s="10"/>
      <c r="AJ7730" s="10"/>
      <c r="AK7730" s="10"/>
      <c r="AL7730" s="10"/>
      <c r="AM7730" s="10"/>
      <c r="AN7730" s="10"/>
      <c r="AO7730" s="10"/>
      <c r="AP7730" s="10"/>
      <c r="AQ7730" s="10"/>
      <c r="AR7730" s="10"/>
      <c r="AS7730" s="10"/>
      <c r="AT7730" s="10"/>
      <c r="AU7730" s="10"/>
      <c r="AV7730" s="10"/>
      <c r="AW7730" s="10"/>
      <c r="AX7730" s="10"/>
      <c r="AY7730" s="10"/>
      <c r="AZ7730" s="10"/>
    </row>
    <row r="7731" spans="31:52">
      <c r="AE7731" s="10"/>
      <c r="AF7731" s="10"/>
      <c r="AG7731" s="10"/>
      <c r="AH7731" s="10"/>
      <c r="AI7731" s="10"/>
      <c r="AJ7731" s="10"/>
      <c r="AK7731" s="10"/>
      <c r="AL7731" s="10"/>
      <c r="AM7731" s="10"/>
      <c r="AN7731" s="10"/>
      <c r="AO7731" s="10"/>
      <c r="AP7731" s="10"/>
      <c r="AQ7731" s="10"/>
      <c r="AR7731" s="10"/>
      <c r="AS7731" s="10"/>
      <c r="AT7731" s="10"/>
      <c r="AU7731" s="10"/>
      <c r="AV7731" s="10"/>
      <c r="AW7731" s="10"/>
      <c r="AX7731" s="10"/>
      <c r="AY7731" s="10"/>
      <c r="AZ7731" s="10"/>
    </row>
    <row r="7732" spans="31:52">
      <c r="AE7732" s="10"/>
      <c r="AF7732" s="10"/>
      <c r="AG7732" s="10"/>
      <c r="AH7732" s="10"/>
      <c r="AI7732" s="10"/>
      <c r="AJ7732" s="10"/>
      <c r="AK7732" s="10"/>
      <c r="AL7732" s="10"/>
      <c r="AM7732" s="10"/>
      <c r="AN7732" s="10"/>
      <c r="AO7732" s="10"/>
      <c r="AP7732" s="10"/>
      <c r="AQ7732" s="10"/>
      <c r="AR7732" s="10"/>
      <c r="AS7732" s="10"/>
      <c r="AT7732" s="10"/>
      <c r="AU7732" s="10"/>
      <c r="AV7732" s="10"/>
      <c r="AW7732" s="10"/>
      <c r="AX7732" s="10"/>
      <c r="AY7732" s="10"/>
      <c r="AZ7732" s="10"/>
    </row>
    <row r="7733" spans="31:52">
      <c r="AE7733" s="10"/>
      <c r="AF7733" s="10"/>
      <c r="AG7733" s="10"/>
      <c r="AH7733" s="10"/>
      <c r="AI7733" s="10"/>
      <c r="AJ7733" s="10"/>
      <c r="AK7733" s="10"/>
      <c r="AL7733" s="10"/>
      <c r="AM7733" s="10"/>
      <c r="AN7733" s="10"/>
      <c r="AO7733" s="10"/>
      <c r="AP7733" s="10"/>
      <c r="AQ7733" s="10"/>
      <c r="AR7733" s="10"/>
      <c r="AS7733" s="10"/>
      <c r="AT7733" s="10"/>
      <c r="AU7733" s="10"/>
      <c r="AV7733" s="10"/>
      <c r="AW7733" s="10"/>
      <c r="AX7733" s="10"/>
      <c r="AY7733" s="10"/>
      <c r="AZ7733" s="10"/>
    </row>
    <row r="7734" spans="31:52">
      <c r="AE7734" s="10"/>
      <c r="AF7734" s="10"/>
      <c r="AG7734" s="10"/>
      <c r="AH7734" s="10"/>
      <c r="AI7734" s="10"/>
      <c r="AJ7734" s="10"/>
      <c r="AK7734" s="10"/>
      <c r="AL7734" s="10"/>
      <c r="AM7734" s="10"/>
      <c r="AN7734" s="10"/>
      <c r="AO7734" s="10"/>
      <c r="AP7734" s="10"/>
      <c r="AQ7734" s="10"/>
      <c r="AR7734" s="10"/>
      <c r="AS7734" s="10"/>
      <c r="AT7734" s="10"/>
      <c r="AU7734" s="10"/>
      <c r="AV7734" s="10"/>
      <c r="AW7734" s="10"/>
      <c r="AX7734" s="10"/>
      <c r="AY7734" s="10"/>
      <c r="AZ7734" s="10"/>
    </row>
    <row r="7735" spans="31:52">
      <c r="AE7735" s="10"/>
      <c r="AF7735" s="10"/>
      <c r="AG7735" s="10"/>
      <c r="AH7735" s="10"/>
      <c r="AI7735" s="10"/>
      <c r="AJ7735" s="10"/>
      <c r="AK7735" s="10"/>
      <c r="AL7735" s="10"/>
      <c r="AM7735" s="10"/>
      <c r="AN7735" s="10"/>
      <c r="AO7735" s="10"/>
      <c r="AP7735" s="10"/>
      <c r="AQ7735" s="10"/>
      <c r="AR7735" s="10"/>
      <c r="AS7735" s="10"/>
      <c r="AT7735" s="10"/>
      <c r="AU7735" s="10"/>
      <c r="AV7735" s="10"/>
      <c r="AW7735" s="10"/>
      <c r="AX7735" s="10"/>
      <c r="AY7735" s="10"/>
      <c r="AZ7735" s="10"/>
    </row>
    <row r="7736" spans="31:52">
      <c r="AE7736" s="10"/>
      <c r="AF7736" s="10"/>
      <c r="AG7736" s="10"/>
      <c r="AH7736" s="10"/>
      <c r="AI7736" s="10"/>
      <c r="AJ7736" s="10"/>
      <c r="AK7736" s="10"/>
      <c r="AL7736" s="10"/>
      <c r="AM7736" s="10"/>
      <c r="AN7736" s="10"/>
      <c r="AO7736" s="10"/>
      <c r="AP7736" s="10"/>
      <c r="AQ7736" s="10"/>
      <c r="AR7736" s="10"/>
      <c r="AS7736" s="10"/>
      <c r="AT7736" s="10"/>
      <c r="AU7736" s="10"/>
      <c r="AV7736" s="10"/>
      <c r="AW7736" s="10"/>
      <c r="AX7736" s="10"/>
      <c r="AY7736" s="10"/>
      <c r="AZ7736" s="10"/>
    </row>
    <row r="7737" spans="31:52">
      <c r="AE7737" s="10"/>
      <c r="AF7737" s="10"/>
      <c r="AG7737" s="10"/>
      <c r="AH7737" s="10"/>
      <c r="AI7737" s="10"/>
      <c r="AJ7737" s="10"/>
      <c r="AK7737" s="10"/>
      <c r="AL7737" s="10"/>
      <c r="AM7737" s="10"/>
      <c r="AN7737" s="10"/>
      <c r="AO7737" s="10"/>
      <c r="AP7737" s="10"/>
      <c r="AQ7737" s="10"/>
      <c r="AR7737" s="10"/>
      <c r="AS7737" s="10"/>
      <c r="AT7737" s="10"/>
      <c r="AU7737" s="10"/>
      <c r="AV7737" s="10"/>
      <c r="AW7737" s="10"/>
      <c r="AX7737" s="10"/>
      <c r="AY7737" s="10"/>
      <c r="AZ7737" s="10"/>
    </row>
    <row r="7738" spans="31:52">
      <c r="AE7738" s="10"/>
      <c r="AF7738" s="10"/>
      <c r="AG7738" s="10"/>
      <c r="AH7738" s="10"/>
      <c r="AI7738" s="10"/>
      <c r="AJ7738" s="10"/>
      <c r="AK7738" s="10"/>
      <c r="AL7738" s="10"/>
      <c r="AM7738" s="10"/>
      <c r="AN7738" s="10"/>
      <c r="AO7738" s="10"/>
      <c r="AP7738" s="10"/>
      <c r="AQ7738" s="10"/>
      <c r="AR7738" s="10"/>
      <c r="AS7738" s="10"/>
      <c r="AT7738" s="10"/>
      <c r="AU7738" s="10"/>
      <c r="AV7738" s="10"/>
      <c r="AW7738" s="10"/>
      <c r="AX7738" s="10"/>
      <c r="AY7738" s="10"/>
      <c r="AZ7738" s="10"/>
    </row>
    <row r="7739" spans="31:52">
      <c r="AE7739" s="10"/>
      <c r="AF7739" s="10"/>
      <c r="AG7739" s="10"/>
      <c r="AH7739" s="10"/>
      <c r="AI7739" s="10"/>
      <c r="AJ7739" s="10"/>
      <c r="AK7739" s="10"/>
      <c r="AL7739" s="10"/>
      <c r="AM7739" s="10"/>
      <c r="AN7739" s="10"/>
      <c r="AO7739" s="10"/>
      <c r="AP7739" s="10"/>
      <c r="AQ7739" s="10"/>
      <c r="AR7739" s="10"/>
      <c r="AS7739" s="10"/>
      <c r="AT7739" s="10"/>
      <c r="AU7739" s="10"/>
      <c r="AV7739" s="10"/>
      <c r="AW7739" s="10"/>
      <c r="AX7739" s="10"/>
      <c r="AY7739" s="10"/>
      <c r="AZ7739" s="10"/>
    </row>
    <row r="7740" spans="31:52">
      <c r="AE7740" s="10"/>
      <c r="AF7740" s="10"/>
      <c r="AG7740" s="10"/>
      <c r="AH7740" s="10"/>
      <c r="AI7740" s="10"/>
      <c r="AJ7740" s="10"/>
      <c r="AK7740" s="10"/>
      <c r="AL7740" s="10"/>
      <c r="AM7740" s="10"/>
      <c r="AN7740" s="10"/>
      <c r="AO7740" s="10"/>
      <c r="AP7740" s="10"/>
      <c r="AQ7740" s="10"/>
      <c r="AR7740" s="10"/>
      <c r="AS7740" s="10"/>
      <c r="AT7740" s="10"/>
      <c r="AU7740" s="10"/>
      <c r="AV7740" s="10"/>
      <c r="AW7740" s="10"/>
      <c r="AX7740" s="10"/>
      <c r="AY7740" s="10"/>
      <c r="AZ7740" s="10"/>
    </row>
    <row r="7741" spans="31:52">
      <c r="AE7741" s="10"/>
      <c r="AF7741" s="10"/>
      <c r="AG7741" s="10"/>
      <c r="AH7741" s="10"/>
      <c r="AI7741" s="10"/>
      <c r="AJ7741" s="10"/>
      <c r="AK7741" s="10"/>
      <c r="AL7741" s="10"/>
      <c r="AM7741" s="10"/>
      <c r="AN7741" s="10"/>
      <c r="AO7741" s="10"/>
      <c r="AP7741" s="10"/>
      <c r="AQ7741" s="10"/>
      <c r="AR7741" s="10"/>
      <c r="AS7741" s="10"/>
      <c r="AT7741" s="10"/>
      <c r="AU7741" s="10"/>
      <c r="AV7741" s="10"/>
      <c r="AW7741" s="10"/>
      <c r="AX7741" s="10"/>
      <c r="AY7741" s="10"/>
      <c r="AZ7741" s="10"/>
    </row>
    <row r="7742" spans="31:52">
      <c r="AE7742" s="10"/>
      <c r="AF7742" s="10"/>
      <c r="AG7742" s="10"/>
      <c r="AH7742" s="10"/>
      <c r="AI7742" s="10"/>
      <c r="AJ7742" s="10"/>
      <c r="AK7742" s="10"/>
      <c r="AL7742" s="10"/>
      <c r="AM7742" s="10"/>
      <c r="AN7742" s="10"/>
      <c r="AO7742" s="10"/>
      <c r="AP7742" s="10"/>
      <c r="AQ7742" s="10"/>
      <c r="AR7742" s="10"/>
      <c r="AS7742" s="10"/>
      <c r="AT7742" s="10"/>
      <c r="AU7742" s="10"/>
      <c r="AV7742" s="10"/>
      <c r="AW7742" s="10"/>
      <c r="AX7742" s="10"/>
      <c r="AY7742" s="10"/>
      <c r="AZ7742" s="10"/>
    </row>
    <row r="7743" spans="31:52">
      <c r="AE7743" s="10"/>
      <c r="AF7743" s="10"/>
      <c r="AG7743" s="10"/>
      <c r="AH7743" s="10"/>
      <c r="AI7743" s="10"/>
      <c r="AJ7743" s="10"/>
      <c r="AK7743" s="10"/>
      <c r="AL7743" s="10"/>
      <c r="AM7743" s="10"/>
      <c r="AN7743" s="10"/>
      <c r="AO7743" s="10"/>
      <c r="AP7743" s="10"/>
      <c r="AQ7743" s="10"/>
      <c r="AR7743" s="10"/>
      <c r="AS7743" s="10"/>
      <c r="AT7743" s="10"/>
      <c r="AU7743" s="10"/>
      <c r="AV7743" s="10"/>
      <c r="AW7743" s="10"/>
      <c r="AX7743" s="10"/>
      <c r="AY7743" s="10"/>
      <c r="AZ7743" s="10"/>
    </row>
    <row r="7744" spans="31:52">
      <c r="AE7744" s="10"/>
      <c r="AF7744" s="10"/>
      <c r="AG7744" s="10"/>
      <c r="AH7744" s="10"/>
      <c r="AI7744" s="10"/>
      <c r="AJ7744" s="10"/>
      <c r="AK7744" s="10"/>
      <c r="AL7744" s="10"/>
      <c r="AM7744" s="10"/>
      <c r="AN7744" s="10"/>
      <c r="AO7744" s="10"/>
      <c r="AP7744" s="10"/>
      <c r="AQ7744" s="10"/>
      <c r="AR7744" s="10"/>
      <c r="AS7744" s="10"/>
      <c r="AT7744" s="10"/>
      <c r="AU7744" s="10"/>
      <c r="AV7744" s="10"/>
      <c r="AW7744" s="10"/>
      <c r="AX7744" s="10"/>
      <c r="AY7744" s="10"/>
      <c r="AZ7744" s="10"/>
    </row>
    <row r="7745" spans="31:52">
      <c r="AE7745" s="10"/>
      <c r="AF7745" s="10"/>
      <c r="AG7745" s="10"/>
      <c r="AH7745" s="10"/>
      <c r="AI7745" s="10"/>
      <c r="AJ7745" s="10"/>
      <c r="AK7745" s="10"/>
      <c r="AL7745" s="10"/>
      <c r="AM7745" s="10"/>
      <c r="AN7745" s="10"/>
      <c r="AO7745" s="10"/>
      <c r="AP7745" s="10"/>
      <c r="AQ7745" s="10"/>
      <c r="AR7745" s="10"/>
      <c r="AS7745" s="10"/>
      <c r="AT7745" s="10"/>
      <c r="AU7745" s="10"/>
      <c r="AV7745" s="10"/>
      <c r="AW7745" s="10"/>
      <c r="AX7745" s="10"/>
      <c r="AY7745" s="10"/>
      <c r="AZ7745" s="10"/>
    </row>
    <row r="7746" spans="31:52">
      <c r="AE7746" s="10"/>
      <c r="AF7746" s="10"/>
      <c r="AG7746" s="10"/>
      <c r="AH7746" s="10"/>
      <c r="AI7746" s="10"/>
      <c r="AJ7746" s="10"/>
      <c r="AK7746" s="10"/>
      <c r="AL7746" s="10"/>
      <c r="AM7746" s="10"/>
      <c r="AN7746" s="10"/>
      <c r="AO7746" s="10"/>
      <c r="AP7746" s="10"/>
      <c r="AQ7746" s="10"/>
      <c r="AR7746" s="10"/>
      <c r="AS7746" s="10"/>
      <c r="AT7746" s="10"/>
      <c r="AU7746" s="10"/>
      <c r="AV7746" s="10"/>
      <c r="AW7746" s="10"/>
      <c r="AX7746" s="10"/>
      <c r="AY7746" s="10"/>
      <c r="AZ7746" s="10"/>
    </row>
    <row r="7747" spans="31:52">
      <c r="AE7747" s="10"/>
      <c r="AF7747" s="10"/>
      <c r="AG7747" s="10"/>
      <c r="AH7747" s="10"/>
      <c r="AI7747" s="10"/>
      <c r="AJ7747" s="10"/>
      <c r="AK7747" s="10"/>
      <c r="AL7747" s="10"/>
      <c r="AM7747" s="10"/>
      <c r="AN7747" s="10"/>
      <c r="AO7747" s="10"/>
      <c r="AP7747" s="10"/>
      <c r="AQ7747" s="10"/>
      <c r="AR7747" s="10"/>
      <c r="AS7747" s="10"/>
      <c r="AT7747" s="10"/>
      <c r="AU7747" s="10"/>
      <c r="AV7747" s="10"/>
      <c r="AW7747" s="10"/>
      <c r="AX7747" s="10"/>
      <c r="AY7747" s="10"/>
      <c r="AZ7747" s="10"/>
    </row>
    <row r="7748" spans="31:52">
      <c r="AE7748" s="10"/>
      <c r="AF7748" s="10"/>
      <c r="AG7748" s="10"/>
      <c r="AH7748" s="10"/>
      <c r="AI7748" s="10"/>
      <c r="AJ7748" s="10"/>
      <c r="AK7748" s="10"/>
      <c r="AL7748" s="10"/>
      <c r="AM7748" s="10"/>
      <c r="AN7748" s="10"/>
      <c r="AO7748" s="10"/>
      <c r="AP7748" s="10"/>
      <c r="AQ7748" s="10"/>
      <c r="AR7748" s="10"/>
      <c r="AS7748" s="10"/>
      <c r="AT7748" s="10"/>
      <c r="AU7748" s="10"/>
      <c r="AV7748" s="10"/>
      <c r="AW7748" s="10"/>
      <c r="AX7748" s="10"/>
      <c r="AY7748" s="10"/>
      <c r="AZ7748" s="10"/>
    </row>
    <row r="7749" spans="31:52">
      <c r="AE7749" s="10"/>
      <c r="AF7749" s="10"/>
      <c r="AG7749" s="10"/>
      <c r="AH7749" s="10"/>
      <c r="AI7749" s="10"/>
      <c r="AJ7749" s="10"/>
      <c r="AK7749" s="10"/>
      <c r="AL7749" s="10"/>
      <c r="AM7749" s="10"/>
      <c r="AN7749" s="10"/>
      <c r="AO7749" s="10"/>
      <c r="AP7749" s="10"/>
      <c r="AQ7749" s="10"/>
      <c r="AR7749" s="10"/>
      <c r="AS7749" s="10"/>
      <c r="AT7749" s="10"/>
      <c r="AU7749" s="10"/>
      <c r="AV7749" s="10"/>
      <c r="AW7749" s="10"/>
      <c r="AX7749" s="10"/>
      <c r="AY7749" s="10"/>
      <c r="AZ7749" s="10"/>
    </row>
    <row r="7750" spans="31:52">
      <c r="AE7750" s="10"/>
      <c r="AF7750" s="10"/>
      <c r="AG7750" s="10"/>
      <c r="AH7750" s="10"/>
      <c r="AI7750" s="10"/>
      <c r="AJ7750" s="10"/>
      <c r="AK7750" s="10"/>
      <c r="AL7750" s="10"/>
      <c r="AM7750" s="10"/>
      <c r="AN7750" s="10"/>
      <c r="AO7750" s="10"/>
      <c r="AP7750" s="10"/>
      <c r="AQ7750" s="10"/>
      <c r="AR7750" s="10"/>
      <c r="AS7750" s="10"/>
      <c r="AT7750" s="10"/>
      <c r="AU7750" s="10"/>
      <c r="AV7750" s="10"/>
      <c r="AW7750" s="10"/>
      <c r="AX7750" s="10"/>
      <c r="AY7750" s="10"/>
      <c r="AZ7750" s="10"/>
    </row>
    <row r="7751" spans="31:52">
      <c r="AE7751" s="10"/>
      <c r="AF7751" s="10"/>
      <c r="AG7751" s="10"/>
      <c r="AH7751" s="10"/>
      <c r="AI7751" s="10"/>
      <c r="AJ7751" s="10"/>
      <c r="AK7751" s="10"/>
      <c r="AL7751" s="10"/>
      <c r="AM7751" s="10"/>
      <c r="AN7751" s="10"/>
      <c r="AO7751" s="10"/>
      <c r="AP7751" s="10"/>
      <c r="AQ7751" s="10"/>
      <c r="AR7751" s="10"/>
      <c r="AS7751" s="10"/>
      <c r="AT7751" s="10"/>
      <c r="AU7751" s="10"/>
      <c r="AV7751" s="10"/>
      <c r="AW7751" s="10"/>
      <c r="AX7751" s="10"/>
      <c r="AY7751" s="10"/>
      <c r="AZ7751" s="10"/>
    </row>
    <row r="7752" spans="31:52">
      <c r="AE7752" s="10"/>
      <c r="AF7752" s="10"/>
      <c r="AG7752" s="10"/>
      <c r="AH7752" s="10"/>
      <c r="AI7752" s="10"/>
      <c r="AJ7752" s="10"/>
      <c r="AK7752" s="10"/>
      <c r="AL7752" s="10"/>
      <c r="AM7752" s="10"/>
      <c r="AN7752" s="10"/>
      <c r="AO7752" s="10"/>
      <c r="AP7752" s="10"/>
      <c r="AQ7752" s="10"/>
      <c r="AR7752" s="10"/>
      <c r="AS7752" s="10"/>
      <c r="AT7752" s="10"/>
      <c r="AU7752" s="10"/>
      <c r="AV7752" s="10"/>
      <c r="AW7752" s="10"/>
      <c r="AX7752" s="10"/>
      <c r="AY7752" s="10"/>
      <c r="AZ7752" s="10"/>
    </row>
    <row r="7753" spans="31:52">
      <c r="AE7753" s="10"/>
      <c r="AF7753" s="10"/>
      <c r="AG7753" s="10"/>
      <c r="AH7753" s="10"/>
      <c r="AI7753" s="10"/>
      <c r="AJ7753" s="10"/>
      <c r="AK7753" s="10"/>
      <c r="AL7753" s="10"/>
      <c r="AM7753" s="10"/>
      <c r="AN7753" s="10"/>
      <c r="AO7753" s="10"/>
      <c r="AP7753" s="10"/>
      <c r="AQ7753" s="10"/>
      <c r="AR7753" s="10"/>
      <c r="AS7753" s="10"/>
      <c r="AT7753" s="10"/>
      <c r="AU7753" s="10"/>
      <c r="AV7753" s="10"/>
      <c r="AW7753" s="10"/>
      <c r="AX7753" s="10"/>
      <c r="AY7753" s="10"/>
      <c r="AZ7753" s="10"/>
    </row>
    <row r="7754" spans="31:52">
      <c r="AE7754" s="10"/>
      <c r="AF7754" s="10"/>
      <c r="AG7754" s="10"/>
      <c r="AH7754" s="10"/>
      <c r="AI7754" s="10"/>
      <c r="AJ7754" s="10"/>
      <c r="AK7754" s="10"/>
      <c r="AL7754" s="10"/>
      <c r="AM7754" s="10"/>
      <c r="AN7754" s="10"/>
      <c r="AO7754" s="10"/>
      <c r="AP7754" s="10"/>
      <c r="AQ7754" s="10"/>
      <c r="AR7754" s="10"/>
      <c r="AS7754" s="10"/>
      <c r="AT7754" s="10"/>
      <c r="AU7754" s="10"/>
      <c r="AV7754" s="10"/>
      <c r="AW7754" s="10"/>
      <c r="AX7754" s="10"/>
      <c r="AY7754" s="10"/>
      <c r="AZ7754" s="10"/>
    </row>
    <row r="7755" spans="31:52">
      <c r="AE7755" s="10"/>
      <c r="AF7755" s="10"/>
      <c r="AG7755" s="10"/>
      <c r="AH7755" s="10"/>
      <c r="AI7755" s="10"/>
      <c r="AJ7755" s="10"/>
      <c r="AK7755" s="10"/>
      <c r="AL7755" s="10"/>
      <c r="AM7755" s="10"/>
      <c r="AN7755" s="10"/>
      <c r="AO7755" s="10"/>
      <c r="AP7755" s="10"/>
      <c r="AQ7755" s="10"/>
      <c r="AR7755" s="10"/>
      <c r="AS7755" s="10"/>
      <c r="AT7755" s="10"/>
      <c r="AU7755" s="10"/>
      <c r="AV7755" s="10"/>
      <c r="AW7755" s="10"/>
      <c r="AX7755" s="10"/>
      <c r="AY7755" s="10"/>
      <c r="AZ7755" s="10"/>
    </row>
    <row r="7756" spans="31:52">
      <c r="AE7756" s="10"/>
      <c r="AF7756" s="10"/>
      <c r="AG7756" s="10"/>
      <c r="AH7756" s="10"/>
      <c r="AI7756" s="10"/>
      <c r="AJ7756" s="10"/>
      <c r="AK7756" s="10"/>
      <c r="AL7756" s="10"/>
      <c r="AM7756" s="10"/>
      <c r="AN7756" s="10"/>
      <c r="AO7756" s="10"/>
      <c r="AP7756" s="10"/>
      <c r="AQ7756" s="10"/>
      <c r="AR7756" s="10"/>
      <c r="AS7756" s="10"/>
      <c r="AT7756" s="10"/>
      <c r="AU7756" s="10"/>
      <c r="AV7756" s="10"/>
      <c r="AW7756" s="10"/>
      <c r="AX7756" s="10"/>
      <c r="AY7756" s="10"/>
      <c r="AZ7756" s="10"/>
    </row>
    <row r="7757" spans="31:52">
      <c r="AE7757" s="10"/>
      <c r="AF7757" s="10"/>
      <c r="AG7757" s="10"/>
      <c r="AH7757" s="10"/>
      <c r="AI7757" s="10"/>
      <c r="AJ7757" s="10"/>
      <c r="AK7757" s="10"/>
      <c r="AL7757" s="10"/>
      <c r="AM7757" s="10"/>
      <c r="AN7757" s="10"/>
      <c r="AO7757" s="10"/>
      <c r="AP7757" s="10"/>
      <c r="AQ7757" s="10"/>
      <c r="AR7757" s="10"/>
      <c r="AS7757" s="10"/>
      <c r="AT7757" s="10"/>
      <c r="AU7757" s="10"/>
      <c r="AV7757" s="10"/>
      <c r="AW7757" s="10"/>
      <c r="AX7757" s="10"/>
      <c r="AY7757" s="10"/>
      <c r="AZ7757" s="10"/>
    </row>
    <row r="7758" spans="31:52">
      <c r="AE7758" s="10"/>
      <c r="AF7758" s="10"/>
      <c r="AG7758" s="10"/>
      <c r="AH7758" s="10"/>
      <c r="AI7758" s="10"/>
      <c r="AJ7758" s="10"/>
      <c r="AK7758" s="10"/>
      <c r="AL7758" s="10"/>
      <c r="AM7758" s="10"/>
      <c r="AN7758" s="10"/>
      <c r="AO7758" s="10"/>
      <c r="AP7758" s="10"/>
      <c r="AQ7758" s="10"/>
      <c r="AR7758" s="10"/>
      <c r="AS7758" s="10"/>
      <c r="AT7758" s="10"/>
      <c r="AU7758" s="10"/>
      <c r="AV7758" s="10"/>
      <c r="AW7758" s="10"/>
      <c r="AX7758" s="10"/>
      <c r="AY7758" s="10"/>
      <c r="AZ7758" s="10"/>
    </row>
    <row r="7759" spans="31:52">
      <c r="AE7759" s="10"/>
      <c r="AF7759" s="10"/>
      <c r="AG7759" s="10"/>
      <c r="AH7759" s="10"/>
      <c r="AI7759" s="10"/>
      <c r="AJ7759" s="10"/>
      <c r="AK7759" s="10"/>
      <c r="AL7759" s="10"/>
      <c r="AM7759" s="10"/>
      <c r="AN7759" s="10"/>
      <c r="AO7759" s="10"/>
      <c r="AP7759" s="10"/>
      <c r="AQ7759" s="10"/>
      <c r="AR7759" s="10"/>
      <c r="AS7759" s="10"/>
      <c r="AT7759" s="10"/>
      <c r="AU7759" s="10"/>
      <c r="AV7759" s="10"/>
      <c r="AW7759" s="10"/>
      <c r="AX7759" s="10"/>
      <c r="AY7759" s="10"/>
      <c r="AZ7759" s="10"/>
    </row>
    <row r="7760" spans="31:52">
      <c r="AE7760" s="10"/>
      <c r="AF7760" s="10"/>
      <c r="AG7760" s="10"/>
      <c r="AH7760" s="10"/>
      <c r="AI7760" s="10"/>
      <c r="AJ7760" s="10"/>
      <c r="AK7760" s="10"/>
      <c r="AL7760" s="10"/>
      <c r="AM7760" s="10"/>
      <c r="AN7760" s="10"/>
      <c r="AO7760" s="10"/>
      <c r="AP7760" s="10"/>
      <c r="AQ7760" s="10"/>
      <c r="AR7760" s="10"/>
      <c r="AS7760" s="10"/>
      <c r="AT7760" s="10"/>
      <c r="AU7760" s="10"/>
      <c r="AV7760" s="10"/>
      <c r="AW7760" s="10"/>
      <c r="AX7760" s="10"/>
      <c r="AY7760" s="10"/>
      <c r="AZ7760" s="10"/>
    </row>
    <row r="7761" spans="31:52">
      <c r="AE7761" s="10"/>
      <c r="AF7761" s="10"/>
      <c r="AG7761" s="10"/>
      <c r="AH7761" s="10"/>
      <c r="AI7761" s="10"/>
      <c r="AJ7761" s="10"/>
      <c r="AK7761" s="10"/>
      <c r="AL7761" s="10"/>
      <c r="AM7761" s="10"/>
      <c r="AN7761" s="10"/>
      <c r="AO7761" s="10"/>
      <c r="AP7761" s="10"/>
      <c r="AQ7761" s="10"/>
      <c r="AR7761" s="10"/>
      <c r="AS7761" s="10"/>
      <c r="AT7761" s="10"/>
      <c r="AU7761" s="10"/>
      <c r="AV7761" s="10"/>
      <c r="AW7761" s="10"/>
      <c r="AX7761" s="10"/>
      <c r="AY7761" s="10"/>
      <c r="AZ7761" s="10"/>
    </row>
    <row r="7762" spans="31:52">
      <c r="AE7762" s="10"/>
      <c r="AF7762" s="10"/>
      <c r="AG7762" s="10"/>
      <c r="AH7762" s="10"/>
      <c r="AI7762" s="10"/>
      <c r="AJ7762" s="10"/>
      <c r="AK7762" s="10"/>
      <c r="AL7762" s="10"/>
      <c r="AM7762" s="10"/>
      <c r="AN7762" s="10"/>
      <c r="AO7762" s="10"/>
      <c r="AP7762" s="10"/>
      <c r="AQ7762" s="10"/>
      <c r="AR7762" s="10"/>
      <c r="AS7762" s="10"/>
      <c r="AT7762" s="10"/>
      <c r="AU7762" s="10"/>
      <c r="AV7762" s="10"/>
      <c r="AW7762" s="10"/>
      <c r="AX7762" s="10"/>
      <c r="AY7762" s="10"/>
      <c r="AZ7762" s="10"/>
    </row>
    <row r="7763" spans="31:52">
      <c r="AE7763" s="10"/>
      <c r="AF7763" s="10"/>
      <c r="AG7763" s="10"/>
      <c r="AH7763" s="10"/>
      <c r="AI7763" s="10"/>
      <c r="AJ7763" s="10"/>
      <c r="AK7763" s="10"/>
      <c r="AL7763" s="10"/>
      <c r="AM7763" s="10"/>
      <c r="AN7763" s="10"/>
      <c r="AO7763" s="10"/>
      <c r="AP7763" s="10"/>
      <c r="AQ7763" s="10"/>
      <c r="AR7763" s="10"/>
      <c r="AS7763" s="10"/>
      <c r="AT7763" s="10"/>
      <c r="AU7763" s="10"/>
      <c r="AV7763" s="10"/>
      <c r="AW7763" s="10"/>
      <c r="AX7763" s="10"/>
      <c r="AY7763" s="10"/>
      <c r="AZ7763" s="10"/>
    </row>
    <row r="7764" spans="31:52">
      <c r="AE7764" s="10"/>
      <c r="AF7764" s="10"/>
      <c r="AG7764" s="10"/>
      <c r="AH7764" s="10"/>
      <c r="AI7764" s="10"/>
      <c r="AJ7764" s="10"/>
      <c r="AK7764" s="10"/>
      <c r="AL7764" s="10"/>
      <c r="AM7764" s="10"/>
      <c r="AN7764" s="10"/>
      <c r="AO7764" s="10"/>
      <c r="AP7764" s="10"/>
      <c r="AQ7764" s="10"/>
      <c r="AR7764" s="10"/>
      <c r="AS7764" s="10"/>
      <c r="AT7764" s="10"/>
      <c r="AU7764" s="10"/>
      <c r="AV7764" s="10"/>
      <c r="AW7764" s="10"/>
      <c r="AX7764" s="10"/>
      <c r="AY7764" s="10"/>
      <c r="AZ7764" s="10"/>
    </row>
    <row r="7765" spans="31:52">
      <c r="AE7765" s="10"/>
      <c r="AF7765" s="10"/>
      <c r="AG7765" s="10"/>
      <c r="AH7765" s="10"/>
      <c r="AI7765" s="10"/>
      <c r="AJ7765" s="10"/>
      <c r="AK7765" s="10"/>
      <c r="AL7765" s="10"/>
      <c r="AM7765" s="10"/>
      <c r="AN7765" s="10"/>
      <c r="AO7765" s="10"/>
      <c r="AP7765" s="10"/>
      <c r="AQ7765" s="10"/>
      <c r="AR7765" s="10"/>
      <c r="AS7765" s="10"/>
      <c r="AT7765" s="10"/>
      <c r="AU7765" s="10"/>
      <c r="AV7765" s="10"/>
      <c r="AW7765" s="10"/>
      <c r="AX7765" s="10"/>
      <c r="AY7765" s="10"/>
      <c r="AZ7765" s="10"/>
    </row>
    <row r="7766" spans="31:52">
      <c r="AE7766" s="10"/>
      <c r="AF7766" s="10"/>
      <c r="AG7766" s="10"/>
      <c r="AH7766" s="10"/>
      <c r="AI7766" s="10"/>
      <c r="AJ7766" s="10"/>
      <c r="AK7766" s="10"/>
      <c r="AL7766" s="10"/>
      <c r="AM7766" s="10"/>
      <c r="AN7766" s="10"/>
      <c r="AO7766" s="10"/>
      <c r="AP7766" s="10"/>
      <c r="AQ7766" s="10"/>
      <c r="AR7766" s="10"/>
      <c r="AS7766" s="10"/>
      <c r="AT7766" s="10"/>
      <c r="AU7766" s="10"/>
      <c r="AV7766" s="10"/>
      <c r="AW7766" s="10"/>
      <c r="AX7766" s="10"/>
      <c r="AY7766" s="10"/>
      <c r="AZ7766" s="10"/>
    </row>
    <row r="7767" spans="31:52">
      <c r="AE7767" s="10"/>
      <c r="AF7767" s="10"/>
      <c r="AG7767" s="10"/>
      <c r="AH7767" s="10"/>
      <c r="AI7767" s="10"/>
      <c r="AJ7767" s="10"/>
      <c r="AK7767" s="10"/>
      <c r="AL7767" s="10"/>
      <c r="AM7767" s="10"/>
      <c r="AN7767" s="10"/>
      <c r="AO7767" s="10"/>
      <c r="AP7767" s="10"/>
      <c r="AQ7767" s="10"/>
      <c r="AR7767" s="10"/>
      <c r="AS7767" s="10"/>
      <c r="AT7767" s="10"/>
      <c r="AU7767" s="10"/>
      <c r="AV7767" s="10"/>
      <c r="AW7767" s="10"/>
      <c r="AX7767" s="10"/>
      <c r="AY7767" s="10"/>
      <c r="AZ7767" s="10"/>
    </row>
    <row r="7768" spans="31:52">
      <c r="AE7768" s="10"/>
      <c r="AF7768" s="10"/>
      <c r="AG7768" s="10"/>
      <c r="AH7768" s="10"/>
      <c r="AI7768" s="10"/>
      <c r="AJ7768" s="10"/>
      <c r="AK7768" s="10"/>
      <c r="AL7768" s="10"/>
      <c r="AM7768" s="10"/>
      <c r="AN7768" s="10"/>
      <c r="AO7768" s="10"/>
      <c r="AP7768" s="10"/>
      <c r="AQ7768" s="10"/>
      <c r="AR7768" s="10"/>
      <c r="AS7768" s="10"/>
      <c r="AT7768" s="10"/>
      <c r="AU7768" s="10"/>
      <c r="AV7768" s="10"/>
      <c r="AW7768" s="10"/>
      <c r="AX7768" s="10"/>
      <c r="AY7768" s="10"/>
      <c r="AZ7768" s="10"/>
    </row>
    <row r="7769" spans="31:52">
      <c r="AE7769" s="10"/>
      <c r="AF7769" s="10"/>
      <c r="AG7769" s="10"/>
      <c r="AH7769" s="10"/>
      <c r="AI7769" s="10"/>
      <c r="AJ7769" s="10"/>
      <c r="AK7769" s="10"/>
      <c r="AL7769" s="10"/>
      <c r="AM7769" s="10"/>
      <c r="AN7769" s="10"/>
      <c r="AO7769" s="10"/>
      <c r="AP7769" s="10"/>
      <c r="AQ7769" s="10"/>
      <c r="AR7769" s="10"/>
      <c r="AS7769" s="10"/>
      <c r="AT7769" s="10"/>
      <c r="AU7769" s="10"/>
      <c r="AV7769" s="10"/>
      <c r="AW7769" s="10"/>
      <c r="AX7769" s="10"/>
      <c r="AY7769" s="10"/>
      <c r="AZ7769" s="10"/>
    </row>
    <row r="7770" spans="31:52">
      <c r="AE7770" s="10"/>
      <c r="AF7770" s="10"/>
      <c r="AG7770" s="10"/>
      <c r="AH7770" s="10"/>
      <c r="AI7770" s="10"/>
      <c r="AJ7770" s="10"/>
      <c r="AK7770" s="10"/>
      <c r="AL7770" s="10"/>
      <c r="AM7770" s="10"/>
      <c r="AN7770" s="10"/>
      <c r="AO7770" s="10"/>
      <c r="AP7770" s="10"/>
      <c r="AQ7770" s="10"/>
      <c r="AR7770" s="10"/>
      <c r="AS7770" s="10"/>
      <c r="AT7770" s="10"/>
      <c r="AU7770" s="10"/>
      <c r="AV7770" s="10"/>
      <c r="AW7770" s="10"/>
      <c r="AX7770" s="10"/>
      <c r="AY7770" s="10"/>
      <c r="AZ7770" s="10"/>
    </row>
    <row r="7771" spans="31:52">
      <c r="AE7771" s="10"/>
      <c r="AF7771" s="10"/>
      <c r="AG7771" s="10"/>
      <c r="AH7771" s="10"/>
      <c r="AI7771" s="10"/>
      <c r="AJ7771" s="10"/>
      <c r="AK7771" s="10"/>
      <c r="AL7771" s="10"/>
      <c r="AM7771" s="10"/>
      <c r="AN7771" s="10"/>
      <c r="AO7771" s="10"/>
      <c r="AP7771" s="10"/>
      <c r="AQ7771" s="10"/>
      <c r="AR7771" s="10"/>
      <c r="AS7771" s="10"/>
      <c r="AT7771" s="10"/>
      <c r="AU7771" s="10"/>
      <c r="AV7771" s="10"/>
      <c r="AW7771" s="10"/>
      <c r="AX7771" s="10"/>
      <c r="AY7771" s="10"/>
      <c r="AZ7771" s="10"/>
    </row>
    <row r="7772" spans="31:52">
      <c r="AE7772" s="10"/>
      <c r="AF7772" s="10"/>
      <c r="AG7772" s="10"/>
      <c r="AH7772" s="10"/>
      <c r="AI7772" s="10"/>
      <c r="AJ7772" s="10"/>
      <c r="AK7772" s="10"/>
      <c r="AL7772" s="10"/>
      <c r="AM7772" s="10"/>
      <c r="AN7772" s="10"/>
      <c r="AO7772" s="10"/>
      <c r="AP7772" s="10"/>
      <c r="AQ7772" s="10"/>
      <c r="AR7772" s="10"/>
      <c r="AS7772" s="10"/>
      <c r="AT7772" s="10"/>
      <c r="AU7772" s="10"/>
      <c r="AV7772" s="10"/>
      <c r="AW7772" s="10"/>
      <c r="AX7772" s="10"/>
      <c r="AY7772" s="10"/>
      <c r="AZ7772" s="10"/>
    </row>
    <row r="7773" spans="31:52">
      <c r="AE7773" s="10"/>
      <c r="AF7773" s="10"/>
      <c r="AG7773" s="10"/>
      <c r="AH7773" s="10"/>
      <c r="AI7773" s="10"/>
      <c r="AJ7773" s="10"/>
      <c r="AK7773" s="10"/>
      <c r="AL7773" s="10"/>
      <c r="AM7773" s="10"/>
      <c r="AN7773" s="10"/>
      <c r="AO7773" s="10"/>
      <c r="AP7773" s="10"/>
      <c r="AQ7773" s="10"/>
      <c r="AR7773" s="10"/>
      <c r="AS7773" s="10"/>
      <c r="AT7773" s="10"/>
      <c r="AU7773" s="10"/>
      <c r="AV7773" s="10"/>
      <c r="AW7773" s="10"/>
      <c r="AX7773" s="10"/>
      <c r="AY7773" s="10"/>
      <c r="AZ7773" s="10"/>
    </row>
    <row r="7774" spans="31:52">
      <c r="AE7774" s="10"/>
      <c r="AF7774" s="10"/>
      <c r="AG7774" s="10"/>
      <c r="AH7774" s="10"/>
      <c r="AI7774" s="10"/>
      <c r="AJ7774" s="10"/>
      <c r="AK7774" s="10"/>
      <c r="AL7774" s="10"/>
      <c r="AM7774" s="10"/>
      <c r="AN7774" s="10"/>
      <c r="AO7774" s="10"/>
      <c r="AP7774" s="10"/>
      <c r="AQ7774" s="10"/>
      <c r="AR7774" s="10"/>
      <c r="AS7774" s="10"/>
      <c r="AT7774" s="10"/>
      <c r="AU7774" s="10"/>
      <c r="AV7774" s="10"/>
      <c r="AW7774" s="10"/>
      <c r="AX7774" s="10"/>
      <c r="AY7774" s="10"/>
      <c r="AZ7774" s="10"/>
    </row>
    <row r="7775" spans="31:52">
      <c r="AE7775" s="10"/>
      <c r="AF7775" s="10"/>
      <c r="AG7775" s="10"/>
      <c r="AH7775" s="10"/>
      <c r="AI7775" s="10"/>
      <c r="AJ7775" s="10"/>
      <c r="AK7775" s="10"/>
      <c r="AL7775" s="10"/>
      <c r="AM7775" s="10"/>
      <c r="AN7775" s="10"/>
      <c r="AO7775" s="10"/>
      <c r="AP7775" s="10"/>
      <c r="AQ7775" s="10"/>
      <c r="AR7775" s="10"/>
      <c r="AS7775" s="10"/>
      <c r="AT7775" s="10"/>
      <c r="AU7775" s="10"/>
      <c r="AV7775" s="10"/>
      <c r="AW7775" s="10"/>
      <c r="AX7775" s="10"/>
      <c r="AY7775" s="10"/>
      <c r="AZ7775" s="10"/>
    </row>
    <row r="7776" spans="31:52">
      <c r="AE7776" s="10"/>
      <c r="AF7776" s="10"/>
      <c r="AG7776" s="10"/>
      <c r="AH7776" s="10"/>
      <c r="AI7776" s="10"/>
      <c r="AJ7776" s="10"/>
      <c r="AK7776" s="10"/>
      <c r="AL7776" s="10"/>
      <c r="AM7776" s="10"/>
      <c r="AN7776" s="10"/>
      <c r="AO7776" s="10"/>
      <c r="AP7776" s="10"/>
      <c r="AQ7776" s="10"/>
      <c r="AR7776" s="10"/>
      <c r="AS7776" s="10"/>
      <c r="AT7776" s="10"/>
      <c r="AU7776" s="10"/>
      <c r="AV7776" s="10"/>
      <c r="AW7776" s="10"/>
      <c r="AX7776" s="10"/>
      <c r="AY7776" s="10"/>
      <c r="AZ7776" s="10"/>
    </row>
    <row r="7777" spans="31:52">
      <c r="AE7777" s="10"/>
      <c r="AF7777" s="10"/>
      <c r="AG7777" s="10"/>
      <c r="AH7777" s="10"/>
      <c r="AI7777" s="10"/>
      <c r="AJ7777" s="10"/>
      <c r="AK7777" s="10"/>
      <c r="AL7777" s="10"/>
      <c r="AM7777" s="10"/>
      <c r="AN7777" s="10"/>
      <c r="AO7777" s="10"/>
      <c r="AP7777" s="10"/>
      <c r="AQ7777" s="10"/>
      <c r="AR7777" s="10"/>
      <c r="AS7777" s="10"/>
      <c r="AT7777" s="10"/>
      <c r="AU7777" s="10"/>
      <c r="AV7777" s="10"/>
      <c r="AW7777" s="10"/>
      <c r="AX7777" s="10"/>
      <c r="AY7777" s="10"/>
      <c r="AZ7777" s="10"/>
    </row>
    <row r="7778" spans="31:52">
      <c r="AE7778" s="10"/>
      <c r="AF7778" s="10"/>
      <c r="AG7778" s="10"/>
      <c r="AH7778" s="10"/>
      <c r="AI7778" s="10"/>
      <c r="AJ7778" s="10"/>
      <c r="AK7778" s="10"/>
      <c r="AL7778" s="10"/>
      <c r="AM7778" s="10"/>
      <c r="AN7778" s="10"/>
      <c r="AO7778" s="10"/>
      <c r="AP7778" s="10"/>
      <c r="AQ7778" s="10"/>
      <c r="AR7778" s="10"/>
      <c r="AS7778" s="10"/>
      <c r="AT7778" s="10"/>
      <c r="AU7778" s="10"/>
      <c r="AV7778" s="10"/>
      <c r="AW7778" s="10"/>
      <c r="AX7778" s="10"/>
      <c r="AY7778" s="10"/>
      <c r="AZ7778" s="10"/>
    </row>
    <row r="7779" spans="31:52">
      <c r="AE7779" s="10"/>
      <c r="AF7779" s="10"/>
      <c r="AG7779" s="10"/>
      <c r="AH7779" s="10"/>
      <c r="AI7779" s="10"/>
      <c r="AJ7779" s="10"/>
      <c r="AK7779" s="10"/>
      <c r="AL7779" s="10"/>
      <c r="AM7779" s="10"/>
      <c r="AN7779" s="10"/>
      <c r="AO7779" s="10"/>
      <c r="AP7779" s="10"/>
      <c r="AQ7779" s="10"/>
      <c r="AR7779" s="10"/>
      <c r="AS7779" s="10"/>
      <c r="AT7779" s="10"/>
      <c r="AU7779" s="10"/>
      <c r="AV7779" s="10"/>
      <c r="AW7779" s="10"/>
      <c r="AX7779" s="10"/>
      <c r="AY7779" s="10"/>
      <c r="AZ7779" s="10"/>
    </row>
    <row r="7780" spans="31:52">
      <c r="AE7780" s="10"/>
      <c r="AF7780" s="10"/>
      <c r="AG7780" s="10"/>
      <c r="AH7780" s="10"/>
      <c r="AI7780" s="10"/>
      <c r="AJ7780" s="10"/>
      <c r="AK7780" s="10"/>
      <c r="AL7780" s="10"/>
      <c r="AM7780" s="10"/>
      <c r="AN7780" s="10"/>
      <c r="AO7780" s="10"/>
      <c r="AP7780" s="10"/>
      <c r="AQ7780" s="10"/>
      <c r="AR7780" s="10"/>
      <c r="AS7780" s="10"/>
      <c r="AT7780" s="10"/>
      <c r="AU7780" s="10"/>
      <c r="AV7780" s="10"/>
      <c r="AW7780" s="10"/>
      <c r="AX7780" s="10"/>
      <c r="AY7780" s="10"/>
      <c r="AZ7780" s="10"/>
    </row>
    <row r="7781" spans="31:52">
      <c r="AE7781" s="10"/>
      <c r="AF7781" s="10"/>
      <c r="AG7781" s="10"/>
      <c r="AH7781" s="10"/>
      <c r="AI7781" s="10"/>
      <c r="AJ7781" s="10"/>
      <c r="AK7781" s="10"/>
      <c r="AL7781" s="10"/>
      <c r="AM7781" s="10"/>
      <c r="AN7781" s="10"/>
      <c r="AO7781" s="10"/>
      <c r="AP7781" s="10"/>
      <c r="AQ7781" s="10"/>
      <c r="AR7781" s="10"/>
      <c r="AS7781" s="10"/>
      <c r="AT7781" s="10"/>
      <c r="AU7781" s="10"/>
      <c r="AV7781" s="10"/>
      <c r="AW7781" s="10"/>
      <c r="AX7781" s="10"/>
      <c r="AY7781" s="10"/>
      <c r="AZ7781" s="10"/>
    </row>
    <row r="7782" spans="31:52">
      <c r="AE7782" s="10"/>
      <c r="AF7782" s="10"/>
      <c r="AG7782" s="10"/>
      <c r="AH7782" s="10"/>
      <c r="AI7782" s="10"/>
      <c r="AJ7782" s="10"/>
      <c r="AK7782" s="10"/>
      <c r="AL7782" s="10"/>
      <c r="AM7782" s="10"/>
      <c r="AN7782" s="10"/>
      <c r="AO7782" s="10"/>
      <c r="AP7782" s="10"/>
      <c r="AQ7782" s="10"/>
      <c r="AR7782" s="10"/>
      <c r="AS7782" s="10"/>
      <c r="AT7782" s="10"/>
      <c r="AU7782" s="10"/>
      <c r="AV7782" s="10"/>
      <c r="AW7782" s="10"/>
      <c r="AX7782" s="10"/>
      <c r="AY7782" s="10"/>
      <c r="AZ7782" s="10"/>
    </row>
    <row r="7783" spans="31:52">
      <c r="AE7783" s="10"/>
      <c r="AF7783" s="10"/>
      <c r="AG7783" s="10"/>
      <c r="AH7783" s="10"/>
      <c r="AI7783" s="10"/>
      <c r="AJ7783" s="10"/>
      <c r="AK7783" s="10"/>
      <c r="AL7783" s="10"/>
      <c r="AM7783" s="10"/>
      <c r="AN7783" s="10"/>
      <c r="AO7783" s="10"/>
      <c r="AP7783" s="10"/>
      <c r="AQ7783" s="10"/>
      <c r="AR7783" s="10"/>
      <c r="AS7783" s="10"/>
      <c r="AT7783" s="10"/>
      <c r="AU7783" s="10"/>
      <c r="AV7783" s="10"/>
      <c r="AW7783" s="10"/>
      <c r="AX7783" s="10"/>
      <c r="AY7783" s="10"/>
      <c r="AZ7783" s="10"/>
    </row>
    <row r="7784" spans="31:52">
      <c r="AE7784" s="10"/>
      <c r="AF7784" s="10"/>
      <c r="AG7784" s="10"/>
      <c r="AH7784" s="10"/>
      <c r="AI7784" s="10"/>
      <c r="AJ7784" s="10"/>
      <c r="AK7784" s="10"/>
      <c r="AL7784" s="10"/>
      <c r="AM7784" s="10"/>
      <c r="AN7784" s="10"/>
      <c r="AO7784" s="10"/>
      <c r="AP7784" s="10"/>
      <c r="AQ7784" s="10"/>
      <c r="AR7784" s="10"/>
      <c r="AS7784" s="10"/>
      <c r="AT7784" s="10"/>
      <c r="AU7784" s="10"/>
      <c r="AV7784" s="10"/>
      <c r="AW7784" s="10"/>
      <c r="AX7784" s="10"/>
      <c r="AY7784" s="10"/>
      <c r="AZ7784" s="10"/>
    </row>
    <row r="7785" spans="31:52">
      <c r="AE7785" s="10"/>
      <c r="AF7785" s="10"/>
      <c r="AG7785" s="10"/>
      <c r="AH7785" s="10"/>
      <c r="AI7785" s="10"/>
      <c r="AJ7785" s="10"/>
      <c r="AK7785" s="10"/>
      <c r="AL7785" s="10"/>
      <c r="AM7785" s="10"/>
      <c r="AN7785" s="10"/>
      <c r="AO7785" s="10"/>
      <c r="AP7785" s="10"/>
      <c r="AQ7785" s="10"/>
      <c r="AR7785" s="10"/>
      <c r="AS7785" s="10"/>
      <c r="AT7785" s="10"/>
      <c r="AU7785" s="10"/>
      <c r="AV7785" s="10"/>
      <c r="AW7785" s="10"/>
      <c r="AX7785" s="10"/>
      <c r="AY7785" s="10"/>
      <c r="AZ7785" s="10"/>
    </row>
    <row r="7786" spans="31:52">
      <c r="AE7786" s="10"/>
      <c r="AF7786" s="10"/>
      <c r="AG7786" s="10"/>
      <c r="AH7786" s="10"/>
      <c r="AI7786" s="10"/>
      <c r="AJ7786" s="10"/>
      <c r="AK7786" s="10"/>
      <c r="AL7786" s="10"/>
      <c r="AM7786" s="10"/>
      <c r="AN7786" s="10"/>
      <c r="AO7786" s="10"/>
      <c r="AP7786" s="10"/>
      <c r="AQ7786" s="10"/>
      <c r="AR7786" s="10"/>
      <c r="AS7786" s="10"/>
      <c r="AT7786" s="10"/>
      <c r="AU7786" s="10"/>
      <c r="AV7786" s="10"/>
      <c r="AW7786" s="10"/>
      <c r="AX7786" s="10"/>
      <c r="AY7786" s="10"/>
      <c r="AZ7786" s="10"/>
    </row>
    <row r="7787" spans="31:52">
      <c r="AE7787" s="10"/>
      <c r="AF7787" s="10"/>
      <c r="AG7787" s="10"/>
      <c r="AH7787" s="10"/>
      <c r="AI7787" s="10"/>
      <c r="AJ7787" s="10"/>
      <c r="AK7787" s="10"/>
      <c r="AL7787" s="10"/>
      <c r="AM7787" s="10"/>
      <c r="AN7787" s="10"/>
      <c r="AO7787" s="10"/>
      <c r="AP7787" s="10"/>
      <c r="AQ7787" s="10"/>
      <c r="AR7787" s="10"/>
      <c r="AS7787" s="10"/>
      <c r="AT7787" s="10"/>
      <c r="AU7787" s="10"/>
      <c r="AV7787" s="10"/>
      <c r="AW7787" s="10"/>
      <c r="AX7787" s="10"/>
      <c r="AY7787" s="10"/>
      <c r="AZ7787" s="10"/>
    </row>
    <row r="7788" spans="31:52">
      <c r="AE7788" s="10"/>
      <c r="AF7788" s="10"/>
      <c r="AG7788" s="10"/>
      <c r="AH7788" s="10"/>
      <c r="AI7788" s="10"/>
      <c r="AJ7788" s="10"/>
      <c r="AK7788" s="10"/>
      <c r="AL7788" s="10"/>
      <c r="AM7788" s="10"/>
      <c r="AN7788" s="10"/>
      <c r="AO7788" s="10"/>
      <c r="AP7788" s="10"/>
      <c r="AQ7788" s="10"/>
      <c r="AR7788" s="10"/>
      <c r="AS7788" s="10"/>
      <c r="AT7788" s="10"/>
      <c r="AU7788" s="10"/>
      <c r="AV7788" s="10"/>
      <c r="AW7788" s="10"/>
      <c r="AX7788" s="10"/>
      <c r="AY7788" s="10"/>
      <c r="AZ7788" s="10"/>
    </row>
    <row r="7789" spans="31:52">
      <c r="AE7789" s="10"/>
      <c r="AF7789" s="10"/>
      <c r="AG7789" s="10"/>
      <c r="AH7789" s="10"/>
      <c r="AI7789" s="10"/>
      <c r="AJ7789" s="10"/>
      <c r="AK7789" s="10"/>
      <c r="AL7789" s="10"/>
      <c r="AM7789" s="10"/>
      <c r="AN7789" s="10"/>
      <c r="AO7789" s="10"/>
      <c r="AP7789" s="10"/>
      <c r="AQ7789" s="10"/>
      <c r="AR7789" s="10"/>
      <c r="AS7789" s="10"/>
      <c r="AT7789" s="10"/>
      <c r="AU7789" s="10"/>
      <c r="AV7789" s="10"/>
      <c r="AW7789" s="10"/>
      <c r="AX7789" s="10"/>
      <c r="AY7789" s="10"/>
      <c r="AZ7789" s="10"/>
    </row>
    <row r="7790" spans="31:52">
      <c r="AE7790" s="10"/>
      <c r="AF7790" s="10"/>
      <c r="AG7790" s="10"/>
      <c r="AH7790" s="10"/>
      <c r="AI7790" s="10"/>
      <c r="AJ7790" s="10"/>
      <c r="AK7790" s="10"/>
      <c r="AL7790" s="10"/>
      <c r="AM7790" s="10"/>
      <c r="AN7790" s="10"/>
      <c r="AO7790" s="10"/>
      <c r="AP7790" s="10"/>
      <c r="AQ7790" s="10"/>
      <c r="AR7790" s="10"/>
      <c r="AS7790" s="10"/>
      <c r="AT7790" s="10"/>
      <c r="AU7790" s="10"/>
      <c r="AV7790" s="10"/>
      <c r="AW7790" s="10"/>
      <c r="AX7790" s="10"/>
      <c r="AY7790" s="10"/>
      <c r="AZ7790" s="10"/>
    </row>
    <row r="7791" spans="31:52">
      <c r="AE7791" s="10"/>
      <c r="AF7791" s="10"/>
      <c r="AG7791" s="10"/>
      <c r="AH7791" s="10"/>
      <c r="AI7791" s="10"/>
      <c r="AJ7791" s="10"/>
      <c r="AK7791" s="10"/>
      <c r="AL7791" s="10"/>
      <c r="AM7791" s="10"/>
      <c r="AN7791" s="10"/>
      <c r="AO7791" s="10"/>
      <c r="AP7791" s="10"/>
      <c r="AQ7791" s="10"/>
      <c r="AR7791" s="10"/>
      <c r="AS7791" s="10"/>
      <c r="AT7791" s="10"/>
      <c r="AU7791" s="10"/>
      <c r="AV7791" s="10"/>
      <c r="AW7791" s="10"/>
      <c r="AX7791" s="10"/>
      <c r="AY7791" s="10"/>
      <c r="AZ7791" s="10"/>
    </row>
    <row r="7792" spans="31:52">
      <c r="AE7792" s="10"/>
      <c r="AF7792" s="10"/>
      <c r="AG7792" s="10"/>
      <c r="AH7792" s="10"/>
      <c r="AI7792" s="10"/>
      <c r="AJ7792" s="10"/>
      <c r="AK7792" s="10"/>
      <c r="AL7792" s="10"/>
      <c r="AM7792" s="10"/>
      <c r="AN7792" s="10"/>
      <c r="AO7792" s="10"/>
      <c r="AP7792" s="10"/>
      <c r="AQ7792" s="10"/>
      <c r="AR7792" s="10"/>
      <c r="AS7792" s="10"/>
      <c r="AT7792" s="10"/>
      <c r="AU7792" s="10"/>
      <c r="AV7792" s="10"/>
      <c r="AW7792" s="10"/>
      <c r="AX7792" s="10"/>
      <c r="AY7792" s="10"/>
      <c r="AZ7792" s="10"/>
    </row>
    <row r="7793" spans="31:52">
      <c r="AE7793" s="10"/>
      <c r="AF7793" s="10"/>
      <c r="AG7793" s="10"/>
      <c r="AH7793" s="10"/>
      <c r="AI7793" s="10"/>
      <c r="AJ7793" s="10"/>
      <c r="AK7793" s="10"/>
      <c r="AL7793" s="10"/>
      <c r="AM7793" s="10"/>
      <c r="AN7793" s="10"/>
      <c r="AO7793" s="10"/>
      <c r="AP7793" s="10"/>
      <c r="AQ7793" s="10"/>
      <c r="AR7793" s="10"/>
      <c r="AS7793" s="10"/>
      <c r="AT7793" s="10"/>
      <c r="AU7793" s="10"/>
      <c r="AV7793" s="10"/>
      <c r="AW7793" s="10"/>
      <c r="AX7793" s="10"/>
      <c r="AY7793" s="10"/>
      <c r="AZ7793" s="10"/>
    </row>
    <row r="7794" spans="31:52">
      <c r="AE7794" s="10"/>
      <c r="AF7794" s="10"/>
      <c r="AG7794" s="10"/>
      <c r="AH7794" s="10"/>
      <c r="AI7794" s="10"/>
      <c r="AJ7794" s="10"/>
      <c r="AK7794" s="10"/>
      <c r="AL7794" s="10"/>
      <c r="AM7794" s="10"/>
      <c r="AN7794" s="10"/>
      <c r="AO7794" s="10"/>
      <c r="AP7794" s="10"/>
      <c r="AQ7794" s="10"/>
      <c r="AR7794" s="10"/>
      <c r="AS7794" s="10"/>
      <c r="AT7794" s="10"/>
      <c r="AU7794" s="10"/>
      <c r="AV7794" s="10"/>
      <c r="AW7794" s="10"/>
      <c r="AX7794" s="10"/>
      <c r="AY7794" s="10"/>
      <c r="AZ7794" s="10"/>
    </row>
    <row r="7795" spans="31:52">
      <c r="AE7795" s="10"/>
      <c r="AF7795" s="10"/>
      <c r="AG7795" s="10"/>
      <c r="AH7795" s="10"/>
      <c r="AI7795" s="10"/>
      <c r="AJ7795" s="10"/>
      <c r="AK7795" s="10"/>
      <c r="AL7795" s="10"/>
      <c r="AM7795" s="10"/>
      <c r="AN7795" s="10"/>
      <c r="AO7795" s="10"/>
      <c r="AP7795" s="10"/>
      <c r="AQ7795" s="10"/>
      <c r="AR7795" s="10"/>
      <c r="AS7795" s="10"/>
      <c r="AT7795" s="10"/>
      <c r="AU7795" s="10"/>
      <c r="AV7795" s="10"/>
      <c r="AW7795" s="10"/>
      <c r="AX7795" s="10"/>
      <c r="AY7795" s="10"/>
      <c r="AZ7795" s="10"/>
    </row>
    <row r="7796" spans="31:52">
      <c r="AE7796" s="10"/>
      <c r="AF7796" s="10"/>
      <c r="AG7796" s="10"/>
      <c r="AH7796" s="10"/>
      <c r="AI7796" s="10"/>
      <c r="AJ7796" s="10"/>
      <c r="AK7796" s="10"/>
      <c r="AL7796" s="10"/>
      <c r="AM7796" s="10"/>
      <c r="AN7796" s="10"/>
      <c r="AO7796" s="10"/>
      <c r="AP7796" s="10"/>
      <c r="AQ7796" s="10"/>
      <c r="AR7796" s="10"/>
      <c r="AS7796" s="10"/>
      <c r="AT7796" s="10"/>
      <c r="AU7796" s="10"/>
      <c r="AV7796" s="10"/>
      <c r="AW7796" s="10"/>
      <c r="AX7796" s="10"/>
      <c r="AY7796" s="10"/>
      <c r="AZ7796" s="10"/>
    </row>
    <row r="7797" spans="31:52">
      <c r="AE7797" s="10"/>
      <c r="AF7797" s="10"/>
      <c r="AG7797" s="10"/>
      <c r="AH7797" s="10"/>
      <c r="AI7797" s="10"/>
      <c r="AJ7797" s="10"/>
      <c r="AK7797" s="10"/>
      <c r="AL7797" s="10"/>
      <c r="AM7797" s="10"/>
      <c r="AN7797" s="10"/>
      <c r="AO7797" s="10"/>
      <c r="AP7797" s="10"/>
      <c r="AQ7797" s="10"/>
      <c r="AR7797" s="10"/>
      <c r="AS7797" s="10"/>
      <c r="AT7797" s="10"/>
      <c r="AU7797" s="10"/>
      <c r="AV7797" s="10"/>
      <c r="AW7797" s="10"/>
      <c r="AX7797" s="10"/>
      <c r="AY7797" s="10"/>
      <c r="AZ7797" s="10"/>
    </row>
    <row r="7798" spans="31:52">
      <c r="AE7798" s="10"/>
      <c r="AF7798" s="10"/>
      <c r="AG7798" s="10"/>
      <c r="AH7798" s="10"/>
      <c r="AI7798" s="10"/>
      <c r="AJ7798" s="10"/>
      <c r="AK7798" s="10"/>
      <c r="AL7798" s="10"/>
      <c r="AM7798" s="10"/>
      <c r="AN7798" s="10"/>
      <c r="AO7798" s="10"/>
      <c r="AP7798" s="10"/>
      <c r="AQ7798" s="10"/>
      <c r="AR7798" s="10"/>
      <c r="AS7798" s="10"/>
      <c r="AT7798" s="10"/>
      <c r="AU7798" s="10"/>
      <c r="AV7798" s="10"/>
      <c r="AW7798" s="10"/>
      <c r="AX7798" s="10"/>
      <c r="AY7798" s="10"/>
      <c r="AZ7798" s="10"/>
    </row>
    <row r="7799" spans="31:52">
      <c r="AE7799" s="10"/>
      <c r="AF7799" s="10"/>
      <c r="AG7799" s="10"/>
      <c r="AH7799" s="10"/>
      <c r="AI7799" s="10"/>
      <c r="AJ7799" s="10"/>
      <c r="AK7799" s="10"/>
      <c r="AL7799" s="10"/>
      <c r="AM7799" s="10"/>
      <c r="AN7799" s="10"/>
      <c r="AO7799" s="10"/>
      <c r="AP7799" s="10"/>
      <c r="AQ7799" s="10"/>
      <c r="AR7799" s="10"/>
      <c r="AS7799" s="10"/>
      <c r="AT7799" s="10"/>
      <c r="AU7799" s="10"/>
      <c r="AV7799" s="10"/>
      <c r="AW7799" s="10"/>
      <c r="AX7799" s="10"/>
      <c r="AY7799" s="10"/>
      <c r="AZ7799" s="10"/>
    </row>
    <row r="7800" spans="31:52">
      <c r="AE7800" s="10"/>
      <c r="AF7800" s="10"/>
      <c r="AG7800" s="10"/>
      <c r="AH7800" s="10"/>
      <c r="AI7800" s="10"/>
      <c r="AJ7800" s="10"/>
      <c r="AK7800" s="10"/>
      <c r="AL7800" s="10"/>
      <c r="AM7800" s="10"/>
      <c r="AN7800" s="10"/>
      <c r="AO7800" s="10"/>
      <c r="AP7800" s="10"/>
      <c r="AQ7800" s="10"/>
      <c r="AR7800" s="10"/>
      <c r="AS7800" s="10"/>
      <c r="AT7800" s="10"/>
      <c r="AU7800" s="10"/>
      <c r="AV7800" s="10"/>
      <c r="AW7800" s="10"/>
      <c r="AX7800" s="10"/>
      <c r="AY7800" s="10"/>
      <c r="AZ7800" s="10"/>
    </row>
    <row r="7801" spans="31:52">
      <c r="AE7801" s="10"/>
      <c r="AF7801" s="10"/>
      <c r="AG7801" s="10"/>
      <c r="AH7801" s="10"/>
      <c r="AI7801" s="10"/>
      <c r="AJ7801" s="10"/>
      <c r="AK7801" s="10"/>
      <c r="AL7801" s="10"/>
      <c r="AM7801" s="10"/>
      <c r="AN7801" s="10"/>
      <c r="AO7801" s="10"/>
      <c r="AP7801" s="10"/>
      <c r="AQ7801" s="10"/>
      <c r="AR7801" s="10"/>
      <c r="AS7801" s="10"/>
      <c r="AT7801" s="10"/>
      <c r="AU7801" s="10"/>
      <c r="AV7801" s="10"/>
      <c r="AW7801" s="10"/>
      <c r="AX7801" s="10"/>
      <c r="AY7801" s="10"/>
      <c r="AZ7801" s="10"/>
    </row>
    <row r="7802" spans="31:52">
      <c r="AE7802" s="10"/>
      <c r="AF7802" s="10"/>
      <c r="AG7802" s="10"/>
      <c r="AH7802" s="10"/>
      <c r="AI7802" s="10"/>
      <c r="AJ7802" s="10"/>
      <c r="AK7802" s="10"/>
      <c r="AL7802" s="10"/>
      <c r="AM7802" s="10"/>
      <c r="AN7802" s="10"/>
      <c r="AO7802" s="10"/>
      <c r="AP7802" s="10"/>
      <c r="AQ7802" s="10"/>
      <c r="AR7802" s="10"/>
      <c r="AS7802" s="10"/>
      <c r="AT7802" s="10"/>
      <c r="AU7802" s="10"/>
      <c r="AV7802" s="10"/>
      <c r="AW7802" s="10"/>
      <c r="AX7802" s="10"/>
      <c r="AY7802" s="10"/>
      <c r="AZ7802" s="10"/>
    </row>
    <row r="7803" spans="31:52">
      <c r="AE7803" s="10"/>
      <c r="AF7803" s="10"/>
      <c r="AG7803" s="10"/>
      <c r="AH7803" s="10"/>
      <c r="AI7803" s="10"/>
      <c r="AJ7803" s="10"/>
      <c r="AK7803" s="10"/>
      <c r="AL7803" s="10"/>
      <c r="AM7803" s="10"/>
      <c r="AN7803" s="10"/>
      <c r="AO7803" s="10"/>
      <c r="AP7803" s="10"/>
      <c r="AQ7803" s="10"/>
      <c r="AR7803" s="10"/>
      <c r="AS7803" s="10"/>
      <c r="AT7803" s="10"/>
      <c r="AU7803" s="10"/>
      <c r="AV7803" s="10"/>
      <c r="AW7803" s="10"/>
      <c r="AX7803" s="10"/>
      <c r="AY7803" s="10"/>
      <c r="AZ7803" s="10"/>
    </row>
    <row r="7804" spans="31:52">
      <c r="AE7804" s="10"/>
      <c r="AF7804" s="10"/>
      <c r="AG7804" s="10"/>
      <c r="AH7804" s="10"/>
      <c r="AI7804" s="10"/>
      <c r="AJ7804" s="10"/>
      <c r="AK7804" s="10"/>
      <c r="AL7804" s="10"/>
      <c r="AM7804" s="10"/>
      <c r="AN7804" s="10"/>
      <c r="AO7804" s="10"/>
      <c r="AP7804" s="10"/>
      <c r="AQ7804" s="10"/>
      <c r="AR7804" s="10"/>
      <c r="AS7804" s="10"/>
      <c r="AT7804" s="10"/>
      <c r="AU7804" s="10"/>
      <c r="AV7804" s="10"/>
      <c r="AW7804" s="10"/>
      <c r="AX7804" s="10"/>
      <c r="AY7804" s="10"/>
      <c r="AZ7804" s="10"/>
    </row>
    <row r="7805" spans="31:52">
      <c r="AE7805" s="10"/>
      <c r="AF7805" s="10"/>
      <c r="AG7805" s="10"/>
      <c r="AH7805" s="10"/>
      <c r="AI7805" s="10"/>
      <c r="AJ7805" s="10"/>
      <c r="AK7805" s="10"/>
      <c r="AL7805" s="10"/>
      <c r="AM7805" s="10"/>
      <c r="AN7805" s="10"/>
      <c r="AO7805" s="10"/>
      <c r="AP7805" s="10"/>
      <c r="AQ7805" s="10"/>
      <c r="AR7805" s="10"/>
      <c r="AS7805" s="10"/>
      <c r="AT7805" s="10"/>
      <c r="AU7805" s="10"/>
      <c r="AV7805" s="10"/>
      <c r="AW7805" s="10"/>
      <c r="AX7805" s="10"/>
      <c r="AY7805" s="10"/>
      <c r="AZ7805" s="10"/>
    </row>
    <row r="7806" spans="31:52">
      <c r="AE7806" s="10"/>
      <c r="AF7806" s="10"/>
      <c r="AG7806" s="10"/>
      <c r="AH7806" s="10"/>
      <c r="AI7806" s="10"/>
      <c r="AJ7806" s="10"/>
      <c r="AK7806" s="10"/>
      <c r="AL7806" s="10"/>
      <c r="AM7806" s="10"/>
      <c r="AN7806" s="10"/>
      <c r="AO7806" s="10"/>
      <c r="AP7806" s="10"/>
      <c r="AQ7806" s="10"/>
      <c r="AR7806" s="10"/>
      <c r="AS7806" s="10"/>
      <c r="AT7806" s="10"/>
      <c r="AU7806" s="10"/>
      <c r="AV7806" s="10"/>
      <c r="AW7806" s="10"/>
      <c r="AX7806" s="10"/>
      <c r="AY7806" s="10"/>
      <c r="AZ7806" s="10"/>
    </row>
    <row r="7807" spans="31:52">
      <c r="AE7807" s="10"/>
      <c r="AF7807" s="10"/>
      <c r="AG7807" s="10"/>
      <c r="AH7807" s="10"/>
      <c r="AI7807" s="10"/>
      <c r="AJ7807" s="10"/>
      <c r="AK7807" s="10"/>
      <c r="AL7807" s="10"/>
      <c r="AM7807" s="10"/>
      <c r="AN7807" s="10"/>
      <c r="AO7807" s="10"/>
      <c r="AP7807" s="10"/>
      <c r="AQ7807" s="10"/>
      <c r="AR7807" s="10"/>
      <c r="AS7807" s="10"/>
      <c r="AT7807" s="10"/>
      <c r="AU7807" s="10"/>
      <c r="AV7807" s="10"/>
      <c r="AW7807" s="10"/>
      <c r="AX7807" s="10"/>
      <c r="AY7807" s="10"/>
      <c r="AZ7807" s="10"/>
    </row>
    <row r="7808" spans="31:52">
      <c r="AE7808" s="10"/>
      <c r="AF7808" s="10"/>
      <c r="AG7808" s="10"/>
      <c r="AH7808" s="10"/>
      <c r="AI7808" s="10"/>
      <c r="AJ7808" s="10"/>
      <c r="AK7808" s="10"/>
      <c r="AL7808" s="10"/>
      <c r="AM7808" s="10"/>
      <c r="AN7808" s="10"/>
      <c r="AO7808" s="10"/>
      <c r="AP7808" s="10"/>
      <c r="AQ7808" s="10"/>
      <c r="AR7808" s="10"/>
      <c r="AS7808" s="10"/>
      <c r="AT7808" s="10"/>
      <c r="AU7808" s="10"/>
      <c r="AV7808" s="10"/>
      <c r="AW7808" s="10"/>
      <c r="AX7808" s="10"/>
      <c r="AY7808" s="10"/>
      <c r="AZ7808" s="10"/>
    </row>
    <row r="7809" spans="31:52">
      <c r="AE7809" s="10"/>
      <c r="AF7809" s="10"/>
      <c r="AG7809" s="10"/>
      <c r="AH7809" s="10"/>
      <c r="AI7809" s="10"/>
      <c r="AJ7809" s="10"/>
      <c r="AK7809" s="10"/>
      <c r="AL7809" s="10"/>
      <c r="AM7809" s="10"/>
      <c r="AN7809" s="10"/>
      <c r="AO7809" s="10"/>
      <c r="AP7809" s="10"/>
      <c r="AQ7809" s="10"/>
      <c r="AR7809" s="10"/>
      <c r="AS7809" s="10"/>
      <c r="AT7809" s="10"/>
      <c r="AU7809" s="10"/>
      <c r="AV7809" s="10"/>
      <c r="AW7809" s="10"/>
      <c r="AX7809" s="10"/>
      <c r="AY7809" s="10"/>
      <c r="AZ7809" s="10"/>
    </row>
    <row r="7810" spans="31:52">
      <c r="AE7810" s="10"/>
      <c r="AF7810" s="10"/>
      <c r="AG7810" s="10"/>
      <c r="AH7810" s="10"/>
      <c r="AI7810" s="10"/>
      <c r="AJ7810" s="10"/>
      <c r="AK7810" s="10"/>
      <c r="AL7810" s="10"/>
      <c r="AM7810" s="10"/>
      <c r="AN7810" s="10"/>
      <c r="AO7810" s="10"/>
      <c r="AP7810" s="10"/>
      <c r="AQ7810" s="10"/>
      <c r="AR7810" s="10"/>
      <c r="AS7810" s="10"/>
      <c r="AT7810" s="10"/>
      <c r="AU7810" s="10"/>
      <c r="AV7810" s="10"/>
      <c r="AW7810" s="10"/>
      <c r="AX7810" s="10"/>
      <c r="AY7810" s="10"/>
      <c r="AZ7810" s="10"/>
    </row>
    <row r="7811" spans="31:52">
      <c r="AE7811" s="10"/>
      <c r="AF7811" s="10"/>
      <c r="AG7811" s="10"/>
      <c r="AH7811" s="10"/>
      <c r="AI7811" s="10"/>
      <c r="AJ7811" s="10"/>
      <c r="AK7811" s="10"/>
      <c r="AL7811" s="10"/>
      <c r="AM7811" s="10"/>
      <c r="AN7811" s="10"/>
      <c r="AO7811" s="10"/>
      <c r="AP7811" s="10"/>
      <c r="AQ7811" s="10"/>
      <c r="AR7811" s="10"/>
      <c r="AS7811" s="10"/>
      <c r="AT7811" s="10"/>
      <c r="AU7811" s="10"/>
      <c r="AV7811" s="10"/>
      <c r="AW7811" s="10"/>
      <c r="AX7811" s="10"/>
      <c r="AY7811" s="10"/>
      <c r="AZ7811" s="10"/>
    </row>
    <row r="7812" spans="31:52">
      <c r="AE7812" s="10"/>
      <c r="AF7812" s="10"/>
      <c r="AG7812" s="10"/>
      <c r="AH7812" s="10"/>
      <c r="AI7812" s="10"/>
      <c r="AJ7812" s="10"/>
      <c r="AK7812" s="10"/>
      <c r="AL7812" s="10"/>
      <c r="AM7812" s="10"/>
      <c r="AN7812" s="10"/>
      <c r="AO7812" s="10"/>
      <c r="AP7812" s="10"/>
      <c r="AQ7812" s="10"/>
      <c r="AR7812" s="10"/>
      <c r="AS7812" s="10"/>
      <c r="AT7812" s="10"/>
      <c r="AU7812" s="10"/>
      <c r="AV7812" s="10"/>
      <c r="AW7812" s="10"/>
      <c r="AX7812" s="10"/>
      <c r="AY7812" s="10"/>
      <c r="AZ7812" s="10"/>
    </row>
    <row r="7813" spans="31:52">
      <c r="AE7813" s="10"/>
      <c r="AF7813" s="10"/>
      <c r="AG7813" s="10"/>
      <c r="AH7813" s="10"/>
      <c r="AI7813" s="10"/>
      <c r="AJ7813" s="10"/>
      <c r="AK7813" s="10"/>
      <c r="AL7813" s="10"/>
      <c r="AM7813" s="10"/>
      <c r="AN7813" s="10"/>
      <c r="AO7813" s="10"/>
      <c r="AP7813" s="10"/>
      <c r="AQ7813" s="10"/>
      <c r="AR7813" s="10"/>
      <c r="AS7813" s="10"/>
      <c r="AT7813" s="10"/>
      <c r="AU7813" s="10"/>
      <c r="AV7813" s="10"/>
      <c r="AW7813" s="10"/>
      <c r="AX7813" s="10"/>
      <c r="AY7813" s="10"/>
      <c r="AZ7813" s="10"/>
    </row>
    <row r="7814" spans="31:52">
      <c r="AE7814" s="10"/>
      <c r="AF7814" s="10"/>
      <c r="AG7814" s="10"/>
      <c r="AH7814" s="10"/>
      <c r="AI7814" s="10"/>
      <c r="AJ7814" s="10"/>
      <c r="AK7814" s="10"/>
      <c r="AL7814" s="10"/>
      <c r="AM7814" s="10"/>
      <c r="AN7814" s="10"/>
      <c r="AO7814" s="10"/>
      <c r="AP7814" s="10"/>
      <c r="AQ7814" s="10"/>
      <c r="AR7814" s="10"/>
      <c r="AS7814" s="10"/>
      <c r="AT7814" s="10"/>
      <c r="AU7814" s="10"/>
      <c r="AV7814" s="10"/>
      <c r="AW7814" s="10"/>
      <c r="AX7814" s="10"/>
      <c r="AY7814" s="10"/>
      <c r="AZ7814" s="10"/>
    </row>
    <row r="7815" spans="31:52">
      <c r="AE7815" s="10"/>
      <c r="AF7815" s="10"/>
      <c r="AG7815" s="10"/>
      <c r="AH7815" s="10"/>
      <c r="AI7815" s="10"/>
      <c r="AJ7815" s="10"/>
      <c r="AK7815" s="10"/>
      <c r="AL7815" s="10"/>
      <c r="AM7815" s="10"/>
      <c r="AN7815" s="10"/>
      <c r="AO7815" s="10"/>
      <c r="AP7815" s="10"/>
      <c r="AQ7815" s="10"/>
      <c r="AR7815" s="10"/>
      <c r="AS7815" s="10"/>
      <c r="AT7815" s="10"/>
      <c r="AU7815" s="10"/>
      <c r="AV7815" s="10"/>
      <c r="AW7815" s="10"/>
      <c r="AX7815" s="10"/>
      <c r="AY7815" s="10"/>
      <c r="AZ7815" s="10"/>
    </row>
    <row r="7816" spans="31:52">
      <c r="AE7816" s="10"/>
      <c r="AF7816" s="10"/>
      <c r="AG7816" s="10"/>
      <c r="AH7816" s="10"/>
      <c r="AI7816" s="10"/>
      <c r="AJ7816" s="10"/>
      <c r="AK7816" s="10"/>
      <c r="AL7816" s="10"/>
      <c r="AM7816" s="10"/>
      <c r="AN7816" s="10"/>
      <c r="AO7816" s="10"/>
      <c r="AP7816" s="10"/>
      <c r="AQ7816" s="10"/>
      <c r="AR7816" s="10"/>
      <c r="AS7816" s="10"/>
      <c r="AT7816" s="10"/>
      <c r="AU7816" s="10"/>
      <c r="AV7816" s="10"/>
      <c r="AW7816" s="10"/>
      <c r="AX7816" s="10"/>
      <c r="AY7816" s="10"/>
      <c r="AZ7816" s="10"/>
    </row>
    <row r="7817" spans="31:52">
      <c r="AE7817" s="10"/>
      <c r="AF7817" s="10"/>
      <c r="AG7817" s="10"/>
      <c r="AH7817" s="10"/>
      <c r="AI7817" s="10"/>
      <c r="AJ7817" s="10"/>
      <c r="AK7817" s="10"/>
      <c r="AL7817" s="10"/>
      <c r="AM7817" s="10"/>
      <c r="AN7817" s="10"/>
      <c r="AO7817" s="10"/>
      <c r="AP7817" s="10"/>
      <c r="AQ7817" s="10"/>
      <c r="AR7817" s="10"/>
      <c r="AS7817" s="10"/>
      <c r="AT7817" s="10"/>
      <c r="AU7817" s="10"/>
      <c r="AV7817" s="10"/>
      <c r="AW7817" s="10"/>
      <c r="AX7817" s="10"/>
      <c r="AY7817" s="10"/>
      <c r="AZ7817" s="10"/>
    </row>
    <row r="7818" spans="31:52">
      <c r="AE7818" s="10"/>
      <c r="AF7818" s="10"/>
      <c r="AG7818" s="10"/>
      <c r="AH7818" s="10"/>
      <c r="AI7818" s="10"/>
      <c r="AJ7818" s="10"/>
      <c r="AK7818" s="10"/>
      <c r="AL7818" s="10"/>
      <c r="AM7818" s="10"/>
      <c r="AN7818" s="10"/>
      <c r="AO7818" s="10"/>
      <c r="AP7818" s="10"/>
      <c r="AQ7818" s="10"/>
      <c r="AR7818" s="10"/>
      <c r="AS7818" s="10"/>
      <c r="AT7818" s="10"/>
      <c r="AU7818" s="10"/>
      <c r="AV7818" s="10"/>
      <c r="AW7818" s="10"/>
      <c r="AX7818" s="10"/>
      <c r="AY7818" s="10"/>
      <c r="AZ7818" s="10"/>
    </row>
    <row r="7819" spans="31:52">
      <c r="AE7819" s="10"/>
      <c r="AF7819" s="10"/>
      <c r="AG7819" s="10"/>
      <c r="AH7819" s="10"/>
      <c r="AI7819" s="10"/>
      <c r="AJ7819" s="10"/>
      <c r="AK7819" s="10"/>
      <c r="AL7819" s="10"/>
      <c r="AM7819" s="10"/>
      <c r="AN7819" s="10"/>
      <c r="AO7819" s="10"/>
      <c r="AP7819" s="10"/>
      <c r="AQ7819" s="10"/>
      <c r="AR7819" s="10"/>
      <c r="AS7819" s="10"/>
      <c r="AT7819" s="10"/>
      <c r="AU7819" s="10"/>
      <c r="AV7819" s="10"/>
      <c r="AW7819" s="10"/>
      <c r="AX7819" s="10"/>
      <c r="AY7819" s="10"/>
      <c r="AZ7819" s="10"/>
    </row>
    <row r="7820" spans="31:52">
      <c r="AE7820" s="10"/>
      <c r="AF7820" s="10"/>
      <c r="AG7820" s="10"/>
      <c r="AH7820" s="10"/>
      <c r="AI7820" s="10"/>
      <c r="AJ7820" s="10"/>
      <c r="AK7820" s="10"/>
      <c r="AL7820" s="10"/>
      <c r="AM7820" s="10"/>
      <c r="AN7820" s="10"/>
      <c r="AO7820" s="10"/>
      <c r="AP7820" s="10"/>
      <c r="AQ7820" s="10"/>
      <c r="AR7820" s="10"/>
      <c r="AS7820" s="10"/>
      <c r="AT7820" s="10"/>
      <c r="AU7820" s="10"/>
      <c r="AV7820" s="10"/>
      <c r="AW7820" s="10"/>
      <c r="AX7820" s="10"/>
      <c r="AY7820" s="10"/>
      <c r="AZ7820" s="10"/>
    </row>
    <row r="7821" spans="31:52">
      <c r="AE7821" s="10"/>
      <c r="AF7821" s="10"/>
      <c r="AG7821" s="10"/>
      <c r="AH7821" s="10"/>
      <c r="AI7821" s="10"/>
      <c r="AJ7821" s="10"/>
      <c r="AK7821" s="10"/>
      <c r="AL7821" s="10"/>
      <c r="AM7821" s="10"/>
      <c r="AN7821" s="10"/>
      <c r="AO7821" s="10"/>
      <c r="AP7821" s="10"/>
      <c r="AQ7821" s="10"/>
      <c r="AR7821" s="10"/>
      <c r="AS7821" s="10"/>
      <c r="AT7821" s="10"/>
      <c r="AU7821" s="10"/>
      <c r="AV7821" s="10"/>
      <c r="AW7821" s="10"/>
      <c r="AX7821" s="10"/>
      <c r="AY7821" s="10"/>
      <c r="AZ7821" s="10"/>
    </row>
    <row r="7822" spans="31:52">
      <c r="AE7822" s="10"/>
      <c r="AF7822" s="10"/>
      <c r="AG7822" s="10"/>
      <c r="AH7822" s="10"/>
      <c r="AI7822" s="10"/>
      <c r="AJ7822" s="10"/>
      <c r="AK7822" s="10"/>
      <c r="AL7822" s="10"/>
      <c r="AM7822" s="10"/>
      <c r="AN7822" s="10"/>
      <c r="AO7822" s="10"/>
      <c r="AP7822" s="10"/>
      <c r="AQ7822" s="10"/>
      <c r="AR7822" s="10"/>
      <c r="AS7822" s="10"/>
      <c r="AT7822" s="10"/>
      <c r="AU7822" s="10"/>
      <c r="AV7822" s="10"/>
      <c r="AW7822" s="10"/>
      <c r="AX7822" s="10"/>
      <c r="AY7822" s="10"/>
      <c r="AZ7822" s="10"/>
    </row>
    <row r="7823" spans="31:52">
      <c r="AE7823" s="10"/>
      <c r="AF7823" s="10"/>
      <c r="AG7823" s="10"/>
      <c r="AH7823" s="10"/>
      <c r="AI7823" s="10"/>
      <c r="AJ7823" s="10"/>
      <c r="AK7823" s="10"/>
      <c r="AL7823" s="10"/>
      <c r="AM7823" s="10"/>
      <c r="AN7823" s="10"/>
      <c r="AO7823" s="10"/>
      <c r="AP7823" s="10"/>
      <c r="AQ7823" s="10"/>
      <c r="AR7823" s="10"/>
      <c r="AS7823" s="10"/>
      <c r="AT7823" s="10"/>
      <c r="AU7823" s="10"/>
      <c r="AV7823" s="10"/>
      <c r="AW7823" s="10"/>
      <c r="AX7823" s="10"/>
      <c r="AY7823" s="10"/>
      <c r="AZ7823" s="10"/>
    </row>
    <row r="7824" spans="31:52">
      <c r="AE7824" s="10"/>
      <c r="AF7824" s="10"/>
      <c r="AG7824" s="10"/>
      <c r="AH7824" s="10"/>
      <c r="AI7824" s="10"/>
      <c r="AJ7824" s="10"/>
      <c r="AK7824" s="10"/>
      <c r="AL7824" s="10"/>
      <c r="AM7824" s="10"/>
      <c r="AN7824" s="10"/>
      <c r="AO7824" s="10"/>
      <c r="AP7824" s="10"/>
      <c r="AQ7824" s="10"/>
      <c r="AR7824" s="10"/>
      <c r="AS7824" s="10"/>
      <c r="AT7824" s="10"/>
      <c r="AU7824" s="10"/>
      <c r="AV7824" s="10"/>
      <c r="AW7824" s="10"/>
      <c r="AX7824" s="10"/>
      <c r="AY7824" s="10"/>
      <c r="AZ7824" s="10"/>
    </row>
    <row r="7825" spans="31:52">
      <c r="AE7825" s="10"/>
      <c r="AF7825" s="10"/>
      <c r="AG7825" s="10"/>
      <c r="AH7825" s="10"/>
      <c r="AI7825" s="10"/>
      <c r="AJ7825" s="10"/>
      <c r="AK7825" s="10"/>
      <c r="AL7825" s="10"/>
      <c r="AM7825" s="10"/>
      <c r="AN7825" s="10"/>
      <c r="AO7825" s="10"/>
      <c r="AP7825" s="10"/>
      <c r="AQ7825" s="10"/>
      <c r="AR7825" s="10"/>
      <c r="AS7825" s="10"/>
      <c r="AT7825" s="10"/>
      <c r="AU7825" s="10"/>
      <c r="AV7825" s="10"/>
      <c r="AW7825" s="10"/>
      <c r="AX7825" s="10"/>
      <c r="AY7825" s="10"/>
      <c r="AZ7825" s="10"/>
    </row>
    <row r="7826" spans="31:52">
      <c r="AE7826" s="10"/>
      <c r="AF7826" s="10"/>
      <c r="AG7826" s="10"/>
      <c r="AH7826" s="10"/>
      <c r="AI7826" s="10"/>
      <c r="AJ7826" s="10"/>
      <c r="AK7826" s="10"/>
      <c r="AL7826" s="10"/>
      <c r="AM7826" s="10"/>
      <c r="AN7826" s="10"/>
      <c r="AO7826" s="10"/>
      <c r="AP7826" s="10"/>
      <c r="AQ7826" s="10"/>
      <c r="AR7826" s="10"/>
      <c r="AS7826" s="10"/>
      <c r="AT7826" s="10"/>
      <c r="AU7826" s="10"/>
      <c r="AV7826" s="10"/>
      <c r="AW7826" s="10"/>
      <c r="AX7826" s="10"/>
      <c r="AY7826" s="10"/>
      <c r="AZ7826" s="10"/>
    </row>
    <row r="7827" spans="31:52">
      <c r="AE7827" s="10"/>
      <c r="AF7827" s="10"/>
      <c r="AG7827" s="10"/>
      <c r="AH7827" s="10"/>
      <c r="AI7827" s="10"/>
      <c r="AJ7827" s="10"/>
      <c r="AK7827" s="10"/>
      <c r="AL7827" s="10"/>
      <c r="AM7827" s="10"/>
      <c r="AN7827" s="10"/>
      <c r="AO7827" s="10"/>
      <c r="AP7827" s="10"/>
      <c r="AQ7827" s="10"/>
      <c r="AR7827" s="10"/>
      <c r="AS7827" s="10"/>
      <c r="AT7827" s="10"/>
      <c r="AU7827" s="10"/>
      <c r="AV7827" s="10"/>
      <c r="AW7827" s="10"/>
      <c r="AX7827" s="10"/>
      <c r="AY7827" s="10"/>
      <c r="AZ7827" s="10"/>
    </row>
    <row r="7828" spans="31:52">
      <c r="AE7828" s="10"/>
      <c r="AF7828" s="10"/>
      <c r="AG7828" s="10"/>
      <c r="AH7828" s="10"/>
      <c r="AI7828" s="10"/>
      <c r="AJ7828" s="10"/>
      <c r="AK7828" s="10"/>
      <c r="AL7828" s="10"/>
      <c r="AM7828" s="10"/>
      <c r="AN7828" s="10"/>
      <c r="AO7828" s="10"/>
      <c r="AP7828" s="10"/>
      <c r="AQ7828" s="10"/>
      <c r="AR7828" s="10"/>
      <c r="AS7828" s="10"/>
      <c r="AT7828" s="10"/>
      <c r="AU7828" s="10"/>
      <c r="AV7828" s="10"/>
      <c r="AW7828" s="10"/>
      <c r="AX7828" s="10"/>
      <c r="AY7828" s="10"/>
      <c r="AZ7828" s="10"/>
    </row>
    <row r="7829" spans="31:52">
      <c r="AE7829" s="10"/>
      <c r="AF7829" s="10"/>
      <c r="AG7829" s="10"/>
      <c r="AH7829" s="10"/>
      <c r="AI7829" s="10"/>
      <c r="AJ7829" s="10"/>
      <c r="AK7829" s="10"/>
      <c r="AL7829" s="10"/>
      <c r="AM7829" s="10"/>
      <c r="AN7829" s="10"/>
      <c r="AO7829" s="10"/>
      <c r="AP7829" s="10"/>
      <c r="AQ7829" s="10"/>
      <c r="AR7829" s="10"/>
      <c r="AS7829" s="10"/>
      <c r="AT7829" s="10"/>
      <c r="AU7829" s="10"/>
      <c r="AV7829" s="10"/>
      <c r="AW7829" s="10"/>
      <c r="AX7829" s="10"/>
      <c r="AY7829" s="10"/>
      <c r="AZ7829" s="10"/>
    </row>
    <row r="7830" spans="31:52">
      <c r="AE7830" s="10"/>
      <c r="AF7830" s="10"/>
      <c r="AG7830" s="10"/>
      <c r="AH7830" s="10"/>
      <c r="AI7830" s="10"/>
      <c r="AJ7830" s="10"/>
      <c r="AK7830" s="10"/>
      <c r="AL7830" s="10"/>
      <c r="AM7830" s="10"/>
      <c r="AN7830" s="10"/>
      <c r="AO7830" s="10"/>
      <c r="AP7830" s="10"/>
      <c r="AQ7830" s="10"/>
      <c r="AR7830" s="10"/>
      <c r="AS7830" s="10"/>
      <c r="AT7830" s="10"/>
      <c r="AU7830" s="10"/>
      <c r="AV7830" s="10"/>
      <c r="AW7830" s="10"/>
      <c r="AX7830" s="10"/>
      <c r="AY7830" s="10"/>
      <c r="AZ7830" s="10"/>
    </row>
    <row r="7831" spans="31:52">
      <c r="AE7831" s="10"/>
      <c r="AF7831" s="10"/>
      <c r="AG7831" s="10"/>
      <c r="AH7831" s="10"/>
      <c r="AI7831" s="10"/>
      <c r="AJ7831" s="10"/>
      <c r="AK7831" s="10"/>
      <c r="AL7831" s="10"/>
      <c r="AM7831" s="10"/>
      <c r="AN7831" s="10"/>
      <c r="AO7831" s="10"/>
      <c r="AP7831" s="10"/>
      <c r="AQ7831" s="10"/>
      <c r="AR7831" s="10"/>
      <c r="AS7831" s="10"/>
      <c r="AT7831" s="10"/>
      <c r="AU7831" s="10"/>
      <c r="AV7831" s="10"/>
      <c r="AW7831" s="10"/>
      <c r="AX7831" s="10"/>
      <c r="AY7831" s="10"/>
      <c r="AZ7831" s="10"/>
    </row>
    <row r="7832" spans="31:52">
      <c r="AE7832" s="10"/>
      <c r="AF7832" s="10"/>
      <c r="AG7832" s="10"/>
      <c r="AH7832" s="10"/>
      <c r="AI7832" s="10"/>
      <c r="AJ7832" s="10"/>
      <c r="AK7832" s="10"/>
      <c r="AL7832" s="10"/>
      <c r="AM7832" s="10"/>
      <c r="AN7832" s="10"/>
      <c r="AO7832" s="10"/>
      <c r="AP7832" s="10"/>
      <c r="AQ7832" s="10"/>
      <c r="AR7832" s="10"/>
      <c r="AS7832" s="10"/>
      <c r="AT7832" s="10"/>
      <c r="AU7832" s="10"/>
      <c r="AV7832" s="10"/>
      <c r="AW7832" s="10"/>
      <c r="AX7832" s="10"/>
      <c r="AY7832" s="10"/>
      <c r="AZ7832" s="10"/>
    </row>
    <row r="7833" spans="31:52">
      <c r="AE7833" s="10"/>
      <c r="AF7833" s="10"/>
      <c r="AG7833" s="10"/>
      <c r="AH7833" s="10"/>
      <c r="AI7833" s="10"/>
      <c r="AJ7833" s="10"/>
      <c r="AK7833" s="10"/>
      <c r="AL7833" s="10"/>
      <c r="AM7833" s="10"/>
      <c r="AN7833" s="10"/>
      <c r="AO7833" s="10"/>
      <c r="AP7833" s="10"/>
      <c r="AQ7833" s="10"/>
      <c r="AR7833" s="10"/>
      <c r="AS7833" s="10"/>
      <c r="AT7833" s="10"/>
      <c r="AU7833" s="10"/>
      <c r="AV7833" s="10"/>
      <c r="AW7833" s="10"/>
      <c r="AX7833" s="10"/>
      <c r="AY7833" s="10"/>
      <c r="AZ7833" s="10"/>
    </row>
    <row r="7834" spans="31:52">
      <c r="AE7834" s="10"/>
      <c r="AF7834" s="10"/>
      <c r="AG7834" s="10"/>
      <c r="AH7834" s="10"/>
      <c r="AI7834" s="10"/>
      <c r="AJ7834" s="10"/>
      <c r="AK7834" s="10"/>
      <c r="AL7834" s="10"/>
      <c r="AM7834" s="10"/>
      <c r="AN7834" s="10"/>
      <c r="AO7834" s="10"/>
      <c r="AP7834" s="10"/>
      <c r="AQ7834" s="10"/>
      <c r="AR7834" s="10"/>
      <c r="AS7834" s="10"/>
      <c r="AT7834" s="10"/>
      <c r="AU7834" s="10"/>
      <c r="AV7834" s="10"/>
      <c r="AW7834" s="10"/>
      <c r="AX7834" s="10"/>
      <c r="AY7834" s="10"/>
      <c r="AZ7834" s="10"/>
    </row>
    <row r="7835" spans="31:52">
      <c r="AE7835" s="10"/>
      <c r="AF7835" s="10"/>
      <c r="AG7835" s="10"/>
      <c r="AH7835" s="10"/>
      <c r="AI7835" s="10"/>
      <c r="AJ7835" s="10"/>
      <c r="AK7835" s="10"/>
      <c r="AL7835" s="10"/>
      <c r="AM7835" s="10"/>
      <c r="AN7835" s="10"/>
      <c r="AO7835" s="10"/>
      <c r="AP7835" s="10"/>
      <c r="AQ7835" s="10"/>
      <c r="AR7835" s="10"/>
      <c r="AS7835" s="10"/>
      <c r="AT7835" s="10"/>
      <c r="AU7835" s="10"/>
      <c r="AV7835" s="10"/>
      <c r="AW7835" s="10"/>
      <c r="AX7835" s="10"/>
      <c r="AY7835" s="10"/>
      <c r="AZ7835" s="10"/>
    </row>
    <row r="7836" spans="31:52">
      <c r="AE7836" s="10"/>
      <c r="AF7836" s="10"/>
      <c r="AG7836" s="10"/>
      <c r="AH7836" s="10"/>
      <c r="AI7836" s="10"/>
      <c r="AJ7836" s="10"/>
      <c r="AK7836" s="10"/>
      <c r="AL7836" s="10"/>
      <c r="AM7836" s="10"/>
      <c r="AN7836" s="10"/>
      <c r="AO7836" s="10"/>
      <c r="AP7836" s="10"/>
      <c r="AQ7836" s="10"/>
      <c r="AR7836" s="10"/>
      <c r="AS7836" s="10"/>
      <c r="AT7836" s="10"/>
      <c r="AU7836" s="10"/>
      <c r="AV7836" s="10"/>
      <c r="AW7836" s="10"/>
      <c r="AX7836" s="10"/>
      <c r="AY7836" s="10"/>
      <c r="AZ7836" s="10"/>
    </row>
    <row r="7837" spans="31:52">
      <c r="AE7837" s="10"/>
      <c r="AF7837" s="10"/>
      <c r="AG7837" s="10"/>
      <c r="AH7837" s="10"/>
      <c r="AI7837" s="10"/>
      <c r="AJ7837" s="10"/>
      <c r="AK7837" s="10"/>
      <c r="AL7837" s="10"/>
      <c r="AM7837" s="10"/>
      <c r="AN7837" s="10"/>
      <c r="AO7837" s="10"/>
      <c r="AP7837" s="10"/>
      <c r="AQ7837" s="10"/>
      <c r="AR7837" s="10"/>
      <c r="AS7837" s="10"/>
      <c r="AT7837" s="10"/>
      <c r="AU7837" s="10"/>
      <c r="AV7837" s="10"/>
      <c r="AW7837" s="10"/>
      <c r="AX7837" s="10"/>
      <c r="AY7837" s="10"/>
      <c r="AZ7837" s="10"/>
    </row>
    <row r="7838" spans="31:52">
      <c r="AE7838" s="10"/>
      <c r="AF7838" s="10"/>
      <c r="AG7838" s="10"/>
      <c r="AH7838" s="10"/>
      <c r="AI7838" s="10"/>
      <c r="AJ7838" s="10"/>
      <c r="AK7838" s="10"/>
      <c r="AL7838" s="10"/>
      <c r="AM7838" s="10"/>
      <c r="AN7838" s="10"/>
      <c r="AO7838" s="10"/>
      <c r="AP7838" s="10"/>
      <c r="AQ7838" s="10"/>
      <c r="AR7838" s="10"/>
      <c r="AS7838" s="10"/>
      <c r="AT7838" s="10"/>
      <c r="AU7838" s="10"/>
      <c r="AV7838" s="10"/>
      <c r="AW7838" s="10"/>
      <c r="AX7838" s="10"/>
      <c r="AY7838" s="10"/>
      <c r="AZ7838" s="10"/>
    </row>
    <row r="7839" spans="31:52">
      <c r="AE7839" s="10"/>
      <c r="AF7839" s="10"/>
      <c r="AG7839" s="10"/>
      <c r="AH7839" s="10"/>
      <c r="AI7839" s="10"/>
      <c r="AJ7839" s="10"/>
      <c r="AK7839" s="10"/>
      <c r="AL7839" s="10"/>
      <c r="AM7839" s="10"/>
      <c r="AN7839" s="10"/>
      <c r="AO7839" s="10"/>
      <c r="AP7839" s="10"/>
      <c r="AQ7839" s="10"/>
      <c r="AR7839" s="10"/>
      <c r="AS7839" s="10"/>
      <c r="AT7839" s="10"/>
      <c r="AU7839" s="10"/>
      <c r="AV7839" s="10"/>
      <c r="AW7839" s="10"/>
      <c r="AX7839" s="10"/>
      <c r="AY7839" s="10"/>
      <c r="AZ7839" s="10"/>
    </row>
    <row r="7840" spans="31:52">
      <c r="AE7840" s="10"/>
      <c r="AF7840" s="10"/>
      <c r="AG7840" s="10"/>
      <c r="AH7840" s="10"/>
      <c r="AI7840" s="10"/>
      <c r="AJ7840" s="10"/>
      <c r="AK7840" s="10"/>
      <c r="AL7840" s="10"/>
      <c r="AM7840" s="10"/>
      <c r="AN7840" s="10"/>
      <c r="AO7840" s="10"/>
      <c r="AP7840" s="10"/>
      <c r="AQ7840" s="10"/>
      <c r="AR7840" s="10"/>
      <c r="AS7840" s="10"/>
      <c r="AT7840" s="10"/>
      <c r="AU7840" s="10"/>
      <c r="AV7840" s="10"/>
      <c r="AW7840" s="10"/>
      <c r="AX7840" s="10"/>
      <c r="AY7840" s="10"/>
      <c r="AZ7840" s="10"/>
    </row>
    <row r="7841" spans="31:52">
      <c r="AE7841" s="10"/>
      <c r="AF7841" s="10"/>
      <c r="AG7841" s="10"/>
      <c r="AH7841" s="10"/>
      <c r="AI7841" s="10"/>
      <c r="AJ7841" s="10"/>
      <c r="AK7841" s="10"/>
      <c r="AL7841" s="10"/>
      <c r="AM7841" s="10"/>
      <c r="AN7841" s="10"/>
      <c r="AO7841" s="10"/>
      <c r="AP7841" s="10"/>
      <c r="AQ7841" s="10"/>
      <c r="AR7841" s="10"/>
      <c r="AS7841" s="10"/>
      <c r="AT7841" s="10"/>
      <c r="AU7841" s="10"/>
      <c r="AV7841" s="10"/>
      <c r="AW7841" s="10"/>
      <c r="AX7841" s="10"/>
      <c r="AY7841" s="10"/>
      <c r="AZ7841" s="10"/>
    </row>
    <row r="7842" spans="31:52">
      <c r="AE7842" s="10"/>
      <c r="AF7842" s="10"/>
      <c r="AG7842" s="10"/>
      <c r="AH7842" s="10"/>
      <c r="AI7842" s="10"/>
      <c r="AJ7842" s="10"/>
      <c r="AK7842" s="10"/>
      <c r="AL7842" s="10"/>
      <c r="AM7842" s="10"/>
      <c r="AN7842" s="10"/>
      <c r="AO7842" s="10"/>
      <c r="AP7842" s="10"/>
      <c r="AQ7842" s="10"/>
      <c r="AR7842" s="10"/>
      <c r="AS7842" s="10"/>
      <c r="AT7842" s="10"/>
      <c r="AU7842" s="10"/>
      <c r="AV7842" s="10"/>
      <c r="AW7842" s="10"/>
      <c r="AX7842" s="10"/>
      <c r="AY7842" s="10"/>
      <c r="AZ7842" s="10"/>
    </row>
    <row r="7843" spans="31:52">
      <c r="AE7843" s="10"/>
      <c r="AF7843" s="10"/>
      <c r="AG7843" s="10"/>
      <c r="AH7843" s="10"/>
      <c r="AI7843" s="10"/>
      <c r="AJ7843" s="10"/>
      <c r="AK7843" s="10"/>
      <c r="AL7843" s="10"/>
      <c r="AM7843" s="10"/>
      <c r="AN7843" s="10"/>
      <c r="AO7843" s="10"/>
      <c r="AP7843" s="10"/>
      <c r="AQ7843" s="10"/>
      <c r="AR7843" s="10"/>
      <c r="AS7843" s="10"/>
      <c r="AT7843" s="10"/>
      <c r="AU7843" s="10"/>
      <c r="AV7843" s="10"/>
      <c r="AW7843" s="10"/>
      <c r="AX7843" s="10"/>
      <c r="AY7843" s="10"/>
      <c r="AZ7843" s="10"/>
    </row>
    <row r="7844" spans="31:52">
      <c r="AE7844" s="10"/>
      <c r="AF7844" s="10"/>
      <c r="AG7844" s="10"/>
      <c r="AH7844" s="10"/>
      <c r="AI7844" s="10"/>
      <c r="AJ7844" s="10"/>
      <c r="AK7844" s="10"/>
      <c r="AL7844" s="10"/>
      <c r="AM7844" s="10"/>
      <c r="AN7844" s="10"/>
      <c r="AO7844" s="10"/>
      <c r="AP7844" s="10"/>
      <c r="AQ7844" s="10"/>
      <c r="AR7844" s="10"/>
      <c r="AS7844" s="10"/>
      <c r="AT7844" s="10"/>
      <c r="AU7844" s="10"/>
      <c r="AV7844" s="10"/>
      <c r="AW7844" s="10"/>
      <c r="AX7844" s="10"/>
      <c r="AY7844" s="10"/>
      <c r="AZ7844" s="10"/>
    </row>
    <row r="7845" spans="31:52">
      <c r="AE7845" s="10"/>
      <c r="AF7845" s="10"/>
      <c r="AG7845" s="10"/>
      <c r="AH7845" s="10"/>
      <c r="AI7845" s="10"/>
      <c r="AJ7845" s="10"/>
      <c r="AK7845" s="10"/>
      <c r="AL7845" s="10"/>
      <c r="AM7845" s="10"/>
      <c r="AN7845" s="10"/>
      <c r="AO7845" s="10"/>
      <c r="AP7845" s="10"/>
      <c r="AQ7845" s="10"/>
      <c r="AR7845" s="10"/>
      <c r="AS7845" s="10"/>
      <c r="AT7845" s="10"/>
      <c r="AU7845" s="10"/>
      <c r="AV7845" s="10"/>
      <c r="AW7845" s="10"/>
      <c r="AX7845" s="10"/>
      <c r="AY7845" s="10"/>
      <c r="AZ7845" s="10"/>
    </row>
    <row r="7846" spans="31:52">
      <c r="AE7846" s="10"/>
      <c r="AF7846" s="10"/>
      <c r="AG7846" s="10"/>
      <c r="AH7846" s="10"/>
      <c r="AI7846" s="10"/>
      <c r="AJ7846" s="10"/>
      <c r="AK7846" s="10"/>
      <c r="AL7846" s="10"/>
      <c r="AM7846" s="10"/>
      <c r="AN7846" s="10"/>
      <c r="AO7846" s="10"/>
      <c r="AP7846" s="10"/>
      <c r="AQ7846" s="10"/>
      <c r="AR7846" s="10"/>
      <c r="AS7846" s="10"/>
      <c r="AT7846" s="10"/>
      <c r="AU7846" s="10"/>
      <c r="AV7846" s="10"/>
      <c r="AW7846" s="10"/>
      <c r="AX7846" s="10"/>
      <c r="AY7846" s="10"/>
      <c r="AZ7846" s="10"/>
    </row>
    <row r="7847" spans="31:52">
      <c r="AE7847" s="10"/>
      <c r="AF7847" s="10"/>
      <c r="AG7847" s="10"/>
      <c r="AH7847" s="10"/>
      <c r="AI7847" s="10"/>
      <c r="AJ7847" s="10"/>
      <c r="AK7847" s="10"/>
      <c r="AL7847" s="10"/>
      <c r="AM7847" s="10"/>
      <c r="AN7847" s="10"/>
      <c r="AO7847" s="10"/>
      <c r="AP7847" s="10"/>
      <c r="AQ7847" s="10"/>
      <c r="AR7847" s="10"/>
      <c r="AS7847" s="10"/>
      <c r="AT7847" s="10"/>
      <c r="AU7847" s="10"/>
      <c r="AV7847" s="10"/>
      <c r="AW7847" s="10"/>
      <c r="AX7847" s="10"/>
      <c r="AY7847" s="10"/>
      <c r="AZ7847" s="10"/>
    </row>
    <row r="7848" spans="31:52">
      <c r="AE7848" s="10"/>
      <c r="AF7848" s="10"/>
      <c r="AG7848" s="10"/>
      <c r="AH7848" s="10"/>
      <c r="AI7848" s="10"/>
      <c r="AJ7848" s="10"/>
      <c r="AK7848" s="10"/>
      <c r="AL7848" s="10"/>
      <c r="AM7848" s="10"/>
      <c r="AN7848" s="10"/>
      <c r="AO7848" s="10"/>
      <c r="AP7848" s="10"/>
      <c r="AQ7848" s="10"/>
      <c r="AR7848" s="10"/>
      <c r="AS7848" s="10"/>
      <c r="AT7848" s="10"/>
      <c r="AU7848" s="10"/>
      <c r="AV7848" s="10"/>
      <c r="AW7848" s="10"/>
      <c r="AX7848" s="10"/>
      <c r="AY7848" s="10"/>
      <c r="AZ7848" s="10"/>
    </row>
    <row r="7849" spans="31:52">
      <c r="AE7849" s="10"/>
      <c r="AF7849" s="10"/>
      <c r="AG7849" s="10"/>
      <c r="AH7849" s="10"/>
      <c r="AI7849" s="10"/>
      <c r="AJ7849" s="10"/>
      <c r="AK7849" s="10"/>
      <c r="AL7849" s="10"/>
      <c r="AM7849" s="10"/>
      <c r="AN7849" s="10"/>
      <c r="AO7849" s="10"/>
      <c r="AP7849" s="10"/>
      <c r="AQ7849" s="10"/>
      <c r="AR7849" s="10"/>
      <c r="AS7849" s="10"/>
      <c r="AT7849" s="10"/>
      <c r="AU7849" s="10"/>
      <c r="AV7849" s="10"/>
      <c r="AW7849" s="10"/>
      <c r="AX7849" s="10"/>
      <c r="AY7849" s="10"/>
      <c r="AZ7849" s="10"/>
    </row>
    <row r="7850" spans="31:52">
      <c r="AE7850" s="10"/>
      <c r="AF7850" s="10"/>
      <c r="AG7850" s="10"/>
      <c r="AH7850" s="10"/>
      <c r="AI7850" s="10"/>
      <c r="AJ7850" s="10"/>
      <c r="AK7850" s="10"/>
      <c r="AL7850" s="10"/>
      <c r="AM7850" s="10"/>
      <c r="AN7850" s="10"/>
      <c r="AO7850" s="10"/>
      <c r="AP7850" s="10"/>
      <c r="AQ7850" s="10"/>
      <c r="AR7850" s="10"/>
      <c r="AS7850" s="10"/>
      <c r="AT7850" s="10"/>
      <c r="AU7850" s="10"/>
      <c r="AV7850" s="10"/>
      <c r="AW7850" s="10"/>
      <c r="AX7850" s="10"/>
      <c r="AY7850" s="10"/>
      <c r="AZ7850" s="10"/>
    </row>
    <row r="7851" spans="31:52">
      <c r="AE7851" s="10"/>
      <c r="AF7851" s="10"/>
      <c r="AG7851" s="10"/>
      <c r="AH7851" s="10"/>
      <c r="AI7851" s="10"/>
      <c r="AJ7851" s="10"/>
      <c r="AK7851" s="10"/>
      <c r="AL7851" s="10"/>
      <c r="AM7851" s="10"/>
      <c r="AN7851" s="10"/>
      <c r="AO7851" s="10"/>
      <c r="AP7851" s="10"/>
      <c r="AQ7851" s="10"/>
      <c r="AR7851" s="10"/>
      <c r="AS7851" s="10"/>
      <c r="AT7851" s="10"/>
      <c r="AU7851" s="10"/>
      <c r="AV7851" s="10"/>
      <c r="AW7851" s="10"/>
      <c r="AX7851" s="10"/>
      <c r="AY7851" s="10"/>
      <c r="AZ7851" s="10"/>
    </row>
    <row r="7852" spans="31:52">
      <c r="AE7852" s="10"/>
      <c r="AF7852" s="10"/>
      <c r="AG7852" s="10"/>
      <c r="AH7852" s="10"/>
      <c r="AI7852" s="10"/>
      <c r="AJ7852" s="10"/>
      <c r="AK7852" s="10"/>
      <c r="AL7852" s="10"/>
      <c r="AM7852" s="10"/>
      <c r="AN7852" s="10"/>
      <c r="AO7852" s="10"/>
      <c r="AP7852" s="10"/>
      <c r="AQ7852" s="10"/>
      <c r="AR7852" s="10"/>
      <c r="AS7852" s="10"/>
      <c r="AT7852" s="10"/>
      <c r="AU7852" s="10"/>
      <c r="AV7852" s="10"/>
      <c r="AW7852" s="10"/>
      <c r="AX7852" s="10"/>
      <c r="AY7852" s="10"/>
      <c r="AZ7852" s="10"/>
    </row>
    <row r="7853" spans="31:52">
      <c r="AE7853" s="10"/>
      <c r="AF7853" s="10"/>
      <c r="AG7853" s="10"/>
      <c r="AH7853" s="10"/>
      <c r="AI7853" s="10"/>
      <c r="AJ7853" s="10"/>
      <c r="AK7853" s="10"/>
      <c r="AL7853" s="10"/>
      <c r="AM7853" s="10"/>
      <c r="AN7853" s="10"/>
      <c r="AO7853" s="10"/>
      <c r="AP7853" s="10"/>
      <c r="AQ7853" s="10"/>
      <c r="AR7853" s="10"/>
      <c r="AS7853" s="10"/>
      <c r="AT7853" s="10"/>
      <c r="AU7853" s="10"/>
      <c r="AV7853" s="10"/>
      <c r="AW7853" s="10"/>
      <c r="AX7853" s="10"/>
      <c r="AY7853" s="10"/>
      <c r="AZ7853" s="10"/>
    </row>
    <row r="7854" spans="31:52">
      <c r="AE7854" s="10"/>
      <c r="AF7854" s="10"/>
      <c r="AG7854" s="10"/>
      <c r="AH7854" s="10"/>
      <c r="AI7854" s="10"/>
      <c r="AJ7854" s="10"/>
      <c r="AK7854" s="10"/>
      <c r="AL7854" s="10"/>
      <c r="AM7854" s="10"/>
      <c r="AN7854" s="10"/>
      <c r="AO7854" s="10"/>
      <c r="AP7854" s="10"/>
      <c r="AQ7854" s="10"/>
      <c r="AR7854" s="10"/>
      <c r="AS7854" s="10"/>
      <c r="AT7854" s="10"/>
      <c r="AU7854" s="10"/>
      <c r="AV7854" s="10"/>
      <c r="AW7854" s="10"/>
      <c r="AX7854" s="10"/>
      <c r="AY7854" s="10"/>
      <c r="AZ7854" s="10"/>
    </row>
    <row r="7855" spans="31:52">
      <c r="AE7855" s="10"/>
      <c r="AF7855" s="10"/>
      <c r="AG7855" s="10"/>
      <c r="AH7855" s="10"/>
      <c r="AI7855" s="10"/>
      <c r="AJ7855" s="10"/>
      <c r="AK7855" s="10"/>
      <c r="AL7855" s="10"/>
      <c r="AM7855" s="10"/>
      <c r="AN7855" s="10"/>
      <c r="AO7855" s="10"/>
      <c r="AP7855" s="10"/>
      <c r="AQ7855" s="10"/>
      <c r="AR7855" s="10"/>
      <c r="AS7855" s="10"/>
      <c r="AT7855" s="10"/>
      <c r="AU7855" s="10"/>
      <c r="AV7855" s="10"/>
      <c r="AW7855" s="10"/>
      <c r="AX7855" s="10"/>
      <c r="AY7855" s="10"/>
      <c r="AZ7855" s="10"/>
    </row>
    <row r="7856" spans="31:52">
      <c r="AE7856" s="10"/>
      <c r="AF7856" s="10"/>
      <c r="AG7856" s="10"/>
      <c r="AH7856" s="10"/>
      <c r="AI7856" s="10"/>
      <c r="AJ7856" s="10"/>
      <c r="AK7856" s="10"/>
      <c r="AL7856" s="10"/>
      <c r="AM7856" s="10"/>
      <c r="AN7856" s="10"/>
      <c r="AO7856" s="10"/>
      <c r="AP7856" s="10"/>
      <c r="AQ7856" s="10"/>
      <c r="AR7856" s="10"/>
      <c r="AS7856" s="10"/>
      <c r="AT7856" s="10"/>
      <c r="AU7856" s="10"/>
      <c r="AV7856" s="10"/>
      <c r="AW7856" s="10"/>
      <c r="AX7856" s="10"/>
      <c r="AY7856" s="10"/>
      <c r="AZ7856" s="10"/>
    </row>
    <row r="7857" spans="31:52">
      <c r="AE7857" s="10"/>
      <c r="AF7857" s="10"/>
      <c r="AG7857" s="10"/>
      <c r="AH7857" s="10"/>
      <c r="AI7857" s="10"/>
      <c r="AJ7857" s="10"/>
      <c r="AK7857" s="10"/>
      <c r="AL7857" s="10"/>
      <c r="AM7857" s="10"/>
      <c r="AN7857" s="10"/>
      <c r="AO7857" s="10"/>
      <c r="AP7857" s="10"/>
      <c r="AQ7857" s="10"/>
      <c r="AR7857" s="10"/>
      <c r="AS7857" s="10"/>
      <c r="AT7857" s="10"/>
      <c r="AU7857" s="10"/>
      <c r="AV7857" s="10"/>
      <c r="AW7857" s="10"/>
      <c r="AX7857" s="10"/>
      <c r="AY7857" s="10"/>
      <c r="AZ7857" s="10"/>
    </row>
    <row r="7858" spans="31:52">
      <c r="AE7858" s="10"/>
      <c r="AF7858" s="10"/>
      <c r="AG7858" s="10"/>
      <c r="AH7858" s="10"/>
      <c r="AI7858" s="10"/>
      <c r="AJ7858" s="10"/>
      <c r="AK7858" s="10"/>
      <c r="AL7858" s="10"/>
      <c r="AM7858" s="10"/>
      <c r="AN7858" s="10"/>
      <c r="AO7858" s="10"/>
      <c r="AP7858" s="10"/>
      <c r="AQ7858" s="10"/>
      <c r="AR7858" s="10"/>
      <c r="AS7858" s="10"/>
      <c r="AT7858" s="10"/>
      <c r="AU7858" s="10"/>
      <c r="AV7858" s="10"/>
      <c r="AW7858" s="10"/>
      <c r="AX7858" s="10"/>
      <c r="AY7858" s="10"/>
      <c r="AZ7858" s="10"/>
    </row>
    <row r="7859" spans="31:52">
      <c r="AE7859" s="10"/>
      <c r="AF7859" s="10"/>
      <c r="AG7859" s="10"/>
      <c r="AH7859" s="10"/>
      <c r="AI7859" s="10"/>
      <c r="AJ7859" s="10"/>
      <c r="AK7859" s="10"/>
      <c r="AL7859" s="10"/>
      <c r="AM7859" s="10"/>
      <c r="AN7859" s="10"/>
      <c r="AO7859" s="10"/>
      <c r="AP7859" s="10"/>
      <c r="AQ7859" s="10"/>
      <c r="AR7859" s="10"/>
      <c r="AS7859" s="10"/>
      <c r="AT7859" s="10"/>
      <c r="AU7859" s="10"/>
      <c r="AV7859" s="10"/>
      <c r="AW7859" s="10"/>
      <c r="AX7859" s="10"/>
      <c r="AY7859" s="10"/>
      <c r="AZ7859" s="10"/>
    </row>
    <row r="7860" spans="31:52">
      <c r="AE7860" s="10"/>
      <c r="AF7860" s="10"/>
      <c r="AG7860" s="10"/>
      <c r="AH7860" s="10"/>
      <c r="AI7860" s="10"/>
      <c r="AJ7860" s="10"/>
      <c r="AK7860" s="10"/>
      <c r="AL7860" s="10"/>
      <c r="AM7860" s="10"/>
      <c r="AN7860" s="10"/>
      <c r="AO7860" s="10"/>
      <c r="AP7860" s="10"/>
      <c r="AQ7860" s="10"/>
      <c r="AR7860" s="10"/>
      <c r="AS7860" s="10"/>
      <c r="AT7860" s="10"/>
      <c r="AU7860" s="10"/>
      <c r="AV7860" s="10"/>
      <c r="AW7860" s="10"/>
      <c r="AX7860" s="10"/>
      <c r="AY7860" s="10"/>
      <c r="AZ7860" s="10"/>
    </row>
    <row r="7861" spans="31:52">
      <c r="AE7861" s="10"/>
      <c r="AF7861" s="10"/>
      <c r="AG7861" s="10"/>
      <c r="AH7861" s="10"/>
      <c r="AI7861" s="10"/>
      <c r="AJ7861" s="10"/>
      <c r="AK7861" s="10"/>
      <c r="AL7861" s="10"/>
      <c r="AM7861" s="10"/>
      <c r="AN7861" s="10"/>
      <c r="AO7861" s="10"/>
      <c r="AP7861" s="10"/>
      <c r="AQ7861" s="10"/>
      <c r="AR7861" s="10"/>
      <c r="AS7861" s="10"/>
      <c r="AT7861" s="10"/>
      <c r="AU7861" s="10"/>
      <c r="AV7861" s="10"/>
      <c r="AW7861" s="10"/>
      <c r="AX7861" s="10"/>
      <c r="AY7861" s="10"/>
      <c r="AZ7861" s="10"/>
    </row>
    <row r="7862" spans="31:52">
      <c r="AE7862" s="10"/>
      <c r="AF7862" s="10"/>
      <c r="AG7862" s="10"/>
      <c r="AH7862" s="10"/>
      <c r="AI7862" s="10"/>
      <c r="AJ7862" s="10"/>
      <c r="AK7862" s="10"/>
      <c r="AL7862" s="10"/>
      <c r="AM7862" s="10"/>
      <c r="AN7862" s="10"/>
      <c r="AO7862" s="10"/>
      <c r="AP7862" s="10"/>
      <c r="AQ7862" s="10"/>
      <c r="AR7862" s="10"/>
      <c r="AS7862" s="10"/>
      <c r="AT7862" s="10"/>
      <c r="AU7862" s="10"/>
      <c r="AV7862" s="10"/>
      <c r="AW7862" s="10"/>
      <c r="AX7862" s="10"/>
      <c r="AY7862" s="10"/>
      <c r="AZ7862" s="10"/>
    </row>
    <row r="7863" spans="31:52">
      <c r="AE7863" s="10"/>
      <c r="AF7863" s="10"/>
      <c r="AG7863" s="10"/>
      <c r="AH7863" s="10"/>
      <c r="AI7863" s="10"/>
      <c r="AJ7863" s="10"/>
      <c r="AK7863" s="10"/>
      <c r="AL7863" s="10"/>
      <c r="AM7863" s="10"/>
      <c r="AN7863" s="10"/>
      <c r="AO7863" s="10"/>
      <c r="AP7863" s="10"/>
      <c r="AQ7863" s="10"/>
      <c r="AR7863" s="10"/>
      <c r="AS7863" s="10"/>
      <c r="AT7863" s="10"/>
      <c r="AU7863" s="10"/>
      <c r="AV7863" s="10"/>
      <c r="AW7863" s="10"/>
      <c r="AX7863" s="10"/>
      <c r="AY7863" s="10"/>
      <c r="AZ7863" s="10"/>
    </row>
    <row r="7864" spans="31:52">
      <c r="AE7864" s="10"/>
      <c r="AF7864" s="10"/>
      <c r="AG7864" s="10"/>
      <c r="AH7864" s="10"/>
      <c r="AI7864" s="10"/>
      <c r="AJ7864" s="10"/>
      <c r="AK7864" s="10"/>
      <c r="AL7864" s="10"/>
      <c r="AM7864" s="10"/>
      <c r="AN7864" s="10"/>
      <c r="AO7864" s="10"/>
      <c r="AP7864" s="10"/>
      <c r="AQ7864" s="10"/>
      <c r="AR7864" s="10"/>
      <c r="AS7864" s="10"/>
      <c r="AT7864" s="10"/>
      <c r="AU7864" s="10"/>
      <c r="AV7864" s="10"/>
      <c r="AW7864" s="10"/>
      <c r="AX7864" s="10"/>
      <c r="AY7864" s="10"/>
      <c r="AZ7864" s="10"/>
    </row>
    <row r="7865" spans="31:52">
      <c r="AE7865" s="10"/>
      <c r="AF7865" s="10"/>
      <c r="AG7865" s="10"/>
      <c r="AH7865" s="10"/>
      <c r="AI7865" s="10"/>
      <c r="AJ7865" s="10"/>
      <c r="AK7865" s="10"/>
      <c r="AL7865" s="10"/>
      <c r="AM7865" s="10"/>
      <c r="AN7865" s="10"/>
      <c r="AO7865" s="10"/>
      <c r="AP7865" s="10"/>
      <c r="AQ7865" s="10"/>
      <c r="AR7865" s="10"/>
      <c r="AS7865" s="10"/>
      <c r="AT7865" s="10"/>
      <c r="AU7865" s="10"/>
      <c r="AV7865" s="10"/>
      <c r="AW7865" s="10"/>
      <c r="AX7865" s="10"/>
      <c r="AY7865" s="10"/>
      <c r="AZ7865" s="10"/>
    </row>
    <row r="7866" spans="31:52">
      <c r="AE7866" s="10"/>
      <c r="AF7866" s="10"/>
      <c r="AG7866" s="10"/>
      <c r="AH7866" s="10"/>
      <c r="AI7866" s="10"/>
      <c r="AJ7866" s="10"/>
      <c r="AK7866" s="10"/>
      <c r="AL7866" s="10"/>
      <c r="AM7866" s="10"/>
      <c r="AN7866" s="10"/>
      <c r="AO7866" s="10"/>
      <c r="AP7866" s="10"/>
      <c r="AQ7866" s="10"/>
      <c r="AR7866" s="10"/>
      <c r="AS7866" s="10"/>
      <c r="AT7866" s="10"/>
      <c r="AU7866" s="10"/>
      <c r="AV7866" s="10"/>
      <c r="AW7866" s="10"/>
      <c r="AX7866" s="10"/>
      <c r="AY7866" s="10"/>
      <c r="AZ7866" s="10"/>
    </row>
    <row r="7867" spans="31:52">
      <c r="AE7867" s="10"/>
      <c r="AF7867" s="10"/>
      <c r="AG7867" s="10"/>
      <c r="AH7867" s="10"/>
      <c r="AI7867" s="10"/>
      <c r="AJ7867" s="10"/>
      <c r="AK7867" s="10"/>
      <c r="AL7867" s="10"/>
      <c r="AM7867" s="10"/>
      <c r="AN7867" s="10"/>
      <c r="AO7867" s="10"/>
      <c r="AP7867" s="10"/>
      <c r="AQ7867" s="10"/>
      <c r="AR7867" s="10"/>
      <c r="AS7867" s="10"/>
      <c r="AT7867" s="10"/>
      <c r="AU7867" s="10"/>
      <c r="AV7867" s="10"/>
      <c r="AW7867" s="10"/>
      <c r="AX7867" s="10"/>
      <c r="AY7867" s="10"/>
      <c r="AZ7867" s="10"/>
    </row>
    <row r="7868" spans="31:52">
      <c r="AE7868" s="10"/>
      <c r="AF7868" s="10"/>
      <c r="AG7868" s="10"/>
      <c r="AH7868" s="10"/>
      <c r="AI7868" s="10"/>
      <c r="AJ7868" s="10"/>
      <c r="AK7868" s="10"/>
      <c r="AL7868" s="10"/>
      <c r="AM7868" s="10"/>
      <c r="AN7868" s="10"/>
      <c r="AO7868" s="10"/>
      <c r="AP7868" s="10"/>
      <c r="AQ7868" s="10"/>
      <c r="AR7868" s="10"/>
      <c r="AS7868" s="10"/>
      <c r="AT7868" s="10"/>
      <c r="AU7868" s="10"/>
      <c r="AV7868" s="10"/>
      <c r="AW7868" s="10"/>
      <c r="AX7868" s="10"/>
      <c r="AY7868" s="10"/>
      <c r="AZ7868" s="10"/>
    </row>
    <row r="7869" spans="31:52">
      <c r="AE7869" s="10"/>
      <c r="AF7869" s="10"/>
      <c r="AG7869" s="10"/>
      <c r="AH7869" s="10"/>
      <c r="AI7869" s="10"/>
      <c r="AJ7869" s="10"/>
      <c r="AK7869" s="10"/>
      <c r="AL7869" s="10"/>
      <c r="AM7869" s="10"/>
      <c r="AN7869" s="10"/>
      <c r="AO7869" s="10"/>
      <c r="AP7869" s="10"/>
      <c r="AQ7869" s="10"/>
      <c r="AR7869" s="10"/>
      <c r="AS7869" s="10"/>
      <c r="AT7869" s="10"/>
      <c r="AU7869" s="10"/>
      <c r="AV7869" s="10"/>
      <c r="AW7869" s="10"/>
      <c r="AX7869" s="10"/>
      <c r="AY7869" s="10"/>
      <c r="AZ7869" s="10"/>
    </row>
    <row r="7870" spans="31:52">
      <c r="AE7870" s="10"/>
      <c r="AF7870" s="10"/>
      <c r="AG7870" s="10"/>
      <c r="AH7870" s="10"/>
      <c r="AI7870" s="10"/>
      <c r="AJ7870" s="10"/>
      <c r="AK7870" s="10"/>
      <c r="AL7870" s="10"/>
      <c r="AM7870" s="10"/>
      <c r="AN7870" s="10"/>
      <c r="AO7870" s="10"/>
      <c r="AP7870" s="10"/>
      <c r="AQ7870" s="10"/>
      <c r="AR7870" s="10"/>
      <c r="AS7870" s="10"/>
      <c r="AT7870" s="10"/>
      <c r="AU7870" s="10"/>
      <c r="AV7870" s="10"/>
      <c r="AW7870" s="10"/>
      <c r="AX7870" s="10"/>
      <c r="AY7870" s="10"/>
      <c r="AZ7870" s="10"/>
    </row>
    <row r="7871" spans="31:52">
      <c r="AE7871" s="10"/>
      <c r="AF7871" s="10"/>
      <c r="AG7871" s="10"/>
      <c r="AH7871" s="10"/>
      <c r="AI7871" s="10"/>
      <c r="AJ7871" s="10"/>
      <c r="AK7871" s="10"/>
      <c r="AL7871" s="10"/>
      <c r="AM7871" s="10"/>
      <c r="AN7871" s="10"/>
      <c r="AO7871" s="10"/>
      <c r="AP7871" s="10"/>
      <c r="AQ7871" s="10"/>
      <c r="AR7871" s="10"/>
      <c r="AS7871" s="10"/>
      <c r="AT7871" s="10"/>
      <c r="AU7871" s="10"/>
      <c r="AV7871" s="10"/>
      <c r="AW7871" s="10"/>
      <c r="AX7871" s="10"/>
      <c r="AY7871" s="10"/>
      <c r="AZ7871" s="10"/>
    </row>
    <row r="7872" spans="31:52">
      <c r="AE7872" s="10"/>
      <c r="AF7872" s="10"/>
      <c r="AG7872" s="10"/>
      <c r="AH7872" s="10"/>
      <c r="AI7872" s="10"/>
      <c r="AJ7872" s="10"/>
      <c r="AK7872" s="10"/>
      <c r="AL7872" s="10"/>
      <c r="AM7872" s="10"/>
      <c r="AN7872" s="10"/>
      <c r="AO7872" s="10"/>
      <c r="AP7872" s="10"/>
      <c r="AQ7872" s="10"/>
      <c r="AR7872" s="10"/>
      <c r="AS7872" s="10"/>
      <c r="AT7872" s="10"/>
      <c r="AU7872" s="10"/>
      <c r="AV7872" s="10"/>
      <c r="AW7872" s="10"/>
      <c r="AX7872" s="10"/>
      <c r="AY7872" s="10"/>
      <c r="AZ7872" s="10"/>
    </row>
    <row r="7873" spans="31:52">
      <c r="AE7873" s="10"/>
      <c r="AF7873" s="10"/>
      <c r="AG7873" s="10"/>
      <c r="AH7873" s="10"/>
      <c r="AI7873" s="10"/>
      <c r="AJ7873" s="10"/>
      <c r="AK7873" s="10"/>
      <c r="AL7873" s="10"/>
      <c r="AM7873" s="10"/>
      <c r="AN7873" s="10"/>
      <c r="AO7873" s="10"/>
      <c r="AP7873" s="10"/>
      <c r="AQ7873" s="10"/>
      <c r="AR7873" s="10"/>
      <c r="AS7873" s="10"/>
      <c r="AT7873" s="10"/>
      <c r="AU7873" s="10"/>
      <c r="AV7873" s="10"/>
      <c r="AW7873" s="10"/>
      <c r="AX7873" s="10"/>
      <c r="AY7873" s="10"/>
      <c r="AZ7873" s="10"/>
    </row>
    <row r="7874" spans="31:52">
      <c r="AE7874" s="10"/>
      <c r="AF7874" s="10"/>
      <c r="AG7874" s="10"/>
      <c r="AH7874" s="10"/>
      <c r="AI7874" s="10"/>
      <c r="AJ7874" s="10"/>
      <c r="AK7874" s="10"/>
      <c r="AL7874" s="10"/>
      <c r="AM7874" s="10"/>
      <c r="AN7874" s="10"/>
      <c r="AO7874" s="10"/>
      <c r="AP7874" s="10"/>
      <c r="AQ7874" s="10"/>
      <c r="AR7874" s="10"/>
      <c r="AS7874" s="10"/>
      <c r="AT7874" s="10"/>
      <c r="AU7874" s="10"/>
      <c r="AV7874" s="10"/>
      <c r="AW7874" s="10"/>
      <c r="AX7874" s="10"/>
      <c r="AY7874" s="10"/>
      <c r="AZ7874" s="10"/>
    </row>
    <row r="7875" spans="31:52">
      <c r="AE7875" s="10"/>
      <c r="AF7875" s="10"/>
      <c r="AG7875" s="10"/>
      <c r="AH7875" s="10"/>
      <c r="AI7875" s="10"/>
      <c r="AJ7875" s="10"/>
      <c r="AK7875" s="10"/>
      <c r="AL7875" s="10"/>
      <c r="AM7875" s="10"/>
      <c r="AN7875" s="10"/>
      <c r="AO7875" s="10"/>
      <c r="AP7875" s="10"/>
      <c r="AQ7875" s="10"/>
      <c r="AR7875" s="10"/>
      <c r="AS7875" s="10"/>
      <c r="AT7875" s="10"/>
      <c r="AU7875" s="10"/>
      <c r="AV7875" s="10"/>
      <c r="AW7875" s="10"/>
      <c r="AX7875" s="10"/>
      <c r="AY7875" s="10"/>
      <c r="AZ7875" s="10"/>
    </row>
    <row r="7876" spans="31:52">
      <c r="AE7876" s="10"/>
      <c r="AF7876" s="10"/>
      <c r="AG7876" s="10"/>
      <c r="AH7876" s="10"/>
      <c r="AI7876" s="10"/>
      <c r="AJ7876" s="10"/>
      <c r="AK7876" s="10"/>
      <c r="AL7876" s="10"/>
      <c r="AM7876" s="10"/>
      <c r="AN7876" s="10"/>
      <c r="AO7876" s="10"/>
      <c r="AP7876" s="10"/>
      <c r="AQ7876" s="10"/>
      <c r="AR7876" s="10"/>
      <c r="AS7876" s="10"/>
      <c r="AT7876" s="10"/>
      <c r="AU7876" s="10"/>
      <c r="AV7876" s="10"/>
      <c r="AW7876" s="10"/>
      <c r="AX7876" s="10"/>
      <c r="AY7876" s="10"/>
      <c r="AZ7876" s="10"/>
    </row>
    <row r="7877" spans="31:52">
      <c r="AE7877" s="10"/>
      <c r="AF7877" s="10"/>
      <c r="AG7877" s="10"/>
      <c r="AH7877" s="10"/>
      <c r="AI7877" s="10"/>
      <c r="AJ7877" s="10"/>
      <c r="AK7877" s="10"/>
      <c r="AL7877" s="10"/>
      <c r="AM7877" s="10"/>
      <c r="AN7877" s="10"/>
      <c r="AO7877" s="10"/>
      <c r="AP7877" s="10"/>
      <c r="AQ7877" s="10"/>
      <c r="AR7877" s="10"/>
      <c r="AS7877" s="10"/>
      <c r="AT7877" s="10"/>
      <c r="AU7877" s="10"/>
      <c r="AV7877" s="10"/>
      <c r="AW7877" s="10"/>
      <c r="AX7877" s="10"/>
      <c r="AY7877" s="10"/>
      <c r="AZ7877" s="10"/>
    </row>
    <row r="7878" spans="31:52">
      <c r="AE7878" s="10"/>
      <c r="AF7878" s="10"/>
      <c r="AG7878" s="10"/>
      <c r="AH7878" s="10"/>
      <c r="AI7878" s="10"/>
      <c r="AJ7878" s="10"/>
      <c r="AK7878" s="10"/>
      <c r="AL7878" s="10"/>
      <c r="AM7878" s="10"/>
      <c r="AN7878" s="10"/>
      <c r="AO7878" s="10"/>
      <c r="AP7878" s="10"/>
      <c r="AQ7878" s="10"/>
      <c r="AR7878" s="10"/>
      <c r="AS7878" s="10"/>
      <c r="AT7878" s="10"/>
      <c r="AU7878" s="10"/>
      <c r="AV7878" s="10"/>
      <c r="AW7878" s="10"/>
      <c r="AX7878" s="10"/>
      <c r="AY7878" s="10"/>
      <c r="AZ7878" s="10"/>
    </row>
    <row r="7879" spans="31:52">
      <c r="AE7879" s="10"/>
      <c r="AF7879" s="10"/>
      <c r="AG7879" s="10"/>
      <c r="AH7879" s="10"/>
      <c r="AI7879" s="10"/>
      <c r="AJ7879" s="10"/>
      <c r="AK7879" s="10"/>
      <c r="AL7879" s="10"/>
      <c r="AM7879" s="10"/>
      <c r="AN7879" s="10"/>
      <c r="AO7879" s="10"/>
      <c r="AP7879" s="10"/>
      <c r="AQ7879" s="10"/>
      <c r="AR7879" s="10"/>
      <c r="AS7879" s="10"/>
      <c r="AT7879" s="10"/>
      <c r="AU7879" s="10"/>
      <c r="AV7879" s="10"/>
      <c r="AW7879" s="10"/>
      <c r="AX7879" s="10"/>
      <c r="AY7879" s="10"/>
      <c r="AZ7879" s="10"/>
    </row>
    <row r="7880" spans="31:52">
      <c r="AE7880" s="10"/>
      <c r="AF7880" s="10"/>
      <c r="AG7880" s="10"/>
      <c r="AH7880" s="10"/>
      <c r="AI7880" s="10"/>
      <c r="AJ7880" s="10"/>
      <c r="AK7880" s="10"/>
      <c r="AL7880" s="10"/>
      <c r="AM7880" s="10"/>
      <c r="AN7880" s="10"/>
      <c r="AO7880" s="10"/>
      <c r="AP7880" s="10"/>
      <c r="AQ7880" s="10"/>
      <c r="AR7880" s="10"/>
      <c r="AS7880" s="10"/>
      <c r="AT7880" s="10"/>
      <c r="AU7880" s="10"/>
      <c r="AV7880" s="10"/>
      <c r="AW7880" s="10"/>
      <c r="AX7880" s="10"/>
      <c r="AY7880" s="10"/>
      <c r="AZ7880" s="10"/>
    </row>
    <row r="7881" spans="31:52">
      <c r="AE7881" s="10"/>
      <c r="AF7881" s="10"/>
      <c r="AG7881" s="10"/>
      <c r="AH7881" s="10"/>
      <c r="AI7881" s="10"/>
      <c r="AJ7881" s="10"/>
      <c r="AK7881" s="10"/>
      <c r="AL7881" s="10"/>
      <c r="AM7881" s="10"/>
      <c r="AN7881" s="10"/>
      <c r="AO7881" s="10"/>
      <c r="AP7881" s="10"/>
      <c r="AQ7881" s="10"/>
      <c r="AR7881" s="10"/>
      <c r="AS7881" s="10"/>
      <c r="AT7881" s="10"/>
      <c r="AU7881" s="10"/>
      <c r="AV7881" s="10"/>
      <c r="AW7881" s="10"/>
      <c r="AX7881" s="10"/>
      <c r="AY7881" s="10"/>
      <c r="AZ7881" s="10"/>
    </row>
    <row r="7882" spans="31:52">
      <c r="AE7882" s="10"/>
      <c r="AF7882" s="10"/>
      <c r="AG7882" s="10"/>
      <c r="AH7882" s="10"/>
      <c r="AI7882" s="10"/>
      <c r="AJ7882" s="10"/>
      <c r="AK7882" s="10"/>
      <c r="AL7882" s="10"/>
      <c r="AM7882" s="10"/>
      <c r="AN7882" s="10"/>
      <c r="AO7882" s="10"/>
      <c r="AP7882" s="10"/>
      <c r="AQ7882" s="10"/>
      <c r="AR7882" s="10"/>
      <c r="AS7882" s="10"/>
      <c r="AT7882" s="10"/>
      <c r="AU7882" s="10"/>
      <c r="AV7882" s="10"/>
      <c r="AW7882" s="10"/>
      <c r="AX7882" s="10"/>
      <c r="AY7882" s="10"/>
      <c r="AZ7882" s="10"/>
    </row>
    <row r="7883" spans="31:52">
      <c r="AE7883" s="10"/>
      <c r="AF7883" s="10"/>
      <c r="AG7883" s="10"/>
      <c r="AH7883" s="10"/>
      <c r="AI7883" s="10"/>
      <c r="AJ7883" s="10"/>
      <c r="AK7883" s="10"/>
      <c r="AL7883" s="10"/>
      <c r="AM7883" s="10"/>
      <c r="AN7883" s="10"/>
      <c r="AO7883" s="10"/>
      <c r="AP7883" s="10"/>
      <c r="AQ7883" s="10"/>
      <c r="AR7883" s="10"/>
      <c r="AS7883" s="10"/>
      <c r="AT7883" s="10"/>
      <c r="AU7883" s="10"/>
      <c r="AV7883" s="10"/>
      <c r="AW7883" s="10"/>
      <c r="AX7883" s="10"/>
      <c r="AY7883" s="10"/>
      <c r="AZ7883" s="10"/>
    </row>
    <row r="7884" spans="31:52">
      <c r="AE7884" s="10"/>
      <c r="AF7884" s="10"/>
      <c r="AG7884" s="10"/>
      <c r="AH7884" s="10"/>
      <c r="AI7884" s="10"/>
      <c r="AJ7884" s="10"/>
      <c r="AK7884" s="10"/>
      <c r="AL7884" s="10"/>
      <c r="AM7884" s="10"/>
      <c r="AN7884" s="10"/>
      <c r="AO7884" s="10"/>
      <c r="AP7884" s="10"/>
      <c r="AQ7884" s="10"/>
      <c r="AR7884" s="10"/>
      <c r="AS7884" s="10"/>
      <c r="AT7884" s="10"/>
      <c r="AU7884" s="10"/>
      <c r="AV7884" s="10"/>
      <c r="AW7884" s="10"/>
      <c r="AX7884" s="10"/>
      <c r="AY7884" s="10"/>
      <c r="AZ7884" s="10"/>
    </row>
    <row r="7885" spans="31:52">
      <c r="AE7885" s="10"/>
      <c r="AF7885" s="10"/>
      <c r="AG7885" s="10"/>
      <c r="AH7885" s="10"/>
      <c r="AI7885" s="10"/>
      <c r="AJ7885" s="10"/>
      <c r="AK7885" s="10"/>
      <c r="AL7885" s="10"/>
      <c r="AM7885" s="10"/>
      <c r="AN7885" s="10"/>
      <c r="AO7885" s="10"/>
      <c r="AP7885" s="10"/>
      <c r="AQ7885" s="10"/>
      <c r="AR7885" s="10"/>
      <c r="AS7885" s="10"/>
      <c r="AT7885" s="10"/>
      <c r="AU7885" s="10"/>
      <c r="AV7885" s="10"/>
      <c r="AW7885" s="10"/>
      <c r="AX7885" s="10"/>
      <c r="AY7885" s="10"/>
      <c r="AZ7885" s="10"/>
    </row>
    <row r="7886" spans="31:52">
      <c r="AE7886" s="10"/>
      <c r="AF7886" s="10"/>
      <c r="AG7886" s="10"/>
      <c r="AH7886" s="10"/>
      <c r="AI7886" s="10"/>
      <c r="AJ7886" s="10"/>
      <c r="AK7886" s="10"/>
      <c r="AL7886" s="10"/>
      <c r="AM7886" s="10"/>
      <c r="AN7886" s="10"/>
      <c r="AO7886" s="10"/>
      <c r="AP7886" s="10"/>
      <c r="AQ7886" s="10"/>
      <c r="AR7886" s="10"/>
      <c r="AS7886" s="10"/>
      <c r="AT7886" s="10"/>
      <c r="AU7886" s="10"/>
      <c r="AV7886" s="10"/>
      <c r="AW7886" s="10"/>
      <c r="AX7886" s="10"/>
      <c r="AY7886" s="10"/>
      <c r="AZ7886" s="10"/>
    </row>
    <row r="7887" spans="31:52">
      <c r="AE7887" s="10"/>
      <c r="AF7887" s="10"/>
      <c r="AG7887" s="10"/>
      <c r="AH7887" s="10"/>
      <c r="AI7887" s="10"/>
      <c r="AJ7887" s="10"/>
      <c r="AK7887" s="10"/>
      <c r="AL7887" s="10"/>
      <c r="AM7887" s="10"/>
      <c r="AN7887" s="10"/>
      <c r="AO7887" s="10"/>
      <c r="AP7887" s="10"/>
      <c r="AQ7887" s="10"/>
      <c r="AR7887" s="10"/>
      <c r="AS7887" s="10"/>
      <c r="AT7887" s="10"/>
      <c r="AU7887" s="10"/>
      <c r="AV7887" s="10"/>
      <c r="AW7887" s="10"/>
      <c r="AX7887" s="10"/>
      <c r="AY7887" s="10"/>
      <c r="AZ7887" s="10"/>
    </row>
    <row r="7888" spans="31:52">
      <c r="AE7888" s="10"/>
      <c r="AF7888" s="10"/>
      <c r="AG7888" s="10"/>
      <c r="AH7888" s="10"/>
      <c r="AI7888" s="10"/>
      <c r="AJ7888" s="10"/>
      <c r="AK7888" s="10"/>
      <c r="AL7888" s="10"/>
      <c r="AM7888" s="10"/>
      <c r="AN7888" s="10"/>
      <c r="AO7888" s="10"/>
      <c r="AP7888" s="10"/>
      <c r="AQ7888" s="10"/>
      <c r="AR7888" s="10"/>
      <c r="AS7888" s="10"/>
      <c r="AT7888" s="10"/>
      <c r="AU7888" s="10"/>
      <c r="AV7888" s="10"/>
      <c r="AW7888" s="10"/>
      <c r="AX7888" s="10"/>
      <c r="AY7888" s="10"/>
      <c r="AZ7888" s="10"/>
    </row>
    <row r="7889" spans="31:52">
      <c r="AE7889" s="10"/>
      <c r="AF7889" s="10"/>
      <c r="AG7889" s="10"/>
      <c r="AH7889" s="10"/>
      <c r="AI7889" s="10"/>
      <c r="AJ7889" s="10"/>
      <c r="AK7889" s="10"/>
      <c r="AL7889" s="10"/>
      <c r="AM7889" s="10"/>
      <c r="AN7889" s="10"/>
      <c r="AO7889" s="10"/>
      <c r="AP7889" s="10"/>
      <c r="AQ7889" s="10"/>
      <c r="AR7889" s="10"/>
      <c r="AS7889" s="10"/>
      <c r="AT7889" s="10"/>
      <c r="AU7889" s="10"/>
      <c r="AV7889" s="10"/>
      <c r="AW7889" s="10"/>
      <c r="AX7889" s="10"/>
      <c r="AY7889" s="10"/>
      <c r="AZ7889" s="10"/>
    </row>
    <row r="7890" spans="31:52">
      <c r="AE7890" s="10"/>
      <c r="AF7890" s="10"/>
      <c r="AG7890" s="10"/>
      <c r="AH7890" s="10"/>
      <c r="AI7890" s="10"/>
      <c r="AJ7890" s="10"/>
      <c r="AK7890" s="10"/>
      <c r="AL7890" s="10"/>
      <c r="AM7890" s="10"/>
      <c r="AN7890" s="10"/>
      <c r="AO7890" s="10"/>
      <c r="AP7890" s="10"/>
      <c r="AQ7890" s="10"/>
      <c r="AR7890" s="10"/>
      <c r="AS7890" s="10"/>
      <c r="AT7890" s="10"/>
      <c r="AU7890" s="10"/>
      <c r="AV7890" s="10"/>
      <c r="AW7890" s="10"/>
      <c r="AX7890" s="10"/>
      <c r="AY7890" s="10"/>
      <c r="AZ7890" s="10"/>
    </row>
    <row r="7891" spans="31:52">
      <c r="AE7891" s="10"/>
      <c r="AF7891" s="10"/>
      <c r="AG7891" s="10"/>
      <c r="AH7891" s="10"/>
      <c r="AI7891" s="10"/>
      <c r="AJ7891" s="10"/>
      <c r="AK7891" s="10"/>
      <c r="AL7891" s="10"/>
      <c r="AM7891" s="10"/>
      <c r="AN7891" s="10"/>
      <c r="AO7891" s="10"/>
      <c r="AP7891" s="10"/>
      <c r="AQ7891" s="10"/>
      <c r="AR7891" s="10"/>
      <c r="AS7891" s="10"/>
      <c r="AT7891" s="10"/>
      <c r="AU7891" s="10"/>
      <c r="AV7891" s="10"/>
      <c r="AW7891" s="10"/>
      <c r="AX7891" s="10"/>
      <c r="AY7891" s="10"/>
      <c r="AZ7891" s="10"/>
    </row>
    <row r="7892" spans="31:52">
      <c r="AE7892" s="10"/>
      <c r="AF7892" s="10"/>
      <c r="AG7892" s="10"/>
      <c r="AH7892" s="10"/>
      <c r="AI7892" s="10"/>
      <c r="AJ7892" s="10"/>
      <c r="AK7892" s="10"/>
      <c r="AL7892" s="10"/>
      <c r="AM7892" s="10"/>
      <c r="AN7892" s="10"/>
      <c r="AO7892" s="10"/>
      <c r="AP7892" s="10"/>
      <c r="AQ7892" s="10"/>
      <c r="AR7892" s="10"/>
      <c r="AS7892" s="10"/>
      <c r="AT7892" s="10"/>
      <c r="AU7892" s="10"/>
      <c r="AV7892" s="10"/>
      <c r="AW7892" s="10"/>
      <c r="AX7892" s="10"/>
      <c r="AY7892" s="10"/>
      <c r="AZ7892" s="10"/>
    </row>
    <row r="7893" spans="31:52">
      <c r="AE7893" s="10"/>
      <c r="AF7893" s="10"/>
      <c r="AG7893" s="10"/>
      <c r="AH7893" s="10"/>
      <c r="AI7893" s="10"/>
      <c r="AJ7893" s="10"/>
      <c r="AK7893" s="10"/>
      <c r="AL7893" s="10"/>
      <c r="AM7893" s="10"/>
      <c r="AN7893" s="10"/>
      <c r="AO7893" s="10"/>
      <c r="AP7893" s="10"/>
      <c r="AQ7893" s="10"/>
      <c r="AR7893" s="10"/>
      <c r="AS7893" s="10"/>
      <c r="AT7893" s="10"/>
      <c r="AU7893" s="10"/>
      <c r="AV7893" s="10"/>
      <c r="AW7893" s="10"/>
      <c r="AX7893" s="10"/>
      <c r="AY7893" s="10"/>
      <c r="AZ7893" s="10"/>
    </row>
    <row r="7894" spans="31:52">
      <c r="AE7894" s="10"/>
      <c r="AF7894" s="10"/>
      <c r="AG7894" s="10"/>
      <c r="AH7894" s="10"/>
      <c r="AI7894" s="10"/>
      <c r="AJ7894" s="10"/>
      <c r="AK7894" s="10"/>
      <c r="AL7894" s="10"/>
      <c r="AM7894" s="10"/>
      <c r="AN7894" s="10"/>
      <c r="AO7894" s="10"/>
      <c r="AP7894" s="10"/>
      <c r="AQ7894" s="10"/>
      <c r="AR7894" s="10"/>
      <c r="AS7894" s="10"/>
      <c r="AT7894" s="10"/>
      <c r="AU7894" s="10"/>
      <c r="AV7894" s="10"/>
      <c r="AW7894" s="10"/>
      <c r="AX7894" s="10"/>
      <c r="AY7894" s="10"/>
      <c r="AZ7894" s="10"/>
    </row>
    <row r="7895" spans="31:52">
      <c r="AE7895" s="10"/>
      <c r="AF7895" s="10"/>
      <c r="AG7895" s="10"/>
      <c r="AH7895" s="10"/>
      <c r="AI7895" s="10"/>
      <c r="AJ7895" s="10"/>
      <c r="AK7895" s="10"/>
      <c r="AL7895" s="10"/>
      <c r="AM7895" s="10"/>
      <c r="AN7895" s="10"/>
      <c r="AO7895" s="10"/>
      <c r="AP7895" s="10"/>
      <c r="AQ7895" s="10"/>
      <c r="AR7895" s="10"/>
      <c r="AS7895" s="10"/>
      <c r="AT7895" s="10"/>
      <c r="AU7895" s="10"/>
      <c r="AV7895" s="10"/>
      <c r="AW7895" s="10"/>
      <c r="AX7895" s="10"/>
      <c r="AY7895" s="10"/>
      <c r="AZ7895" s="10"/>
    </row>
    <row r="7896" spans="31:52">
      <c r="AE7896" s="10"/>
      <c r="AF7896" s="10"/>
      <c r="AG7896" s="10"/>
      <c r="AH7896" s="10"/>
      <c r="AI7896" s="10"/>
      <c r="AJ7896" s="10"/>
      <c r="AK7896" s="10"/>
      <c r="AL7896" s="10"/>
      <c r="AM7896" s="10"/>
      <c r="AN7896" s="10"/>
      <c r="AO7896" s="10"/>
      <c r="AP7896" s="10"/>
      <c r="AQ7896" s="10"/>
      <c r="AR7896" s="10"/>
      <c r="AS7896" s="10"/>
      <c r="AT7896" s="10"/>
      <c r="AU7896" s="10"/>
      <c r="AV7896" s="10"/>
      <c r="AW7896" s="10"/>
      <c r="AX7896" s="10"/>
      <c r="AY7896" s="10"/>
      <c r="AZ7896" s="10"/>
    </row>
    <row r="7897" spans="31:52">
      <c r="AE7897" s="10"/>
      <c r="AF7897" s="10"/>
      <c r="AG7897" s="10"/>
      <c r="AH7897" s="10"/>
      <c r="AI7897" s="10"/>
      <c r="AJ7897" s="10"/>
      <c r="AK7897" s="10"/>
      <c r="AL7897" s="10"/>
      <c r="AM7897" s="10"/>
      <c r="AN7897" s="10"/>
      <c r="AO7897" s="10"/>
      <c r="AP7897" s="10"/>
      <c r="AQ7897" s="10"/>
      <c r="AR7897" s="10"/>
      <c r="AS7897" s="10"/>
      <c r="AT7897" s="10"/>
      <c r="AU7897" s="10"/>
      <c r="AV7897" s="10"/>
      <c r="AW7897" s="10"/>
      <c r="AX7897" s="10"/>
      <c r="AY7897" s="10"/>
      <c r="AZ7897" s="10"/>
    </row>
    <row r="7898" spans="31:52">
      <c r="AE7898" s="10"/>
      <c r="AF7898" s="10"/>
      <c r="AG7898" s="10"/>
      <c r="AH7898" s="10"/>
      <c r="AI7898" s="10"/>
      <c r="AJ7898" s="10"/>
      <c r="AK7898" s="10"/>
      <c r="AL7898" s="10"/>
      <c r="AM7898" s="10"/>
      <c r="AN7898" s="10"/>
      <c r="AO7898" s="10"/>
      <c r="AP7898" s="10"/>
      <c r="AQ7898" s="10"/>
      <c r="AR7898" s="10"/>
      <c r="AS7898" s="10"/>
      <c r="AT7898" s="10"/>
      <c r="AU7898" s="10"/>
      <c r="AV7898" s="10"/>
      <c r="AW7898" s="10"/>
      <c r="AX7898" s="10"/>
      <c r="AY7898" s="10"/>
      <c r="AZ7898" s="10"/>
    </row>
    <row r="7899" spans="31:52">
      <c r="AE7899" s="10"/>
      <c r="AF7899" s="10"/>
      <c r="AG7899" s="10"/>
      <c r="AH7899" s="10"/>
      <c r="AI7899" s="10"/>
      <c r="AJ7899" s="10"/>
      <c r="AK7899" s="10"/>
      <c r="AL7899" s="10"/>
      <c r="AM7899" s="10"/>
      <c r="AN7899" s="10"/>
      <c r="AO7899" s="10"/>
      <c r="AP7899" s="10"/>
      <c r="AQ7899" s="10"/>
      <c r="AR7899" s="10"/>
      <c r="AS7899" s="10"/>
      <c r="AT7899" s="10"/>
      <c r="AU7899" s="10"/>
      <c r="AV7899" s="10"/>
      <c r="AW7899" s="10"/>
      <c r="AX7899" s="10"/>
      <c r="AY7899" s="10"/>
      <c r="AZ7899" s="10"/>
    </row>
    <row r="7900" spans="31:52">
      <c r="AE7900" s="10"/>
      <c r="AF7900" s="10"/>
      <c r="AG7900" s="10"/>
      <c r="AH7900" s="10"/>
      <c r="AI7900" s="10"/>
      <c r="AJ7900" s="10"/>
      <c r="AK7900" s="10"/>
      <c r="AL7900" s="10"/>
      <c r="AM7900" s="10"/>
      <c r="AN7900" s="10"/>
      <c r="AO7900" s="10"/>
      <c r="AP7900" s="10"/>
      <c r="AQ7900" s="10"/>
      <c r="AR7900" s="10"/>
      <c r="AS7900" s="10"/>
      <c r="AT7900" s="10"/>
      <c r="AU7900" s="10"/>
      <c r="AV7900" s="10"/>
      <c r="AW7900" s="10"/>
      <c r="AX7900" s="10"/>
      <c r="AY7900" s="10"/>
      <c r="AZ7900" s="10"/>
    </row>
    <row r="7901" spans="31:52">
      <c r="AE7901" s="10"/>
      <c r="AF7901" s="10"/>
      <c r="AG7901" s="10"/>
      <c r="AH7901" s="10"/>
      <c r="AI7901" s="10"/>
      <c r="AJ7901" s="10"/>
      <c r="AK7901" s="10"/>
      <c r="AL7901" s="10"/>
      <c r="AM7901" s="10"/>
      <c r="AN7901" s="10"/>
      <c r="AO7901" s="10"/>
      <c r="AP7901" s="10"/>
      <c r="AQ7901" s="10"/>
      <c r="AR7901" s="10"/>
      <c r="AS7901" s="10"/>
      <c r="AT7901" s="10"/>
      <c r="AU7901" s="10"/>
      <c r="AV7901" s="10"/>
      <c r="AW7901" s="10"/>
      <c r="AX7901" s="10"/>
      <c r="AY7901" s="10"/>
      <c r="AZ7901" s="10"/>
    </row>
    <row r="7902" spans="31:52">
      <c r="AE7902" s="10"/>
      <c r="AF7902" s="10"/>
      <c r="AG7902" s="10"/>
      <c r="AH7902" s="10"/>
      <c r="AI7902" s="10"/>
      <c r="AJ7902" s="10"/>
      <c r="AK7902" s="10"/>
      <c r="AL7902" s="10"/>
      <c r="AM7902" s="10"/>
      <c r="AN7902" s="10"/>
      <c r="AO7902" s="10"/>
      <c r="AP7902" s="10"/>
      <c r="AQ7902" s="10"/>
      <c r="AR7902" s="10"/>
      <c r="AS7902" s="10"/>
      <c r="AT7902" s="10"/>
      <c r="AU7902" s="10"/>
      <c r="AV7902" s="10"/>
      <c r="AW7902" s="10"/>
      <c r="AX7902" s="10"/>
      <c r="AY7902" s="10"/>
      <c r="AZ7902" s="10"/>
    </row>
    <row r="7903" spans="31:52">
      <c r="AE7903" s="10"/>
      <c r="AF7903" s="10"/>
      <c r="AG7903" s="10"/>
      <c r="AH7903" s="10"/>
      <c r="AI7903" s="10"/>
      <c r="AJ7903" s="10"/>
      <c r="AK7903" s="10"/>
      <c r="AL7903" s="10"/>
      <c r="AM7903" s="10"/>
      <c r="AN7903" s="10"/>
      <c r="AO7903" s="10"/>
      <c r="AP7903" s="10"/>
      <c r="AQ7903" s="10"/>
      <c r="AR7903" s="10"/>
      <c r="AS7903" s="10"/>
      <c r="AT7903" s="10"/>
      <c r="AU7903" s="10"/>
      <c r="AV7903" s="10"/>
      <c r="AW7903" s="10"/>
      <c r="AX7903" s="10"/>
      <c r="AY7903" s="10"/>
      <c r="AZ7903" s="10"/>
    </row>
    <row r="7904" spans="31:52">
      <c r="AE7904" s="10"/>
      <c r="AF7904" s="10"/>
      <c r="AG7904" s="10"/>
      <c r="AH7904" s="10"/>
      <c r="AI7904" s="10"/>
      <c r="AJ7904" s="10"/>
      <c r="AK7904" s="10"/>
      <c r="AL7904" s="10"/>
      <c r="AM7904" s="10"/>
      <c r="AN7904" s="10"/>
      <c r="AO7904" s="10"/>
      <c r="AP7904" s="10"/>
      <c r="AQ7904" s="10"/>
      <c r="AR7904" s="10"/>
      <c r="AS7904" s="10"/>
      <c r="AT7904" s="10"/>
      <c r="AU7904" s="10"/>
      <c r="AV7904" s="10"/>
      <c r="AW7904" s="10"/>
      <c r="AX7904" s="10"/>
      <c r="AY7904" s="10"/>
      <c r="AZ7904" s="10"/>
    </row>
    <row r="7905" spans="31:52">
      <c r="AE7905" s="10"/>
      <c r="AF7905" s="10"/>
      <c r="AG7905" s="10"/>
      <c r="AH7905" s="10"/>
      <c r="AI7905" s="10"/>
      <c r="AJ7905" s="10"/>
      <c r="AK7905" s="10"/>
      <c r="AL7905" s="10"/>
      <c r="AM7905" s="10"/>
      <c r="AN7905" s="10"/>
      <c r="AO7905" s="10"/>
      <c r="AP7905" s="10"/>
      <c r="AQ7905" s="10"/>
      <c r="AR7905" s="10"/>
      <c r="AS7905" s="10"/>
      <c r="AT7905" s="10"/>
      <c r="AU7905" s="10"/>
      <c r="AV7905" s="10"/>
      <c r="AW7905" s="10"/>
      <c r="AX7905" s="10"/>
      <c r="AY7905" s="10"/>
      <c r="AZ7905" s="10"/>
    </row>
    <row r="7906" spans="31:52">
      <c r="AE7906" s="10"/>
      <c r="AF7906" s="10"/>
      <c r="AG7906" s="10"/>
      <c r="AH7906" s="10"/>
      <c r="AI7906" s="10"/>
      <c r="AJ7906" s="10"/>
      <c r="AK7906" s="10"/>
      <c r="AL7906" s="10"/>
      <c r="AM7906" s="10"/>
      <c r="AN7906" s="10"/>
      <c r="AO7906" s="10"/>
      <c r="AP7906" s="10"/>
      <c r="AQ7906" s="10"/>
      <c r="AR7906" s="10"/>
      <c r="AS7906" s="10"/>
      <c r="AT7906" s="10"/>
      <c r="AU7906" s="10"/>
      <c r="AV7906" s="10"/>
      <c r="AW7906" s="10"/>
      <c r="AX7906" s="10"/>
      <c r="AY7906" s="10"/>
      <c r="AZ7906" s="10"/>
    </row>
    <row r="7907" spans="31:52">
      <c r="AE7907" s="10"/>
      <c r="AF7907" s="10"/>
      <c r="AG7907" s="10"/>
      <c r="AH7907" s="10"/>
      <c r="AI7907" s="10"/>
      <c r="AJ7907" s="10"/>
      <c r="AK7907" s="10"/>
      <c r="AL7907" s="10"/>
      <c r="AM7907" s="10"/>
      <c r="AN7907" s="10"/>
      <c r="AO7907" s="10"/>
      <c r="AP7907" s="10"/>
      <c r="AQ7907" s="10"/>
      <c r="AR7907" s="10"/>
      <c r="AS7907" s="10"/>
      <c r="AT7907" s="10"/>
      <c r="AU7907" s="10"/>
      <c r="AV7907" s="10"/>
      <c r="AW7907" s="10"/>
      <c r="AX7907" s="10"/>
      <c r="AY7907" s="10"/>
      <c r="AZ7907" s="10"/>
    </row>
    <row r="7908" spans="31:52">
      <c r="AE7908" s="10"/>
      <c r="AF7908" s="10"/>
      <c r="AG7908" s="10"/>
      <c r="AH7908" s="10"/>
      <c r="AI7908" s="10"/>
      <c r="AJ7908" s="10"/>
      <c r="AK7908" s="10"/>
      <c r="AL7908" s="10"/>
      <c r="AM7908" s="10"/>
      <c r="AN7908" s="10"/>
      <c r="AO7908" s="10"/>
      <c r="AP7908" s="10"/>
      <c r="AQ7908" s="10"/>
      <c r="AR7908" s="10"/>
      <c r="AS7908" s="10"/>
      <c r="AT7908" s="10"/>
      <c r="AU7908" s="10"/>
      <c r="AV7908" s="10"/>
      <c r="AW7908" s="10"/>
      <c r="AX7908" s="10"/>
      <c r="AY7908" s="10"/>
      <c r="AZ7908" s="10"/>
    </row>
    <row r="7909" spans="31:52">
      <c r="AE7909" s="10"/>
      <c r="AF7909" s="10"/>
      <c r="AG7909" s="10"/>
      <c r="AH7909" s="10"/>
      <c r="AI7909" s="10"/>
      <c r="AJ7909" s="10"/>
      <c r="AK7909" s="10"/>
      <c r="AL7909" s="10"/>
      <c r="AM7909" s="10"/>
      <c r="AN7909" s="10"/>
      <c r="AO7909" s="10"/>
      <c r="AP7909" s="10"/>
      <c r="AQ7909" s="10"/>
      <c r="AR7909" s="10"/>
      <c r="AS7909" s="10"/>
      <c r="AT7909" s="10"/>
      <c r="AU7909" s="10"/>
      <c r="AV7909" s="10"/>
      <c r="AW7909" s="10"/>
      <c r="AX7909" s="10"/>
      <c r="AY7909" s="10"/>
      <c r="AZ7909" s="10"/>
    </row>
    <row r="7910" spans="31:52">
      <c r="AE7910" s="10"/>
      <c r="AF7910" s="10"/>
      <c r="AG7910" s="10"/>
      <c r="AH7910" s="10"/>
      <c r="AI7910" s="10"/>
      <c r="AJ7910" s="10"/>
      <c r="AK7910" s="10"/>
      <c r="AL7910" s="10"/>
      <c r="AM7910" s="10"/>
      <c r="AN7910" s="10"/>
      <c r="AO7910" s="10"/>
      <c r="AP7910" s="10"/>
      <c r="AQ7910" s="10"/>
      <c r="AR7910" s="10"/>
      <c r="AS7910" s="10"/>
      <c r="AT7910" s="10"/>
      <c r="AU7910" s="10"/>
      <c r="AV7910" s="10"/>
      <c r="AW7910" s="10"/>
      <c r="AX7910" s="10"/>
      <c r="AY7910" s="10"/>
      <c r="AZ7910" s="10"/>
    </row>
    <row r="7911" spans="31:52">
      <c r="AE7911" s="10"/>
      <c r="AF7911" s="10"/>
      <c r="AG7911" s="10"/>
      <c r="AH7911" s="10"/>
      <c r="AI7911" s="10"/>
      <c r="AJ7911" s="10"/>
      <c r="AK7911" s="10"/>
      <c r="AL7911" s="10"/>
      <c r="AM7911" s="10"/>
      <c r="AN7911" s="10"/>
      <c r="AO7911" s="10"/>
      <c r="AP7911" s="10"/>
      <c r="AQ7911" s="10"/>
      <c r="AR7911" s="10"/>
      <c r="AS7911" s="10"/>
      <c r="AT7911" s="10"/>
      <c r="AU7911" s="10"/>
      <c r="AV7911" s="10"/>
      <c r="AW7911" s="10"/>
      <c r="AX7911" s="10"/>
      <c r="AY7911" s="10"/>
      <c r="AZ7911" s="10"/>
    </row>
    <row r="7912" spans="31:52">
      <c r="AE7912" s="10"/>
      <c r="AF7912" s="10"/>
      <c r="AG7912" s="10"/>
      <c r="AH7912" s="10"/>
      <c r="AI7912" s="10"/>
      <c r="AJ7912" s="10"/>
      <c r="AK7912" s="10"/>
      <c r="AL7912" s="10"/>
      <c r="AM7912" s="10"/>
      <c r="AN7912" s="10"/>
      <c r="AO7912" s="10"/>
      <c r="AP7912" s="10"/>
      <c r="AQ7912" s="10"/>
      <c r="AR7912" s="10"/>
      <c r="AS7912" s="10"/>
      <c r="AT7912" s="10"/>
      <c r="AU7912" s="10"/>
      <c r="AV7912" s="10"/>
      <c r="AW7912" s="10"/>
      <c r="AX7912" s="10"/>
      <c r="AY7912" s="10"/>
      <c r="AZ7912" s="10"/>
    </row>
    <row r="7913" spans="31:52">
      <c r="AE7913" s="10"/>
      <c r="AF7913" s="10"/>
      <c r="AG7913" s="10"/>
      <c r="AH7913" s="10"/>
      <c r="AI7913" s="10"/>
      <c r="AJ7913" s="10"/>
      <c r="AK7913" s="10"/>
      <c r="AL7913" s="10"/>
      <c r="AM7913" s="10"/>
      <c r="AN7913" s="10"/>
      <c r="AO7913" s="10"/>
      <c r="AP7913" s="10"/>
      <c r="AQ7913" s="10"/>
      <c r="AR7913" s="10"/>
      <c r="AS7913" s="10"/>
      <c r="AT7913" s="10"/>
      <c r="AU7913" s="10"/>
      <c r="AV7913" s="10"/>
      <c r="AW7913" s="10"/>
      <c r="AX7913" s="10"/>
      <c r="AY7913" s="10"/>
      <c r="AZ7913" s="10"/>
    </row>
    <row r="7914" spans="31:52">
      <c r="AE7914" s="10"/>
      <c r="AF7914" s="10"/>
      <c r="AG7914" s="10"/>
      <c r="AH7914" s="10"/>
      <c r="AI7914" s="10"/>
      <c r="AJ7914" s="10"/>
      <c r="AK7914" s="10"/>
      <c r="AL7914" s="10"/>
      <c r="AM7914" s="10"/>
      <c r="AN7914" s="10"/>
      <c r="AO7914" s="10"/>
      <c r="AP7914" s="10"/>
      <c r="AQ7914" s="10"/>
      <c r="AR7914" s="10"/>
      <c r="AS7914" s="10"/>
      <c r="AT7914" s="10"/>
      <c r="AU7914" s="10"/>
      <c r="AV7914" s="10"/>
      <c r="AW7914" s="10"/>
      <c r="AX7914" s="10"/>
      <c r="AY7914" s="10"/>
      <c r="AZ7914" s="10"/>
    </row>
    <row r="7915" spans="31:52">
      <c r="AE7915" s="10"/>
      <c r="AF7915" s="10"/>
      <c r="AG7915" s="10"/>
      <c r="AH7915" s="10"/>
      <c r="AI7915" s="10"/>
      <c r="AJ7915" s="10"/>
      <c r="AK7915" s="10"/>
      <c r="AL7915" s="10"/>
      <c r="AM7915" s="10"/>
      <c r="AN7915" s="10"/>
      <c r="AO7915" s="10"/>
      <c r="AP7915" s="10"/>
      <c r="AQ7915" s="10"/>
      <c r="AR7915" s="10"/>
      <c r="AS7915" s="10"/>
      <c r="AT7915" s="10"/>
      <c r="AU7915" s="10"/>
      <c r="AV7915" s="10"/>
      <c r="AW7915" s="10"/>
      <c r="AX7915" s="10"/>
      <c r="AY7915" s="10"/>
      <c r="AZ7915" s="10"/>
    </row>
    <row r="7916" spans="31:52">
      <c r="AE7916" s="10"/>
      <c r="AF7916" s="10"/>
      <c r="AG7916" s="10"/>
      <c r="AH7916" s="10"/>
      <c r="AI7916" s="10"/>
      <c r="AJ7916" s="10"/>
      <c r="AK7916" s="10"/>
      <c r="AL7916" s="10"/>
      <c r="AM7916" s="10"/>
      <c r="AN7916" s="10"/>
      <c r="AO7916" s="10"/>
      <c r="AP7916" s="10"/>
      <c r="AQ7916" s="10"/>
      <c r="AR7916" s="10"/>
      <c r="AS7916" s="10"/>
      <c r="AT7916" s="10"/>
      <c r="AU7916" s="10"/>
      <c r="AV7916" s="10"/>
      <c r="AW7916" s="10"/>
      <c r="AX7916" s="10"/>
      <c r="AY7916" s="10"/>
      <c r="AZ7916" s="10"/>
    </row>
    <row r="7917" spans="31:52">
      <c r="AE7917" s="10"/>
      <c r="AF7917" s="10"/>
      <c r="AG7917" s="10"/>
      <c r="AH7917" s="10"/>
      <c r="AI7917" s="10"/>
      <c r="AJ7917" s="10"/>
      <c r="AK7917" s="10"/>
      <c r="AL7917" s="10"/>
      <c r="AM7917" s="10"/>
      <c r="AN7917" s="10"/>
      <c r="AO7917" s="10"/>
      <c r="AP7917" s="10"/>
      <c r="AQ7917" s="10"/>
      <c r="AR7917" s="10"/>
      <c r="AS7917" s="10"/>
      <c r="AT7917" s="10"/>
      <c r="AU7917" s="10"/>
      <c r="AV7917" s="10"/>
      <c r="AW7917" s="10"/>
      <c r="AX7917" s="10"/>
      <c r="AY7917" s="10"/>
      <c r="AZ7917" s="10"/>
    </row>
    <row r="7918" spans="31:52">
      <c r="AE7918" s="10"/>
      <c r="AF7918" s="10"/>
      <c r="AG7918" s="10"/>
      <c r="AH7918" s="10"/>
      <c r="AI7918" s="10"/>
      <c r="AJ7918" s="10"/>
      <c r="AK7918" s="10"/>
      <c r="AL7918" s="10"/>
      <c r="AM7918" s="10"/>
      <c r="AN7918" s="10"/>
      <c r="AO7918" s="10"/>
      <c r="AP7918" s="10"/>
      <c r="AQ7918" s="10"/>
      <c r="AR7918" s="10"/>
      <c r="AS7918" s="10"/>
      <c r="AT7918" s="10"/>
      <c r="AU7918" s="10"/>
      <c r="AV7918" s="10"/>
      <c r="AW7918" s="10"/>
      <c r="AX7918" s="10"/>
      <c r="AY7918" s="10"/>
      <c r="AZ7918" s="10"/>
    </row>
    <row r="7919" spans="31:52">
      <c r="AE7919" s="10"/>
      <c r="AF7919" s="10"/>
      <c r="AG7919" s="10"/>
      <c r="AH7919" s="10"/>
      <c r="AI7919" s="10"/>
      <c r="AJ7919" s="10"/>
      <c r="AK7919" s="10"/>
      <c r="AL7919" s="10"/>
      <c r="AM7919" s="10"/>
      <c r="AN7919" s="10"/>
      <c r="AO7919" s="10"/>
      <c r="AP7919" s="10"/>
      <c r="AQ7919" s="10"/>
      <c r="AR7919" s="10"/>
      <c r="AS7919" s="10"/>
      <c r="AT7919" s="10"/>
      <c r="AU7919" s="10"/>
      <c r="AV7919" s="10"/>
      <c r="AW7919" s="10"/>
      <c r="AX7919" s="10"/>
      <c r="AY7919" s="10"/>
      <c r="AZ7919" s="10"/>
    </row>
    <row r="7920" spans="31:52">
      <c r="AE7920" s="10"/>
      <c r="AF7920" s="10"/>
      <c r="AG7920" s="10"/>
      <c r="AH7920" s="10"/>
      <c r="AI7920" s="10"/>
      <c r="AJ7920" s="10"/>
      <c r="AK7920" s="10"/>
      <c r="AL7920" s="10"/>
      <c r="AM7920" s="10"/>
      <c r="AN7920" s="10"/>
      <c r="AO7920" s="10"/>
      <c r="AP7920" s="10"/>
      <c r="AQ7920" s="10"/>
      <c r="AR7920" s="10"/>
      <c r="AS7920" s="10"/>
      <c r="AT7920" s="10"/>
      <c r="AU7920" s="10"/>
      <c r="AV7920" s="10"/>
      <c r="AW7920" s="10"/>
      <c r="AX7920" s="10"/>
      <c r="AY7920" s="10"/>
      <c r="AZ7920" s="10"/>
    </row>
    <row r="7921" spans="31:52">
      <c r="AE7921" s="10"/>
      <c r="AF7921" s="10"/>
      <c r="AG7921" s="10"/>
      <c r="AH7921" s="10"/>
      <c r="AI7921" s="10"/>
      <c r="AJ7921" s="10"/>
      <c r="AK7921" s="10"/>
      <c r="AL7921" s="10"/>
      <c r="AM7921" s="10"/>
      <c r="AN7921" s="10"/>
      <c r="AO7921" s="10"/>
      <c r="AP7921" s="10"/>
      <c r="AQ7921" s="10"/>
      <c r="AR7921" s="10"/>
      <c r="AS7921" s="10"/>
      <c r="AT7921" s="10"/>
      <c r="AU7921" s="10"/>
      <c r="AV7921" s="10"/>
      <c r="AW7921" s="10"/>
      <c r="AX7921" s="10"/>
      <c r="AY7921" s="10"/>
      <c r="AZ7921" s="10"/>
    </row>
    <row r="7922" spans="31:52">
      <c r="AE7922" s="10"/>
      <c r="AF7922" s="10"/>
      <c r="AG7922" s="10"/>
      <c r="AH7922" s="10"/>
      <c r="AI7922" s="10"/>
      <c r="AJ7922" s="10"/>
      <c r="AK7922" s="10"/>
      <c r="AL7922" s="10"/>
      <c r="AM7922" s="10"/>
      <c r="AN7922" s="10"/>
      <c r="AO7922" s="10"/>
      <c r="AP7922" s="10"/>
      <c r="AQ7922" s="10"/>
      <c r="AR7922" s="10"/>
      <c r="AS7922" s="10"/>
      <c r="AT7922" s="10"/>
      <c r="AU7922" s="10"/>
      <c r="AV7922" s="10"/>
      <c r="AW7922" s="10"/>
      <c r="AX7922" s="10"/>
      <c r="AY7922" s="10"/>
      <c r="AZ7922" s="10"/>
    </row>
    <row r="7923" spans="31:52">
      <c r="AE7923" s="10"/>
      <c r="AF7923" s="10"/>
      <c r="AG7923" s="10"/>
      <c r="AH7923" s="10"/>
      <c r="AI7923" s="10"/>
      <c r="AJ7923" s="10"/>
      <c r="AK7923" s="10"/>
      <c r="AL7923" s="10"/>
      <c r="AM7923" s="10"/>
      <c r="AN7923" s="10"/>
      <c r="AO7923" s="10"/>
      <c r="AP7923" s="10"/>
      <c r="AQ7923" s="10"/>
      <c r="AR7923" s="10"/>
      <c r="AS7923" s="10"/>
      <c r="AT7923" s="10"/>
      <c r="AU7923" s="10"/>
      <c r="AV7923" s="10"/>
      <c r="AW7923" s="10"/>
      <c r="AX7923" s="10"/>
      <c r="AY7923" s="10"/>
      <c r="AZ7923" s="10"/>
    </row>
    <row r="7924" spans="31:52">
      <c r="AE7924" s="10"/>
      <c r="AF7924" s="10"/>
      <c r="AG7924" s="10"/>
      <c r="AH7924" s="10"/>
      <c r="AI7924" s="10"/>
      <c r="AJ7924" s="10"/>
      <c r="AK7924" s="10"/>
      <c r="AL7924" s="10"/>
      <c r="AM7924" s="10"/>
      <c r="AN7924" s="10"/>
      <c r="AO7924" s="10"/>
      <c r="AP7924" s="10"/>
      <c r="AQ7924" s="10"/>
      <c r="AR7924" s="10"/>
      <c r="AS7924" s="10"/>
      <c r="AT7924" s="10"/>
      <c r="AU7924" s="10"/>
      <c r="AV7924" s="10"/>
      <c r="AW7924" s="10"/>
      <c r="AX7924" s="10"/>
      <c r="AY7924" s="10"/>
      <c r="AZ7924" s="10"/>
    </row>
    <row r="7925" spans="31:52">
      <c r="AE7925" s="10"/>
      <c r="AF7925" s="10"/>
      <c r="AG7925" s="10"/>
      <c r="AH7925" s="10"/>
      <c r="AI7925" s="10"/>
      <c r="AJ7925" s="10"/>
      <c r="AK7925" s="10"/>
      <c r="AL7925" s="10"/>
      <c r="AM7925" s="10"/>
      <c r="AN7925" s="10"/>
      <c r="AO7925" s="10"/>
      <c r="AP7925" s="10"/>
      <c r="AQ7925" s="10"/>
      <c r="AR7925" s="10"/>
      <c r="AS7925" s="10"/>
      <c r="AT7925" s="10"/>
      <c r="AU7925" s="10"/>
      <c r="AV7925" s="10"/>
      <c r="AW7925" s="10"/>
      <c r="AX7925" s="10"/>
      <c r="AY7925" s="10"/>
      <c r="AZ7925" s="10"/>
    </row>
    <row r="7926" spans="31:52">
      <c r="AE7926" s="10"/>
      <c r="AF7926" s="10"/>
      <c r="AG7926" s="10"/>
      <c r="AH7926" s="10"/>
      <c r="AI7926" s="10"/>
      <c r="AJ7926" s="10"/>
      <c r="AK7926" s="10"/>
      <c r="AL7926" s="10"/>
      <c r="AM7926" s="10"/>
      <c r="AN7926" s="10"/>
      <c r="AO7926" s="10"/>
      <c r="AP7926" s="10"/>
      <c r="AQ7926" s="10"/>
      <c r="AR7926" s="10"/>
      <c r="AS7926" s="10"/>
      <c r="AT7926" s="10"/>
      <c r="AU7926" s="10"/>
      <c r="AV7926" s="10"/>
      <c r="AW7926" s="10"/>
      <c r="AX7926" s="10"/>
      <c r="AY7926" s="10"/>
      <c r="AZ7926" s="10"/>
    </row>
    <row r="7927" spans="31:52">
      <c r="AE7927" s="10"/>
      <c r="AF7927" s="10"/>
      <c r="AG7927" s="10"/>
      <c r="AH7927" s="10"/>
      <c r="AI7927" s="10"/>
      <c r="AJ7927" s="10"/>
      <c r="AK7927" s="10"/>
      <c r="AL7927" s="10"/>
      <c r="AM7927" s="10"/>
      <c r="AN7927" s="10"/>
      <c r="AO7927" s="10"/>
      <c r="AP7927" s="10"/>
      <c r="AQ7927" s="10"/>
      <c r="AR7927" s="10"/>
      <c r="AS7927" s="10"/>
      <c r="AT7927" s="10"/>
      <c r="AU7927" s="10"/>
      <c r="AV7927" s="10"/>
      <c r="AW7927" s="10"/>
      <c r="AX7927" s="10"/>
      <c r="AY7927" s="10"/>
      <c r="AZ7927" s="10"/>
    </row>
    <row r="7928" spans="31:52">
      <c r="AE7928" s="10"/>
      <c r="AF7928" s="10"/>
      <c r="AG7928" s="10"/>
      <c r="AH7928" s="10"/>
      <c r="AI7928" s="10"/>
      <c r="AJ7928" s="10"/>
      <c r="AK7928" s="10"/>
      <c r="AL7928" s="10"/>
      <c r="AM7928" s="10"/>
      <c r="AN7928" s="10"/>
      <c r="AO7928" s="10"/>
      <c r="AP7928" s="10"/>
      <c r="AQ7928" s="10"/>
      <c r="AR7928" s="10"/>
      <c r="AS7928" s="10"/>
      <c r="AT7928" s="10"/>
      <c r="AU7928" s="10"/>
      <c r="AV7928" s="10"/>
      <c r="AW7928" s="10"/>
      <c r="AX7928" s="10"/>
      <c r="AY7928" s="10"/>
      <c r="AZ7928" s="10"/>
    </row>
    <row r="7929" spans="31:52">
      <c r="AE7929" s="10"/>
      <c r="AF7929" s="10"/>
      <c r="AG7929" s="10"/>
      <c r="AH7929" s="10"/>
      <c r="AI7929" s="10"/>
      <c r="AJ7929" s="10"/>
      <c r="AK7929" s="10"/>
      <c r="AL7929" s="10"/>
      <c r="AM7929" s="10"/>
      <c r="AN7929" s="10"/>
      <c r="AO7929" s="10"/>
      <c r="AP7929" s="10"/>
      <c r="AQ7929" s="10"/>
      <c r="AR7929" s="10"/>
      <c r="AS7929" s="10"/>
      <c r="AT7929" s="10"/>
      <c r="AU7929" s="10"/>
      <c r="AV7929" s="10"/>
      <c r="AW7929" s="10"/>
      <c r="AX7929" s="10"/>
      <c r="AY7929" s="10"/>
      <c r="AZ7929" s="10"/>
    </row>
    <row r="7930" spans="31:52">
      <c r="AE7930" s="10"/>
      <c r="AF7930" s="10"/>
      <c r="AG7930" s="10"/>
      <c r="AH7930" s="10"/>
      <c r="AI7930" s="10"/>
      <c r="AJ7930" s="10"/>
      <c r="AK7930" s="10"/>
      <c r="AL7930" s="10"/>
      <c r="AM7930" s="10"/>
      <c r="AN7930" s="10"/>
      <c r="AO7930" s="10"/>
      <c r="AP7930" s="10"/>
      <c r="AQ7930" s="10"/>
      <c r="AR7930" s="10"/>
      <c r="AS7930" s="10"/>
      <c r="AT7930" s="10"/>
      <c r="AU7930" s="10"/>
      <c r="AV7930" s="10"/>
      <c r="AW7930" s="10"/>
      <c r="AX7930" s="10"/>
      <c r="AY7930" s="10"/>
      <c r="AZ7930" s="10"/>
    </row>
    <row r="7931" spans="31:52">
      <c r="AE7931" s="10"/>
      <c r="AF7931" s="10"/>
      <c r="AG7931" s="10"/>
      <c r="AH7931" s="10"/>
      <c r="AI7931" s="10"/>
      <c r="AJ7931" s="10"/>
      <c r="AK7931" s="10"/>
      <c r="AL7931" s="10"/>
      <c r="AM7931" s="10"/>
      <c r="AN7931" s="10"/>
      <c r="AO7931" s="10"/>
      <c r="AP7931" s="10"/>
      <c r="AQ7931" s="10"/>
      <c r="AR7931" s="10"/>
      <c r="AS7931" s="10"/>
      <c r="AT7931" s="10"/>
      <c r="AU7931" s="10"/>
      <c r="AV7931" s="10"/>
      <c r="AW7931" s="10"/>
      <c r="AX7931" s="10"/>
      <c r="AY7931" s="10"/>
      <c r="AZ7931" s="10"/>
    </row>
    <row r="7932" spans="31:52">
      <c r="AE7932" s="10"/>
      <c r="AF7932" s="10"/>
      <c r="AG7932" s="10"/>
      <c r="AH7932" s="10"/>
      <c r="AI7932" s="10"/>
      <c r="AJ7932" s="10"/>
      <c r="AK7932" s="10"/>
      <c r="AL7932" s="10"/>
      <c r="AM7932" s="10"/>
      <c r="AN7932" s="10"/>
      <c r="AO7932" s="10"/>
      <c r="AP7932" s="10"/>
      <c r="AQ7932" s="10"/>
      <c r="AR7932" s="10"/>
      <c r="AS7932" s="10"/>
      <c r="AT7932" s="10"/>
      <c r="AU7932" s="10"/>
      <c r="AV7932" s="10"/>
      <c r="AW7932" s="10"/>
      <c r="AX7932" s="10"/>
      <c r="AY7932" s="10"/>
      <c r="AZ7932" s="10"/>
    </row>
    <row r="7933" spans="31:52">
      <c r="AE7933" s="10"/>
      <c r="AF7933" s="10"/>
      <c r="AG7933" s="10"/>
      <c r="AH7933" s="10"/>
      <c r="AI7933" s="10"/>
      <c r="AJ7933" s="10"/>
      <c r="AK7933" s="10"/>
      <c r="AL7933" s="10"/>
      <c r="AM7933" s="10"/>
      <c r="AN7933" s="10"/>
      <c r="AO7933" s="10"/>
      <c r="AP7933" s="10"/>
      <c r="AQ7933" s="10"/>
      <c r="AR7933" s="10"/>
      <c r="AS7933" s="10"/>
      <c r="AT7933" s="10"/>
      <c r="AU7933" s="10"/>
      <c r="AV7933" s="10"/>
      <c r="AW7933" s="10"/>
      <c r="AX7933" s="10"/>
      <c r="AY7933" s="10"/>
      <c r="AZ7933" s="10"/>
    </row>
    <row r="7934" spans="31:52">
      <c r="AE7934" s="10"/>
      <c r="AF7934" s="10"/>
      <c r="AG7934" s="10"/>
      <c r="AH7934" s="10"/>
      <c r="AI7934" s="10"/>
      <c r="AJ7934" s="10"/>
      <c r="AK7934" s="10"/>
      <c r="AL7934" s="10"/>
      <c r="AM7934" s="10"/>
      <c r="AN7934" s="10"/>
      <c r="AO7934" s="10"/>
      <c r="AP7934" s="10"/>
      <c r="AQ7934" s="10"/>
      <c r="AR7934" s="10"/>
      <c r="AS7934" s="10"/>
      <c r="AT7934" s="10"/>
      <c r="AU7934" s="10"/>
      <c r="AV7934" s="10"/>
      <c r="AW7934" s="10"/>
      <c r="AX7934" s="10"/>
      <c r="AY7934" s="10"/>
      <c r="AZ7934" s="10"/>
    </row>
    <row r="7935" spans="31:52">
      <c r="AE7935" s="10"/>
      <c r="AF7935" s="10"/>
      <c r="AG7935" s="10"/>
      <c r="AH7935" s="10"/>
      <c r="AI7935" s="10"/>
      <c r="AJ7935" s="10"/>
      <c r="AK7935" s="10"/>
      <c r="AL7935" s="10"/>
      <c r="AM7935" s="10"/>
      <c r="AN7935" s="10"/>
      <c r="AO7935" s="10"/>
      <c r="AP7935" s="10"/>
      <c r="AQ7935" s="10"/>
      <c r="AR7935" s="10"/>
      <c r="AS7935" s="10"/>
      <c r="AT7935" s="10"/>
      <c r="AU7935" s="10"/>
      <c r="AV7935" s="10"/>
      <c r="AW7935" s="10"/>
      <c r="AX7935" s="10"/>
      <c r="AY7935" s="10"/>
      <c r="AZ7935" s="10"/>
    </row>
    <row r="7936" spans="31:52">
      <c r="AE7936" s="10"/>
      <c r="AF7936" s="10"/>
      <c r="AG7936" s="10"/>
      <c r="AH7936" s="10"/>
      <c r="AI7936" s="10"/>
      <c r="AJ7936" s="10"/>
      <c r="AK7936" s="10"/>
      <c r="AL7936" s="10"/>
      <c r="AM7936" s="10"/>
      <c r="AN7936" s="10"/>
      <c r="AO7936" s="10"/>
      <c r="AP7936" s="10"/>
      <c r="AQ7936" s="10"/>
      <c r="AR7936" s="10"/>
      <c r="AS7936" s="10"/>
      <c r="AT7936" s="10"/>
      <c r="AU7936" s="10"/>
      <c r="AV7936" s="10"/>
      <c r="AW7936" s="10"/>
      <c r="AX7936" s="10"/>
      <c r="AY7936" s="10"/>
      <c r="AZ7936" s="10"/>
    </row>
    <row r="7937" spans="31:52">
      <c r="AE7937" s="10"/>
      <c r="AF7937" s="10"/>
      <c r="AG7937" s="10"/>
      <c r="AH7937" s="10"/>
      <c r="AI7937" s="10"/>
      <c r="AJ7937" s="10"/>
      <c r="AK7937" s="10"/>
      <c r="AL7937" s="10"/>
      <c r="AM7937" s="10"/>
      <c r="AN7937" s="10"/>
      <c r="AO7937" s="10"/>
      <c r="AP7937" s="10"/>
      <c r="AQ7937" s="10"/>
      <c r="AR7937" s="10"/>
      <c r="AS7937" s="10"/>
      <c r="AT7937" s="10"/>
      <c r="AU7937" s="10"/>
      <c r="AV7937" s="10"/>
      <c r="AW7937" s="10"/>
      <c r="AX7937" s="10"/>
      <c r="AY7937" s="10"/>
      <c r="AZ7937" s="10"/>
    </row>
    <row r="7938" spans="31:52">
      <c r="AE7938" s="10"/>
      <c r="AF7938" s="10"/>
      <c r="AG7938" s="10"/>
      <c r="AH7938" s="10"/>
      <c r="AI7938" s="10"/>
      <c r="AJ7938" s="10"/>
      <c r="AK7938" s="10"/>
      <c r="AL7938" s="10"/>
      <c r="AM7938" s="10"/>
      <c r="AN7938" s="10"/>
      <c r="AO7938" s="10"/>
      <c r="AP7938" s="10"/>
      <c r="AQ7938" s="10"/>
      <c r="AR7938" s="10"/>
      <c r="AS7938" s="10"/>
      <c r="AT7938" s="10"/>
      <c r="AU7938" s="10"/>
      <c r="AV7938" s="10"/>
      <c r="AW7938" s="10"/>
      <c r="AX7938" s="10"/>
      <c r="AY7938" s="10"/>
      <c r="AZ7938" s="10"/>
    </row>
    <row r="7939" spans="31:52">
      <c r="AE7939" s="10"/>
      <c r="AF7939" s="10"/>
      <c r="AG7939" s="10"/>
      <c r="AH7939" s="10"/>
      <c r="AI7939" s="10"/>
      <c r="AJ7939" s="10"/>
      <c r="AK7939" s="10"/>
      <c r="AL7939" s="10"/>
      <c r="AM7939" s="10"/>
      <c r="AN7939" s="10"/>
      <c r="AO7939" s="10"/>
      <c r="AP7939" s="10"/>
      <c r="AQ7939" s="10"/>
      <c r="AR7939" s="10"/>
      <c r="AS7939" s="10"/>
      <c r="AT7939" s="10"/>
      <c r="AU7939" s="10"/>
      <c r="AV7939" s="10"/>
      <c r="AW7939" s="10"/>
      <c r="AX7939" s="10"/>
      <c r="AY7939" s="10"/>
      <c r="AZ7939" s="10"/>
    </row>
    <row r="7940" spans="31:52">
      <c r="AE7940" s="10"/>
      <c r="AF7940" s="10"/>
      <c r="AG7940" s="10"/>
      <c r="AH7940" s="10"/>
      <c r="AI7940" s="10"/>
      <c r="AJ7940" s="10"/>
      <c r="AK7940" s="10"/>
      <c r="AL7940" s="10"/>
      <c r="AM7940" s="10"/>
      <c r="AN7940" s="10"/>
      <c r="AO7940" s="10"/>
      <c r="AP7940" s="10"/>
      <c r="AQ7940" s="10"/>
      <c r="AR7940" s="10"/>
      <c r="AS7940" s="10"/>
      <c r="AT7940" s="10"/>
      <c r="AU7940" s="10"/>
      <c r="AV7940" s="10"/>
      <c r="AW7940" s="10"/>
      <c r="AX7940" s="10"/>
      <c r="AY7940" s="10"/>
      <c r="AZ7940" s="10"/>
    </row>
    <row r="7941" spans="31:52">
      <c r="AE7941" s="10"/>
      <c r="AF7941" s="10"/>
      <c r="AG7941" s="10"/>
      <c r="AH7941" s="10"/>
      <c r="AI7941" s="10"/>
      <c r="AJ7941" s="10"/>
      <c r="AK7941" s="10"/>
      <c r="AL7941" s="10"/>
      <c r="AM7941" s="10"/>
      <c r="AN7941" s="10"/>
      <c r="AO7941" s="10"/>
      <c r="AP7941" s="10"/>
      <c r="AQ7941" s="10"/>
      <c r="AR7941" s="10"/>
      <c r="AS7941" s="10"/>
      <c r="AT7941" s="10"/>
      <c r="AU7941" s="10"/>
      <c r="AV7941" s="10"/>
      <c r="AW7941" s="10"/>
      <c r="AX7941" s="10"/>
      <c r="AY7941" s="10"/>
      <c r="AZ7941" s="10"/>
    </row>
    <row r="7942" spans="31:52">
      <c r="AE7942" s="10"/>
      <c r="AF7942" s="10"/>
      <c r="AG7942" s="10"/>
      <c r="AH7942" s="10"/>
      <c r="AI7942" s="10"/>
      <c r="AJ7942" s="10"/>
      <c r="AK7942" s="10"/>
      <c r="AL7942" s="10"/>
      <c r="AM7942" s="10"/>
      <c r="AN7942" s="10"/>
      <c r="AO7942" s="10"/>
      <c r="AP7942" s="10"/>
      <c r="AQ7942" s="10"/>
      <c r="AR7942" s="10"/>
      <c r="AS7942" s="10"/>
      <c r="AT7942" s="10"/>
      <c r="AU7942" s="10"/>
      <c r="AV7942" s="10"/>
      <c r="AW7942" s="10"/>
      <c r="AX7942" s="10"/>
      <c r="AY7942" s="10"/>
      <c r="AZ7942" s="10"/>
    </row>
    <row r="7943" spans="31:52">
      <c r="AE7943" s="10"/>
      <c r="AF7943" s="10"/>
      <c r="AG7943" s="10"/>
      <c r="AH7943" s="10"/>
      <c r="AI7943" s="10"/>
      <c r="AJ7943" s="10"/>
      <c r="AK7943" s="10"/>
      <c r="AL7943" s="10"/>
      <c r="AM7943" s="10"/>
      <c r="AN7943" s="10"/>
      <c r="AO7943" s="10"/>
      <c r="AP7943" s="10"/>
      <c r="AQ7943" s="10"/>
      <c r="AR7943" s="10"/>
      <c r="AS7943" s="10"/>
      <c r="AT7943" s="10"/>
      <c r="AU7943" s="10"/>
      <c r="AV7943" s="10"/>
      <c r="AW7943" s="10"/>
      <c r="AX7943" s="10"/>
      <c r="AY7943" s="10"/>
      <c r="AZ7943" s="10"/>
    </row>
    <row r="7944" spans="31:52">
      <c r="AE7944" s="10"/>
      <c r="AF7944" s="10"/>
      <c r="AG7944" s="10"/>
      <c r="AH7944" s="10"/>
      <c r="AI7944" s="10"/>
      <c r="AJ7944" s="10"/>
      <c r="AK7944" s="10"/>
      <c r="AL7944" s="10"/>
      <c r="AM7944" s="10"/>
      <c r="AN7944" s="10"/>
      <c r="AO7944" s="10"/>
      <c r="AP7944" s="10"/>
      <c r="AQ7944" s="10"/>
      <c r="AR7944" s="10"/>
      <c r="AS7944" s="10"/>
      <c r="AT7944" s="10"/>
      <c r="AU7944" s="10"/>
      <c r="AV7944" s="10"/>
      <c r="AW7944" s="10"/>
      <c r="AX7944" s="10"/>
      <c r="AY7944" s="10"/>
      <c r="AZ7944" s="10"/>
    </row>
    <row r="7945" spans="31:52">
      <c r="AE7945" s="10"/>
      <c r="AF7945" s="10"/>
      <c r="AG7945" s="10"/>
      <c r="AH7945" s="10"/>
      <c r="AI7945" s="10"/>
      <c r="AJ7945" s="10"/>
      <c r="AK7945" s="10"/>
      <c r="AL7945" s="10"/>
      <c r="AM7945" s="10"/>
      <c r="AN7945" s="10"/>
      <c r="AO7945" s="10"/>
      <c r="AP7945" s="10"/>
      <c r="AQ7945" s="10"/>
      <c r="AR7945" s="10"/>
      <c r="AS7945" s="10"/>
      <c r="AT7945" s="10"/>
      <c r="AU7945" s="10"/>
      <c r="AV7945" s="10"/>
      <c r="AW7945" s="10"/>
      <c r="AX7945" s="10"/>
      <c r="AY7945" s="10"/>
      <c r="AZ7945" s="10"/>
    </row>
    <row r="7946" spans="31:52">
      <c r="AE7946" s="10"/>
      <c r="AF7946" s="10"/>
      <c r="AG7946" s="10"/>
      <c r="AH7946" s="10"/>
      <c r="AI7946" s="10"/>
      <c r="AJ7946" s="10"/>
      <c r="AK7946" s="10"/>
      <c r="AL7946" s="10"/>
      <c r="AM7946" s="10"/>
      <c r="AN7946" s="10"/>
      <c r="AO7946" s="10"/>
      <c r="AP7946" s="10"/>
      <c r="AQ7946" s="10"/>
      <c r="AR7946" s="10"/>
      <c r="AS7946" s="10"/>
      <c r="AT7946" s="10"/>
      <c r="AU7946" s="10"/>
      <c r="AV7946" s="10"/>
      <c r="AW7946" s="10"/>
      <c r="AX7946" s="10"/>
      <c r="AY7946" s="10"/>
      <c r="AZ7946" s="10"/>
    </row>
    <row r="7947" spans="31:52">
      <c r="AE7947" s="10"/>
      <c r="AF7947" s="10"/>
      <c r="AG7947" s="10"/>
      <c r="AH7947" s="10"/>
      <c r="AI7947" s="10"/>
      <c r="AJ7947" s="10"/>
      <c r="AK7947" s="10"/>
      <c r="AL7947" s="10"/>
      <c r="AM7947" s="10"/>
      <c r="AN7947" s="10"/>
      <c r="AO7947" s="10"/>
      <c r="AP7947" s="10"/>
      <c r="AQ7947" s="10"/>
      <c r="AR7947" s="10"/>
      <c r="AS7947" s="10"/>
      <c r="AT7947" s="10"/>
      <c r="AU7947" s="10"/>
      <c r="AV7947" s="10"/>
      <c r="AW7947" s="10"/>
      <c r="AX7947" s="10"/>
      <c r="AY7947" s="10"/>
      <c r="AZ7947" s="10"/>
    </row>
    <row r="7948" spans="31:52">
      <c r="AE7948" s="10"/>
      <c r="AF7948" s="10"/>
      <c r="AG7948" s="10"/>
      <c r="AH7948" s="10"/>
      <c r="AI7948" s="10"/>
      <c r="AJ7948" s="10"/>
      <c r="AK7948" s="10"/>
      <c r="AL7948" s="10"/>
      <c r="AM7948" s="10"/>
      <c r="AN7948" s="10"/>
      <c r="AO7948" s="10"/>
      <c r="AP7948" s="10"/>
      <c r="AQ7948" s="10"/>
      <c r="AR7948" s="10"/>
      <c r="AS7948" s="10"/>
      <c r="AT7948" s="10"/>
      <c r="AU7948" s="10"/>
      <c r="AV7948" s="10"/>
      <c r="AW7948" s="10"/>
      <c r="AX7948" s="10"/>
      <c r="AY7948" s="10"/>
      <c r="AZ7948" s="10"/>
    </row>
    <row r="7949" spans="31:52">
      <c r="AE7949" s="10"/>
      <c r="AF7949" s="10"/>
      <c r="AG7949" s="10"/>
      <c r="AH7949" s="10"/>
      <c r="AI7949" s="10"/>
      <c r="AJ7949" s="10"/>
      <c r="AK7949" s="10"/>
      <c r="AL7949" s="10"/>
      <c r="AM7949" s="10"/>
      <c r="AN7949" s="10"/>
      <c r="AO7949" s="10"/>
      <c r="AP7949" s="10"/>
      <c r="AQ7949" s="10"/>
      <c r="AR7949" s="10"/>
      <c r="AS7949" s="10"/>
      <c r="AT7949" s="10"/>
      <c r="AU7949" s="10"/>
      <c r="AV7949" s="10"/>
      <c r="AW7949" s="10"/>
      <c r="AX7949" s="10"/>
      <c r="AY7949" s="10"/>
      <c r="AZ7949" s="10"/>
    </row>
    <row r="7950" spans="31:52">
      <c r="AE7950" s="10"/>
      <c r="AF7950" s="10"/>
      <c r="AG7950" s="10"/>
      <c r="AH7950" s="10"/>
      <c r="AI7950" s="10"/>
      <c r="AJ7950" s="10"/>
      <c r="AK7950" s="10"/>
      <c r="AL7950" s="10"/>
      <c r="AM7950" s="10"/>
      <c r="AN7950" s="10"/>
      <c r="AO7950" s="10"/>
      <c r="AP7950" s="10"/>
      <c r="AQ7950" s="10"/>
      <c r="AR7950" s="10"/>
      <c r="AS7950" s="10"/>
      <c r="AT7950" s="10"/>
      <c r="AU7950" s="10"/>
      <c r="AV7950" s="10"/>
      <c r="AW7950" s="10"/>
      <c r="AX7950" s="10"/>
      <c r="AY7950" s="10"/>
      <c r="AZ7950" s="10"/>
    </row>
    <row r="7951" spans="31:52">
      <c r="AE7951" s="10"/>
      <c r="AF7951" s="10"/>
      <c r="AG7951" s="10"/>
      <c r="AH7951" s="10"/>
      <c r="AI7951" s="10"/>
      <c r="AJ7951" s="10"/>
      <c r="AK7951" s="10"/>
      <c r="AL7951" s="10"/>
      <c r="AM7951" s="10"/>
      <c r="AN7951" s="10"/>
      <c r="AO7951" s="10"/>
      <c r="AP7951" s="10"/>
      <c r="AQ7951" s="10"/>
      <c r="AR7951" s="10"/>
      <c r="AS7951" s="10"/>
      <c r="AT7951" s="10"/>
      <c r="AU7951" s="10"/>
      <c r="AV7951" s="10"/>
      <c r="AW7951" s="10"/>
      <c r="AX7951" s="10"/>
      <c r="AY7951" s="10"/>
      <c r="AZ7951" s="10"/>
    </row>
    <row r="7952" spans="31:52">
      <c r="AE7952" s="10"/>
      <c r="AF7952" s="10"/>
      <c r="AG7952" s="10"/>
      <c r="AH7952" s="10"/>
      <c r="AI7952" s="10"/>
      <c r="AJ7952" s="10"/>
      <c r="AK7952" s="10"/>
      <c r="AL7952" s="10"/>
      <c r="AM7952" s="10"/>
      <c r="AN7952" s="10"/>
      <c r="AO7952" s="10"/>
      <c r="AP7952" s="10"/>
      <c r="AQ7952" s="10"/>
      <c r="AR7952" s="10"/>
      <c r="AS7952" s="10"/>
      <c r="AT7952" s="10"/>
      <c r="AU7952" s="10"/>
      <c r="AV7952" s="10"/>
      <c r="AW7952" s="10"/>
      <c r="AX7952" s="10"/>
      <c r="AY7952" s="10"/>
      <c r="AZ7952" s="10"/>
    </row>
    <row r="7953" spans="31:52">
      <c r="AE7953" s="10"/>
      <c r="AF7953" s="10"/>
      <c r="AG7953" s="10"/>
      <c r="AH7953" s="10"/>
      <c r="AI7953" s="10"/>
      <c r="AJ7953" s="10"/>
      <c r="AK7953" s="10"/>
      <c r="AL7953" s="10"/>
      <c r="AM7953" s="10"/>
      <c r="AN7953" s="10"/>
      <c r="AO7953" s="10"/>
      <c r="AP7953" s="10"/>
      <c r="AQ7953" s="10"/>
      <c r="AR7953" s="10"/>
      <c r="AS7953" s="10"/>
      <c r="AT7953" s="10"/>
      <c r="AU7953" s="10"/>
      <c r="AV7953" s="10"/>
      <c r="AW7953" s="10"/>
      <c r="AX7953" s="10"/>
      <c r="AY7953" s="10"/>
      <c r="AZ7953" s="10"/>
    </row>
    <row r="7954" spans="31:52">
      <c r="AE7954" s="10"/>
      <c r="AF7954" s="10"/>
      <c r="AG7954" s="10"/>
      <c r="AH7954" s="10"/>
      <c r="AI7954" s="10"/>
      <c r="AJ7954" s="10"/>
      <c r="AK7954" s="10"/>
      <c r="AL7954" s="10"/>
      <c r="AM7954" s="10"/>
      <c r="AN7954" s="10"/>
      <c r="AO7954" s="10"/>
      <c r="AP7954" s="10"/>
      <c r="AQ7954" s="10"/>
      <c r="AR7954" s="10"/>
      <c r="AS7954" s="10"/>
      <c r="AT7954" s="10"/>
      <c r="AU7954" s="10"/>
      <c r="AV7954" s="10"/>
      <c r="AW7954" s="10"/>
      <c r="AX7954" s="10"/>
      <c r="AY7954" s="10"/>
      <c r="AZ7954" s="10"/>
    </row>
    <row r="7955" spans="31:52">
      <c r="AE7955" s="10"/>
      <c r="AF7955" s="10"/>
      <c r="AG7955" s="10"/>
      <c r="AH7955" s="10"/>
      <c r="AI7955" s="10"/>
      <c r="AJ7955" s="10"/>
      <c r="AK7955" s="10"/>
      <c r="AL7955" s="10"/>
      <c r="AM7955" s="10"/>
      <c r="AN7955" s="10"/>
      <c r="AO7955" s="10"/>
      <c r="AP7955" s="10"/>
      <c r="AQ7955" s="10"/>
      <c r="AR7955" s="10"/>
      <c r="AS7955" s="10"/>
      <c r="AT7955" s="10"/>
      <c r="AU7955" s="10"/>
      <c r="AV7955" s="10"/>
      <c r="AW7955" s="10"/>
      <c r="AX7955" s="10"/>
      <c r="AY7955" s="10"/>
      <c r="AZ7955" s="10"/>
    </row>
    <row r="7956" spans="31:52">
      <c r="AE7956" s="10"/>
      <c r="AF7956" s="10"/>
      <c r="AG7956" s="10"/>
      <c r="AH7956" s="10"/>
      <c r="AI7956" s="10"/>
      <c r="AJ7956" s="10"/>
      <c r="AK7956" s="10"/>
      <c r="AL7956" s="10"/>
      <c r="AM7956" s="10"/>
      <c r="AN7956" s="10"/>
      <c r="AO7956" s="10"/>
      <c r="AP7956" s="10"/>
      <c r="AQ7956" s="10"/>
      <c r="AR7956" s="10"/>
      <c r="AS7956" s="10"/>
      <c r="AT7956" s="10"/>
      <c r="AU7956" s="10"/>
      <c r="AV7956" s="10"/>
      <c r="AW7956" s="10"/>
      <c r="AX7956" s="10"/>
      <c r="AY7956" s="10"/>
      <c r="AZ7956" s="10"/>
    </row>
    <row r="7957" spans="31:52">
      <c r="AE7957" s="10"/>
      <c r="AF7957" s="10"/>
      <c r="AG7957" s="10"/>
      <c r="AH7957" s="10"/>
      <c r="AI7957" s="10"/>
      <c r="AJ7957" s="10"/>
      <c r="AK7957" s="10"/>
      <c r="AL7957" s="10"/>
      <c r="AM7957" s="10"/>
      <c r="AN7957" s="10"/>
      <c r="AO7957" s="10"/>
      <c r="AP7957" s="10"/>
      <c r="AQ7957" s="10"/>
      <c r="AR7957" s="10"/>
      <c r="AS7957" s="10"/>
      <c r="AT7957" s="10"/>
      <c r="AU7957" s="10"/>
      <c r="AV7957" s="10"/>
      <c r="AW7957" s="10"/>
      <c r="AX7957" s="10"/>
      <c r="AY7957" s="10"/>
      <c r="AZ7957" s="10"/>
    </row>
    <row r="7958" spans="31:52">
      <c r="AE7958" s="10"/>
      <c r="AF7958" s="10"/>
      <c r="AG7958" s="10"/>
      <c r="AH7958" s="10"/>
      <c r="AI7958" s="10"/>
      <c r="AJ7958" s="10"/>
      <c r="AK7958" s="10"/>
      <c r="AL7958" s="10"/>
      <c r="AM7958" s="10"/>
      <c r="AN7958" s="10"/>
      <c r="AO7958" s="10"/>
      <c r="AP7958" s="10"/>
      <c r="AQ7958" s="10"/>
      <c r="AR7958" s="10"/>
      <c r="AS7958" s="10"/>
      <c r="AT7958" s="10"/>
      <c r="AU7958" s="10"/>
      <c r="AV7958" s="10"/>
      <c r="AW7958" s="10"/>
      <c r="AX7958" s="10"/>
      <c r="AY7958" s="10"/>
      <c r="AZ7958" s="10"/>
    </row>
    <row r="7959" spans="31:52">
      <c r="AE7959" s="10"/>
      <c r="AF7959" s="10"/>
      <c r="AG7959" s="10"/>
      <c r="AH7959" s="10"/>
      <c r="AI7959" s="10"/>
      <c r="AJ7959" s="10"/>
      <c r="AK7959" s="10"/>
      <c r="AL7959" s="10"/>
      <c r="AM7959" s="10"/>
      <c r="AN7959" s="10"/>
      <c r="AO7959" s="10"/>
      <c r="AP7959" s="10"/>
      <c r="AQ7959" s="10"/>
      <c r="AR7959" s="10"/>
      <c r="AS7959" s="10"/>
      <c r="AT7959" s="10"/>
      <c r="AU7959" s="10"/>
      <c r="AV7959" s="10"/>
      <c r="AW7959" s="10"/>
      <c r="AX7959" s="10"/>
      <c r="AY7959" s="10"/>
      <c r="AZ7959" s="10"/>
    </row>
    <row r="7960" spans="31:52">
      <c r="AE7960" s="10"/>
      <c r="AF7960" s="10"/>
      <c r="AG7960" s="10"/>
      <c r="AH7960" s="10"/>
      <c r="AI7960" s="10"/>
      <c r="AJ7960" s="10"/>
      <c r="AK7960" s="10"/>
      <c r="AL7960" s="10"/>
      <c r="AM7960" s="10"/>
      <c r="AN7960" s="10"/>
      <c r="AO7960" s="10"/>
      <c r="AP7960" s="10"/>
      <c r="AQ7960" s="10"/>
      <c r="AR7960" s="10"/>
      <c r="AS7960" s="10"/>
      <c r="AT7960" s="10"/>
      <c r="AU7960" s="10"/>
      <c r="AV7960" s="10"/>
      <c r="AW7960" s="10"/>
      <c r="AX7960" s="10"/>
      <c r="AY7960" s="10"/>
      <c r="AZ7960" s="10"/>
    </row>
    <row r="7961" spans="31:52">
      <c r="AE7961" s="10"/>
      <c r="AF7961" s="10"/>
      <c r="AG7961" s="10"/>
      <c r="AH7961" s="10"/>
      <c r="AI7961" s="10"/>
      <c r="AJ7961" s="10"/>
      <c r="AK7961" s="10"/>
      <c r="AL7961" s="10"/>
      <c r="AM7961" s="10"/>
      <c r="AN7961" s="10"/>
      <c r="AO7961" s="10"/>
      <c r="AP7961" s="10"/>
      <c r="AQ7961" s="10"/>
      <c r="AR7961" s="10"/>
      <c r="AS7961" s="10"/>
      <c r="AT7961" s="10"/>
      <c r="AU7961" s="10"/>
      <c r="AV7961" s="10"/>
      <c r="AW7961" s="10"/>
      <c r="AX7961" s="10"/>
      <c r="AY7961" s="10"/>
      <c r="AZ7961" s="10"/>
    </row>
    <row r="7962" spans="31:52">
      <c r="AE7962" s="10"/>
      <c r="AF7962" s="10"/>
      <c r="AG7962" s="10"/>
      <c r="AH7962" s="10"/>
      <c r="AI7962" s="10"/>
      <c r="AJ7962" s="10"/>
      <c r="AK7962" s="10"/>
      <c r="AL7962" s="10"/>
      <c r="AM7962" s="10"/>
      <c r="AN7962" s="10"/>
      <c r="AO7962" s="10"/>
      <c r="AP7962" s="10"/>
      <c r="AQ7962" s="10"/>
      <c r="AR7962" s="10"/>
      <c r="AS7962" s="10"/>
      <c r="AT7962" s="10"/>
      <c r="AU7962" s="10"/>
      <c r="AV7962" s="10"/>
      <c r="AW7962" s="10"/>
      <c r="AX7962" s="10"/>
      <c r="AY7962" s="10"/>
      <c r="AZ7962" s="10"/>
    </row>
    <row r="7963" spans="31:52">
      <c r="AE7963" s="10"/>
      <c r="AF7963" s="10"/>
      <c r="AG7963" s="10"/>
      <c r="AH7963" s="10"/>
      <c r="AI7963" s="10"/>
      <c r="AJ7963" s="10"/>
      <c r="AK7963" s="10"/>
      <c r="AL7963" s="10"/>
      <c r="AM7963" s="10"/>
      <c r="AN7963" s="10"/>
      <c r="AO7963" s="10"/>
      <c r="AP7963" s="10"/>
      <c r="AQ7963" s="10"/>
      <c r="AR7963" s="10"/>
      <c r="AS7963" s="10"/>
      <c r="AT7963" s="10"/>
      <c r="AU7963" s="10"/>
      <c r="AV7963" s="10"/>
      <c r="AW7963" s="10"/>
      <c r="AX7963" s="10"/>
      <c r="AY7963" s="10"/>
      <c r="AZ7963" s="10"/>
    </row>
    <row r="7964" spans="31:52">
      <c r="AE7964" s="10"/>
      <c r="AF7964" s="10"/>
      <c r="AG7964" s="10"/>
      <c r="AH7964" s="10"/>
      <c r="AI7964" s="10"/>
      <c r="AJ7964" s="10"/>
      <c r="AK7964" s="10"/>
      <c r="AL7964" s="10"/>
      <c r="AM7964" s="10"/>
      <c r="AN7964" s="10"/>
      <c r="AO7964" s="10"/>
      <c r="AP7964" s="10"/>
      <c r="AQ7964" s="10"/>
      <c r="AR7964" s="10"/>
      <c r="AS7964" s="10"/>
      <c r="AT7964" s="10"/>
      <c r="AU7964" s="10"/>
      <c r="AV7964" s="10"/>
      <c r="AW7964" s="10"/>
      <c r="AX7964" s="10"/>
      <c r="AY7964" s="10"/>
      <c r="AZ7964" s="10"/>
    </row>
    <row r="7965" spans="31:52">
      <c r="AE7965" s="10"/>
      <c r="AF7965" s="10"/>
      <c r="AG7965" s="10"/>
      <c r="AH7965" s="10"/>
      <c r="AI7965" s="10"/>
      <c r="AJ7965" s="10"/>
      <c r="AK7965" s="10"/>
      <c r="AL7965" s="10"/>
      <c r="AM7965" s="10"/>
      <c r="AN7965" s="10"/>
      <c r="AO7965" s="10"/>
      <c r="AP7965" s="10"/>
      <c r="AQ7965" s="10"/>
      <c r="AR7965" s="10"/>
      <c r="AS7965" s="10"/>
      <c r="AT7965" s="10"/>
      <c r="AU7965" s="10"/>
      <c r="AV7965" s="10"/>
      <c r="AW7965" s="10"/>
      <c r="AX7965" s="10"/>
      <c r="AY7965" s="10"/>
      <c r="AZ7965" s="10"/>
    </row>
    <row r="7966" spans="31:52">
      <c r="AE7966" s="10"/>
      <c r="AF7966" s="10"/>
      <c r="AG7966" s="10"/>
      <c r="AH7966" s="10"/>
      <c r="AI7966" s="10"/>
      <c r="AJ7966" s="10"/>
      <c r="AK7966" s="10"/>
      <c r="AL7966" s="10"/>
      <c r="AM7966" s="10"/>
      <c r="AN7966" s="10"/>
      <c r="AO7966" s="10"/>
      <c r="AP7966" s="10"/>
      <c r="AQ7966" s="10"/>
      <c r="AR7966" s="10"/>
      <c r="AS7966" s="10"/>
      <c r="AT7966" s="10"/>
      <c r="AU7966" s="10"/>
      <c r="AV7966" s="10"/>
      <c r="AW7966" s="10"/>
      <c r="AX7966" s="10"/>
      <c r="AY7966" s="10"/>
      <c r="AZ7966" s="10"/>
    </row>
    <row r="7967" spans="31:52">
      <c r="AE7967" s="10"/>
      <c r="AF7967" s="10"/>
      <c r="AG7967" s="10"/>
      <c r="AH7967" s="10"/>
      <c r="AI7967" s="10"/>
      <c r="AJ7967" s="10"/>
      <c r="AK7967" s="10"/>
      <c r="AL7967" s="10"/>
      <c r="AM7967" s="10"/>
      <c r="AN7967" s="10"/>
      <c r="AO7967" s="10"/>
      <c r="AP7967" s="10"/>
      <c r="AQ7967" s="10"/>
      <c r="AR7967" s="10"/>
      <c r="AS7967" s="10"/>
      <c r="AT7967" s="10"/>
      <c r="AU7967" s="10"/>
      <c r="AV7967" s="10"/>
      <c r="AW7967" s="10"/>
      <c r="AX7967" s="10"/>
      <c r="AY7967" s="10"/>
      <c r="AZ7967" s="10"/>
    </row>
    <row r="7968" spans="31:52">
      <c r="AE7968" s="10"/>
      <c r="AF7968" s="10"/>
      <c r="AG7968" s="10"/>
      <c r="AH7968" s="10"/>
      <c r="AI7968" s="10"/>
      <c r="AJ7968" s="10"/>
      <c r="AK7968" s="10"/>
      <c r="AL7968" s="10"/>
      <c r="AM7968" s="10"/>
      <c r="AN7968" s="10"/>
      <c r="AO7968" s="10"/>
      <c r="AP7968" s="10"/>
      <c r="AQ7968" s="10"/>
      <c r="AR7968" s="10"/>
      <c r="AS7968" s="10"/>
      <c r="AT7968" s="10"/>
      <c r="AU7968" s="10"/>
      <c r="AV7968" s="10"/>
      <c r="AW7968" s="10"/>
      <c r="AX7968" s="10"/>
      <c r="AY7968" s="10"/>
      <c r="AZ7968" s="10"/>
    </row>
    <row r="7969" spans="31:52">
      <c r="AE7969" s="10"/>
      <c r="AF7969" s="10"/>
      <c r="AG7969" s="10"/>
      <c r="AH7969" s="10"/>
      <c r="AI7969" s="10"/>
      <c r="AJ7969" s="10"/>
      <c r="AK7969" s="10"/>
      <c r="AL7969" s="10"/>
      <c r="AM7969" s="10"/>
      <c r="AN7969" s="10"/>
      <c r="AO7969" s="10"/>
      <c r="AP7969" s="10"/>
      <c r="AQ7969" s="10"/>
      <c r="AR7969" s="10"/>
      <c r="AS7969" s="10"/>
      <c r="AT7969" s="10"/>
      <c r="AU7969" s="10"/>
      <c r="AV7969" s="10"/>
      <c r="AW7969" s="10"/>
      <c r="AX7969" s="10"/>
      <c r="AY7969" s="10"/>
      <c r="AZ7969" s="10"/>
    </row>
    <row r="7970" spans="31:52">
      <c r="AE7970" s="10"/>
      <c r="AF7970" s="10"/>
      <c r="AG7970" s="10"/>
      <c r="AH7970" s="10"/>
      <c r="AI7970" s="10"/>
      <c r="AJ7970" s="10"/>
      <c r="AK7970" s="10"/>
      <c r="AL7970" s="10"/>
      <c r="AM7970" s="10"/>
      <c r="AN7970" s="10"/>
      <c r="AO7970" s="10"/>
      <c r="AP7970" s="10"/>
      <c r="AQ7970" s="10"/>
      <c r="AR7970" s="10"/>
      <c r="AS7970" s="10"/>
      <c r="AT7970" s="10"/>
      <c r="AU7970" s="10"/>
      <c r="AV7970" s="10"/>
      <c r="AW7970" s="10"/>
      <c r="AX7970" s="10"/>
      <c r="AY7970" s="10"/>
      <c r="AZ7970" s="10"/>
    </row>
    <row r="7971" spans="31:52">
      <c r="AE7971" s="10"/>
      <c r="AF7971" s="10"/>
      <c r="AG7971" s="10"/>
      <c r="AH7971" s="10"/>
      <c r="AI7971" s="10"/>
      <c r="AJ7971" s="10"/>
      <c r="AK7971" s="10"/>
      <c r="AL7971" s="10"/>
      <c r="AM7971" s="10"/>
      <c r="AN7971" s="10"/>
      <c r="AO7971" s="10"/>
      <c r="AP7971" s="10"/>
      <c r="AQ7971" s="10"/>
      <c r="AR7971" s="10"/>
      <c r="AS7971" s="10"/>
      <c r="AT7971" s="10"/>
      <c r="AU7971" s="10"/>
      <c r="AV7971" s="10"/>
      <c r="AW7971" s="10"/>
      <c r="AX7971" s="10"/>
      <c r="AY7971" s="10"/>
      <c r="AZ7971" s="10"/>
    </row>
    <row r="7972" spans="31:52">
      <c r="AE7972" s="10"/>
      <c r="AF7972" s="10"/>
      <c r="AG7972" s="10"/>
      <c r="AH7972" s="10"/>
      <c r="AI7972" s="10"/>
      <c r="AJ7972" s="10"/>
      <c r="AK7972" s="10"/>
      <c r="AL7972" s="10"/>
      <c r="AM7972" s="10"/>
      <c r="AN7972" s="10"/>
      <c r="AO7972" s="10"/>
      <c r="AP7972" s="10"/>
      <c r="AQ7972" s="10"/>
      <c r="AR7972" s="10"/>
      <c r="AS7972" s="10"/>
      <c r="AT7972" s="10"/>
      <c r="AU7972" s="10"/>
      <c r="AV7972" s="10"/>
      <c r="AW7972" s="10"/>
      <c r="AX7972" s="10"/>
      <c r="AY7972" s="10"/>
      <c r="AZ7972" s="10"/>
    </row>
    <row r="7973" spans="31:52">
      <c r="AE7973" s="10"/>
      <c r="AF7973" s="10"/>
      <c r="AG7973" s="10"/>
      <c r="AH7973" s="10"/>
      <c r="AI7973" s="10"/>
      <c r="AJ7973" s="10"/>
      <c r="AK7973" s="10"/>
      <c r="AL7973" s="10"/>
      <c r="AM7973" s="10"/>
      <c r="AN7973" s="10"/>
      <c r="AO7973" s="10"/>
      <c r="AP7973" s="10"/>
      <c r="AQ7973" s="10"/>
      <c r="AR7973" s="10"/>
      <c r="AS7973" s="10"/>
      <c r="AT7973" s="10"/>
      <c r="AU7973" s="10"/>
      <c r="AV7973" s="10"/>
      <c r="AW7973" s="10"/>
      <c r="AX7973" s="10"/>
      <c r="AY7973" s="10"/>
      <c r="AZ7973" s="10"/>
    </row>
    <row r="7974" spans="31:52">
      <c r="AE7974" s="10"/>
      <c r="AF7974" s="10"/>
      <c r="AG7974" s="10"/>
      <c r="AH7974" s="10"/>
      <c r="AI7974" s="10"/>
      <c r="AJ7974" s="10"/>
      <c r="AK7974" s="10"/>
      <c r="AL7974" s="10"/>
      <c r="AM7974" s="10"/>
      <c r="AN7974" s="10"/>
      <c r="AO7974" s="10"/>
      <c r="AP7974" s="10"/>
      <c r="AQ7974" s="10"/>
      <c r="AR7974" s="10"/>
      <c r="AS7974" s="10"/>
      <c r="AT7974" s="10"/>
      <c r="AU7974" s="10"/>
      <c r="AV7974" s="10"/>
      <c r="AW7974" s="10"/>
      <c r="AX7974" s="10"/>
      <c r="AY7974" s="10"/>
      <c r="AZ7974" s="10"/>
    </row>
    <row r="7975" spans="31:52">
      <c r="AE7975" s="10"/>
      <c r="AF7975" s="10"/>
      <c r="AG7975" s="10"/>
      <c r="AH7975" s="10"/>
      <c r="AI7975" s="10"/>
      <c r="AJ7975" s="10"/>
      <c r="AK7975" s="10"/>
      <c r="AL7975" s="10"/>
      <c r="AM7975" s="10"/>
      <c r="AN7975" s="10"/>
      <c r="AO7975" s="10"/>
      <c r="AP7975" s="10"/>
      <c r="AQ7975" s="10"/>
      <c r="AR7975" s="10"/>
      <c r="AS7975" s="10"/>
      <c r="AT7975" s="10"/>
      <c r="AU7975" s="10"/>
      <c r="AV7975" s="10"/>
      <c r="AW7975" s="10"/>
      <c r="AX7975" s="10"/>
      <c r="AY7975" s="10"/>
      <c r="AZ7975" s="10"/>
    </row>
    <row r="7976" spans="31:52">
      <c r="AE7976" s="10"/>
      <c r="AF7976" s="10"/>
      <c r="AG7976" s="10"/>
      <c r="AH7976" s="10"/>
      <c r="AI7976" s="10"/>
      <c r="AJ7976" s="10"/>
      <c r="AK7976" s="10"/>
      <c r="AL7976" s="10"/>
      <c r="AM7976" s="10"/>
      <c r="AN7976" s="10"/>
      <c r="AO7976" s="10"/>
      <c r="AP7976" s="10"/>
      <c r="AQ7976" s="10"/>
      <c r="AR7976" s="10"/>
      <c r="AS7976" s="10"/>
      <c r="AT7976" s="10"/>
      <c r="AU7976" s="10"/>
      <c r="AV7976" s="10"/>
      <c r="AW7976" s="10"/>
      <c r="AX7976" s="10"/>
      <c r="AY7976" s="10"/>
      <c r="AZ7976" s="10"/>
    </row>
    <row r="7977" spans="31:52">
      <c r="AE7977" s="10"/>
      <c r="AF7977" s="10"/>
      <c r="AG7977" s="10"/>
      <c r="AH7977" s="10"/>
      <c r="AI7977" s="10"/>
      <c r="AJ7977" s="10"/>
      <c r="AK7977" s="10"/>
      <c r="AL7977" s="10"/>
      <c r="AM7977" s="10"/>
      <c r="AN7977" s="10"/>
      <c r="AO7977" s="10"/>
      <c r="AP7977" s="10"/>
      <c r="AQ7977" s="10"/>
      <c r="AR7977" s="10"/>
      <c r="AS7977" s="10"/>
      <c r="AT7977" s="10"/>
      <c r="AU7977" s="10"/>
      <c r="AV7977" s="10"/>
      <c r="AW7977" s="10"/>
      <c r="AX7977" s="10"/>
      <c r="AY7977" s="10"/>
      <c r="AZ7977" s="10"/>
    </row>
    <row r="7978" spans="31:52">
      <c r="AE7978" s="10"/>
      <c r="AF7978" s="10"/>
      <c r="AG7978" s="10"/>
      <c r="AH7978" s="10"/>
      <c r="AI7978" s="10"/>
      <c r="AJ7978" s="10"/>
      <c r="AK7978" s="10"/>
      <c r="AL7978" s="10"/>
      <c r="AM7978" s="10"/>
      <c r="AN7978" s="10"/>
      <c r="AO7978" s="10"/>
      <c r="AP7978" s="10"/>
      <c r="AQ7978" s="10"/>
      <c r="AR7978" s="10"/>
      <c r="AS7978" s="10"/>
      <c r="AT7978" s="10"/>
      <c r="AU7978" s="10"/>
      <c r="AV7978" s="10"/>
      <c r="AW7978" s="10"/>
      <c r="AX7978" s="10"/>
      <c r="AY7978" s="10"/>
      <c r="AZ7978" s="10"/>
    </row>
    <row r="7979" spans="31:52">
      <c r="AE7979" s="10"/>
      <c r="AF7979" s="10"/>
      <c r="AG7979" s="10"/>
      <c r="AH7979" s="10"/>
      <c r="AI7979" s="10"/>
      <c r="AJ7979" s="10"/>
      <c r="AK7979" s="10"/>
      <c r="AL7979" s="10"/>
      <c r="AM7979" s="10"/>
      <c r="AN7979" s="10"/>
      <c r="AO7979" s="10"/>
      <c r="AP7979" s="10"/>
      <c r="AQ7979" s="10"/>
      <c r="AR7979" s="10"/>
      <c r="AS7979" s="10"/>
      <c r="AT7979" s="10"/>
      <c r="AU7979" s="10"/>
      <c r="AV7979" s="10"/>
      <c r="AW7979" s="10"/>
      <c r="AX7979" s="10"/>
      <c r="AY7979" s="10"/>
      <c r="AZ7979" s="10"/>
    </row>
    <row r="7980" spans="31:52">
      <c r="AE7980" s="10"/>
      <c r="AF7980" s="10"/>
      <c r="AG7980" s="10"/>
      <c r="AH7980" s="10"/>
      <c r="AI7980" s="10"/>
      <c r="AJ7980" s="10"/>
      <c r="AK7980" s="10"/>
      <c r="AL7980" s="10"/>
      <c r="AM7980" s="10"/>
      <c r="AN7980" s="10"/>
      <c r="AO7980" s="10"/>
      <c r="AP7980" s="10"/>
      <c r="AQ7980" s="10"/>
      <c r="AR7980" s="10"/>
      <c r="AS7980" s="10"/>
      <c r="AT7980" s="10"/>
      <c r="AU7980" s="10"/>
      <c r="AV7980" s="10"/>
      <c r="AW7980" s="10"/>
      <c r="AX7980" s="10"/>
      <c r="AY7980" s="10"/>
      <c r="AZ7980" s="10"/>
    </row>
    <row r="7981" spans="31:52">
      <c r="AE7981" s="10"/>
      <c r="AF7981" s="10"/>
      <c r="AG7981" s="10"/>
      <c r="AH7981" s="10"/>
      <c r="AI7981" s="10"/>
      <c r="AJ7981" s="10"/>
      <c r="AK7981" s="10"/>
      <c r="AL7981" s="10"/>
      <c r="AM7981" s="10"/>
      <c r="AN7981" s="10"/>
      <c r="AO7981" s="10"/>
      <c r="AP7981" s="10"/>
      <c r="AQ7981" s="10"/>
      <c r="AR7981" s="10"/>
      <c r="AS7981" s="10"/>
      <c r="AT7981" s="10"/>
      <c r="AU7981" s="10"/>
      <c r="AV7981" s="10"/>
      <c r="AW7981" s="10"/>
      <c r="AX7981" s="10"/>
      <c r="AY7981" s="10"/>
      <c r="AZ7981" s="10"/>
    </row>
    <row r="7982" spans="31:52">
      <c r="AE7982" s="10"/>
      <c r="AF7982" s="10"/>
      <c r="AG7982" s="10"/>
      <c r="AH7982" s="10"/>
      <c r="AI7982" s="10"/>
      <c r="AJ7982" s="10"/>
      <c r="AK7982" s="10"/>
      <c r="AL7982" s="10"/>
      <c r="AM7982" s="10"/>
      <c r="AN7982" s="10"/>
      <c r="AO7982" s="10"/>
      <c r="AP7982" s="10"/>
      <c r="AQ7982" s="10"/>
      <c r="AR7982" s="10"/>
      <c r="AS7982" s="10"/>
      <c r="AT7982" s="10"/>
      <c r="AU7982" s="10"/>
      <c r="AV7982" s="10"/>
      <c r="AW7982" s="10"/>
      <c r="AX7982" s="10"/>
      <c r="AY7982" s="10"/>
      <c r="AZ7982" s="10"/>
    </row>
    <row r="7983" spans="31:52">
      <c r="AE7983" s="10"/>
      <c r="AF7983" s="10"/>
      <c r="AG7983" s="10"/>
      <c r="AH7983" s="10"/>
      <c r="AI7983" s="10"/>
      <c r="AJ7983" s="10"/>
      <c r="AK7983" s="10"/>
      <c r="AL7983" s="10"/>
      <c r="AM7983" s="10"/>
      <c r="AN7983" s="10"/>
      <c r="AO7983" s="10"/>
      <c r="AP7983" s="10"/>
      <c r="AQ7983" s="10"/>
      <c r="AR7983" s="10"/>
      <c r="AS7983" s="10"/>
      <c r="AT7983" s="10"/>
      <c r="AU7983" s="10"/>
      <c r="AV7983" s="10"/>
      <c r="AW7983" s="10"/>
      <c r="AX7983" s="10"/>
      <c r="AY7983" s="10"/>
      <c r="AZ7983" s="10"/>
    </row>
    <row r="7984" spans="31:52">
      <c r="AE7984" s="10"/>
      <c r="AF7984" s="10"/>
      <c r="AG7984" s="10"/>
      <c r="AH7984" s="10"/>
      <c r="AI7984" s="10"/>
      <c r="AJ7984" s="10"/>
      <c r="AK7984" s="10"/>
      <c r="AL7984" s="10"/>
      <c r="AM7984" s="10"/>
      <c r="AN7984" s="10"/>
      <c r="AO7984" s="10"/>
      <c r="AP7984" s="10"/>
      <c r="AQ7984" s="10"/>
      <c r="AR7984" s="10"/>
      <c r="AS7984" s="10"/>
      <c r="AT7984" s="10"/>
      <c r="AU7984" s="10"/>
      <c r="AV7984" s="10"/>
      <c r="AW7984" s="10"/>
      <c r="AX7984" s="10"/>
      <c r="AY7984" s="10"/>
      <c r="AZ7984" s="10"/>
    </row>
    <row r="7985" spans="31:52">
      <c r="AE7985" s="10"/>
      <c r="AF7985" s="10"/>
      <c r="AG7985" s="10"/>
      <c r="AH7985" s="10"/>
      <c r="AI7985" s="10"/>
      <c r="AJ7985" s="10"/>
      <c r="AK7985" s="10"/>
      <c r="AL7985" s="10"/>
      <c r="AM7985" s="10"/>
      <c r="AN7985" s="10"/>
      <c r="AO7985" s="10"/>
      <c r="AP7985" s="10"/>
      <c r="AQ7985" s="10"/>
      <c r="AR7985" s="10"/>
      <c r="AS7985" s="10"/>
      <c r="AT7985" s="10"/>
      <c r="AU7985" s="10"/>
      <c r="AV7985" s="10"/>
      <c r="AW7985" s="10"/>
      <c r="AX7985" s="10"/>
      <c r="AY7985" s="10"/>
      <c r="AZ7985" s="10"/>
    </row>
    <row r="7986" spans="31:52">
      <c r="AE7986" s="10"/>
      <c r="AF7986" s="10"/>
      <c r="AG7986" s="10"/>
      <c r="AH7986" s="10"/>
      <c r="AI7986" s="10"/>
      <c r="AJ7986" s="10"/>
      <c r="AK7986" s="10"/>
      <c r="AL7986" s="10"/>
      <c r="AM7986" s="10"/>
      <c r="AN7986" s="10"/>
      <c r="AO7986" s="10"/>
      <c r="AP7986" s="10"/>
      <c r="AQ7986" s="10"/>
      <c r="AR7986" s="10"/>
      <c r="AS7986" s="10"/>
      <c r="AT7986" s="10"/>
      <c r="AU7986" s="10"/>
      <c r="AV7986" s="10"/>
      <c r="AW7986" s="10"/>
      <c r="AX7986" s="10"/>
      <c r="AY7986" s="10"/>
      <c r="AZ7986" s="10"/>
    </row>
    <row r="7987" spans="31:52">
      <c r="AE7987" s="10"/>
      <c r="AF7987" s="10"/>
      <c r="AG7987" s="10"/>
      <c r="AH7987" s="10"/>
      <c r="AI7987" s="10"/>
      <c r="AJ7987" s="10"/>
      <c r="AK7987" s="10"/>
      <c r="AL7987" s="10"/>
      <c r="AM7987" s="10"/>
      <c r="AN7987" s="10"/>
      <c r="AO7987" s="10"/>
      <c r="AP7987" s="10"/>
      <c r="AQ7987" s="10"/>
      <c r="AR7987" s="10"/>
      <c r="AS7987" s="10"/>
      <c r="AT7987" s="10"/>
      <c r="AU7987" s="10"/>
      <c r="AV7987" s="10"/>
      <c r="AW7987" s="10"/>
      <c r="AX7987" s="10"/>
      <c r="AY7987" s="10"/>
      <c r="AZ7987" s="10"/>
    </row>
    <row r="7988" spans="31:52">
      <c r="AE7988" s="10"/>
      <c r="AF7988" s="10"/>
      <c r="AG7988" s="10"/>
      <c r="AH7988" s="10"/>
      <c r="AI7988" s="10"/>
      <c r="AJ7988" s="10"/>
      <c r="AK7988" s="10"/>
      <c r="AL7988" s="10"/>
      <c r="AM7988" s="10"/>
      <c r="AN7988" s="10"/>
      <c r="AO7988" s="10"/>
      <c r="AP7988" s="10"/>
      <c r="AQ7988" s="10"/>
      <c r="AR7988" s="10"/>
      <c r="AS7988" s="10"/>
      <c r="AT7988" s="10"/>
      <c r="AU7988" s="10"/>
      <c r="AV7988" s="10"/>
      <c r="AW7988" s="10"/>
      <c r="AX7988" s="10"/>
      <c r="AY7988" s="10"/>
      <c r="AZ7988" s="10"/>
    </row>
    <row r="7989" spans="31:52">
      <c r="AE7989" s="10"/>
      <c r="AF7989" s="10"/>
      <c r="AG7989" s="10"/>
      <c r="AH7989" s="10"/>
      <c r="AI7989" s="10"/>
      <c r="AJ7989" s="10"/>
      <c r="AK7989" s="10"/>
      <c r="AL7989" s="10"/>
      <c r="AM7989" s="10"/>
      <c r="AN7989" s="10"/>
      <c r="AO7989" s="10"/>
      <c r="AP7989" s="10"/>
      <c r="AQ7989" s="10"/>
      <c r="AR7989" s="10"/>
      <c r="AS7989" s="10"/>
      <c r="AT7989" s="10"/>
      <c r="AU7989" s="10"/>
      <c r="AV7989" s="10"/>
      <c r="AW7989" s="10"/>
      <c r="AX7989" s="10"/>
      <c r="AY7989" s="10"/>
      <c r="AZ7989" s="10"/>
    </row>
    <row r="7990" spans="31:52">
      <c r="AE7990" s="10"/>
      <c r="AF7990" s="10"/>
      <c r="AG7990" s="10"/>
      <c r="AH7990" s="10"/>
      <c r="AI7990" s="10"/>
      <c r="AJ7990" s="10"/>
      <c r="AK7990" s="10"/>
      <c r="AL7990" s="10"/>
      <c r="AM7990" s="10"/>
      <c r="AN7990" s="10"/>
      <c r="AO7990" s="10"/>
      <c r="AP7990" s="10"/>
      <c r="AQ7990" s="10"/>
      <c r="AR7990" s="10"/>
      <c r="AS7990" s="10"/>
      <c r="AT7990" s="10"/>
      <c r="AU7990" s="10"/>
      <c r="AV7990" s="10"/>
      <c r="AW7990" s="10"/>
      <c r="AX7990" s="10"/>
      <c r="AY7990" s="10"/>
      <c r="AZ7990" s="10"/>
    </row>
    <row r="7991" spans="31:52">
      <c r="AE7991" s="10"/>
      <c r="AF7991" s="10"/>
      <c r="AG7991" s="10"/>
      <c r="AH7991" s="10"/>
      <c r="AI7991" s="10"/>
      <c r="AJ7991" s="10"/>
      <c r="AK7991" s="10"/>
      <c r="AL7991" s="10"/>
      <c r="AM7991" s="10"/>
      <c r="AN7991" s="10"/>
      <c r="AO7991" s="10"/>
      <c r="AP7991" s="10"/>
      <c r="AQ7991" s="10"/>
      <c r="AR7991" s="10"/>
      <c r="AS7991" s="10"/>
      <c r="AT7991" s="10"/>
      <c r="AU7991" s="10"/>
      <c r="AV7991" s="10"/>
      <c r="AW7991" s="10"/>
      <c r="AX7991" s="10"/>
      <c r="AY7991" s="10"/>
      <c r="AZ7991" s="10"/>
    </row>
    <row r="7992" spans="31:52">
      <c r="AE7992" s="10"/>
      <c r="AF7992" s="10"/>
      <c r="AG7992" s="10"/>
      <c r="AH7992" s="10"/>
      <c r="AI7992" s="10"/>
      <c r="AJ7992" s="10"/>
      <c r="AK7992" s="10"/>
      <c r="AL7992" s="10"/>
      <c r="AM7992" s="10"/>
      <c r="AN7992" s="10"/>
      <c r="AO7992" s="10"/>
      <c r="AP7992" s="10"/>
      <c r="AQ7992" s="10"/>
      <c r="AR7992" s="10"/>
      <c r="AS7992" s="10"/>
      <c r="AT7992" s="10"/>
      <c r="AU7992" s="10"/>
      <c r="AV7992" s="10"/>
      <c r="AW7992" s="10"/>
      <c r="AX7992" s="10"/>
      <c r="AY7992" s="10"/>
      <c r="AZ7992" s="10"/>
    </row>
    <row r="7993" spans="31:52">
      <c r="AE7993" s="10"/>
      <c r="AF7993" s="10"/>
      <c r="AG7993" s="10"/>
      <c r="AH7993" s="10"/>
      <c r="AI7993" s="10"/>
      <c r="AJ7993" s="10"/>
      <c r="AK7993" s="10"/>
      <c r="AL7993" s="10"/>
      <c r="AM7993" s="10"/>
      <c r="AN7993" s="10"/>
      <c r="AO7993" s="10"/>
      <c r="AP7993" s="10"/>
      <c r="AQ7993" s="10"/>
      <c r="AR7993" s="10"/>
      <c r="AS7993" s="10"/>
      <c r="AT7993" s="10"/>
      <c r="AU7993" s="10"/>
      <c r="AV7993" s="10"/>
      <c r="AW7993" s="10"/>
      <c r="AX7993" s="10"/>
      <c r="AY7993" s="10"/>
      <c r="AZ7993" s="10"/>
    </row>
    <row r="7994" spans="31:52">
      <c r="AE7994" s="10"/>
      <c r="AF7994" s="10"/>
      <c r="AG7994" s="10"/>
      <c r="AH7994" s="10"/>
      <c r="AI7994" s="10"/>
      <c r="AJ7994" s="10"/>
      <c r="AK7994" s="10"/>
      <c r="AL7994" s="10"/>
      <c r="AM7994" s="10"/>
      <c r="AN7994" s="10"/>
      <c r="AO7994" s="10"/>
      <c r="AP7994" s="10"/>
      <c r="AQ7994" s="10"/>
      <c r="AR7994" s="10"/>
      <c r="AS7994" s="10"/>
      <c r="AT7994" s="10"/>
      <c r="AU7994" s="10"/>
      <c r="AV7994" s="10"/>
      <c r="AW7994" s="10"/>
      <c r="AX7994" s="10"/>
      <c r="AY7994" s="10"/>
      <c r="AZ7994" s="10"/>
    </row>
    <row r="7995" spans="31:52">
      <c r="AE7995" s="10"/>
      <c r="AF7995" s="10"/>
      <c r="AG7995" s="10"/>
      <c r="AH7995" s="10"/>
      <c r="AI7995" s="10"/>
      <c r="AJ7995" s="10"/>
      <c r="AK7995" s="10"/>
      <c r="AL7995" s="10"/>
      <c r="AM7995" s="10"/>
      <c r="AN7995" s="10"/>
      <c r="AO7995" s="10"/>
      <c r="AP7995" s="10"/>
      <c r="AQ7995" s="10"/>
      <c r="AR7995" s="10"/>
      <c r="AS7995" s="10"/>
      <c r="AT7995" s="10"/>
      <c r="AU7995" s="10"/>
      <c r="AV7995" s="10"/>
      <c r="AW7995" s="10"/>
      <c r="AX7995" s="10"/>
      <c r="AY7995" s="10"/>
      <c r="AZ7995" s="10"/>
    </row>
    <row r="7996" spans="31:52">
      <c r="AE7996" s="10"/>
      <c r="AF7996" s="10"/>
      <c r="AG7996" s="10"/>
      <c r="AH7996" s="10"/>
      <c r="AI7996" s="10"/>
      <c r="AJ7996" s="10"/>
      <c r="AK7996" s="10"/>
      <c r="AL7996" s="10"/>
      <c r="AM7996" s="10"/>
      <c r="AN7996" s="10"/>
      <c r="AO7996" s="10"/>
      <c r="AP7996" s="10"/>
      <c r="AQ7996" s="10"/>
      <c r="AR7996" s="10"/>
      <c r="AS7996" s="10"/>
      <c r="AT7996" s="10"/>
      <c r="AU7996" s="10"/>
      <c r="AV7996" s="10"/>
      <c r="AW7996" s="10"/>
      <c r="AX7996" s="10"/>
      <c r="AY7996" s="10"/>
      <c r="AZ7996" s="10"/>
    </row>
    <row r="7997" spans="31:52">
      <c r="AE7997" s="10"/>
      <c r="AF7997" s="10"/>
      <c r="AG7997" s="10"/>
      <c r="AH7997" s="10"/>
      <c r="AI7997" s="10"/>
      <c r="AJ7997" s="10"/>
      <c r="AK7997" s="10"/>
      <c r="AL7997" s="10"/>
      <c r="AM7997" s="10"/>
      <c r="AN7997" s="10"/>
      <c r="AO7997" s="10"/>
      <c r="AP7997" s="10"/>
      <c r="AQ7997" s="10"/>
      <c r="AR7997" s="10"/>
      <c r="AS7997" s="10"/>
      <c r="AT7997" s="10"/>
      <c r="AU7997" s="10"/>
      <c r="AV7997" s="10"/>
      <c r="AW7997" s="10"/>
      <c r="AX7997" s="10"/>
      <c r="AY7997" s="10"/>
      <c r="AZ7997" s="10"/>
    </row>
    <row r="7998" spans="31:52">
      <c r="AE7998" s="10"/>
      <c r="AF7998" s="10"/>
      <c r="AG7998" s="10"/>
      <c r="AH7998" s="10"/>
      <c r="AI7998" s="10"/>
      <c r="AJ7998" s="10"/>
      <c r="AK7998" s="10"/>
      <c r="AL7998" s="10"/>
      <c r="AM7998" s="10"/>
      <c r="AN7998" s="10"/>
      <c r="AO7998" s="10"/>
      <c r="AP7998" s="10"/>
      <c r="AQ7998" s="10"/>
      <c r="AR7998" s="10"/>
      <c r="AS7998" s="10"/>
      <c r="AT7998" s="10"/>
      <c r="AU7998" s="10"/>
      <c r="AV7998" s="10"/>
      <c r="AW7998" s="10"/>
      <c r="AX7998" s="10"/>
      <c r="AY7998" s="10"/>
      <c r="AZ7998" s="10"/>
    </row>
    <row r="7999" spans="31:52">
      <c r="AE7999" s="10"/>
      <c r="AF7999" s="10"/>
      <c r="AG7999" s="10"/>
      <c r="AH7999" s="10"/>
      <c r="AI7999" s="10"/>
      <c r="AJ7999" s="10"/>
      <c r="AK7999" s="10"/>
      <c r="AL7999" s="10"/>
      <c r="AM7999" s="10"/>
      <c r="AN7999" s="10"/>
      <c r="AO7999" s="10"/>
      <c r="AP7999" s="10"/>
      <c r="AQ7999" s="10"/>
      <c r="AR7999" s="10"/>
      <c r="AS7999" s="10"/>
      <c r="AT7999" s="10"/>
      <c r="AU7999" s="10"/>
      <c r="AV7999" s="10"/>
      <c r="AW7999" s="10"/>
      <c r="AX7999" s="10"/>
      <c r="AY7999" s="10"/>
      <c r="AZ7999" s="10"/>
    </row>
    <row r="8000" spans="31:52">
      <c r="AE8000" s="10"/>
      <c r="AF8000" s="10"/>
      <c r="AG8000" s="10"/>
      <c r="AH8000" s="10"/>
      <c r="AI8000" s="10"/>
      <c r="AJ8000" s="10"/>
      <c r="AK8000" s="10"/>
      <c r="AL8000" s="10"/>
      <c r="AM8000" s="10"/>
      <c r="AN8000" s="10"/>
      <c r="AO8000" s="10"/>
      <c r="AP8000" s="10"/>
      <c r="AQ8000" s="10"/>
      <c r="AR8000" s="10"/>
      <c r="AS8000" s="10"/>
      <c r="AT8000" s="10"/>
      <c r="AU8000" s="10"/>
      <c r="AV8000" s="10"/>
      <c r="AW8000" s="10"/>
      <c r="AX8000" s="10"/>
      <c r="AY8000" s="10"/>
      <c r="AZ8000" s="10"/>
    </row>
    <row r="8001" spans="31:52">
      <c r="AE8001" s="10"/>
      <c r="AF8001" s="10"/>
      <c r="AG8001" s="10"/>
      <c r="AH8001" s="10"/>
      <c r="AI8001" s="10"/>
      <c r="AJ8001" s="10"/>
      <c r="AK8001" s="10"/>
      <c r="AL8001" s="10"/>
      <c r="AM8001" s="10"/>
      <c r="AN8001" s="10"/>
      <c r="AO8001" s="10"/>
      <c r="AP8001" s="10"/>
      <c r="AQ8001" s="10"/>
      <c r="AR8001" s="10"/>
      <c r="AS8001" s="10"/>
      <c r="AT8001" s="10"/>
      <c r="AU8001" s="10"/>
      <c r="AV8001" s="10"/>
      <c r="AW8001" s="10"/>
      <c r="AX8001" s="10"/>
      <c r="AY8001" s="10"/>
      <c r="AZ8001" s="10"/>
    </row>
    <row r="8002" spans="31:52">
      <c r="AE8002" s="10"/>
      <c r="AF8002" s="10"/>
      <c r="AG8002" s="10"/>
      <c r="AH8002" s="10"/>
      <c r="AI8002" s="10"/>
      <c r="AJ8002" s="10"/>
      <c r="AK8002" s="10"/>
      <c r="AL8002" s="10"/>
      <c r="AM8002" s="10"/>
      <c r="AN8002" s="10"/>
      <c r="AO8002" s="10"/>
      <c r="AP8002" s="10"/>
      <c r="AQ8002" s="10"/>
      <c r="AR8002" s="10"/>
      <c r="AS8002" s="10"/>
      <c r="AT8002" s="10"/>
      <c r="AU8002" s="10"/>
      <c r="AV8002" s="10"/>
      <c r="AW8002" s="10"/>
      <c r="AX8002" s="10"/>
      <c r="AY8002" s="10"/>
      <c r="AZ8002" s="10"/>
    </row>
    <row r="8003" spans="31:52">
      <c r="AE8003" s="10"/>
      <c r="AF8003" s="10"/>
      <c r="AG8003" s="10"/>
      <c r="AH8003" s="10"/>
      <c r="AI8003" s="10"/>
      <c r="AJ8003" s="10"/>
      <c r="AK8003" s="10"/>
      <c r="AL8003" s="10"/>
      <c r="AM8003" s="10"/>
      <c r="AN8003" s="10"/>
      <c r="AO8003" s="10"/>
      <c r="AP8003" s="10"/>
      <c r="AQ8003" s="10"/>
      <c r="AR8003" s="10"/>
      <c r="AS8003" s="10"/>
      <c r="AT8003" s="10"/>
      <c r="AU8003" s="10"/>
      <c r="AV8003" s="10"/>
      <c r="AW8003" s="10"/>
      <c r="AX8003" s="10"/>
      <c r="AY8003" s="10"/>
      <c r="AZ8003" s="10"/>
    </row>
    <row r="8004" spans="31:52">
      <c r="AE8004" s="10"/>
      <c r="AF8004" s="10"/>
      <c r="AG8004" s="10"/>
      <c r="AH8004" s="10"/>
      <c r="AI8004" s="10"/>
      <c r="AJ8004" s="10"/>
      <c r="AK8004" s="10"/>
      <c r="AL8004" s="10"/>
      <c r="AM8004" s="10"/>
      <c r="AN8004" s="10"/>
      <c r="AO8004" s="10"/>
      <c r="AP8004" s="10"/>
      <c r="AQ8004" s="10"/>
      <c r="AR8004" s="10"/>
      <c r="AS8004" s="10"/>
      <c r="AT8004" s="10"/>
      <c r="AU8004" s="10"/>
      <c r="AV8004" s="10"/>
      <c r="AW8004" s="10"/>
      <c r="AX8004" s="10"/>
      <c r="AY8004" s="10"/>
      <c r="AZ8004" s="10"/>
    </row>
    <row r="8005" spans="31:52">
      <c r="AE8005" s="10"/>
      <c r="AF8005" s="10"/>
      <c r="AG8005" s="10"/>
      <c r="AH8005" s="10"/>
      <c r="AI8005" s="10"/>
      <c r="AJ8005" s="10"/>
      <c r="AK8005" s="10"/>
      <c r="AL8005" s="10"/>
      <c r="AM8005" s="10"/>
      <c r="AN8005" s="10"/>
      <c r="AO8005" s="10"/>
      <c r="AP8005" s="10"/>
      <c r="AQ8005" s="10"/>
      <c r="AR8005" s="10"/>
      <c r="AS8005" s="10"/>
      <c r="AT8005" s="10"/>
      <c r="AU8005" s="10"/>
      <c r="AV8005" s="10"/>
      <c r="AW8005" s="10"/>
      <c r="AX8005" s="10"/>
      <c r="AY8005" s="10"/>
      <c r="AZ8005" s="10"/>
    </row>
    <row r="8006" spans="31:52">
      <c r="AE8006" s="10"/>
      <c r="AF8006" s="10"/>
      <c r="AG8006" s="10"/>
      <c r="AH8006" s="10"/>
      <c r="AI8006" s="10"/>
      <c r="AJ8006" s="10"/>
      <c r="AK8006" s="10"/>
      <c r="AL8006" s="10"/>
      <c r="AM8006" s="10"/>
      <c r="AN8006" s="10"/>
      <c r="AO8006" s="10"/>
      <c r="AP8006" s="10"/>
      <c r="AQ8006" s="10"/>
      <c r="AR8006" s="10"/>
      <c r="AS8006" s="10"/>
      <c r="AT8006" s="10"/>
      <c r="AU8006" s="10"/>
      <c r="AV8006" s="10"/>
      <c r="AW8006" s="10"/>
      <c r="AX8006" s="10"/>
      <c r="AY8006" s="10"/>
      <c r="AZ8006" s="10"/>
    </row>
    <row r="8007" spans="31:52">
      <c r="AE8007" s="10"/>
      <c r="AF8007" s="10"/>
      <c r="AG8007" s="10"/>
      <c r="AH8007" s="10"/>
      <c r="AI8007" s="10"/>
      <c r="AJ8007" s="10"/>
      <c r="AK8007" s="10"/>
      <c r="AL8007" s="10"/>
      <c r="AM8007" s="10"/>
      <c r="AN8007" s="10"/>
      <c r="AO8007" s="10"/>
      <c r="AP8007" s="10"/>
      <c r="AQ8007" s="10"/>
      <c r="AR8007" s="10"/>
      <c r="AS8007" s="10"/>
      <c r="AT8007" s="10"/>
      <c r="AU8007" s="10"/>
      <c r="AV8007" s="10"/>
      <c r="AW8007" s="10"/>
      <c r="AX8007" s="10"/>
      <c r="AY8007" s="10"/>
      <c r="AZ8007" s="10"/>
    </row>
    <row r="8008" spans="31:52">
      <c r="AE8008" s="10"/>
      <c r="AF8008" s="10"/>
      <c r="AG8008" s="10"/>
      <c r="AH8008" s="10"/>
      <c r="AI8008" s="10"/>
      <c r="AJ8008" s="10"/>
      <c r="AK8008" s="10"/>
      <c r="AL8008" s="10"/>
      <c r="AM8008" s="10"/>
      <c r="AN8008" s="10"/>
      <c r="AO8008" s="10"/>
      <c r="AP8008" s="10"/>
      <c r="AQ8008" s="10"/>
      <c r="AR8008" s="10"/>
      <c r="AS8008" s="10"/>
      <c r="AT8008" s="10"/>
      <c r="AU8008" s="10"/>
      <c r="AV8008" s="10"/>
      <c r="AW8008" s="10"/>
      <c r="AX8008" s="10"/>
      <c r="AY8008" s="10"/>
      <c r="AZ8008" s="10"/>
    </row>
    <row r="8009" spans="31:52">
      <c r="AE8009" s="10"/>
      <c r="AF8009" s="10"/>
      <c r="AG8009" s="10"/>
      <c r="AH8009" s="10"/>
      <c r="AI8009" s="10"/>
      <c r="AJ8009" s="10"/>
      <c r="AK8009" s="10"/>
      <c r="AL8009" s="10"/>
      <c r="AM8009" s="10"/>
      <c r="AN8009" s="10"/>
      <c r="AO8009" s="10"/>
      <c r="AP8009" s="10"/>
      <c r="AQ8009" s="10"/>
      <c r="AR8009" s="10"/>
      <c r="AS8009" s="10"/>
      <c r="AT8009" s="10"/>
      <c r="AU8009" s="10"/>
      <c r="AV8009" s="10"/>
      <c r="AW8009" s="10"/>
      <c r="AX8009" s="10"/>
      <c r="AY8009" s="10"/>
      <c r="AZ8009" s="10"/>
    </row>
    <row r="8010" spans="31:52">
      <c r="AE8010" s="10"/>
      <c r="AF8010" s="10"/>
      <c r="AG8010" s="10"/>
      <c r="AH8010" s="10"/>
      <c r="AI8010" s="10"/>
      <c r="AJ8010" s="10"/>
      <c r="AK8010" s="10"/>
      <c r="AL8010" s="10"/>
      <c r="AM8010" s="10"/>
      <c r="AN8010" s="10"/>
      <c r="AO8010" s="10"/>
      <c r="AP8010" s="10"/>
      <c r="AQ8010" s="10"/>
      <c r="AR8010" s="10"/>
      <c r="AS8010" s="10"/>
      <c r="AT8010" s="10"/>
      <c r="AU8010" s="10"/>
      <c r="AV8010" s="10"/>
      <c r="AW8010" s="10"/>
      <c r="AX8010" s="10"/>
      <c r="AY8010" s="10"/>
      <c r="AZ8010" s="10"/>
    </row>
    <row r="8011" spans="31:52">
      <c r="AE8011" s="10"/>
      <c r="AF8011" s="10"/>
      <c r="AG8011" s="10"/>
      <c r="AH8011" s="10"/>
      <c r="AI8011" s="10"/>
      <c r="AJ8011" s="10"/>
      <c r="AK8011" s="10"/>
      <c r="AL8011" s="10"/>
      <c r="AM8011" s="10"/>
      <c r="AN8011" s="10"/>
      <c r="AO8011" s="10"/>
      <c r="AP8011" s="10"/>
      <c r="AQ8011" s="10"/>
      <c r="AR8011" s="10"/>
      <c r="AS8011" s="10"/>
      <c r="AT8011" s="10"/>
      <c r="AU8011" s="10"/>
      <c r="AV8011" s="10"/>
      <c r="AW8011" s="10"/>
      <c r="AX8011" s="10"/>
      <c r="AY8011" s="10"/>
      <c r="AZ8011" s="10"/>
    </row>
    <row r="8012" spans="31:52">
      <c r="AE8012" s="10"/>
      <c r="AF8012" s="10"/>
      <c r="AG8012" s="10"/>
      <c r="AH8012" s="10"/>
      <c r="AI8012" s="10"/>
      <c r="AJ8012" s="10"/>
      <c r="AK8012" s="10"/>
      <c r="AL8012" s="10"/>
      <c r="AM8012" s="10"/>
      <c r="AN8012" s="10"/>
      <c r="AO8012" s="10"/>
      <c r="AP8012" s="10"/>
      <c r="AQ8012" s="10"/>
      <c r="AR8012" s="10"/>
      <c r="AS8012" s="10"/>
      <c r="AT8012" s="10"/>
      <c r="AU8012" s="10"/>
      <c r="AV8012" s="10"/>
      <c r="AW8012" s="10"/>
      <c r="AX8012" s="10"/>
      <c r="AY8012" s="10"/>
      <c r="AZ8012" s="10"/>
    </row>
    <row r="8013" spans="31:52">
      <c r="AE8013" s="10"/>
      <c r="AF8013" s="10"/>
      <c r="AG8013" s="10"/>
      <c r="AH8013" s="10"/>
      <c r="AI8013" s="10"/>
      <c r="AJ8013" s="10"/>
      <c r="AK8013" s="10"/>
      <c r="AL8013" s="10"/>
      <c r="AM8013" s="10"/>
      <c r="AN8013" s="10"/>
      <c r="AO8013" s="10"/>
      <c r="AP8013" s="10"/>
      <c r="AQ8013" s="10"/>
      <c r="AR8013" s="10"/>
      <c r="AS8013" s="10"/>
      <c r="AT8013" s="10"/>
      <c r="AU8013" s="10"/>
      <c r="AV8013" s="10"/>
      <c r="AW8013" s="10"/>
      <c r="AX8013" s="10"/>
      <c r="AY8013" s="10"/>
      <c r="AZ8013" s="10"/>
    </row>
    <row r="8014" spans="31:52">
      <c r="AE8014" s="10"/>
      <c r="AF8014" s="10"/>
      <c r="AG8014" s="10"/>
      <c r="AH8014" s="10"/>
      <c r="AI8014" s="10"/>
      <c r="AJ8014" s="10"/>
      <c r="AK8014" s="10"/>
      <c r="AL8014" s="10"/>
      <c r="AM8014" s="10"/>
      <c r="AN8014" s="10"/>
      <c r="AO8014" s="10"/>
      <c r="AP8014" s="10"/>
      <c r="AQ8014" s="10"/>
      <c r="AR8014" s="10"/>
      <c r="AS8014" s="10"/>
      <c r="AT8014" s="10"/>
      <c r="AU8014" s="10"/>
      <c r="AV8014" s="10"/>
      <c r="AW8014" s="10"/>
      <c r="AX8014" s="10"/>
      <c r="AY8014" s="10"/>
      <c r="AZ8014" s="10"/>
    </row>
    <row r="8015" spans="31:52">
      <c r="AE8015" s="10"/>
      <c r="AF8015" s="10"/>
      <c r="AG8015" s="10"/>
      <c r="AH8015" s="10"/>
      <c r="AI8015" s="10"/>
      <c r="AJ8015" s="10"/>
      <c r="AK8015" s="10"/>
      <c r="AL8015" s="10"/>
      <c r="AM8015" s="10"/>
      <c r="AN8015" s="10"/>
      <c r="AO8015" s="10"/>
      <c r="AP8015" s="10"/>
      <c r="AQ8015" s="10"/>
      <c r="AR8015" s="10"/>
      <c r="AS8015" s="10"/>
      <c r="AT8015" s="10"/>
      <c r="AU8015" s="10"/>
      <c r="AV8015" s="10"/>
      <c r="AW8015" s="10"/>
      <c r="AX8015" s="10"/>
      <c r="AY8015" s="10"/>
      <c r="AZ8015" s="10"/>
    </row>
    <row r="8016" spans="31:52">
      <c r="AE8016" s="10"/>
      <c r="AF8016" s="10"/>
      <c r="AG8016" s="10"/>
      <c r="AH8016" s="10"/>
      <c r="AI8016" s="10"/>
      <c r="AJ8016" s="10"/>
      <c r="AK8016" s="10"/>
      <c r="AL8016" s="10"/>
      <c r="AM8016" s="10"/>
      <c r="AN8016" s="10"/>
      <c r="AO8016" s="10"/>
      <c r="AP8016" s="10"/>
      <c r="AQ8016" s="10"/>
      <c r="AR8016" s="10"/>
      <c r="AS8016" s="10"/>
      <c r="AT8016" s="10"/>
      <c r="AU8016" s="10"/>
      <c r="AV8016" s="10"/>
      <c r="AW8016" s="10"/>
      <c r="AX8016" s="10"/>
      <c r="AY8016" s="10"/>
      <c r="AZ8016" s="10"/>
    </row>
    <row r="8017" spans="31:52">
      <c r="AE8017" s="10"/>
      <c r="AF8017" s="10"/>
      <c r="AG8017" s="10"/>
      <c r="AH8017" s="10"/>
      <c r="AI8017" s="10"/>
      <c r="AJ8017" s="10"/>
      <c r="AK8017" s="10"/>
      <c r="AL8017" s="10"/>
      <c r="AM8017" s="10"/>
      <c r="AN8017" s="10"/>
      <c r="AO8017" s="10"/>
      <c r="AP8017" s="10"/>
      <c r="AQ8017" s="10"/>
      <c r="AR8017" s="10"/>
      <c r="AS8017" s="10"/>
      <c r="AT8017" s="10"/>
      <c r="AU8017" s="10"/>
      <c r="AV8017" s="10"/>
      <c r="AW8017" s="10"/>
      <c r="AX8017" s="10"/>
      <c r="AY8017" s="10"/>
      <c r="AZ8017" s="10"/>
    </row>
    <row r="8018" spans="31:52">
      <c r="AE8018" s="10"/>
      <c r="AF8018" s="10"/>
      <c r="AG8018" s="10"/>
      <c r="AH8018" s="10"/>
      <c r="AI8018" s="10"/>
      <c r="AJ8018" s="10"/>
      <c r="AK8018" s="10"/>
      <c r="AL8018" s="10"/>
      <c r="AM8018" s="10"/>
      <c r="AN8018" s="10"/>
      <c r="AO8018" s="10"/>
      <c r="AP8018" s="10"/>
      <c r="AQ8018" s="10"/>
      <c r="AR8018" s="10"/>
      <c r="AS8018" s="10"/>
      <c r="AT8018" s="10"/>
      <c r="AU8018" s="10"/>
      <c r="AV8018" s="10"/>
      <c r="AW8018" s="10"/>
      <c r="AX8018" s="10"/>
      <c r="AY8018" s="10"/>
      <c r="AZ8018" s="10"/>
    </row>
    <row r="8019" spans="31:52">
      <c r="AE8019" s="10"/>
      <c r="AF8019" s="10"/>
      <c r="AG8019" s="10"/>
      <c r="AH8019" s="10"/>
      <c r="AI8019" s="10"/>
      <c r="AJ8019" s="10"/>
      <c r="AK8019" s="10"/>
      <c r="AL8019" s="10"/>
      <c r="AM8019" s="10"/>
      <c r="AN8019" s="10"/>
      <c r="AO8019" s="10"/>
      <c r="AP8019" s="10"/>
      <c r="AQ8019" s="10"/>
      <c r="AR8019" s="10"/>
      <c r="AS8019" s="10"/>
      <c r="AT8019" s="10"/>
      <c r="AU8019" s="10"/>
      <c r="AV8019" s="10"/>
      <c r="AW8019" s="10"/>
      <c r="AX8019" s="10"/>
      <c r="AY8019" s="10"/>
      <c r="AZ8019" s="10"/>
    </row>
    <row r="8020" spans="31:52">
      <c r="AE8020" s="10"/>
      <c r="AF8020" s="10"/>
      <c r="AG8020" s="10"/>
      <c r="AH8020" s="10"/>
      <c r="AI8020" s="10"/>
      <c r="AJ8020" s="10"/>
      <c r="AK8020" s="10"/>
      <c r="AL8020" s="10"/>
      <c r="AM8020" s="10"/>
      <c r="AN8020" s="10"/>
      <c r="AO8020" s="10"/>
      <c r="AP8020" s="10"/>
      <c r="AQ8020" s="10"/>
      <c r="AR8020" s="10"/>
      <c r="AS8020" s="10"/>
      <c r="AT8020" s="10"/>
      <c r="AU8020" s="10"/>
      <c r="AV8020" s="10"/>
      <c r="AW8020" s="10"/>
      <c r="AX8020" s="10"/>
      <c r="AY8020" s="10"/>
      <c r="AZ8020" s="10"/>
    </row>
    <row r="8021" spans="31:52">
      <c r="AE8021" s="10"/>
      <c r="AF8021" s="10"/>
      <c r="AG8021" s="10"/>
      <c r="AH8021" s="10"/>
      <c r="AI8021" s="10"/>
      <c r="AJ8021" s="10"/>
      <c r="AK8021" s="10"/>
      <c r="AL8021" s="10"/>
      <c r="AM8021" s="10"/>
      <c r="AN8021" s="10"/>
      <c r="AO8021" s="10"/>
      <c r="AP8021" s="10"/>
      <c r="AQ8021" s="10"/>
      <c r="AR8021" s="10"/>
      <c r="AS8021" s="10"/>
      <c r="AT8021" s="10"/>
      <c r="AU8021" s="10"/>
      <c r="AV8021" s="10"/>
      <c r="AW8021" s="10"/>
      <c r="AX8021" s="10"/>
      <c r="AY8021" s="10"/>
      <c r="AZ8021" s="10"/>
    </row>
    <row r="8022" spans="31:52">
      <c r="AE8022" s="10"/>
      <c r="AF8022" s="10"/>
      <c r="AG8022" s="10"/>
      <c r="AH8022" s="10"/>
      <c r="AI8022" s="10"/>
      <c r="AJ8022" s="10"/>
      <c r="AK8022" s="10"/>
      <c r="AL8022" s="10"/>
      <c r="AM8022" s="10"/>
      <c r="AN8022" s="10"/>
      <c r="AO8022" s="10"/>
      <c r="AP8022" s="10"/>
      <c r="AQ8022" s="10"/>
      <c r="AR8022" s="10"/>
      <c r="AS8022" s="10"/>
      <c r="AT8022" s="10"/>
      <c r="AU8022" s="10"/>
      <c r="AV8022" s="10"/>
      <c r="AW8022" s="10"/>
      <c r="AX8022" s="10"/>
      <c r="AY8022" s="10"/>
      <c r="AZ8022" s="10"/>
    </row>
    <row r="8023" spans="31:52">
      <c r="AE8023" s="10"/>
      <c r="AF8023" s="10"/>
      <c r="AG8023" s="10"/>
      <c r="AH8023" s="10"/>
      <c r="AI8023" s="10"/>
      <c r="AJ8023" s="10"/>
      <c r="AK8023" s="10"/>
      <c r="AL8023" s="10"/>
      <c r="AM8023" s="10"/>
      <c r="AN8023" s="10"/>
      <c r="AO8023" s="10"/>
      <c r="AP8023" s="10"/>
      <c r="AQ8023" s="10"/>
      <c r="AR8023" s="10"/>
      <c r="AS8023" s="10"/>
      <c r="AT8023" s="10"/>
      <c r="AU8023" s="10"/>
      <c r="AV8023" s="10"/>
      <c r="AW8023" s="10"/>
      <c r="AX8023" s="10"/>
      <c r="AY8023" s="10"/>
      <c r="AZ8023" s="10"/>
    </row>
    <row r="8024" spans="31:52">
      <c r="AE8024" s="10"/>
      <c r="AF8024" s="10"/>
      <c r="AG8024" s="10"/>
      <c r="AH8024" s="10"/>
      <c r="AI8024" s="10"/>
      <c r="AJ8024" s="10"/>
      <c r="AK8024" s="10"/>
      <c r="AL8024" s="10"/>
      <c r="AM8024" s="10"/>
      <c r="AN8024" s="10"/>
      <c r="AO8024" s="10"/>
      <c r="AP8024" s="10"/>
      <c r="AQ8024" s="10"/>
      <c r="AR8024" s="10"/>
      <c r="AS8024" s="10"/>
      <c r="AT8024" s="10"/>
      <c r="AU8024" s="10"/>
      <c r="AV8024" s="10"/>
      <c r="AW8024" s="10"/>
      <c r="AX8024" s="10"/>
      <c r="AY8024" s="10"/>
      <c r="AZ8024" s="10"/>
    </row>
    <row r="8025" spans="31:52">
      <c r="AE8025" s="10"/>
      <c r="AF8025" s="10"/>
      <c r="AG8025" s="10"/>
      <c r="AH8025" s="10"/>
      <c r="AI8025" s="10"/>
      <c r="AJ8025" s="10"/>
      <c r="AK8025" s="10"/>
      <c r="AL8025" s="10"/>
      <c r="AM8025" s="10"/>
      <c r="AN8025" s="10"/>
      <c r="AO8025" s="10"/>
      <c r="AP8025" s="10"/>
      <c r="AQ8025" s="10"/>
      <c r="AR8025" s="10"/>
      <c r="AS8025" s="10"/>
      <c r="AT8025" s="10"/>
      <c r="AU8025" s="10"/>
      <c r="AV8025" s="10"/>
      <c r="AW8025" s="10"/>
      <c r="AX8025" s="10"/>
      <c r="AY8025" s="10"/>
      <c r="AZ8025" s="10"/>
    </row>
    <row r="8026" spans="31:52">
      <c r="AE8026" s="10"/>
      <c r="AF8026" s="10"/>
      <c r="AG8026" s="10"/>
      <c r="AH8026" s="10"/>
      <c r="AI8026" s="10"/>
      <c r="AJ8026" s="10"/>
      <c r="AK8026" s="10"/>
      <c r="AL8026" s="10"/>
      <c r="AM8026" s="10"/>
      <c r="AN8026" s="10"/>
      <c r="AO8026" s="10"/>
      <c r="AP8026" s="10"/>
      <c r="AQ8026" s="10"/>
      <c r="AR8026" s="10"/>
      <c r="AS8026" s="10"/>
      <c r="AT8026" s="10"/>
      <c r="AU8026" s="10"/>
      <c r="AV8026" s="10"/>
      <c r="AW8026" s="10"/>
      <c r="AX8026" s="10"/>
      <c r="AY8026" s="10"/>
      <c r="AZ8026" s="10"/>
    </row>
    <row r="8027" spans="31:52">
      <c r="AE8027" s="10"/>
      <c r="AF8027" s="10"/>
      <c r="AG8027" s="10"/>
      <c r="AH8027" s="10"/>
      <c r="AI8027" s="10"/>
      <c r="AJ8027" s="10"/>
      <c r="AK8027" s="10"/>
      <c r="AL8027" s="10"/>
      <c r="AM8027" s="10"/>
      <c r="AN8027" s="10"/>
      <c r="AO8027" s="10"/>
      <c r="AP8027" s="10"/>
      <c r="AQ8027" s="10"/>
      <c r="AR8027" s="10"/>
      <c r="AS8027" s="10"/>
      <c r="AT8027" s="10"/>
      <c r="AU8027" s="10"/>
      <c r="AV8027" s="10"/>
      <c r="AW8027" s="10"/>
      <c r="AX8027" s="10"/>
      <c r="AY8027" s="10"/>
      <c r="AZ8027" s="10"/>
    </row>
    <row r="8028" spans="31:52">
      <c r="AE8028" s="10"/>
      <c r="AF8028" s="10"/>
      <c r="AG8028" s="10"/>
      <c r="AH8028" s="10"/>
      <c r="AI8028" s="10"/>
      <c r="AJ8028" s="10"/>
      <c r="AK8028" s="10"/>
      <c r="AL8028" s="10"/>
      <c r="AM8028" s="10"/>
      <c r="AN8028" s="10"/>
      <c r="AO8028" s="10"/>
      <c r="AP8028" s="10"/>
      <c r="AQ8028" s="10"/>
      <c r="AR8028" s="10"/>
      <c r="AS8028" s="10"/>
      <c r="AT8028" s="10"/>
      <c r="AU8028" s="10"/>
      <c r="AV8028" s="10"/>
      <c r="AW8028" s="10"/>
      <c r="AX8028" s="10"/>
      <c r="AY8028" s="10"/>
      <c r="AZ8028" s="10"/>
    </row>
    <row r="8029" spans="31:52">
      <c r="AE8029" s="10"/>
      <c r="AF8029" s="10"/>
      <c r="AG8029" s="10"/>
      <c r="AH8029" s="10"/>
      <c r="AI8029" s="10"/>
      <c r="AJ8029" s="10"/>
      <c r="AK8029" s="10"/>
      <c r="AL8029" s="10"/>
      <c r="AM8029" s="10"/>
      <c r="AN8029" s="10"/>
      <c r="AO8029" s="10"/>
      <c r="AP8029" s="10"/>
      <c r="AQ8029" s="10"/>
      <c r="AR8029" s="10"/>
      <c r="AS8029" s="10"/>
      <c r="AT8029" s="10"/>
      <c r="AU8029" s="10"/>
      <c r="AV8029" s="10"/>
      <c r="AW8029" s="10"/>
      <c r="AX8029" s="10"/>
      <c r="AY8029" s="10"/>
      <c r="AZ8029" s="10"/>
    </row>
    <row r="8030" spans="31:52">
      <c r="AE8030" s="10"/>
      <c r="AF8030" s="10"/>
      <c r="AG8030" s="10"/>
      <c r="AH8030" s="10"/>
      <c r="AI8030" s="10"/>
      <c r="AJ8030" s="10"/>
      <c r="AK8030" s="10"/>
      <c r="AL8030" s="10"/>
      <c r="AM8030" s="10"/>
      <c r="AN8030" s="10"/>
      <c r="AO8030" s="10"/>
      <c r="AP8030" s="10"/>
      <c r="AQ8030" s="10"/>
      <c r="AR8030" s="10"/>
      <c r="AS8030" s="10"/>
      <c r="AT8030" s="10"/>
      <c r="AU8030" s="10"/>
      <c r="AV8030" s="10"/>
      <c r="AW8030" s="10"/>
      <c r="AX8030" s="10"/>
      <c r="AY8030" s="10"/>
      <c r="AZ8030" s="10"/>
    </row>
    <row r="8031" spans="31:52">
      <c r="AE8031" s="10"/>
      <c r="AF8031" s="10"/>
      <c r="AG8031" s="10"/>
      <c r="AH8031" s="10"/>
      <c r="AI8031" s="10"/>
      <c r="AJ8031" s="10"/>
      <c r="AK8031" s="10"/>
      <c r="AL8031" s="10"/>
      <c r="AM8031" s="10"/>
      <c r="AN8031" s="10"/>
      <c r="AO8031" s="10"/>
      <c r="AP8031" s="10"/>
      <c r="AQ8031" s="10"/>
      <c r="AR8031" s="10"/>
      <c r="AS8031" s="10"/>
      <c r="AT8031" s="10"/>
      <c r="AU8031" s="10"/>
      <c r="AV8031" s="10"/>
      <c r="AW8031" s="10"/>
      <c r="AX8031" s="10"/>
      <c r="AY8031" s="10"/>
      <c r="AZ8031" s="10"/>
    </row>
    <row r="8032" spans="31:52">
      <c r="AE8032" s="10"/>
      <c r="AF8032" s="10"/>
      <c r="AG8032" s="10"/>
      <c r="AH8032" s="10"/>
      <c r="AI8032" s="10"/>
      <c r="AJ8032" s="10"/>
      <c r="AK8032" s="10"/>
      <c r="AL8032" s="10"/>
      <c r="AM8032" s="10"/>
      <c r="AN8032" s="10"/>
      <c r="AO8032" s="10"/>
      <c r="AP8032" s="10"/>
      <c r="AQ8032" s="10"/>
      <c r="AR8032" s="10"/>
      <c r="AS8032" s="10"/>
      <c r="AT8032" s="10"/>
      <c r="AU8032" s="10"/>
      <c r="AV8032" s="10"/>
      <c r="AW8032" s="10"/>
      <c r="AX8032" s="10"/>
      <c r="AY8032" s="10"/>
      <c r="AZ8032" s="10"/>
    </row>
    <row r="8033" spans="31:52">
      <c r="AE8033" s="10"/>
      <c r="AF8033" s="10"/>
      <c r="AG8033" s="10"/>
      <c r="AH8033" s="10"/>
      <c r="AI8033" s="10"/>
      <c r="AJ8033" s="10"/>
      <c r="AK8033" s="10"/>
      <c r="AL8033" s="10"/>
      <c r="AM8033" s="10"/>
      <c r="AN8033" s="10"/>
      <c r="AO8033" s="10"/>
      <c r="AP8033" s="10"/>
      <c r="AQ8033" s="10"/>
      <c r="AR8033" s="10"/>
      <c r="AS8033" s="10"/>
      <c r="AT8033" s="10"/>
      <c r="AU8033" s="10"/>
      <c r="AV8033" s="10"/>
      <c r="AW8033" s="10"/>
      <c r="AX8033" s="10"/>
      <c r="AY8033" s="10"/>
      <c r="AZ8033" s="10"/>
    </row>
    <row r="8034" spans="31:52">
      <c r="AE8034" s="10"/>
      <c r="AF8034" s="10"/>
      <c r="AG8034" s="10"/>
      <c r="AH8034" s="10"/>
      <c r="AI8034" s="10"/>
      <c r="AJ8034" s="10"/>
      <c r="AK8034" s="10"/>
      <c r="AL8034" s="10"/>
      <c r="AM8034" s="10"/>
      <c r="AN8034" s="10"/>
      <c r="AO8034" s="10"/>
      <c r="AP8034" s="10"/>
      <c r="AQ8034" s="10"/>
      <c r="AR8034" s="10"/>
      <c r="AS8034" s="10"/>
      <c r="AT8034" s="10"/>
      <c r="AU8034" s="10"/>
      <c r="AV8034" s="10"/>
      <c r="AW8034" s="10"/>
      <c r="AX8034" s="10"/>
      <c r="AY8034" s="10"/>
      <c r="AZ8034" s="10"/>
    </row>
    <row r="8035" spans="31:52">
      <c r="AE8035" s="10"/>
      <c r="AF8035" s="10"/>
      <c r="AG8035" s="10"/>
      <c r="AH8035" s="10"/>
      <c r="AI8035" s="10"/>
      <c r="AJ8035" s="10"/>
      <c r="AK8035" s="10"/>
      <c r="AL8035" s="10"/>
      <c r="AM8035" s="10"/>
      <c r="AN8035" s="10"/>
      <c r="AO8035" s="10"/>
      <c r="AP8035" s="10"/>
      <c r="AQ8035" s="10"/>
      <c r="AR8035" s="10"/>
      <c r="AS8035" s="10"/>
      <c r="AT8035" s="10"/>
      <c r="AU8035" s="10"/>
      <c r="AV8035" s="10"/>
      <c r="AW8035" s="10"/>
      <c r="AX8035" s="10"/>
      <c r="AY8035" s="10"/>
      <c r="AZ8035" s="10"/>
    </row>
    <row r="8036" spans="31:52">
      <c r="AE8036" s="10"/>
      <c r="AF8036" s="10"/>
      <c r="AG8036" s="10"/>
      <c r="AH8036" s="10"/>
      <c r="AI8036" s="10"/>
      <c r="AJ8036" s="10"/>
      <c r="AK8036" s="10"/>
      <c r="AL8036" s="10"/>
      <c r="AM8036" s="10"/>
      <c r="AN8036" s="10"/>
      <c r="AO8036" s="10"/>
      <c r="AP8036" s="10"/>
      <c r="AQ8036" s="10"/>
      <c r="AR8036" s="10"/>
      <c r="AS8036" s="10"/>
      <c r="AT8036" s="10"/>
      <c r="AU8036" s="10"/>
      <c r="AV8036" s="10"/>
      <c r="AW8036" s="10"/>
      <c r="AX8036" s="10"/>
      <c r="AY8036" s="10"/>
      <c r="AZ8036" s="10"/>
    </row>
    <row r="8037" spans="31:52">
      <c r="AE8037" s="10"/>
      <c r="AF8037" s="10"/>
      <c r="AG8037" s="10"/>
      <c r="AH8037" s="10"/>
      <c r="AI8037" s="10"/>
      <c r="AJ8037" s="10"/>
      <c r="AK8037" s="10"/>
      <c r="AL8037" s="10"/>
      <c r="AM8037" s="10"/>
      <c r="AN8037" s="10"/>
      <c r="AO8037" s="10"/>
      <c r="AP8037" s="10"/>
      <c r="AQ8037" s="10"/>
      <c r="AR8037" s="10"/>
      <c r="AS8037" s="10"/>
      <c r="AT8037" s="10"/>
      <c r="AU8037" s="10"/>
      <c r="AV8037" s="10"/>
      <c r="AW8037" s="10"/>
      <c r="AX8037" s="10"/>
      <c r="AY8037" s="10"/>
      <c r="AZ8037" s="10"/>
    </row>
    <row r="8038" spans="31:52">
      <c r="AE8038" s="10"/>
      <c r="AF8038" s="10"/>
      <c r="AG8038" s="10"/>
      <c r="AH8038" s="10"/>
      <c r="AI8038" s="10"/>
      <c r="AJ8038" s="10"/>
      <c r="AK8038" s="10"/>
      <c r="AL8038" s="10"/>
      <c r="AM8038" s="10"/>
      <c r="AN8038" s="10"/>
      <c r="AO8038" s="10"/>
      <c r="AP8038" s="10"/>
      <c r="AQ8038" s="10"/>
      <c r="AR8038" s="10"/>
      <c r="AS8038" s="10"/>
      <c r="AT8038" s="10"/>
      <c r="AU8038" s="10"/>
      <c r="AV8038" s="10"/>
      <c r="AW8038" s="10"/>
      <c r="AX8038" s="10"/>
      <c r="AY8038" s="10"/>
      <c r="AZ8038" s="10"/>
    </row>
    <row r="8039" spans="31:52">
      <c r="AE8039" s="10"/>
      <c r="AF8039" s="10"/>
      <c r="AG8039" s="10"/>
      <c r="AH8039" s="10"/>
      <c r="AI8039" s="10"/>
      <c r="AJ8039" s="10"/>
      <c r="AK8039" s="10"/>
      <c r="AL8039" s="10"/>
      <c r="AM8039" s="10"/>
      <c r="AN8039" s="10"/>
      <c r="AO8039" s="10"/>
      <c r="AP8039" s="10"/>
      <c r="AQ8039" s="10"/>
      <c r="AR8039" s="10"/>
      <c r="AS8039" s="10"/>
      <c r="AT8039" s="10"/>
      <c r="AU8039" s="10"/>
      <c r="AV8039" s="10"/>
      <c r="AW8039" s="10"/>
      <c r="AX8039" s="10"/>
      <c r="AY8039" s="10"/>
      <c r="AZ8039" s="10"/>
    </row>
    <row r="8040" spans="31:52">
      <c r="AE8040" s="10"/>
      <c r="AF8040" s="10"/>
      <c r="AG8040" s="10"/>
      <c r="AH8040" s="10"/>
      <c r="AI8040" s="10"/>
      <c r="AJ8040" s="10"/>
      <c r="AK8040" s="10"/>
      <c r="AL8040" s="10"/>
      <c r="AM8040" s="10"/>
      <c r="AN8040" s="10"/>
      <c r="AO8040" s="10"/>
      <c r="AP8040" s="10"/>
      <c r="AQ8040" s="10"/>
      <c r="AR8040" s="10"/>
      <c r="AS8040" s="10"/>
      <c r="AT8040" s="10"/>
      <c r="AU8040" s="10"/>
      <c r="AV8040" s="10"/>
      <c r="AW8040" s="10"/>
      <c r="AX8040" s="10"/>
      <c r="AY8040" s="10"/>
      <c r="AZ8040" s="10"/>
    </row>
    <row r="8041" spans="31:52">
      <c r="AE8041" s="10"/>
      <c r="AF8041" s="10"/>
      <c r="AG8041" s="10"/>
      <c r="AH8041" s="10"/>
      <c r="AI8041" s="10"/>
      <c r="AJ8041" s="10"/>
      <c r="AK8041" s="10"/>
      <c r="AL8041" s="10"/>
      <c r="AM8041" s="10"/>
      <c r="AN8041" s="10"/>
      <c r="AO8041" s="10"/>
      <c r="AP8041" s="10"/>
      <c r="AQ8041" s="10"/>
      <c r="AR8041" s="10"/>
      <c r="AS8041" s="10"/>
      <c r="AT8041" s="10"/>
      <c r="AU8041" s="10"/>
      <c r="AV8041" s="10"/>
      <c r="AW8041" s="10"/>
      <c r="AX8041" s="10"/>
      <c r="AY8041" s="10"/>
      <c r="AZ8041" s="10"/>
    </row>
    <row r="8042" spans="31:52">
      <c r="AE8042" s="10"/>
      <c r="AF8042" s="10"/>
      <c r="AG8042" s="10"/>
      <c r="AH8042" s="10"/>
      <c r="AI8042" s="10"/>
      <c r="AJ8042" s="10"/>
      <c r="AK8042" s="10"/>
      <c r="AL8042" s="10"/>
      <c r="AM8042" s="10"/>
      <c r="AN8042" s="10"/>
      <c r="AO8042" s="10"/>
      <c r="AP8042" s="10"/>
      <c r="AQ8042" s="10"/>
      <c r="AR8042" s="10"/>
      <c r="AS8042" s="10"/>
      <c r="AT8042" s="10"/>
      <c r="AU8042" s="10"/>
      <c r="AV8042" s="10"/>
      <c r="AW8042" s="10"/>
      <c r="AX8042" s="10"/>
      <c r="AY8042" s="10"/>
      <c r="AZ8042" s="10"/>
    </row>
    <row r="8043" spans="31:52">
      <c r="AE8043" s="10"/>
      <c r="AF8043" s="10"/>
      <c r="AG8043" s="10"/>
      <c r="AH8043" s="10"/>
      <c r="AI8043" s="10"/>
      <c r="AJ8043" s="10"/>
      <c r="AK8043" s="10"/>
      <c r="AL8043" s="10"/>
      <c r="AM8043" s="10"/>
      <c r="AN8043" s="10"/>
      <c r="AO8043" s="10"/>
      <c r="AP8043" s="10"/>
      <c r="AQ8043" s="10"/>
      <c r="AR8043" s="10"/>
      <c r="AS8043" s="10"/>
      <c r="AT8043" s="10"/>
      <c r="AU8043" s="10"/>
      <c r="AV8043" s="10"/>
      <c r="AW8043" s="10"/>
      <c r="AX8043" s="10"/>
      <c r="AY8043" s="10"/>
      <c r="AZ8043" s="10"/>
    </row>
    <row r="8044" spans="31:52">
      <c r="AE8044" s="10"/>
      <c r="AF8044" s="10"/>
      <c r="AG8044" s="10"/>
      <c r="AH8044" s="10"/>
      <c r="AI8044" s="10"/>
      <c r="AJ8044" s="10"/>
      <c r="AK8044" s="10"/>
      <c r="AL8044" s="10"/>
      <c r="AM8044" s="10"/>
      <c r="AN8044" s="10"/>
      <c r="AO8044" s="10"/>
      <c r="AP8044" s="10"/>
      <c r="AQ8044" s="10"/>
      <c r="AR8044" s="10"/>
      <c r="AS8044" s="10"/>
      <c r="AT8044" s="10"/>
      <c r="AU8044" s="10"/>
      <c r="AV8044" s="10"/>
      <c r="AW8044" s="10"/>
      <c r="AX8044" s="10"/>
      <c r="AY8044" s="10"/>
      <c r="AZ8044" s="10"/>
    </row>
    <row r="8045" spans="31:52">
      <c r="AE8045" s="10"/>
      <c r="AF8045" s="10"/>
      <c r="AG8045" s="10"/>
      <c r="AH8045" s="10"/>
      <c r="AI8045" s="10"/>
      <c r="AJ8045" s="10"/>
      <c r="AK8045" s="10"/>
      <c r="AL8045" s="10"/>
      <c r="AM8045" s="10"/>
      <c r="AN8045" s="10"/>
      <c r="AO8045" s="10"/>
      <c r="AP8045" s="10"/>
      <c r="AQ8045" s="10"/>
      <c r="AR8045" s="10"/>
      <c r="AS8045" s="10"/>
      <c r="AT8045" s="10"/>
      <c r="AU8045" s="10"/>
      <c r="AV8045" s="10"/>
      <c r="AW8045" s="10"/>
      <c r="AX8045" s="10"/>
      <c r="AY8045" s="10"/>
      <c r="AZ8045" s="10"/>
    </row>
    <row r="8046" spans="31:52">
      <c r="AE8046" s="10"/>
      <c r="AF8046" s="10"/>
      <c r="AG8046" s="10"/>
      <c r="AH8046" s="10"/>
      <c r="AI8046" s="10"/>
      <c r="AJ8046" s="10"/>
      <c r="AK8046" s="10"/>
      <c r="AL8046" s="10"/>
      <c r="AM8046" s="10"/>
      <c r="AN8046" s="10"/>
      <c r="AO8046" s="10"/>
      <c r="AP8046" s="10"/>
      <c r="AQ8046" s="10"/>
      <c r="AR8046" s="10"/>
      <c r="AS8046" s="10"/>
      <c r="AT8046" s="10"/>
      <c r="AU8046" s="10"/>
      <c r="AV8046" s="10"/>
      <c r="AW8046" s="10"/>
      <c r="AX8046" s="10"/>
      <c r="AY8046" s="10"/>
      <c r="AZ8046" s="10"/>
    </row>
    <row r="8047" spans="31:52">
      <c r="AE8047" s="10"/>
      <c r="AF8047" s="10"/>
      <c r="AG8047" s="10"/>
      <c r="AH8047" s="10"/>
      <c r="AI8047" s="10"/>
      <c r="AJ8047" s="10"/>
      <c r="AK8047" s="10"/>
      <c r="AL8047" s="10"/>
      <c r="AM8047" s="10"/>
      <c r="AN8047" s="10"/>
      <c r="AO8047" s="10"/>
      <c r="AP8047" s="10"/>
      <c r="AQ8047" s="10"/>
      <c r="AR8047" s="10"/>
      <c r="AS8047" s="10"/>
      <c r="AT8047" s="10"/>
      <c r="AU8047" s="10"/>
      <c r="AV8047" s="10"/>
      <c r="AW8047" s="10"/>
      <c r="AX8047" s="10"/>
      <c r="AY8047" s="10"/>
      <c r="AZ8047" s="10"/>
    </row>
    <row r="8048" spans="31:52">
      <c r="AE8048" s="10"/>
      <c r="AF8048" s="10"/>
      <c r="AG8048" s="10"/>
      <c r="AH8048" s="10"/>
      <c r="AI8048" s="10"/>
      <c r="AJ8048" s="10"/>
      <c r="AK8048" s="10"/>
      <c r="AL8048" s="10"/>
      <c r="AM8048" s="10"/>
      <c r="AN8048" s="10"/>
      <c r="AO8048" s="10"/>
      <c r="AP8048" s="10"/>
      <c r="AQ8048" s="10"/>
      <c r="AR8048" s="10"/>
      <c r="AS8048" s="10"/>
      <c r="AT8048" s="10"/>
      <c r="AU8048" s="10"/>
      <c r="AV8048" s="10"/>
      <c r="AW8048" s="10"/>
      <c r="AX8048" s="10"/>
      <c r="AY8048" s="10"/>
      <c r="AZ8048" s="10"/>
    </row>
    <row r="8049" spans="31:52">
      <c r="AE8049" s="10"/>
      <c r="AF8049" s="10"/>
      <c r="AG8049" s="10"/>
      <c r="AH8049" s="10"/>
      <c r="AI8049" s="10"/>
      <c r="AJ8049" s="10"/>
      <c r="AK8049" s="10"/>
      <c r="AL8049" s="10"/>
      <c r="AM8049" s="10"/>
      <c r="AN8049" s="10"/>
      <c r="AO8049" s="10"/>
      <c r="AP8049" s="10"/>
      <c r="AQ8049" s="10"/>
      <c r="AR8049" s="10"/>
      <c r="AS8049" s="10"/>
      <c r="AT8049" s="10"/>
      <c r="AU8049" s="10"/>
      <c r="AV8049" s="10"/>
      <c r="AW8049" s="10"/>
      <c r="AX8049" s="10"/>
      <c r="AY8049" s="10"/>
      <c r="AZ8049" s="10"/>
    </row>
    <row r="8050" spans="31:52">
      <c r="AE8050" s="10"/>
      <c r="AF8050" s="10"/>
      <c r="AG8050" s="10"/>
      <c r="AH8050" s="10"/>
      <c r="AI8050" s="10"/>
      <c r="AJ8050" s="10"/>
      <c r="AK8050" s="10"/>
      <c r="AL8050" s="10"/>
      <c r="AM8050" s="10"/>
      <c r="AN8050" s="10"/>
      <c r="AO8050" s="10"/>
      <c r="AP8050" s="10"/>
      <c r="AQ8050" s="10"/>
      <c r="AR8050" s="10"/>
      <c r="AS8050" s="10"/>
      <c r="AT8050" s="10"/>
      <c r="AU8050" s="10"/>
      <c r="AV8050" s="10"/>
      <c r="AW8050" s="10"/>
      <c r="AX8050" s="10"/>
      <c r="AY8050" s="10"/>
      <c r="AZ8050" s="10"/>
    </row>
    <row r="8051" spans="31:52">
      <c r="AE8051" s="10"/>
      <c r="AF8051" s="10"/>
      <c r="AG8051" s="10"/>
      <c r="AH8051" s="10"/>
      <c r="AI8051" s="10"/>
      <c r="AJ8051" s="10"/>
      <c r="AK8051" s="10"/>
      <c r="AL8051" s="10"/>
      <c r="AM8051" s="10"/>
      <c r="AN8051" s="10"/>
      <c r="AO8051" s="10"/>
      <c r="AP8051" s="10"/>
      <c r="AQ8051" s="10"/>
      <c r="AR8051" s="10"/>
      <c r="AS8051" s="10"/>
      <c r="AT8051" s="10"/>
      <c r="AU8051" s="10"/>
      <c r="AV8051" s="10"/>
      <c r="AW8051" s="10"/>
      <c r="AX8051" s="10"/>
      <c r="AY8051" s="10"/>
      <c r="AZ8051" s="10"/>
    </row>
    <row r="8052" spans="31:52">
      <c r="AE8052" s="10"/>
      <c r="AF8052" s="10"/>
      <c r="AG8052" s="10"/>
      <c r="AH8052" s="10"/>
      <c r="AI8052" s="10"/>
      <c r="AJ8052" s="10"/>
      <c r="AK8052" s="10"/>
      <c r="AL8052" s="10"/>
      <c r="AM8052" s="10"/>
      <c r="AN8052" s="10"/>
      <c r="AO8052" s="10"/>
      <c r="AP8052" s="10"/>
      <c r="AQ8052" s="10"/>
      <c r="AR8052" s="10"/>
      <c r="AS8052" s="10"/>
      <c r="AT8052" s="10"/>
      <c r="AU8052" s="10"/>
      <c r="AV8052" s="10"/>
      <c r="AW8052" s="10"/>
      <c r="AX8052" s="10"/>
      <c r="AY8052" s="10"/>
      <c r="AZ8052" s="10"/>
    </row>
    <row r="8053" spans="31:52">
      <c r="AE8053" s="10"/>
      <c r="AF8053" s="10"/>
      <c r="AG8053" s="10"/>
      <c r="AH8053" s="10"/>
      <c r="AI8053" s="10"/>
      <c r="AJ8053" s="10"/>
      <c r="AK8053" s="10"/>
      <c r="AL8053" s="10"/>
      <c r="AM8053" s="10"/>
      <c r="AN8053" s="10"/>
      <c r="AO8053" s="10"/>
      <c r="AP8053" s="10"/>
      <c r="AQ8053" s="10"/>
      <c r="AR8053" s="10"/>
      <c r="AS8053" s="10"/>
      <c r="AT8053" s="10"/>
      <c r="AU8053" s="10"/>
      <c r="AV8053" s="10"/>
      <c r="AW8053" s="10"/>
      <c r="AX8053" s="10"/>
      <c r="AY8053" s="10"/>
      <c r="AZ8053" s="10"/>
    </row>
    <row r="8054" spans="31:52">
      <c r="AE8054" s="10"/>
      <c r="AF8054" s="10"/>
      <c r="AG8054" s="10"/>
      <c r="AH8054" s="10"/>
      <c r="AI8054" s="10"/>
      <c r="AJ8054" s="10"/>
      <c r="AK8054" s="10"/>
      <c r="AL8054" s="10"/>
      <c r="AM8054" s="10"/>
      <c r="AN8054" s="10"/>
      <c r="AO8054" s="10"/>
      <c r="AP8054" s="10"/>
      <c r="AQ8054" s="10"/>
      <c r="AR8054" s="10"/>
      <c r="AS8054" s="10"/>
      <c r="AT8054" s="10"/>
      <c r="AU8054" s="10"/>
      <c r="AV8054" s="10"/>
      <c r="AW8054" s="10"/>
      <c r="AX8054" s="10"/>
      <c r="AY8054" s="10"/>
      <c r="AZ8054" s="10"/>
    </row>
    <row r="8055" spans="31:52">
      <c r="AE8055" s="10"/>
      <c r="AF8055" s="10"/>
      <c r="AG8055" s="10"/>
      <c r="AH8055" s="10"/>
      <c r="AI8055" s="10"/>
      <c r="AJ8055" s="10"/>
      <c r="AK8055" s="10"/>
      <c r="AL8055" s="10"/>
      <c r="AM8055" s="10"/>
      <c r="AN8055" s="10"/>
      <c r="AO8055" s="10"/>
      <c r="AP8055" s="10"/>
      <c r="AQ8055" s="10"/>
      <c r="AR8055" s="10"/>
      <c r="AS8055" s="10"/>
      <c r="AT8055" s="10"/>
      <c r="AU8055" s="10"/>
      <c r="AV8055" s="10"/>
      <c r="AW8055" s="10"/>
      <c r="AX8055" s="10"/>
      <c r="AY8055" s="10"/>
      <c r="AZ8055" s="10"/>
    </row>
    <row r="8056" spans="31:52">
      <c r="AE8056" s="10"/>
      <c r="AF8056" s="10"/>
      <c r="AG8056" s="10"/>
      <c r="AH8056" s="10"/>
      <c r="AI8056" s="10"/>
      <c r="AJ8056" s="10"/>
      <c r="AK8056" s="10"/>
      <c r="AL8056" s="10"/>
      <c r="AM8056" s="10"/>
      <c r="AN8056" s="10"/>
      <c r="AO8056" s="10"/>
      <c r="AP8056" s="10"/>
      <c r="AQ8056" s="10"/>
      <c r="AR8056" s="10"/>
      <c r="AS8056" s="10"/>
      <c r="AT8056" s="10"/>
      <c r="AU8056" s="10"/>
      <c r="AV8056" s="10"/>
      <c r="AW8056" s="10"/>
      <c r="AX8056" s="10"/>
      <c r="AY8056" s="10"/>
      <c r="AZ8056" s="10"/>
    </row>
    <row r="8057" spans="31:52">
      <c r="AE8057" s="10"/>
      <c r="AF8057" s="10"/>
      <c r="AG8057" s="10"/>
      <c r="AH8057" s="10"/>
      <c r="AI8057" s="10"/>
      <c r="AJ8057" s="10"/>
      <c r="AK8057" s="10"/>
      <c r="AL8057" s="10"/>
      <c r="AM8057" s="10"/>
      <c r="AN8057" s="10"/>
      <c r="AO8057" s="10"/>
      <c r="AP8057" s="10"/>
      <c r="AQ8057" s="10"/>
      <c r="AR8057" s="10"/>
      <c r="AS8057" s="10"/>
      <c r="AT8057" s="10"/>
      <c r="AU8057" s="10"/>
      <c r="AV8057" s="10"/>
      <c r="AW8057" s="10"/>
      <c r="AX8057" s="10"/>
      <c r="AY8057" s="10"/>
      <c r="AZ8057" s="10"/>
    </row>
    <row r="8058" spans="31:52">
      <c r="AE8058" s="10"/>
      <c r="AF8058" s="10"/>
      <c r="AG8058" s="10"/>
      <c r="AH8058" s="10"/>
      <c r="AI8058" s="10"/>
      <c r="AJ8058" s="10"/>
      <c r="AK8058" s="10"/>
      <c r="AL8058" s="10"/>
      <c r="AM8058" s="10"/>
      <c r="AN8058" s="10"/>
      <c r="AO8058" s="10"/>
      <c r="AP8058" s="10"/>
      <c r="AQ8058" s="10"/>
      <c r="AR8058" s="10"/>
      <c r="AS8058" s="10"/>
      <c r="AT8058" s="10"/>
      <c r="AU8058" s="10"/>
      <c r="AV8058" s="10"/>
      <c r="AW8058" s="10"/>
      <c r="AX8058" s="10"/>
      <c r="AY8058" s="10"/>
      <c r="AZ8058" s="10"/>
    </row>
    <row r="8059" spans="31:52">
      <c r="AE8059" s="10"/>
      <c r="AF8059" s="10"/>
      <c r="AG8059" s="10"/>
      <c r="AH8059" s="10"/>
      <c r="AI8059" s="10"/>
      <c r="AJ8059" s="10"/>
      <c r="AK8059" s="10"/>
      <c r="AL8059" s="10"/>
      <c r="AM8059" s="10"/>
      <c r="AN8059" s="10"/>
      <c r="AO8059" s="10"/>
      <c r="AP8059" s="10"/>
      <c r="AQ8059" s="10"/>
      <c r="AR8059" s="10"/>
      <c r="AS8059" s="10"/>
      <c r="AT8059" s="10"/>
      <c r="AU8059" s="10"/>
      <c r="AV8059" s="10"/>
      <c r="AW8059" s="10"/>
      <c r="AX8059" s="10"/>
      <c r="AY8059" s="10"/>
      <c r="AZ8059" s="10"/>
    </row>
    <row r="8060" spans="31:52">
      <c r="AE8060" s="10"/>
      <c r="AF8060" s="10"/>
      <c r="AG8060" s="10"/>
      <c r="AH8060" s="10"/>
      <c r="AI8060" s="10"/>
      <c r="AJ8060" s="10"/>
      <c r="AK8060" s="10"/>
      <c r="AL8060" s="10"/>
      <c r="AM8060" s="10"/>
      <c r="AN8060" s="10"/>
      <c r="AO8060" s="10"/>
      <c r="AP8060" s="10"/>
      <c r="AQ8060" s="10"/>
      <c r="AR8060" s="10"/>
      <c r="AS8060" s="10"/>
      <c r="AT8060" s="10"/>
      <c r="AU8060" s="10"/>
      <c r="AV8060" s="10"/>
      <c r="AW8060" s="10"/>
      <c r="AX8060" s="10"/>
      <c r="AY8060" s="10"/>
      <c r="AZ8060" s="10"/>
    </row>
    <row r="8061" spans="31:52">
      <c r="AE8061" s="10"/>
      <c r="AF8061" s="10"/>
      <c r="AG8061" s="10"/>
      <c r="AH8061" s="10"/>
      <c r="AI8061" s="10"/>
      <c r="AJ8061" s="10"/>
      <c r="AK8061" s="10"/>
      <c r="AL8061" s="10"/>
      <c r="AM8061" s="10"/>
      <c r="AN8061" s="10"/>
      <c r="AO8061" s="10"/>
      <c r="AP8061" s="10"/>
      <c r="AQ8061" s="10"/>
      <c r="AR8061" s="10"/>
      <c r="AS8061" s="10"/>
      <c r="AT8061" s="10"/>
      <c r="AU8061" s="10"/>
      <c r="AV8061" s="10"/>
      <c r="AW8061" s="10"/>
      <c r="AX8061" s="10"/>
      <c r="AY8061" s="10"/>
      <c r="AZ8061" s="10"/>
    </row>
    <row r="8062" spans="31:52">
      <c r="AE8062" s="10"/>
      <c r="AF8062" s="10"/>
      <c r="AG8062" s="10"/>
      <c r="AH8062" s="10"/>
      <c r="AI8062" s="10"/>
      <c r="AJ8062" s="10"/>
      <c r="AK8062" s="10"/>
      <c r="AL8062" s="10"/>
      <c r="AM8062" s="10"/>
      <c r="AN8062" s="10"/>
      <c r="AO8062" s="10"/>
      <c r="AP8062" s="10"/>
      <c r="AQ8062" s="10"/>
      <c r="AR8062" s="10"/>
      <c r="AS8062" s="10"/>
      <c r="AT8062" s="10"/>
      <c r="AU8062" s="10"/>
      <c r="AV8062" s="10"/>
      <c r="AW8062" s="10"/>
      <c r="AX8062" s="10"/>
      <c r="AY8062" s="10"/>
      <c r="AZ8062" s="10"/>
    </row>
    <row r="8063" spans="31:52">
      <c r="AE8063" s="10"/>
      <c r="AF8063" s="10"/>
      <c r="AG8063" s="10"/>
      <c r="AH8063" s="10"/>
      <c r="AI8063" s="10"/>
      <c r="AJ8063" s="10"/>
      <c r="AK8063" s="10"/>
      <c r="AL8063" s="10"/>
      <c r="AM8063" s="10"/>
      <c r="AN8063" s="10"/>
      <c r="AO8063" s="10"/>
      <c r="AP8063" s="10"/>
      <c r="AQ8063" s="10"/>
      <c r="AR8063" s="10"/>
      <c r="AS8063" s="10"/>
      <c r="AT8063" s="10"/>
      <c r="AU8063" s="10"/>
      <c r="AV8063" s="10"/>
      <c r="AW8063" s="10"/>
      <c r="AX8063" s="10"/>
      <c r="AY8063" s="10"/>
      <c r="AZ8063" s="10"/>
    </row>
    <row r="8064" spans="31:52">
      <c r="AE8064" s="10"/>
      <c r="AF8064" s="10"/>
      <c r="AG8064" s="10"/>
      <c r="AH8064" s="10"/>
      <c r="AI8064" s="10"/>
      <c r="AJ8064" s="10"/>
      <c r="AK8064" s="10"/>
      <c r="AL8064" s="10"/>
      <c r="AM8064" s="10"/>
      <c r="AN8064" s="10"/>
      <c r="AO8064" s="10"/>
      <c r="AP8064" s="10"/>
      <c r="AQ8064" s="10"/>
      <c r="AR8064" s="10"/>
      <c r="AS8064" s="10"/>
      <c r="AT8064" s="10"/>
      <c r="AU8064" s="10"/>
      <c r="AV8064" s="10"/>
      <c r="AW8064" s="10"/>
      <c r="AX8064" s="10"/>
      <c r="AY8064" s="10"/>
      <c r="AZ8064" s="10"/>
    </row>
    <row r="8065" spans="31:52">
      <c r="AE8065" s="10"/>
      <c r="AF8065" s="10"/>
      <c r="AG8065" s="10"/>
      <c r="AH8065" s="10"/>
      <c r="AI8065" s="10"/>
      <c r="AJ8065" s="10"/>
      <c r="AK8065" s="10"/>
      <c r="AL8065" s="10"/>
      <c r="AM8065" s="10"/>
      <c r="AN8065" s="10"/>
      <c r="AO8065" s="10"/>
      <c r="AP8065" s="10"/>
      <c r="AQ8065" s="10"/>
      <c r="AR8065" s="10"/>
      <c r="AS8065" s="10"/>
      <c r="AT8065" s="10"/>
      <c r="AU8065" s="10"/>
      <c r="AV8065" s="10"/>
      <c r="AW8065" s="10"/>
      <c r="AX8065" s="10"/>
      <c r="AY8065" s="10"/>
      <c r="AZ8065" s="10"/>
    </row>
    <row r="8066" spans="31:52">
      <c r="AE8066" s="10"/>
      <c r="AF8066" s="10"/>
      <c r="AG8066" s="10"/>
      <c r="AH8066" s="10"/>
      <c r="AI8066" s="10"/>
      <c r="AJ8066" s="10"/>
      <c r="AK8066" s="10"/>
      <c r="AL8066" s="10"/>
      <c r="AM8066" s="10"/>
      <c r="AN8066" s="10"/>
      <c r="AO8066" s="10"/>
      <c r="AP8066" s="10"/>
      <c r="AQ8066" s="10"/>
      <c r="AR8066" s="10"/>
      <c r="AS8066" s="10"/>
      <c r="AT8066" s="10"/>
      <c r="AU8066" s="10"/>
      <c r="AV8066" s="10"/>
      <c r="AW8066" s="10"/>
      <c r="AX8066" s="10"/>
      <c r="AY8066" s="10"/>
      <c r="AZ8066" s="10"/>
    </row>
    <row r="8067" spans="31:52">
      <c r="AE8067" s="10"/>
      <c r="AF8067" s="10"/>
      <c r="AG8067" s="10"/>
      <c r="AH8067" s="10"/>
      <c r="AI8067" s="10"/>
      <c r="AJ8067" s="10"/>
      <c r="AK8067" s="10"/>
      <c r="AL8067" s="10"/>
      <c r="AM8067" s="10"/>
      <c r="AN8067" s="10"/>
      <c r="AO8067" s="10"/>
      <c r="AP8067" s="10"/>
      <c r="AQ8067" s="10"/>
      <c r="AR8067" s="10"/>
      <c r="AS8067" s="10"/>
      <c r="AT8067" s="10"/>
      <c r="AU8067" s="10"/>
      <c r="AV8067" s="10"/>
      <c r="AW8067" s="10"/>
      <c r="AX8067" s="10"/>
      <c r="AY8067" s="10"/>
      <c r="AZ8067" s="10"/>
    </row>
    <row r="8068" spans="31:52">
      <c r="AE8068" s="10"/>
      <c r="AF8068" s="10"/>
      <c r="AG8068" s="10"/>
      <c r="AH8068" s="10"/>
      <c r="AI8068" s="10"/>
      <c r="AJ8068" s="10"/>
      <c r="AK8068" s="10"/>
      <c r="AL8068" s="10"/>
      <c r="AM8068" s="10"/>
      <c r="AN8068" s="10"/>
      <c r="AO8068" s="10"/>
      <c r="AP8068" s="10"/>
      <c r="AQ8068" s="10"/>
      <c r="AR8068" s="10"/>
      <c r="AS8068" s="10"/>
      <c r="AT8068" s="10"/>
      <c r="AU8068" s="10"/>
      <c r="AV8068" s="10"/>
      <c r="AW8068" s="10"/>
      <c r="AX8068" s="10"/>
      <c r="AY8068" s="10"/>
      <c r="AZ8068" s="10"/>
    </row>
    <row r="8069" spans="31:52">
      <c r="AE8069" s="10"/>
      <c r="AF8069" s="10"/>
      <c r="AG8069" s="10"/>
      <c r="AH8069" s="10"/>
      <c r="AI8069" s="10"/>
      <c r="AJ8069" s="10"/>
      <c r="AK8069" s="10"/>
      <c r="AL8069" s="10"/>
      <c r="AM8069" s="10"/>
      <c r="AN8069" s="10"/>
      <c r="AO8069" s="10"/>
      <c r="AP8069" s="10"/>
      <c r="AQ8069" s="10"/>
      <c r="AR8069" s="10"/>
      <c r="AS8069" s="10"/>
      <c r="AT8069" s="10"/>
      <c r="AU8069" s="10"/>
      <c r="AV8069" s="10"/>
      <c r="AW8069" s="10"/>
      <c r="AX8069" s="10"/>
      <c r="AY8069" s="10"/>
      <c r="AZ8069" s="10"/>
    </row>
    <row r="8070" spans="31:52">
      <c r="AE8070" s="10"/>
      <c r="AF8070" s="10"/>
      <c r="AG8070" s="10"/>
      <c r="AH8070" s="10"/>
      <c r="AI8070" s="10"/>
      <c r="AJ8070" s="10"/>
      <c r="AK8070" s="10"/>
      <c r="AL8070" s="10"/>
      <c r="AM8070" s="10"/>
      <c r="AN8070" s="10"/>
      <c r="AO8070" s="10"/>
      <c r="AP8070" s="10"/>
      <c r="AQ8070" s="10"/>
      <c r="AR8070" s="10"/>
      <c r="AS8070" s="10"/>
      <c r="AT8070" s="10"/>
      <c r="AU8070" s="10"/>
      <c r="AV8070" s="10"/>
      <c r="AW8070" s="10"/>
      <c r="AX8070" s="10"/>
      <c r="AY8070" s="10"/>
      <c r="AZ8070" s="10"/>
    </row>
    <row r="8071" spans="31:52">
      <c r="AE8071" s="10"/>
      <c r="AF8071" s="10"/>
      <c r="AG8071" s="10"/>
      <c r="AH8071" s="10"/>
      <c r="AI8071" s="10"/>
      <c r="AJ8071" s="10"/>
      <c r="AK8071" s="10"/>
      <c r="AL8071" s="10"/>
      <c r="AM8071" s="10"/>
      <c r="AN8071" s="10"/>
      <c r="AO8071" s="10"/>
      <c r="AP8071" s="10"/>
      <c r="AQ8071" s="10"/>
      <c r="AR8071" s="10"/>
      <c r="AS8071" s="10"/>
      <c r="AT8071" s="10"/>
      <c r="AU8071" s="10"/>
      <c r="AV8071" s="10"/>
      <c r="AW8071" s="10"/>
      <c r="AX8071" s="10"/>
      <c r="AY8071" s="10"/>
      <c r="AZ8071" s="10"/>
    </row>
    <row r="8072" spans="31:52">
      <c r="AE8072" s="10"/>
      <c r="AF8072" s="10"/>
      <c r="AG8072" s="10"/>
      <c r="AH8072" s="10"/>
      <c r="AI8072" s="10"/>
      <c r="AJ8072" s="10"/>
      <c r="AK8072" s="10"/>
      <c r="AL8072" s="10"/>
      <c r="AM8072" s="10"/>
      <c r="AN8072" s="10"/>
      <c r="AO8072" s="10"/>
      <c r="AP8072" s="10"/>
      <c r="AQ8072" s="10"/>
      <c r="AR8072" s="10"/>
      <c r="AS8072" s="10"/>
      <c r="AT8072" s="10"/>
      <c r="AU8072" s="10"/>
      <c r="AV8072" s="10"/>
      <c r="AW8072" s="10"/>
      <c r="AX8072" s="10"/>
      <c r="AY8072" s="10"/>
      <c r="AZ8072" s="10"/>
    </row>
    <row r="8073" spans="31:52">
      <c r="AE8073" s="10"/>
      <c r="AF8073" s="10"/>
      <c r="AG8073" s="10"/>
      <c r="AH8073" s="10"/>
      <c r="AI8073" s="10"/>
      <c r="AJ8073" s="10"/>
      <c r="AK8073" s="10"/>
      <c r="AL8073" s="10"/>
      <c r="AM8073" s="10"/>
      <c r="AN8073" s="10"/>
      <c r="AO8073" s="10"/>
      <c r="AP8073" s="10"/>
      <c r="AQ8073" s="10"/>
      <c r="AR8073" s="10"/>
      <c r="AS8073" s="10"/>
      <c r="AT8073" s="10"/>
      <c r="AU8073" s="10"/>
      <c r="AV8073" s="10"/>
      <c r="AW8073" s="10"/>
      <c r="AX8073" s="10"/>
      <c r="AY8073" s="10"/>
      <c r="AZ8073" s="10"/>
    </row>
    <row r="8074" spans="31:52">
      <c r="AE8074" s="10"/>
      <c r="AF8074" s="10"/>
      <c r="AG8074" s="10"/>
      <c r="AH8074" s="10"/>
      <c r="AI8074" s="10"/>
      <c r="AJ8074" s="10"/>
      <c r="AK8074" s="10"/>
      <c r="AL8074" s="10"/>
      <c r="AM8074" s="10"/>
      <c r="AN8074" s="10"/>
      <c r="AO8074" s="10"/>
      <c r="AP8074" s="10"/>
      <c r="AQ8074" s="10"/>
      <c r="AR8074" s="10"/>
      <c r="AS8074" s="10"/>
      <c r="AT8074" s="10"/>
      <c r="AU8074" s="10"/>
      <c r="AV8074" s="10"/>
      <c r="AW8074" s="10"/>
      <c r="AX8074" s="10"/>
      <c r="AY8074" s="10"/>
      <c r="AZ8074" s="10"/>
    </row>
    <row r="8075" spans="31:52">
      <c r="AE8075" s="10"/>
      <c r="AF8075" s="10"/>
      <c r="AG8075" s="10"/>
      <c r="AH8075" s="10"/>
      <c r="AI8075" s="10"/>
      <c r="AJ8075" s="10"/>
      <c r="AK8075" s="10"/>
      <c r="AL8075" s="10"/>
      <c r="AM8075" s="10"/>
      <c r="AN8075" s="10"/>
      <c r="AO8075" s="10"/>
      <c r="AP8075" s="10"/>
      <c r="AQ8075" s="10"/>
      <c r="AR8075" s="10"/>
      <c r="AS8075" s="10"/>
      <c r="AT8075" s="10"/>
      <c r="AU8075" s="10"/>
      <c r="AV8075" s="10"/>
      <c r="AW8075" s="10"/>
      <c r="AX8075" s="10"/>
      <c r="AY8075" s="10"/>
      <c r="AZ8075" s="10"/>
    </row>
    <row r="8076" spans="31:52">
      <c r="AE8076" s="10"/>
      <c r="AF8076" s="10"/>
      <c r="AG8076" s="10"/>
      <c r="AH8076" s="10"/>
      <c r="AI8076" s="10"/>
      <c r="AJ8076" s="10"/>
      <c r="AK8076" s="10"/>
      <c r="AL8076" s="10"/>
      <c r="AM8076" s="10"/>
      <c r="AN8076" s="10"/>
      <c r="AO8076" s="10"/>
      <c r="AP8076" s="10"/>
      <c r="AQ8076" s="10"/>
      <c r="AR8076" s="10"/>
      <c r="AS8076" s="10"/>
      <c r="AT8076" s="10"/>
      <c r="AU8076" s="10"/>
      <c r="AV8076" s="10"/>
      <c r="AW8076" s="10"/>
      <c r="AX8076" s="10"/>
      <c r="AY8076" s="10"/>
      <c r="AZ8076" s="10"/>
    </row>
    <row r="8077" spans="31:52">
      <c r="AE8077" s="10"/>
      <c r="AF8077" s="10"/>
      <c r="AG8077" s="10"/>
      <c r="AH8077" s="10"/>
      <c r="AI8077" s="10"/>
      <c r="AJ8077" s="10"/>
      <c r="AK8077" s="10"/>
      <c r="AL8077" s="10"/>
      <c r="AM8077" s="10"/>
      <c r="AN8077" s="10"/>
      <c r="AO8077" s="10"/>
      <c r="AP8077" s="10"/>
      <c r="AQ8077" s="10"/>
      <c r="AR8077" s="10"/>
      <c r="AS8077" s="10"/>
      <c r="AT8077" s="10"/>
      <c r="AU8077" s="10"/>
      <c r="AV8077" s="10"/>
      <c r="AW8077" s="10"/>
      <c r="AX8077" s="10"/>
      <c r="AY8077" s="10"/>
      <c r="AZ8077" s="10"/>
    </row>
    <row r="8078" spans="31:52">
      <c r="AE8078" s="10"/>
      <c r="AF8078" s="10"/>
      <c r="AG8078" s="10"/>
      <c r="AH8078" s="10"/>
      <c r="AI8078" s="10"/>
      <c r="AJ8078" s="10"/>
      <c r="AK8078" s="10"/>
      <c r="AL8078" s="10"/>
      <c r="AM8078" s="10"/>
      <c r="AN8078" s="10"/>
      <c r="AO8078" s="10"/>
      <c r="AP8078" s="10"/>
      <c r="AQ8078" s="10"/>
      <c r="AR8078" s="10"/>
      <c r="AS8078" s="10"/>
      <c r="AT8078" s="10"/>
      <c r="AU8078" s="10"/>
      <c r="AV8078" s="10"/>
      <c r="AW8078" s="10"/>
      <c r="AX8078" s="10"/>
      <c r="AY8078" s="10"/>
      <c r="AZ8078" s="10"/>
    </row>
    <row r="8079" spans="31:52">
      <c r="AE8079" s="10"/>
      <c r="AF8079" s="10"/>
      <c r="AG8079" s="10"/>
      <c r="AH8079" s="10"/>
      <c r="AI8079" s="10"/>
      <c r="AJ8079" s="10"/>
      <c r="AK8079" s="10"/>
      <c r="AL8079" s="10"/>
      <c r="AM8079" s="10"/>
      <c r="AN8079" s="10"/>
      <c r="AO8079" s="10"/>
      <c r="AP8079" s="10"/>
      <c r="AQ8079" s="10"/>
      <c r="AR8079" s="10"/>
      <c r="AS8079" s="10"/>
      <c r="AT8079" s="10"/>
      <c r="AU8079" s="10"/>
      <c r="AV8079" s="10"/>
      <c r="AW8079" s="10"/>
      <c r="AX8079" s="10"/>
      <c r="AY8079" s="10"/>
      <c r="AZ8079" s="10"/>
    </row>
    <row r="8080" spans="31:52">
      <c r="AE8080" s="10"/>
      <c r="AF8080" s="10"/>
      <c r="AG8080" s="10"/>
      <c r="AH8080" s="10"/>
      <c r="AI8080" s="10"/>
      <c r="AJ8080" s="10"/>
      <c r="AK8080" s="10"/>
      <c r="AL8080" s="10"/>
      <c r="AM8080" s="10"/>
      <c r="AN8080" s="10"/>
      <c r="AO8080" s="10"/>
      <c r="AP8080" s="10"/>
      <c r="AQ8080" s="10"/>
      <c r="AR8080" s="10"/>
      <c r="AS8080" s="10"/>
      <c r="AT8080" s="10"/>
      <c r="AU8080" s="10"/>
      <c r="AV8080" s="10"/>
      <c r="AW8080" s="10"/>
      <c r="AX8080" s="10"/>
      <c r="AY8080" s="10"/>
      <c r="AZ8080" s="10"/>
    </row>
    <row r="8081" spans="31:52">
      <c r="AE8081" s="10"/>
      <c r="AF8081" s="10"/>
      <c r="AG8081" s="10"/>
      <c r="AH8081" s="10"/>
      <c r="AI8081" s="10"/>
      <c r="AJ8081" s="10"/>
      <c r="AK8081" s="10"/>
      <c r="AL8081" s="10"/>
      <c r="AM8081" s="10"/>
      <c r="AN8081" s="10"/>
      <c r="AO8081" s="10"/>
      <c r="AP8081" s="10"/>
      <c r="AQ8081" s="10"/>
      <c r="AR8081" s="10"/>
      <c r="AS8081" s="10"/>
      <c r="AT8081" s="10"/>
      <c r="AU8081" s="10"/>
      <c r="AV8081" s="10"/>
      <c r="AW8081" s="10"/>
      <c r="AX8081" s="10"/>
      <c r="AY8081" s="10"/>
      <c r="AZ8081" s="10"/>
    </row>
    <row r="8082" spans="31:52">
      <c r="AE8082" s="10"/>
      <c r="AF8082" s="10"/>
      <c r="AG8082" s="10"/>
      <c r="AH8082" s="10"/>
      <c r="AI8082" s="10"/>
      <c r="AJ8082" s="10"/>
      <c r="AK8082" s="10"/>
      <c r="AL8082" s="10"/>
      <c r="AM8082" s="10"/>
      <c r="AN8082" s="10"/>
      <c r="AO8082" s="10"/>
      <c r="AP8082" s="10"/>
      <c r="AQ8082" s="10"/>
      <c r="AR8082" s="10"/>
      <c r="AS8082" s="10"/>
      <c r="AT8082" s="10"/>
      <c r="AU8082" s="10"/>
      <c r="AV8082" s="10"/>
      <c r="AW8082" s="10"/>
      <c r="AX8082" s="10"/>
      <c r="AY8082" s="10"/>
      <c r="AZ8082" s="10"/>
    </row>
    <row r="8083" spans="31:52">
      <c r="AE8083" s="10"/>
      <c r="AF8083" s="10"/>
      <c r="AG8083" s="10"/>
      <c r="AH8083" s="10"/>
      <c r="AI8083" s="10"/>
      <c r="AJ8083" s="10"/>
      <c r="AK8083" s="10"/>
      <c r="AL8083" s="10"/>
      <c r="AM8083" s="10"/>
      <c r="AN8083" s="10"/>
      <c r="AO8083" s="10"/>
      <c r="AP8083" s="10"/>
      <c r="AQ8083" s="10"/>
      <c r="AR8083" s="10"/>
      <c r="AS8083" s="10"/>
      <c r="AT8083" s="10"/>
      <c r="AU8083" s="10"/>
      <c r="AV8083" s="10"/>
      <c r="AW8083" s="10"/>
      <c r="AX8083" s="10"/>
      <c r="AY8083" s="10"/>
      <c r="AZ8083" s="10"/>
    </row>
    <row r="8084" spans="31:52">
      <c r="AE8084" s="10"/>
      <c r="AF8084" s="10"/>
      <c r="AG8084" s="10"/>
      <c r="AH8084" s="10"/>
      <c r="AI8084" s="10"/>
      <c r="AJ8084" s="10"/>
      <c r="AK8084" s="10"/>
      <c r="AL8084" s="10"/>
      <c r="AM8084" s="10"/>
      <c r="AN8084" s="10"/>
      <c r="AO8084" s="10"/>
      <c r="AP8084" s="10"/>
      <c r="AQ8084" s="10"/>
      <c r="AR8084" s="10"/>
      <c r="AS8084" s="10"/>
      <c r="AT8084" s="10"/>
      <c r="AU8084" s="10"/>
      <c r="AV8084" s="10"/>
      <c r="AW8084" s="10"/>
      <c r="AX8084" s="10"/>
      <c r="AY8084" s="10"/>
      <c r="AZ8084" s="10"/>
    </row>
    <row r="8085" spans="31:52">
      <c r="AE8085" s="10"/>
      <c r="AF8085" s="10"/>
      <c r="AG8085" s="10"/>
      <c r="AH8085" s="10"/>
      <c r="AI8085" s="10"/>
      <c r="AJ8085" s="10"/>
      <c r="AK8085" s="10"/>
      <c r="AL8085" s="10"/>
      <c r="AM8085" s="10"/>
      <c r="AN8085" s="10"/>
      <c r="AO8085" s="10"/>
      <c r="AP8085" s="10"/>
      <c r="AQ8085" s="10"/>
      <c r="AR8085" s="10"/>
      <c r="AS8085" s="10"/>
      <c r="AT8085" s="10"/>
      <c r="AU8085" s="10"/>
      <c r="AV8085" s="10"/>
      <c r="AW8085" s="10"/>
      <c r="AX8085" s="10"/>
      <c r="AY8085" s="10"/>
      <c r="AZ8085" s="10"/>
    </row>
    <row r="8086" spans="31:52">
      <c r="AE8086" s="10"/>
      <c r="AF8086" s="10"/>
      <c r="AG8086" s="10"/>
      <c r="AH8086" s="10"/>
      <c r="AI8086" s="10"/>
      <c r="AJ8086" s="10"/>
      <c r="AK8086" s="10"/>
      <c r="AL8086" s="10"/>
      <c r="AM8086" s="10"/>
      <c r="AN8086" s="10"/>
      <c r="AO8086" s="10"/>
      <c r="AP8086" s="10"/>
      <c r="AQ8086" s="10"/>
      <c r="AR8086" s="10"/>
      <c r="AS8086" s="10"/>
      <c r="AT8086" s="10"/>
      <c r="AU8086" s="10"/>
      <c r="AV8086" s="10"/>
      <c r="AW8086" s="10"/>
      <c r="AX8086" s="10"/>
      <c r="AY8086" s="10"/>
      <c r="AZ8086" s="10"/>
    </row>
    <row r="8087" spans="31:52">
      <c r="AE8087" s="10"/>
      <c r="AF8087" s="10"/>
      <c r="AG8087" s="10"/>
      <c r="AH8087" s="10"/>
      <c r="AI8087" s="10"/>
      <c r="AJ8087" s="10"/>
      <c r="AK8087" s="10"/>
      <c r="AL8087" s="10"/>
      <c r="AM8087" s="10"/>
      <c r="AN8087" s="10"/>
      <c r="AO8087" s="10"/>
      <c r="AP8087" s="10"/>
      <c r="AQ8087" s="10"/>
      <c r="AR8087" s="10"/>
      <c r="AS8087" s="10"/>
      <c r="AT8087" s="10"/>
      <c r="AU8087" s="10"/>
      <c r="AV8087" s="10"/>
      <c r="AW8087" s="10"/>
      <c r="AX8087" s="10"/>
      <c r="AY8087" s="10"/>
      <c r="AZ8087" s="10"/>
    </row>
    <row r="8088" spans="31:52">
      <c r="AE8088" s="10"/>
      <c r="AF8088" s="10"/>
      <c r="AG8088" s="10"/>
      <c r="AH8088" s="10"/>
      <c r="AI8088" s="10"/>
      <c r="AJ8088" s="10"/>
      <c r="AK8088" s="10"/>
      <c r="AL8088" s="10"/>
      <c r="AM8088" s="10"/>
      <c r="AN8088" s="10"/>
      <c r="AO8088" s="10"/>
      <c r="AP8088" s="10"/>
      <c r="AQ8088" s="10"/>
      <c r="AR8088" s="10"/>
      <c r="AS8088" s="10"/>
      <c r="AT8088" s="10"/>
      <c r="AU8088" s="10"/>
      <c r="AV8088" s="10"/>
      <c r="AW8088" s="10"/>
      <c r="AX8088" s="10"/>
      <c r="AY8088" s="10"/>
      <c r="AZ8088" s="10"/>
    </row>
    <row r="8089" spans="31:52">
      <c r="AE8089" s="10"/>
      <c r="AF8089" s="10"/>
      <c r="AG8089" s="10"/>
      <c r="AH8089" s="10"/>
      <c r="AI8089" s="10"/>
      <c r="AJ8089" s="10"/>
      <c r="AK8089" s="10"/>
      <c r="AL8089" s="10"/>
      <c r="AM8089" s="10"/>
      <c r="AN8089" s="10"/>
      <c r="AO8089" s="10"/>
      <c r="AP8089" s="10"/>
      <c r="AQ8089" s="10"/>
      <c r="AR8089" s="10"/>
      <c r="AS8089" s="10"/>
      <c r="AT8089" s="10"/>
      <c r="AU8089" s="10"/>
      <c r="AV8089" s="10"/>
      <c r="AW8089" s="10"/>
      <c r="AX8089" s="10"/>
      <c r="AY8089" s="10"/>
      <c r="AZ8089" s="10"/>
    </row>
    <row r="8090" spans="31:52">
      <c r="AE8090" s="10"/>
      <c r="AF8090" s="10"/>
      <c r="AG8090" s="10"/>
      <c r="AH8090" s="10"/>
      <c r="AI8090" s="10"/>
      <c r="AJ8090" s="10"/>
      <c r="AK8090" s="10"/>
      <c r="AL8090" s="10"/>
      <c r="AM8090" s="10"/>
      <c r="AN8090" s="10"/>
      <c r="AO8090" s="10"/>
      <c r="AP8090" s="10"/>
      <c r="AQ8090" s="10"/>
      <c r="AR8090" s="10"/>
      <c r="AS8090" s="10"/>
      <c r="AT8090" s="10"/>
      <c r="AU8090" s="10"/>
      <c r="AV8090" s="10"/>
      <c r="AW8090" s="10"/>
      <c r="AX8090" s="10"/>
      <c r="AY8090" s="10"/>
      <c r="AZ8090" s="10"/>
    </row>
    <row r="8091" spans="31:52">
      <c r="AE8091" s="10"/>
      <c r="AF8091" s="10"/>
      <c r="AG8091" s="10"/>
      <c r="AH8091" s="10"/>
      <c r="AI8091" s="10"/>
      <c r="AJ8091" s="10"/>
      <c r="AK8091" s="10"/>
      <c r="AL8091" s="10"/>
      <c r="AM8091" s="10"/>
      <c r="AN8091" s="10"/>
      <c r="AO8091" s="10"/>
      <c r="AP8091" s="10"/>
      <c r="AQ8091" s="10"/>
      <c r="AR8091" s="10"/>
      <c r="AS8091" s="10"/>
      <c r="AT8091" s="10"/>
      <c r="AU8091" s="10"/>
      <c r="AV8091" s="10"/>
      <c r="AW8091" s="10"/>
      <c r="AX8091" s="10"/>
      <c r="AY8091" s="10"/>
      <c r="AZ8091" s="10"/>
    </row>
    <row r="8092" spans="31:52">
      <c r="AE8092" s="10"/>
      <c r="AF8092" s="10"/>
      <c r="AG8092" s="10"/>
      <c r="AH8092" s="10"/>
      <c r="AI8092" s="10"/>
      <c r="AJ8092" s="10"/>
      <c r="AK8092" s="10"/>
      <c r="AL8092" s="10"/>
      <c r="AM8092" s="10"/>
      <c r="AN8092" s="10"/>
      <c r="AO8092" s="10"/>
      <c r="AP8092" s="10"/>
      <c r="AQ8092" s="10"/>
      <c r="AR8092" s="10"/>
      <c r="AS8092" s="10"/>
      <c r="AT8092" s="10"/>
      <c r="AU8092" s="10"/>
      <c r="AV8092" s="10"/>
      <c r="AW8092" s="10"/>
      <c r="AX8092" s="10"/>
      <c r="AY8092" s="10"/>
      <c r="AZ8092" s="10"/>
    </row>
    <row r="8093" spans="31:52">
      <c r="AE8093" s="10"/>
      <c r="AF8093" s="10"/>
      <c r="AG8093" s="10"/>
      <c r="AH8093" s="10"/>
      <c r="AI8093" s="10"/>
      <c r="AJ8093" s="10"/>
      <c r="AK8093" s="10"/>
      <c r="AL8093" s="10"/>
      <c r="AM8093" s="10"/>
      <c r="AN8093" s="10"/>
      <c r="AO8093" s="10"/>
      <c r="AP8093" s="10"/>
      <c r="AQ8093" s="10"/>
      <c r="AR8093" s="10"/>
      <c r="AS8093" s="10"/>
      <c r="AT8093" s="10"/>
      <c r="AU8093" s="10"/>
      <c r="AV8093" s="10"/>
      <c r="AW8093" s="10"/>
      <c r="AX8093" s="10"/>
      <c r="AY8093" s="10"/>
      <c r="AZ8093" s="10"/>
    </row>
    <row r="8094" spans="31:52">
      <c r="AE8094" s="10"/>
      <c r="AF8094" s="10"/>
      <c r="AG8094" s="10"/>
      <c r="AH8094" s="10"/>
      <c r="AI8094" s="10"/>
      <c r="AJ8094" s="10"/>
      <c r="AK8094" s="10"/>
      <c r="AL8094" s="10"/>
      <c r="AM8094" s="10"/>
      <c r="AN8094" s="10"/>
      <c r="AO8094" s="10"/>
      <c r="AP8094" s="10"/>
      <c r="AQ8094" s="10"/>
      <c r="AR8094" s="10"/>
      <c r="AS8094" s="10"/>
      <c r="AT8094" s="10"/>
      <c r="AU8094" s="10"/>
      <c r="AV8094" s="10"/>
      <c r="AW8094" s="10"/>
      <c r="AX8094" s="10"/>
      <c r="AY8094" s="10"/>
      <c r="AZ8094" s="10"/>
    </row>
    <row r="8095" spans="31:52">
      <c r="AE8095" s="10"/>
      <c r="AF8095" s="10"/>
      <c r="AG8095" s="10"/>
      <c r="AH8095" s="10"/>
      <c r="AI8095" s="10"/>
      <c r="AJ8095" s="10"/>
      <c r="AK8095" s="10"/>
      <c r="AL8095" s="10"/>
      <c r="AM8095" s="10"/>
      <c r="AN8095" s="10"/>
      <c r="AO8095" s="10"/>
      <c r="AP8095" s="10"/>
      <c r="AQ8095" s="10"/>
      <c r="AR8095" s="10"/>
      <c r="AS8095" s="10"/>
      <c r="AT8095" s="10"/>
      <c r="AU8095" s="10"/>
      <c r="AV8095" s="10"/>
      <c r="AW8095" s="10"/>
      <c r="AX8095" s="10"/>
      <c r="AY8095" s="10"/>
      <c r="AZ8095" s="10"/>
    </row>
    <row r="8096" spans="31:52">
      <c r="AE8096" s="10"/>
      <c r="AF8096" s="10"/>
      <c r="AG8096" s="10"/>
      <c r="AH8096" s="10"/>
      <c r="AI8096" s="10"/>
      <c r="AJ8096" s="10"/>
      <c r="AK8096" s="10"/>
      <c r="AL8096" s="10"/>
      <c r="AM8096" s="10"/>
      <c r="AN8096" s="10"/>
      <c r="AO8096" s="10"/>
      <c r="AP8096" s="10"/>
      <c r="AQ8096" s="10"/>
      <c r="AR8096" s="10"/>
      <c r="AS8096" s="10"/>
      <c r="AT8096" s="10"/>
      <c r="AU8096" s="10"/>
      <c r="AV8096" s="10"/>
      <c r="AW8096" s="10"/>
      <c r="AX8096" s="10"/>
      <c r="AY8096" s="10"/>
      <c r="AZ8096" s="10"/>
    </row>
    <row r="8097" spans="31:52">
      <c r="AE8097" s="10"/>
      <c r="AF8097" s="10"/>
      <c r="AG8097" s="10"/>
      <c r="AH8097" s="10"/>
      <c r="AI8097" s="10"/>
      <c r="AJ8097" s="10"/>
      <c r="AK8097" s="10"/>
      <c r="AL8097" s="10"/>
      <c r="AM8097" s="10"/>
      <c r="AN8097" s="10"/>
      <c r="AO8097" s="10"/>
      <c r="AP8097" s="10"/>
      <c r="AQ8097" s="10"/>
      <c r="AR8097" s="10"/>
      <c r="AS8097" s="10"/>
      <c r="AT8097" s="10"/>
      <c r="AU8097" s="10"/>
      <c r="AV8097" s="10"/>
      <c r="AW8097" s="10"/>
      <c r="AX8097" s="10"/>
      <c r="AY8097" s="10"/>
      <c r="AZ8097" s="10"/>
    </row>
    <row r="8098" spans="31:52">
      <c r="AE8098" s="10"/>
      <c r="AF8098" s="10"/>
      <c r="AG8098" s="10"/>
      <c r="AH8098" s="10"/>
      <c r="AI8098" s="10"/>
      <c r="AJ8098" s="10"/>
      <c r="AK8098" s="10"/>
      <c r="AL8098" s="10"/>
      <c r="AM8098" s="10"/>
      <c r="AN8098" s="10"/>
      <c r="AO8098" s="10"/>
      <c r="AP8098" s="10"/>
      <c r="AQ8098" s="10"/>
      <c r="AR8098" s="10"/>
      <c r="AS8098" s="10"/>
      <c r="AT8098" s="10"/>
      <c r="AU8098" s="10"/>
      <c r="AV8098" s="10"/>
      <c r="AW8098" s="10"/>
      <c r="AX8098" s="10"/>
      <c r="AY8098" s="10"/>
      <c r="AZ8098" s="10"/>
    </row>
    <row r="8099" spans="31:52">
      <c r="AE8099" s="10"/>
      <c r="AF8099" s="10"/>
      <c r="AG8099" s="10"/>
      <c r="AH8099" s="10"/>
      <c r="AI8099" s="10"/>
      <c r="AJ8099" s="10"/>
      <c r="AK8099" s="10"/>
      <c r="AL8099" s="10"/>
      <c r="AM8099" s="10"/>
      <c r="AN8099" s="10"/>
      <c r="AO8099" s="10"/>
      <c r="AP8099" s="10"/>
      <c r="AQ8099" s="10"/>
      <c r="AR8099" s="10"/>
      <c r="AS8099" s="10"/>
      <c r="AT8099" s="10"/>
      <c r="AU8099" s="10"/>
      <c r="AV8099" s="10"/>
      <c r="AW8099" s="10"/>
      <c r="AX8099" s="10"/>
      <c r="AY8099" s="10"/>
      <c r="AZ8099" s="10"/>
    </row>
    <row r="8100" spans="31:52">
      <c r="AE8100" s="10"/>
      <c r="AF8100" s="10"/>
      <c r="AG8100" s="10"/>
      <c r="AH8100" s="10"/>
      <c r="AI8100" s="10"/>
      <c r="AJ8100" s="10"/>
      <c r="AK8100" s="10"/>
      <c r="AL8100" s="10"/>
      <c r="AM8100" s="10"/>
      <c r="AN8100" s="10"/>
      <c r="AO8100" s="10"/>
      <c r="AP8100" s="10"/>
      <c r="AQ8100" s="10"/>
      <c r="AR8100" s="10"/>
      <c r="AS8100" s="10"/>
      <c r="AT8100" s="10"/>
      <c r="AU8100" s="10"/>
      <c r="AV8100" s="10"/>
      <c r="AW8100" s="10"/>
      <c r="AX8100" s="10"/>
      <c r="AY8100" s="10"/>
      <c r="AZ8100" s="10"/>
    </row>
    <row r="8101" spans="31:52">
      <c r="AE8101" s="10"/>
      <c r="AF8101" s="10"/>
      <c r="AG8101" s="10"/>
      <c r="AH8101" s="10"/>
      <c r="AI8101" s="10"/>
      <c r="AJ8101" s="10"/>
      <c r="AK8101" s="10"/>
      <c r="AL8101" s="10"/>
      <c r="AM8101" s="10"/>
      <c r="AN8101" s="10"/>
      <c r="AO8101" s="10"/>
      <c r="AP8101" s="10"/>
      <c r="AQ8101" s="10"/>
      <c r="AR8101" s="10"/>
      <c r="AS8101" s="10"/>
      <c r="AT8101" s="10"/>
      <c r="AU8101" s="10"/>
      <c r="AV8101" s="10"/>
      <c r="AW8101" s="10"/>
      <c r="AX8101" s="10"/>
      <c r="AY8101" s="10"/>
      <c r="AZ8101" s="10"/>
    </row>
    <row r="8102" spans="31:52">
      <c r="AE8102" s="10"/>
      <c r="AF8102" s="10"/>
      <c r="AG8102" s="10"/>
      <c r="AH8102" s="10"/>
      <c r="AI8102" s="10"/>
      <c r="AJ8102" s="10"/>
      <c r="AK8102" s="10"/>
      <c r="AL8102" s="10"/>
      <c r="AM8102" s="10"/>
      <c r="AN8102" s="10"/>
      <c r="AO8102" s="10"/>
      <c r="AP8102" s="10"/>
      <c r="AQ8102" s="10"/>
      <c r="AR8102" s="10"/>
      <c r="AS8102" s="10"/>
      <c r="AT8102" s="10"/>
      <c r="AU8102" s="10"/>
      <c r="AV8102" s="10"/>
      <c r="AW8102" s="10"/>
      <c r="AX8102" s="10"/>
      <c r="AY8102" s="10"/>
      <c r="AZ8102" s="10"/>
    </row>
    <row r="8103" spans="31:52">
      <c r="AE8103" s="10"/>
      <c r="AF8103" s="10"/>
      <c r="AG8103" s="10"/>
      <c r="AH8103" s="10"/>
      <c r="AI8103" s="10"/>
      <c r="AJ8103" s="10"/>
      <c r="AK8103" s="10"/>
      <c r="AL8103" s="10"/>
      <c r="AM8103" s="10"/>
      <c r="AN8103" s="10"/>
      <c r="AO8103" s="10"/>
      <c r="AP8103" s="10"/>
      <c r="AQ8103" s="10"/>
      <c r="AR8103" s="10"/>
      <c r="AS8103" s="10"/>
      <c r="AT8103" s="10"/>
      <c r="AU8103" s="10"/>
      <c r="AV8103" s="10"/>
      <c r="AW8103" s="10"/>
      <c r="AX8103" s="10"/>
      <c r="AY8103" s="10"/>
      <c r="AZ8103" s="10"/>
    </row>
    <row r="8104" spans="31:52">
      <c r="AE8104" s="10"/>
      <c r="AF8104" s="10"/>
      <c r="AG8104" s="10"/>
      <c r="AH8104" s="10"/>
      <c r="AI8104" s="10"/>
      <c r="AJ8104" s="10"/>
      <c r="AK8104" s="10"/>
      <c r="AL8104" s="10"/>
      <c r="AM8104" s="10"/>
      <c r="AN8104" s="10"/>
      <c r="AO8104" s="10"/>
      <c r="AP8104" s="10"/>
      <c r="AQ8104" s="10"/>
      <c r="AR8104" s="10"/>
      <c r="AS8104" s="10"/>
      <c r="AT8104" s="10"/>
      <c r="AU8104" s="10"/>
      <c r="AV8104" s="10"/>
      <c r="AW8104" s="10"/>
      <c r="AX8104" s="10"/>
      <c r="AY8104" s="10"/>
      <c r="AZ8104" s="10"/>
    </row>
    <row r="8105" spans="31:52">
      <c r="AE8105" s="10"/>
      <c r="AF8105" s="10"/>
      <c r="AG8105" s="10"/>
      <c r="AH8105" s="10"/>
      <c r="AI8105" s="10"/>
      <c r="AJ8105" s="10"/>
      <c r="AK8105" s="10"/>
      <c r="AL8105" s="10"/>
      <c r="AM8105" s="10"/>
      <c r="AN8105" s="10"/>
      <c r="AO8105" s="10"/>
      <c r="AP8105" s="10"/>
      <c r="AQ8105" s="10"/>
      <c r="AR8105" s="10"/>
      <c r="AS8105" s="10"/>
      <c r="AT8105" s="10"/>
      <c r="AU8105" s="10"/>
      <c r="AV8105" s="10"/>
      <c r="AW8105" s="10"/>
      <c r="AX8105" s="10"/>
      <c r="AY8105" s="10"/>
      <c r="AZ8105" s="10"/>
    </row>
    <row r="8106" spans="31:52">
      <c r="AE8106" s="10"/>
      <c r="AF8106" s="10"/>
      <c r="AG8106" s="10"/>
      <c r="AH8106" s="10"/>
      <c r="AI8106" s="10"/>
      <c r="AJ8106" s="10"/>
      <c r="AK8106" s="10"/>
      <c r="AL8106" s="10"/>
      <c r="AM8106" s="10"/>
      <c r="AN8106" s="10"/>
      <c r="AO8106" s="10"/>
      <c r="AP8106" s="10"/>
      <c r="AQ8106" s="10"/>
      <c r="AR8106" s="10"/>
      <c r="AS8106" s="10"/>
      <c r="AT8106" s="10"/>
      <c r="AU8106" s="10"/>
      <c r="AV8106" s="10"/>
      <c r="AW8106" s="10"/>
      <c r="AX8106" s="10"/>
      <c r="AY8106" s="10"/>
      <c r="AZ8106" s="10"/>
    </row>
    <row r="8107" spans="31:52">
      <c r="AE8107" s="10"/>
      <c r="AF8107" s="10"/>
      <c r="AG8107" s="10"/>
      <c r="AH8107" s="10"/>
      <c r="AI8107" s="10"/>
      <c r="AJ8107" s="10"/>
      <c r="AK8107" s="10"/>
      <c r="AL8107" s="10"/>
      <c r="AM8107" s="10"/>
      <c r="AN8107" s="10"/>
      <c r="AO8107" s="10"/>
      <c r="AP8107" s="10"/>
      <c r="AQ8107" s="10"/>
      <c r="AR8107" s="10"/>
      <c r="AS8107" s="10"/>
      <c r="AT8107" s="10"/>
      <c r="AU8107" s="10"/>
      <c r="AV8107" s="10"/>
      <c r="AW8107" s="10"/>
      <c r="AX8107" s="10"/>
      <c r="AY8107" s="10"/>
      <c r="AZ8107" s="10"/>
    </row>
    <row r="8108" spans="31:52">
      <c r="AE8108" s="10"/>
      <c r="AF8108" s="10"/>
      <c r="AG8108" s="10"/>
      <c r="AH8108" s="10"/>
      <c r="AI8108" s="10"/>
      <c r="AJ8108" s="10"/>
      <c r="AK8108" s="10"/>
      <c r="AL8108" s="10"/>
      <c r="AM8108" s="10"/>
      <c r="AN8108" s="10"/>
      <c r="AO8108" s="10"/>
      <c r="AP8108" s="10"/>
      <c r="AQ8108" s="10"/>
      <c r="AR8108" s="10"/>
      <c r="AS8108" s="10"/>
      <c r="AT8108" s="10"/>
      <c r="AU8108" s="10"/>
      <c r="AV8108" s="10"/>
      <c r="AW8108" s="10"/>
      <c r="AX8108" s="10"/>
      <c r="AY8108" s="10"/>
      <c r="AZ8108" s="10"/>
    </row>
    <row r="8109" spans="31:52">
      <c r="AE8109" s="10"/>
      <c r="AF8109" s="10"/>
      <c r="AG8109" s="10"/>
      <c r="AH8109" s="10"/>
      <c r="AI8109" s="10"/>
      <c r="AJ8109" s="10"/>
      <c r="AK8109" s="10"/>
      <c r="AL8109" s="10"/>
      <c r="AM8109" s="10"/>
      <c r="AN8109" s="10"/>
      <c r="AO8109" s="10"/>
      <c r="AP8109" s="10"/>
      <c r="AQ8109" s="10"/>
      <c r="AR8109" s="10"/>
      <c r="AS8109" s="10"/>
      <c r="AT8109" s="10"/>
      <c r="AU8109" s="10"/>
      <c r="AV8109" s="10"/>
      <c r="AW8109" s="10"/>
      <c r="AX8109" s="10"/>
      <c r="AY8109" s="10"/>
      <c r="AZ8109" s="10"/>
    </row>
    <row r="8110" spans="31:52">
      <c r="AE8110" s="10"/>
      <c r="AF8110" s="10"/>
      <c r="AG8110" s="10"/>
      <c r="AH8110" s="10"/>
      <c r="AI8110" s="10"/>
      <c r="AJ8110" s="10"/>
      <c r="AK8110" s="10"/>
      <c r="AL8110" s="10"/>
      <c r="AM8110" s="10"/>
      <c r="AN8110" s="10"/>
      <c r="AO8110" s="10"/>
      <c r="AP8110" s="10"/>
      <c r="AQ8110" s="10"/>
      <c r="AR8110" s="10"/>
      <c r="AS8110" s="10"/>
      <c r="AT8110" s="10"/>
      <c r="AU8110" s="10"/>
      <c r="AV8110" s="10"/>
      <c r="AW8110" s="10"/>
      <c r="AX8110" s="10"/>
      <c r="AY8110" s="10"/>
      <c r="AZ8110" s="10"/>
    </row>
    <row r="8111" spans="31:52">
      <c r="AE8111" s="10"/>
      <c r="AF8111" s="10"/>
      <c r="AG8111" s="10"/>
      <c r="AH8111" s="10"/>
      <c r="AI8111" s="10"/>
      <c r="AJ8111" s="10"/>
      <c r="AK8111" s="10"/>
      <c r="AL8111" s="10"/>
      <c r="AM8111" s="10"/>
      <c r="AN8111" s="10"/>
      <c r="AO8111" s="10"/>
      <c r="AP8111" s="10"/>
      <c r="AQ8111" s="10"/>
      <c r="AR8111" s="10"/>
      <c r="AS8111" s="10"/>
      <c r="AT8111" s="10"/>
      <c r="AU8111" s="10"/>
      <c r="AV8111" s="10"/>
      <c r="AW8111" s="10"/>
      <c r="AX8111" s="10"/>
      <c r="AY8111" s="10"/>
      <c r="AZ8111" s="10"/>
    </row>
    <row r="8112" spans="31:52">
      <c r="AE8112" s="10"/>
      <c r="AF8112" s="10"/>
      <c r="AG8112" s="10"/>
      <c r="AH8112" s="10"/>
      <c r="AI8112" s="10"/>
      <c r="AJ8112" s="10"/>
      <c r="AK8112" s="10"/>
      <c r="AL8112" s="10"/>
      <c r="AM8112" s="10"/>
      <c r="AN8112" s="10"/>
      <c r="AO8112" s="10"/>
      <c r="AP8112" s="10"/>
      <c r="AQ8112" s="10"/>
      <c r="AR8112" s="10"/>
      <c r="AS8112" s="10"/>
      <c r="AT8112" s="10"/>
      <c r="AU8112" s="10"/>
      <c r="AV8112" s="10"/>
      <c r="AW8112" s="10"/>
      <c r="AX8112" s="10"/>
      <c r="AY8112" s="10"/>
      <c r="AZ8112" s="10"/>
    </row>
    <row r="8113" spans="31:52">
      <c r="AE8113" s="10"/>
      <c r="AF8113" s="10"/>
      <c r="AG8113" s="10"/>
      <c r="AH8113" s="10"/>
      <c r="AI8113" s="10"/>
      <c r="AJ8113" s="10"/>
      <c r="AK8113" s="10"/>
      <c r="AL8113" s="10"/>
      <c r="AM8113" s="10"/>
      <c r="AN8113" s="10"/>
      <c r="AO8113" s="10"/>
      <c r="AP8113" s="10"/>
      <c r="AQ8113" s="10"/>
      <c r="AR8113" s="10"/>
      <c r="AS8113" s="10"/>
      <c r="AT8113" s="10"/>
      <c r="AU8113" s="10"/>
      <c r="AV8113" s="10"/>
      <c r="AW8113" s="10"/>
      <c r="AX8113" s="10"/>
      <c r="AY8113" s="10"/>
      <c r="AZ8113" s="10"/>
    </row>
    <row r="8114" spans="31:52">
      <c r="AE8114" s="10"/>
      <c r="AF8114" s="10"/>
      <c r="AG8114" s="10"/>
      <c r="AH8114" s="10"/>
      <c r="AI8114" s="10"/>
      <c r="AJ8114" s="10"/>
      <c r="AK8114" s="10"/>
      <c r="AL8114" s="10"/>
      <c r="AM8114" s="10"/>
      <c r="AN8114" s="10"/>
      <c r="AO8114" s="10"/>
      <c r="AP8114" s="10"/>
      <c r="AQ8114" s="10"/>
      <c r="AR8114" s="10"/>
      <c r="AS8114" s="10"/>
      <c r="AT8114" s="10"/>
      <c r="AU8114" s="10"/>
      <c r="AV8114" s="10"/>
      <c r="AW8114" s="10"/>
      <c r="AX8114" s="10"/>
      <c r="AY8114" s="10"/>
      <c r="AZ8114" s="10"/>
    </row>
    <row r="8115" spans="31:52">
      <c r="AE8115" s="10"/>
      <c r="AF8115" s="10"/>
      <c r="AG8115" s="10"/>
      <c r="AH8115" s="10"/>
      <c r="AI8115" s="10"/>
      <c r="AJ8115" s="10"/>
      <c r="AK8115" s="10"/>
      <c r="AL8115" s="10"/>
      <c r="AM8115" s="10"/>
      <c r="AN8115" s="10"/>
      <c r="AO8115" s="10"/>
      <c r="AP8115" s="10"/>
      <c r="AQ8115" s="10"/>
      <c r="AR8115" s="10"/>
      <c r="AS8115" s="10"/>
      <c r="AT8115" s="10"/>
      <c r="AU8115" s="10"/>
      <c r="AV8115" s="10"/>
      <c r="AW8115" s="10"/>
      <c r="AX8115" s="10"/>
      <c r="AY8115" s="10"/>
      <c r="AZ8115" s="10"/>
    </row>
    <row r="8116" spans="31:52">
      <c r="AE8116" s="10"/>
      <c r="AF8116" s="10"/>
      <c r="AG8116" s="10"/>
      <c r="AH8116" s="10"/>
      <c r="AI8116" s="10"/>
      <c r="AJ8116" s="10"/>
      <c r="AK8116" s="10"/>
      <c r="AL8116" s="10"/>
      <c r="AM8116" s="10"/>
      <c r="AN8116" s="10"/>
      <c r="AO8116" s="10"/>
      <c r="AP8116" s="10"/>
      <c r="AQ8116" s="10"/>
      <c r="AR8116" s="10"/>
      <c r="AS8116" s="10"/>
      <c r="AT8116" s="10"/>
      <c r="AU8116" s="10"/>
      <c r="AV8116" s="10"/>
      <c r="AW8116" s="10"/>
      <c r="AX8116" s="10"/>
      <c r="AY8116" s="10"/>
      <c r="AZ8116" s="10"/>
    </row>
    <row r="8117" spans="31:52">
      <c r="AE8117" s="10"/>
      <c r="AF8117" s="10"/>
      <c r="AG8117" s="10"/>
      <c r="AH8117" s="10"/>
      <c r="AI8117" s="10"/>
      <c r="AJ8117" s="10"/>
      <c r="AK8117" s="10"/>
      <c r="AL8117" s="10"/>
      <c r="AM8117" s="10"/>
      <c r="AN8117" s="10"/>
      <c r="AO8117" s="10"/>
      <c r="AP8117" s="10"/>
      <c r="AQ8117" s="10"/>
      <c r="AR8117" s="10"/>
      <c r="AS8117" s="10"/>
      <c r="AT8117" s="10"/>
      <c r="AU8117" s="10"/>
      <c r="AV8117" s="10"/>
      <c r="AW8117" s="10"/>
      <c r="AX8117" s="10"/>
      <c r="AY8117" s="10"/>
      <c r="AZ8117" s="10"/>
    </row>
    <row r="8118" spans="31:52">
      <c r="AE8118" s="10"/>
      <c r="AF8118" s="10"/>
      <c r="AG8118" s="10"/>
      <c r="AH8118" s="10"/>
      <c r="AI8118" s="10"/>
      <c r="AJ8118" s="10"/>
      <c r="AK8118" s="10"/>
      <c r="AL8118" s="10"/>
      <c r="AM8118" s="10"/>
      <c r="AN8118" s="10"/>
      <c r="AO8118" s="10"/>
      <c r="AP8118" s="10"/>
      <c r="AQ8118" s="10"/>
      <c r="AR8118" s="10"/>
      <c r="AS8118" s="10"/>
      <c r="AT8118" s="10"/>
      <c r="AU8118" s="10"/>
      <c r="AV8118" s="10"/>
      <c r="AW8118" s="10"/>
      <c r="AX8118" s="10"/>
      <c r="AY8118" s="10"/>
      <c r="AZ8118" s="10"/>
    </row>
    <row r="8119" spans="31:52">
      <c r="AE8119" s="10"/>
      <c r="AF8119" s="10"/>
      <c r="AG8119" s="10"/>
      <c r="AH8119" s="10"/>
      <c r="AI8119" s="10"/>
      <c r="AJ8119" s="10"/>
      <c r="AK8119" s="10"/>
      <c r="AL8119" s="10"/>
      <c r="AM8119" s="10"/>
      <c r="AN8119" s="10"/>
      <c r="AO8119" s="10"/>
      <c r="AP8119" s="10"/>
      <c r="AQ8119" s="10"/>
      <c r="AR8119" s="10"/>
      <c r="AS8119" s="10"/>
      <c r="AT8119" s="10"/>
      <c r="AU8119" s="10"/>
      <c r="AV8119" s="10"/>
      <c r="AW8119" s="10"/>
      <c r="AX8119" s="10"/>
      <c r="AY8119" s="10"/>
      <c r="AZ8119" s="10"/>
    </row>
    <row r="8120" spans="31:52">
      <c r="AE8120" s="10"/>
      <c r="AF8120" s="10"/>
      <c r="AG8120" s="10"/>
      <c r="AH8120" s="10"/>
      <c r="AI8120" s="10"/>
      <c r="AJ8120" s="10"/>
      <c r="AK8120" s="10"/>
      <c r="AL8120" s="10"/>
      <c r="AM8120" s="10"/>
      <c r="AN8120" s="10"/>
      <c r="AO8120" s="10"/>
      <c r="AP8120" s="10"/>
      <c r="AQ8120" s="10"/>
      <c r="AR8120" s="10"/>
      <c r="AS8120" s="10"/>
      <c r="AT8120" s="10"/>
      <c r="AU8120" s="10"/>
      <c r="AV8120" s="10"/>
      <c r="AW8120" s="10"/>
      <c r="AX8120" s="10"/>
      <c r="AY8120" s="10"/>
      <c r="AZ8120" s="10"/>
    </row>
    <row r="8121" spans="31:52">
      <c r="AE8121" s="10"/>
      <c r="AF8121" s="10"/>
      <c r="AG8121" s="10"/>
      <c r="AH8121" s="10"/>
      <c r="AI8121" s="10"/>
      <c r="AJ8121" s="10"/>
      <c r="AK8121" s="10"/>
      <c r="AL8121" s="10"/>
      <c r="AM8121" s="10"/>
      <c r="AN8121" s="10"/>
      <c r="AO8121" s="10"/>
      <c r="AP8121" s="10"/>
      <c r="AQ8121" s="10"/>
      <c r="AR8121" s="10"/>
      <c r="AS8121" s="10"/>
      <c r="AT8121" s="10"/>
      <c r="AU8121" s="10"/>
      <c r="AV8121" s="10"/>
      <c r="AW8121" s="10"/>
      <c r="AX8121" s="10"/>
      <c r="AY8121" s="10"/>
      <c r="AZ8121" s="10"/>
    </row>
    <row r="8122" spans="31:52">
      <c r="AE8122" s="10"/>
      <c r="AF8122" s="10"/>
      <c r="AG8122" s="10"/>
      <c r="AH8122" s="10"/>
      <c r="AI8122" s="10"/>
      <c r="AJ8122" s="10"/>
      <c r="AK8122" s="10"/>
      <c r="AL8122" s="10"/>
      <c r="AM8122" s="10"/>
      <c r="AN8122" s="10"/>
      <c r="AO8122" s="10"/>
      <c r="AP8122" s="10"/>
      <c r="AQ8122" s="10"/>
      <c r="AR8122" s="10"/>
      <c r="AS8122" s="10"/>
      <c r="AT8122" s="10"/>
      <c r="AU8122" s="10"/>
      <c r="AV8122" s="10"/>
      <c r="AW8122" s="10"/>
      <c r="AX8122" s="10"/>
      <c r="AY8122" s="10"/>
      <c r="AZ8122" s="10"/>
    </row>
    <row r="8123" spans="31:52">
      <c r="AE8123" s="10"/>
      <c r="AF8123" s="10"/>
      <c r="AG8123" s="10"/>
      <c r="AH8123" s="10"/>
      <c r="AI8123" s="10"/>
      <c r="AJ8123" s="10"/>
      <c r="AK8123" s="10"/>
      <c r="AL8123" s="10"/>
      <c r="AM8123" s="10"/>
      <c r="AN8123" s="10"/>
      <c r="AO8123" s="10"/>
      <c r="AP8123" s="10"/>
      <c r="AQ8123" s="10"/>
      <c r="AR8123" s="10"/>
      <c r="AS8123" s="10"/>
      <c r="AT8123" s="10"/>
      <c r="AU8123" s="10"/>
      <c r="AV8123" s="10"/>
      <c r="AW8123" s="10"/>
      <c r="AX8123" s="10"/>
      <c r="AY8123" s="10"/>
      <c r="AZ8123" s="10"/>
    </row>
    <row r="8124" spans="31:52">
      <c r="AE8124" s="10"/>
      <c r="AF8124" s="10"/>
      <c r="AG8124" s="10"/>
      <c r="AH8124" s="10"/>
      <c r="AI8124" s="10"/>
      <c r="AJ8124" s="10"/>
      <c r="AK8124" s="10"/>
      <c r="AL8124" s="10"/>
      <c r="AM8124" s="10"/>
      <c r="AN8124" s="10"/>
      <c r="AO8124" s="10"/>
      <c r="AP8124" s="10"/>
      <c r="AQ8124" s="10"/>
      <c r="AR8124" s="10"/>
      <c r="AS8124" s="10"/>
      <c r="AT8124" s="10"/>
      <c r="AU8124" s="10"/>
      <c r="AV8124" s="10"/>
      <c r="AW8124" s="10"/>
      <c r="AX8124" s="10"/>
      <c r="AY8124" s="10"/>
      <c r="AZ8124" s="10"/>
    </row>
    <row r="8125" spans="31:52">
      <c r="AE8125" s="10"/>
      <c r="AF8125" s="10"/>
      <c r="AG8125" s="10"/>
      <c r="AH8125" s="10"/>
      <c r="AI8125" s="10"/>
      <c r="AJ8125" s="10"/>
      <c r="AK8125" s="10"/>
      <c r="AL8125" s="10"/>
      <c r="AM8125" s="10"/>
      <c r="AN8125" s="10"/>
      <c r="AO8125" s="10"/>
      <c r="AP8125" s="10"/>
      <c r="AQ8125" s="10"/>
      <c r="AR8125" s="10"/>
      <c r="AS8125" s="10"/>
      <c r="AT8125" s="10"/>
      <c r="AU8125" s="10"/>
      <c r="AV8125" s="10"/>
      <c r="AW8125" s="10"/>
      <c r="AX8125" s="10"/>
      <c r="AY8125" s="10"/>
      <c r="AZ8125" s="10"/>
    </row>
    <row r="8126" spans="31:52">
      <c r="AE8126" s="10"/>
      <c r="AF8126" s="10"/>
      <c r="AG8126" s="10"/>
      <c r="AH8126" s="10"/>
      <c r="AI8126" s="10"/>
      <c r="AJ8126" s="10"/>
      <c r="AK8126" s="10"/>
      <c r="AL8126" s="10"/>
      <c r="AM8126" s="10"/>
      <c r="AN8126" s="10"/>
      <c r="AO8126" s="10"/>
      <c r="AP8126" s="10"/>
      <c r="AQ8126" s="10"/>
      <c r="AR8126" s="10"/>
      <c r="AS8126" s="10"/>
      <c r="AT8126" s="10"/>
      <c r="AU8126" s="10"/>
      <c r="AV8126" s="10"/>
      <c r="AW8126" s="10"/>
      <c r="AX8126" s="10"/>
      <c r="AY8126" s="10"/>
      <c r="AZ8126" s="10"/>
    </row>
    <row r="8127" spans="31:52">
      <c r="AE8127" s="10"/>
      <c r="AF8127" s="10"/>
      <c r="AG8127" s="10"/>
      <c r="AH8127" s="10"/>
      <c r="AI8127" s="10"/>
      <c r="AJ8127" s="10"/>
      <c r="AK8127" s="10"/>
      <c r="AL8127" s="10"/>
      <c r="AM8127" s="10"/>
      <c r="AN8127" s="10"/>
      <c r="AO8127" s="10"/>
      <c r="AP8127" s="10"/>
      <c r="AQ8127" s="10"/>
      <c r="AR8127" s="10"/>
      <c r="AS8127" s="10"/>
      <c r="AT8127" s="10"/>
      <c r="AU8127" s="10"/>
      <c r="AV8127" s="10"/>
      <c r="AW8127" s="10"/>
      <c r="AX8127" s="10"/>
      <c r="AY8127" s="10"/>
      <c r="AZ8127" s="10"/>
    </row>
    <row r="8128" spans="31:52">
      <c r="AE8128" s="10"/>
      <c r="AF8128" s="10"/>
      <c r="AG8128" s="10"/>
      <c r="AH8128" s="10"/>
      <c r="AI8128" s="10"/>
      <c r="AJ8128" s="10"/>
      <c r="AK8128" s="10"/>
      <c r="AL8128" s="10"/>
      <c r="AM8128" s="10"/>
      <c r="AN8128" s="10"/>
      <c r="AO8128" s="10"/>
      <c r="AP8128" s="10"/>
      <c r="AQ8128" s="10"/>
      <c r="AR8128" s="10"/>
      <c r="AS8128" s="10"/>
      <c r="AT8128" s="10"/>
      <c r="AU8128" s="10"/>
      <c r="AV8128" s="10"/>
      <c r="AW8128" s="10"/>
      <c r="AX8128" s="10"/>
      <c r="AY8128" s="10"/>
      <c r="AZ8128" s="10"/>
    </row>
    <row r="8129" spans="31:52">
      <c r="AE8129" s="10"/>
      <c r="AF8129" s="10"/>
      <c r="AG8129" s="10"/>
      <c r="AH8129" s="10"/>
      <c r="AI8129" s="10"/>
      <c r="AJ8129" s="10"/>
      <c r="AK8129" s="10"/>
      <c r="AL8129" s="10"/>
      <c r="AM8129" s="10"/>
      <c r="AN8129" s="10"/>
      <c r="AO8129" s="10"/>
      <c r="AP8129" s="10"/>
      <c r="AQ8129" s="10"/>
      <c r="AR8129" s="10"/>
      <c r="AS8129" s="10"/>
      <c r="AT8129" s="10"/>
      <c r="AU8129" s="10"/>
      <c r="AV8129" s="10"/>
      <c r="AW8129" s="10"/>
      <c r="AX8129" s="10"/>
      <c r="AY8129" s="10"/>
      <c r="AZ8129" s="10"/>
    </row>
    <row r="8130" spans="31:52">
      <c r="AE8130" s="10"/>
      <c r="AF8130" s="10"/>
      <c r="AG8130" s="10"/>
      <c r="AH8130" s="10"/>
      <c r="AI8130" s="10"/>
      <c r="AJ8130" s="10"/>
      <c r="AK8130" s="10"/>
      <c r="AL8130" s="10"/>
      <c r="AM8130" s="10"/>
      <c r="AN8130" s="10"/>
      <c r="AO8130" s="10"/>
      <c r="AP8130" s="10"/>
      <c r="AQ8130" s="10"/>
      <c r="AR8130" s="10"/>
      <c r="AS8130" s="10"/>
      <c r="AT8130" s="10"/>
      <c r="AU8130" s="10"/>
      <c r="AV8130" s="10"/>
      <c r="AW8130" s="10"/>
      <c r="AX8130" s="10"/>
      <c r="AY8130" s="10"/>
      <c r="AZ8130" s="10"/>
    </row>
    <row r="8131" spans="31:52">
      <c r="AE8131" s="10"/>
      <c r="AF8131" s="10"/>
      <c r="AG8131" s="10"/>
      <c r="AH8131" s="10"/>
      <c r="AI8131" s="10"/>
      <c r="AJ8131" s="10"/>
      <c r="AK8131" s="10"/>
      <c r="AL8131" s="10"/>
      <c r="AM8131" s="10"/>
      <c r="AN8131" s="10"/>
      <c r="AO8131" s="10"/>
      <c r="AP8131" s="10"/>
      <c r="AQ8131" s="10"/>
      <c r="AR8131" s="10"/>
      <c r="AS8131" s="10"/>
      <c r="AT8131" s="10"/>
      <c r="AU8131" s="10"/>
      <c r="AV8131" s="10"/>
      <c r="AW8131" s="10"/>
      <c r="AX8131" s="10"/>
      <c r="AY8131" s="10"/>
      <c r="AZ8131" s="10"/>
    </row>
    <row r="8132" spans="31:52">
      <c r="AE8132" s="10"/>
      <c r="AF8132" s="10"/>
      <c r="AG8132" s="10"/>
      <c r="AH8132" s="10"/>
      <c r="AI8132" s="10"/>
      <c r="AJ8132" s="10"/>
      <c r="AK8132" s="10"/>
      <c r="AL8132" s="10"/>
      <c r="AM8132" s="10"/>
      <c r="AN8132" s="10"/>
      <c r="AO8132" s="10"/>
      <c r="AP8132" s="10"/>
      <c r="AQ8132" s="10"/>
      <c r="AR8132" s="10"/>
      <c r="AS8132" s="10"/>
      <c r="AT8132" s="10"/>
      <c r="AU8132" s="10"/>
      <c r="AV8132" s="10"/>
      <c r="AW8132" s="10"/>
      <c r="AX8132" s="10"/>
      <c r="AY8132" s="10"/>
      <c r="AZ8132" s="10"/>
    </row>
    <row r="8133" spans="31:52">
      <c r="AE8133" s="10"/>
      <c r="AF8133" s="10"/>
      <c r="AG8133" s="10"/>
      <c r="AH8133" s="10"/>
      <c r="AI8133" s="10"/>
      <c r="AJ8133" s="10"/>
      <c r="AK8133" s="10"/>
      <c r="AL8133" s="10"/>
      <c r="AM8133" s="10"/>
      <c r="AN8133" s="10"/>
      <c r="AO8133" s="10"/>
      <c r="AP8133" s="10"/>
      <c r="AQ8133" s="10"/>
      <c r="AR8133" s="10"/>
      <c r="AS8133" s="10"/>
      <c r="AT8133" s="10"/>
      <c r="AU8133" s="10"/>
      <c r="AV8133" s="10"/>
      <c r="AW8133" s="10"/>
      <c r="AX8133" s="10"/>
      <c r="AY8133" s="10"/>
      <c r="AZ8133" s="10"/>
    </row>
    <row r="8134" spans="31:52">
      <c r="AE8134" s="10"/>
      <c r="AF8134" s="10"/>
      <c r="AG8134" s="10"/>
      <c r="AH8134" s="10"/>
      <c r="AI8134" s="10"/>
      <c r="AJ8134" s="10"/>
      <c r="AK8134" s="10"/>
      <c r="AL8134" s="10"/>
      <c r="AM8134" s="10"/>
      <c r="AN8134" s="10"/>
      <c r="AO8134" s="10"/>
      <c r="AP8134" s="10"/>
      <c r="AQ8134" s="10"/>
      <c r="AR8134" s="10"/>
      <c r="AS8134" s="10"/>
      <c r="AT8134" s="10"/>
      <c r="AU8134" s="10"/>
      <c r="AV8134" s="10"/>
      <c r="AW8134" s="10"/>
      <c r="AX8134" s="10"/>
      <c r="AY8134" s="10"/>
      <c r="AZ8134" s="10"/>
    </row>
    <row r="8135" spans="31:52">
      <c r="AE8135" s="10"/>
      <c r="AF8135" s="10"/>
      <c r="AG8135" s="10"/>
      <c r="AH8135" s="10"/>
      <c r="AI8135" s="10"/>
      <c r="AJ8135" s="10"/>
      <c r="AK8135" s="10"/>
      <c r="AL8135" s="10"/>
      <c r="AM8135" s="10"/>
      <c r="AN8135" s="10"/>
      <c r="AO8135" s="10"/>
      <c r="AP8135" s="10"/>
      <c r="AQ8135" s="10"/>
      <c r="AR8135" s="10"/>
      <c r="AS8135" s="10"/>
      <c r="AT8135" s="10"/>
      <c r="AU8135" s="10"/>
      <c r="AV8135" s="10"/>
      <c r="AW8135" s="10"/>
      <c r="AX8135" s="10"/>
      <c r="AY8135" s="10"/>
      <c r="AZ8135" s="10"/>
    </row>
    <row r="8136" spans="31:52">
      <c r="AE8136" s="10"/>
      <c r="AF8136" s="10"/>
      <c r="AG8136" s="10"/>
      <c r="AH8136" s="10"/>
      <c r="AI8136" s="10"/>
      <c r="AJ8136" s="10"/>
      <c r="AK8136" s="10"/>
      <c r="AL8136" s="10"/>
      <c r="AM8136" s="10"/>
      <c r="AN8136" s="10"/>
      <c r="AO8136" s="10"/>
      <c r="AP8136" s="10"/>
      <c r="AQ8136" s="10"/>
      <c r="AR8136" s="10"/>
      <c r="AS8136" s="10"/>
      <c r="AT8136" s="10"/>
      <c r="AU8136" s="10"/>
      <c r="AV8136" s="10"/>
      <c r="AW8136" s="10"/>
      <c r="AX8136" s="10"/>
      <c r="AY8136" s="10"/>
      <c r="AZ8136" s="10"/>
    </row>
    <row r="8137" spans="31:52">
      <c r="AE8137" s="10"/>
      <c r="AF8137" s="10"/>
      <c r="AG8137" s="10"/>
      <c r="AH8137" s="10"/>
      <c r="AI8137" s="10"/>
      <c r="AJ8137" s="10"/>
      <c r="AK8137" s="10"/>
      <c r="AL8137" s="10"/>
      <c r="AM8137" s="10"/>
      <c r="AN8137" s="10"/>
      <c r="AO8137" s="10"/>
      <c r="AP8137" s="10"/>
      <c r="AQ8137" s="10"/>
      <c r="AR8137" s="10"/>
      <c r="AS8137" s="10"/>
      <c r="AT8137" s="10"/>
      <c r="AU8137" s="10"/>
      <c r="AV8137" s="10"/>
      <c r="AW8137" s="10"/>
      <c r="AX8137" s="10"/>
      <c r="AY8137" s="10"/>
      <c r="AZ8137" s="10"/>
    </row>
    <row r="8138" spans="31:52">
      <c r="AE8138" s="10"/>
      <c r="AF8138" s="10"/>
      <c r="AG8138" s="10"/>
      <c r="AH8138" s="10"/>
      <c r="AI8138" s="10"/>
      <c r="AJ8138" s="10"/>
      <c r="AK8138" s="10"/>
      <c r="AL8138" s="10"/>
      <c r="AM8138" s="10"/>
      <c r="AN8138" s="10"/>
      <c r="AO8138" s="10"/>
      <c r="AP8138" s="10"/>
      <c r="AQ8138" s="10"/>
      <c r="AR8138" s="10"/>
      <c r="AS8138" s="10"/>
      <c r="AT8138" s="10"/>
      <c r="AU8138" s="10"/>
      <c r="AV8138" s="10"/>
      <c r="AW8138" s="10"/>
      <c r="AX8138" s="10"/>
      <c r="AY8138" s="10"/>
      <c r="AZ8138" s="10"/>
    </row>
    <row r="8139" spans="31:52">
      <c r="AE8139" s="10"/>
      <c r="AF8139" s="10"/>
      <c r="AG8139" s="10"/>
      <c r="AH8139" s="10"/>
      <c r="AI8139" s="10"/>
      <c r="AJ8139" s="10"/>
      <c r="AK8139" s="10"/>
      <c r="AL8139" s="10"/>
      <c r="AM8139" s="10"/>
      <c r="AN8139" s="10"/>
      <c r="AO8139" s="10"/>
      <c r="AP8139" s="10"/>
      <c r="AQ8139" s="10"/>
      <c r="AR8139" s="10"/>
      <c r="AS8139" s="10"/>
      <c r="AT8139" s="10"/>
      <c r="AU8139" s="10"/>
      <c r="AV8139" s="10"/>
      <c r="AW8139" s="10"/>
      <c r="AX8139" s="10"/>
      <c r="AY8139" s="10"/>
      <c r="AZ8139" s="10"/>
    </row>
    <row r="8140" spans="31:52">
      <c r="AE8140" s="10"/>
      <c r="AF8140" s="10"/>
      <c r="AG8140" s="10"/>
      <c r="AH8140" s="10"/>
      <c r="AI8140" s="10"/>
      <c r="AJ8140" s="10"/>
      <c r="AK8140" s="10"/>
      <c r="AL8140" s="10"/>
      <c r="AM8140" s="10"/>
      <c r="AN8140" s="10"/>
      <c r="AO8140" s="10"/>
      <c r="AP8140" s="10"/>
      <c r="AQ8140" s="10"/>
      <c r="AR8140" s="10"/>
      <c r="AS8140" s="10"/>
      <c r="AT8140" s="10"/>
      <c r="AU8140" s="10"/>
      <c r="AV8140" s="10"/>
      <c r="AW8140" s="10"/>
      <c r="AX8140" s="10"/>
      <c r="AY8140" s="10"/>
      <c r="AZ8140" s="10"/>
    </row>
    <row r="8141" spans="31:52">
      <c r="AE8141" s="10"/>
      <c r="AF8141" s="10"/>
      <c r="AG8141" s="10"/>
      <c r="AH8141" s="10"/>
      <c r="AI8141" s="10"/>
      <c r="AJ8141" s="10"/>
      <c r="AK8141" s="10"/>
      <c r="AL8141" s="10"/>
      <c r="AM8141" s="10"/>
      <c r="AN8141" s="10"/>
      <c r="AO8141" s="10"/>
      <c r="AP8141" s="10"/>
      <c r="AQ8141" s="10"/>
      <c r="AR8141" s="10"/>
      <c r="AS8141" s="10"/>
      <c r="AT8141" s="10"/>
      <c r="AU8141" s="10"/>
      <c r="AV8141" s="10"/>
      <c r="AW8141" s="10"/>
      <c r="AX8141" s="10"/>
      <c r="AY8141" s="10"/>
      <c r="AZ8141" s="10"/>
    </row>
    <row r="8142" spans="31:52">
      <c r="AE8142" s="10"/>
      <c r="AF8142" s="10"/>
      <c r="AG8142" s="10"/>
      <c r="AH8142" s="10"/>
      <c r="AI8142" s="10"/>
      <c r="AJ8142" s="10"/>
      <c r="AK8142" s="10"/>
      <c r="AL8142" s="10"/>
      <c r="AM8142" s="10"/>
      <c r="AN8142" s="10"/>
      <c r="AO8142" s="10"/>
      <c r="AP8142" s="10"/>
      <c r="AQ8142" s="10"/>
      <c r="AR8142" s="10"/>
      <c r="AS8142" s="10"/>
      <c r="AT8142" s="10"/>
      <c r="AU8142" s="10"/>
      <c r="AV8142" s="10"/>
      <c r="AW8142" s="10"/>
      <c r="AX8142" s="10"/>
      <c r="AY8142" s="10"/>
      <c r="AZ8142" s="10"/>
    </row>
    <row r="8143" spans="31:52">
      <c r="AE8143" s="10"/>
      <c r="AF8143" s="10"/>
      <c r="AG8143" s="10"/>
      <c r="AH8143" s="10"/>
      <c r="AI8143" s="10"/>
      <c r="AJ8143" s="10"/>
      <c r="AK8143" s="10"/>
      <c r="AL8143" s="10"/>
      <c r="AM8143" s="10"/>
      <c r="AN8143" s="10"/>
      <c r="AO8143" s="10"/>
      <c r="AP8143" s="10"/>
      <c r="AQ8143" s="10"/>
      <c r="AR8143" s="10"/>
      <c r="AS8143" s="10"/>
      <c r="AT8143" s="10"/>
      <c r="AU8143" s="10"/>
      <c r="AV8143" s="10"/>
      <c r="AW8143" s="10"/>
      <c r="AX8143" s="10"/>
      <c r="AY8143" s="10"/>
      <c r="AZ8143" s="10"/>
    </row>
    <row r="8144" spans="31:52">
      <c r="AE8144" s="10"/>
      <c r="AF8144" s="10"/>
      <c r="AG8144" s="10"/>
      <c r="AH8144" s="10"/>
      <c r="AI8144" s="10"/>
      <c r="AJ8144" s="10"/>
      <c r="AK8144" s="10"/>
      <c r="AL8144" s="10"/>
      <c r="AM8144" s="10"/>
      <c r="AN8144" s="10"/>
      <c r="AO8144" s="10"/>
      <c r="AP8144" s="10"/>
      <c r="AQ8144" s="10"/>
      <c r="AR8144" s="10"/>
      <c r="AS8144" s="10"/>
      <c r="AT8144" s="10"/>
      <c r="AU8144" s="10"/>
      <c r="AV8144" s="10"/>
      <c r="AW8144" s="10"/>
      <c r="AX8144" s="10"/>
      <c r="AY8144" s="10"/>
      <c r="AZ8144" s="10"/>
    </row>
    <row r="8145" spans="31:52">
      <c r="AE8145" s="10"/>
      <c r="AF8145" s="10"/>
      <c r="AG8145" s="10"/>
      <c r="AH8145" s="10"/>
      <c r="AI8145" s="10"/>
      <c r="AJ8145" s="10"/>
      <c r="AK8145" s="10"/>
      <c r="AL8145" s="10"/>
      <c r="AM8145" s="10"/>
      <c r="AN8145" s="10"/>
      <c r="AO8145" s="10"/>
      <c r="AP8145" s="10"/>
      <c r="AQ8145" s="10"/>
      <c r="AR8145" s="10"/>
      <c r="AS8145" s="10"/>
      <c r="AT8145" s="10"/>
      <c r="AU8145" s="10"/>
      <c r="AV8145" s="10"/>
      <c r="AW8145" s="10"/>
      <c r="AX8145" s="10"/>
      <c r="AY8145" s="10"/>
      <c r="AZ8145" s="10"/>
    </row>
    <row r="8146" spans="31:52">
      <c r="AE8146" s="10"/>
      <c r="AF8146" s="10"/>
      <c r="AG8146" s="10"/>
      <c r="AH8146" s="10"/>
      <c r="AI8146" s="10"/>
      <c r="AJ8146" s="10"/>
      <c r="AK8146" s="10"/>
      <c r="AL8146" s="10"/>
      <c r="AM8146" s="10"/>
      <c r="AN8146" s="10"/>
      <c r="AO8146" s="10"/>
      <c r="AP8146" s="10"/>
      <c r="AQ8146" s="10"/>
      <c r="AR8146" s="10"/>
      <c r="AS8146" s="10"/>
      <c r="AT8146" s="10"/>
      <c r="AU8146" s="10"/>
      <c r="AV8146" s="10"/>
      <c r="AW8146" s="10"/>
      <c r="AX8146" s="10"/>
      <c r="AY8146" s="10"/>
      <c r="AZ8146" s="10"/>
    </row>
    <row r="8147" spans="31:52">
      <c r="AE8147" s="10"/>
      <c r="AF8147" s="10"/>
      <c r="AG8147" s="10"/>
      <c r="AH8147" s="10"/>
      <c r="AI8147" s="10"/>
      <c r="AJ8147" s="10"/>
      <c r="AK8147" s="10"/>
      <c r="AL8147" s="10"/>
      <c r="AM8147" s="10"/>
      <c r="AN8147" s="10"/>
      <c r="AO8147" s="10"/>
      <c r="AP8147" s="10"/>
      <c r="AQ8147" s="10"/>
      <c r="AR8147" s="10"/>
      <c r="AS8147" s="10"/>
      <c r="AT8147" s="10"/>
      <c r="AU8147" s="10"/>
      <c r="AV8147" s="10"/>
      <c r="AW8147" s="10"/>
      <c r="AX8147" s="10"/>
      <c r="AY8147" s="10"/>
      <c r="AZ8147" s="10"/>
    </row>
    <row r="8148" spans="31:52">
      <c r="AE8148" s="10"/>
      <c r="AF8148" s="10"/>
      <c r="AG8148" s="10"/>
      <c r="AH8148" s="10"/>
      <c r="AI8148" s="10"/>
      <c r="AJ8148" s="10"/>
      <c r="AK8148" s="10"/>
      <c r="AL8148" s="10"/>
      <c r="AM8148" s="10"/>
      <c r="AN8148" s="10"/>
      <c r="AO8148" s="10"/>
      <c r="AP8148" s="10"/>
      <c r="AQ8148" s="10"/>
      <c r="AR8148" s="10"/>
      <c r="AS8148" s="10"/>
      <c r="AT8148" s="10"/>
      <c r="AU8148" s="10"/>
      <c r="AV8148" s="10"/>
      <c r="AW8148" s="10"/>
      <c r="AX8148" s="10"/>
      <c r="AY8148" s="10"/>
      <c r="AZ8148" s="10"/>
    </row>
    <row r="8149" spans="31:52">
      <c r="AE8149" s="10"/>
      <c r="AF8149" s="10"/>
      <c r="AG8149" s="10"/>
      <c r="AH8149" s="10"/>
      <c r="AI8149" s="10"/>
      <c r="AJ8149" s="10"/>
      <c r="AK8149" s="10"/>
      <c r="AL8149" s="10"/>
      <c r="AM8149" s="10"/>
      <c r="AN8149" s="10"/>
      <c r="AO8149" s="10"/>
      <c r="AP8149" s="10"/>
      <c r="AQ8149" s="10"/>
      <c r="AR8149" s="10"/>
      <c r="AS8149" s="10"/>
      <c r="AT8149" s="10"/>
      <c r="AU8149" s="10"/>
      <c r="AV8149" s="10"/>
      <c r="AW8149" s="10"/>
      <c r="AX8149" s="10"/>
      <c r="AY8149" s="10"/>
      <c r="AZ8149" s="10"/>
    </row>
    <row r="8150" spans="31:52">
      <c r="AE8150" s="10"/>
      <c r="AF8150" s="10"/>
      <c r="AG8150" s="10"/>
      <c r="AH8150" s="10"/>
      <c r="AI8150" s="10"/>
      <c r="AJ8150" s="10"/>
      <c r="AK8150" s="10"/>
      <c r="AL8150" s="10"/>
      <c r="AM8150" s="10"/>
      <c r="AN8150" s="10"/>
      <c r="AO8150" s="10"/>
      <c r="AP8150" s="10"/>
      <c r="AQ8150" s="10"/>
      <c r="AR8150" s="10"/>
      <c r="AS8150" s="10"/>
      <c r="AT8150" s="10"/>
      <c r="AU8150" s="10"/>
      <c r="AV8150" s="10"/>
      <c r="AW8150" s="10"/>
      <c r="AX8150" s="10"/>
      <c r="AY8150" s="10"/>
      <c r="AZ8150" s="10"/>
    </row>
    <row r="8151" spans="31:52">
      <c r="AE8151" s="10"/>
      <c r="AF8151" s="10"/>
      <c r="AG8151" s="10"/>
      <c r="AH8151" s="10"/>
      <c r="AI8151" s="10"/>
      <c r="AJ8151" s="10"/>
      <c r="AK8151" s="10"/>
      <c r="AL8151" s="10"/>
      <c r="AM8151" s="10"/>
      <c r="AN8151" s="10"/>
      <c r="AO8151" s="10"/>
      <c r="AP8151" s="10"/>
      <c r="AQ8151" s="10"/>
      <c r="AR8151" s="10"/>
      <c r="AS8151" s="10"/>
      <c r="AT8151" s="10"/>
      <c r="AU8151" s="10"/>
      <c r="AV8151" s="10"/>
      <c r="AW8151" s="10"/>
      <c r="AX8151" s="10"/>
      <c r="AY8151" s="10"/>
      <c r="AZ8151" s="10"/>
    </row>
    <row r="8152" spans="31:52">
      <c r="AE8152" s="10"/>
      <c r="AF8152" s="10"/>
      <c r="AG8152" s="10"/>
      <c r="AH8152" s="10"/>
      <c r="AI8152" s="10"/>
      <c r="AJ8152" s="10"/>
      <c r="AK8152" s="10"/>
      <c r="AL8152" s="10"/>
      <c r="AM8152" s="10"/>
      <c r="AN8152" s="10"/>
      <c r="AO8152" s="10"/>
      <c r="AP8152" s="10"/>
      <c r="AQ8152" s="10"/>
      <c r="AR8152" s="10"/>
      <c r="AS8152" s="10"/>
      <c r="AT8152" s="10"/>
      <c r="AU8152" s="10"/>
      <c r="AV8152" s="10"/>
      <c r="AW8152" s="10"/>
      <c r="AX8152" s="10"/>
      <c r="AY8152" s="10"/>
      <c r="AZ8152" s="10"/>
    </row>
    <row r="8153" spans="31:52">
      <c r="AE8153" s="10"/>
      <c r="AF8153" s="10"/>
      <c r="AG8153" s="10"/>
      <c r="AH8153" s="10"/>
      <c r="AI8153" s="10"/>
      <c r="AJ8153" s="10"/>
      <c r="AK8153" s="10"/>
      <c r="AL8153" s="10"/>
      <c r="AM8153" s="10"/>
      <c r="AN8153" s="10"/>
      <c r="AO8153" s="10"/>
      <c r="AP8153" s="10"/>
      <c r="AQ8153" s="10"/>
      <c r="AR8153" s="10"/>
      <c r="AS8153" s="10"/>
      <c r="AT8153" s="10"/>
      <c r="AU8153" s="10"/>
      <c r="AV8153" s="10"/>
      <c r="AW8153" s="10"/>
      <c r="AX8153" s="10"/>
      <c r="AY8153" s="10"/>
      <c r="AZ8153" s="10"/>
    </row>
    <row r="8154" spans="31:52">
      <c r="AE8154" s="10"/>
      <c r="AF8154" s="10"/>
      <c r="AG8154" s="10"/>
      <c r="AH8154" s="10"/>
      <c r="AI8154" s="10"/>
      <c r="AJ8154" s="10"/>
      <c r="AK8154" s="10"/>
      <c r="AL8154" s="10"/>
      <c r="AM8154" s="10"/>
      <c r="AN8154" s="10"/>
      <c r="AO8154" s="10"/>
      <c r="AP8154" s="10"/>
      <c r="AQ8154" s="10"/>
      <c r="AR8154" s="10"/>
      <c r="AS8154" s="10"/>
      <c r="AT8154" s="10"/>
      <c r="AU8154" s="10"/>
      <c r="AV8154" s="10"/>
      <c r="AW8154" s="10"/>
      <c r="AX8154" s="10"/>
      <c r="AY8154" s="10"/>
      <c r="AZ8154" s="10"/>
    </row>
    <row r="8155" spans="31:52">
      <c r="AE8155" s="10"/>
      <c r="AF8155" s="10"/>
      <c r="AG8155" s="10"/>
      <c r="AH8155" s="10"/>
      <c r="AI8155" s="10"/>
      <c r="AJ8155" s="10"/>
      <c r="AK8155" s="10"/>
      <c r="AL8155" s="10"/>
      <c r="AM8155" s="10"/>
      <c r="AN8155" s="10"/>
      <c r="AO8155" s="10"/>
      <c r="AP8155" s="10"/>
      <c r="AQ8155" s="10"/>
      <c r="AR8155" s="10"/>
      <c r="AS8155" s="10"/>
      <c r="AT8155" s="10"/>
      <c r="AU8155" s="10"/>
      <c r="AV8155" s="10"/>
      <c r="AW8155" s="10"/>
      <c r="AX8155" s="10"/>
      <c r="AY8155" s="10"/>
      <c r="AZ8155" s="10"/>
    </row>
    <row r="8156" spans="31:52">
      <c r="AE8156" s="10"/>
      <c r="AF8156" s="10"/>
      <c r="AG8156" s="10"/>
      <c r="AH8156" s="10"/>
      <c r="AI8156" s="10"/>
      <c r="AJ8156" s="10"/>
      <c r="AK8156" s="10"/>
      <c r="AL8156" s="10"/>
      <c r="AM8156" s="10"/>
      <c r="AN8156" s="10"/>
      <c r="AO8156" s="10"/>
      <c r="AP8156" s="10"/>
      <c r="AQ8156" s="10"/>
      <c r="AR8156" s="10"/>
      <c r="AS8156" s="10"/>
      <c r="AT8156" s="10"/>
      <c r="AU8156" s="10"/>
      <c r="AV8156" s="10"/>
      <c r="AW8156" s="10"/>
      <c r="AX8156" s="10"/>
      <c r="AY8156" s="10"/>
      <c r="AZ8156" s="10"/>
    </row>
    <row r="8157" spans="31:52">
      <c r="AE8157" s="10"/>
      <c r="AF8157" s="10"/>
      <c r="AG8157" s="10"/>
      <c r="AH8157" s="10"/>
      <c r="AI8157" s="10"/>
      <c r="AJ8157" s="10"/>
      <c r="AK8157" s="10"/>
      <c r="AL8157" s="10"/>
      <c r="AM8157" s="10"/>
      <c r="AN8157" s="10"/>
      <c r="AO8157" s="10"/>
      <c r="AP8157" s="10"/>
      <c r="AQ8157" s="10"/>
      <c r="AR8157" s="10"/>
      <c r="AS8157" s="10"/>
      <c r="AT8157" s="10"/>
      <c r="AU8157" s="10"/>
      <c r="AV8157" s="10"/>
      <c r="AW8157" s="10"/>
      <c r="AX8157" s="10"/>
      <c r="AY8157" s="10"/>
      <c r="AZ8157" s="10"/>
    </row>
    <row r="8158" spans="31:52">
      <c r="AE8158" s="10"/>
      <c r="AF8158" s="10"/>
      <c r="AG8158" s="10"/>
      <c r="AH8158" s="10"/>
      <c r="AI8158" s="10"/>
      <c r="AJ8158" s="10"/>
      <c r="AK8158" s="10"/>
      <c r="AL8158" s="10"/>
      <c r="AM8158" s="10"/>
      <c r="AN8158" s="10"/>
      <c r="AO8158" s="10"/>
      <c r="AP8158" s="10"/>
      <c r="AQ8158" s="10"/>
      <c r="AR8158" s="10"/>
      <c r="AS8158" s="10"/>
      <c r="AT8158" s="10"/>
      <c r="AU8158" s="10"/>
      <c r="AV8158" s="10"/>
      <c r="AW8158" s="10"/>
      <c r="AX8158" s="10"/>
      <c r="AY8158" s="10"/>
      <c r="AZ8158" s="10"/>
    </row>
    <row r="8159" spans="31:52">
      <c r="AE8159" s="10"/>
      <c r="AF8159" s="10"/>
      <c r="AG8159" s="10"/>
      <c r="AH8159" s="10"/>
      <c r="AI8159" s="10"/>
      <c r="AJ8159" s="10"/>
      <c r="AK8159" s="10"/>
      <c r="AL8159" s="10"/>
      <c r="AM8159" s="10"/>
      <c r="AN8159" s="10"/>
      <c r="AO8159" s="10"/>
      <c r="AP8159" s="10"/>
      <c r="AQ8159" s="10"/>
      <c r="AR8159" s="10"/>
      <c r="AS8159" s="10"/>
      <c r="AT8159" s="10"/>
      <c r="AU8159" s="10"/>
      <c r="AV8159" s="10"/>
      <c r="AW8159" s="10"/>
      <c r="AX8159" s="10"/>
      <c r="AY8159" s="10"/>
      <c r="AZ8159" s="10"/>
    </row>
    <row r="8160" spans="31:52">
      <c r="AE8160" s="10"/>
      <c r="AF8160" s="10"/>
      <c r="AG8160" s="10"/>
      <c r="AH8160" s="10"/>
      <c r="AI8160" s="10"/>
      <c r="AJ8160" s="10"/>
      <c r="AK8160" s="10"/>
      <c r="AL8160" s="10"/>
      <c r="AM8160" s="10"/>
      <c r="AN8160" s="10"/>
      <c r="AO8160" s="10"/>
      <c r="AP8160" s="10"/>
      <c r="AQ8160" s="10"/>
      <c r="AR8160" s="10"/>
      <c r="AS8160" s="10"/>
      <c r="AT8160" s="10"/>
      <c r="AU8160" s="10"/>
      <c r="AV8160" s="10"/>
      <c r="AW8160" s="10"/>
      <c r="AX8160" s="10"/>
      <c r="AY8160" s="10"/>
      <c r="AZ8160" s="10"/>
    </row>
    <row r="8161" spans="31:52">
      <c r="AE8161" s="10"/>
      <c r="AF8161" s="10"/>
      <c r="AG8161" s="10"/>
      <c r="AH8161" s="10"/>
      <c r="AI8161" s="10"/>
      <c r="AJ8161" s="10"/>
      <c r="AK8161" s="10"/>
      <c r="AL8161" s="10"/>
      <c r="AM8161" s="10"/>
      <c r="AN8161" s="10"/>
      <c r="AO8161" s="10"/>
      <c r="AP8161" s="10"/>
      <c r="AQ8161" s="10"/>
      <c r="AR8161" s="10"/>
      <c r="AS8161" s="10"/>
      <c r="AT8161" s="10"/>
      <c r="AU8161" s="10"/>
      <c r="AV8161" s="10"/>
      <c r="AW8161" s="10"/>
      <c r="AX8161" s="10"/>
      <c r="AY8161" s="10"/>
      <c r="AZ8161" s="10"/>
    </row>
    <row r="8162" spans="31:52">
      <c r="AE8162" s="10"/>
      <c r="AF8162" s="10"/>
      <c r="AG8162" s="10"/>
      <c r="AH8162" s="10"/>
      <c r="AI8162" s="10"/>
      <c r="AJ8162" s="10"/>
      <c r="AK8162" s="10"/>
      <c r="AL8162" s="10"/>
      <c r="AM8162" s="10"/>
      <c r="AN8162" s="10"/>
      <c r="AO8162" s="10"/>
      <c r="AP8162" s="10"/>
      <c r="AQ8162" s="10"/>
      <c r="AR8162" s="10"/>
      <c r="AS8162" s="10"/>
      <c r="AT8162" s="10"/>
      <c r="AU8162" s="10"/>
      <c r="AV8162" s="10"/>
      <c r="AW8162" s="10"/>
      <c r="AX8162" s="10"/>
      <c r="AY8162" s="10"/>
      <c r="AZ8162" s="10"/>
    </row>
    <row r="8163" spans="31:52">
      <c r="AE8163" s="10"/>
      <c r="AF8163" s="10"/>
      <c r="AG8163" s="10"/>
      <c r="AH8163" s="10"/>
      <c r="AI8163" s="10"/>
      <c r="AJ8163" s="10"/>
      <c r="AK8163" s="10"/>
      <c r="AL8163" s="10"/>
      <c r="AM8163" s="10"/>
      <c r="AN8163" s="10"/>
      <c r="AO8163" s="10"/>
      <c r="AP8163" s="10"/>
      <c r="AQ8163" s="10"/>
      <c r="AR8163" s="10"/>
      <c r="AS8163" s="10"/>
      <c r="AT8163" s="10"/>
      <c r="AU8163" s="10"/>
      <c r="AV8163" s="10"/>
      <c r="AW8163" s="10"/>
      <c r="AX8163" s="10"/>
      <c r="AY8163" s="10"/>
      <c r="AZ8163" s="10"/>
    </row>
    <row r="8164" spans="31:52">
      <c r="AE8164" s="10"/>
      <c r="AF8164" s="10"/>
      <c r="AG8164" s="10"/>
      <c r="AH8164" s="10"/>
      <c r="AI8164" s="10"/>
      <c r="AJ8164" s="10"/>
      <c r="AK8164" s="10"/>
      <c r="AL8164" s="10"/>
      <c r="AM8164" s="10"/>
      <c r="AN8164" s="10"/>
      <c r="AO8164" s="10"/>
      <c r="AP8164" s="10"/>
      <c r="AQ8164" s="10"/>
      <c r="AR8164" s="10"/>
      <c r="AS8164" s="10"/>
      <c r="AT8164" s="10"/>
      <c r="AU8164" s="10"/>
      <c r="AV8164" s="10"/>
      <c r="AW8164" s="10"/>
      <c r="AX8164" s="10"/>
      <c r="AY8164" s="10"/>
      <c r="AZ8164" s="10"/>
    </row>
    <row r="8165" spans="31:52">
      <c r="AE8165" s="10"/>
      <c r="AF8165" s="10"/>
      <c r="AG8165" s="10"/>
      <c r="AH8165" s="10"/>
      <c r="AI8165" s="10"/>
      <c r="AJ8165" s="10"/>
      <c r="AK8165" s="10"/>
      <c r="AL8165" s="10"/>
      <c r="AM8165" s="10"/>
      <c r="AN8165" s="10"/>
      <c r="AO8165" s="10"/>
      <c r="AP8165" s="10"/>
      <c r="AQ8165" s="10"/>
      <c r="AR8165" s="10"/>
      <c r="AS8165" s="10"/>
      <c r="AT8165" s="10"/>
      <c r="AU8165" s="10"/>
      <c r="AV8165" s="10"/>
      <c r="AW8165" s="10"/>
      <c r="AX8165" s="10"/>
      <c r="AY8165" s="10"/>
      <c r="AZ8165" s="10"/>
    </row>
    <row r="8166" spans="31:52">
      <c r="AE8166" s="10"/>
      <c r="AF8166" s="10"/>
      <c r="AG8166" s="10"/>
      <c r="AH8166" s="10"/>
      <c r="AI8166" s="10"/>
      <c r="AJ8166" s="10"/>
      <c r="AK8166" s="10"/>
      <c r="AL8166" s="10"/>
      <c r="AM8166" s="10"/>
      <c r="AN8166" s="10"/>
      <c r="AO8166" s="10"/>
      <c r="AP8166" s="10"/>
      <c r="AQ8166" s="10"/>
      <c r="AR8166" s="10"/>
      <c r="AS8166" s="10"/>
      <c r="AT8166" s="10"/>
      <c r="AU8166" s="10"/>
      <c r="AV8166" s="10"/>
      <c r="AW8166" s="10"/>
      <c r="AX8166" s="10"/>
      <c r="AY8166" s="10"/>
      <c r="AZ8166" s="10"/>
    </row>
    <row r="8167" spans="31:52">
      <c r="AE8167" s="10"/>
      <c r="AF8167" s="10"/>
      <c r="AG8167" s="10"/>
      <c r="AH8167" s="10"/>
      <c r="AI8167" s="10"/>
      <c r="AJ8167" s="10"/>
      <c r="AK8167" s="10"/>
      <c r="AL8167" s="10"/>
      <c r="AM8167" s="10"/>
      <c r="AN8167" s="10"/>
      <c r="AO8167" s="10"/>
      <c r="AP8167" s="10"/>
      <c r="AQ8167" s="10"/>
      <c r="AR8167" s="10"/>
      <c r="AS8167" s="10"/>
      <c r="AT8167" s="10"/>
      <c r="AU8167" s="10"/>
      <c r="AV8167" s="10"/>
      <c r="AW8167" s="10"/>
      <c r="AX8167" s="10"/>
      <c r="AY8167" s="10"/>
      <c r="AZ8167" s="10"/>
    </row>
    <row r="8168" spans="31:52">
      <c r="AE8168" s="10"/>
      <c r="AF8168" s="10"/>
      <c r="AG8168" s="10"/>
      <c r="AH8168" s="10"/>
      <c r="AI8168" s="10"/>
      <c r="AJ8168" s="10"/>
      <c r="AK8168" s="10"/>
      <c r="AL8168" s="10"/>
      <c r="AM8168" s="10"/>
      <c r="AN8168" s="10"/>
      <c r="AO8168" s="10"/>
      <c r="AP8168" s="10"/>
      <c r="AQ8168" s="10"/>
      <c r="AR8168" s="10"/>
      <c r="AS8168" s="10"/>
      <c r="AT8168" s="10"/>
      <c r="AU8168" s="10"/>
      <c r="AV8168" s="10"/>
      <c r="AW8168" s="10"/>
      <c r="AX8168" s="10"/>
      <c r="AY8168" s="10"/>
      <c r="AZ8168" s="10"/>
    </row>
    <row r="8169" spans="31:52">
      <c r="AE8169" s="10"/>
      <c r="AF8169" s="10"/>
      <c r="AG8169" s="10"/>
      <c r="AH8169" s="10"/>
      <c r="AI8169" s="10"/>
      <c r="AJ8169" s="10"/>
      <c r="AK8169" s="10"/>
      <c r="AL8169" s="10"/>
      <c r="AM8169" s="10"/>
      <c r="AN8169" s="10"/>
      <c r="AO8169" s="10"/>
      <c r="AP8169" s="10"/>
      <c r="AQ8169" s="10"/>
      <c r="AR8169" s="10"/>
      <c r="AS8169" s="10"/>
      <c r="AT8169" s="10"/>
      <c r="AU8169" s="10"/>
      <c r="AV8169" s="10"/>
      <c r="AW8169" s="10"/>
      <c r="AX8169" s="10"/>
      <c r="AY8169" s="10"/>
      <c r="AZ8169" s="10"/>
    </row>
    <row r="8170" spans="31:52">
      <c r="AE8170" s="10"/>
      <c r="AF8170" s="10"/>
      <c r="AG8170" s="10"/>
      <c r="AH8170" s="10"/>
      <c r="AI8170" s="10"/>
      <c r="AJ8170" s="10"/>
      <c r="AK8170" s="10"/>
      <c r="AL8170" s="10"/>
      <c r="AM8170" s="10"/>
      <c r="AN8170" s="10"/>
      <c r="AO8170" s="10"/>
      <c r="AP8170" s="10"/>
      <c r="AQ8170" s="10"/>
      <c r="AR8170" s="10"/>
      <c r="AS8170" s="10"/>
      <c r="AT8170" s="10"/>
      <c r="AU8170" s="10"/>
      <c r="AV8170" s="10"/>
      <c r="AW8170" s="10"/>
      <c r="AX8170" s="10"/>
      <c r="AY8170" s="10"/>
      <c r="AZ8170" s="10"/>
    </row>
    <row r="8171" spans="31:52">
      <c r="AE8171" s="10"/>
      <c r="AF8171" s="10"/>
      <c r="AG8171" s="10"/>
      <c r="AH8171" s="10"/>
      <c r="AI8171" s="10"/>
      <c r="AJ8171" s="10"/>
      <c r="AK8171" s="10"/>
      <c r="AL8171" s="10"/>
      <c r="AM8171" s="10"/>
      <c r="AN8171" s="10"/>
      <c r="AO8171" s="10"/>
      <c r="AP8171" s="10"/>
      <c r="AQ8171" s="10"/>
      <c r="AR8171" s="10"/>
      <c r="AS8171" s="10"/>
      <c r="AT8171" s="10"/>
      <c r="AU8171" s="10"/>
      <c r="AV8171" s="10"/>
      <c r="AW8171" s="10"/>
      <c r="AX8171" s="10"/>
      <c r="AY8171" s="10"/>
      <c r="AZ8171" s="10"/>
    </row>
    <row r="8172" spans="31:52">
      <c r="AE8172" s="10"/>
      <c r="AF8172" s="10"/>
      <c r="AG8172" s="10"/>
      <c r="AH8172" s="10"/>
      <c r="AI8172" s="10"/>
      <c r="AJ8172" s="10"/>
      <c r="AK8172" s="10"/>
      <c r="AL8172" s="10"/>
      <c r="AM8172" s="10"/>
      <c r="AN8172" s="10"/>
      <c r="AO8172" s="10"/>
      <c r="AP8172" s="10"/>
      <c r="AQ8172" s="10"/>
      <c r="AR8172" s="10"/>
      <c r="AS8172" s="10"/>
      <c r="AT8172" s="10"/>
      <c r="AU8172" s="10"/>
      <c r="AV8172" s="10"/>
      <c r="AW8172" s="10"/>
      <c r="AX8172" s="10"/>
      <c r="AY8172" s="10"/>
      <c r="AZ8172" s="10"/>
    </row>
    <row r="8173" spans="31:52">
      <c r="AE8173" s="10"/>
      <c r="AF8173" s="10"/>
      <c r="AG8173" s="10"/>
      <c r="AH8173" s="10"/>
      <c r="AI8173" s="10"/>
      <c r="AJ8173" s="10"/>
      <c r="AK8173" s="10"/>
      <c r="AL8173" s="10"/>
      <c r="AM8173" s="10"/>
      <c r="AN8173" s="10"/>
      <c r="AO8173" s="10"/>
      <c r="AP8173" s="10"/>
      <c r="AQ8173" s="10"/>
      <c r="AR8173" s="10"/>
      <c r="AS8173" s="10"/>
      <c r="AT8173" s="10"/>
      <c r="AU8173" s="10"/>
      <c r="AV8173" s="10"/>
      <c r="AW8173" s="10"/>
      <c r="AX8173" s="10"/>
      <c r="AY8173" s="10"/>
      <c r="AZ8173" s="10"/>
    </row>
    <row r="8174" spans="31:52">
      <c r="AE8174" s="10"/>
      <c r="AF8174" s="10"/>
      <c r="AG8174" s="10"/>
      <c r="AH8174" s="10"/>
      <c r="AI8174" s="10"/>
      <c r="AJ8174" s="10"/>
      <c r="AK8174" s="10"/>
      <c r="AL8174" s="10"/>
      <c r="AM8174" s="10"/>
      <c r="AN8174" s="10"/>
      <c r="AO8174" s="10"/>
      <c r="AP8174" s="10"/>
      <c r="AQ8174" s="10"/>
      <c r="AR8174" s="10"/>
      <c r="AS8174" s="10"/>
      <c r="AT8174" s="10"/>
      <c r="AU8174" s="10"/>
      <c r="AV8174" s="10"/>
      <c r="AW8174" s="10"/>
      <c r="AX8174" s="10"/>
      <c r="AY8174" s="10"/>
      <c r="AZ8174" s="10"/>
    </row>
    <row r="8175" spans="31:52">
      <c r="AE8175" s="10"/>
      <c r="AF8175" s="10"/>
      <c r="AG8175" s="10"/>
      <c r="AH8175" s="10"/>
      <c r="AI8175" s="10"/>
      <c r="AJ8175" s="10"/>
      <c r="AK8175" s="10"/>
      <c r="AL8175" s="10"/>
      <c r="AM8175" s="10"/>
      <c r="AN8175" s="10"/>
      <c r="AO8175" s="10"/>
      <c r="AP8175" s="10"/>
      <c r="AQ8175" s="10"/>
      <c r="AR8175" s="10"/>
      <c r="AS8175" s="10"/>
      <c r="AT8175" s="10"/>
      <c r="AU8175" s="10"/>
      <c r="AV8175" s="10"/>
      <c r="AW8175" s="10"/>
      <c r="AX8175" s="10"/>
      <c r="AY8175" s="10"/>
      <c r="AZ8175" s="10"/>
    </row>
    <row r="8176" spans="31:52">
      <c r="AE8176" s="10"/>
      <c r="AF8176" s="10"/>
      <c r="AG8176" s="10"/>
      <c r="AH8176" s="10"/>
      <c r="AI8176" s="10"/>
      <c r="AJ8176" s="10"/>
      <c r="AK8176" s="10"/>
      <c r="AL8176" s="10"/>
      <c r="AM8176" s="10"/>
      <c r="AN8176" s="10"/>
      <c r="AO8176" s="10"/>
      <c r="AP8176" s="10"/>
      <c r="AQ8176" s="10"/>
      <c r="AR8176" s="10"/>
      <c r="AS8176" s="10"/>
      <c r="AT8176" s="10"/>
      <c r="AU8176" s="10"/>
      <c r="AV8176" s="10"/>
      <c r="AW8176" s="10"/>
      <c r="AX8176" s="10"/>
      <c r="AY8176" s="10"/>
      <c r="AZ8176" s="10"/>
    </row>
    <row r="8177" spans="31:52">
      <c r="AE8177" s="10"/>
      <c r="AF8177" s="10"/>
      <c r="AG8177" s="10"/>
      <c r="AH8177" s="10"/>
      <c r="AI8177" s="10"/>
      <c r="AJ8177" s="10"/>
      <c r="AK8177" s="10"/>
      <c r="AL8177" s="10"/>
      <c r="AM8177" s="10"/>
      <c r="AN8177" s="10"/>
      <c r="AO8177" s="10"/>
      <c r="AP8177" s="10"/>
      <c r="AQ8177" s="10"/>
      <c r="AR8177" s="10"/>
      <c r="AS8177" s="10"/>
      <c r="AT8177" s="10"/>
      <c r="AU8177" s="10"/>
      <c r="AV8177" s="10"/>
      <c r="AW8177" s="10"/>
      <c r="AX8177" s="10"/>
      <c r="AY8177" s="10"/>
      <c r="AZ8177" s="10"/>
    </row>
    <row r="8178" spans="31:52">
      <c r="AE8178" s="10"/>
      <c r="AF8178" s="10"/>
      <c r="AG8178" s="10"/>
      <c r="AH8178" s="10"/>
      <c r="AI8178" s="10"/>
      <c r="AJ8178" s="10"/>
      <c r="AK8178" s="10"/>
      <c r="AL8178" s="10"/>
      <c r="AM8178" s="10"/>
      <c r="AN8178" s="10"/>
      <c r="AO8178" s="10"/>
      <c r="AP8178" s="10"/>
      <c r="AQ8178" s="10"/>
      <c r="AR8178" s="10"/>
      <c r="AS8178" s="10"/>
      <c r="AT8178" s="10"/>
      <c r="AU8178" s="10"/>
      <c r="AV8178" s="10"/>
      <c r="AW8178" s="10"/>
      <c r="AX8178" s="10"/>
      <c r="AY8178" s="10"/>
      <c r="AZ8178" s="10"/>
    </row>
    <row r="8179" spans="31:52">
      <c r="AE8179" s="10"/>
      <c r="AF8179" s="10"/>
      <c r="AG8179" s="10"/>
      <c r="AH8179" s="10"/>
      <c r="AI8179" s="10"/>
      <c r="AJ8179" s="10"/>
      <c r="AK8179" s="10"/>
      <c r="AL8179" s="10"/>
      <c r="AM8179" s="10"/>
      <c r="AN8179" s="10"/>
      <c r="AO8179" s="10"/>
      <c r="AP8179" s="10"/>
      <c r="AQ8179" s="10"/>
      <c r="AR8179" s="10"/>
      <c r="AS8179" s="10"/>
      <c r="AT8179" s="10"/>
      <c r="AU8179" s="10"/>
      <c r="AV8179" s="10"/>
      <c r="AW8179" s="10"/>
      <c r="AX8179" s="10"/>
      <c r="AY8179" s="10"/>
      <c r="AZ8179" s="10"/>
    </row>
    <row r="8180" spans="31:52">
      <c r="AE8180" s="10"/>
      <c r="AF8180" s="10"/>
      <c r="AG8180" s="10"/>
      <c r="AH8180" s="10"/>
      <c r="AI8180" s="10"/>
      <c r="AJ8180" s="10"/>
      <c r="AK8180" s="10"/>
      <c r="AL8180" s="10"/>
      <c r="AM8180" s="10"/>
      <c r="AN8180" s="10"/>
      <c r="AO8180" s="10"/>
      <c r="AP8180" s="10"/>
      <c r="AQ8180" s="10"/>
      <c r="AR8180" s="10"/>
      <c r="AS8180" s="10"/>
      <c r="AT8180" s="10"/>
      <c r="AU8180" s="10"/>
      <c r="AV8180" s="10"/>
      <c r="AW8180" s="10"/>
      <c r="AX8180" s="10"/>
      <c r="AY8180" s="10"/>
      <c r="AZ8180" s="10"/>
    </row>
    <row r="8181" spans="31:52">
      <c r="AE8181" s="10"/>
      <c r="AF8181" s="10"/>
      <c r="AG8181" s="10"/>
      <c r="AH8181" s="10"/>
      <c r="AI8181" s="10"/>
      <c r="AJ8181" s="10"/>
      <c r="AK8181" s="10"/>
      <c r="AL8181" s="10"/>
      <c r="AM8181" s="10"/>
      <c r="AN8181" s="10"/>
      <c r="AO8181" s="10"/>
      <c r="AP8181" s="10"/>
      <c r="AQ8181" s="10"/>
      <c r="AR8181" s="10"/>
      <c r="AS8181" s="10"/>
      <c r="AT8181" s="10"/>
      <c r="AU8181" s="10"/>
      <c r="AV8181" s="10"/>
      <c r="AW8181" s="10"/>
      <c r="AX8181" s="10"/>
      <c r="AY8181" s="10"/>
      <c r="AZ8181" s="10"/>
    </row>
    <row r="8182" spans="31:52">
      <c r="AE8182" s="10"/>
      <c r="AF8182" s="10"/>
      <c r="AG8182" s="10"/>
      <c r="AH8182" s="10"/>
      <c r="AI8182" s="10"/>
      <c r="AJ8182" s="10"/>
      <c r="AK8182" s="10"/>
      <c r="AL8182" s="10"/>
      <c r="AM8182" s="10"/>
      <c r="AN8182" s="10"/>
      <c r="AO8182" s="10"/>
      <c r="AP8182" s="10"/>
      <c r="AQ8182" s="10"/>
      <c r="AR8182" s="10"/>
      <c r="AS8182" s="10"/>
      <c r="AT8182" s="10"/>
      <c r="AU8182" s="10"/>
      <c r="AV8182" s="10"/>
      <c r="AW8182" s="10"/>
      <c r="AX8182" s="10"/>
      <c r="AY8182" s="10"/>
      <c r="AZ8182" s="10"/>
    </row>
    <row r="8183" spans="31:52">
      <c r="AE8183" s="10"/>
      <c r="AF8183" s="10"/>
      <c r="AG8183" s="10"/>
      <c r="AH8183" s="10"/>
      <c r="AI8183" s="10"/>
      <c r="AJ8183" s="10"/>
      <c r="AK8183" s="10"/>
      <c r="AL8183" s="10"/>
      <c r="AM8183" s="10"/>
      <c r="AN8183" s="10"/>
      <c r="AO8183" s="10"/>
      <c r="AP8183" s="10"/>
      <c r="AQ8183" s="10"/>
      <c r="AR8183" s="10"/>
      <c r="AS8183" s="10"/>
      <c r="AT8183" s="10"/>
      <c r="AU8183" s="10"/>
      <c r="AV8183" s="10"/>
      <c r="AW8183" s="10"/>
      <c r="AX8183" s="10"/>
      <c r="AY8183" s="10"/>
      <c r="AZ8183" s="10"/>
    </row>
    <row r="8184" spans="31:52">
      <c r="AE8184" s="10"/>
      <c r="AF8184" s="10"/>
      <c r="AG8184" s="10"/>
      <c r="AH8184" s="10"/>
      <c r="AI8184" s="10"/>
      <c r="AJ8184" s="10"/>
      <c r="AK8184" s="10"/>
      <c r="AL8184" s="10"/>
      <c r="AM8184" s="10"/>
      <c r="AN8184" s="10"/>
      <c r="AO8184" s="10"/>
      <c r="AP8184" s="10"/>
      <c r="AQ8184" s="10"/>
      <c r="AR8184" s="10"/>
      <c r="AS8184" s="10"/>
      <c r="AT8184" s="10"/>
      <c r="AU8184" s="10"/>
      <c r="AV8184" s="10"/>
      <c r="AW8184" s="10"/>
      <c r="AX8184" s="10"/>
      <c r="AY8184" s="10"/>
      <c r="AZ8184" s="10"/>
    </row>
    <row r="8185" spans="31:52">
      <c r="AE8185" s="10"/>
      <c r="AF8185" s="10"/>
      <c r="AG8185" s="10"/>
      <c r="AH8185" s="10"/>
      <c r="AI8185" s="10"/>
      <c r="AJ8185" s="10"/>
      <c r="AK8185" s="10"/>
      <c r="AL8185" s="10"/>
      <c r="AM8185" s="10"/>
      <c r="AN8185" s="10"/>
      <c r="AO8185" s="10"/>
      <c r="AP8185" s="10"/>
      <c r="AQ8185" s="10"/>
      <c r="AR8185" s="10"/>
      <c r="AS8185" s="10"/>
      <c r="AT8185" s="10"/>
      <c r="AU8185" s="10"/>
      <c r="AV8185" s="10"/>
      <c r="AW8185" s="10"/>
      <c r="AX8185" s="10"/>
      <c r="AY8185" s="10"/>
      <c r="AZ8185" s="10"/>
    </row>
    <row r="8186" spans="31:52">
      <c r="AE8186" s="10"/>
      <c r="AF8186" s="10"/>
      <c r="AG8186" s="10"/>
      <c r="AH8186" s="10"/>
      <c r="AI8186" s="10"/>
      <c r="AJ8186" s="10"/>
      <c r="AK8186" s="10"/>
      <c r="AL8186" s="10"/>
      <c r="AM8186" s="10"/>
      <c r="AN8186" s="10"/>
      <c r="AO8186" s="10"/>
      <c r="AP8186" s="10"/>
      <c r="AQ8186" s="10"/>
      <c r="AR8186" s="10"/>
      <c r="AS8186" s="10"/>
      <c r="AT8186" s="10"/>
      <c r="AU8186" s="10"/>
      <c r="AV8186" s="10"/>
      <c r="AW8186" s="10"/>
      <c r="AX8186" s="10"/>
      <c r="AY8186" s="10"/>
      <c r="AZ8186" s="10"/>
    </row>
    <row r="8187" spans="31:52">
      <c r="AE8187" s="10"/>
      <c r="AF8187" s="10"/>
      <c r="AG8187" s="10"/>
      <c r="AH8187" s="10"/>
      <c r="AI8187" s="10"/>
      <c r="AJ8187" s="10"/>
      <c r="AK8187" s="10"/>
      <c r="AL8187" s="10"/>
      <c r="AM8187" s="10"/>
      <c r="AN8187" s="10"/>
      <c r="AO8187" s="10"/>
      <c r="AP8187" s="10"/>
      <c r="AQ8187" s="10"/>
      <c r="AR8187" s="10"/>
      <c r="AS8187" s="10"/>
      <c r="AT8187" s="10"/>
      <c r="AU8187" s="10"/>
      <c r="AV8187" s="10"/>
      <c r="AW8187" s="10"/>
      <c r="AX8187" s="10"/>
      <c r="AY8187" s="10"/>
      <c r="AZ8187" s="10"/>
    </row>
    <row r="8188" spans="31:52">
      <c r="AE8188" s="10"/>
      <c r="AF8188" s="10"/>
      <c r="AG8188" s="10"/>
      <c r="AH8188" s="10"/>
      <c r="AI8188" s="10"/>
      <c r="AJ8188" s="10"/>
      <c r="AK8188" s="10"/>
      <c r="AL8188" s="10"/>
      <c r="AM8188" s="10"/>
      <c r="AN8188" s="10"/>
      <c r="AO8188" s="10"/>
      <c r="AP8188" s="10"/>
      <c r="AQ8188" s="10"/>
      <c r="AR8188" s="10"/>
      <c r="AS8188" s="10"/>
      <c r="AT8188" s="10"/>
      <c r="AU8188" s="10"/>
      <c r="AV8188" s="10"/>
      <c r="AW8188" s="10"/>
      <c r="AX8188" s="10"/>
      <c r="AY8188" s="10"/>
      <c r="AZ8188" s="10"/>
    </row>
    <row r="8189" spans="31:52">
      <c r="AE8189" s="10"/>
      <c r="AF8189" s="10"/>
      <c r="AG8189" s="10"/>
      <c r="AH8189" s="10"/>
      <c r="AI8189" s="10"/>
      <c r="AJ8189" s="10"/>
      <c r="AK8189" s="10"/>
      <c r="AL8189" s="10"/>
      <c r="AM8189" s="10"/>
      <c r="AN8189" s="10"/>
      <c r="AO8189" s="10"/>
      <c r="AP8189" s="10"/>
      <c r="AQ8189" s="10"/>
      <c r="AR8189" s="10"/>
      <c r="AS8189" s="10"/>
      <c r="AT8189" s="10"/>
      <c r="AU8189" s="10"/>
      <c r="AV8189" s="10"/>
      <c r="AW8189" s="10"/>
      <c r="AX8189" s="10"/>
      <c r="AY8189" s="10"/>
      <c r="AZ8189" s="10"/>
    </row>
    <row r="8190" spans="31:52">
      <c r="AE8190" s="10"/>
      <c r="AF8190" s="10"/>
      <c r="AG8190" s="10"/>
      <c r="AH8190" s="10"/>
      <c r="AI8190" s="10"/>
      <c r="AJ8190" s="10"/>
      <c r="AK8190" s="10"/>
      <c r="AL8190" s="10"/>
      <c r="AM8190" s="10"/>
      <c r="AN8190" s="10"/>
      <c r="AO8190" s="10"/>
      <c r="AP8190" s="10"/>
      <c r="AQ8190" s="10"/>
      <c r="AR8190" s="10"/>
      <c r="AS8190" s="10"/>
      <c r="AT8190" s="10"/>
      <c r="AU8190" s="10"/>
      <c r="AV8190" s="10"/>
      <c r="AW8190" s="10"/>
      <c r="AX8190" s="10"/>
      <c r="AY8190" s="10"/>
      <c r="AZ8190" s="10"/>
    </row>
    <row r="8191" spans="31:52">
      <c r="AE8191" s="10"/>
      <c r="AF8191" s="10"/>
      <c r="AG8191" s="10"/>
      <c r="AH8191" s="10"/>
      <c r="AI8191" s="10"/>
      <c r="AJ8191" s="10"/>
      <c r="AK8191" s="10"/>
      <c r="AL8191" s="10"/>
      <c r="AM8191" s="10"/>
      <c r="AN8191" s="10"/>
      <c r="AO8191" s="10"/>
      <c r="AP8191" s="10"/>
      <c r="AQ8191" s="10"/>
      <c r="AR8191" s="10"/>
      <c r="AS8191" s="10"/>
      <c r="AT8191" s="10"/>
      <c r="AU8191" s="10"/>
      <c r="AV8191" s="10"/>
      <c r="AW8191" s="10"/>
      <c r="AX8191" s="10"/>
      <c r="AY8191" s="10"/>
      <c r="AZ8191" s="10"/>
    </row>
    <row r="8192" spans="31:52">
      <c r="AE8192" s="10"/>
      <c r="AF8192" s="10"/>
      <c r="AG8192" s="10"/>
      <c r="AH8192" s="10"/>
      <c r="AI8192" s="10"/>
      <c r="AJ8192" s="10"/>
      <c r="AK8192" s="10"/>
      <c r="AL8192" s="10"/>
      <c r="AM8192" s="10"/>
      <c r="AN8192" s="10"/>
      <c r="AO8192" s="10"/>
      <c r="AP8192" s="10"/>
      <c r="AQ8192" s="10"/>
      <c r="AR8192" s="10"/>
      <c r="AS8192" s="10"/>
      <c r="AT8192" s="10"/>
      <c r="AU8192" s="10"/>
      <c r="AV8192" s="10"/>
      <c r="AW8192" s="10"/>
      <c r="AX8192" s="10"/>
      <c r="AY8192" s="10"/>
      <c r="AZ8192" s="10"/>
    </row>
    <row r="8193" spans="31:52">
      <c r="AE8193" s="10"/>
      <c r="AF8193" s="10"/>
      <c r="AG8193" s="10"/>
      <c r="AH8193" s="10"/>
      <c r="AI8193" s="10"/>
      <c r="AJ8193" s="10"/>
      <c r="AK8193" s="10"/>
      <c r="AL8193" s="10"/>
      <c r="AM8193" s="10"/>
      <c r="AN8193" s="10"/>
      <c r="AO8193" s="10"/>
      <c r="AP8193" s="10"/>
      <c r="AQ8193" s="10"/>
      <c r="AR8193" s="10"/>
      <c r="AS8193" s="10"/>
      <c r="AT8193" s="10"/>
      <c r="AU8193" s="10"/>
      <c r="AV8193" s="10"/>
      <c r="AW8193" s="10"/>
      <c r="AX8193" s="10"/>
      <c r="AY8193" s="10"/>
      <c r="AZ8193" s="10"/>
    </row>
    <row r="8194" spans="31:52">
      <c r="AE8194" s="10"/>
      <c r="AF8194" s="10"/>
      <c r="AG8194" s="10"/>
      <c r="AH8194" s="10"/>
      <c r="AI8194" s="10"/>
      <c r="AJ8194" s="10"/>
      <c r="AK8194" s="10"/>
      <c r="AL8194" s="10"/>
      <c r="AM8194" s="10"/>
      <c r="AN8194" s="10"/>
      <c r="AO8194" s="10"/>
      <c r="AP8194" s="10"/>
      <c r="AQ8194" s="10"/>
      <c r="AR8194" s="10"/>
      <c r="AS8194" s="10"/>
      <c r="AT8194" s="10"/>
      <c r="AU8194" s="10"/>
      <c r="AV8194" s="10"/>
      <c r="AW8194" s="10"/>
      <c r="AX8194" s="10"/>
      <c r="AY8194" s="10"/>
      <c r="AZ8194" s="10"/>
    </row>
    <row r="8195" spans="31:52">
      <c r="AE8195" s="10"/>
      <c r="AF8195" s="10"/>
      <c r="AG8195" s="10"/>
      <c r="AH8195" s="10"/>
      <c r="AI8195" s="10"/>
      <c r="AJ8195" s="10"/>
      <c r="AK8195" s="10"/>
      <c r="AL8195" s="10"/>
      <c r="AM8195" s="10"/>
      <c r="AN8195" s="10"/>
      <c r="AO8195" s="10"/>
      <c r="AP8195" s="10"/>
      <c r="AQ8195" s="10"/>
      <c r="AR8195" s="10"/>
      <c r="AS8195" s="10"/>
      <c r="AT8195" s="10"/>
      <c r="AU8195" s="10"/>
      <c r="AV8195" s="10"/>
      <c r="AW8195" s="10"/>
      <c r="AX8195" s="10"/>
      <c r="AY8195" s="10"/>
      <c r="AZ8195" s="10"/>
    </row>
    <row r="8196" spans="31:52">
      <c r="AE8196" s="10"/>
      <c r="AF8196" s="10"/>
      <c r="AG8196" s="10"/>
      <c r="AH8196" s="10"/>
      <c r="AI8196" s="10"/>
      <c r="AJ8196" s="10"/>
      <c r="AK8196" s="10"/>
      <c r="AL8196" s="10"/>
      <c r="AM8196" s="10"/>
      <c r="AN8196" s="10"/>
      <c r="AO8196" s="10"/>
      <c r="AP8196" s="10"/>
      <c r="AQ8196" s="10"/>
      <c r="AR8196" s="10"/>
      <c r="AS8196" s="10"/>
      <c r="AT8196" s="10"/>
      <c r="AU8196" s="10"/>
      <c r="AV8196" s="10"/>
      <c r="AW8196" s="10"/>
      <c r="AX8196" s="10"/>
      <c r="AY8196" s="10"/>
      <c r="AZ8196" s="10"/>
    </row>
    <row r="8197" spans="31:52">
      <c r="AE8197" s="10"/>
      <c r="AF8197" s="10"/>
      <c r="AG8197" s="10"/>
      <c r="AH8197" s="10"/>
      <c r="AI8197" s="10"/>
      <c r="AJ8197" s="10"/>
      <c r="AK8197" s="10"/>
      <c r="AL8197" s="10"/>
      <c r="AM8197" s="10"/>
      <c r="AN8197" s="10"/>
      <c r="AO8197" s="10"/>
      <c r="AP8197" s="10"/>
      <c r="AQ8197" s="10"/>
      <c r="AR8197" s="10"/>
      <c r="AS8197" s="10"/>
      <c r="AT8197" s="10"/>
      <c r="AU8197" s="10"/>
      <c r="AV8197" s="10"/>
      <c r="AW8197" s="10"/>
      <c r="AX8197" s="10"/>
      <c r="AY8197" s="10"/>
      <c r="AZ8197" s="10"/>
    </row>
    <row r="8198" spans="31:52">
      <c r="AE8198" s="10"/>
      <c r="AF8198" s="10"/>
      <c r="AG8198" s="10"/>
      <c r="AH8198" s="10"/>
      <c r="AI8198" s="10"/>
      <c r="AJ8198" s="10"/>
      <c r="AK8198" s="10"/>
      <c r="AL8198" s="10"/>
      <c r="AM8198" s="10"/>
      <c r="AN8198" s="10"/>
      <c r="AO8198" s="10"/>
      <c r="AP8198" s="10"/>
      <c r="AQ8198" s="10"/>
      <c r="AR8198" s="10"/>
      <c r="AS8198" s="10"/>
      <c r="AT8198" s="10"/>
      <c r="AU8198" s="10"/>
      <c r="AV8198" s="10"/>
      <c r="AW8198" s="10"/>
      <c r="AX8198" s="10"/>
      <c r="AY8198" s="10"/>
      <c r="AZ8198" s="10"/>
    </row>
    <row r="8199" spans="31:52">
      <c r="AE8199" s="10"/>
      <c r="AF8199" s="10"/>
      <c r="AG8199" s="10"/>
      <c r="AH8199" s="10"/>
      <c r="AI8199" s="10"/>
      <c r="AJ8199" s="10"/>
      <c r="AK8199" s="10"/>
      <c r="AL8199" s="10"/>
      <c r="AM8199" s="10"/>
      <c r="AN8199" s="10"/>
      <c r="AO8199" s="10"/>
      <c r="AP8199" s="10"/>
      <c r="AQ8199" s="10"/>
      <c r="AR8199" s="10"/>
      <c r="AS8199" s="10"/>
      <c r="AT8199" s="10"/>
      <c r="AU8199" s="10"/>
      <c r="AV8199" s="10"/>
      <c r="AW8199" s="10"/>
      <c r="AX8199" s="10"/>
      <c r="AY8199" s="10"/>
      <c r="AZ8199" s="10"/>
    </row>
    <row r="8200" spans="31:52">
      <c r="AE8200" s="10"/>
      <c r="AF8200" s="10"/>
      <c r="AG8200" s="10"/>
      <c r="AH8200" s="10"/>
      <c r="AI8200" s="10"/>
      <c r="AJ8200" s="10"/>
      <c r="AK8200" s="10"/>
      <c r="AL8200" s="10"/>
      <c r="AM8200" s="10"/>
      <c r="AN8200" s="10"/>
      <c r="AO8200" s="10"/>
      <c r="AP8200" s="10"/>
      <c r="AQ8200" s="10"/>
      <c r="AR8200" s="10"/>
      <c r="AS8200" s="10"/>
      <c r="AT8200" s="10"/>
      <c r="AU8200" s="10"/>
      <c r="AV8200" s="10"/>
      <c r="AW8200" s="10"/>
      <c r="AX8200" s="10"/>
      <c r="AY8200" s="10"/>
      <c r="AZ8200" s="10"/>
    </row>
    <row r="8201" spans="31:52">
      <c r="AE8201" s="10"/>
      <c r="AF8201" s="10"/>
      <c r="AG8201" s="10"/>
      <c r="AH8201" s="10"/>
      <c r="AI8201" s="10"/>
      <c r="AJ8201" s="10"/>
      <c r="AK8201" s="10"/>
      <c r="AL8201" s="10"/>
      <c r="AM8201" s="10"/>
      <c r="AN8201" s="10"/>
      <c r="AO8201" s="10"/>
      <c r="AP8201" s="10"/>
      <c r="AQ8201" s="10"/>
      <c r="AR8201" s="10"/>
      <c r="AS8201" s="10"/>
      <c r="AT8201" s="10"/>
      <c r="AU8201" s="10"/>
      <c r="AV8201" s="10"/>
      <c r="AW8201" s="10"/>
      <c r="AX8201" s="10"/>
      <c r="AY8201" s="10"/>
      <c r="AZ8201" s="10"/>
    </row>
    <row r="8202" spans="31:52">
      <c r="AE8202" s="10"/>
      <c r="AF8202" s="10"/>
      <c r="AG8202" s="10"/>
      <c r="AH8202" s="10"/>
      <c r="AI8202" s="10"/>
      <c r="AJ8202" s="10"/>
      <c r="AK8202" s="10"/>
      <c r="AL8202" s="10"/>
      <c r="AM8202" s="10"/>
      <c r="AN8202" s="10"/>
      <c r="AO8202" s="10"/>
      <c r="AP8202" s="10"/>
      <c r="AQ8202" s="10"/>
      <c r="AR8202" s="10"/>
      <c r="AS8202" s="10"/>
      <c r="AT8202" s="10"/>
      <c r="AU8202" s="10"/>
      <c r="AV8202" s="10"/>
      <c r="AW8202" s="10"/>
      <c r="AX8202" s="10"/>
      <c r="AY8202" s="10"/>
      <c r="AZ8202" s="10"/>
    </row>
    <row r="8203" spans="31:52">
      <c r="AE8203" s="10"/>
      <c r="AF8203" s="10"/>
      <c r="AG8203" s="10"/>
      <c r="AH8203" s="10"/>
      <c r="AI8203" s="10"/>
      <c r="AJ8203" s="10"/>
      <c r="AK8203" s="10"/>
      <c r="AL8203" s="10"/>
      <c r="AM8203" s="10"/>
      <c r="AN8203" s="10"/>
      <c r="AO8203" s="10"/>
      <c r="AP8203" s="10"/>
      <c r="AQ8203" s="10"/>
      <c r="AR8203" s="10"/>
      <c r="AS8203" s="10"/>
      <c r="AT8203" s="10"/>
      <c r="AU8203" s="10"/>
      <c r="AV8203" s="10"/>
      <c r="AW8203" s="10"/>
      <c r="AX8203" s="10"/>
      <c r="AY8203" s="10"/>
      <c r="AZ8203" s="10"/>
    </row>
    <row r="8204" spans="31:52">
      <c r="AE8204" s="10"/>
      <c r="AF8204" s="10"/>
      <c r="AG8204" s="10"/>
      <c r="AH8204" s="10"/>
      <c r="AI8204" s="10"/>
      <c r="AJ8204" s="10"/>
      <c r="AK8204" s="10"/>
      <c r="AL8204" s="10"/>
      <c r="AM8204" s="10"/>
      <c r="AN8204" s="10"/>
      <c r="AO8204" s="10"/>
      <c r="AP8204" s="10"/>
      <c r="AQ8204" s="10"/>
      <c r="AR8204" s="10"/>
      <c r="AS8204" s="10"/>
      <c r="AT8204" s="10"/>
      <c r="AU8204" s="10"/>
      <c r="AV8204" s="10"/>
      <c r="AW8204" s="10"/>
      <c r="AX8204" s="10"/>
      <c r="AY8204" s="10"/>
      <c r="AZ8204" s="10"/>
    </row>
    <row r="8205" spans="31:52">
      <c r="AE8205" s="10"/>
      <c r="AF8205" s="10"/>
      <c r="AG8205" s="10"/>
      <c r="AH8205" s="10"/>
      <c r="AI8205" s="10"/>
      <c r="AJ8205" s="10"/>
      <c r="AK8205" s="10"/>
      <c r="AL8205" s="10"/>
      <c r="AM8205" s="10"/>
      <c r="AN8205" s="10"/>
      <c r="AO8205" s="10"/>
      <c r="AP8205" s="10"/>
      <c r="AQ8205" s="10"/>
      <c r="AR8205" s="10"/>
      <c r="AS8205" s="10"/>
      <c r="AT8205" s="10"/>
      <c r="AU8205" s="10"/>
      <c r="AV8205" s="10"/>
      <c r="AW8205" s="10"/>
      <c r="AX8205" s="10"/>
      <c r="AY8205" s="10"/>
      <c r="AZ8205" s="10"/>
    </row>
    <row r="8206" spans="31:52">
      <c r="AE8206" s="10"/>
      <c r="AF8206" s="10"/>
      <c r="AG8206" s="10"/>
      <c r="AH8206" s="10"/>
      <c r="AI8206" s="10"/>
      <c r="AJ8206" s="10"/>
      <c r="AK8206" s="10"/>
      <c r="AL8206" s="10"/>
      <c r="AM8206" s="10"/>
      <c r="AN8206" s="10"/>
      <c r="AO8206" s="10"/>
      <c r="AP8206" s="10"/>
      <c r="AQ8206" s="10"/>
      <c r="AR8206" s="10"/>
      <c r="AS8206" s="10"/>
      <c r="AT8206" s="10"/>
      <c r="AU8206" s="10"/>
      <c r="AV8206" s="10"/>
      <c r="AW8206" s="10"/>
      <c r="AX8206" s="10"/>
      <c r="AY8206" s="10"/>
      <c r="AZ8206" s="10"/>
    </row>
    <row r="8207" spans="31:52">
      <c r="AE8207" s="10"/>
      <c r="AF8207" s="10"/>
      <c r="AG8207" s="10"/>
      <c r="AH8207" s="10"/>
      <c r="AI8207" s="10"/>
      <c r="AJ8207" s="10"/>
      <c r="AK8207" s="10"/>
      <c r="AL8207" s="10"/>
      <c r="AM8207" s="10"/>
      <c r="AN8207" s="10"/>
      <c r="AO8207" s="10"/>
      <c r="AP8207" s="10"/>
      <c r="AQ8207" s="10"/>
      <c r="AR8207" s="10"/>
      <c r="AS8207" s="10"/>
      <c r="AT8207" s="10"/>
      <c r="AU8207" s="10"/>
      <c r="AV8207" s="10"/>
      <c r="AW8207" s="10"/>
      <c r="AX8207" s="10"/>
      <c r="AY8207" s="10"/>
      <c r="AZ8207" s="10"/>
    </row>
    <row r="8208" spans="31:52">
      <c r="AE8208" s="10"/>
      <c r="AF8208" s="10"/>
      <c r="AG8208" s="10"/>
      <c r="AH8208" s="10"/>
      <c r="AI8208" s="10"/>
      <c r="AJ8208" s="10"/>
      <c r="AK8208" s="10"/>
      <c r="AL8208" s="10"/>
      <c r="AM8208" s="10"/>
      <c r="AN8208" s="10"/>
      <c r="AO8208" s="10"/>
      <c r="AP8208" s="10"/>
      <c r="AQ8208" s="10"/>
      <c r="AR8208" s="10"/>
      <c r="AS8208" s="10"/>
      <c r="AT8208" s="10"/>
      <c r="AU8208" s="10"/>
      <c r="AV8208" s="10"/>
      <c r="AW8208" s="10"/>
      <c r="AX8208" s="10"/>
      <c r="AY8208" s="10"/>
      <c r="AZ8208" s="10"/>
    </row>
    <row r="8209" spans="31:52">
      <c r="AE8209" s="10"/>
      <c r="AF8209" s="10"/>
      <c r="AG8209" s="10"/>
      <c r="AH8209" s="10"/>
      <c r="AI8209" s="10"/>
      <c r="AJ8209" s="10"/>
      <c r="AK8209" s="10"/>
      <c r="AL8209" s="10"/>
      <c r="AM8209" s="10"/>
      <c r="AN8209" s="10"/>
      <c r="AO8209" s="10"/>
      <c r="AP8209" s="10"/>
      <c r="AQ8209" s="10"/>
      <c r="AR8209" s="10"/>
      <c r="AS8209" s="10"/>
      <c r="AT8209" s="10"/>
      <c r="AU8209" s="10"/>
      <c r="AV8209" s="10"/>
      <c r="AW8209" s="10"/>
      <c r="AX8209" s="10"/>
      <c r="AY8209" s="10"/>
      <c r="AZ8209" s="10"/>
    </row>
    <row r="8210" spans="31:52">
      <c r="AE8210" s="10"/>
      <c r="AF8210" s="10"/>
      <c r="AG8210" s="10"/>
      <c r="AH8210" s="10"/>
      <c r="AI8210" s="10"/>
      <c r="AJ8210" s="10"/>
      <c r="AK8210" s="10"/>
      <c r="AL8210" s="10"/>
      <c r="AM8210" s="10"/>
      <c r="AN8210" s="10"/>
      <c r="AO8210" s="10"/>
      <c r="AP8210" s="10"/>
      <c r="AQ8210" s="10"/>
      <c r="AR8210" s="10"/>
      <c r="AS8210" s="10"/>
      <c r="AT8210" s="10"/>
      <c r="AU8210" s="10"/>
      <c r="AV8210" s="10"/>
      <c r="AW8210" s="10"/>
      <c r="AX8210" s="10"/>
      <c r="AY8210" s="10"/>
      <c r="AZ8210" s="10"/>
    </row>
    <row r="8211" spans="31:52">
      <c r="AE8211" s="10"/>
      <c r="AF8211" s="10"/>
      <c r="AG8211" s="10"/>
      <c r="AH8211" s="10"/>
      <c r="AI8211" s="10"/>
      <c r="AJ8211" s="10"/>
      <c r="AK8211" s="10"/>
      <c r="AL8211" s="10"/>
      <c r="AM8211" s="10"/>
      <c r="AN8211" s="10"/>
      <c r="AO8211" s="10"/>
      <c r="AP8211" s="10"/>
      <c r="AQ8211" s="10"/>
      <c r="AR8211" s="10"/>
      <c r="AS8211" s="10"/>
      <c r="AT8211" s="10"/>
      <c r="AU8211" s="10"/>
      <c r="AV8211" s="10"/>
      <c r="AW8211" s="10"/>
      <c r="AX8211" s="10"/>
      <c r="AY8211" s="10"/>
      <c r="AZ8211" s="10"/>
    </row>
    <row r="8212" spans="31:52">
      <c r="AE8212" s="10"/>
      <c r="AF8212" s="10"/>
      <c r="AG8212" s="10"/>
      <c r="AH8212" s="10"/>
      <c r="AI8212" s="10"/>
      <c r="AJ8212" s="10"/>
      <c r="AK8212" s="10"/>
      <c r="AL8212" s="10"/>
      <c r="AM8212" s="10"/>
      <c r="AN8212" s="10"/>
      <c r="AO8212" s="10"/>
      <c r="AP8212" s="10"/>
      <c r="AQ8212" s="10"/>
      <c r="AR8212" s="10"/>
      <c r="AS8212" s="10"/>
      <c r="AT8212" s="10"/>
      <c r="AU8212" s="10"/>
      <c r="AV8212" s="10"/>
      <c r="AW8212" s="10"/>
      <c r="AX8212" s="10"/>
      <c r="AY8212" s="10"/>
      <c r="AZ8212" s="10"/>
    </row>
    <row r="8213" spans="31:52">
      <c r="AE8213" s="10"/>
      <c r="AF8213" s="10"/>
      <c r="AG8213" s="10"/>
      <c r="AH8213" s="10"/>
      <c r="AI8213" s="10"/>
      <c r="AJ8213" s="10"/>
      <c r="AK8213" s="10"/>
      <c r="AL8213" s="10"/>
      <c r="AM8213" s="10"/>
      <c r="AN8213" s="10"/>
      <c r="AO8213" s="10"/>
      <c r="AP8213" s="10"/>
      <c r="AQ8213" s="10"/>
      <c r="AR8213" s="10"/>
      <c r="AS8213" s="10"/>
      <c r="AT8213" s="10"/>
      <c r="AU8213" s="10"/>
      <c r="AV8213" s="10"/>
      <c r="AW8213" s="10"/>
      <c r="AX8213" s="10"/>
      <c r="AY8213" s="10"/>
      <c r="AZ8213" s="10"/>
    </row>
    <row r="8214" spans="31:52">
      <c r="AE8214" s="10"/>
      <c r="AF8214" s="10"/>
      <c r="AG8214" s="10"/>
      <c r="AH8214" s="10"/>
      <c r="AI8214" s="10"/>
      <c r="AJ8214" s="10"/>
      <c r="AK8214" s="10"/>
      <c r="AL8214" s="10"/>
      <c r="AM8214" s="10"/>
      <c r="AN8214" s="10"/>
      <c r="AO8214" s="10"/>
      <c r="AP8214" s="10"/>
      <c r="AQ8214" s="10"/>
      <c r="AR8214" s="10"/>
      <c r="AS8214" s="10"/>
      <c r="AT8214" s="10"/>
      <c r="AU8214" s="10"/>
      <c r="AV8214" s="10"/>
      <c r="AW8214" s="10"/>
      <c r="AX8214" s="10"/>
      <c r="AY8214" s="10"/>
      <c r="AZ8214" s="10"/>
    </row>
    <row r="8215" spans="31:52">
      <c r="AE8215" s="10"/>
      <c r="AF8215" s="10"/>
      <c r="AG8215" s="10"/>
      <c r="AH8215" s="10"/>
      <c r="AI8215" s="10"/>
      <c r="AJ8215" s="10"/>
      <c r="AK8215" s="10"/>
      <c r="AL8215" s="10"/>
      <c r="AM8215" s="10"/>
      <c r="AN8215" s="10"/>
      <c r="AO8215" s="10"/>
      <c r="AP8215" s="10"/>
      <c r="AQ8215" s="10"/>
      <c r="AR8215" s="10"/>
      <c r="AS8215" s="10"/>
      <c r="AT8215" s="10"/>
      <c r="AU8215" s="10"/>
      <c r="AV8215" s="10"/>
      <c r="AW8215" s="10"/>
      <c r="AX8215" s="10"/>
      <c r="AY8215" s="10"/>
      <c r="AZ8215" s="10"/>
    </row>
    <row r="8216" spans="31:52">
      <c r="AE8216" s="10"/>
      <c r="AF8216" s="10"/>
      <c r="AG8216" s="10"/>
      <c r="AH8216" s="10"/>
      <c r="AI8216" s="10"/>
      <c r="AJ8216" s="10"/>
      <c r="AK8216" s="10"/>
      <c r="AL8216" s="10"/>
      <c r="AM8216" s="10"/>
      <c r="AN8216" s="10"/>
      <c r="AO8216" s="10"/>
      <c r="AP8216" s="10"/>
      <c r="AQ8216" s="10"/>
      <c r="AR8216" s="10"/>
      <c r="AS8216" s="10"/>
      <c r="AT8216" s="10"/>
      <c r="AU8216" s="10"/>
      <c r="AV8216" s="10"/>
      <c r="AW8216" s="10"/>
      <c r="AX8216" s="10"/>
      <c r="AY8216" s="10"/>
      <c r="AZ8216" s="10"/>
    </row>
    <row r="8217" spans="31:52">
      <c r="AE8217" s="10"/>
      <c r="AF8217" s="10"/>
      <c r="AG8217" s="10"/>
      <c r="AH8217" s="10"/>
      <c r="AI8217" s="10"/>
      <c r="AJ8217" s="10"/>
      <c r="AK8217" s="10"/>
      <c r="AL8217" s="10"/>
      <c r="AM8217" s="10"/>
      <c r="AN8217" s="10"/>
      <c r="AO8217" s="10"/>
      <c r="AP8217" s="10"/>
      <c r="AQ8217" s="10"/>
      <c r="AR8217" s="10"/>
      <c r="AS8217" s="10"/>
      <c r="AT8217" s="10"/>
      <c r="AU8217" s="10"/>
      <c r="AV8217" s="10"/>
      <c r="AW8217" s="10"/>
      <c r="AX8217" s="10"/>
      <c r="AY8217" s="10"/>
      <c r="AZ8217" s="10"/>
    </row>
    <row r="8218" spans="31:52">
      <c r="AE8218" s="10"/>
      <c r="AF8218" s="10"/>
      <c r="AG8218" s="10"/>
      <c r="AH8218" s="10"/>
      <c r="AI8218" s="10"/>
      <c r="AJ8218" s="10"/>
      <c r="AK8218" s="10"/>
      <c r="AL8218" s="10"/>
      <c r="AM8218" s="10"/>
      <c r="AN8218" s="10"/>
      <c r="AO8218" s="10"/>
      <c r="AP8218" s="10"/>
      <c r="AQ8218" s="10"/>
      <c r="AR8218" s="10"/>
      <c r="AS8218" s="10"/>
      <c r="AT8218" s="10"/>
      <c r="AU8218" s="10"/>
      <c r="AV8218" s="10"/>
      <c r="AW8218" s="10"/>
      <c r="AX8218" s="10"/>
      <c r="AY8218" s="10"/>
      <c r="AZ8218" s="10"/>
    </row>
    <row r="8219" spans="31:52">
      <c r="AE8219" s="10"/>
      <c r="AF8219" s="10"/>
      <c r="AG8219" s="10"/>
      <c r="AH8219" s="10"/>
      <c r="AI8219" s="10"/>
      <c r="AJ8219" s="10"/>
      <c r="AK8219" s="10"/>
      <c r="AL8219" s="10"/>
      <c r="AM8219" s="10"/>
      <c r="AN8219" s="10"/>
      <c r="AO8219" s="10"/>
      <c r="AP8219" s="10"/>
      <c r="AQ8219" s="10"/>
      <c r="AR8219" s="10"/>
      <c r="AS8219" s="10"/>
      <c r="AT8219" s="10"/>
      <c r="AU8219" s="10"/>
      <c r="AV8219" s="10"/>
      <c r="AW8219" s="10"/>
      <c r="AX8219" s="10"/>
      <c r="AY8219" s="10"/>
      <c r="AZ8219" s="10"/>
    </row>
    <row r="8220" spans="31:52">
      <c r="AE8220" s="10"/>
      <c r="AF8220" s="10"/>
      <c r="AG8220" s="10"/>
      <c r="AH8220" s="10"/>
      <c r="AI8220" s="10"/>
      <c r="AJ8220" s="10"/>
      <c r="AK8220" s="10"/>
      <c r="AL8220" s="10"/>
      <c r="AM8220" s="10"/>
      <c r="AN8220" s="10"/>
      <c r="AO8220" s="10"/>
      <c r="AP8220" s="10"/>
      <c r="AQ8220" s="10"/>
      <c r="AR8220" s="10"/>
      <c r="AS8220" s="10"/>
      <c r="AT8220" s="10"/>
      <c r="AU8220" s="10"/>
      <c r="AV8220" s="10"/>
      <c r="AW8220" s="10"/>
      <c r="AX8220" s="10"/>
      <c r="AY8220" s="10"/>
      <c r="AZ8220" s="10"/>
    </row>
    <row r="8221" spans="31:52">
      <c r="AE8221" s="10"/>
      <c r="AF8221" s="10"/>
      <c r="AG8221" s="10"/>
      <c r="AH8221" s="10"/>
      <c r="AI8221" s="10"/>
      <c r="AJ8221" s="10"/>
      <c r="AK8221" s="10"/>
      <c r="AL8221" s="10"/>
      <c r="AM8221" s="10"/>
      <c r="AN8221" s="10"/>
      <c r="AO8221" s="10"/>
      <c r="AP8221" s="10"/>
      <c r="AQ8221" s="10"/>
      <c r="AR8221" s="10"/>
      <c r="AS8221" s="10"/>
      <c r="AT8221" s="10"/>
      <c r="AU8221" s="10"/>
      <c r="AV8221" s="10"/>
      <c r="AW8221" s="10"/>
      <c r="AX8221" s="10"/>
      <c r="AY8221" s="10"/>
      <c r="AZ8221" s="10"/>
    </row>
    <row r="8222" spans="31:52">
      <c r="AE8222" s="10"/>
      <c r="AF8222" s="10"/>
      <c r="AG8222" s="10"/>
      <c r="AH8222" s="10"/>
      <c r="AI8222" s="10"/>
      <c r="AJ8222" s="10"/>
      <c r="AK8222" s="10"/>
      <c r="AL8222" s="10"/>
      <c r="AM8222" s="10"/>
      <c r="AN8222" s="10"/>
      <c r="AO8222" s="10"/>
      <c r="AP8222" s="10"/>
      <c r="AQ8222" s="10"/>
      <c r="AR8222" s="10"/>
      <c r="AS8222" s="10"/>
      <c r="AT8222" s="10"/>
      <c r="AU8222" s="10"/>
      <c r="AV8222" s="10"/>
      <c r="AW8222" s="10"/>
      <c r="AX8222" s="10"/>
      <c r="AY8222" s="10"/>
      <c r="AZ8222" s="10"/>
    </row>
    <row r="8223" spans="31:52">
      <c r="AE8223" s="10"/>
      <c r="AF8223" s="10"/>
      <c r="AG8223" s="10"/>
      <c r="AH8223" s="10"/>
      <c r="AI8223" s="10"/>
      <c r="AJ8223" s="10"/>
      <c r="AK8223" s="10"/>
      <c r="AL8223" s="10"/>
      <c r="AM8223" s="10"/>
      <c r="AN8223" s="10"/>
      <c r="AO8223" s="10"/>
      <c r="AP8223" s="10"/>
      <c r="AQ8223" s="10"/>
      <c r="AR8223" s="10"/>
      <c r="AS8223" s="10"/>
      <c r="AT8223" s="10"/>
      <c r="AU8223" s="10"/>
      <c r="AV8223" s="10"/>
      <c r="AW8223" s="10"/>
      <c r="AX8223" s="10"/>
      <c r="AY8223" s="10"/>
      <c r="AZ8223" s="10"/>
    </row>
    <row r="8224" spans="31:52">
      <c r="AE8224" s="10"/>
      <c r="AF8224" s="10"/>
      <c r="AG8224" s="10"/>
      <c r="AH8224" s="10"/>
      <c r="AI8224" s="10"/>
      <c r="AJ8224" s="10"/>
      <c r="AK8224" s="10"/>
      <c r="AL8224" s="10"/>
      <c r="AM8224" s="10"/>
      <c r="AN8224" s="10"/>
      <c r="AO8224" s="10"/>
      <c r="AP8224" s="10"/>
      <c r="AQ8224" s="10"/>
      <c r="AR8224" s="10"/>
      <c r="AS8224" s="10"/>
      <c r="AT8224" s="10"/>
      <c r="AU8224" s="10"/>
      <c r="AV8224" s="10"/>
      <c r="AW8224" s="10"/>
      <c r="AX8224" s="10"/>
      <c r="AY8224" s="10"/>
      <c r="AZ8224" s="10"/>
    </row>
    <row r="8225" spans="31:52">
      <c r="AE8225" s="10"/>
      <c r="AF8225" s="10"/>
      <c r="AG8225" s="10"/>
      <c r="AH8225" s="10"/>
      <c r="AI8225" s="10"/>
      <c r="AJ8225" s="10"/>
      <c r="AK8225" s="10"/>
      <c r="AL8225" s="10"/>
      <c r="AM8225" s="10"/>
      <c r="AN8225" s="10"/>
      <c r="AO8225" s="10"/>
      <c r="AP8225" s="10"/>
      <c r="AQ8225" s="10"/>
      <c r="AR8225" s="10"/>
      <c r="AS8225" s="10"/>
      <c r="AT8225" s="10"/>
      <c r="AU8225" s="10"/>
      <c r="AV8225" s="10"/>
      <c r="AW8225" s="10"/>
      <c r="AX8225" s="10"/>
      <c r="AY8225" s="10"/>
      <c r="AZ8225" s="10"/>
    </row>
    <row r="8226" spans="31:52">
      <c r="AE8226" s="10"/>
      <c r="AF8226" s="10"/>
      <c r="AG8226" s="10"/>
      <c r="AH8226" s="10"/>
      <c r="AI8226" s="10"/>
      <c r="AJ8226" s="10"/>
      <c r="AK8226" s="10"/>
      <c r="AL8226" s="10"/>
      <c r="AM8226" s="10"/>
      <c r="AN8226" s="10"/>
      <c r="AO8226" s="10"/>
      <c r="AP8226" s="10"/>
      <c r="AQ8226" s="10"/>
      <c r="AR8226" s="10"/>
      <c r="AS8226" s="10"/>
      <c r="AT8226" s="10"/>
      <c r="AU8226" s="10"/>
      <c r="AV8226" s="10"/>
      <c r="AW8226" s="10"/>
      <c r="AX8226" s="10"/>
      <c r="AY8226" s="10"/>
      <c r="AZ8226" s="10"/>
    </row>
    <row r="8227" spans="31:52">
      <c r="AE8227" s="10"/>
      <c r="AF8227" s="10"/>
      <c r="AG8227" s="10"/>
      <c r="AH8227" s="10"/>
      <c r="AI8227" s="10"/>
      <c r="AJ8227" s="10"/>
      <c r="AK8227" s="10"/>
      <c r="AL8227" s="10"/>
      <c r="AM8227" s="10"/>
      <c r="AN8227" s="10"/>
      <c r="AO8227" s="10"/>
      <c r="AP8227" s="10"/>
      <c r="AQ8227" s="10"/>
      <c r="AR8227" s="10"/>
      <c r="AS8227" s="10"/>
      <c r="AT8227" s="10"/>
      <c r="AU8227" s="10"/>
      <c r="AV8227" s="10"/>
      <c r="AW8227" s="10"/>
      <c r="AX8227" s="10"/>
      <c r="AY8227" s="10"/>
      <c r="AZ8227" s="10"/>
    </row>
    <row r="8228" spans="31:52">
      <c r="AE8228" s="10"/>
      <c r="AF8228" s="10"/>
      <c r="AG8228" s="10"/>
      <c r="AH8228" s="10"/>
      <c r="AI8228" s="10"/>
      <c r="AJ8228" s="10"/>
      <c r="AK8228" s="10"/>
      <c r="AL8228" s="10"/>
      <c r="AM8228" s="10"/>
      <c r="AN8228" s="10"/>
      <c r="AO8228" s="10"/>
      <c r="AP8228" s="10"/>
      <c r="AQ8228" s="10"/>
      <c r="AR8228" s="10"/>
      <c r="AS8228" s="10"/>
      <c r="AT8228" s="10"/>
      <c r="AU8228" s="10"/>
      <c r="AV8228" s="10"/>
      <c r="AW8228" s="10"/>
      <c r="AX8228" s="10"/>
      <c r="AY8228" s="10"/>
      <c r="AZ8228" s="10"/>
    </row>
    <row r="8229" spans="31:52">
      <c r="AE8229" s="10"/>
      <c r="AF8229" s="10"/>
      <c r="AG8229" s="10"/>
      <c r="AH8229" s="10"/>
      <c r="AI8229" s="10"/>
      <c r="AJ8229" s="10"/>
      <c r="AK8229" s="10"/>
      <c r="AL8229" s="10"/>
      <c r="AM8229" s="10"/>
      <c r="AN8229" s="10"/>
      <c r="AO8229" s="10"/>
      <c r="AP8229" s="10"/>
      <c r="AQ8229" s="10"/>
      <c r="AR8229" s="10"/>
      <c r="AS8229" s="10"/>
      <c r="AT8229" s="10"/>
      <c r="AU8229" s="10"/>
      <c r="AV8229" s="10"/>
      <c r="AW8229" s="10"/>
      <c r="AX8229" s="10"/>
      <c r="AY8229" s="10"/>
      <c r="AZ8229" s="10"/>
    </row>
    <row r="8230" spans="31:52">
      <c r="AE8230" s="10"/>
      <c r="AF8230" s="10"/>
      <c r="AG8230" s="10"/>
      <c r="AH8230" s="10"/>
      <c r="AI8230" s="10"/>
      <c r="AJ8230" s="10"/>
      <c r="AK8230" s="10"/>
      <c r="AL8230" s="10"/>
      <c r="AM8230" s="10"/>
      <c r="AN8230" s="10"/>
      <c r="AO8230" s="10"/>
      <c r="AP8230" s="10"/>
      <c r="AQ8230" s="10"/>
      <c r="AR8230" s="10"/>
      <c r="AS8230" s="10"/>
      <c r="AT8230" s="10"/>
      <c r="AU8230" s="10"/>
      <c r="AV8230" s="10"/>
      <c r="AW8230" s="10"/>
      <c r="AX8230" s="10"/>
      <c r="AY8230" s="10"/>
      <c r="AZ8230" s="10"/>
    </row>
    <row r="8231" spans="31:52">
      <c r="AE8231" s="10"/>
      <c r="AF8231" s="10"/>
      <c r="AG8231" s="10"/>
      <c r="AH8231" s="10"/>
      <c r="AI8231" s="10"/>
      <c r="AJ8231" s="10"/>
      <c r="AK8231" s="10"/>
      <c r="AL8231" s="10"/>
      <c r="AM8231" s="10"/>
      <c r="AN8231" s="10"/>
      <c r="AO8231" s="10"/>
      <c r="AP8231" s="10"/>
      <c r="AQ8231" s="10"/>
      <c r="AR8231" s="10"/>
      <c r="AS8231" s="10"/>
      <c r="AT8231" s="10"/>
      <c r="AU8231" s="10"/>
      <c r="AV8231" s="10"/>
      <c r="AW8231" s="10"/>
      <c r="AX8231" s="10"/>
      <c r="AY8231" s="10"/>
      <c r="AZ8231" s="10"/>
    </row>
    <row r="8232" spans="31:52">
      <c r="AE8232" s="10"/>
      <c r="AF8232" s="10"/>
      <c r="AG8232" s="10"/>
      <c r="AH8232" s="10"/>
      <c r="AI8232" s="10"/>
      <c r="AJ8232" s="10"/>
      <c r="AK8232" s="10"/>
      <c r="AL8232" s="10"/>
      <c r="AM8232" s="10"/>
      <c r="AN8232" s="10"/>
      <c r="AO8232" s="10"/>
      <c r="AP8232" s="10"/>
      <c r="AQ8232" s="10"/>
      <c r="AR8232" s="10"/>
      <c r="AS8232" s="10"/>
      <c r="AT8232" s="10"/>
      <c r="AU8232" s="10"/>
      <c r="AV8232" s="10"/>
      <c r="AW8232" s="10"/>
      <c r="AX8232" s="10"/>
      <c r="AY8232" s="10"/>
      <c r="AZ8232" s="10"/>
    </row>
    <row r="8233" spans="31:52">
      <c r="AE8233" s="10"/>
      <c r="AF8233" s="10"/>
      <c r="AG8233" s="10"/>
      <c r="AH8233" s="10"/>
      <c r="AI8233" s="10"/>
      <c r="AJ8233" s="10"/>
      <c r="AK8233" s="10"/>
      <c r="AL8233" s="10"/>
      <c r="AM8233" s="10"/>
      <c r="AN8233" s="10"/>
      <c r="AO8233" s="10"/>
      <c r="AP8233" s="10"/>
      <c r="AQ8233" s="10"/>
      <c r="AR8233" s="10"/>
      <c r="AS8233" s="10"/>
      <c r="AT8233" s="10"/>
      <c r="AU8233" s="10"/>
      <c r="AV8233" s="10"/>
      <c r="AW8233" s="10"/>
      <c r="AX8233" s="10"/>
      <c r="AY8233" s="10"/>
      <c r="AZ8233" s="10"/>
    </row>
    <row r="8234" spans="31:52">
      <c r="AE8234" s="10"/>
      <c r="AF8234" s="10"/>
      <c r="AG8234" s="10"/>
      <c r="AH8234" s="10"/>
      <c r="AI8234" s="10"/>
      <c r="AJ8234" s="10"/>
      <c r="AK8234" s="10"/>
      <c r="AL8234" s="10"/>
      <c r="AM8234" s="10"/>
      <c r="AN8234" s="10"/>
      <c r="AO8234" s="10"/>
      <c r="AP8234" s="10"/>
      <c r="AQ8234" s="10"/>
      <c r="AR8234" s="10"/>
      <c r="AS8234" s="10"/>
      <c r="AT8234" s="10"/>
      <c r="AU8234" s="10"/>
      <c r="AV8234" s="10"/>
      <c r="AW8234" s="10"/>
      <c r="AX8234" s="10"/>
      <c r="AY8234" s="10"/>
      <c r="AZ8234" s="10"/>
    </row>
    <row r="8235" spans="31:52">
      <c r="AE8235" s="10"/>
      <c r="AF8235" s="10"/>
      <c r="AG8235" s="10"/>
      <c r="AH8235" s="10"/>
      <c r="AI8235" s="10"/>
      <c r="AJ8235" s="10"/>
      <c r="AK8235" s="10"/>
      <c r="AL8235" s="10"/>
      <c r="AM8235" s="10"/>
      <c r="AN8235" s="10"/>
      <c r="AO8235" s="10"/>
      <c r="AP8235" s="10"/>
      <c r="AQ8235" s="10"/>
      <c r="AR8235" s="10"/>
      <c r="AS8235" s="10"/>
      <c r="AT8235" s="10"/>
      <c r="AU8235" s="10"/>
      <c r="AV8235" s="10"/>
      <c r="AW8235" s="10"/>
      <c r="AX8235" s="10"/>
      <c r="AY8235" s="10"/>
      <c r="AZ8235" s="10"/>
    </row>
    <row r="8236" spans="31:52">
      <c r="AE8236" s="10"/>
      <c r="AF8236" s="10"/>
      <c r="AG8236" s="10"/>
      <c r="AH8236" s="10"/>
      <c r="AI8236" s="10"/>
      <c r="AJ8236" s="10"/>
      <c r="AK8236" s="10"/>
      <c r="AL8236" s="10"/>
      <c r="AM8236" s="10"/>
      <c r="AN8236" s="10"/>
      <c r="AO8236" s="10"/>
      <c r="AP8236" s="10"/>
      <c r="AQ8236" s="10"/>
      <c r="AR8236" s="10"/>
      <c r="AS8236" s="10"/>
      <c r="AT8236" s="10"/>
      <c r="AU8236" s="10"/>
      <c r="AV8236" s="10"/>
      <c r="AW8236" s="10"/>
      <c r="AX8236" s="10"/>
      <c r="AY8236" s="10"/>
      <c r="AZ8236" s="10"/>
    </row>
    <row r="8237" spans="31:52">
      <c r="AE8237" s="10"/>
      <c r="AF8237" s="10"/>
      <c r="AG8237" s="10"/>
      <c r="AH8237" s="10"/>
      <c r="AI8237" s="10"/>
      <c r="AJ8237" s="10"/>
      <c r="AK8237" s="10"/>
      <c r="AL8237" s="10"/>
      <c r="AM8237" s="10"/>
      <c r="AN8237" s="10"/>
      <c r="AO8237" s="10"/>
      <c r="AP8237" s="10"/>
      <c r="AQ8237" s="10"/>
      <c r="AR8237" s="10"/>
      <c r="AS8237" s="10"/>
      <c r="AT8237" s="10"/>
      <c r="AU8237" s="10"/>
      <c r="AV8237" s="10"/>
      <c r="AW8237" s="10"/>
      <c r="AX8237" s="10"/>
      <c r="AY8237" s="10"/>
      <c r="AZ8237" s="10"/>
    </row>
    <row r="8238" spans="31:52">
      <c r="AE8238" s="10"/>
      <c r="AF8238" s="10"/>
      <c r="AG8238" s="10"/>
      <c r="AH8238" s="10"/>
      <c r="AI8238" s="10"/>
      <c r="AJ8238" s="10"/>
      <c r="AK8238" s="10"/>
      <c r="AL8238" s="10"/>
      <c r="AM8238" s="10"/>
      <c r="AN8238" s="10"/>
      <c r="AO8238" s="10"/>
      <c r="AP8238" s="10"/>
      <c r="AQ8238" s="10"/>
      <c r="AR8238" s="10"/>
      <c r="AS8238" s="10"/>
      <c r="AT8238" s="10"/>
      <c r="AU8238" s="10"/>
      <c r="AV8238" s="10"/>
      <c r="AW8238" s="10"/>
      <c r="AX8238" s="10"/>
      <c r="AY8238" s="10"/>
      <c r="AZ8238" s="10"/>
    </row>
    <row r="8239" spans="31:52">
      <c r="AE8239" s="10"/>
      <c r="AF8239" s="10"/>
      <c r="AG8239" s="10"/>
      <c r="AH8239" s="10"/>
      <c r="AI8239" s="10"/>
      <c r="AJ8239" s="10"/>
      <c r="AK8239" s="10"/>
      <c r="AL8239" s="10"/>
      <c r="AM8239" s="10"/>
      <c r="AN8239" s="10"/>
      <c r="AO8239" s="10"/>
      <c r="AP8239" s="10"/>
      <c r="AQ8239" s="10"/>
      <c r="AR8239" s="10"/>
      <c r="AS8239" s="10"/>
      <c r="AT8239" s="10"/>
      <c r="AU8239" s="10"/>
      <c r="AV8239" s="10"/>
      <c r="AW8239" s="10"/>
      <c r="AX8239" s="10"/>
      <c r="AY8239" s="10"/>
      <c r="AZ8239" s="10"/>
    </row>
    <row r="8240" spans="31:52">
      <c r="AE8240" s="10"/>
      <c r="AF8240" s="10"/>
      <c r="AG8240" s="10"/>
      <c r="AH8240" s="10"/>
      <c r="AI8240" s="10"/>
      <c r="AJ8240" s="10"/>
      <c r="AK8240" s="10"/>
      <c r="AL8240" s="10"/>
      <c r="AM8240" s="10"/>
      <c r="AN8240" s="10"/>
      <c r="AO8240" s="10"/>
      <c r="AP8240" s="10"/>
      <c r="AQ8240" s="10"/>
      <c r="AR8240" s="10"/>
      <c r="AS8240" s="10"/>
      <c r="AT8240" s="10"/>
      <c r="AU8240" s="10"/>
      <c r="AV8240" s="10"/>
      <c r="AW8240" s="10"/>
      <c r="AX8240" s="10"/>
      <c r="AY8240" s="10"/>
      <c r="AZ8240" s="10"/>
    </row>
    <row r="8241" spans="31:52">
      <c r="AE8241" s="10"/>
      <c r="AF8241" s="10"/>
      <c r="AG8241" s="10"/>
      <c r="AH8241" s="10"/>
      <c r="AI8241" s="10"/>
      <c r="AJ8241" s="10"/>
      <c r="AK8241" s="10"/>
      <c r="AL8241" s="10"/>
      <c r="AM8241" s="10"/>
      <c r="AN8241" s="10"/>
      <c r="AO8241" s="10"/>
      <c r="AP8241" s="10"/>
      <c r="AQ8241" s="10"/>
      <c r="AR8241" s="10"/>
      <c r="AS8241" s="10"/>
      <c r="AT8241" s="10"/>
      <c r="AU8241" s="10"/>
      <c r="AV8241" s="10"/>
      <c r="AW8241" s="10"/>
      <c r="AX8241" s="10"/>
      <c r="AY8241" s="10"/>
      <c r="AZ8241" s="10"/>
    </row>
    <row r="8242" spans="31:52">
      <c r="AE8242" s="10"/>
      <c r="AF8242" s="10"/>
      <c r="AG8242" s="10"/>
      <c r="AH8242" s="10"/>
      <c r="AI8242" s="10"/>
      <c r="AJ8242" s="10"/>
      <c r="AK8242" s="10"/>
      <c r="AL8242" s="10"/>
      <c r="AM8242" s="10"/>
      <c r="AN8242" s="10"/>
      <c r="AO8242" s="10"/>
      <c r="AP8242" s="10"/>
      <c r="AQ8242" s="10"/>
      <c r="AR8242" s="10"/>
      <c r="AS8242" s="10"/>
      <c r="AT8242" s="10"/>
      <c r="AU8242" s="10"/>
      <c r="AV8242" s="10"/>
      <c r="AW8242" s="10"/>
      <c r="AX8242" s="10"/>
      <c r="AY8242" s="10"/>
      <c r="AZ8242" s="10"/>
    </row>
    <row r="8243" spans="31:52">
      <c r="AE8243" s="10"/>
      <c r="AF8243" s="10"/>
      <c r="AG8243" s="10"/>
      <c r="AH8243" s="10"/>
      <c r="AI8243" s="10"/>
      <c r="AJ8243" s="10"/>
      <c r="AK8243" s="10"/>
      <c r="AL8243" s="10"/>
      <c r="AM8243" s="10"/>
      <c r="AN8243" s="10"/>
      <c r="AO8243" s="10"/>
      <c r="AP8243" s="10"/>
      <c r="AQ8243" s="10"/>
      <c r="AR8243" s="10"/>
      <c r="AS8243" s="10"/>
      <c r="AT8243" s="10"/>
      <c r="AU8243" s="10"/>
      <c r="AV8243" s="10"/>
      <c r="AW8243" s="10"/>
      <c r="AX8243" s="10"/>
      <c r="AY8243" s="10"/>
      <c r="AZ8243" s="10"/>
    </row>
    <row r="8244" spans="31:52">
      <c r="AE8244" s="10"/>
      <c r="AF8244" s="10"/>
      <c r="AG8244" s="10"/>
      <c r="AH8244" s="10"/>
      <c r="AI8244" s="10"/>
      <c r="AJ8244" s="10"/>
      <c r="AK8244" s="10"/>
      <c r="AL8244" s="10"/>
      <c r="AM8244" s="10"/>
      <c r="AN8244" s="10"/>
      <c r="AO8244" s="10"/>
      <c r="AP8244" s="10"/>
      <c r="AQ8244" s="10"/>
      <c r="AR8244" s="10"/>
      <c r="AS8244" s="10"/>
      <c r="AT8244" s="10"/>
      <c r="AU8244" s="10"/>
      <c r="AV8244" s="10"/>
      <c r="AW8244" s="10"/>
      <c r="AX8244" s="10"/>
      <c r="AY8244" s="10"/>
      <c r="AZ8244" s="10"/>
    </row>
    <row r="8245" spans="31:52">
      <c r="AE8245" s="10"/>
      <c r="AF8245" s="10"/>
      <c r="AG8245" s="10"/>
      <c r="AH8245" s="10"/>
      <c r="AI8245" s="10"/>
      <c r="AJ8245" s="10"/>
      <c r="AK8245" s="10"/>
      <c r="AL8245" s="10"/>
      <c r="AM8245" s="10"/>
      <c r="AN8245" s="10"/>
      <c r="AO8245" s="10"/>
      <c r="AP8245" s="10"/>
      <c r="AQ8245" s="10"/>
      <c r="AR8245" s="10"/>
      <c r="AS8245" s="10"/>
      <c r="AT8245" s="10"/>
      <c r="AU8245" s="10"/>
      <c r="AV8245" s="10"/>
      <c r="AW8245" s="10"/>
      <c r="AX8245" s="10"/>
      <c r="AY8245" s="10"/>
      <c r="AZ8245" s="10"/>
    </row>
    <row r="8246" spans="31:52">
      <c r="AE8246" s="10"/>
      <c r="AF8246" s="10"/>
      <c r="AG8246" s="10"/>
      <c r="AH8246" s="10"/>
      <c r="AI8246" s="10"/>
      <c r="AJ8246" s="10"/>
      <c r="AK8246" s="10"/>
      <c r="AL8246" s="10"/>
      <c r="AM8246" s="10"/>
      <c r="AN8246" s="10"/>
      <c r="AO8246" s="10"/>
      <c r="AP8246" s="10"/>
      <c r="AQ8246" s="10"/>
      <c r="AR8246" s="10"/>
      <c r="AS8246" s="10"/>
      <c r="AT8246" s="10"/>
      <c r="AU8246" s="10"/>
      <c r="AV8246" s="10"/>
      <c r="AW8246" s="10"/>
      <c r="AX8246" s="10"/>
      <c r="AY8246" s="10"/>
      <c r="AZ8246" s="10"/>
    </row>
    <row r="8247" spans="31:52">
      <c r="AE8247" s="10"/>
      <c r="AF8247" s="10"/>
      <c r="AG8247" s="10"/>
      <c r="AH8247" s="10"/>
      <c r="AI8247" s="10"/>
      <c r="AJ8247" s="10"/>
      <c r="AK8247" s="10"/>
      <c r="AL8247" s="10"/>
      <c r="AM8247" s="10"/>
      <c r="AN8247" s="10"/>
      <c r="AO8247" s="10"/>
      <c r="AP8247" s="10"/>
      <c r="AQ8247" s="10"/>
      <c r="AR8247" s="10"/>
      <c r="AS8247" s="10"/>
      <c r="AT8247" s="10"/>
      <c r="AU8247" s="10"/>
      <c r="AV8247" s="10"/>
      <c r="AW8247" s="10"/>
      <c r="AX8247" s="10"/>
      <c r="AY8247" s="10"/>
      <c r="AZ8247" s="10"/>
    </row>
    <row r="8248" spans="31:52">
      <c r="AE8248" s="10"/>
      <c r="AF8248" s="10"/>
      <c r="AG8248" s="10"/>
      <c r="AH8248" s="10"/>
      <c r="AI8248" s="10"/>
      <c r="AJ8248" s="10"/>
      <c r="AK8248" s="10"/>
      <c r="AL8248" s="10"/>
      <c r="AM8248" s="10"/>
      <c r="AN8248" s="10"/>
      <c r="AO8248" s="10"/>
      <c r="AP8248" s="10"/>
      <c r="AQ8248" s="10"/>
      <c r="AR8248" s="10"/>
      <c r="AS8248" s="10"/>
      <c r="AT8248" s="10"/>
      <c r="AU8248" s="10"/>
      <c r="AV8248" s="10"/>
      <c r="AW8248" s="10"/>
      <c r="AX8248" s="10"/>
      <c r="AY8248" s="10"/>
      <c r="AZ8248" s="10"/>
    </row>
    <row r="8249" spans="31:52">
      <c r="AE8249" s="10"/>
      <c r="AF8249" s="10"/>
      <c r="AG8249" s="10"/>
      <c r="AH8249" s="10"/>
      <c r="AI8249" s="10"/>
      <c r="AJ8249" s="10"/>
      <c r="AK8249" s="10"/>
      <c r="AL8249" s="10"/>
      <c r="AM8249" s="10"/>
      <c r="AN8249" s="10"/>
      <c r="AO8249" s="10"/>
      <c r="AP8249" s="10"/>
      <c r="AQ8249" s="10"/>
      <c r="AR8249" s="10"/>
      <c r="AS8249" s="10"/>
      <c r="AT8249" s="10"/>
      <c r="AU8249" s="10"/>
      <c r="AV8249" s="10"/>
      <c r="AW8249" s="10"/>
      <c r="AX8249" s="10"/>
      <c r="AY8249" s="10"/>
      <c r="AZ8249" s="10"/>
    </row>
    <row r="8250" spans="31:52">
      <c r="AE8250" s="10"/>
      <c r="AF8250" s="10"/>
      <c r="AG8250" s="10"/>
      <c r="AH8250" s="10"/>
      <c r="AI8250" s="10"/>
      <c r="AJ8250" s="10"/>
      <c r="AK8250" s="10"/>
      <c r="AL8250" s="10"/>
      <c r="AM8250" s="10"/>
      <c r="AN8250" s="10"/>
      <c r="AO8250" s="10"/>
      <c r="AP8250" s="10"/>
      <c r="AQ8250" s="10"/>
      <c r="AR8250" s="10"/>
      <c r="AS8250" s="10"/>
      <c r="AT8250" s="10"/>
      <c r="AU8250" s="10"/>
      <c r="AV8250" s="10"/>
      <c r="AW8250" s="10"/>
      <c r="AX8250" s="10"/>
      <c r="AY8250" s="10"/>
      <c r="AZ8250" s="10"/>
    </row>
    <row r="8251" spans="31:52">
      <c r="AE8251" s="10"/>
      <c r="AF8251" s="10"/>
      <c r="AG8251" s="10"/>
      <c r="AH8251" s="10"/>
      <c r="AI8251" s="10"/>
      <c r="AJ8251" s="10"/>
      <c r="AK8251" s="10"/>
      <c r="AL8251" s="10"/>
      <c r="AM8251" s="10"/>
      <c r="AN8251" s="10"/>
      <c r="AO8251" s="10"/>
      <c r="AP8251" s="10"/>
      <c r="AQ8251" s="10"/>
      <c r="AR8251" s="10"/>
      <c r="AS8251" s="10"/>
      <c r="AT8251" s="10"/>
      <c r="AU8251" s="10"/>
      <c r="AV8251" s="10"/>
      <c r="AW8251" s="10"/>
      <c r="AX8251" s="10"/>
      <c r="AY8251" s="10"/>
      <c r="AZ8251" s="10"/>
    </row>
    <row r="8252" spans="31:52">
      <c r="AE8252" s="10"/>
      <c r="AF8252" s="10"/>
      <c r="AG8252" s="10"/>
      <c r="AH8252" s="10"/>
      <c r="AI8252" s="10"/>
      <c r="AJ8252" s="10"/>
      <c r="AK8252" s="10"/>
      <c r="AL8252" s="10"/>
      <c r="AM8252" s="10"/>
      <c r="AN8252" s="10"/>
      <c r="AO8252" s="10"/>
      <c r="AP8252" s="10"/>
      <c r="AQ8252" s="10"/>
      <c r="AR8252" s="10"/>
      <c r="AS8252" s="10"/>
      <c r="AT8252" s="10"/>
      <c r="AU8252" s="10"/>
      <c r="AV8252" s="10"/>
      <c r="AW8252" s="10"/>
      <c r="AX8252" s="10"/>
      <c r="AY8252" s="10"/>
      <c r="AZ8252" s="10"/>
    </row>
    <row r="8253" spans="31:52">
      <c r="AE8253" s="10"/>
      <c r="AF8253" s="10"/>
      <c r="AG8253" s="10"/>
      <c r="AH8253" s="10"/>
      <c r="AI8253" s="10"/>
      <c r="AJ8253" s="10"/>
      <c r="AK8253" s="10"/>
      <c r="AL8253" s="10"/>
      <c r="AM8253" s="10"/>
      <c r="AN8253" s="10"/>
      <c r="AO8253" s="10"/>
      <c r="AP8253" s="10"/>
      <c r="AQ8253" s="10"/>
      <c r="AR8253" s="10"/>
      <c r="AS8253" s="10"/>
      <c r="AT8253" s="10"/>
      <c r="AU8253" s="10"/>
      <c r="AV8253" s="10"/>
      <c r="AW8253" s="10"/>
      <c r="AX8253" s="10"/>
      <c r="AY8253" s="10"/>
      <c r="AZ8253" s="10"/>
    </row>
    <row r="8254" spans="31:52">
      <c r="AE8254" s="10"/>
      <c r="AF8254" s="10"/>
      <c r="AG8254" s="10"/>
      <c r="AH8254" s="10"/>
      <c r="AI8254" s="10"/>
      <c r="AJ8254" s="10"/>
      <c r="AK8254" s="10"/>
      <c r="AL8254" s="10"/>
      <c r="AM8254" s="10"/>
      <c r="AN8254" s="10"/>
      <c r="AO8254" s="10"/>
      <c r="AP8254" s="10"/>
      <c r="AQ8254" s="10"/>
      <c r="AR8254" s="10"/>
      <c r="AS8254" s="10"/>
      <c r="AT8254" s="10"/>
      <c r="AU8254" s="10"/>
      <c r="AV8254" s="10"/>
      <c r="AW8254" s="10"/>
      <c r="AX8254" s="10"/>
      <c r="AY8254" s="10"/>
      <c r="AZ8254" s="10"/>
    </row>
    <row r="8255" spans="31:52">
      <c r="AE8255" s="10"/>
      <c r="AF8255" s="10"/>
      <c r="AG8255" s="10"/>
      <c r="AH8255" s="10"/>
      <c r="AI8255" s="10"/>
      <c r="AJ8255" s="10"/>
      <c r="AK8255" s="10"/>
      <c r="AL8255" s="10"/>
      <c r="AM8255" s="10"/>
      <c r="AN8255" s="10"/>
      <c r="AO8255" s="10"/>
      <c r="AP8255" s="10"/>
      <c r="AQ8255" s="10"/>
      <c r="AR8255" s="10"/>
      <c r="AS8255" s="10"/>
      <c r="AT8255" s="10"/>
      <c r="AU8255" s="10"/>
      <c r="AV8255" s="10"/>
      <c r="AW8255" s="10"/>
      <c r="AX8255" s="10"/>
      <c r="AY8255" s="10"/>
      <c r="AZ8255" s="10"/>
    </row>
    <row r="8256" spans="31:52">
      <c r="AE8256" s="10"/>
      <c r="AF8256" s="10"/>
      <c r="AG8256" s="10"/>
      <c r="AH8256" s="10"/>
      <c r="AI8256" s="10"/>
      <c r="AJ8256" s="10"/>
      <c r="AK8256" s="10"/>
      <c r="AL8256" s="10"/>
      <c r="AM8256" s="10"/>
      <c r="AN8256" s="10"/>
      <c r="AO8256" s="10"/>
      <c r="AP8256" s="10"/>
      <c r="AQ8256" s="10"/>
      <c r="AR8256" s="10"/>
      <c r="AS8256" s="10"/>
      <c r="AT8256" s="10"/>
      <c r="AU8256" s="10"/>
      <c r="AV8256" s="10"/>
      <c r="AW8256" s="10"/>
      <c r="AX8256" s="10"/>
      <c r="AY8256" s="10"/>
      <c r="AZ8256" s="10"/>
    </row>
    <row r="8257" spans="31:52">
      <c r="AE8257" s="10"/>
      <c r="AF8257" s="10"/>
      <c r="AG8257" s="10"/>
      <c r="AH8257" s="10"/>
      <c r="AI8257" s="10"/>
      <c r="AJ8257" s="10"/>
      <c r="AK8257" s="10"/>
      <c r="AL8257" s="10"/>
      <c r="AM8257" s="10"/>
      <c r="AN8257" s="10"/>
      <c r="AO8257" s="10"/>
      <c r="AP8257" s="10"/>
      <c r="AQ8257" s="10"/>
      <c r="AR8257" s="10"/>
      <c r="AS8257" s="10"/>
      <c r="AT8257" s="10"/>
      <c r="AU8257" s="10"/>
      <c r="AV8257" s="10"/>
      <c r="AW8257" s="10"/>
      <c r="AX8257" s="10"/>
      <c r="AY8257" s="10"/>
      <c r="AZ8257" s="10"/>
    </row>
    <row r="8258" spans="31:52">
      <c r="AE8258" s="10"/>
      <c r="AF8258" s="10"/>
      <c r="AG8258" s="10"/>
      <c r="AH8258" s="10"/>
      <c r="AI8258" s="10"/>
      <c r="AJ8258" s="10"/>
      <c r="AK8258" s="10"/>
      <c r="AL8258" s="10"/>
      <c r="AM8258" s="10"/>
      <c r="AN8258" s="10"/>
      <c r="AO8258" s="10"/>
      <c r="AP8258" s="10"/>
      <c r="AQ8258" s="10"/>
      <c r="AR8258" s="10"/>
      <c r="AS8258" s="10"/>
      <c r="AT8258" s="10"/>
      <c r="AU8258" s="10"/>
      <c r="AV8258" s="10"/>
      <c r="AW8258" s="10"/>
      <c r="AX8258" s="10"/>
      <c r="AY8258" s="10"/>
      <c r="AZ8258" s="10"/>
    </row>
    <row r="8259" spans="31:52">
      <c r="AE8259" s="10"/>
      <c r="AF8259" s="10"/>
      <c r="AG8259" s="10"/>
      <c r="AH8259" s="10"/>
      <c r="AI8259" s="10"/>
      <c r="AJ8259" s="10"/>
      <c r="AK8259" s="10"/>
      <c r="AL8259" s="10"/>
      <c r="AM8259" s="10"/>
      <c r="AN8259" s="10"/>
      <c r="AO8259" s="10"/>
      <c r="AP8259" s="10"/>
      <c r="AQ8259" s="10"/>
      <c r="AR8259" s="10"/>
      <c r="AS8259" s="10"/>
      <c r="AT8259" s="10"/>
      <c r="AU8259" s="10"/>
      <c r="AV8259" s="10"/>
      <c r="AW8259" s="10"/>
      <c r="AX8259" s="10"/>
      <c r="AY8259" s="10"/>
      <c r="AZ8259" s="10"/>
    </row>
    <row r="8260" spans="31:52">
      <c r="AE8260" s="10"/>
      <c r="AF8260" s="10"/>
      <c r="AG8260" s="10"/>
      <c r="AH8260" s="10"/>
      <c r="AI8260" s="10"/>
      <c r="AJ8260" s="10"/>
      <c r="AK8260" s="10"/>
      <c r="AL8260" s="10"/>
      <c r="AM8260" s="10"/>
      <c r="AN8260" s="10"/>
      <c r="AO8260" s="10"/>
      <c r="AP8260" s="10"/>
      <c r="AQ8260" s="10"/>
      <c r="AR8260" s="10"/>
      <c r="AS8260" s="10"/>
      <c r="AT8260" s="10"/>
      <c r="AU8260" s="10"/>
      <c r="AV8260" s="10"/>
      <c r="AW8260" s="10"/>
      <c r="AX8260" s="10"/>
      <c r="AY8260" s="10"/>
      <c r="AZ8260" s="10"/>
    </row>
    <row r="8261" spans="31:52">
      <c r="AE8261" s="10"/>
      <c r="AF8261" s="10"/>
      <c r="AG8261" s="10"/>
      <c r="AH8261" s="10"/>
      <c r="AI8261" s="10"/>
      <c r="AJ8261" s="10"/>
      <c r="AK8261" s="10"/>
      <c r="AL8261" s="10"/>
      <c r="AM8261" s="10"/>
      <c r="AN8261" s="10"/>
      <c r="AO8261" s="10"/>
      <c r="AP8261" s="10"/>
      <c r="AQ8261" s="10"/>
      <c r="AR8261" s="10"/>
      <c r="AS8261" s="10"/>
      <c r="AT8261" s="10"/>
      <c r="AU8261" s="10"/>
      <c r="AV8261" s="10"/>
      <c r="AW8261" s="10"/>
      <c r="AX8261" s="10"/>
      <c r="AY8261" s="10"/>
      <c r="AZ8261" s="10"/>
    </row>
    <row r="8262" spans="31:52">
      <c r="AE8262" s="10"/>
      <c r="AF8262" s="10"/>
      <c r="AG8262" s="10"/>
      <c r="AH8262" s="10"/>
      <c r="AI8262" s="10"/>
      <c r="AJ8262" s="10"/>
      <c r="AK8262" s="10"/>
      <c r="AL8262" s="10"/>
      <c r="AM8262" s="10"/>
      <c r="AN8262" s="10"/>
      <c r="AO8262" s="10"/>
      <c r="AP8262" s="10"/>
      <c r="AQ8262" s="10"/>
      <c r="AR8262" s="10"/>
      <c r="AS8262" s="10"/>
      <c r="AT8262" s="10"/>
      <c r="AU8262" s="10"/>
      <c r="AV8262" s="10"/>
      <c r="AW8262" s="10"/>
      <c r="AX8262" s="10"/>
      <c r="AY8262" s="10"/>
      <c r="AZ8262" s="10"/>
    </row>
    <row r="8263" spans="31:52">
      <c r="AE8263" s="10"/>
      <c r="AF8263" s="10"/>
      <c r="AG8263" s="10"/>
      <c r="AH8263" s="10"/>
      <c r="AI8263" s="10"/>
      <c r="AJ8263" s="10"/>
      <c r="AK8263" s="10"/>
      <c r="AL8263" s="10"/>
      <c r="AM8263" s="10"/>
      <c r="AN8263" s="10"/>
      <c r="AO8263" s="10"/>
      <c r="AP8263" s="10"/>
      <c r="AQ8263" s="10"/>
      <c r="AR8263" s="10"/>
      <c r="AS8263" s="10"/>
      <c r="AT8263" s="10"/>
      <c r="AU8263" s="10"/>
      <c r="AV8263" s="10"/>
      <c r="AW8263" s="10"/>
      <c r="AX8263" s="10"/>
      <c r="AY8263" s="10"/>
      <c r="AZ8263" s="10"/>
    </row>
    <row r="8264" spans="31:52">
      <c r="AE8264" s="10"/>
      <c r="AF8264" s="10"/>
      <c r="AG8264" s="10"/>
      <c r="AH8264" s="10"/>
      <c r="AI8264" s="10"/>
      <c r="AJ8264" s="10"/>
      <c r="AK8264" s="10"/>
      <c r="AL8264" s="10"/>
      <c r="AM8264" s="10"/>
      <c r="AN8264" s="10"/>
      <c r="AO8264" s="10"/>
      <c r="AP8264" s="10"/>
      <c r="AQ8264" s="10"/>
      <c r="AR8264" s="10"/>
      <c r="AS8264" s="10"/>
      <c r="AT8264" s="10"/>
      <c r="AU8264" s="10"/>
      <c r="AV8264" s="10"/>
      <c r="AW8264" s="10"/>
      <c r="AX8264" s="10"/>
      <c r="AY8264" s="10"/>
      <c r="AZ8264" s="10"/>
    </row>
    <row r="8265" spans="31:52">
      <c r="AE8265" s="10"/>
      <c r="AF8265" s="10"/>
      <c r="AG8265" s="10"/>
      <c r="AH8265" s="10"/>
      <c r="AI8265" s="10"/>
      <c r="AJ8265" s="10"/>
      <c r="AK8265" s="10"/>
      <c r="AL8265" s="10"/>
      <c r="AM8265" s="10"/>
      <c r="AN8265" s="10"/>
      <c r="AO8265" s="10"/>
      <c r="AP8265" s="10"/>
      <c r="AQ8265" s="10"/>
      <c r="AR8265" s="10"/>
      <c r="AS8265" s="10"/>
      <c r="AT8265" s="10"/>
      <c r="AU8265" s="10"/>
      <c r="AV8265" s="10"/>
      <c r="AW8265" s="10"/>
      <c r="AX8265" s="10"/>
      <c r="AY8265" s="10"/>
      <c r="AZ8265" s="10"/>
    </row>
    <row r="8266" spans="31:52">
      <c r="AE8266" s="10"/>
      <c r="AF8266" s="10"/>
      <c r="AG8266" s="10"/>
      <c r="AH8266" s="10"/>
      <c r="AI8266" s="10"/>
      <c r="AJ8266" s="10"/>
      <c r="AK8266" s="10"/>
      <c r="AL8266" s="10"/>
      <c r="AM8266" s="10"/>
      <c r="AN8266" s="10"/>
      <c r="AO8266" s="10"/>
      <c r="AP8266" s="10"/>
      <c r="AQ8266" s="10"/>
      <c r="AR8266" s="10"/>
      <c r="AS8266" s="10"/>
      <c r="AT8266" s="10"/>
      <c r="AU8266" s="10"/>
      <c r="AV8266" s="10"/>
      <c r="AW8266" s="10"/>
      <c r="AX8266" s="10"/>
      <c r="AY8266" s="10"/>
      <c r="AZ8266" s="10"/>
    </row>
    <row r="8267" spans="31:52">
      <c r="AE8267" s="10"/>
      <c r="AF8267" s="10"/>
      <c r="AG8267" s="10"/>
      <c r="AH8267" s="10"/>
      <c r="AI8267" s="10"/>
      <c r="AJ8267" s="10"/>
      <c r="AK8267" s="10"/>
      <c r="AL8267" s="10"/>
      <c r="AM8267" s="10"/>
      <c r="AN8267" s="10"/>
      <c r="AO8267" s="10"/>
      <c r="AP8267" s="10"/>
      <c r="AQ8267" s="10"/>
      <c r="AR8267" s="10"/>
      <c r="AS8267" s="10"/>
      <c r="AT8267" s="10"/>
      <c r="AU8267" s="10"/>
      <c r="AV8267" s="10"/>
      <c r="AW8267" s="10"/>
      <c r="AX8267" s="10"/>
      <c r="AY8267" s="10"/>
      <c r="AZ8267" s="10"/>
    </row>
    <row r="8268" spans="31:52">
      <c r="AE8268" s="10"/>
      <c r="AF8268" s="10"/>
      <c r="AG8268" s="10"/>
      <c r="AH8268" s="10"/>
      <c r="AI8268" s="10"/>
      <c r="AJ8268" s="10"/>
      <c r="AK8268" s="10"/>
      <c r="AL8268" s="10"/>
      <c r="AM8268" s="10"/>
      <c r="AN8268" s="10"/>
      <c r="AO8268" s="10"/>
      <c r="AP8268" s="10"/>
      <c r="AQ8268" s="10"/>
      <c r="AR8268" s="10"/>
      <c r="AS8268" s="10"/>
      <c r="AT8268" s="10"/>
      <c r="AU8268" s="10"/>
      <c r="AV8268" s="10"/>
      <c r="AW8268" s="10"/>
      <c r="AX8268" s="10"/>
      <c r="AY8268" s="10"/>
      <c r="AZ8268" s="10"/>
    </row>
    <row r="8269" spans="31:52">
      <c r="AE8269" s="10"/>
      <c r="AF8269" s="10"/>
      <c r="AG8269" s="10"/>
      <c r="AH8269" s="10"/>
      <c r="AI8269" s="10"/>
      <c r="AJ8269" s="10"/>
      <c r="AK8269" s="10"/>
      <c r="AL8269" s="10"/>
      <c r="AM8269" s="10"/>
      <c r="AN8269" s="10"/>
      <c r="AO8269" s="10"/>
      <c r="AP8269" s="10"/>
      <c r="AQ8269" s="10"/>
      <c r="AR8269" s="10"/>
      <c r="AS8269" s="10"/>
      <c r="AT8269" s="10"/>
      <c r="AU8269" s="10"/>
      <c r="AV8269" s="10"/>
      <c r="AW8269" s="10"/>
      <c r="AX8269" s="10"/>
      <c r="AY8269" s="10"/>
      <c r="AZ8269" s="10"/>
    </row>
    <row r="8270" spans="31:52">
      <c r="AE8270" s="10"/>
      <c r="AF8270" s="10"/>
      <c r="AG8270" s="10"/>
      <c r="AH8270" s="10"/>
      <c r="AI8270" s="10"/>
      <c r="AJ8270" s="10"/>
      <c r="AK8270" s="10"/>
      <c r="AL8270" s="10"/>
      <c r="AM8270" s="10"/>
      <c r="AN8270" s="10"/>
      <c r="AO8270" s="10"/>
      <c r="AP8270" s="10"/>
      <c r="AQ8270" s="10"/>
      <c r="AR8270" s="10"/>
      <c r="AS8270" s="10"/>
      <c r="AT8270" s="10"/>
      <c r="AU8270" s="10"/>
      <c r="AV8270" s="10"/>
      <c r="AW8270" s="10"/>
      <c r="AX8270" s="10"/>
      <c r="AY8270" s="10"/>
      <c r="AZ8270" s="10"/>
    </row>
    <row r="8271" spans="31:52">
      <c r="AE8271" s="10"/>
      <c r="AF8271" s="10"/>
      <c r="AG8271" s="10"/>
      <c r="AH8271" s="10"/>
      <c r="AI8271" s="10"/>
      <c r="AJ8271" s="10"/>
      <c r="AK8271" s="10"/>
      <c r="AL8271" s="10"/>
      <c r="AM8271" s="10"/>
      <c r="AN8271" s="10"/>
      <c r="AO8271" s="10"/>
      <c r="AP8271" s="10"/>
      <c r="AQ8271" s="10"/>
      <c r="AR8271" s="10"/>
      <c r="AS8271" s="10"/>
      <c r="AT8271" s="10"/>
      <c r="AU8271" s="10"/>
      <c r="AV8271" s="10"/>
      <c r="AW8271" s="10"/>
      <c r="AX8271" s="10"/>
      <c r="AY8271" s="10"/>
      <c r="AZ8271" s="10"/>
    </row>
    <row r="8272" spans="31:52">
      <c r="AE8272" s="10"/>
      <c r="AF8272" s="10"/>
      <c r="AG8272" s="10"/>
      <c r="AH8272" s="10"/>
      <c r="AI8272" s="10"/>
      <c r="AJ8272" s="10"/>
      <c r="AK8272" s="10"/>
      <c r="AL8272" s="10"/>
      <c r="AM8272" s="10"/>
      <c r="AN8272" s="10"/>
      <c r="AO8272" s="10"/>
      <c r="AP8272" s="10"/>
      <c r="AQ8272" s="10"/>
      <c r="AR8272" s="10"/>
      <c r="AS8272" s="10"/>
      <c r="AT8272" s="10"/>
      <c r="AU8272" s="10"/>
      <c r="AV8272" s="10"/>
      <c r="AW8272" s="10"/>
      <c r="AX8272" s="10"/>
      <c r="AY8272" s="10"/>
      <c r="AZ8272" s="10"/>
    </row>
    <row r="8273" spans="31:52">
      <c r="AE8273" s="10"/>
      <c r="AF8273" s="10"/>
      <c r="AG8273" s="10"/>
      <c r="AH8273" s="10"/>
      <c r="AI8273" s="10"/>
      <c r="AJ8273" s="10"/>
      <c r="AK8273" s="10"/>
      <c r="AL8273" s="10"/>
      <c r="AM8273" s="10"/>
      <c r="AN8273" s="10"/>
      <c r="AO8273" s="10"/>
      <c r="AP8273" s="10"/>
      <c r="AQ8273" s="10"/>
      <c r="AR8273" s="10"/>
      <c r="AS8273" s="10"/>
      <c r="AT8273" s="10"/>
      <c r="AU8273" s="10"/>
      <c r="AV8273" s="10"/>
      <c r="AW8273" s="10"/>
      <c r="AX8273" s="10"/>
      <c r="AY8273" s="10"/>
      <c r="AZ8273" s="10"/>
    </row>
    <row r="8274" spans="31:52">
      <c r="AE8274" s="10"/>
      <c r="AF8274" s="10"/>
      <c r="AG8274" s="10"/>
      <c r="AH8274" s="10"/>
      <c r="AI8274" s="10"/>
      <c r="AJ8274" s="10"/>
      <c r="AK8274" s="10"/>
      <c r="AL8274" s="10"/>
      <c r="AM8274" s="10"/>
      <c r="AN8274" s="10"/>
      <c r="AO8274" s="10"/>
      <c r="AP8274" s="10"/>
      <c r="AQ8274" s="10"/>
      <c r="AR8274" s="10"/>
      <c r="AS8274" s="10"/>
      <c r="AT8274" s="10"/>
      <c r="AU8274" s="10"/>
      <c r="AV8274" s="10"/>
      <c r="AW8274" s="10"/>
      <c r="AX8274" s="10"/>
      <c r="AY8274" s="10"/>
      <c r="AZ8274" s="10"/>
    </row>
    <row r="8275" spans="31:52">
      <c r="AE8275" s="10"/>
      <c r="AF8275" s="10"/>
      <c r="AG8275" s="10"/>
      <c r="AH8275" s="10"/>
      <c r="AI8275" s="10"/>
      <c r="AJ8275" s="10"/>
      <c r="AK8275" s="10"/>
      <c r="AL8275" s="10"/>
      <c r="AM8275" s="10"/>
      <c r="AN8275" s="10"/>
      <c r="AO8275" s="10"/>
      <c r="AP8275" s="10"/>
      <c r="AQ8275" s="10"/>
      <c r="AR8275" s="10"/>
      <c r="AS8275" s="10"/>
      <c r="AT8275" s="10"/>
      <c r="AU8275" s="10"/>
      <c r="AV8275" s="10"/>
      <c r="AW8275" s="10"/>
      <c r="AX8275" s="10"/>
      <c r="AY8275" s="10"/>
      <c r="AZ8275" s="10"/>
    </row>
    <row r="8276" spans="31:52">
      <c r="AE8276" s="10"/>
      <c r="AF8276" s="10"/>
      <c r="AG8276" s="10"/>
      <c r="AH8276" s="10"/>
      <c r="AI8276" s="10"/>
      <c r="AJ8276" s="10"/>
      <c r="AK8276" s="10"/>
      <c r="AL8276" s="10"/>
      <c r="AM8276" s="10"/>
      <c r="AN8276" s="10"/>
      <c r="AO8276" s="10"/>
      <c r="AP8276" s="10"/>
      <c r="AQ8276" s="10"/>
      <c r="AR8276" s="10"/>
      <c r="AS8276" s="10"/>
      <c r="AT8276" s="10"/>
      <c r="AU8276" s="10"/>
      <c r="AV8276" s="10"/>
      <c r="AW8276" s="10"/>
      <c r="AX8276" s="10"/>
      <c r="AY8276" s="10"/>
      <c r="AZ8276" s="10"/>
    </row>
    <row r="8277" spans="31:52">
      <c r="AE8277" s="10"/>
      <c r="AF8277" s="10"/>
      <c r="AG8277" s="10"/>
      <c r="AH8277" s="10"/>
      <c r="AI8277" s="10"/>
      <c r="AJ8277" s="10"/>
      <c r="AK8277" s="10"/>
      <c r="AL8277" s="10"/>
      <c r="AM8277" s="10"/>
      <c r="AN8277" s="10"/>
      <c r="AO8277" s="10"/>
      <c r="AP8277" s="10"/>
      <c r="AQ8277" s="10"/>
      <c r="AR8277" s="10"/>
      <c r="AS8277" s="10"/>
      <c r="AT8277" s="10"/>
      <c r="AU8277" s="10"/>
      <c r="AV8277" s="10"/>
      <c r="AW8277" s="10"/>
      <c r="AX8277" s="10"/>
      <c r="AY8277" s="10"/>
      <c r="AZ8277" s="10"/>
    </row>
    <row r="8278" spans="31:52">
      <c r="AE8278" s="10"/>
      <c r="AF8278" s="10"/>
      <c r="AG8278" s="10"/>
      <c r="AH8278" s="10"/>
      <c r="AI8278" s="10"/>
      <c r="AJ8278" s="10"/>
      <c r="AK8278" s="10"/>
      <c r="AL8278" s="10"/>
      <c r="AM8278" s="10"/>
      <c r="AN8278" s="10"/>
      <c r="AO8278" s="10"/>
      <c r="AP8278" s="10"/>
      <c r="AQ8278" s="10"/>
      <c r="AR8278" s="10"/>
      <c r="AS8278" s="10"/>
      <c r="AT8278" s="10"/>
      <c r="AU8278" s="10"/>
      <c r="AV8278" s="10"/>
      <c r="AW8278" s="10"/>
      <c r="AX8278" s="10"/>
      <c r="AY8278" s="10"/>
      <c r="AZ8278" s="10"/>
    </row>
    <row r="8279" spans="31:52">
      <c r="AE8279" s="10"/>
      <c r="AF8279" s="10"/>
      <c r="AG8279" s="10"/>
      <c r="AH8279" s="10"/>
      <c r="AI8279" s="10"/>
      <c r="AJ8279" s="10"/>
      <c r="AK8279" s="10"/>
      <c r="AL8279" s="10"/>
      <c r="AM8279" s="10"/>
      <c r="AN8279" s="10"/>
      <c r="AO8279" s="10"/>
      <c r="AP8279" s="10"/>
      <c r="AQ8279" s="10"/>
      <c r="AR8279" s="10"/>
      <c r="AS8279" s="10"/>
      <c r="AT8279" s="10"/>
      <c r="AU8279" s="10"/>
      <c r="AV8279" s="10"/>
      <c r="AW8279" s="10"/>
      <c r="AX8279" s="10"/>
      <c r="AY8279" s="10"/>
      <c r="AZ8279" s="10"/>
    </row>
    <row r="8280" spans="31:52">
      <c r="AE8280" s="10"/>
      <c r="AF8280" s="10"/>
      <c r="AG8280" s="10"/>
      <c r="AH8280" s="10"/>
      <c r="AI8280" s="10"/>
      <c r="AJ8280" s="10"/>
      <c r="AK8280" s="10"/>
      <c r="AL8280" s="10"/>
      <c r="AM8280" s="10"/>
      <c r="AN8280" s="10"/>
      <c r="AO8280" s="10"/>
      <c r="AP8280" s="10"/>
      <c r="AQ8280" s="10"/>
      <c r="AR8280" s="10"/>
      <c r="AS8280" s="10"/>
      <c r="AT8280" s="10"/>
      <c r="AU8280" s="10"/>
      <c r="AV8280" s="10"/>
      <c r="AW8280" s="10"/>
      <c r="AX8280" s="10"/>
      <c r="AY8280" s="10"/>
      <c r="AZ8280" s="10"/>
    </row>
    <row r="8281" spans="31:52">
      <c r="AE8281" s="10"/>
      <c r="AF8281" s="10"/>
      <c r="AG8281" s="10"/>
      <c r="AH8281" s="10"/>
      <c r="AI8281" s="10"/>
      <c r="AJ8281" s="10"/>
      <c r="AK8281" s="10"/>
      <c r="AL8281" s="10"/>
      <c r="AM8281" s="10"/>
      <c r="AN8281" s="10"/>
      <c r="AO8281" s="10"/>
      <c r="AP8281" s="10"/>
      <c r="AQ8281" s="10"/>
      <c r="AR8281" s="10"/>
      <c r="AS8281" s="10"/>
      <c r="AT8281" s="10"/>
      <c r="AU8281" s="10"/>
      <c r="AV8281" s="10"/>
      <c r="AW8281" s="10"/>
      <c r="AX8281" s="10"/>
      <c r="AY8281" s="10"/>
      <c r="AZ8281" s="10"/>
    </row>
    <row r="8282" spans="31:52">
      <c r="AE8282" s="10"/>
      <c r="AF8282" s="10"/>
      <c r="AG8282" s="10"/>
      <c r="AH8282" s="10"/>
      <c r="AI8282" s="10"/>
      <c r="AJ8282" s="10"/>
      <c r="AK8282" s="10"/>
      <c r="AL8282" s="10"/>
      <c r="AM8282" s="10"/>
      <c r="AN8282" s="10"/>
      <c r="AO8282" s="10"/>
      <c r="AP8282" s="10"/>
      <c r="AQ8282" s="10"/>
      <c r="AR8282" s="10"/>
      <c r="AS8282" s="10"/>
      <c r="AT8282" s="10"/>
      <c r="AU8282" s="10"/>
      <c r="AV8282" s="10"/>
      <c r="AW8282" s="10"/>
      <c r="AX8282" s="10"/>
      <c r="AY8282" s="10"/>
      <c r="AZ8282" s="10"/>
    </row>
    <row r="8283" spans="31:52">
      <c r="AE8283" s="10"/>
      <c r="AF8283" s="10"/>
      <c r="AG8283" s="10"/>
      <c r="AH8283" s="10"/>
      <c r="AI8283" s="10"/>
      <c r="AJ8283" s="10"/>
      <c r="AK8283" s="10"/>
      <c r="AL8283" s="10"/>
      <c r="AM8283" s="10"/>
      <c r="AN8283" s="10"/>
      <c r="AO8283" s="10"/>
      <c r="AP8283" s="10"/>
      <c r="AQ8283" s="10"/>
      <c r="AR8283" s="10"/>
      <c r="AS8283" s="10"/>
      <c r="AT8283" s="10"/>
      <c r="AU8283" s="10"/>
      <c r="AV8283" s="10"/>
      <c r="AW8283" s="10"/>
      <c r="AX8283" s="10"/>
      <c r="AY8283" s="10"/>
      <c r="AZ8283" s="10"/>
    </row>
    <row r="8284" spans="31:52">
      <c r="AE8284" s="10"/>
      <c r="AF8284" s="10"/>
      <c r="AG8284" s="10"/>
      <c r="AH8284" s="10"/>
      <c r="AI8284" s="10"/>
      <c r="AJ8284" s="10"/>
      <c r="AK8284" s="10"/>
      <c r="AL8284" s="10"/>
      <c r="AM8284" s="10"/>
      <c r="AN8284" s="10"/>
      <c r="AO8284" s="10"/>
      <c r="AP8284" s="10"/>
      <c r="AQ8284" s="10"/>
      <c r="AR8284" s="10"/>
      <c r="AS8284" s="10"/>
      <c r="AT8284" s="10"/>
      <c r="AU8284" s="10"/>
      <c r="AV8284" s="10"/>
      <c r="AW8284" s="10"/>
      <c r="AX8284" s="10"/>
      <c r="AY8284" s="10"/>
      <c r="AZ8284" s="10"/>
    </row>
    <row r="8285" spans="31:52">
      <c r="AE8285" s="10"/>
      <c r="AF8285" s="10"/>
      <c r="AG8285" s="10"/>
      <c r="AH8285" s="10"/>
      <c r="AI8285" s="10"/>
      <c r="AJ8285" s="10"/>
      <c r="AK8285" s="10"/>
      <c r="AL8285" s="10"/>
      <c r="AM8285" s="10"/>
      <c r="AN8285" s="10"/>
      <c r="AO8285" s="10"/>
      <c r="AP8285" s="10"/>
      <c r="AQ8285" s="10"/>
      <c r="AR8285" s="10"/>
      <c r="AS8285" s="10"/>
      <c r="AT8285" s="10"/>
      <c r="AU8285" s="10"/>
      <c r="AV8285" s="10"/>
      <c r="AW8285" s="10"/>
      <c r="AX8285" s="10"/>
      <c r="AY8285" s="10"/>
      <c r="AZ8285" s="10"/>
    </row>
    <row r="8286" spans="31:52">
      <c r="AE8286" s="10"/>
      <c r="AF8286" s="10"/>
      <c r="AG8286" s="10"/>
      <c r="AH8286" s="10"/>
      <c r="AI8286" s="10"/>
      <c r="AJ8286" s="10"/>
      <c r="AK8286" s="10"/>
      <c r="AL8286" s="10"/>
      <c r="AM8286" s="10"/>
      <c r="AN8286" s="10"/>
      <c r="AO8286" s="10"/>
      <c r="AP8286" s="10"/>
      <c r="AQ8286" s="10"/>
      <c r="AR8286" s="10"/>
      <c r="AS8286" s="10"/>
      <c r="AT8286" s="10"/>
      <c r="AU8286" s="10"/>
      <c r="AV8286" s="10"/>
      <c r="AW8286" s="10"/>
      <c r="AX8286" s="10"/>
      <c r="AY8286" s="10"/>
      <c r="AZ8286" s="10"/>
    </row>
    <row r="8287" spans="31:52">
      <c r="AE8287" s="10"/>
      <c r="AF8287" s="10"/>
      <c r="AG8287" s="10"/>
      <c r="AH8287" s="10"/>
      <c r="AI8287" s="10"/>
      <c r="AJ8287" s="10"/>
      <c r="AK8287" s="10"/>
      <c r="AL8287" s="10"/>
      <c r="AM8287" s="10"/>
      <c r="AN8287" s="10"/>
      <c r="AO8287" s="10"/>
      <c r="AP8287" s="10"/>
      <c r="AQ8287" s="10"/>
      <c r="AR8287" s="10"/>
      <c r="AS8287" s="10"/>
      <c r="AT8287" s="10"/>
      <c r="AU8287" s="10"/>
      <c r="AV8287" s="10"/>
      <c r="AW8287" s="10"/>
      <c r="AX8287" s="10"/>
      <c r="AY8287" s="10"/>
      <c r="AZ8287" s="10"/>
    </row>
    <row r="8288" spans="31:52">
      <c r="AE8288" s="10"/>
      <c r="AF8288" s="10"/>
      <c r="AG8288" s="10"/>
      <c r="AH8288" s="10"/>
      <c r="AI8288" s="10"/>
      <c r="AJ8288" s="10"/>
      <c r="AK8288" s="10"/>
      <c r="AL8288" s="10"/>
      <c r="AM8288" s="10"/>
      <c r="AN8288" s="10"/>
      <c r="AO8288" s="10"/>
      <c r="AP8288" s="10"/>
      <c r="AQ8288" s="10"/>
      <c r="AR8288" s="10"/>
      <c r="AS8288" s="10"/>
      <c r="AT8288" s="10"/>
      <c r="AU8288" s="10"/>
      <c r="AV8288" s="10"/>
      <c r="AW8288" s="10"/>
      <c r="AX8288" s="10"/>
      <c r="AY8288" s="10"/>
      <c r="AZ8288" s="10"/>
    </row>
    <row r="8289" spans="31:52">
      <c r="AE8289" s="10"/>
      <c r="AF8289" s="10"/>
      <c r="AG8289" s="10"/>
      <c r="AH8289" s="10"/>
      <c r="AI8289" s="10"/>
      <c r="AJ8289" s="10"/>
      <c r="AK8289" s="10"/>
      <c r="AL8289" s="10"/>
      <c r="AM8289" s="10"/>
      <c r="AN8289" s="10"/>
      <c r="AO8289" s="10"/>
      <c r="AP8289" s="10"/>
      <c r="AQ8289" s="10"/>
      <c r="AR8289" s="10"/>
      <c r="AS8289" s="10"/>
      <c r="AT8289" s="10"/>
      <c r="AU8289" s="10"/>
      <c r="AV8289" s="10"/>
      <c r="AW8289" s="10"/>
      <c r="AX8289" s="10"/>
      <c r="AY8289" s="10"/>
      <c r="AZ8289" s="10"/>
    </row>
    <row r="8290" spans="31:52">
      <c r="AE8290" s="10"/>
      <c r="AF8290" s="10"/>
      <c r="AG8290" s="10"/>
      <c r="AH8290" s="10"/>
      <c r="AI8290" s="10"/>
      <c r="AJ8290" s="10"/>
      <c r="AK8290" s="10"/>
      <c r="AL8290" s="10"/>
      <c r="AM8290" s="10"/>
      <c r="AN8290" s="10"/>
      <c r="AO8290" s="10"/>
      <c r="AP8290" s="10"/>
      <c r="AQ8290" s="10"/>
      <c r="AR8290" s="10"/>
      <c r="AS8290" s="10"/>
      <c r="AT8290" s="10"/>
      <c r="AU8290" s="10"/>
      <c r="AV8290" s="10"/>
      <c r="AW8290" s="10"/>
      <c r="AX8290" s="10"/>
      <c r="AY8290" s="10"/>
      <c r="AZ8290" s="10"/>
    </row>
    <row r="8291" spans="31:52">
      <c r="AE8291" s="10"/>
      <c r="AF8291" s="10"/>
      <c r="AG8291" s="10"/>
      <c r="AH8291" s="10"/>
      <c r="AI8291" s="10"/>
      <c r="AJ8291" s="10"/>
      <c r="AK8291" s="10"/>
      <c r="AL8291" s="10"/>
      <c r="AM8291" s="10"/>
      <c r="AN8291" s="10"/>
      <c r="AO8291" s="10"/>
      <c r="AP8291" s="10"/>
      <c r="AQ8291" s="10"/>
      <c r="AR8291" s="10"/>
      <c r="AS8291" s="10"/>
      <c r="AT8291" s="10"/>
      <c r="AU8291" s="10"/>
      <c r="AV8291" s="10"/>
      <c r="AW8291" s="10"/>
      <c r="AX8291" s="10"/>
      <c r="AY8291" s="10"/>
      <c r="AZ8291" s="10"/>
    </row>
    <row r="8292" spans="31:52">
      <c r="AE8292" s="10"/>
      <c r="AF8292" s="10"/>
      <c r="AG8292" s="10"/>
      <c r="AH8292" s="10"/>
      <c r="AI8292" s="10"/>
      <c r="AJ8292" s="10"/>
      <c r="AK8292" s="10"/>
      <c r="AL8292" s="10"/>
      <c r="AM8292" s="10"/>
      <c r="AN8292" s="10"/>
      <c r="AO8292" s="10"/>
      <c r="AP8292" s="10"/>
      <c r="AQ8292" s="10"/>
      <c r="AR8292" s="10"/>
      <c r="AS8292" s="10"/>
      <c r="AT8292" s="10"/>
      <c r="AU8292" s="10"/>
      <c r="AV8292" s="10"/>
      <c r="AW8292" s="10"/>
      <c r="AX8292" s="10"/>
      <c r="AY8292" s="10"/>
      <c r="AZ8292" s="10"/>
    </row>
    <row r="8293" spans="31:52">
      <c r="AE8293" s="10"/>
      <c r="AF8293" s="10"/>
      <c r="AG8293" s="10"/>
      <c r="AH8293" s="10"/>
      <c r="AI8293" s="10"/>
      <c r="AJ8293" s="10"/>
      <c r="AK8293" s="10"/>
      <c r="AL8293" s="10"/>
      <c r="AM8293" s="10"/>
      <c r="AN8293" s="10"/>
      <c r="AO8293" s="10"/>
      <c r="AP8293" s="10"/>
      <c r="AQ8293" s="10"/>
      <c r="AR8293" s="10"/>
      <c r="AS8293" s="10"/>
      <c r="AT8293" s="10"/>
      <c r="AU8293" s="10"/>
      <c r="AV8293" s="10"/>
      <c r="AW8293" s="10"/>
      <c r="AX8293" s="10"/>
      <c r="AY8293" s="10"/>
      <c r="AZ8293" s="10"/>
    </row>
    <row r="8294" spans="31:52">
      <c r="AE8294" s="10"/>
      <c r="AF8294" s="10"/>
      <c r="AG8294" s="10"/>
      <c r="AH8294" s="10"/>
      <c r="AI8294" s="10"/>
      <c r="AJ8294" s="10"/>
      <c r="AK8294" s="10"/>
      <c r="AL8294" s="10"/>
      <c r="AM8294" s="10"/>
      <c r="AN8294" s="10"/>
      <c r="AO8294" s="10"/>
      <c r="AP8294" s="10"/>
      <c r="AQ8294" s="10"/>
      <c r="AR8294" s="10"/>
      <c r="AS8294" s="10"/>
      <c r="AT8294" s="10"/>
      <c r="AU8294" s="10"/>
      <c r="AV8294" s="10"/>
      <c r="AW8294" s="10"/>
      <c r="AX8294" s="10"/>
      <c r="AY8294" s="10"/>
      <c r="AZ8294" s="10"/>
    </row>
    <row r="8295" spans="31:52">
      <c r="AE8295" s="10"/>
      <c r="AF8295" s="10"/>
      <c r="AG8295" s="10"/>
      <c r="AH8295" s="10"/>
      <c r="AI8295" s="10"/>
      <c r="AJ8295" s="10"/>
      <c r="AK8295" s="10"/>
      <c r="AL8295" s="10"/>
      <c r="AM8295" s="10"/>
      <c r="AN8295" s="10"/>
      <c r="AO8295" s="10"/>
      <c r="AP8295" s="10"/>
      <c r="AQ8295" s="10"/>
      <c r="AR8295" s="10"/>
      <c r="AS8295" s="10"/>
      <c r="AT8295" s="10"/>
      <c r="AU8295" s="10"/>
      <c r="AV8295" s="10"/>
      <c r="AW8295" s="10"/>
      <c r="AX8295" s="10"/>
      <c r="AY8295" s="10"/>
      <c r="AZ8295" s="10"/>
    </row>
    <row r="8296" spans="31:52">
      <c r="AE8296" s="10"/>
      <c r="AF8296" s="10"/>
      <c r="AG8296" s="10"/>
      <c r="AH8296" s="10"/>
      <c r="AI8296" s="10"/>
      <c r="AJ8296" s="10"/>
      <c r="AK8296" s="10"/>
      <c r="AL8296" s="10"/>
      <c r="AM8296" s="10"/>
      <c r="AN8296" s="10"/>
      <c r="AO8296" s="10"/>
      <c r="AP8296" s="10"/>
      <c r="AQ8296" s="10"/>
      <c r="AR8296" s="10"/>
      <c r="AS8296" s="10"/>
      <c r="AT8296" s="10"/>
      <c r="AU8296" s="10"/>
      <c r="AV8296" s="10"/>
      <c r="AW8296" s="10"/>
      <c r="AX8296" s="10"/>
      <c r="AY8296" s="10"/>
      <c r="AZ8296" s="10"/>
    </row>
    <row r="8297" spans="31:52">
      <c r="AE8297" s="10"/>
      <c r="AF8297" s="10"/>
      <c r="AG8297" s="10"/>
      <c r="AH8297" s="10"/>
      <c r="AI8297" s="10"/>
      <c r="AJ8297" s="10"/>
      <c r="AK8297" s="10"/>
      <c r="AL8297" s="10"/>
      <c r="AM8297" s="10"/>
      <c r="AN8297" s="10"/>
      <c r="AO8297" s="10"/>
      <c r="AP8297" s="10"/>
      <c r="AQ8297" s="10"/>
      <c r="AR8297" s="10"/>
      <c r="AS8297" s="10"/>
      <c r="AT8297" s="10"/>
      <c r="AU8297" s="10"/>
      <c r="AV8297" s="10"/>
      <c r="AW8297" s="10"/>
      <c r="AX8297" s="10"/>
      <c r="AY8297" s="10"/>
      <c r="AZ8297" s="10"/>
    </row>
    <row r="8298" spans="31:52">
      <c r="AE8298" s="10"/>
      <c r="AF8298" s="10"/>
      <c r="AG8298" s="10"/>
      <c r="AH8298" s="10"/>
      <c r="AI8298" s="10"/>
      <c r="AJ8298" s="10"/>
      <c r="AK8298" s="10"/>
      <c r="AL8298" s="10"/>
      <c r="AM8298" s="10"/>
      <c r="AN8298" s="10"/>
      <c r="AO8298" s="10"/>
      <c r="AP8298" s="10"/>
      <c r="AQ8298" s="10"/>
      <c r="AR8298" s="10"/>
      <c r="AS8298" s="10"/>
      <c r="AT8298" s="10"/>
      <c r="AU8298" s="10"/>
      <c r="AV8298" s="10"/>
      <c r="AW8298" s="10"/>
      <c r="AX8298" s="10"/>
      <c r="AY8298" s="10"/>
      <c r="AZ8298" s="10"/>
    </row>
    <row r="8299" spans="31:52">
      <c r="AE8299" s="10"/>
      <c r="AF8299" s="10"/>
      <c r="AG8299" s="10"/>
      <c r="AH8299" s="10"/>
      <c r="AI8299" s="10"/>
      <c r="AJ8299" s="10"/>
      <c r="AK8299" s="10"/>
      <c r="AL8299" s="10"/>
      <c r="AM8299" s="10"/>
      <c r="AN8299" s="10"/>
      <c r="AO8299" s="10"/>
      <c r="AP8299" s="10"/>
      <c r="AQ8299" s="10"/>
      <c r="AR8299" s="10"/>
      <c r="AS8299" s="10"/>
      <c r="AT8299" s="10"/>
      <c r="AU8299" s="10"/>
      <c r="AV8299" s="10"/>
      <c r="AW8299" s="10"/>
      <c r="AX8299" s="10"/>
      <c r="AY8299" s="10"/>
      <c r="AZ8299" s="10"/>
    </row>
    <row r="8300" spans="31:52">
      <c r="AE8300" s="10"/>
      <c r="AF8300" s="10"/>
      <c r="AG8300" s="10"/>
      <c r="AH8300" s="10"/>
      <c r="AI8300" s="10"/>
      <c r="AJ8300" s="10"/>
      <c r="AK8300" s="10"/>
      <c r="AL8300" s="10"/>
      <c r="AM8300" s="10"/>
      <c r="AN8300" s="10"/>
      <c r="AO8300" s="10"/>
      <c r="AP8300" s="10"/>
      <c r="AQ8300" s="10"/>
      <c r="AR8300" s="10"/>
      <c r="AS8300" s="10"/>
      <c r="AT8300" s="10"/>
      <c r="AU8300" s="10"/>
      <c r="AV8300" s="10"/>
      <c r="AW8300" s="10"/>
      <c r="AX8300" s="10"/>
      <c r="AY8300" s="10"/>
      <c r="AZ8300" s="10"/>
    </row>
    <row r="8301" spans="31:52">
      <c r="AE8301" s="10"/>
      <c r="AF8301" s="10"/>
      <c r="AG8301" s="10"/>
      <c r="AH8301" s="10"/>
      <c r="AI8301" s="10"/>
      <c r="AJ8301" s="10"/>
      <c r="AK8301" s="10"/>
      <c r="AL8301" s="10"/>
      <c r="AM8301" s="10"/>
      <c r="AN8301" s="10"/>
      <c r="AO8301" s="10"/>
      <c r="AP8301" s="10"/>
      <c r="AQ8301" s="10"/>
      <c r="AR8301" s="10"/>
      <c r="AS8301" s="10"/>
      <c r="AT8301" s="10"/>
      <c r="AU8301" s="10"/>
      <c r="AV8301" s="10"/>
      <c r="AW8301" s="10"/>
      <c r="AX8301" s="10"/>
      <c r="AY8301" s="10"/>
      <c r="AZ8301" s="10"/>
    </row>
    <row r="8302" spans="31:52">
      <c r="AE8302" s="10"/>
      <c r="AF8302" s="10"/>
      <c r="AG8302" s="10"/>
      <c r="AH8302" s="10"/>
      <c r="AI8302" s="10"/>
      <c r="AJ8302" s="10"/>
      <c r="AK8302" s="10"/>
      <c r="AL8302" s="10"/>
      <c r="AM8302" s="10"/>
      <c r="AN8302" s="10"/>
      <c r="AO8302" s="10"/>
      <c r="AP8302" s="10"/>
      <c r="AQ8302" s="10"/>
      <c r="AR8302" s="10"/>
      <c r="AS8302" s="10"/>
      <c r="AT8302" s="10"/>
      <c r="AU8302" s="10"/>
      <c r="AV8302" s="10"/>
      <c r="AW8302" s="10"/>
      <c r="AX8302" s="10"/>
      <c r="AY8302" s="10"/>
      <c r="AZ8302" s="10"/>
    </row>
    <row r="8303" spans="31:52">
      <c r="AE8303" s="10"/>
      <c r="AF8303" s="10"/>
      <c r="AG8303" s="10"/>
      <c r="AH8303" s="10"/>
      <c r="AI8303" s="10"/>
      <c r="AJ8303" s="10"/>
      <c r="AK8303" s="10"/>
      <c r="AL8303" s="10"/>
      <c r="AM8303" s="10"/>
      <c r="AN8303" s="10"/>
      <c r="AO8303" s="10"/>
      <c r="AP8303" s="10"/>
      <c r="AQ8303" s="10"/>
      <c r="AR8303" s="10"/>
      <c r="AS8303" s="10"/>
      <c r="AT8303" s="10"/>
      <c r="AU8303" s="10"/>
      <c r="AV8303" s="10"/>
      <c r="AW8303" s="10"/>
      <c r="AX8303" s="10"/>
      <c r="AY8303" s="10"/>
      <c r="AZ8303" s="10"/>
    </row>
    <row r="8304" spans="31:52">
      <c r="AE8304" s="10"/>
      <c r="AF8304" s="10"/>
      <c r="AG8304" s="10"/>
      <c r="AH8304" s="10"/>
      <c r="AI8304" s="10"/>
      <c r="AJ8304" s="10"/>
      <c r="AK8304" s="10"/>
      <c r="AL8304" s="10"/>
      <c r="AM8304" s="10"/>
      <c r="AN8304" s="10"/>
      <c r="AO8304" s="10"/>
      <c r="AP8304" s="10"/>
      <c r="AQ8304" s="10"/>
      <c r="AR8304" s="10"/>
      <c r="AS8304" s="10"/>
      <c r="AT8304" s="10"/>
      <c r="AU8304" s="10"/>
      <c r="AV8304" s="10"/>
      <c r="AW8304" s="10"/>
      <c r="AX8304" s="10"/>
      <c r="AY8304" s="10"/>
      <c r="AZ8304" s="10"/>
    </row>
    <row r="8305" spans="31:52">
      <c r="AE8305" s="10"/>
      <c r="AF8305" s="10"/>
      <c r="AG8305" s="10"/>
      <c r="AH8305" s="10"/>
      <c r="AI8305" s="10"/>
      <c r="AJ8305" s="10"/>
      <c r="AK8305" s="10"/>
      <c r="AL8305" s="10"/>
      <c r="AM8305" s="10"/>
      <c r="AN8305" s="10"/>
      <c r="AO8305" s="10"/>
      <c r="AP8305" s="10"/>
      <c r="AQ8305" s="10"/>
      <c r="AR8305" s="10"/>
      <c r="AS8305" s="10"/>
      <c r="AT8305" s="10"/>
      <c r="AU8305" s="10"/>
      <c r="AV8305" s="10"/>
      <c r="AW8305" s="10"/>
      <c r="AX8305" s="10"/>
      <c r="AY8305" s="10"/>
      <c r="AZ8305" s="10"/>
    </row>
    <row r="8306" spans="31:52">
      <c r="AE8306" s="10"/>
      <c r="AF8306" s="10"/>
      <c r="AG8306" s="10"/>
      <c r="AH8306" s="10"/>
      <c r="AI8306" s="10"/>
      <c r="AJ8306" s="10"/>
      <c r="AK8306" s="10"/>
      <c r="AL8306" s="10"/>
      <c r="AM8306" s="10"/>
      <c r="AN8306" s="10"/>
      <c r="AO8306" s="10"/>
      <c r="AP8306" s="10"/>
      <c r="AQ8306" s="10"/>
      <c r="AR8306" s="10"/>
      <c r="AS8306" s="10"/>
      <c r="AT8306" s="10"/>
      <c r="AU8306" s="10"/>
      <c r="AV8306" s="10"/>
      <c r="AW8306" s="10"/>
      <c r="AX8306" s="10"/>
      <c r="AY8306" s="10"/>
      <c r="AZ8306" s="10"/>
    </row>
    <row r="8307" spans="31:52">
      <c r="AE8307" s="10"/>
      <c r="AF8307" s="10"/>
      <c r="AG8307" s="10"/>
      <c r="AH8307" s="10"/>
      <c r="AI8307" s="10"/>
      <c r="AJ8307" s="10"/>
      <c r="AK8307" s="10"/>
      <c r="AL8307" s="10"/>
      <c r="AM8307" s="10"/>
      <c r="AN8307" s="10"/>
      <c r="AO8307" s="10"/>
      <c r="AP8307" s="10"/>
      <c r="AQ8307" s="10"/>
      <c r="AR8307" s="10"/>
      <c r="AS8307" s="10"/>
      <c r="AT8307" s="10"/>
      <c r="AU8307" s="10"/>
      <c r="AV8307" s="10"/>
      <c r="AW8307" s="10"/>
      <c r="AX8307" s="10"/>
      <c r="AY8307" s="10"/>
      <c r="AZ8307" s="10"/>
    </row>
    <row r="8308" spans="31:52">
      <c r="AE8308" s="10"/>
      <c r="AF8308" s="10"/>
      <c r="AG8308" s="10"/>
      <c r="AH8308" s="10"/>
      <c r="AI8308" s="10"/>
      <c r="AJ8308" s="10"/>
      <c r="AK8308" s="10"/>
      <c r="AL8308" s="10"/>
      <c r="AM8308" s="10"/>
      <c r="AN8308" s="10"/>
      <c r="AO8308" s="10"/>
      <c r="AP8308" s="10"/>
      <c r="AQ8308" s="10"/>
      <c r="AR8308" s="10"/>
      <c r="AS8308" s="10"/>
      <c r="AT8308" s="10"/>
      <c r="AU8308" s="10"/>
      <c r="AV8308" s="10"/>
      <c r="AW8308" s="10"/>
      <c r="AX8308" s="10"/>
      <c r="AY8308" s="10"/>
      <c r="AZ8308" s="10"/>
    </row>
    <row r="8309" spans="31:52">
      <c r="AE8309" s="10"/>
      <c r="AF8309" s="10"/>
      <c r="AG8309" s="10"/>
      <c r="AH8309" s="10"/>
      <c r="AI8309" s="10"/>
      <c r="AJ8309" s="10"/>
      <c r="AK8309" s="10"/>
      <c r="AL8309" s="10"/>
      <c r="AM8309" s="10"/>
      <c r="AN8309" s="10"/>
      <c r="AO8309" s="10"/>
      <c r="AP8309" s="10"/>
      <c r="AQ8309" s="10"/>
      <c r="AR8309" s="10"/>
      <c r="AS8309" s="10"/>
      <c r="AT8309" s="10"/>
      <c r="AU8309" s="10"/>
      <c r="AV8309" s="10"/>
      <c r="AW8309" s="10"/>
      <c r="AX8309" s="10"/>
      <c r="AY8309" s="10"/>
      <c r="AZ8309" s="10"/>
    </row>
    <row r="8310" spans="31:52">
      <c r="AE8310" s="10"/>
      <c r="AF8310" s="10"/>
      <c r="AG8310" s="10"/>
      <c r="AH8310" s="10"/>
      <c r="AI8310" s="10"/>
      <c r="AJ8310" s="10"/>
      <c r="AK8310" s="10"/>
      <c r="AL8310" s="10"/>
      <c r="AM8310" s="10"/>
      <c r="AN8310" s="10"/>
      <c r="AO8310" s="10"/>
      <c r="AP8310" s="10"/>
      <c r="AQ8310" s="10"/>
      <c r="AR8310" s="10"/>
      <c r="AS8310" s="10"/>
      <c r="AT8310" s="10"/>
      <c r="AU8310" s="10"/>
      <c r="AV8310" s="10"/>
      <c r="AW8310" s="10"/>
      <c r="AX8310" s="10"/>
      <c r="AY8310" s="10"/>
      <c r="AZ8310" s="10"/>
    </row>
    <row r="8311" spans="31:52">
      <c r="AE8311" s="10"/>
      <c r="AF8311" s="10"/>
      <c r="AG8311" s="10"/>
      <c r="AH8311" s="10"/>
      <c r="AI8311" s="10"/>
      <c r="AJ8311" s="10"/>
      <c r="AK8311" s="10"/>
      <c r="AL8311" s="10"/>
      <c r="AM8311" s="10"/>
      <c r="AN8311" s="10"/>
      <c r="AO8311" s="10"/>
      <c r="AP8311" s="10"/>
      <c r="AQ8311" s="10"/>
      <c r="AR8311" s="10"/>
      <c r="AS8311" s="10"/>
      <c r="AT8311" s="10"/>
      <c r="AU8311" s="10"/>
      <c r="AV8311" s="10"/>
      <c r="AW8311" s="10"/>
      <c r="AX8311" s="10"/>
      <c r="AY8311" s="10"/>
      <c r="AZ8311" s="10"/>
    </row>
    <row r="8312" spans="31:52">
      <c r="AE8312" s="10"/>
      <c r="AF8312" s="10"/>
      <c r="AG8312" s="10"/>
      <c r="AH8312" s="10"/>
      <c r="AI8312" s="10"/>
      <c r="AJ8312" s="10"/>
      <c r="AK8312" s="10"/>
      <c r="AL8312" s="10"/>
      <c r="AM8312" s="10"/>
      <c r="AN8312" s="10"/>
      <c r="AO8312" s="10"/>
      <c r="AP8312" s="10"/>
      <c r="AQ8312" s="10"/>
      <c r="AR8312" s="10"/>
      <c r="AS8312" s="10"/>
      <c r="AT8312" s="10"/>
      <c r="AU8312" s="10"/>
      <c r="AV8312" s="10"/>
      <c r="AW8312" s="10"/>
      <c r="AX8312" s="10"/>
      <c r="AY8312" s="10"/>
      <c r="AZ8312" s="10"/>
    </row>
    <row r="8313" spans="31:52">
      <c r="AE8313" s="10"/>
      <c r="AF8313" s="10"/>
      <c r="AG8313" s="10"/>
      <c r="AH8313" s="10"/>
      <c r="AI8313" s="10"/>
      <c r="AJ8313" s="10"/>
      <c r="AK8313" s="10"/>
      <c r="AL8313" s="10"/>
      <c r="AM8313" s="10"/>
      <c r="AN8313" s="10"/>
      <c r="AO8313" s="10"/>
      <c r="AP8313" s="10"/>
      <c r="AQ8313" s="10"/>
      <c r="AR8313" s="10"/>
      <c r="AS8313" s="10"/>
      <c r="AT8313" s="10"/>
      <c r="AU8313" s="10"/>
      <c r="AV8313" s="10"/>
      <c r="AW8313" s="10"/>
      <c r="AX8313" s="10"/>
      <c r="AY8313" s="10"/>
      <c r="AZ8313" s="10"/>
    </row>
    <row r="8314" spans="31:52">
      <c r="AE8314" s="10"/>
      <c r="AF8314" s="10"/>
      <c r="AG8314" s="10"/>
      <c r="AH8314" s="10"/>
      <c r="AI8314" s="10"/>
      <c r="AJ8314" s="10"/>
      <c r="AK8314" s="10"/>
      <c r="AL8314" s="10"/>
      <c r="AM8314" s="10"/>
      <c r="AN8314" s="10"/>
      <c r="AO8314" s="10"/>
      <c r="AP8314" s="10"/>
      <c r="AQ8314" s="10"/>
      <c r="AR8314" s="10"/>
      <c r="AS8314" s="10"/>
      <c r="AT8314" s="10"/>
      <c r="AU8314" s="10"/>
      <c r="AV8314" s="10"/>
      <c r="AW8314" s="10"/>
      <c r="AX8314" s="10"/>
      <c r="AY8314" s="10"/>
      <c r="AZ8314" s="10"/>
    </row>
    <row r="8315" spans="31:52">
      <c r="AE8315" s="10"/>
      <c r="AF8315" s="10"/>
      <c r="AG8315" s="10"/>
      <c r="AH8315" s="10"/>
      <c r="AI8315" s="10"/>
      <c r="AJ8315" s="10"/>
      <c r="AK8315" s="10"/>
      <c r="AL8315" s="10"/>
      <c r="AM8315" s="10"/>
      <c r="AN8315" s="10"/>
      <c r="AO8315" s="10"/>
      <c r="AP8315" s="10"/>
      <c r="AQ8315" s="10"/>
      <c r="AR8315" s="10"/>
      <c r="AS8315" s="10"/>
      <c r="AT8315" s="10"/>
      <c r="AU8315" s="10"/>
      <c r="AV8315" s="10"/>
      <c r="AW8315" s="10"/>
      <c r="AX8315" s="10"/>
      <c r="AY8315" s="10"/>
      <c r="AZ8315" s="10"/>
    </row>
    <row r="8316" spans="31:52">
      <c r="AE8316" s="10"/>
      <c r="AF8316" s="10"/>
      <c r="AG8316" s="10"/>
      <c r="AH8316" s="10"/>
      <c r="AI8316" s="10"/>
      <c r="AJ8316" s="10"/>
      <c r="AK8316" s="10"/>
      <c r="AL8316" s="10"/>
      <c r="AM8316" s="10"/>
      <c r="AN8316" s="10"/>
      <c r="AO8316" s="10"/>
      <c r="AP8316" s="10"/>
      <c r="AQ8316" s="10"/>
      <c r="AR8316" s="10"/>
      <c r="AS8316" s="10"/>
      <c r="AT8316" s="10"/>
      <c r="AU8316" s="10"/>
      <c r="AV8316" s="10"/>
      <c r="AW8316" s="10"/>
      <c r="AX8316" s="10"/>
      <c r="AY8316" s="10"/>
      <c r="AZ8316" s="10"/>
    </row>
    <row r="8317" spans="31:52">
      <c r="AE8317" s="10"/>
      <c r="AF8317" s="10"/>
      <c r="AG8317" s="10"/>
      <c r="AH8317" s="10"/>
      <c r="AI8317" s="10"/>
      <c r="AJ8317" s="10"/>
      <c r="AK8317" s="10"/>
      <c r="AL8317" s="10"/>
      <c r="AM8317" s="10"/>
      <c r="AN8317" s="10"/>
      <c r="AO8317" s="10"/>
      <c r="AP8317" s="10"/>
      <c r="AQ8317" s="10"/>
      <c r="AR8317" s="10"/>
      <c r="AS8317" s="10"/>
      <c r="AT8317" s="10"/>
      <c r="AU8317" s="10"/>
      <c r="AV8317" s="10"/>
      <c r="AW8317" s="10"/>
      <c r="AX8317" s="10"/>
      <c r="AY8317" s="10"/>
      <c r="AZ8317" s="10"/>
    </row>
    <row r="8318" spans="31:52">
      <c r="AE8318" s="10"/>
      <c r="AF8318" s="10"/>
      <c r="AG8318" s="10"/>
      <c r="AH8318" s="10"/>
      <c r="AI8318" s="10"/>
      <c r="AJ8318" s="10"/>
      <c r="AK8318" s="10"/>
      <c r="AL8318" s="10"/>
      <c r="AM8318" s="10"/>
      <c r="AN8318" s="10"/>
      <c r="AO8318" s="10"/>
      <c r="AP8318" s="10"/>
      <c r="AQ8318" s="10"/>
      <c r="AR8318" s="10"/>
      <c r="AS8318" s="10"/>
      <c r="AT8318" s="10"/>
      <c r="AU8318" s="10"/>
      <c r="AV8318" s="10"/>
      <c r="AW8318" s="10"/>
      <c r="AX8318" s="10"/>
      <c r="AY8318" s="10"/>
      <c r="AZ8318" s="10"/>
    </row>
    <row r="8319" spans="31:52">
      <c r="AE8319" s="10"/>
      <c r="AF8319" s="10"/>
      <c r="AG8319" s="10"/>
      <c r="AH8319" s="10"/>
      <c r="AI8319" s="10"/>
      <c r="AJ8319" s="10"/>
      <c r="AK8319" s="10"/>
      <c r="AL8319" s="10"/>
      <c r="AM8319" s="10"/>
      <c r="AN8319" s="10"/>
      <c r="AO8319" s="10"/>
      <c r="AP8319" s="10"/>
      <c r="AQ8319" s="10"/>
      <c r="AR8319" s="10"/>
      <c r="AS8319" s="10"/>
      <c r="AT8319" s="10"/>
      <c r="AU8319" s="10"/>
      <c r="AV8319" s="10"/>
      <c r="AW8319" s="10"/>
      <c r="AX8319" s="10"/>
      <c r="AY8319" s="10"/>
      <c r="AZ8319" s="10"/>
    </row>
    <row r="8320" spans="31:52">
      <c r="AE8320" s="10"/>
      <c r="AF8320" s="10"/>
      <c r="AG8320" s="10"/>
      <c r="AH8320" s="10"/>
      <c r="AI8320" s="10"/>
      <c r="AJ8320" s="10"/>
      <c r="AK8320" s="10"/>
      <c r="AL8320" s="10"/>
      <c r="AM8320" s="10"/>
      <c r="AN8320" s="10"/>
      <c r="AO8320" s="10"/>
      <c r="AP8320" s="10"/>
      <c r="AQ8320" s="10"/>
      <c r="AR8320" s="10"/>
      <c r="AS8320" s="10"/>
      <c r="AT8320" s="10"/>
      <c r="AU8320" s="10"/>
      <c r="AV8320" s="10"/>
      <c r="AW8320" s="10"/>
      <c r="AX8320" s="10"/>
      <c r="AY8320" s="10"/>
      <c r="AZ8320" s="10"/>
    </row>
    <row r="8321" spans="31:52">
      <c r="AE8321" s="10"/>
      <c r="AF8321" s="10"/>
      <c r="AG8321" s="10"/>
      <c r="AH8321" s="10"/>
      <c r="AI8321" s="10"/>
      <c r="AJ8321" s="10"/>
      <c r="AK8321" s="10"/>
      <c r="AL8321" s="10"/>
      <c r="AM8321" s="10"/>
      <c r="AN8321" s="10"/>
      <c r="AO8321" s="10"/>
      <c r="AP8321" s="10"/>
      <c r="AQ8321" s="10"/>
      <c r="AR8321" s="10"/>
      <c r="AS8321" s="10"/>
      <c r="AT8321" s="10"/>
      <c r="AU8321" s="10"/>
      <c r="AV8321" s="10"/>
      <c r="AW8321" s="10"/>
      <c r="AX8321" s="10"/>
      <c r="AY8321" s="10"/>
      <c r="AZ8321" s="10"/>
    </row>
    <row r="8322" spans="31:52">
      <c r="AE8322" s="10"/>
      <c r="AF8322" s="10"/>
      <c r="AG8322" s="10"/>
      <c r="AH8322" s="10"/>
      <c r="AI8322" s="10"/>
      <c r="AJ8322" s="10"/>
      <c r="AK8322" s="10"/>
      <c r="AL8322" s="10"/>
      <c r="AM8322" s="10"/>
      <c r="AN8322" s="10"/>
      <c r="AO8322" s="10"/>
      <c r="AP8322" s="10"/>
      <c r="AQ8322" s="10"/>
      <c r="AR8322" s="10"/>
      <c r="AS8322" s="10"/>
      <c r="AT8322" s="10"/>
      <c r="AU8322" s="10"/>
      <c r="AV8322" s="10"/>
      <c r="AW8322" s="10"/>
      <c r="AX8322" s="10"/>
      <c r="AY8322" s="10"/>
      <c r="AZ8322" s="10"/>
    </row>
    <row r="8323" spans="31:52">
      <c r="AE8323" s="10"/>
      <c r="AF8323" s="10"/>
      <c r="AG8323" s="10"/>
      <c r="AH8323" s="10"/>
      <c r="AI8323" s="10"/>
      <c r="AJ8323" s="10"/>
      <c r="AK8323" s="10"/>
      <c r="AL8323" s="10"/>
      <c r="AM8323" s="10"/>
      <c r="AN8323" s="10"/>
      <c r="AO8323" s="10"/>
      <c r="AP8323" s="10"/>
      <c r="AQ8323" s="10"/>
      <c r="AR8323" s="10"/>
      <c r="AS8323" s="10"/>
      <c r="AT8323" s="10"/>
      <c r="AU8323" s="10"/>
      <c r="AV8323" s="10"/>
      <c r="AW8323" s="10"/>
      <c r="AX8323" s="10"/>
      <c r="AY8323" s="10"/>
      <c r="AZ8323" s="10"/>
    </row>
    <row r="8324" spans="31:52">
      <c r="AE8324" s="10"/>
      <c r="AF8324" s="10"/>
      <c r="AG8324" s="10"/>
      <c r="AH8324" s="10"/>
      <c r="AI8324" s="10"/>
      <c r="AJ8324" s="10"/>
      <c r="AK8324" s="10"/>
      <c r="AL8324" s="10"/>
      <c r="AM8324" s="10"/>
      <c r="AN8324" s="10"/>
      <c r="AO8324" s="10"/>
      <c r="AP8324" s="10"/>
      <c r="AQ8324" s="10"/>
      <c r="AR8324" s="10"/>
      <c r="AS8324" s="10"/>
      <c r="AT8324" s="10"/>
      <c r="AU8324" s="10"/>
      <c r="AV8324" s="10"/>
      <c r="AW8324" s="10"/>
      <c r="AX8324" s="10"/>
      <c r="AY8324" s="10"/>
      <c r="AZ8324" s="10"/>
    </row>
    <row r="8325" spans="31:52">
      <c r="AE8325" s="10"/>
      <c r="AF8325" s="10"/>
      <c r="AG8325" s="10"/>
      <c r="AH8325" s="10"/>
      <c r="AI8325" s="10"/>
      <c r="AJ8325" s="10"/>
      <c r="AK8325" s="10"/>
      <c r="AL8325" s="10"/>
      <c r="AM8325" s="10"/>
      <c r="AN8325" s="10"/>
      <c r="AO8325" s="10"/>
      <c r="AP8325" s="10"/>
      <c r="AQ8325" s="10"/>
      <c r="AR8325" s="10"/>
      <c r="AS8325" s="10"/>
      <c r="AT8325" s="10"/>
      <c r="AU8325" s="10"/>
      <c r="AV8325" s="10"/>
      <c r="AW8325" s="10"/>
      <c r="AX8325" s="10"/>
      <c r="AY8325" s="10"/>
      <c r="AZ8325" s="10"/>
    </row>
    <row r="8326" spans="31:52">
      <c r="AE8326" s="10"/>
      <c r="AF8326" s="10"/>
      <c r="AG8326" s="10"/>
      <c r="AH8326" s="10"/>
      <c r="AI8326" s="10"/>
      <c r="AJ8326" s="10"/>
      <c r="AK8326" s="10"/>
      <c r="AL8326" s="10"/>
      <c r="AM8326" s="10"/>
      <c r="AN8326" s="10"/>
      <c r="AO8326" s="10"/>
      <c r="AP8326" s="10"/>
      <c r="AQ8326" s="10"/>
      <c r="AR8326" s="10"/>
      <c r="AS8326" s="10"/>
      <c r="AT8326" s="10"/>
      <c r="AU8326" s="10"/>
      <c r="AV8326" s="10"/>
      <c r="AW8326" s="10"/>
      <c r="AX8326" s="10"/>
      <c r="AY8326" s="10"/>
      <c r="AZ8326" s="10"/>
    </row>
    <row r="8327" spans="31:52">
      <c r="AE8327" s="10"/>
      <c r="AF8327" s="10"/>
      <c r="AG8327" s="10"/>
      <c r="AH8327" s="10"/>
      <c r="AI8327" s="10"/>
      <c r="AJ8327" s="10"/>
      <c r="AK8327" s="10"/>
      <c r="AL8327" s="10"/>
      <c r="AM8327" s="10"/>
      <c r="AN8327" s="10"/>
      <c r="AO8327" s="10"/>
      <c r="AP8327" s="10"/>
      <c r="AQ8327" s="10"/>
      <c r="AR8327" s="10"/>
      <c r="AS8327" s="10"/>
      <c r="AT8327" s="10"/>
      <c r="AU8327" s="10"/>
      <c r="AV8327" s="10"/>
      <c r="AW8327" s="10"/>
      <c r="AX8327" s="10"/>
      <c r="AY8327" s="10"/>
      <c r="AZ8327" s="10"/>
    </row>
    <row r="8328" spans="31:52">
      <c r="AE8328" s="10"/>
      <c r="AF8328" s="10"/>
      <c r="AG8328" s="10"/>
      <c r="AH8328" s="10"/>
      <c r="AI8328" s="10"/>
      <c r="AJ8328" s="10"/>
      <c r="AK8328" s="10"/>
      <c r="AL8328" s="10"/>
      <c r="AM8328" s="10"/>
      <c r="AN8328" s="10"/>
      <c r="AO8328" s="10"/>
      <c r="AP8328" s="10"/>
      <c r="AQ8328" s="10"/>
      <c r="AR8328" s="10"/>
      <c r="AS8328" s="10"/>
      <c r="AT8328" s="10"/>
      <c r="AU8328" s="10"/>
      <c r="AV8328" s="10"/>
      <c r="AW8328" s="10"/>
      <c r="AX8328" s="10"/>
      <c r="AY8328" s="10"/>
      <c r="AZ8328" s="10"/>
    </row>
    <row r="8329" spans="31:52">
      <c r="AE8329" s="10"/>
      <c r="AF8329" s="10"/>
      <c r="AG8329" s="10"/>
      <c r="AH8329" s="10"/>
      <c r="AI8329" s="10"/>
      <c r="AJ8329" s="10"/>
      <c r="AK8329" s="10"/>
      <c r="AL8329" s="10"/>
      <c r="AM8329" s="10"/>
      <c r="AN8329" s="10"/>
      <c r="AO8329" s="10"/>
      <c r="AP8329" s="10"/>
      <c r="AQ8329" s="10"/>
      <c r="AR8329" s="10"/>
      <c r="AS8329" s="10"/>
      <c r="AT8329" s="10"/>
      <c r="AU8329" s="10"/>
      <c r="AV8329" s="10"/>
      <c r="AW8329" s="10"/>
      <c r="AX8329" s="10"/>
      <c r="AY8329" s="10"/>
      <c r="AZ8329" s="10"/>
    </row>
    <row r="8330" spans="31:52">
      <c r="AE8330" s="10"/>
      <c r="AF8330" s="10"/>
      <c r="AG8330" s="10"/>
      <c r="AH8330" s="10"/>
      <c r="AI8330" s="10"/>
      <c r="AJ8330" s="10"/>
      <c r="AK8330" s="10"/>
      <c r="AL8330" s="10"/>
      <c r="AM8330" s="10"/>
      <c r="AN8330" s="10"/>
      <c r="AO8330" s="10"/>
      <c r="AP8330" s="10"/>
      <c r="AQ8330" s="10"/>
      <c r="AR8330" s="10"/>
      <c r="AS8330" s="10"/>
      <c r="AT8330" s="10"/>
      <c r="AU8330" s="10"/>
      <c r="AV8330" s="10"/>
      <c r="AW8330" s="10"/>
      <c r="AX8330" s="10"/>
      <c r="AY8330" s="10"/>
      <c r="AZ8330" s="10"/>
    </row>
    <row r="8331" spans="31:52">
      <c r="AE8331" s="10"/>
      <c r="AF8331" s="10"/>
      <c r="AG8331" s="10"/>
      <c r="AH8331" s="10"/>
      <c r="AI8331" s="10"/>
      <c r="AJ8331" s="10"/>
      <c r="AK8331" s="10"/>
      <c r="AL8331" s="10"/>
      <c r="AM8331" s="10"/>
      <c r="AN8331" s="10"/>
      <c r="AO8331" s="10"/>
      <c r="AP8331" s="10"/>
      <c r="AQ8331" s="10"/>
      <c r="AR8331" s="10"/>
      <c r="AS8331" s="10"/>
      <c r="AT8331" s="10"/>
      <c r="AU8331" s="10"/>
      <c r="AV8331" s="10"/>
      <c r="AW8331" s="10"/>
      <c r="AX8331" s="10"/>
      <c r="AY8331" s="10"/>
      <c r="AZ8331" s="10"/>
    </row>
    <row r="8332" spans="31:52">
      <c r="AE8332" s="10"/>
      <c r="AF8332" s="10"/>
      <c r="AG8332" s="10"/>
      <c r="AH8332" s="10"/>
      <c r="AI8332" s="10"/>
      <c r="AJ8332" s="10"/>
      <c r="AK8332" s="10"/>
      <c r="AL8332" s="10"/>
      <c r="AM8332" s="10"/>
      <c r="AN8332" s="10"/>
      <c r="AO8332" s="10"/>
      <c r="AP8332" s="10"/>
      <c r="AQ8332" s="10"/>
      <c r="AR8332" s="10"/>
      <c r="AS8332" s="10"/>
      <c r="AT8332" s="10"/>
      <c r="AU8332" s="10"/>
      <c r="AV8332" s="10"/>
      <c r="AW8332" s="10"/>
      <c r="AX8332" s="10"/>
      <c r="AY8332" s="10"/>
      <c r="AZ8332" s="10"/>
    </row>
    <row r="8333" spans="31:52">
      <c r="AE8333" s="10"/>
      <c r="AF8333" s="10"/>
      <c r="AG8333" s="10"/>
      <c r="AH8333" s="10"/>
      <c r="AI8333" s="10"/>
      <c r="AJ8333" s="10"/>
      <c r="AK8333" s="10"/>
      <c r="AL8333" s="10"/>
      <c r="AM8333" s="10"/>
      <c r="AN8333" s="10"/>
      <c r="AO8333" s="10"/>
      <c r="AP8333" s="10"/>
      <c r="AQ8333" s="10"/>
      <c r="AR8333" s="10"/>
      <c r="AS8333" s="10"/>
      <c r="AT8333" s="10"/>
      <c r="AU8333" s="10"/>
      <c r="AV8333" s="10"/>
      <c r="AW8333" s="10"/>
      <c r="AX8333" s="10"/>
      <c r="AY8333" s="10"/>
      <c r="AZ8333" s="10"/>
    </row>
    <row r="8334" spans="31:52">
      <c r="AE8334" s="10"/>
      <c r="AF8334" s="10"/>
      <c r="AG8334" s="10"/>
      <c r="AH8334" s="10"/>
      <c r="AI8334" s="10"/>
      <c r="AJ8334" s="10"/>
      <c r="AK8334" s="10"/>
      <c r="AL8334" s="10"/>
      <c r="AM8334" s="10"/>
      <c r="AN8334" s="10"/>
      <c r="AO8334" s="10"/>
      <c r="AP8334" s="10"/>
      <c r="AQ8334" s="10"/>
      <c r="AR8334" s="10"/>
      <c r="AS8334" s="10"/>
      <c r="AT8334" s="10"/>
      <c r="AU8334" s="10"/>
      <c r="AV8334" s="10"/>
      <c r="AW8334" s="10"/>
      <c r="AX8334" s="10"/>
      <c r="AY8334" s="10"/>
      <c r="AZ8334" s="10"/>
    </row>
    <row r="8335" spans="31:52">
      <c r="AE8335" s="10"/>
      <c r="AF8335" s="10"/>
      <c r="AG8335" s="10"/>
      <c r="AH8335" s="10"/>
      <c r="AI8335" s="10"/>
      <c r="AJ8335" s="10"/>
      <c r="AK8335" s="10"/>
      <c r="AL8335" s="10"/>
      <c r="AM8335" s="10"/>
      <c r="AN8335" s="10"/>
      <c r="AO8335" s="10"/>
      <c r="AP8335" s="10"/>
      <c r="AQ8335" s="10"/>
      <c r="AR8335" s="10"/>
      <c r="AS8335" s="10"/>
      <c r="AT8335" s="10"/>
      <c r="AU8335" s="10"/>
      <c r="AV8335" s="10"/>
      <c r="AW8335" s="10"/>
      <c r="AX8335" s="10"/>
      <c r="AY8335" s="10"/>
      <c r="AZ8335" s="10"/>
    </row>
    <row r="8336" spans="31:52">
      <c r="AE8336" s="10"/>
      <c r="AF8336" s="10"/>
      <c r="AG8336" s="10"/>
      <c r="AH8336" s="10"/>
      <c r="AI8336" s="10"/>
      <c r="AJ8336" s="10"/>
      <c r="AK8336" s="10"/>
      <c r="AL8336" s="10"/>
      <c r="AM8336" s="10"/>
      <c r="AN8336" s="10"/>
      <c r="AO8336" s="10"/>
      <c r="AP8336" s="10"/>
      <c r="AQ8336" s="10"/>
      <c r="AR8336" s="10"/>
      <c r="AS8336" s="10"/>
      <c r="AT8336" s="10"/>
      <c r="AU8336" s="10"/>
      <c r="AV8336" s="10"/>
      <c r="AW8336" s="10"/>
      <c r="AX8336" s="10"/>
      <c r="AY8336" s="10"/>
      <c r="AZ8336" s="10"/>
    </row>
    <row r="8337" spans="31:52">
      <c r="AE8337" s="10"/>
      <c r="AF8337" s="10"/>
      <c r="AG8337" s="10"/>
      <c r="AH8337" s="10"/>
      <c r="AI8337" s="10"/>
      <c r="AJ8337" s="10"/>
      <c r="AK8337" s="10"/>
      <c r="AL8337" s="10"/>
      <c r="AM8337" s="10"/>
      <c r="AN8337" s="10"/>
      <c r="AO8337" s="10"/>
      <c r="AP8337" s="10"/>
      <c r="AQ8337" s="10"/>
      <c r="AR8337" s="10"/>
      <c r="AS8337" s="10"/>
      <c r="AT8337" s="10"/>
      <c r="AU8337" s="10"/>
      <c r="AV8337" s="10"/>
      <c r="AW8337" s="10"/>
      <c r="AX8337" s="10"/>
      <c r="AY8337" s="10"/>
      <c r="AZ8337" s="10"/>
    </row>
    <row r="8338" spans="31:52">
      <c r="AE8338" s="10"/>
      <c r="AF8338" s="10"/>
      <c r="AG8338" s="10"/>
      <c r="AH8338" s="10"/>
      <c r="AI8338" s="10"/>
      <c r="AJ8338" s="10"/>
      <c r="AK8338" s="10"/>
      <c r="AL8338" s="10"/>
      <c r="AM8338" s="10"/>
      <c r="AN8338" s="10"/>
      <c r="AO8338" s="10"/>
      <c r="AP8338" s="10"/>
      <c r="AQ8338" s="10"/>
      <c r="AR8338" s="10"/>
      <c r="AS8338" s="10"/>
      <c r="AT8338" s="10"/>
      <c r="AU8338" s="10"/>
      <c r="AV8338" s="10"/>
      <c r="AW8338" s="10"/>
      <c r="AX8338" s="10"/>
      <c r="AY8338" s="10"/>
      <c r="AZ8338" s="10"/>
    </row>
    <row r="8339" spans="31:52">
      <c r="AE8339" s="10"/>
      <c r="AF8339" s="10"/>
      <c r="AG8339" s="10"/>
      <c r="AH8339" s="10"/>
      <c r="AI8339" s="10"/>
      <c r="AJ8339" s="10"/>
      <c r="AK8339" s="10"/>
      <c r="AL8339" s="10"/>
      <c r="AM8339" s="10"/>
      <c r="AN8339" s="10"/>
      <c r="AO8339" s="10"/>
      <c r="AP8339" s="10"/>
      <c r="AQ8339" s="10"/>
      <c r="AR8339" s="10"/>
      <c r="AS8339" s="10"/>
      <c r="AT8339" s="10"/>
      <c r="AU8339" s="10"/>
      <c r="AV8339" s="10"/>
      <c r="AW8339" s="10"/>
      <c r="AX8339" s="10"/>
      <c r="AY8339" s="10"/>
      <c r="AZ8339" s="10"/>
    </row>
    <row r="8340" spans="31:52">
      <c r="AE8340" s="10"/>
      <c r="AF8340" s="10"/>
      <c r="AG8340" s="10"/>
      <c r="AH8340" s="10"/>
      <c r="AI8340" s="10"/>
      <c r="AJ8340" s="10"/>
      <c r="AK8340" s="10"/>
      <c r="AL8340" s="10"/>
      <c r="AM8340" s="10"/>
      <c r="AN8340" s="10"/>
      <c r="AO8340" s="10"/>
      <c r="AP8340" s="10"/>
      <c r="AQ8340" s="10"/>
      <c r="AR8340" s="10"/>
      <c r="AS8340" s="10"/>
      <c r="AT8340" s="10"/>
      <c r="AU8340" s="10"/>
      <c r="AV8340" s="10"/>
      <c r="AW8340" s="10"/>
      <c r="AX8340" s="10"/>
      <c r="AY8340" s="10"/>
      <c r="AZ8340" s="10"/>
    </row>
    <row r="8341" spans="31:52">
      <c r="AE8341" s="10"/>
      <c r="AF8341" s="10"/>
      <c r="AG8341" s="10"/>
      <c r="AH8341" s="10"/>
      <c r="AI8341" s="10"/>
      <c r="AJ8341" s="10"/>
      <c r="AK8341" s="10"/>
      <c r="AL8341" s="10"/>
      <c r="AM8341" s="10"/>
      <c r="AN8341" s="10"/>
      <c r="AO8341" s="10"/>
      <c r="AP8341" s="10"/>
      <c r="AQ8341" s="10"/>
      <c r="AR8341" s="10"/>
      <c r="AS8341" s="10"/>
      <c r="AT8341" s="10"/>
      <c r="AU8341" s="10"/>
      <c r="AV8341" s="10"/>
      <c r="AW8341" s="10"/>
      <c r="AX8341" s="10"/>
      <c r="AY8341" s="10"/>
      <c r="AZ8341" s="10"/>
    </row>
    <row r="8342" spans="31:52">
      <c r="AE8342" s="10"/>
      <c r="AF8342" s="10"/>
      <c r="AG8342" s="10"/>
      <c r="AH8342" s="10"/>
      <c r="AI8342" s="10"/>
      <c r="AJ8342" s="10"/>
      <c r="AK8342" s="10"/>
      <c r="AL8342" s="10"/>
      <c r="AM8342" s="10"/>
      <c r="AN8342" s="10"/>
      <c r="AO8342" s="10"/>
      <c r="AP8342" s="10"/>
      <c r="AQ8342" s="10"/>
      <c r="AR8342" s="10"/>
      <c r="AS8342" s="10"/>
      <c r="AT8342" s="10"/>
      <c r="AU8342" s="10"/>
      <c r="AV8342" s="10"/>
      <c r="AW8342" s="10"/>
      <c r="AX8342" s="10"/>
      <c r="AY8342" s="10"/>
      <c r="AZ8342" s="10"/>
    </row>
    <row r="8343" spans="31:52">
      <c r="AE8343" s="10"/>
      <c r="AF8343" s="10"/>
      <c r="AG8343" s="10"/>
      <c r="AH8343" s="10"/>
      <c r="AI8343" s="10"/>
      <c r="AJ8343" s="10"/>
      <c r="AK8343" s="10"/>
      <c r="AL8343" s="10"/>
      <c r="AM8343" s="10"/>
      <c r="AN8343" s="10"/>
      <c r="AO8343" s="10"/>
      <c r="AP8343" s="10"/>
      <c r="AQ8343" s="10"/>
      <c r="AR8343" s="10"/>
      <c r="AS8343" s="10"/>
      <c r="AT8343" s="10"/>
      <c r="AU8343" s="10"/>
      <c r="AV8343" s="10"/>
      <c r="AW8343" s="10"/>
      <c r="AX8343" s="10"/>
      <c r="AY8343" s="10"/>
      <c r="AZ8343" s="10"/>
    </row>
    <row r="8344" spans="31:52">
      <c r="AE8344" s="10"/>
      <c r="AF8344" s="10"/>
      <c r="AG8344" s="10"/>
      <c r="AH8344" s="10"/>
      <c r="AI8344" s="10"/>
      <c r="AJ8344" s="10"/>
      <c r="AK8344" s="10"/>
      <c r="AL8344" s="10"/>
      <c r="AM8344" s="10"/>
      <c r="AN8344" s="10"/>
      <c r="AO8344" s="10"/>
      <c r="AP8344" s="10"/>
      <c r="AQ8344" s="10"/>
      <c r="AR8344" s="10"/>
      <c r="AS8344" s="10"/>
      <c r="AT8344" s="10"/>
      <c r="AU8344" s="10"/>
      <c r="AV8344" s="10"/>
      <c r="AW8344" s="10"/>
      <c r="AX8344" s="10"/>
      <c r="AY8344" s="10"/>
      <c r="AZ8344" s="10"/>
    </row>
    <row r="8345" spans="31:52">
      <c r="AE8345" s="10"/>
      <c r="AF8345" s="10"/>
      <c r="AG8345" s="10"/>
      <c r="AH8345" s="10"/>
      <c r="AI8345" s="10"/>
      <c r="AJ8345" s="10"/>
      <c r="AK8345" s="10"/>
      <c r="AL8345" s="10"/>
      <c r="AM8345" s="10"/>
      <c r="AN8345" s="10"/>
      <c r="AO8345" s="10"/>
      <c r="AP8345" s="10"/>
      <c r="AQ8345" s="10"/>
      <c r="AR8345" s="10"/>
      <c r="AS8345" s="10"/>
      <c r="AT8345" s="10"/>
      <c r="AU8345" s="10"/>
      <c r="AV8345" s="10"/>
      <c r="AW8345" s="10"/>
      <c r="AX8345" s="10"/>
      <c r="AY8345" s="10"/>
      <c r="AZ8345" s="10"/>
    </row>
    <row r="8346" spans="31:52">
      <c r="AE8346" s="10"/>
      <c r="AF8346" s="10"/>
      <c r="AG8346" s="10"/>
      <c r="AH8346" s="10"/>
      <c r="AI8346" s="10"/>
      <c r="AJ8346" s="10"/>
      <c r="AK8346" s="10"/>
      <c r="AL8346" s="10"/>
      <c r="AM8346" s="10"/>
      <c r="AN8346" s="10"/>
      <c r="AO8346" s="10"/>
      <c r="AP8346" s="10"/>
      <c r="AQ8346" s="10"/>
      <c r="AR8346" s="10"/>
      <c r="AS8346" s="10"/>
      <c r="AT8346" s="10"/>
      <c r="AU8346" s="10"/>
      <c r="AV8346" s="10"/>
      <c r="AW8346" s="10"/>
      <c r="AX8346" s="10"/>
      <c r="AY8346" s="10"/>
      <c r="AZ8346" s="10"/>
    </row>
    <row r="8347" spans="31:52">
      <c r="AE8347" s="10"/>
      <c r="AF8347" s="10"/>
      <c r="AG8347" s="10"/>
      <c r="AH8347" s="10"/>
      <c r="AI8347" s="10"/>
      <c r="AJ8347" s="10"/>
      <c r="AK8347" s="10"/>
      <c r="AL8347" s="10"/>
      <c r="AM8347" s="10"/>
      <c r="AN8347" s="10"/>
      <c r="AO8347" s="10"/>
      <c r="AP8347" s="10"/>
      <c r="AQ8347" s="10"/>
      <c r="AR8347" s="10"/>
      <c r="AS8347" s="10"/>
      <c r="AT8347" s="10"/>
      <c r="AU8347" s="10"/>
      <c r="AV8347" s="10"/>
      <c r="AW8347" s="10"/>
      <c r="AX8347" s="10"/>
      <c r="AY8347" s="10"/>
      <c r="AZ8347" s="10"/>
    </row>
    <row r="8348" spans="31:52">
      <c r="AE8348" s="10"/>
      <c r="AF8348" s="10"/>
      <c r="AG8348" s="10"/>
      <c r="AH8348" s="10"/>
      <c r="AI8348" s="10"/>
      <c r="AJ8348" s="10"/>
      <c r="AK8348" s="10"/>
      <c r="AL8348" s="10"/>
      <c r="AM8348" s="10"/>
      <c r="AN8348" s="10"/>
      <c r="AO8348" s="10"/>
      <c r="AP8348" s="10"/>
      <c r="AQ8348" s="10"/>
      <c r="AR8348" s="10"/>
      <c r="AS8348" s="10"/>
      <c r="AT8348" s="10"/>
      <c r="AU8348" s="10"/>
      <c r="AV8348" s="10"/>
      <c r="AW8348" s="10"/>
      <c r="AX8348" s="10"/>
      <c r="AY8348" s="10"/>
      <c r="AZ8348" s="10"/>
    </row>
    <row r="8349" spans="31:52">
      <c r="AE8349" s="10"/>
      <c r="AF8349" s="10"/>
      <c r="AG8349" s="10"/>
      <c r="AH8349" s="10"/>
      <c r="AI8349" s="10"/>
      <c r="AJ8349" s="10"/>
      <c r="AK8349" s="10"/>
      <c r="AL8349" s="10"/>
      <c r="AM8349" s="10"/>
      <c r="AN8349" s="10"/>
      <c r="AO8349" s="10"/>
      <c r="AP8349" s="10"/>
      <c r="AQ8349" s="10"/>
      <c r="AR8349" s="10"/>
      <c r="AS8349" s="10"/>
      <c r="AT8349" s="10"/>
      <c r="AU8349" s="10"/>
      <c r="AV8349" s="10"/>
      <c r="AW8349" s="10"/>
      <c r="AX8349" s="10"/>
      <c r="AY8349" s="10"/>
      <c r="AZ8349" s="10"/>
    </row>
    <row r="8350" spans="31:52">
      <c r="AE8350" s="10"/>
      <c r="AF8350" s="10"/>
      <c r="AG8350" s="10"/>
      <c r="AH8350" s="10"/>
      <c r="AI8350" s="10"/>
      <c r="AJ8350" s="10"/>
      <c r="AK8350" s="10"/>
      <c r="AL8350" s="10"/>
      <c r="AM8350" s="10"/>
      <c r="AN8350" s="10"/>
      <c r="AO8350" s="10"/>
      <c r="AP8350" s="10"/>
      <c r="AQ8350" s="10"/>
      <c r="AR8350" s="10"/>
      <c r="AS8350" s="10"/>
      <c r="AT8350" s="10"/>
      <c r="AU8350" s="10"/>
      <c r="AV8350" s="10"/>
      <c r="AW8350" s="10"/>
      <c r="AX8350" s="10"/>
      <c r="AY8350" s="10"/>
      <c r="AZ8350" s="10"/>
    </row>
    <row r="8351" spans="31:52">
      <c r="AE8351" s="10"/>
      <c r="AF8351" s="10"/>
      <c r="AG8351" s="10"/>
      <c r="AH8351" s="10"/>
      <c r="AI8351" s="10"/>
      <c r="AJ8351" s="10"/>
      <c r="AK8351" s="10"/>
      <c r="AL8351" s="10"/>
      <c r="AM8351" s="10"/>
      <c r="AN8351" s="10"/>
      <c r="AO8351" s="10"/>
      <c r="AP8351" s="10"/>
      <c r="AQ8351" s="10"/>
      <c r="AR8351" s="10"/>
      <c r="AS8351" s="10"/>
      <c r="AT8351" s="10"/>
      <c r="AU8351" s="10"/>
      <c r="AV8351" s="10"/>
      <c r="AW8351" s="10"/>
      <c r="AX8351" s="10"/>
      <c r="AY8351" s="10"/>
      <c r="AZ8351" s="10"/>
    </row>
    <row r="8352" spans="31:52">
      <c r="AE8352" s="10"/>
      <c r="AF8352" s="10"/>
      <c r="AG8352" s="10"/>
      <c r="AH8352" s="10"/>
      <c r="AI8352" s="10"/>
      <c r="AJ8352" s="10"/>
      <c r="AK8352" s="10"/>
      <c r="AL8352" s="10"/>
      <c r="AM8352" s="10"/>
      <c r="AN8352" s="10"/>
      <c r="AO8352" s="10"/>
      <c r="AP8352" s="10"/>
      <c r="AQ8352" s="10"/>
      <c r="AR8352" s="10"/>
      <c r="AS8352" s="10"/>
      <c r="AT8352" s="10"/>
      <c r="AU8352" s="10"/>
      <c r="AV8352" s="10"/>
      <c r="AW8352" s="10"/>
      <c r="AX8352" s="10"/>
      <c r="AY8352" s="10"/>
      <c r="AZ8352" s="10"/>
    </row>
    <row r="8353" spans="31:52">
      <c r="AE8353" s="10"/>
      <c r="AF8353" s="10"/>
      <c r="AG8353" s="10"/>
      <c r="AH8353" s="10"/>
      <c r="AI8353" s="10"/>
      <c r="AJ8353" s="10"/>
      <c r="AK8353" s="10"/>
      <c r="AL8353" s="10"/>
      <c r="AM8353" s="10"/>
      <c r="AN8353" s="10"/>
      <c r="AO8353" s="10"/>
      <c r="AP8353" s="10"/>
      <c r="AQ8353" s="10"/>
      <c r="AR8353" s="10"/>
      <c r="AS8353" s="10"/>
      <c r="AT8353" s="10"/>
      <c r="AU8353" s="10"/>
      <c r="AV8353" s="10"/>
      <c r="AW8353" s="10"/>
      <c r="AX8353" s="10"/>
      <c r="AY8353" s="10"/>
      <c r="AZ8353" s="10"/>
    </row>
    <row r="8354" spans="31:52">
      <c r="AE8354" s="10"/>
      <c r="AF8354" s="10"/>
      <c r="AG8354" s="10"/>
      <c r="AH8354" s="10"/>
      <c r="AI8354" s="10"/>
      <c r="AJ8354" s="10"/>
      <c r="AK8354" s="10"/>
      <c r="AL8354" s="10"/>
      <c r="AM8354" s="10"/>
      <c r="AN8354" s="10"/>
      <c r="AO8354" s="10"/>
      <c r="AP8354" s="10"/>
      <c r="AQ8354" s="10"/>
      <c r="AR8354" s="10"/>
      <c r="AS8354" s="10"/>
      <c r="AT8354" s="10"/>
      <c r="AU8354" s="10"/>
      <c r="AV8354" s="10"/>
      <c r="AW8354" s="10"/>
      <c r="AX8354" s="10"/>
      <c r="AY8354" s="10"/>
      <c r="AZ8354" s="10"/>
    </row>
    <row r="8355" spans="31:52">
      <c r="AE8355" s="10"/>
      <c r="AF8355" s="10"/>
      <c r="AG8355" s="10"/>
      <c r="AH8355" s="10"/>
      <c r="AI8355" s="10"/>
      <c r="AJ8355" s="10"/>
      <c r="AK8355" s="10"/>
      <c r="AL8355" s="10"/>
      <c r="AM8355" s="10"/>
      <c r="AN8355" s="10"/>
      <c r="AO8355" s="10"/>
      <c r="AP8355" s="10"/>
      <c r="AQ8355" s="10"/>
      <c r="AR8355" s="10"/>
      <c r="AS8355" s="10"/>
      <c r="AT8355" s="10"/>
      <c r="AU8355" s="10"/>
      <c r="AV8355" s="10"/>
      <c r="AW8355" s="10"/>
      <c r="AX8355" s="10"/>
      <c r="AY8355" s="10"/>
      <c r="AZ8355" s="10"/>
    </row>
    <row r="8356" spans="31:52">
      <c r="AE8356" s="10"/>
      <c r="AF8356" s="10"/>
      <c r="AG8356" s="10"/>
      <c r="AH8356" s="10"/>
      <c r="AI8356" s="10"/>
      <c r="AJ8356" s="10"/>
      <c r="AK8356" s="10"/>
      <c r="AL8356" s="10"/>
      <c r="AM8356" s="10"/>
      <c r="AN8356" s="10"/>
      <c r="AO8356" s="10"/>
      <c r="AP8356" s="10"/>
      <c r="AQ8356" s="10"/>
      <c r="AR8356" s="10"/>
      <c r="AS8356" s="10"/>
      <c r="AT8356" s="10"/>
      <c r="AU8356" s="10"/>
      <c r="AV8356" s="10"/>
      <c r="AW8356" s="10"/>
      <c r="AX8356" s="10"/>
      <c r="AY8356" s="10"/>
      <c r="AZ8356" s="10"/>
    </row>
    <row r="8357" spans="31:52">
      <c r="AE8357" s="10"/>
      <c r="AF8357" s="10"/>
      <c r="AG8357" s="10"/>
      <c r="AH8357" s="10"/>
      <c r="AI8357" s="10"/>
      <c r="AJ8357" s="10"/>
      <c r="AK8357" s="10"/>
      <c r="AL8357" s="10"/>
      <c r="AM8357" s="10"/>
      <c r="AN8357" s="10"/>
      <c r="AO8357" s="10"/>
      <c r="AP8357" s="10"/>
      <c r="AQ8357" s="10"/>
      <c r="AR8357" s="10"/>
      <c r="AS8357" s="10"/>
      <c r="AT8357" s="10"/>
      <c r="AU8357" s="10"/>
      <c r="AV8357" s="10"/>
      <c r="AW8357" s="10"/>
      <c r="AX8357" s="10"/>
      <c r="AY8357" s="10"/>
      <c r="AZ8357" s="10"/>
    </row>
    <row r="8358" spans="31:52">
      <c r="AE8358" s="10"/>
      <c r="AF8358" s="10"/>
      <c r="AG8358" s="10"/>
      <c r="AH8358" s="10"/>
      <c r="AI8358" s="10"/>
      <c r="AJ8358" s="10"/>
      <c r="AK8358" s="10"/>
      <c r="AL8358" s="10"/>
      <c r="AM8358" s="10"/>
      <c r="AN8358" s="10"/>
      <c r="AO8358" s="10"/>
      <c r="AP8358" s="10"/>
      <c r="AQ8358" s="10"/>
      <c r="AR8358" s="10"/>
      <c r="AS8358" s="10"/>
      <c r="AT8358" s="10"/>
      <c r="AU8358" s="10"/>
      <c r="AV8358" s="10"/>
      <c r="AW8358" s="10"/>
      <c r="AX8358" s="10"/>
      <c r="AY8358" s="10"/>
      <c r="AZ8358" s="10"/>
    </row>
    <row r="8359" spans="31:52">
      <c r="AE8359" s="10"/>
      <c r="AF8359" s="10"/>
      <c r="AG8359" s="10"/>
      <c r="AH8359" s="10"/>
      <c r="AI8359" s="10"/>
      <c r="AJ8359" s="10"/>
      <c r="AK8359" s="10"/>
      <c r="AL8359" s="10"/>
      <c r="AM8359" s="10"/>
      <c r="AN8359" s="10"/>
      <c r="AO8359" s="10"/>
      <c r="AP8359" s="10"/>
      <c r="AQ8359" s="10"/>
      <c r="AR8359" s="10"/>
      <c r="AS8359" s="10"/>
      <c r="AT8359" s="10"/>
      <c r="AU8359" s="10"/>
      <c r="AV8359" s="10"/>
      <c r="AW8359" s="10"/>
      <c r="AX8359" s="10"/>
      <c r="AY8359" s="10"/>
      <c r="AZ8359" s="10"/>
    </row>
    <row r="8360" spans="31:52">
      <c r="AE8360" s="10"/>
      <c r="AF8360" s="10"/>
      <c r="AG8360" s="10"/>
      <c r="AH8360" s="10"/>
      <c r="AI8360" s="10"/>
      <c r="AJ8360" s="10"/>
      <c r="AK8360" s="10"/>
      <c r="AL8360" s="10"/>
      <c r="AM8360" s="10"/>
      <c r="AN8360" s="10"/>
      <c r="AO8360" s="10"/>
      <c r="AP8360" s="10"/>
      <c r="AQ8360" s="10"/>
      <c r="AR8360" s="10"/>
      <c r="AS8360" s="10"/>
      <c r="AT8360" s="10"/>
      <c r="AU8360" s="10"/>
      <c r="AV8360" s="10"/>
      <c r="AW8360" s="10"/>
      <c r="AX8360" s="10"/>
      <c r="AY8360" s="10"/>
      <c r="AZ8360" s="10"/>
    </row>
    <row r="8361" spans="31:52">
      <c r="AE8361" s="10"/>
      <c r="AF8361" s="10"/>
      <c r="AG8361" s="10"/>
      <c r="AH8361" s="10"/>
      <c r="AI8361" s="10"/>
      <c r="AJ8361" s="10"/>
      <c r="AK8361" s="10"/>
      <c r="AL8361" s="10"/>
      <c r="AM8361" s="10"/>
      <c r="AN8361" s="10"/>
      <c r="AO8361" s="10"/>
      <c r="AP8361" s="10"/>
      <c r="AQ8361" s="10"/>
      <c r="AR8361" s="10"/>
      <c r="AS8361" s="10"/>
      <c r="AT8361" s="10"/>
      <c r="AU8361" s="10"/>
      <c r="AV8361" s="10"/>
      <c r="AW8361" s="10"/>
      <c r="AX8361" s="10"/>
      <c r="AY8361" s="10"/>
      <c r="AZ8361" s="10"/>
    </row>
    <row r="8362" spans="31:52">
      <c r="AE8362" s="10"/>
      <c r="AF8362" s="10"/>
      <c r="AG8362" s="10"/>
      <c r="AH8362" s="10"/>
      <c r="AI8362" s="10"/>
      <c r="AJ8362" s="10"/>
      <c r="AK8362" s="10"/>
      <c r="AL8362" s="10"/>
      <c r="AM8362" s="10"/>
      <c r="AN8362" s="10"/>
      <c r="AO8362" s="10"/>
      <c r="AP8362" s="10"/>
      <c r="AQ8362" s="10"/>
      <c r="AR8362" s="10"/>
      <c r="AS8362" s="10"/>
      <c r="AT8362" s="10"/>
      <c r="AU8362" s="10"/>
      <c r="AV8362" s="10"/>
      <c r="AW8362" s="10"/>
      <c r="AX8362" s="10"/>
      <c r="AY8362" s="10"/>
      <c r="AZ8362" s="10"/>
    </row>
    <row r="8363" spans="31:52">
      <c r="AE8363" s="10"/>
      <c r="AF8363" s="10"/>
      <c r="AG8363" s="10"/>
      <c r="AH8363" s="10"/>
      <c r="AI8363" s="10"/>
      <c r="AJ8363" s="10"/>
      <c r="AK8363" s="10"/>
      <c r="AL8363" s="10"/>
      <c r="AM8363" s="10"/>
      <c r="AN8363" s="10"/>
      <c r="AO8363" s="10"/>
      <c r="AP8363" s="10"/>
      <c r="AQ8363" s="10"/>
      <c r="AR8363" s="10"/>
      <c r="AS8363" s="10"/>
      <c r="AT8363" s="10"/>
      <c r="AU8363" s="10"/>
      <c r="AV8363" s="10"/>
      <c r="AW8363" s="10"/>
      <c r="AX8363" s="10"/>
      <c r="AY8363" s="10"/>
      <c r="AZ8363" s="10"/>
    </row>
    <row r="8364" spans="31:52">
      <c r="AE8364" s="10"/>
      <c r="AF8364" s="10"/>
      <c r="AG8364" s="10"/>
      <c r="AH8364" s="10"/>
      <c r="AI8364" s="10"/>
      <c r="AJ8364" s="10"/>
      <c r="AK8364" s="10"/>
      <c r="AL8364" s="10"/>
      <c r="AM8364" s="10"/>
      <c r="AN8364" s="10"/>
      <c r="AO8364" s="10"/>
      <c r="AP8364" s="10"/>
      <c r="AQ8364" s="10"/>
      <c r="AR8364" s="10"/>
      <c r="AS8364" s="10"/>
      <c r="AT8364" s="10"/>
      <c r="AU8364" s="10"/>
      <c r="AV8364" s="10"/>
      <c r="AW8364" s="10"/>
      <c r="AX8364" s="10"/>
      <c r="AY8364" s="10"/>
      <c r="AZ8364" s="10"/>
    </row>
    <row r="8365" spans="31:52">
      <c r="AE8365" s="10"/>
      <c r="AF8365" s="10"/>
      <c r="AG8365" s="10"/>
      <c r="AH8365" s="10"/>
      <c r="AI8365" s="10"/>
      <c r="AJ8365" s="10"/>
      <c r="AK8365" s="10"/>
      <c r="AL8365" s="10"/>
      <c r="AM8365" s="10"/>
      <c r="AN8365" s="10"/>
      <c r="AO8365" s="10"/>
      <c r="AP8365" s="10"/>
      <c r="AQ8365" s="10"/>
      <c r="AR8365" s="10"/>
      <c r="AS8365" s="10"/>
      <c r="AT8365" s="10"/>
      <c r="AU8365" s="10"/>
      <c r="AV8365" s="10"/>
      <c r="AW8365" s="10"/>
      <c r="AX8365" s="10"/>
      <c r="AY8365" s="10"/>
      <c r="AZ8365" s="10"/>
    </row>
    <row r="8366" spans="31:52">
      <c r="AE8366" s="10"/>
      <c r="AF8366" s="10"/>
      <c r="AG8366" s="10"/>
      <c r="AH8366" s="10"/>
      <c r="AI8366" s="10"/>
      <c r="AJ8366" s="10"/>
      <c r="AK8366" s="10"/>
      <c r="AL8366" s="10"/>
      <c r="AM8366" s="10"/>
      <c r="AN8366" s="10"/>
      <c r="AO8366" s="10"/>
      <c r="AP8366" s="10"/>
      <c r="AQ8366" s="10"/>
      <c r="AR8366" s="10"/>
      <c r="AS8366" s="10"/>
      <c r="AT8366" s="10"/>
      <c r="AU8366" s="10"/>
      <c r="AV8366" s="10"/>
      <c r="AW8366" s="10"/>
      <c r="AX8366" s="10"/>
      <c r="AY8366" s="10"/>
      <c r="AZ8366" s="10"/>
    </row>
    <row r="8367" spans="31:52">
      <c r="AE8367" s="10"/>
      <c r="AF8367" s="10"/>
      <c r="AG8367" s="10"/>
      <c r="AH8367" s="10"/>
      <c r="AI8367" s="10"/>
      <c r="AJ8367" s="10"/>
      <c r="AK8367" s="10"/>
      <c r="AL8367" s="10"/>
      <c r="AM8367" s="10"/>
      <c r="AN8367" s="10"/>
      <c r="AO8367" s="10"/>
      <c r="AP8367" s="10"/>
      <c r="AQ8367" s="10"/>
      <c r="AR8367" s="10"/>
      <c r="AS8367" s="10"/>
      <c r="AT8367" s="10"/>
      <c r="AU8367" s="10"/>
      <c r="AV8367" s="10"/>
      <c r="AW8367" s="10"/>
      <c r="AX8367" s="10"/>
      <c r="AY8367" s="10"/>
      <c r="AZ8367" s="10"/>
    </row>
    <row r="8368" spans="31:52">
      <c r="AE8368" s="10"/>
      <c r="AF8368" s="10"/>
      <c r="AG8368" s="10"/>
      <c r="AH8368" s="10"/>
      <c r="AI8368" s="10"/>
      <c r="AJ8368" s="10"/>
      <c r="AK8368" s="10"/>
      <c r="AL8368" s="10"/>
      <c r="AM8368" s="10"/>
      <c r="AN8368" s="10"/>
      <c r="AO8368" s="10"/>
      <c r="AP8368" s="10"/>
      <c r="AQ8368" s="10"/>
      <c r="AR8368" s="10"/>
      <c r="AS8368" s="10"/>
      <c r="AT8368" s="10"/>
      <c r="AU8368" s="10"/>
      <c r="AV8368" s="10"/>
      <c r="AW8368" s="10"/>
      <c r="AX8368" s="10"/>
      <c r="AY8368" s="10"/>
      <c r="AZ8368" s="10"/>
    </row>
    <row r="8369" spans="31:52">
      <c r="AE8369" s="10"/>
      <c r="AF8369" s="10"/>
      <c r="AG8369" s="10"/>
      <c r="AH8369" s="10"/>
      <c r="AI8369" s="10"/>
      <c r="AJ8369" s="10"/>
      <c r="AK8369" s="10"/>
      <c r="AL8369" s="10"/>
      <c r="AM8369" s="10"/>
      <c r="AN8369" s="10"/>
      <c r="AO8369" s="10"/>
      <c r="AP8369" s="10"/>
      <c r="AQ8369" s="10"/>
      <c r="AR8369" s="10"/>
      <c r="AS8369" s="10"/>
      <c r="AT8369" s="10"/>
      <c r="AU8369" s="10"/>
      <c r="AV8369" s="10"/>
      <c r="AW8369" s="10"/>
      <c r="AX8369" s="10"/>
      <c r="AY8369" s="10"/>
      <c r="AZ8369" s="10"/>
    </row>
    <row r="8370" spans="31:52">
      <c r="AE8370" s="10"/>
      <c r="AF8370" s="10"/>
      <c r="AG8370" s="10"/>
      <c r="AH8370" s="10"/>
      <c r="AI8370" s="10"/>
      <c r="AJ8370" s="10"/>
      <c r="AK8370" s="10"/>
      <c r="AL8370" s="10"/>
      <c r="AM8370" s="10"/>
      <c r="AN8370" s="10"/>
      <c r="AO8370" s="10"/>
      <c r="AP8370" s="10"/>
      <c r="AQ8370" s="10"/>
      <c r="AR8370" s="10"/>
      <c r="AS8370" s="10"/>
      <c r="AT8370" s="10"/>
      <c r="AU8370" s="10"/>
      <c r="AV8370" s="10"/>
      <c r="AW8370" s="10"/>
      <c r="AX8370" s="10"/>
      <c r="AY8370" s="10"/>
      <c r="AZ8370" s="10"/>
    </row>
    <row r="8371" spans="31:52">
      <c r="AE8371" s="10"/>
      <c r="AF8371" s="10"/>
      <c r="AG8371" s="10"/>
      <c r="AH8371" s="10"/>
      <c r="AI8371" s="10"/>
      <c r="AJ8371" s="10"/>
      <c r="AK8371" s="10"/>
      <c r="AL8371" s="10"/>
      <c r="AM8371" s="10"/>
      <c r="AN8371" s="10"/>
      <c r="AO8371" s="10"/>
      <c r="AP8371" s="10"/>
      <c r="AQ8371" s="10"/>
      <c r="AR8371" s="10"/>
      <c r="AS8371" s="10"/>
      <c r="AT8371" s="10"/>
      <c r="AU8371" s="10"/>
      <c r="AV8371" s="10"/>
      <c r="AW8371" s="10"/>
      <c r="AX8371" s="10"/>
      <c r="AY8371" s="10"/>
      <c r="AZ8371" s="10"/>
    </row>
    <row r="8372" spans="31:52">
      <c r="AE8372" s="10"/>
      <c r="AF8372" s="10"/>
      <c r="AG8372" s="10"/>
      <c r="AH8372" s="10"/>
      <c r="AI8372" s="10"/>
      <c r="AJ8372" s="10"/>
      <c r="AK8372" s="10"/>
      <c r="AL8372" s="10"/>
      <c r="AM8372" s="10"/>
      <c r="AN8372" s="10"/>
      <c r="AO8372" s="10"/>
      <c r="AP8372" s="10"/>
      <c r="AQ8372" s="10"/>
      <c r="AR8372" s="10"/>
      <c r="AS8372" s="10"/>
      <c r="AT8372" s="10"/>
      <c r="AU8372" s="10"/>
      <c r="AV8372" s="10"/>
      <c r="AW8372" s="10"/>
      <c r="AX8372" s="10"/>
      <c r="AY8372" s="10"/>
      <c r="AZ8372" s="10"/>
    </row>
    <row r="8373" spans="31:52">
      <c r="AE8373" s="10"/>
      <c r="AF8373" s="10"/>
      <c r="AG8373" s="10"/>
      <c r="AH8373" s="10"/>
      <c r="AI8373" s="10"/>
      <c r="AJ8373" s="10"/>
      <c r="AK8373" s="10"/>
      <c r="AL8373" s="10"/>
      <c r="AM8373" s="10"/>
      <c r="AN8373" s="10"/>
      <c r="AO8373" s="10"/>
      <c r="AP8373" s="10"/>
      <c r="AQ8373" s="10"/>
      <c r="AR8373" s="10"/>
      <c r="AS8373" s="10"/>
      <c r="AT8373" s="10"/>
      <c r="AU8373" s="10"/>
      <c r="AV8373" s="10"/>
      <c r="AW8373" s="10"/>
      <c r="AX8373" s="10"/>
      <c r="AY8373" s="10"/>
      <c r="AZ8373" s="10"/>
    </row>
    <row r="8374" spans="31:52">
      <c r="AE8374" s="10"/>
      <c r="AF8374" s="10"/>
      <c r="AG8374" s="10"/>
      <c r="AH8374" s="10"/>
      <c r="AI8374" s="10"/>
      <c r="AJ8374" s="10"/>
      <c r="AK8374" s="10"/>
      <c r="AL8374" s="10"/>
      <c r="AM8374" s="10"/>
      <c r="AN8374" s="10"/>
      <c r="AO8374" s="10"/>
      <c r="AP8374" s="10"/>
      <c r="AQ8374" s="10"/>
      <c r="AR8374" s="10"/>
      <c r="AS8374" s="10"/>
      <c r="AT8374" s="10"/>
      <c r="AU8374" s="10"/>
      <c r="AV8374" s="10"/>
      <c r="AW8374" s="10"/>
      <c r="AX8374" s="10"/>
      <c r="AY8374" s="10"/>
      <c r="AZ8374" s="10"/>
    </row>
    <row r="8375" spans="31:52">
      <c r="AE8375" s="10"/>
      <c r="AF8375" s="10"/>
      <c r="AG8375" s="10"/>
      <c r="AH8375" s="10"/>
      <c r="AI8375" s="10"/>
      <c r="AJ8375" s="10"/>
      <c r="AK8375" s="10"/>
      <c r="AL8375" s="10"/>
      <c r="AM8375" s="10"/>
      <c r="AN8375" s="10"/>
      <c r="AO8375" s="10"/>
      <c r="AP8375" s="10"/>
      <c r="AQ8375" s="10"/>
      <c r="AR8375" s="10"/>
      <c r="AS8375" s="10"/>
      <c r="AT8375" s="10"/>
      <c r="AU8375" s="10"/>
      <c r="AV8375" s="10"/>
      <c r="AW8375" s="10"/>
      <c r="AX8375" s="10"/>
      <c r="AY8375" s="10"/>
      <c r="AZ8375" s="10"/>
    </row>
    <row r="8376" spans="31:52">
      <c r="AE8376" s="10"/>
      <c r="AF8376" s="10"/>
      <c r="AG8376" s="10"/>
      <c r="AH8376" s="10"/>
      <c r="AI8376" s="10"/>
      <c r="AJ8376" s="10"/>
      <c r="AK8376" s="10"/>
      <c r="AL8376" s="10"/>
      <c r="AM8376" s="10"/>
      <c r="AN8376" s="10"/>
      <c r="AO8376" s="10"/>
      <c r="AP8376" s="10"/>
      <c r="AQ8376" s="10"/>
      <c r="AR8376" s="10"/>
      <c r="AS8376" s="10"/>
      <c r="AT8376" s="10"/>
      <c r="AU8376" s="10"/>
      <c r="AV8376" s="10"/>
      <c r="AW8376" s="10"/>
      <c r="AX8376" s="10"/>
      <c r="AY8376" s="10"/>
      <c r="AZ8376" s="10"/>
    </row>
    <row r="8377" spans="31:52">
      <c r="AE8377" s="10"/>
      <c r="AF8377" s="10"/>
      <c r="AG8377" s="10"/>
      <c r="AH8377" s="10"/>
      <c r="AI8377" s="10"/>
      <c r="AJ8377" s="10"/>
      <c r="AK8377" s="10"/>
      <c r="AL8377" s="10"/>
      <c r="AM8377" s="10"/>
      <c r="AN8377" s="10"/>
      <c r="AO8377" s="10"/>
      <c r="AP8377" s="10"/>
      <c r="AQ8377" s="10"/>
      <c r="AR8377" s="10"/>
      <c r="AS8377" s="10"/>
      <c r="AT8377" s="10"/>
      <c r="AU8377" s="10"/>
      <c r="AV8377" s="10"/>
      <c r="AW8377" s="10"/>
      <c r="AX8377" s="10"/>
      <c r="AY8377" s="10"/>
      <c r="AZ8377" s="10"/>
    </row>
    <row r="8378" spans="31:52">
      <c r="AE8378" s="10"/>
      <c r="AF8378" s="10"/>
      <c r="AG8378" s="10"/>
      <c r="AH8378" s="10"/>
      <c r="AI8378" s="10"/>
      <c r="AJ8378" s="10"/>
      <c r="AK8378" s="10"/>
      <c r="AL8378" s="10"/>
      <c r="AM8378" s="10"/>
      <c r="AN8378" s="10"/>
      <c r="AO8378" s="10"/>
      <c r="AP8378" s="10"/>
      <c r="AQ8378" s="10"/>
      <c r="AR8378" s="10"/>
      <c r="AS8378" s="10"/>
      <c r="AT8378" s="10"/>
      <c r="AU8378" s="10"/>
      <c r="AV8378" s="10"/>
      <c r="AW8378" s="10"/>
      <c r="AX8378" s="10"/>
      <c r="AY8378" s="10"/>
      <c r="AZ8378" s="10"/>
    </row>
    <row r="8379" spans="31:52">
      <c r="AE8379" s="10"/>
      <c r="AF8379" s="10"/>
      <c r="AG8379" s="10"/>
      <c r="AH8379" s="10"/>
      <c r="AI8379" s="10"/>
      <c r="AJ8379" s="10"/>
      <c r="AK8379" s="10"/>
      <c r="AL8379" s="10"/>
      <c r="AM8379" s="10"/>
      <c r="AN8379" s="10"/>
      <c r="AO8379" s="10"/>
      <c r="AP8379" s="10"/>
      <c r="AQ8379" s="10"/>
      <c r="AR8379" s="10"/>
      <c r="AS8379" s="10"/>
      <c r="AT8379" s="10"/>
      <c r="AU8379" s="10"/>
      <c r="AV8379" s="10"/>
      <c r="AW8379" s="10"/>
      <c r="AX8379" s="10"/>
      <c r="AY8379" s="10"/>
      <c r="AZ8379" s="10"/>
    </row>
    <row r="8380" spans="31:52">
      <c r="AE8380" s="10"/>
      <c r="AF8380" s="10"/>
      <c r="AG8380" s="10"/>
      <c r="AH8380" s="10"/>
      <c r="AI8380" s="10"/>
      <c r="AJ8380" s="10"/>
      <c r="AK8380" s="10"/>
      <c r="AL8380" s="10"/>
      <c r="AM8380" s="10"/>
      <c r="AN8380" s="10"/>
      <c r="AO8380" s="10"/>
      <c r="AP8380" s="10"/>
      <c r="AQ8380" s="10"/>
      <c r="AR8380" s="10"/>
      <c r="AS8380" s="10"/>
      <c r="AT8380" s="10"/>
      <c r="AU8380" s="10"/>
      <c r="AV8380" s="10"/>
      <c r="AW8380" s="10"/>
      <c r="AX8380" s="10"/>
      <c r="AY8380" s="10"/>
      <c r="AZ8380" s="10"/>
    </row>
    <row r="8381" spans="31:52">
      <c r="AE8381" s="10"/>
      <c r="AF8381" s="10"/>
      <c r="AG8381" s="10"/>
      <c r="AH8381" s="10"/>
      <c r="AI8381" s="10"/>
      <c r="AJ8381" s="10"/>
      <c r="AK8381" s="10"/>
      <c r="AL8381" s="10"/>
      <c r="AM8381" s="10"/>
      <c r="AN8381" s="10"/>
      <c r="AO8381" s="10"/>
      <c r="AP8381" s="10"/>
      <c r="AQ8381" s="10"/>
      <c r="AR8381" s="10"/>
      <c r="AS8381" s="10"/>
      <c r="AT8381" s="10"/>
      <c r="AU8381" s="10"/>
      <c r="AV8381" s="10"/>
      <c r="AW8381" s="10"/>
      <c r="AX8381" s="10"/>
      <c r="AY8381" s="10"/>
      <c r="AZ8381" s="10"/>
    </row>
    <row r="8382" spans="31:52">
      <c r="AE8382" s="10"/>
      <c r="AF8382" s="10"/>
      <c r="AG8382" s="10"/>
      <c r="AH8382" s="10"/>
      <c r="AI8382" s="10"/>
      <c r="AJ8382" s="10"/>
      <c r="AK8382" s="10"/>
      <c r="AL8382" s="10"/>
      <c r="AM8382" s="10"/>
      <c r="AN8382" s="10"/>
      <c r="AO8382" s="10"/>
      <c r="AP8382" s="10"/>
      <c r="AQ8382" s="10"/>
      <c r="AR8382" s="10"/>
      <c r="AS8382" s="10"/>
      <c r="AT8382" s="10"/>
      <c r="AU8382" s="10"/>
      <c r="AV8382" s="10"/>
      <c r="AW8382" s="10"/>
      <c r="AX8382" s="10"/>
      <c r="AY8382" s="10"/>
      <c r="AZ8382" s="10"/>
    </row>
    <row r="8383" spans="31:52">
      <c r="AE8383" s="10"/>
      <c r="AF8383" s="10"/>
      <c r="AG8383" s="10"/>
      <c r="AH8383" s="10"/>
      <c r="AI8383" s="10"/>
      <c r="AJ8383" s="10"/>
      <c r="AK8383" s="10"/>
      <c r="AL8383" s="10"/>
      <c r="AM8383" s="10"/>
      <c r="AN8383" s="10"/>
      <c r="AO8383" s="10"/>
      <c r="AP8383" s="10"/>
      <c r="AQ8383" s="10"/>
      <c r="AR8383" s="10"/>
      <c r="AS8383" s="10"/>
      <c r="AT8383" s="10"/>
      <c r="AU8383" s="10"/>
      <c r="AV8383" s="10"/>
      <c r="AW8383" s="10"/>
      <c r="AX8383" s="10"/>
      <c r="AY8383" s="10"/>
      <c r="AZ8383" s="10"/>
    </row>
    <row r="8384" spans="31:52">
      <c r="AE8384" s="10"/>
      <c r="AF8384" s="10"/>
      <c r="AG8384" s="10"/>
      <c r="AH8384" s="10"/>
      <c r="AI8384" s="10"/>
      <c r="AJ8384" s="10"/>
      <c r="AK8384" s="10"/>
      <c r="AL8384" s="10"/>
      <c r="AM8384" s="10"/>
      <c r="AN8384" s="10"/>
      <c r="AO8384" s="10"/>
      <c r="AP8384" s="10"/>
      <c r="AQ8384" s="10"/>
      <c r="AR8384" s="10"/>
      <c r="AS8384" s="10"/>
      <c r="AT8384" s="10"/>
      <c r="AU8384" s="10"/>
      <c r="AV8384" s="10"/>
      <c r="AW8384" s="10"/>
      <c r="AX8384" s="10"/>
      <c r="AY8384" s="10"/>
      <c r="AZ8384" s="10"/>
    </row>
    <row r="8385" spans="31:52">
      <c r="AE8385" s="10"/>
      <c r="AF8385" s="10"/>
      <c r="AG8385" s="10"/>
      <c r="AH8385" s="10"/>
      <c r="AI8385" s="10"/>
      <c r="AJ8385" s="10"/>
      <c r="AK8385" s="10"/>
      <c r="AL8385" s="10"/>
      <c r="AM8385" s="10"/>
      <c r="AN8385" s="10"/>
      <c r="AO8385" s="10"/>
      <c r="AP8385" s="10"/>
      <c r="AQ8385" s="10"/>
      <c r="AR8385" s="10"/>
      <c r="AS8385" s="10"/>
      <c r="AT8385" s="10"/>
      <c r="AU8385" s="10"/>
      <c r="AV8385" s="10"/>
      <c r="AW8385" s="10"/>
      <c r="AX8385" s="10"/>
      <c r="AY8385" s="10"/>
      <c r="AZ8385" s="10"/>
    </row>
    <row r="8386" spans="31:52">
      <c r="AE8386" s="10"/>
      <c r="AF8386" s="10"/>
      <c r="AG8386" s="10"/>
      <c r="AH8386" s="10"/>
      <c r="AI8386" s="10"/>
      <c r="AJ8386" s="10"/>
      <c r="AK8386" s="10"/>
      <c r="AL8386" s="10"/>
      <c r="AM8386" s="10"/>
      <c r="AN8386" s="10"/>
      <c r="AO8386" s="10"/>
      <c r="AP8386" s="10"/>
      <c r="AQ8386" s="10"/>
      <c r="AR8386" s="10"/>
      <c r="AS8386" s="10"/>
      <c r="AT8386" s="10"/>
      <c r="AU8386" s="10"/>
      <c r="AV8386" s="10"/>
      <c r="AW8386" s="10"/>
      <c r="AX8386" s="10"/>
      <c r="AY8386" s="10"/>
      <c r="AZ8386" s="10"/>
    </row>
    <row r="8387" spans="31:52">
      <c r="AE8387" s="10"/>
      <c r="AF8387" s="10"/>
      <c r="AG8387" s="10"/>
      <c r="AH8387" s="10"/>
      <c r="AI8387" s="10"/>
      <c r="AJ8387" s="10"/>
      <c r="AK8387" s="10"/>
      <c r="AL8387" s="10"/>
      <c r="AM8387" s="10"/>
      <c r="AN8387" s="10"/>
      <c r="AO8387" s="10"/>
      <c r="AP8387" s="10"/>
      <c r="AQ8387" s="10"/>
      <c r="AR8387" s="10"/>
      <c r="AS8387" s="10"/>
      <c r="AT8387" s="10"/>
      <c r="AU8387" s="10"/>
      <c r="AV8387" s="10"/>
      <c r="AW8387" s="10"/>
      <c r="AX8387" s="10"/>
      <c r="AY8387" s="10"/>
      <c r="AZ8387" s="10"/>
    </row>
    <row r="8388" spans="31:52">
      <c r="AE8388" s="10"/>
      <c r="AF8388" s="10"/>
      <c r="AG8388" s="10"/>
      <c r="AH8388" s="10"/>
      <c r="AI8388" s="10"/>
      <c r="AJ8388" s="10"/>
      <c r="AK8388" s="10"/>
      <c r="AL8388" s="10"/>
      <c r="AM8388" s="10"/>
      <c r="AN8388" s="10"/>
      <c r="AO8388" s="10"/>
      <c r="AP8388" s="10"/>
      <c r="AQ8388" s="10"/>
      <c r="AR8388" s="10"/>
      <c r="AS8388" s="10"/>
      <c r="AT8388" s="10"/>
      <c r="AU8388" s="10"/>
      <c r="AV8388" s="10"/>
      <c r="AW8388" s="10"/>
      <c r="AX8388" s="10"/>
      <c r="AY8388" s="10"/>
      <c r="AZ8388" s="10"/>
    </row>
    <row r="8389" spans="31:52">
      <c r="AE8389" s="10"/>
      <c r="AF8389" s="10"/>
      <c r="AG8389" s="10"/>
      <c r="AH8389" s="10"/>
      <c r="AI8389" s="10"/>
      <c r="AJ8389" s="10"/>
      <c r="AK8389" s="10"/>
      <c r="AL8389" s="10"/>
      <c r="AM8389" s="10"/>
      <c r="AN8389" s="10"/>
      <c r="AO8389" s="10"/>
      <c r="AP8389" s="10"/>
      <c r="AQ8389" s="10"/>
      <c r="AR8389" s="10"/>
      <c r="AS8389" s="10"/>
      <c r="AT8389" s="10"/>
      <c r="AU8389" s="10"/>
      <c r="AV8389" s="10"/>
      <c r="AW8389" s="10"/>
      <c r="AX8389" s="10"/>
      <c r="AY8389" s="10"/>
      <c r="AZ8389" s="10"/>
    </row>
    <row r="8390" spans="31:52">
      <c r="AE8390" s="10"/>
      <c r="AF8390" s="10"/>
      <c r="AG8390" s="10"/>
      <c r="AH8390" s="10"/>
      <c r="AI8390" s="10"/>
      <c r="AJ8390" s="10"/>
      <c r="AK8390" s="10"/>
      <c r="AL8390" s="10"/>
      <c r="AM8390" s="10"/>
      <c r="AN8390" s="10"/>
      <c r="AO8390" s="10"/>
      <c r="AP8390" s="10"/>
      <c r="AQ8390" s="10"/>
      <c r="AR8390" s="10"/>
      <c r="AS8390" s="10"/>
      <c r="AT8390" s="10"/>
      <c r="AU8390" s="10"/>
      <c r="AV8390" s="10"/>
      <c r="AW8390" s="10"/>
      <c r="AX8390" s="10"/>
      <c r="AY8390" s="10"/>
      <c r="AZ8390" s="10"/>
    </row>
    <row r="8391" spans="31:52">
      <c r="AE8391" s="10"/>
      <c r="AF8391" s="10"/>
      <c r="AG8391" s="10"/>
      <c r="AH8391" s="10"/>
      <c r="AI8391" s="10"/>
      <c r="AJ8391" s="10"/>
      <c r="AK8391" s="10"/>
      <c r="AL8391" s="10"/>
      <c r="AM8391" s="10"/>
      <c r="AN8391" s="10"/>
      <c r="AO8391" s="10"/>
      <c r="AP8391" s="10"/>
      <c r="AQ8391" s="10"/>
      <c r="AR8391" s="10"/>
      <c r="AS8391" s="10"/>
      <c r="AT8391" s="10"/>
      <c r="AU8391" s="10"/>
      <c r="AV8391" s="10"/>
      <c r="AW8391" s="10"/>
      <c r="AX8391" s="10"/>
      <c r="AY8391" s="10"/>
      <c r="AZ8391" s="10"/>
    </row>
    <row r="8392" spans="31:52">
      <c r="AE8392" s="10"/>
      <c r="AF8392" s="10"/>
      <c r="AG8392" s="10"/>
      <c r="AH8392" s="10"/>
      <c r="AI8392" s="10"/>
      <c r="AJ8392" s="10"/>
      <c r="AK8392" s="10"/>
      <c r="AL8392" s="10"/>
      <c r="AM8392" s="10"/>
      <c r="AN8392" s="10"/>
      <c r="AO8392" s="10"/>
      <c r="AP8392" s="10"/>
      <c r="AQ8392" s="10"/>
      <c r="AR8392" s="10"/>
      <c r="AS8392" s="10"/>
      <c r="AT8392" s="10"/>
      <c r="AU8392" s="10"/>
      <c r="AV8392" s="10"/>
      <c r="AW8392" s="10"/>
      <c r="AX8392" s="10"/>
      <c r="AY8392" s="10"/>
      <c r="AZ8392" s="10"/>
    </row>
    <row r="8393" spans="31:52">
      <c r="AE8393" s="10"/>
      <c r="AF8393" s="10"/>
      <c r="AG8393" s="10"/>
      <c r="AH8393" s="10"/>
      <c r="AI8393" s="10"/>
      <c r="AJ8393" s="10"/>
      <c r="AK8393" s="10"/>
      <c r="AL8393" s="10"/>
      <c r="AM8393" s="10"/>
      <c r="AN8393" s="10"/>
      <c r="AO8393" s="10"/>
      <c r="AP8393" s="10"/>
      <c r="AQ8393" s="10"/>
      <c r="AR8393" s="10"/>
      <c r="AS8393" s="10"/>
      <c r="AT8393" s="10"/>
      <c r="AU8393" s="10"/>
      <c r="AV8393" s="10"/>
      <c r="AW8393" s="10"/>
      <c r="AX8393" s="10"/>
      <c r="AY8393" s="10"/>
      <c r="AZ8393" s="10"/>
    </row>
    <row r="8394" spans="31:52">
      <c r="AE8394" s="10"/>
      <c r="AF8394" s="10"/>
      <c r="AG8394" s="10"/>
      <c r="AH8394" s="10"/>
      <c r="AI8394" s="10"/>
      <c r="AJ8394" s="10"/>
      <c r="AK8394" s="10"/>
      <c r="AL8394" s="10"/>
      <c r="AM8394" s="10"/>
      <c r="AN8394" s="10"/>
      <c r="AO8394" s="10"/>
      <c r="AP8394" s="10"/>
      <c r="AQ8394" s="10"/>
      <c r="AR8394" s="10"/>
      <c r="AS8394" s="10"/>
      <c r="AT8394" s="10"/>
      <c r="AU8394" s="10"/>
      <c r="AV8394" s="10"/>
      <c r="AW8394" s="10"/>
      <c r="AX8394" s="10"/>
      <c r="AY8394" s="10"/>
      <c r="AZ8394" s="10"/>
    </row>
    <row r="8395" spans="31:52">
      <c r="AE8395" s="10"/>
      <c r="AF8395" s="10"/>
      <c r="AG8395" s="10"/>
      <c r="AH8395" s="10"/>
      <c r="AI8395" s="10"/>
      <c r="AJ8395" s="10"/>
      <c r="AK8395" s="10"/>
      <c r="AL8395" s="10"/>
      <c r="AM8395" s="10"/>
      <c r="AN8395" s="10"/>
      <c r="AO8395" s="10"/>
      <c r="AP8395" s="10"/>
      <c r="AQ8395" s="10"/>
      <c r="AR8395" s="10"/>
      <c r="AS8395" s="10"/>
      <c r="AT8395" s="10"/>
      <c r="AU8395" s="10"/>
      <c r="AV8395" s="10"/>
      <c r="AW8395" s="10"/>
      <c r="AX8395" s="10"/>
      <c r="AY8395" s="10"/>
      <c r="AZ8395" s="10"/>
    </row>
    <row r="8396" spans="31:52">
      <c r="AE8396" s="10"/>
      <c r="AF8396" s="10"/>
      <c r="AG8396" s="10"/>
      <c r="AH8396" s="10"/>
      <c r="AI8396" s="10"/>
      <c r="AJ8396" s="10"/>
      <c r="AK8396" s="10"/>
      <c r="AL8396" s="10"/>
      <c r="AM8396" s="10"/>
      <c r="AN8396" s="10"/>
      <c r="AO8396" s="10"/>
      <c r="AP8396" s="10"/>
      <c r="AQ8396" s="10"/>
      <c r="AR8396" s="10"/>
      <c r="AS8396" s="10"/>
      <c r="AT8396" s="10"/>
      <c r="AU8396" s="10"/>
      <c r="AV8396" s="10"/>
      <c r="AW8396" s="10"/>
      <c r="AX8396" s="10"/>
      <c r="AY8396" s="10"/>
      <c r="AZ8396" s="10"/>
    </row>
    <row r="8397" spans="31:52">
      <c r="AE8397" s="10"/>
      <c r="AF8397" s="10"/>
      <c r="AG8397" s="10"/>
      <c r="AH8397" s="10"/>
      <c r="AI8397" s="10"/>
      <c r="AJ8397" s="10"/>
      <c r="AK8397" s="10"/>
      <c r="AL8397" s="10"/>
      <c r="AM8397" s="10"/>
      <c r="AN8397" s="10"/>
      <c r="AO8397" s="10"/>
      <c r="AP8397" s="10"/>
      <c r="AQ8397" s="10"/>
      <c r="AR8397" s="10"/>
      <c r="AS8397" s="10"/>
      <c r="AT8397" s="10"/>
      <c r="AU8397" s="10"/>
      <c r="AV8397" s="10"/>
      <c r="AW8397" s="10"/>
      <c r="AX8397" s="10"/>
      <c r="AY8397" s="10"/>
      <c r="AZ8397" s="10"/>
    </row>
    <row r="8398" spans="31:52">
      <c r="AE8398" s="10"/>
      <c r="AF8398" s="10"/>
      <c r="AG8398" s="10"/>
      <c r="AH8398" s="10"/>
      <c r="AI8398" s="10"/>
      <c r="AJ8398" s="10"/>
      <c r="AK8398" s="10"/>
      <c r="AL8398" s="10"/>
      <c r="AM8398" s="10"/>
      <c r="AN8398" s="10"/>
      <c r="AO8398" s="10"/>
      <c r="AP8398" s="10"/>
      <c r="AQ8398" s="10"/>
      <c r="AR8398" s="10"/>
      <c r="AS8398" s="10"/>
      <c r="AT8398" s="10"/>
      <c r="AU8398" s="10"/>
      <c r="AV8398" s="10"/>
      <c r="AW8398" s="10"/>
      <c r="AX8398" s="10"/>
      <c r="AY8398" s="10"/>
      <c r="AZ8398" s="10"/>
    </row>
    <row r="8399" spans="31:52">
      <c r="AE8399" s="10"/>
      <c r="AF8399" s="10"/>
      <c r="AG8399" s="10"/>
      <c r="AH8399" s="10"/>
      <c r="AI8399" s="10"/>
      <c r="AJ8399" s="10"/>
      <c r="AK8399" s="10"/>
      <c r="AL8399" s="10"/>
      <c r="AM8399" s="10"/>
      <c r="AN8399" s="10"/>
      <c r="AO8399" s="10"/>
      <c r="AP8399" s="10"/>
      <c r="AQ8399" s="10"/>
      <c r="AR8399" s="10"/>
      <c r="AS8399" s="10"/>
      <c r="AT8399" s="10"/>
      <c r="AU8399" s="10"/>
      <c r="AV8399" s="10"/>
      <c r="AW8399" s="10"/>
      <c r="AX8399" s="10"/>
      <c r="AY8399" s="10"/>
      <c r="AZ8399" s="10"/>
    </row>
    <row r="8400" spans="31:52">
      <c r="AE8400" s="10"/>
      <c r="AF8400" s="10"/>
      <c r="AG8400" s="10"/>
      <c r="AH8400" s="10"/>
      <c r="AI8400" s="10"/>
      <c r="AJ8400" s="10"/>
      <c r="AK8400" s="10"/>
      <c r="AL8400" s="10"/>
      <c r="AM8400" s="10"/>
      <c r="AN8400" s="10"/>
      <c r="AO8400" s="10"/>
      <c r="AP8400" s="10"/>
      <c r="AQ8400" s="10"/>
      <c r="AR8400" s="10"/>
      <c r="AS8400" s="10"/>
      <c r="AT8400" s="10"/>
      <c r="AU8400" s="10"/>
      <c r="AV8400" s="10"/>
      <c r="AW8400" s="10"/>
      <c r="AX8400" s="10"/>
      <c r="AY8400" s="10"/>
      <c r="AZ8400" s="10"/>
    </row>
    <row r="8401" spans="31:52">
      <c r="AE8401" s="10"/>
      <c r="AF8401" s="10"/>
      <c r="AG8401" s="10"/>
      <c r="AH8401" s="10"/>
      <c r="AI8401" s="10"/>
      <c r="AJ8401" s="10"/>
      <c r="AK8401" s="10"/>
      <c r="AL8401" s="10"/>
      <c r="AM8401" s="10"/>
      <c r="AN8401" s="10"/>
      <c r="AO8401" s="10"/>
      <c r="AP8401" s="10"/>
      <c r="AQ8401" s="10"/>
      <c r="AR8401" s="10"/>
      <c r="AS8401" s="10"/>
      <c r="AT8401" s="10"/>
      <c r="AU8401" s="10"/>
      <c r="AV8401" s="10"/>
      <c r="AW8401" s="10"/>
      <c r="AX8401" s="10"/>
      <c r="AY8401" s="10"/>
      <c r="AZ8401" s="10"/>
    </row>
    <row r="8402" spans="31:52">
      <c r="AE8402" s="10"/>
      <c r="AF8402" s="10"/>
      <c r="AG8402" s="10"/>
      <c r="AH8402" s="10"/>
      <c r="AI8402" s="10"/>
      <c r="AJ8402" s="10"/>
      <c r="AK8402" s="10"/>
      <c r="AL8402" s="10"/>
      <c r="AM8402" s="10"/>
      <c r="AN8402" s="10"/>
      <c r="AO8402" s="10"/>
      <c r="AP8402" s="10"/>
      <c r="AQ8402" s="10"/>
      <c r="AR8402" s="10"/>
      <c r="AS8402" s="10"/>
      <c r="AT8402" s="10"/>
      <c r="AU8402" s="10"/>
      <c r="AV8402" s="10"/>
      <c r="AW8402" s="10"/>
      <c r="AX8402" s="10"/>
      <c r="AY8402" s="10"/>
      <c r="AZ8402" s="10"/>
    </row>
    <row r="8403" spans="31:52">
      <c r="AE8403" s="10"/>
      <c r="AF8403" s="10"/>
      <c r="AG8403" s="10"/>
      <c r="AH8403" s="10"/>
      <c r="AI8403" s="10"/>
      <c r="AJ8403" s="10"/>
      <c r="AK8403" s="10"/>
      <c r="AL8403" s="10"/>
      <c r="AM8403" s="10"/>
      <c r="AN8403" s="10"/>
      <c r="AO8403" s="10"/>
      <c r="AP8403" s="10"/>
      <c r="AQ8403" s="10"/>
      <c r="AR8403" s="10"/>
      <c r="AS8403" s="10"/>
      <c r="AT8403" s="10"/>
      <c r="AU8403" s="10"/>
      <c r="AV8403" s="10"/>
      <c r="AW8403" s="10"/>
      <c r="AX8403" s="10"/>
      <c r="AY8403" s="10"/>
      <c r="AZ8403" s="10"/>
    </row>
    <row r="8404" spans="31:52">
      <c r="AE8404" s="10"/>
      <c r="AF8404" s="10"/>
      <c r="AG8404" s="10"/>
      <c r="AH8404" s="10"/>
      <c r="AI8404" s="10"/>
      <c r="AJ8404" s="10"/>
      <c r="AK8404" s="10"/>
      <c r="AL8404" s="10"/>
      <c r="AM8404" s="10"/>
      <c r="AN8404" s="10"/>
      <c r="AO8404" s="10"/>
      <c r="AP8404" s="10"/>
      <c r="AQ8404" s="10"/>
      <c r="AR8404" s="10"/>
      <c r="AS8404" s="10"/>
      <c r="AT8404" s="10"/>
      <c r="AU8404" s="10"/>
      <c r="AV8404" s="10"/>
      <c r="AW8404" s="10"/>
      <c r="AX8404" s="10"/>
      <c r="AY8404" s="10"/>
      <c r="AZ8404" s="10"/>
    </row>
    <row r="8405" spans="31:52">
      <c r="AE8405" s="10"/>
      <c r="AF8405" s="10"/>
      <c r="AG8405" s="10"/>
      <c r="AH8405" s="10"/>
      <c r="AI8405" s="10"/>
      <c r="AJ8405" s="10"/>
      <c r="AK8405" s="10"/>
      <c r="AL8405" s="10"/>
      <c r="AM8405" s="10"/>
      <c r="AN8405" s="10"/>
      <c r="AO8405" s="10"/>
      <c r="AP8405" s="10"/>
      <c r="AQ8405" s="10"/>
      <c r="AR8405" s="10"/>
      <c r="AS8405" s="10"/>
      <c r="AT8405" s="10"/>
      <c r="AU8405" s="10"/>
      <c r="AV8405" s="10"/>
      <c r="AW8405" s="10"/>
      <c r="AX8405" s="10"/>
      <c r="AY8405" s="10"/>
      <c r="AZ8405" s="10"/>
    </row>
    <row r="8406" spans="31:52">
      <c r="AE8406" s="10"/>
      <c r="AF8406" s="10"/>
      <c r="AG8406" s="10"/>
      <c r="AH8406" s="10"/>
      <c r="AI8406" s="10"/>
      <c r="AJ8406" s="10"/>
      <c r="AK8406" s="10"/>
      <c r="AL8406" s="10"/>
      <c r="AM8406" s="10"/>
      <c r="AN8406" s="10"/>
      <c r="AO8406" s="10"/>
      <c r="AP8406" s="10"/>
      <c r="AQ8406" s="10"/>
      <c r="AR8406" s="10"/>
      <c r="AS8406" s="10"/>
      <c r="AT8406" s="10"/>
      <c r="AU8406" s="10"/>
      <c r="AV8406" s="10"/>
      <c r="AW8406" s="10"/>
      <c r="AX8406" s="10"/>
      <c r="AY8406" s="10"/>
      <c r="AZ8406" s="10"/>
    </row>
    <row r="8407" spans="31:52">
      <c r="AE8407" s="10"/>
      <c r="AF8407" s="10"/>
      <c r="AG8407" s="10"/>
      <c r="AH8407" s="10"/>
      <c r="AI8407" s="10"/>
      <c r="AJ8407" s="10"/>
      <c r="AK8407" s="10"/>
      <c r="AL8407" s="10"/>
      <c r="AM8407" s="10"/>
      <c r="AN8407" s="10"/>
      <c r="AO8407" s="10"/>
      <c r="AP8407" s="10"/>
      <c r="AQ8407" s="10"/>
      <c r="AR8407" s="10"/>
      <c r="AS8407" s="10"/>
      <c r="AT8407" s="10"/>
      <c r="AU8407" s="10"/>
      <c r="AV8407" s="10"/>
      <c r="AW8407" s="10"/>
      <c r="AX8407" s="10"/>
      <c r="AY8407" s="10"/>
      <c r="AZ8407" s="10"/>
    </row>
    <row r="8408" spans="31:52">
      <c r="AE8408" s="10"/>
      <c r="AF8408" s="10"/>
      <c r="AG8408" s="10"/>
      <c r="AH8408" s="10"/>
      <c r="AI8408" s="10"/>
      <c r="AJ8408" s="10"/>
      <c r="AK8408" s="10"/>
      <c r="AL8408" s="10"/>
      <c r="AM8408" s="10"/>
      <c r="AN8408" s="10"/>
      <c r="AO8408" s="10"/>
      <c r="AP8408" s="10"/>
      <c r="AQ8408" s="10"/>
      <c r="AR8408" s="10"/>
      <c r="AS8408" s="10"/>
      <c r="AT8408" s="10"/>
      <c r="AU8408" s="10"/>
      <c r="AV8408" s="10"/>
      <c r="AW8408" s="10"/>
      <c r="AX8408" s="10"/>
      <c r="AY8408" s="10"/>
      <c r="AZ8408" s="10"/>
    </row>
    <row r="8409" spans="31:52">
      <c r="AE8409" s="10"/>
      <c r="AF8409" s="10"/>
      <c r="AG8409" s="10"/>
      <c r="AH8409" s="10"/>
      <c r="AI8409" s="10"/>
      <c r="AJ8409" s="10"/>
      <c r="AK8409" s="10"/>
      <c r="AL8409" s="10"/>
      <c r="AM8409" s="10"/>
      <c r="AN8409" s="10"/>
      <c r="AO8409" s="10"/>
      <c r="AP8409" s="10"/>
      <c r="AQ8409" s="10"/>
      <c r="AR8409" s="10"/>
      <c r="AS8409" s="10"/>
      <c r="AT8409" s="10"/>
      <c r="AU8409" s="10"/>
      <c r="AV8409" s="10"/>
      <c r="AW8409" s="10"/>
      <c r="AX8409" s="10"/>
      <c r="AY8409" s="10"/>
      <c r="AZ8409" s="10"/>
    </row>
    <row r="8410" spans="31:52">
      <c r="AE8410" s="10"/>
      <c r="AF8410" s="10"/>
      <c r="AG8410" s="10"/>
      <c r="AH8410" s="10"/>
      <c r="AI8410" s="10"/>
      <c r="AJ8410" s="10"/>
      <c r="AK8410" s="10"/>
      <c r="AL8410" s="10"/>
      <c r="AM8410" s="10"/>
      <c r="AN8410" s="10"/>
      <c r="AO8410" s="10"/>
      <c r="AP8410" s="10"/>
      <c r="AQ8410" s="10"/>
      <c r="AR8410" s="10"/>
      <c r="AS8410" s="10"/>
      <c r="AT8410" s="10"/>
      <c r="AU8410" s="10"/>
      <c r="AV8410" s="10"/>
      <c r="AW8410" s="10"/>
      <c r="AX8410" s="10"/>
      <c r="AY8410" s="10"/>
      <c r="AZ8410" s="10"/>
    </row>
    <row r="8411" spans="31:52">
      <c r="AE8411" s="10"/>
      <c r="AF8411" s="10"/>
      <c r="AG8411" s="10"/>
      <c r="AH8411" s="10"/>
      <c r="AI8411" s="10"/>
      <c r="AJ8411" s="10"/>
      <c r="AK8411" s="10"/>
      <c r="AL8411" s="10"/>
      <c r="AM8411" s="10"/>
      <c r="AN8411" s="10"/>
      <c r="AO8411" s="10"/>
      <c r="AP8411" s="10"/>
      <c r="AQ8411" s="10"/>
      <c r="AR8411" s="10"/>
      <c r="AS8411" s="10"/>
      <c r="AT8411" s="10"/>
      <c r="AU8411" s="10"/>
      <c r="AV8411" s="10"/>
      <c r="AW8411" s="10"/>
      <c r="AX8411" s="10"/>
      <c r="AY8411" s="10"/>
      <c r="AZ8411" s="10"/>
    </row>
    <row r="8412" spans="31:52">
      <c r="AE8412" s="10"/>
      <c r="AF8412" s="10"/>
      <c r="AG8412" s="10"/>
      <c r="AH8412" s="10"/>
      <c r="AI8412" s="10"/>
      <c r="AJ8412" s="10"/>
      <c r="AK8412" s="10"/>
      <c r="AL8412" s="10"/>
      <c r="AM8412" s="10"/>
      <c r="AN8412" s="10"/>
      <c r="AO8412" s="10"/>
      <c r="AP8412" s="10"/>
      <c r="AQ8412" s="10"/>
      <c r="AR8412" s="10"/>
      <c r="AS8412" s="10"/>
      <c r="AT8412" s="10"/>
      <c r="AU8412" s="10"/>
      <c r="AV8412" s="10"/>
      <c r="AW8412" s="10"/>
      <c r="AX8412" s="10"/>
      <c r="AY8412" s="10"/>
      <c r="AZ8412" s="10"/>
    </row>
    <row r="8413" spans="31:52">
      <c r="AE8413" s="10"/>
      <c r="AF8413" s="10"/>
      <c r="AG8413" s="10"/>
      <c r="AH8413" s="10"/>
      <c r="AI8413" s="10"/>
      <c r="AJ8413" s="10"/>
      <c r="AK8413" s="10"/>
      <c r="AL8413" s="10"/>
      <c r="AM8413" s="10"/>
      <c r="AN8413" s="10"/>
      <c r="AO8413" s="10"/>
      <c r="AP8413" s="10"/>
      <c r="AQ8413" s="10"/>
      <c r="AR8413" s="10"/>
      <c r="AS8413" s="10"/>
      <c r="AT8413" s="10"/>
      <c r="AU8413" s="10"/>
      <c r="AV8413" s="10"/>
      <c r="AW8413" s="10"/>
      <c r="AX8413" s="10"/>
      <c r="AY8413" s="10"/>
      <c r="AZ8413" s="10"/>
    </row>
    <row r="8414" spans="31:52">
      <c r="AE8414" s="10"/>
      <c r="AF8414" s="10"/>
      <c r="AG8414" s="10"/>
      <c r="AH8414" s="10"/>
      <c r="AI8414" s="10"/>
      <c r="AJ8414" s="10"/>
      <c r="AK8414" s="10"/>
      <c r="AL8414" s="10"/>
      <c r="AM8414" s="10"/>
      <c r="AN8414" s="10"/>
      <c r="AO8414" s="10"/>
      <c r="AP8414" s="10"/>
      <c r="AQ8414" s="10"/>
      <c r="AR8414" s="10"/>
      <c r="AS8414" s="10"/>
      <c r="AT8414" s="10"/>
      <c r="AU8414" s="10"/>
      <c r="AV8414" s="10"/>
      <c r="AW8414" s="10"/>
      <c r="AX8414" s="10"/>
      <c r="AY8414" s="10"/>
      <c r="AZ8414" s="10"/>
    </row>
    <row r="8415" spans="31:52">
      <c r="AE8415" s="10"/>
      <c r="AF8415" s="10"/>
      <c r="AG8415" s="10"/>
      <c r="AH8415" s="10"/>
      <c r="AI8415" s="10"/>
      <c r="AJ8415" s="10"/>
      <c r="AK8415" s="10"/>
      <c r="AL8415" s="10"/>
      <c r="AM8415" s="10"/>
      <c r="AN8415" s="10"/>
      <c r="AO8415" s="10"/>
      <c r="AP8415" s="10"/>
      <c r="AQ8415" s="10"/>
      <c r="AR8415" s="10"/>
      <c r="AS8415" s="10"/>
      <c r="AT8415" s="10"/>
      <c r="AU8415" s="10"/>
      <c r="AV8415" s="10"/>
      <c r="AW8415" s="10"/>
      <c r="AX8415" s="10"/>
      <c r="AY8415" s="10"/>
      <c r="AZ8415" s="10"/>
    </row>
    <row r="8416" spans="31:52">
      <c r="AE8416" s="10"/>
      <c r="AF8416" s="10"/>
      <c r="AG8416" s="10"/>
      <c r="AH8416" s="10"/>
      <c r="AI8416" s="10"/>
      <c r="AJ8416" s="10"/>
      <c r="AK8416" s="10"/>
      <c r="AL8416" s="10"/>
      <c r="AM8416" s="10"/>
      <c r="AN8416" s="10"/>
      <c r="AO8416" s="10"/>
      <c r="AP8416" s="10"/>
      <c r="AQ8416" s="10"/>
      <c r="AR8416" s="10"/>
      <c r="AS8416" s="10"/>
      <c r="AT8416" s="10"/>
      <c r="AU8416" s="10"/>
      <c r="AV8416" s="10"/>
      <c r="AW8416" s="10"/>
      <c r="AX8416" s="10"/>
      <c r="AY8416" s="10"/>
      <c r="AZ8416" s="10"/>
    </row>
    <row r="8417" spans="31:52">
      <c r="AE8417" s="10"/>
      <c r="AF8417" s="10"/>
      <c r="AG8417" s="10"/>
      <c r="AH8417" s="10"/>
      <c r="AI8417" s="10"/>
      <c r="AJ8417" s="10"/>
      <c r="AK8417" s="10"/>
      <c r="AL8417" s="10"/>
      <c r="AM8417" s="10"/>
      <c r="AN8417" s="10"/>
      <c r="AO8417" s="10"/>
      <c r="AP8417" s="10"/>
      <c r="AQ8417" s="10"/>
      <c r="AR8417" s="10"/>
      <c r="AS8417" s="10"/>
      <c r="AT8417" s="10"/>
      <c r="AU8417" s="10"/>
      <c r="AV8417" s="10"/>
      <c r="AW8417" s="10"/>
      <c r="AX8417" s="10"/>
      <c r="AY8417" s="10"/>
      <c r="AZ8417" s="10"/>
    </row>
    <row r="8418" spans="31:52">
      <c r="AE8418" s="10"/>
      <c r="AF8418" s="10"/>
      <c r="AG8418" s="10"/>
      <c r="AH8418" s="10"/>
      <c r="AI8418" s="10"/>
      <c r="AJ8418" s="10"/>
      <c r="AK8418" s="10"/>
      <c r="AL8418" s="10"/>
      <c r="AM8418" s="10"/>
      <c r="AN8418" s="10"/>
      <c r="AO8418" s="10"/>
      <c r="AP8418" s="10"/>
      <c r="AQ8418" s="10"/>
      <c r="AR8418" s="10"/>
      <c r="AS8418" s="10"/>
      <c r="AT8418" s="10"/>
      <c r="AU8418" s="10"/>
      <c r="AV8418" s="10"/>
      <c r="AW8418" s="10"/>
      <c r="AX8418" s="10"/>
      <c r="AY8418" s="10"/>
      <c r="AZ8418" s="10"/>
    </row>
    <row r="8419" spans="31:52">
      <c r="AE8419" s="10"/>
      <c r="AF8419" s="10"/>
      <c r="AG8419" s="10"/>
      <c r="AH8419" s="10"/>
      <c r="AI8419" s="10"/>
      <c r="AJ8419" s="10"/>
      <c r="AK8419" s="10"/>
      <c r="AL8419" s="10"/>
      <c r="AM8419" s="10"/>
      <c r="AN8419" s="10"/>
      <c r="AO8419" s="10"/>
      <c r="AP8419" s="10"/>
      <c r="AQ8419" s="10"/>
      <c r="AR8419" s="10"/>
      <c r="AS8419" s="10"/>
      <c r="AT8419" s="10"/>
      <c r="AU8419" s="10"/>
      <c r="AV8419" s="10"/>
      <c r="AW8419" s="10"/>
      <c r="AX8419" s="10"/>
      <c r="AY8419" s="10"/>
      <c r="AZ8419" s="10"/>
    </row>
    <row r="8420" spans="31:52">
      <c r="AE8420" s="10"/>
      <c r="AF8420" s="10"/>
      <c r="AG8420" s="10"/>
      <c r="AH8420" s="10"/>
      <c r="AI8420" s="10"/>
      <c r="AJ8420" s="10"/>
      <c r="AK8420" s="10"/>
      <c r="AL8420" s="10"/>
      <c r="AM8420" s="10"/>
      <c r="AN8420" s="10"/>
      <c r="AO8420" s="10"/>
      <c r="AP8420" s="10"/>
      <c r="AQ8420" s="10"/>
      <c r="AR8420" s="10"/>
      <c r="AS8420" s="10"/>
      <c r="AT8420" s="10"/>
      <c r="AU8420" s="10"/>
      <c r="AV8420" s="10"/>
      <c r="AW8420" s="10"/>
      <c r="AX8420" s="10"/>
      <c r="AY8420" s="10"/>
      <c r="AZ8420" s="10"/>
    </row>
    <row r="8421" spans="31:52">
      <c r="AE8421" s="10"/>
      <c r="AF8421" s="10"/>
      <c r="AG8421" s="10"/>
      <c r="AH8421" s="10"/>
      <c r="AI8421" s="10"/>
      <c r="AJ8421" s="10"/>
      <c r="AK8421" s="10"/>
      <c r="AL8421" s="10"/>
      <c r="AM8421" s="10"/>
      <c r="AN8421" s="10"/>
      <c r="AO8421" s="10"/>
      <c r="AP8421" s="10"/>
      <c r="AQ8421" s="10"/>
      <c r="AR8421" s="10"/>
      <c r="AS8421" s="10"/>
      <c r="AT8421" s="10"/>
      <c r="AU8421" s="10"/>
      <c r="AV8421" s="10"/>
      <c r="AW8421" s="10"/>
      <c r="AX8421" s="10"/>
      <c r="AY8421" s="10"/>
      <c r="AZ8421" s="10"/>
    </row>
    <row r="8422" spans="31:52">
      <c r="AE8422" s="10"/>
      <c r="AF8422" s="10"/>
      <c r="AG8422" s="10"/>
      <c r="AH8422" s="10"/>
      <c r="AI8422" s="10"/>
      <c r="AJ8422" s="10"/>
      <c r="AK8422" s="10"/>
      <c r="AL8422" s="10"/>
      <c r="AM8422" s="10"/>
      <c r="AN8422" s="10"/>
      <c r="AO8422" s="10"/>
      <c r="AP8422" s="10"/>
      <c r="AQ8422" s="10"/>
      <c r="AR8422" s="10"/>
      <c r="AS8422" s="10"/>
      <c r="AT8422" s="10"/>
      <c r="AU8422" s="10"/>
      <c r="AV8422" s="10"/>
      <c r="AW8422" s="10"/>
      <c r="AX8422" s="10"/>
      <c r="AY8422" s="10"/>
      <c r="AZ8422" s="10"/>
    </row>
    <row r="8423" spans="31:52">
      <c r="AE8423" s="10"/>
      <c r="AF8423" s="10"/>
      <c r="AG8423" s="10"/>
      <c r="AH8423" s="10"/>
      <c r="AI8423" s="10"/>
      <c r="AJ8423" s="10"/>
      <c r="AK8423" s="10"/>
      <c r="AL8423" s="10"/>
      <c r="AM8423" s="10"/>
      <c r="AN8423" s="10"/>
      <c r="AO8423" s="10"/>
      <c r="AP8423" s="10"/>
      <c r="AQ8423" s="10"/>
      <c r="AR8423" s="10"/>
      <c r="AS8423" s="10"/>
      <c r="AT8423" s="10"/>
      <c r="AU8423" s="10"/>
      <c r="AV8423" s="10"/>
      <c r="AW8423" s="10"/>
      <c r="AX8423" s="10"/>
      <c r="AY8423" s="10"/>
      <c r="AZ8423" s="10"/>
    </row>
    <row r="8424" spans="31:52">
      <c r="AE8424" s="10"/>
      <c r="AF8424" s="10"/>
      <c r="AG8424" s="10"/>
      <c r="AH8424" s="10"/>
      <c r="AI8424" s="10"/>
      <c r="AJ8424" s="10"/>
      <c r="AK8424" s="10"/>
      <c r="AL8424" s="10"/>
      <c r="AM8424" s="10"/>
      <c r="AN8424" s="10"/>
      <c r="AO8424" s="10"/>
      <c r="AP8424" s="10"/>
      <c r="AQ8424" s="10"/>
      <c r="AR8424" s="10"/>
      <c r="AS8424" s="10"/>
      <c r="AT8424" s="10"/>
      <c r="AU8424" s="10"/>
      <c r="AV8424" s="10"/>
      <c r="AW8424" s="10"/>
      <c r="AX8424" s="10"/>
      <c r="AY8424" s="10"/>
      <c r="AZ8424" s="10"/>
    </row>
    <row r="8425" spans="31:52">
      <c r="AE8425" s="10"/>
      <c r="AF8425" s="10"/>
      <c r="AG8425" s="10"/>
      <c r="AH8425" s="10"/>
      <c r="AI8425" s="10"/>
      <c r="AJ8425" s="10"/>
      <c r="AK8425" s="10"/>
      <c r="AL8425" s="10"/>
      <c r="AM8425" s="10"/>
      <c r="AN8425" s="10"/>
      <c r="AO8425" s="10"/>
      <c r="AP8425" s="10"/>
      <c r="AQ8425" s="10"/>
      <c r="AR8425" s="10"/>
      <c r="AS8425" s="10"/>
      <c r="AT8425" s="10"/>
      <c r="AU8425" s="10"/>
      <c r="AV8425" s="10"/>
      <c r="AW8425" s="10"/>
      <c r="AX8425" s="10"/>
      <c r="AY8425" s="10"/>
      <c r="AZ8425" s="10"/>
    </row>
    <row r="8426" spans="31:52">
      <c r="AE8426" s="10"/>
      <c r="AF8426" s="10"/>
      <c r="AG8426" s="10"/>
      <c r="AH8426" s="10"/>
      <c r="AI8426" s="10"/>
      <c r="AJ8426" s="10"/>
      <c r="AK8426" s="10"/>
      <c r="AL8426" s="10"/>
      <c r="AM8426" s="10"/>
      <c r="AN8426" s="10"/>
      <c r="AO8426" s="10"/>
      <c r="AP8426" s="10"/>
      <c r="AQ8426" s="10"/>
      <c r="AR8426" s="10"/>
      <c r="AS8426" s="10"/>
      <c r="AT8426" s="10"/>
      <c r="AU8426" s="10"/>
      <c r="AV8426" s="10"/>
      <c r="AW8426" s="10"/>
      <c r="AX8426" s="10"/>
      <c r="AY8426" s="10"/>
      <c r="AZ8426" s="10"/>
    </row>
    <row r="8427" spans="31:52">
      <c r="AE8427" s="10"/>
      <c r="AF8427" s="10"/>
      <c r="AG8427" s="10"/>
      <c r="AH8427" s="10"/>
      <c r="AI8427" s="10"/>
      <c r="AJ8427" s="10"/>
      <c r="AK8427" s="10"/>
      <c r="AL8427" s="10"/>
      <c r="AM8427" s="10"/>
      <c r="AN8427" s="10"/>
      <c r="AO8427" s="10"/>
      <c r="AP8427" s="10"/>
      <c r="AQ8427" s="10"/>
      <c r="AR8427" s="10"/>
      <c r="AS8427" s="10"/>
      <c r="AT8427" s="10"/>
      <c r="AU8427" s="10"/>
      <c r="AV8427" s="10"/>
      <c r="AW8427" s="10"/>
      <c r="AX8427" s="10"/>
      <c r="AY8427" s="10"/>
      <c r="AZ8427" s="10"/>
    </row>
    <row r="8428" spans="31:52">
      <c r="AE8428" s="10"/>
      <c r="AF8428" s="10"/>
      <c r="AG8428" s="10"/>
      <c r="AH8428" s="10"/>
      <c r="AI8428" s="10"/>
      <c r="AJ8428" s="10"/>
      <c r="AK8428" s="10"/>
      <c r="AL8428" s="10"/>
      <c r="AM8428" s="10"/>
      <c r="AN8428" s="10"/>
      <c r="AO8428" s="10"/>
      <c r="AP8428" s="10"/>
      <c r="AQ8428" s="10"/>
      <c r="AR8428" s="10"/>
      <c r="AS8428" s="10"/>
      <c r="AT8428" s="10"/>
      <c r="AU8428" s="10"/>
      <c r="AV8428" s="10"/>
      <c r="AW8428" s="10"/>
      <c r="AX8428" s="10"/>
      <c r="AY8428" s="10"/>
      <c r="AZ8428" s="10"/>
    </row>
    <row r="8429" spans="31:52">
      <c r="AE8429" s="10"/>
      <c r="AF8429" s="10"/>
      <c r="AG8429" s="10"/>
      <c r="AH8429" s="10"/>
      <c r="AI8429" s="10"/>
      <c r="AJ8429" s="10"/>
      <c r="AK8429" s="10"/>
      <c r="AL8429" s="10"/>
      <c r="AM8429" s="10"/>
      <c r="AN8429" s="10"/>
      <c r="AO8429" s="10"/>
      <c r="AP8429" s="10"/>
      <c r="AQ8429" s="10"/>
      <c r="AR8429" s="10"/>
      <c r="AS8429" s="10"/>
      <c r="AT8429" s="10"/>
      <c r="AU8429" s="10"/>
      <c r="AV8429" s="10"/>
      <c r="AW8429" s="10"/>
      <c r="AX8429" s="10"/>
      <c r="AY8429" s="10"/>
      <c r="AZ8429" s="10"/>
    </row>
    <row r="8430" spans="31:52">
      <c r="AE8430" s="10"/>
      <c r="AF8430" s="10"/>
      <c r="AG8430" s="10"/>
      <c r="AH8430" s="10"/>
      <c r="AI8430" s="10"/>
      <c r="AJ8430" s="10"/>
      <c r="AK8430" s="10"/>
      <c r="AL8430" s="10"/>
      <c r="AM8430" s="10"/>
      <c r="AN8430" s="10"/>
      <c r="AO8430" s="10"/>
      <c r="AP8430" s="10"/>
      <c r="AQ8430" s="10"/>
      <c r="AR8430" s="10"/>
      <c r="AS8430" s="10"/>
      <c r="AT8430" s="10"/>
      <c r="AU8430" s="10"/>
      <c r="AV8430" s="10"/>
      <c r="AW8430" s="10"/>
      <c r="AX8430" s="10"/>
      <c r="AY8430" s="10"/>
      <c r="AZ8430" s="10"/>
    </row>
    <row r="8431" spans="31:52">
      <c r="AE8431" s="10"/>
      <c r="AF8431" s="10"/>
      <c r="AG8431" s="10"/>
      <c r="AH8431" s="10"/>
      <c r="AI8431" s="10"/>
      <c r="AJ8431" s="10"/>
      <c r="AK8431" s="10"/>
      <c r="AL8431" s="10"/>
      <c r="AM8431" s="10"/>
      <c r="AN8431" s="10"/>
      <c r="AO8431" s="10"/>
      <c r="AP8431" s="10"/>
      <c r="AQ8431" s="10"/>
      <c r="AR8431" s="10"/>
      <c r="AS8431" s="10"/>
      <c r="AT8431" s="10"/>
      <c r="AU8431" s="10"/>
      <c r="AV8431" s="10"/>
      <c r="AW8431" s="10"/>
      <c r="AX8431" s="10"/>
      <c r="AY8431" s="10"/>
      <c r="AZ8431" s="10"/>
    </row>
    <row r="8432" spans="31:52">
      <c r="AE8432" s="10"/>
      <c r="AF8432" s="10"/>
      <c r="AG8432" s="10"/>
      <c r="AH8432" s="10"/>
      <c r="AI8432" s="10"/>
      <c r="AJ8432" s="10"/>
      <c r="AK8432" s="10"/>
      <c r="AL8432" s="10"/>
      <c r="AM8432" s="10"/>
      <c r="AN8432" s="10"/>
      <c r="AO8432" s="10"/>
      <c r="AP8432" s="10"/>
      <c r="AQ8432" s="10"/>
      <c r="AR8432" s="10"/>
      <c r="AS8432" s="10"/>
      <c r="AT8432" s="10"/>
      <c r="AU8432" s="10"/>
      <c r="AV8432" s="10"/>
      <c r="AW8432" s="10"/>
      <c r="AX8432" s="10"/>
      <c r="AY8432" s="10"/>
      <c r="AZ8432" s="10"/>
    </row>
    <row r="8433" spans="31:52">
      <c r="AE8433" s="10"/>
      <c r="AF8433" s="10"/>
      <c r="AG8433" s="10"/>
      <c r="AH8433" s="10"/>
      <c r="AI8433" s="10"/>
      <c r="AJ8433" s="10"/>
      <c r="AK8433" s="10"/>
      <c r="AL8433" s="10"/>
      <c r="AM8433" s="10"/>
      <c r="AN8433" s="10"/>
      <c r="AO8433" s="10"/>
      <c r="AP8433" s="10"/>
      <c r="AQ8433" s="10"/>
      <c r="AR8433" s="10"/>
      <c r="AS8433" s="10"/>
      <c r="AT8433" s="10"/>
      <c r="AU8433" s="10"/>
      <c r="AV8433" s="10"/>
      <c r="AW8433" s="10"/>
      <c r="AX8433" s="10"/>
      <c r="AY8433" s="10"/>
      <c r="AZ8433" s="10"/>
    </row>
    <row r="8434" spans="31:52">
      <c r="AE8434" s="10"/>
      <c r="AF8434" s="10"/>
      <c r="AG8434" s="10"/>
      <c r="AH8434" s="10"/>
      <c r="AI8434" s="10"/>
      <c r="AJ8434" s="10"/>
      <c r="AK8434" s="10"/>
      <c r="AL8434" s="10"/>
      <c r="AM8434" s="10"/>
      <c r="AN8434" s="10"/>
      <c r="AO8434" s="10"/>
      <c r="AP8434" s="10"/>
      <c r="AQ8434" s="10"/>
      <c r="AR8434" s="10"/>
      <c r="AS8434" s="10"/>
      <c r="AT8434" s="10"/>
      <c r="AU8434" s="10"/>
      <c r="AV8434" s="10"/>
      <c r="AW8434" s="10"/>
      <c r="AX8434" s="10"/>
      <c r="AY8434" s="10"/>
      <c r="AZ8434" s="10"/>
    </row>
    <row r="8435" spans="31:52">
      <c r="AE8435" s="10"/>
      <c r="AF8435" s="10"/>
      <c r="AG8435" s="10"/>
      <c r="AH8435" s="10"/>
      <c r="AI8435" s="10"/>
      <c r="AJ8435" s="10"/>
      <c r="AK8435" s="10"/>
      <c r="AL8435" s="10"/>
      <c r="AM8435" s="10"/>
      <c r="AN8435" s="10"/>
      <c r="AO8435" s="10"/>
      <c r="AP8435" s="10"/>
      <c r="AQ8435" s="10"/>
      <c r="AR8435" s="10"/>
      <c r="AS8435" s="10"/>
      <c r="AT8435" s="10"/>
      <c r="AU8435" s="10"/>
      <c r="AV8435" s="10"/>
      <c r="AW8435" s="10"/>
      <c r="AX8435" s="10"/>
      <c r="AY8435" s="10"/>
      <c r="AZ8435" s="10"/>
    </row>
    <row r="8436" spans="31:52">
      <c r="AE8436" s="10"/>
      <c r="AF8436" s="10"/>
      <c r="AG8436" s="10"/>
      <c r="AH8436" s="10"/>
      <c r="AI8436" s="10"/>
      <c r="AJ8436" s="10"/>
      <c r="AK8436" s="10"/>
      <c r="AL8436" s="10"/>
      <c r="AM8436" s="10"/>
      <c r="AN8436" s="10"/>
      <c r="AO8436" s="10"/>
      <c r="AP8436" s="10"/>
      <c r="AQ8436" s="10"/>
      <c r="AR8436" s="10"/>
      <c r="AS8436" s="10"/>
      <c r="AT8436" s="10"/>
      <c r="AU8436" s="10"/>
      <c r="AV8436" s="10"/>
      <c r="AW8436" s="10"/>
      <c r="AX8436" s="10"/>
      <c r="AY8436" s="10"/>
      <c r="AZ8436" s="10"/>
    </row>
    <row r="8437" spans="31:52">
      <c r="AE8437" s="10"/>
      <c r="AF8437" s="10"/>
      <c r="AG8437" s="10"/>
      <c r="AH8437" s="10"/>
      <c r="AI8437" s="10"/>
      <c r="AJ8437" s="10"/>
      <c r="AK8437" s="10"/>
      <c r="AL8437" s="10"/>
      <c r="AM8437" s="10"/>
      <c r="AN8437" s="10"/>
      <c r="AO8437" s="10"/>
      <c r="AP8437" s="10"/>
      <c r="AQ8437" s="10"/>
      <c r="AR8437" s="10"/>
      <c r="AS8437" s="10"/>
      <c r="AT8437" s="10"/>
      <c r="AU8437" s="10"/>
      <c r="AV8437" s="10"/>
      <c r="AW8437" s="10"/>
      <c r="AX8437" s="10"/>
      <c r="AY8437" s="10"/>
      <c r="AZ8437" s="10"/>
    </row>
    <row r="8438" spans="31:52">
      <c r="AE8438" s="10"/>
      <c r="AF8438" s="10"/>
      <c r="AG8438" s="10"/>
      <c r="AH8438" s="10"/>
      <c r="AI8438" s="10"/>
      <c r="AJ8438" s="10"/>
      <c r="AK8438" s="10"/>
      <c r="AL8438" s="10"/>
      <c r="AM8438" s="10"/>
      <c r="AN8438" s="10"/>
      <c r="AO8438" s="10"/>
      <c r="AP8438" s="10"/>
      <c r="AQ8438" s="10"/>
      <c r="AR8438" s="10"/>
      <c r="AS8438" s="10"/>
      <c r="AT8438" s="10"/>
      <c r="AU8438" s="10"/>
      <c r="AV8438" s="10"/>
      <c r="AW8438" s="10"/>
      <c r="AX8438" s="10"/>
      <c r="AY8438" s="10"/>
      <c r="AZ8438" s="10"/>
    </row>
    <row r="8439" spans="31:52">
      <c r="AE8439" s="10"/>
      <c r="AF8439" s="10"/>
      <c r="AG8439" s="10"/>
      <c r="AH8439" s="10"/>
      <c r="AI8439" s="10"/>
      <c r="AJ8439" s="10"/>
      <c r="AK8439" s="10"/>
      <c r="AL8439" s="10"/>
      <c r="AM8439" s="10"/>
      <c r="AN8439" s="10"/>
      <c r="AO8439" s="10"/>
      <c r="AP8439" s="10"/>
      <c r="AQ8439" s="10"/>
      <c r="AR8439" s="10"/>
      <c r="AS8439" s="10"/>
      <c r="AT8439" s="10"/>
      <c r="AU8439" s="10"/>
      <c r="AV8439" s="10"/>
      <c r="AW8439" s="10"/>
      <c r="AX8439" s="10"/>
      <c r="AY8439" s="10"/>
      <c r="AZ8439" s="10"/>
    </row>
    <row r="8440" spans="31:52">
      <c r="AE8440" s="10"/>
      <c r="AF8440" s="10"/>
      <c r="AG8440" s="10"/>
      <c r="AH8440" s="10"/>
      <c r="AI8440" s="10"/>
      <c r="AJ8440" s="10"/>
      <c r="AK8440" s="10"/>
      <c r="AL8440" s="10"/>
      <c r="AM8440" s="10"/>
      <c r="AN8440" s="10"/>
      <c r="AO8440" s="10"/>
      <c r="AP8440" s="10"/>
      <c r="AQ8440" s="10"/>
      <c r="AR8440" s="10"/>
      <c r="AS8440" s="10"/>
      <c r="AT8440" s="10"/>
      <c r="AU8440" s="10"/>
      <c r="AV8440" s="10"/>
      <c r="AW8440" s="10"/>
      <c r="AX8440" s="10"/>
      <c r="AY8440" s="10"/>
      <c r="AZ8440" s="10"/>
    </row>
    <row r="8441" spans="31:52">
      <c r="AE8441" s="10"/>
      <c r="AF8441" s="10"/>
      <c r="AG8441" s="10"/>
      <c r="AH8441" s="10"/>
      <c r="AI8441" s="10"/>
      <c r="AJ8441" s="10"/>
      <c r="AK8441" s="10"/>
      <c r="AL8441" s="10"/>
      <c r="AM8441" s="10"/>
      <c r="AN8441" s="10"/>
      <c r="AO8441" s="10"/>
      <c r="AP8441" s="10"/>
      <c r="AQ8441" s="10"/>
      <c r="AR8441" s="10"/>
      <c r="AS8441" s="10"/>
      <c r="AT8441" s="10"/>
      <c r="AU8441" s="10"/>
      <c r="AV8441" s="10"/>
      <c r="AW8441" s="10"/>
      <c r="AX8441" s="10"/>
      <c r="AY8441" s="10"/>
      <c r="AZ8441" s="10"/>
    </row>
    <row r="8442" spans="31:52">
      <c r="AE8442" s="10"/>
      <c r="AF8442" s="10"/>
      <c r="AG8442" s="10"/>
      <c r="AH8442" s="10"/>
      <c r="AI8442" s="10"/>
      <c r="AJ8442" s="10"/>
      <c r="AK8442" s="10"/>
      <c r="AL8442" s="10"/>
      <c r="AM8442" s="10"/>
      <c r="AN8442" s="10"/>
      <c r="AO8442" s="10"/>
      <c r="AP8442" s="10"/>
      <c r="AQ8442" s="10"/>
      <c r="AR8442" s="10"/>
      <c r="AS8442" s="10"/>
      <c r="AT8442" s="10"/>
      <c r="AU8442" s="10"/>
      <c r="AV8442" s="10"/>
      <c r="AW8442" s="10"/>
      <c r="AX8442" s="10"/>
      <c r="AY8442" s="10"/>
      <c r="AZ8442" s="10"/>
    </row>
    <row r="8443" spans="31:52">
      <c r="AE8443" s="10"/>
      <c r="AF8443" s="10"/>
      <c r="AG8443" s="10"/>
      <c r="AH8443" s="10"/>
      <c r="AI8443" s="10"/>
      <c r="AJ8443" s="10"/>
      <c r="AK8443" s="10"/>
      <c r="AL8443" s="10"/>
      <c r="AM8443" s="10"/>
      <c r="AN8443" s="10"/>
      <c r="AO8443" s="10"/>
      <c r="AP8443" s="10"/>
      <c r="AQ8443" s="10"/>
      <c r="AR8443" s="10"/>
      <c r="AS8443" s="10"/>
      <c r="AT8443" s="10"/>
      <c r="AU8443" s="10"/>
      <c r="AV8443" s="10"/>
      <c r="AW8443" s="10"/>
      <c r="AX8443" s="10"/>
      <c r="AY8443" s="10"/>
      <c r="AZ8443" s="10"/>
    </row>
    <row r="8444" spans="31:52">
      <c r="AE8444" s="10"/>
      <c r="AF8444" s="10"/>
      <c r="AG8444" s="10"/>
      <c r="AH8444" s="10"/>
      <c r="AI8444" s="10"/>
      <c r="AJ8444" s="10"/>
      <c r="AK8444" s="10"/>
      <c r="AL8444" s="10"/>
      <c r="AM8444" s="10"/>
      <c r="AN8444" s="10"/>
      <c r="AO8444" s="10"/>
      <c r="AP8444" s="10"/>
      <c r="AQ8444" s="10"/>
      <c r="AR8444" s="10"/>
      <c r="AS8444" s="10"/>
      <c r="AT8444" s="10"/>
      <c r="AU8444" s="10"/>
      <c r="AV8444" s="10"/>
      <c r="AW8444" s="10"/>
      <c r="AX8444" s="10"/>
      <c r="AY8444" s="10"/>
      <c r="AZ8444" s="10"/>
    </row>
    <row r="8445" spans="31:52">
      <c r="AE8445" s="10"/>
      <c r="AF8445" s="10"/>
      <c r="AG8445" s="10"/>
      <c r="AH8445" s="10"/>
      <c r="AI8445" s="10"/>
      <c r="AJ8445" s="10"/>
      <c r="AK8445" s="10"/>
      <c r="AL8445" s="10"/>
      <c r="AM8445" s="10"/>
      <c r="AN8445" s="10"/>
      <c r="AO8445" s="10"/>
      <c r="AP8445" s="10"/>
      <c r="AQ8445" s="10"/>
      <c r="AR8445" s="10"/>
      <c r="AS8445" s="10"/>
      <c r="AT8445" s="10"/>
      <c r="AU8445" s="10"/>
      <c r="AV8445" s="10"/>
      <c r="AW8445" s="10"/>
      <c r="AX8445" s="10"/>
      <c r="AY8445" s="10"/>
      <c r="AZ8445" s="10"/>
    </row>
    <row r="8446" spans="31:52">
      <c r="AE8446" s="10"/>
      <c r="AF8446" s="10"/>
      <c r="AG8446" s="10"/>
      <c r="AH8446" s="10"/>
      <c r="AI8446" s="10"/>
      <c r="AJ8446" s="10"/>
      <c r="AK8446" s="10"/>
      <c r="AL8446" s="10"/>
      <c r="AM8446" s="10"/>
      <c r="AN8446" s="10"/>
      <c r="AO8446" s="10"/>
      <c r="AP8446" s="10"/>
      <c r="AQ8446" s="10"/>
      <c r="AR8446" s="10"/>
      <c r="AS8446" s="10"/>
      <c r="AT8446" s="10"/>
      <c r="AU8446" s="10"/>
      <c r="AV8446" s="10"/>
      <c r="AW8446" s="10"/>
      <c r="AX8446" s="10"/>
      <c r="AY8446" s="10"/>
      <c r="AZ8446" s="10"/>
    </row>
    <row r="8447" spans="31:52">
      <c r="AE8447" s="10"/>
      <c r="AF8447" s="10"/>
      <c r="AG8447" s="10"/>
      <c r="AH8447" s="10"/>
      <c r="AI8447" s="10"/>
      <c r="AJ8447" s="10"/>
      <c r="AK8447" s="10"/>
      <c r="AL8447" s="10"/>
      <c r="AM8447" s="10"/>
      <c r="AN8447" s="10"/>
      <c r="AO8447" s="10"/>
      <c r="AP8447" s="10"/>
      <c r="AQ8447" s="10"/>
      <c r="AR8447" s="10"/>
      <c r="AS8447" s="10"/>
      <c r="AT8447" s="10"/>
      <c r="AU8447" s="10"/>
      <c r="AV8447" s="10"/>
      <c r="AW8447" s="10"/>
      <c r="AX8447" s="10"/>
      <c r="AY8447" s="10"/>
      <c r="AZ8447" s="10"/>
    </row>
    <row r="8448" spans="31:52">
      <c r="AE8448" s="10"/>
      <c r="AF8448" s="10"/>
      <c r="AG8448" s="10"/>
      <c r="AH8448" s="10"/>
      <c r="AI8448" s="10"/>
      <c r="AJ8448" s="10"/>
      <c r="AK8448" s="10"/>
      <c r="AL8448" s="10"/>
      <c r="AM8448" s="10"/>
      <c r="AN8448" s="10"/>
      <c r="AO8448" s="10"/>
      <c r="AP8448" s="10"/>
      <c r="AQ8448" s="10"/>
      <c r="AR8448" s="10"/>
      <c r="AS8448" s="10"/>
      <c r="AT8448" s="10"/>
      <c r="AU8448" s="10"/>
      <c r="AV8448" s="10"/>
      <c r="AW8448" s="10"/>
      <c r="AX8448" s="10"/>
      <c r="AY8448" s="10"/>
      <c r="AZ8448" s="10"/>
    </row>
    <row r="8449" spans="31:52">
      <c r="AE8449" s="10"/>
      <c r="AF8449" s="10"/>
      <c r="AG8449" s="10"/>
      <c r="AH8449" s="10"/>
      <c r="AI8449" s="10"/>
      <c r="AJ8449" s="10"/>
      <c r="AK8449" s="10"/>
      <c r="AL8449" s="10"/>
      <c r="AM8449" s="10"/>
      <c r="AN8449" s="10"/>
      <c r="AO8449" s="10"/>
      <c r="AP8449" s="10"/>
      <c r="AQ8449" s="10"/>
      <c r="AR8449" s="10"/>
      <c r="AS8449" s="10"/>
      <c r="AT8449" s="10"/>
      <c r="AU8449" s="10"/>
      <c r="AV8449" s="10"/>
      <c r="AW8449" s="10"/>
      <c r="AX8449" s="10"/>
      <c r="AY8449" s="10"/>
      <c r="AZ8449" s="10"/>
    </row>
    <row r="8450" spans="31:52">
      <c r="AE8450" s="10"/>
      <c r="AF8450" s="10"/>
      <c r="AG8450" s="10"/>
      <c r="AH8450" s="10"/>
      <c r="AI8450" s="10"/>
      <c r="AJ8450" s="10"/>
      <c r="AK8450" s="10"/>
      <c r="AL8450" s="10"/>
      <c r="AM8450" s="10"/>
      <c r="AN8450" s="10"/>
      <c r="AO8450" s="10"/>
      <c r="AP8450" s="10"/>
      <c r="AQ8450" s="10"/>
      <c r="AR8450" s="10"/>
      <c r="AS8450" s="10"/>
      <c r="AT8450" s="10"/>
      <c r="AU8450" s="10"/>
      <c r="AV8450" s="10"/>
      <c r="AW8450" s="10"/>
      <c r="AX8450" s="10"/>
      <c r="AY8450" s="10"/>
      <c r="AZ8450" s="10"/>
    </row>
    <row r="8451" spans="31:52">
      <c r="AE8451" s="10"/>
      <c r="AF8451" s="10"/>
      <c r="AG8451" s="10"/>
      <c r="AH8451" s="10"/>
      <c r="AI8451" s="10"/>
      <c r="AJ8451" s="10"/>
      <c r="AK8451" s="10"/>
      <c r="AL8451" s="10"/>
      <c r="AM8451" s="10"/>
      <c r="AN8451" s="10"/>
      <c r="AO8451" s="10"/>
      <c r="AP8451" s="10"/>
      <c r="AQ8451" s="10"/>
      <c r="AR8451" s="10"/>
      <c r="AS8451" s="10"/>
      <c r="AT8451" s="10"/>
      <c r="AU8451" s="10"/>
      <c r="AV8451" s="10"/>
      <c r="AW8451" s="10"/>
      <c r="AX8451" s="10"/>
      <c r="AY8451" s="10"/>
      <c r="AZ8451" s="10"/>
    </row>
    <row r="8452" spans="31:52">
      <c r="AE8452" s="10"/>
      <c r="AF8452" s="10"/>
      <c r="AG8452" s="10"/>
      <c r="AH8452" s="10"/>
      <c r="AI8452" s="10"/>
      <c r="AJ8452" s="10"/>
      <c r="AK8452" s="10"/>
      <c r="AL8452" s="10"/>
      <c r="AM8452" s="10"/>
      <c r="AN8452" s="10"/>
      <c r="AO8452" s="10"/>
      <c r="AP8452" s="10"/>
      <c r="AQ8452" s="10"/>
      <c r="AR8452" s="10"/>
      <c r="AS8452" s="10"/>
      <c r="AT8452" s="10"/>
      <c r="AU8452" s="10"/>
      <c r="AV8452" s="10"/>
      <c r="AW8452" s="10"/>
      <c r="AX8452" s="10"/>
      <c r="AY8452" s="10"/>
      <c r="AZ8452" s="10"/>
    </row>
    <row r="8453" spans="31:52">
      <c r="AE8453" s="10"/>
      <c r="AF8453" s="10"/>
      <c r="AG8453" s="10"/>
      <c r="AH8453" s="10"/>
      <c r="AI8453" s="10"/>
      <c r="AJ8453" s="10"/>
      <c r="AK8453" s="10"/>
      <c r="AL8453" s="10"/>
      <c r="AM8453" s="10"/>
      <c r="AN8453" s="10"/>
      <c r="AO8453" s="10"/>
      <c r="AP8453" s="10"/>
      <c r="AQ8453" s="10"/>
      <c r="AR8453" s="10"/>
      <c r="AS8453" s="10"/>
      <c r="AT8453" s="10"/>
      <c r="AU8453" s="10"/>
      <c r="AV8453" s="10"/>
      <c r="AW8453" s="10"/>
      <c r="AX8453" s="10"/>
      <c r="AY8453" s="10"/>
      <c r="AZ8453" s="10"/>
    </row>
    <row r="8454" spans="31:52">
      <c r="AE8454" s="10"/>
      <c r="AF8454" s="10"/>
      <c r="AG8454" s="10"/>
      <c r="AH8454" s="10"/>
      <c r="AI8454" s="10"/>
      <c r="AJ8454" s="10"/>
      <c r="AK8454" s="10"/>
      <c r="AL8454" s="10"/>
      <c r="AM8454" s="10"/>
      <c r="AN8454" s="10"/>
      <c r="AO8454" s="10"/>
      <c r="AP8454" s="10"/>
      <c r="AQ8454" s="10"/>
      <c r="AR8454" s="10"/>
      <c r="AS8454" s="10"/>
      <c r="AT8454" s="10"/>
      <c r="AU8454" s="10"/>
      <c r="AV8454" s="10"/>
      <c r="AW8454" s="10"/>
      <c r="AX8454" s="10"/>
      <c r="AY8454" s="10"/>
      <c r="AZ8454" s="10"/>
    </row>
    <row r="8455" spans="31:52">
      <c r="AE8455" s="10"/>
      <c r="AF8455" s="10"/>
      <c r="AG8455" s="10"/>
      <c r="AH8455" s="10"/>
      <c r="AI8455" s="10"/>
      <c r="AJ8455" s="10"/>
      <c r="AK8455" s="10"/>
      <c r="AL8455" s="10"/>
      <c r="AM8455" s="10"/>
      <c r="AN8455" s="10"/>
      <c r="AO8455" s="10"/>
      <c r="AP8455" s="10"/>
      <c r="AQ8455" s="10"/>
      <c r="AR8455" s="10"/>
      <c r="AS8455" s="10"/>
      <c r="AT8455" s="10"/>
      <c r="AU8455" s="10"/>
      <c r="AV8455" s="10"/>
      <c r="AW8455" s="10"/>
      <c r="AX8455" s="10"/>
      <c r="AY8455" s="10"/>
      <c r="AZ8455" s="10"/>
    </row>
    <row r="8456" spans="31:52">
      <c r="AE8456" s="10"/>
      <c r="AF8456" s="10"/>
      <c r="AG8456" s="10"/>
      <c r="AH8456" s="10"/>
      <c r="AI8456" s="10"/>
      <c r="AJ8456" s="10"/>
      <c r="AK8456" s="10"/>
      <c r="AL8456" s="10"/>
      <c r="AM8456" s="10"/>
      <c r="AN8456" s="10"/>
      <c r="AO8456" s="10"/>
      <c r="AP8456" s="10"/>
      <c r="AQ8456" s="10"/>
      <c r="AR8456" s="10"/>
      <c r="AS8456" s="10"/>
      <c r="AT8456" s="10"/>
      <c r="AU8456" s="10"/>
      <c r="AV8456" s="10"/>
      <c r="AW8456" s="10"/>
      <c r="AX8456" s="10"/>
      <c r="AY8456" s="10"/>
      <c r="AZ8456" s="10"/>
    </row>
    <row r="8457" spans="31:52">
      <c r="AE8457" s="10"/>
      <c r="AF8457" s="10"/>
      <c r="AG8457" s="10"/>
      <c r="AH8457" s="10"/>
      <c r="AI8457" s="10"/>
      <c r="AJ8457" s="10"/>
      <c r="AK8457" s="10"/>
      <c r="AL8457" s="10"/>
      <c r="AM8457" s="10"/>
      <c r="AN8457" s="10"/>
      <c r="AO8457" s="10"/>
      <c r="AP8457" s="10"/>
      <c r="AQ8457" s="10"/>
      <c r="AR8457" s="10"/>
      <c r="AS8457" s="10"/>
      <c r="AT8457" s="10"/>
      <c r="AU8457" s="10"/>
      <c r="AV8457" s="10"/>
      <c r="AW8457" s="10"/>
      <c r="AX8457" s="10"/>
      <c r="AY8457" s="10"/>
      <c r="AZ8457" s="10"/>
    </row>
    <row r="8458" spans="31:52">
      <c r="AE8458" s="10"/>
      <c r="AF8458" s="10"/>
      <c r="AG8458" s="10"/>
      <c r="AH8458" s="10"/>
      <c r="AI8458" s="10"/>
      <c r="AJ8458" s="10"/>
      <c r="AK8458" s="10"/>
      <c r="AL8458" s="10"/>
      <c r="AM8458" s="10"/>
      <c r="AN8458" s="10"/>
      <c r="AO8458" s="10"/>
      <c r="AP8458" s="10"/>
      <c r="AQ8458" s="10"/>
      <c r="AR8458" s="10"/>
      <c r="AS8458" s="10"/>
      <c r="AT8458" s="10"/>
      <c r="AU8458" s="10"/>
      <c r="AV8458" s="10"/>
      <c r="AW8458" s="10"/>
      <c r="AX8458" s="10"/>
      <c r="AY8458" s="10"/>
      <c r="AZ8458" s="10"/>
    </row>
    <row r="8459" spans="31:52">
      <c r="AE8459" s="10"/>
      <c r="AF8459" s="10"/>
      <c r="AG8459" s="10"/>
      <c r="AH8459" s="10"/>
      <c r="AI8459" s="10"/>
      <c r="AJ8459" s="10"/>
      <c r="AK8459" s="10"/>
      <c r="AL8459" s="10"/>
      <c r="AM8459" s="10"/>
      <c r="AN8459" s="10"/>
      <c r="AO8459" s="10"/>
      <c r="AP8459" s="10"/>
      <c r="AQ8459" s="10"/>
      <c r="AR8459" s="10"/>
      <c r="AS8459" s="10"/>
      <c r="AT8459" s="10"/>
      <c r="AU8459" s="10"/>
      <c r="AV8459" s="10"/>
      <c r="AW8459" s="10"/>
      <c r="AX8459" s="10"/>
      <c r="AY8459" s="10"/>
      <c r="AZ8459" s="10"/>
    </row>
    <row r="8460" spans="31:52">
      <c r="AE8460" s="10"/>
      <c r="AF8460" s="10"/>
      <c r="AG8460" s="10"/>
      <c r="AH8460" s="10"/>
      <c r="AI8460" s="10"/>
      <c r="AJ8460" s="10"/>
      <c r="AK8460" s="10"/>
      <c r="AL8460" s="10"/>
      <c r="AM8460" s="10"/>
      <c r="AN8460" s="10"/>
      <c r="AO8460" s="10"/>
      <c r="AP8460" s="10"/>
      <c r="AQ8460" s="10"/>
      <c r="AR8460" s="10"/>
      <c r="AS8460" s="10"/>
      <c r="AT8460" s="10"/>
      <c r="AU8460" s="10"/>
      <c r="AV8460" s="10"/>
      <c r="AW8460" s="10"/>
      <c r="AX8460" s="10"/>
      <c r="AY8460" s="10"/>
      <c r="AZ8460" s="10"/>
    </row>
    <row r="8461" spans="31:52">
      <c r="AE8461" s="10"/>
      <c r="AF8461" s="10"/>
      <c r="AG8461" s="10"/>
      <c r="AH8461" s="10"/>
      <c r="AI8461" s="10"/>
      <c r="AJ8461" s="10"/>
      <c r="AK8461" s="10"/>
      <c r="AL8461" s="10"/>
      <c r="AM8461" s="10"/>
      <c r="AN8461" s="10"/>
      <c r="AO8461" s="10"/>
      <c r="AP8461" s="10"/>
      <c r="AQ8461" s="10"/>
      <c r="AR8461" s="10"/>
      <c r="AS8461" s="10"/>
      <c r="AT8461" s="10"/>
      <c r="AU8461" s="10"/>
      <c r="AV8461" s="10"/>
      <c r="AW8461" s="10"/>
      <c r="AX8461" s="10"/>
      <c r="AY8461" s="10"/>
      <c r="AZ8461" s="10"/>
    </row>
    <row r="8462" spans="31:52">
      <c r="AE8462" s="10"/>
      <c r="AF8462" s="10"/>
      <c r="AG8462" s="10"/>
      <c r="AH8462" s="10"/>
      <c r="AI8462" s="10"/>
      <c r="AJ8462" s="10"/>
      <c r="AK8462" s="10"/>
      <c r="AL8462" s="10"/>
      <c r="AM8462" s="10"/>
      <c r="AN8462" s="10"/>
      <c r="AO8462" s="10"/>
      <c r="AP8462" s="10"/>
      <c r="AQ8462" s="10"/>
      <c r="AR8462" s="10"/>
      <c r="AS8462" s="10"/>
      <c r="AT8462" s="10"/>
      <c r="AU8462" s="10"/>
      <c r="AV8462" s="10"/>
      <c r="AW8462" s="10"/>
      <c r="AX8462" s="10"/>
      <c r="AY8462" s="10"/>
      <c r="AZ8462" s="10"/>
    </row>
    <row r="8463" spans="31:52">
      <c r="AE8463" s="10"/>
      <c r="AF8463" s="10"/>
      <c r="AG8463" s="10"/>
      <c r="AH8463" s="10"/>
      <c r="AI8463" s="10"/>
      <c r="AJ8463" s="10"/>
      <c r="AK8463" s="10"/>
      <c r="AL8463" s="10"/>
      <c r="AM8463" s="10"/>
      <c r="AN8463" s="10"/>
      <c r="AO8463" s="10"/>
      <c r="AP8463" s="10"/>
      <c r="AQ8463" s="10"/>
      <c r="AR8463" s="10"/>
      <c r="AS8463" s="10"/>
      <c r="AT8463" s="10"/>
      <c r="AU8463" s="10"/>
      <c r="AV8463" s="10"/>
      <c r="AW8463" s="10"/>
      <c r="AX8463" s="10"/>
      <c r="AY8463" s="10"/>
      <c r="AZ8463" s="10"/>
    </row>
    <row r="8464" spans="31:52">
      <c r="AE8464" s="10"/>
      <c r="AF8464" s="10"/>
      <c r="AG8464" s="10"/>
      <c r="AH8464" s="10"/>
      <c r="AI8464" s="10"/>
      <c r="AJ8464" s="10"/>
      <c r="AK8464" s="10"/>
      <c r="AL8464" s="10"/>
      <c r="AM8464" s="10"/>
      <c r="AN8464" s="10"/>
      <c r="AO8464" s="10"/>
      <c r="AP8464" s="10"/>
      <c r="AQ8464" s="10"/>
      <c r="AR8464" s="10"/>
      <c r="AS8464" s="10"/>
      <c r="AT8464" s="10"/>
      <c r="AU8464" s="10"/>
      <c r="AV8464" s="10"/>
      <c r="AW8464" s="10"/>
      <c r="AX8464" s="10"/>
      <c r="AY8464" s="10"/>
      <c r="AZ8464" s="10"/>
    </row>
    <row r="8465" spans="31:52">
      <c r="AE8465" s="10"/>
      <c r="AF8465" s="10"/>
      <c r="AG8465" s="10"/>
      <c r="AH8465" s="10"/>
      <c r="AI8465" s="10"/>
      <c r="AJ8465" s="10"/>
      <c r="AK8465" s="10"/>
      <c r="AL8465" s="10"/>
      <c r="AM8465" s="10"/>
      <c r="AN8465" s="10"/>
      <c r="AO8465" s="10"/>
      <c r="AP8465" s="10"/>
      <c r="AQ8465" s="10"/>
      <c r="AR8465" s="10"/>
      <c r="AS8465" s="10"/>
      <c r="AT8465" s="10"/>
      <c r="AU8465" s="10"/>
      <c r="AV8465" s="10"/>
      <c r="AW8465" s="10"/>
      <c r="AX8465" s="10"/>
      <c r="AY8465" s="10"/>
      <c r="AZ8465" s="10"/>
    </row>
    <row r="8466" spans="31:52">
      <c r="AE8466" s="10"/>
      <c r="AF8466" s="10"/>
      <c r="AG8466" s="10"/>
      <c r="AH8466" s="10"/>
      <c r="AI8466" s="10"/>
      <c r="AJ8466" s="10"/>
      <c r="AK8466" s="10"/>
      <c r="AL8466" s="10"/>
      <c r="AM8466" s="10"/>
      <c r="AN8466" s="10"/>
      <c r="AO8466" s="10"/>
      <c r="AP8466" s="10"/>
      <c r="AQ8466" s="10"/>
      <c r="AR8466" s="10"/>
      <c r="AS8466" s="10"/>
      <c r="AT8466" s="10"/>
      <c r="AU8466" s="10"/>
      <c r="AV8466" s="10"/>
      <c r="AW8466" s="10"/>
      <c r="AX8466" s="10"/>
      <c r="AY8466" s="10"/>
      <c r="AZ8466" s="10"/>
    </row>
    <row r="8467" spans="31:52">
      <c r="AE8467" s="10"/>
      <c r="AF8467" s="10"/>
      <c r="AG8467" s="10"/>
      <c r="AH8467" s="10"/>
      <c r="AI8467" s="10"/>
      <c r="AJ8467" s="10"/>
      <c r="AK8467" s="10"/>
      <c r="AL8467" s="10"/>
      <c r="AM8467" s="10"/>
      <c r="AN8467" s="10"/>
      <c r="AO8467" s="10"/>
      <c r="AP8467" s="10"/>
      <c r="AQ8467" s="10"/>
      <c r="AR8467" s="10"/>
      <c r="AS8467" s="10"/>
      <c r="AT8467" s="10"/>
      <c r="AU8467" s="10"/>
      <c r="AV8467" s="10"/>
      <c r="AW8467" s="10"/>
      <c r="AX8467" s="10"/>
      <c r="AY8467" s="10"/>
      <c r="AZ8467" s="10"/>
    </row>
    <row r="8468" spans="31:52">
      <c r="AE8468" s="10"/>
      <c r="AF8468" s="10"/>
      <c r="AG8468" s="10"/>
      <c r="AH8468" s="10"/>
      <c r="AI8468" s="10"/>
      <c r="AJ8468" s="10"/>
      <c r="AK8468" s="10"/>
      <c r="AL8468" s="10"/>
      <c r="AM8468" s="10"/>
      <c r="AN8468" s="10"/>
      <c r="AO8468" s="10"/>
      <c r="AP8468" s="10"/>
      <c r="AQ8468" s="10"/>
      <c r="AR8468" s="10"/>
      <c r="AS8468" s="10"/>
      <c r="AT8468" s="10"/>
      <c r="AU8468" s="10"/>
      <c r="AV8468" s="10"/>
      <c r="AW8468" s="10"/>
      <c r="AX8468" s="10"/>
      <c r="AY8468" s="10"/>
      <c r="AZ8468" s="10"/>
    </row>
    <row r="8469" spans="31:52">
      <c r="AE8469" s="10"/>
      <c r="AF8469" s="10"/>
      <c r="AG8469" s="10"/>
      <c r="AH8469" s="10"/>
      <c r="AI8469" s="10"/>
      <c r="AJ8469" s="10"/>
      <c r="AK8469" s="10"/>
      <c r="AL8469" s="10"/>
      <c r="AM8469" s="10"/>
      <c r="AN8469" s="10"/>
      <c r="AO8469" s="10"/>
      <c r="AP8469" s="10"/>
      <c r="AQ8469" s="10"/>
      <c r="AR8469" s="10"/>
      <c r="AS8469" s="10"/>
      <c r="AT8469" s="10"/>
      <c r="AU8469" s="10"/>
      <c r="AV8469" s="10"/>
      <c r="AW8469" s="10"/>
      <c r="AX8469" s="10"/>
      <c r="AY8469" s="10"/>
      <c r="AZ8469" s="10"/>
    </row>
    <row r="8470" spans="31:52">
      <c r="AE8470" s="10"/>
      <c r="AF8470" s="10"/>
      <c r="AG8470" s="10"/>
      <c r="AH8470" s="10"/>
      <c r="AI8470" s="10"/>
      <c r="AJ8470" s="10"/>
      <c r="AK8470" s="10"/>
      <c r="AL8470" s="10"/>
      <c r="AM8470" s="10"/>
      <c r="AN8470" s="10"/>
      <c r="AO8470" s="10"/>
      <c r="AP8470" s="10"/>
      <c r="AQ8470" s="10"/>
      <c r="AR8470" s="10"/>
      <c r="AS8470" s="10"/>
      <c r="AT8470" s="10"/>
      <c r="AU8470" s="10"/>
      <c r="AV8470" s="10"/>
      <c r="AW8470" s="10"/>
      <c r="AX8470" s="10"/>
      <c r="AY8470" s="10"/>
      <c r="AZ8470" s="10"/>
    </row>
    <row r="8471" spans="31:52">
      <c r="AE8471" s="10"/>
      <c r="AF8471" s="10"/>
      <c r="AG8471" s="10"/>
      <c r="AH8471" s="10"/>
      <c r="AI8471" s="10"/>
      <c r="AJ8471" s="10"/>
      <c r="AK8471" s="10"/>
      <c r="AL8471" s="10"/>
      <c r="AM8471" s="10"/>
      <c r="AN8471" s="10"/>
      <c r="AO8471" s="10"/>
      <c r="AP8471" s="10"/>
      <c r="AQ8471" s="10"/>
      <c r="AR8471" s="10"/>
      <c r="AS8471" s="10"/>
      <c r="AT8471" s="10"/>
      <c r="AU8471" s="10"/>
      <c r="AV8471" s="10"/>
      <c r="AW8471" s="10"/>
      <c r="AX8471" s="10"/>
      <c r="AY8471" s="10"/>
      <c r="AZ8471" s="10"/>
    </row>
    <row r="8472" spans="31:52">
      <c r="AE8472" s="10"/>
      <c r="AF8472" s="10"/>
      <c r="AG8472" s="10"/>
      <c r="AH8472" s="10"/>
      <c r="AI8472" s="10"/>
      <c r="AJ8472" s="10"/>
      <c r="AK8472" s="10"/>
      <c r="AL8472" s="10"/>
      <c r="AM8472" s="10"/>
      <c r="AN8472" s="10"/>
      <c r="AO8472" s="10"/>
      <c r="AP8472" s="10"/>
      <c r="AQ8472" s="10"/>
      <c r="AR8472" s="10"/>
      <c r="AS8472" s="10"/>
      <c r="AT8472" s="10"/>
      <c r="AU8472" s="10"/>
      <c r="AV8472" s="10"/>
      <c r="AW8472" s="10"/>
      <c r="AX8472" s="10"/>
      <c r="AY8472" s="10"/>
      <c r="AZ8472" s="10"/>
    </row>
    <row r="8473" spans="31:52">
      <c r="AE8473" s="10"/>
      <c r="AF8473" s="10"/>
      <c r="AG8473" s="10"/>
      <c r="AH8473" s="10"/>
      <c r="AI8473" s="10"/>
      <c r="AJ8473" s="10"/>
      <c r="AK8473" s="10"/>
      <c r="AL8473" s="10"/>
      <c r="AM8473" s="10"/>
      <c r="AN8473" s="10"/>
      <c r="AO8473" s="10"/>
      <c r="AP8473" s="10"/>
      <c r="AQ8473" s="10"/>
      <c r="AR8473" s="10"/>
      <c r="AS8473" s="10"/>
      <c r="AT8473" s="10"/>
      <c r="AU8473" s="10"/>
      <c r="AV8473" s="10"/>
      <c r="AW8473" s="10"/>
      <c r="AX8473" s="10"/>
      <c r="AY8473" s="10"/>
      <c r="AZ8473" s="10"/>
    </row>
    <row r="8474" spans="31:52">
      <c r="AE8474" s="10"/>
      <c r="AF8474" s="10"/>
      <c r="AG8474" s="10"/>
      <c r="AH8474" s="10"/>
      <c r="AI8474" s="10"/>
      <c r="AJ8474" s="10"/>
      <c r="AK8474" s="10"/>
      <c r="AL8474" s="10"/>
      <c r="AM8474" s="10"/>
      <c r="AN8474" s="10"/>
      <c r="AO8474" s="10"/>
      <c r="AP8474" s="10"/>
      <c r="AQ8474" s="10"/>
      <c r="AR8474" s="10"/>
      <c r="AS8474" s="10"/>
      <c r="AT8474" s="10"/>
      <c r="AU8474" s="10"/>
      <c r="AV8474" s="10"/>
      <c r="AW8474" s="10"/>
      <c r="AX8474" s="10"/>
      <c r="AY8474" s="10"/>
      <c r="AZ8474" s="10"/>
    </row>
    <row r="8475" spans="31:52">
      <c r="AE8475" s="10"/>
      <c r="AF8475" s="10"/>
      <c r="AG8475" s="10"/>
      <c r="AH8475" s="10"/>
      <c r="AI8475" s="10"/>
      <c r="AJ8475" s="10"/>
      <c r="AK8475" s="10"/>
      <c r="AL8475" s="10"/>
      <c r="AM8475" s="10"/>
      <c r="AN8475" s="10"/>
      <c r="AO8475" s="10"/>
      <c r="AP8475" s="10"/>
      <c r="AQ8475" s="10"/>
      <c r="AR8475" s="10"/>
      <c r="AS8475" s="10"/>
      <c r="AT8475" s="10"/>
      <c r="AU8475" s="10"/>
      <c r="AV8475" s="10"/>
      <c r="AW8475" s="10"/>
      <c r="AX8475" s="10"/>
      <c r="AY8475" s="10"/>
      <c r="AZ8475" s="10"/>
    </row>
    <row r="8476" spans="31:52">
      <c r="AE8476" s="10"/>
      <c r="AF8476" s="10"/>
      <c r="AG8476" s="10"/>
      <c r="AH8476" s="10"/>
      <c r="AI8476" s="10"/>
      <c r="AJ8476" s="10"/>
      <c r="AK8476" s="10"/>
      <c r="AL8476" s="10"/>
      <c r="AM8476" s="10"/>
      <c r="AN8476" s="10"/>
      <c r="AO8476" s="10"/>
      <c r="AP8476" s="10"/>
      <c r="AQ8476" s="10"/>
      <c r="AR8476" s="10"/>
      <c r="AS8476" s="10"/>
      <c r="AT8476" s="10"/>
      <c r="AU8476" s="10"/>
      <c r="AV8476" s="10"/>
      <c r="AW8476" s="10"/>
      <c r="AX8476" s="10"/>
      <c r="AY8476" s="10"/>
      <c r="AZ8476" s="10"/>
    </row>
    <row r="8477" spans="31:52">
      <c r="AE8477" s="10"/>
      <c r="AF8477" s="10"/>
      <c r="AG8477" s="10"/>
      <c r="AH8477" s="10"/>
      <c r="AI8477" s="10"/>
      <c r="AJ8477" s="10"/>
      <c r="AK8477" s="10"/>
      <c r="AL8477" s="10"/>
      <c r="AM8477" s="10"/>
      <c r="AN8477" s="10"/>
      <c r="AO8477" s="10"/>
      <c r="AP8477" s="10"/>
      <c r="AQ8477" s="10"/>
      <c r="AR8477" s="10"/>
      <c r="AS8477" s="10"/>
      <c r="AT8477" s="10"/>
      <c r="AU8477" s="10"/>
      <c r="AV8477" s="10"/>
      <c r="AW8477" s="10"/>
      <c r="AX8477" s="10"/>
      <c r="AY8477" s="10"/>
      <c r="AZ8477" s="10"/>
    </row>
    <row r="8478" spans="31:52">
      <c r="AE8478" s="10"/>
      <c r="AF8478" s="10"/>
      <c r="AG8478" s="10"/>
      <c r="AH8478" s="10"/>
      <c r="AI8478" s="10"/>
      <c r="AJ8478" s="10"/>
      <c r="AK8478" s="10"/>
      <c r="AL8478" s="10"/>
      <c r="AM8478" s="10"/>
      <c r="AN8478" s="10"/>
      <c r="AO8478" s="10"/>
      <c r="AP8478" s="10"/>
      <c r="AQ8478" s="10"/>
      <c r="AR8478" s="10"/>
      <c r="AS8478" s="10"/>
      <c r="AT8478" s="10"/>
      <c r="AU8478" s="10"/>
      <c r="AV8478" s="10"/>
      <c r="AW8478" s="10"/>
      <c r="AX8478" s="10"/>
      <c r="AY8478" s="10"/>
      <c r="AZ8478" s="10"/>
    </row>
    <row r="8479" spans="31:52">
      <c r="AE8479" s="10"/>
      <c r="AF8479" s="10"/>
      <c r="AG8479" s="10"/>
      <c r="AH8479" s="10"/>
      <c r="AI8479" s="10"/>
      <c r="AJ8479" s="10"/>
      <c r="AK8479" s="10"/>
      <c r="AL8479" s="10"/>
      <c r="AM8479" s="10"/>
      <c r="AN8479" s="10"/>
      <c r="AO8479" s="10"/>
      <c r="AP8479" s="10"/>
      <c r="AQ8479" s="10"/>
      <c r="AR8479" s="10"/>
      <c r="AS8479" s="10"/>
      <c r="AT8479" s="10"/>
      <c r="AU8479" s="10"/>
      <c r="AV8479" s="10"/>
      <c r="AW8479" s="10"/>
      <c r="AX8479" s="10"/>
      <c r="AY8479" s="10"/>
      <c r="AZ8479" s="10"/>
    </row>
    <row r="8480" spans="31:52">
      <c r="AE8480" s="10"/>
      <c r="AF8480" s="10"/>
      <c r="AG8480" s="10"/>
      <c r="AH8480" s="10"/>
      <c r="AI8480" s="10"/>
      <c r="AJ8480" s="10"/>
      <c r="AK8480" s="10"/>
      <c r="AL8480" s="10"/>
      <c r="AM8480" s="10"/>
      <c r="AN8480" s="10"/>
      <c r="AO8480" s="10"/>
      <c r="AP8480" s="10"/>
      <c r="AQ8480" s="10"/>
      <c r="AR8480" s="10"/>
      <c r="AS8480" s="10"/>
      <c r="AT8480" s="10"/>
      <c r="AU8480" s="10"/>
      <c r="AV8480" s="10"/>
      <c r="AW8480" s="10"/>
      <c r="AX8480" s="10"/>
      <c r="AY8480" s="10"/>
      <c r="AZ8480" s="10"/>
    </row>
    <row r="8481" spans="31:52">
      <c r="AE8481" s="10"/>
      <c r="AF8481" s="10"/>
      <c r="AG8481" s="10"/>
      <c r="AH8481" s="10"/>
      <c r="AI8481" s="10"/>
      <c r="AJ8481" s="10"/>
      <c r="AK8481" s="10"/>
      <c r="AL8481" s="10"/>
      <c r="AM8481" s="10"/>
      <c r="AN8481" s="10"/>
      <c r="AO8481" s="10"/>
      <c r="AP8481" s="10"/>
      <c r="AQ8481" s="10"/>
      <c r="AR8481" s="10"/>
      <c r="AS8481" s="10"/>
      <c r="AT8481" s="10"/>
      <c r="AU8481" s="10"/>
      <c r="AV8481" s="10"/>
      <c r="AW8481" s="10"/>
      <c r="AX8481" s="10"/>
      <c r="AY8481" s="10"/>
      <c r="AZ8481" s="10"/>
    </row>
    <row r="8482" spans="31:52">
      <c r="AE8482" s="10"/>
      <c r="AF8482" s="10"/>
      <c r="AG8482" s="10"/>
      <c r="AH8482" s="10"/>
      <c r="AI8482" s="10"/>
      <c r="AJ8482" s="10"/>
      <c r="AK8482" s="10"/>
      <c r="AL8482" s="10"/>
      <c r="AM8482" s="10"/>
      <c r="AN8482" s="10"/>
      <c r="AO8482" s="10"/>
      <c r="AP8482" s="10"/>
      <c r="AQ8482" s="10"/>
      <c r="AR8482" s="10"/>
      <c r="AS8482" s="10"/>
      <c r="AT8482" s="10"/>
      <c r="AU8482" s="10"/>
      <c r="AV8482" s="10"/>
      <c r="AW8482" s="10"/>
      <c r="AX8482" s="10"/>
      <c r="AY8482" s="10"/>
      <c r="AZ8482" s="10"/>
    </row>
    <row r="8483" spans="31:52">
      <c r="AE8483" s="10"/>
      <c r="AF8483" s="10"/>
      <c r="AG8483" s="10"/>
      <c r="AH8483" s="10"/>
      <c r="AI8483" s="10"/>
      <c r="AJ8483" s="10"/>
      <c r="AK8483" s="10"/>
      <c r="AL8483" s="10"/>
      <c r="AM8483" s="10"/>
      <c r="AN8483" s="10"/>
      <c r="AO8483" s="10"/>
      <c r="AP8483" s="10"/>
      <c r="AQ8483" s="10"/>
      <c r="AR8483" s="10"/>
      <c r="AS8483" s="10"/>
      <c r="AT8483" s="10"/>
      <c r="AU8483" s="10"/>
      <c r="AV8483" s="10"/>
      <c r="AW8483" s="10"/>
      <c r="AX8483" s="10"/>
      <c r="AY8483" s="10"/>
      <c r="AZ8483" s="10"/>
    </row>
    <row r="8484" spans="31:52">
      <c r="AE8484" s="10"/>
      <c r="AF8484" s="10"/>
      <c r="AG8484" s="10"/>
      <c r="AH8484" s="10"/>
      <c r="AI8484" s="10"/>
      <c r="AJ8484" s="10"/>
      <c r="AK8484" s="10"/>
      <c r="AL8484" s="10"/>
      <c r="AM8484" s="10"/>
      <c r="AN8484" s="10"/>
      <c r="AO8484" s="10"/>
      <c r="AP8484" s="10"/>
      <c r="AQ8484" s="10"/>
      <c r="AR8484" s="10"/>
      <c r="AS8484" s="10"/>
      <c r="AT8484" s="10"/>
      <c r="AU8484" s="10"/>
      <c r="AV8484" s="10"/>
      <c r="AW8484" s="10"/>
      <c r="AX8484" s="10"/>
      <c r="AY8484" s="10"/>
      <c r="AZ8484" s="10"/>
    </row>
    <row r="8485" spans="31:52">
      <c r="AE8485" s="10"/>
      <c r="AF8485" s="10"/>
      <c r="AG8485" s="10"/>
      <c r="AH8485" s="10"/>
      <c r="AI8485" s="10"/>
      <c r="AJ8485" s="10"/>
      <c r="AK8485" s="10"/>
      <c r="AL8485" s="10"/>
      <c r="AM8485" s="10"/>
      <c r="AN8485" s="10"/>
      <c r="AO8485" s="10"/>
      <c r="AP8485" s="10"/>
      <c r="AQ8485" s="10"/>
      <c r="AR8485" s="10"/>
      <c r="AS8485" s="10"/>
      <c r="AT8485" s="10"/>
      <c r="AU8485" s="10"/>
      <c r="AV8485" s="10"/>
      <c r="AW8485" s="10"/>
      <c r="AX8485" s="10"/>
      <c r="AY8485" s="10"/>
      <c r="AZ8485" s="10"/>
    </row>
    <row r="8486" spans="31:52">
      <c r="AE8486" s="10"/>
      <c r="AF8486" s="10"/>
      <c r="AG8486" s="10"/>
      <c r="AH8486" s="10"/>
      <c r="AI8486" s="10"/>
      <c r="AJ8486" s="10"/>
      <c r="AK8486" s="10"/>
      <c r="AL8486" s="10"/>
      <c r="AM8486" s="10"/>
      <c r="AN8486" s="10"/>
      <c r="AO8486" s="10"/>
      <c r="AP8486" s="10"/>
      <c r="AQ8486" s="10"/>
      <c r="AR8486" s="10"/>
      <c r="AS8486" s="10"/>
      <c r="AT8486" s="10"/>
      <c r="AU8486" s="10"/>
      <c r="AV8486" s="10"/>
      <c r="AW8486" s="10"/>
      <c r="AX8486" s="10"/>
      <c r="AY8486" s="10"/>
      <c r="AZ8486" s="10"/>
    </row>
    <row r="8487" spans="31:52">
      <c r="AE8487" s="10"/>
      <c r="AF8487" s="10"/>
      <c r="AG8487" s="10"/>
      <c r="AH8487" s="10"/>
      <c r="AI8487" s="10"/>
      <c r="AJ8487" s="10"/>
      <c r="AK8487" s="10"/>
      <c r="AL8487" s="10"/>
      <c r="AM8487" s="10"/>
      <c r="AN8487" s="10"/>
      <c r="AO8487" s="10"/>
      <c r="AP8487" s="10"/>
      <c r="AQ8487" s="10"/>
      <c r="AR8487" s="10"/>
      <c r="AS8487" s="10"/>
      <c r="AT8487" s="10"/>
      <c r="AU8487" s="10"/>
      <c r="AV8487" s="10"/>
      <c r="AW8487" s="10"/>
      <c r="AX8487" s="10"/>
      <c r="AY8487" s="10"/>
      <c r="AZ8487" s="10"/>
    </row>
    <row r="8488" spans="31:52">
      <c r="AE8488" s="10"/>
      <c r="AF8488" s="10"/>
      <c r="AG8488" s="10"/>
      <c r="AH8488" s="10"/>
      <c r="AI8488" s="10"/>
      <c r="AJ8488" s="10"/>
      <c r="AK8488" s="10"/>
      <c r="AL8488" s="10"/>
      <c r="AM8488" s="10"/>
      <c r="AN8488" s="10"/>
      <c r="AO8488" s="10"/>
      <c r="AP8488" s="10"/>
      <c r="AQ8488" s="10"/>
      <c r="AR8488" s="10"/>
      <c r="AS8488" s="10"/>
      <c r="AT8488" s="10"/>
      <c r="AU8488" s="10"/>
      <c r="AV8488" s="10"/>
      <c r="AW8488" s="10"/>
      <c r="AX8488" s="10"/>
      <c r="AY8488" s="10"/>
      <c r="AZ8488" s="10"/>
    </row>
    <row r="8489" spans="31:52">
      <c r="AE8489" s="10"/>
      <c r="AF8489" s="10"/>
      <c r="AG8489" s="10"/>
      <c r="AH8489" s="10"/>
      <c r="AI8489" s="10"/>
      <c r="AJ8489" s="10"/>
      <c r="AK8489" s="10"/>
      <c r="AL8489" s="10"/>
      <c r="AM8489" s="10"/>
      <c r="AN8489" s="10"/>
      <c r="AO8489" s="10"/>
      <c r="AP8489" s="10"/>
      <c r="AQ8489" s="10"/>
      <c r="AR8489" s="10"/>
      <c r="AS8489" s="10"/>
      <c r="AT8489" s="10"/>
      <c r="AU8489" s="10"/>
      <c r="AV8489" s="10"/>
      <c r="AW8489" s="10"/>
      <c r="AX8489" s="10"/>
      <c r="AY8489" s="10"/>
      <c r="AZ8489" s="10"/>
    </row>
    <row r="8490" spans="31:52">
      <c r="AE8490" s="10"/>
      <c r="AF8490" s="10"/>
      <c r="AG8490" s="10"/>
      <c r="AH8490" s="10"/>
      <c r="AI8490" s="10"/>
      <c r="AJ8490" s="10"/>
      <c r="AK8490" s="10"/>
      <c r="AL8490" s="10"/>
      <c r="AM8490" s="10"/>
      <c r="AN8490" s="10"/>
      <c r="AO8490" s="10"/>
      <c r="AP8490" s="10"/>
      <c r="AQ8490" s="10"/>
      <c r="AR8490" s="10"/>
      <c r="AS8490" s="10"/>
      <c r="AT8490" s="10"/>
      <c r="AU8490" s="10"/>
      <c r="AV8490" s="10"/>
      <c r="AW8490" s="10"/>
      <c r="AX8490" s="10"/>
      <c r="AY8490" s="10"/>
      <c r="AZ8490" s="10"/>
    </row>
    <row r="8491" spans="31:52">
      <c r="AE8491" s="10"/>
      <c r="AF8491" s="10"/>
      <c r="AG8491" s="10"/>
      <c r="AH8491" s="10"/>
      <c r="AI8491" s="10"/>
      <c r="AJ8491" s="10"/>
      <c r="AK8491" s="10"/>
      <c r="AL8491" s="10"/>
      <c r="AM8491" s="10"/>
      <c r="AN8491" s="10"/>
      <c r="AO8491" s="10"/>
      <c r="AP8491" s="10"/>
      <c r="AQ8491" s="10"/>
      <c r="AR8491" s="10"/>
      <c r="AS8491" s="10"/>
      <c r="AT8491" s="10"/>
      <c r="AU8491" s="10"/>
      <c r="AV8491" s="10"/>
      <c r="AW8491" s="10"/>
      <c r="AX8491" s="10"/>
      <c r="AY8491" s="10"/>
      <c r="AZ8491" s="10"/>
    </row>
    <row r="8492" spans="31:52">
      <c r="AE8492" s="10"/>
      <c r="AF8492" s="10"/>
      <c r="AG8492" s="10"/>
      <c r="AH8492" s="10"/>
      <c r="AI8492" s="10"/>
      <c r="AJ8492" s="10"/>
      <c r="AK8492" s="10"/>
      <c r="AL8492" s="10"/>
      <c r="AM8492" s="10"/>
      <c r="AN8492" s="10"/>
      <c r="AO8492" s="10"/>
      <c r="AP8492" s="10"/>
      <c r="AQ8492" s="10"/>
      <c r="AR8492" s="10"/>
      <c r="AS8492" s="10"/>
      <c r="AT8492" s="10"/>
      <c r="AU8492" s="10"/>
      <c r="AV8492" s="10"/>
      <c r="AW8492" s="10"/>
      <c r="AX8492" s="10"/>
      <c r="AY8492" s="10"/>
      <c r="AZ8492" s="10"/>
    </row>
    <row r="8493" spans="31:52">
      <c r="AE8493" s="10"/>
      <c r="AF8493" s="10"/>
      <c r="AG8493" s="10"/>
      <c r="AH8493" s="10"/>
      <c r="AI8493" s="10"/>
      <c r="AJ8493" s="10"/>
      <c r="AK8493" s="10"/>
      <c r="AL8493" s="10"/>
      <c r="AM8493" s="10"/>
      <c r="AN8493" s="10"/>
      <c r="AO8493" s="10"/>
      <c r="AP8493" s="10"/>
      <c r="AQ8493" s="10"/>
      <c r="AR8493" s="10"/>
      <c r="AS8493" s="10"/>
      <c r="AT8493" s="10"/>
      <c r="AU8493" s="10"/>
      <c r="AV8493" s="10"/>
      <c r="AW8493" s="10"/>
      <c r="AX8493" s="10"/>
      <c r="AY8493" s="10"/>
      <c r="AZ8493" s="10"/>
    </row>
    <row r="8494" spans="31:52">
      <c r="AE8494" s="10"/>
      <c r="AF8494" s="10"/>
      <c r="AG8494" s="10"/>
      <c r="AH8494" s="10"/>
      <c r="AI8494" s="10"/>
      <c r="AJ8494" s="10"/>
      <c r="AK8494" s="10"/>
      <c r="AL8494" s="10"/>
      <c r="AM8494" s="10"/>
      <c r="AN8494" s="10"/>
      <c r="AO8494" s="10"/>
      <c r="AP8494" s="10"/>
      <c r="AQ8494" s="10"/>
      <c r="AR8494" s="10"/>
      <c r="AS8494" s="10"/>
      <c r="AT8494" s="10"/>
      <c r="AU8494" s="10"/>
      <c r="AV8494" s="10"/>
      <c r="AW8494" s="10"/>
      <c r="AX8494" s="10"/>
      <c r="AY8494" s="10"/>
      <c r="AZ8494" s="10"/>
    </row>
    <row r="8495" spans="31:52">
      <c r="AE8495" s="10"/>
      <c r="AF8495" s="10"/>
      <c r="AG8495" s="10"/>
      <c r="AH8495" s="10"/>
      <c r="AI8495" s="10"/>
      <c r="AJ8495" s="10"/>
      <c r="AK8495" s="10"/>
      <c r="AL8495" s="10"/>
      <c r="AM8495" s="10"/>
      <c r="AN8495" s="10"/>
      <c r="AO8495" s="10"/>
      <c r="AP8495" s="10"/>
      <c r="AQ8495" s="10"/>
      <c r="AR8495" s="10"/>
      <c r="AS8495" s="10"/>
      <c r="AT8495" s="10"/>
      <c r="AU8495" s="10"/>
      <c r="AV8495" s="10"/>
      <c r="AW8495" s="10"/>
      <c r="AX8495" s="10"/>
      <c r="AY8495" s="10"/>
      <c r="AZ8495" s="10"/>
    </row>
    <row r="8496" spans="31:52">
      <c r="AE8496" s="10"/>
      <c r="AF8496" s="10"/>
      <c r="AG8496" s="10"/>
      <c r="AH8496" s="10"/>
      <c r="AI8496" s="10"/>
      <c r="AJ8496" s="10"/>
      <c r="AK8496" s="10"/>
      <c r="AL8496" s="10"/>
      <c r="AM8496" s="10"/>
      <c r="AN8496" s="10"/>
      <c r="AO8496" s="10"/>
      <c r="AP8496" s="10"/>
      <c r="AQ8496" s="10"/>
      <c r="AR8496" s="10"/>
      <c r="AS8496" s="10"/>
      <c r="AT8496" s="10"/>
      <c r="AU8496" s="10"/>
      <c r="AV8496" s="10"/>
      <c r="AW8496" s="10"/>
      <c r="AX8496" s="10"/>
      <c r="AY8496" s="10"/>
      <c r="AZ8496" s="10"/>
    </row>
    <row r="8497" spans="31:52">
      <c r="AE8497" s="10"/>
      <c r="AF8497" s="10"/>
      <c r="AG8497" s="10"/>
      <c r="AH8497" s="10"/>
      <c r="AI8497" s="10"/>
      <c r="AJ8497" s="10"/>
      <c r="AK8497" s="10"/>
      <c r="AL8497" s="10"/>
      <c r="AM8497" s="10"/>
      <c r="AN8497" s="10"/>
      <c r="AO8497" s="10"/>
      <c r="AP8497" s="10"/>
      <c r="AQ8497" s="10"/>
      <c r="AR8497" s="10"/>
      <c r="AS8497" s="10"/>
      <c r="AT8497" s="10"/>
      <c r="AU8497" s="10"/>
      <c r="AV8497" s="10"/>
      <c r="AW8497" s="10"/>
      <c r="AX8497" s="10"/>
      <c r="AY8497" s="10"/>
      <c r="AZ8497" s="10"/>
    </row>
    <row r="8498" spans="31:52">
      <c r="AE8498" s="10"/>
      <c r="AF8498" s="10"/>
      <c r="AG8498" s="10"/>
      <c r="AH8498" s="10"/>
      <c r="AI8498" s="10"/>
      <c r="AJ8498" s="10"/>
      <c r="AK8498" s="10"/>
      <c r="AL8498" s="10"/>
      <c r="AM8498" s="10"/>
      <c r="AN8498" s="10"/>
      <c r="AO8498" s="10"/>
      <c r="AP8498" s="10"/>
      <c r="AQ8498" s="10"/>
      <c r="AR8498" s="10"/>
      <c r="AS8498" s="10"/>
      <c r="AT8498" s="10"/>
      <c r="AU8498" s="10"/>
      <c r="AV8498" s="10"/>
      <c r="AW8498" s="10"/>
      <c r="AX8498" s="10"/>
      <c r="AY8498" s="10"/>
      <c r="AZ8498" s="10"/>
    </row>
    <row r="8499" spans="31:52">
      <c r="AE8499" s="10"/>
      <c r="AF8499" s="10"/>
      <c r="AG8499" s="10"/>
      <c r="AH8499" s="10"/>
      <c r="AI8499" s="10"/>
      <c r="AJ8499" s="10"/>
      <c r="AK8499" s="10"/>
      <c r="AL8499" s="10"/>
      <c r="AM8499" s="10"/>
      <c r="AN8499" s="10"/>
      <c r="AO8499" s="10"/>
      <c r="AP8499" s="10"/>
      <c r="AQ8499" s="10"/>
      <c r="AR8499" s="10"/>
      <c r="AS8499" s="10"/>
      <c r="AT8499" s="10"/>
      <c r="AU8499" s="10"/>
      <c r="AV8499" s="10"/>
      <c r="AW8499" s="10"/>
      <c r="AX8499" s="10"/>
      <c r="AY8499" s="10"/>
      <c r="AZ8499" s="10"/>
    </row>
    <row r="8500" spans="31:52">
      <c r="AE8500" s="10"/>
      <c r="AF8500" s="10"/>
      <c r="AG8500" s="10"/>
      <c r="AH8500" s="10"/>
      <c r="AI8500" s="10"/>
      <c r="AJ8500" s="10"/>
      <c r="AK8500" s="10"/>
      <c r="AL8500" s="10"/>
      <c r="AM8500" s="10"/>
      <c r="AN8500" s="10"/>
      <c r="AO8500" s="10"/>
      <c r="AP8500" s="10"/>
      <c r="AQ8500" s="10"/>
      <c r="AR8500" s="10"/>
      <c r="AS8500" s="10"/>
      <c r="AT8500" s="10"/>
      <c r="AU8500" s="10"/>
      <c r="AV8500" s="10"/>
      <c r="AW8500" s="10"/>
      <c r="AX8500" s="10"/>
      <c r="AY8500" s="10"/>
      <c r="AZ8500" s="10"/>
    </row>
    <row r="8501" spans="31:52">
      <c r="AE8501" s="10"/>
      <c r="AF8501" s="10"/>
      <c r="AG8501" s="10"/>
      <c r="AH8501" s="10"/>
      <c r="AI8501" s="10"/>
      <c r="AJ8501" s="10"/>
      <c r="AK8501" s="10"/>
      <c r="AL8501" s="10"/>
      <c r="AM8501" s="10"/>
      <c r="AN8501" s="10"/>
      <c r="AO8501" s="10"/>
      <c r="AP8501" s="10"/>
      <c r="AQ8501" s="10"/>
      <c r="AR8501" s="10"/>
      <c r="AS8501" s="10"/>
      <c r="AT8501" s="10"/>
      <c r="AU8501" s="10"/>
      <c r="AV8501" s="10"/>
      <c r="AW8501" s="10"/>
      <c r="AX8501" s="10"/>
      <c r="AY8501" s="10"/>
      <c r="AZ8501" s="10"/>
    </row>
    <row r="8502" spans="31:52">
      <c r="AE8502" s="10"/>
      <c r="AF8502" s="10"/>
      <c r="AG8502" s="10"/>
      <c r="AH8502" s="10"/>
      <c r="AI8502" s="10"/>
      <c r="AJ8502" s="10"/>
      <c r="AK8502" s="10"/>
      <c r="AL8502" s="10"/>
      <c r="AM8502" s="10"/>
      <c r="AN8502" s="10"/>
      <c r="AO8502" s="10"/>
      <c r="AP8502" s="10"/>
      <c r="AQ8502" s="10"/>
      <c r="AR8502" s="10"/>
      <c r="AS8502" s="10"/>
      <c r="AT8502" s="10"/>
      <c r="AU8502" s="10"/>
      <c r="AV8502" s="10"/>
      <c r="AW8502" s="10"/>
      <c r="AX8502" s="10"/>
      <c r="AY8502" s="10"/>
      <c r="AZ8502" s="10"/>
    </row>
    <row r="8503" spans="31:52">
      <c r="AE8503" s="10"/>
      <c r="AF8503" s="10"/>
      <c r="AG8503" s="10"/>
      <c r="AH8503" s="10"/>
      <c r="AI8503" s="10"/>
      <c r="AJ8503" s="10"/>
      <c r="AK8503" s="10"/>
      <c r="AL8503" s="10"/>
      <c r="AM8503" s="10"/>
      <c r="AN8503" s="10"/>
      <c r="AO8503" s="10"/>
      <c r="AP8503" s="10"/>
      <c r="AQ8503" s="10"/>
      <c r="AR8503" s="10"/>
      <c r="AS8503" s="10"/>
      <c r="AT8503" s="10"/>
      <c r="AU8503" s="10"/>
      <c r="AV8503" s="10"/>
      <c r="AW8503" s="10"/>
      <c r="AX8503" s="10"/>
      <c r="AY8503" s="10"/>
      <c r="AZ8503" s="10"/>
    </row>
    <row r="8504" spans="31:52">
      <c r="AE8504" s="10"/>
      <c r="AF8504" s="10"/>
      <c r="AG8504" s="10"/>
      <c r="AH8504" s="10"/>
      <c r="AI8504" s="10"/>
      <c r="AJ8504" s="10"/>
      <c r="AK8504" s="10"/>
      <c r="AL8504" s="10"/>
      <c r="AM8504" s="10"/>
      <c r="AN8504" s="10"/>
      <c r="AO8504" s="10"/>
      <c r="AP8504" s="10"/>
      <c r="AQ8504" s="10"/>
      <c r="AR8504" s="10"/>
      <c r="AS8504" s="10"/>
      <c r="AT8504" s="10"/>
      <c r="AU8504" s="10"/>
      <c r="AV8504" s="10"/>
      <c r="AW8504" s="10"/>
      <c r="AX8504" s="10"/>
      <c r="AY8504" s="10"/>
      <c r="AZ8504" s="10"/>
    </row>
    <row r="8505" spans="31:52">
      <c r="AE8505" s="10"/>
      <c r="AF8505" s="10"/>
      <c r="AG8505" s="10"/>
      <c r="AH8505" s="10"/>
      <c r="AI8505" s="10"/>
      <c r="AJ8505" s="10"/>
      <c r="AK8505" s="10"/>
      <c r="AL8505" s="10"/>
      <c r="AM8505" s="10"/>
      <c r="AN8505" s="10"/>
      <c r="AO8505" s="10"/>
      <c r="AP8505" s="10"/>
      <c r="AQ8505" s="10"/>
      <c r="AR8505" s="10"/>
      <c r="AS8505" s="10"/>
      <c r="AT8505" s="10"/>
      <c r="AU8505" s="10"/>
      <c r="AV8505" s="10"/>
      <c r="AW8505" s="10"/>
      <c r="AX8505" s="10"/>
      <c r="AY8505" s="10"/>
      <c r="AZ8505" s="10"/>
    </row>
    <row r="8506" spans="31:52">
      <c r="AE8506" s="10"/>
      <c r="AF8506" s="10"/>
      <c r="AG8506" s="10"/>
      <c r="AH8506" s="10"/>
      <c r="AI8506" s="10"/>
      <c r="AJ8506" s="10"/>
      <c r="AK8506" s="10"/>
      <c r="AL8506" s="10"/>
      <c r="AM8506" s="10"/>
      <c r="AN8506" s="10"/>
      <c r="AO8506" s="10"/>
      <c r="AP8506" s="10"/>
      <c r="AQ8506" s="10"/>
      <c r="AR8506" s="10"/>
      <c r="AS8506" s="10"/>
      <c r="AT8506" s="10"/>
      <c r="AU8506" s="10"/>
      <c r="AV8506" s="10"/>
      <c r="AW8506" s="10"/>
      <c r="AX8506" s="10"/>
      <c r="AY8506" s="10"/>
      <c r="AZ8506" s="10"/>
    </row>
    <row r="8507" spans="31:52">
      <c r="AE8507" s="10"/>
      <c r="AF8507" s="10"/>
      <c r="AG8507" s="10"/>
      <c r="AH8507" s="10"/>
      <c r="AI8507" s="10"/>
      <c r="AJ8507" s="10"/>
      <c r="AK8507" s="10"/>
      <c r="AL8507" s="10"/>
      <c r="AM8507" s="10"/>
      <c r="AN8507" s="10"/>
      <c r="AO8507" s="10"/>
      <c r="AP8507" s="10"/>
      <c r="AQ8507" s="10"/>
      <c r="AR8507" s="10"/>
      <c r="AS8507" s="10"/>
      <c r="AT8507" s="10"/>
      <c r="AU8507" s="10"/>
      <c r="AV8507" s="10"/>
      <c r="AW8507" s="10"/>
      <c r="AX8507" s="10"/>
      <c r="AY8507" s="10"/>
      <c r="AZ8507" s="10"/>
    </row>
    <row r="8508" spans="31:52">
      <c r="AE8508" s="10"/>
      <c r="AF8508" s="10"/>
      <c r="AG8508" s="10"/>
      <c r="AH8508" s="10"/>
      <c r="AI8508" s="10"/>
      <c r="AJ8508" s="10"/>
      <c r="AK8508" s="10"/>
      <c r="AL8508" s="10"/>
      <c r="AM8508" s="10"/>
      <c r="AN8508" s="10"/>
      <c r="AO8508" s="10"/>
      <c r="AP8508" s="10"/>
      <c r="AQ8508" s="10"/>
      <c r="AR8508" s="10"/>
      <c r="AS8508" s="10"/>
      <c r="AT8508" s="10"/>
      <c r="AU8508" s="10"/>
      <c r="AV8508" s="10"/>
      <c r="AW8508" s="10"/>
      <c r="AX8508" s="10"/>
      <c r="AY8508" s="10"/>
      <c r="AZ8508" s="10"/>
    </row>
    <row r="8509" spans="31:52">
      <c r="AE8509" s="10"/>
      <c r="AF8509" s="10"/>
      <c r="AG8509" s="10"/>
      <c r="AH8509" s="10"/>
      <c r="AI8509" s="10"/>
      <c r="AJ8509" s="10"/>
      <c r="AK8509" s="10"/>
      <c r="AL8509" s="10"/>
      <c r="AM8509" s="10"/>
      <c r="AN8509" s="10"/>
      <c r="AO8509" s="10"/>
      <c r="AP8509" s="10"/>
      <c r="AQ8509" s="10"/>
      <c r="AR8509" s="10"/>
      <c r="AS8509" s="10"/>
      <c r="AT8509" s="10"/>
      <c r="AU8509" s="10"/>
      <c r="AV8509" s="10"/>
      <c r="AW8509" s="10"/>
      <c r="AX8509" s="10"/>
      <c r="AY8509" s="10"/>
      <c r="AZ8509" s="10"/>
    </row>
    <row r="8510" spans="31:52">
      <c r="AE8510" s="10"/>
      <c r="AF8510" s="10"/>
      <c r="AG8510" s="10"/>
      <c r="AH8510" s="10"/>
      <c r="AI8510" s="10"/>
      <c r="AJ8510" s="10"/>
      <c r="AK8510" s="10"/>
      <c r="AL8510" s="10"/>
      <c r="AM8510" s="10"/>
      <c r="AN8510" s="10"/>
      <c r="AO8510" s="10"/>
      <c r="AP8510" s="10"/>
      <c r="AQ8510" s="10"/>
      <c r="AR8510" s="10"/>
      <c r="AS8510" s="10"/>
      <c r="AT8510" s="10"/>
      <c r="AU8510" s="10"/>
      <c r="AV8510" s="10"/>
      <c r="AW8510" s="10"/>
      <c r="AX8510" s="10"/>
      <c r="AY8510" s="10"/>
      <c r="AZ8510" s="10"/>
    </row>
    <row r="8511" spans="31:52">
      <c r="AE8511" s="10"/>
      <c r="AF8511" s="10"/>
      <c r="AG8511" s="10"/>
      <c r="AH8511" s="10"/>
      <c r="AI8511" s="10"/>
      <c r="AJ8511" s="10"/>
      <c r="AK8511" s="10"/>
      <c r="AL8511" s="10"/>
      <c r="AM8511" s="10"/>
      <c r="AN8511" s="10"/>
      <c r="AO8511" s="10"/>
      <c r="AP8511" s="10"/>
      <c r="AQ8511" s="10"/>
      <c r="AR8511" s="10"/>
      <c r="AS8511" s="10"/>
      <c r="AT8511" s="10"/>
      <c r="AU8511" s="10"/>
      <c r="AV8511" s="10"/>
      <c r="AW8511" s="10"/>
      <c r="AX8511" s="10"/>
      <c r="AY8511" s="10"/>
      <c r="AZ8511" s="10"/>
    </row>
    <row r="8512" spans="31:52">
      <c r="AE8512" s="10"/>
      <c r="AF8512" s="10"/>
      <c r="AG8512" s="10"/>
      <c r="AH8512" s="10"/>
      <c r="AI8512" s="10"/>
      <c r="AJ8512" s="10"/>
      <c r="AK8512" s="10"/>
      <c r="AL8512" s="10"/>
      <c r="AM8512" s="10"/>
      <c r="AN8512" s="10"/>
      <c r="AO8512" s="10"/>
      <c r="AP8512" s="10"/>
      <c r="AQ8512" s="10"/>
      <c r="AR8512" s="10"/>
      <c r="AS8512" s="10"/>
      <c r="AT8512" s="10"/>
      <c r="AU8512" s="10"/>
      <c r="AV8512" s="10"/>
      <c r="AW8512" s="10"/>
      <c r="AX8512" s="10"/>
      <c r="AY8512" s="10"/>
      <c r="AZ8512" s="10"/>
    </row>
    <row r="8513" spans="31:52">
      <c r="AE8513" s="10"/>
      <c r="AF8513" s="10"/>
      <c r="AG8513" s="10"/>
      <c r="AH8513" s="10"/>
      <c r="AI8513" s="10"/>
      <c r="AJ8513" s="10"/>
      <c r="AK8513" s="10"/>
      <c r="AL8513" s="10"/>
      <c r="AM8513" s="10"/>
      <c r="AN8513" s="10"/>
      <c r="AO8513" s="10"/>
      <c r="AP8513" s="10"/>
      <c r="AQ8513" s="10"/>
      <c r="AR8513" s="10"/>
      <c r="AS8513" s="10"/>
      <c r="AT8513" s="10"/>
      <c r="AU8513" s="10"/>
      <c r="AV8513" s="10"/>
      <c r="AW8513" s="10"/>
      <c r="AX8513" s="10"/>
      <c r="AY8513" s="10"/>
      <c r="AZ8513" s="10"/>
    </row>
    <row r="8514" spans="31:52">
      <c r="AE8514" s="10"/>
      <c r="AF8514" s="10"/>
      <c r="AG8514" s="10"/>
      <c r="AH8514" s="10"/>
      <c r="AI8514" s="10"/>
      <c r="AJ8514" s="10"/>
      <c r="AK8514" s="10"/>
      <c r="AL8514" s="10"/>
      <c r="AM8514" s="10"/>
      <c r="AN8514" s="10"/>
      <c r="AO8514" s="10"/>
      <c r="AP8514" s="10"/>
      <c r="AQ8514" s="10"/>
      <c r="AR8514" s="10"/>
      <c r="AS8514" s="10"/>
      <c r="AT8514" s="10"/>
      <c r="AU8514" s="10"/>
      <c r="AV8514" s="10"/>
      <c r="AW8514" s="10"/>
      <c r="AX8514" s="10"/>
      <c r="AY8514" s="10"/>
      <c r="AZ8514" s="10"/>
    </row>
    <row r="8515" spans="31:52">
      <c r="AE8515" s="10"/>
      <c r="AF8515" s="10"/>
      <c r="AG8515" s="10"/>
      <c r="AH8515" s="10"/>
      <c r="AI8515" s="10"/>
      <c r="AJ8515" s="10"/>
      <c r="AK8515" s="10"/>
      <c r="AL8515" s="10"/>
      <c r="AM8515" s="10"/>
      <c r="AN8515" s="10"/>
      <c r="AO8515" s="10"/>
      <c r="AP8515" s="10"/>
      <c r="AQ8515" s="10"/>
      <c r="AR8515" s="10"/>
      <c r="AS8515" s="10"/>
      <c r="AT8515" s="10"/>
      <c r="AU8515" s="10"/>
      <c r="AV8515" s="10"/>
      <c r="AW8515" s="10"/>
      <c r="AX8515" s="10"/>
      <c r="AY8515" s="10"/>
      <c r="AZ8515" s="10"/>
    </row>
    <row r="8516" spans="31:52">
      <c r="AE8516" s="10"/>
      <c r="AF8516" s="10"/>
      <c r="AG8516" s="10"/>
      <c r="AH8516" s="10"/>
      <c r="AI8516" s="10"/>
      <c r="AJ8516" s="10"/>
      <c r="AK8516" s="10"/>
      <c r="AL8516" s="10"/>
      <c r="AM8516" s="10"/>
      <c r="AN8516" s="10"/>
      <c r="AO8516" s="10"/>
      <c r="AP8516" s="10"/>
      <c r="AQ8516" s="10"/>
      <c r="AR8516" s="10"/>
      <c r="AS8516" s="10"/>
      <c r="AT8516" s="10"/>
      <c r="AU8516" s="10"/>
      <c r="AV8516" s="10"/>
      <c r="AW8516" s="10"/>
      <c r="AX8516" s="10"/>
      <c r="AY8516" s="10"/>
      <c r="AZ8516" s="10"/>
    </row>
    <row r="8517" spans="31:52">
      <c r="AE8517" s="10"/>
      <c r="AF8517" s="10"/>
      <c r="AG8517" s="10"/>
      <c r="AH8517" s="10"/>
      <c r="AI8517" s="10"/>
      <c r="AJ8517" s="10"/>
      <c r="AK8517" s="10"/>
      <c r="AL8517" s="10"/>
      <c r="AM8517" s="10"/>
      <c r="AN8517" s="10"/>
      <c r="AO8517" s="10"/>
      <c r="AP8517" s="10"/>
      <c r="AQ8517" s="10"/>
      <c r="AR8517" s="10"/>
      <c r="AS8517" s="10"/>
      <c r="AT8517" s="10"/>
      <c r="AU8517" s="10"/>
      <c r="AV8517" s="10"/>
      <c r="AW8517" s="10"/>
      <c r="AX8517" s="10"/>
      <c r="AY8517" s="10"/>
      <c r="AZ8517" s="10"/>
    </row>
    <row r="8518" spans="31:52">
      <c r="AE8518" s="10"/>
      <c r="AF8518" s="10"/>
      <c r="AG8518" s="10"/>
      <c r="AH8518" s="10"/>
      <c r="AI8518" s="10"/>
      <c r="AJ8518" s="10"/>
      <c r="AK8518" s="10"/>
      <c r="AL8518" s="10"/>
      <c r="AM8518" s="10"/>
      <c r="AN8518" s="10"/>
      <c r="AO8518" s="10"/>
      <c r="AP8518" s="10"/>
      <c r="AQ8518" s="10"/>
      <c r="AR8518" s="10"/>
      <c r="AS8518" s="10"/>
      <c r="AT8518" s="10"/>
      <c r="AU8518" s="10"/>
      <c r="AV8518" s="10"/>
      <c r="AW8518" s="10"/>
      <c r="AX8518" s="10"/>
      <c r="AY8518" s="10"/>
      <c r="AZ8518" s="10"/>
    </row>
    <row r="8519" spans="31:52">
      <c r="AE8519" s="10"/>
      <c r="AF8519" s="10"/>
      <c r="AG8519" s="10"/>
      <c r="AH8519" s="10"/>
      <c r="AI8519" s="10"/>
      <c r="AJ8519" s="10"/>
      <c r="AK8519" s="10"/>
      <c r="AL8519" s="10"/>
      <c r="AM8519" s="10"/>
      <c r="AN8519" s="10"/>
      <c r="AO8519" s="10"/>
      <c r="AP8519" s="10"/>
      <c r="AQ8519" s="10"/>
      <c r="AR8519" s="10"/>
      <c r="AS8519" s="10"/>
      <c r="AT8519" s="10"/>
      <c r="AU8519" s="10"/>
      <c r="AV8519" s="10"/>
      <c r="AW8519" s="10"/>
      <c r="AX8519" s="10"/>
      <c r="AY8519" s="10"/>
      <c r="AZ8519" s="10"/>
    </row>
    <row r="8520" spans="31:52">
      <c r="AE8520" s="10"/>
      <c r="AF8520" s="10"/>
      <c r="AG8520" s="10"/>
      <c r="AH8520" s="10"/>
      <c r="AI8520" s="10"/>
      <c r="AJ8520" s="10"/>
      <c r="AK8520" s="10"/>
      <c r="AL8520" s="10"/>
      <c r="AM8520" s="10"/>
      <c r="AN8520" s="10"/>
      <c r="AO8520" s="10"/>
      <c r="AP8520" s="10"/>
      <c r="AQ8520" s="10"/>
      <c r="AR8520" s="10"/>
      <c r="AS8520" s="10"/>
      <c r="AT8520" s="10"/>
      <c r="AU8520" s="10"/>
      <c r="AV8520" s="10"/>
      <c r="AW8520" s="10"/>
      <c r="AX8520" s="10"/>
      <c r="AY8520" s="10"/>
      <c r="AZ8520" s="10"/>
    </row>
    <row r="8521" spans="31:52">
      <c r="AE8521" s="10"/>
      <c r="AF8521" s="10"/>
      <c r="AG8521" s="10"/>
      <c r="AH8521" s="10"/>
      <c r="AI8521" s="10"/>
      <c r="AJ8521" s="10"/>
      <c r="AK8521" s="10"/>
      <c r="AL8521" s="10"/>
      <c r="AM8521" s="10"/>
      <c r="AN8521" s="10"/>
      <c r="AO8521" s="10"/>
      <c r="AP8521" s="10"/>
      <c r="AQ8521" s="10"/>
      <c r="AR8521" s="10"/>
      <c r="AS8521" s="10"/>
      <c r="AT8521" s="10"/>
      <c r="AU8521" s="10"/>
      <c r="AV8521" s="10"/>
      <c r="AW8521" s="10"/>
      <c r="AX8521" s="10"/>
      <c r="AY8521" s="10"/>
      <c r="AZ8521" s="10"/>
    </row>
    <row r="8522" spans="31:52">
      <c r="AE8522" s="10"/>
      <c r="AF8522" s="10"/>
      <c r="AG8522" s="10"/>
      <c r="AH8522" s="10"/>
      <c r="AI8522" s="10"/>
      <c r="AJ8522" s="10"/>
      <c r="AK8522" s="10"/>
      <c r="AL8522" s="10"/>
      <c r="AM8522" s="10"/>
      <c r="AN8522" s="10"/>
      <c r="AO8522" s="10"/>
      <c r="AP8522" s="10"/>
      <c r="AQ8522" s="10"/>
      <c r="AR8522" s="10"/>
      <c r="AS8522" s="10"/>
      <c r="AT8522" s="10"/>
      <c r="AU8522" s="10"/>
      <c r="AV8522" s="10"/>
      <c r="AW8522" s="10"/>
      <c r="AX8522" s="10"/>
      <c r="AY8522" s="10"/>
      <c r="AZ8522" s="10"/>
    </row>
    <row r="8523" spans="31:52">
      <c r="AE8523" s="10"/>
      <c r="AF8523" s="10"/>
      <c r="AG8523" s="10"/>
      <c r="AH8523" s="10"/>
      <c r="AI8523" s="10"/>
      <c r="AJ8523" s="10"/>
      <c r="AK8523" s="10"/>
      <c r="AL8523" s="10"/>
      <c r="AM8523" s="10"/>
      <c r="AN8523" s="10"/>
      <c r="AO8523" s="10"/>
      <c r="AP8523" s="10"/>
      <c r="AQ8523" s="10"/>
      <c r="AR8523" s="10"/>
      <c r="AS8523" s="10"/>
      <c r="AT8523" s="10"/>
      <c r="AU8523" s="10"/>
      <c r="AV8523" s="10"/>
      <c r="AW8523" s="10"/>
      <c r="AX8523" s="10"/>
      <c r="AY8523" s="10"/>
      <c r="AZ8523" s="10"/>
    </row>
    <row r="8524" spans="31:52">
      <c r="AE8524" s="10"/>
      <c r="AF8524" s="10"/>
      <c r="AG8524" s="10"/>
      <c r="AH8524" s="10"/>
      <c r="AI8524" s="10"/>
      <c r="AJ8524" s="10"/>
      <c r="AK8524" s="10"/>
      <c r="AL8524" s="10"/>
      <c r="AM8524" s="10"/>
      <c r="AN8524" s="10"/>
      <c r="AO8524" s="10"/>
      <c r="AP8524" s="10"/>
      <c r="AQ8524" s="10"/>
      <c r="AR8524" s="10"/>
      <c r="AS8524" s="10"/>
      <c r="AT8524" s="10"/>
      <c r="AU8524" s="10"/>
      <c r="AV8524" s="10"/>
      <c r="AW8524" s="10"/>
      <c r="AX8524" s="10"/>
      <c r="AY8524" s="10"/>
      <c r="AZ8524" s="10"/>
    </row>
    <row r="8525" spans="31:52">
      <c r="AE8525" s="10"/>
      <c r="AF8525" s="10"/>
      <c r="AG8525" s="10"/>
      <c r="AH8525" s="10"/>
      <c r="AI8525" s="10"/>
      <c r="AJ8525" s="10"/>
      <c r="AK8525" s="10"/>
      <c r="AL8525" s="10"/>
      <c r="AM8525" s="10"/>
      <c r="AN8525" s="10"/>
      <c r="AO8525" s="10"/>
      <c r="AP8525" s="10"/>
      <c r="AQ8525" s="10"/>
      <c r="AR8525" s="10"/>
      <c r="AS8525" s="10"/>
      <c r="AT8525" s="10"/>
      <c r="AU8525" s="10"/>
      <c r="AV8525" s="10"/>
      <c r="AW8525" s="10"/>
      <c r="AX8525" s="10"/>
      <c r="AY8525" s="10"/>
      <c r="AZ8525" s="10"/>
    </row>
    <row r="8526" spans="31:52">
      <c r="AE8526" s="10"/>
      <c r="AF8526" s="10"/>
      <c r="AG8526" s="10"/>
      <c r="AH8526" s="10"/>
      <c r="AI8526" s="10"/>
      <c r="AJ8526" s="10"/>
      <c r="AK8526" s="10"/>
      <c r="AL8526" s="10"/>
      <c r="AM8526" s="10"/>
      <c r="AN8526" s="10"/>
      <c r="AO8526" s="10"/>
      <c r="AP8526" s="10"/>
      <c r="AQ8526" s="10"/>
      <c r="AR8526" s="10"/>
      <c r="AS8526" s="10"/>
      <c r="AT8526" s="10"/>
      <c r="AU8526" s="10"/>
      <c r="AV8526" s="10"/>
      <c r="AW8526" s="10"/>
      <c r="AX8526" s="10"/>
      <c r="AY8526" s="10"/>
      <c r="AZ8526" s="10"/>
    </row>
    <row r="8527" spans="31:52">
      <c r="AE8527" s="10"/>
      <c r="AF8527" s="10"/>
      <c r="AG8527" s="10"/>
      <c r="AH8527" s="10"/>
      <c r="AI8527" s="10"/>
      <c r="AJ8527" s="10"/>
      <c r="AK8527" s="10"/>
      <c r="AL8527" s="10"/>
      <c r="AM8527" s="10"/>
      <c r="AN8527" s="10"/>
      <c r="AO8527" s="10"/>
      <c r="AP8527" s="10"/>
      <c r="AQ8527" s="10"/>
      <c r="AR8527" s="10"/>
      <c r="AS8527" s="10"/>
      <c r="AT8527" s="10"/>
      <c r="AU8527" s="10"/>
      <c r="AV8527" s="10"/>
      <c r="AW8527" s="10"/>
      <c r="AX8527" s="10"/>
      <c r="AY8527" s="10"/>
      <c r="AZ8527" s="10"/>
    </row>
    <row r="8528" spans="31:52">
      <c r="AE8528" s="10"/>
      <c r="AF8528" s="10"/>
      <c r="AG8528" s="10"/>
      <c r="AH8528" s="10"/>
      <c r="AI8528" s="10"/>
      <c r="AJ8528" s="10"/>
      <c r="AK8528" s="10"/>
      <c r="AL8528" s="10"/>
      <c r="AM8528" s="10"/>
      <c r="AN8528" s="10"/>
      <c r="AO8528" s="10"/>
      <c r="AP8528" s="10"/>
      <c r="AQ8528" s="10"/>
      <c r="AR8528" s="10"/>
      <c r="AS8528" s="10"/>
      <c r="AT8528" s="10"/>
      <c r="AU8528" s="10"/>
      <c r="AV8528" s="10"/>
      <c r="AW8528" s="10"/>
      <c r="AX8528" s="10"/>
      <c r="AY8528" s="10"/>
      <c r="AZ8528" s="10"/>
    </row>
    <row r="8529" spans="31:52">
      <c r="AE8529" s="10"/>
      <c r="AF8529" s="10"/>
      <c r="AG8529" s="10"/>
      <c r="AH8529" s="10"/>
      <c r="AI8529" s="10"/>
      <c r="AJ8529" s="10"/>
      <c r="AK8529" s="10"/>
      <c r="AL8529" s="10"/>
      <c r="AM8529" s="10"/>
      <c r="AN8529" s="10"/>
      <c r="AO8529" s="10"/>
      <c r="AP8529" s="10"/>
      <c r="AQ8529" s="10"/>
      <c r="AR8529" s="10"/>
      <c r="AS8529" s="10"/>
      <c r="AT8529" s="10"/>
      <c r="AU8529" s="10"/>
      <c r="AV8529" s="10"/>
      <c r="AW8529" s="10"/>
      <c r="AX8529" s="10"/>
      <c r="AY8529" s="10"/>
      <c r="AZ8529" s="10"/>
    </row>
    <row r="8530" spans="31:52">
      <c r="AE8530" s="10"/>
      <c r="AF8530" s="10"/>
      <c r="AG8530" s="10"/>
      <c r="AH8530" s="10"/>
      <c r="AI8530" s="10"/>
      <c r="AJ8530" s="10"/>
      <c r="AK8530" s="10"/>
      <c r="AL8530" s="10"/>
      <c r="AM8530" s="10"/>
      <c r="AN8530" s="10"/>
      <c r="AO8530" s="10"/>
      <c r="AP8530" s="10"/>
      <c r="AQ8530" s="10"/>
      <c r="AR8530" s="10"/>
      <c r="AS8530" s="10"/>
      <c r="AT8530" s="10"/>
      <c r="AU8530" s="10"/>
      <c r="AV8530" s="10"/>
      <c r="AW8530" s="10"/>
      <c r="AX8530" s="10"/>
      <c r="AY8530" s="10"/>
      <c r="AZ8530" s="10"/>
    </row>
    <row r="8531" spans="31:52">
      <c r="AE8531" s="10"/>
      <c r="AF8531" s="10"/>
      <c r="AG8531" s="10"/>
      <c r="AH8531" s="10"/>
      <c r="AI8531" s="10"/>
      <c r="AJ8531" s="10"/>
      <c r="AK8531" s="10"/>
      <c r="AL8531" s="10"/>
      <c r="AM8531" s="10"/>
      <c r="AN8531" s="10"/>
      <c r="AO8531" s="10"/>
      <c r="AP8531" s="10"/>
      <c r="AQ8531" s="10"/>
      <c r="AR8531" s="10"/>
      <c r="AS8531" s="10"/>
      <c r="AT8531" s="10"/>
      <c r="AU8531" s="10"/>
      <c r="AV8531" s="10"/>
      <c r="AW8531" s="10"/>
      <c r="AX8531" s="10"/>
      <c r="AY8531" s="10"/>
      <c r="AZ8531" s="10"/>
    </row>
    <row r="8532" spans="31:52">
      <c r="AE8532" s="10"/>
      <c r="AF8532" s="10"/>
      <c r="AG8532" s="10"/>
      <c r="AH8532" s="10"/>
      <c r="AI8532" s="10"/>
      <c r="AJ8532" s="10"/>
      <c r="AK8532" s="10"/>
      <c r="AL8532" s="10"/>
      <c r="AM8532" s="10"/>
      <c r="AN8532" s="10"/>
      <c r="AO8532" s="10"/>
      <c r="AP8532" s="10"/>
      <c r="AQ8532" s="10"/>
      <c r="AR8532" s="10"/>
      <c r="AS8532" s="10"/>
      <c r="AT8532" s="10"/>
      <c r="AU8532" s="10"/>
      <c r="AV8532" s="10"/>
      <c r="AW8532" s="10"/>
      <c r="AX8532" s="10"/>
      <c r="AY8532" s="10"/>
      <c r="AZ8532" s="10"/>
    </row>
    <row r="8533" spans="31:52">
      <c r="AE8533" s="10"/>
      <c r="AF8533" s="10"/>
      <c r="AG8533" s="10"/>
      <c r="AH8533" s="10"/>
      <c r="AI8533" s="10"/>
      <c r="AJ8533" s="10"/>
      <c r="AK8533" s="10"/>
      <c r="AL8533" s="10"/>
      <c r="AM8533" s="10"/>
      <c r="AN8533" s="10"/>
      <c r="AO8533" s="10"/>
      <c r="AP8533" s="10"/>
      <c r="AQ8533" s="10"/>
      <c r="AR8533" s="10"/>
      <c r="AS8533" s="10"/>
      <c r="AT8533" s="10"/>
      <c r="AU8533" s="10"/>
      <c r="AV8533" s="10"/>
      <c r="AW8533" s="10"/>
      <c r="AX8533" s="10"/>
      <c r="AY8533" s="10"/>
      <c r="AZ8533" s="10"/>
    </row>
    <row r="8534" spans="31:52">
      <c r="AE8534" s="10"/>
      <c r="AF8534" s="10"/>
      <c r="AG8534" s="10"/>
      <c r="AH8534" s="10"/>
      <c r="AI8534" s="10"/>
      <c r="AJ8534" s="10"/>
      <c r="AK8534" s="10"/>
      <c r="AL8534" s="10"/>
      <c r="AM8534" s="10"/>
      <c r="AN8534" s="10"/>
      <c r="AO8534" s="10"/>
      <c r="AP8534" s="10"/>
      <c r="AQ8534" s="10"/>
      <c r="AR8534" s="10"/>
      <c r="AS8534" s="10"/>
      <c r="AT8534" s="10"/>
      <c r="AU8534" s="10"/>
      <c r="AV8534" s="10"/>
      <c r="AW8534" s="10"/>
      <c r="AX8534" s="10"/>
      <c r="AY8534" s="10"/>
      <c r="AZ8534" s="10"/>
    </row>
    <row r="8535" spans="31:52">
      <c r="AE8535" s="10"/>
      <c r="AF8535" s="10"/>
      <c r="AG8535" s="10"/>
      <c r="AH8535" s="10"/>
      <c r="AI8535" s="10"/>
      <c r="AJ8535" s="10"/>
      <c r="AK8535" s="10"/>
      <c r="AL8535" s="10"/>
      <c r="AM8535" s="10"/>
      <c r="AN8535" s="10"/>
      <c r="AO8535" s="10"/>
      <c r="AP8535" s="10"/>
      <c r="AQ8535" s="10"/>
      <c r="AR8535" s="10"/>
      <c r="AS8535" s="10"/>
      <c r="AT8535" s="10"/>
      <c r="AU8535" s="10"/>
      <c r="AV8535" s="10"/>
      <c r="AW8535" s="10"/>
      <c r="AX8535" s="10"/>
      <c r="AY8535" s="10"/>
      <c r="AZ8535" s="10"/>
    </row>
    <row r="8536" spans="31:52">
      <c r="AE8536" s="10"/>
      <c r="AF8536" s="10"/>
      <c r="AG8536" s="10"/>
      <c r="AH8536" s="10"/>
      <c r="AI8536" s="10"/>
      <c r="AJ8536" s="10"/>
      <c r="AK8536" s="10"/>
      <c r="AL8536" s="10"/>
      <c r="AM8536" s="10"/>
      <c r="AN8536" s="10"/>
      <c r="AO8536" s="10"/>
      <c r="AP8536" s="10"/>
      <c r="AQ8536" s="10"/>
      <c r="AR8536" s="10"/>
      <c r="AS8536" s="10"/>
      <c r="AT8536" s="10"/>
      <c r="AU8536" s="10"/>
      <c r="AV8536" s="10"/>
      <c r="AW8536" s="10"/>
      <c r="AX8536" s="10"/>
      <c r="AY8536" s="10"/>
      <c r="AZ8536" s="10"/>
    </row>
    <row r="8537" spans="31:52">
      <c r="AE8537" s="10"/>
      <c r="AF8537" s="10"/>
      <c r="AG8537" s="10"/>
      <c r="AH8537" s="10"/>
      <c r="AI8537" s="10"/>
      <c r="AJ8537" s="10"/>
      <c r="AK8537" s="10"/>
      <c r="AL8537" s="10"/>
      <c r="AM8537" s="10"/>
      <c r="AN8537" s="10"/>
      <c r="AO8537" s="10"/>
      <c r="AP8537" s="10"/>
      <c r="AQ8537" s="10"/>
      <c r="AR8537" s="10"/>
      <c r="AS8537" s="10"/>
      <c r="AT8537" s="10"/>
      <c r="AU8537" s="10"/>
      <c r="AV8537" s="10"/>
      <c r="AW8537" s="10"/>
      <c r="AX8537" s="10"/>
      <c r="AY8537" s="10"/>
      <c r="AZ8537" s="10"/>
    </row>
    <row r="8538" spans="31:52">
      <c r="AE8538" s="10"/>
      <c r="AF8538" s="10"/>
      <c r="AG8538" s="10"/>
      <c r="AH8538" s="10"/>
      <c r="AI8538" s="10"/>
      <c r="AJ8538" s="10"/>
      <c r="AK8538" s="10"/>
      <c r="AL8538" s="10"/>
      <c r="AM8538" s="10"/>
      <c r="AN8538" s="10"/>
      <c r="AO8538" s="10"/>
      <c r="AP8538" s="10"/>
      <c r="AQ8538" s="10"/>
      <c r="AR8538" s="10"/>
      <c r="AS8538" s="10"/>
      <c r="AT8538" s="10"/>
      <c r="AU8538" s="10"/>
      <c r="AV8538" s="10"/>
      <c r="AW8538" s="10"/>
      <c r="AX8538" s="10"/>
      <c r="AY8538" s="10"/>
      <c r="AZ8538" s="10"/>
    </row>
    <row r="8539" spans="31:52">
      <c r="AE8539" s="10"/>
      <c r="AF8539" s="10"/>
      <c r="AG8539" s="10"/>
      <c r="AH8539" s="10"/>
      <c r="AI8539" s="10"/>
      <c r="AJ8539" s="10"/>
      <c r="AK8539" s="10"/>
      <c r="AL8539" s="10"/>
      <c r="AM8539" s="10"/>
      <c r="AN8539" s="10"/>
      <c r="AO8539" s="10"/>
      <c r="AP8539" s="10"/>
      <c r="AQ8539" s="10"/>
      <c r="AR8539" s="10"/>
      <c r="AS8539" s="10"/>
      <c r="AT8539" s="10"/>
      <c r="AU8539" s="10"/>
      <c r="AV8539" s="10"/>
      <c r="AW8539" s="10"/>
      <c r="AX8539" s="10"/>
      <c r="AY8539" s="10"/>
      <c r="AZ8539" s="10"/>
    </row>
    <row r="8540" spans="31:52">
      <c r="AE8540" s="10"/>
      <c r="AF8540" s="10"/>
      <c r="AG8540" s="10"/>
      <c r="AH8540" s="10"/>
      <c r="AI8540" s="10"/>
      <c r="AJ8540" s="10"/>
      <c r="AK8540" s="10"/>
      <c r="AL8540" s="10"/>
      <c r="AM8540" s="10"/>
      <c r="AN8540" s="10"/>
      <c r="AO8540" s="10"/>
      <c r="AP8540" s="10"/>
      <c r="AQ8540" s="10"/>
      <c r="AR8540" s="10"/>
      <c r="AS8540" s="10"/>
      <c r="AT8540" s="10"/>
      <c r="AU8540" s="10"/>
      <c r="AV8540" s="10"/>
      <c r="AW8540" s="10"/>
      <c r="AX8540" s="10"/>
      <c r="AY8540" s="10"/>
      <c r="AZ8540" s="10"/>
    </row>
    <row r="8541" spans="31:52">
      <c r="AE8541" s="10"/>
      <c r="AF8541" s="10"/>
      <c r="AG8541" s="10"/>
      <c r="AH8541" s="10"/>
      <c r="AI8541" s="10"/>
      <c r="AJ8541" s="10"/>
      <c r="AK8541" s="10"/>
      <c r="AL8541" s="10"/>
      <c r="AM8541" s="10"/>
      <c r="AN8541" s="10"/>
      <c r="AO8541" s="10"/>
      <c r="AP8541" s="10"/>
      <c r="AQ8541" s="10"/>
      <c r="AR8541" s="10"/>
      <c r="AS8541" s="10"/>
      <c r="AT8541" s="10"/>
      <c r="AU8541" s="10"/>
      <c r="AV8541" s="10"/>
      <c r="AW8541" s="10"/>
      <c r="AX8541" s="10"/>
      <c r="AY8541" s="10"/>
      <c r="AZ8541" s="10"/>
    </row>
    <row r="8542" spans="31:52">
      <c r="AE8542" s="10"/>
      <c r="AF8542" s="10"/>
      <c r="AG8542" s="10"/>
      <c r="AH8542" s="10"/>
      <c r="AI8542" s="10"/>
      <c r="AJ8542" s="10"/>
      <c r="AK8542" s="10"/>
      <c r="AL8542" s="10"/>
      <c r="AM8542" s="10"/>
      <c r="AN8542" s="10"/>
      <c r="AO8542" s="10"/>
      <c r="AP8542" s="10"/>
      <c r="AQ8542" s="10"/>
      <c r="AR8542" s="10"/>
      <c r="AS8542" s="10"/>
      <c r="AT8542" s="10"/>
      <c r="AU8542" s="10"/>
      <c r="AV8542" s="10"/>
      <c r="AW8542" s="10"/>
      <c r="AX8542" s="10"/>
      <c r="AY8542" s="10"/>
      <c r="AZ8542" s="10"/>
    </row>
    <row r="8543" spans="31:52">
      <c r="AE8543" s="10"/>
      <c r="AF8543" s="10"/>
      <c r="AG8543" s="10"/>
      <c r="AH8543" s="10"/>
      <c r="AI8543" s="10"/>
      <c r="AJ8543" s="10"/>
      <c r="AK8543" s="10"/>
      <c r="AL8543" s="10"/>
      <c r="AM8543" s="10"/>
      <c r="AN8543" s="10"/>
      <c r="AO8543" s="10"/>
      <c r="AP8543" s="10"/>
      <c r="AQ8543" s="10"/>
      <c r="AR8543" s="10"/>
      <c r="AS8543" s="10"/>
      <c r="AT8543" s="10"/>
      <c r="AU8543" s="10"/>
      <c r="AV8543" s="10"/>
      <c r="AW8543" s="10"/>
      <c r="AX8543" s="10"/>
      <c r="AY8543" s="10"/>
      <c r="AZ8543" s="10"/>
    </row>
    <row r="8544" spans="31:52">
      <c r="AE8544" s="10"/>
      <c r="AF8544" s="10"/>
      <c r="AG8544" s="10"/>
      <c r="AH8544" s="10"/>
      <c r="AI8544" s="10"/>
      <c r="AJ8544" s="10"/>
      <c r="AK8544" s="10"/>
      <c r="AL8544" s="10"/>
      <c r="AM8544" s="10"/>
      <c r="AN8544" s="10"/>
      <c r="AO8544" s="10"/>
      <c r="AP8544" s="10"/>
      <c r="AQ8544" s="10"/>
      <c r="AR8544" s="10"/>
      <c r="AS8544" s="10"/>
      <c r="AT8544" s="10"/>
      <c r="AU8544" s="10"/>
      <c r="AV8544" s="10"/>
      <c r="AW8544" s="10"/>
      <c r="AX8544" s="10"/>
      <c r="AY8544" s="10"/>
      <c r="AZ8544" s="10"/>
    </row>
    <row r="8545" spans="31:52">
      <c r="AE8545" s="10"/>
      <c r="AF8545" s="10"/>
      <c r="AG8545" s="10"/>
      <c r="AH8545" s="10"/>
      <c r="AI8545" s="10"/>
      <c r="AJ8545" s="10"/>
      <c r="AK8545" s="10"/>
      <c r="AL8545" s="10"/>
      <c r="AM8545" s="10"/>
      <c r="AN8545" s="10"/>
      <c r="AO8545" s="10"/>
      <c r="AP8545" s="10"/>
      <c r="AQ8545" s="10"/>
      <c r="AR8545" s="10"/>
      <c r="AS8545" s="10"/>
      <c r="AT8545" s="10"/>
      <c r="AU8545" s="10"/>
      <c r="AV8545" s="10"/>
      <c r="AW8545" s="10"/>
      <c r="AX8545" s="10"/>
      <c r="AY8545" s="10"/>
      <c r="AZ8545" s="10"/>
    </row>
    <row r="8546" spans="31:52">
      <c r="AE8546" s="10"/>
      <c r="AF8546" s="10"/>
      <c r="AG8546" s="10"/>
      <c r="AH8546" s="10"/>
      <c r="AI8546" s="10"/>
      <c r="AJ8546" s="10"/>
      <c r="AK8546" s="10"/>
      <c r="AL8546" s="10"/>
      <c r="AM8546" s="10"/>
      <c r="AN8546" s="10"/>
      <c r="AO8546" s="10"/>
      <c r="AP8546" s="10"/>
      <c r="AQ8546" s="10"/>
      <c r="AR8546" s="10"/>
      <c r="AS8546" s="10"/>
      <c r="AT8546" s="10"/>
      <c r="AU8546" s="10"/>
      <c r="AV8546" s="10"/>
      <c r="AW8546" s="10"/>
      <c r="AX8546" s="10"/>
      <c r="AY8546" s="10"/>
      <c r="AZ8546" s="10"/>
    </row>
    <row r="8547" spans="31:52">
      <c r="AE8547" s="10"/>
      <c r="AF8547" s="10"/>
      <c r="AG8547" s="10"/>
      <c r="AH8547" s="10"/>
      <c r="AI8547" s="10"/>
      <c r="AJ8547" s="10"/>
      <c r="AK8547" s="10"/>
      <c r="AL8547" s="10"/>
      <c r="AM8547" s="10"/>
      <c r="AN8547" s="10"/>
      <c r="AO8547" s="10"/>
      <c r="AP8547" s="10"/>
      <c r="AQ8547" s="10"/>
      <c r="AR8547" s="10"/>
      <c r="AS8547" s="10"/>
      <c r="AT8547" s="10"/>
      <c r="AU8547" s="10"/>
      <c r="AV8547" s="10"/>
      <c r="AW8547" s="10"/>
      <c r="AX8547" s="10"/>
      <c r="AY8547" s="10"/>
      <c r="AZ8547" s="10"/>
    </row>
    <row r="8548" spans="31:52">
      <c r="AE8548" s="10"/>
      <c r="AF8548" s="10"/>
      <c r="AG8548" s="10"/>
      <c r="AH8548" s="10"/>
      <c r="AI8548" s="10"/>
      <c r="AJ8548" s="10"/>
      <c r="AK8548" s="10"/>
      <c r="AL8548" s="10"/>
      <c r="AM8548" s="10"/>
      <c r="AN8548" s="10"/>
      <c r="AO8548" s="10"/>
      <c r="AP8548" s="10"/>
      <c r="AQ8548" s="10"/>
      <c r="AR8548" s="10"/>
      <c r="AS8548" s="10"/>
      <c r="AT8548" s="10"/>
      <c r="AU8548" s="10"/>
      <c r="AV8548" s="10"/>
      <c r="AW8548" s="10"/>
      <c r="AX8548" s="10"/>
      <c r="AY8548" s="10"/>
      <c r="AZ8548" s="10"/>
    </row>
    <row r="8549" spans="31:52">
      <c r="AE8549" s="10"/>
      <c r="AF8549" s="10"/>
      <c r="AG8549" s="10"/>
      <c r="AH8549" s="10"/>
      <c r="AI8549" s="10"/>
      <c r="AJ8549" s="10"/>
      <c r="AK8549" s="10"/>
      <c r="AL8549" s="10"/>
      <c r="AM8549" s="10"/>
      <c r="AN8549" s="10"/>
      <c r="AO8549" s="10"/>
      <c r="AP8549" s="10"/>
      <c r="AQ8549" s="10"/>
      <c r="AR8549" s="10"/>
      <c r="AS8549" s="10"/>
      <c r="AT8549" s="10"/>
      <c r="AU8549" s="10"/>
      <c r="AV8549" s="10"/>
      <c r="AW8549" s="10"/>
      <c r="AX8549" s="10"/>
      <c r="AY8549" s="10"/>
      <c r="AZ8549" s="10"/>
    </row>
    <row r="8550" spans="31:52">
      <c r="AE8550" s="10"/>
      <c r="AF8550" s="10"/>
      <c r="AG8550" s="10"/>
      <c r="AH8550" s="10"/>
      <c r="AI8550" s="10"/>
      <c r="AJ8550" s="10"/>
      <c r="AK8550" s="10"/>
      <c r="AL8550" s="10"/>
      <c r="AM8550" s="10"/>
      <c r="AN8550" s="10"/>
      <c r="AO8550" s="10"/>
      <c r="AP8550" s="10"/>
      <c r="AQ8550" s="10"/>
      <c r="AR8550" s="10"/>
      <c r="AS8550" s="10"/>
      <c r="AT8550" s="10"/>
      <c r="AU8550" s="10"/>
      <c r="AV8550" s="10"/>
      <c r="AW8550" s="10"/>
      <c r="AX8550" s="10"/>
      <c r="AY8550" s="10"/>
      <c r="AZ8550" s="10"/>
    </row>
    <row r="8551" spans="31:52">
      <c r="AE8551" s="10"/>
      <c r="AF8551" s="10"/>
      <c r="AG8551" s="10"/>
      <c r="AH8551" s="10"/>
      <c r="AI8551" s="10"/>
      <c r="AJ8551" s="10"/>
      <c r="AK8551" s="10"/>
      <c r="AL8551" s="10"/>
      <c r="AM8551" s="10"/>
      <c r="AN8551" s="10"/>
      <c r="AO8551" s="10"/>
      <c r="AP8551" s="10"/>
      <c r="AQ8551" s="10"/>
      <c r="AR8551" s="10"/>
      <c r="AS8551" s="10"/>
      <c r="AT8551" s="10"/>
      <c r="AU8551" s="10"/>
      <c r="AV8551" s="10"/>
      <c r="AW8551" s="10"/>
      <c r="AX8551" s="10"/>
      <c r="AY8551" s="10"/>
      <c r="AZ8551" s="10"/>
    </row>
    <row r="8552" spans="31:52">
      <c r="AE8552" s="10"/>
      <c r="AF8552" s="10"/>
      <c r="AG8552" s="10"/>
      <c r="AH8552" s="10"/>
      <c r="AI8552" s="10"/>
      <c r="AJ8552" s="10"/>
      <c r="AK8552" s="10"/>
      <c r="AL8552" s="10"/>
      <c r="AM8552" s="10"/>
      <c r="AN8552" s="10"/>
      <c r="AO8552" s="10"/>
      <c r="AP8552" s="10"/>
      <c r="AQ8552" s="10"/>
      <c r="AR8552" s="10"/>
      <c r="AS8552" s="10"/>
      <c r="AT8552" s="10"/>
      <c r="AU8552" s="10"/>
      <c r="AV8552" s="10"/>
      <c r="AW8552" s="10"/>
      <c r="AX8552" s="10"/>
      <c r="AY8552" s="10"/>
      <c r="AZ8552" s="10"/>
    </row>
    <row r="8553" spans="31:52">
      <c r="AE8553" s="10"/>
      <c r="AF8553" s="10"/>
      <c r="AG8553" s="10"/>
      <c r="AH8553" s="10"/>
      <c r="AI8553" s="10"/>
      <c r="AJ8553" s="10"/>
      <c r="AK8553" s="10"/>
      <c r="AL8553" s="10"/>
      <c r="AM8553" s="10"/>
      <c r="AN8553" s="10"/>
      <c r="AO8553" s="10"/>
      <c r="AP8553" s="10"/>
      <c r="AQ8553" s="10"/>
      <c r="AR8553" s="10"/>
      <c r="AS8553" s="10"/>
      <c r="AT8553" s="10"/>
      <c r="AU8553" s="10"/>
      <c r="AV8553" s="10"/>
      <c r="AW8553" s="10"/>
      <c r="AX8553" s="10"/>
      <c r="AY8553" s="10"/>
      <c r="AZ8553" s="10"/>
    </row>
    <row r="8554" spans="31:52">
      <c r="AE8554" s="10"/>
      <c r="AF8554" s="10"/>
      <c r="AG8554" s="10"/>
      <c r="AH8554" s="10"/>
      <c r="AI8554" s="10"/>
      <c r="AJ8554" s="10"/>
      <c r="AK8554" s="10"/>
      <c r="AL8554" s="10"/>
      <c r="AM8554" s="10"/>
      <c r="AN8554" s="10"/>
      <c r="AO8554" s="10"/>
      <c r="AP8554" s="10"/>
      <c r="AQ8554" s="10"/>
      <c r="AR8554" s="10"/>
      <c r="AS8554" s="10"/>
      <c r="AT8554" s="10"/>
      <c r="AU8554" s="10"/>
      <c r="AV8554" s="10"/>
      <c r="AW8554" s="10"/>
      <c r="AX8554" s="10"/>
      <c r="AY8554" s="10"/>
      <c r="AZ8554" s="10"/>
    </row>
    <row r="8555" spans="31:52">
      <c r="AE8555" s="10"/>
      <c r="AF8555" s="10"/>
      <c r="AG8555" s="10"/>
      <c r="AH8555" s="10"/>
      <c r="AI8555" s="10"/>
      <c r="AJ8555" s="10"/>
      <c r="AK8555" s="10"/>
      <c r="AL8555" s="10"/>
      <c r="AM8555" s="10"/>
      <c r="AN8555" s="10"/>
      <c r="AO8555" s="10"/>
      <c r="AP8555" s="10"/>
      <c r="AQ8555" s="10"/>
      <c r="AR8555" s="10"/>
      <c r="AS8555" s="10"/>
      <c r="AT8555" s="10"/>
      <c r="AU8555" s="10"/>
      <c r="AV8555" s="10"/>
      <c r="AW8555" s="10"/>
      <c r="AX8555" s="10"/>
      <c r="AY8555" s="10"/>
      <c r="AZ8555" s="10"/>
    </row>
    <row r="8556" spans="31:52">
      <c r="AE8556" s="10"/>
      <c r="AF8556" s="10"/>
      <c r="AG8556" s="10"/>
      <c r="AH8556" s="10"/>
      <c r="AI8556" s="10"/>
      <c r="AJ8556" s="10"/>
      <c r="AK8556" s="10"/>
      <c r="AL8556" s="10"/>
      <c r="AM8556" s="10"/>
      <c r="AN8556" s="10"/>
      <c r="AO8556" s="10"/>
      <c r="AP8556" s="10"/>
      <c r="AQ8556" s="10"/>
      <c r="AR8556" s="10"/>
      <c r="AS8556" s="10"/>
      <c r="AT8556" s="10"/>
      <c r="AU8556" s="10"/>
      <c r="AV8556" s="10"/>
      <c r="AW8556" s="10"/>
      <c r="AX8556" s="10"/>
      <c r="AY8556" s="10"/>
      <c r="AZ8556" s="10"/>
    </row>
    <row r="8557" spans="31:52">
      <c r="AE8557" s="10"/>
      <c r="AF8557" s="10"/>
      <c r="AG8557" s="10"/>
      <c r="AH8557" s="10"/>
      <c r="AI8557" s="10"/>
      <c r="AJ8557" s="10"/>
      <c r="AK8557" s="10"/>
      <c r="AL8557" s="10"/>
      <c r="AM8557" s="10"/>
      <c r="AN8557" s="10"/>
      <c r="AO8557" s="10"/>
      <c r="AP8557" s="10"/>
      <c r="AQ8557" s="10"/>
      <c r="AR8557" s="10"/>
      <c r="AS8557" s="10"/>
      <c r="AT8557" s="10"/>
      <c r="AU8557" s="10"/>
      <c r="AV8557" s="10"/>
      <c r="AW8557" s="10"/>
      <c r="AX8557" s="10"/>
      <c r="AY8557" s="10"/>
      <c r="AZ8557" s="10"/>
    </row>
    <row r="8558" spans="31:52">
      <c r="AE8558" s="10"/>
      <c r="AF8558" s="10"/>
      <c r="AG8558" s="10"/>
      <c r="AH8558" s="10"/>
      <c r="AI8558" s="10"/>
      <c r="AJ8558" s="10"/>
      <c r="AK8558" s="10"/>
      <c r="AL8558" s="10"/>
      <c r="AM8558" s="10"/>
      <c r="AN8558" s="10"/>
      <c r="AO8558" s="10"/>
      <c r="AP8558" s="10"/>
      <c r="AQ8558" s="10"/>
      <c r="AR8558" s="10"/>
      <c r="AS8558" s="10"/>
      <c r="AT8558" s="10"/>
      <c r="AU8558" s="10"/>
      <c r="AV8558" s="10"/>
      <c r="AW8558" s="10"/>
      <c r="AX8558" s="10"/>
      <c r="AY8558" s="10"/>
      <c r="AZ8558" s="10"/>
    </row>
    <row r="8559" spans="31:52">
      <c r="AE8559" s="10"/>
      <c r="AF8559" s="10"/>
      <c r="AG8559" s="10"/>
      <c r="AH8559" s="10"/>
      <c r="AI8559" s="10"/>
      <c r="AJ8559" s="10"/>
      <c r="AK8559" s="10"/>
      <c r="AL8559" s="10"/>
      <c r="AM8559" s="10"/>
      <c r="AN8559" s="10"/>
      <c r="AO8559" s="10"/>
      <c r="AP8559" s="10"/>
      <c r="AQ8559" s="10"/>
      <c r="AR8559" s="10"/>
      <c r="AS8559" s="10"/>
      <c r="AT8559" s="10"/>
      <c r="AU8559" s="10"/>
      <c r="AV8559" s="10"/>
      <c r="AW8559" s="10"/>
      <c r="AX8559" s="10"/>
      <c r="AY8559" s="10"/>
      <c r="AZ8559" s="10"/>
    </row>
    <row r="8560" spans="31:52">
      <c r="AE8560" s="10"/>
      <c r="AF8560" s="10"/>
      <c r="AG8560" s="10"/>
      <c r="AH8560" s="10"/>
      <c r="AI8560" s="10"/>
      <c r="AJ8560" s="10"/>
      <c r="AK8560" s="10"/>
      <c r="AL8560" s="10"/>
      <c r="AM8560" s="10"/>
      <c r="AN8560" s="10"/>
      <c r="AO8560" s="10"/>
      <c r="AP8560" s="10"/>
      <c r="AQ8560" s="10"/>
      <c r="AR8560" s="10"/>
      <c r="AS8560" s="10"/>
      <c r="AT8560" s="10"/>
      <c r="AU8560" s="10"/>
      <c r="AV8560" s="10"/>
      <c r="AW8560" s="10"/>
      <c r="AX8560" s="10"/>
      <c r="AY8560" s="10"/>
      <c r="AZ8560" s="10"/>
    </row>
    <row r="8561" spans="31:52">
      <c r="AE8561" s="10"/>
      <c r="AF8561" s="10"/>
      <c r="AG8561" s="10"/>
      <c r="AH8561" s="10"/>
      <c r="AI8561" s="10"/>
      <c r="AJ8561" s="10"/>
      <c r="AK8561" s="10"/>
      <c r="AL8561" s="10"/>
      <c r="AM8561" s="10"/>
      <c r="AN8561" s="10"/>
      <c r="AO8561" s="10"/>
      <c r="AP8561" s="10"/>
      <c r="AQ8561" s="10"/>
      <c r="AR8561" s="10"/>
      <c r="AS8561" s="10"/>
      <c r="AT8561" s="10"/>
      <c r="AU8561" s="10"/>
      <c r="AV8561" s="10"/>
      <c r="AW8561" s="10"/>
      <c r="AX8561" s="10"/>
      <c r="AY8561" s="10"/>
      <c r="AZ8561" s="10"/>
    </row>
    <row r="8562" spans="31:52">
      <c r="AE8562" s="10"/>
      <c r="AF8562" s="10"/>
      <c r="AG8562" s="10"/>
      <c r="AH8562" s="10"/>
      <c r="AI8562" s="10"/>
      <c r="AJ8562" s="10"/>
      <c r="AK8562" s="10"/>
      <c r="AL8562" s="10"/>
      <c r="AM8562" s="10"/>
      <c r="AN8562" s="10"/>
      <c r="AO8562" s="10"/>
      <c r="AP8562" s="10"/>
      <c r="AQ8562" s="10"/>
      <c r="AR8562" s="10"/>
      <c r="AS8562" s="10"/>
      <c r="AT8562" s="10"/>
      <c r="AU8562" s="10"/>
      <c r="AV8562" s="10"/>
      <c r="AW8562" s="10"/>
      <c r="AX8562" s="10"/>
      <c r="AY8562" s="10"/>
      <c r="AZ8562" s="10"/>
    </row>
    <row r="8563" spans="31:52">
      <c r="AE8563" s="10"/>
      <c r="AF8563" s="10"/>
      <c r="AG8563" s="10"/>
      <c r="AH8563" s="10"/>
      <c r="AI8563" s="10"/>
      <c r="AJ8563" s="10"/>
      <c r="AK8563" s="10"/>
      <c r="AL8563" s="10"/>
      <c r="AM8563" s="10"/>
      <c r="AN8563" s="10"/>
      <c r="AO8563" s="10"/>
      <c r="AP8563" s="10"/>
      <c r="AQ8563" s="10"/>
      <c r="AR8563" s="10"/>
      <c r="AS8563" s="10"/>
      <c r="AT8563" s="10"/>
      <c r="AU8563" s="10"/>
      <c r="AV8563" s="10"/>
      <c r="AW8563" s="10"/>
      <c r="AX8563" s="10"/>
      <c r="AY8563" s="10"/>
      <c r="AZ8563" s="10"/>
    </row>
    <row r="8564" spans="31:52">
      <c r="AE8564" s="10"/>
      <c r="AF8564" s="10"/>
      <c r="AG8564" s="10"/>
      <c r="AH8564" s="10"/>
      <c r="AI8564" s="10"/>
      <c r="AJ8564" s="10"/>
      <c r="AK8564" s="10"/>
      <c r="AL8564" s="10"/>
      <c r="AM8564" s="10"/>
      <c r="AN8564" s="10"/>
      <c r="AO8564" s="10"/>
      <c r="AP8564" s="10"/>
      <c r="AQ8564" s="10"/>
      <c r="AR8564" s="10"/>
      <c r="AS8564" s="10"/>
      <c r="AT8564" s="10"/>
      <c r="AU8564" s="10"/>
      <c r="AV8564" s="10"/>
      <c r="AW8564" s="10"/>
      <c r="AX8564" s="10"/>
      <c r="AY8564" s="10"/>
      <c r="AZ8564" s="10"/>
    </row>
    <row r="8565" spans="31:52">
      <c r="AE8565" s="10"/>
      <c r="AF8565" s="10"/>
      <c r="AG8565" s="10"/>
      <c r="AH8565" s="10"/>
      <c r="AI8565" s="10"/>
      <c r="AJ8565" s="10"/>
      <c r="AK8565" s="10"/>
      <c r="AL8565" s="10"/>
      <c r="AM8565" s="10"/>
      <c r="AN8565" s="10"/>
      <c r="AO8565" s="10"/>
      <c r="AP8565" s="10"/>
      <c r="AQ8565" s="10"/>
      <c r="AR8565" s="10"/>
      <c r="AS8565" s="10"/>
      <c r="AT8565" s="10"/>
      <c r="AU8565" s="10"/>
      <c r="AV8565" s="10"/>
      <c r="AW8565" s="10"/>
      <c r="AX8565" s="10"/>
      <c r="AY8565" s="10"/>
      <c r="AZ8565" s="10"/>
    </row>
    <row r="8566" spans="31:52">
      <c r="AE8566" s="10"/>
      <c r="AF8566" s="10"/>
      <c r="AG8566" s="10"/>
      <c r="AH8566" s="10"/>
      <c r="AI8566" s="10"/>
      <c r="AJ8566" s="10"/>
      <c r="AK8566" s="10"/>
      <c r="AL8566" s="10"/>
      <c r="AM8566" s="10"/>
      <c r="AN8566" s="10"/>
      <c r="AO8566" s="10"/>
      <c r="AP8566" s="10"/>
      <c r="AQ8566" s="10"/>
      <c r="AR8566" s="10"/>
      <c r="AS8566" s="10"/>
      <c r="AT8566" s="10"/>
      <c r="AU8566" s="10"/>
      <c r="AV8566" s="10"/>
      <c r="AW8566" s="10"/>
      <c r="AX8566" s="10"/>
      <c r="AY8566" s="10"/>
      <c r="AZ8566" s="10"/>
    </row>
    <row r="8567" spans="31:52">
      <c r="AE8567" s="10"/>
      <c r="AF8567" s="10"/>
      <c r="AG8567" s="10"/>
      <c r="AH8567" s="10"/>
      <c r="AI8567" s="10"/>
      <c r="AJ8567" s="10"/>
      <c r="AK8567" s="10"/>
      <c r="AL8567" s="10"/>
      <c r="AM8567" s="10"/>
      <c r="AN8567" s="10"/>
      <c r="AO8567" s="10"/>
      <c r="AP8567" s="10"/>
      <c r="AQ8567" s="10"/>
      <c r="AR8567" s="10"/>
      <c r="AS8567" s="10"/>
      <c r="AT8567" s="10"/>
      <c r="AU8567" s="10"/>
      <c r="AV8567" s="10"/>
      <c r="AW8567" s="10"/>
      <c r="AX8567" s="10"/>
      <c r="AY8567" s="10"/>
      <c r="AZ8567" s="10"/>
    </row>
    <row r="8568" spans="31:52">
      <c r="AE8568" s="10"/>
      <c r="AF8568" s="10"/>
      <c r="AG8568" s="10"/>
      <c r="AH8568" s="10"/>
      <c r="AI8568" s="10"/>
      <c r="AJ8568" s="10"/>
      <c r="AK8568" s="10"/>
      <c r="AL8568" s="10"/>
      <c r="AM8568" s="10"/>
      <c r="AN8568" s="10"/>
      <c r="AO8568" s="10"/>
      <c r="AP8568" s="10"/>
      <c r="AQ8568" s="10"/>
      <c r="AR8568" s="10"/>
      <c r="AS8568" s="10"/>
      <c r="AT8568" s="10"/>
      <c r="AU8568" s="10"/>
      <c r="AV8568" s="10"/>
      <c r="AW8568" s="10"/>
      <c r="AX8568" s="10"/>
      <c r="AY8568" s="10"/>
      <c r="AZ8568" s="10"/>
    </row>
    <row r="8569" spans="31:52">
      <c r="AE8569" s="10"/>
      <c r="AF8569" s="10"/>
      <c r="AG8569" s="10"/>
      <c r="AH8569" s="10"/>
      <c r="AI8569" s="10"/>
      <c r="AJ8569" s="10"/>
      <c r="AK8569" s="10"/>
      <c r="AL8569" s="10"/>
      <c r="AM8569" s="10"/>
      <c r="AN8569" s="10"/>
      <c r="AO8569" s="10"/>
      <c r="AP8569" s="10"/>
      <c r="AQ8569" s="10"/>
      <c r="AR8569" s="10"/>
      <c r="AS8569" s="10"/>
      <c r="AT8569" s="10"/>
      <c r="AU8569" s="10"/>
      <c r="AV8569" s="10"/>
      <c r="AW8569" s="10"/>
      <c r="AX8569" s="10"/>
      <c r="AY8569" s="10"/>
      <c r="AZ8569" s="10"/>
    </row>
    <row r="8570" spans="31:52">
      <c r="AE8570" s="10"/>
      <c r="AF8570" s="10"/>
      <c r="AG8570" s="10"/>
      <c r="AH8570" s="10"/>
      <c r="AI8570" s="10"/>
      <c r="AJ8570" s="10"/>
      <c r="AK8570" s="10"/>
      <c r="AL8570" s="10"/>
      <c r="AM8570" s="10"/>
      <c r="AN8570" s="10"/>
      <c r="AO8570" s="10"/>
      <c r="AP8570" s="10"/>
      <c r="AQ8570" s="10"/>
      <c r="AR8570" s="10"/>
      <c r="AS8570" s="10"/>
      <c r="AT8570" s="10"/>
      <c r="AU8570" s="10"/>
      <c r="AV8570" s="10"/>
      <c r="AW8570" s="10"/>
      <c r="AX8570" s="10"/>
      <c r="AY8570" s="10"/>
      <c r="AZ8570" s="10"/>
    </row>
    <row r="8571" spans="31:52">
      <c r="AE8571" s="10"/>
      <c r="AF8571" s="10"/>
      <c r="AG8571" s="10"/>
      <c r="AH8571" s="10"/>
      <c r="AI8571" s="10"/>
      <c r="AJ8571" s="10"/>
      <c r="AK8571" s="10"/>
      <c r="AL8571" s="10"/>
      <c r="AM8571" s="10"/>
      <c r="AN8571" s="10"/>
      <c r="AO8571" s="10"/>
      <c r="AP8571" s="10"/>
      <c r="AQ8571" s="10"/>
      <c r="AR8571" s="10"/>
      <c r="AS8571" s="10"/>
      <c r="AT8571" s="10"/>
      <c r="AU8571" s="10"/>
      <c r="AV8571" s="10"/>
      <c r="AW8571" s="10"/>
      <c r="AX8571" s="10"/>
      <c r="AY8571" s="10"/>
      <c r="AZ8571" s="10"/>
    </row>
    <row r="8572" spans="31:52">
      <c r="AE8572" s="10"/>
      <c r="AF8572" s="10"/>
      <c r="AG8572" s="10"/>
      <c r="AH8572" s="10"/>
      <c r="AI8572" s="10"/>
      <c r="AJ8572" s="10"/>
      <c r="AK8572" s="10"/>
      <c r="AL8572" s="10"/>
      <c r="AM8572" s="10"/>
      <c r="AN8572" s="10"/>
      <c r="AO8572" s="10"/>
      <c r="AP8572" s="10"/>
      <c r="AQ8572" s="10"/>
      <c r="AR8572" s="10"/>
      <c r="AS8572" s="10"/>
      <c r="AT8572" s="10"/>
      <c r="AU8572" s="10"/>
      <c r="AV8572" s="10"/>
      <c r="AW8572" s="10"/>
      <c r="AX8572" s="10"/>
      <c r="AY8572" s="10"/>
      <c r="AZ8572" s="10"/>
    </row>
    <row r="8573" spans="31:52">
      <c r="AE8573" s="10"/>
      <c r="AF8573" s="10"/>
      <c r="AG8573" s="10"/>
      <c r="AH8573" s="10"/>
      <c r="AI8573" s="10"/>
      <c r="AJ8573" s="10"/>
      <c r="AK8573" s="10"/>
      <c r="AL8573" s="10"/>
      <c r="AM8573" s="10"/>
      <c r="AN8573" s="10"/>
      <c r="AO8573" s="10"/>
      <c r="AP8573" s="10"/>
      <c r="AQ8573" s="10"/>
      <c r="AR8573" s="10"/>
      <c r="AS8573" s="10"/>
      <c r="AT8573" s="10"/>
      <c r="AU8573" s="10"/>
      <c r="AV8573" s="10"/>
      <c r="AW8573" s="10"/>
      <c r="AX8573" s="10"/>
      <c r="AY8573" s="10"/>
      <c r="AZ8573" s="10"/>
    </row>
    <row r="8574" spans="31:52">
      <c r="AE8574" s="10"/>
      <c r="AF8574" s="10"/>
      <c r="AG8574" s="10"/>
      <c r="AH8574" s="10"/>
      <c r="AI8574" s="10"/>
      <c r="AJ8574" s="10"/>
      <c r="AK8574" s="10"/>
      <c r="AL8574" s="10"/>
      <c r="AM8574" s="10"/>
      <c r="AN8574" s="10"/>
      <c r="AO8574" s="10"/>
      <c r="AP8574" s="10"/>
      <c r="AQ8574" s="10"/>
      <c r="AR8574" s="10"/>
      <c r="AS8574" s="10"/>
      <c r="AT8574" s="10"/>
      <c r="AU8574" s="10"/>
      <c r="AV8574" s="10"/>
      <c r="AW8574" s="10"/>
      <c r="AX8574" s="10"/>
      <c r="AY8574" s="10"/>
      <c r="AZ8574" s="10"/>
    </row>
    <row r="8575" spans="31:52">
      <c r="AE8575" s="10"/>
      <c r="AF8575" s="10"/>
      <c r="AG8575" s="10"/>
      <c r="AH8575" s="10"/>
      <c r="AI8575" s="10"/>
      <c r="AJ8575" s="10"/>
      <c r="AK8575" s="10"/>
      <c r="AL8575" s="10"/>
      <c r="AM8575" s="10"/>
      <c r="AN8575" s="10"/>
      <c r="AO8575" s="10"/>
      <c r="AP8575" s="10"/>
      <c r="AQ8575" s="10"/>
      <c r="AR8575" s="10"/>
      <c r="AS8575" s="10"/>
      <c r="AT8575" s="10"/>
      <c r="AU8575" s="10"/>
      <c r="AV8575" s="10"/>
      <c r="AW8575" s="10"/>
      <c r="AX8575" s="10"/>
      <c r="AY8575" s="10"/>
      <c r="AZ8575" s="10"/>
    </row>
    <row r="8576" spans="31:52">
      <c r="AE8576" s="10"/>
      <c r="AF8576" s="10"/>
      <c r="AG8576" s="10"/>
      <c r="AH8576" s="10"/>
      <c r="AI8576" s="10"/>
      <c r="AJ8576" s="10"/>
      <c r="AK8576" s="10"/>
      <c r="AL8576" s="10"/>
      <c r="AM8576" s="10"/>
      <c r="AN8576" s="10"/>
      <c r="AO8576" s="10"/>
      <c r="AP8576" s="10"/>
      <c r="AQ8576" s="10"/>
      <c r="AR8576" s="10"/>
      <c r="AS8576" s="10"/>
      <c r="AT8576" s="10"/>
      <c r="AU8576" s="10"/>
      <c r="AV8576" s="10"/>
      <c r="AW8576" s="10"/>
      <c r="AX8576" s="10"/>
      <c r="AY8576" s="10"/>
      <c r="AZ8576" s="10"/>
    </row>
    <row r="8577" spans="31:52">
      <c r="AE8577" s="10"/>
      <c r="AF8577" s="10"/>
      <c r="AG8577" s="10"/>
      <c r="AH8577" s="10"/>
      <c r="AI8577" s="10"/>
      <c r="AJ8577" s="10"/>
      <c r="AK8577" s="10"/>
      <c r="AL8577" s="10"/>
      <c r="AM8577" s="10"/>
      <c r="AN8577" s="10"/>
      <c r="AO8577" s="10"/>
      <c r="AP8577" s="10"/>
      <c r="AQ8577" s="10"/>
      <c r="AR8577" s="10"/>
      <c r="AS8577" s="10"/>
      <c r="AT8577" s="10"/>
      <c r="AU8577" s="10"/>
      <c r="AV8577" s="10"/>
      <c r="AW8577" s="10"/>
      <c r="AX8577" s="10"/>
      <c r="AY8577" s="10"/>
      <c r="AZ8577" s="10"/>
    </row>
    <row r="8578" spans="31:52">
      <c r="AE8578" s="10"/>
      <c r="AF8578" s="10"/>
      <c r="AG8578" s="10"/>
      <c r="AH8578" s="10"/>
      <c r="AI8578" s="10"/>
      <c r="AJ8578" s="10"/>
      <c r="AK8578" s="10"/>
      <c r="AL8578" s="10"/>
      <c r="AM8578" s="10"/>
      <c r="AN8578" s="10"/>
      <c r="AO8578" s="10"/>
      <c r="AP8578" s="10"/>
      <c r="AQ8578" s="10"/>
      <c r="AR8578" s="10"/>
      <c r="AS8578" s="10"/>
      <c r="AT8578" s="10"/>
      <c r="AU8578" s="10"/>
      <c r="AV8578" s="10"/>
      <c r="AW8578" s="10"/>
      <c r="AX8578" s="10"/>
      <c r="AY8578" s="10"/>
      <c r="AZ8578" s="10"/>
    </row>
    <row r="8579" spans="31:52">
      <c r="AE8579" s="10"/>
      <c r="AF8579" s="10"/>
      <c r="AG8579" s="10"/>
      <c r="AH8579" s="10"/>
      <c r="AI8579" s="10"/>
      <c r="AJ8579" s="10"/>
      <c r="AK8579" s="10"/>
      <c r="AL8579" s="10"/>
      <c r="AM8579" s="10"/>
      <c r="AN8579" s="10"/>
      <c r="AO8579" s="10"/>
      <c r="AP8579" s="10"/>
      <c r="AQ8579" s="10"/>
      <c r="AR8579" s="10"/>
      <c r="AS8579" s="10"/>
      <c r="AT8579" s="10"/>
      <c r="AU8579" s="10"/>
      <c r="AV8579" s="10"/>
      <c r="AW8579" s="10"/>
      <c r="AX8579" s="10"/>
      <c r="AY8579" s="10"/>
      <c r="AZ8579" s="10"/>
    </row>
    <row r="8580" spans="31:52">
      <c r="AE8580" s="10"/>
      <c r="AF8580" s="10"/>
      <c r="AG8580" s="10"/>
      <c r="AH8580" s="10"/>
      <c r="AI8580" s="10"/>
      <c r="AJ8580" s="10"/>
      <c r="AK8580" s="10"/>
      <c r="AL8580" s="10"/>
      <c r="AM8580" s="10"/>
      <c r="AN8580" s="10"/>
      <c r="AO8580" s="10"/>
      <c r="AP8580" s="10"/>
      <c r="AQ8580" s="10"/>
      <c r="AR8580" s="10"/>
      <c r="AS8580" s="10"/>
      <c r="AT8580" s="10"/>
      <c r="AU8580" s="10"/>
      <c r="AV8580" s="10"/>
      <c r="AW8580" s="10"/>
      <c r="AX8580" s="10"/>
      <c r="AY8580" s="10"/>
      <c r="AZ8580" s="10"/>
    </row>
    <row r="8581" spans="31:52">
      <c r="AE8581" s="10"/>
      <c r="AF8581" s="10"/>
      <c r="AG8581" s="10"/>
      <c r="AH8581" s="10"/>
      <c r="AI8581" s="10"/>
      <c r="AJ8581" s="10"/>
      <c r="AK8581" s="10"/>
      <c r="AL8581" s="10"/>
      <c r="AM8581" s="10"/>
      <c r="AN8581" s="10"/>
      <c r="AO8581" s="10"/>
      <c r="AP8581" s="10"/>
      <c r="AQ8581" s="10"/>
      <c r="AR8581" s="10"/>
      <c r="AS8581" s="10"/>
      <c r="AT8581" s="10"/>
      <c r="AU8581" s="10"/>
      <c r="AV8581" s="10"/>
      <c r="AW8581" s="10"/>
      <c r="AX8581" s="10"/>
      <c r="AY8581" s="10"/>
      <c r="AZ8581" s="10"/>
    </row>
    <row r="8582" spans="31:52">
      <c r="AE8582" s="10"/>
      <c r="AF8582" s="10"/>
      <c r="AG8582" s="10"/>
      <c r="AH8582" s="10"/>
      <c r="AI8582" s="10"/>
      <c r="AJ8582" s="10"/>
      <c r="AK8582" s="10"/>
      <c r="AL8582" s="10"/>
      <c r="AM8582" s="10"/>
      <c r="AN8582" s="10"/>
      <c r="AO8582" s="10"/>
      <c r="AP8582" s="10"/>
      <c r="AQ8582" s="10"/>
      <c r="AR8582" s="10"/>
      <c r="AS8582" s="10"/>
      <c r="AT8582" s="10"/>
      <c r="AU8582" s="10"/>
      <c r="AV8582" s="10"/>
      <c r="AW8582" s="10"/>
      <c r="AX8582" s="10"/>
      <c r="AY8582" s="10"/>
      <c r="AZ8582" s="10"/>
    </row>
    <row r="8583" spans="31:52">
      <c r="AE8583" s="10"/>
      <c r="AF8583" s="10"/>
      <c r="AG8583" s="10"/>
      <c r="AH8583" s="10"/>
      <c r="AI8583" s="10"/>
      <c r="AJ8583" s="10"/>
      <c r="AK8583" s="10"/>
      <c r="AL8583" s="10"/>
      <c r="AM8583" s="10"/>
      <c r="AN8583" s="10"/>
      <c r="AO8583" s="10"/>
      <c r="AP8583" s="10"/>
      <c r="AQ8583" s="10"/>
      <c r="AR8583" s="10"/>
      <c r="AS8583" s="10"/>
      <c r="AT8583" s="10"/>
      <c r="AU8583" s="10"/>
      <c r="AV8583" s="10"/>
      <c r="AW8583" s="10"/>
      <c r="AX8583" s="10"/>
      <c r="AY8583" s="10"/>
      <c r="AZ8583" s="10"/>
    </row>
    <row r="8584" spans="31:52">
      <c r="AE8584" s="10"/>
      <c r="AF8584" s="10"/>
      <c r="AG8584" s="10"/>
      <c r="AH8584" s="10"/>
      <c r="AI8584" s="10"/>
      <c r="AJ8584" s="10"/>
      <c r="AK8584" s="10"/>
      <c r="AL8584" s="10"/>
      <c r="AM8584" s="10"/>
      <c r="AN8584" s="10"/>
      <c r="AO8584" s="10"/>
      <c r="AP8584" s="10"/>
      <c r="AQ8584" s="10"/>
      <c r="AR8584" s="10"/>
      <c r="AS8584" s="10"/>
      <c r="AT8584" s="10"/>
      <c r="AU8584" s="10"/>
      <c r="AV8584" s="10"/>
      <c r="AW8584" s="10"/>
      <c r="AX8584" s="10"/>
      <c r="AY8584" s="10"/>
      <c r="AZ8584" s="10"/>
    </row>
    <row r="8585" spans="31:52">
      <c r="AE8585" s="10"/>
      <c r="AF8585" s="10"/>
      <c r="AG8585" s="10"/>
      <c r="AH8585" s="10"/>
      <c r="AI8585" s="10"/>
      <c r="AJ8585" s="10"/>
      <c r="AK8585" s="10"/>
      <c r="AL8585" s="10"/>
      <c r="AM8585" s="10"/>
      <c r="AN8585" s="10"/>
      <c r="AO8585" s="10"/>
      <c r="AP8585" s="10"/>
      <c r="AQ8585" s="10"/>
      <c r="AR8585" s="10"/>
      <c r="AS8585" s="10"/>
      <c r="AT8585" s="10"/>
      <c r="AU8585" s="10"/>
      <c r="AV8585" s="10"/>
      <c r="AW8585" s="10"/>
      <c r="AX8585" s="10"/>
      <c r="AY8585" s="10"/>
      <c r="AZ8585" s="10"/>
    </row>
    <row r="8586" spans="31:52">
      <c r="AE8586" s="10"/>
      <c r="AF8586" s="10"/>
      <c r="AG8586" s="10"/>
      <c r="AH8586" s="10"/>
      <c r="AI8586" s="10"/>
      <c r="AJ8586" s="10"/>
      <c r="AK8586" s="10"/>
      <c r="AL8586" s="10"/>
      <c r="AM8586" s="10"/>
      <c r="AN8586" s="10"/>
      <c r="AO8586" s="10"/>
      <c r="AP8586" s="10"/>
      <c r="AQ8586" s="10"/>
      <c r="AR8586" s="10"/>
      <c r="AS8586" s="10"/>
      <c r="AT8586" s="10"/>
      <c r="AU8586" s="10"/>
      <c r="AV8586" s="10"/>
      <c r="AW8586" s="10"/>
      <c r="AX8586" s="10"/>
      <c r="AY8586" s="10"/>
      <c r="AZ8586" s="10"/>
    </row>
    <row r="8587" spans="31:52">
      <c r="AE8587" s="10"/>
      <c r="AF8587" s="10"/>
      <c r="AG8587" s="10"/>
      <c r="AH8587" s="10"/>
      <c r="AI8587" s="10"/>
      <c r="AJ8587" s="10"/>
      <c r="AK8587" s="10"/>
      <c r="AL8587" s="10"/>
      <c r="AM8587" s="10"/>
      <c r="AN8587" s="10"/>
      <c r="AO8587" s="10"/>
      <c r="AP8587" s="10"/>
      <c r="AQ8587" s="10"/>
      <c r="AR8587" s="10"/>
      <c r="AS8587" s="10"/>
      <c r="AT8587" s="10"/>
      <c r="AU8587" s="10"/>
      <c r="AV8587" s="10"/>
      <c r="AW8587" s="10"/>
      <c r="AX8587" s="10"/>
      <c r="AY8587" s="10"/>
      <c r="AZ8587" s="10"/>
    </row>
    <row r="8588" spans="31:52">
      <c r="AE8588" s="10"/>
      <c r="AF8588" s="10"/>
      <c r="AG8588" s="10"/>
      <c r="AH8588" s="10"/>
      <c r="AI8588" s="10"/>
      <c r="AJ8588" s="10"/>
      <c r="AK8588" s="10"/>
      <c r="AL8588" s="10"/>
      <c r="AM8588" s="10"/>
      <c r="AN8588" s="10"/>
      <c r="AO8588" s="10"/>
      <c r="AP8588" s="10"/>
      <c r="AQ8588" s="10"/>
      <c r="AR8588" s="10"/>
      <c r="AS8588" s="10"/>
      <c r="AT8588" s="10"/>
      <c r="AU8588" s="10"/>
      <c r="AV8588" s="10"/>
      <c r="AW8588" s="10"/>
      <c r="AX8588" s="10"/>
      <c r="AY8588" s="10"/>
      <c r="AZ8588" s="10"/>
    </row>
    <row r="8589" spans="31:52">
      <c r="AE8589" s="10"/>
      <c r="AF8589" s="10"/>
      <c r="AG8589" s="10"/>
      <c r="AH8589" s="10"/>
      <c r="AI8589" s="10"/>
      <c r="AJ8589" s="10"/>
      <c r="AK8589" s="10"/>
      <c r="AL8589" s="10"/>
      <c r="AM8589" s="10"/>
      <c r="AN8589" s="10"/>
      <c r="AO8589" s="10"/>
      <c r="AP8589" s="10"/>
      <c r="AQ8589" s="10"/>
      <c r="AR8589" s="10"/>
      <c r="AS8589" s="10"/>
      <c r="AT8589" s="10"/>
      <c r="AU8589" s="10"/>
      <c r="AV8589" s="10"/>
      <c r="AW8589" s="10"/>
      <c r="AX8589" s="10"/>
      <c r="AY8589" s="10"/>
      <c r="AZ8589" s="10"/>
    </row>
    <row r="8590" spans="31:52">
      <c r="AE8590" s="10"/>
      <c r="AF8590" s="10"/>
      <c r="AG8590" s="10"/>
      <c r="AH8590" s="10"/>
      <c r="AI8590" s="10"/>
      <c r="AJ8590" s="10"/>
      <c r="AK8590" s="10"/>
      <c r="AL8590" s="10"/>
      <c r="AM8590" s="10"/>
      <c r="AN8590" s="10"/>
      <c r="AO8590" s="10"/>
      <c r="AP8590" s="10"/>
      <c r="AQ8590" s="10"/>
      <c r="AR8590" s="10"/>
      <c r="AS8590" s="10"/>
      <c r="AT8590" s="10"/>
      <c r="AU8590" s="10"/>
      <c r="AV8590" s="10"/>
      <c r="AW8590" s="10"/>
      <c r="AX8590" s="10"/>
      <c r="AY8590" s="10"/>
      <c r="AZ8590" s="10"/>
    </row>
    <row r="8591" spans="31:52">
      <c r="AE8591" s="10"/>
      <c r="AF8591" s="10"/>
      <c r="AG8591" s="10"/>
      <c r="AH8591" s="10"/>
      <c r="AI8591" s="10"/>
      <c r="AJ8591" s="10"/>
      <c r="AK8591" s="10"/>
      <c r="AL8591" s="10"/>
      <c r="AM8591" s="10"/>
      <c r="AN8591" s="10"/>
      <c r="AO8591" s="10"/>
      <c r="AP8591" s="10"/>
      <c r="AQ8591" s="10"/>
      <c r="AR8591" s="10"/>
      <c r="AS8591" s="10"/>
      <c r="AT8591" s="10"/>
      <c r="AU8591" s="10"/>
      <c r="AV8591" s="10"/>
      <c r="AW8591" s="10"/>
      <c r="AX8591" s="10"/>
      <c r="AY8591" s="10"/>
      <c r="AZ8591" s="10"/>
    </row>
    <row r="8592" spans="31:52">
      <c r="AE8592" s="10"/>
      <c r="AF8592" s="10"/>
      <c r="AG8592" s="10"/>
      <c r="AH8592" s="10"/>
      <c r="AI8592" s="10"/>
      <c r="AJ8592" s="10"/>
      <c r="AK8592" s="10"/>
      <c r="AL8592" s="10"/>
      <c r="AM8592" s="10"/>
      <c r="AN8592" s="10"/>
      <c r="AO8592" s="10"/>
      <c r="AP8592" s="10"/>
      <c r="AQ8592" s="10"/>
      <c r="AR8592" s="10"/>
      <c r="AS8592" s="10"/>
      <c r="AT8592" s="10"/>
      <c r="AU8592" s="10"/>
      <c r="AV8592" s="10"/>
      <c r="AW8592" s="10"/>
      <c r="AX8592" s="10"/>
      <c r="AY8592" s="10"/>
      <c r="AZ8592" s="10"/>
    </row>
    <row r="8593" spans="31:52">
      <c r="AE8593" s="10"/>
      <c r="AF8593" s="10"/>
      <c r="AG8593" s="10"/>
      <c r="AH8593" s="10"/>
      <c r="AI8593" s="10"/>
      <c r="AJ8593" s="10"/>
      <c r="AK8593" s="10"/>
      <c r="AL8593" s="10"/>
      <c r="AM8593" s="10"/>
      <c r="AN8593" s="10"/>
      <c r="AO8593" s="10"/>
      <c r="AP8593" s="10"/>
      <c r="AQ8593" s="10"/>
      <c r="AR8593" s="10"/>
      <c r="AS8593" s="10"/>
      <c r="AT8593" s="10"/>
      <c r="AU8593" s="10"/>
      <c r="AV8593" s="10"/>
      <c r="AW8593" s="10"/>
      <c r="AX8593" s="10"/>
      <c r="AY8593" s="10"/>
      <c r="AZ8593" s="10"/>
    </row>
    <row r="8594" spans="31:52">
      <c r="AE8594" s="10"/>
      <c r="AF8594" s="10"/>
      <c r="AG8594" s="10"/>
      <c r="AH8594" s="10"/>
      <c r="AI8594" s="10"/>
      <c r="AJ8594" s="10"/>
      <c r="AK8594" s="10"/>
      <c r="AL8594" s="10"/>
      <c r="AM8594" s="10"/>
      <c r="AN8594" s="10"/>
      <c r="AO8594" s="10"/>
      <c r="AP8594" s="10"/>
      <c r="AQ8594" s="10"/>
      <c r="AR8594" s="10"/>
      <c r="AS8594" s="10"/>
      <c r="AT8594" s="10"/>
      <c r="AU8594" s="10"/>
      <c r="AV8594" s="10"/>
      <c r="AW8594" s="10"/>
      <c r="AX8594" s="10"/>
      <c r="AY8594" s="10"/>
      <c r="AZ8594" s="10"/>
    </row>
    <row r="8595" spans="31:52">
      <c r="AE8595" s="10"/>
      <c r="AF8595" s="10"/>
      <c r="AG8595" s="10"/>
      <c r="AH8595" s="10"/>
      <c r="AI8595" s="10"/>
      <c r="AJ8595" s="10"/>
      <c r="AK8595" s="10"/>
      <c r="AL8595" s="10"/>
      <c r="AM8595" s="10"/>
      <c r="AN8595" s="10"/>
      <c r="AO8595" s="10"/>
      <c r="AP8595" s="10"/>
      <c r="AQ8595" s="10"/>
      <c r="AR8595" s="10"/>
      <c r="AS8595" s="10"/>
      <c r="AT8595" s="10"/>
      <c r="AU8595" s="10"/>
      <c r="AV8595" s="10"/>
      <c r="AW8595" s="10"/>
      <c r="AX8595" s="10"/>
      <c r="AY8595" s="10"/>
      <c r="AZ8595" s="10"/>
    </row>
    <row r="8596" spans="31:52">
      <c r="AE8596" s="10"/>
      <c r="AF8596" s="10"/>
      <c r="AG8596" s="10"/>
      <c r="AH8596" s="10"/>
      <c r="AI8596" s="10"/>
      <c r="AJ8596" s="10"/>
      <c r="AK8596" s="10"/>
      <c r="AL8596" s="10"/>
      <c r="AM8596" s="10"/>
      <c r="AN8596" s="10"/>
      <c r="AO8596" s="10"/>
      <c r="AP8596" s="10"/>
      <c r="AQ8596" s="10"/>
      <c r="AR8596" s="10"/>
      <c r="AS8596" s="10"/>
      <c r="AT8596" s="10"/>
      <c r="AU8596" s="10"/>
      <c r="AV8596" s="10"/>
      <c r="AW8596" s="10"/>
      <c r="AX8596" s="10"/>
      <c r="AY8596" s="10"/>
      <c r="AZ8596" s="10"/>
    </row>
    <row r="8597" spans="31:52">
      <c r="AE8597" s="10"/>
      <c r="AF8597" s="10"/>
      <c r="AG8597" s="10"/>
      <c r="AH8597" s="10"/>
      <c r="AI8597" s="10"/>
      <c r="AJ8597" s="10"/>
      <c r="AK8597" s="10"/>
      <c r="AL8597" s="10"/>
      <c r="AM8597" s="10"/>
      <c r="AN8597" s="10"/>
      <c r="AO8597" s="10"/>
      <c r="AP8597" s="10"/>
      <c r="AQ8597" s="10"/>
      <c r="AR8597" s="10"/>
      <c r="AS8597" s="10"/>
      <c r="AT8597" s="10"/>
      <c r="AU8597" s="10"/>
      <c r="AV8597" s="10"/>
      <c r="AW8597" s="10"/>
      <c r="AX8597" s="10"/>
      <c r="AY8597" s="10"/>
      <c r="AZ8597" s="10"/>
    </row>
    <row r="8598" spans="31:52">
      <c r="AE8598" s="10"/>
      <c r="AF8598" s="10"/>
      <c r="AG8598" s="10"/>
      <c r="AH8598" s="10"/>
      <c r="AI8598" s="10"/>
      <c r="AJ8598" s="10"/>
      <c r="AK8598" s="10"/>
      <c r="AL8598" s="10"/>
      <c r="AM8598" s="10"/>
      <c r="AN8598" s="10"/>
      <c r="AO8598" s="10"/>
      <c r="AP8598" s="10"/>
      <c r="AQ8598" s="10"/>
      <c r="AR8598" s="10"/>
      <c r="AS8598" s="10"/>
      <c r="AT8598" s="10"/>
      <c r="AU8598" s="10"/>
      <c r="AV8598" s="10"/>
      <c r="AW8598" s="10"/>
      <c r="AX8598" s="10"/>
      <c r="AY8598" s="10"/>
      <c r="AZ8598" s="10"/>
    </row>
    <row r="8599" spans="31:52">
      <c r="AE8599" s="10"/>
      <c r="AF8599" s="10"/>
      <c r="AG8599" s="10"/>
      <c r="AH8599" s="10"/>
      <c r="AI8599" s="10"/>
      <c r="AJ8599" s="10"/>
      <c r="AK8599" s="10"/>
      <c r="AL8599" s="10"/>
      <c r="AM8599" s="10"/>
      <c r="AN8599" s="10"/>
      <c r="AO8599" s="10"/>
      <c r="AP8599" s="10"/>
      <c r="AQ8599" s="10"/>
      <c r="AR8599" s="10"/>
      <c r="AS8599" s="10"/>
      <c r="AT8599" s="10"/>
      <c r="AU8599" s="10"/>
      <c r="AV8599" s="10"/>
      <c r="AW8599" s="10"/>
      <c r="AX8599" s="10"/>
      <c r="AY8599" s="10"/>
      <c r="AZ8599" s="10"/>
    </row>
    <row r="8600" spans="31:52">
      <c r="AE8600" s="10"/>
      <c r="AF8600" s="10"/>
      <c r="AG8600" s="10"/>
      <c r="AH8600" s="10"/>
      <c r="AI8600" s="10"/>
      <c r="AJ8600" s="10"/>
      <c r="AK8600" s="10"/>
      <c r="AL8600" s="10"/>
      <c r="AM8600" s="10"/>
      <c r="AN8600" s="10"/>
      <c r="AO8600" s="10"/>
      <c r="AP8600" s="10"/>
      <c r="AQ8600" s="10"/>
      <c r="AR8600" s="10"/>
      <c r="AS8600" s="10"/>
      <c r="AT8600" s="10"/>
      <c r="AU8600" s="10"/>
      <c r="AV8600" s="10"/>
      <c r="AW8600" s="10"/>
      <c r="AX8600" s="10"/>
      <c r="AY8600" s="10"/>
      <c r="AZ8600" s="10"/>
    </row>
    <row r="8601" spans="31:52">
      <c r="AE8601" s="10"/>
      <c r="AF8601" s="10"/>
      <c r="AG8601" s="10"/>
      <c r="AH8601" s="10"/>
      <c r="AI8601" s="10"/>
      <c r="AJ8601" s="10"/>
      <c r="AK8601" s="10"/>
      <c r="AL8601" s="10"/>
      <c r="AM8601" s="10"/>
      <c r="AN8601" s="10"/>
      <c r="AO8601" s="10"/>
      <c r="AP8601" s="10"/>
      <c r="AQ8601" s="10"/>
      <c r="AR8601" s="10"/>
      <c r="AS8601" s="10"/>
      <c r="AT8601" s="10"/>
      <c r="AU8601" s="10"/>
      <c r="AV8601" s="10"/>
      <c r="AW8601" s="10"/>
      <c r="AX8601" s="10"/>
      <c r="AY8601" s="10"/>
      <c r="AZ8601" s="10"/>
    </row>
    <row r="8602" spans="31:52">
      <c r="AE8602" s="10"/>
      <c r="AF8602" s="10"/>
      <c r="AG8602" s="10"/>
      <c r="AH8602" s="10"/>
      <c r="AI8602" s="10"/>
      <c r="AJ8602" s="10"/>
      <c r="AK8602" s="10"/>
      <c r="AL8602" s="10"/>
      <c r="AM8602" s="10"/>
      <c r="AN8602" s="10"/>
      <c r="AO8602" s="10"/>
      <c r="AP8602" s="10"/>
      <c r="AQ8602" s="10"/>
      <c r="AR8602" s="10"/>
      <c r="AS8602" s="10"/>
      <c r="AT8602" s="10"/>
      <c r="AU8602" s="10"/>
      <c r="AV8602" s="10"/>
      <c r="AW8602" s="10"/>
      <c r="AX8602" s="10"/>
      <c r="AY8602" s="10"/>
      <c r="AZ8602" s="10"/>
    </row>
    <row r="8603" spans="31:52">
      <c r="AE8603" s="10"/>
      <c r="AF8603" s="10"/>
      <c r="AG8603" s="10"/>
      <c r="AH8603" s="10"/>
      <c r="AI8603" s="10"/>
      <c r="AJ8603" s="10"/>
      <c r="AK8603" s="10"/>
      <c r="AL8603" s="10"/>
      <c r="AM8603" s="10"/>
      <c r="AN8603" s="10"/>
      <c r="AO8603" s="10"/>
      <c r="AP8603" s="10"/>
      <c r="AQ8603" s="10"/>
      <c r="AR8603" s="10"/>
      <c r="AS8603" s="10"/>
      <c r="AT8603" s="10"/>
      <c r="AU8603" s="10"/>
      <c r="AV8603" s="10"/>
      <c r="AW8603" s="10"/>
      <c r="AX8603" s="10"/>
      <c r="AY8603" s="10"/>
      <c r="AZ8603" s="10"/>
    </row>
    <row r="8604" spans="31:52">
      <c r="AE8604" s="10"/>
      <c r="AF8604" s="10"/>
      <c r="AG8604" s="10"/>
      <c r="AH8604" s="10"/>
      <c r="AI8604" s="10"/>
      <c r="AJ8604" s="10"/>
      <c r="AK8604" s="10"/>
      <c r="AL8604" s="10"/>
      <c r="AM8604" s="10"/>
      <c r="AN8604" s="10"/>
      <c r="AO8604" s="10"/>
      <c r="AP8604" s="10"/>
      <c r="AQ8604" s="10"/>
      <c r="AR8604" s="10"/>
      <c r="AS8604" s="10"/>
      <c r="AT8604" s="10"/>
      <c r="AU8604" s="10"/>
      <c r="AV8604" s="10"/>
      <c r="AW8604" s="10"/>
      <c r="AX8604" s="10"/>
      <c r="AY8604" s="10"/>
      <c r="AZ8604" s="10"/>
    </row>
    <row r="8605" spans="31:52">
      <c r="AE8605" s="10"/>
      <c r="AF8605" s="10"/>
      <c r="AG8605" s="10"/>
      <c r="AH8605" s="10"/>
      <c r="AI8605" s="10"/>
      <c r="AJ8605" s="10"/>
      <c r="AK8605" s="10"/>
      <c r="AL8605" s="10"/>
      <c r="AM8605" s="10"/>
      <c r="AN8605" s="10"/>
      <c r="AO8605" s="10"/>
      <c r="AP8605" s="10"/>
      <c r="AQ8605" s="10"/>
      <c r="AR8605" s="10"/>
      <c r="AS8605" s="10"/>
      <c r="AT8605" s="10"/>
      <c r="AU8605" s="10"/>
      <c r="AV8605" s="10"/>
      <c r="AW8605" s="10"/>
      <c r="AX8605" s="10"/>
      <c r="AY8605" s="10"/>
      <c r="AZ8605" s="10"/>
    </row>
    <row r="8606" spans="31:52">
      <c r="AE8606" s="10"/>
      <c r="AF8606" s="10"/>
      <c r="AG8606" s="10"/>
      <c r="AH8606" s="10"/>
      <c r="AI8606" s="10"/>
      <c r="AJ8606" s="10"/>
      <c r="AK8606" s="10"/>
      <c r="AL8606" s="10"/>
      <c r="AM8606" s="10"/>
      <c r="AN8606" s="10"/>
      <c r="AO8606" s="10"/>
      <c r="AP8606" s="10"/>
      <c r="AQ8606" s="10"/>
      <c r="AR8606" s="10"/>
      <c r="AS8606" s="10"/>
      <c r="AT8606" s="10"/>
      <c r="AU8606" s="10"/>
      <c r="AV8606" s="10"/>
      <c r="AW8606" s="10"/>
      <c r="AX8606" s="10"/>
      <c r="AY8606" s="10"/>
      <c r="AZ8606" s="10"/>
    </row>
    <row r="8607" spans="31:52">
      <c r="AE8607" s="10"/>
      <c r="AF8607" s="10"/>
      <c r="AG8607" s="10"/>
      <c r="AH8607" s="10"/>
      <c r="AI8607" s="10"/>
      <c r="AJ8607" s="10"/>
      <c r="AK8607" s="10"/>
      <c r="AL8607" s="10"/>
      <c r="AM8607" s="10"/>
      <c r="AN8607" s="10"/>
      <c r="AO8607" s="10"/>
      <c r="AP8607" s="10"/>
      <c r="AQ8607" s="10"/>
      <c r="AR8607" s="10"/>
      <c r="AS8607" s="10"/>
      <c r="AT8607" s="10"/>
      <c r="AU8607" s="10"/>
      <c r="AV8607" s="10"/>
      <c r="AW8607" s="10"/>
      <c r="AX8607" s="10"/>
      <c r="AY8607" s="10"/>
      <c r="AZ8607" s="10"/>
    </row>
    <row r="8608" spans="31:52">
      <c r="AE8608" s="10"/>
      <c r="AF8608" s="10"/>
      <c r="AG8608" s="10"/>
      <c r="AH8608" s="10"/>
      <c r="AI8608" s="10"/>
      <c r="AJ8608" s="10"/>
      <c r="AK8608" s="10"/>
      <c r="AL8608" s="10"/>
      <c r="AM8608" s="10"/>
      <c r="AN8608" s="10"/>
      <c r="AO8608" s="10"/>
      <c r="AP8608" s="10"/>
      <c r="AQ8608" s="10"/>
      <c r="AR8608" s="10"/>
      <c r="AS8608" s="10"/>
      <c r="AT8608" s="10"/>
      <c r="AU8608" s="10"/>
      <c r="AV8608" s="10"/>
      <c r="AW8608" s="10"/>
      <c r="AX8608" s="10"/>
      <c r="AY8608" s="10"/>
      <c r="AZ8608" s="10"/>
    </row>
    <row r="8609" spans="31:52">
      <c r="AE8609" s="10"/>
      <c r="AF8609" s="10"/>
      <c r="AG8609" s="10"/>
      <c r="AH8609" s="10"/>
      <c r="AI8609" s="10"/>
      <c r="AJ8609" s="10"/>
      <c r="AK8609" s="10"/>
      <c r="AL8609" s="10"/>
      <c r="AM8609" s="10"/>
      <c r="AN8609" s="10"/>
      <c r="AO8609" s="10"/>
      <c r="AP8609" s="10"/>
      <c r="AQ8609" s="10"/>
      <c r="AR8609" s="10"/>
      <c r="AS8609" s="10"/>
      <c r="AT8609" s="10"/>
      <c r="AU8609" s="10"/>
      <c r="AV8609" s="10"/>
      <c r="AW8609" s="10"/>
      <c r="AX8609" s="10"/>
      <c r="AY8609" s="10"/>
      <c r="AZ8609" s="10"/>
    </row>
    <row r="8610" spans="31:52">
      <c r="AE8610" s="10"/>
      <c r="AF8610" s="10"/>
      <c r="AG8610" s="10"/>
      <c r="AH8610" s="10"/>
      <c r="AI8610" s="10"/>
      <c r="AJ8610" s="10"/>
      <c r="AK8610" s="10"/>
      <c r="AL8610" s="10"/>
      <c r="AM8610" s="10"/>
      <c r="AN8610" s="10"/>
      <c r="AO8610" s="10"/>
      <c r="AP8610" s="10"/>
      <c r="AQ8610" s="10"/>
      <c r="AR8610" s="10"/>
      <c r="AS8610" s="10"/>
      <c r="AT8610" s="10"/>
      <c r="AU8610" s="10"/>
      <c r="AV8610" s="10"/>
      <c r="AW8610" s="10"/>
      <c r="AX8610" s="10"/>
      <c r="AY8610" s="10"/>
      <c r="AZ8610" s="10"/>
    </row>
    <row r="8611" spans="31:52">
      <c r="AE8611" s="10"/>
      <c r="AF8611" s="10"/>
      <c r="AG8611" s="10"/>
      <c r="AH8611" s="10"/>
      <c r="AI8611" s="10"/>
      <c r="AJ8611" s="10"/>
      <c r="AK8611" s="10"/>
      <c r="AL8611" s="10"/>
      <c r="AM8611" s="10"/>
      <c r="AN8611" s="10"/>
      <c r="AO8611" s="10"/>
      <c r="AP8611" s="10"/>
      <c r="AQ8611" s="10"/>
      <c r="AR8611" s="10"/>
      <c r="AS8611" s="10"/>
      <c r="AT8611" s="10"/>
      <c r="AU8611" s="10"/>
      <c r="AV8611" s="10"/>
      <c r="AW8611" s="10"/>
      <c r="AX8611" s="10"/>
      <c r="AY8611" s="10"/>
      <c r="AZ8611" s="10"/>
    </row>
    <row r="8612" spans="31:52">
      <c r="AE8612" s="10"/>
      <c r="AF8612" s="10"/>
      <c r="AG8612" s="10"/>
      <c r="AH8612" s="10"/>
      <c r="AI8612" s="10"/>
      <c r="AJ8612" s="10"/>
      <c r="AK8612" s="10"/>
      <c r="AL8612" s="10"/>
      <c r="AM8612" s="10"/>
      <c r="AN8612" s="10"/>
      <c r="AO8612" s="10"/>
      <c r="AP8612" s="10"/>
      <c r="AQ8612" s="10"/>
      <c r="AR8612" s="10"/>
      <c r="AS8612" s="10"/>
      <c r="AT8612" s="10"/>
      <c r="AU8612" s="10"/>
      <c r="AV8612" s="10"/>
      <c r="AW8612" s="10"/>
      <c r="AX8612" s="10"/>
      <c r="AY8612" s="10"/>
      <c r="AZ8612" s="10"/>
    </row>
    <row r="8613" spans="31:52">
      <c r="AE8613" s="10"/>
      <c r="AF8613" s="10"/>
      <c r="AG8613" s="10"/>
      <c r="AH8613" s="10"/>
      <c r="AI8613" s="10"/>
      <c r="AJ8613" s="10"/>
      <c r="AK8613" s="10"/>
      <c r="AL8613" s="10"/>
      <c r="AM8613" s="10"/>
      <c r="AN8613" s="10"/>
      <c r="AO8613" s="10"/>
      <c r="AP8613" s="10"/>
      <c r="AQ8613" s="10"/>
      <c r="AR8613" s="10"/>
      <c r="AS8613" s="10"/>
      <c r="AT8613" s="10"/>
      <c r="AU8613" s="10"/>
      <c r="AV8613" s="10"/>
      <c r="AW8613" s="10"/>
      <c r="AX8613" s="10"/>
      <c r="AY8613" s="10"/>
      <c r="AZ8613" s="10"/>
    </row>
    <row r="8614" spans="31:52">
      <c r="AE8614" s="10"/>
      <c r="AF8614" s="10"/>
      <c r="AG8614" s="10"/>
      <c r="AH8614" s="10"/>
      <c r="AI8614" s="10"/>
      <c r="AJ8614" s="10"/>
      <c r="AK8614" s="10"/>
      <c r="AL8614" s="10"/>
      <c r="AM8614" s="10"/>
      <c r="AN8614" s="10"/>
      <c r="AO8614" s="10"/>
      <c r="AP8614" s="10"/>
      <c r="AQ8614" s="10"/>
      <c r="AR8614" s="10"/>
      <c r="AS8614" s="10"/>
      <c r="AT8614" s="10"/>
      <c r="AU8614" s="10"/>
      <c r="AV8614" s="10"/>
      <c r="AW8614" s="10"/>
      <c r="AX8614" s="10"/>
      <c r="AY8614" s="10"/>
      <c r="AZ8614" s="10"/>
    </row>
    <row r="8615" spans="31:52">
      <c r="AE8615" s="10"/>
      <c r="AF8615" s="10"/>
      <c r="AG8615" s="10"/>
      <c r="AH8615" s="10"/>
      <c r="AI8615" s="10"/>
      <c r="AJ8615" s="10"/>
      <c r="AK8615" s="10"/>
      <c r="AL8615" s="10"/>
      <c r="AM8615" s="10"/>
      <c r="AN8615" s="10"/>
      <c r="AO8615" s="10"/>
      <c r="AP8615" s="10"/>
      <c r="AQ8615" s="10"/>
      <c r="AR8615" s="10"/>
      <c r="AS8615" s="10"/>
      <c r="AT8615" s="10"/>
      <c r="AU8615" s="10"/>
      <c r="AV8615" s="10"/>
      <c r="AW8615" s="10"/>
      <c r="AX8615" s="10"/>
      <c r="AY8615" s="10"/>
      <c r="AZ8615" s="10"/>
    </row>
    <row r="8616" spans="31:52">
      <c r="AE8616" s="10"/>
      <c r="AF8616" s="10"/>
      <c r="AG8616" s="10"/>
      <c r="AH8616" s="10"/>
      <c r="AI8616" s="10"/>
      <c r="AJ8616" s="10"/>
      <c r="AK8616" s="10"/>
      <c r="AL8616" s="10"/>
      <c r="AM8616" s="10"/>
      <c r="AN8616" s="10"/>
      <c r="AO8616" s="10"/>
      <c r="AP8616" s="10"/>
      <c r="AQ8616" s="10"/>
      <c r="AR8616" s="10"/>
      <c r="AS8616" s="10"/>
      <c r="AT8616" s="10"/>
      <c r="AU8616" s="10"/>
      <c r="AV8616" s="10"/>
      <c r="AW8616" s="10"/>
      <c r="AX8616" s="10"/>
      <c r="AY8616" s="10"/>
      <c r="AZ8616" s="10"/>
    </row>
    <row r="8617" spans="31:52">
      <c r="AE8617" s="10"/>
      <c r="AF8617" s="10"/>
      <c r="AG8617" s="10"/>
      <c r="AH8617" s="10"/>
      <c r="AI8617" s="10"/>
      <c r="AJ8617" s="10"/>
      <c r="AK8617" s="10"/>
      <c r="AL8617" s="10"/>
      <c r="AM8617" s="10"/>
      <c r="AN8617" s="10"/>
      <c r="AO8617" s="10"/>
      <c r="AP8617" s="10"/>
      <c r="AQ8617" s="10"/>
      <c r="AR8617" s="10"/>
      <c r="AS8617" s="10"/>
      <c r="AT8617" s="10"/>
      <c r="AU8617" s="10"/>
      <c r="AV8617" s="10"/>
      <c r="AW8617" s="10"/>
      <c r="AX8617" s="10"/>
      <c r="AY8617" s="10"/>
      <c r="AZ8617" s="10"/>
    </row>
    <row r="8618" spans="31:52">
      <c r="AE8618" s="10"/>
      <c r="AF8618" s="10"/>
      <c r="AG8618" s="10"/>
      <c r="AH8618" s="10"/>
      <c r="AI8618" s="10"/>
      <c r="AJ8618" s="10"/>
      <c r="AK8618" s="10"/>
      <c r="AL8618" s="10"/>
      <c r="AM8618" s="10"/>
      <c r="AN8618" s="10"/>
      <c r="AO8618" s="10"/>
      <c r="AP8618" s="10"/>
      <c r="AQ8618" s="10"/>
      <c r="AR8618" s="10"/>
      <c r="AS8618" s="10"/>
      <c r="AT8618" s="10"/>
      <c r="AU8618" s="10"/>
      <c r="AV8618" s="10"/>
      <c r="AW8618" s="10"/>
      <c r="AX8618" s="10"/>
      <c r="AY8618" s="10"/>
      <c r="AZ8618" s="10"/>
    </row>
    <row r="8619" spans="31:52">
      <c r="AE8619" s="10"/>
      <c r="AF8619" s="10"/>
      <c r="AG8619" s="10"/>
      <c r="AH8619" s="10"/>
      <c r="AI8619" s="10"/>
      <c r="AJ8619" s="10"/>
      <c r="AK8619" s="10"/>
      <c r="AL8619" s="10"/>
      <c r="AM8619" s="10"/>
      <c r="AN8619" s="10"/>
      <c r="AO8619" s="10"/>
      <c r="AP8619" s="10"/>
      <c r="AQ8619" s="10"/>
      <c r="AR8619" s="10"/>
      <c r="AS8619" s="10"/>
      <c r="AT8619" s="10"/>
      <c r="AU8619" s="10"/>
      <c r="AV8619" s="10"/>
      <c r="AW8619" s="10"/>
      <c r="AX8619" s="10"/>
      <c r="AY8619" s="10"/>
      <c r="AZ8619" s="10"/>
    </row>
    <row r="8620" spans="31:52">
      <c r="AE8620" s="10"/>
      <c r="AF8620" s="10"/>
      <c r="AG8620" s="10"/>
      <c r="AH8620" s="10"/>
      <c r="AI8620" s="10"/>
      <c r="AJ8620" s="10"/>
      <c r="AK8620" s="10"/>
      <c r="AL8620" s="10"/>
      <c r="AM8620" s="10"/>
      <c r="AN8620" s="10"/>
      <c r="AO8620" s="10"/>
      <c r="AP8620" s="10"/>
      <c r="AQ8620" s="10"/>
      <c r="AR8620" s="10"/>
      <c r="AS8620" s="10"/>
      <c r="AT8620" s="10"/>
      <c r="AU8620" s="10"/>
      <c r="AV8620" s="10"/>
      <c r="AW8620" s="10"/>
      <c r="AX8620" s="10"/>
      <c r="AY8620" s="10"/>
      <c r="AZ8620" s="10"/>
    </row>
    <row r="8621" spans="31:52">
      <c r="AE8621" s="10"/>
      <c r="AF8621" s="10"/>
      <c r="AG8621" s="10"/>
      <c r="AH8621" s="10"/>
      <c r="AI8621" s="10"/>
      <c r="AJ8621" s="10"/>
      <c r="AK8621" s="10"/>
      <c r="AL8621" s="10"/>
      <c r="AM8621" s="10"/>
      <c r="AN8621" s="10"/>
      <c r="AO8621" s="10"/>
      <c r="AP8621" s="10"/>
      <c r="AQ8621" s="10"/>
      <c r="AR8621" s="10"/>
      <c r="AS8621" s="10"/>
      <c r="AT8621" s="10"/>
      <c r="AU8621" s="10"/>
      <c r="AV8621" s="10"/>
      <c r="AW8621" s="10"/>
      <c r="AX8621" s="10"/>
      <c r="AY8621" s="10"/>
      <c r="AZ8621" s="10"/>
    </row>
    <row r="8622" spans="31:52">
      <c r="AE8622" s="10"/>
      <c r="AF8622" s="10"/>
      <c r="AG8622" s="10"/>
      <c r="AH8622" s="10"/>
      <c r="AI8622" s="10"/>
      <c r="AJ8622" s="10"/>
      <c r="AK8622" s="10"/>
      <c r="AL8622" s="10"/>
      <c r="AM8622" s="10"/>
      <c r="AN8622" s="10"/>
      <c r="AO8622" s="10"/>
      <c r="AP8622" s="10"/>
      <c r="AQ8622" s="10"/>
      <c r="AR8622" s="10"/>
      <c r="AS8622" s="10"/>
      <c r="AT8622" s="10"/>
      <c r="AU8622" s="10"/>
      <c r="AV8622" s="10"/>
      <c r="AW8622" s="10"/>
      <c r="AX8622" s="10"/>
      <c r="AY8622" s="10"/>
      <c r="AZ8622" s="10"/>
    </row>
    <row r="8623" spans="31:52">
      <c r="AE8623" s="10"/>
      <c r="AF8623" s="10"/>
      <c r="AG8623" s="10"/>
      <c r="AH8623" s="10"/>
      <c r="AI8623" s="10"/>
      <c r="AJ8623" s="10"/>
      <c r="AK8623" s="10"/>
      <c r="AL8623" s="10"/>
      <c r="AM8623" s="10"/>
      <c r="AN8623" s="10"/>
      <c r="AO8623" s="10"/>
      <c r="AP8623" s="10"/>
      <c r="AQ8623" s="10"/>
      <c r="AR8623" s="10"/>
      <c r="AS8623" s="10"/>
      <c r="AT8623" s="10"/>
      <c r="AU8623" s="10"/>
      <c r="AV8623" s="10"/>
      <c r="AW8623" s="10"/>
      <c r="AX8623" s="10"/>
      <c r="AY8623" s="10"/>
      <c r="AZ8623" s="10"/>
    </row>
    <row r="8624" spans="31:52">
      <c r="AE8624" s="10"/>
      <c r="AF8624" s="10"/>
      <c r="AG8624" s="10"/>
      <c r="AH8624" s="10"/>
      <c r="AI8624" s="10"/>
      <c r="AJ8624" s="10"/>
      <c r="AK8624" s="10"/>
      <c r="AL8624" s="10"/>
      <c r="AM8624" s="10"/>
      <c r="AN8624" s="10"/>
      <c r="AO8624" s="10"/>
      <c r="AP8624" s="10"/>
      <c r="AQ8624" s="10"/>
      <c r="AR8624" s="10"/>
      <c r="AS8624" s="10"/>
      <c r="AT8624" s="10"/>
      <c r="AU8624" s="10"/>
      <c r="AV8624" s="10"/>
      <c r="AW8624" s="10"/>
      <c r="AX8624" s="10"/>
      <c r="AY8624" s="10"/>
      <c r="AZ8624" s="10"/>
    </row>
    <row r="8625" spans="31:52">
      <c r="AE8625" s="10"/>
      <c r="AF8625" s="10"/>
      <c r="AG8625" s="10"/>
      <c r="AH8625" s="10"/>
      <c r="AI8625" s="10"/>
      <c r="AJ8625" s="10"/>
      <c r="AK8625" s="10"/>
      <c r="AL8625" s="10"/>
      <c r="AM8625" s="10"/>
      <c r="AN8625" s="10"/>
      <c r="AO8625" s="10"/>
      <c r="AP8625" s="10"/>
      <c r="AQ8625" s="10"/>
      <c r="AR8625" s="10"/>
      <c r="AS8625" s="10"/>
      <c r="AT8625" s="10"/>
      <c r="AU8625" s="10"/>
      <c r="AV8625" s="10"/>
      <c r="AW8625" s="10"/>
      <c r="AX8625" s="10"/>
      <c r="AY8625" s="10"/>
      <c r="AZ8625" s="10"/>
    </row>
    <row r="8626" spans="31:52">
      <c r="AE8626" s="10"/>
      <c r="AF8626" s="10"/>
      <c r="AG8626" s="10"/>
      <c r="AH8626" s="10"/>
      <c r="AI8626" s="10"/>
      <c r="AJ8626" s="10"/>
      <c r="AK8626" s="10"/>
      <c r="AL8626" s="10"/>
      <c r="AM8626" s="10"/>
      <c r="AN8626" s="10"/>
      <c r="AO8626" s="10"/>
      <c r="AP8626" s="10"/>
      <c r="AQ8626" s="10"/>
      <c r="AR8626" s="10"/>
      <c r="AS8626" s="10"/>
      <c r="AT8626" s="10"/>
      <c r="AU8626" s="10"/>
      <c r="AV8626" s="10"/>
      <c r="AW8626" s="10"/>
      <c r="AX8626" s="10"/>
      <c r="AY8626" s="10"/>
      <c r="AZ8626" s="10"/>
    </row>
    <row r="8627" spans="31:52">
      <c r="AE8627" s="10"/>
      <c r="AF8627" s="10"/>
      <c r="AG8627" s="10"/>
      <c r="AH8627" s="10"/>
      <c r="AI8627" s="10"/>
      <c r="AJ8627" s="10"/>
      <c r="AK8627" s="10"/>
      <c r="AL8627" s="10"/>
      <c r="AM8627" s="10"/>
      <c r="AN8627" s="10"/>
      <c r="AO8627" s="10"/>
      <c r="AP8627" s="10"/>
      <c r="AQ8627" s="10"/>
      <c r="AR8627" s="10"/>
      <c r="AS8627" s="10"/>
      <c r="AT8627" s="10"/>
      <c r="AU8627" s="10"/>
      <c r="AV8627" s="10"/>
      <c r="AW8627" s="10"/>
      <c r="AX8627" s="10"/>
      <c r="AY8627" s="10"/>
      <c r="AZ8627" s="10"/>
    </row>
    <row r="8628" spans="31:52">
      <c r="AE8628" s="10"/>
      <c r="AF8628" s="10"/>
      <c r="AG8628" s="10"/>
      <c r="AH8628" s="10"/>
      <c r="AI8628" s="10"/>
      <c r="AJ8628" s="10"/>
      <c r="AK8628" s="10"/>
      <c r="AL8628" s="10"/>
      <c r="AM8628" s="10"/>
      <c r="AN8628" s="10"/>
      <c r="AO8628" s="10"/>
      <c r="AP8628" s="10"/>
      <c r="AQ8628" s="10"/>
      <c r="AR8628" s="10"/>
      <c r="AS8628" s="10"/>
      <c r="AT8628" s="10"/>
      <c r="AU8628" s="10"/>
      <c r="AV8628" s="10"/>
      <c r="AW8628" s="10"/>
      <c r="AX8628" s="10"/>
      <c r="AY8628" s="10"/>
      <c r="AZ8628" s="10"/>
    </row>
    <row r="8629" spans="31:52">
      <c r="AE8629" s="10"/>
      <c r="AF8629" s="10"/>
      <c r="AG8629" s="10"/>
      <c r="AH8629" s="10"/>
      <c r="AI8629" s="10"/>
      <c r="AJ8629" s="10"/>
      <c r="AK8629" s="10"/>
      <c r="AL8629" s="10"/>
      <c r="AM8629" s="10"/>
      <c r="AN8629" s="10"/>
      <c r="AO8629" s="10"/>
      <c r="AP8629" s="10"/>
      <c r="AQ8629" s="10"/>
      <c r="AR8629" s="10"/>
      <c r="AS8629" s="10"/>
      <c r="AT8629" s="10"/>
      <c r="AU8629" s="10"/>
      <c r="AV8629" s="10"/>
      <c r="AW8629" s="10"/>
      <c r="AX8629" s="10"/>
      <c r="AY8629" s="10"/>
      <c r="AZ8629" s="10"/>
    </row>
    <row r="8630" spans="31:52">
      <c r="AE8630" s="10"/>
      <c r="AF8630" s="10"/>
      <c r="AG8630" s="10"/>
      <c r="AH8630" s="10"/>
      <c r="AI8630" s="10"/>
      <c r="AJ8630" s="10"/>
      <c r="AK8630" s="10"/>
      <c r="AL8630" s="10"/>
      <c r="AM8630" s="10"/>
      <c r="AN8630" s="10"/>
      <c r="AO8630" s="10"/>
      <c r="AP8630" s="10"/>
      <c r="AQ8630" s="10"/>
      <c r="AR8630" s="10"/>
      <c r="AS8630" s="10"/>
      <c r="AT8630" s="10"/>
      <c r="AU8630" s="10"/>
      <c r="AV8630" s="10"/>
      <c r="AW8630" s="10"/>
      <c r="AX8630" s="10"/>
      <c r="AY8630" s="10"/>
      <c r="AZ8630" s="10"/>
    </row>
    <row r="8631" spans="31:52">
      <c r="AE8631" s="10"/>
      <c r="AF8631" s="10"/>
      <c r="AG8631" s="10"/>
      <c r="AH8631" s="10"/>
      <c r="AI8631" s="10"/>
      <c r="AJ8631" s="10"/>
      <c r="AK8631" s="10"/>
      <c r="AL8631" s="10"/>
      <c r="AM8631" s="10"/>
      <c r="AN8631" s="10"/>
      <c r="AO8631" s="10"/>
      <c r="AP8631" s="10"/>
      <c r="AQ8631" s="10"/>
      <c r="AR8631" s="10"/>
      <c r="AS8631" s="10"/>
      <c r="AT8631" s="10"/>
      <c r="AU8631" s="10"/>
      <c r="AV8631" s="10"/>
      <c r="AW8631" s="10"/>
      <c r="AX8631" s="10"/>
      <c r="AY8631" s="10"/>
      <c r="AZ8631" s="10"/>
    </row>
    <row r="8632" spans="31:52">
      <c r="AE8632" s="10"/>
      <c r="AF8632" s="10"/>
      <c r="AG8632" s="10"/>
      <c r="AH8632" s="10"/>
      <c r="AI8632" s="10"/>
      <c r="AJ8632" s="10"/>
      <c r="AK8632" s="10"/>
      <c r="AL8632" s="10"/>
      <c r="AM8632" s="10"/>
      <c r="AN8632" s="10"/>
      <c r="AO8632" s="10"/>
      <c r="AP8632" s="10"/>
      <c r="AQ8632" s="10"/>
      <c r="AR8632" s="10"/>
      <c r="AS8632" s="10"/>
      <c r="AT8632" s="10"/>
      <c r="AU8632" s="10"/>
      <c r="AV8632" s="10"/>
      <c r="AW8632" s="10"/>
      <c r="AX8632" s="10"/>
      <c r="AY8632" s="10"/>
      <c r="AZ8632" s="10"/>
    </row>
    <row r="8633" spans="31:52">
      <c r="AE8633" s="10"/>
      <c r="AF8633" s="10"/>
      <c r="AG8633" s="10"/>
      <c r="AH8633" s="10"/>
      <c r="AI8633" s="10"/>
      <c r="AJ8633" s="10"/>
      <c r="AK8633" s="10"/>
      <c r="AL8633" s="10"/>
      <c r="AM8633" s="10"/>
      <c r="AN8633" s="10"/>
      <c r="AO8633" s="10"/>
      <c r="AP8633" s="10"/>
      <c r="AQ8633" s="10"/>
      <c r="AR8633" s="10"/>
      <c r="AS8633" s="10"/>
      <c r="AT8633" s="10"/>
      <c r="AU8633" s="10"/>
      <c r="AV8633" s="10"/>
      <c r="AW8633" s="10"/>
      <c r="AX8633" s="10"/>
      <c r="AY8633" s="10"/>
      <c r="AZ8633" s="10"/>
    </row>
    <row r="8634" spans="31:52">
      <c r="AE8634" s="10"/>
      <c r="AF8634" s="10"/>
      <c r="AG8634" s="10"/>
      <c r="AH8634" s="10"/>
      <c r="AI8634" s="10"/>
      <c r="AJ8634" s="10"/>
      <c r="AK8634" s="10"/>
      <c r="AL8634" s="10"/>
      <c r="AM8634" s="10"/>
      <c r="AN8634" s="10"/>
      <c r="AO8634" s="10"/>
      <c r="AP8634" s="10"/>
      <c r="AQ8634" s="10"/>
      <c r="AR8634" s="10"/>
      <c r="AS8634" s="10"/>
      <c r="AT8634" s="10"/>
      <c r="AU8634" s="10"/>
      <c r="AV8634" s="10"/>
      <c r="AW8634" s="10"/>
      <c r="AX8634" s="10"/>
      <c r="AY8634" s="10"/>
      <c r="AZ8634" s="10"/>
    </row>
    <row r="8635" spans="31:52">
      <c r="AE8635" s="10"/>
      <c r="AF8635" s="10"/>
      <c r="AG8635" s="10"/>
      <c r="AH8635" s="10"/>
      <c r="AI8635" s="10"/>
      <c r="AJ8635" s="10"/>
      <c r="AK8635" s="10"/>
      <c r="AL8635" s="10"/>
      <c r="AM8635" s="10"/>
      <c r="AN8635" s="10"/>
      <c r="AO8635" s="10"/>
      <c r="AP8635" s="10"/>
      <c r="AQ8635" s="10"/>
      <c r="AR8635" s="10"/>
      <c r="AS8635" s="10"/>
      <c r="AT8635" s="10"/>
      <c r="AU8635" s="10"/>
      <c r="AV8635" s="10"/>
      <c r="AW8635" s="10"/>
      <c r="AX8635" s="10"/>
      <c r="AY8635" s="10"/>
      <c r="AZ8635" s="10"/>
    </row>
    <row r="8636" spans="31:52">
      <c r="AE8636" s="10"/>
      <c r="AF8636" s="10"/>
      <c r="AG8636" s="10"/>
      <c r="AH8636" s="10"/>
      <c r="AI8636" s="10"/>
      <c r="AJ8636" s="10"/>
      <c r="AK8636" s="10"/>
      <c r="AL8636" s="10"/>
      <c r="AM8636" s="10"/>
      <c r="AN8636" s="10"/>
      <c r="AO8636" s="10"/>
      <c r="AP8636" s="10"/>
      <c r="AQ8636" s="10"/>
      <c r="AR8636" s="10"/>
      <c r="AS8636" s="10"/>
      <c r="AT8636" s="10"/>
      <c r="AU8636" s="10"/>
      <c r="AV8636" s="10"/>
      <c r="AW8636" s="10"/>
      <c r="AX8636" s="10"/>
      <c r="AY8636" s="10"/>
      <c r="AZ8636" s="10"/>
    </row>
    <row r="8637" spans="31:52">
      <c r="AE8637" s="10"/>
      <c r="AF8637" s="10"/>
      <c r="AG8637" s="10"/>
      <c r="AH8637" s="10"/>
      <c r="AI8637" s="10"/>
      <c r="AJ8637" s="10"/>
      <c r="AK8637" s="10"/>
      <c r="AL8637" s="10"/>
      <c r="AM8637" s="10"/>
      <c r="AN8637" s="10"/>
      <c r="AO8637" s="10"/>
      <c r="AP8637" s="10"/>
      <c r="AQ8637" s="10"/>
      <c r="AR8637" s="10"/>
      <c r="AS8637" s="10"/>
      <c r="AT8637" s="10"/>
      <c r="AU8637" s="10"/>
      <c r="AV8637" s="10"/>
      <c r="AW8637" s="10"/>
      <c r="AX8637" s="10"/>
      <c r="AY8637" s="10"/>
      <c r="AZ8637" s="10"/>
    </row>
    <row r="8638" spans="31:52">
      <c r="AE8638" s="10"/>
      <c r="AF8638" s="10"/>
      <c r="AG8638" s="10"/>
      <c r="AH8638" s="10"/>
      <c r="AI8638" s="10"/>
      <c r="AJ8638" s="10"/>
      <c r="AK8638" s="10"/>
      <c r="AL8638" s="10"/>
      <c r="AM8638" s="10"/>
      <c r="AN8638" s="10"/>
      <c r="AO8638" s="10"/>
      <c r="AP8638" s="10"/>
      <c r="AQ8638" s="10"/>
      <c r="AR8638" s="10"/>
      <c r="AS8638" s="10"/>
      <c r="AT8638" s="10"/>
      <c r="AU8638" s="10"/>
      <c r="AV8638" s="10"/>
      <c r="AW8638" s="10"/>
      <c r="AX8638" s="10"/>
      <c r="AY8638" s="10"/>
      <c r="AZ8638" s="10"/>
    </row>
    <row r="8639" spans="31:52">
      <c r="AE8639" s="10"/>
      <c r="AF8639" s="10"/>
      <c r="AG8639" s="10"/>
      <c r="AH8639" s="10"/>
      <c r="AI8639" s="10"/>
      <c r="AJ8639" s="10"/>
      <c r="AK8639" s="10"/>
      <c r="AL8639" s="10"/>
      <c r="AM8639" s="10"/>
      <c r="AN8639" s="10"/>
      <c r="AO8639" s="10"/>
      <c r="AP8639" s="10"/>
      <c r="AQ8639" s="10"/>
      <c r="AR8639" s="10"/>
      <c r="AS8639" s="10"/>
      <c r="AT8639" s="10"/>
      <c r="AU8639" s="10"/>
      <c r="AV8639" s="10"/>
      <c r="AW8639" s="10"/>
      <c r="AX8639" s="10"/>
      <c r="AY8639" s="10"/>
      <c r="AZ8639" s="10"/>
    </row>
    <row r="8640" spans="31:52">
      <c r="AE8640" s="10"/>
      <c r="AF8640" s="10"/>
      <c r="AG8640" s="10"/>
      <c r="AH8640" s="10"/>
      <c r="AI8640" s="10"/>
      <c r="AJ8640" s="10"/>
      <c r="AK8640" s="10"/>
      <c r="AL8640" s="10"/>
      <c r="AM8640" s="10"/>
      <c r="AN8640" s="10"/>
      <c r="AO8640" s="10"/>
      <c r="AP8640" s="10"/>
      <c r="AQ8640" s="10"/>
      <c r="AR8640" s="10"/>
      <c r="AS8640" s="10"/>
      <c r="AT8640" s="10"/>
      <c r="AU8640" s="10"/>
      <c r="AV8640" s="10"/>
      <c r="AW8640" s="10"/>
      <c r="AX8640" s="10"/>
      <c r="AY8640" s="10"/>
      <c r="AZ8640" s="10"/>
    </row>
    <row r="8641" spans="31:52">
      <c r="AE8641" s="10"/>
      <c r="AF8641" s="10"/>
      <c r="AG8641" s="10"/>
      <c r="AH8641" s="10"/>
      <c r="AI8641" s="10"/>
      <c r="AJ8641" s="10"/>
      <c r="AK8641" s="10"/>
      <c r="AL8641" s="10"/>
      <c r="AM8641" s="10"/>
      <c r="AN8641" s="10"/>
      <c r="AO8641" s="10"/>
      <c r="AP8641" s="10"/>
      <c r="AQ8641" s="10"/>
      <c r="AR8641" s="10"/>
      <c r="AS8641" s="10"/>
      <c r="AT8641" s="10"/>
      <c r="AU8641" s="10"/>
      <c r="AV8641" s="10"/>
      <c r="AW8641" s="10"/>
      <c r="AX8641" s="10"/>
      <c r="AY8641" s="10"/>
      <c r="AZ8641" s="10"/>
    </row>
    <row r="8642" spans="31:52">
      <c r="AE8642" s="10"/>
      <c r="AF8642" s="10"/>
      <c r="AG8642" s="10"/>
      <c r="AH8642" s="10"/>
      <c r="AI8642" s="10"/>
      <c r="AJ8642" s="10"/>
      <c r="AK8642" s="10"/>
      <c r="AL8642" s="10"/>
      <c r="AM8642" s="10"/>
      <c r="AN8642" s="10"/>
      <c r="AO8642" s="10"/>
      <c r="AP8642" s="10"/>
      <c r="AQ8642" s="10"/>
      <c r="AR8642" s="10"/>
      <c r="AS8642" s="10"/>
      <c r="AT8642" s="10"/>
      <c r="AU8642" s="10"/>
      <c r="AV8642" s="10"/>
      <c r="AW8642" s="10"/>
      <c r="AX8642" s="10"/>
      <c r="AY8642" s="10"/>
      <c r="AZ8642" s="10"/>
    </row>
    <row r="8643" spans="31:52">
      <c r="AE8643" s="10"/>
      <c r="AF8643" s="10"/>
      <c r="AG8643" s="10"/>
      <c r="AH8643" s="10"/>
      <c r="AI8643" s="10"/>
      <c r="AJ8643" s="10"/>
      <c r="AK8643" s="10"/>
      <c r="AL8643" s="10"/>
      <c r="AM8643" s="10"/>
      <c r="AN8643" s="10"/>
      <c r="AO8643" s="10"/>
      <c r="AP8643" s="10"/>
      <c r="AQ8643" s="10"/>
      <c r="AR8643" s="10"/>
      <c r="AS8643" s="10"/>
      <c r="AT8643" s="10"/>
      <c r="AU8643" s="10"/>
      <c r="AV8643" s="10"/>
      <c r="AW8643" s="10"/>
      <c r="AX8643" s="10"/>
      <c r="AY8643" s="10"/>
      <c r="AZ8643" s="10"/>
    </row>
    <row r="8644" spans="31:52">
      <c r="AE8644" s="10"/>
      <c r="AF8644" s="10"/>
      <c r="AG8644" s="10"/>
      <c r="AH8644" s="10"/>
      <c r="AI8644" s="10"/>
      <c r="AJ8644" s="10"/>
      <c r="AK8644" s="10"/>
      <c r="AL8644" s="10"/>
      <c r="AM8644" s="10"/>
      <c r="AN8644" s="10"/>
      <c r="AO8644" s="10"/>
      <c r="AP8644" s="10"/>
      <c r="AQ8644" s="10"/>
      <c r="AR8644" s="10"/>
      <c r="AS8644" s="10"/>
      <c r="AT8644" s="10"/>
      <c r="AU8644" s="10"/>
      <c r="AV8644" s="10"/>
      <c r="AW8644" s="10"/>
      <c r="AX8644" s="10"/>
      <c r="AY8644" s="10"/>
      <c r="AZ8644" s="10"/>
    </row>
    <row r="8645" spans="31:52">
      <c r="AE8645" s="10"/>
      <c r="AF8645" s="10"/>
      <c r="AG8645" s="10"/>
      <c r="AH8645" s="10"/>
      <c r="AI8645" s="10"/>
      <c r="AJ8645" s="10"/>
      <c r="AK8645" s="10"/>
      <c r="AL8645" s="10"/>
      <c r="AM8645" s="10"/>
      <c r="AN8645" s="10"/>
      <c r="AO8645" s="10"/>
      <c r="AP8645" s="10"/>
      <c r="AQ8645" s="10"/>
      <c r="AR8645" s="10"/>
      <c r="AS8645" s="10"/>
      <c r="AT8645" s="10"/>
      <c r="AU8645" s="10"/>
      <c r="AV8645" s="10"/>
      <c r="AW8645" s="10"/>
      <c r="AX8645" s="10"/>
      <c r="AY8645" s="10"/>
      <c r="AZ8645" s="10"/>
    </row>
    <row r="8646" spans="31:52">
      <c r="AE8646" s="10"/>
      <c r="AF8646" s="10"/>
      <c r="AG8646" s="10"/>
      <c r="AH8646" s="10"/>
      <c r="AI8646" s="10"/>
      <c r="AJ8646" s="10"/>
      <c r="AK8646" s="10"/>
      <c r="AL8646" s="10"/>
      <c r="AM8646" s="10"/>
      <c r="AN8646" s="10"/>
      <c r="AO8646" s="10"/>
      <c r="AP8646" s="10"/>
      <c r="AQ8646" s="10"/>
      <c r="AR8646" s="10"/>
      <c r="AS8646" s="10"/>
      <c r="AT8646" s="10"/>
      <c r="AU8646" s="10"/>
      <c r="AV8646" s="10"/>
      <c r="AW8646" s="10"/>
      <c r="AX8646" s="10"/>
      <c r="AY8646" s="10"/>
      <c r="AZ8646" s="10"/>
    </row>
    <row r="8647" spans="31:52">
      <c r="AE8647" s="10"/>
      <c r="AF8647" s="10"/>
      <c r="AG8647" s="10"/>
      <c r="AH8647" s="10"/>
      <c r="AI8647" s="10"/>
      <c r="AJ8647" s="10"/>
      <c r="AK8647" s="10"/>
      <c r="AL8647" s="10"/>
      <c r="AM8647" s="10"/>
      <c r="AN8647" s="10"/>
      <c r="AO8647" s="10"/>
      <c r="AP8647" s="10"/>
      <c r="AQ8647" s="10"/>
      <c r="AR8647" s="10"/>
      <c r="AS8647" s="10"/>
      <c r="AT8647" s="10"/>
      <c r="AU8647" s="10"/>
      <c r="AV8647" s="10"/>
      <c r="AW8647" s="10"/>
      <c r="AX8647" s="10"/>
      <c r="AY8647" s="10"/>
      <c r="AZ8647" s="10"/>
    </row>
    <row r="8648" spans="31:52">
      <c r="AE8648" s="10"/>
      <c r="AF8648" s="10"/>
      <c r="AG8648" s="10"/>
      <c r="AH8648" s="10"/>
      <c r="AI8648" s="10"/>
      <c r="AJ8648" s="10"/>
      <c r="AK8648" s="10"/>
      <c r="AL8648" s="10"/>
      <c r="AM8648" s="10"/>
      <c r="AN8648" s="10"/>
      <c r="AO8648" s="10"/>
      <c r="AP8648" s="10"/>
      <c r="AQ8648" s="10"/>
      <c r="AR8648" s="10"/>
      <c r="AS8648" s="10"/>
      <c r="AT8648" s="10"/>
      <c r="AU8648" s="10"/>
      <c r="AV8648" s="10"/>
      <c r="AW8648" s="10"/>
      <c r="AX8648" s="10"/>
      <c r="AY8648" s="10"/>
      <c r="AZ8648" s="10"/>
    </row>
    <row r="8649" spans="31:52">
      <c r="AE8649" s="10"/>
      <c r="AF8649" s="10"/>
      <c r="AG8649" s="10"/>
      <c r="AH8649" s="10"/>
      <c r="AI8649" s="10"/>
      <c r="AJ8649" s="10"/>
      <c r="AK8649" s="10"/>
      <c r="AL8649" s="10"/>
      <c r="AM8649" s="10"/>
      <c r="AN8649" s="10"/>
      <c r="AO8649" s="10"/>
      <c r="AP8649" s="10"/>
      <c r="AQ8649" s="10"/>
      <c r="AR8649" s="10"/>
      <c r="AS8649" s="10"/>
      <c r="AT8649" s="10"/>
      <c r="AU8649" s="10"/>
      <c r="AV8649" s="10"/>
      <c r="AW8649" s="10"/>
      <c r="AX8649" s="10"/>
      <c r="AY8649" s="10"/>
      <c r="AZ8649" s="10"/>
    </row>
    <row r="8650" spans="31:52">
      <c r="AE8650" s="10"/>
      <c r="AF8650" s="10"/>
      <c r="AG8650" s="10"/>
      <c r="AH8650" s="10"/>
      <c r="AI8650" s="10"/>
      <c r="AJ8650" s="10"/>
      <c r="AK8650" s="10"/>
      <c r="AL8650" s="10"/>
      <c r="AM8650" s="10"/>
      <c r="AN8650" s="10"/>
      <c r="AO8650" s="10"/>
      <c r="AP8650" s="10"/>
      <c r="AQ8650" s="10"/>
      <c r="AR8650" s="10"/>
      <c r="AS8650" s="10"/>
      <c r="AT8650" s="10"/>
      <c r="AU8650" s="10"/>
      <c r="AV8650" s="10"/>
      <c r="AW8650" s="10"/>
      <c r="AX8650" s="10"/>
      <c r="AY8650" s="10"/>
      <c r="AZ8650" s="10"/>
    </row>
    <row r="8651" spans="31:52">
      <c r="AE8651" s="10"/>
      <c r="AF8651" s="10"/>
      <c r="AG8651" s="10"/>
      <c r="AH8651" s="10"/>
      <c r="AI8651" s="10"/>
      <c r="AJ8651" s="10"/>
      <c r="AK8651" s="10"/>
      <c r="AL8651" s="10"/>
      <c r="AM8651" s="10"/>
      <c r="AN8651" s="10"/>
      <c r="AO8651" s="10"/>
      <c r="AP8651" s="10"/>
      <c r="AQ8651" s="10"/>
      <c r="AR8651" s="10"/>
      <c r="AS8651" s="10"/>
      <c r="AT8651" s="10"/>
      <c r="AU8651" s="10"/>
      <c r="AV8651" s="10"/>
      <c r="AW8651" s="10"/>
      <c r="AX8651" s="10"/>
      <c r="AY8651" s="10"/>
      <c r="AZ8651" s="10"/>
    </row>
    <row r="8652" spans="31:52">
      <c r="AE8652" s="10"/>
      <c r="AF8652" s="10"/>
      <c r="AG8652" s="10"/>
      <c r="AH8652" s="10"/>
      <c r="AI8652" s="10"/>
      <c r="AJ8652" s="10"/>
      <c r="AK8652" s="10"/>
      <c r="AL8652" s="10"/>
      <c r="AM8652" s="10"/>
      <c r="AN8652" s="10"/>
      <c r="AO8652" s="10"/>
      <c r="AP8652" s="10"/>
      <c r="AQ8652" s="10"/>
      <c r="AR8652" s="10"/>
      <c r="AS8652" s="10"/>
      <c r="AT8652" s="10"/>
      <c r="AU8652" s="10"/>
      <c r="AV8652" s="10"/>
      <c r="AW8652" s="10"/>
      <c r="AX8652" s="10"/>
      <c r="AY8652" s="10"/>
      <c r="AZ8652" s="10"/>
    </row>
    <row r="8653" spans="31:52">
      <c r="AE8653" s="10"/>
      <c r="AF8653" s="10"/>
      <c r="AG8653" s="10"/>
      <c r="AH8653" s="10"/>
      <c r="AI8653" s="10"/>
      <c r="AJ8653" s="10"/>
      <c r="AK8653" s="10"/>
      <c r="AL8653" s="10"/>
      <c r="AM8653" s="10"/>
      <c r="AN8653" s="10"/>
      <c r="AO8653" s="10"/>
      <c r="AP8653" s="10"/>
      <c r="AQ8653" s="10"/>
      <c r="AR8653" s="10"/>
      <c r="AS8653" s="10"/>
      <c r="AT8653" s="10"/>
      <c r="AU8653" s="10"/>
      <c r="AV8653" s="10"/>
      <c r="AW8653" s="10"/>
      <c r="AX8653" s="10"/>
      <c r="AY8653" s="10"/>
      <c r="AZ8653" s="10"/>
    </row>
    <row r="8654" spans="31:52">
      <c r="AE8654" s="10"/>
      <c r="AF8654" s="10"/>
      <c r="AG8654" s="10"/>
      <c r="AH8654" s="10"/>
      <c r="AI8654" s="10"/>
      <c r="AJ8654" s="10"/>
      <c r="AK8654" s="10"/>
      <c r="AL8654" s="10"/>
      <c r="AM8654" s="10"/>
      <c r="AN8654" s="10"/>
      <c r="AO8654" s="10"/>
      <c r="AP8654" s="10"/>
      <c r="AQ8654" s="10"/>
      <c r="AR8654" s="10"/>
      <c r="AS8654" s="10"/>
      <c r="AT8654" s="10"/>
      <c r="AU8654" s="10"/>
      <c r="AV8654" s="10"/>
      <c r="AW8654" s="10"/>
      <c r="AX8654" s="10"/>
      <c r="AY8654" s="10"/>
      <c r="AZ8654" s="10"/>
    </row>
    <row r="8655" spans="31:52">
      <c r="AE8655" s="10"/>
      <c r="AF8655" s="10"/>
      <c r="AG8655" s="10"/>
      <c r="AH8655" s="10"/>
      <c r="AI8655" s="10"/>
      <c r="AJ8655" s="10"/>
      <c r="AK8655" s="10"/>
      <c r="AL8655" s="10"/>
      <c r="AM8655" s="10"/>
      <c r="AN8655" s="10"/>
      <c r="AO8655" s="10"/>
      <c r="AP8655" s="10"/>
      <c r="AQ8655" s="10"/>
      <c r="AR8655" s="10"/>
      <c r="AS8655" s="10"/>
      <c r="AT8655" s="10"/>
      <c r="AU8655" s="10"/>
      <c r="AV8655" s="10"/>
      <c r="AW8655" s="10"/>
      <c r="AX8655" s="10"/>
      <c r="AY8655" s="10"/>
      <c r="AZ8655" s="10"/>
    </row>
    <row r="8656" spans="31:52">
      <c r="AE8656" s="10"/>
      <c r="AF8656" s="10"/>
      <c r="AG8656" s="10"/>
      <c r="AH8656" s="10"/>
      <c r="AI8656" s="10"/>
      <c r="AJ8656" s="10"/>
      <c r="AK8656" s="10"/>
      <c r="AL8656" s="10"/>
      <c r="AM8656" s="10"/>
      <c r="AN8656" s="10"/>
      <c r="AO8656" s="10"/>
      <c r="AP8656" s="10"/>
      <c r="AQ8656" s="10"/>
      <c r="AR8656" s="10"/>
      <c r="AS8656" s="10"/>
      <c r="AT8656" s="10"/>
      <c r="AU8656" s="10"/>
      <c r="AV8656" s="10"/>
      <c r="AW8656" s="10"/>
      <c r="AX8656" s="10"/>
      <c r="AY8656" s="10"/>
      <c r="AZ8656" s="10"/>
    </row>
    <row r="8657" spans="31:52">
      <c r="AE8657" s="10"/>
      <c r="AF8657" s="10"/>
      <c r="AG8657" s="10"/>
      <c r="AH8657" s="10"/>
      <c r="AI8657" s="10"/>
      <c r="AJ8657" s="10"/>
      <c r="AK8657" s="10"/>
      <c r="AL8657" s="10"/>
      <c r="AM8657" s="10"/>
      <c r="AN8657" s="10"/>
      <c r="AO8657" s="10"/>
      <c r="AP8657" s="10"/>
      <c r="AQ8657" s="10"/>
      <c r="AR8657" s="10"/>
      <c r="AS8657" s="10"/>
      <c r="AT8657" s="10"/>
      <c r="AU8657" s="10"/>
      <c r="AV8657" s="10"/>
      <c r="AW8657" s="10"/>
      <c r="AX8657" s="10"/>
      <c r="AY8657" s="10"/>
      <c r="AZ8657" s="10"/>
    </row>
    <row r="8658" spans="31:52">
      <c r="AE8658" s="10"/>
      <c r="AF8658" s="10"/>
      <c r="AG8658" s="10"/>
      <c r="AH8658" s="10"/>
      <c r="AI8658" s="10"/>
      <c r="AJ8658" s="10"/>
      <c r="AK8658" s="10"/>
      <c r="AL8658" s="10"/>
      <c r="AM8658" s="10"/>
      <c r="AN8658" s="10"/>
      <c r="AO8658" s="10"/>
      <c r="AP8658" s="10"/>
      <c r="AQ8658" s="10"/>
      <c r="AR8658" s="10"/>
      <c r="AS8658" s="10"/>
      <c r="AT8658" s="10"/>
      <c r="AU8658" s="10"/>
      <c r="AV8658" s="10"/>
      <c r="AW8658" s="10"/>
      <c r="AX8658" s="10"/>
      <c r="AY8658" s="10"/>
      <c r="AZ8658" s="10"/>
    </row>
    <row r="8659" spans="31:52">
      <c r="AE8659" s="10"/>
      <c r="AF8659" s="10"/>
      <c r="AG8659" s="10"/>
      <c r="AH8659" s="10"/>
      <c r="AI8659" s="10"/>
      <c r="AJ8659" s="10"/>
      <c r="AK8659" s="10"/>
      <c r="AL8659" s="10"/>
      <c r="AM8659" s="10"/>
      <c r="AN8659" s="10"/>
      <c r="AO8659" s="10"/>
      <c r="AP8659" s="10"/>
      <c r="AQ8659" s="10"/>
      <c r="AR8659" s="10"/>
      <c r="AS8659" s="10"/>
      <c r="AT8659" s="10"/>
      <c r="AU8659" s="10"/>
      <c r="AV8659" s="10"/>
      <c r="AW8659" s="10"/>
      <c r="AX8659" s="10"/>
      <c r="AY8659" s="10"/>
      <c r="AZ8659" s="10"/>
    </row>
    <row r="8660" spans="31:52">
      <c r="AE8660" s="10"/>
      <c r="AF8660" s="10"/>
      <c r="AG8660" s="10"/>
      <c r="AH8660" s="10"/>
      <c r="AI8660" s="10"/>
      <c r="AJ8660" s="10"/>
      <c r="AK8660" s="10"/>
      <c r="AL8660" s="10"/>
      <c r="AM8660" s="10"/>
      <c r="AN8660" s="10"/>
      <c r="AO8660" s="10"/>
      <c r="AP8660" s="10"/>
      <c r="AQ8660" s="10"/>
      <c r="AR8660" s="10"/>
      <c r="AS8660" s="10"/>
      <c r="AT8660" s="10"/>
      <c r="AU8660" s="10"/>
      <c r="AV8660" s="10"/>
      <c r="AW8660" s="10"/>
      <c r="AX8660" s="10"/>
      <c r="AY8660" s="10"/>
      <c r="AZ8660" s="10"/>
    </row>
    <row r="8661" spans="31:52">
      <c r="AE8661" s="10"/>
      <c r="AF8661" s="10"/>
      <c r="AG8661" s="10"/>
      <c r="AH8661" s="10"/>
      <c r="AI8661" s="10"/>
      <c r="AJ8661" s="10"/>
      <c r="AK8661" s="10"/>
      <c r="AL8661" s="10"/>
      <c r="AM8661" s="10"/>
      <c r="AN8661" s="10"/>
      <c r="AO8661" s="10"/>
      <c r="AP8661" s="10"/>
      <c r="AQ8661" s="10"/>
      <c r="AR8661" s="10"/>
      <c r="AS8661" s="10"/>
      <c r="AT8661" s="10"/>
      <c r="AU8661" s="10"/>
      <c r="AV8661" s="10"/>
      <c r="AW8661" s="10"/>
      <c r="AX8661" s="10"/>
      <c r="AY8661" s="10"/>
      <c r="AZ8661" s="10"/>
    </row>
    <row r="8662" spans="31:52">
      <c r="AE8662" s="10"/>
      <c r="AF8662" s="10"/>
      <c r="AG8662" s="10"/>
      <c r="AH8662" s="10"/>
      <c r="AI8662" s="10"/>
      <c r="AJ8662" s="10"/>
      <c r="AK8662" s="10"/>
      <c r="AL8662" s="10"/>
      <c r="AM8662" s="10"/>
      <c r="AN8662" s="10"/>
      <c r="AO8662" s="10"/>
      <c r="AP8662" s="10"/>
      <c r="AQ8662" s="10"/>
      <c r="AR8662" s="10"/>
      <c r="AS8662" s="10"/>
      <c r="AT8662" s="10"/>
      <c r="AU8662" s="10"/>
      <c r="AV8662" s="10"/>
      <c r="AW8662" s="10"/>
      <c r="AX8662" s="10"/>
      <c r="AY8662" s="10"/>
      <c r="AZ8662" s="10"/>
    </row>
    <row r="8663" spans="31:52">
      <c r="AE8663" s="10"/>
      <c r="AF8663" s="10"/>
      <c r="AG8663" s="10"/>
      <c r="AH8663" s="10"/>
      <c r="AI8663" s="10"/>
      <c r="AJ8663" s="10"/>
      <c r="AK8663" s="10"/>
      <c r="AL8663" s="10"/>
      <c r="AM8663" s="10"/>
      <c r="AN8663" s="10"/>
      <c r="AO8663" s="10"/>
      <c r="AP8663" s="10"/>
      <c r="AQ8663" s="10"/>
      <c r="AR8663" s="10"/>
      <c r="AS8663" s="10"/>
      <c r="AT8663" s="10"/>
      <c r="AU8663" s="10"/>
      <c r="AV8663" s="10"/>
      <c r="AW8663" s="10"/>
      <c r="AX8663" s="10"/>
      <c r="AY8663" s="10"/>
      <c r="AZ8663" s="10"/>
    </row>
    <row r="8664" spans="31:52">
      <c r="AE8664" s="10"/>
      <c r="AF8664" s="10"/>
      <c r="AG8664" s="10"/>
      <c r="AH8664" s="10"/>
      <c r="AI8664" s="10"/>
      <c r="AJ8664" s="10"/>
      <c r="AK8664" s="10"/>
      <c r="AL8664" s="10"/>
      <c r="AM8664" s="10"/>
      <c r="AN8664" s="10"/>
      <c r="AO8664" s="10"/>
      <c r="AP8664" s="10"/>
      <c r="AQ8664" s="10"/>
      <c r="AR8664" s="10"/>
      <c r="AS8664" s="10"/>
      <c r="AT8664" s="10"/>
      <c r="AU8664" s="10"/>
      <c r="AV8664" s="10"/>
      <c r="AW8664" s="10"/>
      <c r="AX8664" s="10"/>
      <c r="AY8664" s="10"/>
      <c r="AZ8664" s="10"/>
    </row>
    <row r="8665" spans="31:52">
      <c r="AE8665" s="10"/>
      <c r="AF8665" s="10"/>
      <c r="AG8665" s="10"/>
      <c r="AH8665" s="10"/>
      <c r="AI8665" s="10"/>
      <c r="AJ8665" s="10"/>
      <c r="AK8665" s="10"/>
      <c r="AL8665" s="10"/>
      <c r="AM8665" s="10"/>
      <c r="AN8665" s="10"/>
      <c r="AO8665" s="10"/>
      <c r="AP8665" s="10"/>
      <c r="AQ8665" s="10"/>
      <c r="AR8665" s="10"/>
      <c r="AS8665" s="10"/>
      <c r="AT8665" s="10"/>
      <c r="AU8665" s="10"/>
      <c r="AV8665" s="10"/>
      <c r="AW8665" s="10"/>
      <c r="AX8665" s="10"/>
      <c r="AY8665" s="10"/>
      <c r="AZ8665" s="10"/>
    </row>
    <row r="8666" spans="31:52">
      <c r="AE8666" s="10"/>
      <c r="AF8666" s="10"/>
      <c r="AG8666" s="10"/>
      <c r="AH8666" s="10"/>
      <c r="AI8666" s="10"/>
      <c r="AJ8666" s="10"/>
      <c r="AK8666" s="10"/>
      <c r="AL8666" s="10"/>
      <c r="AM8666" s="10"/>
      <c r="AN8666" s="10"/>
      <c r="AO8666" s="10"/>
      <c r="AP8666" s="10"/>
      <c r="AQ8666" s="10"/>
      <c r="AR8666" s="10"/>
      <c r="AS8666" s="10"/>
      <c r="AT8666" s="10"/>
      <c r="AU8666" s="10"/>
      <c r="AV8666" s="10"/>
      <c r="AW8666" s="10"/>
      <c r="AX8666" s="10"/>
      <c r="AY8666" s="10"/>
      <c r="AZ8666" s="10"/>
    </row>
    <row r="8667" spans="31:52">
      <c r="AE8667" s="10"/>
      <c r="AF8667" s="10"/>
      <c r="AG8667" s="10"/>
      <c r="AH8667" s="10"/>
      <c r="AI8667" s="10"/>
      <c r="AJ8667" s="10"/>
      <c r="AK8667" s="10"/>
      <c r="AL8667" s="10"/>
      <c r="AM8667" s="10"/>
      <c r="AN8667" s="10"/>
      <c r="AO8667" s="10"/>
      <c r="AP8667" s="10"/>
      <c r="AQ8667" s="10"/>
      <c r="AR8667" s="10"/>
      <c r="AS8667" s="10"/>
      <c r="AT8667" s="10"/>
      <c r="AU8667" s="10"/>
      <c r="AV8667" s="10"/>
      <c r="AW8667" s="10"/>
      <c r="AX8667" s="10"/>
      <c r="AY8667" s="10"/>
      <c r="AZ8667" s="10"/>
    </row>
    <row r="8668" spans="31:52">
      <c r="AE8668" s="10"/>
      <c r="AF8668" s="10"/>
      <c r="AG8668" s="10"/>
      <c r="AH8668" s="10"/>
      <c r="AI8668" s="10"/>
      <c r="AJ8668" s="10"/>
      <c r="AK8668" s="10"/>
      <c r="AL8668" s="10"/>
      <c r="AM8668" s="10"/>
      <c r="AN8668" s="10"/>
      <c r="AO8668" s="10"/>
      <c r="AP8668" s="10"/>
      <c r="AQ8668" s="10"/>
      <c r="AR8668" s="10"/>
      <c r="AS8668" s="10"/>
      <c r="AT8668" s="10"/>
      <c r="AU8668" s="10"/>
      <c r="AV8668" s="10"/>
      <c r="AW8668" s="10"/>
      <c r="AX8668" s="10"/>
      <c r="AY8668" s="10"/>
      <c r="AZ8668" s="10"/>
    </row>
    <row r="8669" spans="31:52">
      <c r="AE8669" s="10"/>
      <c r="AF8669" s="10"/>
      <c r="AG8669" s="10"/>
      <c r="AH8669" s="10"/>
      <c r="AI8669" s="10"/>
      <c r="AJ8669" s="10"/>
      <c r="AK8669" s="10"/>
      <c r="AL8669" s="10"/>
      <c r="AM8669" s="10"/>
      <c r="AN8669" s="10"/>
      <c r="AO8669" s="10"/>
      <c r="AP8669" s="10"/>
      <c r="AQ8669" s="10"/>
      <c r="AR8669" s="10"/>
      <c r="AS8669" s="10"/>
      <c r="AT8669" s="10"/>
      <c r="AU8669" s="10"/>
      <c r="AV8669" s="10"/>
      <c r="AW8669" s="10"/>
      <c r="AX8669" s="10"/>
      <c r="AY8669" s="10"/>
      <c r="AZ8669" s="10"/>
    </row>
    <row r="8670" spans="31:52">
      <c r="AE8670" s="10"/>
      <c r="AF8670" s="10"/>
      <c r="AG8670" s="10"/>
      <c r="AH8670" s="10"/>
      <c r="AI8670" s="10"/>
      <c r="AJ8670" s="10"/>
      <c r="AK8670" s="10"/>
      <c r="AL8670" s="10"/>
      <c r="AM8670" s="10"/>
      <c r="AN8670" s="10"/>
      <c r="AO8670" s="10"/>
      <c r="AP8670" s="10"/>
      <c r="AQ8670" s="10"/>
      <c r="AR8670" s="10"/>
      <c r="AS8670" s="10"/>
      <c r="AT8670" s="10"/>
      <c r="AU8670" s="10"/>
      <c r="AV8670" s="10"/>
      <c r="AW8670" s="10"/>
      <c r="AX8670" s="10"/>
      <c r="AY8670" s="10"/>
      <c r="AZ8670" s="10"/>
    </row>
    <row r="8671" spans="31:52">
      <c r="AE8671" s="10"/>
      <c r="AF8671" s="10"/>
      <c r="AG8671" s="10"/>
      <c r="AH8671" s="10"/>
      <c r="AI8671" s="10"/>
      <c r="AJ8671" s="10"/>
      <c r="AK8671" s="10"/>
      <c r="AL8671" s="10"/>
      <c r="AM8671" s="10"/>
      <c r="AN8671" s="10"/>
      <c r="AO8671" s="10"/>
      <c r="AP8671" s="10"/>
      <c r="AQ8671" s="10"/>
      <c r="AR8671" s="10"/>
      <c r="AS8671" s="10"/>
      <c r="AT8671" s="10"/>
      <c r="AU8671" s="10"/>
      <c r="AV8671" s="10"/>
      <c r="AW8671" s="10"/>
      <c r="AX8671" s="10"/>
      <c r="AY8671" s="10"/>
      <c r="AZ8671" s="10"/>
    </row>
    <row r="8672" spans="31:52">
      <c r="AE8672" s="10"/>
      <c r="AF8672" s="10"/>
      <c r="AG8672" s="10"/>
      <c r="AH8672" s="10"/>
      <c r="AI8672" s="10"/>
      <c r="AJ8672" s="10"/>
      <c r="AK8672" s="10"/>
      <c r="AL8672" s="10"/>
      <c r="AM8672" s="10"/>
      <c r="AN8672" s="10"/>
      <c r="AO8672" s="10"/>
      <c r="AP8672" s="10"/>
      <c r="AQ8672" s="10"/>
      <c r="AR8672" s="10"/>
      <c r="AS8672" s="10"/>
      <c r="AT8672" s="10"/>
      <c r="AU8672" s="10"/>
      <c r="AV8672" s="10"/>
      <c r="AW8672" s="10"/>
      <c r="AX8672" s="10"/>
      <c r="AY8672" s="10"/>
      <c r="AZ8672" s="10"/>
    </row>
    <row r="8673" spans="31:52">
      <c r="AE8673" s="10"/>
      <c r="AF8673" s="10"/>
      <c r="AG8673" s="10"/>
      <c r="AH8673" s="10"/>
      <c r="AI8673" s="10"/>
      <c r="AJ8673" s="10"/>
      <c r="AK8673" s="10"/>
      <c r="AL8673" s="10"/>
      <c r="AM8673" s="10"/>
      <c r="AN8673" s="10"/>
      <c r="AO8673" s="10"/>
      <c r="AP8673" s="10"/>
      <c r="AQ8673" s="10"/>
      <c r="AR8673" s="10"/>
      <c r="AS8673" s="10"/>
      <c r="AT8673" s="10"/>
      <c r="AU8673" s="10"/>
      <c r="AV8673" s="10"/>
      <c r="AW8673" s="10"/>
      <c r="AX8673" s="10"/>
      <c r="AY8673" s="10"/>
      <c r="AZ8673" s="10"/>
    </row>
    <row r="8674" spans="31:52">
      <c r="AE8674" s="10"/>
      <c r="AF8674" s="10"/>
      <c r="AG8674" s="10"/>
      <c r="AH8674" s="10"/>
      <c r="AI8674" s="10"/>
      <c r="AJ8674" s="10"/>
      <c r="AK8674" s="10"/>
      <c r="AL8674" s="10"/>
      <c r="AM8674" s="10"/>
      <c r="AN8674" s="10"/>
      <c r="AO8674" s="10"/>
      <c r="AP8674" s="10"/>
      <c r="AQ8674" s="10"/>
      <c r="AR8674" s="10"/>
      <c r="AS8674" s="10"/>
      <c r="AT8674" s="10"/>
      <c r="AU8674" s="10"/>
      <c r="AV8674" s="10"/>
      <c r="AW8674" s="10"/>
      <c r="AX8674" s="10"/>
      <c r="AY8674" s="10"/>
      <c r="AZ8674" s="10"/>
    </row>
    <row r="8675" spans="31:52">
      <c r="AE8675" s="10"/>
      <c r="AF8675" s="10"/>
      <c r="AG8675" s="10"/>
      <c r="AH8675" s="10"/>
      <c r="AI8675" s="10"/>
      <c r="AJ8675" s="10"/>
      <c r="AK8675" s="10"/>
      <c r="AL8675" s="10"/>
      <c r="AM8675" s="10"/>
      <c r="AN8675" s="10"/>
      <c r="AO8675" s="10"/>
      <c r="AP8675" s="10"/>
      <c r="AQ8675" s="10"/>
      <c r="AR8675" s="10"/>
      <c r="AS8675" s="10"/>
      <c r="AT8675" s="10"/>
      <c r="AU8675" s="10"/>
      <c r="AV8675" s="10"/>
      <c r="AW8675" s="10"/>
      <c r="AX8675" s="10"/>
      <c r="AY8675" s="10"/>
      <c r="AZ8675" s="10"/>
    </row>
    <row r="8676" spans="31:52">
      <c r="AE8676" s="10"/>
      <c r="AF8676" s="10"/>
      <c r="AG8676" s="10"/>
      <c r="AH8676" s="10"/>
      <c r="AI8676" s="10"/>
      <c r="AJ8676" s="10"/>
      <c r="AK8676" s="10"/>
      <c r="AL8676" s="10"/>
      <c r="AM8676" s="10"/>
      <c r="AN8676" s="10"/>
      <c r="AO8676" s="10"/>
      <c r="AP8676" s="10"/>
      <c r="AQ8676" s="10"/>
      <c r="AR8676" s="10"/>
      <c r="AS8676" s="10"/>
      <c r="AT8676" s="10"/>
      <c r="AU8676" s="10"/>
      <c r="AV8676" s="10"/>
      <c r="AW8676" s="10"/>
      <c r="AX8676" s="10"/>
      <c r="AY8676" s="10"/>
      <c r="AZ8676" s="10"/>
    </row>
    <row r="8677" spans="31:52">
      <c r="AE8677" s="10"/>
      <c r="AF8677" s="10"/>
      <c r="AG8677" s="10"/>
      <c r="AH8677" s="10"/>
      <c r="AI8677" s="10"/>
      <c r="AJ8677" s="10"/>
      <c r="AK8677" s="10"/>
      <c r="AL8677" s="10"/>
      <c r="AM8677" s="10"/>
      <c r="AN8677" s="10"/>
      <c r="AO8677" s="10"/>
      <c r="AP8677" s="10"/>
      <c r="AQ8677" s="10"/>
      <c r="AR8677" s="10"/>
      <c r="AS8677" s="10"/>
      <c r="AT8677" s="10"/>
      <c r="AU8677" s="10"/>
      <c r="AV8677" s="10"/>
      <c r="AW8677" s="10"/>
      <c r="AX8677" s="10"/>
      <c r="AY8677" s="10"/>
      <c r="AZ8677" s="10"/>
    </row>
    <row r="8678" spans="31:52">
      <c r="AE8678" s="10"/>
      <c r="AF8678" s="10"/>
      <c r="AG8678" s="10"/>
      <c r="AH8678" s="10"/>
      <c r="AI8678" s="10"/>
      <c r="AJ8678" s="10"/>
      <c r="AK8678" s="10"/>
      <c r="AL8678" s="10"/>
      <c r="AM8678" s="10"/>
      <c r="AN8678" s="10"/>
      <c r="AO8678" s="10"/>
      <c r="AP8678" s="10"/>
      <c r="AQ8678" s="10"/>
      <c r="AR8678" s="10"/>
      <c r="AS8678" s="10"/>
      <c r="AT8678" s="10"/>
      <c r="AU8678" s="10"/>
      <c r="AV8678" s="10"/>
      <c r="AW8678" s="10"/>
      <c r="AX8678" s="10"/>
      <c r="AY8678" s="10"/>
      <c r="AZ8678" s="10"/>
    </row>
    <row r="8679" spans="31:52">
      <c r="AE8679" s="10"/>
      <c r="AF8679" s="10"/>
      <c r="AG8679" s="10"/>
      <c r="AH8679" s="10"/>
      <c r="AI8679" s="10"/>
      <c r="AJ8679" s="10"/>
      <c r="AK8679" s="10"/>
      <c r="AL8679" s="10"/>
      <c r="AM8679" s="10"/>
      <c r="AN8679" s="10"/>
      <c r="AO8679" s="10"/>
      <c r="AP8679" s="10"/>
      <c r="AQ8679" s="10"/>
      <c r="AR8679" s="10"/>
      <c r="AS8679" s="10"/>
      <c r="AT8679" s="10"/>
      <c r="AU8679" s="10"/>
      <c r="AV8679" s="10"/>
      <c r="AW8679" s="10"/>
      <c r="AX8679" s="10"/>
      <c r="AY8679" s="10"/>
      <c r="AZ8679" s="10"/>
    </row>
    <row r="8680" spans="31:52">
      <c r="AE8680" s="10"/>
      <c r="AF8680" s="10"/>
      <c r="AG8680" s="10"/>
      <c r="AH8680" s="10"/>
      <c r="AI8680" s="10"/>
      <c r="AJ8680" s="10"/>
      <c r="AK8680" s="10"/>
      <c r="AL8680" s="10"/>
      <c r="AM8680" s="10"/>
      <c r="AN8680" s="10"/>
      <c r="AO8680" s="10"/>
      <c r="AP8680" s="10"/>
      <c r="AQ8680" s="10"/>
      <c r="AR8680" s="10"/>
      <c r="AS8680" s="10"/>
      <c r="AT8680" s="10"/>
      <c r="AU8680" s="10"/>
      <c r="AV8680" s="10"/>
      <c r="AW8680" s="10"/>
      <c r="AX8680" s="10"/>
      <c r="AY8680" s="10"/>
      <c r="AZ8680" s="10"/>
    </row>
    <row r="8681" spans="31:52">
      <c r="AE8681" s="10"/>
      <c r="AF8681" s="10"/>
      <c r="AG8681" s="10"/>
      <c r="AH8681" s="10"/>
      <c r="AI8681" s="10"/>
      <c r="AJ8681" s="10"/>
      <c r="AK8681" s="10"/>
      <c r="AL8681" s="10"/>
      <c r="AM8681" s="10"/>
      <c r="AN8681" s="10"/>
      <c r="AO8681" s="10"/>
      <c r="AP8681" s="10"/>
      <c r="AQ8681" s="10"/>
      <c r="AR8681" s="10"/>
      <c r="AS8681" s="10"/>
      <c r="AT8681" s="10"/>
      <c r="AU8681" s="10"/>
      <c r="AV8681" s="10"/>
      <c r="AW8681" s="10"/>
      <c r="AX8681" s="10"/>
      <c r="AY8681" s="10"/>
      <c r="AZ8681" s="10"/>
    </row>
    <row r="8682" spans="31:52">
      <c r="AE8682" s="10"/>
      <c r="AF8682" s="10"/>
      <c r="AG8682" s="10"/>
      <c r="AH8682" s="10"/>
      <c r="AI8682" s="10"/>
      <c r="AJ8682" s="10"/>
      <c r="AK8682" s="10"/>
      <c r="AL8682" s="10"/>
      <c r="AM8682" s="10"/>
      <c r="AN8682" s="10"/>
      <c r="AO8682" s="10"/>
      <c r="AP8682" s="10"/>
      <c r="AQ8682" s="10"/>
      <c r="AR8682" s="10"/>
      <c r="AS8682" s="10"/>
      <c r="AT8682" s="10"/>
      <c r="AU8682" s="10"/>
      <c r="AV8682" s="10"/>
      <c r="AW8682" s="10"/>
      <c r="AX8682" s="10"/>
      <c r="AY8682" s="10"/>
      <c r="AZ8682" s="10"/>
    </row>
    <row r="8683" spans="31:52">
      <c r="AE8683" s="10"/>
      <c r="AF8683" s="10"/>
      <c r="AG8683" s="10"/>
      <c r="AH8683" s="10"/>
      <c r="AI8683" s="10"/>
      <c r="AJ8683" s="10"/>
      <c r="AK8683" s="10"/>
      <c r="AL8683" s="10"/>
      <c r="AM8683" s="10"/>
      <c r="AN8683" s="10"/>
      <c r="AO8683" s="10"/>
      <c r="AP8683" s="10"/>
      <c r="AQ8683" s="10"/>
      <c r="AR8683" s="10"/>
      <c r="AS8683" s="10"/>
      <c r="AT8683" s="10"/>
      <c r="AU8683" s="10"/>
      <c r="AV8683" s="10"/>
      <c r="AW8683" s="10"/>
      <c r="AX8683" s="10"/>
      <c r="AY8683" s="10"/>
      <c r="AZ8683" s="10"/>
    </row>
    <row r="8684" spans="31:52">
      <c r="AE8684" s="10"/>
      <c r="AF8684" s="10"/>
      <c r="AG8684" s="10"/>
      <c r="AH8684" s="10"/>
      <c r="AI8684" s="10"/>
      <c r="AJ8684" s="10"/>
      <c r="AK8684" s="10"/>
      <c r="AL8684" s="10"/>
      <c r="AM8684" s="10"/>
      <c r="AN8684" s="10"/>
      <c r="AO8684" s="10"/>
      <c r="AP8684" s="10"/>
      <c r="AQ8684" s="10"/>
      <c r="AR8684" s="10"/>
      <c r="AS8684" s="10"/>
      <c r="AT8684" s="10"/>
      <c r="AU8684" s="10"/>
      <c r="AV8684" s="10"/>
      <c r="AW8684" s="10"/>
      <c r="AX8684" s="10"/>
      <c r="AY8684" s="10"/>
      <c r="AZ8684" s="10"/>
    </row>
    <row r="8685" spans="31:52">
      <c r="AE8685" s="10"/>
      <c r="AF8685" s="10"/>
      <c r="AG8685" s="10"/>
      <c r="AH8685" s="10"/>
      <c r="AI8685" s="10"/>
      <c r="AJ8685" s="10"/>
      <c r="AK8685" s="10"/>
      <c r="AL8685" s="10"/>
      <c r="AM8685" s="10"/>
      <c r="AN8685" s="10"/>
      <c r="AO8685" s="10"/>
      <c r="AP8685" s="10"/>
      <c r="AQ8685" s="10"/>
      <c r="AR8685" s="10"/>
      <c r="AS8685" s="10"/>
      <c r="AT8685" s="10"/>
      <c r="AU8685" s="10"/>
      <c r="AV8685" s="10"/>
      <c r="AW8685" s="10"/>
      <c r="AX8685" s="10"/>
      <c r="AY8685" s="10"/>
      <c r="AZ8685" s="10"/>
    </row>
    <row r="8686" spans="31:52">
      <c r="AE8686" s="10"/>
      <c r="AF8686" s="10"/>
      <c r="AG8686" s="10"/>
      <c r="AH8686" s="10"/>
      <c r="AI8686" s="10"/>
      <c r="AJ8686" s="10"/>
      <c r="AK8686" s="10"/>
      <c r="AL8686" s="10"/>
      <c r="AM8686" s="10"/>
      <c r="AN8686" s="10"/>
      <c r="AO8686" s="10"/>
      <c r="AP8686" s="10"/>
      <c r="AQ8686" s="10"/>
      <c r="AR8686" s="10"/>
      <c r="AS8686" s="10"/>
      <c r="AT8686" s="10"/>
      <c r="AU8686" s="10"/>
      <c r="AV8686" s="10"/>
      <c r="AW8686" s="10"/>
      <c r="AX8686" s="10"/>
      <c r="AY8686" s="10"/>
      <c r="AZ8686" s="10"/>
    </row>
    <row r="8687" spans="31:52">
      <c r="AE8687" s="10"/>
      <c r="AF8687" s="10"/>
      <c r="AG8687" s="10"/>
      <c r="AH8687" s="10"/>
      <c r="AI8687" s="10"/>
      <c r="AJ8687" s="10"/>
      <c r="AK8687" s="10"/>
      <c r="AL8687" s="10"/>
      <c r="AM8687" s="10"/>
      <c r="AN8687" s="10"/>
      <c r="AO8687" s="10"/>
      <c r="AP8687" s="10"/>
      <c r="AQ8687" s="10"/>
      <c r="AR8687" s="10"/>
      <c r="AS8687" s="10"/>
      <c r="AT8687" s="10"/>
      <c r="AU8687" s="10"/>
      <c r="AV8687" s="10"/>
      <c r="AW8687" s="10"/>
      <c r="AX8687" s="10"/>
      <c r="AY8687" s="10"/>
      <c r="AZ8687" s="10"/>
    </row>
    <row r="8688" spans="31:52">
      <c r="AE8688" s="10"/>
      <c r="AF8688" s="10"/>
      <c r="AG8688" s="10"/>
      <c r="AH8688" s="10"/>
      <c r="AI8688" s="10"/>
      <c r="AJ8688" s="10"/>
      <c r="AK8688" s="10"/>
      <c r="AL8688" s="10"/>
      <c r="AM8688" s="10"/>
      <c r="AN8688" s="10"/>
      <c r="AO8688" s="10"/>
      <c r="AP8688" s="10"/>
      <c r="AQ8688" s="10"/>
      <c r="AR8688" s="10"/>
      <c r="AS8688" s="10"/>
      <c r="AT8688" s="10"/>
      <c r="AU8688" s="10"/>
      <c r="AV8688" s="10"/>
      <c r="AW8688" s="10"/>
      <c r="AX8688" s="10"/>
      <c r="AY8688" s="10"/>
      <c r="AZ8688" s="10"/>
    </row>
    <row r="8689" spans="31:52">
      <c r="AE8689" s="10"/>
      <c r="AF8689" s="10"/>
      <c r="AG8689" s="10"/>
      <c r="AH8689" s="10"/>
      <c r="AI8689" s="10"/>
      <c r="AJ8689" s="10"/>
      <c r="AK8689" s="10"/>
      <c r="AL8689" s="10"/>
      <c r="AM8689" s="10"/>
      <c r="AN8689" s="10"/>
      <c r="AO8689" s="10"/>
      <c r="AP8689" s="10"/>
      <c r="AQ8689" s="10"/>
      <c r="AR8689" s="10"/>
      <c r="AS8689" s="10"/>
      <c r="AT8689" s="10"/>
      <c r="AU8689" s="10"/>
      <c r="AV8689" s="10"/>
      <c r="AW8689" s="10"/>
      <c r="AX8689" s="10"/>
      <c r="AY8689" s="10"/>
      <c r="AZ8689" s="10"/>
    </row>
    <row r="8690" spans="31:52">
      <c r="AE8690" s="10"/>
      <c r="AF8690" s="10"/>
      <c r="AG8690" s="10"/>
      <c r="AH8690" s="10"/>
      <c r="AI8690" s="10"/>
      <c r="AJ8690" s="10"/>
      <c r="AK8690" s="10"/>
      <c r="AL8690" s="10"/>
      <c r="AM8690" s="10"/>
      <c r="AN8690" s="10"/>
      <c r="AO8690" s="10"/>
      <c r="AP8690" s="10"/>
      <c r="AQ8690" s="10"/>
      <c r="AR8690" s="10"/>
      <c r="AS8690" s="10"/>
      <c r="AT8690" s="10"/>
      <c r="AU8690" s="10"/>
      <c r="AV8690" s="10"/>
      <c r="AW8690" s="10"/>
      <c r="AX8690" s="10"/>
      <c r="AY8690" s="10"/>
      <c r="AZ8690" s="10"/>
    </row>
    <row r="8691" spans="31:52">
      <c r="AE8691" s="10"/>
      <c r="AF8691" s="10"/>
      <c r="AG8691" s="10"/>
      <c r="AH8691" s="10"/>
      <c r="AI8691" s="10"/>
      <c r="AJ8691" s="10"/>
      <c r="AK8691" s="10"/>
      <c r="AL8691" s="10"/>
      <c r="AM8691" s="10"/>
      <c r="AN8691" s="10"/>
      <c r="AO8691" s="10"/>
      <c r="AP8691" s="10"/>
      <c r="AQ8691" s="10"/>
      <c r="AR8691" s="10"/>
      <c r="AS8691" s="10"/>
      <c r="AT8691" s="10"/>
      <c r="AU8691" s="10"/>
      <c r="AV8691" s="10"/>
      <c r="AW8691" s="10"/>
      <c r="AX8691" s="10"/>
      <c r="AY8691" s="10"/>
      <c r="AZ8691" s="10"/>
    </row>
    <row r="8692" spans="31:52">
      <c r="AE8692" s="10"/>
      <c r="AF8692" s="10"/>
      <c r="AG8692" s="10"/>
      <c r="AH8692" s="10"/>
      <c r="AI8692" s="10"/>
      <c r="AJ8692" s="10"/>
      <c r="AK8692" s="10"/>
      <c r="AL8692" s="10"/>
      <c r="AM8692" s="10"/>
      <c r="AN8692" s="10"/>
      <c r="AO8692" s="10"/>
      <c r="AP8692" s="10"/>
      <c r="AQ8692" s="10"/>
      <c r="AR8692" s="10"/>
      <c r="AS8692" s="10"/>
      <c r="AT8692" s="10"/>
      <c r="AU8692" s="10"/>
      <c r="AV8692" s="10"/>
      <c r="AW8692" s="10"/>
      <c r="AX8692" s="10"/>
      <c r="AY8692" s="10"/>
      <c r="AZ8692" s="10"/>
    </row>
    <row r="8693" spans="31:52">
      <c r="AE8693" s="10"/>
      <c r="AF8693" s="10"/>
      <c r="AG8693" s="10"/>
      <c r="AH8693" s="10"/>
      <c r="AI8693" s="10"/>
      <c r="AJ8693" s="10"/>
      <c r="AK8693" s="10"/>
      <c r="AL8693" s="10"/>
      <c r="AM8693" s="10"/>
      <c r="AN8693" s="10"/>
      <c r="AO8693" s="10"/>
      <c r="AP8693" s="10"/>
      <c r="AQ8693" s="10"/>
      <c r="AR8693" s="10"/>
      <c r="AS8693" s="10"/>
      <c r="AT8693" s="10"/>
      <c r="AU8693" s="10"/>
      <c r="AV8693" s="10"/>
      <c r="AW8693" s="10"/>
      <c r="AX8693" s="10"/>
      <c r="AY8693" s="10"/>
      <c r="AZ8693" s="10"/>
    </row>
    <row r="8694" spans="31:52">
      <c r="AE8694" s="10"/>
      <c r="AF8694" s="10"/>
      <c r="AG8694" s="10"/>
      <c r="AH8694" s="10"/>
      <c r="AI8694" s="10"/>
      <c r="AJ8694" s="10"/>
      <c r="AK8694" s="10"/>
      <c r="AL8694" s="10"/>
      <c r="AM8694" s="10"/>
      <c r="AN8694" s="10"/>
      <c r="AO8694" s="10"/>
      <c r="AP8694" s="10"/>
      <c r="AQ8694" s="10"/>
      <c r="AR8694" s="10"/>
      <c r="AS8694" s="10"/>
      <c r="AT8694" s="10"/>
      <c r="AU8694" s="10"/>
      <c r="AV8694" s="10"/>
      <c r="AW8694" s="10"/>
      <c r="AX8694" s="10"/>
      <c r="AY8694" s="10"/>
      <c r="AZ8694" s="10"/>
    </row>
    <row r="8695" spans="31:52">
      <c r="AE8695" s="10"/>
      <c r="AF8695" s="10"/>
      <c r="AG8695" s="10"/>
      <c r="AH8695" s="10"/>
      <c r="AI8695" s="10"/>
      <c r="AJ8695" s="10"/>
      <c r="AK8695" s="10"/>
      <c r="AL8695" s="10"/>
      <c r="AM8695" s="10"/>
      <c r="AN8695" s="10"/>
      <c r="AO8695" s="10"/>
      <c r="AP8695" s="10"/>
      <c r="AQ8695" s="10"/>
      <c r="AR8695" s="10"/>
      <c r="AS8695" s="10"/>
      <c r="AT8695" s="10"/>
      <c r="AU8695" s="10"/>
      <c r="AV8695" s="10"/>
      <c r="AW8695" s="10"/>
      <c r="AX8695" s="10"/>
      <c r="AY8695" s="10"/>
      <c r="AZ8695" s="10"/>
    </row>
    <row r="8696" spans="31:52">
      <c r="AE8696" s="10"/>
      <c r="AF8696" s="10"/>
      <c r="AG8696" s="10"/>
      <c r="AH8696" s="10"/>
      <c r="AI8696" s="10"/>
      <c r="AJ8696" s="10"/>
      <c r="AK8696" s="10"/>
      <c r="AL8696" s="10"/>
      <c r="AM8696" s="10"/>
      <c r="AN8696" s="10"/>
      <c r="AO8696" s="10"/>
      <c r="AP8696" s="10"/>
      <c r="AQ8696" s="10"/>
      <c r="AR8696" s="10"/>
      <c r="AS8696" s="10"/>
      <c r="AT8696" s="10"/>
      <c r="AU8696" s="10"/>
      <c r="AV8696" s="10"/>
      <c r="AW8696" s="10"/>
      <c r="AX8696" s="10"/>
      <c r="AY8696" s="10"/>
      <c r="AZ8696" s="10"/>
    </row>
    <row r="8697" spans="31:52">
      <c r="AE8697" s="10"/>
      <c r="AF8697" s="10"/>
      <c r="AG8697" s="10"/>
      <c r="AH8697" s="10"/>
      <c r="AI8697" s="10"/>
      <c r="AJ8697" s="10"/>
      <c r="AK8697" s="10"/>
      <c r="AL8697" s="10"/>
      <c r="AM8697" s="10"/>
      <c r="AN8697" s="10"/>
      <c r="AO8697" s="10"/>
      <c r="AP8697" s="10"/>
      <c r="AQ8697" s="10"/>
      <c r="AR8697" s="10"/>
      <c r="AS8697" s="10"/>
      <c r="AT8697" s="10"/>
      <c r="AU8697" s="10"/>
      <c r="AV8697" s="10"/>
      <c r="AW8697" s="10"/>
      <c r="AX8697" s="10"/>
      <c r="AY8697" s="10"/>
      <c r="AZ8697" s="10"/>
    </row>
    <row r="8698" spans="31:52">
      <c r="AE8698" s="10"/>
      <c r="AF8698" s="10"/>
      <c r="AG8698" s="10"/>
      <c r="AH8698" s="10"/>
      <c r="AI8698" s="10"/>
      <c r="AJ8698" s="10"/>
      <c r="AK8698" s="10"/>
      <c r="AL8698" s="10"/>
      <c r="AM8698" s="10"/>
      <c r="AN8698" s="10"/>
      <c r="AO8698" s="10"/>
      <c r="AP8698" s="10"/>
      <c r="AQ8698" s="10"/>
      <c r="AR8698" s="10"/>
      <c r="AS8698" s="10"/>
      <c r="AT8698" s="10"/>
      <c r="AU8698" s="10"/>
      <c r="AV8698" s="10"/>
      <c r="AW8698" s="10"/>
      <c r="AX8698" s="10"/>
      <c r="AY8698" s="10"/>
      <c r="AZ8698" s="10"/>
    </row>
    <row r="8699" spans="31:52">
      <c r="AE8699" s="10"/>
      <c r="AF8699" s="10"/>
      <c r="AG8699" s="10"/>
      <c r="AH8699" s="10"/>
      <c r="AI8699" s="10"/>
      <c r="AJ8699" s="10"/>
      <c r="AK8699" s="10"/>
      <c r="AL8699" s="10"/>
      <c r="AM8699" s="10"/>
      <c r="AN8699" s="10"/>
      <c r="AO8699" s="10"/>
      <c r="AP8699" s="10"/>
      <c r="AQ8699" s="10"/>
      <c r="AR8699" s="10"/>
      <c r="AS8699" s="10"/>
      <c r="AT8699" s="10"/>
      <c r="AU8699" s="10"/>
      <c r="AV8699" s="10"/>
      <c r="AW8699" s="10"/>
      <c r="AX8699" s="10"/>
      <c r="AY8699" s="10"/>
      <c r="AZ8699" s="10"/>
    </row>
    <row r="8700" spans="31:52">
      <c r="AE8700" s="10"/>
      <c r="AF8700" s="10"/>
      <c r="AG8700" s="10"/>
      <c r="AH8700" s="10"/>
      <c r="AI8700" s="10"/>
      <c r="AJ8700" s="10"/>
      <c r="AK8700" s="10"/>
      <c r="AL8700" s="10"/>
      <c r="AM8700" s="10"/>
      <c r="AN8700" s="10"/>
      <c r="AO8700" s="10"/>
      <c r="AP8700" s="10"/>
      <c r="AQ8700" s="10"/>
      <c r="AR8700" s="10"/>
      <c r="AS8700" s="10"/>
      <c r="AT8700" s="10"/>
      <c r="AU8700" s="10"/>
      <c r="AV8700" s="10"/>
      <c r="AW8700" s="10"/>
      <c r="AX8700" s="10"/>
      <c r="AY8700" s="10"/>
      <c r="AZ8700" s="10"/>
    </row>
    <row r="8701" spans="31:52">
      <c r="AE8701" s="10"/>
      <c r="AF8701" s="10"/>
      <c r="AG8701" s="10"/>
      <c r="AH8701" s="10"/>
      <c r="AI8701" s="10"/>
      <c r="AJ8701" s="10"/>
      <c r="AK8701" s="10"/>
      <c r="AL8701" s="10"/>
      <c r="AM8701" s="10"/>
      <c r="AN8701" s="10"/>
      <c r="AO8701" s="10"/>
      <c r="AP8701" s="10"/>
      <c r="AQ8701" s="10"/>
      <c r="AR8701" s="10"/>
      <c r="AS8701" s="10"/>
      <c r="AT8701" s="10"/>
      <c r="AU8701" s="10"/>
      <c r="AV8701" s="10"/>
      <c r="AW8701" s="10"/>
      <c r="AX8701" s="10"/>
      <c r="AY8701" s="10"/>
      <c r="AZ8701" s="10"/>
    </row>
    <row r="8702" spans="31:52">
      <c r="AE8702" s="10"/>
      <c r="AF8702" s="10"/>
      <c r="AG8702" s="10"/>
      <c r="AH8702" s="10"/>
      <c r="AI8702" s="10"/>
      <c r="AJ8702" s="10"/>
      <c r="AK8702" s="10"/>
      <c r="AL8702" s="10"/>
      <c r="AM8702" s="10"/>
      <c r="AN8702" s="10"/>
      <c r="AO8702" s="10"/>
      <c r="AP8702" s="10"/>
      <c r="AQ8702" s="10"/>
      <c r="AR8702" s="10"/>
      <c r="AS8702" s="10"/>
      <c r="AT8702" s="10"/>
      <c r="AU8702" s="10"/>
      <c r="AV8702" s="10"/>
      <c r="AW8702" s="10"/>
      <c r="AX8702" s="10"/>
      <c r="AY8702" s="10"/>
      <c r="AZ8702" s="10"/>
    </row>
    <row r="8703" spans="31:52">
      <c r="AE8703" s="10"/>
      <c r="AF8703" s="10"/>
      <c r="AG8703" s="10"/>
      <c r="AH8703" s="10"/>
      <c r="AI8703" s="10"/>
      <c r="AJ8703" s="10"/>
      <c r="AK8703" s="10"/>
      <c r="AL8703" s="10"/>
      <c r="AM8703" s="10"/>
      <c r="AN8703" s="10"/>
      <c r="AO8703" s="10"/>
      <c r="AP8703" s="10"/>
      <c r="AQ8703" s="10"/>
      <c r="AR8703" s="10"/>
      <c r="AS8703" s="10"/>
      <c r="AT8703" s="10"/>
      <c r="AU8703" s="10"/>
      <c r="AV8703" s="10"/>
      <c r="AW8703" s="10"/>
      <c r="AX8703" s="10"/>
      <c r="AY8703" s="10"/>
      <c r="AZ8703" s="10"/>
    </row>
    <row r="8704" spans="31:52">
      <c r="AE8704" s="10"/>
      <c r="AF8704" s="10"/>
      <c r="AG8704" s="10"/>
      <c r="AH8704" s="10"/>
      <c r="AI8704" s="10"/>
      <c r="AJ8704" s="10"/>
      <c r="AK8704" s="10"/>
      <c r="AL8704" s="10"/>
      <c r="AM8704" s="10"/>
      <c r="AN8704" s="10"/>
      <c r="AO8704" s="10"/>
      <c r="AP8704" s="10"/>
      <c r="AQ8704" s="10"/>
      <c r="AR8704" s="10"/>
      <c r="AS8704" s="10"/>
      <c r="AT8704" s="10"/>
      <c r="AU8704" s="10"/>
      <c r="AV8704" s="10"/>
      <c r="AW8704" s="10"/>
      <c r="AX8704" s="10"/>
      <c r="AY8704" s="10"/>
      <c r="AZ8704" s="10"/>
    </row>
    <row r="8705" spans="31:52">
      <c r="AE8705" s="10"/>
      <c r="AF8705" s="10"/>
      <c r="AG8705" s="10"/>
      <c r="AH8705" s="10"/>
      <c r="AI8705" s="10"/>
      <c r="AJ8705" s="10"/>
      <c r="AK8705" s="10"/>
      <c r="AL8705" s="10"/>
      <c r="AM8705" s="10"/>
      <c r="AN8705" s="10"/>
      <c r="AO8705" s="10"/>
      <c r="AP8705" s="10"/>
      <c r="AQ8705" s="10"/>
      <c r="AR8705" s="10"/>
      <c r="AS8705" s="10"/>
      <c r="AT8705" s="10"/>
      <c r="AU8705" s="10"/>
      <c r="AV8705" s="10"/>
      <c r="AW8705" s="10"/>
      <c r="AX8705" s="10"/>
      <c r="AY8705" s="10"/>
      <c r="AZ8705" s="10"/>
    </row>
    <row r="8706" spans="31:52">
      <c r="AE8706" s="10"/>
      <c r="AF8706" s="10"/>
      <c r="AG8706" s="10"/>
      <c r="AH8706" s="10"/>
      <c r="AI8706" s="10"/>
      <c r="AJ8706" s="10"/>
      <c r="AK8706" s="10"/>
      <c r="AL8706" s="10"/>
      <c r="AM8706" s="10"/>
      <c r="AN8706" s="10"/>
      <c r="AO8706" s="10"/>
      <c r="AP8706" s="10"/>
      <c r="AQ8706" s="10"/>
      <c r="AR8706" s="10"/>
      <c r="AS8706" s="10"/>
      <c r="AT8706" s="10"/>
      <c r="AU8706" s="10"/>
      <c r="AV8706" s="10"/>
      <c r="AW8706" s="10"/>
      <c r="AX8706" s="10"/>
      <c r="AY8706" s="10"/>
      <c r="AZ8706" s="10"/>
    </row>
    <row r="8707" spans="31:52">
      <c r="AE8707" s="10"/>
      <c r="AF8707" s="10"/>
      <c r="AG8707" s="10"/>
      <c r="AH8707" s="10"/>
      <c r="AI8707" s="10"/>
      <c r="AJ8707" s="10"/>
      <c r="AK8707" s="10"/>
      <c r="AL8707" s="10"/>
      <c r="AM8707" s="10"/>
      <c r="AN8707" s="10"/>
      <c r="AO8707" s="10"/>
      <c r="AP8707" s="10"/>
      <c r="AQ8707" s="10"/>
      <c r="AR8707" s="10"/>
      <c r="AS8707" s="10"/>
      <c r="AT8707" s="10"/>
      <c r="AU8707" s="10"/>
      <c r="AV8707" s="10"/>
      <c r="AW8707" s="10"/>
      <c r="AX8707" s="10"/>
      <c r="AY8707" s="10"/>
      <c r="AZ8707" s="10"/>
    </row>
    <row r="8708" spans="31:52">
      <c r="AE8708" s="10"/>
      <c r="AF8708" s="10"/>
      <c r="AG8708" s="10"/>
      <c r="AH8708" s="10"/>
      <c r="AI8708" s="10"/>
      <c r="AJ8708" s="10"/>
      <c r="AK8708" s="10"/>
      <c r="AL8708" s="10"/>
      <c r="AM8708" s="10"/>
      <c r="AN8708" s="10"/>
      <c r="AO8708" s="10"/>
      <c r="AP8708" s="10"/>
      <c r="AQ8708" s="10"/>
      <c r="AR8708" s="10"/>
      <c r="AS8708" s="10"/>
      <c r="AT8708" s="10"/>
      <c r="AU8708" s="10"/>
      <c r="AV8708" s="10"/>
      <c r="AW8708" s="10"/>
      <c r="AX8708" s="10"/>
      <c r="AY8708" s="10"/>
      <c r="AZ8708" s="10"/>
    </row>
    <row r="8709" spans="31:52">
      <c r="AE8709" s="10"/>
      <c r="AF8709" s="10"/>
      <c r="AG8709" s="10"/>
      <c r="AH8709" s="10"/>
      <c r="AI8709" s="10"/>
      <c r="AJ8709" s="10"/>
      <c r="AK8709" s="10"/>
      <c r="AL8709" s="10"/>
      <c r="AM8709" s="10"/>
      <c r="AN8709" s="10"/>
      <c r="AO8709" s="10"/>
      <c r="AP8709" s="10"/>
      <c r="AQ8709" s="10"/>
      <c r="AR8709" s="10"/>
      <c r="AS8709" s="10"/>
      <c r="AT8709" s="10"/>
      <c r="AU8709" s="10"/>
      <c r="AV8709" s="10"/>
      <c r="AW8709" s="10"/>
      <c r="AX8709" s="10"/>
      <c r="AY8709" s="10"/>
      <c r="AZ8709" s="10"/>
    </row>
    <row r="8710" spans="31:52">
      <c r="AE8710" s="10"/>
      <c r="AF8710" s="10"/>
      <c r="AG8710" s="10"/>
      <c r="AH8710" s="10"/>
      <c r="AI8710" s="10"/>
      <c r="AJ8710" s="10"/>
      <c r="AK8710" s="10"/>
      <c r="AL8710" s="10"/>
      <c r="AM8710" s="10"/>
      <c r="AN8710" s="10"/>
      <c r="AO8710" s="10"/>
      <c r="AP8710" s="10"/>
      <c r="AQ8710" s="10"/>
      <c r="AR8710" s="10"/>
      <c r="AS8710" s="10"/>
      <c r="AT8710" s="10"/>
      <c r="AU8710" s="10"/>
      <c r="AV8710" s="10"/>
      <c r="AW8710" s="10"/>
      <c r="AX8710" s="10"/>
      <c r="AY8710" s="10"/>
      <c r="AZ8710" s="10"/>
    </row>
    <row r="8711" spans="31:52">
      <c r="AE8711" s="10"/>
      <c r="AF8711" s="10"/>
      <c r="AG8711" s="10"/>
      <c r="AH8711" s="10"/>
      <c r="AI8711" s="10"/>
      <c r="AJ8711" s="10"/>
      <c r="AK8711" s="10"/>
      <c r="AL8711" s="10"/>
      <c r="AM8711" s="10"/>
      <c r="AN8711" s="10"/>
      <c r="AO8711" s="10"/>
      <c r="AP8711" s="10"/>
      <c r="AQ8711" s="10"/>
      <c r="AR8711" s="10"/>
      <c r="AS8711" s="10"/>
      <c r="AT8711" s="10"/>
      <c r="AU8711" s="10"/>
      <c r="AV8711" s="10"/>
      <c r="AW8711" s="10"/>
      <c r="AX8711" s="10"/>
      <c r="AY8711" s="10"/>
      <c r="AZ8711" s="10"/>
    </row>
    <row r="8712" spans="31:52">
      <c r="AE8712" s="10"/>
      <c r="AF8712" s="10"/>
      <c r="AG8712" s="10"/>
      <c r="AH8712" s="10"/>
      <c r="AI8712" s="10"/>
      <c r="AJ8712" s="10"/>
      <c r="AK8712" s="10"/>
      <c r="AL8712" s="10"/>
      <c r="AM8712" s="10"/>
      <c r="AN8712" s="10"/>
      <c r="AO8712" s="10"/>
      <c r="AP8712" s="10"/>
      <c r="AQ8712" s="10"/>
      <c r="AR8712" s="10"/>
      <c r="AS8712" s="10"/>
      <c r="AT8712" s="10"/>
      <c r="AU8712" s="10"/>
      <c r="AV8712" s="10"/>
      <c r="AW8712" s="10"/>
      <c r="AX8712" s="10"/>
      <c r="AY8712" s="10"/>
      <c r="AZ8712" s="10"/>
    </row>
    <row r="8713" spans="31:52">
      <c r="AE8713" s="10"/>
      <c r="AF8713" s="10"/>
      <c r="AG8713" s="10"/>
      <c r="AH8713" s="10"/>
      <c r="AI8713" s="10"/>
      <c r="AJ8713" s="10"/>
      <c r="AK8713" s="10"/>
      <c r="AL8713" s="10"/>
      <c r="AM8713" s="10"/>
      <c r="AN8713" s="10"/>
      <c r="AO8713" s="10"/>
      <c r="AP8713" s="10"/>
      <c r="AQ8713" s="10"/>
      <c r="AR8713" s="10"/>
      <c r="AS8713" s="10"/>
      <c r="AT8713" s="10"/>
      <c r="AU8713" s="10"/>
      <c r="AV8713" s="10"/>
      <c r="AW8713" s="10"/>
      <c r="AX8713" s="10"/>
      <c r="AY8713" s="10"/>
      <c r="AZ8713" s="10"/>
    </row>
    <row r="8714" spans="31:52">
      <c r="AE8714" s="10"/>
      <c r="AF8714" s="10"/>
      <c r="AG8714" s="10"/>
      <c r="AH8714" s="10"/>
      <c r="AI8714" s="10"/>
      <c r="AJ8714" s="10"/>
      <c r="AK8714" s="10"/>
      <c r="AL8714" s="10"/>
      <c r="AM8714" s="10"/>
      <c r="AN8714" s="10"/>
      <c r="AO8714" s="10"/>
      <c r="AP8714" s="10"/>
      <c r="AQ8714" s="10"/>
      <c r="AR8714" s="10"/>
      <c r="AS8714" s="10"/>
      <c r="AT8714" s="10"/>
      <c r="AU8714" s="10"/>
      <c r="AV8714" s="10"/>
      <c r="AW8714" s="10"/>
      <c r="AX8714" s="10"/>
      <c r="AY8714" s="10"/>
      <c r="AZ8714" s="10"/>
    </row>
    <row r="8715" spans="31:52">
      <c r="AE8715" s="10"/>
      <c r="AF8715" s="10"/>
      <c r="AG8715" s="10"/>
      <c r="AH8715" s="10"/>
      <c r="AI8715" s="10"/>
      <c r="AJ8715" s="10"/>
      <c r="AK8715" s="10"/>
      <c r="AL8715" s="10"/>
      <c r="AM8715" s="10"/>
      <c r="AN8715" s="10"/>
      <c r="AO8715" s="10"/>
      <c r="AP8715" s="10"/>
      <c r="AQ8715" s="10"/>
      <c r="AR8715" s="10"/>
      <c r="AS8715" s="10"/>
      <c r="AT8715" s="10"/>
      <c r="AU8715" s="10"/>
      <c r="AV8715" s="10"/>
      <c r="AW8715" s="10"/>
      <c r="AX8715" s="10"/>
      <c r="AY8715" s="10"/>
      <c r="AZ8715" s="10"/>
    </row>
    <row r="8716" spans="31:52">
      <c r="AE8716" s="10"/>
      <c r="AF8716" s="10"/>
      <c r="AG8716" s="10"/>
      <c r="AH8716" s="10"/>
      <c r="AI8716" s="10"/>
      <c r="AJ8716" s="10"/>
      <c r="AK8716" s="10"/>
      <c r="AL8716" s="10"/>
      <c r="AM8716" s="10"/>
      <c r="AN8716" s="10"/>
      <c r="AO8716" s="10"/>
      <c r="AP8716" s="10"/>
      <c r="AQ8716" s="10"/>
      <c r="AR8716" s="10"/>
      <c r="AS8716" s="10"/>
      <c r="AT8716" s="10"/>
      <c r="AU8716" s="10"/>
      <c r="AV8716" s="10"/>
      <c r="AW8716" s="10"/>
      <c r="AX8716" s="10"/>
      <c r="AY8716" s="10"/>
      <c r="AZ8716" s="10"/>
    </row>
    <row r="8717" spans="31:52">
      <c r="AE8717" s="10"/>
      <c r="AF8717" s="10"/>
      <c r="AG8717" s="10"/>
      <c r="AH8717" s="10"/>
      <c r="AI8717" s="10"/>
      <c r="AJ8717" s="10"/>
      <c r="AK8717" s="10"/>
      <c r="AL8717" s="10"/>
      <c r="AM8717" s="10"/>
      <c r="AN8717" s="10"/>
      <c r="AO8717" s="10"/>
      <c r="AP8717" s="10"/>
      <c r="AQ8717" s="10"/>
      <c r="AR8717" s="10"/>
      <c r="AS8717" s="10"/>
      <c r="AT8717" s="10"/>
      <c r="AU8717" s="10"/>
      <c r="AV8717" s="10"/>
      <c r="AW8717" s="10"/>
      <c r="AX8717" s="10"/>
      <c r="AY8717" s="10"/>
      <c r="AZ8717" s="10"/>
    </row>
    <row r="8718" spans="31:52">
      <c r="AE8718" s="10"/>
      <c r="AF8718" s="10"/>
      <c r="AG8718" s="10"/>
      <c r="AH8718" s="10"/>
      <c r="AI8718" s="10"/>
      <c r="AJ8718" s="10"/>
      <c r="AK8718" s="10"/>
      <c r="AL8718" s="10"/>
      <c r="AM8718" s="10"/>
      <c r="AN8718" s="10"/>
      <c r="AO8718" s="10"/>
      <c r="AP8718" s="10"/>
      <c r="AQ8718" s="10"/>
      <c r="AR8718" s="10"/>
      <c r="AS8718" s="10"/>
      <c r="AT8718" s="10"/>
      <c r="AU8718" s="10"/>
      <c r="AV8718" s="10"/>
      <c r="AW8718" s="10"/>
      <c r="AX8718" s="10"/>
      <c r="AY8718" s="10"/>
      <c r="AZ8718" s="10"/>
    </row>
    <row r="8719" spans="31:52">
      <c r="AE8719" s="10"/>
      <c r="AF8719" s="10"/>
      <c r="AG8719" s="10"/>
      <c r="AH8719" s="10"/>
      <c r="AI8719" s="10"/>
      <c r="AJ8719" s="10"/>
      <c r="AK8719" s="10"/>
      <c r="AL8719" s="10"/>
      <c r="AM8719" s="10"/>
      <c r="AN8719" s="10"/>
      <c r="AO8719" s="10"/>
      <c r="AP8719" s="10"/>
      <c r="AQ8719" s="10"/>
      <c r="AR8719" s="10"/>
      <c r="AS8719" s="10"/>
      <c r="AT8719" s="10"/>
      <c r="AU8719" s="10"/>
      <c r="AV8719" s="10"/>
      <c r="AW8719" s="10"/>
      <c r="AX8719" s="10"/>
      <c r="AY8719" s="10"/>
      <c r="AZ8719" s="10"/>
    </row>
    <row r="8720" spans="31:52">
      <c r="AE8720" s="10"/>
      <c r="AF8720" s="10"/>
      <c r="AG8720" s="10"/>
      <c r="AH8720" s="10"/>
      <c r="AI8720" s="10"/>
      <c r="AJ8720" s="10"/>
      <c r="AK8720" s="10"/>
      <c r="AL8720" s="10"/>
      <c r="AM8720" s="10"/>
      <c r="AN8720" s="10"/>
      <c r="AO8720" s="10"/>
      <c r="AP8720" s="10"/>
      <c r="AQ8720" s="10"/>
      <c r="AR8720" s="10"/>
      <c r="AS8720" s="10"/>
      <c r="AT8720" s="10"/>
      <c r="AU8720" s="10"/>
      <c r="AV8720" s="10"/>
      <c r="AW8720" s="10"/>
      <c r="AX8720" s="10"/>
      <c r="AY8720" s="10"/>
      <c r="AZ8720" s="10"/>
    </row>
    <row r="8721" spans="31:52">
      <c r="AE8721" s="10"/>
      <c r="AF8721" s="10"/>
      <c r="AG8721" s="10"/>
      <c r="AH8721" s="10"/>
      <c r="AI8721" s="10"/>
      <c r="AJ8721" s="10"/>
      <c r="AK8721" s="10"/>
      <c r="AL8721" s="10"/>
      <c r="AM8721" s="10"/>
      <c r="AN8721" s="10"/>
      <c r="AO8721" s="10"/>
      <c r="AP8721" s="10"/>
      <c r="AQ8721" s="10"/>
      <c r="AR8721" s="10"/>
      <c r="AS8721" s="10"/>
      <c r="AT8721" s="10"/>
      <c r="AU8721" s="10"/>
      <c r="AV8721" s="10"/>
      <c r="AW8721" s="10"/>
      <c r="AX8721" s="10"/>
      <c r="AY8721" s="10"/>
      <c r="AZ8721" s="10"/>
    </row>
    <row r="8722" spans="31:52">
      <c r="AE8722" s="10"/>
      <c r="AF8722" s="10"/>
      <c r="AG8722" s="10"/>
      <c r="AH8722" s="10"/>
      <c r="AI8722" s="10"/>
      <c r="AJ8722" s="10"/>
      <c r="AK8722" s="10"/>
      <c r="AL8722" s="10"/>
      <c r="AM8722" s="10"/>
      <c r="AN8722" s="10"/>
      <c r="AO8722" s="10"/>
      <c r="AP8722" s="10"/>
      <c r="AQ8722" s="10"/>
      <c r="AR8722" s="10"/>
      <c r="AS8722" s="10"/>
      <c r="AT8722" s="10"/>
      <c r="AU8722" s="10"/>
      <c r="AV8722" s="10"/>
      <c r="AW8722" s="10"/>
      <c r="AX8722" s="10"/>
      <c r="AY8722" s="10"/>
      <c r="AZ8722" s="10"/>
    </row>
    <row r="8723" spans="31:52">
      <c r="AE8723" s="10"/>
      <c r="AF8723" s="10"/>
      <c r="AG8723" s="10"/>
      <c r="AH8723" s="10"/>
      <c r="AI8723" s="10"/>
      <c r="AJ8723" s="10"/>
      <c r="AK8723" s="10"/>
      <c r="AL8723" s="10"/>
      <c r="AM8723" s="10"/>
      <c r="AN8723" s="10"/>
      <c r="AO8723" s="10"/>
      <c r="AP8723" s="10"/>
      <c r="AQ8723" s="10"/>
      <c r="AR8723" s="10"/>
      <c r="AS8723" s="10"/>
      <c r="AT8723" s="10"/>
      <c r="AU8723" s="10"/>
      <c r="AV8723" s="10"/>
      <c r="AW8723" s="10"/>
      <c r="AX8723" s="10"/>
      <c r="AY8723" s="10"/>
      <c r="AZ8723" s="10"/>
    </row>
    <row r="8724" spans="31:52">
      <c r="AE8724" s="10"/>
      <c r="AF8724" s="10"/>
      <c r="AG8724" s="10"/>
      <c r="AH8724" s="10"/>
      <c r="AI8724" s="10"/>
      <c r="AJ8724" s="10"/>
      <c r="AK8724" s="10"/>
      <c r="AL8724" s="10"/>
      <c r="AM8724" s="10"/>
      <c r="AN8724" s="10"/>
      <c r="AO8724" s="10"/>
      <c r="AP8724" s="10"/>
      <c r="AQ8724" s="10"/>
      <c r="AR8724" s="10"/>
      <c r="AS8724" s="10"/>
      <c r="AT8724" s="10"/>
      <c r="AU8724" s="10"/>
      <c r="AV8724" s="10"/>
      <c r="AW8724" s="10"/>
      <c r="AX8724" s="10"/>
      <c r="AY8724" s="10"/>
      <c r="AZ8724" s="10"/>
    </row>
    <row r="8725" spans="31:52">
      <c r="AE8725" s="10"/>
      <c r="AF8725" s="10"/>
      <c r="AG8725" s="10"/>
      <c r="AH8725" s="10"/>
      <c r="AI8725" s="10"/>
      <c r="AJ8725" s="10"/>
      <c r="AK8725" s="10"/>
      <c r="AL8725" s="10"/>
      <c r="AM8725" s="10"/>
      <c r="AN8725" s="10"/>
      <c r="AO8725" s="10"/>
      <c r="AP8725" s="10"/>
      <c r="AQ8725" s="10"/>
      <c r="AR8725" s="10"/>
      <c r="AS8725" s="10"/>
      <c r="AT8725" s="10"/>
      <c r="AU8725" s="10"/>
      <c r="AV8725" s="10"/>
      <c r="AW8725" s="10"/>
      <c r="AX8725" s="10"/>
      <c r="AY8725" s="10"/>
      <c r="AZ8725" s="10"/>
    </row>
    <row r="8726" spans="31:52">
      <c r="AE8726" s="10"/>
      <c r="AF8726" s="10"/>
      <c r="AG8726" s="10"/>
      <c r="AH8726" s="10"/>
      <c r="AI8726" s="10"/>
      <c r="AJ8726" s="10"/>
      <c r="AK8726" s="10"/>
      <c r="AL8726" s="10"/>
      <c r="AM8726" s="10"/>
      <c r="AN8726" s="10"/>
      <c r="AO8726" s="10"/>
      <c r="AP8726" s="10"/>
      <c r="AQ8726" s="10"/>
      <c r="AR8726" s="10"/>
      <c r="AS8726" s="10"/>
      <c r="AT8726" s="10"/>
      <c r="AU8726" s="10"/>
      <c r="AV8726" s="10"/>
      <c r="AW8726" s="10"/>
      <c r="AX8726" s="10"/>
      <c r="AY8726" s="10"/>
      <c r="AZ8726" s="10"/>
    </row>
    <row r="8727" spans="31:52">
      <c r="AE8727" s="10"/>
      <c r="AF8727" s="10"/>
      <c r="AG8727" s="10"/>
      <c r="AH8727" s="10"/>
      <c r="AI8727" s="10"/>
      <c r="AJ8727" s="10"/>
      <c r="AK8727" s="10"/>
      <c r="AL8727" s="10"/>
      <c r="AM8727" s="10"/>
      <c r="AN8727" s="10"/>
      <c r="AO8727" s="10"/>
      <c r="AP8727" s="10"/>
      <c r="AQ8727" s="10"/>
      <c r="AR8727" s="10"/>
      <c r="AS8727" s="10"/>
      <c r="AT8727" s="10"/>
      <c r="AU8727" s="10"/>
      <c r="AV8727" s="10"/>
      <c r="AW8727" s="10"/>
      <c r="AX8727" s="10"/>
      <c r="AY8727" s="10"/>
      <c r="AZ8727" s="10"/>
    </row>
    <row r="8728" spans="31:52">
      <c r="AE8728" s="10"/>
      <c r="AF8728" s="10"/>
      <c r="AG8728" s="10"/>
      <c r="AH8728" s="10"/>
      <c r="AI8728" s="10"/>
      <c r="AJ8728" s="10"/>
      <c r="AK8728" s="10"/>
      <c r="AL8728" s="10"/>
      <c r="AM8728" s="10"/>
      <c r="AN8728" s="10"/>
      <c r="AO8728" s="10"/>
      <c r="AP8728" s="10"/>
      <c r="AQ8728" s="10"/>
      <c r="AR8728" s="10"/>
      <c r="AS8728" s="10"/>
      <c r="AT8728" s="10"/>
      <c r="AU8728" s="10"/>
      <c r="AV8728" s="10"/>
      <c r="AW8728" s="10"/>
      <c r="AX8728" s="10"/>
      <c r="AY8728" s="10"/>
      <c r="AZ8728" s="10"/>
    </row>
    <row r="8729" spans="31:52">
      <c r="AE8729" s="10"/>
      <c r="AF8729" s="10"/>
      <c r="AG8729" s="10"/>
      <c r="AH8729" s="10"/>
      <c r="AI8729" s="10"/>
      <c r="AJ8729" s="10"/>
      <c r="AK8729" s="10"/>
      <c r="AL8729" s="10"/>
      <c r="AM8729" s="10"/>
      <c r="AN8729" s="10"/>
      <c r="AO8729" s="10"/>
      <c r="AP8729" s="10"/>
      <c r="AQ8729" s="10"/>
      <c r="AR8729" s="10"/>
      <c r="AS8729" s="10"/>
      <c r="AT8729" s="10"/>
      <c r="AU8729" s="10"/>
      <c r="AV8729" s="10"/>
      <c r="AW8729" s="10"/>
      <c r="AX8729" s="10"/>
      <c r="AY8729" s="10"/>
      <c r="AZ8729" s="10"/>
    </row>
    <row r="8730" spans="31:52">
      <c r="AE8730" s="10"/>
      <c r="AF8730" s="10"/>
      <c r="AG8730" s="10"/>
      <c r="AH8730" s="10"/>
      <c r="AI8730" s="10"/>
      <c r="AJ8730" s="10"/>
      <c r="AK8730" s="10"/>
      <c r="AL8730" s="10"/>
      <c r="AM8730" s="10"/>
      <c r="AN8730" s="10"/>
      <c r="AO8730" s="10"/>
      <c r="AP8730" s="10"/>
      <c r="AQ8730" s="10"/>
      <c r="AR8730" s="10"/>
      <c r="AS8730" s="10"/>
      <c r="AT8730" s="10"/>
      <c r="AU8730" s="10"/>
      <c r="AV8730" s="10"/>
      <c r="AW8730" s="10"/>
      <c r="AX8730" s="10"/>
      <c r="AY8730" s="10"/>
      <c r="AZ8730" s="10"/>
    </row>
    <row r="8731" spans="31:52">
      <c r="AE8731" s="10"/>
      <c r="AF8731" s="10"/>
      <c r="AG8731" s="10"/>
      <c r="AH8731" s="10"/>
      <c r="AI8731" s="10"/>
      <c r="AJ8731" s="10"/>
      <c r="AK8731" s="10"/>
      <c r="AL8731" s="10"/>
      <c r="AM8731" s="10"/>
      <c r="AN8731" s="10"/>
      <c r="AO8731" s="10"/>
      <c r="AP8731" s="10"/>
      <c r="AQ8731" s="10"/>
      <c r="AR8731" s="10"/>
      <c r="AS8731" s="10"/>
      <c r="AT8731" s="10"/>
      <c r="AU8731" s="10"/>
      <c r="AV8731" s="10"/>
      <c r="AW8731" s="10"/>
      <c r="AX8731" s="10"/>
      <c r="AY8731" s="10"/>
      <c r="AZ8731" s="10"/>
    </row>
    <row r="8732" spans="31:52">
      <c r="AE8732" s="10"/>
      <c r="AF8732" s="10"/>
      <c r="AG8732" s="10"/>
      <c r="AH8732" s="10"/>
      <c r="AI8732" s="10"/>
      <c r="AJ8732" s="10"/>
      <c r="AK8732" s="10"/>
      <c r="AL8732" s="10"/>
      <c r="AM8732" s="10"/>
      <c r="AN8732" s="10"/>
      <c r="AO8732" s="10"/>
      <c r="AP8732" s="10"/>
      <c r="AQ8732" s="10"/>
      <c r="AR8732" s="10"/>
      <c r="AS8732" s="10"/>
      <c r="AT8732" s="10"/>
      <c r="AU8732" s="10"/>
      <c r="AV8732" s="10"/>
      <c r="AW8732" s="10"/>
      <c r="AX8732" s="10"/>
      <c r="AY8732" s="10"/>
      <c r="AZ8732" s="10"/>
    </row>
    <row r="8733" spans="31:52">
      <c r="AE8733" s="10"/>
      <c r="AF8733" s="10"/>
      <c r="AG8733" s="10"/>
      <c r="AH8733" s="10"/>
      <c r="AI8733" s="10"/>
      <c r="AJ8733" s="10"/>
      <c r="AK8733" s="10"/>
      <c r="AL8733" s="10"/>
      <c r="AM8733" s="10"/>
      <c r="AN8733" s="10"/>
      <c r="AO8733" s="10"/>
      <c r="AP8733" s="10"/>
      <c r="AQ8733" s="10"/>
      <c r="AR8733" s="10"/>
      <c r="AS8733" s="10"/>
      <c r="AT8733" s="10"/>
      <c r="AU8733" s="10"/>
      <c r="AV8733" s="10"/>
      <c r="AW8733" s="10"/>
      <c r="AX8733" s="10"/>
      <c r="AY8733" s="10"/>
      <c r="AZ8733" s="10"/>
    </row>
    <row r="8734" spans="31:52">
      <c r="AE8734" s="10"/>
      <c r="AF8734" s="10"/>
      <c r="AG8734" s="10"/>
      <c r="AH8734" s="10"/>
      <c r="AI8734" s="10"/>
      <c r="AJ8734" s="10"/>
      <c r="AK8734" s="10"/>
      <c r="AL8734" s="10"/>
      <c r="AM8734" s="10"/>
      <c r="AN8734" s="10"/>
      <c r="AO8734" s="10"/>
      <c r="AP8734" s="10"/>
      <c r="AQ8734" s="10"/>
      <c r="AR8734" s="10"/>
      <c r="AS8734" s="10"/>
      <c r="AT8734" s="10"/>
      <c r="AU8734" s="10"/>
      <c r="AV8734" s="10"/>
      <c r="AW8734" s="10"/>
      <c r="AX8734" s="10"/>
      <c r="AY8734" s="10"/>
      <c r="AZ8734" s="10"/>
    </row>
    <row r="8735" spans="31:52">
      <c r="AE8735" s="10"/>
      <c r="AF8735" s="10"/>
      <c r="AG8735" s="10"/>
      <c r="AH8735" s="10"/>
      <c r="AI8735" s="10"/>
      <c r="AJ8735" s="10"/>
      <c r="AK8735" s="10"/>
      <c r="AL8735" s="10"/>
      <c r="AM8735" s="10"/>
      <c r="AN8735" s="10"/>
      <c r="AO8735" s="10"/>
      <c r="AP8735" s="10"/>
      <c r="AQ8735" s="10"/>
      <c r="AR8735" s="10"/>
      <c r="AS8735" s="10"/>
      <c r="AT8735" s="10"/>
      <c r="AU8735" s="10"/>
      <c r="AV8735" s="10"/>
      <c r="AW8735" s="10"/>
      <c r="AX8735" s="10"/>
      <c r="AY8735" s="10"/>
      <c r="AZ8735" s="10"/>
    </row>
    <row r="8736" spans="31:52">
      <c r="AE8736" s="10"/>
      <c r="AF8736" s="10"/>
      <c r="AG8736" s="10"/>
      <c r="AH8736" s="10"/>
      <c r="AI8736" s="10"/>
      <c r="AJ8736" s="10"/>
      <c r="AK8736" s="10"/>
      <c r="AL8736" s="10"/>
      <c r="AM8736" s="10"/>
      <c r="AN8736" s="10"/>
      <c r="AO8736" s="10"/>
      <c r="AP8736" s="10"/>
      <c r="AQ8736" s="10"/>
      <c r="AR8736" s="10"/>
      <c r="AS8736" s="10"/>
      <c r="AT8736" s="10"/>
      <c r="AU8736" s="10"/>
      <c r="AV8736" s="10"/>
      <c r="AW8736" s="10"/>
      <c r="AX8736" s="10"/>
      <c r="AY8736" s="10"/>
      <c r="AZ8736" s="10"/>
    </row>
    <row r="8737" spans="31:52">
      <c r="AE8737" s="10"/>
      <c r="AF8737" s="10"/>
      <c r="AG8737" s="10"/>
      <c r="AH8737" s="10"/>
      <c r="AI8737" s="10"/>
      <c r="AJ8737" s="10"/>
      <c r="AK8737" s="10"/>
      <c r="AL8737" s="10"/>
      <c r="AM8737" s="10"/>
      <c r="AN8737" s="10"/>
      <c r="AO8737" s="10"/>
      <c r="AP8737" s="10"/>
      <c r="AQ8737" s="10"/>
      <c r="AR8737" s="10"/>
      <c r="AS8737" s="10"/>
      <c r="AT8737" s="10"/>
      <c r="AU8737" s="10"/>
      <c r="AV8737" s="10"/>
      <c r="AW8737" s="10"/>
      <c r="AX8737" s="10"/>
      <c r="AY8737" s="10"/>
      <c r="AZ8737" s="10"/>
    </row>
    <row r="8738" spans="31:52">
      <c r="AE8738" s="10"/>
      <c r="AF8738" s="10"/>
      <c r="AG8738" s="10"/>
      <c r="AH8738" s="10"/>
      <c r="AI8738" s="10"/>
      <c r="AJ8738" s="10"/>
      <c r="AK8738" s="10"/>
      <c r="AL8738" s="10"/>
      <c r="AM8738" s="10"/>
      <c r="AN8738" s="10"/>
      <c r="AO8738" s="10"/>
      <c r="AP8738" s="10"/>
      <c r="AQ8738" s="10"/>
      <c r="AR8738" s="10"/>
      <c r="AS8738" s="10"/>
      <c r="AT8738" s="10"/>
      <c r="AU8738" s="10"/>
      <c r="AV8738" s="10"/>
      <c r="AW8738" s="10"/>
      <c r="AX8738" s="10"/>
      <c r="AY8738" s="10"/>
      <c r="AZ8738" s="10"/>
    </row>
    <row r="8739" spans="31:52">
      <c r="AE8739" s="10"/>
      <c r="AF8739" s="10"/>
      <c r="AG8739" s="10"/>
      <c r="AH8739" s="10"/>
      <c r="AI8739" s="10"/>
      <c r="AJ8739" s="10"/>
      <c r="AK8739" s="10"/>
      <c r="AL8739" s="10"/>
      <c r="AM8739" s="10"/>
      <c r="AN8739" s="10"/>
      <c r="AO8739" s="10"/>
      <c r="AP8739" s="10"/>
      <c r="AQ8739" s="10"/>
      <c r="AR8739" s="10"/>
      <c r="AS8739" s="10"/>
      <c r="AT8739" s="10"/>
      <c r="AU8739" s="10"/>
      <c r="AV8739" s="10"/>
      <c r="AW8739" s="10"/>
      <c r="AX8739" s="10"/>
      <c r="AY8739" s="10"/>
      <c r="AZ8739" s="10"/>
    </row>
    <row r="8740" spans="31:52">
      <c r="AE8740" s="10"/>
      <c r="AF8740" s="10"/>
      <c r="AG8740" s="10"/>
      <c r="AH8740" s="10"/>
      <c r="AI8740" s="10"/>
      <c r="AJ8740" s="10"/>
      <c r="AK8740" s="10"/>
      <c r="AL8740" s="10"/>
      <c r="AM8740" s="10"/>
      <c r="AN8740" s="10"/>
      <c r="AO8740" s="10"/>
      <c r="AP8740" s="10"/>
      <c r="AQ8740" s="10"/>
      <c r="AR8740" s="10"/>
      <c r="AS8740" s="10"/>
      <c r="AT8740" s="10"/>
      <c r="AU8740" s="10"/>
      <c r="AV8740" s="10"/>
      <c r="AW8740" s="10"/>
      <c r="AX8740" s="10"/>
      <c r="AY8740" s="10"/>
      <c r="AZ8740" s="10"/>
    </row>
    <row r="8741" spans="31:52">
      <c r="AE8741" s="10"/>
      <c r="AF8741" s="10"/>
      <c r="AG8741" s="10"/>
      <c r="AH8741" s="10"/>
      <c r="AI8741" s="10"/>
      <c r="AJ8741" s="10"/>
      <c r="AK8741" s="10"/>
      <c r="AL8741" s="10"/>
      <c r="AM8741" s="10"/>
      <c r="AN8741" s="10"/>
      <c r="AO8741" s="10"/>
      <c r="AP8741" s="10"/>
      <c r="AQ8741" s="10"/>
      <c r="AR8741" s="10"/>
      <c r="AS8741" s="10"/>
      <c r="AT8741" s="10"/>
      <c r="AU8741" s="10"/>
      <c r="AV8741" s="10"/>
      <c r="AW8741" s="10"/>
      <c r="AX8741" s="10"/>
      <c r="AY8741" s="10"/>
      <c r="AZ8741" s="10"/>
    </row>
    <row r="8742" spans="31:52">
      <c r="AE8742" s="10"/>
      <c r="AF8742" s="10"/>
      <c r="AG8742" s="10"/>
      <c r="AH8742" s="10"/>
      <c r="AI8742" s="10"/>
      <c r="AJ8742" s="10"/>
      <c r="AK8742" s="10"/>
      <c r="AL8742" s="10"/>
      <c r="AM8742" s="10"/>
      <c r="AN8742" s="10"/>
      <c r="AO8742" s="10"/>
      <c r="AP8742" s="10"/>
      <c r="AQ8742" s="10"/>
      <c r="AR8742" s="10"/>
      <c r="AS8742" s="10"/>
      <c r="AT8742" s="10"/>
      <c r="AU8742" s="10"/>
      <c r="AV8742" s="10"/>
      <c r="AW8742" s="10"/>
      <c r="AX8742" s="10"/>
      <c r="AY8742" s="10"/>
      <c r="AZ8742" s="10"/>
    </row>
    <row r="8743" spans="31:52">
      <c r="AE8743" s="10"/>
      <c r="AF8743" s="10"/>
      <c r="AG8743" s="10"/>
      <c r="AH8743" s="10"/>
      <c r="AI8743" s="10"/>
      <c r="AJ8743" s="10"/>
      <c r="AK8743" s="10"/>
      <c r="AL8743" s="10"/>
      <c r="AM8743" s="10"/>
      <c r="AN8743" s="10"/>
      <c r="AO8743" s="10"/>
      <c r="AP8743" s="10"/>
      <c r="AQ8743" s="10"/>
      <c r="AR8743" s="10"/>
      <c r="AS8743" s="10"/>
      <c r="AT8743" s="10"/>
      <c r="AU8743" s="10"/>
      <c r="AV8743" s="10"/>
      <c r="AW8743" s="10"/>
      <c r="AX8743" s="10"/>
      <c r="AY8743" s="10"/>
      <c r="AZ8743" s="10"/>
    </row>
    <row r="8744" spans="31:52">
      <c r="AE8744" s="10"/>
      <c r="AF8744" s="10"/>
      <c r="AG8744" s="10"/>
      <c r="AH8744" s="10"/>
      <c r="AI8744" s="10"/>
      <c r="AJ8744" s="10"/>
      <c r="AK8744" s="10"/>
      <c r="AL8744" s="10"/>
      <c r="AM8744" s="10"/>
      <c r="AN8744" s="10"/>
      <c r="AO8744" s="10"/>
      <c r="AP8744" s="10"/>
      <c r="AQ8744" s="10"/>
      <c r="AR8744" s="10"/>
      <c r="AS8744" s="10"/>
      <c r="AT8744" s="10"/>
      <c r="AU8744" s="10"/>
      <c r="AV8744" s="10"/>
      <c r="AW8744" s="10"/>
      <c r="AX8744" s="10"/>
      <c r="AY8744" s="10"/>
      <c r="AZ8744" s="10"/>
    </row>
    <row r="8745" spans="31:52">
      <c r="AE8745" s="10"/>
      <c r="AF8745" s="10"/>
      <c r="AG8745" s="10"/>
      <c r="AH8745" s="10"/>
      <c r="AI8745" s="10"/>
      <c r="AJ8745" s="10"/>
      <c r="AK8745" s="10"/>
      <c r="AL8745" s="10"/>
      <c r="AM8745" s="10"/>
      <c r="AN8745" s="10"/>
      <c r="AO8745" s="10"/>
      <c r="AP8745" s="10"/>
      <c r="AQ8745" s="10"/>
      <c r="AR8745" s="10"/>
      <c r="AS8745" s="10"/>
      <c r="AT8745" s="10"/>
      <c r="AU8745" s="10"/>
      <c r="AV8745" s="10"/>
      <c r="AW8745" s="10"/>
      <c r="AX8745" s="10"/>
      <c r="AY8745" s="10"/>
      <c r="AZ8745" s="10"/>
    </row>
    <row r="8746" spans="31:52">
      <c r="AE8746" s="10"/>
      <c r="AF8746" s="10"/>
      <c r="AG8746" s="10"/>
      <c r="AH8746" s="10"/>
      <c r="AI8746" s="10"/>
      <c r="AJ8746" s="10"/>
      <c r="AK8746" s="10"/>
      <c r="AL8746" s="10"/>
      <c r="AM8746" s="10"/>
      <c r="AN8746" s="10"/>
      <c r="AO8746" s="10"/>
      <c r="AP8746" s="10"/>
      <c r="AQ8746" s="10"/>
      <c r="AR8746" s="10"/>
      <c r="AS8746" s="10"/>
      <c r="AT8746" s="10"/>
      <c r="AU8746" s="10"/>
      <c r="AV8746" s="10"/>
      <c r="AW8746" s="10"/>
      <c r="AX8746" s="10"/>
      <c r="AY8746" s="10"/>
      <c r="AZ8746" s="10"/>
    </row>
    <row r="8747" spans="31:52">
      <c r="AE8747" s="10"/>
      <c r="AF8747" s="10"/>
      <c r="AG8747" s="10"/>
      <c r="AH8747" s="10"/>
      <c r="AI8747" s="10"/>
      <c r="AJ8747" s="10"/>
      <c r="AK8747" s="10"/>
      <c r="AL8747" s="10"/>
      <c r="AM8747" s="10"/>
      <c r="AN8747" s="10"/>
      <c r="AO8747" s="10"/>
      <c r="AP8747" s="10"/>
      <c r="AQ8747" s="10"/>
      <c r="AR8747" s="10"/>
      <c r="AS8747" s="10"/>
      <c r="AT8747" s="10"/>
      <c r="AU8747" s="10"/>
      <c r="AV8747" s="10"/>
      <c r="AW8747" s="10"/>
      <c r="AX8747" s="10"/>
      <c r="AY8747" s="10"/>
      <c r="AZ8747" s="10"/>
    </row>
    <row r="8748" spans="31:52">
      <c r="AE8748" s="10"/>
      <c r="AF8748" s="10"/>
      <c r="AG8748" s="10"/>
      <c r="AH8748" s="10"/>
      <c r="AI8748" s="10"/>
      <c r="AJ8748" s="10"/>
      <c r="AK8748" s="10"/>
      <c r="AL8748" s="10"/>
      <c r="AM8748" s="10"/>
      <c r="AN8748" s="10"/>
      <c r="AO8748" s="10"/>
      <c r="AP8748" s="10"/>
      <c r="AQ8748" s="10"/>
      <c r="AR8748" s="10"/>
      <c r="AS8748" s="10"/>
      <c r="AT8748" s="10"/>
      <c r="AU8748" s="10"/>
      <c r="AV8748" s="10"/>
      <c r="AW8748" s="10"/>
      <c r="AX8748" s="10"/>
      <c r="AY8748" s="10"/>
      <c r="AZ8748" s="10"/>
    </row>
    <row r="8749" spans="31:52">
      <c r="AE8749" s="10"/>
      <c r="AF8749" s="10"/>
      <c r="AG8749" s="10"/>
      <c r="AH8749" s="10"/>
      <c r="AI8749" s="10"/>
      <c r="AJ8749" s="10"/>
      <c r="AK8749" s="10"/>
      <c r="AL8749" s="10"/>
      <c r="AM8749" s="10"/>
      <c r="AN8749" s="10"/>
      <c r="AO8749" s="10"/>
      <c r="AP8749" s="10"/>
      <c r="AQ8749" s="10"/>
      <c r="AR8749" s="10"/>
      <c r="AS8749" s="10"/>
      <c r="AT8749" s="10"/>
      <c r="AU8749" s="10"/>
      <c r="AV8749" s="10"/>
      <c r="AW8749" s="10"/>
      <c r="AX8749" s="10"/>
      <c r="AY8749" s="10"/>
      <c r="AZ8749" s="10"/>
    </row>
    <row r="8750" spans="31:52">
      <c r="AE8750" s="10"/>
      <c r="AF8750" s="10"/>
      <c r="AG8750" s="10"/>
      <c r="AH8750" s="10"/>
      <c r="AI8750" s="10"/>
      <c r="AJ8750" s="10"/>
      <c r="AK8750" s="10"/>
      <c r="AL8750" s="10"/>
      <c r="AM8750" s="10"/>
      <c r="AN8750" s="10"/>
      <c r="AO8750" s="10"/>
      <c r="AP8750" s="10"/>
      <c r="AQ8750" s="10"/>
      <c r="AR8750" s="10"/>
      <c r="AS8750" s="10"/>
      <c r="AT8750" s="10"/>
      <c r="AU8750" s="10"/>
      <c r="AV8750" s="10"/>
      <c r="AW8750" s="10"/>
      <c r="AX8750" s="10"/>
      <c r="AY8750" s="10"/>
      <c r="AZ8750" s="10"/>
    </row>
    <row r="8751" spans="31:52">
      <c r="AE8751" s="10"/>
      <c r="AF8751" s="10"/>
      <c r="AG8751" s="10"/>
      <c r="AH8751" s="10"/>
      <c r="AI8751" s="10"/>
      <c r="AJ8751" s="10"/>
      <c r="AK8751" s="10"/>
      <c r="AL8751" s="10"/>
      <c r="AM8751" s="10"/>
      <c r="AN8751" s="10"/>
      <c r="AO8751" s="10"/>
      <c r="AP8751" s="10"/>
      <c r="AQ8751" s="10"/>
      <c r="AR8751" s="10"/>
      <c r="AS8751" s="10"/>
      <c r="AT8751" s="10"/>
      <c r="AU8751" s="10"/>
      <c r="AV8751" s="10"/>
      <c r="AW8751" s="10"/>
      <c r="AX8751" s="10"/>
      <c r="AY8751" s="10"/>
      <c r="AZ8751" s="10"/>
    </row>
    <row r="8752" spans="31:52">
      <c r="AE8752" s="10"/>
      <c r="AF8752" s="10"/>
      <c r="AG8752" s="10"/>
      <c r="AH8752" s="10"/>
      <c r="AI8752" s="10"/>
      <c r="AJ8752" s="10"/>
      <c r="AK8752" s="10"/>
      <c r="AL8752" s="10"/>
      <c r="AM8752" s="10"/>
      <c r="AN8752" s="10"/>
      <c r="AO8752" s="10"/>
      <c r="AP8752" s="10"/>
      <c r="AQ8752" s="10"/>
      <c r="AR8752" s="10"/>
      <c r="AS8752" s="10"/>
      <c r="AT8752" s="10"/>
      <c r="AU8752" s="10"/>
      <c r="AV8752" s="10"/>
      <c r="AW8752" s="10"/>
      <c r="AX8752" s="10"/>
      <c r="AY8752" s="10"/>
      <c r="AZ8752" s="10"/>
    </row>
    <row r="8753" spans="31:52">
      <c r="AE8753" s="10"/>
      <c r="AF8753" s="10"/>
      <c r="AG8753" s="10"/>
      <c r="AH8753" s="10"/>
      <c r="AI8753" s="10"/>
      <c r="AJ8753" s="10"/>
      <c r="AK8753" s="10"/>
      <c r="AL8753" s="10"/>
      <c r="AM8753" s="10"/>
      <c r="AN8753" s="10"/>
      <c r="AO8753" s="10"/>
      <c r="AP8753" s="10"/>
      <c r="AQ8753" s="10"/>
      <c r="AR8753" s="10"/>
      <c r="AS8753" s="10"/>
      <c r="AT8753" s="10"/>
      <c r="AU8753" s="10"/>
      <c r="AV8753" s="10"/>
      <c r="AW8753" s="10"/>
      <c r="AX8753" s="10"/>
      <c r="AY8753" s="10"/>
      <c r="AZ8753" s="10"/>
    </row>
    <row r="8754" spans="31:52">
      <c r="AE8754" s="10"/>
      <c r="AF8754" s="10"/>
      <c r="AG8754" s="10"/>
      <c r="AH8754" s="10"/>
      <c r="AI8754" s="10"/>
      <c r="AJ8754" s="10"/>
      <c r="AK8754" s="10"/>
      <c r="AL8754" s="10"/>
      <c r="AM8754" s="10"/>
      <c r="AN8754" s="10"/>
      <c r="AO8754" s="10"/>
      <c r="AP8754" s="10"/>
      <c r="AQ8754" s="10"/>
      <c r="AR8754" s="10"/>
      <c r="AS8754" s="10"/>
      <c r="AT8754" s="10"/>
      <c r="AU8754" s="10"/>
      <c r="AV8754" s="10"/>
      <c r="AW8754" s="10"/>
      <c r="AX8754" s="10"/>
      <c r="AY8754" s="10"/>
      <c r="AZ8754" s="10"/>
    </row>
    <row r="8755" spans="31:52">
      <c r="AE8755" s="10"/>
      <c r="AF8755" s="10"/>
      <c r="AG8755" s="10"/>
      <c r="AH8755" s="10"/>
      <c r="AI8755" s="10"/>
      <c r="AJ8755" s="10"/>
      <c r="AK8755" s="10"/>
      <c r="AL8755" s="10"/>
      <c r="AM8755" s="10"/>
      <c r="AN8755" s="10"/>
      <c r="AO8755" s="10"/>
      <c r="AP8755" s="10"/>
      <c r="AQ8755" s="10"/>
      <c r="AR8755" s="10"/>
      <c r="AS8755" s="10"/>
      <c r="AT8755" s="10"/>
      <c r="AU8755" s="10"/>
      <c r="AV8755" s="10"/>
      <c r="AW8755" s="10"/>
      <c r="AX8755" s="10"/>
      <c r="AY8755" s="10"/>
      <c r="AZ8755" s="10"/>
    </row>
    <row r="8756" spans="31:52">
      <c r="AE8756" s="10"/>
      <c r="AF8756" s="10"/>
      <c r="AG8756" s="10"/>
      <c r="AH8756" s="10"/>
      <c r="AI8756" s="10"/>
      <c r="AJ8756" s="10"/>
      <c r="AK8756" s="10"/>
      <c r="AL8756" s="10"/>
      <c r="AM8756" s="10"/>
      <c r="AN8756" s="10"/>
      <c r="AO8756" s="10"/>
      <c r="AP8756" s="10"/>
      <c r="AQ8756" s="10"/>
      <c r="AR8756" s="10"/>
      <c r="AS8756" s="10"/>
      <c r="AT8756" s="10"/>
      <c r="AU8756" s="10"/>
      <c r="AV8756" s="10"/>
      <c r="AW8756" s="10"/>
      <c r="AX8756" s="10"/>
      <c r="AY8756" s="10"/>
      <c r="AZ8756" s="10"/>
    </row>
    <row r="8757" spans="31:52">
      <c r="AE8757" s="10"/>
      <c r="AF8757" s="10"/>
      <c r="AG8757" s="10"/>
      <c r="AH8757" s="10"/>
      <c r="AI8757" s="10"/>
      <c r="AJ8757" s="10"/>
      <c r="AK8757" s="10"/>
      <c r="AL8757" s="10"/>
      <c r="AM8757" s="10"/>
      <c r="AN8757" s="10"/>
      <c r="AO8757" s="10"/>
      <c r="AP8757" s="10"/>
      <c r="AQ8757" s="10"/>
      <c r="AR8757" s="10"/>
      <c r="AS8757" s="10"/>
      <c r="AT8757" s="10"/>
      <c r="AU8757" s="10"/>
      <c r="AV8757" s="10"/>
      <c r="AW8757" s="10"/>
      <c r="AX8757" s="10"/>
      <c r="AY8757" s="10"/>
      <c r="AZ8757" s="10"/>
    </row>
    <row r="8758" spans="31:52">
      <c r="AE8758" s="10"/>
      <c r="AF8758" s="10"/>
      <c r="AG8758" s="10"/>
      <c r="AH8758" s="10"/>
      <c r="AI8758" s="10"/>
      <c r="AJ8758" s="10"/>
      <c r="AK8758" s="10"/>
      <c r="AL8758" s="10"/>
      <c r="AM8758" s="10"/>
      <c r="AN8758" s="10"/>
      <c r="AO8758" s="10"/>
      <c r="AP8758" s="10"/>
      <c r="AQ8758" s="10"/>
      <c r="AR8758" s="10"/>
      <c r="AS8758" s="10"/>
      <c r="AT8758" s="10"/>
      <c r="AU8758" s="10"/>
      <c r="AV8758" s="10"/>
      <c r="AW8758" s="10"/>
      <c r="AX8758" s="10"/>
      <c r="AY8758" s="10"/>
      <c r="AZ8758" s="10"/>
    </row>
    <row r="8759" spans="31:52">
      <c r="AE8759" s="10"/>
      <c r="AF8759" s="10"/>
      <c r="AG8759" s="10"/>
      <c r="AH8759" s="10"/>
      <c r="AI8759" s="10"/>
      <c r="AJ8759" s="10"/>
      <c r="AK8759" s="10"/>
      <c r="AL8759" s="10"/>
      <c r="AM8759" s="10"/>
      <c r="AN8759" s="10"/>
      <c r="AO8759" s="10"/>
      <c r="AP8759" s="10"/>
      <c r="AQ8759" s="10"/>
      <c r="AR8759" s="10"/>
      <c r="AS8759" s="10"/>
      <c r="AT8759" s="10"/>
      <c r="AU8759" s="10"/>
      <c r="AV8759" s="10"/>
      <c r="AW8759" s="10"/>
      <c r="AX8759" s="10"/>
      <c r="AY8759" s="10"/>
      <c r="AZ8759" s="10"/>
    </row>
    <row r="8760" spans="31:52">
      <c r="AE8760" s="10"/>
      <c r="AF8760" s="10"/>
      <c r="AG8760" s="10"/>
      <c r="AH8760" s="10"/>
      <c r="AI8760" s="10"/>
      <c r="AJ8760" s="10"/>
      <c r="AK8760" s="10"/>
      <c r="AL8760" s="10"/>
      <c r="AM8760" s="10"/>
      <c r="AN8760" s="10"/>
      <c r="AO8760" s="10"/>
      <c r="AP8760" s="10"/>
      <c r="AQ8760" s="10"/>
      <c r="AR8760" s="10"/>
      <c r="AS8760" s="10"/>
      <c r="AT8760" s="10"/>
      <c r="AU8760" s="10"/>
      <c r="AV8760" s="10"/>
      <c r="AW8760" s="10"/>
      <c r="AX8760" s="10"/>
      <c r="AY8760" s="10"/>
      <c r="AZ8760" s="10"/>
    </row>
    <row r="8761" spans="31:52">
      <c r="AE8761" s="10"/>
      <c r="AF8761" s="10"/>
      <c r="AG8761" s="10"/>
      <c r="AH8761" s="10"/>
      <c r="AI8761" s="10"/>
      <c r="AJ8761" s="10"/>
      <c r="AK8761" s="10"/>
      <c r="AL8761" s="10"/>
      <c r="AM8761" s="10"/>
      <c r="AN8761" s="10"/>
      <c r="AO8761" s="10"/>
      <c r="AP8761" s="10"/>
      <c r="AQ8761" s="10"/>
      <c r="AR8761" s="10"/>
      <c r="AS8761" s="10"/>
      <c r="AT8761" s="10"/>
      <c r="AU8761" s="10"/>
      <c r="AV8761" s="10"/>
      <c r="AW8761" s="10"/>
      <c r="AX8761" s="10"/>
      <c r="AY8761" s="10"/>
      <c r="AZ8761" s="10"/>
    </row>
    <row r="8762" spans="31:52">
      <c r="AE8762" s="10"/>
      <c r="AF8762" s="10"/>
      <c r="AG8762" s="10"/>
      <c r="AH8762" s="10"/>
      <c r="AI8762" s="10"/>
      <c r="AJ8762" s="10"/>
      <c r="AK8762" s="10"/>
      <c r="AL8762" s="10"/>
      <c r="AM8762" s="10"/>
      <c r="AN8762" s="10"/>
      <c r="AO8762" s="10"/>
      <c r="AP8762" s="10"/>
      <c r="AQ8762" s="10"/>
      <c r="AR8762" s="10"/>
      <c r="AS8762" s="10"/>
      <c r="AT8762" s="10"/>
      <c r="AU8762" s="10"/>
      <c r="AV8762" s="10"/>
      <c r="AW8762" s="10"/>
      <c r="AX8762" s="10"/>
      <c r="AY8762" s="10"/>
      <c r="AZ8762" s="10"/>
    </row>
    <row r="8763" spans="31:52">
      <c r="AE8763" s="10"/>
      <c r="AF8763" s="10"/>
      <c r="AG8763" s="10"/>
      <c r="AH8763" s="10"/>
      <c r="AI8763" s="10"/>
      <c r="AJ8763" s="10"/>
      <c r="AK8763" s="10"/>
      <c r="AL8763" s="10"/>
      <c r="AM8763" s="10"/>
      <c r="AN8763" s="10"/>
      <c r="AO8763" s="10"/>
      <c r="AP8763" s="10"/>
      <c r="AQ8763" s="10"/>
      <c r="AR8763" s="10"/>
      <c r="AS8763" s="10"/>
      <c r="AT8763" s="10"/>
      <c r="AU8763" s="10"/>
      <c r="AV8763" s="10"/>
      <c r="AW8763" s="10"/>
      <c r="AX8763" s="10"/>
      <c r="AY8763" s="10"/>
      <c r="AZ8763" s="10"/>
    </row>
    <row r="8764" spans="31:52">
      <c r="AE8764" s="10"/>
      <c r="AF8764" s="10"/>
      <c r="AG8764" s="10"/>
      <c r="AH8764" s="10"/>
      <c r="AI8764" s="10"/>
      <c r="AJ8764" s="10"/>
      <c r="AK8764" s="10"/>
      <c r="AL8764" s="10"/>
      <c r="AM8764" s="10"/>
      <c r="AN8764" s="10"/>
      <c r="AO8764" s="10"/>
      <c r="AP8764" s="10"/>
      <c r="AQ8764" s="10"/>
      <c r="AR8764" s="10"/>
      <c r="AS8764" s="10"/>
      <c r="AT8764" s="10"/>
      <c r="AU8764" s="10"/>
      <c r="AV8764" s="10"/>
      <c r="AW8764" s="10"/>
      <c r="AX8764" s="10"/>
      <c r="AY8764" s="10"/>
      <c r="AZ8764" s="10"/>
    </row>
    <row r="8765" spans="31:52">
      <c r="AE8765" s="10"/>
      <c r="AF8765" s="10"/>
      <c r="AG8765" s="10"/>
      <c r="AH8765" s="10"/>
      <c r="AI8765" s="10"/>
      <c r="AJ8765" s="10"/>
      <c r="AK8765" s="10"/>
      <c r="AL8765" s="10"/>
      <c r="AM8765" s="10"/>
      <c r="AN8765" s="10"/>
      <c r="AO8765" s="10"/>
      <c r="AP8765" s="10"/>
      <c r="AQ8765" s="10"/>
      <c r="AR8765" s="10"/>
      <c r="AS8765" s="10"/>
      <c r="AT8765" s="10"/>
      <c r="AU8765" s="10"/>
      <c r="AV8765" s="10"/>
      <c r="AW8765" s="10"/>
      <c r="AX8765" s="10"/>
      <c r="AY8765" s="10"/>
      <c r="AZ8765" s="10"/>
    </row>
    <row r="8766" spans="31:52">
      <c r="AE8766" s="10"/>
      <c r="AF8766" s="10"/>
      <c r="AG8766" s="10"/>
      <c r="AH8766" s="10"/>
      <c r="AI8766" s="10"/>
      <c r="AJ8766" s="10"/>
      <c r="AK8766" s="10"/>
      <c r="AL8766" s="10"/>
      <c r="AM8766" s="10"/>
      <c r="AN8766" s="10"/>
      <c r="AO8766" s="10"/>
      <c r="AP8766" s="10"/>
      <c r="AQ8766" s="10"/>
      <c r="AR8766" s="10"/>
      <c r="AS8766" s="10"/>
      <c r="AT8766" s="10"/>
      <c r="AU8766" s="10"/>
      <c r="AV8766" s="10"/>
      <c r="AW8766" s="10"/>
      <c r="AX8766" s="10"/>
      <c r="AY8766" s="10"/>
      <c r="AZ8766" s="10"/>
    </row>
    <row r="8767" spans="31:52">
      <c r="AE8767" s="10"/>
      <c r="AF8767" s="10"/>
      <c r="AG8767" s="10"/>
      <c r="AH8767" s="10"/>
      <c r="AI8767" s="10"/>
      <c r="AJ8767" s="10"/>
      <c r="AK8767" s="10"/>
      <c r="AL8767" s="10"/>
      <c r="AM8767" s="10"/>
      <c r="AN8767" s="10"/>
      <c r="AO8767" s="10"/>
      <c r="AP8767" s="10"/>
      <c r="AQ8767" s="10"/>
      <c r="AR8767" s="10"/>
      <c r="AS8767" s="10"/>
      <c r="AT8767" s="10"/>
      <c r="AU8767" s="10"/>
      <c r="AV8767" s="10"/>
      <c r="AW8767" s="10"/>
      <c r="AX8767" s="10"/>
      <c r="AY8767" s="10"/>
      <c r="AZ8767" s="10"/>
    </row>
    <row r="8768" spans="31:52">
      <c r="AE8768" s="10"/>
      <c r="AF8768" s="10"/>
      <c r="AG8768" s="10"/>
      <c r="AH8768" s="10"/>
      <c r="AI8768" s="10"/>
      <c r="AJ8768" s="10"/>
      <c r="AK8768" s="10"/>
      <c r="AL8768" s="10"/>
      <c r="AM8768" s="10"/>
      <c r="AN8768" s="10"/>
      <c r="AO8768" s="10"/>
      <c r="AP8768" s="10"/>
      <c r="AQ8768" s="10"/>
      <c r="AR8768" s="10"/>
      <c r="AS8768" s="10"/>
      <c r="AT8768" s="10"/>
      <c r="AU8768" s="10"/>
      <c r="AV8768" s="10"/>
      <c r="AW8768" s="10"/>
      <c r="AX8768" s="10"/>
      <c r="AY8768" s="10"/>
      <c r="AZ8768" s="10"/>
    </row>
    <row r="8769" spans="31:52">
      <c r="AE8769" s="10"/>
      <c r="AF8769" s="10"/>
      <c r="AG8769" s="10"/>
      <c r="AH8769" s="10"/>
      <c r="AI8769" s="10"/>
      <c r="AJ8769" s="10"/>
      <c r="AK8769" s="10"/>
      <c r="AL8769" s="10"/>
      <c r="AM8769" s="10"/>
      <c r="AN8769" s="10"/>
      <c r="AO8769" s="10"/>
      <c r="AP8769" s="10"/>
      <c r="AQ8769" s="10"/>
      <c r="AR8769" s="10"/>
      <c r="AS8769" s="10"/>
      <c r="AT8769" s="10"/>
      <c r="AU8769" s="10"/>
      <c r="AV8769" s="10"/>
      <c r="AW8769" s="10"/>
      <c r="AX8769" s="10"/>
      <c r="AY8769" s="10"/>
      <c r="AZ8769" s="10"/>
    </row>
    <row r="8770" spans="31:52">
      <c r="AE8770" s="10"/>
      <c r="AF8770" s="10"/>
      <c r="AG8770" s="10"/>
      <c r="AH8770" s="10"/>
      <c r="AI8770" s="10"/>
      <c r="AJ8770" s="10"/>
      <c r="AK8770" s="10"/>
      <c r="AL8770" s="10"/>
      <c r="AM8770" s="10"/>
      <c r="AN8770" s="10"/>
      <c r="AO8770" s="10"/>
      <c r="AP8770" s="10"/>
      <c r="AQ8770" s="10"/>
      <c r="AR8770" s="10"/>
      <c r="AS8770" s="10"/>
      <c r="AT8770" s="10"/>
      <c r="AU8770" s="10"/>
      <c r="AV8770" s="10"/>
      <c r="AW8770" s="10"/>
      <c r="AX8770" s="10"/>
      <c r="AY8770" s="10"/>
      <c r="AZ8770" s="10"/>
    </row>
    <row r="8771" spans="31:52">
      <c r="AE8771" s="10"/>
      <c r="AF8771" s="10"/>
      <c r="AG8771" s="10"/>
      <c r="AH8771" s="10"/>
      <c r="AI8771" s="10"/>
      <c r="AJ8771" s="10"/>
      <c r="AK8771" s="10"/>
      <c r="AL8771" s="10"/>
      <c r="AM8771" s="10"/>
      <c r="AN8771" s="10"/>
      <c r="AO8771" s="10"/>
      <c r="AP8771" s="10"/>
      <c r="AQ8771" s="10"/>
      <c r="AR8771" s="10"/>
      <c r="AS8771" s="10"/>
      <c r="AT8771" s="10"/>
      <c r="AU8771" s="10"/>
      <c r="AV8771" s="10"/>
      <c r="AW8771" s="10"/>
      <c r="AX8771" s="10"/>
      <c r="AY8771" s="10"/>
      <c r="AZ8771" s="10"/>
    </row>
    <row r="8772" spans="31:52">
      <c r="AE8772" s="10"/>
      <c r="AF8772" s="10"/>
      <c r="AG8772" s="10"/>
      <c r="AH8772" s="10"/>
      <c r="AI8772" s="10"/>
      <c r="AJ8772" s="10"/>
      <c r="AK8772" s="10"/>
      <c r="AL8772" s="10"/>
      <c r="AM8772" s="10"/>
      <c r="AN8772" s="10"/>
      <c r="AO8772" s="10"/>
      <c r="AP8772" s="10"/>
      <c r="AQ8772" s="10"/>
      <c r="AR8772" s="10"/>
      <c r="AS8772" s="10"/>
      <c r="AT8772" s="10"/>
      <c r="AU8772" s="10"/>
      <c r="AV8772" s="10"/>
      <c r="AW8772" s="10"/>
      <c r="AX8772" s="10"/>
      <c r="AY8772" s="10"/>
      <c r="AZ8772" s="10"/>
    </row>
    <row r="8773" spans="31:52">
      <c r="AE8773" s="10"/>
      <c r="AF8773" s="10"/>
      <c r="AG8773" s="10"/>
      <c r="AH8773" s="10"/>
      <c r="AI8773" s="10"/>
      <c r="AJ8773" s="10"/>
      <c r="AK8773" s="10"/>
      <c r="AL8773" s="10"/>
      <c r="AM8773" s="10"/>
      <c r="AN8773" s="10"/>
      <c r="AO8773" s="10"/>
      <c r="AP8773" s="10"/>
      <c r="AQ8773" s="10"/>
      <c r="AR8773" s="10"/>
      <c r="AS8773" s="10"/>
      <c r="AT8773" s="10"/>
      <c r="AU8773" s="10"/>
      <c r="AV8773" s="10"/>
      <c r="AW8773" s="10"/>
      <c r="AX8773" s="10"/>
      <c r="AY8773" s="10"/>
      <c r="AZ8773" s="10"/>
    </row>
    <row r="8774" spans="31:52">
      <c r="AE8774" s="10"/>
      <c r="AF8774" s="10"/>
      <c r="AG8774" s="10"/>
      <c r="AH8774" s="10"/>
      <c r="AI8774" s="10"/>
      <c r="AJ8774" s="10"/>
      <c r="AK8774" s="10"/>
      <c r="AL8774" s="10"/>
      <c r="AM8774" s="10"/>
      <c r="AN8774" s="10"/>
      <c r="AO8774" s="10"/>
      <c r="AP8774" s="10"/>
      <c r="AQ8774" s="10"/>
      <c r="AR8774" s="10"/>
      <c r="AS8774" s="10"/>
      <c r="AT8774" s="10"/>
      <c r="AU8774" s="10"/>
      <c r="AV8774" s="10"/>
      <c r="AW8774" s="10"/>
      <c r="AX8774" s="10"/>
      <c r="AY8774" s="10"/>
      <c r="AZ8774" s="10"/>
    </row>
    <row r="8775" spans="31:52">
      <c r="AE8775" s="10"/>
      <c r="AF8775" s="10"/>
      <c r="AG8775" s="10"/>
      <c r="AH8775" s="10"/>
      <c r="AI8775" s="10"/>
      <c r="AJ8775" s="10"/>
      <c r="AK8775" s="10"/>
      <c r="AL8775" s="10"/>
      <c r="AM8775" s="10"/>
      <c r="AN8775" s="10"/>
      <c r="AO8775" s="10"/>
      <c r="AP8775" s="10"/>
      <c r="AQ8775" s="10"/>
      <c r="AR8775" s="10"/>
      <c r="AS8775" s="10"/>
      <c r="AT8775" s="10"/>
      <c r="AU8775" s="10"/>
      <c r="AV8775" s="10"/>
      <c r="AW8775" s="10"/>
      <c r="AX8775" s="10"/>
      <c r="AY8775" s="10"/>
      <c r="AZ8775" s="10"/>
    </row>
    <row r="8776" spans="31:52">
      <c r="AE8776" s="10"/>
      <c r="AF8776" s="10"/>
      <c r="AG8776" s="10"/>
      <c r="AH8776" s="10"/>
      <c r="AI8776" s="10"/>
      <c r="AJ8776" s="10"/>
      <c r="AK8776" s="10"/>
      <c r="AL8776" s="10"/>
      <c r="AM8776" s="10"/>
      <c r="AN8776" s="10"/>
      <c r="AO8776" s="10"/>
      <c r="AP8776" s="10"/>
      <c r="AQ8776" s="10"/>
      <c r="AR8776" s="10"/>
      <c r="AS8776" s="10"/>
      <c r="AT8776" s="10"/>
      <c r="AU8776" s="10"/>
      <c r="AV8776" s="10"/>
      <c r="AW8776" s="10"/>
      <c r="AX8776" s="10"/>
      <c r="AY8776" s="10"/>
      <c r="AZ8776" s="10"/>
    </row>
    <row r="8777" spans="31:52">
      <c r="AE8777" s="10"/>
      <c r="AF8777" s="10"/>
      <c r="AG8777" s="10"/>
      <c r="AH8777" s="10"/>
      <c r="AI8777" s="10"/>
      <c r="AJ8777" s="10"/>
      <c r="AK8777" s="10"/>
      <c r="AL8777" s="10"/>
      <c r="AM8777" s="10"/>
      <c r="AN8777" s="10"/>
      <c r="AO8777" s="10"/>
      <c r="AP8777" s="10"/>
      <c r="AQ8777" s="10"/>
      <c r="AR8777" s="10"/>
      <c r="AS8777" s="10"/>
      <c r="AT8777" s="10"/>
      <c r="AU8777" s="10"/>
      <c r="AV8777" s="10"/>
      <c r="AW8777" s="10"/>
      <c r="AX8777" s="10"/>
      <c r="AY8777" s="10"/>
      <c r="AZ8777" s="10"/>
    </row>
    <row r="8778" spans="31:52">
      <c r="AE8778" s="10"/>
      <c r="AF8778" s="10"/>
      <c r="AG8778" s="10"/>
      <c r="AH8778" s="10"/>
      <c r="AI8778" s="10"/>
      <c r="AJ8778" s="10"/>
      <c r="AK8778" s="10"/>
      <c r="AL8778" s="10"/>
      <c r="AM8778" s="10"/>
      <c r="AN8778" s="10"/>
      <c r="AO8778" s="10"/>
      <c r="AP8778" s="10"/>
      <c r="AQ8778" s="10"/>
      <c r="AR8778" s="10"/>
      <c r="AS8778" s="10"/>
      <c r="AT8778" s="10"/>
      <c r="AU8778" s="10"/>
      <c r="AV8778" s="10"/>
      <c r="AW8778" s="10"/>
      <c r="AX8778" s="10"/>
      <c r="AY8778" s="10"/>
      <c r="AZ8778" s="10"/>
    </row>
    <row r="8779" spans="31:52">
      <c r="AE8779" s="10"/>
      <c r="AF8779" s="10"/>
      <c r="AG8779" s="10"/>
      <c r="AH8779" s="10"/>
      <c r="AI8779" s="10"/>
      <c r="AJ8779" s="10"/>
      <c r="AK8779" s="10"/>
      <c r="AL8779" s="10"/>
      <c r="AM8779" s="10"/>
      <c r="AN8779" s="10"/>
      <c r="AO8779" s="10"/>
      <c r="AP8779" s="10"/>
      <c r="AQ8779" s="10"/>
      <c r="AR8779" s="10"/>
      <c r="AS8779" s="10"/>
      <c r="AT8779" s="10"/>
      <c r="AU8779" s="10"/>
      <c r="AV8779" s="10"/>
      <c r="AW8779" s="10"/>
      <c r="AX8779" s="10"/>
      <c r="AY8779" s="10"/>
      <c r="AZ8779" s="10"/>
    </row>
    <row r="8780" spans="31:52">
      <c r="AE8780" s="10"/>
      <c r="AF8780" s="10"/>
      <c r="AG8780" s="10"/>
      <c r="AH8780" s="10"/>
      <c r="AI8780" s="10"/>
      <c r="AJ8780" s="10"/>
      <c r="AK8780" s="10"/>
      <c r="AL8780" s="10"/>
      <c r="AM8780" s="10"/>
      <c r="AN8780" s="10"/>
      <c r="AO8780" s="10"/>
      <c r="AP8780" s="10"/>
      <c r="AQ8780" s="10"/>
      <c r="AR8780" s="10"/>
      <c r="AS8780" s="10"/>
      <c r="AT8780" s="10"/>
      <c r="AU8780" s="10"/>
      <c r="AV8780" s="10"/>
      <c r="AW8780" s="10"/>
      <c r="AX8780" s="10"/>
      <c r="AY8780" s="10"/>
      <c r="AZ8780" s="10"/>
    </row>
    <row r="8781" spans="31:52">
      <c r="AE8781" s="10"/>
      <c r="AF8781" s="10"/>
      <c r="AG8781" s="10"/>
      <c r="AH8781" s="10"/>
      <c r="AI8781" s="10"/>
      <c r="AJ8781" s="10"/>
      <c r="AK8781" s="10"/>
      <c r="AL8781" s="10"/>
      <c r="AM8781" s="10"/>
      <c r="AN8781" s="10"/>
      <c r="AO8781" s="10"/>
      <c r="AP8781" s="10"/>
      <c r="AQ8781" s="10"/>
      <c r="AR8781" s="10"/>
      <c r="AS8781" s="10"/>
      <c r="AT8781" s="10"/>
      <c r="AU8781" s="10"/>
      <c r="AV8781" s="10"/>
      <c r="AW8781" s="10"/>
      <c r="AX8781" s="10"/>
      <c r="AY8781" s="10"/>
      <c r="AZ8781" s="10"/>
    </row>
    <row r="8782" spans="31:52">
      <c r="AE8782" s="10"/>
      <c r="AF8782" s="10"/>
      <c r="AG8782" s="10"/>
      <c r="AH8782" s="10"/>
      <c r="AI8782" s="10"/>
      <c r="AJ8782" s="10"/>
      <c r="AK8782" s="10"/>
      <c r="AL8782" s="10"/>
      <c r="AM8782" s="10"/>
      <c r="AN8782" s="10"/>
      <c r="AO8782" s="10"/>
      <c r="AP8782" s="10"/>
      <c r="AQ8782" s="10"/>
      <c r="AR8782" s="10"/>
      <c r="AS8782" s="10"/>
      <c r="AT8782" s="10"/>
      <c r="AU8782" s="10"/>
      <c r="AV8782" s="10"/>
      <c r="AW8782" s="10"/>
      <c r="AX8782" s="10"/>
      <c r="AY8782" s="10"/>
      <c r="AZ8782" s="10"/>
    </row>
    <row r="8783" spans="31:52">
      <c r="AE8783" s="10"/>
      <c r="AF8783" s="10"/>
      <c r="AG8783" s="10"/>
      <c r="AH8783" s="10"/>
      <c r="AI8783" s="10"/>
      <c r="AJ8783" s="10"/>
      <c r="AK8783" s="10"/>
      <c r="AL8783" s="10"/>
      <c r="AM8783" s="10"/>
      <c r="AN8783" s="10"/>
      <c r="AO8783" s="10"/>
      <c r="AP8783" s="10"/>
      <c r="AQ8783" s="10"/>
      <c r="AR8783" s="10"/>
      <c r="AS8783" s="10"/>
      <c r="AT8783" s="10"/>
      <c r="AU8783" s="10"/>
      <c r="AV8783" s="10"/>
      <c r="AW8783" s="10"/>
      <c r="AX8783" s="10"/>
      <c r="AY8783" s="10"/>
      <c r="AZ8783" s="10"/>
    </row>
    <row r="8784" spans="31:52">
      <c r="AE8784" s="10"/>
      <c r="AF8784" s="10"/>
      <c r="AG8784" s="10"/>
      <c r="AH8784" s="10"/>
      <c r="AI8784" s="10"/>
      <c r="AJ8784" s="10"/>
      <c r="AK8784" s="10"/>
      <c r="AL8784" s="10"/>
      <c r="AM8784" s="10"/>
      <c r="AN8784" s="10"/>
      <c r="AO8784" s="10"/>
      <c r="AP8784" s="10"/>
      <c r="AQ8784" s="10"/>
      <c r="AR8784" s="10"/>
      <c r="AS8784" s="10"/>
      <c r="AT8784" s="10"/>
      <c r="AU8784" s="10"/>
      <c r="AV8784" s="10"/>
      <c r="AW8784" s="10"/>
      <c r="AX8784" s="10"/>
      <c r="AY8784" s="10"/>
      <c r="AZ8784" s="10"/>
    </row>
    <row r="8785" spans="31:52">
      <c r="AE8785" s="10"/>
      <c r="AF8785" s="10"/>
      <c r="AG8785" s="10"/>
      <c r="AH8785" s="10"/>
      <c r="AI8785" s="10"/>
      <c r="AJ8785" s="10"/>
      <c r="AK8785" s="10"/>
      <c r="AL8785" s="10"/>
      <c r="AM8785" s="10"/>
      <c r="AN8785" s="10"/>
      <c r="AO8785" s="10"/>
      <c r="AP8785" s="10"/>
      <c r="AQ8785" s="10"/>
      <c r="AR8785" s="10"/>
      <c r="AS8785" s="10"/>
      <c r="AT8785" s="10"/>
      <c r="AU8785" s="10"/>
      <c r="AV8785" s="10"/>
      <c r="AW8785" s="10"/>
      <c r="AX8785" s="10"/>
      <c r="AY8785" s="10"/>
      <c r="AZ8785" s="10"/>
    </row>
    <row r="8786" spans="31:52">
      <c r="AE8786" s="10"/>
      <c r="AF8786" s="10"/>
      <c r="AG8786" s="10"/>
      <c r="AH8786" s="10"/>
      <c r="AI8786" s="10"/>
      <c r="AJ8786" s="10"/>
      <c r="AK8786" s="10"/>
      <c r="AL8786" s="10"/>
      <c r="AM8786" s="10"/>
      <c r="AN8786" s="10"/>
      <c r="AO8786" s="10"/>
      <c r="AP8786" s="10"/>
      <c r="AQ8786" s="10"/>
      <c r="AR8786" s="10"/>
      <c r="AS8786" s="10"/>
      <c r="AT8786" s="10"/>
      <c r="AU8786" s="10"/>
      <c r="AV8786" s="10"/>
      <c r="AW8786" s="10"/>
      <c r="AX8786" s="10"/>
      <c r="AY8786" s="10"/>
      <c r="AZ8786" s="10"/>
    </row>
    <row r="8787" spans="31:52">
      <c r="AE8787" s="10"/>
      <c r="AF8787" s="10"/>
      <c r="AG8787" s="10"/>
      <c r="AH8787" s="10"/>
      <c r="AI8787" s="10"/>
      <c r="AJ8787" s="10"/>
      <c r="AK8787" s="10"/>
      <c r="AL8787" s="10"/>
      <c r="AM8787" s="10"/>
      <c r="AN8787" s="10"/>
      <c r="AO8787" s="10"/>
      <c r="AP8787" s="10"/>
      <c r="AQ8787" s="10"/>
      <c r="AR8787" s="10"/>
      <c r="AS8787" s="10"/>
      <c r="AT8787" s="10"/>
      <c r="AU8787" s="10"/>
      <c r="AV8787" s="10"/>
      <c r="AW8787" s="10"/>
      <c r="AX8787" s="10"/>
      <c r="AY8787" s="10"/>
      <c r="AZ8787" s="10"/>
    </row>
    <row r="8788" spans="31:52">
      <c r="AE8788" s="10"/>
      <c r="AF8788" s="10"/>
      <c r="AG8788" s="10"/>
      <c r="AH8788" s="10"/>
      <c r="AI8788" s="10"/>
      <c r="AJ8788" s="10"/>
      <c r="AK8788" s="10"/>
      <c r="AL8788" s="10"/>
      <c r="AM8788" s="10"/>
      <c r="AN8788" s="10"/>
      <c r="AO8788" s="10"/>
      <c r="AP8788" s="10"/>
      <c r="AQ8788" s="10"/>
      <c r="AR8788" s="10"/>
      <c r="AS8788" s="10"/>
      <c r="AT8788" s="10"/>
      <c r="AU8788" s="10"/>
      <c r="AV8788" s="10"/>
      <c r="AW8788" s="10"/>
      <c r="AX8788" s="10"/>
      <c r="AY8788" s="10"/>
      <c r="AZ8788" s="10"/>
    </row>
    <row r="8789" spans="31:52">
      <c r="AE8789" s="10"/>
      <c r="AF8789" s="10"/>
      <c r="AG8789" s="10"/>
      <c r="AH8789" s="10"/>
      <c r="AI8789" s="10"/>
      <c r="AJ8789" s="10"/>
      <c r="AK8789" s="10"/>
      <c r="AL8789" s="10"/>
      <c r="AM8789" s="10"/>
      <c r="AN8789" s="10"/>
      <c r="AO8789" s="10"/>
      <c r="AP8789" s="10"/>
      <c r="AQ8789" s="10"/>
      <c r="AR8789" s="10"/>
      <c r="AS8789" s="10"/>
      <c r="AT8789" s="10"/>
      <c r="AU8789" s="10"/>
      <c r="AV8789" s="10"/>
      <c r="AW8789" s="10"/>
      <c r="AX8789" s="10"/>
      <c r="AY8789" s="10"/>
      <c r="AZ8789" s="10"/>
    </row>
    <row r="8790" spans="31:52">
      <c r="AE8790" s="10"/>
      <c r="AF8790" s="10"/>
      <c r="AG8790" s="10"/>
      <c r="AH8790" s="10"/>
      <c r="AI8790" s="10"/>
      <c r="AJ8790" s="10"/>
      <c r="AK8790" s="10"/>
      <c r="AL8790" s="10"/>
      <c r="AM8790" s="10"/>
      <c r="AN8790" s="10"/>
      <c r="AO8790" s="10"/>
      <c r="AP8790" s="10"/>
      <c r="AQ8790" s="10"/>
      <c r="AR8790" s="10"/>
      <c r="AS8790" s="10"/>
      <c r="AT8790" s="10"/>
      <c r="AU8790" s="10"/>
      <c r="AV8790" s="10"/>
      <c r="AW8790" s="10"/>
      <c r="AX8790" s="10"/>
      <c r="AY8790" s="10"/>
      <c r="AZ8790" s="10"/>
    </row>
    <row r="8791" spans="31:52">
      <c r="AE8791" s="10"/>
      <c r="AF8791" s="10"/>
      <c r="AG8791" s="10"/>
      <c r="AH8791" s="10"/>
      <c r="AI8791" s="10"/>
      <c r="AJ8791" s="10"/>
      <c r="AK8791" s="10"/>
      <c r="AL8791" s="10"/>
      <c r="AM8791" s="10"/>
      <c r="AN8791" s="10"/>
      <c r="AO8791" s="10"/>
      <c r="AP8791" s="10"/>
      <c r="AQ8791" s="10"/>
      <c r="AR8791" s="10"/>
      <c r="AS8791" s="10"/>
      <c r="AT8791" s="10"/>
      <c r="AU8791" s="10"/>
      <c r="AV8791" s="10"/>
      <c r="AW8791" s="10"/>
      <c r="AX8791" s="10"/>
      <c r="AY8791" s="10"/>
      <c r="AZ8791" s="10"/>
    </row>
    <row r="8792" spans="31:52">
      <c r="AE8792" s="10"/>
      <c r="AF8792" s="10"/>
      <c r="AG8792" s="10"/>
      <c r="AH8792" s="10"/>
      <c r="AI8792" s="10"/>
      <c r="AJ8792" s="10"/>
      <c r="AK8792" s="10"/>
      <c r="AL8792" s="10"/>
      <c r="AM8792" s="10"/>
      <c r="AN8792" s="10"/>
      <c r="AO8792" s="10"/>
      <c r="AP8792" s="10"/>
      <c r="AQ8792" s="10"/>
      <c r="AR8792" s="10"/>
      <c r="AS8792" s="10"/>
      <c r="AT8792" s="10"/>
      <c r="AU8792" s="10"/>
      <c r="AV8792" s="10"/>
      <c r="AW8792" s="10"/>
      <c r="AX8792" s="10"/>
      <c r="AY8792" s="10"/>
      <c r="AZ8792" s="10"/>
    </row>
    <row r="8793" spans="31:52">
      <c r="AE8793" s="10"/>
      <c r="AF8793" s="10"/>
      <c r="AG8793" s="10"/>
      <c r="AH8793" s="10"/>
      <c r="AI8793" s="10"/>
      <c r="AJ8793" s="10"/>
      <c r="AK8793" s="10"/>
      <c r="AL8793" s="10"/>
      <c r="AM8793" s="10"/>
      <c r="AN8793" s="10"/>
      <c r="AO8793" s="10"/>
      <c r="AP8793" s="10"/>
      <c r="AQ8793" s="10"/>
      <c r="AR8793" s="10"/>
      <c r="AS8793" s="10"/>
      <c r="AT8793" s="10"/>
      <c r="AU8793" s="10"/>
      <c r="AV8793" s="10"/>
      <c r="AW8793" s="10"/>
      <c r="AX8793" s="10"/>
      <c r="AY8793" s="10"/>
      <c r="AZ8793" s="10"/>
    </row>
    <row r="8794" spans="31:52">
      <c r="AE8794" s="10"/>
      <c r="AF8794" s="10"/>
      <c r="AG8794" s="10"/>
      <c r="AH8794" s="10"/>
      <c r="AI8794" s="10"/>
      <c r="AJ8794" s="10"/>
      <c r="AK8794" s="10"/>
      <c r="AL8794" s="10"/>
      <c r="AM8794" s="10"/>
      <c r="AN8794" s="10"/>
      <c r="AO8794" s="10"/>
      <c r="AP8794" s="10"/>
      <c r="AQ8794" s="10"/>
      <c r="AR8794" s="10"/>
      <c r="AS8794" s="10"/>
      <c r="AT8794" s="10"/>
      <c r="AU8794" s="10"/>
      <c r="AV8794" s="10"/>
      <c r="AW8794" s="10"/>
      <c r="AX8794" s="10"/>
      <c r="AY8794" s="10"/>
      <c r="AZ8794" s="10"/>
    </row>
    <row r="8795" spans="31:52">
      <c r="AE8795" s="10"/>
      <c r="AF8795" s="10"/>
      <c r="AG8795" s="10"/>
      <c r="AH8795" s="10"/>
      <c r="AI8795" s="10"/>
      <c r="AJ8795" s="10"/>
      <c r="AK8795" s="10"/>
      <c r="AL8795" s="10"/>
      <c r="AM8795" s="10"/>
      <c r="AN8795" s="10"/>
      <c r="AO8795" s="10"/>
      <c r="AP8795" s="10"/>
      <c r="AQ8795" s="10"/>
      <c r="AR8795" s="10"/>
      <c r="AS8795" s="10"/>
      <c r="AT8795" s="10"/>
      <c r="AU8795" s="10"/>
      <c r="AV8795" s="10"/>
      <c r="AW8795" s="10"/>
      <c r="AX8795" s="10"/>
      <c r="AY8795" s="10"/>
      <c r="AZ8795" s="10"/>
    </row>
    <row r="8796" spans="31:52">
      <c r="AE8796" s="10"/>
      <c r="AF8796" s="10"/>
      <c r="AG8796" s="10"/>
      <c r="AH8796" s="10"/>
      <c r="AI8796" s="10"/>
      <c r="AJ8796" s="10"/>
      <c r="AK8796" s="10"/>
      <c r="AL8796" s="10"/>
      <c r="AM8796" s="10"/>
      <c r="AN8796" s="10"/>
      <c r="AO8796" s="10"/>
      <c r="AP8796" s="10"/>
      <c r="AQ8796" s="10"/>
      <c r="AR8796" s="10"/>
      <c r="AS8796" s="10"/>
      <c r="AT8796" s="10"/>
      <c r="AU8796" s="10"/>
      <c r="AV8796" s="10"/>
      <c r="AW8796" s="10"/>
      <c r="AX8796" s="10"/>
      <c r="AY8796" s="10"/>
      <c r="AZ8796" s="10"/>
    </row>
    <row r="8797" spans="31:52">
      <c r="AE8797" s="10"/>
      <c r="AF8797" s="10"/>
      <c r="AG8797" s="10"/>
      <c r="AH8797" s="10"/>
      <c r="AI8797" s="10"/>
      <c r="AJ8797" s="10"/>
      <c r="AK8797" s="10"/>
      <c r="AL8797" s="10"/>
      <c r="AM8797" s="10"/>
      <c r="AN8797" s="10"/>
      <c r="AO8797" s="10"/>
      <c r="AP8797" s="10"/>
      <c r="AQ8797" s="10"/>
      <c r="AR8797" s="10"/>
      <c r="AS8797" s="10"/>
      <c r="AT8797" s="10"/>
      <c r="AU8797" s="10"/>
      <c r="AV8797" s="10"/>
      <c r="AW8797" s="10"/>
      <c r="AX8797" s="10"/>
      <c r="AY8797" s="10"/>
      <c r="AZ8797" s="10"/>
    </row>
    <row r="8798" spans="31:52">
      <c r="AE8798" s="10"/>
      <c r="AF8798" s="10"/>
      <c r="AG8798" s="10"/>
      <c r="AH8798" s="10"/>
      <c r="AI8798" s="10"/>
      <c r="AJ8798" s="10"/>
      <c r="AK8798" s="10"/>
      <c r="AL8798" s="10"/>
      <c r="AM8798" s="10"/>
      <c r="AN8798" s="10"/>
      <c r="AO8798" s="10"/>
      <c r="AP8798" s="10"/>
      <c r="AQ8798" s="10"/>
      <c r="AR8798" s="10"/>
      <c r="AS8798" s="10"/>
      <c r="AT8798" s="10"/>
      <c r="AU8798" s="10"/>
      <c r="AV8798" s="10"/>
      <c r="AW8798" s="10"/>
      <c r="AX8798" s="10"/>
      <c r="AY8798" s="10"/>
      <c r="AZ8798" s="10"/>
    </row>
    <row r="8799" spans="31:52">
      <c r="AE8799" s="10"/>
      <c r="AF8799" s="10"/>
      <c r="AG8799" s="10"/>
      <c r="AH8799" s="10"/>
      <c r="AI8799" s="10"/>
      <c r="AJ8799" s="10"/>
      <c r="AK8799" s="10"/>
      <c r="AL8799" s="10"/>
      <c r="AM8799" s="10"/>
      <c r="AN8799" s="10"/>
      <c r="AO8799" s="10"/>
      <c r="AP8799" s="10"/>
      <c r="AQ8799" s="10"/>
      <c r="AR8799" s="10"/>
      <c r="AS8799" s="10"/>
      <c r="AT8799" s="10"/>
      <c r="AU8799" s="10"/>
      <c r="AV8799" s="10"/>
      <c r="AW8799" s="10"/>
      <c r="AX8799" s="10"/>
      <c r="AY8799" s="10"/>
      <c r="AZ8799" s="10"/>
    </row>
    <row r="8800" spans="31:52">
      <c r="AE8800" s="10"/>
      <c r="AF8800" s="10"/>
      <c r="AG8800" s="10"/>
      <c r="AH8800" s="10"/>
      <c r="AI8800" s="10"/>
      <c r="AJ8800" s="10"/>
      <c r="AK8800" s="10"/>
      <c r="AL8800" s="10"/>
      <c r="AM8800" s="10"/>
      <c r="AN8800" s="10"/>
      <c r="AO8800" s="10"/>
      <c r="AP8800" s="10"/>
      <c r="AQ8800" s="10"/>
      <c r="AR8800" s="10"/>
      <c r="AS8800" s="10"/>
      <c r="AT8800" s="10"/>
      <c r="AU8800" s="10"/>
      <c r="AV8800" s="10"/>
      <c r="AW8800" s="10"/>
      <c r="AX8800" s="10"/>
      <c r="AY8800" s="10"/>
      <c r="AZ8800" s="10"/>
    </row>
    <row r="8801" spans="31:52">
      <c r="AE8801" s="10"/>
      <c r="AF8801" s="10"/>
      <c r="AG8801" s="10"/>
      <c r="AH8801" s="10"/>
      <c r="AI8801" s="10"/>
      <c r="AJ8801" s="10"/>
      <c r="AK8801" s="10"/>
      <c r="AL8801" s="10"/>
      <c r="AM8801" s="10"/>
      <c r="AN8801" s="10"/>
      <c r="AO8801" s="10"/>
      <c r="AP8801" s="10"/>
      <c r="AQ8801" s="10"/>
      <c r="AR8801" s="10"/>
      <c r="AS8801" s="10"/>
      <c r="AT8801" s="10"/>
      <c r="AU8801" s="10"/>
      <c r="AV8801" s="10"/>
      <c r="AW8801" s="10"/>
      <c r="AX8801" s="10"/>
      <c r="AY8801" s="10"/>
      <c r="AZ8801" s="10"/>
    </row>
    <row r="8802" spans="31:52">
      <c r="AE8802" s="10"/>
      <c r="AF8802" s="10"/>
      <c r="AG8802" s="10"/>
      <c r="AH8802" s="10"/>
      <c r="AI8802" s="10"/>
      <c r="AJ8802" s="10"/>
      <c r="AK8802" s="10"/>
      <c r="AL8802" s="10"/>
      <c r="AM8802" s="10"/>
      <c r="AN8802" s="10"/>
      <c r="AO8802" s="10"/>
      <c r="AP8802" s="10"/>
      <c r="AQ8802" s="10"/>
      <c r="AR8802" s="10"/>
      <c r="AS8802" s="10"/>
      <c r="AT8802" s="10"/>
      <c r="AU8802" s="10"/>
      <c r="AV8802" s="10"/>
      <c r="AW8802" s="10"/>
      <c r="AX8802" s="10"/>
      <c r="AY8802" s="10"/>
      <c r="AZ8802" s="10"/>
    </row>
    <row r="8803" spans="31:52">
      <c r="AE8803" s="10"/>
      <c r="AF8803" s="10"/>
      <c r="AG8803" s="10"/>
      <c r="AH8803" s="10"/>
      <c r="AI8803" s="10"/>
      <c r="AJ8803" s="10"/>
      <c r="AK8803" s="10"/>
      <c r="AL8803" s="10"/>
      <c r="AM8803" s="10"/>
      <c r="AN8803" s="10"/>
      <c r="AO8803" s="10"/>
      <c r="AP8803" s="10"/>
      <c r="AQ8803" s="10"/>
      <c r="AR8803" s="10"/>
      <c r="AS8803" s="10"/>
      <c r="AT8803" s="10"/>
      <c r="AU8803" s="10"/>
      <c r="AV8803" s="10"/>
      <c r="AW8803" s="10"/>
      <c r="AX8803" s="10"/>
      <c r="AY8803" s="10"/>
      <c r="AZ8803" s="10"/>
    </row>
    <row r="8804" spans="31:52">
      <c r="AE8804" s="10"/>
      <c r="AF8804" s="10"/>
      <c r="AG8804" s="10"/>
      <c r="AH8804" s="10"/>
      <c r="AI8804" s="10"/>
      <c r="AJ8804" s="10"/>
      <c r="AK8804" s="10"/>
      <c r="AL8804" s="10"/>
      <c r="AM8804" s="10"/>
      <c r="AN8804" s="10"/>
      <c r="AO8804" s="10"/>
      <c r="AP8804" s="10"/>
      <c r="AQ8804" s="10"/>
      <c r="AR8804" s="10"/>
      <c r="AS8804" s="10"/>
      <c r="AT8804" s="10"/>
      <c r="AU8804" s="10"/>
      <c r="AV8804" s="10"/>
      <c r="AW8804" s="10"/>
      <c r="AX8804" s="10"/>
      <c r="AY8804" s="10"/>
      <c r="AZ8804" s="10"/>
    </row>
    <row r="8805" spans="31:52">
      <c r="AE8805" s="10"/>
      <c r="AF8805" s="10"/>
      <c r="AG8805" s="10"/>
      <c r="AH8805" s="10"/>
      <c r="AI8805" s="10"/>
      <c r="AJ8805" s="10"/>
      <c r="AK8805" s="10"/>
      <c r="AL8805" s="10"/>
      <c r="AM8805" s="10"/>
      <c r="AN8805" s="10"/>
      <c r="AO8805" s="10"/>
      <c r="AP8805" s="10"/>
      <c r="AQ8805" s="10"/>
      <c r="AR8805" s="10"/>
      <c r="AS8805" s="10"/>
      <c r="AT8805" s="10"/>
      <c r="AU8805" s="10"/>
      <c r="AV8805" s="10"/>
      <c r="AW8805" s="10"/>
      <c r="AX8805" s="10"/>
      <c r="AY8805" s="10"/>
      <c r="AZ8805" s="10"/>
    </row>
    <row r="8806" spans="31:52">
      <c r="AE8806" s="10"/>
      <c r="AF8806" s="10"/>
      <c r="AG8806" s="10"/>
      <c r="AH8806" s="10"/>
      <c r="AI8806" s="10"/>
      <c r="AJ8806" s="10"/>
      <c r="AK8806" s="10"/>
      <c r="AL8806" s="10"/>
      <c r="AM8806" s="10"/>
      <c r="AN8806" s="10"/>
      <c r="AO8806" s="10"/>
      <c r="AP8806" s="10"/>
      <c r="AQ8806" s="10"/>
      <c r="AR8806" s="10"/>
      <c r="AS8806" s="10"/>
      <c r="AT8806" s="10"/>
      <c r="AU8806" s="10"/>
      <c r="AV8806" s="10"/>
      <c r="AW8806" s="10"/>
      <c r="AX8806" s="10"/>
      <c r="AY8806" s="10"/>
      <c r="AZ8806" s="10"/>
    </row>
    <row r="8807" spans="31:52">
      <c r="AE8807" s="10"/>
      <c r="AF8807" s="10"/>
      <c r="AG8807" s="10"/>
      <c r="AH8807" s="10"/>
      <c r="AI8807" s="10"/>
      <c r="AJ8807" s="10"/>
      <c r="AK8807" s="10"/>
      <c r="AL8807" s="10"/>
      <c r="AM8807" s="10"/>
      <c r="AN8807" s="10"/>
      <c r="AO8807" s="10"/>
      <c r="AP8807" s="10"/>
      <c r="AQ8807" s="10"/>
      <c r="AR8807" s="10"/>
      <c r="AS8807" s="10"/>
      <c r="AT8807" s="10"/>
      <c r="AU8807" s="10"/>
      <c r="AV8807" s="10"/>
      <c r="AW8807" s="10"/>
      <c r="AX8807" s="10"/>
      <c r="AY8807" s="10"/>
      <c r="AZ8807" s="10"/>
    </row>
    <row r="8808" spans="31:52">
      <c r="AE8808" s="10"/>
      <c r="AF8808" s="10"/>
      <c r="AG8808" s="10"/>
      <c r="AH8808" s="10"/>
      <c r="AI8808" s="10"/>
      <c r="AJ8808" s="10"/>
      <c r="AK8808" s="10"/>
      <c r="AL8808" s="10"/>
      <c r="AM8808" s="10"/>
      <c r="AN8808" s="10"/>
      <c r="AO8808" s="10"/>
      <c r="AP8808" s="10"/>
      <c r="AQ8808" s="10"/>
      <c r="AR8808" s="10"/>
      <c r="AS8808" s="10"/>
      <c r="AT8808" s="10"/>
      <c r="AU8808" s="10"/>
      <c r="AV8808" s="10"/>
      <c r="AW8808" s="10"/>
      <c r="AX8808" s="10"/>
      <c r="AY8808" s="10"/>
      <c r="AZ8808" s="10"/>
    </row>
    <row r="8809" spans="31:52">
      <c r="AE8809" s="10"/>
      <c r="AF8809" s="10"/>
      <c r="AG8809" s="10"/>
      <c r="AH8809" s="10"/>
      <c r="AI8809" s="10"/>
      <c r="AJ8809" s="10"/>
      <c r="AK8809" s="10"/>
      <c r="AL8809" s="10"/>
      <c r="AM8809" s="10"/>
      <c r="AN8809" s="10"/>
      <c r="AO8809" s="10"/>
      <c r="AP8809" s="10"/>
      <c r="AQ8809" s="10"/>
      <c r="AR8809" s="10"/>
      <c r="AS8809" s="10"/>
      <c r="AT8809" s="10"/>
      <c r="AU8809" s="10"/>
      <c r="AV8809" s="10"/>
      <c r="AW8809" s="10"/>
      <c r="AX8809" s="10"/>
      <c r="AY8809" s="10"/>
      <c r="AZ8809" s="10"/>
    </row>
    <row r="8810" spans="31:52">
      <c r="AE8810" s="10"/>
      <c r="AF8810" s="10"/>
      <c r="AG8810" s="10"/>
      <c r="AH8810" s="10"/>
      <c r="AI8810" s="10"/>
      <c r="AJ8810" s="10"/>
      <c r="AK8810" s="10"/>
      <c r="AL8810" s="10"/>
      <c r="AM8810" s="10"/>
      <c r="AN8810" s="10"/>
      <c r="AO8810" s="10"/>
      <c r="AP8810" s="10"/>
      <c r="AQ8810" s="10"/>
      <c r="AR8810" s="10"/>
      <c r="AS8810" s="10"/>
      <c r="AT8810" s="10"/>
      <c r="AU8810" s="10"/>
      <c r="AV8810" s="10"/>
      <c r="AW8810" s="10"/>
      <c r="AX8810" s="10"/>
      <c r="AY8810" s="10"/>
      <c r="AZ8810" s="10"/>
    </row>
    <row r="8811" spans="31:52">
      <c r="AE8811" s="10"/>
      <c r="AF8811" s="10"/>
      <c r="AG8811" s="10"/>
      <c r="AH8811" s="10"/>
      <c r="AI8811" s="10"/>
      <c r="AJ8811" s="10"/>
      <c r="AK8811" s="10"/>
      <c r="AL8811" s="10"/>
      <c r="AM8811" s="10"/>
      <c r="AN8811" s="10"/>
      <c r="AO8811" s="10"/>
      <c r="AP8811" s="10"/>
      <c r="AQ8811" s="10"/>
      <c r="AR8811" s="10"/>
      <c r="AS8811" s="10"/>
      <c r="AT8811" s="10"/>
      <c r="AU8811" s="10"/>
      <c r="AV8811" s="10"/>
      <c r="AW8811" s="10"/>
      <c r="AX8811" s="10"/>
      <c r="AY8811" s="10"/>
      <c r="AZ8811" s="10"/>
    </row>
    <row r="8812" spans="31:52">
      <c r="AE8812" s="10"/>
      <c r="AF8812" s="10"/>
      <c r="AG8812" s="10"/>
      <c r="AH8812" s="10"/>
      <c r="AI8812" s="10"/>
      <c r="AJ8812" s="10"/>
      <c r="AK8812" s="10"/>
      <c r="AL8812" s="10"/>
      <c r="AM8812" s="10"/>
      <c r="AN8812" s="10"/>
      <c r="AO8812" s="10"/>
      <c r="AP8812" s="10"/>
      <c r="AQ8812" s="10"/>
      <c r="AR8812" s="10"/>
      <c r="AS8812" s="10"/>
      <c r="AT8812" s="10"/>
      <c r="AU8812" s="10"/>
      <c r="AV8812" s="10"/>
      <c r="AW8812" s="10"/>
      <c r="AX8812" s="10"/>
      <c r="AY8812" s="10"/>
      <c r="AZ8812" s="10"/>
    </row>
    <row r="8813" spans="31:52">
      <c r="AE8813" s="10"/>
      <c r="AF8813" s="10"/>
      <c r="AG8813" s="10"/>
      <c r="AH8813" s="10"/>
      <c r="AI8813" s="10"/>
      <c r="AJ8813" s="10"/>
      <c r="AK8813" s="10"/>
      <c r="AL8813" s="10"/>
      <c r="AM8813" s="10"/>
      <c r="AN8813" s="10"/>
      <c r="AO8813" s="10"/>
      <c r="AP8813" s="10"/>
      <c r="AQ8813" s="10"/>
      <c r="AR8813" s="10"/>
      <c r="AS8813" s="10"/>
      <c r="AT8813" s="10"/>
      <c r="AU8813" s="10"/>
      <c r="AV8813" s="10"/>
      <c r="AW8813" s="10"/>
      <c r="AX8813" s="10"/>
      <c r="AY8813" s="10"/>
      <c r="AZ8813" s="10"/>
    </row>
    <row r="8814" spans="31:52">
      <c r="AE8814" s="10"/>
      <c r="AF8814" s="10"/>
      <c r="AG8814" s="10"/>
      <c r="AH8814" s="10"/>
      <c r="AI8814" s="10"/>
      <c r="AJ8814" s="10"/>
      <c r="AK8814" s="10"/>
      <c r="AL8814" s="10"/>
      <c r="AM8814" s="10"/>
      <c r="AN8814" s="10"/>
      <c r="AO8814" s="10"/>
      <c r="AP8814" s="10"/>
      <c r="AQ8814" s="10"/>
      <c r="AR8814" s="10"/>
      <c r="AS8814" s="10"/>
      <c r="AT8814" s="10"/>
      <c r="AU8814" s="10"/>
      <c r="AV8814" s="10"/>
      <c r="AW8814" s="10"/>
      <c r="AX8814" s="10"/>
      <c r="AY8814" s="10"/>
      <c r="AZ8814" s="10"/>
    </row>
    <row r="8815" spans="31:52">
      <c r="AE8815" s="10"/>
      <c r="AF8815" s="10"/>
      <c r="AG8815" s="10"/>
      <c r="AH8815" s="10"/>
      <c r="AI8815" s="10"/>
      <c r="AJ8815" s="10"/>
      <c r="AK8815" s="10"/>
      <c r="AL8815" s="10"/>
      <c r="AM8815" s="10"/>
      <c r="AN8815" s="10"/>
      <c r="AO8815" s="10"/>
      <c r="AP8815" s="10"/>
      <c r="AQ8815" s="10"/>
      <c r="AR8815" s="10"/>
      <c r="AS8815" s="10"/>
      <c r="AT8815" s="10"/>
      <c r="AU8815" s="10"/>
      <c r="AV8815" s="10"/>
      <c r="AW8815" s="10"/>
      <c r="AX8815" s="10"/>
      <c r="AY8815" s="10"/>
      <c r="AZ8815" s="10"/>
    </row>
    <row r="8816" spans="31:52">
      <c r="AE8816" s="10"/>
      <c r="AF8816" s="10"/>
      <c r="AG8816" s="10"/>
      <c r="AH8816" s="10"/>
      <c r="AI8816" s="10"/>
      <c r="AJ8816" s="10"/>
      <c r="AK8816" s="10"/>
      <c r="AL8816" s="10"/>
      <c r="AM8816" s="10"/>
      <c r="AN8816" s="10"/>
      <c r="AO8816" s="10"/>
      <c r="AP8816" s="10"/>
      <c r="AQ8816" s="10"/>
      <c r="AR8816" s="10"/>
      <c r="AS8816" s="10"/>
      <c r="AT8816" s="10"/>
      <c r="AU8816" s="10"/>
      <c r="AV8816" s="10"/>
      <c r="AW8816" s="10"/>
      <c r="AX8816" s="10"/>
      <c r="AY8816" s="10"/>
      <c r="AZ8816" s="10"/>
    </row>
    <row r="8817" spans="31:52">
      <c r="AE8817" s="10"/>
      <c r="AF8817" s="10"/>
      <c r="AG8817" s="10"/>
      <c r="AH8817" s="10"/>
      <c r="AI8817" s="10"/>
      <c r="AJ8817" s="10"/>
      <c r="AK8817" s="10"/>
      <c r="AL8817" s="10"/>
      <c r="AM8817" s="10"/>
      <c r="AN8817" s="10"/>
      <c r="AO8817" s="10"/>
      <c r="AP8817" s="10"/>
      <c r="AQ8817" s="10"/>
      <c r="AR8817" s="10"/>
      <c r="AS8817" s="10"/>
      <c r="AT8817" s="10"/>
      <c r="AU8817" s="10"/>
      <c r="AV8817" s="10"/>
      <c r="AW8817" s="10"/>
      <c r="AX8817" s="10"/>
      <c r="AY8817" s="10"/>
      <c r="AZ8817" s="10"/>
    </row>
    <row r="8818" spans="31:52">
      <c r="AE8818" s="10"/>
      <c r="AF8818" s="10"/>
      <c r="AG8818" s="10"/>
      <c r="AH8818" s="10"/>
      <c r="AI8818" s="10"/>
      <c r="AJ8818" s="10"/>
      <c r="AK8818" s="10"/>
      <c r="AL8818" s="10"/>
      <c r="AM8818" s="10"/>
      <c r="AN8818" s="10"/>
      <c r="AO8818" s="10"/>
      <c r="AP8818" s="10"/>
      <c r="AQ8818" s="10"/>
      <c r="AR8818" s="10"/>
      <c r="AS8818" s="10"/>
      <c r="AT8818" s="10"/>
      <c r="AU8818" s="10"/>
      <c r="AV8818" s="10"/>
      <c r="AW8818" s="10"/>
      <c r="AX8818" s="10"/>
      <c r="AY8818" s="10"/>
      <c r="AZ8818" s="10"/>
    </row>
    <row r="8819" spans="31:52">
      <c r="AE8819" s="10"/>
      <c r="AF8819" s="10"/>
      <c r="AG8819" s="10"/>
      <c r="AH8819" s="10"/>
      <c r="AI8819" s="10"/>
      <c r="AJ8819" s="10"/>
      <c r="AK8819" s="10"/>
      <c r="AL8819" s="10"/>
      <c r="AM8819" s="10"/>
      <c r="AN8819" s="10"/>
      <c r="AO8819" s="10"/>
      <c r="AP8819" s="10"/>
      <c r="AQ8819" s="10"/>
      <c r="AR8819" s="10"/>
      <c r="AS8819" s="10"/>
      <c r="AT8819" s="10"/>
      <c r="AU8819" s="10"/>
      <c r="AV8819" s="10"/>
      <c r="AW8819" s="10"/>
      <c r="AX8819" s="10"/>
      <c r="AY8819" s="10"/>
      <c r="AZ8819" s="10"/>
    </row>
    <row r="8820" spans="31:52">
      <c r="AE8820" s="10"/>
      <c r="AF8820" s="10"/>
      <c r="AG8820" s="10"/>
      <c r="AH8820" s="10"/>
      <c r="AI8820" s="10"/>
      <c r="AJ8820" s="10"/>
      <c r="AK8820" s="10"/>
      <c r="AL8820" s="10"/>
      <c r="AM8820" s="10"/>
      <c r="AN8820" s="10"/>
      <c r="AO8820" s="10"/>
      <c r="AP8820" s="10"/>
      <c r="AQ8820" s="10"/>
      <c r="AR8820" s="10"/>
      <c r="AS8820" s="10"/>
      <c r="AT8820" s="10"/>
      <c r="AU8820" s="10"/>
      <c r="AV8820" s="10"/>
      <c r="AW8820" s="10"/>
      <c r="AX8820" s="10"/>
      <c r="AY8820" s="10"/>
      <c r="AZ8820" s="10"/>
    </row>
    <row r="8821" spans="31:52">
      <c r="AE8821" s="10"/>
      <c r="AF8821" s="10"/>
      <c r="AG8821" s="10"/>
      <c r="AH8821" s="10"/>
      <c r="AI8821" s="10"/>
      <c r="AJ8821" s="10"/>
      <c r="AK8821" s="10"/>
      <c r="AL8821" s="10"/>
      <c r="AM8821" s="10"/>
      <c r="AN8821" s="10"/>
      <c r="AO8821" s="10"/>
      <c r="AP8821" s="10"/>
      <c r="AQ8821" s="10"/>
      <c r="AR8821" s="10"/>
      <c r="AS8821" s="10"/>
      <c r="AT8821" s="10"/>
      <c r="AU8821" s="10"/>
      <c r="AV8821" s="10"/>
      <c r="AW8821" s="10"/>
      <c r="AX8821" s="10"/>
      <c r="AY8821" s="10"/>
      <c r="AZ8821" s="10"/>
    </row>
    <row r="8822" spans="31:52">
      <c r="AE8822" s="10"/>
      <c r="AF8822" s="10"/>
      <c r="AG8822" s="10"/>
      <c r="AH8822" s="10"/>
      <c r="AI8822" s="10"/>
      <c r="AJ8822" s="10"/>
      <c r="AK8822" s="10"/>
      <c r="AL8822" s="10"/>
      <c r="AM8822" s="10"/>
      <c r="AN8822" s="10"/>
      <c r="AO8822" s="10"/>
      <c r="AP8822" s="10"/>
      <c r="AQ8822" s="10"/>
      <c r="AR8822" s="10"/>
      <c r="AS8822" s="10"/>
      <c r="AT8822" s="10"/>
      <c r="AU8822" s="10"/>
      <c r="AV8822" s="10"/>
      <c r="AW8822" s="10"/>
      <c r="AX8822" s="10"/>
      <c r="AY8822" s="10"/>
      <c r="AZ8822" s="10"/>
    </row>
    <row r="8823" spans="31:52">
      <c r="AE8823" s="10"/>
      <c r="AF8823" s="10"/>
      <c r="AG8823" s="10"/>
      <c r="AH8823" s="10"/>
      <c r="AI8823" s="10"/>
      <c r="AJ8823" s="10"/>
      <c r="AK8823" s="10"/>
      <c r="AL8823" s="10"/>
      <c r="AM8823" s="10"/>
      <c r="AN8823" s="10"/>
      <c r="AO8823" s="10"/>
      <c r="AP8823" s="10"/>
      <c r="AQ8823" s="10"/>
      <c r="AR8823" s="10"/>
      <c r="AS8823" s="10"/>
      <c r="AT8823" s="10"/>
      <c r="AU8823" s="10"/>
      <c r="AV8823" s="10"/>
      <c r="AW8823" s="10"/>
      <c r="AX8823" s="10"/>
      <c r="AY8823" s="10"/>
      <c r="AZ8823" s="10"/>
    </row>
    <row r="8824" spans="31:52">
      <c r="AE8824" s="10"/>
      <c r="AF8824" s="10"/>
      <c r="AG8824" s="10"/>
      <c r="AH8824" s="10"/>
      <c r="AI8824" s="10"/>
      <c r="AJ8824" s="10"/>
      <c r="AK8824" s="10"/>
      <c r="AL8824" s="10"/>
      <c r="AM8824" s="10"/>
      <c r="AN8824" s="10"/>
      <c r="AO8824" s="10"/>
      <c r="AP8824" s="10"/>
      <c r="AQ8824" s="10"/>
      <c r="AR8824" s="10"/>
      <c r="AS8824" s="10"/>
      <c r="AT8824" s="10"/>
      <c r="AU8824" s="10"/>
      <c r="AV8824" s="10"/>
      <c r="AW8824" s="10"/>
      <c r="AX8824" s="10"/>
      <c r="AY8824" s="10"/>
      <c r="AZ8824" s="10"/>
    </row>
    <row r="8825" spans="31:52">
      <c r="AE8825" s="10"/>
      <c r="AF8825" s="10"/>
      <c r="AG8825" s="10"/>
      <c r="AH8825" s="10"/>
      <c r="AI8825" s="10"/>
      <c r="AJ8825" s="10"/>
      <c r="AK8825" s="10"/>
      <c r="AL8825" s="10"/>
      <c r="AM8825" s="10"/>
      <c r="AN8825" s="10"/>
      <c r="AO8825" s="10"/>
      <c r="AP8825" s="10"/>
      <c r="AQ8825" s="10"/>
      <c r="AR8825" s="10"/>
      <c r="AS8825" s="10"/>
      <c r="AT8825" s="10"/>
      <c r="AU8825" s="10"/>
      <c r="AV8825" s="10"/>
      <c r="AW8825" s="10"/>
      <c r="AX8825" s="10"/>
      <c r="AY8825" s="10"/>
      <c r="AZ8825" s="10"/>
    </row>
    <row r="8826" spans="31:52">
      <c r="AE8826" s="10"/>
      <c r="AF8826" s="10"/>
      <c r="AG8826" s="10"/>
      <c r="AH8826" s="10"/>
      <c r="AI8826" s="10"/>
      <c r="AJ8826" s="10"/>
      <c r="AK8826" s="10"/>
      <c r="AL8826" s="10"/>
      <c r="AM8826" s="10"/>
      <c r="AN8826" s="10"/>
      <c r="AO8826" s="10"/>
      <c r="AP8826" s="10"/>
      <c r="AQ8826" s="10"/>
      <c r="AR8826" s="10"/>
      <c r="AS8826" s="10"/>
      <c r="AT8826" s="10"/>
      <c r="AU8826" s="10"/>
      <c r="AV8826" s="10"/>
      <c r="AW8826" s="10"/>
      <c r="AX8826" s="10"/>
      <c r="AY8826" s="10"/>
      <c r="AZ8826" s="10"/>
    </row>
    <row r="8827" spans="31:52">
      <c r="AE8827" s="10"/>
      <c r="AF8827" s="10"/>
      <c r="AG8827" s="10"/>
      <c r="AH8827" s="10"/>
      <c r="AI8827" s="10"/>
      <c r="AJ8827" s="10"/>
      <c r="AK8827" s="10"/>
      <c r="AL8827" s="10"/>
      <c r="AM8827" s="10"/>
      <c r="AN8827" s="10"/>
      <c r="AO8827" s="10"/>
      <c r="AP8827" s="10"/>
      <c r="AQ8827" s="10"/>
      <c r="AR8827" s="10"/>
      <c r="AS8827" s="10"/>
      <c r="AT8827" s="10"/>
      <c r="AU8827" s="10"/>
      <c r="AV8827" s="10"/>
      <c r="AW8827" s="10"/>
      <c r="AX8827" s="10"/>
      <c r="AY8827" s="10"/>
      <c r="AZ8827" s="10"/>
    </row>
    <row r="8828" spans="31:52">
      <c r="AE8828" s="10"/>
      <c r="AF8828" s="10"/>
      <c r="AG8828" s="10"/>
      <c r="AH8828" s="10"/>
      <c r="AI8828" s="10"/>
      <c r="AJ8828" s="10"/>
      <c r="AK8828" s="10"/>
      <c r="AL8828" s="10"/>
      <c r="AM8828" s="10"/>
      <c r="AN8828" s="10"/>
      <c r="AO8828" s="10"/>
      <c r="AP8828" s="10"/>
      <c r="AQ8828" s="10"/>
      <c r="AR8828" s="10"/>
      <c r="AS8828" s="10"/>
      <c r="AT8828" s="10"/>
      <c r="AU8828" s="10"/>
      <c r="AV8828" s="10"/>
      <c r="AW8828" s="10"/>
      <c r="AX8828" s="10"/>
      <c r="AY8828" s="10"/>
      <c r="AZ8828" s="10"/>
    </row>
    <row r="8829" spans="31:52">
      <c r="AE8829" s="10"/>
      <c r="AF8829" s="10"/>
      <c r="AG8829" s="10"/>
      <c r="AH8829" s="10"/>
      <c r="AI8829" s="10"/>
      <c r="AJ8829" s="10"/>
      <c r="AK8829" s="10"/>
      <c r="AL8829" s="10"/>
      <c r="AM8829" s="10"/>
      <c r="AN8829" s="10"/>
      <c r="AO8829" s="10"/>
      <c r="AP8829" s="10"/>
      <c r="AQ8829" s="10"/>
      <c r="AR8829" s="10"/>
      <c r="AS8829" s="10"/>
      <c r="AT8829" s="10"/>
      <c r="AU8829" s="10"/>
      <c r="AV8829" s="10"/>
      <c r="AW8829" s="10"/>
      <c r="AX8829" s="10"/>
      <c r="AY8829" s="10"/>
      <c r="AZ8829" s="10"/>
    </row>
    <row r="8830" spans="31:52">
      <c r="AE8830" s="10"/>
      <c r="AF8830" s="10"/>
      <c r="AG8830" s="10"/>
      <c r="AH8830" s="10"/>
      <c r="AI8830" s="10"/>
      <c r="AJ8830" s="10"/>
      <c r="AK8830" s="10"/>
      <c r="AL8830" s="10"/>
      <c r="AM8830" s="10"/>
      <c r="AN8830" s="10"/>
      <c r="AO8830" s="10"/>
      <c r="AP8830" s="10"/>
      <c r="AQ8830" s="10"/>
      <c r="AR8830" s="10"/>
      <c r="AS8830" s="10"/>
      <c r="AT8830" s="10"/>
      <c r="AU8830" s="10"/>
      <c r="AV8830" s="10"/>
      <c r="AW8830" s="10"/>
      <c r="AX8830" s="10"/>
      <c r="AY8830" s="10"/>
      <c r="AZ8830" s="10"/>
    </row>
    <row r="8831" spans="31:52">
      <c r="AE8831" s="10"/>
      <c r="AF8831" s="10"/>
      <c r="AG8831" s="10"/>
      <c r="AH8831" s="10"/>
      <c r="AI8831" s="10"/>
      <c r="AJ8831" s="10"/>
      <c r="AK8831" s="10"/>
      <c r="AL8831" s="10"/>
      <c r="AM8831" s="10"/>
      <c r="AN8831" s="10"/>
      <c r="AO8831" s="10"/>
      <c r="AP8831" s="10"/>
      <c r="AQ8831" s="10"/>
      <c r="AR8831" s="10"/>
      <c r="AS8831" s="10"/>
      <c r="AT8831" s="10"/>
      <c r="AU8831" s="10"/>
      <c r="AV8831" s="10"/>
      <c r="AW8831" s="10"/>
      <c r="AX8831" s="10"/>
      <c r="AY8831" s="10"/>
      <c r="AZ8831" s="10"/>
    </row>
    <row r="8832" spans="31:52">
      <c r="AE8832" s="10"/>
      <c r="AF8832" s="10"/>
      <c r="AG8832" s="10"/>
      <c r="AH8832" s="10"/>
      <c r="AI8832" s="10"/>
      <c r="AJ8832" s="10"/>
      <c r="AK8832" s="10"/>
      <c r="AL8832" s="10"/>
      <c r="AM8832" s="10"/>
      <c r="AN8832" s="10"/>
      <c r="AO8832" s="10"/>
      <c r="AP8832" s="10"/>
      <c r="AQ8832" s="10"/>
      <c r="AR8832" s="10"/>
      <c r="AS8832" s="10"/>
      <c r="AT8832" s="10"/>
      <c r="AU8832" s="10"/>
      <c r="AV8832" s="10"/>
      <c r="AW8832" s="10"/>
      <c r="AX8832" s="10"/>
      <c r="AY8832" s="10"/>
      <c r="AZ8832" s="10"/>
    </row>
    <row r="8833" spans="31:52">
      <c r="AE8833" s="10"/>
      <c r="AF8833" s="10"/>
      <c r="AG8833" s="10"/>
      <c r="AH8833" s="10"/>
      <c r="AI8833" s="10"/>
      <c r="AJ8833" s="10"/>
      <c r="AK8833" s="10"/>
      <c r="AL8833" s="10"/>
      <c r="AM8833" s="10"/>
      <c r="AN8833" s="10"/>
      <c r="AO8833" s="10"/>
      <c r="AP8833" s="10"/>
      <c r="AQ8833" s="10"/>
      <c r="AR8833" s="10"/>
      <c r="AS8833" s="10"/>
      <c r="AT8833" s="10"/>
      <c r="AU8833" s="10"/>
      <c r="AV8833" s="10"/>
      <c r="AW8833" s="10"/>
      <c r="AX8833" s="10"/>
      <c r="AY8833" s="10"/>
      <c r="AZ8833" s="10"/>
    </row>
    <row r="8834" spans="31:52">
      <c r="AE8834" s="10"/>
      <c r="AF8834" s="10"/>
      <c r="AG8834" s="10"/>
      <c r="AH8834" s="10"/>
      <c r="AI8834" s="10"/>
      <c r="AJ8834" s="10"/>
      <c r="AK8834" s="10"/>
      <c r="AL8834" s="10"/>
      <c r="AM8834" s="10"/>
      <c r="AN8834" s="10"/>
      <c r="AO8834" s="10"/>
      <c r="AP8834" s="10"/>
      <c r="AQ8834" s="10"/>
      <c r="AR8834" s="10"/>
      <c r="AS8834" s="10"/>
      <c r="AT8834" s="10"/>
      <c r="AU8834" s="10"/>
      <c r="AV8834" s="10"/>
      <c r="AW8834" s="10"/>
      <c r="AX8834" s="10"/>
      <c r="AY8834" s="10"/>
      <c r="AZ8834" s="10"/>
    </row>
    <row r="8835" spans="31:52">
      <c r="AE8835" s="10"/>
      <c r="AF8835" s="10"/>
      <c r="AG8835" s="10"/>
      <c r="AH8835" s="10"/>
      <c r="AI8835" s="10"/>
      <c r="AJ8835" s="10"/>
      <c r="AK8835" s="10"/>
      <c r="AL8835" s="10"/>
      <c r="AM8835" s="10"/>
      <c r="AN8835" s="10"/>
      <c r="AO8835" s="10"/>
      <c r="AP8835" s="10"/>
      <c r="AQ8835" s="10"/>
      <c r="AR8835" s="10"/>
      <c r="AS8835" s="10"/>
      <c r="AT8835" s="10"/>
      <c r="AU8835" s="10"/>
      <c r="AV8835" s="10"/>
      <c r="AW8835" s="10"/>
      <c r="AX8835" s="10"/>
      <c r="AY8835" s="10"/>
      <c r="AZ8835" s="10"/>
    </row>
    <row r="8836" spans="31:52">
      <c r="AE8836" s="10"/>
      <c r="AF8836" s="10"/>
      <c r="AG8836" s="10"/>
      <c r="AH8836" s="10"/>
      <c r="AI8836" s="10"/>
      <c r="AJ8836" s="10"/>
      <c r="AK8836" s="10"/>
      <c r="AL8836" s="10"/>
      <c r="AM8836" s="10"/>
      <c r="AN8836" s="10"/>
      <c r="AO8836" s="10"/>
      <c r="AP8836" s="10"/>
      <c r="AQ8836" s="10"/>
      <c r="AR8836" s="10"/>
      <c r="AS8836" s="10"/>
      <c r="AT8836" s="10"/>
      <c r="AU8836" s="10"/>
      <c r="AV8836" s="10"/>
      <c r="AW8836" s="10"/>
      <c r="AX8836" s="10"/>
      <c r="AY8836" s="10"/>
      <c r="AZ8836" s="10"/>
    </row>
    <row r="8837" spans="31:52">
      <c r="AE8837" s="10"/>
      <c r="AF8837" s="10"/>
      <c r="AG8837" s="10"/>
      <c r="AH8837" s="10"/>
      <c r="AI8837" s="10"/>
      <c r="AJ8837" s="10"/>
      <c r="AK8837" s="10"/>
      <c r="AL8837" s="10"/>
      <c r="AM8837" s="10"/>
      <c r="AN8837" s="10"/>
      <c r="AO8837" s="10"/>
      <c r="AP8837" s="10"/>
      <c r="AQ8837" s="10"/>
      <c r="AR8837" s="10"/>
      <c r="AS8837" s="10"/>
      <c r="AT8837" s="10"/>
      <c r="AU8837" s="10"/>
      <c r="AV8837" s="10"/>
      <c r="AW8837" s="10"/>
      <c r="AX8837" s="10"/>
      <c r="AY8837" s="10"/>
      <c r="AZ8837" s="10"/>
    </row>
    <row r="8838" spans="31:52">
      <c r="AE8838" s="10"/>
      <c r="AF8838" s="10"/>
      <c r="AG8838" s="10"/>
      <c r="AH8838" s="10"/>
      <c r="AI8838" s="10"/>
      <c r="AJ8838" s="10"/>
      <c r="AK8838" s="10"/>
      <c r="AL8838" s="10"/>
      <c r="AM8838" s="10"/>
      <c r="AN8838" s="10"/>
      <c r="AO8838" s="10"/>
      <c r="AP8838" s="10"/>
      <c r="AQ8838" s="10"/>
      <c r="AR8838" s="10"/>
      <c r="AS8838" s="10"/>
      <c r="AT8838" s="10"/>
      <c r="AU8838" s="10"/>
      <c r="AV8838" s="10"/>
      <c r="AW8838" s="10"/>
      <c r="AX8838" s="10"/>
      <c r="AY8838" s="10"/>
      <c r="AZ8838" s="10"/>
    </row>
    <row r="8839" spans="31:52">
      <c r="AE8839" s="10"/>
      <c r="AF8839" s="10"/>
      <c r="AG8839" s="10"/>
      <c r="AH8839" s="10"/>
      <c r="AI8839" s="10"/>
      <c r="AJ8839" s="10"/>
      <c r="AK8839" s="10"/>
      <c r="AL8839" s="10"/>
      <c r="AM8839" s="10"/>
      <c r="AN8839" s="10"/>
      <c r="AO8839" s="10"/>
      <c r="AP8839" s="10"/>
      <c r="AQ8839" s="10"/>
      <c r="AR8839" s="10"/>
      <c r="AS8839" s="10"/>
      <c r="AT8839" s="10"/>
      <c r="AU8839" s="10"/>
      <c r="AV8839" s="10"/>
      <c r="AW8839" s="10"/>
      <c r="AX8839" s="10"/>
      <c r="AY8839" s="10"/>
      <c r="AZ8839" s="10"/>
    </row>
    <row r="8840" spans="31:52">
      <c r="AE8840" s="10"/>
      <c r="AF8840" s="10"/>
      <c r="AG8840" s="10"/>
      <c r="AH8840" s="10"/>
      <c r="AI8840" s="10"/>
      <c r="AJ8840" s="10"/>
      <c r="AK8840" s="10"/>
      <c r="AL8840" s="10"/>
      <c r="AM8840" s="10"/>
      <c r="AN8840" s="10"/>
      <c r="AO8840" s="10"/>
      <c r="AP8840" s="10"/>
      <c r="AQ8840" s="10"/>
      <c r="AR8840" s="10"/>
      <c r="AS8840" s="10"/>
      <c r="AT8840" s="10"/>
      <c r="AU8840" s="10"/>
      <c r="AV8840" s="10"/>
      <c r="AW8840" s="10"/>
      <c r="AX8840" s="10"/>
      <c r="AY8840" s="10"/>
      <c r="AZ8840" s="10"/>
    </row>
    <row r="8841" spans="31:52">
      <c r="AE8841" s="10"/>
      <c r="AF8841" s="10"/>
      <c r="AG8841" s="10"/>
      <c r="AH8841" s="10"/>
      <c r="AI8841" s="10"/>
      <c r="AJ8841" s="10"/>
      <c r="AK8841" s="10"/>
      <c r="AL8841" s="10"/>
      <c r="AM8841" s="10"/>
      <c r="AN8841" s="10"/>
      <c r="AO8841" s="10"/>
      <c r="AP8841" s="10"/>
      <c r="AQ8841" s="10"/>
      <c r="AR8841" s="10"/>
      <c r="AS8841" s="10"/>
      <c r="AT8841" s="10"/>
      <c r="AU8841" s="10"/>
      <c r="AV8841" s="10"/>
      <c r="AW8841" s="10"/>
      <c r="AX8841" s="10"/>
      <c r="AY8841" s="10"/>
      <c r="AZ8841" s="10"/>
    </row>
    <row r="8842" spans="31:52">
      <c r="AE8842" s="10"/>
      <c r="AF8842" s="10"/>
      <c r="AG8842" s="10"/>
      <c r="AH8842" s="10"/>
      <c r="AI8842" s="10"/>
      <c r="AJ8842" s="10"/>
      <c r="AK8842" s="10"/>
      <c r="AL8842" s="10"/>
      <c r="AM8842" s="10"/>
      <c r="AN8842" s="10"/>
      <c r="AO8842" s="10"/>
      <c r="AP8842" s="10"/>
      <c r="AQ8842" s="10"/>
      <c r="AR8842" s="10"/>
      <c r="AS8842" s="10"/>
      <c r="AT8842" s="10"/>
      <c r="AU8842" s="10"/>
      <c r="AV8842" s="10"/>
      <c r="AW8842" s="10"/>
      <c r="AX8842" s="10"/>
      <c r="AY8842" s="10"/>
      <c r="AZ8842" s="10"/>
    </row>
    <row r="8843" spans="31:52">
      <c r="AE8843" s="10"/>
      <c r="AF8843" s="10"/>
      <c r="AG8843" s="10"/>
      <c r="AH8843" s="10"/>
      <c r="AI8843" s="10"/>
      <c r="AJ8843" s="10"/>
      <c r="AK8843" s="10"/>
      <c r="AL8843" s="10"/>
      <c r="AM8843" s="10"/>
      <c r="AN8843" s="10"/>
      <c r="AO8843" s="10"/>
      <c r="AP8843" s="10"/>
      <c r="AQ8843" s="10"/>
      <c r="AR8843" s="10"/>
      <c r="AS8843" s="10"/>
      <c r="AT8843" s="10"/>
      <c r="AU8843" s="10"/>
      <c r="AV8843" s="10"/>
      <c r="AW8843" s="10"/>
      <c r="AX8843" s="10"/>
      <c r="AY8843" s="10"/>
      <c r="AZ8843" s="10"/>
    </row>
    <row r="8844" spans="31:52">
      <c r="AE8844" s="10"/>
      <c r="AF8844" s="10"/>
      <c r="AG8844" s="10"/>
      <c r="AH8844" s="10"/>
      <c r="AI8844" s="10"/>
      <c r="AJ8844" s="10"/>
      <c r="AK8844" s="10"/>
      <c r="AL8844" s="10"/>
      <c r="AM8844" s="10"/>
      <c r="AN8844" s="10"/>
      <c r="AO8844" s="10"/>
      <c r="AP8844" s="10"/>
      <c r="AQ8844" s="10"/>
      <c r="AR8844" s="10"/>
      <c r="AS8844" s="10"/>
      <c r="AT8844" s="10"/>
      <c r="AU8844" s="10"/>
      <c r="AV8844" s="10"/>
      <c r="AW8844" s="10"/>
      <c r="AX8844" s="10"/>
      <c r="AY8844" s="10"/>
      <c r="AZ8844" s="10"/>
    </row>
    <row r="8845" spans="31:52">
      <c r="AE8845" s="10"/>
      <c r="AF8845" s="10"/>
      <c r="AG8845" s="10"/>
      <c r="AH8845" s="10"/>
      <c r="AI8845" s="10"/>
      <c r="AJ8845" s="10"/>
      <c r="AK8845" s="10"/>
      <c r="AL8845" s="10"/>
      <c r="AM8845" s="10"/>
      <c r="AN8845" s="10"/>
      <c r="AO8845" s="10"/>
      <c r="AP8845" s="10"/>
      <c r="AQ8845" s="10"/>
      <c r="AR8845" s="10"/>
      <c r="AS8845" s="10"/>
      <c r="AT8845" s="10"/>
      <c r="AU8845" s="10"/>
      <c r="AV8845" s="10"/>
      <c r="AW8845" s="10"/>
      <c r="AX8845" s="10"/>
      <c r="AY8845" s="10"/>
      <c r="AZ8845" s="10"/>
    </row>
    <row r="8846" spans="31:52">
      <c r="AE8846" s="10"/>
      <c r="AF8846" s="10"/>
      <c r="AG8846" s="10"/>
      <c r="AH8846" s="10"/>
      <c r="AI8846" s="10"/>
      <c r="AJ8846" s="10"/>
      <c r="AK8846" s="10"/>
      <c r="AL8846" s="10"/>
      <c r="AM8846" s="10"/>
      <c r="AN8846" s="10"/>
      <c r="AO8846" s="10"/>
      <c r="AP8846" s="10"/>
      <c r="AQ8846" s="10"/>
      <c r="AR8846" s="10"/>
      <c r="AS8846" s="10"/>
      <c r="AT8846" s="10"/>
      <c r="AU8846" s="10"/>
      <c r="AV8846" s="10"/>
      <c r="AW8846" s="10"/>
      <c r="AX8846" s="10"/>
      <c r="AY8846" s="10"/>
      <c r="AZ8846" s="10"/>
    </row>
    <row r="8847" spans="31:52">
      <c r="AE8847" s="10"/>
      <c r="AF8847" s="10"/>
      <c r="AG8847" s="10"/>
      <c r="AH8847" s="10"/>
      <c r="AI8847" s="10"/>
      <c r="AJ8847" s="10"/>
      <c r="AK8847" s="10"/>
      <c r="AL8847" s="10"/>
      <c r="AM8847" s="10"/>
      <c r="AN8847" s="10"/>
      <c r="AO8847" s="10"/>
      <c r="AP8847" s="10"/>
      <c r="AQ8847" s="10"/>
      <c r="AR8847" s="10"/>
      <c r="AS8847" s="10"/>
      <c r="AT8847" s="10"/>
      <c r="AU8847" s="10"/>
      <c r="AV8847" s="10"/>
      <c r="AW8847" s="10"/>
      <c r="AX8847" s="10"/>
      <c r="AY8847" s="10"/>
      <c r="AZ8847" s="10"/>
    </row>
    <row r="8848" spans="31:52">
      <c r="AE8848" s="10"/>
      <c r="AF8848" s="10"/>
      <c r="AG8848" s="10"/>
      <c r="AH8848" s="10"/>
      <c r="AI8848" s="10"/>
      <c r="AJ8848" s="10"/>
      <c r="AK8848" s="10"/>
      <c r="AL8848" s="10"/>
      <c r="AM8848" s="10"/>
      <c r="AN8848" s="10"/>
      <c r="AO8848" s="10"/>
      <c r="AP8848" s="10"/>
      <c r="AQ8848" s="10"/>
      <c r="AR8848" s="10"/>
      <c r="AS8848" s="10"/>
      <c r="AT8848" s="10"/>
      <c r="AU8848" s="10"/>
      <c r="AV8848" s="10"/>
      <c r="AW8848" s="10"/>
      <c r="AX8848" s="10"/>
      <c r="AY8848" s="10"/>
      <c r="AZ8848" s="10"/>
    </row>
    <row r="8849" spans="31:52">
      <c r="AE8849" s="10"/>
      <c r="AF8849" s="10"/>
      <c r="AG8849" s="10"/>
      <c r="AH8849" s="10"/>
      <c r="AI8849" s="10"/>
      <c r="AJ8849" s="10"/>
      <c r="AK8849" s="10"/>
      <c r="AL8849" s="10"/>
      <c r="AM8849" s="10"/>
      <c r="AN8849" s="10"/>
      <c r="AO8849" s="10"/>
      <c r="AP8849" s="10"/>
      <c r="AQ8849" s="10"/>
      <c r="AR8849" s="10"/>
      <c r="AS8849" s="10"/>
      <c r="AT8849" s="10"/>
      <c r="AU8849" s="10"/>
      <c r="AV8849" s="10"/>
      <c r="AW8849" s="10"/>
      <c r="AX8849" s="10"/>
      <c r="AY8849" s="10"/>
      <c r="AZ8849" s="10"/>
    </row>
    <row r="8850" spans="31:52">
      <c r="AE8850" s="10"/>
      <c r="AF8850" s="10"/>
      <c r="AG8850" s="10"/>
      <c r="AH8850" s="10"/>
      <c r="AI8850" s="10"/>
      <c r="AJ8850" s="10"/>
      <c r="AK8850" s="10"/>
      <c r="AL8850" s="10"/>
      <c r="AM8850" s="10"/>
      <c r="AN8850" s="10"/>
      <c r="AO8850" s="10"/>
      <c r="AP8850" s="10"/>
      <c r="AQ8850" s="10"/>
      <c r="AR8850" s="10"/>
      <c r="AS8850" s="10"/>
      <c r="AT8850" s="10"/>
      <c r="AU8850" s="10"/>
      <c r="AV8850" s="10"/>
      <c r="AW8850" s="10"/>
      <c r="AX8850" s="10"/>
      <c r="AY8850" s="10"/>
      <c r="AZ8850" s="10"/>
    </row>
    <row r="8851" spans="31:52">
      <c r="AE8851" s="10"/>
      <c r="AF8851" s="10"/>
      <c r="AG8851" s="10"/>
      <c r="AH8851" s="10"/>
      <c r="AI8851" s="10"/>
      <c r="AJ8851" s="10"/>
      <c r="AK8851" s="10"/>
      <c r="AL8851" s="10"/>
      <c r="AM8851" s="10"/>
      <c r="AN8851" s="10"/>
      <c r="AO8851" s="10"/>
      <c r="AP8851" s="10"/>
      <c r="AQ8851" s="10"/>
      <c r="AR8851" s="10"/>
      <c r="AS8851" s="10"/>
      <c r="AT8851" s="10"/>
      <c r="AU8851" s="10"/>
      <c r="AV8851" s="10"/>
      <c r="AW8851" s="10"/>
      <c r="AX8851" s="10"/>
      <c r="AY8851" s="10"/>
      <c r="AZ8851" s="10"/>
    </row>
    <row r="8852" spans="31:52">
      <c r="AE8852" s="10"/>
      <c r="AF8852" s="10"/>
      <c r="AG8852" s="10"/>
      <c r="AH8852" s="10"/>
      <c r="AI8852" s="10"/>
      <c r="AJ8852" s="10"/>
      <c r="AK8852" s="10"/>
      <c r="AL8852" s="10"/>
      <c r="AM8852" s="10"/>
      <c r="AN8852" s="10"/>
      <c r="AO8852" s="10"/>
      <c r="AP8852" s="10"/>
      <c r="AQ8852" s="10"/>
      <c r="AR8852" s="10"/>
      <c r="AS8852" s="10"/>
      <c r="AT8852" s="10"/>
      <c r="AU8852" s="10"/>
      <c r="AV8852" s="10"/>
      <c r="AW8852" s="10"/>
      <c r="AX8852" s="10"/>
      <c r="AY8852" s="10"/>
      <c r="AZ8852" s="10"/>
    </row>
    <row r="8853" spans="31:52">
      <c r="AE8853" s="10"/>
      <c r="AF8853" s="10"/>
      <c r="AG8853" s="10"/>
      <c r="AH8853" s="10"/>
      <c r="AI8853" s="10"/>
      <c r="AJ8853" s="10"/>
      <c r="AK8853" s="10"/>
      <c r="AL8853" s="10"/>
      <c r="AM8853" s="10"/>
      <c r="AN8853" s="10"/>
      <c r="AO8853" s="10"/>
      <c r="AP8853" s="10"/>
      <c r="AQ8853" s="10"/>
      <c r="AR8853" s="10"/>
      <c r="AS8853" s="10"/>
      <c r="AT8853" s="10"/>
      <c r="AU8853" s="10"/>
      <c r="AV8853" s="10"/>
      <c r="AW8853" s="10"/>
      <c r="AX8853" s="10"/>
      <c r="AY8853" s="10"/>
      <c r="AZ8853" s="10"/>
    </row>
    <row r="8854" spans="31:52">
      <c r="AE8854" s="10"/>
      <c r="AF8854" s="10"/>
      <c r="AG8854" s="10"/>
      <c r="AH8854" s="10"/>
      <c r="AI8854" s="10"/>
      <c r="AJ8854" s="10"/>
      <c r="AK8854" s="10"/>
      <c r="AL8854" s="10"/>
      <c r="AM8854" s="10"/>
      <c r="AN8854" s="10"/>
      <c r="AO8854" s="10"/>
      <c r="AP8854" s="10"/>
      <c r="AQ8854" s="10"/>
      <c r="AR8854" s="10"/>
      <c r="AS8854" s="10"/>
      <c r="AT8854" s="10"/>
      <c r="AU8854" s="10"/>
      <c r="AV8854" s="10"/>
      <c r="AW8854" s="10"/>
      <c r="AX8854" s="10"/>
      <c r="AY8854" s="10"/>
      <c r="AZ8854" s="10"/>
    </row>
    <row r="8855" spans="31:52">
      <c r="AE8855" s="10"/>
      <c r="AF8855" s="10"/>
      <c r="AG8855" s="10"/>
      <c r="AH8855" s="10"/>
      <c r="AI8855" s="10"/>
      <c r="AJ8855" s="10"/>
      <c r="AK8855" s="10"/>
      <c r="AL8855" s="10"/>
      <c r="AM8855" s="10"/>
      <c r="AN8855" s="10"/>
      <c r="AO8855" s="10"/>
      <c r="AP8855" s="10"/>
      <c r="AQ8855" s="10"/>
      <c r="AR8855" s="10"/>
      <c r="AS8855" s="10"/>
      <c r="AT8855" s="10"/>
      <c r="AU8855" s="10"/>
      <c r="AV8855" s="10"/>
      <c r="AW8855" s="10"/>
      <c r="AX8855" s="10"/>
      <c r="AY8855" s="10"/>
      <c r="AZ8855" s="10"/>
    </row>
    <row r="8856" spans="31:52">
      <c r="AE8856" s="10"/>
      <c r="AF8856" s="10"/>
      <c r="AG8856" s="10"/>
      <c r="AH8856" s="10"/>
      <c r="AI8856" s="10"/>
      <c r="AJ8856" s="10"/>
      <c r="AK8856" s="10"/>
      <c r="AL8856" s="10"/>
      <c r="AM8856" s="10"/>
      <c r="AN8856" s="10"/>
      <c r="AO8856" s="10"/>
      <c r="AP8856" s="10"/>
      <c r="AQ8856" s="10"/>
      <c r="AR8856" s="10"/>
      <c r="AS8856" s="10"/>
      <c r="AT8856" s="10"/>
      <c r="AU8856" s="10"/>
      <c r="AV8856" s="10"/>
      <c r="AW8856" s="10"/>
      <c r="AX8856" s="10"/>
      <c r="AY8856" s="10"/>
      <c r="AZ8856" s="10"/>
    </row>
    <row r="8857" spans="31:52">
      <c r="AE8857" s="10"/>
      <c r="AF8857" s="10"/>
      <c r="AG8857" s="10"/>
      <c r="AH8857" s="10"/>
      <c r="AI8857" s="10"/>
      <c r="AJ8857" s="10"/>
      <c r="AK8857" s="10"/>
      <c r="AL8857" s="10"/>
      <c r="AM8857" s="10"/>
      <c r="AN8857" s="10"/>
      <c r="AO8857" s="10"/>
      <c r="AP8857" s="10"/>
      <c r="AQ8857" s="10"/>
      <c r="AR8857" s="10"/>
      <c r="AS8857" s="10"/>
      <c r="AT8857" s="10"/>
      <c r="AU8857" s="10"/>
      <c r="AV8857" s="10"/>
      <c r="AW8857" s="10"/>
      <c r="AX8857" s="10"/>
      <c r="AY8857" s="10"/>
      <c r="AZ8857" s="10"/>
    </row>
    <row r="8858" spans="31:52">
      <c r="AE8858" s="10"/>
      <c r="AF8858" s="10"/>
      <c r="AG8858" s="10"/>
      <c r="AH8858" s="10"/>
      <c r="AI8858" s="10"/>
      <c r="AJ8858" s="10"/>
      <c r="AK8858" s="10"/>
      <c r="AL8858" s="10"/>
      <c r="AM8858" s="10"/>
      <c r="AN8858" s="10"/>
      <c r="AO8858" s="10"/>
      <c r="AP8858" s="10"/>
      <c r="AQ8858" s="10"/>
      <c r="AR8858" s="10"/>
      <c r="AS8858" s="10"/>
      <c r="AT8858" s="10"/>
      <c r="AU8858" s="10"/>
      <c r="AV8858" s="10"/>
      <c r="AW8858" s="10"/>
      <c r="AX8858" s="10"/>
      <c r="AY8858" s="10"/>
      <c r="AZ8858" s="10"/>
    </row>
    <row r="8859" spans="31:52">
      <c r="AE8859" s="10"/>
      <c r="AF8859" s="10"/>
      <c r="AG8859" s="10"/>
      <c r="AH8859" s="10"/>
      <c r="AI8859" s="10"/>
      <c r="AJ8859" s="10"/>
      <c r="AK8859" s="10"/>
      <c r="AL8859" s="10"/>
      <c r="AM8859" s="10"/>
      <c r="AN8859" s="10"/>
      <c r="AO8859" s="10"/>
      <c r="AP8859" s="10"/>
      <c r="AQ8859" s="10"/>
      <c r="AR8859" s="10"/>
      <c r="AS8859" s="10"/>
      <c r="AT8859" s="10"/>
      <c r="AU8859" s="10"/>
      <c r="AV8859" s="10"/>
      <c r="AW8859" s="10"/>
      <c r="AX8859" s="10"/>
      <c r="AY8859" s="10"/>
      <c r="AZ8859" s="10"/>
    </row>
    <row r="8860" spans="31:52">
      <c r="AE8860" s="10"/>
      <c r="AF8860" s="10"/>
      <c r="AG8860" s="10"/>
      <c r="AH8860" s="10"/>
      <c r="AI8860" s="10"/>
      <c r="AJ8860" s="10"/>
      <c r="AK8860" s="10"/>
      <c r="AL8860" s="10"/>
      <c r="AM8860" s="10"/>
      <c r="AN8860" s="10"/>
      <c r="AO8860" s="10"/>
      <c r="AP8860" s="10"/>
      <c r="AQ8860" s="10"/>
      <c r="AR8860" s="10"/>
      <c r="AS8860" s="10"/>
      <c r="AT8860" s="10"/>
      <c r="AU8860" s="10"/>
      <c r="AV8860" s="10"/>
      <c r="AW8860" s="10"/>
      <c r="AX8860" s="10"/>
      <c r="AY8860" s="10"/>
      <c r="AZ8860" s="10"/>
    </row>
    <row r="8861" spans="31:52">
      <c r="AE8861" s="10"/>
      <c r="AF8861" s="10"/>
      <c r="AG8861" s="10"/>
      <c r="AH8861" s="10"/>
      <c r="AI8861" s="10"/>
      <c r="AJ8861" s="10"/>
      <c r="AK8861" s="10"/>
      <c r="AL8861" s="10"/>
      <c r="AM8861" s="10"/>
      <c r="AN8861" s="10"/>
      <c r="AO8861" s="10"/>
      <c r="AP8861" s="10"/>
      <c r="AQ8861" s="10"/>
      <c r="AR8861" s="10"/>
      <c r="AS8861" s="10"/>
      <c r="AT8861" s="10"/>
      <c r="AU8861" s="10"/>
      <c r="AV8861" s="10"/>
      <c r="AW8861" s="10"/>
      <c r="AX8861" s="10"/>
      <c r="AY8861" s="10"/>
      <c r="AZ8861" s="10"/>
    </row>
    <row r="8862" spans="31:52">
      <c r="AE8862" s="10"/>
      <c r="AF8862" s="10"/>
      <c r="AG8862" s="10"/>
      <c r="AH8862" s="10"/>
      <c r="AI8862" s="10"/>
      <c r="AJ8862" s="10"/>
      <c r="AK8862" s="10"/>
      <c r="AL8862" s="10"/>
      <c r="AM8862" s="10"/>
      <c r="AN8862" s="10"/>
      <c r="AO8862" s="10"/>
      <c r="AP8862" s="10"/>
      <c r="AQ8862" s="10"/>
      <c r="AR8862" s="10"/>
      <c r="AS8862" s="10"/>
      <c r="AT8862" s="10"/>
      <c r="AU8862" s="10"/>
      <c r="AV8862" s="10"/>
      <c r="AW8862" s="10"/>
      <c r="AX8862" s="10"/>
      <c r="AY8862" s="10"/>
      <c r="AZ8862" s="10"/>
    </row>
    <row r="8863" spans="31:52">
      <c r="AE8863" s="10"/>
      <c r="AF8863" s="10"/>
      <c r="AG8863" s="10"/>
      <c r="AH8863" s="10"/>
      <c r="AI8863" s="10"/>
      <c r="AJ8863" s="10"/>
      <c r="AK8863" s="10"/>
      <c r="AL8863" s="10"/>
      <c r="AM8863" s="10"/>
      <c r="AN8863" s="10"/>
      <c r="AO8863" s="10"/>
      <c r="AP8863" s="10"/>
      <c r="AQ8863" s="10"/>
      <c r="AR8863" s="10"/>
      <c r="AS8863" s="10"/>
      <c r="AT8863" s="10"/>
      <c r="AU8863" s="10"/>
      <c r="AV8863" s="10"/>
      <c r="AW8863" s="10"/>
      <c r="AX8863" s="10"/>
      <c r="AY8863" s="10"/>
      <c r="AZ8863" s="10"/>
    </row>
    <row r="8864" spans="31:52">
      <c r="AE8864" s="10"/>
      <c r="AF8864" s="10"/>
      <c r="AG8864" s="10"/>
      <c r="AH8864" s="10"/>
      <c r="AI8864" s="10"/>
      <c r="AJ8864" s="10"/>
      <c r="AK8864" s="10"/>
      <c r="AL8864" s="10"/>
      <c r="AM8864" s="10"/>
      <c r="AN8864" s="10"/>
      <c r="AO8864" s="10"/>
      <c r="AP8864" s="10"/>
      <c r="AQ8864" s="10"/>
      <c r="AR8864" s="10"/>
      <c r="AS8864" s="10"/>
      <c r="AT8864" s="10"/>
      <c r="AU8864" s="10"/>
      <c r="AV8864" s="10"/>
      <c r="AW8864" s="10"/>
      <c r="AX8864" s="10"/>
      <c r="AY8864" s="10"/>
      <c r="AZ8864" s="10"/>
    </row>
    <row r="8865" spans="31:52">
      <c r="AE8865" s="10"/>
      <c r="AF8865" s="10"/>
      <c r="AG8865" s="10"/>
      <c r="AH8865" s="10"/>
      <c r="AI8865" s="10"/>
      <c r="AJ8865" s="10"/>
      <c r="AK8865" s="10"/>
      <c r="AL8865" s="10"/>
      <c r="AM8865" s="10"/>
      <c r="AN8865" s="10"/>
      <c r="AO8865" s="10"/>
      <c r="AP8865" s="10"/>
      <c r="AQ8865" s="10"/>
      <c r="AR8865" s="10"/>
      <c r="AS8865" s="10"/>
      <c r="AT8865" s="10"/>
      <c r="AU8865" s="10"/>
      <c r="AV8865" s="10"/>
      <c r="AW8865" s="10"/>
      <c r="AX8865" s="10"/>
      <c r="AY8865" s="10"/>
      <c r="AZ8865" s="10"/>
    </row>
    <row r="8866" spans="31:52">
      <c r="AE8866" s="10"/>
      <c r="AF8866" s="10"/>
      <c r="AG8866" s="10"/>
      <c r="AH8866" s="10"/>
      <c r="AI8866" s="10"/>
      <c r="AJ8866" s="10"/>
      <c r="AK8866" s="10"/>
      <c r="AL8866" s="10"/>
      <c r="AM8866" s="10"/>
      <c r="AN8866" s="10"/>
      <c r="AO8866" s="10"/>
      <c r="AP8866" s="10"/>
      <c r="AQ8866" s="10"/>
      <c r="AR8866" s="10"/>
      <c r="AS8866" s="10"/>
      <c r="AT8866" s="10"/>
      <c r="AU8866" s="10"/>
      <c r="AV8866" s="10"/>
      <c r="AW8866" s="10"/>
      <c r="AX8866" s="10"/>
      <c r="AY8866" s="10"/>
      <c r="AZ8866" s="10"/>
    </row>
    <row r="8867" spans="31:52">
      <c r="AE8867" s="10"/>
      <c r="AF8867" s="10"/>
      <c r="AG8867" s="10"/>
      <c r="AH8867" s="10"/>
      <c r="AI8867" s="10"/>
      <c r="AJ8867" s="10"/>
      <c r="AK8867" s="10"/>
      <c r="AL8867" s="10"/>
      <c r="AM8867" s="10"/>
      <c r="AN8867" s="10"/>
      <c r="AO8867" s="10"/>
      <c r="AP8867" s="10"/>
      <c r="AQ8867" s="10"/>
      <c r="AR8867" s="10"/>
      <c r="AS8867" s="10"/>
      <c r="AT8867" s="10"/>
      <c r="AU8867" s="10"/>
      <c r="AV8867" s="10"/>
      <c r="AW8867" s="10"/>
      <c r="AX8867" s="10"/>
      <c r="AY8867" s="10"/>
      <c r="AZ8867" s="10"/>
    </row>
    <row r="8868" spans="31:52">
      <c r="AE8868" s="10"/>
      <c r="AF8868" s="10"/>
      <c r="AG8868" s="10"/>
      <c r="AH8868" s="10"/>
      <c r="AI8868" s="10"/>
      <c r="AJ8868" s="10"/>
      <c r="AK8868" s="10"/>
      <c r="AL8868" s="10"/>
      <c r="AM8868" s="10"/>
      <c r="AN8868" s="10"/>
      <c r="AO8868" s="10"/>
      <c r="AP8868" s="10"/>
      <c r="AQ8868" s="10"/>
      <c r="AR8868" s="10"/>
      <c r="AS8868" s="10"/>
      <c r="AT8868" s="10"/>
      <c r="AU8868" s="10"/>
      <c r="AV8868" s="10"/>
      <c r="AW8868" s="10"/>
      <c r="AX8868" s="10"/>
      <c r="AY8868" s="10"/>
      <c r="AZ8868" s="10"/>
    </row>
    <row r="8869" spans="31:52">
      <c r="AE8869" s="10"/>
      <c r="AF8869" s="10"/>
      <c r="AG8869" s="10"/>
      <c r="AH8869" s="10"/>
      <c r="AI8869" s="10"/>
      <c r="AJ8869" s="10"/>
      <c r="AK8869" s="10"/>
      <c r="AL8869" s="10"/>
      <c r="AM8869" s="10"/>
      <c r="AN8869" s="10"/>
      <c r="AO8869" s="10"/>
      <c r="AP8869" s="10"/>
      <c r="AQ8869" s="10"/>
      <c r="AR8869" s="10"/>
      <c r="AS8869" s="10"/>
      <c r="AT8869" s="10"/>
      <c r="AU8869" s="10"/>
      <c r="AV8869" s="10"/>
      <c r="AW8869" s="10"/>
      <c r="AX8869" s="10"/>
      <c r="AY8869" s="10"/>
      <c r="AZ8869" s="10"/>
    </row>
    <row r="8870" spans="31:52">
      <c r="AE8870" s="10"/>
      <c r="AF8870" s="10"/>
      <c r="AG8870" s="10"/>
      <c r="AH8870" s="10"/>
      <c r="AI8870" s="10"/>
      <c r="AJ8870" s="10"/>
      <c r="AK8870" s="10"/>
      <c r="AL8870" s="10"/>
      <c r="AM8870" s="10"/>
      <c r="AN8870" s="10"/>
      <c r="AO8870" s="10"/>
      <c r="AP8870" s="10"/>
      <c r="AQ8870" s="10"/>
      <c r="AR8870" s="10"/>
      <c r="AS8870" s="10"/>
      <c r="AT8870" s="10"/>
      <c r="AU8870" s="10"/>
      <c r="AV8870" s="10"/>
      <c r="AW8870" s="10"/>
      <c r="AX8870" s="10"/>
      <c r="AY8870" s="10"/>
      <c r="AZ8870" s="10"/>
    </row>
    <row r="8871" spans="31:52">
      <c r="AE8871" s="10"/>
      <c r="AF8871" s="10"/>
      <c r="AG8871" s="10"/>
      <c r="AH8871" s="10"/>
      <c r="AI8871" s="10"/>
      <c r="AJ8871" s="10"/>
      <c r="AK8871" s="10"/>
      <c r="AL8871" s="10"/>
      <c r="AM8871" s="10"/>
      <c r="AN8871" s="10"/>
      <c r="AO8871" s="10"/>
      <c r="AP8871" s="10"/>
      <c r="AQ8871" s="10"/>
      <c r="AR8871" s="10"/>
      <c r="AS8871" s="10"/>
      <c r="AT8871" s="10"/>
      <c r="AU8871" s="10"/>
      <c r="AV8871" s="10"/>
      <c r="AW8871" s="10"/>
      <c r="AX8871" s="10"/>
      <c r="AY8871" s="10"/>
      <c r="AZ8871" s="10"/>
    </row>
    <row r="8872" spans="31:52">
      <c r="AE8872" s="10"/>
      <c r="AF8872" s="10"/>
      <c r="AG8872" s="10"/>
      <c r="AH8872" s="10"/>
      <c r="AI8872" s="10"/>
      <c r="AJ8872" s="10"/>
      <c r="AK8872" s="10"/>
      <c r="AL8872" s="10"/>
      <c r="AM8872" s="10"/>
      <c r="AN8872" s="10"/>
      <c r="AO8872" s="10"/>
      <c r="AP8872" s="10"/>
      <c r="AQ8872" s="10"/>
      <c r="AR8872" s="10"/>
      <c r="AS8872" s="10"/>
      <c r="AT8872" s="10"/>
      <c r="AU8872" s="10"/>
      <c r="AV8872" s="10"/>
      <c r="AW8872" s="10"/>
      <c r="AX8872" s="10"/>
      <c r="AY8872" s="10"/>
      <c r="AZ8872" s="10"/>
    </row>
    <row r="8873" spans="31:52">
      <c r="AE8873" s="10"/>
      <c r="AF8873" s="10"/>
      <c r="AG8873" s="10"/>
      <c r="AH8873" s="10"/>
      <c r="AI8873" s="10"/>
      <c r="AJ8873" s="10"/>
      <c r="AK8873" s="10"/>
      <c r="AL8873" s="10"/>
      <c r="AM8873" s="10"/>
      <c r="AN8873" s="10"/>
      <c r="AO8873" s="10"/>
      <c r="AP8873" s="10"/>
      <c r="AQ8873" s="10"/>
      <c r="AR8873" s="10"/>
      <c r="AS8873" s="10"/>
      <c r="AT8873" s="10"/>
      <c r="AU8873" s="10"/>
      <c r="AV8873" s="10"/>
      <c r="AW8873" s="10"/>
      <c r="AX8873" s="10"/>
      <c r="AY8873" s="10"/>
      <c r="AZ8873" s="10"/>
    </row>
    <row r="8874" spans="31:52">
      <c r="AE8874" s="10"/>
      <c r="AF8874" s="10"/>
      <c r="AG8874" s="10"/>
      <c r="AH8874" s="10"/>
      <c r="AI8874" s="10"/>
      <c r="AJ8874" s="10"/>
      <c r="AK8874" s="10"/>
      <c r="AL8874" s="10"/>
      <c r="AM8874" s="10"/>
      <c r="AN8874" s="10"/>
      <c r="AO8874" s="10"/>
      <c r="AP8874" s="10"/>
      <c r="AQ8874" s="10"/>
      <c r="AR8874" s="10"/>
      <c r="AS8874" s="10"/>
      <c r="AT8874" s="10"/>
      <c r="AU8874" s="10"/>
      <c r="AV8874" s="10"/>
      <c r="AW8874" s="10"/>
      <c r="AX8874" s="10"/>
      <c r="AY8874" s="10"/>
      <c r="AZ8874" s="10"/>
    </row>
    <row r="8875" spans="31:52">
      <c r="AE8875" s="10"/>
      <c r="AF8875" s="10"/>
      <c r="AG8875" s="10"/>
      <c r="AH8875" s="10"/>
      <c r="AI8875" s="10"/>
      <c r="AJ8875" s="10"/>
      <c r="AK8875" s="10"/>
      <c r="AL8875" s="10"/>
      <c r="AM8875" s="10"/>
      <c r="AN8875" s="10"/>
      <c r="AO8875" s="10"/>
      <c r="AP8875" s="10"/>
      <c r="AQ8875" s="10"/>
      <c r="AR8875" s="10"/>
      <c r="AS8875" s="10"/>
      <c r="AT8875" s="10"/>
      <c r="AU8875" s="10"/>
      <c r="AV8875" s="10"/>
      <c r="AW8875" s="10"/>
      <c r="AX8875" s="10"/>
      <c r="AY8875" s="10"/>
      <c r="AZ8875" s="10"/>
    </row>
    <row r="8876" spans="31:52">
      <c r="AE8876" s="10"/>
      <c r="AF8876" s="10"/>
      <c r="AG8876" s="10"/>
      <c r="AH8876" s="10"/>
      <c r="AI8876" s="10"/>
      <c r="AJ8876" s="10"/>
      <c r="AK8876" s="10"/>
      <c r="AL8876" s="10"/>
      <c r="AM8876" s="10"/>
      <c r="AN8876" s="10"/>
      <c r="AO8876" s="10"/>
      <c r="AP8876" s="10"/>
      <c r="AQ8876" s="10"/>
      <c r="AR8876" s="10"/>
      <c r="AS8876" s="10"/>
      <c r="AT8876" s="10"/>
      <c r="AU8876" s="10"/>
      <c r="AV8876" s="10"/>
      <c r="AW8876" s="10"/>
      <c r="AX8876" s="10"/>
      <c r="AY8876" s="10"/>
      <c r="AZ8876" s="10"/>
    </row>
    <row r="8877" spans="31:52">
      <c r="AE8877" s="10"/>
      <c r="AF8877" s="10"/>
      <c r="AG8877" s="10"/>
      <c r="AH8877" s="10"/>
      <c r="AI8877" s="10"/>
      <c r="AJ8877" s="10"/>
      <c r="AK8877" s="10"/>
      <c r="AL8877" s="10"/>
      <c r="AM8877" s="10"/>
      <c r="AN8877" s="10"/>
      <c r="AO8877" s="10"/>
      <c r="AP8877" s="10"/>
      <c r="AQ8877" s="10"/>
      <c r="AR8877" s="10"/>
      <c r="AS8877" s="10"/>
      <c r="AT8877" s="10"/>
      <c r="AU8877" s="10"/>
      <c r="AV8877" s="10"/>
      <c r="AW8877" s="10"/>
      <c r="AX8877" s="10"/>
      <c r="AY8877" s="10"/>
      <c r="AZ8877" s="10"/>
    </row>
    <row r="8878" spans="31:52">
      <c r="AE8878" s="10"/>
      <c r="AF8878" s="10"/>
      <c r="AG8878" s="10"/>
      <c r="AH8878" s="10"/>
      <c r="AI8878" s="10"/>
      <c r="AJ8878" s="10"/>
      <c r="AK8878" s="10"/>
      <c r="AL8878" s="10"/>
      <c r="AM8878" s="10"/>
      <c r="AN8878" s="10"/>
      <c r="AO8878" s="10"/>
      <c r="AP8878" s="10"/>
      <c r="AQ8878" s="10"/>
      <c r="AR8878" s="10"/>
      <c r="AS8878" s="10"/>
      <c r="AT8878" s="10"/>
      <c r="AU8878" s="10"/>
      <c r="AV8878" s="10"/>
      <c r="AW8878" s="10"/>
      <c r="AX8878" s="10"/>
      <c r="AY8878" s="10"/>
      <c r="AZ8878" s="10"/>
    </row>
    <row r="8879" spans="31:52">
      <c r="AE8879" s="10"/>
      <c r="AF8879" s="10"/>
      <c r="AG8879" s="10"/>
      <c r="AH8879" s="10"/>
      <c r="AI8879" s="10"/>
      <c r="AJ8879" s="10"/>
      <c r="AK8879" s="10"/>
      <c r="AL8879" s="10"/>
      <c r="AM8879" s="10"/>
      <c r="AN8879" s="10"/>
      <c r="AO8879" s="10"/>
      <c r="AP8879" s="10"/>
      <c r="AQ8879" s="10"/>
      <c r="AR8879" s="10"/>
      <c r="AS8879" s="10"/>
      <c r="AT8879" s="10"/>
      <c r="AU8879" s="10"/>
      <c r="AV8879" s="10"/>
      <c r="AW8879" s="10"/>
      <c r="AX8879" s="10"/>
      <c r="AY8879" s="10"/>
      <c r="AZ8879" s="10"/>
    </row>
    <row r="8880" spans="31:52">
      <c r="AE8880" s="10"/>
      <c r="AF8880" s="10"/>
      <c r="AG8880" s="10"/>
      <c r="AH8880" s="10"/>
      <c r="AI8880" s="10"/>
      <c r="AJ8880" s="10"/>
      <c r="AK8880" s="10"/>
      <c r="AL8880" s="10"/>
      <c r="AM8880" s="10"/>
      <c r="AN8880" s="10"/>
      <c r="AO8880" s="10"/>
      <c r="AP8880" s="10"/>
      <c r="AQ8880" s="10"/>
      <c r="AR8880" s="10"/>
      <c r="AS8880" s="10"/>
      <c r="AT8880" s="10"/>
      <c r="AU8880" s="10"/>
      <c r="AV8880" s="10"/>
      <c r="AW8880" s="10"/>
      <c r="AX8880" s="10"/>
      <c r="AY8880" s="10"/>
      <c r="AZ8880" s="10"/>
    </row>
    <row r="8881" spans="31:52">
      <c r="AE8881" s="10"/>
      <c r="AF8881" s="10"/>
      <c r="AG8881" s="10"/>
      <c r="AH8881" s="10"/>
      <c r="AI8881" s="10"/>
      <c r="AJ8881" s="10"/>
      <c r="AK8881" s="10"/>
      <c r="AL8881" s="10"/>
      <c r="AM8881" s="10"/>
      <c r="AN8881" s="10"/>
      <c r="AO8881" s="10"/>
      <c r="AP8881" s="10"/>
      <c r="AQ8881" s="10"/>
      <c r="AR8881" s="10"/>
      <c r="AS8881" s="10"/>
      <c r="AT8881" s="10"/>
      <c r="AU8881" s="10"/>
      <c r="AV8881" s="10"/>
      <c r="AW8881" s="10"/>
      <c r="AX8881" s="10"/>
      <c r="AY8881" s="10"/>
      <c r="AZ8881" s="10"/>
    </row>
    <row r="8882" spans="31:52">
      <c r="AE8882" s="10"/>
      <c r="AF8882" s="10"/>
      <c r="AG8882" s="10"/>
      <c r="AH8882" s="10"/>
      <c r="AI8882" s="10"/>
      <c r="AJ8882" s="10"/>
      <c r="AK8882" s="10"/>
      <c r="AL8882" s="10"/>
      <c r="AM8882" s="10"/>
      <c r="AN8882" s="10"/>
      <c r="AO8882" s="10"/>
      <c r="AP8882" s="10"/>
      <c r="AQ8882" s="10"/>
      <c r="AR8882" s="10"/>
      <c r="AS8882" s="10"/>
      <c r="AT8882" s="10"/>
      <c r="AU8882" s="10"/>
      <c r="AV8882" s="10"/>
      <c r="AW8882" s="10"/>
      <c r="AX8882" s="10"/>
      <c r="AY8882" s="10"/>
      <c r="AZ8882" s="10"/>
    </row>
    <row r="8883" spans="31:52">
      <c r="AE8883" s="10"/>
      <c r="AF8883" s="10"/>
      <c r="AG8883" s="10"/>
      <c r="AH8883" s="10"/>
      <c r="AI8883" s="10"/>
      <c r="AJ8883" s="10"/>
      <c r="AK8883" s="10"/>
      <c r="AL8883" s="10"/>
      <c r="AM8883" s="10"/>
      <c r="AN8883" s="10"/>
      <c r="AO8883" s="10"/>
      <c r="AP8883" s="10"/>
      <c r="AQ8883" s="10"/>
      <c r="AR8883" s="10"/>
      <c r="AS8883" s="10"/>
      <c r="AT8883" s="10"/>
      <c r="AU8883" s="10"/>
      <c r="AV8883" s="10"/>
      <c r="AW8883" s="10"/>
      <c r="AX8883" s="10"/>
      <c r="AY8883" s="10"/>
      <c r="AZ8883" s="10"/>
    </row>
    <row r="8884" spans="31:52">
      <c r="AE8884" s="10"/>
      <c r="AF8884" s="10"/>
      <c r="AG8884" s="10"/>
      <c r="AH8884" s="10"/>
      <c r="AI8884" s="10"/>
      <c r="AJ8884" s="10"/>
      <c r="AK8884" s="10"/>
      <c r="AL8884" s="10"/>
      <c r="AM8884" s="10"/>
      <c r="AN8884" s="10"/>
      <c r="AO8884" s="10"/>
      <c r="AP8884" s="10"/>
      <c r="AQ8884" s="10"/>
      <c r="AR8884" s="10"/>
      <c r="AS8884" s="10"/>
      <c r="AT8884" s="10"/>
      <c r="AU8884" s="10"/>
      <c r="AV8884" s="10"/>
      <c r="AW8884" s="10"/>
      <c r="AX8884" s="10"/>
      <c r="AY8884" s="10"/>
      <c r="AZ8884" s="10"/>
    </row>
    <row r="8885" spans="31:52">
      <c r="AE8885" s="10"/>
      <c r="AF8885" s="10"/>
      <c r="AG8885" s="10"/>
      <c r="AH8885" s="10"/>
      <c r="AI8885" s="10"/>
      <c r="AJ8885" s="10"/>
      <c r="AK8885" s="10"/>
      <c r="AL8885" s="10"/>
      <c r="AM8885" s="10"/>
      <c r="AN8885" s="10"/>
      <c r="AO8885" s="10"/>
      <c r="AP8885" s="10"/>
      <c r="AQ8885" s="10"/>
      <c r="AR8885" s="10"/>
      <c r="AS8885" s="10"/>
      <c r="AT8885" s="10"/>
      <c r="AU8885" s="10"/>
      <c r="AV8885" s="10"/>
      <c r="AW8885" s="10"/>
      <c r="AX8885" s="10"/>
      <c r="AY8885" s="10"/>
      <c r="AZ8885" s="10"/>
    </row>
    <row r="8886" spans="31:52">
      <c r="AE8886" s="10"/>
      <c r="AF8886" s="10"/>
      <c r="AG8886" s="10"/>
      <c r="AH8886" s="10"/>
      <c r="AI8886" s="10"/>
      <c r="AJ8886" s="10"/>
      <c r="AK8886" s="10"/>
      <c r="AL8886" s="10"/>
      <c r="AM8886" s="10"/>
      <c r="AN8886" s="10"/>
      <c r="AO8886" s="10"/>
      <c r="AP8886" s="10"/>
      <c r="AQ8886" s="10"/>
      <c r="AR8886" s="10"/>
      <c r="AS8886" s="10"/>
      <c r="AT8886" s="10"/>
      <c r="AU8886" s="10"/>
      <c r="AV8886" s="10"/>
      <c r="AW8886" s="10"/>
      <c r="AX8886" s="10"/>
      <c r="AY8886" s="10"/>
      <c r="AZ8886" s="10"/>
    </row>
    <row r="8887" spans="31:52">
      <c r="AE8887" s="10"/>
      <c r="AF8887" s="10"/>
      <c r="AG8887" s="10"/>
      <c r="AH8887" s="10"/>
      <c r="AI8887" s="10"/>
      <c r="AJ8887" s="10"/>
      <c r="AK8887" s="10"/>
      <c r="AL8887" s="10"/>
      <c r="AM8887" s="10"/>
      <c r="AN8887" s="10"/>
      <c r="AO8887" s="10"/>
      <c r="AP8887" s="10"/>
      <c r="AQ8887" s="10"/>
      <c r="AR8887" s="10"/>
      <c r="AS8887" s="10"/>
      <c r="AT8887" s="10"/>
      <c r="AU8887" s="10"/>
      <c r="AV8887" s="10"/>
      <c r="AW8887" s="10"/>
      <c r="AX8887" s="10"/>
      <c r="AY8887" s="10"/>
      <c r="AZ8887" s="10"/>
    </row>
    <row r="8888" spans="31:52">
      <c r="AE8888" s="10"/>
      <c r="AF8888" s="10"/>
      <c r="AG8888" s="10"/>
      <c r="AH8888" s="10"/>
      <c r="AI8888" s="10"/>
      <c r="AJ8888" s="10"/>
      <c r="AK8888" s="10"/>
      <c r="AL8888" s="10"/>
      <c r="AM8888" s="10"/>
      <c r="AN8888" s="10"/>
      <c r="AO8888" s="10"/>
      <c r="AP8888" s="10"/>
      <c r="AQ8888" s="10"/>
      <c r="AR8888" s="10"/>
      <c r="AS8888" s="10"/>
      <c r="AT8888" s="10"/>
      <c r="AU8888" s="10"/>
      <c r="AV8888" s="10"/>
      <c r="AW8888" s="10"/>
      <c r="AX8888" s="10"/>
      <c r="AY8888" s="10"/>
      <c r="AZ8888" s="10"/>
    </row>
    <row r="8889" spans="31:52">
      <c r="AE8889" s="10"/>
      <c r="AF8889" s="10"/>
      <c r="AG8889" s="10"/>
      <c r="AH8889" s="10"/>
      <c r="AI8889" s="10"/>
      <c r="AJ8889" s="10"/>
      <c r="AK8889" s="10"/>
      <c r="AL8889" s="10"/>
      <c r="AM8889" s="10"/>
      <c r="AN8889" s="10"/>
      <c r="AO8889" s="10"/>
      <c r="AP8889" s="10"/>
      <c r="AQ8889" s="10"/>
      <c r="AR8889" s="10"/>
      <c r="AS8889" s="10"/>
      <c r="AT8889" s="10"/>
      <c r="AU8889" s="10"/>
      <c r="AV8889" s="10"/>
      <c r="AW8889" s="10"/>
      <c r="AX8889" s="10"/>
      <c r="AY8889" s="10"/>
      <c r="AZ8889" s="10"/>
    </row>
    <row r="8890" spans="31:52">
      <c r="AE8890" s="10"/>
      <c r="AF8890" s="10"/>
      <c r="AG8890" s="10"/>
      <c r="AH8890" s="10"/>
      <c r="AI8890" s="10"/>
      <c r="AJ8890" s="10"/>
      <c r="AK8890" s="10"/>
      <c r="AL8890" s="10"/>
      <c r="AM8890" s="10"/>
      <c r="AN8890" s="10"/>
      <c r="AO8890" s="10"/>
      <c r="AP8890" s="10"/>
      <c r="AQ8890" s="10"/>
      <c r="AR8890" s="10"/>
      <c r="AS8890" s="10"/>
      <c r="AT8890" s="10"/>
      <c r="AU8890" s="10"/>
      <c r="AV8890" s="10"/>
      <c r="AW8890" s="10"/>
      <c r="AX8890" s="10"/>
      <c r="AY8890" s="10"/>
      <c r="AZ8890" s="10"/>
    </row>
    <row r="8891" spans="31:52">
      <c r="AE8891" s="10"/>
      <c r="AF8891" s="10"/>
      <c r="AG8891" s="10"/>
      <c r="AH8891" s="10"/>
      <c r="AI8891" s="10"/>
      <c r="AJ8891" s="10"/>
      <c r="AK8891" s="10"/>
      <c r="AL8891" s="10"/>
      <c r="AM8891" s="10"/>
      <c r="AN8891" s="10"/>
      <c r="AO8891" s="10"/>
      <c r="AP8891" s="10"/>
      <c r="AQ8891" s="10"/>
      <c r="AR8891" s="10"/>
      <c r="AS8891" s="10"/>
      <c r="AT8891" s="10"/>
      <c r="AU8891" s="10"/>
      <c r="AV8891" s="10"/>
      <c r="AW8891" s="10"/>
      <c r="AX8891" s="10"/>
      <c r="AY8891" s="10"/>
      <c r="AZ8891" s="10"/>
    </row>
    <row r="8892" spans="31:52">
      <c r="AE8892" s="10"/>
      <c r="AF8892" s="10"/>
      <c r="AG8892" s="10"/>
      <c r="AH8892" s="10"/>
      <c r="AI8892" s="10"/>
      <c r="AJ8892" s="10"/>
      <c r="AK8892" s="10"/>
      <c r="AL8892" s="10"/>
      <c r="AM8892" s="10"/>
      <c r="AN8892" s="10"/>
      <c r="AO8892" s="10"/>
      <c r="AP8892" s="10"/>
      <c r="AQ8892" s="10"/>
      <c r="AR8892" s="10"/>
      <c r="AS8892" s="10"/>
      <c r="AT8892" s="10"/>
      <c r="AU8892" s="10"/>
      <c r="AV8892" s="10"/>
      <c r="AW8892" s="10"/>
      <c r="AX8892" s="10"/>
      <c r="AY8892" s="10"/>
      <c r="AZ8892" s="10"/>
    </row>
    <row r="8893" spans="31:52">
      <c r="AE8893" s="10"/>
      <c r="AF8893" s="10"/>
      <c r="AG8893" s="10"/>
      <c r="AH8893" s="10"/>
      <c r="AI8893" s="10"/>
      <c r="AJ8893" s="10"/>
      <c r="AK8893" s="10"/>
      <c r="AL8893" s="10"/>
      <c r="AM8893" s="10"/>
      <c r="AN8893" s="10"/>
      <c r="AO8893" s="10"/>
      <c r="AP8893" s="10"/>
      <c r="AQ8893" s="10"/>
      <c r="AR8893" s="10"/>
      <c r="AS8893" s="10"/>
      <c r="AT8893" s="10"/>
      <c r="AU8893" s="10"/>
      <c r="AV8893" s="10"/>
      <c r="AW8893" s="10"/>
      <c r="AX8893" s="10"/>
      <c r="AY8893" s="10"/>
      <c r="AZ8893" s="10"/>
    </row>
    <row r="8894" spans="31:52">
      <c r="AE8894" s="10"/>
      <c r="AF8894" s="10"/>
      <c r="AG8894" s="10"/>
      <c r="AH8894" s="10"/>
      <c r="AI8894" s="10"/>
      <c r="AJ8894" s="10"/>
      <c r="AK8894" s="10"/>
      <c r="AL8894" s="10"/>
      <c r="AM8894" s="10"/>
      <c r="AN8894" s="10"/>
      <c r="AO8894" s="10"/>
      <c r="AP8894" s="10"/>
      <c r="AQ8894" s="10"/>
      <c r="AR8894" s="10"/>
      <c r="AS8894" s="10"/>
      <c r="AT8894" s="10"/>
      <c r="AU8894" s="10"/>
      <c r="AV8894" s="10"/>
      <c r="AW8894" s="10"/>
      <c r="AX8894" s="10"/>
      <c r="AY8894" s="10"/>
      <c r="AZ8894" s="10"/>
    </row>
    <row r="8895" spans="31:52">
      <c r="AE8895" s="10"/>
      <c r="AF8895" s="10"/>
      <c r="AG8895" s="10"/>
      <c r="AH8895" s="10"/>
      <c r="AI8895" s="10"/>
      <c r="AJ8895" s="10"/>
      <c r="AK8895" s="10"/>
      <c r="AL8895" s="10"/>
      <c r="AM8895" s="10"/>
      <c r="AN8895" s="10"/>
      <c r="AO8895" s="10"/>
      <c r="AP8895" s="10"/>
      <c r="AQ8895" s="10"/>
      <c r="AR8895" s="10"/>
      <c r="AS8895" s="10"/>
      <c r="AT8895" s="10"/>
      <c r="AU8895" s="10"/>
      <c r="AV8895" s="10"/>
      <c r="AW8895" s="10"/>
      <c r="AX8895" s="10"/>
      <c r="AY8895" s="10"/>
      <c r="AZ8895" s="10"/>
    </row>
    <row r="8896" spans="31:52">
      <c r="AE8896" s="10"/>
      <c r="AF8896" s="10"/>
      <c r="AG8896" s="10"/>
      <c r="AH8896" s="10"/>
      <c r="AI8896" s="10"/>
      <c r="AJ8896" s="10"/>
      <c r="AK8896" s="10"/>
      <c r="AL8896" s="10"/>
      <c r="AM8896" s="10"/>
      <c r="AN8896" s="10"/>
      <c r="AO8896" s="10"/>
      <c r="AP8896" s="10"/>
      <c r="AQ8896" s="10"/>
      <c r="AR8896" s="10"/>
      <c r="AS8896" s="10"/>
      <c r="AT8896" s="10"/>
      <c r="AU8896" s="10"/>
      <c r="AV8896" s="10"/>
      <c r="AW8896" s="10"/>
      <c r="AX8896" s="10"/>
      <c r="AY8896" s="10"/>
      <c r="AZ8896" s="10"/>
    </row>
    <row r="8897" spans="31:52">
      <c r="AE8897" s="10"/>
      <c r="AF8897" s="10"/>
      <c r="AG8897" s="10"/>
      <c r="AH8897" s="10"/>
      <c r="AI8897" s="10"/>
      <c r="AJ8897" s="10"/>
      <c r="AK8897" s="10"/>
      <c r="AL8897" s="10"/>
      <c r="AM8897" s="10"/>
      <c r="AN8897" s="10"/>
      <c r="AO8897" s="10"/>
      <c r="AP8897" s="10"/>
      <c r="AQ8897" s="10"/>
      <c r="AR8897" s="10"/>
      <c r="AS8897" s="10"/>
      <c r="AT8897" s="10"/>
      <c r="AU8897" s="10"/>
      <c r="AV8897" s="10"/>
      <c r="AW8897" s="10"/>
      <c r="AX8897" s="10"/>
      <c r="AY8897" s="10"/>
      <c r="AZ8897" s="10"/>
    </row>
    <row r="8898" spans="31:52">
      <c r="AE8898" s="10"/>
      <c r="AF8898" s="10"/>
      <c r="AG8898" s="10"/>
      <c r="AH8898" s="10"/>
      <c r="AI8898" s="10"/>
      <c r="AJ8898" s="10"/>
      <c r="AK8898" s="10"/>
      <c r="AL8898" s="10"/>
      <c r="AM8898" s="10"/>
      <c r="AN8898" s="10"/>
      <c r="AO8898" s="10"/>
      <c r="AP8898" s="10"/>
      <c r="AQ8898" s="10"/>
      <c r="AR8898" s="10"/>
      <c r="AS8898" s="10"/>
      <c r="AT8898" s="10"/>
      <c r="AU8898" s="10"/>
      <c r="AV8898" s="10"/>
      <c r="AW8898" s="10"/>
      <c r="AX8898" s="10"/>
      <c r="AY8898" s="10"/>
      <c r="AZ8898" s="10"/>
    </row>
    <row r="8899" spans="31:52">
      <c r="AE8899" s="10"/>
      <c r="AF8899" s="10"/>
      <c r="AG8899" s="10"/>
      <c r="AH8899" s="10"/>
      <c r="AI8899" s="10"/>
      <c r="AJ8899" s="10"/>
      <c r="AK8899" s="10"/>
      <c r="AL8899" s="10"/>
      <c r="AM8899" s="10"/>
      <c r="AN8899" s="10"/>
      <c r="AO8899" s="10"/>
      <c r="AP8899" s="10"/>
      <c r="AQ8899" s="10"/>
      <c r="AR8899" s="10"/>
      <c r="AS8899" s="10"/>
      <c r="AT8899" s="10"/>
      <c r="AU8899" s="10"/>
      <c r="AV8899" s="10"/>
      <c r="AW8899" s="10"/>
      <c r="AX8899" s="10"/>
      <c r="AY8899" s="10"/>
      <c r="AZ8899" s="10"/>
    </row>
    <row r="8900" spans="31:52">
      <c r="AE8900" s="10"/>
      <c r="AF8900" s="10"/>
      <c r="AG8900" s="10"/>
      <c r="AH8900" s="10"/>
      <c r="AI8900" s="10"/>
      <c r="AJ8900" s="10"/>
      <c r="AK8900" s="10"/>
      <c r="AL8900" s="10"/>
      <c r="AM8900" s="10"/>
      <c r="AN8900" s="10"/>
      <c r="AO8900" s="10"/>
      <c r="AP8900" s="10"/>
      <c r="AQ8900" s="10"/>
      <c r="AR8900" s="10"/>
      <c r="AS8900" s="10"/>
      <c r="AT8900" s="10"/>
      <c r="AU8900" s="10"/>
      <c r="AV8900" s="10"/>
      <c r="AW8900" s="10"/>
      <c r="AX8900" s="10"/>
      <c r="AY8900" s="10"/>
      <c r="AZ8900" s="10"/>
    </row>
    <row r="8901" spans="31:52">
      <c r="AE8901" s="10"/>
      <c r="AF8901" s="10"/>
      <c r="AG8901" s="10"/>
      <c r="AH8901" s="10"/>
      <c r="AI8901" s="10"/>
      <c r="AJ8901" s="10"/>
      <c r="AK8901" s="10"/>
      <c r="AL8901" s="10"/>
      <c r="AM8901" s="10"/>
      <c r="AN8901" s="10"/>
      <c r="AO8901" s="10"/>
      <c r="AP8901" s="10"/>
      <c r="AQ8901" s="10"/>
      <c r="AR8901" s="10"/>
      <c r="AS8901" s="10"/>
      <c r="AT8901" s="10"/>
      <c r="AU8901" s="10"/>
      <c r="AV8901" s="10"/>
      <c r="AW8901" s="10"/>
      <c r="AX8901" s="10"/>
      <c r="AY8901" s="10"/>
      <c r="AZ8901" s="10"/>
    </row>
    <row r="8902" spans="31:52">
      <c r="AE8902" s="10"/>
      <c r="AF8902" s="10"/>
      <c r="AG8902" s="10"/>
      <c r="AH8902" s="10"/>
      <c r="AI8902" s="10"/>
      <c r="AJ8902" s="10"/>
      <c r="AK8902" s="10"/>
      <c r="AL8902" s="10"/>
      <c r="AM8902" s="10"/>
      <c r="AN8902" s="10"/>
      <c r="AO8902" s="10"/>
      <c r="AP8902" s="10"/>
      <c r="AQ8902" s="10"/>
      <c r="AR8902" s="10"/>
      <c r="AS8902" s="10"/>
      <c r="AT8902" s="10"/>
      <c r="AU8902" s="10"/>
      <c r="AV8902" s="10"/>
      <c r="AW8902" s="10"/>
      <c r="AX8902" s="10"/>
      <c r="AY8902" s="10"/>
      <c r="AZ8902" s="10"/>
    </row>
    <row r="8903" spans="31:52">
      <c r="AE8903" s="10"/>
      <c r="AF8903" s="10"/>
      <c r="AG8903" s="10"/>
      <c r="AH8903" s="10"/>
      <c r="AI8903" s="10"/>
      <c r="AJ8903" s="10"/>
      <c r="AK8903" s="10"/>
      <c r="AL8903" s="10"/>
      <c r="AM8903" s="10"/>
      <c r="AN8903" s="10"/>
      <c r="AO8903" s="10"/>
      <c r="AP8903" s="10"/>
      <c r="AQ8903" s="10"/>
      <c r="AR8903" s="10"/>
      <c r="AS8903" s="10"/>
      <c r="AT8903" s="10"/>
      <c r="AU8903" s="10"/>
      <c r="AV8903" s="10"/>
      <c r="AW8903" s="10"/>
      <c r="AX8903" s="10"/>
      <c r="AY8903" s="10"/>
      <c r="AZ8903" s="10"/>
    </row>
    <row r="8904" spans="31:52">
      <c r="AE8904" s="10"/>
      <c r="AF8904" s="10"/>
      <c r="AG8904" s="10"/>
      <c r="AH8904" s="10"/>
      <c r="AI8904" s="10"/>
      <c r="AJ8904" s="10"/>
      <c r="AK8904" s="10"/>
      <c r="AL8904" s="10"/>
      <c r="AM8904" s="10"/>
      <c r="AN8904" s="10"/>
      <c r="AO8904" s="10"/>
      <c r="AP8904" s="10"/>
      <c r="AQ8904" s="10"/>
      <c r="AR8904" s="10"/>
      <c r="AS8904" s="10"/>
      <c r="AT8904" s="10"/>
      <c r="AU8904" s="10"/>
      <c r="AV8904" s="10"/>
      <c r="AW8904" s="10"/>
      <c r="AX8904" s="10"/>
      <c r="AY8904" s="10"/>
      <c r="AZ8904" s="10"/>
    </row>
    <row r="8905" spans="31:52">
      <c r="AE8905" s="10"/>
      <c r="AF8905" s="10"/>
      <c r="AG8905" s="10"/>
      <c r="AH8905" s="10"/>
      <c r="AI8905" s="10"/>
      <c r="AJ8905" s="10"/>
      <c r="AK8905" s="10"/>
      <c r="AL8905" s="10"/>
      <c r="AM8905" s="10"/>
      <c r="AN8905" s="10"/>
      <c r="AO8905" s="10"/>
      <c r="AP8905" s="10"/>
      <c r="AQ8905" s="10"/>
      <c r="AR8905" s="10"/>
      <c r="AS8905" s="10"/>
      <c r="AT8905" s="10"/>
      <c r="AU8905" s="10"/>
      <c r="AV8905" s="10"/>
      <c r="AW8905" s="10"/>
      <c r="AX8905" s="10"/>
      <c r="AY8905" s="10"/>
      <c r="AZ8905" s="10"/>
    </row>
    <row r="8906" spans="31:52">
      <c r="AE8906" s="10"/>
      <c r="AF8906" s="10"/>
      <c r="AG8906" s="10"/>
      <c r="AH8906" s="10"/>
      <c r="AI8906" s="10"/>
      <c r="AJ8906" s="10"/>
      <c r="AK8906" s="10"/>
      <c r="AL8906" s="10"/>
      <c r="AM8906" s="10"/>
      <c r="AN8906" s="10"/>
      <c r="AO8906" s="10"/>
      <c r="AP8906" s="10"/>
      <c r="AQ8906" s="10"/>
      <c r="AR8906" s="10"/>
      <c r="AS8906" s="10"/>
      <c r="AT8906" s="10"/>
      <c r="AU8906" s="10"/>
      <c r="AV8906" s="10"/>
      <c r="AW8906" s="10"/>
      <c r="AX8906" s="10"/>
      <c r="AY8906" s="10"/>
      <c r="AZ8906" s="10"/>
    </row>
    <row r="8907" spans="31:52">
      <c r="AE8907" s="10"/>
      <c r="AF8907" s="10"/>
      <c r="AG8907" s="10"/>
      <c r="AH8907" s="10"/>
      <c r="AI8907" s="10"/>
      <c r="AJ8907" s="10"/>
      <c r="AK8907" s="10"/>
      <c r="AL8907" s="10"/>
      <c r="AM8907" s="10"/>
      <c r="AN8907" s="10"/>
      <c r="AO8907" s="10"/>
      <c r="AP8907" s="10"/>
      <c r="AQ8907" s="10"/>
      <c r="AR8907" s="10"/>
      <c r="AS8907" s="10"/>
      <c r="AT8907" s="10"/>
      <c r="AU8907" s="10"/>
      <c r="AV8907" s="10"/>
      <c r="AW8907" s="10"/>
      <c r="AX8907" s="10"/>
      <c r="AY8907" s="10"/>
      <c r="AZ8907" s="10"/>
    </row>
    <row r="8908" spans="31:52">
      <c r="AE8908" s="10"/>
      <c r="AF8908" s="10"/>
      <c r="AG8908" s="10"/>
      <c r="AH8908" s="10"/>
      <c r="AI8908" s="10"/>
      <c r="AJ8908" s="10"/>
      <c r="AK8908" s="10"/>
      <c r="AL8908" s="10"/>
      <c r="AM8908" s="10"/>
      <c r="AN8908" s="10"/>
      <c r="AO8908" s="10"/>
      <c r="AP8908" s="10"/>
      <c r="AQ8908" s="10"/>
      <c r="AR8908" s="10"/>
      <c r="AS8908" s="10"/>
      <c r="AT8908" s="10"/>
      <c r="AU8908" s="10"/>
      <c r="AV8908" s="10"/>
      <c r="AW8908" s="10"/>
      <c r="AX8908" s="10"/>
      <c r="AY8908" s="10"/>
      <c r="AZ8908" s="10"/>
    </row>
    <row r="8909" spans="31:52">
      <c r="AE8909" s="10"/>
      <c r="AF8909" s="10"/>
      <c r="AG8909" s="10"/>
      <c r="AH8909" s="10"/>
      <c r="AI8909" s="10"/>
      <c r="AJ8909" s="10"/>
      <c r="AK8909" s="10"/>
      <c r="AL8909" s="10"/>
      <c r="AM8909" s="10"/>
      <c r="AN8909" s="10"/>
      <c r="AO8909" s="10"/>
      <c r="AP8909" s="10"/>
      <c r="AQ8909" s="10"/>
      <c r="AR8909" s="10"/>
      <c r="AS8909" s="10"/>
      <c r="AT8909" s="10"/>
      <c r="AU8909" s="10"/>
      <c r="AV8909" s="10"/>
      <c r="AW8909" s="10"/>
      <c r="AX8909" s="10"/>
      <c r="AY8909" s="10"/>
      <c r="AZ8909" s="10"/>
    </row>
    <row r="8910" spans="31:52">
      <c r="AE8910" s="10"/>
      <c r="AF8910" s="10"/>
      <c r="AG8910" s="10"/>
      <c r="AH8910" s="10"/>
      <c r="AI8910" s="10"/>
      <c r="AJ8910" s="10"/>
      <c r="AK8910" s="10"/>
      <c r="AL8910" s="10"/>
      <c r="AM8910" s="10"/>
      <c r="AN8910" s="10"/>
      <c r="AO8910" s="10"/>
      <c r="AP8910" s="10"/>
      <c r="AQ8910" s="10"/>
      <c r="AR8910" s="10"/>
      <c r="AS8910" s="10"/>
      <c r="AT8910" s="10"/>
      <c r="AU8910" s="10"/>
      <c r="AV8910" s="10"/>
      <c r="AW8910" s="10"/>
      <c r="AX8910" s="10"/>
      <c r="AY8910" s="10"/>
      <c r="AZ8910" s="10"/>
    </row>
    <row r="8911" spans="31:52">
      <c r="AE8911" s="10"/>
      <c r="AF8911" s="10"/>
      <c r="AG8911" s="10"/>
      <c r="AH8911" s="10"/>
      <c r="AI8911" s="10"/>
      <c r="AJ8911" s="10"/>
      <c r="AK8911" s="10"/>
      <c r="AL8911" s="10"/>
      <c r="AM8911" s="10"/>
      <c r="AN8911" s="10"/>
      <c r="AO8911" s="10"/>
      <c r="AP8911" s="10"/>
      <c r="AQ8911" s="10"/>
      <c r="AR8911" s="10"/>
      <c r="AS8911" s="10"/>
      <c r="AT8911" s="10"/>
      <c r="AU8911" s="10"/>
      <c r="AV8911" s="10"/>
      <c r="AW8911" s="10"/>
      <c r="AX8911" s="10"/>
      <c r="AY8911" s="10"/>
      <c r="AZ8911" s="10"/>
    </row>
    <row r="8912" spans="31:52">
      <c r="AE8912" s="10"/>
      <c r="AF8912" s="10"/>
      <c r="AG8912" s="10"/>
      <c r="AH8912" s="10"/>
      <c r="AI8912" s="10"/>
      <c r="AJ8912" s="10"/>
      <c r="AK8912" s="10"/>
      <c r="AL8912" s="10"/>
      <c r="AM8912" s="10"/>
      <c r="AN8912" s="10"/>
      <c r="AO8912" s="10"/>
      <c r="AP8912" s="10"/>
      <c r="AQ8912" s="10"/>
      <c r="AR8912" s="10"/>
      <c r="AS8912" s="10"/>
      <c r="AT8912" s="10"/>
      <c r="AU8912" s="10"/>
      <c r="AV8912" s="10"/>
      <c r="AW8912" s="10"/>
      <c r="AX8912" s="10"/>
      <c r="AY8912" s="10"/>
      <c r="AZ8912" s="10"/>
    </row>
    <row r="8913" spans="31:52">
      <c r="AE8913" s="10"/>
      <c r="AF8913" s="10"/>
      <c r="AG8913" s="10"/>
      <c r="AH8913" s="10"/>
      <c r="AI8913" s="10"/>
      <c r="AJ8913" s="10"/>
      <c r="AK8913" s="10"/>
      <c r="AL8913" s="10"/>
      <c r="AM8913" s="10"/>
      <c r="AN8913" s="10"/>
      <c r="AO8913" s="10"/>
      <c r="AP8913" s="10"/>
      <c r="AQ8913" s="10"/>
      <c r="AR8913" s="10"/>
      <c r="AS8913" s="10"/>
      <c r="AT8913" s="10"/>
      <c r="AU8913" s="10"/>
      <c r="AV8913" s="10"/>
      <c r="AW8913" s="10"/>
      <c r="AX8913" s="10"/>
      <c r="AY8913" s="10"/>
      <c r="AZ8913" s="10"/>
    </row>
    <row r="8914" spans="31:52">
      <c r="AE8914" s="10"/>
      <c r="AF8914" s="10"/>
      <c r="AG8914" s="10"/>
      <c r="AH8914" s="10"/>
      <c r="AI8914" s="10"/>
      <c r="AJ8914" s="10"/>
      <c r="AK8914" s="10"/>
      <c r="AL8914" s="10"/>
      <c r="AM8914" s="10"/>
      <c r="AN8914" s="10"/>
      <c r="AO8914" s="10"/>
      <c r="AP8914" s="10"/>
      <c r="AQ8914" s="10"/>
      <c r="AR8914" s="10"/>
      <c r="AS8914" s="10"/>
      <c r="AT8914" s="10"/>
      <c r="AU8914" s="10"/>
      <c r="AV8914" s="10"/>
      <c r="AW8914" s="10"/>
      <c r="AX8914" s="10"/>
      <c r="AY8914" s="10"/>
      <c r="AZ8914" s="10"/>
    </row>
    <row r="8915" spans="31:52">
      <c r="AE8915" s="10"/>
      <c r="AF8915" s="10"/>
      <c r="AG8915" s="10"/>
      <c r="AH8915" s="10"/>
      <c r="AI8915" s="10"/>
      <c r="AJ8915" s="10"/>
      <c r="AK8915" s="10"/>
      <c r="AL8915" s="10"/>
      <c r="AM8915" s="10"/>
      <c r="AN8915" s="10"/>
      <c r="AO8915" s="10"/>
      <c r="AP8915" s="10"/>
      <c r="AQ8915" s="10"/>
      <c r="AR8915" s="10"/>
      <c r="AS8915" s="10"/>
      <c r="AT8915" s="10"/>
      <c r="AU8915" s="10"/>
      <c r="AV8915" s="10"/>
      <c r="AW8915" s="10"/>
      <c r="AX8915" s="10"/>
      <c r="AY8915" s="10"/>
      <c r="AZ8915" s="10"/>
    </row>
    <row r="8916" spans="31:52">
      <c r="AE8916" s="10"/>
      <c r="AF8916" s="10"/>
      <c r="AG8916" s="10"/>
      <c r="AH8916" s="10"/>
      <c r="AI8916" s="10"/>
      <c r="AJ8916" s="10"/>
      <c r="AK8916" s="10"/>
      <c r="AL8916" s="10"/>
      <c r="AM8916" s="10"/>
      <c r="AN8916" s="10"/>
      <c r="AO8916" s="10"/>
      <c r="AP8916" s="10"/>
      <c r="AQ8916" s="10"/>
      <c r="AR8916" s="10"/>
      <c r="AS8916" s="10"/>
      <c r="AT8916" s="10"/>
      <c r="AU8916" s="10"/>
      <c r="AV8916" s="10"/>
      <c r="AW8916" s="10"/>
      <c r="AX8916" s="10"/>
      <c r="AY8916" s="10"/>
      <c r="AZ8916" s="10"/>
    </row>
    <row r="8917" spans="31:52">
      <c r="AE8917" s="10"/>
      <c r="AF8917" s="10"/>
      <c r="AG8917" s="10"/>
      <c r="AH8917" s="10"/>
      <c r="AI8917" s="10"/>
      <c r="AJ8917" s="10"/>
      <c r="AK8917" s="10"/>
      <c r="AL8917" s="10"/>
      <c r="AM8917" s="10"/>
      <c r="AN8917" s="10"/>
      <c r="AO8917" s="10"/>
      <c r="AP8917" s="10"/>
      <c r="AQ8917" s="10"/>
      <c r="AR8917" s="10"/>
      <c r="AS8917" s="10"/>
      <c r="AT8917" s="10"/>
      <c r="AU8917" s="10"/>
      <c r="AV8917" s="10"/>
      <c r="AW8917" s="10"/>
      <c r="AX8917" s="10"/>
      <c r="AY8917" s="10"/>
      <c r="AZ8917" s="10"/>
    </row>
    <row r="8918" spans="31:52">
      <c r="AE8918" s="10"/>
      <c r="AF8918" s="10"/>
      <c r="AG8918" s="10"/>
      <c r="AH8918" s="10"/>
      <c r="AI8918" s="10"/>
      <c r="AJ8918" s="10"/>
      <c r="AK8918" s="10"/>
      <c r="AL8918" s="10"/>
      <c r="AM8918" s="10"/>
      <c r="AN8918" s="10"/>
      <c r="AO8918" s="10"/>
      <c r="AP8918" s="10"/>
      <c r="AQ8918" s="10"/>
      <c r="AR8918" s="10"/>
      <c r="AS8918" s="10"/>
      <c r="AT8918" s="10"/>
      <c r="AU8918" s="10"/>
      <c r="AV8918" s="10"/>
      <c r="AW8918" s="10"/>
      <c r="AX8918" s="10"/>
      <c r="AY8918" s="10"/>
      <c r="AZ8918" s="10"/>
    </row>
    <row r="8919" spans="31:52">
      <c r="AE8919" s="10"/>
      <c r="AF8919" s="10"/>
      <c r="AG8919" s="10"/>
      <c r="AH8919" s="10"/>
      <c r="AI8919" s="10"/>
      <c r="AJ8919" s="10"/>
      <c r="AK8919" s="10"/>
      <c r="AL8919" s="10"/>
      <c r="AM8919" s="10"/>
      <c r="AN8919" s="10"/>
      <c r="AO8919" s="10"/>
      <c r="AP8919" s="10"/>
      <c r="AQ8919" s="10"/>
      <c r="AR8919" s="10"/>
      <c r="AS8919" s="10"/>
      <c r="AT8919" s="10"/>
      <c r="AU8919" s="10"/>
      <c r="AV8919" s="10"/>
      <c r="AW8919" s="10"/>
      <c r="AX8919" s="10"/>
      <c r="AY8919" s="10"/>
      <c r="AZ8919" s="10"/>
    </row>
    <row r="8920" spans="31:52">
      <c r="AE8920" s="10"/>
      <c r="AF8920" s="10"/>
      <c r="AG8920" s="10"/>
      <c r="AH8920" s="10"/>
      <c r="AI8920" s="10"/>
      <c r="AJ8920" s="10"/>
      <c r="AK8920" s="10"/>
      <c r="AL8920" s="10"/>
      <c r="AM8920" s="10"/>
      <c r="AN8920" s="10"/>
      <c r="AO8920" s="10"/>
      <c r="AP8920" s="10"/>
      <c r="AQ8920" s="10"/>
      <c r="AR8920" s="10"/>
      <c r="AS8920" s="10"/>
      <c r="AT8920" s="10"/>
      <c r="AU8920" s="10"/>
      <c r="AV8920" s="10"/>
      <c r="AW8920" s="10"/>
      <c r="AX8920" s="10"/>
      <c r="AY8920" s="10"/>
      <c r="AZ8920" s="10"/>
    </row>
    <row r="8921" spans="31:52">
      <c r="AE8921" s="10"/>
      <c r="AF8921" s="10"/>
      <c r="AG8921" s="10"/>
      <c r="AH8921" s="10"/>
      <c r="AI8921" s="10"/>
      <c r="AJ8921" s="10"/>
      <c r="AK8921" s="10"/>
      <c r="AL8921" s="10"/>
      <c r="AM8921" s="10"/>
      <c r="AN8921" s="10"/>
      <c r="AO8921" s="10"/>
      <c r="AP8921" s="10"/>
      <c r="AQ8921" s="10"/>
      <c r="AR8921" s="10"/>
      <c r="AS8921" s="10"/>
      <c r="AT8921" s="10"/>
      <c r="AU8921" s="10"/>
      <c r="AV8921" s="10"/>
      <c r="AW8921" s="10"/>
      <c r="AX8921" s="10"/>
      <c r="AY8921" s="10"/>
      <c r="AZ8921" s="10"/>
    </row>
    <row r="8922" spans="31:52">
      <c r="AE8922" s="10"/>
      <c r="AF8922" s="10"/>
      <c r="AG8922" s="10"/>
      <c r="AH8922" s="10"/>
      <c r="AI8922" s="10"/>
      <c r="AJ8922" s="10"/>
      <c r="AK8922" s="10"/>
      <c r="AL8922" s="10"/>
      <c r="AM8922" s="10"/>
      <c r="AN8922" s="10"/>
      <c r="AO8922" s="10"/>
      <c r="AP8922" s="10"/>
      <c r="AQ8922" s="10"/>
      <c r="AR8922" s="10"/>
      <c r="AS8922" s="10"/>
      <c r="AT8922" s="10"/>
      <c r="AU8922" s="10"/>
      <c r="AV8922" s="10"/>
      <c r="AW8922" s="10"/>
      <c r="AX8922" s="10"/>
      <c r="AY8922" s="10"/>
      <c r="AZ8922" s="10"/>
    </row>
    <row r="8923" spans="31:52">
      <c r="AE8923" s="10"/>
      <c r="AF8923" s="10"/>
      <c r="AG8923" s="10"/>
      <c r="AH8923" s="10"/>
      <c r="AI8923" s="10"/>
      <c r="AJ8923" s="10"/>
      <c r="AK8923" s="10"/>
      <c r="AL8923" s="10"/>
      <c r="AM8923" s="10"/>
      <c r="AN8923" s="10"/>
      <c r="AO8923" s="10"/>
      <c r="AP8923" s="10"/>
      <c r="AQ8923" s="10"/>
      <c r="AR8923" s="10"/>
      <c r="AS8923" s="10"/>
      <c r="AT8923" s="10"/>
      <c r="AU8923" s="10"/>
      <c r="AV8923" s="10"/>
      <c r="AW8923" s="10"/>
      <c r="AX8923" s="10"/>
      <c r="AY8923" s="10"/>
      <c r="AZ8923" s="10"/>
    </row>
    <row r="8924" spans="31:52">
      <c r="AE8924" s="10"/>
      <c r="AF8924" s="10"/>
      <c r="AG8924" s="10"/>
      <c r="AH8924" s="10"/>
      <c r="AI8924" s="10"/>
      <c r="AJ8924" s="10"/>
      <c r="AK8924" s="10"/>
      <c r="AL8924" s="10"/>
      <c r="AM8924" s="10"/>
      <c r="AN8924" s="10"/>
      <c r="AO8924" s="10"/>
      <c r="AP8924" s="10"/>
      <c r="AQ8924" s="10"/>
      <c r="AR8924" s="10"/>
      <c r="AS8924" s="10"/>
      <c r="AT8924" s="10"/>
      <c r="AU8924" s="10"/>
      <c r="AV8924" s="10"/>
      <c r="AW8924" s="10"/>
      <c r="AX8924" s="10"/>
      <c r="AY8924" s="10"/>
      <c r="AZ8924" s="10"/>
    </row>
    <row r="8925" spans="31:52">
      <c r="AE8925" s="10"/>
      <c r="AF8925" s="10"/>
      <c r="AG8925" s="10"/>
      <c r="AH8925" s="10"/>
      <c r="AI8925" s="10"/>
      <c r="AJ8925" s="10"/>
      <c r="AK8925" s="10"/>
      <c r="AL8925" s="10"/>
      <c r="AM8925" s="10"/>
      <c r="AN8925" s="10"/>
      <c r="AO8925" s="10"/>
      <c r="AP8925" s="10"/>
      <c r="AQ8925" s="10"/>
      <c r="AR8925" s="10"/>
      <c r="AS8925" s="10"/>
      <c r="AT8925" s="10"/>
      <c r="AU8925" s="10"/>
      <c r="AV8925" s="10"/>
      <c r="AW8925" s="10"/>
      <c r="AX8925" s="10"/>
      <c r="AY8925" s="10"/>
      <c r="AZ8925" s="10"/>
    </row>
    <row r="8926" spans="31:52">
      <c r="AE8926" s="10"/>
      <c r="AF8926" s="10"/>
      <c r="AG8926" s="10"/>
      <c r="AH8926" s="10"/>
      <c r="AI8926" s="10"/>
      <c r="AJ8926" s="10"/>
      <c r="AK8926" s="10"/>
      <c r="AL8926" s="10"/>
      <c r="AM8926" s="10"/>
      <c r="AN8926" s="10"/>
      <c r="AO8926" s="10"/>
      <c r="AP8926" s="10"/>
      <c r="AQ8926" s="10"/>
      <c r="AR8926" s="10"/>
      <c r="AS8926" s="10"/>
      <c r="AT8926" s="10"/>
      <c r="AU8926" s="10"/>
      <c r="AV8926" s="10"/>
      <c r="AW8926" s="10"/>
      <c r="AX8926" s="10"/>
      <c r="AY8926" s="10"/>
      <c r="AZ8926" s="10"/>
    </row>
    <row r="8927" spans="31:52">
      <c r="AE8927" s="10"/>
      <c r="AF8927" s="10"/>
      <c r="AG8927" s="10"/>
      <c r="AH8927" s="10"/>
      <c r="AI8927" s="10"/>
      <c r="AJ8927" s="10"/>
      <c r="AK8927" s="10"/>
      <c r="AL8927" s="10"/>
      <c r="AM8927" s="10"/>
      <c r="AN8927" s="10"/>
      <c r="AO8927" s="10"/>
      <c r="AP8927" s="10"/>
      <c r="AQ8927" s="10"/>
      <c r="AR8927" s="10"/>
      <c r="AS8927" s="10"/>
      <c r="AT8927" s="10"/>
      <c r="AU8927" s="10"/>
      <c r="AV8927" s="10"/>
      <c r="AW8927" s="10"/>
      <c r="AX8927" s="10"/>
      <c r="AY8927" s="10"/>
      <c r="AZ8927" s="10"/>
    </row>
    <row r="8928" spans="31:52">
      <c r="AE8928" s="10"/>
      <c r="AF8928" s="10"/>
      <c r="AG8928" s="10"/>
      <c r="AH8928" s="10"/>
      <c r="AI8928" s="10"/>
      <c r="AJ8928" s="10"/>
      <c r="AK8928" s="10"/>
      <c r="AL8928" s="10"/>
      <c r="AM8928" s="10"/>
      <c r="AN8928" s="10"/>
      <c r="AO8928" s="10"/>
      <c r="AP8928" s="10"/>
      <c r="AQ8928" s="10"/>
      <c r="AR8928" s="10"/>
      <c r="AS8928" s="10"/>
      <c r="AT8928" s="10"/>
      <c r="AU8928" s="10"/>
      <c r="AV8928" s="10"/>
      <c r="AW8928" s="10"/>
      <c r="AX8928" s="10"/>
      <c r="AY8928" s="10"/>
      <c r="AZ8928" s="10"/>
    </row>
    <row r="8929" spans="31:52">
      <c r="AE8929" s="10"/>
      <c r="AF8929" s="10"/>
      <c r="AG8929" s="10"/>
      <c r="AH8929" s="10"/>
      <c r="AI8929" s="10"/>
      <c r="AJ8929" s="10"/>
      <c r="AK8929" s="10"/>
      <c r="AL8929" s="10"/>
      <c r="AM8929" s="10"/>
      <c r="AN8929" s="10"/>
      <c r="AO8929" s="10"/>
      <c r="AP8929" s="10"/>
      <c r="AQ8929" s="10"/>
      <c r="AR8929" s="10"/>
      <c r="AS8929" s="10"/>
      <c r="AT8929" s="10"/>
      <c r="AU8929" s="10"/>
      <c r="AV8929" s="10"/>
      <c r="AW8929" s="10"/>
      <c r="AX8929" s="10"/>
      <c r="AY8929" s="10"/>
      <c r="AZ8929" s="10"/>
    </row>
    <row r="8930" spans="31:52">
      <c r="AE8930" s="10"/>
      <c r="AF8930" s="10"/>
      <c r="AG8930" s="10"/>
      <c r="AH8930" s="10"/>
      <c r="AI8930" s="10"/>
      <c r="AJ8930" s="10"/>
      <c r="AK8930" s="10"/>
      <c r="AL8930" s="10"/>
      <c r="AM8930" s="10"/>
      <c r="AN8930" s="10"/>
      <c r="AO8930" s="10"/>
      <c r="AP8930" s="10"/>
      <c r="AQ8930" s="10"/>
      <c r="AR8930" s="10"/>
      <c r="AS8930" s="10"/>
      <c r="AT8930" s="10"/>
      <c r="AU8930" s="10"/>
      <c r="AV8930" s="10"/>
      <c r="AW8930" s="10"/>
      <c r="AX8930" s="10"/>
      <c r="AY8930" s="10"/>
      <c r="AZ8930" s="10"/>
    </row>
    <row r="8931" spans="31:52">
      <c r="AE8931" s="10"/>
      <c r="AF8931" s="10"/>
      <c r="AG8931" s="10"/>
      <c r="AH8931" s="10"/>
      <c r="AI8931" s="10"/>
      <c r="AJ8931" s="10"/>
      <c r="AK8931" s="10"/>
      <c r="AL8931" s="10"/>
      <c r="AM8931" s="10"/>
      <c r="AN8931" s="10"/>
      <c r="AO8931" s="10"/>
      <c r="AP8931" s="10"/>
      <c r="AQ8931" s="10"/>
      <c r="AR8931" s="10"/>
      <c r="AS8931" s="10"/>
      <c r="AT8931" s="10"/>
      <c r="AU8931" s="10"/>
      <c r="AV8931" s="10"/>
      <c r="AW8931" s="10"/>
      <c r="AX8931" s="10"/>
      <c r="AY8931" s="10"/>
      <c r="AZ8931" s="10"/>
    </row>
    <row r="8932" spans="31:52">
      <c r="AE8932" s="10"/>
      <c r="AF8932" s="10"/>
      <c r="AG8932" s="10"/>
      <c r="AH8932" s="10"/>
      <c r="AI8932" s="10"/>
      <c r="AJ8932" s="10"/>
      <c r="AK8932" s="10"/>
      <c r="AL8932" s="10"/>
      <c r="AM8932" s="10"/>
      <c r="AN8932" s="10"/>
      <c r="AO8932" s="10"/>
      <c r="AP8932" s="10"/>
      <c r="AQ8932" s="10"/>
      <c r="AR8932" s="10"/>
      <c r="AS8932" s="10"/>
      <c r="AT8932" s="10"/>
      <c r="AU8932" s="10"/>
      <c r="AV8932" s="10"/>
      <c r="AW8932" s="10"/>
      <c r="AX8932" s="10"/>
      <c r="AY8932" s="10"/>
      <c r="AZ8932" s="10"/>
    </row>
    <row r="8933" spans="31:52">
      <c r="AE8933" s="10"/>
      <c r="AF8933" s="10"/>
      <c r="AG8933" s="10"/>
      <c r="AH8933" s="10"/>
      <c r="AI8933" s="10"/>
      <c r="AJ8933" s="10"/>
      <c r="AK8933" s="10"/>
      <c r="AL8933" s="10"/>
      <c r="AM8933" s="10"/>
      <c r="AN8933" s="10"/>
      <c r="AO8933" s="10"/>
      <c r="AP8933" s="10"/>
      <c r="AQ8933" s="10"/>
      <c r="AR8933" s="10"/>
      <c r="AS8933" s="10"/>
      <c r="AT8933" s="10"/>
      <c r="AU8933" s="10"/>
      <c r="AV8933" s="10"/>
      <c r="AW8933" s="10"/>
      <c r="AX8933" s="10"/>
      <c r="AY8933" s="10"/>
      <c r="AZ8933" s="10"/>
    </row>
    <row r="8934" spans="31:52">
      <c r="AE8934" s="10"/>
      <c r="AF8934" s="10"/>
      <c r="AG8934" s="10"/>
      <c r="AH8934" s="10"/>
      <c r="AI8934" s="10"/>
      <c r="AJ8934" s="10"/>
      <c r="AK8934" s="10"/>
      <c r="AL8934" s="10"/>
      <c r="AM8934" s="10"/>
      <c r="AN8934" s="10"/>
      <c r="AO8934" s="10"/>
      <c r="AP8934" s="10"/>
      <c r="AQ8934" s="10"/>
      <c r="AR8934" s="10"/>
      <c r="AS8934" s="10"/>
      <c r="AT8934" s="10"/>
      <c r="AU8934" s="10"/>
      <c r="AV8934" s="10"/>
      <c r="AW8934" s="10"/>
      <c r="AX8934" s="10"/>
      <c r="AY8934" s="10"/>
      <c r="AZ8934" s="10"/>
    </row>
    <row r="8935" spans="31:52">
      <c r="AE8935" s="10"/>
      <c r="AF8935" s="10"/>
      <c r="AG8935" s="10"/>
      <c r="AH8935" s="10"/>
      <c r="AI8935" s="10"/>
      <c r="AJ8935" s="10"/>
      <c r="AK8935" s="10"/>
      <c r="AL8935" s="10"/>
      <c r="AM8935" s="10"/>
      <c r="AN8935" s="10"/>
      <c r="AO8935" s="10"/>
      <c r="AP8935" s="10"/>
      <c r="AQ8935" s="10"/>
      <c r="AR8935" s="10"/>
      <c r="AS8935" s="10"/>
      <c r="AT8935" s="10"/>
      <c r="AU8935" s="10"/>
      <c r="AV8935" s="10"/>
      <c r="AW8935" s="10"/>
      <c r="AX8935" s="10"/>
      <c r="AY8935" s="10"/>
      <c r="AZ8935" s="10"/>
    </row>
    <row r="8936" spans="31:52">
      <c r="AE8936" s="10"/>
      <c r="AF8936" s="10"/>
      <c r="AG8936" s="10"/>
      <c r="AH8936" s="10"/>
      <c r="AI8936" s="10"/>
      <c r="AJ8936" s="10"/>
      <c r="AK8936" s="10"/>
      <c r="AL8936" s="10"/>
      <c r="AM8936" s="10"/>
      <c r="AN8936" s="10"/>
      <c r="AO8936" s="10"/>
      <c r="AP8936" s="10"/>
      <c r="AQ8936" s="10"/>
      <c r="AR8936" s="10"/>
      <c r="AS8936" s="10"/>
      <c r="AT8936" s="10"/>
      <c r="AU8936" s="10"/>
      <c r="AV8936" s="10"/>
      <c r="AW8936" s="10"/>
      <c r="AX8936" s="10"/>
      <c r="AY8936" s="10"/>
      <c r="AZ8936" s="10"/>
    </row>
    <row r="8937" spans="31:52">
      <c r="AE8937" s="10"/>
      <c r="AF8937" s="10"/>
      <c r="AG8937" s="10"/>
      <c r="AH8937" s="10"/>
      <c r="AI8937" s="10"/>
      <c r="AJ8937" s="10"/>
      <c r="AK8937" s="10"/>
      <c r="AL8937" s="10"/>
      <c r="AM8937" s="10"/>
      <c r="AN8937" s="10"/>
      <c r="AO8937" s="10"/>
      <c r="AP8937" s="10"/>
      <c r="AQ8937" s="10"/>
      <c r="AR8937" s="10"/>
      <c r="AS8937" s="10"/>
      <c r="AT8937" s="10"/>
      <c r="AU8937" s="10"/>
      <c r="AV8937" s="10"/>
      <c r="AW8937" s="10"/>
      <c r="AX8937" s="10"/>
      <c r="AY8937" s="10"/>
      <c r="AZ8937" s="10"/>
    </row>
    <row r="8938" spans="31:52">
      <c r="AE8938" s="10"/>
      <c r="AF8938" s="10"/>
      <c r="AG8938" s="10"/>
      <c r="AH8938" s="10"/>
      <c r="AI8938" s="10"/>
      <c r="AJ8938" s="10"/>
      <c r="AK8938" s="10"/>
      <c r="AL8938" s="10"/>
      <c r="AM8938" s="10"/>
      <c r="AN8938" s="10"/>
      <c r="AO8938" s="10"/>
      <c r="AP8938" s="10"/>
      <c r="AQ8938" s="10"/>
      <c r="AR8938" s="10"/>
      <c r="AS8938" s="10"/>
      <c r="AT8938" s="10"/>
      <c r="AU8938" s="10"/>
      <c r="AV8938" s="10"/>
      <c r="AW8938" s="10"/>
      <c r="AX8938" s="10"/>
      <c r="AY8938" s="10"/>
      <c r="AZ8938" s="10"/>
    </row>
    <row r="8939" spans="31:52">
      <c r="AE8939" s="10"/>
      <c r="AF8939" s="10"/>
      <c r="AG8939" s="10"/>
      <c r="AH8939" s="10"/>
      <c r="AI8939" s="10"/>
      <c r="AJ8939" s="10"/>
      <c r="AK8939" s="10"/>
      <c r="AL8939" s="10"/>
      <c r="AM8939" s="10"/>
      <c r="AN8939" s="10"/>
      <c r="AO8939" s="10"/>
      <c r="AP8939" s="10"/>
      <c r="AQ8939" s="10"/>
      <c r="AR8939" s="10"/>
      <c r="AS8939" s="10"/>
      <c r="AT8939" s="10"/>
      <c r="AU8939" s="10"/>
      <c r="AV8939" s="10"/>
      <c r="AW8939" s="10"/>
      <c r="AX8939" s="10"/>
      <c r="AY8939" s="10"/>
      <c r="AZ8939" s="10"/>
    </row>
    <row r="8940" spans="31:52">
      <c r="AE8940" s="10"/>
      <c r="AF8940" s="10"/>
      <c r="AG8940" s="10"/>
      <c r="AH8940" s="10"/>
      <c r="AI8940" s="10"/>
      <c r="AJ8940" s="10"/>
      <c r="AK8940" s="10"/>
      <c r="AL8940" s="10"/>
      <c r="AM8940" s="10"/>
      <c r="AN8940" s="10"/>
      <c r="AO8940" s="10"/>
      <c r="AP8940" s="10"/>
      <c r="AQ8940" s="10"/>
      <c r="AR8940" s="10"/>
      <c r="AS8940" s="10"/>
      <c r="AT8940" s="10"/>
      <c r="AU8940" s="10"/>
      <c r="AV8940" s="10"/>
      <c r="AW8940" s="10"/>
      <c r="AX8940" s="10"/>
      <c r="AY8940" s="10"/>
      <c r="AZ8940" s="10"/>
    </row>
    <row r="8941" spans="31:52">
      <c r="AE8941" s="10"/>
      <c r="AF8941" s="10"/>
      <c r="AG8941" s="10"/>
      <c r="AH8941" s="10"/>
      <c r="AI8941" s="10"/>
      <c r="AJ8941" s="10"/>
      <c r="AK8941" s="10"/>
      <c r="AL8941" s="10"/>
      <c r="AM8941" s="10"/>
      <c r="AN8941" s="10"/>
      <c r="AO8941" s="10"/>
      <c r="AP8941" s="10"/>
      <c r="AQ8941" s="10"/>
      <c r="AR8941" s="10"/>
      <c r="AS8941" s="10"/>
      <c r="AT8941" s="10"/>
      <c r="AU8941" s="10"/>
      <c r="AV8941" s="10"/>
      <c r="AW8941" s="10"/>
      <c r="AX8941" s="10"/>
      <c r="AY8941" s="10"/>
      <c r="AZ8941" s="10"/>
    </row>
    <row r="8942" spans="31:52">
      <c r="AE8942" s="10"/>
      <c r="AF8942" s="10"/>
      <c r="AG8942" s="10"/>
      <c r="AH8942" s="10"/>
      <c r="AI8942" s="10"/>
      <c r="AJ8942" s="10"/>
      <c r="AK8942" s="10"/>
      <c r="AL8942" s="10"/>
      <c r="AM8942" s="10"/>
      <c r="AN8942" s="10"/>
      <c r="AO8942" s="10"/>
      <c r="AP8942" s="10"/>
      <c r="AQ8942" s="10"/>
      <c r="AR8942" s="10"/>
      <c r="AS8942" s="10"/>
      <c r="AT8942" s="10"/>
      <c r="AU8942" s="10"/>
      <c r="AV8942" s="10"/>
      <c r="AW8942" s="10"/>
      <c r="AX8942" s="10"/>
      <c r="AY8942" s="10"/>
      <c r="AZ8942" s="10"/>
    </row>
    <row r="8943" spans="31:52">
      <c r="AE8943" s="10"/>
      <c r="AF8943" s="10"/>
      <c r="AG8943" s="10"/>
      <c r="AH8943" s="10"/>
      <c r="AI8943" s="10"/>
      <c r="AJ8943" s="10"/>
      <c r="AK8943" s="10"/>
      <c r="AL8943" s="10"/>
      <c r="AM8943" s="10"/>
      <c r="AN8943" s="10"/>
      <c r="AO8943" s="10"/>
      <c r="AP8943" s="10"/>
      <c r="AQ8943" s="10"/>
      <c r="AR8943" s="10"/>
      <c r="AS8943" s="10"/>
      <c r="AT8943" s="10"/>
      <c r="AU8943" s="10"/>
      <c r="AV8943" s="10"/>
      <c r="AW8943" s="10"/>
      <c r="AX8943" s="10"/>
      <c r="AY8943" s="10"/>
      <c r="AZ8943" s="10"/>
    </row>
    <row r="8944" spans="31:52">
      <c r="AE8944" s="10"/>
      <c r="AF8944" s="10"/>
      <c r="AG8944" s="10"/>
      <c r="AH8944" s="10"/>
      <c r="AI8944" s="10"/>
      <c r="AJ8944" s="10"/>
      <c r="AK8944" s="10"/>
      <c r="AL8944" s="10"/>
      <c r="AM8944" s="10"/>
      <c r="AN8944" s="10"/>
      <c r="AO8944" s="10"/>
      <c r="AP8944" s="10"/>
      <c r="AQ8944" s="10"/>
      <c r="AR8944" s="10"/>
      <c r="AS8944" s="10"/>
      <c r="AT8944" s="10"/>
      <c r="AU8944" s="10"/>
      <c r="AV8944" s="10"/>
      <c r="AW8944" s="10"/>
      <c r="AX8944" s="10"/>
      <c r="AY8944" s="10"/>
      <c r="AZ8944" s="10"/>
    </row>
    <row r="8945" spans="31:52">
      <c r="AE8945" s="10"/>
      <c r="AF8945" s="10"/>
      <c r="AG8945" s="10"/>
      <c r="AH8945" s="10"/>
      <c r="AI8945" s="10"/>
      <c r="AJ8945" s="10"/>
      <c r="AK8945" s="10"/>
      <c r="AL8945" s="10"/>
      <c r="AM8945" s="10"/>
      <c r="AN8945" s="10"/>
      <c r="AO8945" s="10"/>
      <c r="AP8945" s="10"/>
      <c r="AQ8945" s="10"/>
      <c r="AR8945" s="10"/>
      <c r="AS8945" s="10"/>
      <c r="AT8945" s="10"/>
      <c r="AU8945" s="10"/>
      <c r="AV8945" s="10"/>
      <c r="AW8945" s="10"/>
      <c r="AX8945" s="10"/>
      <c r="AY8945" s="10"/>
      <c r="AZ8945" s="10"/>
    </row>
    <row r="8946" spans="31:52">
      <c r="AE8946" s="10"/>
      <c r="AF8946" s="10"/>
      <c r="AG8946" s="10"/>
      <c r="AH8946" s="10"/>
      <c r="AI8946" s="10"/>
      <c r="AJ8946" s="10"/>
      <c r="AK8946" s="10"/>
      <c r="AL8946" s="10"/>
      <c r="AM8946" s="10"/>
      <c r="AN8946" s="10"/>
      <c r="AO8946" s="10"/>
      <c r="AP8946" s="10"/>
      <c r="AQ8946" s="10"/>
      <c r="AR8946" s="10"/>
      <c r="AS8946" s="10"/>
      <c r="AT8946" s="10"/>
      <c r="AU8946" s="10"/>
      <c r="AV8946" s="10"/>
      <c r="AW8946" s="10"/>
      <c r="AX8946" s="10"/>
      <c r="AY8946" s="10"/>
      <c r="AZ8946" s="10"/>
    </row>
    <row r="8947" spans="31:52">
      <c r="AE8947" s="10"/>
      <c r="AF8947" s="10"/>
      <c r="AG8947" s="10"/>
      <c r="AH8947" s="10"/>
      <c r="AI8947" s="10"/>
      <c r="AJ8947" s="10"/>
      <c r="AK8947" s="10"/>
      <c r="AL8947" s="10"/>
      <c r="AM8947" s="10"/>
      <c r="AN8947" s="10"/>
      <c r="AO8947" s="10"/>
      <c r="AP8947" s="10"/>
      <c r="AQ8947" s="10"/>
      <c r="AR8947" s="10"/>
      <c r="AS8947" s="10"/>
      <c r="AT8947" s="10"/>
      <c r="AU8947" s="10"/>
      <c r="AV8947" s="10"/>
      <c r="AW8947" s="10"/>
      <c r="AX8947" s="10"/>
      <c r="AY8947" s="10"/>
      <c r="AZ8947" s="10"/>
    </row>
    <row r="8948" spans="31:52">
      <c r="AE8948" s="10"/>
      <c r="AF8948" s="10"/>
      <c r="AG8948" s="10"/>
      <c r="AH8948" s="10"/>
      <c r="AI8948" s="10"/>
      <c r="AJ8948" s="10"/>
      <c r="AK8948" s="10"/>
      <c r="AL8948" s="10"/>
      <c r="AM8948" s="10"/>
      <c r="AN8948" s="10"/>
      <c r="AO8948" s="10"/>
      <c r="AP8948" s="10"/>
      <c r="AQ8948" s="10"/>
      <c r="AR8948" s="10"/>
      <c r="AS8948" s="10"/>
      <c r="AT8948" s="10"/>
      <c r="AU8948" s="10"/>
      <c r="AV8948" s="10"/>
      <c r="AW8948" s="10"/>
      <c r="AX8948" s="10"/>
      <c r="AY8948" s="10"/>
      <c r="AZ8948" s="10"/>
    </row>
    <row r="8949" spans="31:52">
      <c r="AE8949" s="10"/>
      <c r="AF8949" s="10"/>
      <c r="AG8949" s="10"/>
      <c r="AH8949" s="10"/>
      <c r="AI8949" s="10"/>
      <c r="AJ8949" s="10"/>
      <c r="AK8949" s="10"/>
      <c r="AL8949" s="10"/>
      <c r="AM8949" s="10"/>
      <c r="AN8949" s="10"/>
      <c r="AO8949" s="10"/>
      <c r="AP8949" s="10"/>
      <c r="AQ8949" s="10"/>
      <c r="AR8949" s="10"/>
      <c r="AS8949" s="10"/>
      <c r="AT8949" s="10"/>
      <c r="AU8949" s="10"/>
      <c r="AV8949" s="10"/>
      <c r="AW8949" s="10"/>
      <c r="AX8949" s="10"/>
      <c r="AY8949" s="10"/>
      <c r="AZ8949" s="10"/>
    </row>
    <row r="8950" spans="31:52">
      <c r="AE8950" s="10"/>
      <c r="AF8950" s="10"/>
      <c r="AG8950" s="10"/>
      <c r="AH8950" s="10"/>
      <c r="AI8950" s="10"/>
      <c r="AJ8950" s="10"/>
      <c r="AK8950" s="10"/>
      <c r="AL8950" s="10"/>
      <c r="AM8950" s="10"/>
      <c r="AN8950" s="10"/>
      <c r="AO8950" s="10"/>
      <c r="AP8950" s="10"/>
      <c r="AQ8950" s="10"/>
      <c r="AR8950" s="10"/>
      <c r="AS8950" s="10"/>
      <c r="AT8950" s="10"/>
      <c r="AU8950" s="10"/>
      <c r="AV8950" s="10"/>
      <c r="AW8950" s="10"/>
      <c r="AX8950" s="10"/>
      <c r="AY8950" s="10"/>
      <c r="AZ8950" s="10"/>
    </row>
    <row r="8951" spans="31:52">
      <c r="AE8951" s="10"/>
      <c r="AF8951" s="10"/>
      <c r="AG8951" s="10"/>
      <c r="AH8951" s="10"/>
      <c r="AI8951" s="10"/>
      <c r="AJ8951" s="10"/>
      <c r="AK8951" s="10"/>
      <c r="AL8951" s="10"/>
      <c r="AM8951" s="10"/>
      <c r="AN8951" s="10"/>
      <c r="AO8951" s="10"/>
      <c r="AP8951" s="10"/>
      <c r="AQ8951" s="10"/>
      <c r="AR8951" s="10"/>
      <c r="AS8951" s="10"/>
      <c r="AT8951" s="10"/>
      <c r="AU8951" s="10"/>
      <c r="AV8951" s="10"/>
      <c r="AW8951" s="10"/>
      <c r="AX8951" s="10"/>
      <c r="AY8951" s="10"/>
      <c r="AZ8951" s="10"/>
    </row>
    <row r="8952" spans="31:52">
      <c r="AE8952" s="10"/>
      <c r="AF8952" s="10"/>
      <c r="AG8952" s="10"/>
      <c r="AH8952" s="10"/>
      <c r="AI8952" s="10"/>
      <c r="AJ8952" s="10"/>
      <c r="AK8952" s="10"/>
      <c r="AL8952" s="10"/>
      <c r="AM8952" s="10"/>
      <c r="AN8952" s="10"/>
      <c r="AO8952" s="10"/>
      <c r="AP8952" s="10"/>
      <c r="AQ8952" s="10"/>
      <c r="AR8952" s="10"/>
      <c r="AS8952" s="10"/>
      <c r="AT8952" s="10"/>
      <c r="AU8952" s="10"/>
      <c r="AV8952" s="10"/>
      <c r="AW8952" s="10"/>
      <c r="AX8952" s="10"/>
      <c r="AY8952" s="10"/>
      <c r="AZ8952" s="10"/>
    </row>
    <row r="8953" spans="31:52">
      <c r="AE8953" s="10"/>
      <c r="AF8953" s="10"/>
      <c r="AG8953" s="10"/>
      <c r="AH8953" s="10"/>
      <c r="AI8953" s="10"/>
      <c r="AJ8953" s="10"/>
      <c r="AK8953" s="10"/>
      <c r="AL8953" s="10"/>
      <c r="AM8953" s="10"/>
      <c r="AN8953" s="10"/>
      <c r="AO8953" s="10"/>
      <c r="AP8953" s="10"/>
      <c r="AQ8953" s="10"/>
      <c r="AR8953" s="10"/>
      <c r="AS8953" s="10"/>
      <c r="AT8953" s="10"/>
      <c r="AU8953" s="10"/>
      <c r="AV8953" s="10"/>
      <c r="AW8953" s="10"/>
      <c r="AX8953" s="10"/>
      <c r="AY8953" s="10"/>
      <c r="AZ8953" s="10"/>
    </row>
    <row r="8954" spans="31:52">
      <c r="AE8954" s="10"/>
      <c r="AF8954" s="10"/>
      <c r="AG8954" s="10"/>
      <c r="AH8954" s="10"/>
      <c r="AI8954" s="10"/>
      <c r="AJ8954" s="10"/>
      <c r="AK8954" s="10"/>
      <c r="AL8954" s="10"/>
      <c r="AM8954" s="10"/>
      <c r="AN8954" s="10"/>
      <c r="AO8954" s="10"/>
      <c r="AP8954" s="10"/>
      <c r="AQ8954" s="10"/>
      <c r="AR8954" s="10"/>
      <c r="AS8954" s="10"/>
      <c r="AT8954" s="10"/>
      <c r="AU8954" s="10"/>
      <c r="AV8954" s="10"/>
      <c r="AW8954" s="10"/>
      <c r="AX8954" s="10"/>
      <c r="AY8954" s="10"/>
      <c r="AZ8954" s="10"/>
    </row>
    <row r="8955" spans="31:52">
      <c r="AE8955" s="10"/>
      <c r="AF8955" s="10"/>
      <c r="AG8955" s="10"/>
      <c r="AH8955" s="10"/>
      <c r="AI8955" s="10"/>
      <c r="AJ8955" s="10"/>
      <c r="AK8955" s="10"/>
      <c r="AL8955" s="10"/>
      <c r="AM8955" s="10"/>
      <c r="AN8955" s="10"/>
      <c r="AO8955" s="10"/>
      <c r="AP8955" s="10"/>
      <c r="AQ8955" s="10"/>
      <c r="AR8955" s="10"/>
      <c r="AS8955" s="10"/>
      <c r="AT8955" s="10"/>
      <c r="AU8955" s="10"/>
      <c r="AV8955" s="10"/>
      <c r="AW8955" s="10"/>
      <c r="AX8955" s="10"/>
      <c r="AY8955" s="10"/>
      <c r="AZ8955" s="10"/>
    </row>
    <row r="8956" spans="31:52">
      <c r="AE8956" s="10"/>
      <c r="AF8956" s="10"/>
      <c r="AG8956" s="10"/>
      <c r="AH8956" s="10"/>
      <c r="AI8956" s="10"/>
      <c r="AJ8956" s="10"/>
      <c r="AK8956" s="10"/>
      <c r="AL8956" s="10"/>
      <c r="AM8956" s="10"/>
      <c r="AN8956" s="10"/>
      <c r="AO8956" s="10"/>
      <c r="AP8956" s="10"/>
      <c r="AQ8956" s="10"/>
      <c r="AR8956" s="10"/>
      <c r="AS8956" s="10"/>
      <c r="AT8956" s="10"/>
      <c r="AU8956" s="10"/>
      <c r="AV8956" s="10"/>
      <c r="AW8956" s="10"/>
      <c r="AX8956" s="10"/>
      <c r="AY8956" s="10"/>
      <c r="AZ8956" s="10"/>
    </row>
    <row r="8957" spans="31:52">
      <c r="AE8957" s="10"/>
      <c r="AF8957" s="10"/>
      <c r="AG8957" s="10"/>
      <c r="AH8957" s="10"/>
      <c r="AI8957" s="10"/>
      <c r="AJ8957" s="10"/>
      <c r="AK8957" s="10"/>
      <c r="AL8957" s="10"/>
      <c r="AM8957" s="10"/>
      <c r="AN8957" s="10"/>
      <c r="AO8957" s="10"/>
      <c r="AP8957" s="10"/>
      <c r="AQ8957" s="10"/>
      <c r="AR8957" s="10"/>
      <c r="AS8957" s="10"/>
      <c r="AT8957" s="10"/>
      <c r="AU8957" s="10"/>
      <c r="AV8957" s="10"/>
      <c r="AW8957" s="10"/>
      <c r="AX8957" s="10"/>
      <c r="AY8957" s="10"/>
      <c r="AZ8957" s="10"/>
    </row>
    <row r="8958" spans="31:52">
      <c r="AE8958" s="10"/>
      <c r="AF8958" s="10"/>
      <c r="AG8958" s="10"/>
      <c r="AH8958" s="10"/>
      <c r="AI8958" s="10"/>
      <c r="AJ8958" s="10"/>
      <c r="AK8958" s="10"/>
      <c r="AL8958" s="10"/>
      <c r="AM8958" s="10"/>
      <c r="AN8958" s="10"/>
      <c r="AO8958" s="10"/>
      <c r="AP8958" s="10"/>
      <c r="AQ8958" s="10"/>
      <c r="AR8958" s="10"/>
      <c r="AS8958" s="10"/>
      <c r="AT8958" s="10"/>
      <c r="AU8958" s="10"/>
      <c r="AV8958" s="10"/>
      <c r="AW8958" s="10"/>
      <c r="AX8958" s="10"/>
      <c r="AY8958" s="10"/>
      <c r="AZ8958" s="10"/>
    </row>
    <row r="8959" spans="31:52">
      <c r="AE8959" s="10"/>
      <c r="AF8959" s="10"/>
      <c r="AG8959" s="10"/>
      <c r="AH8959" s="10"/>
      <c r="AI8959" s="10"/>
      <c r="AJ8959" s="10"/>
      <c r="AK8959" s="10"/>
      <c r="AL8959" s="10"/>
      <c r="AM8959" s="10"/>
      <c r="AN8959" s="10"/>
      <c r="AO8959" s="10"/>
      <c r="AP8959" s="10"/>
      <c r="AQ8959" s="10"/>
      <c r="AR8959" s="10"/>
      <c r="AS8959" s="10"/>
      <c r="AT8959" s="10"/>
      <c r="AU8959" s="10"/>
      <c r="AV8959" s="10"/>
      <c r="AW8959" s="10"/>
      <c r="AX8959" s="10"/>
      <c r="AY8959" s="10"/>
      <c r="AZ8959" s="10"/>
    </row>
    <row r="8960" spans="31:52">
      <c r="AE8960" s="10"/>
      <c r="AF8960" s="10"/>
      <c r="AG8960" s="10"/>
      <c r="AH8960" s="10"/>
      <c r="AI8960" s="10"/>
      <c r="AJ8960" s="10"/>
      <c r="AK8960" s="10"/>
      <c r="AL8960" s="10"/>
      <c r="AM8960" s="10"/>
      <c r="AN8960" s="10"/>
      <c r="AO8960" s="10"/>
      <c r="AP8960" s="10"/>
      <c r="AQ8960" s="10"/>
      <c r="AR8960" s="10"/>
      <c r="AS8960" s="10"/>
      <c r="AT8960" s="10"/>
      <c r="AU8960" s="10"/>
      <c r="AV8960" s="10"/>
      <c r="AW8960" s="10"/>
      <c r="AX8960" s="10"/>
      <c r="AY8960" s="10"/>
      <c r="AZ8960" s="10"/>
    </row>
    <row r="8961" spans="31:52">
      <c r="AE8961" s="10"/>
      <c r="AF8961" s="10"/>
      <c r="AG8961" s="10"/>
      <c r="AH8961" s="10"/>
      <c r="AI8961" s="10"/>
      <c r="AJ8961" s="10"/>
      <c r="AK8961" s="10"/>
      <c r="AL8961" s="10"/>
      <c r="AM8961" s="10"/>
      <c r="AN8961" s="10"/>
      <c r="AO8961" s="10"/>
      <c r="AP8961" s="10"/>
      <c r="AQ8961" s="10"/>
      <c r="AR8961" s="10"/>
      <c r="AS8961" s="10"/>
      <c r="AT8961" s="10"/>
      <c r="AU8961" s="10"/>
      <c r="AV8961" s="10"/>
      <c r="AW8961" s="10"/>
      <c r="AX8961" s="10"/>
      <c r="AY8961" s="10"/>
      <c r="AZ8961" s="10"/>
    </row>
    <row r="8962" spans="31:52">
      <c r="AE8962" s="10"/>
      <c r="AF8962" s="10"/>
      <c r="AG8962" s="10"/>
      <c r="AH8962" s="10"/>
      <c r="AI8962" s="10"/>
      <c r="AJ8962" s="10"/>
      <c r="AK8962" s="10"/>
      <c r="AL8962" s="10"/>
      <c r="AM8962" s="10"/>
      <c r="AN8962" s="10"/>
      <c r="AO8962" s="10"/>
      <c r="AP8962" s="10"/>
      <c r="AQ8962" s="10"/>
      <c r="AR8962" s="10"/>
      <c r="AS8962" s="10"/>
      <c r="AT8962" s="10"/>
      <c r="AU8962" s="10"/>
      <c r="AV8962" s="10"/>
      <c r="AW8962" s="10"/>
      <c r="AX8962" s="10"/>
      <c r="AY8962" s="10"/>
      <c r="AZ8962" s="10"/>
    </row>
    <row r="8963" spans="31:52">
      <c r="AE8963" s="10"/>
      <c r="AF8963" s="10"/>
      <c r="AG8963" s="10"/>
      <c r="AH8963" s="10"/>
      <c r="AI8963" s="10"/>
      <c r="AJ8963" s="10"/>
      <c r="AK8963" s="10"/>
      <c r="AL8963" s="10"/>
      <c r="AM8963" s="10"/>
      <c r="AN8963" s="10"/>
      <c r="AO8963" s="10"/>
      <c r="AP8963" s="10"/>
      <c r="AQ8963" s="10"/>
      <c r="AR8963" s="10"/>
      <c r="AS8963" s="10"/>
      <c r="AT8963" s="10"/>
      <c r="AU8963" s="10"/>
      <c r="AV8963" s="10"/>
      <c r="AW8963" s="10"/>
      <c r="AX8963" s="10"/>
      <c r="AY8963" s="10"/>
      <c r="AZ8963" s="10"/>
    </row>
    <row r="8964" spans="31:52">
      <c r="AE8964" s="10"/>
      <c r="AF8964" s="10"/>
      <c r="AG8964" s="10"/>
      <c r="AH8964" s="10"/>
      <c r="AI8964" s="10"/>
      <c r="AJ8964" s="10"/>
      <c r="AK8964" s="10"/>
      <c r="AL8964" s="10"/>
      <c r="AM8964" s="10"/>
      <c r="AN8964" s="10"/>
      <c r="AO8964" s="10"/>
      <c r="AP8964" s="10"/>
      <c r="AQ8964" s="10"/>
      <c r="AR8964" s="10"/>
      <c r="AS8964" s="10"/>
      <c r="AT8964" s="10"/>
      <c r="AU8964" s="10"/>
      <c r="AV8964" s="10"/>
      <c r="AW8964" s="10"/>
      <c r="AX8964" s="10"/>
      <c r="AY8964" s="10"/>
      <c r="AZ8964" s="10"/>
    </row>
    <row r="8965" spans="31:52">
      <c r="AE8965" s="10"/>
      <c r="AF8965" s="10"/>
      <c r="AG8965" s="10"/>
      <c r="AH8965" s="10"/>
      <c r="AI8965" s="10"/>
      <c r="AJ8965" s="10"/>
      <c r="AK8965" s="10"/>
      <c r="AL8965" s="10"/>
      <c r="AM8965" s="10"/>
      <c r="AN8965" s="10"/>
      <c r="AO8965" s="10"/>
      <c r="AP8965" s="10"/>
      <c r="AQ8965" s="10"/>
      <c r="AR8965" s="10"/>
      <c r="AS8965" s="10"/>
      <c r="AT8965" s="10"/>
      <c r="AU8965" s="10"/>
      <c r="AV8965" s="10"/>
      <c r="AW8965" s="10"/>
      <c r="AX8965" s="10"/>
      <c r="AY8965" s="10"/>
      <c r="AZ8965" s="10"/>
    </row>
    <row r="8966" spans="31:52">
      <c r="AE8966" s="10"/>
      <c r="AF8966" s="10"/>
      <c r="AG8966" s="10"/>
      <c r="AH8966" s="10"/>
      <c r="AI8966" s="10"/>
      <c r="AJ8966" s="10"/>
      <c r="AK8966" s="10"/>
      <c r="AL8966" s="10"/>
      <c r="AM8966" s="10"/>
      <c r="AN8966" s="10"/>
      <c r="AO8966" s="10"/>
      <c r="AP8966" s="10"/>
      <c r="AQ8966" s="10"/>
      <c r="AR8966" s="10"/>
      <c r="AS8966" s="10"/>
      <c r="AT8966" s="10"/>
      <c r="AU8966" s="10"/>
      <c r="AV8966" s="10"/>
      <c r="AW8966" s="10"/>
      <c r="AX8966" s="10"/>
      <c r="AY8966" s="10"/>
      <c r="AZ8966" s="10"/>
    </row>
    <row r="8967" spans="31:52">
      <c r="AE8967" s="10"/>
      <c r="AF8967" s="10"/>
      <c r="AG8967" s="10"/>
      <c r="AH8967" s="10"/>
      <c r="AI8967" s="10"/>
      <c r="AJ8967" s="10"/>
      <c r="AK8967" s="10"/>
      <c r="AL8967" s="10"/>
      <c r="AM8967" s="10"/>
      <c r="AN8967" s="10"/>
      <c r="AO8967" s="10"/>
      <c r="AP8967" s="10"/>
      <c r="AQ8967" s="10"/>
      <c r="AR8967" s="10"/>
      <c r="AS8967" s="10"/>
      <c r="AT8967" s="10"/>
      <c r="AU8967" s="10"/>
      <c r="AV8967" s="10"/>
      <c r="AW8967" s="10"/>
      <c r="AX8967" s="10"/>
      <c r="AY8967" s="10"/>
      <c r="AZ8967" s="10"/>
    </row>
    <row r="8968" spans="31:52">
      <c r="AE8968" s="10"/>
      <c r="AF8968" s="10"/>
      <c r="AG8968" s="10"/>
      <c r="AH8968" s="10"/>
      <c r="AI8968" s="10"/>
      <c r="AJ8968" s="10"/>
      <c r="AK8968" s="10"/>
      <c r="AL8968" s="10"/>
      <c r="AM8968" s="10"/>
      <c r="AN8968" s="10"/>
      <c r="AO8968" s="10"/>
      <c r="AP8968" s="10"/>
      <c r="AQ8968" s="10"/>
      <c r="AR8968" s="10"/>
      <c r="AS8968" s="10"/>
      <c r="AT8968" s="10"/>
      <c r="AU8968" s="10"/>
      <c r="AV8968" s="10"/>
      <c r="AW8968" s="10"/>
      <c r="AX8968" s="10"/>
      <c r="AY8968" s="10"/>
      <c r="AZ8968" s="10"/>
    </row>
    <row r="8969" spans="31:52">
      <c r="AE8969" s="10"/>
      <c r="AF8969" s="10"/>
      <c r="AG8969" s="10"/>
      <c r="AH8969" s="10"/>
      <c r="AI8969" s="10"/>
      <c r="AJ8969" s="10"/>
      <c r="AK8969" s="10"/>
      <c r="AL8969" s="10"/>
      <c r="AM8969" s="10"/>
      <c r="AN8969" s="10"/>
      <c r="AO8969" s="10"/>
      <c r="AP8969" s="10"/>
      <c r="AQ8969" s="10"/>
      <c r="AR8969" s="10"/>
      <c r="AS8969" s="10"/>
      <c r="AT8969" s="10"/>
      <c r="AU8969" s="10"/>
      <c r="AV8969" s="10"/>
      <c r="AW8969" s="10"/>
      <c r="AX8969" s="10"/>
      <c r="AY8969" s="10"/>
      <c r="AZ8969" s="10"/>
    </row>
    <row r="8970" spans="31:52">
      <c r="AE8970" s="10"/>
      <c r="AF8970" s="10"/>
      <c r="AG8970" s="10"/>
      <c r="AH8970" s="10"/>
      <c r="AI8970" s="10"/>
      <c r="AJ8970" s="10"/>
      <c r="AK8970" s="10"/>
      <c r="AL8970" s="10"/>
      <c r="AM8970" s="10"/>
      <c r="AN8970" s="10"/>
      <c r="AO8970" s="10"/>
      <c r="AP8970" s="10"/>
      <c r="AQ8970" s="10"/>
      <c r="AR8970" s="10"/>
      <c r="AS8970" s="10"/>
      <c r="AT8970" s="10"/>
      <c r="AU8970" s="10"/>
      <c r="AV8970" s="10"/>
      <c r="AW8970" s="10"/>
      <c r="AX8970" s="10"/>
      <c r="AY8970" s="10"/>
      <c r="AZ8970" s="10"/>
    </row>
    <row r="8971" spans="31:52">
      <c r="AE8971" s="10"/>
      <c r="AF8971" s="10"/>
      <c r="AG8971" s="10"/>
      <c r="AH8971" s="10"/>
      <c r="AI8971" s="10"/>
      <c r="AJ8971" s="10"/>
      <c r="AK8971" s="10"/>
      <c r="AL8971" s="10"/>
      <c r="AM8971" s="10"/>
      <c r="AN8971" s="10"/>
      <c r="AO8971" s="10"/>
      <c r="AP8971" s="10"/>
      <c r="AQ8971" s="10"/>
      <c r="AR8971" s="10"/>
      <c r="AS8971" s="10"/>
      <c r="AT8971" s="10"/>
      <c r="AU8971" s="10"/>
      <c r="AV8971" s="10"/>
      <c r="AW8971" s="10"/>
      <c r="AX8971" s="10"/>
      <c r="AY8971" s="10"/>
      <c r="AZ8971" s="10"/>
    </row>
    <row r="8972" spans="31:52">
      <c r="AE8972" s="10"/>
      <c r="AF8972" s="10"/>
      <c r="AG8972" s="10"/>
      <c r="AH8972" s="10"/>
      <c r="AI8972" s="10"/>
      <c r="AJ8972" s="10"/>
      <c r="AK8972" s="10"/>
      <c r="AL8972" s="10"/>
      <c r="AM8972" s="10"/>
      <c r="AN8972" s="10"/>
      <c r="AO8972" s="10"/>
      <c r="AP8972" s="10"/>
      <c r="AQ8972" s="10"/>
      <c r="AR8972" s="10"/>
      <c r="AS8972" s="10"/>
      <c r="AT8972" s="10"/>
      <c r="AU8972" s="10"/>
      <c r="AV8972" s="10"/>
      <c r="AW8972" s="10"/>
      <c r="AX8972" s="10"/>
      <c r="AY8972" s="10"/>
      <c r="AZ8972" s="10"/>
    </row>
    <row r="8973" spans="31:52">
      <c r="AE8973" s="10"/>
      <c r="AF8973" s="10"/>
      <c r="AG8973" s="10"/>
      <c r="AH8973" s="10"/>
      <c r="AI8973" s="10"/>
      <c r="AJ8973" s="10"/>
      <c r="AK8973" s="10"/>
      <c r="AL8973" s="10"/>
      <c r="AM8973" s="10"/>
      <c r="AN8973" s="10"/>
      <c r="AO8973" s="10"/>
      <c r="AP8973" s="10"/>
      <c r="AQ8973" s="10"/>
      <c r="AR8973" s="10"/>
      <c r="AS8973" s="10"/>
      <c r="AT8973" s="10"/>
      <c r="AU8973" s="10"/>
      <c r="AV8973" s="10"/>
      <c r="AW8973" s="10"/>
      <c r="AX8973" s="10"/>
      <c r="AY8973" s="10"/>
      <c r="AZ8973" s="10"/>
    </row>
    <row r="8974" spans="31:52">
      <c r="AE8974" s="10"/>
      <c r="AF8974" s="10"/>
      <c r="AG8974" s="10"/>
      <c r="AH8974" s="10"/>
      <c r="AI8974" s="10"/>
      <c r="AJ8974" s="10"/>
      <c r="AK8974" s="10"/>
      <c r="AL8974" s="10"/>
      <c r="AM8974" s="10"/>
      <c r="AN8974" s="10"/>
      <c r="AO8974" s="10"/>
      <c r="AP8974" s="10"/>
      <c r="AQ8974" s="10"/>
      <c r="AR8974" s="10"/>
      <c r="AS8974" s="10"/>
      <c r="AT8974" s="10"/>
      <c r="AU8974" s="10"/>
      <c r="AV8974" s="10"/>
      <c r="AW8974" s="10"/>
      <c r="AX8974" s="10"/>
      <c r="AY8974" s="10"/>
      <c r="AZ8974" s="10"/>
    </row>
    <row r="8975" spans="31:52">
      <c r="AE8975" s="10"/>
      <c r="AF8975" s="10"/>
      <c r="AG8975" s="10"/>
      <c r="AH8975" s="10"/>
      <c r="AI8975" s="10"/>
      <c r="AJ8975" s="10"/>
      <c r="AK8975" s="10"/>
      <c r="AL8975" s="10"/>
      <c r="AM8975" s="10"/>
      <c r="AN8975" s="10"/>
      <c r="AO8975" s="10"/>
      <c r="AP8975" s="10"/>
      <c r="AQ8975" s="10"/>
      <c r="AR8975" s="10"/>
      <c r="AS8975" s="10"/>
      <c r="AT8975" s="10"/>
      <c r="AU8975" s="10"/>
      <c r="AV8975" s="10"/>
      <c r="AW8975" s="10"/>
      <c r="AX8975" s="10"/>
      <c r="AY8975" s="10"/>
      <c r="AZ8975" s="10"/>
    </row>
    <row r="8976" spans="31:52">
      <c r="AE8976" s="10"/>
      <c r="AF8976" s="10"/>
      <c r="AG8976" s="10"/>
      <c r="AH8976" s="10"/>
      <c r="AI8976" s="10"/>
      <c r="AJ8976" s="10"/>
      <c r="AK8976" s="10"/>
      <c r="AL8976" s="10"/>
      <c r="AM8976" s="10"/>
      <c r="AN8976" s="10"/>
      <c r="AO8976" s="10"/>
      <c r="AP8976" s="10"/>
      <c r="AQ8976" s="10"/>
      <c r="AR8976" s="10"/>
      <c r="AS8976" s="10"/>
      <c r="AT8976" s="10"/>
      <c r="AU8976" s="10"/>
      <c r="AV8976" s="10"/>
      <c r="AW8976" s="10"/>
      <c r="AX8976" s="10"/>
      <c r="AY8976" s="10"/>
      <c r="AZ8976" s="10"/>
    </row>
    <row r="8977" spans="31:52">
      <c r="AE8977" s="10"/>
      <c r="AF8977" s="10"/>
      <c r="AG8977" s="10"/>
      <c r="AH8977" s="10"/>
      <c r="AI8977" s="10"/>
      <c r="AJ8977" s="10"/>
      <c r="AK8977" s="10"/>
      <c r="AL8977" s="10"/>
      <c r="AM8977" s="10"/>
      <c r="AN8977" s="10"/>
      <c r="AO8977" s="10"/>
      <c r="AP8977" s="10"/>
      <c r="AQ8977" s="10"/>
      <c r="AR8977" s="10"/>
      <c r="AS8977" s="10"/>
      <c r="AT8977" s="10"/>
      <c r="AU8977" s="10"/>
      <c r="AV8977" s="10"/>
      <c r="AW8977" s="10"/>
      <c r="AX8977" s="10"/>
      <c r="AY8977" s="10"/>
      <c r="AZ8977" s="10"/>
    </row>
    <row r="8978" spans="31:52">
      <c r="AE8978" s="10"/>
      <c r="AF8978" s="10"/>
      <c r="AG8978" s="10"/>
      <c r="AH8978" s="10"/>
      <c r="AI8978" s="10"/>
      <c r="AJ8978" s="10"/>
      <c r="AK8978" s="10"/>
      <c r="AL8978" s="10"/>
      <c r="AM8978" s="10"/>
      <c r="AN8978" s="10"/>
      <c r="AO8978" s="10"/>
      <c r="AP8978" s="10"/>
      <c r="AQ8978" s="10"/>
      <c r="AR8978" s="10"/>
      <c r="AS8978" s="10"/>
      <c r="AT8978" s="10"/>
      <c r="AU8978" s="10"/>
      <c r="AV8978" s="10"/>
      <c r="AW8978" s="10"/>
      <c r="AX8978" s="10"/>
      <c r="AY8978" s="10"/>
      <c r="AZ8978" s="10"/>
    </row>
    <row r="8979" spans="31:52">
      <c r="AE8979" s="10"/>
      <c r="AF8979" s="10"/>
      <c r="AG8979" s="10"/>
      <c r="AH8979" s="10"/>
      <c r="AI8979" s="10"/>
      <c r="AJ8979" s="10"/>
      <c r="AK8979" s="10"/>
      <c r="AL8979" s="10"/>
      <c r="AM8979" s="10"/>
      <c r="AN8979" s="10"/>
      <c r="AO8979" s="10"/>
      <c r="AP8979" s="10"/>
      <c r="AQ8979" s="10"/>
      <c r="AR8979" s="10"/>
      <c r="AS8979" s="10"/>
      <c r="AT8979" s="10"/>
      <c r="AU8979" s="10"/>
      <c r="AV8979" s="10"/>
      <c r="AW8979" s="10"/>
      <c r="AX8979" s="10"/>
      <c r="AY8979" s="10"/>
      <c r="AZ8979" s="10"/>
    </row>
    <row r="8980" spans="31:52">
      <c r="AE8980" s="10"/>
      <c r="AF8980" s="10"/>
      <c r="AG8980" s="10"/>
      <c r="AH8980" s="10"/>
      <c r="AI8980" s="10"/>
      <c r="AJ8980" s="10"/>
      <c r="AK8980" s="10"/>
      <c r="AL8980" s="10"/>
      <c r="AM8980" s="10"/>
      <c r="AN8980" s="10"/>
      <c r="AO8980" s="10"/>
      <c r="AP8980" s="10"/>
      <c r="AQ8980" s="10"/>
      <c r="AR8980" s="10"/>
      <c r="AS8980" s="10"/>
      <c r="AT8980" s="10"/>
      <c r="AU8980" s="10"/>
      <c r="AV8980" s="10"/>
      <c r="AW8980" s="10"/>
      <c r="AX8980" s="10"/>
      <c r="AY8980" s="10"/>
      <c r="AZ8980" s="10"/>
    </row>
    <row r="8981" spans="31:52">
      <c r="AE8981" s="10"/>
      <c r="AF8981" s="10"/>
      <c r="AG8981" s="10"/>
      <c r="AH8981" s="10"/>
      <c r="AI8981" s="10"/>
      <c r="AJ8981" s="10"/>
      <c r="AK8981" s="10"/>
      <c r="AL8981" s="10"/>
      <c r="AM8981" s="10"/>
      <c r="AN8981" s="10"/>
      <c r="AO8981" s="10"/>
      <c r="AP8981" s="10"/>
      <c r="AQ8981" s="10"/>
      <c r="AR8981" s="10"/>
      <c r="AS8981" s="10"/>
      <c r="AT8981" s="10"/>
      <c r="AU8981" s="10"/>
      <c r="AV8981" s="10"/>
      <c r="AW8981" s="10"/>
      <c r="AX8981" s="10"/>
      <c r="AY8981" s="10"/>
      <c r="AZ8981" s="10"/>
    </row>
    <row r="8982" spans="31:52">
      <c r="AE8982" s="10"/>
      <c r="AF8982" s="10"/>
      <c r="AG8982" s="10"/>
      <c r="AH8982" s="10"/>
      <c r="AI8982" s="10"/>
      <c r="AJ8982" s="10"/>
      <c r="AK8982" s="10"/>
      <c r="AL8982" s="10"/>
      <c r="AM8982" s="10"/>
      <c r="AN8982" s="10"/>
      <c r="AO8982" s="10"/>
      <c r="AP8982" s="10"/>
      <c r="AQ8982" s="10"/>
      <c r="AR8982" s="10"/>
      <c r="AS8982" s="10"/>
      <c r="AT8982" s="10"/>
      <c r="AU8982" s="10"/>
      <c r="AV8982" s="10"/>
      <c r="AW8982" s="10"/>
      <c r="AX8982" s="10"/>
      <c r="AY8982" s="10"/>
      <c r="AZ8982" s="10"/>
    </row>
    <row r="8983" spans="31:52">
      <c r="AE8983" s="10"/>
      <c r="AF8983" s="10"/>
      <c r="AG8983" s="10"/>
      <c r="AH8983" s="10"/>
      <c r="AI8983" s="10"/>
      <c r="AJ8983" s="10"/>
      <c r="AK8983" s="10"/>
      <c r="AL8983" s="10"/>
      <c r="AM8983" s="10"/>
      <c r="AN8983" s="10"/>
      <c r="AO8983" s="10"/>
      <c r="AP8983" s="10"/>
      <c r="AQ8983" s="10"/>
      <c r="AR8983" s="10"/>
      <c r="AS8983" s="10"/>
      <c r="AT8983" s="10"/>
      <c r="AU8983" s="10"/>
      <c r="AV8983" s="10"/>
      <c r="AW8983" s="10"/>
      <c r="AX8983" s="10"/>
      <c r="AY8983" s="10"/>
      <c r="AZ8983" s="10"/>
    </row>
    <row r="8984" spans="31:52">
      <c r="AE8984" s="10"/>
      <c r="AF8984" s="10"/>
      <c r="AG8984" s="10"/>
      <c r="AH8984" s="10"/>
      <c r="AI8984" s="10"/>
      <c r="AJ8984" s="10"/>
      <c r="AK8984" s="10"/>
      <c r="AL8984" s="10"/>
      <c r="AM8984" s="10"/>
      <c r="AN8984" s="10"/>
      <c r="AO8984" s="10"/>
      <c r="AP8984" s="10"/>
      <c r="AQ8984" s="10"/>
      <c r="AR8984" s="10"/>
      <c r="AS8984" s="10"/>
      <c r="AT8984" s="10"/>
      <c r="AU8984" s="10"/>
      <c r="AV8984" s="10"/>
      <c r="AW8984" s="10"/>
      <c r="AX8984" s="10"/>
      <c r="AY8984" s="10"/>
      <c r="AZ8984" s="10"/>
    </row>
    <row r="8985" spans="31:52">
      <c r="AE8985" s="10"/>
      <c r="AF8985" s="10"/>
      <c r="AG8985" s="10"/>
      <c r="AH8985" s="10"/>
      <c r="AI8985" s="10"/>
      <c r="AJ8985" s="10"/>
      <c r="AK8985" s="10"/>
      <c r="AL8985" s="10"/>
      <c r="AM8985" s="10"/>
      <c r="AN8985" s="10"/>
      <c r="AO8985" s="10"/>
      <c r="AP8985" s="10"/>
      <c r="AQ8985" s="10"/>
      <c r="AR8985" s="10"/>
      <c r="AS8985" s="10"/>
      <c r="AT8985" s="10"/>
      <c r="AU8985" s="10"/>
      <c r="AV8985" s="10"/>
      <c r="AW8985" s="10"/>
      <c r="AX8985" s="10"/>
      <c r="AY8985" s="10"/>
      <c r="AZ8985" s="10"/>
    </row>
    <row r="8986" spans="31:52">
      <c r="AE8986" s="10"/>
      <c r="AF8986" s="10"/>
      <c r="AG8986" s="10"/>
      <c r="AH8986" s="10"/>
      <c r="AI8986" s="10"/>
      <c r="AJ8986" s="10"/>
      <c r="AK8986" s="10"/>
      <c r="AL8986" s="10"/>
      <c r="AM8986" s="10"/>
      <c r="AN8986" s="10"/>
      <c r="AO8986" s="10"/>
      <c r="AP8986" s="10"/>
      <c r="AQ8986" s="10"/>
      <c r="AR8986" s="10"/>
      <c r="AS8986" s="10"/>
      <c r="AT8986" s="10"/>
      <c r="AU8986" s="10"/>
      <c r="AV8986" s="10"/>
      <c r="AW8986" s="10"/>
      <c r="AX8986" s="10"/>
      <c r="AY8986" s="10"/>
      <c r="AZ8986" s="10"/>
    </row>
    <row r="8987" spans="31:52">
      <c r="AE8987" s="10"/>
      <c r="AF8987" s="10"/>
      <c r="AG8987" s="10"/>
      <c r="AH8987" s="10"/>
      <c r="AI8987" s="10"/>
      <c r="AJ8987" s="10"/>
      <c r="AK8987" s="10"/>
      <c r="AL8987" s="10"/>
      <c r="AM8987" s="10"/>
      <c r="AN8987" s="10"/>
      <c r="AO8987" s="10"/>
      <c r="AP8987" s="10"/>
      <c r="AQ8987" s="10"/>
      <c r="AR8987" s="10"/>
      <c r="AS8987" s="10"/>
      <c r="AT8987" s="10"/>
      <c r="AU8987" s="10"/>
      <c r="AV8987" s="10"/>
      <c r="AW8987" s="10"/>
      <c r="AX8987" s="10"/>
      <c r="AY8987" s="10"/>
      <c r="AZ8987" s="10"/>
    </row>
    <row r="8988" spans="31:52">
      <c r="AE8988" s="10"/>
      <c r="AF8988" s="10"/>
      <c r="AG8988" s="10"/>
      <c r="AH8988" s="10"/>
      <c r="AI8988" s="10"/>
      <c r="AJ8988" s="10"/>
      <c r="AK8988" s="10"/>
      <c r="AL8988" s="10"/>
      <c r="AM8988" s="10"/>
      <c r="AN8988" s="10"/>
      <c r="AO8988" s="10"/>
      <c r="AP8988" s="10"/>
      <c r="AQ8988" s="10"/>
      <c r="AR8988" s="10"/>
      <c r="AS8988" s="10"/>
      <c r="AT8988" s="10"/>
      <c r="AU8988" s="10"/>
      <c r="AV8988" s="10"/>
      <c r="AW8988" s="10"/>
      <c r="AX8988" s="10"/>
      <c r="AY8988" s="10"/>
      <c r="AZ8988" s="10"/>
    </row>
    <row r="8989" spans="31:52">
      <c r="AE8989" s="10"/>
      <c r="AF8989" s="10"/>
      <c r="AG8989" s="10"/>
      <c r="AH8989" s="10"/>
      <c r="AI8989" s="10"/>
      <c r="AJ8989" s="10"/>
      <c r="AK8989" s="10"/>
      <c r="AL8989" s="10"/>
      <c r="AM8989" s="10"/>
      <c r="AN8989" s="10"/>
      <c r="AO8989" s="10"/>
      <c r="AP8989" s="10"/>
      <c r="AQ8989" s="10"/>
      <c r="AR8989" s="10"/>
      <c r="AS8989" s="10"/>
      <c r="AT8989" s="10"/>
      <c r="AU8989" s="10"/>
      <c r="AV8989" s="10"/>
      <c r="AW8989" s="10"/>
      <c r="AX8989" s="10"/>
      <c r="AY8989" s="10"/>
      <c r="AZ8989" s="10"/>
    </row>
    <row r="8990" spans="31:52">
      <c r="AE8990" s="10"/>
      <c r="AF8990" s="10"/>
      <c r="AG8990" s="10"/>
      <c r="AH8990" s="10"/>
      <c r="AI8990" s="10"/>
      <c r="AJ8990" s="10"/>
      <c r="AK8990" s="10"/>
      <c r="AL8990" s="10"/>
      <c r="AM8990" s="10"/>
      <c r="AN8990" s="10"/>
      <c r="AO8990" s="10"/>
      <c r="AP8990" s="10"/>
      <c r="AQ8990" s="10"/>
      <c r="AR8990" s="10"/>
      <c r="AS8990" s="10"/>
      <c r="AT8990" s="10"/>
      <c r="AU8990" s="10"/>
      <c r="AV8990" s="10"/>
      <c r="AW8990" s="10"/>
      <c r="AX8990" s="10"/>
      <c r="AY8990" s="10"/>
      <c r="AZ8990" s="10"/>
    </row>
    <row r="8991" spans="31:52">
      <c r="AE8991" s="10"/>
      <c r="AF8991" s="10"/>
      <c r="AG8991" s="10"/>
      <c r="AH8991" s="10"/>
      <c r="AI8991" s="10"/>
      <c r="AJ8991" s="10"/>
      <c r="AK8991" s="10"/>
      <c r="AL8991" s="10"/>
      <c r="AM8991" s="10"/>
      <c r="AN8991" s="10"/>
      <c r="AO8991" s="10"/>
      <c r="AP8991" s="10"/>
      <c r="AQ8991" s="10"/>
      <c r="AR8991" s="10"/>
      <c r="AS8991" s="10"/>
      <c r="AT8991" s="10"/>
      <c r="AU8991" s="10"/>
      <c r="AV8991" s="10"/>
      <c r="AW8991" s="10"/>
      <c r="AX8991" s="10"/>
      <c r="AY8991" s="10"/>
      <c r="AZ8991" s="10"/>
    </row>
    <row r="8992" spans="31:52">
      <c r="AE8992" s="10"/>
      <c r="AF8992" s="10"/>
      <c r="AG8992" s="10"/>
      <c r="AH8992" s="10"/>
      <c r="AI8992" s="10"/>
      <c r="AJ8992" s="10"/>
      <c r="AK8992" s="10"/>
      <c r="AL8992" s="10"/>
      <c r="AM8992" s="10"/>
      <c r="AN8992" s="10"/>
      <c r="AO8992" s="10"/>
      <c r="AP8992" s="10"/>
      <c r="AQ8992" s="10"/>
      <c r="AR8992" s="10"/>
      <c r="AS8992" s="10"/>
      <c r="AT8992" s="10"/>
      <c r="AU8992" s="10"/>
      <c r="AV8992" s="10"/>
      <c r="AW8992" s="10"/>
      <c r="AX8992" s="10"/>
      <c r="AY8992" s="10"/>
      <c r="AZ8992" s="10"/>
    </row>
    <row r="8993" spans="31:52">
      <c r="AE8993" s="10"/>
      <c r="AF8993" s="10"/>
      <c r="AG8993" s="10"/>
      <c r="AH8993" s="10"/>
      <c r="AI8993" s="10"/>
      <c r="AJ8993" s="10"/>
      <c r="AK8993" s="10"/>
      <c r="AL8993" s="10"/>
      <c r="AM8993" s="10"/>
      <c r="AN8993" s="10"/>
      <c r="AO8993" s="10"/>
      <c r="AP8993" s="10"/>
      <c r="AQ8993" s="10"/>
      <c r="AR8993" s="10"/>
      <c r="AS8993" s="10"/>
      <c r="AT8993" s="10"/>
      <c r="AU8993" s="10"/>
      <c r="AV8993" s="10"/>
      <c r="AW8993" s="10"/>
      <c r="AX8993" s="10"/>
      <c r="AY8993" s="10"/>
      <c r="AZ8993" s="10"/>
    </row>
    <row r="8994" spans="31:52">
      <c r="AE8994" s="10"/>
      <c r="AF8994" s="10"/>
      <c r="AG8994" s="10"/>
      <c r="AH8994" s="10"/>
      <c r="AI8994" s="10"/>
      <c r="AJ8994" s="10"/>
      <c r="AK8994" s="10"/>
      <c r="AL8994" s="10"/>
      <c r="AM8994" s="10"/>
      <c r="AN8994" s="10"/>
      <c r="AO8994" s="10"/>
      <c r="AP8994" s="10"/>
      <c r="AQ8994" s="10"/>
      <c r="AR8994" s="10"/>
      <c r="AS8994" s="10"/>
      <c r="AT8994" s="10"/>
      <c r="AU8994" s="10"/>
      <c r="AV8994" s="10"/>
      <c r="AW8994" s="10"/>
      <c r="AX8994" s="10"/>
      <c r="AY8994" s="10"/>
      <c r="AZ8994" s="10"/>
    </row>
    <row r="8995" spans="31:52">
      <c r="AE8995" s="10"/>
      <c r="AF8995" s="10"/>
      <c r="AG8995" s="10"/>
      <c r="AH8995" s="10"/>
      <c r="AI8995" s="10"/>
      <c r="AJ8995" s="10"/>
      <c r="AK8995" s="10"/>
      <c r="AL8995" s="10"/>
      <c r="AM8995" s="10"/>
      <c r="AN8995" s="10"/>
      <c r="AO8995" s="10"/>
      <c r="AP8995" s="10"/>
      <c r="AQ8995" s="10"/>
      <c r="AR8995" s="10"/>
      <c r="AS8995" s="10"/>
      <c r="AT8995" s="10"/>
      <c r="AU8995" s="10"/>
      <c r="AV8995" s="10"/>
      <c r="AW8995" s="10"/>
      <c r="AX8995" s="10"/>
      <c r="AY8995" s="10"/>
      <c r="AZ8995" s="10"/>
    </row>
    <row r="8996" spans="31:52">
      <c r="AE8996" s="10"/>
      <c r="AF8996" s="10"/>
      <c r="AG8996" s="10"/>
      <c r="AH8996" s="10"/>
      <c r="AI8996" s="10"/>
      <c r="AJ8996" s="10"/>
      <c r="AK8996" s="10"/>
      <c r="AL8996" s="10"/>
      <c r="AM8996" s="10"/>
      <c r="AN8996" s="10"/>
      <c r="AO8996" s="10"/>
      <c r="AP8996" s="10"/>
      <c r="AQ8996" s="10"/>
      <c r="AR8996" s="10"/>
      <c r="AS8996" s="10"/>
      <c r="AT8996" s="10"/>
      <c r="AU8996" s="10"/>
      <c r="AV8996" s="10"/>
      <c r="AW8996" s="10"/>
      <c r="AX8996" s="10"/>
      <c r="AY8996" s="10"/>
      <c r="AZ8996" s="10"/>
    </row>
    <row r="8997" spans="31:52">
      <c r="AE8997" s="10"/>
      <c r="AF8997" s="10"/>
      <c r="AG8997" s="10"/>
      <c r="AH8997" s="10"/>
      <c r="AI8997" s="10"/>
      <c r="AJ8997" s="10"/>
      <c r="AK8997" s="10"/>
      <c r="AL8997" s="10"/>
      <c r="AM8997" s="10"/>
      <c r="AN8997" s="10"/>
      <c r="AO8997" s="10"/>
      <c r="AP8997" s="10"/>
      <c r="AQ8997" s="10"/>
      <c r="AR8997" s="10"/>
      <c r="AS8997" s="10"/>
      <c r="AT8997" s="10"/>
      <c r="AU8997" s="10"/>
      <c r="AV8997" s="10"/>
      <c r="AW8997" s="10"/>
      <c r="AX8997" s="10"/>
      <c r="AY8997" s="10"/>
      <c r="AZ8997" s="10"/>
    </row>
    <row r="8998" spans="31:52">
      <c r="AE8998" s="10"/>
      <c r="AF8998" s="10"/>
      <c r="AG8998" s="10"/>
      <c r="AH8998" s="10"/>
      <c r="AI8998" s="10"/>
      <c r="AJ8998" s="10"/>
      <c r="AK8998" s="10"/>
      <c r="AL8998" s="10"/>
      <c r="AM8998" s="10"/>
      <c r="AN8998" s="10"/>
      <c r="AO8998" s="10"/>
      <c r="AP8998" s="10"/>
      <c r="AQ8998" s="10"/>
      <c r="AR8998" s="10"/>
      <c r="AS8998" s="10"/>
      <c r="AT8998" s="10"/>
      <c r="AU8998" s="10"/>
      <c r="AV8998" s="10"/>
      <c r="AW8998" s="10"/>
      <c r="AX8998" s="10"/>
      <c r="AY8998" s="10"/>
      <c r="AZ8998" s="10"/>
    </row>
    <row r="8999" spans="31:52">
      <c r="AE8999" s="10"/>
      <c r="AF8999" s="10"/>
      <c r="AG8999" s="10"/>
      <c r="AH8999" s="10"/>
      <c r="AI8999" s="10"/>
      <c r="AJ8999" s="10"/>
      <c r="AK8999" s="10"/>
      <c r="AL8999" s="10"/>
      <c r="AM8999" s="10"/>
      <c r="AN8999" s="10"/>
      <c r="AO8999" s="10"/>
      <c r="AP8999" s="10"/>
      <c r="AQ8999" s="10"/>
      <c r="AR8999" s="10"/>
      <c r="AS8999" s="10"/>
      <c r="AT8999" s="10"/>
      <c r="AU8999" s="10"/>
      <c r="AV8999" s="10"/>
      <c r="AW8999" s="10"/>
      <c r="AX8999" s="10"/>
      <c r="AY8999" s="10"/>
      <c r="AZ8999" s="10"/>
    </row>
    <row r="9000" spans="31:52">
      <c r="AE9000" s="10"/>
      <c r="AF9000" s="10"/>
      <c r="AG9000" s="10"/>
      <c r="AH9000" s="10"/>
      <c r="AI9000" s="10"/>
      <c r="AJ9000" s="10"/>
      <c r="AK9000" s="10"/>
      <c r="AL9000" s="10"/>
      <c r="AM9000" s="10"/>
      <c r="AN9000" s="10"/>
      <c r="AO9000" s="10"/>
      <c r="AP9000" s="10"/>
      <c r="AQ9000" s="10"/>
      <c r="AR9000" s="10"/>
      <c r="AS9000" s="10"/>
      <c r="AT9000" s="10"/>
      <c r="AU9000" s="10"/>
      <c r="AV9000" s="10"/>
      <c r="AW9000" s="10"/>
      <c r="AX9000" s="10"/>
      <c r="AY9000" s="10"/>
      <c r="AZ9000" s="10"/>
    </row>
    <row r="9001" spans="31:52">
      <c r="AE9001" s="10"/>
      <c r="AF9001" s="10"/>
      <c r="AG9001" s="10"/>
      <c r="AH9001" s="10"/>
      <c r="AI9001" s="10"/>
      <c r="AJ9001" s="10"/>
      <c r="AK9001" s="10"/>
      <c r="AL9001" s="10"/>
      <c r="AM9001" s="10"/>
      <c r="AN9001" s="10"/>
      <c r="AO9001" s="10"/>
      <c r="AP9001" s="10"/>
      <c r="AQ9001" s="10"/>
      <c r="AR9001" s="10"/>
      <c r="AS9001" s="10"/>
      <c r="AT9001" s="10"/>
      <c r="AU9001" s="10"/>
      <c r="AV9001" s="10"/>
      <c r="AW9001" s="10"/>
      <c r="AX9001" s="10"/>
      <c r="AY9001" s="10"/>
      <c r="AZ9001" s="10"/>
    </row>
    <row r="9002" spans="31:52">
      <c r="AE9002" s="10"/>
      <c r="AF9002" s="10"/>
      <c r="AG9002" s="10"/>
      <c r="AH9002" s="10"/>
      <c r="AI9002" s="10"/>
      <c r="AJ9002" s="10"/>
      <c r="AK9002" s="10"/>
      <c r="AL9002" s="10"/>
      <c r="AM9002" s="10"/>
      <c r="AN9002" s="10"/>
      <c r="AO9002" s="10"/>
      <c r="AP9002" s="10"/>
      <c r="AQ9002" s="10"/>
      <c r="AR9002" s="10"/>
      <c r="AS9002" s="10"/>
      <c r="AT9002" s="10"/>
      <c r="AU9002" s="10"/>
      <c r="AV9002" s="10"/>
      <c r="AW9002" s="10"/>
      <c r="AX9002" s="10"/>
      <c r="AY9002" s="10"/>
      <c r="AZ9002" s="10"/>
    </row>
    <row r="9003" spans="31:52">
      <c r="AE9003" s="10"/>
      <c r="AF9003" s="10"/>
      <c r="AG9003" s="10"/>
      <c r="AH9003" s="10"/>
      <c r="AI9003" s="10"/>
      <c r="AJ9003" s="10"/>
      <c r="AK9003" s="10"/>
      <c r="AL9003" s="10"/>
      <c r="AM9003" s="10"/>
      <c r="AN9003" s="10"/>
      <c r="AO9003" s="10"/>
      <c r="AP9003" s="10"/>
      <c r="AQ9003" s="10"/>
      <c r="AR9003" s="10"/>
      <c r="AS9003" s="10"/>
      <c r="AT9003" s="10"/>
      <c r="AU9003" s="10"/>
      <c r="AV9003" s="10"/>
      <c r="AW9003" s="10"/>
      <c r="AX9003" s="10"/>
      <c r="AY9003" s="10"/>
      <c r="AZ9003" s="10"/>
    </row>
    <row r="9004" spans="31:52">
      <c r="AE9004" s="10"/>
      <c r="AF9004" s="10"/>
      <c r="AG9004" s="10"/>
      <c r="AH9004" s="10"/>
      <c r="AI9004" s="10"/>
      <c r="AJ9004" s="10"/>
      <c r="AK9004" s="10"/>
      <c r="AL9004" s="10"/>
      <c r="AM9004" s="10"/>
      <c r="AN9004" s="10"/>
      <c r="AO9004" s="10"/>
      <c r="AP9004" s="10"/>
      <c r="AQ9004" s="10"/>
      <c r="AR9004" s="10"/>
      <c r="AS9004" s="10"/>
      <c r="AT9004" s="10"/>
      <c r="AU9004" s="10"/>
      <c r="AV9004" s="10"/>
      <c r="AW9004" s="10"/>
      <c r="AX9004" s="10"/>
      <c r="AY9004" s="10"/>
      <c r="AZ9004" s="10"/>
    </row>
    <row r="9005" spans="31:52">
      <c r="AE9005" s="10"/>
      <c r="AF9005" s="10"/>
      <c r="AG9005" s="10"/>
      <c r="AH9005" s="10"/>
      <c r="AI9005" s="10"/>
      <c r="AJ9005" s="10"/>
      <c r="AK9005" s="10"/>
      <c r="AL9005" s="10"/>
      <c r="AM9005" s="10"/>
      <c r="AN9005" s="10"/>
      <c r="AO9005" s="10"/>
      <c r="AP9005" s="10"/>
      <c r="AQ9005" s="10"/>
      <c r="AR9005" s="10"/>
      <c r="AS9005" s="10"/>
      <c r="AT9005" s="10"/>
      <c r="AU9005" s="10"/>
      <c r="AV9005" s="10"/>
      <c r="AW9005" s="10"/>
      <c r="AX9005" s="10"/>
      <c r="AY9005" s="10"/>
      <c r="AZ9005" s="10"/>
    </row>
    <row r="9006" spans="31:52">
      <c r="AE9006" s="10"/>
      <c r="AF9006" s="10"/>
      <c r="AG9006" s="10"/>
      <c r="AH9006" s="10"/>
      <c r="AI9006" s="10"/>
      <c r="AJ9006" s="10"/>
      <c r="AK9006" s="10"/>
      <c r="AL9006" s="10"/>
      <c r="AM9006" s="10"/>
      <c r="AN9006" s="10"/>
      <c r="AO9006" s="10"/>
      <c r="AP9006" s="10"/>
      <c r="AQ9006" s="10"/>
      <c r="AR9006" s="10"/>
      <c r="AS9006" s="10"/>
      <c r="AT9006" s="10"/>
      <c r="AU9006" s="10"/>
      <c r="AV9006" s="10"/>
      <c r="AW9006" s="10"/>
      <c r="AX9006" s="10"/>
      <c r="AY9006" s="10"/>
      <c r="AZ9006" s="10"/>
    </row>
    <row r="9007" spans="31:52">
      <c r="AE9007" s="10"/>
      <c r="AF9007" s="10"/>
      <c r="AG9007" s="10"/>
      <c r="AH9007" s="10"/>
      <c r="AI9007" s="10"/>
      <c r="AJ9007" s="10"/>
      <c r="AK9007" s="10"/>
      <c r="AL9007" s="10"/>
      <c r="AM9007" s="10"/>
      <c r="AN9007" s="10"/>
      <c r="AO9007" s="10"/>
      <c r="AP9007" s="10"/>
      <c r="AQ9007" s="10"/>
      <c r="AR9007" s="10"/>
      <c r="AS9007" s="10"/>
      <c r="AT9007" s="10"/>
      <c r="AU9007" s="10"/>
      <c r="AV9007" s="10"/>
      <c r="AW9007" s="10"/>
      <c r="AX9007" s="10"/>
      <c r="AY9007" s="10"/>
      <c r="AZ9007" s="10"/>
    </row>
    <row r="9008" spans="31:52">
      <c r="AE9008" s="10"/>
      <c r="AF9008" s="10"/>
      <c r="AG9008" s="10"/>
      <c r="AH9008" s="10"/>
      <c r="AI9008" s="10"/>
      <c r="AJ9008" s="10"/>
      <c r="AK9008" s="10"/>
      <c r="AL9008" s="10"/>
      <c r="AM9008" s="10"/>
      <c r="AN9008" s="10"/>
      <c r="AO9008" s="10"/>
      <c r="AP9008" s="10"/>
      <c r="AQ9008" s="10"/>
      <c r="AR9008" s="10"/>
      <c r="AS9008" s="10"/>
      <c r="AT9008" s="10"/>
      <c r="AU9008" s="10"/>
      <c r="AV9008" s="10"/>
      <c r="AW9008" s="10"/>
      <c r="AX9008" s="10"/>
      <c r="AY9008" s="10"/>
      <c r="AZ9008" s="10"/>
    </row>
    <row r="9009" spans="31:52">
      <c r="AE9009" s="10"/>
      <c r="AF9009" s="10"/>
      <c r="AG9009" s="10"/>
      <c r="AH9009" s="10"/>
      <c r="AI9009" s="10"/>
      <c r="AJ9009" s="10"/>
      <c r="AK9009" s="10"/>
      <c r="AL9009" s="10"/>
      <c r="AM9009" s="10"/>
      <c r="AN9009" s="10"/>
      <c r="AO9009" s="10"/>
      <c r="AP9009" s="10"/>
      <c r="AQ9009" s="10"/>
      <c r="AR9009" s="10"/>
      <c r="AS9009" s="10"/>
      <c r="AT9009" s="10"/>
      <c r="AU9009" s="10"/>
      <c r="AV9009" s="10"/>
      <c r="AW9009" s="10"/>
      <c r="AX9009" s="10"/>
      <c r="AY9009" s="10"/>
      <c r="AZ9009" s="10"/>
    </row>
    <row r="9010" spans="31:52">
      <c r="AE9010" s="10"/>
      <c r="AF9010" s="10"/>
      <c r="AG9010" s="10"/>
      <c r="AH9010" s="10"/>
      <c r="AI9010" s="10"/>
      <c r="AJ9010" s="10"/>
      <c r="AK9010" s="10"/>
      <c r="AL9010" s="10"/>
      <c r="AM9010" s="10"/>
      <c r="AN9010" s="10"/>
      <c r="AO9010" s="10"/>
      <c r="AP9010" s="10"/>
      <c r="AQ9010" s="10"/>
      <c r="AR9010" s="10"/>
      <c r="AS9010" s="10"/>
      <c r="AT9010" s="10"/>
      <c r="AU9010" s="10"/>
      <c r="AV9010" s="10"/>
      <c r="AW9010" s="10"/>
      <c r="AX9010" s="10"/>
      <c r="AY9010" s="10"/>
      <c r="AZ9010" s="10"/>
    </row>
    <row r="9011" spans="31:52">
      <c r="AE9011" s="10"/>
      <c r="AF9011" s="10"/>
      <c r="AG9011" s="10"/>
      <c r="AH9011" s="10"/>
      <c r="AI9011" s="10"/>
      <c r="AJ9011" s="10"/>
      <c r="AK9011" s="10"/>
      <c r="AL9011" s="10"/>
      <c r="AM9011" s="10"/>
      <c r="AN9011" s="10"/>
      <c r="AO9011" s="10"/>
      <c r="AP9011" s="10"/>
      <c r="AQ9011" s="10"/>
      <c r="AR9011" s="10"/>
      <c r="AS9011" s="10"/>
      <c r="AT9011" s="10"/>
      <c r="AU9011" s="10"/>
      <c r="AV9011" s="10"/>
      <c r="AW9011" s="10"/>
      <c r="AX9011" s="10"/>
      <c r="AY9011" s="10"/>
      <c r="AZ9011" s="10"/>
    </row>
    <row r="9012" spans="31:52">
      <c r="AE9012" s="10"/>
      <c r="AF9012" s="10"/>
      <c r="AG9012" s="10"/>
      <c r="AH9012" s="10"/>
      <c r="AI9012" s="10"/>
      <c r="AJ9012" s="10"/>
      <c r="AK9012" s="10"/>
      <c r="AL9012" s="10"/>
      <c r="AM9012" s="10"/>
      <c r="AN9012" s="10"/>
      <c r="AO9012" s="10"/>
      <c r="AP9012" s="10"/>
      <c r="AQ9012" s="10"/>
      <c r="AR9012" s="10"/>
      <c r="AS9012" s="10"/>
      <c r="AT9012" s="10"/>
      <c r="AU9012" s="10"/>
      <c r="AV9012" s="10"/>
      <c r="AW9012" s="10"/>
      <c r="AX9012" s="10"/>
      <c r="AY9012" s="10"/>
      <c r="AZ9012" s="10"/>
    </row>
    <row r="9013" spans="31:52">
      <c r="AE9013" s="10"/>
      <c r="AF9013" s="10"/>
      <c r="AG9013" s="10"/>
      <c r="AH9013" s="10"/>
      <c r="AI9013" s="10"/>
      <c r="AJ9013" s="10"/>
      <c r="AK9013" s="10"/>
      <c r="AL9013" s="10"/>
      <c r="AM9013" s="10"/>
      <c r="AN9013" s="10"/>
      <c r="AO9013" s="10"/>
      <c r="AP9013" s="10"/>
      <c r="AQ9013" s="10"/>
      <c r="AR9013" s="10"/>
      <c r="AS9013" s="10"/>
      <c r="AT9013" s="10"/>
      <c r="AU9013" s="10"/>
      <c r="AV9013" s="10"/>
      <c r="AW9013" s="10"/>
      <c r="AX9013" s="10"/>
      <c r="AY9013" s="10"/>
      <c r="AZ9013" s="10"/>
    </row>
    <row r="9014" spans="31:52">
      <c r="AE9014" s="10"/>
      <c r="AF9014" s="10"/>
      <c r="AG9014" s="10"/>
      <c r="AH9014" s="10"/>
      <c r="AI9014" s="10"/>
      <c r="AJ9014" s="10"/>
      <c r="AK9014" s="10"/>
      <c r="AL9014" s="10"/>
      <c r="AM9014" s="10"/>
      <c r="AN9014" s="10"/>
      <c r="AO9014" s="10"/>
      <c r="AP9014" s="10"/>
      <c r="AQ9014" s="10"/>
      <c r="AR9014" s="10"/>
      <c r="AS9014" s="10"/>
      <c r="AT9014" s="10"/>
      <c r="AU9014" s="10"/>
      <c r="AV9014" s="10"/>
      <c r="AW9014" s="10"/>
      <c r="AX9014" s="10"/>
      <c r="AY9014" s="10"/>
      <c r="AZ9014" s="10"/>
    </row>
    <row r="9015" spans="31:52">
      <c r="AE9015" s="10"/>
      <c r="AF9015" s="10"/>
      <c r="AG9015" s="10"/>
      <c r="AH9015" s="10"/>
      <c r="AI9015" s="10"/>
      <c r="AJ9015" s="10"/>
      <c r="AK9015" s="10"/>
      <c r="AL9015" s="10"/>
      <c r="AM9015" s="10"/>
      <c r="AN9015" s="10"/>
      <c r="AO9015" s="10"/>
      <c r="AP9015" s="10"/>
      <c r="AQ9015" s="10"/>
      <c r="AR9015" s="10"/>
      <c r="AS9015" s="10"/>
      <c r="AT9015" s="10"/>
      <c r="AU9015" s="10"/>
      <c r="AV9015" s="10"/>
      <c r="AW9015" s="10"/>
      <c r="AX9015" s="10"/>
      <c r="AY9015" s="10"/>
      <c r="AZ9015" s="10"/>
    </row>
    <row r="9016" spans="31:52">
      <c r="AE9016" s="10"/>
      <c r="AF9016" s="10"/>
      <c r="AG9016" s="10"/>
      <c r="AH9016" s="10"/>
      <c r="AI9016" s="10"/>
      <c r="AJ9016" s="10"/>
      <c r="AK9016" s="10"/>
      <c r="AL9016" s="10"/>
      <c r="AM9016" s="10"/>
      <c r="AN9016" s="10"/>
      <c r="AO9016" s="10"/>
      <c r="AP9016" s="10"/>
      <c r="AQ9016" s="10"/>
      <c r="AR9016" s="10"/>
      <c r="AS9016" s="10"/>
      <c r="AT9016" s="10"/>
      <c r="AU9016" s="10"/>
      <c r="AV9016" s="10"/>
      <c r="AW9016" s="10"/>
      <c r="AX9016" s="10"/>
      <c r="AY9016" s="10"/>
      <c r="AZ9016" s="10"/>
    </row>
    <row r="9017" spans="31:52">
      <c r="AE9017" s="10"/>
      <c r="AF9017" s="10"/>
      <c r="AG9017" s="10"/>
      <c r="AH9017" s="10"/>
      <c r="AI9017" s="10"/>
      <c r="AJ9017" s="10"/>
      <c r="AK9017" s="10"/>
      <c r="AL9017" s="10"/>
      <c r="AM9017" s="10"/>
      <c r="AN9017" s="10"/>
      <c r="AO9017" s="10"/>
      <c r="AP9017" s="10"/>
      <c r="AQ9017" s="10"/>
      <c r="AR9017" s="10"/>
      <c r="AS9017" s="10"/>
      <c r="AT9017" s="10"/>
      <c r="AU9017" s="10"/>
      <c r="AV9017" s="10"/>
      <c r="AW9017" s="10"/>
      <c r="AX9017" s="10"/>
      <c r="AY9017" s="10"/>
      <c r="AZ9017" s="10"/>
    </row>
    <row r="9018" spans="31:52">
      <c r="AE9018" s="10"/>
      <c r="AF9018" s="10"/>
      <c r="AG9018" s="10"/>
      <c r="AH9018" s="10"/>
      <c r="AI9018" s="10"/>
      <c r="AJ9018" s="10"/>
      <c r="AK9018" s="10"/>
      <c r="AL9018" s="10"/>
      <c r="AM9018" s="10"/>
      <c r="AN9018" s="10"/>
      <c r="AO9018" s="10"/>
      <c r="AP9018" s="10"/>
      <c r="AQ9018" s="10"/>
      <c r="AR9018" s="10"/>
      <c r="AS9018" s="10"/>
      <c r="AT9018" s="10"/>
      <c r="AU9018" s="10"/>
      <c r="AV9018" s="10"/>
      <c r="AW9018" s="10"/>
      <c r="AX9018" s="10"/>
      <c r="AY9018" s="10"/>
      <c r="AZ9018" s="10"/>
    </row>
    <row r="9019" spans="31:52">
      <c r="AE9019" s="10"/>
      <c r="AF9019" s="10"/>
      <c r="AG9019" s="10"/>
      <c r="AH9019" s="10"/>
      <c r="AI9019" s="10"/>
      <c r="AJ9019" s="10"/>
      <c r="AK9019" s="10"/>
      <c r="AL9019" s="10"/>
      <c r="AM9019" s="10"/>
      <c r="AN9019" s="10"/>
      <c r="AO9019" s="10"/>
      <c r="AP9019" s="10"/>
      <c r="AQ9019" s="10"/>
      <c r="AR9019" s="10"/>
      <c r="AS9019" s="10"/>
      <c r="AT9019" s="10"/>
      <c r="AU9019" s="10"/>
      <c r="AV9019" s="10"/>
      <c r="AW9019" s="10"/>
      <c r="AX9019" s="10"/>
      <c r="AY9019" s="10"/>
      <c r="AZ9019" s="10"/>
    </row>
    <row r="9020" spans="31:52">
      <c r="AE9020" s="10"/>
      <c r="AF9020" s="10"/>
      <c r="AG9020" s="10"/>
      <c r="AH9020" s="10"/>
      <c r="AI9020" s="10"/>
      <c r="AJ9020" s="10"/>
      <c r="AK9020" s="10"/>
      <c r="AL9020" s="10"/>
      <c r="AM9020" s="10"/>
      <c r="AN9020" s="10"/>
      <c r="AO9020" s="10"/>
      <c r="AP9020" s="10"/>
      <c r="AQ9020" s="10"/>
      <c r="AR9020" s="10"/>
      <c r="AS9020" s="10"/>
      <c r="AT9020" s="10"/>
      <c r="AU9020" s="10"/>
      <c r="AV9020" s="10"/>
      <c r="AW9020" s="10"/>
      <c r="AX9020" s="10"/>
      <c r="AY9020" s="10"/>
      <c r="AZ9020" s="10"/>
    </row>
    <row r="9021" spans="31:52">
      <c r="AE9021" s="10"/>
      <c r="AF9021" s="10"/>
      <c r="AG9021" s="10"/>
      <c r="AH9021" s="10"/>
      <c r="AI9021" s="10"/>
      <c r="AJ9021" s="10"/>
      <c r="AK9021" s="10"/>
      <c r="AL9021" s="10"/>
      <c r="AM9021" s="10"/>
      <c r="AN9021" s="10"/>
      <c r="AO9021" s="10"/>
      <c r="AP9021" s="10"/>
      <c r="AQ9021" s="10"/>
      <c r="AR9021" s="10"/>
      <c r="AS9021" s="10"/>
      <c r="AT9021" s="10"/>
      <c r="AU9021" s="10"/>
      <c r="AV9021" s="10"/>
      <c r="AW9021" s="10"/>
      <c r="AX9021" s="10"/>
      <c r="AY9021" s="10"/>
      <c r="AZ9021" s="10"/>
    </row>
    <row r="9022" spans="31:52">
      <c r="AE9022" s="10"/>
      <c r="AF9022" s="10"/>
      <c r="AG9022" s="10"/>
      <c r="AH9022" s="10"/>
      <c r="AI9022" s="10"/>
      <c r="AJ9022" s="10"/>
      <c r="AK9022" s="10"/>
      <c r="AL9022" s="10"/>
      <c r="AM9022" s="10"/>
      <c r="AN9022" s="10"/>
      <c r="AO9022" s="10"/>
      <c r="AP9022" s="10"/>
      <c r="AQ9022" s="10"/>
      <c r="AR9022" s="10"/>
      <c r="AS9022" s="10"/>
      <c r="AT9022" s="10"/>
      <c r="AU9022" s="10"/>
      <c r="AV9022" s="10"/>
      <c r="AW9022" s="10"/>
      <c r="AX9022" s="10"/>
      <c r="AY9022" s="10"/>
      <c r="AZ9022" s="10"/>
    </row>
    <row r="9023" spans="31:52">
      <c r="AE9023" s="10"/>
      <c r="AF9023" s="10"/>
      <c r="AG9023" s="10"/>
      <c r="AH9023" s="10"/>
      <c r="AI9023" s="10"/>
      <c r="AJ9023" s="10"/>
      <c r="AK9023" s="10"/>
      <c r="AL9023" s="10"/>
      <c r="AM9023" s="10"/>
      <c r="AN9023" s="10"/>
      <c r="AO9023" s="10"/>
      <c r="AP9023" s="10"/>
      <c r="AQ9023" s="10"/>
      <c r="AR9023" s="10"/>
      <c r="AS9023" s="10"/>
      <c r="AT9023" s="10"/>
      <c r="AU9023" s="10"/>
      <c r="AV9023" s="10"/>
      <c r="AW9023" s="10"/>
      <c r="AX9023" s="10"/>
      <c r="AY9023" s="10"/>
      <c r="AZ9023" s="10"/>
    </row>
    <row r="9024" spans="31:52">
      <c r="AE9024" s="10"/>
      <c r="AF9024" s="10"/>
      <c r="AG9024" s="10"/>
      <c r="AH9024" s="10"/>
      <c r="AI9024" s="10"/>
      <c r="AJ9024" s="10"/>
      <c r="AK9024" s="10"/>
      <c r="AL9024" s="10"/>
      <c r="AM9024" s="10"/>
      <c r="AN9024" s="10"/>
      <c r="AO9024" s="10"/>
      <c r="AP9024" s="10"/>
      <c r="AQ9024" s="10"/>
      <c r="AR9024" s="10"/>
      <c r="AS9024" s="10"/>
      <c r="AT9024" s="10"/>
      <c r="AU9024" s="10"/>
      <c r="AV9024" s="10"/>
      <c r="AW9024" s="10"/>
      <c r="AX9024" s="10"/>
      <c r="AY9024" s="10"/>
      <c r="AZ9024" s="10"/>
    </row>
    <row r="9025" spans="31:52">
      <c r="AE9025" s="10"/>
      <c r="AF9025" s="10"/>
      <c r="AG9025" s="10"/>
      <c r="AH9025" s="10"/>
      <c r="AI9025" s="10"/>
      <c r="AJ9025" s="10"/>
      <c r="AK9025" s="10"/>
      <c r="AL9025" s="10"/>
      <c r="AM9025" s="10"/>
      <c r="AN9025" s="10"/>
      <c r="AO9025" s="10"/>
      <c r="AP9025" s="10"/>
      <c r="AQ9025" s="10"/>
      <c r="AR9025" s="10"/>
      <c r="AS9025" s="10"/>
      <c r="AT9025" s="10"/>
      <c r="AU9025" s="10"/>
      <c r="AV9025" s="10"/>
      <c r="AW9025" s="10"/>
      <c r="AX9025" s="10"/>
      <c r="AY9025" s="10"/>
      <c r="AZ9025" s="10"/>
    </row>
    <row r="9026" spans="31:52">
      <c r="AE9026" s="10"/>
      <c r="AF9026" s="10"/>
      <c r="AG9026" s="10"/>
      <c r="AH9026" s="10"/>
      <c r="AI9026" s="10"/>
      <c r="AJ9026" s="10"/>
      <c r="AK9026" s="10"/>
      <c r="AL9026" s="10"/>
      <c r="AM9026" s="10"/>
      <c r="AN9026" s="10"/>
      <c r="AO9026" s="10"/>
      <c r="AP9026" s="10"/>
      <c r="AQ9026" s="10"/>
      <c r="AR9026" s="10"/>
      <c r="AS9026" s="10"/>
      <c r="AT9026" s="10"/>
      <c r="AU9026" s="10"/>
      <c r="AV9026" s="10"/>
      <c r="AW9026" s="10"/>
      <c r="AX9026" s="10"/>
      <c r="AY9026" s="10"/>
      <c r="AZ9026" s="10"/>
    </row>
    <row r="9027" spans="31:52">
      <c r="AE9027" s="10"/>
      <c r="AF9027" s="10"/>
      <c r="AG9027" s="10"/>
      <c r="AH9027" s="10"/>
      <c r="AI9027" s="10"/>
      <c r="AJ9027" s="10"/>
      <c r="AK9027" s="10"/>
      <c r="AL9027" s="10"/>
      <c r="AM9027" s="10"/>
      <c r="AN9027" s="10"/>
      <c r="AO9027" s="10"/>
      <c r="AP9027" s="10"/>
      <c r="AQ9027" s="10"/>
      <c r="AR9027" s="10"/>
      <c r="AS9027" s="10"/>
      <c r="AT9027" s="10"/>
      <c r="AU9027" s="10"/>
      <c r="AV9027" s="10"/>
      <c r="AW9027" s="10"/>
      <c r="AX9027" s="10"/>
      <c r="AY9027" s="10"/>
      <c r="AZ9027" s="10"/>
    </row>
    <row r="9028" spans="31:52">
      <c r="AE9028" s="10"/>
      <c r="AF9028" s="10"/>
      <c r="AG9028" s="10"/>
      <c r="AH9028" s="10"/>
      <c r="AI9028" s="10"/>
      <c r="AJ9028" s="10"/>
      <c r="AK9028" s="10"/>
      <c r="AL9028" s="10"/>
      <c r="AM9028" s="10"/>
      <c r="AN9028" s="10"/>
      <c r="AO9028" s="10"/>
      <c r="AP9028" s="10"/>
      <c r="AQ9028" s="10"/>
      <c r="AR9028" s="10"/>
      <c r="AS9028" s="10"/>
      <c r="AT9028" s="10"/>
      <c r="AU9028" s="10"/>
      <c r="AV9028" s="10"/>
      <c r="AW9028" s="10"/>
      <c r="AX9028" s="10"/>
      <c r="AY9028" s="10"/>
      <c r="AZ9028" s="10"/>
    </row>
    <row r="9029" spans="31:52">
      <c r="AE9029" s="10"/>
      <c r="AF9029" s="10"/>
      <c r="AG9029" s="10"/>
      <c r="AH9029" s="10"/>
      <c r="AI9029" s="10"/>
      <c r="AJ9029" s="10"/>
      <c r="AK9029" s="10"/>
      <c r="AL9029" s="10"/>
      <c r="AM9029" s="10"/>
      <c r="AN9029" s="10"/>
      <c r="AO9029" s="10"/>
      <c r="AP9029" s="10"/>
      <c r="AQ9029" s="10"/>
      <c r="AR9029" s="10"/>
      <c r="AS9029" s="10"/>
      <c r="AT9029" s="10"/>
      <c r="AU9029" s="10"/>
      <c r="AV9029" s="10"/>
      <c r="AW9029" s="10"/>
      <c r="AX9029" s="10"/>
      <c r="AY9029" s="10"/>
      <c r="AZ9029" s="10"/>
    </row>
    <row r="9030" spans="31:52">
      <c r="AE9030" s="10"/>
      <c r="AF9030" s="10"/>
      <c r="AG9030" s="10"/>
      <c r="AH9030" s="10"/>
      <c r="AI9030" s="10"/>
      <c r="AJ9030" s="10"/>
      <c r="AK9030" s="10"/>
      <c r="AL9030" s="10"/>
      <c r="AM9030" s="10"/>
      <c r="AN9030" s="10"/>
      <c r="AO9030" s="10"/>
      <c r="AP9030" s="10"/>
      <c r="AQ9030" s="10"/>
      <c r="AR9030" s="10"/>
      <c r="AS9030" s="10"/>
      <c r="AT9030" s="10"/>
      <c r="AU9030" s="10"/>
      <c r="AV9030" s="10"/>
      <c r="AW9030" s="10"/>
      <c r="AX9030" s="10"/>
      <c r="AY9030" s="10"/>
      <c r="AZ9030" s="10"/>
    </row>
    <row r="9031" spans="31:52">
      <c r="AE9031" s="10"/>
      <c r="AF9031" s="10"/>
      <c r="AG9031" s="10"/>
      <c r="AH9031" s="10"/>
      <c r="AI9031" s="10"/>
      <c r="AJ9031" s="10"/>
      <c r="AK9031" s="10"/>
      <c r="AL9031" s="10"/>
      <c r="AM9031" s="10"/>
      <c r="AN9031" s="10"/>
      <c r="AO9031" s="10"/>
      <c r="AP9031" s="10"/>
      <c r="AQ9031" s="10"/>
      <c r="AR9031" s="10"/>
      <c r="AS9031" s="10"/>
      <c r="AT9031" s="10"/>
      <c r="AU9031" s="10"/>
      <c r="AV9031" s="10"/>
      <c r="AW9031" s="10"/>
      <c r="AX9031" s="10"/>
      <c r="AY9031" s="10"/>
      <c r="AZ9031" s="10"/>
    </row>
    <row r="9032" spans="31:52">
      <c r="AE9032" s="10"/>
      <c r="AF9032" s="10"/>
      <c r="AG9032" s="10"/>
      <c r="AH9032" s="10"/>
      <c r="AI9032" s="10"/>
      <c r="AJ9032" s="10"/>
      <c r="AK9032" s="10"/>
      <c r="AL9032" s="10"/>
      <c r="AM9032" s="10"/>
      <c r="AN9032" s="10"/>
      <c r="AO9032" s="10"/>
      <c r="AP9032" s="10"/>
      <c r="AQ9032" s="10"/>
      <c r="AR9032" s="10"/>
      <c r="AS9032" s="10"/>
      <c r="AT9032" s="10"/>
      <c r="AU9032" s="10"/>
      <c r="AV9032" s="10"/>
      <c r="AW9032" s="10"/>
      <c r="AX9032" s="10"/>
      <c r="AY9032" s="10"/>
      <c r="AZ9032" s="10"/>
    </row>
    <row r="9033" spans="31:52">
      <c r="AE9033" s="10"/>
      <c r="AF9033" s="10"/>
      <c r="AG9033" s="10"/>
      <c r="AH9033" s="10"/>
      <c r="AI9033" s="10"/>
      <c r="AJ9033" s="10"/>
      <c r="AK9033" s="10"/>
      <c r="AL9033" s="10"/>
      <c r="AM9033" s="10"/>
      <c r="AN9033" s="10"/>
      <c r="AO9033" s="10"/>
      <c r="AP9033" s="10"/>
      <c r="AQ9033" s="10"/>
      <c r="AR9033" s="10"/>
      <c r="AS9033" s="10"/>
      <c r="AT9033" s="10"/>
      <c r="AU9033" s="10"/>
      <c r="AV9033" s="10"/>
      <c r="AW9033" s="10"/>
      <c r="AX9033" s="10"/>
      <c r="AY9033" s="10"/>
      <c r="AZ9033" s="10"/>
    </row>
    <row r="9034" spans="31:52">
      <c r="AE9034" s="10"/>
      <c r="AF9034" s="10"/>
      <c r="AG9034" s="10"/>
      <c r="AH9034" s="10"/>
      <c r="AI9034" s="10"/>
      <c r="AJ9034" s="10"/>
      <c r="AK9034" s="10"/>
      <c r="AL9034" s="10"/>
      <c r="AM9034" s="10"/>
      <c r="AN9034" s="10"/>
      <c r="AO9034" s="10"/>
      <c r="AP9034" s="10"/>
      <c r="AQ9034" s="10"/>
      <c r="AR9034" s="10"/>
      <c r="AS9034" s="10"/>
      <c r="AT9034" s="10"/>
      <c r="AU9034" s="10"/>
      <c r="AV9034" s="10"/>
      <c r="AW9034" s="10"/>
      <c r="AX9034" s="10"/>
      <c r="AY9034" s="10"/>
      <c r="AZ9034" s="10"/>
    </row>
    <row r="9035" spans="31:52">
      <c r="AE9035" s="10"/>
      <c r="AF9035" s="10"/>
      <c r="AG9035" s="10"/>
      <c r="AH9035" s="10"/>
      <c r="AI9035" s="10"/>
      <c r="AJ9035" s="10"/>
      <c r="AK9035" s="10"/>
      <c r="AL9035" s="10"/>
      <c r="AM9035" s="10"/>
      <c r="AN9035" s="10"/>
      <c r="AO9035" s="10"/>
      <c r="AP9035" s="10"/>
      <c r="AQ9035" s="10"/>
      <c r="AR9035" s="10"/>
      <c r="AS9035" s="10"/>
      <c r="AT9035" s="10"/>
      <c r="AU9035" s="10"/>
      <c r="AV9035" s="10"/>
      <c r="AW9035" s="10"/>
      <c r="AX9035" s="10"/>
      <c r="AY9035" s="10"/>
      <c r="AZ9035" s="10"/>
    </row>
    <row r="9036" spans="31:52">
      <c r="AE9036" s="10"/>
      <c r="AF9036" s="10"/>
      <c r="AG9036" s="10"/>
      <c r="AH9036" s="10"/>
      <c r="AI9036" s="10"/>
      <c r="AJ9036" s="10"/>
      <c r="AK9036" s="10"/>
      <c r="AL9036" s="10"/>
      <c r="AM9036" s="10"/>
      <c r="AN9036" s="10"/>
      <c r="AO9036" s="10"/>
      <c r="AP9036" s="10"/>
      <c r="AQ9036" s="10"/>
      <c r="AR9036" s="10"/>
      <c r="AS9036" s="10"/>
      <c r="AT9036" s="10"/>
      <c r="AU9036" s="10"/>
      <c r="AV9036" s="10"/>
      <c r="AW9036" s="10"/>
      <c r="AX9036" s="10"/>
      <c r="AY9036" s="10"/>
      <c r="AZ9036" s="10"/>
    </row>
    <row r="9037" spans="31:52">
      <c r="AE9037" s="10"/>
      <c r="AF9037" s="10"/>
      <c r="AG9037" s="10"/>
      <c r="AH9037" s="10"/>
      <c r="AI9037" s="10"/>
      <c r="AJ9037" s="10"/>
      <c r="AK9037" s="10"/>
      <c r="AL9037" s="10"/>
      <c r="AM9037" s="10"/>
      <c r="AN9037" s="10"/>
      <c r="AO9037" s="10"/>
      <c r="AP9037" s="10"/>
      <c r="AQ9037" s="10"/>
      <c r="AR9037" s="10"/>
      <c r="AS9037" s="10"/>
      <c r="AT9037" s="10"/>
      <c r="AU9037" s="10"/>
      <c r="AV9037" s="10"/>
      <c r="AW9037" s="10"/>
      <c r="AX9037" s="10"/>
      <c r="AY9037" s="10"/>
      <c r="AZ9037" s="10"/>
    </row>
    <row r="9038" spans="31:52">
      <c r="AE9038" s="10"/>
      <c r="AF9038" s="10"/>
      <c r="AG9038" s="10"/>
      <c r="AH9038" s="10"/>
      <c r="AI9038" s="10"/>
      <c r="AJ9038" s="10"/>
      <c r="AK9038" s="10"/>
      <c r="AL9038" s="10"/>
      <c r="AM9038" s="10"/>
      <c r="AN9038" s="10"/>
      <c r="AO9038" s="10"/>
      <c r="AP9038" s="10"/>
      <c r="AQ9038" s="10"/>
      <c r="AR9038" s="10"/>
      <c r="AS9038" s="10"/>
      <c r="AT9038" s="10"/>
      <c r="AU9038" s="10"/>
      <c r="AV9038" s="10"/>
      <c r="AW9038" s="10"/>
      <c r="AX9038" s="10"/>
      <c r="AY9038" s="10"/>
      <c r="AZ9038" s="10"/>
    </row>
    <row r="9039" spans="31:52">
      <c r="AE9039" s="10"/>
      <c r="AF9039" s="10"/>
      <c r="AG9039" s="10"/>
      <c r="AH9039" s="10"/>
      <c r="AI9039" s="10"/>
      <c r="AJ9039" s="10"/>
      <c r="AK9039" s="10"/>
      <c r="AL9039" s="10"/>
      <c r="AM9039" s="10"/>
      <c r="AN9039" s="10"/>
      <c r="AO9039" s="10"/>
      <c r="AP9039" s="10"/>
      <c r="AQ9039" s="10"/>
      <c r="AR9039" s="10"/>
      <c r="AS9039" s="10"/>
      <c r="AT9039" s="10"/>
      <c r="AU9039" s="10"/>
      <c r="AV9039" s="10"/>
      <c r="AW9039" s="10"/>
      <c r="AX9039" s="10"/>
      <c r="AY9039" s="10"/>
      <c r="AZ9039" s="10"/>
    </row>
    <row r="9040" spans="31:52">
      <c r="AE9040" s="10"/>
      <c r="AF9040" s="10"/>
      <c r="AG9040" s="10"/>
      <c r="AH9040" s="10"/>
      <c r="AI9040" s="10"/>
      <c r="AJ9040" s="10"/>
      <c r="AK9040" s="10"/>
      <c r="AL9040" s="10"/>
      <c r="AM9040" s="10"/>
      <c r="AN9040" s="10"/>
      <c r="AO9040" s="10"/>
      <c r="AP9040" s="10"/>
      <c r="AQ9040" s="10"/>
      <c r="AR9040" s="10"/>
      <c r="AS9040" s="10"/>
      <c r="AT9040" s="10"/>
      <c r="AU9040" s="10"/>
      <c r="AV9040" s="10"/>
      <c r="AW9040" s="10"/>
      <c r="AX9040" s="10"/>
      <c r="AY9040" s="10"/>
      <c r="AZ9040" s="10"/>
    </row>
    <row r="9041" spans="31:52">
      <c r="AE9041" s="10"/>
      <c r="AF9041" s="10"/>
      <c r="AG9041" s="10"/>
      <c r="AH9041" s="10"/>
      <c r="AI9041" s="10"/>
      <c r="AJ9041" s="10"/>
      <c r="AK9041" s="10"/>
      <c r="AL9041" s="10"/>
      <c r="AM9041" s="10"/>
      <c r="AN9041" s="10"/>
      <c r="AO9041" s="10"/>
      <c r="AP9041" s="10"/>
      <c r="AQ9041" s="10"/>
      <c r="AR9041" s="10"/>
      <c r="AS9041" s="10"/>
      <c r="AT9041" s="10"/>
      <c r="AU9041" s="10"/>
      <c r="AV9041" s="10"/>
      <c r="AW9041" s="10"/>
      <c r="AX9041" s="10"/>
      <c r="AY9041" s="10"/>
      <c r="AZ9041" s="10"/>
    </row>
    <row r="9042" spans="31:52">
      <c r="AE9042" s="10"/>
      <c r="AF9042" s="10"/>
      <c r="AG9042" s="10"/>
      <c r="AH9042" s="10"/>
      <c r="AI9042" s="10"/>
      <c r="AJ9042" s="10"/>
      <c r="AK9042" s="10"/>
      <c r="AL9042" s="10"/>
      <c r="AM9042" s="10"/>
      <c r="AN9042" s="10"/>
      <c r="AO9042" s="10"/>
      <c r="AP9042" s="10"/>
      <c r="AQ9042" s="10"/>
      <c r="AR9042" s="10"/>
      <c r="AS9042" s="10"/>
      <c r="AT9042" s="10"/>
      <c r="AU9042" s="10"/>
      <c r="AV9042" s="10"/>
      <c r="AW9042" s="10"/>
      <c r="AX9042" s="10"/>
      <c r="AY9042" s="10"/>
      <c r="AZ9042" s="10"/>
    </row>
    <row r="9043" spans="31:52">
      <c r="AE9043" s="10"/>
      <c r="AF9043" s="10"/>
      <c r="AG9043" s="10"/>
      <c r="AH9043" s="10"/>
      <c r="AI9043" s="10"/>
      <c r="AJ9043" s="10"/>
      <c r="AK9043" s="10"/>
      <c r="AL9043" s="10"/>
      <c r="AM9043" s="10"/>
      <c r="AN9043" s="10"/>
      <c r="AO9043" s="10"/>
      <c r="AP9043" s="10"/>
      <c r="AQ9043" s="10"/>
      <c r="AR9043" s="10"/>
      <c r="AS9043" s="10"/>
      <c r="AT9043" s="10"/>
      <c r="AU9043" s="10"/>
      <c r="AV9043" s="10"/>
      <c r="AW9043" s="10"/>
      <c r="AX9043" s="10"/>
      <c r="AY9043" s="10"/>
      <c r="AZ9043" s="10"/>
    </row>
    <row r="9044" spans="31:52">
      <c r="AE9044" s="10"/>
      <c r="AF9044" s="10"/>
      <c r="AG9044" s="10"/>
      <c r="AH9044" s="10"/>
      <c r="AI9044" s="10"/>
      <c r="AJ9044" s="10"/>
      <c r="AK9044" s="10"/>
      <c r="AL9044" s="10"/>
      <c r="AM9044" s="10"/>
      <c r="AN9044" s="10"/>
      <c r="AO9044" s="10"/>
      <c r="AP9044" s="10"/>
      <c r="AQ9044" s="10"/>
      <c r="AR9044" s="10"/>
      <c r="AS9044" s="10"/>
      <c r="AT9044" s="10"/>
      <c r="AU9044" s="10"/>
      <c r="AV9044" s="10"/>
      <c r="AW9044" s="10"/>
      <c r="AX9044" s="10"/>
      <c r="AY9044" s="10"/>
      <c r="AZ9044" s="10"/>
    </row>
    <row r="9045" spans="31:52">
      <c r="AE9045" s="10"/>
      <c r="AF9045" s="10"/>
      <c r="AG9045" s="10"/>
      <c r="AH9045" s="10"/>
      <c r="AI9045" s="10"/>
      <c r="AJ9045" s="10"/>
      <c r="AK9045" s="10"/>
      <c r="AL9045" s="10"/>
      <c r="AM9045" s="10"/>
      <c r="AN9045" s="10"/>
      <c r="AO9045" s="10"/>
      <c r="AP9045" s="10"/>
      <c r="AQ9045" s="10"/>
      <c r="AR9045" s="10"/>
      <c r="AS9045" s="10"/>
      <c r="AT9045" s="10"/>
      <c r="AU9045" s="10"/>
      <c r="AV9045" s="10"/>
      <c r="AW9045" s="10"/>
      <c r="AX9045" s="10"/>
      <c r="AY9045" s="10"/>
      <c r="AZ9045" s="10"/>
    </row>
    <row r="9046" spans="31:52">
      <c r="AE9046" s="10"/>
      <c r="AF9046" s="10"/>
      <c r="AG9046" s="10"/>
      <c r="AH9046" s="10"/>
      <c r="AI9046" s="10"/>
      <c r="AJ9046" s="10"/>
      <c r="AK9046" s="10"/>
      <c r="AL9046" s="10"/>
      <c r="AM9046" s="10"/>
      <c r="AN9046" s="10"/>
      <c r="AO9046" s="10"/>
      <c r="AP9046" s="10"/>
      <c r="AQ9046" s="10"/>
      <c r="AR9046" s="10"/>
      <c r="AS9046" s="10"/>
      <c r="AT9046" s="10"/>
      <c r="AU9046" s="10"/>
      <c r="AV9046" s="10"/>
      <c r="AW9046" s="10"/>
      <c r="AX9046" s="10"/>
      <c r="AY9046" s="10"/>
      <c r="AZ9046" s="10"/>
    </row>
    <row r="9047" spans="31:52">
      <c r="AE9047" s="10"/>
      <c r="AF9047" s="10"/>
      <c r="AG9047" s="10"/>
      <c r="AH9047" s="10"/>
      <c r="AI9047" s="10"/>
      <c r="AJ9047" s="10"/>
      <c r="AK9047" s="10"/>
      <c r="AL9047" s="10"/>
      <c r="AM9047" s="10"/>
      <c r="AN9047" s="10"/>
      <c r="AO9047" s="10"/>
      <c r="AP9047" s="10"/>
      <c r="AQ9047" s="10"/>
      <c r="AR9047" s="10"/>
      <c r="AS9047" s="10"/>
      <c r="AT9047" s="10"/>
      <c r="AU9047" s="10"/>
      <c r="AV9047" s="10"/>
      <c r="AW9047" s="10"/>
      <c r="AX9047" s="10"/>
      <c r="AY9047" s="10"/>
      <c r="AZ9047" s="10"/>
    </row>
    <row r="9048" spans="31:52">
      <c r="AE9048" s="10"/>
      <c r="AF9048" s="10"/>
      <c r="AG9048" s="10"/>
      <c r="AH9048" s="10"/>
      <c r="AI9048" s="10"/>
      <c r="AJ9048" s="10"/>
      <c r="AK9048" s="10"/>
      <c r="AL9048" s="10"/>
      <c r="AM9048" s="10"/>
      <c r="AN9048" s="10"/>
      <c r="AO9048" s="10"/>
      <c r="AP9048" s="10"/>
      <c r="AQ9048" s="10"/>
      <c r="AR9048" s="10"/>
      <c r="AS9048" s="10"/>
      <c r="AT9048" s="10"/>
      <c r="AU9048" s="10"/>
      <c r="AV9048" s="10"/>
      <c r="AW9048" s="10"/>
      <c r="AX9048" s="10"/>
      <c r="AY9048" s="10"/>
      <c r="AZ9048" s="10"/>
    </row>
    <row r="9049" spans="31:52">
      <c r="AE9049" s="10"/>
      <c r="AF9049" s="10"/>
      <c r="AG9049" s="10"/>
      <c r="AH9049" s="10"/>
      <c r="AI9049" s="10"/>
      <c r="AJ9049" s="10"/>
      <c r="AK9049" s="10"/>
      <c r="AL9049" s="10"/>
      <c r="AM9049" s="10"/>
      <c r="AN9049" s="10"/>
      <c r="AO9049" s="10"/>
      <c r="AP9049" s="10"/>
      <c r="AQ9049" s="10"/>
      <c r="AR9049" s="10"/>
      <c r="AS9049" s="10"/>
      <c r="AT9049" s="10"/>
      <c r="AU9049" s="10"/>
      <c r="AV9049" s="10"/>
      <c r="AW9049" s="10"/>
      <c r="AX9049" s="10"/>
      <c r="AY9049" s="10"/>
      <c r="AZ9049" s="10"/>
    </row>
    <row r="9050" spans="31:52">
      <c r="AE9050" s="10"/>
      <c r="AF9050" s="10"/>
      <c r="AG9050" s="10"/>
      <c r="AH9050" s="10"/>
      <c r="AI9050" s="10"/>
      <c r="AJ9050" s="10"/>
      <c r="AK9050" s="10"/>
      <c r="AL9050" s="10"/>
      <c r="AM9050" s="10"/>
      <c r="AN9050" s="10"/>
      <c r="AO9050" s="10"/>
      <c r="AP9050" s="10"/>
      <c r="AQ9050" s="10"/>
      <c r="AR9050" s="10"/>
      <c r="AS9050" s="10"/>
      <c r="AT9050" s="10"/>
      <c r="AU9050" s="10"/>
      <c r="AV9050" s="10"/>
      <c r="AW9050" s="10"/>
      <c r="AX9050" s="10"/>
      <c r="AY9050" s="10"/>
      <c r="AZ9050" s="10"/>
    </row>
    <row r="9051" spans="31:52">
      <c r="AE9051" s="10"/>
      <c r="AF9051" s="10"/>
      <c r="AG9051" s="10"/>
      <c r="AH9051" s="10"/>
      <c r="AI9051" s="10"/>
      <c r="AJ9051" s="10"/>
      <c r="AK9051" s="10"/>
      <c r="AL9051" s="10"/>
      <c r="AM9051" s="10"/>
      <c r="AN9051" s="10"/>
      <c r="AO9051" s="10"/>
      <c r="AP9051" s="10"/>
      <c r="AQ9051" s="10"/>
      <c r="AR9051" s="10"/>
      <c r="AS9051" s="10"/>
      <c r="AT9051" s="10"/>
      <c r="AU9051" s="10"/>
      <c r="AV9051" s="10"/>
      <c r="AW9051" s="10"/>
      <c r="AX9051" s="10"/>
      <c r="AY9051" s="10"/>
      <c r="AZ9051" s="10"/>
    </row>
    <row r="9052" spans="31:52">
      <c r="AE9052" s="10"/>
      <c r="AF9052" s="10"/>
      <c r="AG9052" s="10"/>
      <c r="AH9052" s="10"/>
      <c r="AI9052" s="10"/>
      <c r="AJ9052" s="10"/>
      <c r="AK9052" s="10"/>
      <c r="AL9052" s="10"/>
      <c r="AM9052" s="10"/>
      <c r="AN9052" s="10"/>
      <c r="AO9052" s="10"/>
      <c r="AP9052" s="10"/>
      <c r="AQ9052" s="10"/>
      <c r="AR9052" s="10"/>
      <c r="AS9052" s="10"/>
      <c r="AT9052" s="10"/>
      <c r="AU9052" s="10"/>
      <c r="AV9052" s="10"/>
      <c r="AW9052" s="10"/>
      <c r="AX9052" s="10"/>
      <c r="AY9052" s="10"/>
      <c r="AZ9052" s="10"/>
    </row>
    <row r="9053" spans="31:52">
      <c r="AE9053" s="10"/>
      <c r="AF9053" s="10"/>
      <c r="AG9053" s="10"/>
      <c r="AH9053" s="10"/>
      <c r="AI9053" s="10"/>
      <c r="AJ9053" s="10"/>
      <c r="AK9053" s="10"/>
      <c r="AL9053" s="10"/>
      <c r="AM9053" s="10"/>
      <c r="AN9053" s="10"/>
      <c r="AO9053" s="10"/>
      <c r="AP9053" s="10"/>
      <c r="AQ9053" s="10"/>
      <c r="AR9053" s="10"/>
      <c r="AS9053" s="10"/>
      <c r="AT9053" s="10"/>
      <c r="AU9053" s="10"/>
      <c r="AV9053" s="10"/>
      <c r="AW9053" s="10"/>
      <c r="AX9053" s="10"/>
      <c r="AY9053" s="10"/>
      <c r="AZ9053" s="10"/>
    </row>
    <row r="9054" spans="31:52">
      <c r="AE9054" s="10"/>
      <c r="AF9054" s="10"/>
      <c r="AG9054" s="10"/>
      <c r="AH9054" s="10"/>
      <c r="AI9054" s="10"/>
      <c r="AJ9054" s="10"/>
      <c r="AK9054" s="10"/>
      <c r="AL9054" s="10"/>
      <c r="AM9054" s="10"/>
      <c r="AN9054" s="10"/>
      <c r="AO9054" s="10"/>
      <c r="AP9054" s="10"/>
      <c r="AQ9054" s="10"/>
      <c r="AR9054" s="10"/>
      <c r="AS9054" s="10"/>
      <c r="AT9054" s="10"/>
      <c r="AU9054" s="10"/>
      <c r="AV9054" s="10"/>
      <c r="AW9054" s="10"/>
      <c r="AX9054" s="10"/>
      <c r="AY9054" s="10"/>
      <c r="AZ9054" s="10"/>
    </row>
    <row r="9055" spans="31:52">
      <c r="AE9055" s="10"/>
      <c r="AF9055" s="10"/>
      <c r="AG9055" s="10"/>
      <c r="AH9055" s="10"/>
      <c r="AI9055" s="10"/>
      <c r="AJ9055" s="10"/>
      <c r="AK9055" s="10"/>
      <c r="AL9055" s="10"/>
      <c r="AM9055" s="10"/>
      <c r="AN9055" s="10"/>
      <c r="AO9055" s="10"/>
      <c r="AP9055" s="10"/>
      <c r="AQ9055" s="10"/>
      <c r="AR9055" s="10"/>
      <c r="AS9055" s="10"/>
      <c r="AT9055" s="10"/>
      <c r="AU9055" s="10"/>
      <c r="AV9055" s="10"/>
      <c r="AW9055" s="10"/>
      <c r="AX9055" s="10"/>
      <c r="AY9055" s="10"/>
      <c r="AZ9055" s="10"/>
    </row>
    <row r="9056" spans="31:52">
      <c r="AE9056" s="10"/>
      <c r="AF9056" s="10"/>
      <c r="AG9056" s="10"/>
      <c r="AH9056" s="10"/>
      <c r="AI9056" s="10"/>
      <c r="AJ9056" s="10"/>
      <c r="AK9056" s="10"/>
      <c r="AL9056" s="10"/>
      <c r="AM9056" s="10"/>
      <c r="AN9056" s="10"/>
      <c r="AO9056" s="10"/>
      <c r="AP9056" s="10"/>
      <c r="AQ9056" s="10"/>
      <c r="AR9056" s="10"/>
      <c r="AS9056" s="10"/>
      <c r="AT9056" s="10"/>
      <c r="AU9056" s="10"/>
      <c r="AV9056" s="10"/>
      <c r="AW9056" s="10"/>
      <c r="AX9056" s="10"/>
      <c r="AY9056" s="10"/>
      <c r="AZ9056" s="10"/>
    </row>
    <row r="9057" spans="31:52">
      <c r="AE9057" s="10"/>
      <c r="AF9057" s="10"/>
      <c r="AG9057" s="10"/>
      <c r="AH9057" s="10"/>
      <c r="AI9057" s="10"/>
      <c r="AJ9057" s="10"/>
      <c r="AK9057" s="10"/>
      <c r="AL9057" s="10"/>
      <c r="AM9057" s="10"/>
      <c r="AN9057" s="10"/>
      <c r="AO9057" s="10"/>
      <c r="AP9057" s="10"/>
      <c r="AQ9057" s="10"/>
      <c r="AR9057" s="10"/>
      <c r="AS9057" s="10"/>
      <c r="AT9057" s="10"/>
      <c r="AU9057" s="10"/>
      <c r="AV9057" s="10"/>
      <c r="AW9057" s="10"/>
      <c r="AX9057" s="10"/>
      <c r="AY9057" s="10"/>
      <c r="AZ9057" s="10"/>
    </row>
    <row r="9058" spans="31:52">
      <c r="AE9058" s="10"/>
      <c r="AF9058" s="10"/>
      <c r="AG9058" s="10"/>
      <c r="AH9058" s="10"/>
      <c r="AI9058" s="10"/>
      <c r="AJ9058" s="10"/>
      <c r="AK9058" s="10"/>
      <c r="AL9058" s="10"/>
      <c r="AM9058" s="10"/>
      <c r="AN9058" s="10"/>
      <c r="AO9058" s="10"/>
      <c r="AP9058" s="10"/>
      <c r="AQ9058" s="10"/>
      <c r="AR9058" s="10"/>
      <c r="AS9058" s="10"/>
      <c r="AT9058" s="10"/>
      <c r="AU9058" s="10"/>
      <c r="AV9058" s="10"/>
      <c r="AW9058" s="10"/>
      <c r="AX9058" s="10"/>
      <c r="AY9058" s="10"/>
      <c r="AZ9058" s="10"/>
    </row>
    <row r="9059" spans="31:52">
      <c r="AE9059" s="10"/>
      <c r="AF9059" s="10"/>
      <c r="AG9059" s="10"/>
      <c r="AH9059" s="10"/>
      <c r="AI9059" s="10"/>
      <c r="AJ9059" s="10"/>
      <c r="AK9059" s="10"/>
      <c r="AL9059" s="10"/>
      <c r="AM9059" s="10"/>
      <c r="AN9059" s="10"/>
      <c r="AO9059" s="10"/>
      <c r="AP9059" s="10"/>
      <c r="AQ9059" s="10"/>
      <c r="AR9059" s="10"/>
      <c r="AS9059" s="10"/>
      <c r="AT9059" s="10"/>
      <c r="AU9059" s="10"/>
      <c r="AV9059" s="10"/>
      <c r="AW9059" s="10"/>
      <c r="AX9059" s="10"/>
      <c r="AY9059" s="10"/>
      <c r="AZ9059" s="10"/>
    </row>
    <row r="9060" spans="31:52">
      <c r="AE9060" s="10"/>
      <c r="AF9060" s="10"/>
      <c r="AG9060" s="10"/>
      <c r="AH9060" s="10"/>
      <c r="AI9060" s="10"/>
      <c r="AJ9060" s="10"/>
      <c r="AK9060" s="10"/>
      <c r="AL9060" s="10"/>
      <c r="AM9060" s="10"/>
      <c r="AN9060" s="10"/>
      <c r="AO9060" s="10"/>
      <c r="AP9060" s="10"/>
      <c r="AQ9060" s="10"/>
      <c r="AR9060" s="10"/>
      <c r="AS9060" s="10"/>
      <c r="AT9060" s="10"/>
      <c r="AU9060" s="10"/>
      <c r="AV9060" s="10"/>
      <c r="AW9060" s="10"/>
      <c r="AX9060" s="10"/>
      <c r="AY9060" s="10"/>
      <c r="AZ9060" s="10"/>
    </row>
    <row r="9061" spans="31:52">
      <c r="AE9061" s="10"/>
      <c r="AF9061" s="10"/>
      <c r="AG9061" s="10"/>
      <c r="AH9061" s="10"/>
      <c r="AI9061" s="10"/>
      <c r="AJ9061" s="10"/>
      <c r="AK9061" s="10"/>
      <c r="AL9061" s="10"/>
      <c r="AM9061" s="10"/>
      <c r="AN9061" s="10"/>
      <c r="AO9061" s="10"/>
      <c r="AP9061" s="10"/>
      <c r="AQ9061" s="10"/>
      <c r="AR9061" s="10"/>
      <c r="AS9061" s="10"/>
      <c r="AT9061" s="10"/>
      <c r="AU9061" s="10"/>
      <c r="AV9061" s="10"/>
      <c r="AW9061" s="10"/>
      <c r="AX9061" s="10"/>
      <c r="AY9061" s="10"/>
      <c r="AZ9061" s="10"/>
    </row>
    <row r="9062" spans="31:52">
      <c r="AE9062" s="10"/>
      <c r="AF9062" s="10"/>
      <c r="AG9062" s="10"/>
      <c r="AH9062" s="10"/>
      <c r="AI9062" s="10"/>
      <c r="AJ9062" s="10"/>
      <c r="AK9062" s="10"/>
      <c r="AL9062" s="10"/>
      <c r="AM9062" s="10"/>
      <c r="AN9062" s="10"/>
      <c r="AO9062" s="10"/>
      <c r="AP9062" s="10"/>
      <c r="AQ9062" s="10"/>
      <c r="AR9062" s="10"/>
      <c r="AS9062" s="10"/>
      <c r="AT9062" s="10"/>
      <c r="AU9062" s="10"/>
      <c r="AV9062" s="10"/>
      <c r="AW9062" s="10"/>
      <c r="AX9062" s="10"/>
      <c r="AY9062" s="10"/>
      <c r="AZ9062" s="10"/>
    </row>
    <row r="9063" spans="31:52">
      <c r="AE9063" s="10"/>
      <c r="AF9063" s="10"/>
      <c r="AG9063" s="10"/>
      <c r="AH9063" s="10"/>
      <c r="AI9063" s="10"/>
      <c r="AJ9063" s="10"/>
      <c r="AK9063" s="10"/>
      <c r="AL9063" s="10"/>
      <c r="AM9063" s="10"/>
      <c r="AN9063" s="10"/>
      <c r="AO9063" s="10"/>
      <c r="AP9063" s="10"/>
      <c r="AQ9063" s="10"/>
      <c r="AR9063" s="10"/>
      <c r="AS9063" s="10"/>
      <c r="AT9063" s="10"/>
      <c r="AU9063" s="10"/>
      <c r="AV9063" s="10"/>
      <c r="AW9063" s="10"/>
      <c r="AX9063" s="10"/>
      <c r="AY9063" s="10"/>
      <c r="AZ9063" s="10"/>
    </row>
    <row r="9064" spans="31:52">
      <c r="AE9064" s="10"/>
      <c r="AF9064" s="10"/>
      <c r="AG9064" s="10"/>
      <c r="AH9064" s="10"/>
      <c r="AI9064" s="10"/>
      <c r="AJ9064" s="10"/>
      <c r="AK9064" s="10"/>
      <c r="AL9064" s="10"/>
      <c r="AM9064" s="10"/>
      <c r="AN9064" s="10"/>
      <c r="AO9064" s="10"/>
      <c r="AP9064" s="10"/>
      <c r="AQ9064" s="10"/>
      <c r="AR9064" s="10"/>
      <c r="AS9064" s="10"/>
      <c r="AT9064" s="10"/>
      <c r="AU9064" s="10"/>
      <c r="AV9064" s="10"/>
      <c r="AW9064" s="10"/>
      <c r="AX9064" s="10"/>
      <c r="AY9064" s="10"/>
      <c r="AZ9064" s="10"/>
    </row>
    <row r="9065" spans="31:52">
      <c r="AE9065" s="10"/>
      <c r="AF9065" s="10"/>
      <c r="AG9065" s="10"/>
      <c r="AH9065" s="10"/>
      <c r="AI9065" s="10"/>
      <c r="AJ9065" s="10"/>
      <c r="AK9065" s="10"/>
      <c r="AL9065" s="10"/>
      <c r="AM9065" s="10"/>
      <c r="AN9065" s="10"/>
      <c r="AO9065" s="10"/>
      <c r="AP9065" s="10"/>
      <c r="AQ9065" s="10"/>
      <c r="AR9065" s="10"/>
      <c r="AS9065" s="10"/>
      <c r="AT9065" s="10"/>
      <c r="AU9065" s="10"/>
      <c r="AV9065" s="10"/>
      <c r="AW9065" s="10"/>
      <c r="AX9065" s="10"/>
      <c r="AY9065" s="10"/>
      <c r="AZ9065" s="10"/>
    </row>
    <row r="9066" spans="31:52">
      <c r="AE9066" s="10"/>
      <c r="AF9066" s="10"/>
      <c r="AG9066" s="10"/>
      <c r="AH9066" s="10"/>
      <c r="AI9066" s="10"/>
      <c r="AJ9066" s="10"/>
      <c r="AK9066" s="10"/>
      <c r="AL9066" s="10"/>
      <c r="AM9066" s="10"/>
      <c r="AN9066" s="10"/>
      <c r="AO9066" s="10"/>
      <c r="AP9066" s="10"/>
      <c r="AQ9066" s="10"/>
      <c r="AR9066" s="10"/>
      <c r="AS9066" s="10"/>
      <c r="AT9066" s="10"/>
      <c r="AU9066" s="10"/>
      <c r="AV9066" s="10"/>
      <c r="AW9066" s="10"/>
      <c r="AX9066" s="10"/>
      <c r="AY9066" s="10"/>
      <c r="AZ9066" s="10"/>
    </row>
    <row r="9067" spans="31:52">
      <c r="AE9067" s="10"/>
      <c r="AF9067" s="10"/>
      <c r="AG9067" s="10"/>
      <c r="AH9067" s="10"/>
      <c r="AI9067" s="10"/>
      <c r="AJ9067" s="10"/>
      <c r="AK9067" s="10"/>
      <c r="AL9067" s="10"/>
      <c r="AM9067" s="10"/>
      <c r="AN9067" s="10"/>
      <c r="AO9067" s="10"/>
      <c r="AP9067" s="10"/>
      <c r="AQ9067" s="10"/>
      <c r="AR9067" s="10"/>
      <c r="AS9067" s="10"/>
      <c r="AT9067" s="10"/>
      <c r="AU9067" s="10"/>
      <c r="AV9067" s="10"/>
      <c r="AW9067" s="10"/>
      <c r="AX9067" s="10"/>
      <c r="AY9067" s="10"/>
      <c r="AZ9067" s="10"/>
    </row>
    <row r="9068" spans="31:52">
      <c r="AE9068" s="10"/>
      <c r="AF9068" s="10"/>
      <c r="AG9068" s="10"/>
      <c r="AH9068" s="10"/>
      <c r="AI9068" s="10"/>
      <c r="AJ9068" s="10"/>
      <c r="AK9068" s="10"/>
      <c r="AL9068" s="10"/>
      <c r="AM9068" s="10"/>
      <c r="AN9068" s="10"/>
      <c r="AO9068" s="10"/>
      <c r="AP9068" s="10"/>
      <c r="AQ9068" s="10"/>
      <c r="AR9068" s="10"/>
      <c r="AS9068" s="10"/>
      <c r="AT9068" s="10"/>
      <c r="AU9068" s="10"/>
      <c r="AV9068" s="10"/>
      <c r="AW9068" s="10"/>
      <c r="AX9068" s="10"/>
      <c r="AY9068" s="10"/>
      <c r="AZ9068" s="10"/>
    </row>
    <row r="9069" spans="31:52">
      <c r="AE9069" s="10"/>
      <c r="AF9069" s="10"/>
      <c r="AG9069" s="10"/>
      <c r="AH9069" s="10"/>
      <c r="AI9069" s="10"/>
      <c r="AJ9069" s="10"/>
      <c r="AK9069" s="10"/>
      <c r="AL9069" s="10"/>
      <c r="AM9069" s="10"/>
      <c r="AN9069" s="10"/>
      <c r="AO9069" s="10"/>
      <c r="AP9069" s="10"/>
      <c r="AQ9069" s="10"/>
      <c r="AR9069" s="10"/>
      <c r="AS9069" s="10"/>
      <c r="AT9069" s="10"/>
      <c r="AU9069" s="10"/>
      <c r="AV9069" s="10"/>
      <c r="AW9069" s="10"/>
      <c r="AX9069" s="10"/>
      <c r="AY9069" s="10"/>
      <c r="AZ9069" s="10"/>
    </row>
    <row r="9070" spans="31:52">
      <c r="AE9070" s="10"/>
      <c r="AF9070" s="10"/>
      <c r="AG9070" s="10"/>
      <c r="AH9070" s="10"/>
      <c r="AI9070" s="10"/>
      <c r="AJ9070" s="10"/>
      <c r="AK9070" s="10"/>
      <c r="AL9070" s="10"/>
      <c r="AM9070" s="10"/>
      <c r="AN9070" s="10"/>
      <c r="AO9070" s="10"/>
      <c r="AP9070" s="10"/>
      <c r="AQ9070" s="10"/>
      <c r="AR9070" s="10"/>
      <c r="AS9070" s="10"/>
      <c r="AT9070" s="10"/>
      <c r="AU9070" s="10"/>
      <c r="AV9070" s="10"/>
      <c r="AW9070" s="10"/>
      <c r="AX9070" s="10"/>
      <c r="AY9070" s="10"/>
      <c r="AZ9070" s="10"/>
    </row>
    <row r="9071" spans="31:52">
      <c r="AE9071" s="10"/>
      <c r="AF9071" s="10"/>
      <c r="AG9071" s="10"/>
      <c r="AH9071" s="10"/>
      <c r="AI9071" s="10"/>
      <c r="AJ9071" s="10"/>
      <c r="AK9071" s="10"/>
      <c r="AL9071" s="10"/>
      <c r="AM9071" s="10"/>
      <c r="AN9071" s="10"/>
      <c r="AO9071" s="10"/>
      <c r="AP9071" s="10"/>
      <c r="AQ9071" s="10"/>
      <c r="AR9071" s="10"/>
      <c r="AS9071" s="10"/>
      <c r="AT9071" s="10"/>
      <c r="AU9071" s="10"/>
      <c r="AV9071" s="10"/>
      <c r="AW9071" s="10"/>
      <c r="AX9071" s="10"/>
      <c r="AY9071" s="10"/>
      <c r="AZ9071" s="10"/>
    </row>
    <row r="9072" spans="31:52">
      <c r="AE9072" s="10"/>
      <c r="AF9072" s="10"/>
      <c r="AG9072" s="10"/>
      <c r="AH9072" s="10"/>
      <c r="AI9072" s="10"/>
      <c r="AJ9072" s="10"/>
      <c r="AK9072" s="10"/>
      <c r="AL9072" s="10"/>
      <c r="AM9072" s="10"/>
      <c r="AN9072" s="10"/>
      <c r="AO9072" s="10"/>
      <c r="AP9072" s="10"/>
      <c r="AQ9072" s="10"/>
      <c r="AR9072" s="10"/>
      <c r="AS9072" s="10"/>
      <c r="AT9072" s="10"/>
      <c r="AU9072" s="10"/>
      <c r="AV9072" s="10"/>
      <c r="AW9072" s="10"/>
      <c r="AX9072" s="10"/>
      <c r="AY9072" s="10"/>
      <c r="AZ9072" s="10"/>
    </row>
    <row r="9073" spans="31:52">
      <c r="AE9073" s="10"/>
      <c r="AF9073" s="10"/>
      <c r="AG9073" s="10"/>
      <c r="AH9073" s="10"/>
      <c r="AI9073" s="10"/>
      <c r="AJ9073" s="10"/>
      <c r="AK9073" s="10"/>
      <c r="AL9073" s="10"/>
      <c r="AM9073" s="10"/>
      <c r="AN9073" s="10"/>
      <c r="AO9073" s="10"/>
      <c r="AP9073" s="10"/>
      <c r="AQ9073" s="10"/>
      <c r="AR9073" s="10"/>
      <c r="AS9073" s="10"/>
      <c r="AT9073" s="10"/>
      <c r="AU9073" s="10"/>
      <c r="AV9073" s="10"/>
      <c r="AW9073" s="10"/>
      <c r="AX9073" s="10"/>
      <c r="AY9073" s="10"/>
      <c r="AZ9073" s="10"/>
    </row>
    <row r="9074" spans="31:52">
      <c r="AE9074" s="10"/>
      <c r="AF9074" s="10"/>
      <c r="AG9074" s="10"/>
      <c r="AH9074" s="10"/>
      <c r="AI9074" s="10"/>
      <c r="AJ9074" s="10"/>
      <c r="AK9074" s="10"/>
      <c r="AL9074" s="10"/>
      <c r="AM9074" s="10"/>
      <c r="AN9074" s="10"/>
      <c r="AO9074" s="10"/>
      <c r="AP9074" s="10"/>
      <c r="AQ9074" s="10"/>
      <c r="AR9074" s="10"/>
      <c r="AS9074" s="10"/>
      <c r="AT9074" s="10"/>
      <c r="AU9074" s="10"/>
      <c r="AV9074" s="10"/>
      <c r="AW9074" s="10"/>
      <c r="AX9074" s="10"/>
      <c r="AY9074" s="10"/>
      <c r="AZ9074" s="10"/>
    </row>
    <row r="9075" spans="31:52">
      <c r="AE9075" s="10"/>
      <c r="AF9075" s="10"/>
      <c r="AG9075" s="10"/>
      <c r="AH9075" s="10"/>
      <c r="AI9075" s="10"/>
      <c r="AJ9075" s="10"/>
      <c r="AK9075" s="10"/>
      <c r="AL9075" s="10"/>
      <c r="AM9075" s="10"/>
      <c r="AN9075" s="10"/>
      <c r="AO9075" s="10"/>
      <c r="AP9075" s="10"/>
      <c r="AQ9075" s="10"/>
      <c r="AR9075" s="10"/>
      <c r="AS9075" s="10"/>
      <c r="AT9075" s="10"/>
      <c r="AU9075" s="10"/>
      <c r="AV9075" s="10"/>
      <c r="AW9075" s="10"/>
      <c r="AX9075" s="10"/>
      <c r="AY9075" s="10"/>
      <c r="AZ9075" s="10"/>
    </row>
    <row r="9076" spans="31:52">
      <c r="AE9076" s="10"/>
      <c r="AF9076" s="10"/>
      <c r="AG9076" s="10"/>
      <c r="AH9076" s="10"/>
      <c r="AI9076" s="10"/>
      <c r="AJ9076" s="10"/>
      <c r="AK9076" s="10"/>
      <c r="AL9076" s="10"/>
      <c r="AM9076" s="10"/>
      <c r="AN9076" s="10"/>
      <c r="AO9076" s="10"/>
      <c r="AP9076" s="10"/>
      <c r="AQ9076" s="10"/>
      <c r="AR9076" s="10"/>
      <c r="AS9076" s="10"/>
      <c r="AT9076" s="10"/>
      <c r="AU9076" s="10"/>
      <c r="AV9076" s="10"/>
      <c r="AW9076" s="10"/>
      <c r="AX9076" s="10"/>
      <c r="AY9076" s="10"/>
      <c r="AZ9076" s="10"/>
    </row>
    <row r="9077" spans="31:52">
      <c r="AE9077" s="10"/>
      <c r="AF9077" s="10"/>
      <c r="AG9077" s="10"/>
      <c r="AH9077" s="10"/>
      <c r="AI9077" s="10"/>
      <c r="AJ9077" s="10"/>
      <c r="AK9077" s="10"/>
      <c r="AL9077" s="10"/>
      <c r="AM9077" s="10"/>
      <c r="AN9077" s="10"/>
      <c r="AO9077" s="10"/>
      <c r="AP9077" s="10"/>
      <c r="AQ9077" s="10"/>
      <c r="AR9077" s="10"/>
      <c r="AS9077" s="10"/>
      <c r="AT9077" s="10"/>
      <c r="AU9077" s="10"/>
      <c r="AV9077" s="10"/>
      <c r="AW9077" s="10"/>
      <c r="AX9077" s="10"/>
      <c r="AY9077" s="10"/>
      <c r="AZ9077" s="10"/>
    </row>
    <row r="9078" spans="31:52">
      <c r="AE9078" s="10"/>
      <c r="AF9078" s="10"/>
      <c r="AG9078" s="10"/>
      <c r="AH9078" s="10"/>
      <c r="AI9078" s="10"/>
      <c r="AJ9078" s="10"/>
      <c r="AK9078" s="10"/>
      <c r="AL9078" s="10"/>
      <c r="AM9078" s="10"/>
      <c r="AN9078" s="10"/>
      <c r="AO9078" s="10"/>
      <c r="AP9078" s="10"/>
      <c r="AQ9078" s="10"/>
      <c r="AR9078" s="10"/>
      <c r="AS9078" s="10"/>
      <c r="AT9078" s="10"/>
      <c r="AU9078" s="10"/>
      <c r="AV9078" s="10"/>
      <c r="AW9078" s="10"/>
      <c r="AX9078" s="10"/>
      <c r="AY9078" s="10"/>
      <c r="AZ9078" s="10"/>
    </row>
    <row r="9079" spans="31:52">
      <c r="AE9079" s="10"/>
      <c r="AF9079" s="10"/>
      <c r="AG9079" s="10"/>
      <c r="AH9079" s="10"/>
      <c r="AI9079" s="10"/>
      <c r="AJ9079" s="10"/>
      <c r="AK9079" s="10"/>
      <c r="AL9079" s="10"/>
      <c r="AM9079" s="10"/>
      <c r="AN9079" s="10"/>
      <c r="AO9079" s="10"/>
      <c r="AP9079" s="10"/>
      <c r="AQ9079" s="10"/>
      <c r="AR9079" s="10"/>
      <c r="AS9079" s="10"/>
      <c r="AT9079" s="10"/>
      <c r="AU9079" s="10"/>
      <c r="AV9079" s="10"/>
      <c r="AW9079" s="10"/>
      <c r="AX9079" s="10"/>
      <c r="AY9079" s="10"/>
      <c r="AZ9079" s="10"/>
    </row>
    <row r="9080" spans="31:52">
      <c r="AE9080" s="10"/>
      <c r="AF9080" s="10"/>
      <c r="AG9080" s="10"/>
      <c r="AH9080" s="10"/>
      <c r="AI9080" s="10"/>
      <c r="AJ9080" s="10"/>
      <c r="AK9080" s="10"/>
      <c r="AL9080" s="10"/>
      <c r="AM9080" s="10"/>
      <c r="AN9080" s="10"/>
      <c r="AO9080" s="10"/>
      <c r="AP9080" s="10"/>
      <c r="AQ9080" s="10"/>
      <c r="AR9080" s="10"/>
      <c r="AS9080" s="10"/>
      <c r="AT9080" s="10"/>
      <c r="AU9080" s="10"/>
      <c r="AV9080" s="10"/>
      <c r="AW9080" s="10"/>
      <c r="AX9080" s="10"/>
      <c r="AY9080" s="10"/>
      <c r="AZ9080" s="10"/>
    </row>
    <row r="9081" spans="31:52">
      <c r="AE9081" s="10"/>
      <c r="AF9081" s="10"/>
      <c r="AG9081" s="10"/>
      <c r="AH9081" s="10"/>
      <c r="AI9081" s="10"/>
      <c r="AJ9081" s="10"/>
      <c r="AK9081" s="10"/>
      <c r="AL9081" s="10"/>
      <c r="AM9081" s="10"/>
      <c r="AN9081" s="10"/>
      <c r="AO9081" s="10"/>
      <c r="AP9081" s="10"/>
      <c r="AQ9081" s="10"/>
      <c r="AR9081" s="10"/>
      <c r="AS9081" s="10"/>
      <c r="AT9081" s="10"/>
      <c r="AU9081" s="10"/>
      <c r="AV9081" s="10"/>
      <c r="AW9081" s="10"/>
      <c r="AX9081" s="10"/>
      <c r="AY9081" s="10"/>
      <c r="AZ9081" s="10"/>
    </row>
    <row r="9082" spans="31:52">
      <c r="AE9082" s="10"/>
      <c r="AF9082" s="10"/>
      <c r="AG9082" s="10"/>
      <c r="AH9082" s="10"/>
      <c r="AI9082" s="10"/>
      <c r="AJ9082" s="10"/>
      <c r="AK9082" s="10"/>
      <c r="AL9082" s="10"/>
      <c r="AM9082" s="10"/>
      <c r="AN9082" s="10"/>
      <c r="AO9082" s="10"/>
      <c r="AP9082" s="10"/>
      <c r="AQ9082" s="10"/>
      <c r="AR9082" s="10"/>
      <c r="AS9082" s="10"/>
      <c r="AT9082" s="10"/>
      <c r="AU9082" s="10"/>
      <c r="AV9082" s="10"/>
      <c r="AW9082" s="10"/>
      <c r="AX9082" s="10"/>
      <c r="AY9082" s="10"/>
      <c r="AZ9082" s="10"/>
    </row>
    <row r="9083" spans="31:52">
      <c r="AE9083" s="10"/>
      <c r="AF9083" s="10"/>
      <c r="AG9083" s="10"/>
      <c r="AH9083" s="10"/>
      <c r="AI9083" s="10"/>
      <c r="AJ9083" s="10"/>
      <c r="AK9083" s="10"/>
      <c r="AL9083" s="10"/>
      <c r="AM9083" s="10"/>
      <c r="AN9083" s="10"/>
      <c r="AO9083" s="10"/>
      <c r="AP9083" s="10"/>
      <c r="AQ9083" s="10"/>
      <c r="AR9083" s="10"/>
      <c r="AS9083" s="10"/>
      <c r="AT9083" s="10"/>
      <c r="AU9083" s="10"/>
      <c r="AV9083" s="10"/>
      <c r="AW9083" s="10"/>
      <c r="AX9083" s="10"/>
      <c r="AY9083" s="10"/>
      <c r="AZ9083" s="10"/>
    </row>
    <row r="9084" spans="31:52">
      <c r="AE9084" s="10"/>
      <c r="AF9084" s="10"/>
      <c r="AG9084" s="10"/>
      <c r="AH9084" s="10"/>
      <c r="AI9084" s="10"/>
      <c r="AJ9084" s="10"/>
      <c r="AK9084" s="10"/>
      <c r="AL9084" s="10"/>
      <c r="AM9084" s="10"/>
      <c r="AN9084" s="10"/>
      <c r="AO9084" s="10"/>
      <c r="AP9084" s="10"/>
      <c r="AQ9084" s="10"/>
      <c r="AR9084" s="10"/>
      <c r="AS9084" s="10"/>
      <c r="AT9084" s="10"/>
      <c r="AU9084" s="10"/>
      <c r="AV9084" s="10"/>
      <c r="AW9084" s="10"/>
      <c r="AX9084" s="10"/>
      <c r="AY9084" s="10"/>
      <c r="AZ9084" s="10"/>
    </row>
    <row r="9085" spans="31:52">
      <c r="AE9085" s="10"/>
      <c r="AF9085" s="10"/>
      <c r="AG9085" s="10"/>
      <c r="AH9085" s="10"/>
      <c r="AI9085" s="10"/>
      <c r="AJ9085" s="10"/>
      <c r="AK9085" s="10"/>
      <c r="AL9085" s="10"/>
      <c r="AM9085" s="10"/>
      <c r="AN9085" s="10"/>
      <c r="AO9085" s="10"/>
      <c r="AP9085" s="10"/>
      <c r="AQ9085" s="10"/>
      <c r="AR9085" s="10"/>
      <c r="AS9085" s="10"/>
      <c r="AT9085" s="10"/>
      <c r="AU9085" s="10"/>
      <c r="AV9085" s="10"/>
      <c r="AW9085" s="10"/>
      <c r="AX9085" s="10"/>
      <c r="AY9085" s="10"/>
      <c r="AZ9085" s="10"/>
    </row>
    <row r="9086" spans="31:52">
      <c r="AE9086" s="10"/>
      <c r="AF9086" s="10"/>
      <c r="AG9086" s="10"/>
      <c r="AH9086" s="10"/>
      <c r="AI9086" s="10"/>
      <c r="AJ9086" s="10"/>
      <c r="AK9086" s="10"/>
      <c r="AL9086" s="10"/>
      <c r="AM9086" s="10"/>
      <c r="AN9086" s="10"/>
      <c r="AO9086" s="10"/>
      <c r="AP9086" s="10"/>
      <c r="AQ9086" s="10"/>
      <c r="AR9086" s="10"/>
      <c r="AS9086" s="10"/>
      <c r="AT9086" s="10"/>
      <c r="AU9086" s="10"/>
      <c r="AV9086" s="10"/>
      <c r="AW9086" s="10"/>
      <c r="AX9086" s="10"/>
      <c r="AY9086" s="10"/>
      <c r="AZ9086" s="10"/>
    </row>
    <row r="9087" spans="31:52">
      <c r="AE9087" s="10"/>
      <c r="AF9087" s="10"/>
      <c r="AG9087" s="10"/>
      <c r="AH9087" s="10"/>
      <c r="AI9087" s="10"/>
      <c r="AJ9087" s="10"/>
      <c r="AK9087" s="10"/>
      <c r="AL9087" s="10"/>
      <c r="AM9087" s="10"/>
      <c r="AN9087" s="10"/>
      <c r="AO9087" s="10"/>
      <c r="AP9087" s="10"/>
      <c r="AQ9087" s="10"/>
      <c r="AR9087" s="10"/>
      <c r="AS9087" s="10"/>
      <c r="AT9087" s="10"/>
      <c r="AU9087" s="10"/>
      <c r="AV9087" s="10"/>
      <c r="AW9087" s="10"/>
      <c r="AX9087" s="10"/>
      <c r="AY9087" s="10"/>
      <c r="AZ9087" s="10"/>
    </row>
    <row r="9088" spans="31:52">
      <c r="AE9088" s="10"/>
      <c r="AF9088" s="10"/>
      <c r="AG9088" s="10"/>
      <c r="AH9088" s="10"/>
      <c r="AI9088" s="10"/>
      <c r="AJ9088" s="10"/>
      <c r="AK9088" s="10"/>
      <c r="AL9088" s="10"/>
      <c r="AM9088" s="10"/>
      <c r="AN9088" s="10"/>
      <c r="AO9088" s="10"/>
      <c r="AP9088" s="10"/>
      <c r="AQ9088" s="10"/>
      <c r="AR9088" s="10"/>
      <c r="AS9088" s="10"/>
      <c r="AT9088" s="10"/>
      <c r="AU9088" s="10"/>
      <c r="AV9088" s="10"/>
      <c r="AW9088" s="10"/>
      <c r="AX9088" s="10"/>
      <c r="AY9088" s="10"/>
      <c r="AZ9088" s="10"/>
    </row>
    <row r="9089" spans="31:52">
      <c r="AE9089" s="10"/>
      <c r="AF9089" s="10"/>
      <c r="AG9089" s="10"/>
      <c r="AH9089" s="10"/>
      <c r="AI9089" s="10"/>
      <c r="AJ9089" s="10"/>
      <c r="AK9089" s="10"/>
      <c r="AL9089" s="10"/>
      <c r="AM9089" s="10"/>
      <c r="AN9089" s="10"/>
      <c r="AO9089" s="10"/>
      <c r="AP9089" s="10"/>
      <c r="AQ9089" s="10"/>
      <c r="AR9089" s="10"/>
      <c r="AS9089" s="10"/>
      <c r="AT9089" s="10"/>
      <c r="AU9089" s="10"/>
      <c r="AV9089" s="10"/>
      <c r="AW9089" s="10"/>
      <c r="AX9089" s="10"/>
      <c r="AY9089" s="10"/>
      <c r="AZ9089" s="10"/>
    </row>
    <row r="9090" spans="31:52">
      <c r="AE9090" s="10"/>
      <c r="AF9090" s="10"/>
      <c r="AG9090" s="10"/>
      <c r="AH9090" s="10"/>
      <c r="AI9090" s="10"/>
      <c r="AJ9090" s="10"/>
      <c r="AK9090" s="10"/>
      <c r="AL9090" s="10"/>
      <c r="AM9090" s="10"/>
      <c r="AN9090" s="10"/>
      <c r="AO9090" s="10"/>
      <c r="AP9090" s="10"/>
      <c r="AQ9090" s="10"/>
      <c r="AR9090" s="10"/>
      <c r="AS9090" s="10"/>
      <c r="AT9090" s="10"/>
      <c r="AU9090" s="10"/>
      <c r="AV9090" s="10"/>
      <c r="AW9090" s="10"/>
      <c r="AX9090" s="10"/>
      <c r="AY9090" s="10"/>
      <c r="AZ9090" s="10"/>
    </row>
    <row r="9091" spans="31:52">
      <c r="AE9091" s="10"/>
      <c r="AF9091" s="10"/>
      <c r="AG9091" s="10"/>
      <c r="AH9091" s="10"/>
      <c r="AI9091" s="10"/>
      <c r="AJ9091" s="10"/>
      <c r="AK9091" s="10"/>
      <c r="AL9091" s="10"/>
      <c r="AM9091" s="10"/>
      <c r="AN9091" s="10"/>
      <c r="AO9091" s="10"/>
      <c r="AP9091" s="10"/>
      <c r="AQ9091" s="10"/>
      <c r="AR9091" s="10"/>
      <c r="AS9091" s="10"/>
      <c r="AT9091" s="10"/>
      <c r="AU9091" s="10"/>
      <c r="AV9091" s="10"/>
      <c r="AW9091" s="10"/>
      <c r="AX9091" s="10"/>
      <c r="AY9091" s="10"/>
      <c r="AZ9091" s="10"/>
    </row>
    <row r="9092" spans="31:52">
      <c r="AE9092" s="10"/>
      <c r="AF9092" s="10"/>
      <c r="AG9092" s="10"/>
      <c r="AH9092" s="10"/>
      <c r="AI9092" s="10"/>
      <c r="AJ9092" s="10"/>
      <c r="AK9092" s="10"/>
      <c r="AL9092" s="10"/>
      <c r="AM9092" s="10"/>
      <c r="AN9092" s="10"/>
      <c r="AO9092" s="10"/>
      <c r="AP9092" s="10"/>
      <c r="AQ9092" s="10"/>
      <c r="AR9092" s="10"/>
      <c r="AS9092" s="10"/>
      <c r="AT9092" s="10"/>
      <c r="AU9092" s="10"/>
      <c r="AV9092" s="10"/>
      <c r="AW9092" s="10"/>
      <c r="AX9092" s="10"/>
      <c r="AY9092" s="10"/>
      <c r="AZ9092" s="10"/>
    </row>
    <row r="9093" spans="31:52">
      <c r="AE9093" s="10"/>
      <c r="AF9093" s="10"/>
      <c r="AG9093" s="10"/>
      <c r="AH9093" s="10"/>
      <c r="AI9093" s="10"/>
      <c r="AJ9093" s="10"/>
      <c r="AK9093" s="10"/>
      <c r="AL9093" s="10"/>
      <c r="AM9093" s="10"/>
      <c r="AN9093" s="10"/>
      <c r="AO9093" s="10"/>
      <c r="AP9093" s="10"/>
      <c r="AQ9093" s="10"/>
      <c r="AR9093" s="10"/>
      <c r="AS9093" s="10"/>
      <c r="AT9093" s="10"/>
      <c r="AU9093" s="10"/>
      <c r="AV9093" s="10"/>
      <c r="AW9093" s="10"/>
      <c r="AX9093" s="10"/>
      <c r="AY9093" s="10"/>
      <c r="AZ9093" s="10"/>
    </row>
    <row r="9094" spans="31:52">
      <c r="AE9094" s="10"/>
      <c r="AF9094" s="10"/>
      <c r="AG9094" s="10"/>
      <c r="AH9094" s="10"/>
      <c r="AI9094" s="10"/>
      <c r="AJ9094" s="10"/>
      <c r="AK9094" s="10"/>
      <c r="AL9094" s="10"/>
      <c r="AM9094" s="10"/>
      <c r="AN9094" s="10"/>
      <c r="AO9094" s="10"/>
      <c r="AP9094" s="10"/>
      <c r="AQ9094" s="10"/>
      <c r="AR9094" s="10"/>
      <c r="AS9094" s="10"/>
      <c r="AT9094" s="10"/>
      <c r="AU9094" s="10"/>
      <c r="AV9094" s="10"/>
      <c r="AW9094" s="10"/>
      <c r="AX9094" s="10"/>
      <c r="AY9094" s="10"/>
      <c r="AZ9094" s="10"/>
    </row>
    <row r="9095" spans="31:52">
      <c r="AE9095" s="10"/>
      <c r="AF9095" s="10"/>
      <c r="AG9095" s="10"/>
      <c r="AH9095" s="10"/>
      <c r="AI9095" s="10"/>
      <c r="AJ9095" s="10"/>
      <c r="AK9095" s="10"/>
      <c r="AL9095" s="10"/>
      <c r="AM9095" s="10"/>
      <c r="AN9095" s="10"/>
      <c r="AO9095" s="10"/>
      <c r="AP9095" s="10"/>
      <c r="AQ9095" s="10"/>
      <c r="AR9095" s="10"/>
      <c r="AS9095" s="10"/>
      <c r="AT9095" s="10"/>
      <c r="AU9095" s="10"/>
      <c r="AV9095" s="10"/>
      <c r="AW9095" s="10"/>
      <c r="AX9095" s="10"/>
      <c r="AY9095" s="10"/>
      <c r="AZ9095" s="10"/>
    </row>
    <row r="9096" spans="31:52">
      <c r="AE9096" s="10"/>
      <c r="AF9096" s="10"/>
      <c r="AG9096" s="10"/>
      <c r="AH9096" s="10"/>
      <c r="AI9096" s="10"/>
      <c r="AJ9096" s="10"/>
      <c r="AK9096" s="10"/>
      <c r="AL9096" s="10"/>
      <c r="AM9096" s="10"/>
      <c r="AN9096" s="10"/>
      <c r="AO9096" s="10"/>
      <c r="AP9096" s="10"/>
      <c r="AQ9096" s="10"/>
      <c r="AR9096" s="10"/>
      <c r="AS9096" s="10"/>
      <c r="AT9096" s="10"/>
      <c r="AU9096" s="10"/>
      <c r="AV9096" s="10"/>
      <c r="AW9096" s="10"/>
      <c r="AX9096" s="10"/>
      <c r="AY9096" s="10"/>
      <c r="AZ9096" s="10"/>
    </row>
    <row r="9097" spans="31:52">
      <c r="AE9097" s="10"/>
      <c r="AF9097" s="10"/>
      <c r="AG9097" s="10"/>
      <c r="AH9097" s="10"/>
      <c r="AI9097" s="10"/>
      <c r="AJ9097" s="10"/>
      <c r="AK9097" s="10"/>
      <c r="AL9097" s="10"/>
      <c r="AM9097" s="10"/>
      <c r="AN9097" s="10"/>
      <c r="AO9097" s="10"/>
      <c r="AP9097" s="10"/>
      <c r="AQ9097" s="10"/>
      <c r="AR9097" s="10"/>
      <c r="AS9097" s="10"/>
      <c r="AT9097" s="10"/>
      <c r="AU9097" s="10"/>
      <c r="AV9097" s="10"/>
      <c r="AW9097" s="10"/>
      <c r="AX9097" s="10"/>
      <c r="AY9097" s="10"/>
      <c r="AZ9097" s="10"/>
    </row>
    <row r="9098" spans="31:52">
      <c r="AE9098" s="10"/>
      <c r="AF9098" s="10"/>
      <c r="AG9098" s="10"/>
      <c r="AH9098" s="10"/>
      <c r="AI9098" s="10"/>
      <c r="AJ9098" s="10"/>
      <c r="AK9098" s="10"/>
      <c r="AL9098" s="10"/>
      <c r="AM9098" s="10"/>
      <c r="AN9098" s="10"/>
      <c r="AO9098" s="10"/>
      <c r="AP9098" s="10"/>
      <c r="AQ9098" s="10"/>
      <c r="AR9098" s="10"/>
      <c r="AS9098" s="10"/>
      <c r="AT9098" s="10"/>
      <c r="AU9098" s="10"/>
      <c r="AV9098" s="10"/>
      <c r="AW9098" s="10"/>
      <c r="AX9098" s="10"/>
      <c r="AY9098" s="10"/>
      <c r="AZ9098" s="10"/>
    </row>
    <row r="9099" spans="31:52">
      <c r="AE9099" s="10"/>
      <c r="AF9099" s="10"/>
      <c r="AG9099" s="10"/>
      <c r="AH9099" s="10"/>
      <c r="AI9099" s="10"/>
      <c r="AJ9099" s="10"/>
      <c r="AK9099" s="10"/>
      <c r="AL9099" s="10"/>
      <c r="AM9099" s="10"/>
      <c r="AN9099" s="10"/>
      <c r="AO9099" s="10"/>
      <c r="AP9099" s="10"/>
      <c r="AQ9099" s="10"/>
      <c r="AR9099" s="10"/>
      <c r="AS9099" s="10"/>
      <c r="AT9099" s="10"/>
      <c r="AU9099" s="10"/>
      <c r="AV9099" s="10"/>
      <c r="AW9099" s="10"/>
      <c r="AX9099" s="10"/>
      <c r="AY9099" s="10"/>
      <c r="AZ9099" s="10"/>
    </row>
    <row r="9100" spans="31:52">
      <c r="AE9100" s="10"/>
      <c r="AF9100" s="10"/>
      <c r="AG9100" s="10"/>
      <c r="AH9100" s="10"/>
      <c r="AI9100" s="10"/>
      <c r="AJ9100" s="10"/>
      <c r="AK9100" s="10"/>
      <c r="AL9100" s="10"/>
      <c r="AM9100" s="10"/>
      <c r="AN9100" s="10"/>
      <c r="AO9100" s="10"/>
      <c r="AP9100" s="10"/>
      <c r="AQ9100" s="10"/>
      <c r="AR9100" s="10"/>
      <c r="AS9100" s="10"/>
      <c r="AT9100" s="10"/>
      <c r="AU9100" s="10"/>
      <c r="AV9100" s="10"/>
      <c r="AW9100" s="10"/>
      <c r="AX9100" s="10"/>
      <c r="AY9100" s="10"/>
      <c r="AZ9100" s="10"/>
    </row>
    <row r="9101" spans="31:52">
      <c r="AE9101" s="10"/>
      <c r="AF9101" s="10"/>
      <c r="AG9101" s="10"/>
      <c r="AH9101" s="10"/>
      <c r="AI9101" s="10"/>
      <c r="AJ9101" s="10"/>
      <c r="AK9101" s="10"/>
      <c r="AL9101" s="10"/>
      <c r="AM9101" s="10"/>
      <c r="AN9101" s="10"/>
      <c r="AO9101" s="10"/>
      <c r="AP9101" s="10"/>
      <c r="AQ9101" s="10"/>
      <c r="AR9101" s="10"/>
      <c r="AS9101" s="10"/>
      <c r="AT9101" s="10"/>
      <c r="AU9101" s="10"/>
      <c r="AV9101" s="10"/>
      <c r="AW9101" s="10"/>
      <c r="AX9101" s="10"/>
      <c r="AY9101" s="10"/>
      <c r="AZ9101" s="10"/>
    </row>
    <row r="9102" spans="31:52">
      <c r="AE9102" s="10"/>
      <c r="AF9102" s="10"/>
      <c r="AG9102" s="10"/>
      <c r="AH9102" s="10"/>
      <c r="AI9102" s="10"/>
      <c r="AJ9102" s="10"/>
      <c r="AK9102" s="10"/>
      <c r="AL9102" s="10"/>
      <c r="AM9102" s="10"/>
      <c r="AN9102" s="10"/>
      <c r="AO9102" s="10"/>
      <c r="AP9102" s="10"/>
      <c r="AQ9102" s="10"/>
      <c r="AR9102" s="10"/>
      <c r="AS9102" s="10"/>
      <c r="AT9102" s="10"/>
      <c r="AU9102" s="10"/>
      <c r="AV9102" s="10"/>
      <c r="AW9102" s="10"/>
      <c r="AX9102" s="10"/>
      <c r="AY9102" s="10"/>
      <c r="AZ9102" s="10"/>
    </row>
    <row r="9103" spans="31:52">
      <c r="AE9103" s="10"/>
      <c r="AF9103" s="10"/>
      <c r="AG9103" s="10"/>
      <c r="AH9103" s="10"/>
      <c r="AI9103" s="10"/>
      <c r="AJ9103" s="10"/>
      <c r="AK9103" s="10"/>
      <c r="AL9103" s="10"/>
      <c r="AM9103" s="10"/>
      <c r="AN9103" s="10"/>
      <c r="AO9103" s="10"/>
      <c r="AP9103" s="10"/>
      <c r="AQ9103" s="10"/>
      <c r="AR9103" s="10"/>
      <c r="AS9103" s="10"/>
      <c r="AT9103" s="10"/>
      <c r="AU9103" s="10"/>
      <c r="AV9103" s="10"/>
      <c r="AW9103" s="10"/>
      <c r="AX9103" s="10"/>
      <c r="AY9103" s="10"/>
      <c r="AZ9103" s="10"/>
    </row>
    <row r="9104" spans="31:52">
      <c r="AE9104" s="10"/>
      <c r="AF9104" s="10"/>
      <c r="AG9104" s="10"/>
      <c r="AH9104" s="10"/>
      <c r="AI9104" s="10"/>
      <c r="AJ9104" s="10"/>
      <c r="AK9104" s="10"/>
      <c r="AL9104" s="10"/>
      <c r="AM9104" s="10"/>
      <c r="AN9104" s="10"/>
      <c r="AO9104" s="10"/>
      <c r="AP9104" s="10"/>
      <c r="AQ9104" s="10"/>
      <c r="AR9104" s="10"/>
      <c r="AS9104" s="10"/>
      <c r="AT9104" s="10"/>
      <c r="AU9104" s="10"/>
      <c r="AV9104" s="10"/>
      <c r="AW9104" s="10"/>
      <c r="AX9104" s="10"/>
      <c r="AY9104" s="10"/>
      <c r="AZ9104" s="10"/>
    </row>
    <row r="9105" spans="31:52">
      <c r="AE9105" s="10"/>
      <c r="AF9105" s="10"/>
      <c r="AG9105" s="10"/>
      <c r="AH9105" s="10"/>
      <c r="AI9105" s="10"/>
      <c r="AJ9105" s="10"/>
      <c r="AK9105" s="10"/>
      <c r="AL9105" s="10"/>
      <c r="AM9105" s="10"/>
      <c r="AN9105" s="10"/>
      <c r="AO9105" s="10"/>
      <c r="AP9105" s="10"/>
      <c r="AQ9105" s="10"/>
      <c r="AR9105" s="10"/>
      <c r="AS9105" s="10"/>
      <c r="AT9105" s="10"/>
      <c r="AU9105" s="10"/>
      <c r="AV9105" s="10"/>
      <c r="AW9105" s="10"/>
      <c r="AX9105" s="10"/>
      <c r="AY9105" s="10"/>
      <c r="AZ9105" s="10"/>
    </row>
    <row r="9106" spans="31:52">
      <c r="AE9106" s="10"/>
      <c r="AF9106" s="10"/>
      <c r="AG9106" s="10"/>
      <c r="AH9106" s="10"/>
      <c r="AI9106" s="10"/>
      <c r="AJ9106" s="10"/>
      <c r="AK9106" s="10"/>
      <c r="AL9106" s="10"/>
      <c r="AM9106" s="10"/>
      <c r="AN9106" s="10"/>
      <c r="AO9106" s="10"/>
      <c r="AP9106" s="10"/>
      <c r="AQ9106" s="10"/>
      <c r="AR9106" s="10"/>
      <c r="AS9106" s="10"/>
      <c r="AT9106" s="10"/>
      <c r="AU9106" s="10"/>
      <c r="AV9106" s="10"/>
      <c r="AW9106" s="10"/>
      <c r="AX9106" s="10"/>
      <c r="AY9106" s="10"/>
      <c r="AZ9106" s="10"/>
    </row>
    <row r="9107" spans="31:52">
      <c r="AE9107" s="10"/>
      <c r="AF9107" s="10"/>
      <c r="AG9107" s="10"/>
      <c r="AH9107" s="10"/>
      <c r="AI9107" s="10"/>
      <c r="AJ9107" s="10"/>
      <c r="AK9107" s="10"/>
      <c r="AL9107" s="10"/>
      <c r="AM9107" s="10"/>
      <c r="AN9107" s="10"/>
      <c r="AO9107" s="10"/>
      <c r="AP9107" s="10"/>
      <c r="AQ9107" s="10"/>
      <c r="AR9107" s="10"/>
      <c r="AS9107" s="10"/>
      <c r="AT9107" s="10"/>
      <c r="AU9107" s="10"/>
      <c r="AV9107" s="10"/>
      <c r="AW9107" s="10"/>
      <c r="AX9107" s="10"/>
      <c r="AY9107" s="10"/>
      <c r="AZ9107" s="10"/>
    </row>
    <row r="9108" spans="31:52">
      <c r="AE9108" s="10"/>
      <c r="AF9108" s="10"/>
      <c r="AG9108" s="10"/>
      <c r="AH9108" s="10"/>
      <c r="AI9108" s="10"/>
      <c r="AJ9108" s="10"/>
      <c r="AK9108" s="10"/>
      <c r="AL9108" s="10"/>
      <c r="AM9108" s="10"/>
      <c r="AN9108" s="10"/>
      <c r="AO9108" s="10"/>
      <c r="AP9108" s="10"/>
      <c r="AQ9108" s="10"/>
      <c r="AR9108" s="10"/>
      <c r="AS9108" s="10"/>
      <c r="AT9108" s="10"/>
      <c r="AU9108" s="10"/>
      <c r="AV9108" s="10"/>
      <c r="AW9108" s="10"/>
      <c r="AX9108" s="10"/>
      <c r="AY9108" s="10"/>
      <c r="AZ9108" s="10"/>
    </row>
    <row r="9109" spans="31:52">
      <c r="AE9109" s="10"/>
      <c r="AF9109" s="10"/>
      <c r="AG9109" s="10"/>
      <c r="AH9109" s="10"/>
      <c r="AI9109" s="10"/>
      <c r="AJ9109" s="10"/>
      <c r="AK9109" s="10"/>
      <c r="AL9109" s="10"/>
      <c r="AM9109" s="10"/>
      <c r="AN9109" s="10"/>
      <c r="AO9109" s="10"/>
      <c r="AP9109" s="10"/>
      <c r="AQ9109" s="10"/>
      <c r="AR9109" s="10"/>
      <c r="AS9109" s="10"/>
      <c r="AT9109" s="10"/>
      <c r="AU9109" s="10"/>
      <c r="AV9109" s="10"/>
      <c r="AW9109" s="10"/>
      <c r="AX9109" s="10"/>
      <c r="AY9109" s="10"/>
      <c r="AZ9109" s="10"/>
    </row>
    <row r="9110" spans="31:52">
      <c r="AE9110" s="10"/>
      <c r="AF9110" s="10"/>
      <c r="AG9110" s="10"/>
      <c r="AH9110" s="10"/>
      <c r="AI9110" s="10"/>
      <c r="AJ9110" s="10"/>
      <c r="AK9110" s="10"/>
      <c r="AL9110" s="10"/>
      <c r="AM9110" s="10"/>
      <c r="AN9110" s="10"/>
      <c r="AO9110" s="10"/>
      <c r="AP9110" s="10"/>
      <c r="AQ9110" s="10"/>
      <c r="AR9110" s="10"/>
      <c r="AS9110" s="10"/>
      <c r="AT9110" s="10"/>
      <c r="AU9110" s="10"/>
      <c r="AV9110" s="10"/>
      <c r="AW9110" s="10"/>
      <c r="AX9110" s="10"/>
      <c r="AY9110" s="10"/>
      <c r="AZ9110" s="10"/>
    </row>
    <row r="9111" spans="31:52">
      <c r="AE9111" s="10"/>
      <c r="AF9111" s="10"/>
      <c r="AG9111" s="10"/>
      <c r="AH9111" s="10"/>
      <c r="AI9111" s="10"/>
      <c r="AJ9111" s="10"/>
      <c r="AK9111" s="10"/>
      <c r="AL9111" s="10"/>
      <c r="AM9111" s="10"/>
      <c r="AN9111" s="10"/>
      <c r="AO9111" s="10"/>
      <c r="AP9111" s="10"/>
      <c r="AQ9111" s="10"/>
      <c r="AR9111" s="10"/>
      <c r="AS9111" s="10"/>
      <c r="AT9111" s="10"/>
      <c r="AU9111" s="10"/>
      <c r="AV9111" s="10"/>
      <c r="AW9111" s="10"/>
      <c r="AX9111" s="10"/>
      <c r="AY9111" s="10"/>
      <c r="AZ9111" s="10"/>
    </row>
    <row r="9112" spans="31:52">
      <c r="AE9112" s="10"/>
      <c r="AF9112" s="10"/>
      <c r="AG9112" s="10"/>
      <c r="AH9112" s="10"/>
      <c r="AI9112" s="10"/>
      <c r="AJ9112" s="10"/>
      <c r="AK9112" s="10"/>
      <c r="AL9112" s="10"/>
      <c r="AM9112" s="10"/>
      <c r="AN9112" s="10"/>
      <c r="AO9112" s="10"/>
      <c r="AP9112" s="10"/>
      <c r="AQ9112" s="10"/>
      <c r="AR9112" s="10"/>
      <c r="AS9112" s="10"/>
      <c r="AT9112" s="10"/>
      <c r="AU9112" s="10"/>
      <c r="AV9112" s="10"/>
      <c r="AW9112" s="10"/>
      <c r="AX9112" s="10"/>
      <c r="AY9112" s="10"/>
      <c r="AZ9112" s="10"/>
    </row>
    <row r="9113" spans="31:52">
      <c r="AE9113" s="10"/>
      <c r="AF9113" s="10"/>
      <c r="AG9113" s="10"/>
      <c r="AH9113" s="10"/>
      <c r="AI9113" s="10"/>
      <c r="AJ9113" s="10"/>
      <c r="AK9113" s="10"/>
      <c r="AL9113" s="10"/>
      <c r="AM9113" s="10"/>
      <c r="AN9113" s="10"/>
      <c r="AO9113" s="10"/>
      <c r="AP9113" s="10"/>
      <c r="AQ9113" s="10"/>
      <c r="AR9113" s="10"/>
      <c r="AS9113" s="10"/>
      <c r="AT9113" s="10"/>
      <c r="AU9113" s="10"/>
      <c r="AV9113" s="10"/>
      <c r="AW9113" s="10"/>
      <c r="AX9113" s="10"/>
      <c r="AY9113" s="10"/>
      <c r="AZ9113" s="10"/>
    </row>
    <row r="9114" spans="31:52">
      <c r="AE9114" s="10"/>
      <c r="AF9114" s="10"/>
      <c r="AG9114" s="10"/>
      <c r="AH9114" s="10"/>
      <c r="AI9114" s="10"/>
      <c r="AJ9114" s="10"/>
      <c r="AK9114" s="10"/>
      <c r="AL9114" s="10"/>
      <c r="AM9114" s="10"/>
      <c r="AN9114" s="10"/>
      <c r="AO9114" s="10"/>
      <c r="AP9114" s="10"/>
      <c r="AQ9114" s="10"/>
      <c r="AR9114" s="10"/>
      <c r="AS9114" s="10"/>
      <c r="AT9114" s="10"/>
      <c r="AU9114" s="10"/>
      <c r="AV9114" s="10"/>
      <c r="AW9114" s="10"/>
      <c r="AX9114" s="10"/>
      <c r="AY9114" s="10"/>
      <c r="AZ9114" s="10"/>
    </row>
    <row r="9115" spans="31:52">
      <c r="AE9115" s="10"/>
      <c r="AF9115" s="10"/>
      <c r="AG9115" s="10"/>
      <c r="AH9115" s="10"/>
      <c r="AI9115" s="10"/>
      <c r="AJ9115" s="10"/>
      <c r="AK9115" s="10"/>
      <c r="AL9115" s="10"/>
      <c r="AM9115" s="10"/>
      <c r="AN9115" s="10"/>
      <c r="AO9115" s="10"/>
      <c r="AP9115" s="10"/>
      <c r="AQ9115" s="10"/>
      <c r="AR9115" s="10"/>
      <c r="AS9115" s="10"/>
      <c r="AT9115" s="10"/>
      <c r="AU9115" s="10"/>
      <c r="AV9115" s="10"/>
      <c r="AW9115" s="10"/>
      <c r="AX9115" s="10"/>
      <c r="AY9115" s="10"/>
      <c r="AZ9115" s="10"/>
    </row>
    <row r="9116" spans="31:52">
      <c r="AE9116" s="10"/>
      <c r="AF9116" s="10"/>
      <c r="AG9116" s="10"/>
      <c r="AH9116" s="10"/>
      <c r="AI9116" s="10"/>
      <c r="AJ9116" s="10"/>
      <c r="AK9116" s="10"/>
      <c r="AL9116" s="10"/>
      <c r="AM9116" s="10"/>
      <c r="AN9116" s="10"/>
      <c r="AO9116" s="10"/>
      <c r="AP9116" s="10"/>
      <c r="AQ9116" s="10"/>
      <c r="AR9116" s="10"/>
      <c r="AS9116" s="10"/>
      <c r="AT9116" s="10"/>
      <c r="AU9116" s="10"/>
      <c r="AV9116" s="10"/>
      <c r="AW9116" s="10"/>
      <c r="AX9116" s="10"/>
      <c r="AY9116" s="10"/>
      <c r="AZ9116" s="10"/>
    </row>
    <row r="9117" spans="31:52">
      <c r="AE9117" s="10"/>
      <c r="AF9117" s="10"/>
      <c r="AG9117" s="10"/>
      <c r="AH9117" s="10"/>
      <c r="AI9117" s="10"/>
      <c r="AJ9117" s="10"/>
      <c r="AK9117" s="10"/>
      <c r="AL9117" s="10"/>
      <c r="AM9117" s="10"/>
      <c r="AN9117" s="10"/>
      <c r="AO9117" s="10"/>
      <c r="AP9117" s="10"/>
      <c r="AQ9117" s="10"/>
      <c r="AR9117" s="10"/>
      <c r="AS9117" s="10"/>
      <c r="AT9117" s="10"/>
      <c r="AU9117" s="10"/>
      <c r="AV9117" s="10"/>
      <c r="AW9117" s="10"/>
      <c r="AX9117" s="10"/>
      <c r="AY9117" s="10"/>
      <c r="AZ9117" s="10"/>
    </row>
    <row r="9118" spans="31:52">
      <c r="AE9118" s="10"/>
      <c r="AF9118" s="10"/>
      <c r="AG9118" s="10"/>
      <c r="AH9118" s="10"/>
      <c r="AI9118" s="10"/>
      <c r="AJ9118" s="10"/>
      <c r="AK9118" s="10"/>
      <c r="AL9118" s="10"/>
      <c r="AM9118" s="10"/>
      <c r="AN9118" s="10"/>
      <c r="AO9118" s="10"/>
      <c r="AP9118" s="10"/>
      <c r="AQ9118" s="10"/>
      <c r="AR9118" s="10"/>
      <c r="AS9118" s="10"/>
      <c r="AT9118" s="10"/>
      <c r="AU9118" s="10"/>
      <c r="AV9118" s="10"/>
      <c r="AW9118" s="10"/>
      <c r="AX9118" s="10"/>
      <c r="AY9118" s="10"/>
      <c r="AZ9118" s="10"/>
    </row>
    <row r="9119" spans="31:52">
      <c r="AE9119" s="10"/>
      <c r="AF9119" s="10"/>
      <c r="AG9119" s="10"/>
      <c r="AH9119" s="10"/>
      <c r="AI9119" s="10"/>
      <c r="AJ9119" s="10"/>
      <c r="AK9119" s="10"/>
      <c r="AL9119" s="10"/>
      <c r="AM9119" s="10"/>
      <c r="AN9119" s="10"/>
      <c r="AO9119" s="10"/>
      <c r="AP9119" s="10"/>
      <c r="AQ9119" s="10"/>
      <c r="AR9119" s="10"/>
      <c r="AS9119" s="10"/>
      <c r="AT9119" s="10"/>
      <c r="AU9119" s="10"/>
      <c r="AV9119" s="10"/>
      <c r="AW9119" s="10"/>
      <c r="AX9119" s="10"/>
      <c r="AY9119" s="10"/>
      <c r="AZ9119" s="10"/>
    </row>
    <row r="9120" spans="31:52">
      <c r="AE9120" s="10"/>
      <c r="AF9120" s="10"/>
      <c r="AG9120" s="10"/>
      <c r="AH9120" s="10"/>
      <c r="AI9120" s="10"/>
      <c r="AJ9120" s="10"/>
      <c r="AK9120" s="10"/>
      <c r="AL9120" s="10"/>
      <c r="AM9120" s="10"/>
      <c r="AN9120" s="10"/>
      <c r="AO9120" s="10"/>
      <c r="AP9120" s="10"/>
      <c r="AQ9120" s="10"/>
      <c r="AR9120" s="10"/>
      <c r="AS9120" s="10"/>
      <c r="AT9120" s="10"/>
      <c r="AU9120" s="10"/>
      <c r="AV9120" s="10"/>
      <c r="AW9120" s="10"/>
      <c r="AX9120" s="10"/>
      <c r="AY9120" s="10"/>
      <c r="AZ9120" s="10"/>
    </row>
    <row r="9121" spans="31:52">
      <c r="AE9121" s="10"/>
      <c r="AF9121" s="10"/>
      <c r="AG9121" s="10"/>
      <c r="AH9121" s="10"/>
      <c r="AI9121" s="10"/>
      <c r="AJ9121" s="10"/>
      <c r="AK9121" s="10"/>
      <c r="AL9121" s="10"/>
      <c r="AM9121" s="10"/>
      <c r="AN9121" s="10"/>
      <c r="AO9121" s="10"/>
      <c r="AP9121" s="10"/>
      <c r="AQ9121" s="10"/>
      <c r="AR9121" s="10"/>
      <c r="AS9121" s="10"/>
      <c r="AT9121" s="10"/>
      <c r="AU9121" s="10"/>
      <c r="AV9121" s="10"/>
      <c r="AW9121" s="10"/>
      <c r="AX9121" s="10"/>
      <c r="AY9121" s="10"/>
      <c r="AZ9121" s="10"/>
    </row>
    <row r="9122" spans="31:52">
      <c r="AE9122" s="10"/>
      <c r="AF9122" s="10"/>
      <c r="AG9122" s="10"/>
      <c r="AH9122" s="10"/>
      <c r="AI9122" s="10"/>
      <c r="AJ9122" s="10"/>
      <c r="AK9122" s="10"/>
      <c r="AL9122" s="10"/>
      <c r="AM9122" s="10"/>
      <c r="AN9122" s="10"/>
      <c r="AO9122" s="10"/>
      <c r="AP9122" s="10"/>
      <c r="AQ9122" s="10"/>
      <c r="AR9122" s="10"/>
      <c r="AS9122" s="10"/>
      <c r="AT9122" s="10"/>
      <c r="AU9122" s="10"/>
      <c r="AV9122" s="10"/>
      <c r="AW9122" s="10"/>
      <c r="AX9122" s="10"/>
      <c r="AY9122" s="10"/>
      <c r="AZ9122" s="10"/>
    </row>
    <row r="9123" spans="31:52">
      <c r="AE9123" s="10"/>
      <c r="AF9123" s="10"/>
      <c r="AG9123" s="10"/>
      <c r="AH9123" s="10"/>
      <c r="AI9123" s="10"/>
      <c r="AJ9123" s="10"/>
      <c r="AK9123" s="10"/>
      <c r="AL9123" s="10"/>
      <c r="AM9123" s="10"/>
      <c r="AN9123" s="10"/>
      <c r="AO9123" s="10"/>
      <c r="AP9123" s="10"/>
      <c r="AQ9123" s="10"/>
      <c r="AR9123" s="10"/>
      <c r="AS9123" s="10"/>
      <c r="AT9123" s="10"/>
      <c r="AU9123" s="10"/>
      <c r="AV9123" s="10"/>
      <c r="AW9123" s="10"/>
      <c r="AX9123" s="10"/>
      <c r="AY9123" s="10"/>
      <c r="AZ9123" s="10"/>
    </row>
    <row r="9124" spans="31:52">
      <c r="AE9124" s="10"/>
      <c r="AF9124" s="10"/>
      <c r="AG9124" s="10"/>
      <c r="AH9124" s="10"/>
      <c r="AI9124" s="10"/>
      <c r="AJ9124" s="10"/>
      <c r="AK9124" s="10"/>
      <c r="AL9124" s="10"/>
      <c r="AM9124" s="10"/>
      <c r="AN9124" s="10"/>
      <c r="AO9124" s="10"/>
      <c r="AP9124" s="10"/>
      <c r="AQ9124" s="10"/>
      <c r="AR9124" s="10"/>
      <c r="AS9124" s="10"/>
      <c r="AT9124" s="10"/>
      <c r="AU9124" s="10"/>
      <c r="AV9124" s="10"/>
      <c r="AW9124" s="10"/>
      <c r="AX9124" s="10"/>
      <c r="AY9124" s="10"/>
      <c r="AZ9124" s="10"/>
    </row>
    <row r="9125" spans="31:52">
      <c r="AE9125" s="10"/>
      <c r="AF9125" s="10"/>
      <c r="AG9125" s="10"/>
      <c r="AH9125" s="10"/>
      <c r="AI9125" s="10"/>
      <c r="AJ9125" s="10"/>
      <c r="AK9125" s="10"/>
      <c r="AL9125" s="10"/>
      <c r="AM9125" s="10"/>
      <c r="AN9125" s="10"/>
      <c r="AO9125" s="10"/>
      <c r="AP9125" s="10"/>
      <c r="AQ9125" s="10"/>
      <c r="AR9125" s="10"/>
      <c r="AS9125" s="10"/>
      <c r="AT9125" s="10"/>
      <c r="AU9125" s="10"/>
      <c r="AV9125" s="10"/>
      <c r="AW9125" s="10"/>
      <c r="AX9125" s="10"/>
      <c r="AY9125" s="10"/>
      <c r="AZ9125" s="10"/>
    </row>
    <row r="9126" spans="31:52">
      <c r="AE9126" s="10"/>
      <c r="AF9126" s="10"/>
      <c r="AG9126" s="10"/>
      <c r="AH9126" s="10"/>
      <c r="AI9126" s="10"/>
      <c r="AJ9126" s="10"/>
      <c r="AK9126" s="10"/>
      <c r="AL9126" s="10"/>
      <c r="AM9126" s="10"/>
      <c r="AN9126" s="10"/>
      <c r="AO9126" s="10"/>
      <c r="AP9126" s="10"/>
      <c r="AQ9126" s="10"/>
      <c r="AR9126" s="10"/>
      <c r="AS9126" s="10"/>
      <c r="AT9126" s="10"/>
      <c r="AU9126" s="10"/>
      <c r="AV9126" s="10"/>
      <c r="AW9126" s="10"/>
      <c r="AX9126" s="10"/>
      <c r="AY9126" s="10"/>
      <c r="AZ9126" s="10"/>
    </row>
    <row r="9127" spans="31:52">
      <c r="AE9127" s="10"/>
      <c r="AF9127" s="10"/>
      <c r="AG9127" s="10"/>
      <c r="AH9127" s="10"/>
      <c r="AI9127" s="10"/>
      <c r="AJ9127" s="10"/>
      <c r="AK9127" s="10"/>
      <c r="AL9127" s="10"/>
      <c r="AM9127" s="10"/>
      <c r="AN9127" s="10"/>
      <c r="AO9127" s="10"/>
      <c r="AP9127" s="10"/>
      <c r="AQ9127" s="10"/>
      <c r="AR9127" s="10"/>
      <c r="AS9127" s="10"/>
      <c r="AT9127" s="10"/>
      <c r="AU9127" s="10"/>
      <c r="AV9127" s="10"/>
      <c r="AW9127" s="10"/>
      <c r="AX9127" s="10"/>
      <c r="AY9127" s="10"/>
      <c r="AZ9127" s="10"/>
    </row>
    <row r="9128" spans="31:52">
      <c r="AE9128" s="10"/>
      <c r="AF9128" s="10"/>
      <c r="AG9128" s="10"/>
      <c r="AH9128" s="10"/>
      <c r="AI9128" s="10"/>
      <c r="AJ9128" s="10"/>
      <c r="AK9128" s="10"/>
      <c r="AL9128" s="10"/>
      <c r="AM9128" s="10"/>
      <c r="AN9128" s="10"/>
      <c r="AO9128" s="10"/>
      <c r="AP9128" s="10"/>
      <c r="AQ9128" s="10"/>
      <c r="AR9128" s="10"/>
      <c r="AS9128" s="10"/>
      <c r="AT9128" s="10"/>
      <c r="AU9128" s="10"/>
      <c r="AV9128" s="10"/>
      <c r="AW9128" s="10"/>
      <c r="AX9128" s="10"/>
      <c r="AY9128" s="10"/>
      <c r="AZ9128" s="10"/>
    </row>
    <row r="9129" spans="31:52">
      <c r="AE9129" s="10"/>
      <c r="AF9129" s="10"/>
      <c r="AG9129" s="10"/>
      <c r="AH9129" s="10"/>
      <c r="AI9129" s="10"/>
      <c r="AJ9129" s="10"/>
      <c r="AK9129" s="10"/>
      <c r="AL9129" s="10"/>
      <c r="AM9129" s="10"/>
      <c r="AN9129" s="10"/>
      <c r="AO9129" s="10"/>
      <c r="AP9129" s="10"/>
      <c r="AQ9129" s="10"/>
      <c r="AR9129" s="10"/>
      <c r="AS9129" s="10"/>
      <c r="AT9129" s="10"/>
      <c r="AU9129" s="10"/>
      <c r="AV9129" s="10"/>
      <c r="AW9129" s="10"/>
      <c r="AX9129" s="10"/>
      <c r="AY9129" s="10"/>
      <c r="AZ9129" s="10"/>
    </row>
    <row r="9130" spans="31:52">
      <c r="AE9130" s="10"/>
      <c r="AF9130" s="10"/>
      <c r="AG9130" s="10"/>
      <c r="AH9130" s="10"/>
      <c r="AI9130" s="10"/>
      <c r="AJ9130" s="10"/>
      <c r="AK9130" s="10"/>
      <c r="AL9130" s="10"/>
      <c r="AM9130" s="10"/>
      <c r="AN9130" s="10"/>
      <c r="AO9130" s="10"/>
      <c r="AP9130" s="10"/>
      <c r="AQ9130" s="10"/>
      <c r="AR9130" s="10"/>
      <c r="AS9130" s="10"/>
      <c r="AT9130" s="10"/>
      <c r="AU9130" s="10"/>
      <c r="AV9130" s="10"/>
      <c r="AW9130" s="10"/>
      <c r="AX9130" s="10"/>
      <c r="AY9130" s="10"/>
      <c r="AZ9130" s="10"/>
    </row>
    <row r="9131" spans="31:52">
      <c r="AE9131" s="10"/>
      <c r="AF9131" s="10"/>
      <c r="AG9131" s="10"/>
      <c r="AH9131" s="10"/>
      <c r="AI9131" s="10"/>
      <c r="AJ9131" s="10"/>
      <c r="AK9131" s="10"/>
      <c r="AL9131" s="10"/>
      <c r="AM9131" s="10"/>
      <c r="AN9131" s="10"/>
      <c r="AO9131" s="10"/>
      <c r="AP9131" s="10"/>
      <c r="AQ9131" s="10"/>
      <c r="AR9131" s="10"/>
      <c r="AS9131" s="10"/>
      <c r="AT9131" s="10"/>
      <c r="AU9131" s="10"/>
      <c r="AV9131" s="10"/>
      <c r="AW9131" s="10"/>
      <c r="AX9131" s="10"/>
      <c r="AY9131" s="10"/>
      <c r="AZ9131" s="10"/>
    </row>
    <row r="9132" spans="31:52">
      <c r="AE9132" s="10"/>
      <c r="AF9132" s="10"/>
      <c r="AG9132" s="10"/>
      <c r="AH9132" s="10"/>
      <c r="AI9132" s="10"/>
      <c r="AJ9132" s="10"/>
      <c r="AK9132" s="10"/>
      <c r="AL9132" s="10"/>
      <c r="AM9132" s="10"/>
      <c r="AN9132" s="10"/>
      <c r="AO9132" s="10"/>
      <c r="AP9132" s="10"/>
      <c r="AQ9132" s="10"/>
      <c r="AR9132" s="10"/>
      <c r="AS9132" s="10"/>
      <c r="AT9132" s="10"/>
      <c r="AU9132" s="10"/>
      <c r="AV9132" s="10"/>
      <c r="AW9132" s="10"/>
      <c r="AX9132" s="10"/>
      <c r="AY9132" s="10"/>
      <c r="AZ9132" s="10"/>
    </row>
    <row r="9133" spans="31:52">
      <c r="AE9133" s="10"/>
      <c r="AF9133" s="10"/>
      <c r="AG9133" s="10"/>
      <c r="AH9133" s="10"/>
      <c r="AI9133" s="10"/>
      <c r="AJ9133" s="10"/>
      <c r="AK9133" s="10"/>
      <c r="AL9133" s="10"/>
      <c r="AM9133" s="10"/>
      <c r="AN9133" s="10"/>
      <c r="AO9133" s="10"/>
      <c r="AP9133" s="10"/>
      <c r="AQ9133" s="10"/>
      <c r="AR9133" s="10"/>
      <c r="AS9133" s="10"/>
      <c r="AT9133" s="10"/>
      <c r="AU9133" s="10"/>
      <c r="AV9133" s="10"/>
      <c r="AW9133" s="10"/>
      <c r="AX9133" s="10"/>
      <c r="AY9133" s="10"/>
      <c r="AZ9133" s="10"/>
    </row>
    <row r="9134" spans="31:52">
      <c r="AE9134" s="10"/>
      <c r="AF9134" s="10"/>
      <c r="AG9134" s="10"/>
      <c r="AH9134" s="10"/>
      <c r="AI9134" s="10"/>
      <c r="AJ9134" s="10"/>
      <c r="AK9134" s="10"/>
      <c r="AL9134" s="10"/>
      <c r="AM9134" s="10"/>
      <c r="AN9134" s="10"/>
      <c r="AO9134" s="10"/>
      <c r="AP9134" s="10"/>
      <c r="AQ9134" s="10"/>
      <c r="AR9134" s="10"/>
      <c r="AS9134" s="10"/>
      <c r="AT9134" s="10"/>
      <c r="AU9134" s="10"/>
      <c r="AV9134" s="10"/>
      <c r="AW9134" s="10"/>
      <c r="AX9134" s="10"/>
      <c r="AY9134" s="10"/>
      <c r="AZ9134" s="10"/>
    </row>
    <row r="9135" spans="31:52">
      <c r="AE9135" s="10"/>
      <c r="AF9135" s="10"/>
      <c r="AG9135" s="10"/>
      <c r="AH9135" s="10"/>
      <c r="AI9135" s="10"/>
      <c r="AJ9135" s="10"/>
      <c r="AK9135" s="10"/>
      <c r="AL9135" s="10"/>
      <c r="AM9135" s="10"/>
      <c r="AN9135" s="10"/>
      <c r="AO9135" s="10"/>
      <c r="AP9135" s="10"/>
      <c r="AQ9135" s="10"/>
      <c r="AR9135" s="10"/>
      <c r="AS9135" s="10"/>
      <c r="AT9135" s="10"/>
      <c r="AU9135" s="10"/>
      <c r="AV9135" s="10"/>
      <c r="AW9135" s="10"/>
      <c r="AX9135" s="10"/>
      <c r="AY9135" s="10"/>
      <c r="AZ9135" s="10"/>
    </row>
    <row r="9136" spans="31:52">
      <c r="AE9136" s="10"/>
      <c r="AF9136" s="10"/>
      <c r="AG9136" s="10"/>
      <c r="AH9136" s="10"/>
      <c r="AI9136" s="10"/>
      <c r="AJ9136" s="10"/>
      <c r="AK9136" s="10"/>
      <c r="AL9136" s="10"/>
      <c r="AM9136" s="10"/>
      <c r="AN9136" s="10"/>
      <c r="AO9136" s="10"/>
      <c r="AP9136" s="10"/>
      <c r="AQ9136" s="10"/>
      <c r="AR9136" s="10"/>
      <c r="AS9136" s="10"/>
      <c r="AT9136" s="10"/>
      <c r="AU9136" s="10"/>
      <c r="AV9136" s="10"/>
      <c r="AW9136" s="10"/>
      <c r="AX9136" s="10"/>
      <c r="AY9136" s="10"/>
      <c r="AZ9136" s="10"/>
    </row>
    <row r="9137" spans="31:52">
      <c r="AE9137" s="10"/>
      <c r="AF9137" s="10"/>
      <c r="AG9137" s="10"/>
      <c r="AH9137" s="10"/>
      <c r="AI9137" s="10"/>
      <c r="AJ9137" s="10"/>
      <c r="AK9137" s="10"/>
      <c r="AL9137" s="10"/>
      <c r="AM9137" s="10"/>
      <c r="AN9137" s="10"/>
      <c r="AO9137" s="10"/>
      <c r="AP9137" s="10"/>
      <c r="AQ9137" s="10"/>
      <c r="AR9137" s="10"/>
      <c r="AS9137" s="10"/>
      <c r="AT9137" s="10"/>
      <c r="AU9137" s="10"/>
      <c r="AV9137" s="10"/>
      <c r="AW9137" s="10"/>
      <c r="AX9137" s="10"/>
      <c r="AY9137" s="10"/>
      <c r="AZ9137" s="10"/>
    </row>
    <row r="9138" spans="31:52">
      <c r="AE9138" s="10"/>
      <c r="AF9138" s="10"/>
      <c r="AG9138" s="10"/>
      <c r="AH9138" s="10"/>
      <c r="AI9138" s="10"/>
      <c r="AJ9138" s="10"/>
      <c r="AK9138" s="10"/>
      <c r="AL9138" s="10"/>
      <c r="AM9138" s="10"/>
      <c r="AN9138" s="10"/>
      <c r="AO9138" s="10"/>
      <c r="AP9138" s="10"/>
      <c r="AQ9138" s="10"/>
      <c r="AR9138" s="10"/>
      <c r="AS9138" s="10"/>
      <c r="AT9138" s="10"/>
      <c r="AU9138" s="10"/>
      <c r="AV9138" s="10"/>
      <c r="AW9138" s="10"/>
      <c r="AX9138" s="10"/>
      <c r="AY9138" s="10"/>
      <c r="AZ9138" s="10"/>
    </row>
    <row r="9139" spans="31:52">
      <c r="AE9139" s="10"/>
      <c r="AF9139" s="10"/>
      <c r="AG9139" s="10"/>
      <c r="AH9139" s="10"/>
      <c r="AI9139" s="10"/>
      <c r="AJ9139" s="10"/>
      <c r="AK9139" s="10"/>
      <c r="AL9139" s="10"/>
      <c r="AM9139" s="10"/>
      <c r="AN9139" s="10"/>
      <c r="AO9139" s="10"/>
      <c r="AP9139" s="10"/>
      <c r="AQ9139" s="10"/>
      <c r="AR9139" s="10"/>
      <c r="AS9139" s="10"/>
      <c r="AT9139" s="10"/>
      <c r="AU9139" s="10"/>
      <c r="AV9139" s="10"/>
      <c r="AW9139" s="10"/>
      <c r="AX9139" s="10"/>
      <c r="AY9139" s="10"/>
      <c r="AZ9139" s="10"/>
    </row>
    <row r="9140" spans="31:52">
      <c r="AE9140" s="10"/>
      <c r="AF9140" s="10"/>
      <c r="AG9140" s="10"/>
      <c r="AH9140" s="10"/>
      <c r="AI9140" s="10"/>
      <c r="AJ9140" s="10"/>
      <c r="AK9140" s="10"/>
      <c r="AL9140" s="10"/>
      <c r="AM9140" s="10"/>
      <c r="AN9140" s="10"/>
      <c r="AO9140" s="10"/>
      <c r="AP9140" s="10"/>
      <c r="AQ9140" s="10"/>
      <c r="AR9140" s="10"/>
      <c r="AS9140" s="10"/>
      <c r="AT9140" s="10"/>
      <c r="AU9140" s="10"/>
      <c r="AV9140" s="10"/>
      <c r="AW9140" s="10"/>
      <c r="AX9140" s="10"/>
      <c r="AY9140" s="10"/>
      <c r="AZ9140" s="10"/>
    </row>
    <row r="9141" spans="31:52">
      <c r="AE9141" s="10"/>
      <c r="AF9141" s="10"/>
      <c r="AG9141" s="10"/>
      <c r="AH9141" s="10"/>
      <c r="AI9141" s="10"/>
      <c r="AJ9141" s="10"/>
      <c r="AK9141" s="10"/>
      <c r="AL9141" s="10"/>
      <c r="AM9141" s="10"/>
      <c r="AN9141" s="10"/>
      <c r="AO9141" s="10"/>
      <c r="AP9141" s="10"/>
      <c r="AQ9141" s="10"/>
      <c r="AR9141" s="10"/>
      <c r="AS9141" s="10"/>
      <c r="AT9141" s="10"/>
      <c r="AU9141" s="10"/>
      <c r="AV9141" s="10"/>
      <c r="AW9141" s="10"/>
      <c r="AX9141" s="10"/>
      <c r="AY9141" s="10"/>
      <c r="AZ9141" s="10"/>
    </row>
    <row r="9142" spans="31:52">
      <c r="AE9142" s="10"/>
      <c r="AF9142" s="10"/>
      <c r="AG9142" s="10"/>
      <c r="AH9142" s="10"/>
      <c r="AI9142" s="10"/>
      <c r="AJ9142" s="10"/>
      <c r="AK9142" s="10"/>
      <c r="AL9142" s="10"/>
      <c r="AM9142" s="10"/>
      <c r="AN9142" s="10"/>
      <c r="AO9142" s="10"/>
      <c r="AP9142" s="10"/>
      <c r="AQ9142" s="10"/>
      <c r="AR9142" s="10"/>
      <c r="AS9142" s="10"/>
      <c r="AT9142" s="10"/>
      <c r="AU9142" s="10"/>
      <c r="AV9142" s="10"/>
      <c r="AW9142" s="10"/>
      <c r="AX9142" s="10"/>
      <c r="AY9142" s="10"/>
      <c r="AZ9142" s="10"/>
    </row>
    <row r="9143" spans="31:52">
      <c r="AE9143" s="10"/>
      <c r="AF9143" s="10"/>
      <c r="AG9143" s="10"/>
      <c r="AH9143" s="10"/>
      <c r="AI9143" s="10"/>
      <c r="AJ9143" s="10"/>
      <c r="AK9143" s="10"/>
      <c r="AL9143" s="10"/>
      <c r="AM9143" s="10"/>
      <c r="AN9143" s="10"/>
      <c r="AO9143" s="10"/>
      <c r="AP9143" s="10"/>
      <c r="AQ9143" s="10"/>
      <c r="AR9143" s="10"/>
      <c r="AS9143" s="10"/>
      <c r="AT9143" s="10"/>
      <c r="AU9143" s="10"/>
      <c r="AV9143" s="10"/>
      <c r="AW9143" s="10"/>
      <c r="AX9143" s="10"/>
      <c r="AY9143" s="10"/>
      <c r="AZ9143" s="10"/>
    </row>
    <row r="9144" spans="31:52">
      <c r="AE9144" s="10"/>
      <c r="AF9144" s="10"/>
      <c r="AG9144" s="10"/>
      <c r="AH9144" s="10"/>
      <c r="AI9144" s="10"/>
      <c r="AJ9144" s="10"/>
      <c r="AK9144" s="10"/>
      <c r="AL9144" s="10"/>
      <c r="AM9144" s="10"/>
      <c r="AN9144" s="10"/>
      <c r="AO9144" s="10"/>
      <c r="AP9144" s="10"/>
      <c r="AQ9144" s="10"/>
      <c r="AR9144" s="10"/>
      <c r="AS9144" s="10"/>
      <c r="AT9144" s="10"/>
      <c r="AU9144" s="10"/>
      <c r="AV9144" s="10"/>
      <c r="AW9144" s="10"/>
      <c r="AX9144" s="10"/>
      <c r="AY9144" s="10"/>
      <c r="AZ9144" s="10"/>
    </row>
    <row r="9145" spans="31:52">
      <c r="AE9145" s="10"/>
      <c r="AF9145" s="10"/>
      <c r="AG9145" s="10"/>
      <c r="AH9145" s="10"/>
      <c r="AI9145" s="10"/>
      <c r="AJ9145" s="10"/>
      <c r="AK9145" s="10"/>
      <c r="AL9145" s="10"/>
      <c r="AM9145" s="10"/>
      <c r="AN9145" s="10"/>
      <c r="AO9145" s="10"/>
      <c r="AP9145" s="10"/>
      <c r="AQ9145" s="10"/>
      <c r="AR9145" s="10"/>
      <c r="AS9145" s="10"/>
      <c r="AT9145" s="10"/>
      <c r="AU9145" s="10"/>
      <c r="AV9145" s="10"/>
      <c r="AW9145" s="10"/>
      <c r="AX9145" s="10"/>
      <c r="AY9145" s="10"/>
      <c r="AZ9145" s="10"/>
    </row>
    <row r="9146" spans="31:52">
      <c r="AE9146" s="10"/>
      <c r="AF9146" s="10"/>
      <c r="AG9146" s="10"/>
      <c r="AH9146" s="10"/>
      <c r="AI9146" s="10"/>
      <c r="AJ9146" s="10"/>
      <c r="AK9146" s="10"/>
      <c r="AL9146" s="10"/>
      <c r="AM9146" s="10"/>
      <c r="AN9146" s="10"/>
      <c r="AO9146" s="10"/>
      <c r="AP9146" s="10"/>
      <c r="AQ9146" s="10"/>
      <c r="AR9146" s="10"/>
      <c r="AS9146" s="10"/>
      <c r="AT9146" s="10"/>
      <c r="AU9146" s="10"/>
      <c r="AV9146" s="10"/>
      <c r="AW9146" s="10"/>
      <c r="AX9146" s="10"/>
      <c r="AY9146" s="10"/>
      <c r="AZ9146" s="10"/>
    </row>
    <row r="9147" spans="31:52">
      <c r="AE9147" s="10"/>
      <c r="AF9147" s="10"/>
      <c r="AG9147" s="10"/>
      <c r="AH9147" s="10"/>
      <c r="AI9147" s="10"/>
      <c r="AJ9147" s="10"/>
      <c r="AK9147" s="10"/>
      <c r="AL9147" s="10"/>
      <c r="AM9147" s="10"/>
      <c r="AN9147" s="10"/>
      <c r="AO9147" s="10"/>
      <c r="AP9147" s="10"/>
      <c r="AQ9147" s="10"/>
      <c r="AR9147" s="10"/>
      <c r="AS9147" s="10"/>
      <c r="AT9147" s="10"/>
      <c r="AU9147" s="10"/>
      <c r="AV9147" s="10"/>
      <c r="AW9147" s="10"/>
      <c r="AX9147" s="10"/>
      <c r="AY9147" s="10"/>
      <c r="AZ9147" s="10"/>
    </row>
    <row r="9148" spans="31:52">
      <c r="AE9148" s="10"/>
      <c r="AF9148" s="10"/>
      <c r="AG9148" s="10"/>
      <c r="AH9148" s="10"/>
      <c r="AI9148" s="10"/>
      <c r="AJ9148" s="10"/>
      <c r="AK9148" s="10"/>
      <c r="AL9148" s="10"/>
      <c r="AM9148" s="10"/>
      <c r="AN9148" s="10"/>
      <c r="AO9148" s="10"/>
      <c r="AP9148" s="10"/>
      <c r="AQ9148" s="10"/>
      <c r="AR9148" s="10"/>
      <c r="AS9148" s="10"/>
      <c r="AT9148" s="10"/>
      <c r="AU9148" s="10"/>
      <c r="AV9148" s="10"/>
      <c r="AW9148" s="10"/>
      <c r="AX9148" s="10"/>
      <c r="AY9148" s="10"/>
      <c r="AZ9148" s="10"/>
    </row>
    <row r="9149" spans="31:52">
      <c r="AE9149" s="10"/>
      <c r="AF9149" s="10"/>
      <c r="AG9149" s="10"/>
      <c r="AH9149" s="10"/>
      <c r="AI9149" s="10"/>
      <c r="AJ9149" s="10"/>
      <c r="AK9149" s="10"/>
      <c r="AL9149" s="10"/>
      <c r="AM9149" s="10"/>
      <c r="AN9149" s="10"/>
      <c r="AO9149" s="10"/>
      <c r="AP9149" s="10"/>
      <c r="AQ9149" s="10"/>
      <c r="AR9149" s="10"/>
      <c r="AS9149" s="10"/>
      <c r="AT9149" s="10"/>
      <c r="AU9149" s="10"/>
      <c r="AV9149" s="10"/>
      <c r="AW9149" s="10"/>
      <c r="AX9149" s="10"/>
      <c r="AY9149" s="10"/>
      <c r="AZ9149" s="10"/>
    </row>
    <row r="9150" spans="31:52">
      <c r="AE9150" s="10"/>
      <c r="AF9150" s="10"/>
      <c r="AG9150" s="10"/>
      <c r="AH9150" s="10"/>
      <c r="AI9150" s="10"/>
      <c r="AJ9150" s="10"/>
      <c r="AK9150" s="10"/>
      <c r="AL9150" s="10"/>
      <c r="AM9150" s="10"/>
      <c r="AN9150" s="10"/>
      <c r="AO9150" s="10"/>
      <c r="AP9150" s="10"/>
      <c r="AQ9150" s="10"/>
      <c r="AR9150" s="10"/>
      <c r="AS9150" s="10"/>
      <c r="AT9150" s="10"/>
      <c r="AU9150" s="10"/>
      <c r="AV9150" s="10"/>
      <c r="AW9150" s="10"/>
      <c r="AX9150" s="10"/>
      <c r="AY9150" s="10"/>
      <c r="AZ9150" s="10"/>
    </row>
    <row r="9151" spans="31:52">
      <c r="AE9151" s="10"/>
      <c r="AF9151" s="10"/>
      <c r="AG9151" s="10"/>
      <c r="AH9151" s="10"/>
      <c r="AI9151" s="10"/>
      <c r="AJ9151" s="10"/>
      <c r="AK9151" s="10"/>
      <c r="AL9151" s="10"/>
      <c r="AM9151" s="10"/>
      <c r="AN9151" s="10"/>
      <c r="AO9151" s="10"/>
      <c r="AP9151" s="10"/>
      <c r="AQ9151" s="10"/>
      <c r="AR9151" s="10"/>
      <c r="AS9151" s="10"/>
      <c r="AT9151" s="10"/>
      <c r="AU9151" s="10"/>
      <c r="AV9151" s="10"/>
      <c r="AW9151" s="10"/>
      <c r="AX9151" s="10"/>
      <c r="AY9151" s="10"/>
      <c r="AZ9151" s="10"/>
    </row>
    <row r="9152" spans="31:52">
      <c r="AE9152" s="10"/>
      <c r="AF9152" s="10"/>
      <c r="AG9152" s="10"/>
      <c r="AH9152" s="10"/>
      <c r="AI9152" s="10"/>
      <c r="AJ9152" s="10"/>
      <c r="AK9152" s="10"/>
      <c r="AL9152" s="10"/>
      <c r="AM9152" s="10"/>
      <c r="AN9152" s="10"/>
      <c r="AO9152" s="10"/>
      <c r="AP9152" s="10"/>
      <c r="AQ9152" s="10"/>
      <c r="AR9152" s="10"/>
      <c r="AS9152" s="10"/>
      <c r="AT9152" s="10"/>
      <c r="AU9152" s="10"/>
      <c r="AV9152" s="10"/>
      <c r="AW9152" s="10"/>
      <c r="AX9152" s="10"/>
      <c r="AY9152" s="10"/>
      <c r="AZ9152" s="10"/>
    </row>
    <row r="9153" spans="31:52">
      <c r="AE9153" s="10"/>
      <c r="AF9153" s="10"/>
      <c r="AG9153" s="10"/>
      <c r="AH9153" s="10"/>
      <c r="AI9153" s="10"/>
      <c r="AJ9153" s="10"/>
      <c r="AK9153" s="10"/>
      <c r="AL9153" s="10"/>
      <c r="AM9153" s="10"/>
      <c r="AN9153" s="10"/>
      <c r="AO9153" s="10"/>
      <c r="AP9153" s="10"/>
      <c r="AQ9153" s="10"/>
      <c r="AR9153" s="10"/>
      <c r="AS9153" s="10"/>
      <c r="AT9153" s="10"/>
      <c r="AU9153" s="10"/>
      <c r="AV9153" s="10"/>
      <c r="AW9153" s="10"/>
      <c r="AX9153" s="10"/>
      <c r="AY9153" s="10"/>
      <c r="AZ9153" s="10"/>
    </row>
    <row r="9154" spans="31:52">
      <c r="AE9154" s="10"/>
      <c r="AF9154" s="10"/>
      <c r="AG9154" s="10"/>
      <c r="AH9154" s="10"/>
      <c r="AI9154" s="10"/>
      <c r="AJ9154" s="10"/>
      <c r="AK9154" s="10"/>
      <c r="AL9154" s="10"/>
      <c r="AM9154" s="10"/>
      <c r="AN9154" s="10"/>
      <c r="AO9154" s="10"/>
      <c r="AP9154" s="10"/>
      <c r="AQ9154" s="10"/>
      <c r="AR9154" s="10"/>
      <c r="AS9154" s="10"/>
      <c r="AT9154" s="10"/>
      <c r="AU9154" s="10"/>
      <c r="AV9154" s="10"/>
      <c r="AW9154" s="10"/>
      <c r="AX9154" s="10"/>
      <c r="AY9154" s="10"/>
      <c r="AZ9154" s="10"/>
    </row>
    <row r="9155" spans="31:52">
      <c r="AE9155" s="10"/>
      <c r="AF9155" s="10"/>
      <c r="AG9155" s="10"/>
      <c r="AH9155" s="10"/>
      <c r="AI9155" s="10"/>
      <c r="AJ9155" s="10"/>
      <c r="AK9155" s="10"/>
      <c r="AL9155" s="10"/>
      <c r="AM9155" s="10"/>
      <c r="AN9155" s="10"/>
      <c r="AO9155" s="10"/>
      <c r="AP9155" s="10"/>
      <c r="AQ9155" s="10"/>
      <c r="AR9155" s="10"/>
      <c r="AS9155" s="10"/>
      <c r="AT9155" s="10"/>
      <c r="AU9155" s="10"/>
      <c r="AV9155" s="10"/>
      <c r="AW9155" s="10"/>
      <c r="AX9155" s="10"/>
      <c r="AY9155" s="10"/>
      <c r="AZ9155" s="10"/>
    </row>
    <row r="9156" spans="31:52">
      <c r="AE9156" s="10"/>
      <c r="AF9156" s="10"/>
      <c r="AG9156" s="10"/>
      <c r="AH9156" s="10"/>
      <c r="AI9156" s="10"/>
      <c r="AJ9156" s="10"/>
      <c r="AK9156" s="10"/>
      <c r="AL9156" s="10"/>
      <c r="AM9156" s="10"/>
      <c r="AN9156" s="10"/>
      <c r="AO9156" s="10"/>
      <c r="AP9156" s="10"/>
      <c r="AQ9156" s="10"/>
      <c r="AR9156" s="10"/>
      <c r="AS9156" s="10"/>
      <c r="AT9156" s="10"/>
      <c r="AU9156" s="10"/>
      <c r="AV9156" s="10"/>
      <c r="AW9156" s="10"/>
      <c r="AX9156" s="10"/>
      <c r="AY9156" s="10"/>
      <c r="AZ9156" s="10"/>
    </row>
    <row r="9157" spans="31:52">
      <c r="AE9157" s="10"/>
      <c r="AF9157" s="10"/>
      <c r="AG9157" s="10"/>
      <c r="AH9157" s="10"/>
      <c r="AI9157" s="10"/>
      <c r="AJ9157" s="10"/>
      <c r="AK9157" s="10"/>
      <c r="AL9157" s="10"/>
      <c r="AM9157" s="10"/>
      <c r="AN9157" s="10"/>
      <c r="AO9157" s="10"/>
      <c r="AP9157" s="10"/>
      <c r="AQ9157" s="10"/>
      <c r="AR9157" s="10"/>
      <c r="AS9157" s="10"/>
      <c r="AT9157" s="10"/>
      <c r="AU9157" s="10"/>
      <c r="AV9157" s="10"/>
      <c r="AW9157" s="10"/>
      <c r="AX9157" s="10"/>
      <c r="AY9157" s="10"/>
      <c r="AZ9157" s="10"/>
    </row>
    <row r="9158" spans="31:52">
      <c r="AE9158" s="10"/>
      <c r="AF9158" s="10"/>
      <c r="AG9158" s="10"/>
      <c r="AH9158" s="10"/>
      <c r="AI9158" s="10"/>
      <c r="AJ9158" s="10"/>
      <c r="AK9158" s="10"/>
      <c r="AL9158" s="10"/>
      <c r="AM9158" s="10"/>
      <c r="AN9158" s="10"/>
      <c r="AO9158" s="10"/>
      <c r="AP9158" s="10"/>
      <c r="AQ9158" s="10"/>
      <c r="AR9158" s="10"/>
      <c r="AS9158" s="10"/>
      <c r="AT9158" s="10"/>
      <c r="AU9158" s="10"/>
      <c r="AV9158" s="10"/>
      <c r="AW9158" s="10"/>
      <c r="AX9158" s="10"/>
      <c r="AY9158" s="10"/>
      <c r="AZ9158" s="10"/>
    </row>
    <row r="9159" spans="31:52">
      <c r="AE9159" s="10"/>
      <c r="AF9159" s="10"/>
      <c r="AG9159" s="10"/>
      <c r="AH9159" s="10"/>
      <c r="AI9159" s="10"/>
      <c r="AJ9159" s="10"/>
      <c r="AK9159" s="10"/>
      <c r="AL9159" s="10"/>
      <c r="AM9159" s="10"/>
      <c r="AN9159" s="10"/>
      <c r="AO9159" s="10"/>
      <c r="AP9159" s="10"/>
      <c r="AQ9159" s="10"/>
      <c r="AR9159" s="10"/>
      <c r="AS9159" s="10"/>
      <c r="AT9159" s="10"/>
      <c r="AU9159" s="10"/>
      <c r="AV9159" s="10"/>
      <c r="AW9159" s="10"/>
      <c r="AX9159" s="10"/>
      <c r="AY9159" s="10"/>
      <c r="AZ9159" s="10"/>
    </row>
    <row r="9160" spans="31:52">
      <c r="AE9160" s="10"/>
      <c r="AF9160" s="10"/>
      <c r="AG9160" s="10"/>
      <c r="AH9160" s="10"/>
      <c r="AI9160" s="10"/>
      <c r="AJ9160" s="10"/>
      <c r="AK9160" s="10"/>
      <c r="AL9160" s="10"/>
      <c r="AM9160" s="10"/>
      <c r="AN9160" s="10"/>
      <c r="AO9160" s="10"/>
      <c r="AP9160" s="10"/>
      <c r="AQ9160" s="10"/>
      <c r="AR9160" s="10"/>
      <c r="AS9160" s="10"/>
      <c r="AT9160" s="10"/>
      <c r="AU9160" s="10"/>
      <c r="AV9160" s="10"/>
      <c r="AW9160" s="10"/>
      <c r="AX9160" s="10"/>
      <c r="AY9160" s="10"/>
      <c r="AZ9160" s="10"/>
    </row>
    <row r="9161" spans="31:52">
      <c r="AE9161" s="10"/>
      <c r="AF9161" s="10"/>
      <c r="AG9161" s="10"/>
      <c r="AH9161" s="10"/>
      <c r="AI9161" s="10"/>
      <c r="AJ9161" s="10"/>
      <c r="AK9161" s="10"/>
      <c r="AL9161" s="10"/>
      <c r="AM9161" s="10"/>
      <c r="AN9161" s="10"/>
      <c r="AO9161" s="10"/>
      <c r="AP9161" s="10"/>
      <c r="AQ9161" s="10"/>
      <c r="AR9161" s="10"/>
      <c r="AS9161" s="10"/>
      <c r="AT9161" s="10"/>
      <c r="AU9161" s="10"/>
      <c r="AV9161" s="10"/>
      <c r="AW9161" s="10"/>
      <c r="AX9161" s="10"/>
      <c r="AY9161" s="10"/>
      <c r="AZ9161" s="10"/>
    </row>
    <row r="9162" spans="31:52">
      <c r="AE9162" s="10"/>
      <c r="AF9162" s="10"/>
      <c r="AG9162" s="10"/>
      <c r="AH9162" s="10"/>
      <c r="AI9162" s="10"/>
      <c r="AJ9162" s="10"/>
      <c r="AK9162" s="10"/>
      <c r="AL9162" s="10"/>
      <c r="AM9162" s="10"/>
      <c r="AN9162" s="10"/>
      <c r="AO9162" s="10"/>
      <c r="AP9162" s="10"/>
      <c r="AQ9162" s="10"/>
      <c r="AR9162" s="10"/>
      <c r="AS9162" s="10"/>
      <c r="AT9162" s="10"/>
      <c r="AU9162" s="10"/>
      <c r="AV9162" s="10"/>
      <c r="AW9162" s="10"/>
      <c r="AX9162" s="10"/>
      <c r="AY9162" s="10"/>
      <c r="AZ9162" s="10"/>
    </row>
    <row r="9163" spans="31:52">
      <c r="AE9163" s="10"/>
      <c r="AF9163" s="10"/>
      <c r="AG9163" s="10"/>
      <c r="AH9163" s="10"/>
      <c r="AI9163" s="10"/>
      <c r="AJ9163" s="10"/>
      <c r="AK9163" s="10"/>
      <c r="AL9163" s="10"/>
      <c r="AM9163" s="10"/>
      <c r="AN9163" s="10"/>
      <c r="AO9163" s="10"/>
      <c r="AP9163" s="10"/>
      <c r="AQ9163" s="10"/>
      <c r="AR9163" s="10"/>
      <c r="AS9163" s="10"/>
      <c r="AT9163" s="10"/>
      <c r="AU9163" s="10"/>
      <c r="AV9163" s="10"/>
      <c r="AW9163" s="10"/>
      <c r="AX9163" s="10"/>
      <c r="AY9163" s="10"/>
      <c r="AZ9163" s="10"/>
    </row>
    <row r="9164" spans="31:52">
      <c r="AE9164" s="10"/>
      <c r="AF9164" s="10"/>
      <c r="AG9164" s="10"/>
      <c r="AH9164" s="10"/>
      <c r="AI9164" s="10"/>
      <c r="AJ9164" s="10"/>
      <c r="AK9164" s="10"/>
      <c r="AL9164" s="10"/>
      <c r="AM9164" s="10"/>
      <c r="AN9164" s="10"/>
      <c r="AO9164" s="10"/>
      <c r="AP9164" s="10"/>
      <c r="AQ9164" s="10"/>
      <c r="AR9164" s="10"/>
      <c r="AS9164" s="10"/>
      <c r="AT9164" s="10"/>
      <c r="AU9164" s="10"/>
      <c r="AV9164" s="10"/>
      <c r="AW9164" s="10"/>
      <c r="AX9164" s="10"/>
      <c r="AY9164" s="10"/>
      <c r="AZ9164" s="10"/>
    </row>
    <row r="9165" spans="31:52">
      <c r="AE9165" s="10"/>
      <c r="AF9165" s="10"/>
      <c r="AG9165" s="10"/>
      <c r="AH9165" s="10"/>
      <c r="AI9165" s="10"/>
      <c r="AJ9165" s="10"/>
      <c r="AK9165" s="10"/>
      <c r="AL9165" s="10"/>
      <c r="AM9165" s="10"/>
      <c r="AN9165" s="10"/>
      <c r="AO9165" s="10"/>
      <c r="AP9165" s="10"/>
      <c r="AQ9165" s="10"/>
      <c r="AR9165" s="10"/>
      <c r="AS9165" s="10"/>
      <c r="AT9165" s="10"/>
      <c r="AU9165" s="10"/>
      <c r="AV9165" s="10"/>
      <c r="AW9165" s="10"/>
      <c r="AX9165" s="10"/>
      <c r="AY9165" s="10"/>
      <c r="AZ9165" s="10"/>
    </row>
    <row r="9166" spans="31:52">
      <c r="AE9166" s="10"/>
      <c r="AF9166" s="10"/>
      <c r="AG9166" s="10"/>
      <c r="AH9166" s="10"/>
      <c r="AI9166" s="10"/>
      <c r="AJ9166" s="10"/>
      <c r="AK9166" s="10"/>
      <c r="AL9166" s="10"/>
      <c r="AM9166" s="10"/>
      <c r="AN9166" s="10"/>
      <c r="AO9166" s="10"/>
      <c r="AP9166" s="10"/>
      <c r="AQ9166" s="10"/>
      <c r="AR9166" s="10"/>
      <c r="AS9166" s="10"/>
      <c r="AT9166" s="10"/>
      <c r="AU9166" s="10"/>
      <c r="AV9166" s="10"/>
      <c r="AW9166" s="10"/>
      <c r="AX9166" s="10"/>
      <c r="AY9166" s="10"/>
      <c r="AZ9166" s="10"/>
    </row>
    <row r="9167" spans="31:52">
      <c r="AE9167" s="10"/>
      <c r="AF9167" s="10"/>
      <c r="AG9167" s="10"/>
      <c r="AH9167" s="10"/>
      <c r="AI9167" s="10"/>
      <c r="AJ9167" s="10"/>
      <c r="AK9167" s="10"/>
      <c r="AL9167" s="10"/>
      <c r="AM9167" s="10"/>
      <c r="AN9167" s="10"/>
      <c r="AO9167" s="10"/>
      <c r="AP9167" s="10"/>
      <c r="AQ9167" s="10"/>
      <c r="AR9167" s="10"/>
      <c r="AS9167" s="10"/>
      <c r="AT9167" s="10"/>
      <c r="AU9167" s="10"/>
      <c r="AV9167" s="10"/>
      <c r="AW9167" s="10"/>
      <c r="AX9167" s="10"/>
      <c r="AY9167" s="10"/>
      <c r="AZ9167" s="10"/>
    </row>
    <row r="9168" spans="31:52">
      <c r="AE9168" s="10"/>
      <c r="AF9168" s="10"/>
      <c r="AG9168" s="10"/>
      <c r="AH9168" s="10"/>
      <c r="AI9168" s="10"/>
      <c r="AJ9168" s="10"/>
      <c r="AK9168" s="10"/>
      <c r="AL9168" s="10"/>
      <c r="AM9168" s="10"/>
      <c r="AN9168" s="10"/>
      <c r="AO9168" s="10"/>
      <c r="AP9168" s="10"/>
      <c r="AQ9168" s="10"/>
      <c r="AR9168" s="10"/>
      <c r="AS9168" s="10"/>
      <c r="AT9168" s="10"/>
      <c r="AU9168" s="10"/>
      <c r="AV9168" s="10"/>
      <c r="AW9168" s="10"/>
      <c r="AX9168" s="10"/>
      <c r="AY9168" s="10"/>
      <c r="AZ9168" s="10"/>
    </row>
    <row r="9169" spans="31:52">
      <c r="AE9169" s="10"/>
      <c r="AF9169" s="10"/>
      <c r="AG9169" s="10"/>
      <c r="AH9169" s="10"/>
      <c r="AI9169" s="10"/>
      <c r="AJ9169" s="10"/>
      <c r="AK9169" s="10"/>
      <c r="AL9169" s="10"/>
      <c r="AM9169" s="10"/>
      <c r="AN9169" s="10"/>
      <c r="AO9169" s="10"/>
      <c r="AP9169" s="10"/>
      <c r="AQ9169" s="10"/>
      <c r="AR9169" s="10"/>
      <c r="AS9169" s="10"/>
      <c r="AT9169" s="10"/>
      <c r="AU9169" s="10"/>
      <c r="AV9169" s="10"/>
      <c r="AW9169" s="10"/>
      <c r="AX9169" s="10"/>
      <c r="AY9169" s="10"/>
      <c r="AZ9169" s="10"/>
    </row>
    <row r="9170" spans="31:52">
      <c r="AE9170" s="10"/>
      <c r="AF9170" s="10"/>
      <c r="AG9170" s="10"/>
      <c r="AH9170" s="10"/>
      <c r="AI9170" s="10"/>
      <c r="AJ9170" s="10"/>
      <c r="AK9170" s="10"/>
      <c r="AL9170" s="10"/>
      <c r="AM9170" s="10"/>
      <c r="AN9170" s="10"/>
      <c r="AO9170" s="10"/>
      <c r="AP9170" s="10"/>
      <c r="AQ9170" s="10"/>
      <c r="AR9170" s="10"/>
      <c r="AS9170" s="10"/>
      <c r="AT9170" s="10"/>
      <c r="AU9170" s="10"/>
      <c r="AV9170" s="10"/>
      <c r="AW9170" s="10"/>
      <c r="AX9170" s="10"/>
      <c r="AY9170" s="10"/>
      <c r="AZ9170" s="10"/>
    </row>
    <row r="9171" spans="31:52">
      <c r="AE9171" s="10"/>
      <c r="AF9171" s="10"/>
      <c r="AG9171" s="10"/>
      <c r="AH9171" s="10"/>
      <c r="AI9171" s="10"/>
      <c r="AJ9171" s="10"/>
      <c r="AK9171" s="10"/>
      <c r="AL9171" s="10"/>
      <c r="AM9171" s="10"/>
      <c r="AN9171" s="10"/>
      <c r="AO9171" s="10"/>
      <c r="AP9171" s="10"/>
      <c r="AQ9171" s="10"/>
      <c r="AR9171" s="10"/>
      <c r="AS9171" s="10"/>
      <c r="AT9171" s="10"/>
      <c r="AU9171" s="10"/>
      <c r="AV9171" s="10"/>
      <c r="AW9171" s="10"/>
      <c r="AX9171" s="10"/>
      <c r="AY9171" s="10"/>
      <c r="AZ9171" s="10"/>
    </row>
    <row r="9172" spans="31:52">
      <c r="AE9172" s="10"/>
      <c r="AF9172" s="10"/>
      <c r="AG9172" s="10"/>
      <c r="AH9172" s="10"/>
      <c r="AI9172" s="10"/>
      <c r="AJ9172" s="10"/>
      <c r="AK9172" s="10"/>
      <c r="AL9172" s="10"/>
      <c r="AM9172" s="10"/>
      <c r="AN9172" s="10"/>
      <c r="AO9172" s="10"/>
      <c r="AP9172" s="10"/>
      <c r="AQ9172" s="10"/>
      <c r="AR9172" s="10"/>
      <c r="AS9172" s="10"/>
      <c r="AT9172" s="10"/>
      <c r="AU9172" s="10"/>
      <c r="AV9172" s="10"/>
      <c r="AW9172" s="10"/>
      <c r="AX9172" s="10"/>
      <c r="AY9172" s="10"/>
      <c r="AZ9172" s="10"/>
    </row>
    <row r="9173" spans="31:52">
      <c r="AE9173" s="10"/>
      <c r="AF9173" s="10"/>
      <c r="AG9173" s="10"/>
      <c r="AH9173" s="10"/>
      <c r="AI9173" s="10"/>
      <c r="AJ9173" s="10"/>
      <c r="AK9173" s="10"/>
      <c r="AL9173" s="10"/>
      <c r="AM9173" s="10"/>
      <c r="AN9173" s="10"/>
      <c r="AO9173" s="10"/>
      <c r="AP9173" s="10"/>
      <c r="AQ9173" s="10"/>
      <c r="AR9173" s="10"/>
      <c r="AS9173" s="10"/>
      <c r="AT9173" s="10"/>
      <c r="AU9173" s="10"/>
      <c r="AV9173" s="10"/>
      <c r="AW9173" s="10"/>
      <c r="AX9173" s="10"/>
      <c r="AY9173" s="10"/>
      <c r="AZ9173" s="10"/>
    </row>
    <row r="9174" spans="31:52">
      <c r="AE9174" s="10"/>
      <c r="AF9174" s="10"/>
      <c r="AG9174" s="10"/>
      <c r="AH9174" s="10"/>
      <c r="AI9174" s="10"/>
      <c r="AJ9174" s="10"/>
      <c r="AK9174" s="10"/>
      <c r="AL9174" s="10"/>
      <c r="AM9174" s="10"/>
      <c r="AN9174" s="10"/>
      <c r="AO9174" s="10"/>
      <c r="AP9174" s="10"/>
      <c r="AQ9174" s="10"/>
      <c r="AR9174" s="10"/>
      <c r="AS9174" s="10"/>
      <c r="AT9174" s="10"/>
      <c r="AU9174" s="10"/>
      <c r="AV9174" s="10"/>
      <c r="AW9174" s="10"/>
      <c r="AX9174" s="10"/>
      <c r="AY9174" s="10"/>
      <c r="AZ9174" s="10"/>
    </row>
    <row r="9175" spans="31:52">
      <c r="AE9175" s="10"/>
      <c r="AF9175" s="10"/>
      <c r="AG9175" s="10"/>
      <c r="AH9175" s="10"/>
      <c r="AI9175" s="10"/>
      <c r="AJ9175" s="10"/>
      <c r="AK9175" s="10"/>
      <c r="AL9175" s="10"/>
      <c r="AM9175" s="10"/>
      <c r="AN9175" s="10"/>
      <c r="AO9175" s="10"/>
      <c r="AP9175" s="10"/>
      <c r="AQ9175" s="10"/>
      <c r="AR9175" s="10"/>
      <c r="AS9175" s="10"/>
      <c r="AT9175" s="10"/>
      <c r="AU9175" s="10"/>
      <c r="AV9175" s="10"/>
      <c r="AW9175" s="10"/>
      <c r="AX9175" s="10"/>
      <c r="AY9175" s="10"/>
      <c r="AZ9175" s="10"/>
    </row>
    <row r="9176" spans="31:52">
      <c r="AE9176" s="10"/>
      <c r="AF9176" s="10"/>
      <c r="AG9176" s="10"/>
      <c r="AH9176" s="10"/>
      <c r="AI9176" s="10"/>
      <c r="AJ9176" s="10"/>
      <c r="AK9176" s="10"/>
      <c r="AL9176" s="10"/>
      <c r="AM9176" s="10"/>
      <c r="AN9176" s="10"/>
      <c r="AO9176" s="10"/>
      <c r="AP9176" s="10"/>
      <c r="AQ9176" s="10"/>
      <c r="AR9176" s="10"/>
      <c r="AS9176" s="10"/>
      <c r="AT9176" s="10"/>
      <c r="AU9176" s="10"/>
      <c r="AV9176" s="10"/>
      <c r="AW9176" s="10"/>
      <c r="AX9176" s="10"/>
      <c r="AY9176" s="10"/>
      <c r="AZ9176" s="10"/>
    </row>
    <row r="9177" spans="31:52">
      <c r="AE9177" s="10"/>
      <c r="AF9177" s="10"/>
      <c r="AG9177" s="10"/>
      <c r="AH9177" s="10"/>
      <c r="AI9177" s="10"/>
      <c r="AJ9177" s="10"/>
      <c r="AK9177" s="10"/>
      <c r="AL9177" s="10"/>
      <c r="AM9177" s="10"/>
      <c r="AN9177" s="10"/>
      <c r="AO9177" s="10"/>
      <c r="AP9177" s="10"/>
      <c r="AQ9177" s="10"/>
      <c r="AR9177" s="10"/>
      <c r="AS9177" s="10"/>
      <c r="AT9177" s="10"/>
      <c r="AU9177" s="10"/>
      <c r="AV9177" s="10"/>
      <c r="AW9177" s="10"/>
      <c r="AX9177" s="10"/>
      <c r="AY9177" s="10"/>
      <c r="AZ9177" s="10"/>
    </row>
    <row r="9178" spans="31:52">
      <c r="AE9178" s="10"/>
      <c r="AF9178" s="10"/>
      <c r="AG9178" s="10"/>
      <c r="AH9178" s="10"/>
      <c r="AI9178" s="10"/>
      <c r="AJ9178" s="10"/>
      <c r="AK9178" s="10"/>
      <c r="AL9178" s="10"/>
      <c r="AM9178" s="10"/>
      <c r="AN9178" s="10"/>
      <c r="AO9178" s="10"/>
      <c r="AP9178" s="10"/>
      <c r="AQ9178" s="10"/>
      <c r="AR9178" s="10"/>
      <c r="AS9178" s="10"/>
      <c r="AT9178" s="10"/>
      <c r="AU9178" s="10"/>
      <c r="AV9178" s="10"/>
      <c r="AW9178" s="10"/>
      <c r="AX9178" s="10"/>
      <c r="AY9178" s="10"/>
      <c r="AZ9178" s="10"/>
    </row>
    <row r="9179" spans="31:52">
      <c r="AE9179" s="10"/>
      <c r="AF9179" s="10"/>
      <c r="AG9179" s="10"/>
      <c r="AH9179" s="10"/>
      <c r="AI9179" s="10"/>
      <c r="AJ9179" s="10"/>
      <c r="AK9179" s="10"/>
      <c r="AL9179" s="10"/>
      <c r="AM9179" s="10"/>
      <c r="AN9179" s="10"/>
      <c r="AO9179" s="10"/>
      <c r="AP9179" s="10"/>
      <c r="AQ9179" s="10"/>
      <c r="AR9179" s="10"/>
      <c r="AS9179" s="10"/>
      <c r="AT9179" s="10"/>
      <c r="AU9179" s="10"/>
      <c r="AV9179" s="10"/>
      <c r="AW9179" s="10"/>
      <c r="AX9179" s="10"/>
      <c r="AY9179" s="10"/>
      <c r="AZ9179" s="10"/>
    </row>
    <row r="9180" spans="31:52">
      <c r="AE9180" s="10"/>
      <c r="AF9180" s="10"/>
      <c r="AG9180" s="10"/>
      <c r="AH9180" s="10"/>
      <c r="AI9180" s="10"/>
      <c r="AJ9180" s="10"/>
      <c r="AK9180" s="10"/>
      <c r="AL9180" s="10"/>
      <c r="AM9180" s="10"/>
      <c r="AN9180" s="10"/>
      <c r="AO9180" s="10"/>
      <c r="AP9180" s="10"/>
      <c r="AQ9180" s="10"/>
      <c r="AR9180" s="10"/>
      <c r="AS9180" s="10"/>
      <c r="AT9180" s="10"/>
      <c r="AU9180" s="10"/>
      <c r="AV9180" s="10"/>
      <c r="AW9180" s="10"/>
      <c r="AX9180" s="10"/>
      <c r="AY9180" s="10"/>
      <c r="AZ9180" s="10"/>
    </row>
    <row r="9181" spans="31:52">
      <c r="AE9181" s="10"/>
      <c r="AF9181" s="10"/>
      <c r="AG9181" s="10"/>
      <c r="AH9181" s="10"/>
      <c r="AI9181" s="10"/>
      <c r="AJ9181" s="10"/>
      <c r="AK9181" s="10"/>
      <c r="AL9181" s="10"/>
      <c r="AM9181" s="10"/>
      <c r="AN9181" s="10"/>
      <c r="AO9181" s="10"/>
      <c r="AP9181" s="10"/>
      <c r="AQ9181" s="10"/>
      <c r="AR9181" s="10"/>
      <c r="AS9181" s="10"/>
      <c r="AT9181" s="10"/>
      <c r="AU9181" s="10"/>
      <c r="AV9181" s="10"/>
      <c r="AW9181" s="10"/>
      <c r="AX9181" s="10"/>
      <c r="AY9181" s="10"/>
      <c r="AZ9181" s="10"/>
    </row>
    <row r="9182" spans="31:52">
      <c r="AE9182" s="10"/>
      <c r="AF9182" s="10"/>
      <c r="AG9182" s="10"/>
      <c r="AH9182" s="10"/>
      <c r="AI9182" s="10"/>
      <c r="AJ9182" s="10"/>
      <c r="AK9182" s="10"/>
      <c r="AL9182" s="10"/>
      <c r="AM9182" s="10"/>
      <c r="AN9182" s="10"/>
      <c r="AO9182" s="10"/>
      <c r="AP9182" s="10"/>
      <c r="AQ9182" s="10"/>
      <c r="AR9182" s="10"/>
      <c r="AS9182" s="10"/>
      <c r="AT9182" s="10"/>
      <c r="AU9182" s="10"/>
      <c r="AV9182" s="10"/>
      <c r="AW9182" s="10"/>
      <c r="AX9182" s="10"/>
      <c r="AY9182" s="10"/>
      <c r="AZ9182" s="10"/>
    </row>
    <row r="9183" spans="31:52">
      <c r="AE9183" s="10"/>
      <c r="AF9183" s="10"/>
      <c r="AG9183" s="10"/>
      <c r="AH9183" s="10"/>
      <c r="AI9183" s="10"/>
      <c r="AJ9183" s="10"/>
      <c r="AK9183" s="10"/>
      <c r="AL9183" s="10"/>
      <c r="AM9183" s="10"/>
      <c r="AN9183" s="10"/>
      <c r="AO9183" s="10"/>
      <c r="AP9183" s="10"/>
      <c r="AQ9183" s="10"/>
      <c r="AR9183" s="10"/>
      <c r="AS9183" s="10"/>
      <c r="AT9183" s="10"/>
      <c r="AU9183" s="10"/>
      <c r="AV9183" s="10"/>
      <c r="AW9183" s="10"/>
      <c r="AX9183" s="10"/>
      <c r="AY9183" s="10"/>
      <c r="AZ9183" s="10"/>
    </row>
    <row r="9184" spans="31:52">
      <c r="AE9184" s="10"/>
      <c r="AF9184" s="10"/>
      <c r="AG9184" s="10"/>
      <c r="AH9184" s="10"/>
      <c r="AI9184" s="10"/>
      <c r="AJ9184" s="10"/>
      <c r="AK9184" s="10"/>
      <c r="AL9184" s="10"/>
      <c r="AM9184" s="10"/>
      <c r="AN9184" s="10"/>
      <c r="AO9184" s="10"/>
      <c r="AP9184" s="10"/>
      <c r="AQ9184" s="10"/>
      <c r="AR9184" s="10"/>
      <c r="AS9184" s="10"/>
      <c r="AT9184" s="10"/>
      <c r="AU9184" s="10"/>
      <c r="AV9184" s="10"/>
      <c r="AW9184" s="10"/>
      <c r="AX9184" s="10"/>
      <c r="AY9184" s="10"/>
      <c r="AZ9184" s="10"/>
    </row>
    <row r="9185" spans="31:52">
      <c r="AE9185" s="10"/>
      <c r="AF9185" s="10"/>
      <c r="AG9185" s="10"/>
      <c r="AH9185" s="10"/>
      <c r="AI9185" s="10"/>
      <c r="AJ9185" s="10"/>
      <c r="AK9185" s="10"/>
      <c r="AL9185" s="10"/>
      <c r="AM9185" s="10"/>
      <c r="AN9185" s="10"/>
      <c r="AO9185" s="10"/>
      <c r="AP9185" s="10"/>
      <c r="AQ9185" s="10"/>
      <c r="AR9185" s="10"/>
      <c r="AS9185" s="10"/>
      <c r="AT9185" s="10"/>
      <c r="AU9185" s="10"/>
      <c r="AV9185" s="10"/>
      <c r="AW9185" s="10"/>
      <c r="AX9185" s="10"/>
      <c r="AY9185" s="10"/>
      <c r="AZ9185" s="10"/>
    </row>
    <row r="9186" spans="31:52">
      <c r="AE9186" s="10"/>
      <c r="AF9186" s="10"/>
      <c r="AG9186" s="10"/>
      <c r="AH9186" s="10"/>
      <c r="AI9186" s="10"/>
      <c r="AJ9186" s="10"/>
      <c r="AK9186" s="10"/>
      <c r="AL9186" s="10"/>
      <c r="AM9186" s="10"/>
      <c r="AN9186" s="10"/>
      <c r="AO9186" s="10"/>
      <c r="AP9186" s="10"/>
      <c r="AQ9186" s="10"/>
      <c r="AR9186" s="10"/>
      <c r="AS9186" s="10"/>
      <c r="AT9186" s="10"/>
      <c r="AU9186" s="10"/>
      <c r="AV9186" s="10"/>
      <c r="AW9186" s="10"/>
      <c r="AX9186" s="10"/>
      <c r="AY9186" s="10"/>
      <c r="AZ9186" s="10"/>
    </row>
    <row r="9187" spans="31:52">
      <c r="AE9187" s="10"/>
      <c r="AF9187" s="10"/>
      <c r="AG9187" s="10"/>
      <c r="AH9187" s="10"/>
      <c r="AI9187" s="10"/>
      <c r="AJ9187" s="10"/>
      <c r="AK9187" s="10"/>
      <c r="AL9187" s="10"/>
      <c r="AM9187" s="10"/>
      <c r="AN9187" s="10"/>
      <c r="AO9187" s="10"/>
      <c r="AP9187" s="10"/>
      <c r="AQ9187" s="10"/>
      <c r="AR9187" s="10"/>
      <c r="AS9187" s="10"/>
      <c r="AT9187" s="10"/>
      <c r="AU9187" s="10"/>
      <c r="AV9187" s="10"/>
      <c r="AW9187" s="10"/>
      <c r="AX9187" s="10"/>
      <c r="AY9187" s="10"/>
      <c r="AZ9187" s="10"/>
    </row>
    <row r="9188" spans="31:52">
      <c r="AE9188" s="10"/>
      <c r="AF9188" s="10"/>
      <c r="AG9188" s="10"/>
      <c r="AH9188" s="10"/>
      <c r="AI9188" s="10"/>
      <c r="AJ9188" s="10"/>
      <c r="AK9188" s="10"/>
      <c r="AL9188" s="10"/>
      <c r="AM9188" s="10"/>
      <c r="AN9188" s="10"/>
      <c r="AO9188" s="10"/>
      <c r="AP9188" s="10"/>
      <c r="AQ9188" s="10"/>
      <c r="AR9188" s="10"/>
      <c r="AS9188" s="10"/>
      <c r="AT9188" s="10"/>
      <c r="AU9188" s="10"/>
      <c r="AV9188" s="10"/>
      <c r="AW9188" s="10"/>
      <c r="AX9188" s="10"/>
      <c r="AY9188" s="10"/>
      <c r="AZ9188" s="10"/>
    </row>
    <row r="9189" spans="31:52">
      <c r="AE9189" s="10"/>
      <c r="AF9189" s="10"/>
      <c r="AG9189" s="10"/>
      <c r="AH9189" s="10"/>
      <c r="AI9189" s="10"/>
      <c r="AJ9189" s="10"/>
      <c r="AK9189" s="10"/>
      <c r="AL9189" s="10"/>
      <c r="AM9189" s="10"/>
      <c r="AN9189" s="10"/>
      <c r="AO9189" s="10"/>
      <c r="AP9189" s="10"/>
      <c r="AQ9189" s="10"/>
      <c r="AR9189" s="10"/>
      <c r="AS9189" s="10"/>
      <c r="AT9189" s="10"/>
      <c r="AU9189" s="10"/>
      <c r="AV9189" s="10"/>
      <c r="AW9189" s="10"/>
      <c r="AX9189" s="10"/>
      <c r="AY9189" s="10"/>
      <c r="AZ9189" s="10"/>
    </row>
    <row r="9190" spans="31:52">
      <c r="AE9190" s="10"/>
      <c r="AF9190" s="10"/>
      <c r="AG9190" s="10"/>
      <c r="AH9190" s="10"/>
      <c r="AI9190" s="10"/>
      <c r="AJ9190" s="10"/>
      <c r="AK9190" s="10"/>
      <c r="AL9190" s="10"/>
      <c r="AM9190" s="10"/>
      <c r="AN9190" s="10"/>
      <c r="AO9190" s="10"/>
      <c r="AP9190" s="10"/>
      <c r="AQ9190" s="10"/>
      <c r="AR9190" s="10"/>
      <c r="AS9190" s="10"/>
      <c r="AT9190" s="10"/>
      <c r="AU9190" s="10"/>
      <c r="AV9190" s="10"/>
      <c r="AW9190" s="10"/>
      <c r="AX9190" s="10"/>
      <c r="AY9190" s="10"/>
      <c r="AZ9190" s="10"/>
    </row>
    <row r="9191" spans="31:52">
      <c r="AE9191" s="10"/>
      <c r="AF9191" s="10"/>
      <c r="AG9191" s="10"/>
      <c r="AH9191" s="10"/>
      <c r="AI9191" s="10"/>
      <c r="AJ9191" s="10"/>
      <c r="AK9191" s="10"/>
      <c r="AL9191" s="10"/>
      <c r="AM9191" s="10"/>
      <c r="AN9191" s="10"/>
      <c r="AO9191" s="10"/>
      <c r="AP9191" s="10"/>
      <c r="AQ9191" s="10"/>
      <c r="AR9191" s="10"/>
      <c r="AS9191" s="10"/>
      <c r="AT9191" s="10"/>
      <c r="AU9191" s="10"/>
      <c r="AV9191" s="10"/>
      <c r="AW9191" s="10"/>
      <c r="AX9191" s="10"/>
      <c r="AY9191" s="10"/>
      <c r="AZ9191" s="10"/>
    </row>
    <row r="9192" spans="31:52">
      <c r="AE9192" s="10"/>
      <c r="AF9192" s="10"/>
      <c r="AG9192" s="10"/>
      <c r="AH9192" s="10"/>
      <c r="AI9192" s="10"/>
      <c r="AJ9192" s="10"/>
      <c r="AK9192" s="10"/>
      <c r="AL9192" s="10"/>
      <c r="AM9192" s="10"/>
      <c r="AN9192" s="10"/>
      <c r="AO9192" s="10"/>
      <c r="AP9192" s="10"/>
      <c r="AQ9192" s="10"/>
      <c r="AR9192" s="10"/>
      <c r="AS9192" s="10"/>
      <c r="AT9192" s="10"/>
      <c r="AU9192" s="10"/>
      <c r="AV9192" s="10"/>
      <c r="AW9192" s="10"/>
      <c r="AX9192" s="10"/>
      <c r="AY9192" s="10"/>
      <c r="AZ9192" s="10"/>
    </row>
    <row r="9193" spans="31:52">
      <c r="AE9193" s="10"/>
      <c r="AF9193" s="10"/>
      <c r="AG9193" s="10"/>
      <c r="AH9193" s="10"/>
      <c r="AI9193" s="10"/>
      <c r="AJ9193" s="10"/>
      <c r="AK9193" s="10"/>
      <c r="AL9193" s="10"/>
      <c r="AM9193" s="10"/>
      <c r="AN9193" s="10"/>
      <c r="AO9193" s="10"/>
      <c r="AP9193" s="10"/>
      <c r="AQ9193" s="10"/>
      <c r="AR9193" s="10"/>
      <c r="AS9193" s="10"/>
      <c r="AT9193" s="10"/>
      <c r="AU9193" s="10"/>
      <c r="AV9193" s="10"/>
      <c r="AW9193" s="10"/>
      <c r="AX9193" s="10"/>
      <c r="AY9193" s="10"/>
      <c r="AZ9193" s="10"/>
    </row>
    <row r="9194" spans="31:52">
      <c r="AE9194" s="10"/>
      <c r="AF9194" s="10"/>
      <c r="AG9194" s="10"/>
      <c r="AH9194" s="10"/>
      <c r="AI9194" s="10"/>
      <c r="AJ9194" s="10"/>
      <c r="AK9194" s="10"/>
      <c r="AL9194" s="10"/>
      <c r="AM9194" s="10"/>
      <c r="AN9194" s="10"/>
      <c r="AO9194" s="10"/>
      <c r="AP9194" s="10"/>
      <c r="AQ9194" s="10"/>
      <c r="AR9194" s="10"/>
      <c r="AS9194" s="10"/>
      <c r="AT9194" s="10"/>
      <c r="AU9194" s="10"/>
      <c r="AV9194" s="10"/>
      <c r="AW9194" s="10"/>
      <c r="AX9194" s="10"/>
      <c r="AY9194" s="10"/>
      <c r="AZ9194" s="10"/>
    </row>
    <row r="9195" spans="31:52">
      <c r="AE9195" s="10"/>
      <c r="AF9195" s="10"/>
      <c r="AG9195" s="10"/>
      <c r="AH9195" s="10"/>
      <c r="AI9195" s="10"/>
      <c r="AJ9195" s="10"/>
      <c r="AK9195" s="10"/>
      <c r="AL9195" s="10"/>
      <c r="AM9195" s="10"/>
      <c r="AN9195" s="10"/>
      <c r="AO9195" s="10"/>
      <c r="AP9195" s="10"/>
      <c r="AQ9195" s="10"/>
      <c r="AR9195" s="10"/>
      <c r="AS9195" s="10"/>
      <c r="AT9195" s="10"/>
      <c r="AU9195" s="10"/>
      <c r="AV9195" s="10"/>
      <c r="AW9195" s="10"/>
      <c r="AX9195" s="10"/>
      <c r="AY9195" s="10"/>
      <c r="AZ9195" s="10"/>
    </row>
    <row r="9196" spans="31:52">
      <c r="AE9196" s="10"/>
      <c r="AF9196" s="10"/>
      <c r="AG9196" s="10"/>
      <c r="AH9196" s="10"/>
      <c r="AI9196" s="10"/>
      <c r="AJ9196" s="10"/>
      <c r="AK9196" s="10"/>
      <c r="AL9196" s="10"/>
      <c r="AM9196" s="10"/>
      <c r="AN9196" s="10"/>
      <c r="AO9196" s="10"/>
      <c r="AP9196" s="10"/>
      <c r="AQ9196" s="10"/>
      <c r="AR9196" s="10"/>
      <c r="AS9196" s="10"/>
      <c r="AT9196" s="10"/>
      <c r="AU9196" s="10"/>
      <c r="AV9196" s="10"/>
      <c r="AW9196" s="10"/>
      <c r="AX9196" s="10"/>
      <c r="AY9196" s="10"/>
      <c r="AZ9196" s="10"/>
    </row>
    <row r="9197" spans="31:52">
      <c r="AE9197" s="10"/>
      <c r="AF9197" s="10"/>
      <c r="AG9197" s="10"/>
      <c r="AH9197" s="10"/>
      <c r="AI9197" s="10"/>
      <c r="AJ9197" s="10"/>
      <c r="AK9197" s="10"/>
      <c r="AL9197" s="10"/>
      <c r="AM9197" s="10"/>
      <c r="AN9197" s="10"/>
      <c r="AO9197" s="10"/>
      <c r="AP9197" s="10"/>
      <c r="AQ9197" s="10"/>
      <c r="AR9197" s="10"/>
      <c r="AS9197" s="10"/>
      <c r="AT9197" s="10"/>
      <c r="AU9197" s="10"/>
      <c r="AV9197" s="10"/>
      <c r="AW9197" s="10"/>
      <c r="AX9197" s="10"/>
      <c r="AY9197" s="10"/>
      <c r="AZ9197" s="10"/>
    </row>
    <row r="9198" spans="31:52">
      <c r="AE9198" s="10"/>
      <c r="AF9198" s="10"/>
      <c r="AG9198" s="10"/>
      <c r="AH9198" s="10"/>
      <c r="AI9198" s="10"/>
      <c r="AJ9198" s="10"/>
      <c r="AK9198" s="10"/>
      <c r="AL9198" s="10"/>
      <c r="AM9198" s="10"/>
      <c r="AN9198" s="10"/>
      <c r="AO9198" s="10"/>
      <c r="AP9198" s="10"/>
      <c r="AQ9198" s="10"/>
      <c r="AR9198" s="10"/>
      <c r="AS9198" s="10"/>
      <c r="AT9198" s="10"/>
      <c r="AU9198" s="10"/>
      <c r="AV9198" s="10"/>
      <c r="AW9198" s="10"/>
      <c r="AX9198" s="10"/>
      <c r="AY9198" s="10"/>
      <c r="AZ9198" s="10"/>
    </row>
    <row r="9199" spans="31:52">
      <c r="AE9199" s="10"/>
      <c r="AF9199" s="10"/>
      <c r="AG9199" s="10"/>
      <c r="AH9199" s="10"/>
      <c r="AI9199" s="10"/>
      <c r="AJ9199" s="10"/>
      <c r="AK9199" s="10"/>
      <c r="AL9199" s="10"/>
      <c r="AM9199" s="10"/>
      <c r="AN9199" s="10"/>
      <c r="AO9199" s="10"/>
      <c r="AP9199" s="10"/>
      <c r="AQ9199" s="10"/>
      <c r="AR9199" s="10"/>
      <c r="AS9199" s="10"/>
      <c r="AT9199" s="10"/>
      <c r="AU9199" s="10"/>
      <c r="AV9199" s="10"/>
      <c r="AW9199" s="10"/>
      <c r="AX9199" s="10"/>
      <c r="AY9199" s="10"/>
      <c r="AZ9199" s="10"/>
    </row>
    <row r="9200" spans="31:52">
      <c r="AE9200" s="10"/>
      <c r="AF9200" s="10"/>
      <c r="AG9200" s="10"/>
      <c r="AH9200" s="10"/>
      <c r="AI9200" s="10"/>
      <c r="AJ9200" s="10"/>
      <c r="AK9200" s="10"/>
      <c r="AL9200" s="10"/>
      <c r="AM9200" s="10"/>
      <c r="AN9200" s="10"/>
      <c r="AO9200" s="10"/>
      <c r="AP9200" s="10"/>
      <c r="AQ9200" s="10"/>
      <c r="AR9200" s="10"/>
      <c r="AS9200" s="10"/>
      <c r="AT9200" s="10"/>
      <c r="AU9200" s="10"/>
      <c r="AV9200" s="10"/>
      <c r="AW9200" s="10"/>
      <c r="AX9200" s="10"/>
      <c r="AY9200" s="10"/>
      <c r="AZ9200" s="10"/>
    </row>
    <row r="9201" spans="31:52">
      <c r="AE9201" s="10"/>
      <c r="AF9201" s="10"/>
      <c r="AG9201" s="10"/>
      <c r="AH9201" s="10"/>
      <c r="AI9201" s="10"/>
      <c r="AJ9201" s="10"/>
      <c r="AK9201" s="10"/>
      <c r="AL9201" s="10"/>
      <c r="AM9201" s="10"/>
      <c r="AN9201" s="10"/>
      <c r="AO9201" s="10"/>
      <c r="AP9201" s="10"/>
      <c r="AQ9201" s="10"/>
      <c r="AR9201" s="10"/>
      <c r="AS9201" s="10"/>
      <c r="AT9201" s="10"/>
      <c r="AU9201" s="10"/>
      <c r="AV9201" s="10"/>
      <c r="AW9201" s="10"/>
      <c r="AX9201" s="10"/>
      <c r="AY9201" s="10"/>
      <c r="AZ9201" s="10"/>
    </row>
    <row r="9202" spans="31:52">
      <c r="AE9202" s="10"/>
      <c r="AF9202" s="10"/>
      <c r="AG9202" s="10"/>
      <c r="AH9202" s="10"/>
      <c r="AI9202" s="10"/>
      <c r="AJ9202" s="10"/>
      <c r="AK9202" s="10"/>
      <c r="AL9202" s="10"/>
      <c r="AM9202" s="10"/>
      <c r="AN9202" s="10"/>
      <c r="AO9202" s="10"/>
      <c r="AP9202" s="10"/>
      <c r="AQ9202" s="10"/>
      <c r="AR9202" s="10"/>
      <c r="AS9202" s="10"/>
      <c r="AT9202" s="10"/>
      <c r="AU9202" s="10"/>
      <c r="AV9202" s="10"/>
      <c r="AW9202" s="10"/>
      <c r="AX9202" s="10"/>
      <c r="AY9202" s="10"/>
      <c r="AZ9202" s="10"/>
    </row>
    <row r="9203" spans="31:52">
      <c r="AE9203" s="10"/>
      <c r="AF9203" s="10"/>
      <c r="AG9203" s="10"/>
      <c r="AH9203" s="10"/>
      <c r="AI9203" s="10"/>
      <c r="AJ9203" s="10"/>
      <c r="AK9203" s="10"/>
      <c r="AL9203" s="10"/>
      <c r="AM9203" s="10"/>
      <c r="AN9203" s="10"/>
      <c r="AO9203" s="10"/>
      <c r="AP9203" s="10"/>
      <c r="AQ9203" s="10"/>
      <c r="AR9203" s="10"/>
      <c r="AS9203" s="10"/>
      <c r="AT9203" s="10"/>
      <c r="AU9203" s="10"/>
      <c r="AV9203" s="10"/>
      <c r="AW9203" s="10"/>
      <c r="AX9203" s="10"/>
      <c r="AY9203" s="10"/>
      <c r="AZ9203" s="10"/>
    </row>
    <row r="9204" spans="31:52">
      <c r="AE9204" s="10"/>
      <c r="AF9204" s="10"/>
      <c r="AG9204" s="10"/>
      <c r="AH9204" s="10"/>
      <c r="AI9204" s="10"/>
      <c r="AJ9204" s="10"/>
      <c r="AK9204" s="10"/>
      <c r="AL9204" s="10"/>
      <c r="AM9204" s="10"/>
      <c r="AN9204" s="10"/>
      <c r="AO9204" s="10"/>
      <c r="AP9204" s="10"/>
      <c r="AQ9204" s="10"/>
      <c r="AR9204" s="10"/>
      <c r="AS9204" s="10"/>
      <c r="AT9204" s="10"/>
      <c r="AU9204" s="10"/>
      <c r="AV9204" s="10"/>
      <c r="AW9204" s="10"/>
      <c r="AX9204" s="10"/>
      <c r="AY9204" s="10"/>
      <c r="AZ9204" s="10"/>
    </row>
    <row r="9205" spans="31:52">
      <c r="AE9205" s="10"/>
      <c r="AF9205" s="10"/>
      <c r="AG9205" s="10"/>
      <c r="AH9205" s="10"/>
      <c r="AI9205" s="10"/>
      <c r="AJ9205" s="10"/>
      <c r="AK9205" s="10"/>
      <c r="AL9205" s="10"/>
      <c r="AM9205" s="10"/>
      <c r="AN9205" s="10"/>
      <c r="AO9205" s="10"/>
      <c r="AP9205" s="10"/>
      <c r="AQ9205" s="10"/>
      <c r="AR9205" s="10"/>
      <c r="AS9205" s="10"/>
      <c r="AT9205" s="10"/>
      <c r="AU9205" s="10"/>
      <c r="AV9205" s="10"/>
      <c r="AW9205" s="10"/>
      <c r="AX9205" s="10"/>
      <c r="AY9205" s="10"/>
      <c r="AZ9205" s="10"/>
    </row>
    <row r="9206" spans="31:52">
      <c r="AE9206" s="10"/>
      <c r="AF9206" s="10"/>
      <c r="AG9206" s="10"/>
      <c r="AH9206" s="10"/>
      <c r="AI9206" s="10"/>
      <c r="AJ9206" s="10"/>
      <c r="AK9206" s="10"/>
      <c r="AL9206" s="10"/>
      <c r="AM9206" s="10"/>
      <c r="AN9206" s="10"/>
      <c r="AO9206" s="10"/>
      <c r="AP9206" s="10"/>
      <c r="AQ9206" s="10"/>
      <c r="AR9206" s="10"/>
      <c r="AS9206" s="10"/>
      <c r="AT9206" s="10"/>
      <c r="AU9206" s="10"/>
      <c r="AV9206" s="10"/>
      <c r="AW9206" s="10"/>
      <c r="AX9206" s="10"/>
      <c r="AY9206" s="10"/>
      <c r="AZ9206" s="10"/>
    </row>
    <row r="9207" spans="31:52">
      <c r="AE9207" s="10"/>
      <c r="AF9207" s="10"/>
      <c r="AG9207" s="10"/>
      <c r="AH9207" s="10"/>
      <c r="AI9207" s="10"/>
      <c r="AJ9207" s="10"/>
      <c r="AK9207" s="10"/>
      <c r="AL9207" s="10"/>
      <c r="AM9207" s="10"/>
      <c r="AN9207" s="10"/>
      <c r="AO9207" s="10"/>
      <c r="AP9207" s="10"/>
      <c r="AQ9207" s="10"/>
      <c r="AR9207" s="10"/>
      <c r="AS9207" s="10"/>
      <c r="AT9207" s="10"/>
      <c r="AU9207" s="10"/>
      <c r="AV9207" s="10"/>
      <c r="AW9207" s="10"/>
      <c r="AX9207" s="10"/>
      <c r="AY9207" s="10"/>
      <c r="AZ9207" s="10"/>
    </row>
    <row r="9208" spans="31:52">
      <c r="AE9208" s="10"/>
      <c r="AF9208" s="10"/>
      <c r="AG9208" s="10"/>
      <c r="AH9208" s="10"/>
      <c r="AI9208" s="10"/>
      <c r="AJ9208" s="10"/>
      <c r="AK9208" s="10"/>
      <c r="AL9208" s="10"/>
      <c r="AM9208" s="10"/>
      <c r="AN9208" s="10"/>
      <c r="AO9208" s="10"/>
      <c r="AP9208" s="10"/>
      <c r="AQ9208" s="10"/>
      <c r="AR9208" s="10"/>
      <c r="AS9208" s="10"/>
      <c r="AT9208" s="10"/>
      <c r="AU9208" s="10"/>
      <c r="AV9208" s="10"/>
      <c r="AW9208" s="10"/>
      <c r="AX9208" s="10"/>
      <c r="AY9208" s="10"/>
      <c r="AZ9208" s="10"/>
    </row>
    <row r="9209" spans="31:52">
      <c r="AE9209" s="10"/>
      <c r="AF9209" s="10"/>
      <c r="AG9209" s="10"/>
      <c r="AH9209" s="10"/>
      <c r="AI9209" s="10"/>
      <c r="AJ9209" s="10"/>
      <c r="AK9209" s="10"/>
      <c r="AL9209" s="10"/>
      <c r="AM9209" s="10"/>
      <c r="AN9209" s="10"/>
      <c r="AO9209" s="10"/>
      <c r="AP9209" s="10"/>
      <c r="AQ9209" s="10"/>
      <c r="AR9209" s="10"/>
      <c r="AS9209" s="10"/>
      <c r="AT9209" s="10"/>
      <c r="AU9209" s="10"/>
      <c r="AV9209" s="10"/>
      <c r="AW9209" s="10"/>
      <c r="AX9209" s="10"/>
      <c r="AY9209" s="10"/>
      <c r="AZ9209" s="10"/>
    </row>
    <row r="9210" spans="31:52">
      <c r="AE9210" s="10"/>
      <c r="AF9210" s="10"/>
      <c r="AG9210" s="10"/>
      <c r="AH9210" s="10"/>
      <c r="AI9210" s="10"/>
      <c r="AJ9210" s="10"/>
      <c r="AK9210" s="10"/>
      <c r="AL9210" s="10"/>
      <c r="AM9210" s="10"/>
      <c r="AN9210" s="10"/>
      <c r="AO9210" s="10"/>
      <c r="AP9210" s="10"/>
      <c r="AQ9210" s="10"/>
      <c r="AR9210" s="10"/>
      <c r="AS9210" s="10"/>
      <c r="AT9210" s="10"/>
      <c r="AU9210" s="10"/>
      <c r="AV9210" s="10"/>
      <c r="AW9210" s="10"/>
      <c r="AX9210" s="10"/>
      <c r="AY9210" s="10"/>
      <c r="AZ9210" s="10"/>
    </row>
    <row r="9211" spans="31:52">
      <c r="AE9211" s="10"/>
      <c r="AF9211" s="10"/>
      <c r="AG9211" s="10"/>
      <c r="AH9211" s="10"/>
      <c r="AI9211" s="10"/>
      <c r="AJ9211" s="10"/>
      <c r="AK9211" s="10"/>
      <c r="AL9211" s="10"/>
      <c r="AM9211" s="10"/>
      <c r="AN9211" s="10"/>
      <c r="AO9211" s="10"/>
      <c r="AP9211" s="10"/>
      <c r="AQ9211" s="10"/>
      <c r="AR9211" s="10"/>
      <c r="AS9211" s="10"/>
      <c r="AT9211" s="10"/>
      <c r="AU9211" s="10"/>
      <c r="AV9211" s="10"/>
      <c r="AW9211" s="10"/>
      <c r="AX9211" s="10"/>
      <c r="AY9211" s="10"/>
      <c r="AZ9211" s="10"/>
    </row>
    <row r="9212" spans="31:52">
      <c r="AE9212" s="10"/>
      <c r="AF9212" s="10"/>
      <c r="AG9212" s="10"/>
      <c r="AH9212" s="10"/>
      <c r="AI9212" s="10"/>
      <c r="AJ9212" s="10"/>
      <c r="AK9212" s="10"/>
      <c r="AL9212" s="10"/>
      <c r="AM9212" s="10"/>
      <c r="AN9212" s="10"/>
      <c r="AO9212" s="10"/>
      <c r="AP9212" s="10"/>
      <c r="AQ9212" s="10"/>
      <c r="AR9212" s="10"/>
      <c r="AS9212" s="10"/>
      <c r="AT9212" s="10"/>
      <c r="AU9212" s="10"/>
      <c r="AV9212" s="10"/>
      <c r="AW9212" s="10"/>
      <c r="AX9212" s="10"/>
      <c r="AY9212" s="10"/>
      <c r="AZ9212" s="10"/>
    </row>
    <row r="9213" spans="31:52">
      <c r="AE9213" s="10"/>
      <c r="AF9213" s="10"/>
      <c r="AG9213" s="10"/>
      <c r="AH9213" s="10"/>
      <c r="AI9213" s="10"/>
      <c r="AJ9213" s="10"/>
      <c r="AK9213" s="10"/>
      <c r="AL9213" s="10"/>
      <c r="AM9213" s="10"/>
      <c r="AN9213" s="10"/>
      <c r="AO9213" s="10"/>
      <c r="AP9213" s="10"/>
      <c r="AQ9213" s="10"/>
      <c r="AR9213" s="10"/>
      <c r="AS9213" s="10"/>
      <c r="AT9213" s="10"/>
      <c r="AU9213" s="10"/>
      <c r="AV9213" s="10"/>
      <c r="AW9213" s="10"/>
      <c r="AX9213" s="10"/>
      <c r="AY9213" s="10"/>
      <c r="AZ9213" s="10"/>
    </row>
    <row r="9214" spans="31:52">
      <c r="AE9214" s="10"/>
      <c r="AF9214" s="10"/>
      <c r="AG9214" s="10"/>
      <c r="AH9214" s="10"/>
      <c r="AI9214" s="10"/>
      <c r="AJ9214" s="10"/>
      <c r="AK9214" s="10"/>
      <c r="AL9214" s="10"/>
      <c r="AM9214" s="10"/>
      <c r="AN9214" s="10"/>
      <c r="AO9214" s="10"/>
      <c r="AP9214" s="10"/>
      <c r="AQ9214" s="10"/>
      <c r="AR9214" s="10"/>
      <c r="AS9214" s="10"/>
      <c r="AT9214" s="10"/>
      <c r="AU9214" s="10"/>
      <c r="AV9214" s="10"/>
      <c r="AW9214" s="10"/>
      <c r="AX9214" s="10"/>
      <c r="AY9214" s="10"/>
      <c r="AZ9214" s="10"/>
    </row>
    <row r="9215" spans="31:52">
      <c r="AE9215" s="10"/>
      <c r="AF9215" s="10"/>
      <c r="AG9215" s="10"/>
      <c r="AH9215" s="10"/>
      <c r="AI9215" s="10"/>
      <c r="AJ9215" s="10"/>
      <c r="AK9215" s="10"/>
      <c r="AL9215" s="10"/>
      <c r="AM9215" s="10"/>
      <c r="AN9215" s="10"/>
      <c r="AO9215" s="10"/>
      <c r="AP9215" s="10"/>
      <c r="AQ9215" s="10"/>
      <c r="AR9215" s="10"/>
      <c r="AS9215" s="10"/>
      <c r="AT9215" s="10"/>
      <c r="AU9215" s="10"/>
      <c r="AV9215" s="10"/>
      <c r="AW9215" s="10"/>
      <c r="AX9215" s="10"/>
      <c r="AY9215" s="10"/>
      <c r="AZ9215" s="10"/>
    </row>
    <row r="9216" spans="31:52">
      <c r="AE9216" s="10"/>
      <c r="AF9216" s="10"/>
      <c r="AG9216" s="10"/>
      <c r="AH9216" s="10"/>
      <c r="AI9216" s="10"/>
      <c r="AJ9216" s="10"/>
      <c r="AK9216" s="10"/>
      <c r="AL9216" s="10"/>
      <c r="AM9216" s="10"/>
      <c r="AN9216" s="10"/>
      <c r="AO9216" s="10"/>
      <c r="AP9216" s="10"/>
      <c r="AQ9216" s="10"/>
      <c r="AR9216" s="10"/>
      <c r="AS9216" s="10"/>
      <c r="AT9216" s="10"/>
      <c r="AU9216" s="10"/>
      <c r="AV9216" s="10"/>
      <c r="AW9216" s="10"/>
      <c r="AX9216" s="10"/>
      <c r="AY9216" s="10"/>
      <c r="AZ9216" s="10"/>
    </row>
    <row r="9217" spans="31:52">
      <c r="AE9217" s="10"/>
      <c r="AF9217" s="10"/>
      <c r="AG9217" s="10"/>
      <c r="AH9217" s="10"/>
      <c r="AI9217" s="10"/>
      <c r="AJ9217" s="10"/>
      <c r="AK9217" s="10"/>
      <c r="AL9217" s="10"/>
      <c r="AM9217" s="10"/>
      <c r="AN9217" s="10"/>
      <c r="AO9217" s="10"/>
      <c r="AP9217" s="10"/>
      <c r="AQ9217" s="10"/>
      <c r="AR9217" s="10"/>
      <c r="AS9217" s="10"/>
      <c r="AT9217" s="10"/>
      <c r="AU9217" s="10"/>
      <c r="AV9217" s="10"/>
      <c r="AW9217" s="10"/>
      <c r="AX9217" s="10"/>
      <c r="AY9217" s="10"/>
      <c r="AZ9217" s="10"/>
    </row>
    <row r="9218" spans="31:52">
      <c r="AE9218" s="10"/>
      <c r="AF9218" s="10"/>
      <c r="AG9218" s="10"/>
      <c r="AH9218" s="10"/>
      <c r="AI9218" s="10"/>
      <c r="AJ9218" s="10"/>
      <c r="AK9218" s="10"/>
      <c r="AL9218" s="10"/>
      <c r="AM9218" s="10"/>
      <c r="AN9218" s="10"/>
      <c r="AO9218" s="10"/>
      <c r="AP9218" s="10"/>
      <c r="AQ9218" s="10"/>
      <c r="AR9218" s="10"/>
      <c r="AS9218" s="10"/>
      <c r="AT9218" s="10"/>
      <c r="AU9218" s="10"/>
      <c r="AV9218" s="10"/>
      <c r="AW9218" s="10"/>
      <c r="AX9218" s="10"/>
      <c r="AY9218" s="10"/>
      <c r="AZ9218" s="10"/>
    </row>
    <row r="9219" spans="31:52">
      <c r="AE9219" s="10"/>
      <c r="AF9219" s="10"/>
      <c r="AG9219" s="10"/>
      <c r="AH9219" s="10"/>
      <c r="AI9219" s="10"/>
      <c r="AJ9219" s="10"/>
      <c r="AK9219" s="10"/>
      <c r="AL9219" s="10"/>
      <c r="AM9219" s="10"/>
      <c r="AN9219" s="10"/>
      <c r="AO9219" s="10"/>
      <c r="AP9219" s="10"/>
      <c r="AQ9219" s="10"/>
      <c r="AR9219" s="10"/>
      <c r="AS9219" s="10"/>
      <c r="AT9219" s="10"/>
      <c r="AU9219" s="10"/>
      <c r="AV9219" s="10"/>
      <c r="AW9219" s="10"/>
      <c r="AX9219" s="10"/>
      <c r="AY9219" s="10"/>
      <c r="AZ9219" s="10"/>
    </row>
    <row r="9220" spans="31:52">
      <c r="AE9220" s="10"/>
      <c r="AF9220" s="10"/>
      <c r="AG9220" s="10"/>
      <c r="AH9220" s="10"/>
      <c r="AI9220" s="10"/>
      <c r="AJ9220" s="10"/>
      <c r="AK9220" s="10"/>
      <c r="AL9220" s="10"/>
      <c r="AM9220" s="10"/>
      <c r="AN9220" s="10"/>
      <c r="AO9220" s="10"/>
      <c r="AP9220" s="10"/>
      <c r="AQ9220" s="10"/>
      <c r="AR9220" s="10"/>
      <c r="AS9220" s="10"/>
      <c r="AT9220" s="10"/>
      <c r="AU9220" s="10"/>
      <c r="AV9220" s="10"/>
      <c r="AW9220" s="10"/>
      <c r="AX9220" s="10"/>
      <c r="AY9220" s="10"/>
      <c r="AZ9220" s="10"/>
    </row>
    <row r="9221" spans="31:52">
      <c r="AE9221" s="10"/>
      <c r="AF9221" s="10"/>
      <c r="AG9221" s="10"/>
      <c r="AH9221" s="10"/>
      <c r="AI9221" s="10"/>
      <c r="AJ9221" s="10"/>
      <c r="AK9221" s="10"/>
      <c r="AL9221" s="10"/>
      <c r="AM9221" s="10"/>
      <c r="AN9221" s="10"/>
      <c r="AO9221" s="10"/>
      <c r="AP9221" s="10"/>
      <c r="AQ9221" s="10"/>
      <c r="AR9221" s="10"/>
      <c r="AS9221" s="10"/>
      <c r="AT9221" s="10"/>
      <c r="AU9221" s="10"/>
      <c r="AV9221" s="10"/>
      <c r="AW9221" s="10"/>
      <c r="AX9221" s="10"/>
      <c r="AY9221" s="10"/>
      <c r="AZ9221" s="10"/>
    </row>
    <row r="9222" spans="31:52">
      <c r="AE9222" s="10"/>
      <c r="AF9222" s="10"/>
      <c r="AG9222" s="10"/>
      <c r="AH9222" s="10"/>
      <c r="AI9222" s="10"/>
      <c r="AJ9222" s="10"/>
      <c r="AK9222" s="10"/>
      <c r="AL9222" s="10"/>
      <c r="AM9222" s="10"/>
      <c r="AN9222" s="10"/>
      <c r="AO9222" s="10"/>
      <c r="AP9222" s="10"/>
      <c r="AQ9222" s="10"/>
      <c r="AR9222" s="10"/>
      <c r="AS9222" s="10"/>
      <c r="AT9222" s="10"/>
      <c r="AU9222" s="10"/>
      <c r="AV9222" s="10"/>
      <c r="AW9222" s="10"/>
      <c r="AX9222" s="10"/>
      <c r="AY9222" s="10"/>
      <c r="AZ9222" s="10"/>
    </row>
    <row r="9223" spans="31:52">
      <c r="AE9223" s="10"/>
      <c r="AF9223" s="10"/>
      <c r="AG9223" s="10"/>
      <c r="AH9223" s="10"/>
      <c r="AI9223" s="10"/>
      <c r="AJ9223" s="10"/>
      <c r="AK9223" s="10"/>
      <c r="AL9223" s="10"/>
      <c r="AM9223" s="10"/>
      <c r="AN9223" s="10"/>
      <c r="AO9223" s="10"/>
      <c r="AP9223" s="10"/>
      <c r="AQ9223" s="10"/>
      <c r="AR9223" s="10"/>
      <c r="AS9223" s="10"/>
      <c r="AT9223" s="10"/>
      <c r="AU9223" s="10"/>
      <c r="AV9223" s="10"/>
      <c r="AW9223" s="10"/>
      <c r="AX9223" s="10"/>
      <c r="AY9223" s="10"/>
      <c r="AZ9223" s="10"/>
    </row>
    <row r="9224" spans="31:52">
      <c r="AE9224" s="10"/>
      <c r="AF9224" s="10"/>
      <c r="AG9224" s="10"/>
      <c r="AH9224" s="10"/>
      <c r="AI9224" s="10"/>
      <c r="AJ9224" s="10"/>
      <c r="AK9224" s="10"/>
      <c r="AL9224" s="10"/>
      <c r="AM9224" s="10"/>
      <c r="AN9224" s="10"/>
      <c r="AO9224" s="10"/>
      <c r="AP9224" s="10"/>
      <c r="AQ9224" s="10"/>
      <c r="AR9224" s="10"/>
      <c r="AS9224" s="10"/>
      <c r="AT9224" s="10"/>
      <c r="AU9224" s="10"/>
      <c r="AV9224" s="10"/>
      <c r="AW9224" s="10"/>
      <c r="AX9224" s="10"/>
      <c r="AY9224" s="10"/>
      <c r="AZ9224" s="10"/>
    </row>
    <row r="9225" spans="31:52">
      <c r="AE9225" s="10"/>
      <c r="AF9225" s="10"/>
      <c r="AG9225" s="10"/>
      <c r="AH9225" s="10"/>
      <c r="AI9225" s="10"/>
      <c r="AJ9225" s="10"/>
      <c r="AK9225" s="10"/>
      <c r="AL9225" s="10"/>
      <c r="AM9225" s="10"/>
      <c r="AN9225" s="10"/>
      <c r="AO9225" s="10"/>
      <c r="AP9225" s="10"/>
      <c r="AQ9225" s="10"/>
      <c r="AR9225" s="10"/>
      <c r="AS9225" s="10"/>
      <c r="AT9225" s="10"/>
      <c r="AU9225" s="10"/>
      <c r="AV9225" s="10"/>
      <c r="AW9225" s="10"/>
      <c r="AX9225" s="10"/>
      <c r="AY9225" s="10"/>
      <c r="AZ9225" s="10"/>
    </row>
    <row r="9226" spans="31:52">
      <c r="AE9226" s="10"/>
      <c r="AF9226" s="10"/>
      <c r="AG9226" s="10"/>
      <c r="AH9226" s="10"/>
      <c r="AI9226" s="10"/>
      <c r="AJ9226" s="10"/>
      <c r="AK9226" s="10"/>
      <c r="AL9226" s="10"/>
      <c r="AM9226" s="10"/>
      <c r="AN9226" s="10"/>
      <c r="AO9226" s="10"/>
      <c r="AP9226" s="10"/>
      <c r="AQ9226" s="10"/>
      <c r="AR9226" s="10"/>
      <c r="AS9226" s="10"/>
      <c r="AT9226" s="10"/>
      <c r="AU9226" s="10"/>
      <c r="AV9226" s="10"/>
      <c r="AW9226" s="10"/>
      <c r="AX9226" s="10"/>
      <c r="AY9226" s="10"/>
      <c r="AZ9226" s="10"/>
    </row>
    <row r="9227" spans="31:52">
      <c r="AE9227" s="10"/>
      <c r="AF9227" s="10"/>
      <c r="AG9227" s="10"/>
      <c r="AH9227" s="10"/>
      <c r="AI9227" s="10"/>
      <c r="AJ9227" s="10"/>
      <c r="AK9227" s="10"/>
      <c r="AL9227" s="10"/>
      <c r="AM9227" s="10"/>
      <c r="AN9227" s="10"/>
      <c r="AO9227" s="10"/>
      <c r="AP9227" s="10"/>
      <c r="AQ9227" s="10"/>
      <c r="AR9227" s="10"/>
      <c r="AS9227" s="10"/>
      <c r="AT9227" s="10"/>
      <c r="AU9227" s="10"/>
      <c r="AV9227" s="10"/>
      <c r="AW9227" s="10"/>
      <c r="AX9227" s="10"/>
      <c r="AY9227" s="10"/>
      <c r="AZ9227" s="10"/>
    </row>
    <row r="9228" spans="31:52">
      <c r="AE9228" s="10"/>
      <c r="AF9228" s="10"/>
      <c r="AG9228" s="10"/>
      <c r="AH9228" s="10"/>
      <c r="AI9228" s="10"/>
      <c r="AJ9228" s="10"/>
      <c r="AK9228" s="10"/>
      <c r="AL9228" s="10"/>
      <c r="AM9228" s="10"/>
      <c r="AN9228" s="10"/>
      <c r="AO9228" s="10"/>
      <c r="AP9228" s="10"/>
      <c r="AQ9228" s="10"/>
      <c r="AR9228" s="10"/>
      <c r="AS9228" s="10"/>
      <c r="AT9228" s="10"/>
      <c r="AU9228" s="10"/>
      <c r="AV9228" s="10"/>
      <c r="AW9228" s="10"/>
      <c r="AX9228" s="10"/>
      <c r="AY9228" s="10"/>
      <c r="AZ9228" s="10"/>
    </row>
    <row r="9229" spans="31:52">
      <c r="AE9229" s="10"/>
      <c r="AF9229" s="10"/>
      <c r="AG9229" s="10"/>
      <c r="AH9229" s="10"/>
      <c r="AI9229" s="10"/>
      <c r="AJ9229" s="10"/>
      <c r="AK9229" s="10"/>
      <c r="AL9229" s="10"/>
      <c r="AM9229" s="10"/>
      <c r="AN9229" s="10"/>
      <c r="AO9229" s="10"/>
      <c r="AP9229" s="10"/>
      <c r="AQ9229" s="10"/>
      <c r="AR9229" s="10"/>
      <c r="AS9229" s="10"/>
      <c r="AT9229" s="10"/>
      <c r="AU9229" s="10"/>
      <c r="AV9229" s="10"/>
      <c r="AW9229" s="10"/>
      <c r="AX9229" s="10"/>
      <c r="AY9229" s="10"/>
      <c r="AZ9229" s="10"/>
    </row>
    <row r="9230" spans="31:52">
      <c r="AE9230" s="10"/>
      <c r="AF9230" s="10"/>
      <c r="AG9230" s="10"/>
      <c r="AH9230" s="10"/>
      <c r="AI9230" s="10"/>
      <c r="AJ9230" s="10"/>
      <c r="AK9230" s="10"/>
      <c r="AL9230" s="10"/>
      <c r="AM9230" s="10"/>
      <c r="AN9230" s="10"/>
      <c r="AO9230" s="10"/>
      <c r="AP9230" s="10"/>
      <c r="AQ9230" s="10"/>
      <c r="AR9230" s="10"/>
      <c r="AS9230" s="10"/>
      <c r="AT9230" s="10"/>
      <c r="AU9230" s="10"/>
      <c r="AV9230" s="10"/>
      <c r="AW9230" s="10"/>
      <c r="AX9230" s="10"/>
      <c r="AY9230" s="10"/>
      <c r="AZ9230" s="10"/>
    </row>
    <row r="9231" spans="31:52">
      <c r="AE9231" s="10"/>
      <c r="AF9231" s="10"/>
      <c r="AG9231" s="10"/>
      <c r="AH9231" s="10"/>
      <c r="AI9231" s="10"/>
      <c r="AJ9231" s="10"/>
      <c r="AK9231" s="10"/>
      <c r="AL9231" s="10"/>
      <c r="AM9231" s="10"/>
      <c r="AN9231" s="10"/>
      <c r="AO9231" s="10"/>
      <c r="AP9231" s="10"/>
      <c r="AQ9231" s="10"/>
      <c r="AR9231" s="10"/>
      <c r="AS9231" s="10"/>
      <c r="AT9231" s="10"/>
      <c r="AU9231" s="10"/>
      <c r="AV9231" s="10"/>
      <c r="AW9231" s="10"/>
      <c r="AX9231" s="10"/>
      <c r="AY9231" s="10"/>
      <c r="AZ9231" s="10"/>
    </row>
    <row r="9232" spans="31:52">
      <c r="AE9232" s="10"/>
      <c r="AF9232" s="10"/>
      <c r="AG9232" s="10"/>
      <c r="AH9232" s="10"/>
      <c r="AI9232" s="10"/>
      <c r="AJ9232" s="10"/>
      <c r="AK9232" s="10"/>
      <c r="AL9232" s="10"/>
      <c r="AM9232" s="10"/>
      <c r="AN9232" s="10"/>
      <c r="AO9232" s="10"/>
      <c r="AP9232" s="10"/>
      <c r="AQ9232" s="10"/>
      <c r="AR9232" s="10"/>
      <c r="AS9232" s="10"/>
      <c r="AT9232" s="10"/>
      <c r="AU9232" s="10"/>
      <c r="AV9232" s="10"/>
      <c r="AW9232" s="10"/>
      <c r="AX9232" s="10"/>
      <c r="AY9232" s="10"/>
      <c r="AZ9232" s="10"/>
    </row>
    <row r="9233" spans="31:52">
      <c r="AE9233" s="10"/>
      <c r="AF9233" s="10"/>
      <c r="AG9233" s="10"/>
      <c r="AH9233" s="10"/>
      <c r="AI9233" s="10"/>
      <c r="AJ9233" s="10"/>
      <c r="AK9233" s="10"/>
      <c r="AL9233" s="10"/>
      <c r="AM9233" s="10"/>
      <c r="AN9233" s="10"/>
      <c r="AO9233" s="10"/>
      <c r="AP9233" s="10"/>
      <c r="AQ9233" s="10"/>
      <c r="AR9233" s="10"/>
      <c r="AS9233" s="10"/>
      <c r="AT9233" s="10"/>
      <c r="AU9233" s="10"/>
      <c r="AV9233" s="10"/>
      <c r="AW9233" s="10"/>
      <c r="AX9233" s="10"/>
      <c r="AY9233" s="10"/>
      <c r="AZ9233" s="10"/>
    </row>
    <row r="9234" spans="31:52">
      <c r="AE9234" s="10"/>
      <c r="AF9234" s="10"/>
      <c r="AG9234" s="10"/>
      <c r="AH9234" s="10"/>
      <c r="AI9234" s="10"/>
      <c r="AJ9234" s="10"/>
      <c r="AK9234" s="10"/>
      <c r="AL9234" s="10"/>
      <c r="AM9234" s="10"/>
      <c r="AN9234" s="10"/>
      <c r="AO9234" s="10"/>
      <c r="AP9234" s="10"/>
      <c r="AQ9234" s="10"/>
      <c r="AR9234" s="10"/>
      <c r="AS9234" s="10"/>
      <c r="AT9234" s="10"/>
      <c r="AU9234" s="10"/>
      <c r="AV9234" s="10"/>
      <c r="AW9234" s="10"/>
      <c r="AX9234" s="10"/>
      <c r="AY9234" s="10"/>
      <c r="AZ9234" s="10"/>
    </row>
    <row r="9235" spans="31:52">
      <c r="AE9235" s="10"/>
      <c r="AF9235" s="10"/>
      <c r="AG9235" s="10"/>
      <c r="AH9235" s="10"/>
      <c r="AI9235" s="10"/>
      <c r="AJ9235" s="10"/>
      <c r="AK9235" s="10"/>
      <c r="AL9235" s="10"/>
      <c r="AM9235" s="10"/>
      <c r="AN9235" s="10"/>
      <c r="AO9235" s="10"/>
      <c r="AP9235" s="10"/>
      <c r="AQ9235" s="10"/>
      <c r="AR9235" s="10"/>
      <c r="AS9235" s="10"/>
      <c r="AT9235" s="10"/>
      <c r="AU9235" s="10"/>
      <c r="AV9235" s="10"/>
      <c r="AW9235" s="10"/>
      <c r="AX9235" s="10"/>
      <c r="AY9235" s="10"/>
      <c r="AZ9235" s="10"/>
    </row>
    <row r="9236" spans="31:52">
      <c r="AE9236" s="10"/>
      <c r="AF9236" s="10"/>
      <c r="AG9236" s="10"/>
      <c r="AH9236" s="10"/>
      <c r="AI9236" s="10"/>
      <c r="AJ9236" s="10"/>
      <c r="AK9236" s="10"/>
      <c r="AL9236" s="10"/>
      <c r="AM9236" s="10"/>
      <c r="AN9236" s="10"/>
      <c r="AO9236" s="10"/>
      <c r="AP9236" s="10"/>
      <c r="AQ9236" s="10"/>
      <c r="AR9236" s="10"/>
      <c r="AS9236" s="10"/>
      <c r="AT9236" s="10"/>
      <c r="AU9236" s="10"/>
      <c r="AV9236" s="10"/>
      <c r="AW9236" s="10"/>
      <c r="AX9236" s="10"/>
      <c r="AY9236" s="10"/>
      <c r="AZ9236" s="10"/>
    </row>
    <row r="9237" spans="31:52">
      <c r="AE9237" s="10"/>
      <c r="AF9237" s="10"/>
      <c r="AG9237" s="10"/>
      <c r="AH9237" s="10"/>
      <c r="AI9237" s="10"/>
      <c r="AJ9237" s="10"/>
      <c r="AK9237" s="10"/>
      <c r="AL9237" s="10"/>
      <c r="AM9237" s="10"/>
      <c r="AN9237" s="10"/>
      <c r="AO9237" s="10"/>
      <c r="AP9237" s="10"/>
      <c r="AQ9237" s="10"/>
      <c r="AR9237" s="10"/>
      <c r="AS9237" s="10"/>
      <c r="AT9237" s="10"/>
      <c r="AU9237" s="10"/>
      <c r="AV9237" s="10"/>
      <c r="AW9237" s="10"/>
      <c r="AX9237" s="10"/>
      <c r="AY9237" s="10"/>
      <c r="AZ9237" s="10"/>
    </row>
    <row r="9238" spans="31:52">
      <c r="AE9238" s="10"/>
      <c r="AF9238" s="10"/>
      <c r="AG9238" s="10"/>
      <c r="AH9238" s="10"/>
      <c r="AI9238" s="10"/>
      <c r="AJ9238" s="10"/>
      <c r="AK9238" s="10"/>
      <c r="AL9238" s="10"/>
      <c r="AM9238" s="10"/>
      <c r="AN9238" s="10"/>
      <c r="AO9238" s="10"/>
      <c r="AP9238" s="10"/>
      <c r="AQ9238" s="10"/>
      <c r="AR9238" s="10"/>
      <c r="AS9238" s="10"/>
      <c r="AT9238" s="10"/>
      <c r="AU9238" s="10"/>
      <c r="AV9238" s="10"/>
      <c r="AW9238" s="10"/>
      <c r="AX9238" s="10"/>
      <c r="AY9238" s="10"/>
      <c r="AZ9238" s="10"/>
    </row>
    <row r="9239" spans="31:52">
      <c r="AE9239" s="10"/>
      <c r="AF9239" s="10"/>
      <c r="AG9239" s="10"/>
      <c r="AH9239" s="10"/>
      <c r="AI9239" s="10"/>
      <c r="AJ9239" s="10"/>
      <c r="AK9239" s="10"/>
      <c r="AL9239" s="10"/>
      <c r="AM9239" s="10"/>
      <c r="AN9239" s="10"/>
      <c r="AO9239" s="10"/>
      <c r="AP9239" s="10"/>
      <c r="AQ9239" s="10"/>
      <c r="AR9239" s="10"/>
      <c r="AS9239" s="10"/>
      <c r="AT9239" s="10"/>
      <c r="AU9239" s="10"/>
      <c r="AV9239" s="10"/>
      <c r="AW9239" s="10"/>
      <c r="AX9239" s="10"/>
      <c r="AY9239" s="10"/>
      <c r="AZ9239" s="10"/>
    </row>
    <row r="9240" spans="31:52">
      <c r="AE9240" s="10"/>
      <c r="AF9240" s="10"/>
      <c r="AG9240" s="10"/>
      <c r="AH9240" s="10"/>
      <c r="AI9240" s="10"/>
      <c r="AJ9240" s="10"/>
      <c r="AK9240" s="10"/>
      <c r="AL9240" s="10"/>
      <c r="AM9240" s="10"/>
      <c r="AN9240" s="10"/>
      <c r="AO9240" s="10"/>
      <c r="AP9240" s="10"/>
      <c r="AQ9240" s="10"/>
      <c r="AR9240" s="10"/>
      <c r="AS9240" s="10"/>
      <c r="AT9240" s="10"/>
      <c r="AU9240" s="10"/>
      <c r="AV9240" s="10"/>
      <c r="AW9240" s="10"/>
      <c r="AX9240" s="10"/>
      <c r="AY9240" s="10"/>
      <c r="AZ9240" s="10"/>
    </row>
    <row r="9241" spans="31:52">
      <c r="AE9241" s="10"/>
      <c r="AF9241" s="10"/>
      <c r="AG9241" s="10"/>
      <c r="AH9241" s="10"/>
      <c r="AI9241" s="10"/>
      <c r="AJ9241" s="10"/>
      <c r="AK9241" s="10"/>
      <c r="AL9241" s="10"/>
      <c r="AM9241" s="10"/>
      <c r="AN9241" s="10"/>
      <c r="AO9241" s="10"/>
      <c r="AP9241" s="10"/>
      <c r="AQ9241" s="10"/>
      <c r="AR9241" s="10"/>
      <c r="AS9241" s="10"/>
      <c r="AT9241" s="10"/>
      <c r="AU9241" s="10"/>
      <c r="AV9241" s="10"/>
      <c r="AW9241" s="10"/>
      <c r="AX9241" s="10"/>
      <c r="AY9241" s="10"/>
      <c r="AZ9241" s="10"/>
    </row>
    <row r="9242" spans="31:52">
      <c r="AE9242" s="10"/>
      <c r="AF9242" s="10"/>
      <c r="AG9242" s="10"/>
      <c r="AH9242" s="10"/>
      <c r="AI9242" s="10"/>
      <c r="AJ9242" s="10"/>
      <c r="AK9242" s="10"/>
      <c r="AL9242" s="10"/>
      <c r="AM9242" s="10"/>
      <c r="AN9242" s="10"/>
      <c r="AO9242" s="10"/>
      <c r="AP9242" s="10"/>
      <c r="AQ9242" s="10"/>
      <c r="AR9242" s="10"/>
      <c r="AS9242" s="10"/>
      <c r="AT9242" s="10"/>
      <c r="AU9242" s="10"/>
      <c r="AV9242" s="10"/>
      <c r="AW9242" s="10"/>
      <c r="AX9242" s="10"/>
      <c r="AY9242" s="10"/>
      <c r="AZ9242" s="10"/>
    </row>
    <row r="9243" spans="31:52">
      <c r="AE9243" s="10"/>
      <c r="AF9243" s="10"/>
      <c r="AG9243" s="10"/>
      <c r="AH9243" s="10"/>
      <c r="AI9243" s="10"/>
      <c r="AJ9243" s="10"/>
      <c r="AK9243" s="10"/>
      <c r="AL9243" s="10"/>
      <c r="AM9243" s="10"/>
      <c r="AN9243" s="10"/>
      <c r="AO9243" s="10"/>
      <c r="AP9243" s="10"/>
      <c r="AQ9243" s="10"/>
      <c r="AR9243" s="10"/>
      <c r="AS9243" s="10"/>
      <c r="AT9243" s="10"/>
      <c r="AU9243" s="10"/>
      <c r="AV9243" s="10"/>
      <c r="AW9243" s="10"/>
      <c r="AX9243" s="10"/>
      <c r="AY9243" s="10"/>
      <c r="AZ9243" s="10"/>
    </row>
    <row r="9244" spans="31:52">
      <c r="AE9244" s="10"/>
      <c r="AF9244" s="10"/>
      <c r="AG9244" s="10"/>
      <c r="AH9244" s="10"/>
      <c r="AI9244" s="10"/>
      <c r="AJ9244" s="10"/>
      <c r="AK9244" s="10"/>
      <c r="AL9244" s="10"/>
      <c r="AM9244" s="10"/>
      <c r="AN9244" s="10"/>
      <c r="AO9244" s="10"/>
      <c r="AP9244" s="10"/>
      <c r="AQ9244" s="10"/>
      <c r="AR9244" s="10"/>
      <c r="AS9244" s="10"/>
      <c r="AT9244" s="10"/>
      <c r="AU9244" s="10"/>
      <c r="AV9244" s="10"/>
      <c r="AW9244" s="10"/>
      <c r="AX9244" s="10"/>
      <c r="AY9244" s="10"/>
      <c r="AZ9244" s="10"/>
    </row>
    <row r="9245" spans="31:52">
      <c r="AE9245" s="10"/>
      <c r="AF9245" s="10"/>
      <c r="AG9245" s="10"/>
      <c r="AH9245" s="10"/>
      <c r="AI9245" s="10"/>
      <c r="AJ9245" s="10"/>
      <c r="AK9245" s="10"/>
      <c r="AL9245" s="10"/>
      <c r="AM9245" s="10"/>
      <c r="AN9245" s="10"/>
      <c r="AO9245" s="10"/>
      <c r="AP9245" s="10"/>
      <c r="AQ9245" s="10"/>
      <c r="AR9245" s="10"/>
      <c r="AS9245" s="10"/>
      <c r="AT9245" s="10"/>
      <c r="AU9245" s="10"/>
      <c r="AV9245" s="10"/>
      <c r="AW9245" s="10"/>
      <c r="AX9245" s="10"/>
      <c r="AY9245" s="10"/>
      <c r="AZ9245" s="10"/>
    </row>
    <row r="9246" spans="31:52">
      <c r="AE9246" s="10"/>
      <c r="AF9246" s="10"/>
      <c r="AG9246" s="10"/>
      <c r="AH9246" s="10"/>
      <c r="AI9246" s="10"/>
      <c r="AJ9246" s="10"/>
      <c r="AK9246" s="10"/>
      <c r="AL9246" s="10"/>
      <c r="AM9246" s="10"/>
      <c r="AN9246" s="10"/>
      <c r="AO9246" s="10"/>
      <c r="AP9246" s="10"/>
      <c r="AQ9246" s="10"/>
      <c r="AR9246" s="10"/>
      <c r="AS9246" s="10"/>
      <c r="AT9246" s="10"/>
      <c r="AU9246" s="10"/>
      <c r="AV9246" s="10"/>
      <c r="AW9246" s="10"/>
      <c r="AX9246" s="10"/>
      <c r="AY9246" s="10"/>
      <c r="AZ9246" s="10"/>
    </row>
    <row r="9247" spans="31:52">
      <c r="AE9247" s="10"/>
      <c r="AF9247" s="10"/>
      <c r="AG9247" s="10"/>
      <c r="AH9247" s="10"/>
      <c r="AI9247" s="10"/>
      <c r="AJ9247" s="10"/>
      <c r="AK9247" s="10"/>
      <c r="AL9247" s="10"/>
      <c r="AM9247" s="10"/>
      <c r="AN9247" s="10"/>
      <c r="AO9247" s="10"/>
      <c r="AP9247" s="10"/>
      <c r="AQ9247" s="10"/>
      <c r="AR9247" s="10"/>
      <c r="AS9247" s="10"/>
      <c r="AT9247" s="10"/>
      <c r="AU9247" s="10"/>
      <c r="AV9247" s="10"/>
      <c r="AW9247" s="10"/>
      <c r="AX9247" s="10"/>
      <c r="AY9247" s="10"/>
      <c r="AZ9247" s="10"/>
    </row>
    <row r="9248" spans="31:52">
      <c r="AE9248" s="10"/>
      <c r="AF9248" s="10"/>
      <c r="AG9248" s="10"/>
      <c r="AH9248" s="10"/>
      <c r="AI9248" s="10"/>
      <c r="AJ9248" s="10"/>
      <c r="AK9248" s="10"/>
      <c r="AL9248" s="10"/>
      <c r="AM9248" s="10"/>
      <c r="AN9248" s="10"/>
      <c r="AO9248" s="10"/>
      <c r="AP9248" s="10"/>
      <c r="AQ9248" s="10"/>
      <c r="AR9248" s="10"/>
      <c r="AS9248" s="10"/>
      <c r="AT9248" s="10"/>
      <c r="AU9248" s="10"/>
      <c r="AV9248" s="10"/>
      <c r="AW9248" s="10"/>
      <c r="AX9248" s="10"/>
      <c r="AY9248" s="10"/>
      <c r="AZ9248" s="10"/>
    </row>
    <row r="9249" spans="31:52">
      <c r="AE9249" s="10"/>
      <c r="AF9249" s="10"/>
      <c r="AG9249" s="10"/>
      <c r="AH9249" s="10"/>
      <c r="AI9249" s="10"/>
      <c r="AJ9249" s="10"/>
      <c r="AK9249" s="10"/>
      <c r="AL9249" s="10"/>
      <c r="AM9249" s="10"/>
      <c r="AN9249" s="10"/>
      <c r="AO9249" s="10"/>
      <c r="AP9249" s="10"/>
      <c r="AQ9249" s="10"/>
      <c r="AR9249" s="10"/>
      <c r="AS9249" s="10"/>
      <c r="AT9249" s="10"/>
      <c r="AU9249" s="10"/>
      <c r="AV9249" s="10"/>
      <c r="AW9249" s="10"/>
      <c r="AX9249" s="10"/>
      <c r="AY9249" s="10"/>
      <c r="AZ9249" s="10"/>
    </row>
    <row r="9250" spans="31:52">
      <c r="AE9250" s="10"/>
      <c r="AF9250" s="10"/>
      <c r="AG9250" s="10"/>
      <c r="AH9250" s="10"/>
      <c r="AI9250" s="10"/>
      <c r="AJ9250" s="10"/>
      <c r="AK9250" s="10"/>
      <c r="AL9250" s="10"/>
      <c r="AM9250" s="10"/>
      <c r="AN9250" s="10"/>
      <c r="AO9250" s="10"/>
      <c r="AP9250" s="10"/>
      <c r="AQ9250" s="10"/>
      <c r="AR9250" s="10"/>
      <c r="AS9250" s="10"/>
      <c r="AT9250" s="10"/>
      <c r="AU9250" s="10"/>
      <c r="AV9250" s="10"/>
      <c r="AW9250" s="10"/>
      <c r="AX9250" s="10"/>
      <c r="AY9250" s="10"/>
      <c r="AZ9250" s="10"/>
    </row>
    <row r="9251" spans="31:52">
      <c r="AE9251" s="10"/>
      <c r="AF9251" s="10"/>
      <c r="AG9251" s="10"/>
      <c r="AH9251" s="10"/>
      <c r="AI9251" s="10"/>
      <c r="AJ9251" s="10"/>
      <c r="AK9251" s="10"/>
      <c r="AL9251" s="10"/>
      <c r="AM9251" s="10"/>
      <c r="AN9251" s="10"/>
      <c r="AO9251" s="10"/>
      <c r="AP9251" s="10"/>
      <c r="AQ9251" s="10"/>
      <c r="AR9251" s="10"/>
      <c r="AS9251" s="10"/>
      <c r="AT9251" s="10"/>
      <c r="AU9251" s="10"/>
      <c r="AV9251" s="10"/>
      <c r="AW9251" s="10"/>
      <c r="AX9251" s="10"/>
      <c r="AY9251" s="10"/>
      <c r="AZ9251" s="10"/>
    </row>
    <row r="9252" spans="31:52">
      <c r="AE9252" s="10"/>
      <c r="AF9252" s="10"/>
      <c r="AG9252" s="10"/>
      <c r="AH9252" s="10"/>
      <c r="AI9252" s="10"/>
      <c r="AJ9252" s="10"/>
      <c r="AK9252" s="10"/>
      <c r="AL9252" s="10"/>
      <c r="AM9252" s="10"/>
      <c r="AN9252" s="10"/>
      <c r="AO9252" s="10"/>
      <c r="AP9252" s="10"/>
      <c r="AQ9252" s="10"/>
      <c r="AR9252" s="10"/>
      <c r="AS9252" s="10"/>
      <c r="AT9252" s="10"/>
      <c r="AU9252" s="10"/>
      <c r="AV9252" s="10"/>
      <c r="AW9252" s="10"/>
      <c r="AX9252" s="10"/>
      <c r="AY9252" s="10"/>
      <c r="AZ9252" s="10"/>
    </row>
    <row r="9253" spans="31:52">
      <c r="AE9253" s="10"/>
      <c r="AF9253" s="10"/>
      <c r="AG9253" s="10"/>
      <c r="AH9253" s="10"/>
      <c r="AI9253" s="10"/>
      <c r="AJ9253" s="10"/>
      <c r="AK9253" s="10"/>
      <c r="AL9253" s="10"/>
      <c r="AM9253" s="10"/>
      <c r="AN9253" s="10"/>
      <c r="AO9253" s="10"/>
      <c r="AP9253" s="10"/>
      <c r="AQ9253" s="10"/>
      <c r="AR9253" s="10"/>
      <c r="AS9253" s="10"/>
      <c r="AT9253" s="10"/>
      <c r="AU9253" s="10"/>
      <c r="AV9253" s="10"/>
      <c r="AW9253" s="10"/>
      <c r="AX9253" s="10"/>
      <c r="AY9253" s="10"/>
      <c r="AZ9253" s="10"/>
    </row>
    <row r="9254" spans="31:52">
      <c r="AE9254" s="10"/>
      <c r="AF9254" s="10"/>
      <c r="AG9254" s="10"/>
      <c r="AH9254" s="10"/>
      <c r="AI9254" s="10"/>
      <c r="AJ9254" s="10"/>
      <c r="AK9254" s="10"/>
      <c r="AL9254" s="10"/>
      <c r="AM9254" s="10"/>
      <c r="AN9254" s="10"/>
      <c r="AO9254" s="10"/>
      <c r="AP9254" s="10"/>
      <c r="AQ9254" s="10"/>
      <c r="AR9254" s="10"/>
      <c r="AS9254" s="10"/>
      <c r="AT9254" s="10"/>
      <c r="AU9254" s="10"/>
      <c r="AV9254" s="10"/>
      <c r="AW9254" s="10"/>
      <c r="AX9254" s="10"/>
      <c r="AY9254" s="10"/>
      <c r="AZ9254" s="10"/>
    </row>
    <row r="9255" spans="31:52">
      <c r="AE9255" s="10"/>
      <c r="AF9255" s="10"/>
      <c r="AG9255" s="10"/>
      <c r="AH9255" s="10"/>
      <c r="AI9255" s="10"/>
      <c r="AJ9255" s="10"/>
      <c r="AK9255" s="10"/>
      <c r="AL9255" s="10"/>
      <c r="AM9255" s="10"/>
      <c r="AN9255" s="10"/>
      <c r="AO9255" s="10"/>
      <c r="AP9255" s="10"/>
      <c r="AQ9255" s="10"/>
      <c r="AR9255" s="10"/>
      <c r="AS9255" s="10"/>
      <c r="AT9255" s="10"/>
      <c r="AU9255" s="10"/>
      <c r="AV9255" s="10"/>
      <c r="AW9255" s="10"/>
      <c r="AX9255" s="10"/>
      <c r="AY9255" s="10"/>
      <c r="AZ9255" s="10"/>
    </row>
    <row r="9256" spans="31:52">
      <c r="AE9256" s="10"/>
      <c r="AF9256" s="10"/>
      <c r="AG9256" s="10"/>
      <c r="AH9256" s="10"/>
      <c r="AI9256" s="10"/>
      <c r="AJ9256" s="10"/>
      <c r="AK9256" s="10"/>
      <c r="AL9256" s="10"/>
      <c r="AM9256" s="10"/>
      <c r="AN9256" s="10"/>
      <c r="AO9256" s="10"/>
      <c r="AP9256" s="10"/>
      <c r="AQ9256" s="10"/>
      <c r="AR9256" s="10"/>
      <c r="AS9256" s="10"/>
      <c r="AT9256" s="10"/>
      <c r="AU9256" s="10"/>
      <c r="AV9256" s="10"/>
      <c r="AW9256" s="10"/>
      <c r="AX9256" s="10"/>
      <c r="AY9256" s="10"/>
      <c r="AZ9256" s="10"/>
    </row>
    <row r="9257" spans="31:52">
      <c r="AE9257" s="10"/>
      <c r="AF9257" s="10"/>
      <c r="AG9257" s="10"/>
      <c r="AH9257" s="10"/>
      <c r="AI9257" s="10"/>
      <c r="AJ9257" s="10"/>
      <c r="AK9257" s="10"/>
      <c r="AL9257" s="10"/>
      <c r="AM9257" s="10"/>
      <c r="AN9257" s="10"/>
      <c r="AO9257" s="10"/>
      <c r="AP9257" s="10"/>
      <c r="AQ9257" s="10"/>
      <c r="AR9257" s="10"/>
      <c r="AS9257" s="10"/>
      <c r="AT9257" s="10"/>
      <c r="AU9257" s="10"/>
      <c r="AV9257" s="10"/>
      <c r="AW9257" s="10"/>
      <c r="AX9257" s="10"/>
      <c r="AY9257" s="10"/>
      <c r="AZ9257" s="10"/>
    </row>
    <row r="9258" spans="31:52">
      <c r="AE9258" s="10"/>
      <c r="AF9258" s="10"/>
      <c r="AG9258" s="10"/>
      <c r="AH9258" s="10"/>
      <c r="AI9258" s="10"/>
      <c r="AJ9258" s="10"/>
      <c r="AK9258" s="10"/>
      <c r="AL9258" s="10"/>
      <c r="AM9258" s="10"/>
      <c r="AN9258" s="10"/>
      <c r="AO9258" s="10"/>
      <c r="AP9258" s="10"/>
      <c r="AQ9258" s="10"/>
      <c r="AR9258" s="10"/>
      <c r="AS9258" s="10"/>
      <c r="AT9258" s="10"/>
      <c r="AU9258" s="10"/>
      <c r="AV9258" s="10"/>
      <c r="AW9258" s="10"/>
      <c r="AX9258" s="10"/>
      <c r="AY9258" s="10"/>
      <c r="AZ9258" s="10"/>
    </row>
    <row r="9259" spans="31:52">
      <c r="AE9259" s="10"/>
      <c r="AF9259" s="10"/>
      <c r="AG9259" s="10"/>
      <c r="AH9259" s="10"/>
      <c r="AI9259" s="10"/>
      <c r="AJ9259" s="10"/>
      <c r="AK9259" s="10"/>
      <c r="AL9259" s="10"/>
      <c r="AM9259" s="10"/>
      <c r="AN9259" s="10"/>
      <c r="AO9259" s="10"/>
      <c r="AP9259" s="10"/>
      <c r="AQ9259" s="10"/>
      <c r="AR9259" s="10"/>
      <c r="AS9259" s="10"/>
      <c r="AT9259" s="10"/>
      <c r="AU9259" s="10"/>
      <c r="AV9259" s="10"/>
      <c r="AW9259" s="10"/>
      <c r="AX9259" s="10"/>
      <c r="AY9259" s="10"/>
      <c r="AZ9259" s="10"/>
    </row>
    <row r="9260" spans="31:52">
      <c r="AE9260" s="10"/>
      <c r="AF9260" s="10"/>
      <c r="AG9260" s="10"/>
      <c r="AH9260" s="10"/>
      <c r="AI9260" s="10"/>
      <c r="AJ9260" s="10"/>
      <c r="AK9260" s="10"/>
      <c r="AL9260" s="10"/>
      <c r="AM9260" s="10"/>
      <c r="AN9260" s="10"/>
      <c r="AO9260" s="10"/>
      <c r="AP9260" s="10"/>
      <c r="AQ9260" s="10"/>
      <c r="AR9260" s="10"/>
      <c r="AS9260" s="10"/>
      <c r="AT9260" s="10"/>
      <c r="AU9260" s="10"/>
      <c r="AV9260" s="10"/>
      <c r="AW9260" s="10"/>
      <c r="AX9260" s="10"/>
      <c r="AY9260" s="10"/>
      <c r="AZ9260" s="10"/>
    </row>
    <row r="9261" spans="31:52">
      <c r="AE9261" s="10"/>
      <c r="AF9261" s="10"/>
      <c r="AG9261" s="10"/>
      <c r="AH9261" s="10"/>
      <c r="AI9261" s="10"/>
      <c r="AJ9261" s="10"/>
      <c r="AK9261" s="10"/>
      <c r="AL9261" s="10"/>
      <c r="AM9261" s="10"/>
      <c r="AN9261" s="10"/>
      <c r="AO9261" s="10"/>
      <c r="AP9261" s="10"/>
      <c r="AQ9261" s="10"/>
      <c r="AR9261" s="10"/>
      <c r="AS9261" s="10"/>
      <c r="AT9261" s="10"/>
      <c r="AU9261" s="10"/>
      <c r="AV9261" s="10"/>
      <c r="AW9261" s="10"/>
      <c r="AX9261" s="10"/>
      <c r="AY9261" s="10"/>
      <c r="AZ9261" s="10"/>
    </row>
    <row r="9262" spans="31:52">
      <c r="AE9262" s="10"/>
      <c r="AF9262" s="10"/>
      <c r="AG9262" s="10"/>
      <c r="AH9262" s="10"/>
      <c r="AI9262" s="10"/>
      <c r="AJ9262" s="10"/>
      <c r="AK9262" s="10"/>
      <c r="AL9262" s="10"/>
      <c r="AM9262" s="10"/>
      <c r="AN9262" s="10"/>
      <c r="AO9262" s="10"/>
      <c r="AP9262" s="10"/>
      <c r="AQ9262" s="10"/>
      <c r="AR9262" s="10"/>
      <c r="AS9262" s="10"/>
      <c r="AT9262" s="10"/>
      <c r="AU9262" s="10"/>
      <c r="AV9262" s="10"/>
      <c r="AW9262" s="10"/>
      <c r="AX9262" s="10"/>
      <c r="AY9262" s="10"/>
      <c r="AZ9262" s="10"/>
    </row>
    <row r="9263" spans="31:52">
      <c r="AE9263" s="10"/>
      <c r="AF9263" s="10"/>
      <c r="AG9263" s="10"/>
      <c r="AH9263" s="10"/>
      <c r="AI9263" s="10"/>
      <c r="AJ9263" s="10"/>
      <c r="AK9263" s="10"/>
      <c r="AL9263" s="10"/>
      <c r="AM9263" s="10"/>
      <c r="AN9263" s="10"/>
      <c r="AO9263" s="10"/>
      <c r="AP9263" s="10"/>
      <c r="AQ9263" s="10"/>
      <c r="AR9263" s="10"/>
      <c r="AS9263" s="10"/>
      <c r="AT9263" s="10"/>
      <c r="AU9263" s="10"/>
      <c r="AV9263" s="10"/>
      <c r="AW9263" s="10"/>
      <c r="AX9263" s="10"/>
      <c r="AY9263" s="10"/>
      <c r="AZ9263" s="10"/>
    </row>
    <row r="9264" spans="31:52">
      <c r="AE9264" s="10"/>
      <c r="AF9264" s="10"/>
      <c r="AG9264" s="10"/>
      <c r="AH9264" s="10"/>
      <c r="AI9264" s="10"/>
      <c r="AJ9264" s="10"/>
      <c r="AK9264" s="10"/>
      <c r="AL9264" s="10"/>
      <c r="AM9264" s="10"/>
      <c r="AN9264" s="10"/>
      <c r="AO9264" s="10"/>
      <c r="AP9264" s="10"/>
      <c r="AQ9264" s="10"/>
      <c r="AR9264" s="10"/>
      <c r="AS9264" s="10"/>
      <c r="AT9264" s="10"/>
      <c r="AU9264" s="10"/>
      <c r="AV9264" s="10"/>
      <c r="AW9264" s="10"/>
      <c r="AX9264" s="10"/>
      <c r="AY9264" s="10"/>
      <c r="AZ9264" s="10"/>
    </row>
    <row r="9265" spans="31:52">
      <c r="AE9265" s="10"/>
      <c r="AF9265" s="10"/>
      <c r="AG9265" s="10"/>
      <c r="AH9265" s="10"/>
      <c r="AI9265" s="10"/>
      <c r="AJ9265" s="10"/>
      <c r="AK9265" s="10"/>
      <c r="AL9265" s="10"/>
      <c r="AM9265" s="10"/>
      <c r="AN9265" s="10"/>
      <c r="AO9265" s="10"/>
      <c r="AP9265" s="10"/>
      <c r="AQ9265" s="10"/>
      <c r="AR9265" s="10"/>
      <c r="AS9265" s="10"/>
      <c r="AT9265" s="10"/>
      <c r="AU9265" s="10"/>
      <c r="AV9265" s="10"/>
      <c r="AW9265" s="10"/>
      <c r="AX9265" s="10"/>
      <c r="AY9265" s="10"/>
      <c r="AZ9265" s="10"/>
    </row>
    <row r="9266" spans="31:52">
      <c r="AE9266" s="10"/>
      <c r="AF9266" s="10"/>
      <c r="AG9266" s="10"/>
      <c r="AH9266" s="10"/>
      <c r="AI9266" s="10"/>
      <c r="AJ9266" s="10"/>
      <c r="AK9266" s="10"/>
      <c r="AL9266" s="10"/>
      <c r="AM9266" s="10"/>
      <c r="AN9266" s="10"/>
      <c r="AO9266" s="10"/>
      <c r="AP9266" s="10"/>
      <c r="AQ9266" s="10"/>
      <c r="AR9266" s="10"/>
      <c r="AS9266" s="10"/>
      <c r="AT9266" s="10"/>
      <c r="AU9266" s="10"/>
      <c r="AV9266" s="10"/>
      <c r="AW9266" s="10"/>
      <c r="AX9266" s="10"/>
      <c r="AY9266" s="10"/>
      <c r="AZ9266" s="10"/>
    </row>
    <row r="9267" spans="31:52">
      <c r="AE9267" s="10"/>
      <c r="AF9267" s="10"/>
      <c r="AG9267" s="10"/>
      <c r="AH9267" s="10"/>
      <c r="AI9267" s="10"/>
      <c r="AJ9267" s="10"/>
      <c r="AK9267" s="10"/>
      <c r="AL9267" s="10"/>
      <c r="AM9267" s="10"/>
      <c r="AN9267" s="10"/>
      <c r="AO9267" s="10"/>
      <c r="AP9267" s="10"/>
      <c r="AQ9267" s="10"/>
      <c r="AR9267" s="10"/>
      <c r="AS9267" s="10"/>
      <c r="AT9267" s="10"/>
      <c r="AU9267" s="10"/>
      <c r="AV9267" s="10"/>
      <c r="AW9267" s="10"/>
      <c r="AX9267" s="10"/>
      <c r="AY9267" s="10"/>
      <c r="AZ9267" s="10"/>
    </row>
    <row r="9268" spans="31:52">
      <c r="AE9268" s="10"/>
      <c r="AF9268" s="10"/>
      <c r="AG9268" s="10"/>
      <c r="AH9268" s="10"/>
      <c r="AI9268" s="10"/>
      <c r="AJ9268" s="10"/>
      <c r="AK9268" s="10"/>
      <c r="AL9268" s="10"/>
      <c r="AM9268" s="10"/>
      <c r="AN9268" s="10"/>
      <c r="AO9268" s="10"/>
      <c r="AP9268" s="10"/>
      <c r="AQ9268" s="10"/>
      <c r="AR9268" s="10"/>
      <c r="AS9268" s="10"/>
      <c r="AT9268" s="10"/>
      <c r="AU9268" s="10"/>
      <c r="AV9268" s="10"/>
      <c r="AW9268" s="10"/>
      <c r="AX9268" s="10"/>
      <c r="AY9268" s="10"/>
      <c r="AZ9268" s="10"/>
    </row>
    <row r="9269" spans="31:52">
      <c r="AE9269" s="10"/>
      <c r="AF9269" s="10"/>
      <c r="AG9269" s="10"/>
      <c r="AH9269" s="10"/>
      <c r="AI9269" s="10"/>
      <c r="AJ9269" s="10"/>
      <c r="AK9269" s="10"/>
      <c r="AL9269" s="10"/>
      <c r="AM9269" s="10"/>
      <c r="AN9269" s="10"/>
      <c r="AO9269" s="10"/>
      <c r="AP9269" s="10"/>
      <c r="AQ9269" s="10"/>
      <c r="AR9269" s="10"/>
      <c r="AS9269" s="10"/>
      <c r="AT9269" s="10"/>
      <c r="AU9269" s="10"/>
      <c r="AV9269" s="10"/>
      <c r="AW9269" s="10"/>
      <c r="AX9269" s="10"/>
      <c r="AY9269" s="10"/>
      <c r="AZ9269" s="10"/>
    </row>
    <row r="9270" spans="31:52">
      <c r="AE9270" s="10"/>
      <c r="AF9270" s="10"/>
      <c r="AG9270" s="10"/>
      <c r="AH9270" s="10"/>
      <c r="AI9270" s="10"/>
      <c r="AJ9270" s="10"/>
      <c r="AK9270" s="10"/>
      <c r="AL9270" s="10"/>
      <c r="AM9270" s="10"/>
      <c r="AN9270" s="10"/>
      <c r="AO9270" s="10"/>
      <c r="AP9270" s="10"/>
      <c r="AQ9270" s="10"/>
      <c r="AR9270" s="10"/>
      <c r="AS9270" s="10"/>
      <c r="AT9270" s="10"/>
      <c r="AU9270" s="10"/>
      <c r="AV9270" s="10"/>
      <c r="AW9270" s="10"/>
      <c r="AX9270" s="10"/>
      <c r="AY9270" s="10"/>
      <c r="AZ9270" s="10"/>
    </row>
    <row r="9271" spans="31:52">
      <c r="AE9271" s="10"/>
      <c r="AF9271" s="10"/>
      <c r="AG9271" s="10"/>
      <c r="AH9271" s="10"/>
      <c r="AI9271" s="10"/>
      <c r="AJ9271" s="10"/>
      <c r="AK9271" s="10"/>
      <c r="AL9271" s="10"/>
      <c r="AM9271" s="10"/>
      <c r="AN9271" s="10"/>
      <c r="AO9271" s="10"/>
      <c r="AP9271" s="10"/>
      <c r="AQ9271" s="10"/>
      <c r="AR9271" s="10"/>
      <c r="AS9271" s="10"/>
      <c r="AT9271" s="10"/>
      <c r="AU9271" s="10"/>
      <c r="AV9271" s="10"/>
      <c r="AW9271" s="10"/>
      <c r="AX9271" s="10"/>
      <c r="AY9271" s="10"/>
      <c r="AZ9271" s="10"/>
    </row>
    <row r="9272" spans="31:52">
      <c r="AE9272" s="10"/>
      <c r="AF9272" s="10"/>
      <c r="AG9272" s="10"/>
      <c r="AH9272" s="10"/>
      <c r="AI9272" s="10"/>
      <c r="AJ9272" s="10"/>
      <c r="AK9272" s="10"/>
      <c r="AL9272" s="10"/>
      <c r="AM9272" s="10"/>
      <c r="AN9272" s="10"/>
      <c r="AO9272" s="10"/>
      <c r="AP9272" s="10"/>
      <c r="AQ9272" s="10"/>
      <c r="AR9272" s="10"/>
      <c r="AS9272" s="10"/>
      <c r="AT9272" s="10"/>
      <c r="AU9272" s="10"/>
      <c r="AV9272" s="10"/>
      <c r="AW9272" s="10"/>
      <c r="AX9272" s="10"/>
      <c r="AY9272" s="10"/>
      <c r="AZ9272" s="10"/>
    </row>
    <row r="9273" spans="31:52">
      <c r="AE9273" s="10"/>
      <c r="AF9273" s="10"/>
      <c r="AG9273" s="10"/>
      <c r="AH9273" s="10"/>
      <c r="AI9273" s="10"/>
      <c r="AJ9273" s="10"/>
      <c r="AK9273" s="10"/>
      <c r="AL9273" s="10"/>
      <c r="AM9273" s="10"/>
      <c r="AN9273" s="10"/>
      <c r="AO9273" s="10"/>
      <c r="AP9273" s="10"/>
      <c r="AQ9273" s="10"/>
      <c r="AR9273" s="10"/>
      <c r="AS9273" s="10"/>
      <c r="AT9273" s="10"/>
      <c r="AU9273" s="10"/>
      <c r="AV9273" s="10"/>
      <c r="AW9273" s="10"/>
      <c r="AX9273" s="10"/>
      <c r="AY9273" s="10"/>
      <c r="AZ9273" s="10"/>
    </row>
    <row r="9274" spans="31:52">
      <c r="AE9274" s="10"/>
      <c r="AF9274" s="10"/>
      <c r="AG9274" s="10"/>
      <c r="AH9274" s="10"/>
      <c r="AI9274" s="10"/>
      <c r="AJ9274" s="10"/>
      <c r="AK9274" s="10"/>
      <c r="AL9274" s="10"/>
      <c r="AM9274" s="10"/>
      <c r="AN9274" s="10"/>
      <c r="AO9274" s="10"/>
      <c r="AP9274" s="10"/>
      <c r="AQ9274" s="10"/>
      <c r="AR9274" s="10"/>
      <c r="AS9274" s="10"/>
      <c r="AT9274" s="10"/>
      <c r="AU9274" s="10"/>
      <c r="AV9274" s="10"/>
      <c r="AW9274" s="10"/>
      <c r="AX9274" s="10"/>
      <c r="AY9274" s="10"/>
      <c r="AZ9274" s="10"/>
    </row>
    <row r="9275" spans="31:52">
      <c r="AE9275" s="10"/>
      <c r="AF9275" s="10"/>
      <c r="AG9275" s="10"/>
      <c r="AH9275" s="10"/>
      <c r="AI9275" s="10"/>
      <c r="AJ9275" s="10"/>
      <c r="AK9275" s="10"/>
      <c r="AL9275" s="10"/>
      <c r="AM9275" s="10"/>
      <c r="AN9275" s="10"/>
      <c r="AO9275" s="10"/>
      <c r="AP9275" s="10"/>
      <c r="AQ9275" s="10"/>
      <c r="AR9275" s="10"/>
      <c r="AS9275" s="10"/>
      <c r="AT9275" s="10"/>
      <c r="AU9275" s="10"/>
      <c r="AV9275" s="10"/>
      <c r="AW9275" s="10"/>
      <c r="AX9275" s="10"/>
      <c r="AY9275" s="10"/>
      <c r="AZ9275" s="10"/>
    </row>
    <row r="9276" spans="31:52">
      <c r="AE9276" s="10"/>
      <c r="AF9276" s="10"/>
      <c r="AG9276" s="10"/>
      <c r="AH9276" s="10"/>
      <c r="AI9276" s="10"/>
      <c r="AJ9276" s="10"/>
      <c r="AK9276" s="10"/>
      <c r="AL9276" s="10"/>
      <c r="AM9276" s="10"/>
      <c r="AN9276" s="10"/>
      <c r="AO9276" s="10"/>
      <c r="AP9276" s="10"/>
      <c r="AQ9276" s="10"/>
      <c r="AR9276" s="10"/>
      <c r="AS9276" s="10"/>
      <c r="AT9276" s="10"/>
      <c r="AU9276" s="10"/>
      <c r="AV9276" s="10"/>
      <c r="AW9276" s="10"/>
      <c r="AX9276" s="10"/>
      <c r="AY9276" s="10"/>
      <c r="AZ9276" s="10"/>
    </row>
    <row r="9277" spans="31:52">
      <c r="AE9277" s="10"/>
      <c r="AF9277" s="10"/>
      <c r="AG9277" s="10"/>
      <c r="AH9277" s="10"/>
      <c r="AI9277" s="10"/>
      <c r="AJ9277" s="10"/>
      <c r="AK9277" s="10"/>
      <c r="AL9277" s="10"/>
      <c r="AM9277" s="10"/>
      <c r="AN9277" s="10"/>
      <c r="AO9277" s="10"/>
      <c r="AP9277" s="10"/>
      <c r="AQ9277" s="10"/>
      <c r="AR9277" s="10"/>
      <c r="AS9277" s="10"/>
      <c r="AT9277" s="10"/>
      <c r="AU9277" s="10"/>
      <c r="AV9277" s="10"/>
      <c r="AW9277" s="10"/>
      <c r="AX9277" s="10"/>
      <c r="AY9277" s="10"/>
      <c r="AZ9277" s="10"/>
    </row>
    <row r="9278" spans="31:52">
      <c r="AE9278" s="10"/>
      <c r="AF9278" s="10"/>
      <c r="AG9278" s="10"/>
      <c r="AH9278" s="10"/>
      <c r="AI9278" s="10"/>
      <c r="AJ9278" s="10"/>
      <c r="AK9278" s="10"/>
      <c r="AL9278" s="10"/>
      <c r="AM9278" s="10"/>
      <c r="AN9278" s="10"/>
      <c r="AO9278" s="10"/>
      <c r="AP9278" s="10"/>
      <c r="AQ9278" s="10"/>
      <c r="AR9278" s="10"/>
      <c r="AS9278" s="10"/>
      <c r="AT9278" s="10"/>
      <c r="AU9278" s="10"/>
      <c r="AV9278" s="10"/>
      <c r="AW9278" s="10"/>
      <c r="AX9278" s="10"/>
      <c r="AY9278" s="10"/>
      <c r="AZ9278" s="10"/>
    </row>
    <row r="9279" spans="31:52">
      <c r="AE9279" s="10"/>
      <c r="AF9279" s="10"/>
      <c r="AG9279" s="10"/>
      <c r="AH9279" s="10"/>
      <c r="AI9279" s="10"/>
      <c r="AJ9279" s="10"/>
      <c r="AK9279" s="10"/>
      <c r="AL9279" s="10"/>
      <c r="AM9279" s="10"/>
      <c r="AN9279" s="10"/>
      <c r="AO9279" s="10"/>
      <c r="AP9279" s="10"/>
      <c r="AQ9279" s="10"/>
      <c r="AR9279" s="10"/>
      <c r="AS9279" s="10"/>
      <c r="AT9279" s="10"/>
      <c r="AU9279" s="10"/>
      <c r="AV9279" s="10"/>
      <c r="AW9279" s="10"/>
      <c r="AX9279" s="10"/>
      <c r="AY9279" s="10"/>
      <c r="AZ9279" s="10"/>
    </row>
    <row r="9280" spans="31:52">
      <c r="AE9280" s="10"/>
      <c r="AF9280" s="10"/>
      <c r="AG9280" s="10"/>
      <c r="AH9280" s="10"/>
      <c r="AI9280" s="10"/>
      <c r="AJ9280" s="10"/>
      <c r="AK9280" s="10"/>
      <c r="AL9280" s="10"/>
      <c r="AM9280" s="10"/>
      <c r="AN9280" s="10"/>
      <c r="AO9280" s="10"/>
      <c r="AP9280" s="10"/>
      <c r="AQ9280" s="10"/>
      <c r="AR9280" s="10"/>
      <c r="AS9280" s="10"/>
      <c r="AT9280" s="10"/>
      <c r="AU9280" s="10"/>
      <c r="AV9280" s="10"/>
      <c r="AW9280" s="10"/>
      <c r="AX9280" s="10"/>
      <c r="AY9280" s="10"/>
      <c r="AZ9280" s="10"/>
    </row>
    <row r="9281" spans="31:52">
      <c r="AE9281" s="10"/>
      <c r="AF9281" s="10"/>
      <c r="AG9281" s="10"/>
      <c r="AH9281" s="10"/>
      <c r="AI9281" s="10"/>
      <c r="AJ9281" s="10"/>
      <c r="AK9281" s="10"/>
      <c r="AL9281" s="10"/>
      <c r="AM9281" s="10"/>
      <c r="AN9281" s="10"/>
      <c r="AO9281" s="10"/>
      <c r="AP9281" s="10"/>
      <c r="AQ9281" s="10"/>
      <c r="AR9281" s="10"/>
      <c r="AS9281" s="10"/>
      <c r="AT9281" s="10"/>
      <c r="AU9281" s="10"/>
      <c r="AV9281" s="10"/>
      <c r="AW9281" s="10"/>
      <c r="AX9281" s="10"/>
      <c r="AY9281" s="10"/>
      <c r="AZ9281" s="10"/>
    </row>
    <row r="9282" spans="31:52">
      <c r="AE9282" s="10"/>
      <c r="AF9282" s="10"/>
      <c r="AG9282" s="10"/>
      <c r="AH9282" s="10"/>
      <c r="AI9282" s="10"/>
      <c r="AJ9282" s="10"/>
      <c r="AK9282" s="10"/>
      <c r="AL9282" s="10"/>
      <c r="AM9282" s="10"/>
      <c r="AN9282" s="10"/>
      <c r="AO9282" s="10"/>
      <c r="AP9282" s="10"/>
      <c r="AQ9282" s="10"/>
      <c r="AR9282" s="10"/>
      <c r="AS9282" s="10"/>
      <c r="AT9282" s="10"/>
      <c r="AU9282" s="10"/>
      <c r="AV9282" s="10"/>
      <c r="AW9282" s="10"/>
      <c r="AX9282" s="10"/>
      <c r="AY9282" s="10"/>
      <c r="AZ9282" s="10"/>
    </row>
    <row r="9283" spans="31:52">
      <c r="AE9283" s="10"/>
      <c r="AF9283" s="10"/>
      <c r="AG9283" s="10"/>
      <c r="AH9283" s="10"/>
      <c r="AI9283" s="10"/>
      <c r="AJ9283" s="10"/>
      <c r="AK9283" s="10"/>
      <c r="AL9283" s="10"/>
      <c r="AM9283" s="10"/>
      <c r="AN9283" s="10"/>
      <c r="AO9283" s="10"/>
      <c r="AP9283" s="10"/>
      <c r="AQ9283" s="10"/>
      <c r="AR9283" s="10"/>
      <c r="AS9283" s="10"/>
      <c r="AT9283" s="10"/>
      <c r="AU9283" s="10"/>
      <c r="AV9283" s="10"/>
      <c r="AW9283" s="10"/>
      <c r="AX9283" s="10"/>
      <c r="AY9283" s="10"/>
      <c r="AZ9283" s="10"/>
    </row>
    <row r="9284" spans="31:52">
      <c r="AE9284" s="10"/>
      <c r="AF9284" s="10"/>
      <c r="AG9284" s="10"/>
      <c r="AH9284" s="10"/>
      <c r="AI9284" s="10"/>
      <c r="AJ9284" s="10"/>
      <c r="AK9284" s="10"/>
      <c r="AL9284" s="10"/>
      <c r="AM9284" s="10"/>
      <c r="AN9284" s="10"/>
      <c r="AO9284" s="10"/>
      <c r="AP9284" s="10"/>
      <c r="AQ9284" s="10"/>
      <c r="AR9284" s="10"/>
      <c r="AS9284" s="10"/>
      <c r="AT9284" s="10"/>
      <c r="AU9284" s="10"/>
      <c r="AV9284" s="10"/>
      <c r="AW9284" s="10"/>
      <c r="AX9284" s="10"/>
      <c r="AY9284" s="10"/>
      <c r="AZ9284" s="10"/>
    </row>
    <row r="9285" spans="31:52">
      <c r="AE9285" s="10"/>
      <c r="AF9285" s="10"/>
      <c r="AG9285" s="10"/>
      <c r="AH9285" s="10"/>
      <c r="AI9285" s="10"/>
      <c r="AJ9285" s="10"/>
      <c r="AK9285" s="10"/>
      <c r="AL9285" s="10"/>
      <c r="AM9285" s="10"/>
      <c r="AN9285" s="10"/>
      <c r="AO9285" s="10"/>
      <c r="AP9285" s="10"/>
      <c r="AQ9285" s="10"/>
      <c r="AR9285" s="10"/>
      <c r="AS9285" s="10"/>
      <c r="AT9285" s="10"/>
      <c r="AU9285" s="10"/>
      <c r="AV9285" s="10"/>
      <c r="AW9285" s="10"/>
      <c r="AX9285" s="10"/>
      <c r="AY9285" s="10"/>
      <c r="AZ9285" s="10"/>
    </row>
    <row r="9286" spans="31:52">
      <c r="AE9286" s="10"/>
      <c r="AF9286" s="10"/>
      <c r="AG9286" s="10"/>
      <c r="AH9286" s="10"/>
      <c r="AI9286" s="10"/>
      <c r="AJ9286" s="10"/>
      <c r="AK9286" s="10"/>
      <c r="AL9286" s="10"/>
      <c r="AM9286" s="10"/>
      <c r="AN9286" s="10"/>
      <c r="AO9286" s="10"/>
      <c r="AP9286" s="10"/>
      <c r="AQ9286" s="10"/>
      <c r="AR9286" s="10"/>
      <c r="AS9286" s="10"/>
      <c r="AT9286" s="10"/>
      <c r="AU9286" s="10"/>
      <c r="AV9286" s="10"/>
      <c r="AW9286" s="10"/>
      <c r="AX9286" s="10"/>
      <c r="AY9286" s="10"/>
      <c r="AZ9286" s="10"/>
    </row>
    <row r="9287" spans="31:52">
      <c r="AE9287" s="10"/>
      <c r="AF9287" s="10"/>
      <c r="AG9287" s="10"/>
      <c r="AH9287" s="10"/>
      <c r="AI9287" s="10"/>
      <c r="AJ9287" s="10"/>
      <c r="AK9287" s="10"/>
      <c r="AL9287" s="10"/>
      <c r="AM9287" s="10"/>
      <c r="AN9287" s="10"/>
      <c r="AO9287" s="10"/>
      <c r="AP9287" s="10"/>
      <c r="AQ9287" s="10"/>
      <c r="AR9287" s="10"/>
      <c r="AS9287" s="10"/>
      <c r="AT9287" s="10"/>
      <c r="AU9287" s="10"/>
      <c r="AV9287" s="10"/>
      <c r="AW9287" s="10"/>
      <c r="AX9287" s="10"/>
      <c r="AY9287" s="10"/>
      <c r="AZ9287" s="10"/>
    </row>
    <row r="9288" spans="31:52">
      <c r="AE9288" s="10"/>
      <c r="AF9288" s="10"/>
      <c r="AG9288" s="10"/>
      <c r="AH9288" s="10"/>
      <c r="AI9288" s="10"/>
      <c r="AJ9288" s="10"/>
      <c r="AK9288" s="10"/>
      <c r="AL9288" s="10"/>
      <c r="AM9288" s="10"/>
      <c r="AN9288" s="10"/>
      <c r="AO9288" s="10"/>
      <c r="AP9288" s="10"/>
      <c r="AQ9288" s="10"/>
      <c r="AR9288" s="10"/>
      <c r="AS9288" s="10"/>
      <c r="AT9288" s="10"/>
      <c r="AU9288" s="10"/>
      <c r="AV9288" s="10"/>
      <c r="AW9288" s="10"/>
      <c r="AX9288" s="10"/>
      <c r="AY9288" s="10"/>
      <c r="AZ9288" s="10"/>
    </row>
    <row r="9289" spans="31:52">
      <c r="AE9289" s="10"/>
      <c r="AF9289" s="10"/>
      <c r="AG9289" s="10"/>
      <c r="AH9289" s="10"/>
      <c r="AI9289" s="10"/>
      <c r="AJ9289" s="10"/>
      <c r="AK9289" s="10"/>
      <c r="AL9289" s="10"/>
      <c r="AM9289" s="10"/>
      <c r="AN9289" s="10"/>
      <c r="AO9289" s="10"/>
      <c r="AP9289" s="10"/>
      <c r="AQ9289" s="10"/>
      <c r="AR9289" s="10"/>
      <c r="AS9289" s="10"/>
      <c r="AT9289" s="10"/>
      <c r="AU9289" s="10"/>
      <c r="AV9289" s="10"/>
      <c r="AW9289" s="10"/>
      <c r="AX9289" s="10"/>
      <c r="AY9289" s="10"/>
      <c r="AZ9289" s="10"/>
    </row>
    <row r="9290" spans="31:52">
      <c r="AE9290" s="10"/>
      <c r="AF9290" s="10"/>
      <c r="AG9290" s="10"/>
      <c r="AH9290" s="10"/>
      <c r="AI9290" s="10"/>
      <c r="AJ9290" s="10"/>
      <c r="AK9290" s="10"/>
      <c r="AL9290" s="10"/>
      <c r="AM9290" s="10"/>
      <c r="AN9290" s="10"/>
      <c r="AO9290" s="10"/>
      <c r="AP9290" s="10"/>
      <c r="AQ9290" s="10"/>
      <c r="AR9290" s="10"/>
      <c r="AS9290" s="10"/>
      <c r="AT9290" s="10"/>
      <c r="AU9290" s="10"/>
      <c r="AV9290" s="10"/>
      <c r="AW9290" s="10"/>
      <c r="AX9290" s="10"/>
      <c r="AY9290" s="10"/>
      <c r="AZ9290" s="10"/>
    </row>
    <row r="9291" spans="31:52">
      <c r="AE9291" s="10"/>
      <c r="AF9291" s="10"/>
      <c r="AG9291" s="10"/>
      <c r="AH9291" s="10"/>
      <c r="AI9291" s="10"/>
      <c r="AJ9291" s="10"/>
      <c r="AK9291" s="10"/>
      <c r="AL9291" s="10"/>
      <c r="AM9291" s="10"/>
      <c r="AN9291" s="10"/>
      <c r="AO9291" s="10"/>
      <c r="AP9291" s="10"/>
      <c r="AQ9291" s="10"/>
      <c r="AR9291" s="10"/>
      <c r="AS9291" s="10"/>
      <c r="AT9291" s="10"/>
      <c r="AU9291" s="10"/>
      <c r="AV9291" s="10"/>
      <c r="AW9291" s="10"/>
      <c r="AX9291" s="10"/>
      <c r="AY9291" s="10"/>
      <c r="AZ9291" s="10"/>
    </row>
    <row r="9292" spans="31:52">
      <c r="AE9292" s="10"/>
      <c r="AF9292" s="10"/>
      <c r="AG9292" s="10"/>
      <c r="AH9292" s="10"/>
      <c r="AI9292" s="10"/>
      <c r="AJ9292" s="10"/>
      <c r="AK9292" s="10"/>
      <c r="AL9292" s="10"/>
      <c r="AM9292" s="10"/>
      <c r="AN9292" s="10"/>
      <c r="AO9292" s="10"/>
      <c r="AP9292" s="10"/>
      <c r="AQ9292" s="10"/>
      <c r="AR9292" s="10"/>
      <c r="AS9292" s="10"/>
      <c r="AT9292" s="10"/>
      <c r="AU9292" s="10"/>
      <c r="AV9292" s="10"/>
      <c r="AW9292" s="10"/>
      <c r="AX9292" s="10"/>
      <c r="AY9292" s="10"/>
      <c r="AZ9292" s="10"/>
    </row>
    <row r="9293" spans="31:52">
      <c r="AE9293" s="10"/>
      <c r="AF9293" s="10"/>
      <c r="AG9293" s="10"/>
      <c r="AH9293" s="10"/>
      <c r="AI9293" s="10"/>
      <c r="AJ9293" s="10"/>
      <c r="AK9293" s="10"/>
      <c r="AL9293" s="10"/>
      <c r="AM9293" s="10"/>
      <c r="AN9293" s="10"/>
      <c r="AO9293" s="10"/>
      <c r="AP9293" s="10"/>
      <c r="AQ9293" s="10"/>
      <c r="AR9293" s="10"/>
      <c r="AS9293" s="10"/>
      <c r="AT9293" s="10"/>
      <c r="AU9293" s="10"/>
      <c r="AV9293" s="10"/>
      <c r="AW9293" s="10"/>
      <c r="AX9293" s="10"/>
      <c r="AY9293" s="10"/>
      <c r="AZ9293" s="10"/>
    </row>
    <row r="9294" spans="31:52">
      <c r="AE9294" s="10"/>
      <c r="AF9294" s="10"/>
      <c r="AG9294" s="10"/>
      <c r="AH9294" s="10"/>
      <c r="AI9294" s="10"/>
      <c r="AJ9294" s="10"/>
      <c r="AK9294" s="10"/>
      <c r="AL9294" s="10"/>
      <c r="AM9294" s="10"/>
      <c r="AN9294" s="10"/>
      <c r="AO9294" s="10"/>
      <c r="AP9294" s="10"/>
      <c r="AQ9294" s="10"/>
      <c r="AR9294" s="10"/>
      <c r="AS9294" s="10"/>
      <c r="AT9294" s="10"/>
      <c r="AU9294" s="10"/>
      <c r="AV9294" s="10"/>
      <c r="AW9294" s="10"/>
      <c r="AX9294" s="10"/>
      <c r="AY9294" s="10"/>
      <c r="AZ9294" s="10"/>
    </row>
    <row r="9295" spans="31:52">
      <c r="AE9295" s="10"/>
      <c r="AF9295" s="10"/>
      <c r="AG9295" s="10"/>
      <c r="AH9295" s="10"/>
      <c r="AI9295" s="10"/>
      <c r="AJ9295" s="10"/>
      <c r="AK9295" s="10"/>
      <c r="AL9295" s="10"/>
      <c r="AM9295" s="10"/>
      <c r="AN9295" s="10"/>
      <c r="AO9295" s="10"/>
      <c r="AP9295" s="10"/>
      <c r="AQ9295" s="10"/>
      <c r="AR9295" s="10"/>
      <c r="AS9295" s="10"/>
      <c r="AT9295" s="10"/>
      <c r="AU9295" s="10"/>
      <c r="AV9295" s="10"/>
      <c r="AW9295" s="10"/>
      <c r="AX9295" s="10"/>
      <c r="AY9295" s="10"/>
      <c r="AZ9295" s="10"/>
    </row>
    <row r="9296" spans="31:52">
      <c r="AE9296" s="10"/>
      <c r="AF9296" s="10"/>
      <c r="AG9296" s="10"/>
      <c r="AH9296" s="10"/>
      <c r="AI9296" s="10"/>
      <c r="AJ9296" s="10"/>
      <c r="AK9296" s="10"/>
      <c r="AL9296" s="10"/>
      <c r="AM9296" s="10"/>
      <c r="AN9296" s="10"/>
      <c r="AO9296" s="10"/>
      <c r="AP9296" s="10"/>
      <c r="AQ9296" s="10"/>
      <c r="AR9296" s="10"/>
      <c r="AS9296" s="10"/>
      <c r="AT9296" s="10"/>
      <c r="AU9296" s="10"/>
      <c r="AV9296" s="10"/>
      <c r="AW9296" s="10"/>
      <c r="AX9296" s="10"/>
      <c r="AY9296" s="10"/>
      <c r="AZ9296" s="10"/>
    </row>
    <row r="9297" spans="31:52">
      <c r="AE9297" s="10"/>
      <c r="AF9297" s="10"/>
      <c r="AG9297" s="10"/>
      <c r="AH9297" s="10"/>
      <c r="AI9297" s="10"/>
      <c r="AJ9297" s="10"/>
      <c r="AK9297" s="10"/>
      <c r="AL9297" s="10"/>
      <c r="AM9297" s="10"/>
      <c r="AN9297" s="10"/>
      <c r="AO9297" s="10"/>
      <c r="AP9297" s="10"/>
      <c r="AQ9297" s="10"/>
      <c r="AR9297" s="10"/>
      <c r="AS9297" s="10"/>
      <c r="AT9297" s="10"/>
      <c r="AU9297" s="10"/>
      <c r="AV9297" s="10"/>
      <c r="AW9297" s="10"/>
      <c r="AX9297" s="10"/>
      <c r="AY9297" s="10"/>
      <c r="AZ9297" s="10"/>
    </row>
    <row r="9298" spans="31:52">
      <c r="AE9298" s="10"/>
      <c r="AF9298" s="10"/>
      <c r="AG9298" s="10"/>
      <c r="AH9298" s="10"/>
      <c r="AI9298" s="10"/>
      <c r="AJ9298" s="10"/>
      <c r="AK9298" s="10"/>
      <c r="AL9298" s="10"/>
      <c r="AM9298" s="10"/>
      <c r="AN9298" s="10"/>
      <c r="AO9298" s="10"/>
      <c r="AP9298" s="10"/>
      <c r="AQ9298" s="10"/>
      <c r="AR9298" s="10"/>
      <c r="AS9298" s="10"/>
      <c r="AT9298" s="10"/>
      <c r="AU9298" s="10"/>
      <c r="AV9298" s="10"/>
      <c r="AW9298" s="10"/>
      <c r="AX9298" s="10"/>
      <c r="AY9298" s="10"/>
      <c r="AZ9298" s="10"/>
    </row>
    <row r="9299" spans="31:52">
      <c r="AE9299" s="10"/>
      <c r="AF9299" s="10"/>
      <c r="AG9299" s="10"/>
      <c r="AH9299" s="10"/>
      <c r="AI9299" s="10"/>
      <c r="AJ9299" s="10"/>
      <c r="AK9299" s="10"/>
      <c r="AL9299" s="10"/>
      <c r="AM9299" s="10"/>
      <c r="AN9299" s="10"/>
      <c r="AO9299" s="10"/>
      <c r="AP9299" s="10"/>
      <c r="AQ9299" s="10"/>
      <c r="AR9299" s="10"/>
      <c r="AS9299" s="10"/>
      <c r="AT9299" s="10"/>
      <c r="AU9299" s="10"/>
      <c r="AV9299" s="10"/>
      <c r="AW9299" s="10"/>
      <c r="AX9299" s="10"/>
      <c r="AY9299" s="10"/>
      <c r="AZ9299" s="10"/>
    </row>
    <row r="9300" spans="31:52">
      <c r="AE9300" s="10"/>
      <c r="AF9300" s="10"/>
      <c r="AG9300" s="10"/>
      <c r="AH9300" s="10"/>
      <c r="AI9300" s="10"/>
      <c r="AJ9300" s="10"/>
      <c r="AK9300" s="10"/>
      <c r="AL9300" s="10"/>
      <c r="AM9300" s="10"/>
      <c r="AN9300" s="10"/>
      <c r="AO9300" s="10"/>
      <c r="AP9300" s="10"/>
      <c r="AQ9300" s="10"/>
      <c r="AR9300" s="10"/>
      <c r="AS9300" s="10"/>
      <c r="AT9300" s="10"/>
      <c r="AU9300" s="10"/>
      <c r="AV9300" s="10"/>
      <c r="AW9300" s="10"/>
      <c r="AX9300" s="10"/>
      <c r="AY9300" s="10"/>
      <c r="AZ9300" s="10"/>
    </row>
    <row r="9301" spans="31:52">
      <c r="AE9301" s="10"/>
      <c r="AF9301" s="10"/>
      <c r="AG9301" s="10"/>
      <c r="AH9301" s="10"/>
      <c r="AI9301" s="10"/>
      <c r="AJ9301" s="10"/>
      <c r="AK9301" s="10"/>
      <c r="AL9301" s="10"/>
      <c r="AM9301" s="10"/>
      <c r="AN9301" s="10"/>
      <c r="AO9301" s="10"/>
      <c r="AP9301" s="10"/>
      <c r="AQ9301" s="10"/>
      <c r="AR9301" s="10"/>
      <c r="AS9301" s="10"/>
      <c r="AT9301" s="10"/>
      <c r="AU9301" s="10"/>
      <c r="AV9301" s="10"/>
      <c r="AW9301" s="10"/>
      <c r="AX9301" s="10"/>
      <c r="AY9301" s="10"/>
      <c r="AZ9301" s="10"/>
    </row>
    <row r="9302" spans="31:52">
      <c r="AE9302" s="10"/>
      <c r="AF9302" s="10"/>
      <c r="AG9302" s="10"/>
      <c r="AH9302" s="10"/>
      <c r="AI9302" s="10"/>
      <c r="AJ9302" s="10"/>
      <c r="AK9302" s="10"/>
      <c r="AL9302" s="10"/>
      <c r="AM9302" s="10"/>
      <c r="AN9302" s="10"/>
      <c r="AO9302" s="10"/>
      <c r="AP9302" s="10"/>
      <c r="AQ9302" s="10"/>
      <c r="AR9302" s="10"/>
      <c r="AS9302" s="10"/>
      <c r="AT9302" s="10"/>
      <c r="AU9302" s="10"/>
      <c r="AV9302" s="10"/>
      <c r="AW9302" s="10"/>
      <c r="AX9302" s="10"/>
      <c r="AY9302" s="10"/>
      <c r="AZ9302" s="10"/>
    </row>
    <row r="9303" spans="31:52">
      <c r="AE9303" s="10"/>
      <c r="AF9303" s="10"/>
      <c r="AG9303" s="10"/>
      <c r="AH9303" s="10"/>
      <c r="AI9303" s="10"/>
      <c r="AJ9303" s="10"/>
      <c r="AK9303" s="10"/>
      <c r="AL9303" s="10"/>
      <c r="AM9303" s="10"/>
      <c r="AN9303" s="10"/>
      <c r="AO9303" s="10"/>
      <c r="AP9303" s="10"/>
      <c r="AQ9303" s="10"/>
      <c r="AR9303" s="10"/>
      <c r="AS9303" s="10"/>
      <c r="AT9303" s="10"/>
      <c r="AU9303" s="10"/>
      <c r="AV9303" s="10"/>
      <c r="AW9303" s="10"/>
      <c r="AX9303" s="10"/>
      <c r="AY9303" s="10"/>
      <c r="AZ9303" s="10"/>
    </row>
    <row r="9304" spans="31:52">
      <c r="AE9304" s="10"/>
      <c r="AF9304" s="10"/>
      <c r="AG9304" s="10"/>
      <c r="AH9304" s="10"/>
      <c r="AI9304" s="10"/>
      <c r="AJ9304" s="10"/>
      <c r="AK9304" s="10"/>
      <c r="AL9304" s="10"/>
      <c r="AM9304" s="10"/>
      <c r="AN9304" s="10"/>
      <c r="AO9304" s="10"/>
      <c r="AP9304" s="10"/>
      <c r="AQ9304" s="10"/>
      <c r="AR9304" s="10"/>
      <c r="AS9304" s="10"/>
      <c r="AT9304" s="10"/>
      <c r="AU9304" s="10"/>
      <c r="AV9304" s="10"/>
      <c r="AW9304" s="10"/>
      <c r="AX9304" s="10"/>
      <c r="AY9304" s="10"/>
      <c r="AZ9304" s="10"/>
    </row>
    <row r="9305" spans="31:52">
      <c r="AE9305" s="10"/>
      <c r="AF9305" s="10"/>
      <c r="AG9305" s="10"/>
      <c r="AH9305" s="10"/>
      <c r="AI9305" s="10"/>
      <c r="AJ9305" s="10"/>
      <c r="AK9305" s="10"/>
      <c r="AL9305" s="10"/>
      <c r="AM9305" s="10"/>
      <c r="AN9305" s="10"/>
      <c r="AO9305" s="10"/>
      <c r="AP9305" s="10"/>
      <c r="AQ9305" s="10"/>
      <c r="AR9305" s="10"/>
      <c r="AS9305" s="10"/>
      <c r="AT9305" s="10"/>
      <c r="AU9305" s="10"/>
      <c r="AV9305" s="10"/>
      <c r="AW9305" s="10"/>
      <c r="AX9305" s="10"/>
      <c r="AY9305" s="10"/>
      <c r="AZ9305" s="10"/>
    </row>
    <row r="9306" spans="31:52">
      <c r="AE9306" s="10"/>
      <c r="AF9306" s="10"/>
      <c r="AG9306" s="10"/>
      <c r="AH9306" s="10"/>
      <c r="AI9306" s="10"/>
      <c r="AJ9306" s="10"/>
      <c r="AK9306" s="10"/>
      <c r="AL9306" s="10"/>
      <c r="AM9306" s="10"/>
      <c r="AN9306" s="10"/>
      <c r="AO9306" s="10"/>
      <c r="AP9306" s="10"/>
      <c r="AQ9306" s="10"/>
      <c r="AR9306" s="10"/>
      <c r="AS9306" s="10"/>
      <c r="AT9306" s="10"/>
      <c r="AU9306" s="10"/>
      <c r="AV9306" s="10"/>
      <c r="AW9306" s="10"/>
      <c r="AX9306" s="10"/>
      <c r="AY9306" s="10"/>
      <c r="AZ9306" s="10"/>
    </row>
    <row r="9307" spans="31:52">
      <c r="AE9307" s="10"/>
      <c r="AF9307" s="10"/>
      <c r="AG9307" s="10"/>
      <c r="AH9307" s="10"/>
      <c r="AI9307" s="10"/>
      <c r="AJ9307" s="10"/>
      <c r="AK9307" s="10"/>
      <c r="AL9307" s="10"/>
      <c r="AM9307" s="10"/>
      <c r="AN9307" s="10"/>
      <c r="AO9307" s="10"/>
      <c r="AP9307" s="10"/>
      <c r="AQ9307" s="10"/>
      <c r="AR9307" s="10"/>
      <c r="AS9307" s="10"/>
      <c r="AT9307" s="10"/>
      <c r="AU9307" s="10"/>
      <c r="AV9307" s="10"/>
      <c r="AW9307" s="10"/>
      <c r="AX9307" s="10"/>
      <c r="AY9307" s="10"/>
      <c r="AZ9307" s="10"/>
    </row>
    <row r="9308" spans="31:52">
      <c r="AE9308" s="10"/>
      <c r="AF9308" s="10"/>
      <c r="AG9308" s="10"/>
      <c r="AH9308" s="10"/>
      <c r="AI9308" s="10"/>
      <c r="AJ9308" s="10"/>
      <c r="AK9308" s="10"/>
      <c r="AL9308" s="10"/>
      <c r="AM9308" s="10"/>
      <c r="AN9308" s="10"/>
      <c r="AO9308" s="10"/>
      <c r="AP9308" s="10"/>
      <c r="AQ9308" s="10"/>
      <c r="AR9308" s="10"/>
      <c r="AS9308" s="10"/>
      <c r="AT9308" s="10"/>
      <c r="AU9308" s="10"/>
      <c r="AV9308" s="10"/>
      <c r="AW9308" s="10"/>
      <c r="AX9308" s="10"/>
      <c r="AY9308" s="10"/>
      <c r="AZ9308" s="10"/>
    </row>
    <row r="9309" spans="31:52">
      <c r="AE9309" s="10"/>
      <c r="AF9309" s="10"/>
      <c r="AG9309" s="10"/>
      <c r="AH9309" s="10"/>
      <c r="AI9309" s="10"/>
      <c r="AJ9309" s="10"/>
      <c r="AK9309" s="10"/>
      <c r="AL9309" s="10"/>
      <c r="AM9309" s="10"/>
      <c r="AN9309" s="10"/>
      <c r="AO9309" s="10"/>
      <c r="AP9309" s="10"/>
      <c r="AQ9309" s="10"/>
      <c r="AR9309" s="10"/>
      <c r="AS9309" s="10"/>
      <c r="AT9309" s="10"/>
      <c r="AU9309" s="10"/>
      <c r="AV9309" s="10"/>
      <c r="AW9309" s="10"/>
      <c r="AX9309" s="10"/>
      <c r="AY9309" s="10"/>
      <c r="AZ9309" s="10"/>
    </row>
    <row r="9310" spans="31:52">
      <c r="AE9310" s="10"/>
      <c r="AF9310" s="10"/>
      <c r="AG9310" s="10"/>
      <c r="AH9310" s="10"/>
      <c r="AI9310" s="10"/>
      <c r="AJ9310" s="10"/>
      <c r="AK9310" s="10"/>
      <c r="AL9310" s="10"/>
      <c r="AM9310" s="10"/>
      <c r="AN9310" s="10"/>
      <c r="AO9310" s="10"/>
      <c r="AP9310" s="10"/>
      <c r="AQ9310" s="10"/>
      <c r="AR9310" s="10"/>
      <c r="AS9310" s="10"/>
      <c r="AT9310" s="10"/>
      <c r="AU9310" s="10"/>
      <c r="AV9310" s="10"/>
      <c r="AW9310" s="10"/>
      <c r="AX9310" s="10"/>
      <c r="AY9310" s="10"/>
      <c r="AZ9310" s="10"/>
    </row>
    <row r="9311" spans="31:52">
      <c r="AE9311" s="10"/>
      <c r="AF9311" s="10"/>
      <c r="AG9311" s="10"/>
      <c r="AH9311" s="10"/>
      <c r="AI9311" s="10"/>
      <c r="AJ9311" s="10"/>
      <c r="AK9311" s="10"/>
      <c r="AL9311" s="10"/>
      <c r="AM9311" s="10"/>
      <c r="AN9311" s="10"/>
      <c r="AO9311" s="10"/>
      <c r="AP9311" s="10"/>
      <c r="AQ9311" s="10"/>
      <c r="AR9311" s="10"/>
      <c r="AS9311" s="10"/>
      <c r="AT9311" s="10"/>
      <c r="AU9311" s="10"/>
      <c r="AV9311" s="10"/>
      <c r="AW9311" s="10"/>
      <c r="AX9311" s="10"/>
      <c r="AY9311" s="10"/>
      <c r="AZ9311" s="10"/>
    </row>
    <row r="9312" spans="31:52">
      <c r="AE9312" s="10"/>
      <c r="AF9312" s="10"/>
      <c r="AG9312" s="10"/>
      <c r="AH9312" s="10"/>
      <c r="AI9312" s="10"/>
      <c r="AJ9312" s="10"/>
      <c r="AK9312" s="10"/>
      <c r="AL9312" s="10"/>
      <c r="AM9312" s="10"/>
      <c r="AN9312" s="10"/>
      <c r="AO9312" s="10"/>
      <c r="AP9312" s="10"/>
      <c r="AQ9312" s="10"/>
      <c r="AR9312" s="10"/>
      <c r="AS9312" s="10"/>
      <c r="AT9312" s="10"/>
      <c r="AU9312" s="10"/>
      <c r="AV9312" s="10"/>
      <c r="AW9312" s="10"/>
      <c r="AX9312" s="10"/>
      <c r="AY9312" s="10"/>
      <c r="AZ9312" s="10"/>
    </row>
    <row r="9313" spans="31:52">
      <c r="AE9313" s="10"/>
      <c r="AF9313" s="10"/>
      <c r="AG9313" s="10"/>
      <c r="AH9313" s="10"/>
      <c r="AI9313" s="10"/>
      <c r="AJ9313" s="10"/>
      <c r="AK9313" s="10"/>
      <c r="AL9313" s="10"/>
      <c r="AM9313" s="10"/>
      <c r="AN9313" s="10"/>
      <c r="AO9313" s="10"/>
      <c r="AP9313" s="10"/>
      <c r="AQ9313" s="10"/>
      <c r="AR9313" s="10"/>
      <c r="AS9313" s="10"/>
      <c r="AT9313" s="10"/>
      <c r="AU9313" s="10"/>
      <c r="AV9313" s="10"/>
      <c r="AW9313" s="10"/>
      <c r="AX9313" s="10"/>
      <c r="AY9313" s="10"/>
      <c r="AZ9313" s="10"/>
    </row>
    <row r="9314" spans="31:52">
      <c r="AE9314" s="10"/>
      <c r="AF9314" s="10"/>
      <c r="AG9314" s="10"/>
      <c r="AH9314" s="10"/>
      <c r="AI9314" s="10"/>
      <c r="AJ9314" s="10"/>
      <c r="AK9314" s="10"/>
      <c r="AL9314" s="10"/>
      <c r="AM9314" s="10"/>
      <c r="AN9314" s="10"/>
      <c r="AO9314" s="10"/>
      <c r="AP9314" s="10"/>
      <c r="AQ9314" s="10"/>
      <c r="AR9314" s="10"/>
      <c r="AS9314" s="10"/>
      <c r="AT9314" s="10"/>
      <c r="AU9314" s="10"/>
      <c r="AV9314" s="10"/>
      <c r="AW9314" s="10"/>
      <c r="AX9314" s="10"/>
      <c r="AY9314" s="10"/>
      <c r="AZ9314" s="10"/>
    </row>
    <row r="9315" spans="31:52">
      <c r="AE9315" s="10"/>
      <c r="AF9315" s="10"/>
      <c r="AG9315" s="10"/>
      <c r="AH9315" s="10"/>
      <c r="AI9315" s="10"/>
      <c r="AJ9315" s="10"/>
      <c r="AK9315" s="10"/>
      <c r="AL9315" s="10"/>
      <c r="AM9315" s="10"/>
      <c r="AN9315" s="10"/>
      <c r="AO9315" s="10"/>
      <c r="AP9315" s="10"/>
      <c r="AQ9315" s="10"/>
      <c r="AR9315" s="10"/>
      <c r="AS9315" s="10"/>
      <c r="AT9315" s="10"/>
      <c r="AU9315" s="10"/>
      <c r="AV9315" s="10"/>
      <c r="AW9315" s="10"/>
      <c r="AX9315" s="10"/>
      <c r="AY9315" s="10"/>
      <c r="AZ9315" s="10"/>
    </row>
    <row r="9316" spans="31:52">
      <c r="AE9316" s="10"/>
      <c r="AF9316" s="10"/>
      <c r="AG9316" s="10"/>
      <c r="AH9316" s="10"/>
      <c r="AI9316" s="10"/>
      <c r="AJ9316" s="10"/>
      <c r="AK9316" s="10"/>
      <c r="AL9316" s="10"/>
      <c r="AM9316" s="10"/>
      <c r="AN9316" s="10"/>
      <c r="AO9316" s="10"/>
      <c r="AP9316" s="10"/>
      <c r="AQ9316" s="10"/>
      <c r="AR9316" s="10"/>
      <c r="AS9316" s="10"/>
      <c r="AT9316" s="10"/>
      <c r="AU9316" s="10"/>
      <c r="AV9316" s="10"/>
      <c r="AW9316" s="10"/>
      <c r="AX9316" s="10"/>
      <c r="AY9316" s="10"/>
      <c r="AZ9316" s="10"/>
    </row>
    <row r="9317" spans="31:52">
      <c r="AE9317" s="10"/>
      <c r="AF9317" s="10"/>
      <c r="AG9317" s="10"/>
      <c r="AH9317" s="10"/>
      <c r="AI9317" s="10"/>
      <c r="AJ9317" s="10"/>
      <c r="AK9317" s="10"/>
      <c r="AL9317" s="10"/>
      <c r="AM9317" s="10"/>
      <c r="AN9317" s="10"/>
      <c r="AO9317" s="10"/>
      <c r="AP9317" s="10"/>
      <c r="AQ9317" s="10"/>
      <c r="AR9317" s="10"/>
      <c r="AS9317" s="10"/>
      <c r="AT9317" s="10"/>
      <c r="AU9317" s="10"/>
      <c r="AV9317" s="10"/>
      <c r="AW9317" s="10"/>
      <c r="AX9317" s="10"/>
      <c r="AY9317" s="10"/>
      <c r="AZ9317" s="10"/>
    </row>
    <row r="9318" spans="31:52">
      <c r="AE9318" s="10"/>
      <c r="AF9318" s="10"/>
      <c r="AG9318" s="10"/>
      <c r="AH9318" s="10"/>
      <c r="AI9318" s="10"/>
      <c r="AJ9318" s="10"/>
      <c r="AK9318" s="10"/>
      <c r="AL9318" s="10"/>
      <c r="AM9318" s="10"/>
      <c r="AN9318" s="10"/>
      <c r="AO9318" s="10"/>
      <c r="AP9318" s="10"/>
      <c r="AQ9318" s="10"/>
      <c r="AR9318" s="10"/>
      <c r="AS9318" s="10"/>
      <c r="AT9318" s="10"/>
      <c r="AU9318" s="10"/>
      <c r="AV9318" s="10"/>
      <c r="AW9318" s="10"/>
      <c r="AX9318" s="10"/>
      <c r="AY9318" s="10"/>
      <c r="AZ9318" s="10"/>
    </row>
    <row r="9319" spans="31:52">
      <c r="AE9319" s="10"/>
      <c r="AF9319" s="10"/>
      <c r="AG9319" s="10"/>
      <c r="AH9319" s="10"/>
      <c r="AI9319" s="10"/>
      <c r="AJ9319" s="10"/>
      <c r="AK9319" s="10"/>
      <c r="AL9319" s="10"/>
      <c r="AM9319" s="10"/>
      <c r="AN9319" s="10"/>
      <c r="AO9319" s="10"/>
      <c r="AP9319" s="10"/>
      <c r="AQ9319" s="10"/>
      <c r="AR9319" s="10"/>
      <c r="AS9319" s="10"/>
      <c r="AT9319" s="10"/>
      <c r="AU9319" s="10"/>
      <c r="AV9319" s="10"/>
      <c r="AW9319" s="10"/>
      <c r="AX9319" s="10"/>
      <c r="AY9319" s="10"/>
      <c r="AZ9319" s="10"/>
    </row>
    <row r="9320" spans="31:52">
      <c r="AE9320" s="10"/>
      <c r="AF9320" s="10"/>
      <c r="AG9320" s="10"/>
      <c r="AH9320" s="10"/>
      <c r="AI9320" s="10"/>
      <c r="AJ9320" s="10"/>
      <c r="AK9320" s="10"/>
      <c r="AL9320" s="10"/>
      <c r="AM9320" s="10"/>
      <c r="AN9320" s="10"/>
      <c r="AO9320" s="10"/>
      <c r="AP9320" s="10"/>
      <c r="AQ9320" s="10"/>
      <c r="AR9320" s="10"/>
      <c r="AS9320" s="10"/>
      <c r="AT9320" s="10"/>
      <c r="AU9320" s="10"/>
      <c r="AV9320" s="10"/>
      <c r="AW9320" s="10"/>
      <c r="AX9320" s="10"/>
      <c r="AY9320" s="10"/>
      <c r="AZ9320" s="10"/>
    </row>
    <row r="9321" spans="31:52">
      <c r="AE9321" s="10"/>
      <c r="AF9321" s="10"/>
      <c r="AG9321" s="10"/>
      <c r="AH9321" s="10"/>
      <c r="AI9321" s="10"/>
      <c r="AJ9321" s="10"/>
      <c r="AK9321" s="10"/>
      <c r="AL9321" s="10"/>
      <c r="AM9321" s="10"/>
      <c r="AN9321" s="10"/>
      <c r="AO9321" s="10"/>
      <c r="AP9321" s="10"/>
      <c r="AQ9321" s="10"/>
      <c r="AR9321" s="10"/>
      <c r="AS9321" s="10"/>
      <c r="AT9321" s="10"/>
      <c r="AU9321" s="10"/>
      <c r="AV9321" s="10"/>
      <c r="AW9321" s="10"/>
      <c r="AX9321" s="10"/>
      <c r="AY9321" s="10"/>
      <c r="AZ9321" s="10"/>
    </row>
    <row r="9322" spans="31:52">
      <c r="AE9322" s="10"/>
      <c r="AF9322" s="10"/>
      <c r="AG9322" s="10"/>
      <c r="AH9322" s="10"/>
      <c r="AI9322" s="10"/>
      <c r="AJ9322" s="10"/>
      <c r="AK9322" s="10"/>
      <c r="AL9322" s="10"/>
      <c r="AM9322" s="10"/>
      <c r="AN9322" s="10"/>
      <c r="AO9322" s="10"/>
      <c r="AP9322" s="10"/>
      <c r="AQ9322" s="10"/>
      <c r="AR9322" s="10"/>
      <c r="AS9322" s="10"/>
      <c r="AT9322" s="10"/>
      <c r="AU9322" s="10"/>
      <c r="AV9322" s="10"/>
      <c r="AW9322" s="10"/>
      <c r="AX9322" s="10"/>
      <c r="AY9322" s="10"/>
      <c r="AZ9322" s="10"/>
    </row>
    <row r="9323" spans="31:52">
      <c r="AE9323" s="10"/>
      <c r="AF9323" s="10"/>
      <c r="AG9323" s="10"/>
      <c r="AH9323" s="10"/>
      <c r="AI9323" s="10"/>
      <c r="AJ9323" s="10"/>
      <c r="AK9323" s="10"/>
      <c r="AL9323" s="10"/>
      <c r="AM9323" s="10"/>
      <c r="AN9323" s="10"/>
      <c r="AO9323" s="10"/>
      <c r="AP9323" s="10"/>
      <c r="AQ9323" s="10"/>
      <c r="AR9323" s="10"/>
      <c r="AS9323" s="10"/>
      <c r="AT9323" s="10"/>
      <c r="AU9323" s="10"/>
      <c r="AV9323" s="10"/>
      <c r="AW9323" s="10"/>
      <c r="AX9323" s="10"/>
      <c r="AY9323" s="10"/>
      <c r="AZ9323" s="10"/>
    </row>
    <row r="9324" spans="31:52">
      <c r="AE9324" s="10"/>
      <c r="AF9324" s="10"/>
      <c r="AG9324" s="10"/>
      <c r="AH9324" s="10"/>
      <c r="AI9324" s="10"/>
      <c r="AJ9324" s="10"/>
      <c r="AK9324" s="10"/>
      <c r="AL9324" s="10"/>
      <c r="AM9324" s="10"/>
      <c r="AN9324" s="10"/>
      <c r="AO9324" s="10"/>
      <c r="AP9324" s="10"/>
      <c r="AQ9324" s="10"/>
      <c r="AR9324" s="10"/>
      <c r="AS9324" s="10"/>
      <c r="AT9324" s="10"/>
      <c r="AU9324" s="10"/>
      <c r="AV9324" s="10"/>
      <c r="AW9324" s="10"/>
      <c r="AX9324" s="10"/>
      <c r="AY9324" s="10"/>
      <c r="AZ9324" s="10"/>
    </row>
    <row r="9325" spans="31:52">
      <c r="AE9325" s="10"/>
      <c r="AF9325" s="10"/>
      <c r="AG9325" s="10"/>
      <c r="AH9325" s="10"/>
      <c r="AI9325" s="10"/>
      <c r="AJ9325" s="10"/>
      <c r="AK9325" s="10"/>
      <c r="AL9325" s="10"/>
      <c r="AM9325" s="10"/>
      <c r="AN9325" s="10"/>
      <c r="AO9325" s="10"/>
      <c r="AP9325" s="10"/>
      <c r="AQ9325" s="10"/>
      <c r="AR9325" s="10"/>
      <c r="AS9325" s="10"/>
      <c r="AT9325" s="10"/>
      <c r="AU9325" s="10"/>
      <c r="AV9325" s="10"/>
      <c r="AW9325" s="10"/>
      <c r="AX9325" s="10"/>
      <c r="AY9325" s="10"/>
      <c r="AZ9325" s="10"/>
    </row>
    <row r="9326" spans="31:52">
      <c r="AE9326" s="10"/>
      <c r="AF9326" s="10"/>
      <c r="AG9326" s="10"/>
      <c r="AH9326" s="10"/>
      <c r="AI9326" s="10"/>
      <c r="AJ9326" s="10"/>
      <c r="AK9326" s="10"/>
      <c r="AL9326" s="10"/>
      <c r="AM9326" s="10"/>
      <c r="AN9326" s="10"/>
      <c r="AO9326" s="10"/>
      <c r="AP9326" s="10"/>
      <c r="AQ9326" s="10"/>
      <c r="AR9326" s="10"/>
      <c r="AS9326" s="10"/>
      <c r="AT9326" s="10"/>
      <c r="AU9326" s="10"/>
      <c r="AV9326" s="10"/>
      <c r="AW9326" s="10"/>
      <c r="AX9326" s="10"/>
      <c r="AY9326" s="10"/>
      <c r="AZ9326" s="10"/>
    </row>
    <row r="9327" spans="31:52">
      <c r="AE9327" s="10"/>
      <c r="AF9327" s="10"/>
      <c r="AG9327" s="10"/>
      <c r="AH9327" s="10"/>
      <c r="AI9327" s="10"/>
      <c r="AJ9327" s="10"/>
      <c r="AK9327" s="10"/>
      <c r="AL9327" s="10"/>
      <c r="AM9327" s="10"/>
      <c r="AN9327" s="10"/>
      <c r="AO9327" s="10"/>
      <c r="AP9327" s="10"/>
      <c r="AQ9327" s="10"/>
      <c r="AR9327" s="10"/>
      <c r="AS9327" s="10"/>
      <c r="AT9327" s="10"/>
      <c r="AU9327" s="10"/>
      <c r="AV9327" s="10"/>
      <c r="AW9327" s="10"/>
      <c r="AX9327" s="10"/>
      <c r="AY9327" s="10"/>
      <c r="AZ9327" s="10"/>
    </row>
    <row r="9328" spans="31:52">
      <c r="AE9328" s="10"/>
      <c r="AF9328" s="10"/>
      <c r="AG9328" s="10"/>
      <c r="AH9328" s="10"/>
      <c r="AI9328" s="10"/>
      <c r="AJ9328" s="10"/>
      <c r="AK9328" s="10"/>
      <c r="AL9328" s="10"/>
      <c r="AM9328" s="10"/>
      <c r="AN9328" s="10"/>
      <c r="AO9328" s="10"/>
      <c r="AP9328" s="10"/>
      <c r="AQ9328" s="10"/>
      <c r="AR9328" s="10"/>
      <c r="AS9328" s="10"/>
      <c r="AT9328" s="10"/>
      <c r="AU9328" s="10"/>
      <c r="AV9328" s="10"/>
      <c r="AW9328" s="10"/>
      <c r="AX9328" s="10"/>
      <c r="AY9328" s="10"/>
      <c r="AZ9328" s="10"/>
    </row>
    <row r="9329" spans="31:52">
      <c r="AE9329" s="10"/>
      <c r="AF9329" s="10"/>
      <c r="AG9329" s="10"/>
      <c r="AH9329" s="10"/>
      <c r="AI9329" s="10"/>
      <c r="AJ9329" s="10"/>
      <c r="AK9329" s="10"/>
      <c r="AL9329" s="10"/>
      <c r="AM9329" s="10"/>
      <c r="AN9329" s="10"/>
      <c r="AO9329" s="10"/>
      <c r="AP9329" s="10"/>
      <c r="AQ9329" s="10"/>
      <c r="AR9329" s="10"/>
      <c r="AS9329" s="10"/>
      <c r="AT9329" s="10"/>
      <c r="AU9329" s="10"/>
      <c r="AV9329" s="10"/>
      <c r="AW9329" s="10"/>
      <c r="AX9329" s="10"/>
      <c r="AY9329" s="10"/>
      <c r="AZ9329" s="10"/>
    </row>
    <row r="9330" spans="31:52">
      <c r="AE9330" s="10"/>
      <c r="AF9330" s="10"/>
      <c r="AG9330" s="10"/>
      <c r="AH9330" s="10"/>
      <c r="AI9330" s="10"/>
      <c r="AJ9330" s="10"/>
      <c r="AK9330" s="10"/>
      <c r="AL9330" s="10"/>
      <c r="AM9330" s="10"/>
      <c r="AN9330" s="10"/>
      <c r="AO9330" s="10"/>
      <c r="AP9330" s="10"/>
      <c r="AQ9330" s="10"/>
      <c r="AR9330" s="10"/>
      <c r="AS9330" s="10"/>
      <c r="AT9330" s="10"/>
      <c r="AU9330" s="10"/>
      <c r="AV9330" s="10"/>
      <c r="AW9330" s="10"/>
      <c r="AX9330" s="10"/>
      <c r="AY9330" s="10"/>
      <c r="AZ9330" s="10"/>
    </row>
    <row r="9331" spans="31:52">
      <c r="AE9331" s="10"/>
      <c r="AF9331" s="10"/>
      <c r="AG9331" s="10"/>
      <c r="AH9331" s="10"/>
      <c r="AI9331" s="10"/>
      <c r="AJ9331" s="10"/>
      <c r="AK9331" s="10"/>
      <c r="AL9331" s="10"/>
      <c r="AM9331" s="10"/>
      <c r="AN9331" s="10"/>
      <c r="AO9331" s="10"/>
      <c r="AP9331" s="10"/>
      <c r="AQ9331" s="10"/>
      <c r="AR9331" s="10"/>
      <c r="AS9331" s="10"/>
      <c r="AT9331" s="10"/>
      <c r="AU9331" s="10"/>
      <c r="AV9331" s="10"/>
      <c r="AW9331" s="10"/>
      <c r="AX9331" s="10"/>
      <c r="AY9331" s="10"/>
      <c r="AZ9331" s="10"/>
    </row>
    <row r="9332" spans="31:52">
      <c r="AE9332" s="10"/>
      <c r="AF9332" s="10"/>
      <c r="AG9332" s="10"/>
      <c r="AH9332" s="10"/>
      <c r="AI9332" s="10"/>
      <c r="AJ9332" s="10"/>
      <c r="AK9332" s="10"/>
      <c r="AL9332" s="10"/>
      <c r="AM9332" s="10"/>
      <c r="AN9332" s="10"/>
      <c r="AO9332" s="10"/>
      <c r="AP9332" s="10"/>
      <c r="AQ9332" s="10"/>
      <c r="AR9332" s="10"/>
      <c r="AS9332" s="10"/>
      <c r="AT9332" s="10"/>
      <c r="AU9332" s="10"/>
      <c r="AV9332" s="10"/>
      <c r="AW9332" s="10"/>
      <c r="AX9332" s="10"/>
      <c r="AY9332" s="10"/>
      <c r="AZ9332" s="10"/>
    </row>
    <row r="9333" spans="31:52">
      <c r="AE9333" s="10"/>
      <c r="AF9333" s="10"/>
      <c r="AG9333" s="10"/>
      <c r="AH9333" s="10"/>
      <c r="AI9333" s="10"/>
      <c r="AJ9333" s="10"/>
      <c r="AK9333" s="10"/>
      <c r="AL9333" s="10"/>
      <c r="AM9333" s="10"/>
      <c r="AN9333" s="10"/>
      <c r="AO9333" s="10"/>
      <c r="AP9333" s="10"/>
      <c r="AQ9333" s="10"/>
      <c r="AR9333" s="10"/>
      <c r="AS9333" s="10"/>
      <c r="AT9333" s="10"/>
      <c r="AU9333" s="10"/>
      <c r="AV9333" s="10"/>
      <c r="AW9333" s="10"/>
      <c r="AX9333" s="10"/>
      <c r="AY9333" s="10"/>
      <c r="AZ9333" s="10"/>
    </row>
    <row r="9334" spans="31:52">
      <c r="AE9334" s="10"/>
      <c r="AF9334" s="10"/>
      <c r="AG9334" s="10"/>
      <c r="AH9334" s="10"/>
      <c r="AI9334" s="10"/>
      <c r="AJ9334" s="10"/>
      <c r="AK9334" s="10"/>
      <c r="AL9334" s="10"/>
      <c r="AM9334" s="10"/>
      <c r="AN9334" s="10"/>
      <c r="AO9334" s="10"/>
      <c r="AP9334" s="10"/>
      <c r="AQ9334" s="10"/>
      <c r="AR9334" s="10"/>
      <c r="AS9334" s="10"/>
      <c r="AT9334" s="10"/>
      <c r="AU9334" s="10"/>
      <c r="AV9334" s="10"/>
      <c r="AW9334" s="10"/>
      <c r="AX9334" s="10"/>
      <c r="AY9334" s="10"/>
      <c r="AZ9334" s="10"/>
    </row>
    <row r="9335" spans="31:52">
      <c r="AE9335" s="10"/>
      <c r="AF9335" s="10"/>
      <c r="AG9335" s="10"/>
      <c r="AH9335" s="10"/>
      <c r="AI9335" s="10"/>
      <c r="AJ9335" s="10"/>
      <c r="AK9335" s="10"/>
      <c r="AL9335" s="10"/>
      <c r="AM9335" s="10"/>
      <c r="AN9335" s="10"/>
      <c r="AO9335" s="10"/>
      <c r="AP9335" s="10"/>
      <c r="AQ9335" s="10"/>
      <c r="AR9335" s="10"/>
      <c r="AS9335" s="10"/>
      <c r="AT9335" s="10"/>
      <c r="AU9335" s="10"/>
      <c r="AV9335" s="10"/>
      <c r="AW9335" s="10"/>
      <c r="AX9335" s="10"/>
      <c r="AY9335" s="10"/>
      <c r="AZ9335" s="10"/>
    </row>
    <row r="9336" spans="31:52">
      <c r="AE9336" s="10"/>
      <c r="AF9336" s="10"/>
      <c r="AG9336" s="10"/>
      <c r="AH9336" s="10"/>
      <c r="AI9336" s="10"/>
      <c r="AJ9336" s="10"/>
      <c r="AK9336" s="10"/>
      <c r="AL9336" s="10"/>
      <c r="AM9336" s="10"/>
      <c r="AN9336" s="10"/>
      <c r="AO9336" s="10"/>
      <c r="AP9336" s="10"/>
      <c r="AQ9336" s="10"/>
      <c r="AR9336" s="10"/>
      <c r="AS9336" s="10"/>
      <c r="AT9336" s="10"/>
      <c r="AU9336" s="10"/>
      <c r="AV9336" s="10"/>
      <c r="AW9336" s="10"/>
      <c r="AX9336" s="10"/>
      <c r="AY9336" s="10"/>
      <c r="AZ9336" s="10"/>
    </row>
    <row r="9337" spans="31:52">
      <c r="AE9337" s="10"/>
      <c r="AF9337" s="10"/>
      <c r="AG9337" s="10"/>
      <c r="AH9337" s="10"/>
      <c r="AI9337" s="10"/>
      <c r="AJ9337" s="10"/>
      <c r="AK9337" s="10"/>
      <c r="AL9337" s="10"/>
      <c r="AM9337" s="10"/>
      <c r="AN9337" s="10"/>
      <c r="AO9337" s="10"/>
      <c r="AP9337" s="10"/>
      <c r="AQ9337" s="10"/>
      <c r="AR9337" s="10"/>
      <c r="AS9337" s="10"/>
      <c r="AT9337" s="10"/>
      <c r="AU9337" s="10"/>
      <c r="AV9337" s="10"/>
      <c r="AW9337" s="10"/>
      <c r="AX9337" s="10"/>
      <c r="AY9337" s="10"/>
      <c r="AZ9337" s="10"/>
    </row>
    <row r="9338" spans="31:52">
      <c r="AE9338" s="10"/>
      <c r="AF9338" s="10"/>
      <c r="AG9338" s="10"/>
      <c r="AH9338" s="10"/>
      <c r="AI9338" s="10"/>
      <c r="AJ9338" s="10"/>
      <c r="AK9338" s="10"/>
      <c r="AL9338" s="10"/>
      <c r="AM9338" s="10"/>
      <c r="AN9338" s="10"/>
      <c r="AO9338" s="10"/>
      <c r="AP9338" s="10"/>
      <c r="AQ9338" s="10"/>
      <c r="AR9338" s="10"/>
      <c r="AS9338" s="10"/>
      <c r="AT9338" s="10"/>
      <c r="AU9338" s="10"/>
      <c r="AV9338" s="10"/>
      <c r="AW9338" s="10"/>
      <c r="AX9338" s="10"/>
      <c r="AY9338" s="10"/>
      <c r="AZ9338" s="10"/>
    </row>
    <row r="9339" spans="31:52">
      <c r="AE9339" s="10"/>
      <c r="AF9339" s="10"/>
      <c r="AG9339" s="10"/>
      <c r="AH9339" s="10"/>
      <c r="AI9339" s="10"/>
      <c r="AJ9339" s="10"/>
      <c r="AK9339" s="10"/>
      <c r="AL9339" s="10"/>
      <c r="AM9339" s="10"/>
      <c r="AN9339" s="10"/>
      <c r="AO9339" s="10"/>
      <c r="AP9339" s="10"/>
      <c r="AQ9339" s="10"/>
      <c r="AR9339" s="10"/>
      <c r="AS9339" s="10"/>
      <c r="AT9339" s="10"/>
      <c r="AU9339" s="10"/>
      <c r="AV9339" s="10"/>
      <c r="AW9339" s="10"/>
      <c r="AX9339" s="10"/>
      <c r="AY9339" s="10"/>
      <c r="AZ9339" s="10"/>
    </row>
    <row r="9340" spans="31:52">
      <c r="AE9340" s="10"/>
      <c r="AF9340" s="10"/>
      <c r="AG9340" s="10"/>
      <c r="AH9340" s="10"/>
      <c r="AI9340" s="10"/>
      <c r="AJ9340" s="10"/>
      <c r="AK9340" s="10"/>
      <c r="AL9340" s="10"/>
      <c r="AM9340" s="10"/>
      <c r="AN9340" s="10"/>
      <c r="AO9340" s="10"/>
      <c r="AP9340" s="10"/>
      <c r="AQ9340" s="10"/>
      <c r="AR9340" s="10"/>
      <c r="AS9340" s="10"/>
      <c r="AT9340" s="10"/>
      <c r="AU9340" s="10"/>
      <c r="AV9340" s="10"/>
      <c r="AW9340" s="10"/>
      <c r="AX9340" s="10"/>
      <c r="AY9340" s="10"/>
      <c r="AZ9340" s="10"/>
    </row>
    <row r="9341" spans="31:52">
      <c r="AE9341" s="10"/>
      <c r="AF9341" s="10"/>
      <c r="AG9341" s="10"/>
      <c r="AH9341" s="10"/>
      <c r="AI9341" s="10"/>
      <c r="AJ9341" s="10"/>
      <c r="AK9341" s="10"/>
      <c r="AL9341" s="10"/>
      <c r="AM9341" s="10"/>
      <c r="AN9341" s="10"/>
      <c r="AO9341" s="10"/>
      <c r="AP9341" s="10"/>
      <c r="AQ9341" s="10"/>
      <c r="AR9341" s="10"/>
      <c r="AS9341" s="10"/>
      <c r="AT9341" s="10"/>
      <c r="AU9341" s="10"/>
      <c r="AV9341" s="10"/>
      <c r="AW9341" s="10"/>
      <c r="AX9341" s="10"/>
      <c r="AY9341" s="10"/>
      <c r="AZ9341" s="10"/>
    </row>
    <row r="9342" spans="31:52">
      <c r="AE9342" s="10"/>
      <c r="AF9342" s="10"/>
      <c r="AG9342" s="10"/>
      <c r="AH9342" s="10"/>
      <c r="AI9342" s="10"/>
      <c r="AJ9342" s="10"/>
      <c r="AK9342" s="10"/>
      <c r="AL9342" s="10"/>
      <c r="AM9342" s="10"/>
      <c r="AN9342" s="10"/>
      <c r="AO9342" s="10"/>
      <c r="AP9342" s="10"/>
      <c r="AQ9342" s="10"/>
      <c r="AR9342" s="10"/>
      <c r="AS9342" s="10"/>
      <c r="AT9342" s="10"/>
      <c r="AU9342" s="10"/>
      <c r="AV9342" s="10"/>
      <c r="AW9342" s="10"/>
      <c r="AX9342" s="10"/>
      <c r="AY9342" s="10"/>
      <c r="AZ9342" s="10"/>
    </row>
    <row r="9343" spans="31:52">
      <c r="AE9343" s="10"/>
      <c r="AF9343" s="10"/>
      <c r="AG9343" s="10"/>
      <c r="AH9343" s="10"/>
      <c r="AI9343" s="10"/>
      <c r="AJ9343" s="10"/>
      <c r="AK9343" s="10"/>
      <c r="AL9343" s="10"/>
      <c r="AM9343" s="10"/>
      <c r="AN9343" s="10"/>
      <c r="AO9343" s="10"/>
      <c r="AP9343" s="10"/>
      <c r="AQ9343" s="10"/>
      <c r="AR9343" s="10"/>
      <c r="AS9343" s="10"/>
      <c r="AT9343" s="10"/>
      <c r="AU9343" s="10"/>
      <c r="AV9343" s="10"/>
      <c r="AW9343" s="10"/>
      <c r="AX9343" s="10"/>
      <c r="AY9343" s="10"/>
      <c r="AZ9343" s="10"/>
    </row>
    <row r="9344" spans="31:52">
      <c r="AE9344" s="10"/>
      <c r="AF9344" s="10"/>
      <c r="AG9344" s="10"/>
      <c r="AH9344" s="10"/>
      <c r="AI9344" s="10"/>
      <c r="AJ9344" s="10"/>
      <c r="AK9344" s="10"/>
      <c r="AL9344" s="10"/>
      <c r="AM9344" s="10"/>
      <c r="AN9344" s="10"/>
      <c r="AO9344" s="10"/>
      <c r="AP9344" s="10"/>
      <c r="AQ9344" s="10"/>
      <c r="AR9344" s="10"/>
      <c r="AS9344" s="10"/>
      <c r="AT9344" s="10"/>
      <c r="AU9344" s="10"/>
      <c r="AV9344" s="10"/>
      <c r="AW9344" s="10"/>
      <c r="AX9344" s="10"/>
      <c r="AY9344" s="10"/>
      <c r="AZ9344" s="10"/>
    </row>
    <row r="9345" spans="31:52">
      <c r="AE9345" s="10"/>
      <c r="AF9345" s="10"/>
      <c r="AG9345" s="10"/>
      <c r="AH9345" s="10"/>
      <c r="AI9345" s="10"/>
      <c r="AJ9345" s="10"/>
      <c r="AK9345" s="10"/>
      <c r="AL9345" s="10"/>
      <c r="AM9345" s="10"/>
      <c r="AN9345" s="10"/>
      <c r="AO9345" s="10"/>
      <c r="AP9345" s="10"/>
      <c r="AQ9345" s="10"/>
      <c r="AR9345" s="10"/>
      <c r="AS9345" s="10"/>
      <c r="AT9345" s="10"/>
      <c r="AU9345" s="10"/>
      <c r="AV9345" s="10"/>
      <c r="AW9345" s="10"/>
      <c r="AX9345" s="10"/>
      <c r="AY9345" s="10"/>
      <c r="AZ9345" s="10"/>
    </row>
    <row r="9346" spans="31:52">
      <c r="AE9346" s="10"/>
      <c r="AF9346" s="10"/>
      <c r="AG9346" s="10"/>
      <c r="AH9346" s="10"/>
      <c r="AI9346" s="10"/>
      <c r="AJ9346" s="10"/>
      <c r="AK9346" s="10"/>
      <c r="AL9346" s="10"/>
      <c r="AM9346" s="10"/>
      <c r="AN9346" s="10"/>
      <c r="AO9346" s="10"/>
      <c r="AP9346" s="10"/>
      <c r="AQ9346" s="10"/>
      <c r="AR9346" s="10"/>
      <c r="AS9346" s="10"/>
      <c r="AT9346" s="10"/>
      <c r="AU9346" s="10"/>
      <c r="AV9346" s="10"/>
      <c r="AW9346" s="10"/>
      <c r="AX9346" s="10"/>
      <c r="AY9346" s="10"/>
      <c r="AZ9346" s="10"/>
    </row>
    <row r="9347" spans="31:52">
      <c r="AE9347" s="10"/>
      <c r="AF9347" s="10"/>
      <c r="AG9347" s="10"/>
      <c r="AH9347" s="10"/>
      <c r="AI9347" s="10"/>
      <c r="AJ9347" s="10"/>
      <c r="AK9347" s="10"/>
      <c r="AL9347" s="10"/>
      <c r="AM9347" s="10"/>
      <c r="AN9347" s="10"/>
      <c r="AO9347" s="10"/>
      <c r="AP9347" s="10"/>
      <c r="AQ9347" s="10"/>
      <c r="AR9347" s="10"/>
      <c r="AS9347" s="10"/>
      <c r="AT9347" s="10"/>
      <c r="AU9347" s="10"/>
      <c r="AV9347" s="10"/>
      <c r="AW9347" s="10"/>
      <c r="AX9347" s="10"/>
      <c r="AY9347" s="10"/>
      <c r="AZ9347" s="10"/>
    </row>
    <row r="9348" spans="31:52">
      <c r="AE9348" s="10"/>
      <c r="AF9348" s="10"/>
      <c r="AG9348" s="10"/>
      <c r="AH9348" s="10"/>
      <c r="AI9348" s="10"/>
      <c r="AJ9348" s="10"/>
      <c r="AK9348" s="10"/>
      <c r="AL9348" s="10"/>
      <c r="AM9348" s="10"/>
      <c r="AN9348" s="10"/>
      <c r="AO9348" s="10"/>
      <c r="AP9348" s="10"/>
      <c r="AQ9348" s="10"/>
      <c r="AR9348" s="10"/>
      <c r="AS9348" s="10"/>
      <c r="AT9348" s="10"/>
      <c r="AU9348" s="10"/>
      <c r="AV9348" s="10"/>
      <c r="AW9348" s="10"/>
      <c r="AX9348" s="10"/>
      <c r="AY9348" s="10"/>
      <c r="AZ9348" s="10"/>
    </row>
    <row r="9349" spans="31:52">
      <c r="AE9349" s="10"/>
      <c r="AF9349" s="10"/>
      <c r="AG9349" s="10"/>
      <c r="AH9349" s="10"/>
      <c r="AI9349" s="10"/>
      <c r="AJ9349" s="10"/>
      <c r="AK9349" s="10"/>
      <c r="AL9349" s="10"/>
      <c r="AM9349" s="10"/>
      <c r="AN9349" s="10"/>
      <c r="AO9349" s="10"/>
      <c r="AP9349" s="10"/>
      <c r="AQ9349" s="10"/>
      <c r="AR9349" s="10"/>
      <c r="AS9349" s="10"/>
      <c r="AT9349" s="10"/>
      <c r="AU9349" s="10"/>
      <c r="AV9349" s="10"/>
      <c r="AW9349" s="10"/>
      <c r="AX9349" s="10"/>
      <c r="AY9349" s="10"/>
      <c r="AZ9349" s="10"/>
    </row>
    <row r="9350" spans="31:52">
      <c r="AE9350" s="10"/>
      <c r="AF9350" s="10"/>
      <c r="AG9350" s="10"/>
      <c r="AH9350" s="10"/>
      <c r="AI9350" s="10"/>
      <c r="AJ9350" s="10"/>
      <c r="AK9350" s="10"/>
      <c r="AL9350" s="10"/>
      <c r="AM9350" s="10"/>
      <c r="AN9350" s="10"/>
      <c r="AO9350" s="10"/>
      <c r="AP9350" s="10"/>
      <c r="AQ9350" s="10"/>
      <c r="AR9350" s="10"/>
      <c r="AS9350" s="10"/>
      <c r="AT9350" s="10"/>
      <c r="AU9350" s="10"/>
      <c r="AV9350" s="10"/>
      <c r="AW9350" s="10"/>
      <c r="AX9350" s="10"/>
      <c r="AY9350" s="10"/>
      <c r="AZ9350" s="10"/>
    </row>
    <row r="9351" spans="31:52">
      <c r="AE9351" s="10"/>
      <c r="AF9351" s="10"/>
      <c r="AG9351" s="10"/>
      <c r="AH9351" s="10"/>
      <c r="AI9351" s="10"/>
      <c r="AJ9351" s="10"/>
      <c r="AK9351" s="10"/>
      <c r="AL9351" s="10"/>
      <c r="AM9351" s="10"/>
      <c r="AN9351" s="10"/>
      <c r="AO9351" s="10"/>
      <c r="AP9351" s="10"/>
      <c r="AQ9351" s="10"/>
      <c r="AR9351" s="10"/>
      <c r="AS9351" s="10"/>
      <c r="AT9351" s="10"/>
      <c r="AU9351" s="10"/>
      <c r="AV9351" s="10"/>
      <c r="AW9351" s="10"/>
      <c r="AX9351" s="10"/>
      <c r="AY9351" s="10"/>
      <c r="AZ9351" s="10"/>
    </row>
    <row r="9352" spans="31:52">
      <c r="AE9352" s="10"/>
      <c r="AF9352" s="10"/>
      <c r="AG9352" s="10"/>
      <c r="AH9352" s="10"/>
      <c r="AI9352" s="10"/>
      <c r="AJ9352" s="10"/>
      <c r="AK9352" s="10"/>
      <c r="AL9352" s="10"/>
      <c r="AM9352" s="10"/>
      <c r="AN9352" s="10"/>
      <c r="AO9352" s="10"/>
      <c r="AP9352" s="10"/>
      <c r="AQ9352" s="10"/>
      <c r="AR9352" s="10"/>
      <c r="AS9352" s="10"/>
      <c r="AT9352" s="10"/>
      <c r="AU9352" s="10"/>
      <c r="AV9352" s="10"/>
      <c r="AW9352" s="10"/>
      <c r="AX9352" s="10"/>
      <c r="AY9352" s="10"/>
      <c r="AZ9352" s="10"/>
    </row>
    <row r="9353" spans="31:52">
      <c r="AE9353" s="10"/>
      <c r="AF9353" s="10"/>
      <c r="AG9353" s="10"/>
      <c r="AH9353" s="10"/>
      <c r="AI9353" s="10"/>
      <c r="AJ9353" s="10"/>
      <c r="AK9353" s="10"/>
      <c r="AL9353" s="10"/>
      <c r="AM9353" s="10"/>
      <c r="AN9353" s="10"/>
      <c r="AO9353" s="10"/>
      <c r="AP9353" s="10"/>
      <c r="AQ9353" s="10"/>
      <c r="AR9353" s="10"/>
      <c r="AS9353" s="10"/>
      <c r="AT9353" s="10"/>
      <c r="AU9353" s="10"/>
      <c r="AV9353" s="10"/>
      <c r="AW9353" s="10"/>
      <c r="AX9353" s="10"/>
      <c r="AY9353" s="10"/>
      <c r="AZ9353" s="10"/>
    </row>
    <row r="9354" spans="31:52">
      <c r="AE9354" s="10"/>
      <c r="AF9354" s="10"/>
      <c r="AG9354" s="10"/>
      <c r="AH9354" s="10"/>
      <c r="AI9354" s="10"/>
      <c r="AJ9354" s="10"/>
      <c r="AK9354" s="10"/>
      <c r="AL9354" s="10"/>
      <c r="AM9354" s="10"/>
      <c r="AN9354" s="10"/>
      <c r="AO9354" s="10"/>
      <c r="AP9354" s="10"/>
      <c r="AQ9354" s="10"/>
      <c r="AR9354" s="10"/>
      <c r="AS9354" s="10"/>
      <c r="AT9354" s="10"/>
      <c r="AU9354" s="10"/>
      <c r="AV9354" s="10"/>
      <c r="AW9354" s="10"/>
      <c r="AX9354" s="10"/>
      <c r="AY9354" s="10"/>
      <c r="AZ9354" s="10"/>
    </row>
    <row r="9355" spans="31:52">
      <c r="AE9355" s="10"/>
      <c r="AF9355" s="10"/>
      <c r="AG9355" s="10"/>
      <c r="AH9355" s="10"/>
      <c r="AI9355" s="10"/>
      <c r="AJ9355" s="10"/>
      <c r="AK9355" s="10"/>
      <c r="AL9355" s="10"/>
      <c r="AM9355" s="10"/>
      <c r="AN9355" s="10"/>
      <c r="AO9355" s="10"/>
      <c r="AP9355" s="10"/>
      <c r="AQ9355" s="10"/>
      <c r="AR9355" s="10"/>
      <c r="AS9355" s="10"/>
      <c r="AT9355" s="10"/>
      <c r="AU9355" s="10"/>
      <c r="AV9355" s="10"/>
      <c r="AW9355" s="10"/>
      <c r="AX9355" s="10"/>
      <c r="AY9355" s="10"/>
      <c r="AZ9355" s="10"/>
    </row>
    <row r="9356" spans="31:52">
      <c r="AE9356" s="10"/>
      <c r="AF9356" s="10"/>
      <c r="AG9356" s="10"/>
      <c r="AH9356" s="10"/>
      <c r="AI9356" s="10"/>
      <c r="AJ9356" s="10"/>
      <c r="AK9356" s="10"/>
      <c r="AL9356" s="10"/>
      <c r="AM9356" s="10"/>
      <c r="AN9356" s="10"/>
      <c r="AO9356" s="10"/>
      <c r="AP9356" s="10"/>
      <c r="AQ9356" s="10"/>
      <c r="AR9356" s="10"/>
      <c r="AS9356" s="10"/>
      <c r="AT9356" s="10"/>
      <c r="AU9356" s="10"/>
      <c r="AV9356" s="10"/>
      <c r="AW9356" s="10"/>
      <c r="AX9356" s="10"/>
      <c r="AY9356" s="10"/>
      <c r="AZ9356" s="10"/>
    </row>
    <row r="9357" spans="31:52">
      <c r="AE9357" s="10"/>
      <c r="AF9357" s="10"/>
      <c r="AG9357" s="10"/>
      <c r="AH9357" s="10"/>
      <c r="AI9357" s="10"/>
      <c r="AJ9357" s="10"/>
      <c r="AK9357" s="10"/>
      <c r="AL9357" s="10"/>
      <c r="AM9357" s="10"/>
      <c r="AN9357" s="10"/>
      <c r="AO9357" s="10"/>
      <c r="AP9357" s="10"/>
      <c r="AQ9357" s="10"/>
      <c r="AR9357" s="10"/>
      <c r="AS9357" s="10"/>
      <c r="AT9357" s="10"/>
      <c r="AU9357" s="10"/>
      <c r="AV9357" s="10"/>
      <c r="AW9357" s="10"/>
      <c r="AX9357" s="10"/>
      <c r="AY9357" s="10"/>
      <c r="AZ9357" s="10"/>
    </row>
    <row r="9358" spans="31:52">
      <c r="AE9358" s="10"/>
      <c r="AF9358" s="10"/>
      <c r="AG9358" s="10"/>
      <c r="AH9358" s="10"/>
      <c r="AI9358" s="10"/>
      <c r="AJ9358" s="10"/>
      <c r="AK9358" s="10"/>
      <c r="AL9358" s="10"/>
      <c r="AM9358" s="10"/>
      <c r="AN9358" s="10"/>
      <c r="AO9358" s="10"/>
      <c r="AP9358" s="10"/>
      <c r="AQ9358" s="10"/>
      <c r="AR9358" s="10"/>
      <c r="AS9358" s="10"/>
      <c r="AT9358" s="10"/>
      <c r="AU9358" s="10"/>
      <c r="AV9358" s="10"/>
      <c r="AW9358" s="10"/>
      <c r="AX9358" s="10"/>
      <c r="AY9358" s="10"/>
      <c r="AZ9358" s="10"/>
    </row>
    <row r="9359" spans="31:52">
      <c r="AE9359" s="10"/>
      <c r="AF9359" s="10"/>
      <c r="AG9359" s="10"/>
      <c r="AH9359" s="10"/>
      <c r="AI9359" s="10"/>
      <c r="AJ9359" s="10"/>
      <c r="AK9359" s="10"/>
      <c r="AL9359" s="10"/>
      <c r="AM9359" s="10"/>
      <c r="AN9359" s="10"/>
      <c r="AO9359" s="10"/>
      <c r="AP9359" s="10"/>
      <c r="AQ9359" s="10"/>
      <c r="AR9359" s="10"/>
      <c r="AS9359" s="10"/>
      <c r="AT9359" s="10"/>
      <c r="AU9359" s="10"/>
      <c r="AV9359" s="10"/>
      <c r="AW9359" s="10"/>
      <c r="AX9359" s="10"/>
      <c r="AY9359" s="10"/>
      <c r="AZ9359" s="10"/>
    </row>
    <row r="9360" spans="31:52">
      <c r="AE9360" s="10"/>
      <c r="AF9360" s="10"/>
      <c r="AG9360" s="10"/>
      <c r="AH9360" s="10"/>
      <c r="AI9360" s="10"/>
      <c r="AJ9360" s="10"/>
      <c r="AK9360" s="10"/>
      <c r="AL9360" s="10"/>
      <c r="AM9360" s="10"/>
      <c r="AN9360" s="10"/>
      <c r="AO9360" s="10"/>
      <c r="AP9360" s="10"/>
      <c r="AQ9360" s="10"/>
      <c r="AR9360" s="10"/>
      <c r="AS9360" s="10"/>
      <c r="AT9360" s="10"/>
      <c r="AU9360" s="10"/>
      <c r="AV9360" s="10"/>
      <c r="AW9360" s="10"/>
      <c r="AX9360" s="10"/>
      <c r="AY9360" s="10"/>
      <c r="AZ9360" s="10"/>
    </row>
    <row r="9361" spans="31:52">
      <c r="AE9361" s="10"/>
      <c r="AF9361" s="10"/>
      <c r="AG9361" s="10"/>
      <c r="AH9361" s="10"/>
      <c r="AI9361" s="10"/>
      <c r="AJ9361" s="10"/>
      <c r="AK9361" s="10"/>
      <c r="AL9361" s="10"/>
      <c r="AM9361" s="10"/>
      <c r="AN9361" s="10"/>
      <c r="AO9361" s="10"/>
      <c r="AP9361" s="10"/>
      <c r="AQ9361" s="10"/>
      <c r="AR9361" s="10"/>
      <c r="AS9361" s="10"/>
      <c r="AT9361" s="10"/>
      <c r="AU9361" s="10"/>
      <c r="AV9361" s="10"/>
      <c r="AW9361" s="10"/>
      <c r="AX9361" s="10"/>
      <c r="AY9361" s="10"/>
      <c r="AZ9361" s="10"/>
    </row>
    <row r="9362" spans="31:52">
      <c r="AE9362" s="10"/>
      <c r="AF9362" s="10"/>
      <c r="AG9362" s="10"/>
      <c r="AH9362" s="10"/>
      <c r="AI9362" s="10"/>
      <c r="AJ9362" s="10"/>
      <c r="AK9362" s="10"/>
      <c r="AL9362" s="10"/>
      <c r="AM9362" s="10"/>
      <c r="AN9362" s="10"/>
      <c r="AO9362" s="10"/>
      <c r="AP9362" s="10"/>
      <c r="AQ9362" s="10"/>
      <c r="AR9362" s="10"/>
      <c r="AS9362" s="10"/>
      <c r="AT9362" s="10"/>
      <c r="AU9362" s="10"/>
      <c r="AV9362" s="10"/>
      <c r="AW9362" s="10"/>
      <c r="AX9362" s="10"/>
      <c r="AY9362" s="10"/>
      <c r="AZ9362" s="10"/>
    </row>
    <row r="9363" spans="31:52">
      <c r="AE9363" s="10"/>
      <c r="AF9363" s="10"/>
      <c r="AG9363" s="10"/>
      <c r="AH9363" s="10"/>
      <c r="AI9363" s="10"/>
      <c r="AJ9363" s="10"/>
      <c r="AK9363" s="10"/>
      <c r="AL9363" s="10"/>
      <c r="AM9363" s="10"/>
      <c r="AN9363" s="10"/>
      <c r="AO9363" s="10"/>
      <c r="AP9363" s="10"/>
      <c r="AQ9363" s="10"/>
      <c r="AR9363" s="10"/>
      <c r="AS9363" s="10"/>
      <c r="AT9363" s="10"/>
      <c r="AU9363" s="10"/>
      <c r="AV9363" s="10"/>
      <c r="AW9363" s="10"/>
      <c r="AX9363" s="10"/>
      <c r="AY9363" s="10"/>
      <c r="AZ9363" s="10"/>
    </row>
    <row r="9364" spans="31:52">
      <c r="AE9364" s="10"/>
      <c r="AF9364" s="10"/>
      <c r="AG9364" s="10"/>
      <c r="AH9364" s="10"/>
      <c r="AI9364" s="10"/>
      <c r="AJ9364" s="10"/>
      <c r="AK9364" s="10"/>
      <c r="AL9364" s="10"/>
      <c r="AM9364" s="10"/>
      <c r="AN9364" s="10"/>
      <c r="AO9364" s="10"/>
      <c r="AP9364" s="10"/>
      <c r="AQ9364" s="10"/>
      <c r="AR9364" s="10"/>
      <c r="AS9364" s="10"/>
      <c r="AT9364" s="10"/>
      <c r="AU9364" s="10"/>
      <c r="AV9364" s="10"/>
      <c r="AW9364" s="10"/>
      <c r="AX9364" s="10"/>
      <c r="AY9364" s="10"/>
      <c r="AZ9364" s="10"/>
    </row>
    <row r="9365" spans="31:52">
      <c r="AE9365" s="10"/>
      <c r="AF9365" s="10"/>
      <c r="AG9365" s="10"/>
      <c r="AH9365" s="10"/>
      <c r="AI9365" s="10"/>
      <c r="AJ9365" s="10"/>
      <c r="AK9365" s="10"/>
      <c r="AL9365" s="10"/>
      <c r="AM9365" s="10"/>
      <c r="AN9365" s="10"/>
      <c r="AO9365" s="10"/>
      <c r="AP9365" s="10"/>
      <c r="AQ9365" s="10"/>
      <c r="AR9365" s="10"/>
      <c r="AS9365" s="10"/>
      <c r="AT9365" s="10"/>
      <c r="AU9365" s="10"/>
      <c r="AV9365" s="10"/>
      <c r="AW9365" s="10"/>
      <c r="AX9365" s="10"/>
      <c r="AY9365" s="10"/>
      <c r="AZ9365" s="10"/>
    </row>
    <row r="9366" spans="31:52">
      <c r="AE9366" s="10"/>
      <c r="AF9366" s="10"/>
      <c r="AG9366" s="10"/>
      <c r="AH9366" s="10"/>
      <c r="AI9366" s="10"/>
      <c r="AJ9366" s="10"/>
      <c r="AK9366" s="10"/>
      <c r="AL9366" s="10"/>
      <c r="AM9366" s="10"/>
      <c r="AN9366" s="10"/>
      <c r="AO9366" s="10"/>
      <c r="AP9366" s="10"/>
      <c r="AQ9366" s="10"/>
      <c r="AR9366" s="10"/>
      <c r="AS9366" s="10"/>
      <c r="AT9366" s="10"/>
      <c r="AU9366" s="10"/>
      <c r="AV9366" s="10"/>
      <c r="AW9366" s="10"/>
      <c r="AX9366" s="10"/>
      <c r="AY9366" s="10"/>
      <c r="AZ9366" s="10"/>
    </row>
    <row r="9367" spans="31:52">
      <c r="AE9367" s="10"/>
      <c r="AF9367" s="10"/>
      <c r="AG9367" s="10"/>
      <c r="AH9367" s="10"/>
      <c r="AI9367" s="10"/>
      <c r="AJ9367" s="10"/>
      <c r="AK9367" s="10"/>
      <c r="AL9367" s="10"/>
      <c r="AM9367" s="10"/>
      <c r="AN9367" s="10"/>
      <c r="AO9367" s="10"/>
      <c r="AP9367" s="10"/>
      <c r="AQ9367" s="10"/>
      <c r="AR9367" s="10"/>
      <c r="AS9367" s="10"/>
      <c r="AT9367" s="10"/>
      <c r="AU9367" s="10"/>
      <c r="AV9367" s="10"/>
      <c r="AW9367" s="10"/>
      <c r="AX9367" s="10"/>
      <c r="AY9367" s="10"/>
      <c r="AZ9367" s="10"/>
    </row>
    <row r="9368" spans="31:52">
      <c r="AE9368" s="10"/>
      <c r="AF9368" s="10"/>
      <c r="AG9368" s="10"/>
      <c r="AH9368" s="10"/>
      <c r="AI9368" s="10"/>
      <c r="AJ9368" s="10"/>
      <c r="AK9368" s="10"/>
      <c r="AL9368" s="10"/>
      <c r="AM9368" s="10"/>
      <c r="AN9368" s="10"/>
      <c r="AO9368" s="10"/>
      <c r="AP9368" s="10"/>
      <c r="AQ9368" s="10"/>
      <c r="AR9368" s="10"/>
      <c r="AS9368" s="10"/>
      <c r="AT9368" s="10"/>
      <c r="AU9368" s="10"/>
      <c r="AV9368" s="10"/>
      <c r="AW9368" s="10"/>
      <c r="AX9368" s="10"/>
      <c r="AY9368" s="10"/>
      <c r="AZ9368" s="10"/>
    </row>
    <row r="9369" spans="31:52">
      <c r="AE9369" s="10"/>
      <c r="AF9369" s="10"/>
      <c r="AG9369" s="10"/>
      <c r="AH9369" s="10"/>
      <c r="AI9369" s="10"/>
      <c r="AJ9369" s="10"/>
      <c r="AK9369" s="10"/>
      <c r="AL9369" s="10"/>
      <c r="AM9369" s="10"/>
      <c r="AN9369" s="10"/>
      <c r="AO9369" s="10"/>
      <c r="AP9369" s="10"/>
      <c r="AQ9369" s="10"/>
      <c r="AR9369" s="10"/>
      <c r="AS9369" s="10"/>
      <c r="AT9369" s="10"/>
      <c r="AU9369" s="10"/>
      <c r="AV9369" s="10"/>
      <c r="AW9369" s="10"/>
      <c r="AX9369" s="10"/>
      <c r="AY9369" s="10"/>
      <c r="AZ9369" s="10"/>
    </row>
    <row r="9370" spans="31:52">
      <c r="AE9370" s="10"/>
      <c r="AF9370" s="10"/>
      <c r="AG9370" s="10"/>
      <c r="AH9370" s="10"/>
      <c r="AI9370" s="10"/>
      <c r="AJ9370" s="10"/>
      <c r="AK9370" s="10"/>
      <c r="AL9370" s="10"/>
      <c r="AM9370" s="10"/>
      <c r="AN9370" s="10"/>
      <c r="AO9370" s="10"/>
      <c r="AP9370" s="10"/>
      <c r="AQ9370" s="10"/>
      <c r="AR9370" s="10"/>
      <c r="AS9370" s="10"/>
      <c r="AT9370" s="10"/>
      <c r="AU9370" s="10"/>
      <c r="AV9370" s="10"/>
      <c r="AW9370" s="10"/>
      <c r="AX9370" s="10"/>
      <c r="AY9370" s="10"/>
      <c r="AZ9370" s="10"/>
    </row>
    <row r="9371" spans="31:52">
      <c r="AE9371" s="10"/>
      <c r="AF9371" s="10"/>
      <c r="AG9371" s="10"/>
      <c r="AH9371" s="10"/>
      <c r="AI9371" s="10"/>
      <c r="AJ9371" s="10"/>
      <c r="AK9371" s="10"/>
      <c r="AL9371" s="10"/>
      <c r="AM9371" s="10"/>
      <c r="AN9371" s="10"/>
      <c r="AO9371" s="10"/>
      <c r="AP9371" s="10"/>
      <c r="AQ9371" s="10"/>
      <c r="AR9371" s="10"/>
      <c r="AS9371" s="10"/>
      <c r="AT9371" s="10"/>
      <c r="AU9371" s="10"/>
      <c r="AV9371" s="10"/>
      <c r="AW9371" s="10"/>
      <c r="AX9371" s="10"/>
      <c r="AY9371" s="10"/>
      <c r="AZ9371" s="10"/>
    </row>
    <row r="9372" spans="31:52">
      <c r="AE9372" s="10"/>
      <c r="AF9372" s="10"/>
      <c r="AG9372" s="10"/>
      <c r="AH9372" s="10"/>
      <c r="AI9372" s="10"/>
      <c r="AJ9372" s="10"/>
      <c r="AK9372" s="10"/>
      <c r="AL9372" s="10"/>
      <c r="AM9372" s="10"/>
      <c r="AN9372" s="10"/>
      <c r="AO9372" s="10"/>
      <c r="AP9372" s="10"/>
      <c r="AQ9372" s="10"/>
      <c r="AR9372" s="10"/>
      <c r="AS9372" s="10"/>
      <c r="AT9372" s="10"/>
      <c r="AU9372" s="10"/>
      <c r="AV9372" s="10"/>
      <c r="AW9372" s="10"/>
      <c r="AX9372" s="10"/>
      <c r="AY9372" s="10"/>
      <c r="AZ9372" s="10"/>
    </row>
    <row r="9373" spans="31:52">
      <c r="AE9373" s="10"/>
      <c r="AF9373" s="10"/>
      <c r="AG9373" s="10"/>
      <c r="AH9373" s="10"/>
      <c r="AI9373" s="10"/>
      <c r="AJ9373" s="10"/>
      <c r="AK9373" s="10"/>
      <c r="AL9373" s="10"/>
      <c r="AM9373" s="10"/>
      <c r="AN9373" s="10"/>
      <c r="AO9373" s="10"/>
      <c r="AP9373" s="10"/>
      <c r="AQ9373" s="10"/>
      <c r="AR9373" s="10"/>
      <c r="AS9373" s="10"/>
      <c r="AT9373" s="10"/>
      <c r="AU9373" s="10"/>
      <c r="AV9373" s="10"/>
      <c r="AW9373" s="10"/>
      <c r="AX9373" s="10"/>
      <c r="AY9373" s="10"/>
      <c r="AZ9373" s="10"/>
    </row>
    <row r="9374" spans="31:52">
      <c r="AE9374" s="10"/>
      <c r="AF9374" s="10"/>
      <c r="AG9374" s="10"/>
      <c r="AH9374" s="10"/>
      <c r="AI9374" s="10"/>
      <c r="AJ9374" s="10"/>
      <c r="AK9374" s="10"/>
      <c r="AL9374" s="10"/>
      <c r="AM9374" s="10"/>
      <c r="AN9374" s="10"/>
      <c r="AO9374" s="10"/>
      <c r="AP9374" s="10"/>
      <c r="AQ9374" s="10"/>
      <c r="AR9374" s="10"/>
      <c r="AS9374" s="10"/>
      <c r="AT9374" s="10"/>
      <c r="AU9374" s="10"/>
      <c r="AV9374" s="10"/>
      <c r="AW9374" s="10"/>
      <c r="AX9374" s="10"/>
      <c r="AY9374" s="10"/>
      <c r="AZ9374" s="10"/>
    </row>
    <row r="9375" spans="31:52">
      <c r="AE9375" s="10"/>
      <c r="AF9375" s="10"/>
      <c r="AG9375" s="10"/>
      <c r="AH9375" s="10"/>
      <c r="AI9375" s="10"/>
      <c r="AJ9375" s="10"/>
      <c r="AK9375" s="10"/>
      <c r="AL9375" s="10"/>
      <c r="AM9375" s="10"/>
      <c r="AN9375" s="10"/>
      <c r="AO9375" s="10"/>
      <c r="AP9375" s="10"/>
      <c r="AQ9375" s="10"/>
      <c r="AR9375" s="10"/>
      <c r="AS9375" s="10"/>
      <c r="AT9375" s="10"/>
      <c r="AU9375" s="10"/>
      <c r="AV9375" s="10"/>
      <c r="AW9375" s="10"/>
      <c r="AX9375" s="10"/>
      <c r="AY9375" s="10"/>
      <c r="AZ9375" s="10"/>
    </row>
    <row r="9376" spans="31:52">
      <c r="AE9376" s="10"/>
      <c r="AF9376" s="10"/>
      <c r="AG9376" s="10"/>
      <c r="AH9376" s="10"/>
      <c r="AI9376" s="10"/>
      <c r="AJ9376" s="10"/>
      <c r="AK9376" s="10"/>
      <c r="AL9376" s="10"/>
      <c r="AM9376" s="10"/>
      <c r="AN9376" s="10"/>
      <c r="AO9376" s="10"/>
      <c r="AP9376" s="10"/>
      <c r="AQ9376" s="10"/>
      <c r="AR9376" s="10"/>
      <c r="AS9376" s="10"/>
      <c r="AT9376" s="10"/>
      <c r="AU9376" s="10"/>
      <c r="AV9376" s="10"/>
      <c r="AW9376" s="10"/>
      <c r="AX9376" s="10"/>
      <c r="AY9376" s="10"/>
      <c r="AZ9376" s="10"/>
    </row>
    <row r="9377" spans="31:52">
      <c r="AE9377" s="10"/>
      <c r="AF9377" s="10"/>
      <c r="AG9377" s="10"/>
      <c r="AH9377" s="10"/>
      <c r="AI9377" s="10"/>
      <c r="AJ9377" s="10"/>
      <c r="AK9377" s="10"/>
      <c r="AL9377" s="10"/>
      <c r="AM9377" s="10"/>
      <c r="AN9377" s="10"/>
      <c r="AO9377" s="10"/>
      <c r="AP9377" s="10"/>
      <c r="AQ9377" s="10"/>
      <c r="AR9377" s="10"/>
      <c r="AS9377" s="10"/>
      <c r="AT9377" s="10"/>
      <c r="AU9377" s="10"/>
      <c r="AV9377" s="10"/>
      <c r="AW9377" s="10"/>
      <c r="AX9377" s="10"/>
      <c r="AY9377" s="10"/>
      <c r="AZ9377" s="10"/>
    </row>
    <row r="9378" spans="31:52">
      <c r="AE9378" s="10"/>
      <c r="AF9378" s="10"/>
      <c r="AG9378" s="10"/>
      <c r="AH9378" s="10"/>
      <c r="AI9378" s="10"/>
      <c r="AJ9378" s="10"/>
      <c r="AK9378" s="10"/>
      <c r="AL9378" s="10"/>
      <c r="AM9378" s="10"/>
      <c r="AN9378" s="10"/>
      <c r="AO9378" s="10"/>
      <c r="AP9378" s="10"/>
      <c r="AQ9378" s="10"/>
      <c r="AR9378" s="10"/>
      <c r="AS9378" s="10"/>
      <c r="AT9378" s="10"/>
      <c r="AU9378" s="10"/>
      <c r="AV9378" s="10"/>
      <c r="AW9378" s="10"/>
      <c r="AX9378" s="10"/>
      <c r="AY9378" s="10"/>
      <c r="AZ9378" s="10"/>
    </row>
    <row r="9379" spans="31:52">
      <c r="AE9379" s="10"/>
      <c r="AF9379" s="10"/>
      <c r="AG9379" s="10"/>
      <c r="AH9379" s="10"/>
      <c r="AI9379" s="10"/>
      <c r="AJ9379" s="10"/>
      <c r="AK9379" s="10"/>
      <c r="AL9379" s="10"/>
      <c r="AM9379" s="10"/>
      <c r="AN9379" s="10"/>
      <c r="AO9379" s="10"/>
      <c r="AP9379" s="10"/>
      <c r="AQ9379" s="10"/>
      <c r="AR9379" s="10"/>
      <c r="AS9379" s="10"/>
      <c r="AT9379" s="10"/>
      <c r="AU9379" s="10"/>
      <c r="AV9379" s="10"/>
      <c r="AW9379" s="10"/>
      <c r="AX9379" s="10"/>
      <c r="AY9379" s="10"/>
      <c r="AZ9379" s="10"/>
    </row>
    <row r="9380" spans="31:52">
      <c r="AE9380" s="10"/>
      <c r="AF9380" s="10"/>
      <c r="AG9380" s="10"/>
      <c r="AH9380" s="10"/>
      <c r="AI9380" s="10"/>
      <c r="AJ9380" s="10"/>
      <c r="AK9380" s="10"/>
      <c r="AL9380" s="10"/>
      <c r="AM9380" s="10"/>
      <c r="AN9380" s="10"/>
      <c r="AO9380" s="10"/>
      <c r="AP9380" s="10"/>
      <c r="AQ9380" s="10"/>
      <c r="AR9380" s="10"/>
      <c r="AS9380" s="10"/>
      <c r="AT9380" s="10"/>
      <c r="AU9380" s="10"/>
      <c r="AV9380" s="10"/>
      <c r="AW9380" s="10"/>
      <c r="AX9380" s="10"/>
      <c r="AY9380" s="10"/>
      <c r="AZ9380" s="10"/>
    </row>
    <row r="9381" spans="31:52">
      <c r="AE9381" s="10"/>
      <c r="AF9381" s="10"/>
      <c r="AG9381" s="10"/>
      <c r="AH9381" s="10"/>
      <c r="AI9381" s="10"/>
      <c r="AJ9381" s="10"/>
      <c r="AK9381" s="10"/>
      <c r="AL9381" s="10"/>
      <c r="AM9381" s="10"/>
      <c r="AN9381" s="10"/>
      <c r="AO9381" s="10"/>
      <c r="AP9381" s="10"/>
      <c r="AQ9381" s="10"/>
      <c r="AR9381" s="10"/>
      <c r="AS9381" s="10"/>
      <c r="AT9381" s="10"/>
      <c r="AU9381" s="10"/>
      <c r="AV9381" s="10"/>
      <c r="AW9381" s="10"/>
      <c r="AX9381" s="10"/>
      <c r="AY9381" s="10"/>
      <c r="AZ9381" s="10"/>
    </row>
    <row r="9382" spans="31:52">
      <c r="AE9382" s="10"/>
      <c r="AF9382" s="10"/>
      <c r="AG9382" s="10"/>
      <c r="AH9382" s="10"/>
      <c r="AI9382" s="10"/>
      <c r="AJ9382" s="10"/>
      <c r="AK9382" s="10"/>
      <c r="AL9382" s="10"/>
      <c r="AM9382" s="10"/>
      <c r="AN9382" s="10"/>
      <c r="AO9382" s="10"/>
      <c r="AP9382" s="10"/>
      <c r="AQ9382" s="10"/>
      <c r="AR9382" s="10"/>
      <c r="AS9382" s="10"/>
      <c r="AT9382" s="10"/>
      <c r="AU9382" s="10"/>
      <c r="AV9382" s="10"/>
      <c r="AW9382" s="10"/>
      <c r="AX9382" s="10"/>
      <c r="AY9382" s="10"/>
      <c r="AZ9382" s="10"/>
    </row>
    <row r="9383" spans="31:52">
      <c r="AE9383" s="10"/>
      <c r="AF9383" s="10"/>
      <c r="AG9383" s="10"/>
      <c r="AH9383" s="10"/>
      <c r="AI9383" s="10"/>
      <c r="AJ9383" s="10"/>
      <c r="AK9383" s="10"/>
      <c r="AL9383" s="10"/>
      <c r="AM9383" s="10"/>
      <c r="AN9383" s="10"/>
      <c r="AO9383" s="10"/>
      <c r="AP9383" s="10"/>
      <c r="AQ9383" s="10"/>
      <c r="AR9383" s="10"/>
      <c r="AS9383" s="10"/>
      <c r="AT9383" s="10"/>
      <c r="AU9383" s="10"/>
      <c r="AV9383" s="10"/>
      <c r="AW9383" s="10"/>
      <c r="AX9383" s="10"/>
      <c r="AY9383" s="10"/>
      <c r="AZ9383" s="10"/>
    </row>
    <row r="9384" spans="31:52">
      <c r="AE9384" s="10"/>
      <c r="AF9384" s="10"/>
      <c r="AG9384" s="10"/>
      <c r="AH9384" s="10"/>
      <c r="AI9384" s="10"/>
      <c r="AJ9384" s="10"/>
      <c r="AK9384" s="10"/>
      <c r="AL9384" s="10"/>
      <c r="AM9384" s="10"/>
      <c r="AN9384" s="10"/>
      <c r="AO9384" s="10"/>
      <c r="AP9384" s="10"/>
      <c r="AQ9384" s="10"/>
      <c r="AR9384" s="10"/>
      <c r="AS9384" s="10"/>
      <c r="AT9384" s="10"/>
      <c r="AU9384" s="10"/>
      <c r="AV9384" s="10"/>
      <c r="AW9384" s="10"/>
      <c r="AX9384" s="10"/>
      <c r="AY9384" s="10"/>
      <c r="AZ9384" s="10"/>
    </row>
    <row r="9385" spans="31:52">
      <c r="AE9385" s="10"/>
      <c r="AF9385" s="10"/>
      <c r="AG9385" s="10"/>
      <c r="AH9385" s="10"/>
      <c r="AI9385" s="10"/>
      <c r="AJ9385" s="10"/>
      <c r="AK9385" s="10"/>
      <c r="AL9385" s="10"/>
      <c r="AM9385" s="10"/>
      <c r="AN9385" s="10"/>
      <c r="AO9385" s="10"/>
      <c r="AP9385" s="10"/>
      <c r="AQ9385" s="10"/>
      <c r="AR9385" s="10"/>
      <c r="AS9385" s="10"/>
      <c r="AT9385" s="10"/>
      <c r="AU9385" s="10"/>
      <c r="AV9385" s="10"/>
      <c r="AW9385" s="10"/>
      <c r="AX9385" s="10"/>
      <c r="AY9385" s="10"/>
      <c r="AZ9385" s="10"/>
    </row>
    <row r="9386" spans="31:52">
      <c r="AE9386" s="10"/>
      <c r="AF9386" s="10"/>
      <c r="AG9386" s="10"/>
      <c r="AH9386" s="10"/>
      <c r="AI9386" s="10"/>
      <c r="AJ9386" s="10"/>
      <c r="AK9386" s="10"/>
      <c r="AL9386" s="10"/>
      <c r="AM9386" s="10"/>
      <c r="AN9386" s="10"/>
      <c r="AO9386" s="10"/>
      <c r="AP9386" s="10"/>
      <c r="AQ9386" s="10"/>
      <c r="AR9386" s="10"/>
      <c r="AS9386" s="10"/>
      <c r="AT9386" s="10"/>
      <c r="AU9386" s="10"/>
      <c r="AV9386" s="10"/>
      <c r="AW9386" s="10"/>
      <c r="AX9386" s="10"/>
      <c r="AY9386" s="10"/>
      <c r="AZ9386" s="10"/>
    </row>
    <row r="9387" spans="31:52">
      <c r="AE9387" s="10"/>
      <c r="AF9387" s="10"/>
      <c r="AG9387" s="10"/>
      <c r="AH9387" s="10"/>
      <c r="AI9387" s="10"/>
      <c r="AJ9387" s="10"/>
      <c r="AK9387" s="10"/>
      <c r="AL9387" s="10"/>
      <c r="AM9387" s="10"/>
      <c r="AN9387" s="10"/>
      <c r="AO9387" s="10"/>
      <c r="AP9387" s="10"/>
      <c r="AQ9387" s="10"/>
      <c r="AR9387" s="10"/>
      <c r="AS9387" s="10"/>
      <c r="AT9387" s="10"/>
      <c r="AU9387" s="10"/>
      <c r="AV9387" s="10"/>
      <c r="AW9387" s="10"/>
      <c r="AX9387" s="10"/>
      <c r="AY9387" s="10"/>
      <c r="AZ9387" s="10"/>
    </row>
    <row r="9388" spans="31:52">
      <c r="AE9388" s="10"/>
      <c r="AF9388" s="10"/>
      <c r="AG9388" s="10"/>
      <c r="AH9388" s="10"/>
      <c r="AI9388" s="10"/>
      <c r="AJ9388" s="10"/>
      <c r="AK9388" s="10"/>
      <c r="AL9388" s="10"/>
      <c r="AM9388" s="10"/>
      <c r="AN9388" s="10"/>
      <c r="AO9388" s="10"/>
      <c r="AP9388" s="10"/>
      <c r="AQ9388" s="10"/>
      <c r="AR9388" s="10"/>
      <c r="AS9388" s="10"/>
      <c r="AT9388" s="10"/>
      <c r="AU9388" s="10"/>
      <c r="AV9388" s="10"/>
      <c r="AW9388" s="10"/>
      <c r="AX9388" s="10"/>
      <c r="AY9388" s="10"/>
      <c r="AZ9388" s="10"/>
    </row>
    <row r="9389" spans="31:52">
      <c r="AE9389" s="10"/>
      <c r="AF9389" s="10"/>
      <c r="AG9389" s="10"/>
      <c r="AH9389" s="10"/>
      <c r="AI9389" s="10"/>
      <c r="AJ9389" s="10"/>
      <c r="AK9389" s="10"/>
      <c r="AL9389" s="10"/>
      <c r="AM9389" s="10"/>
      <c r="AN9389" s="10"/>
      <c r="AO9389" s="10"/>
      <c r="AP9389" s="10"/>
      <c r="AQ9389" s="10"/>
      <c r="AR9389" s="10"/>
      <c r="AS9389" s="10"/>
      <c r="AT9389" s="10"/>
      <c r="AU9389" s="10"/>
      <c r="AV9389" s="10"/>
      <c r="AW9389" s="10"/>
      <c r="AX9389" s="10"/>
      <c r="AY9389" s="10"/>
      <c r="AZ9389" s="10"/>
    </row>
    <row r="9390" spans="31:52">
      <c r="AE9390" s="10"/>
      <c r="AF9390" s="10"/>
      <c r="AG9390" s="10"/>
      <c r="AH9390" s="10"/>
      <c r="AI9390" s="10"/>
      <c r="AJ9390" s="10"/>
      <c r="AK9390" s="10"/>
      <c r="AL9390" s="10"/>
      <c r="AM9390" s="10"/>
      <c r="AN9390" s="10"/>
      <c r="AO9390" s="10"/>
      <c r="AP9390" s="10"/>
      <c r="AQ9390" s="10"/>
      <c r="AR9390" s="10"/>
      <c r="AS9390" s="10"/>
      <c r="AT9390" s="10"/>
      <c r="AU9390" s="10"/>
      <c r="AV9390" s="10"/>
      <c r="AW9390" s="10"/>
      <c r="AX9390" s="10"/>
      <c r="AY9390" s="10"/>
      <c r="AZ9390" s="10"/>
    </row>
    <row r="9391" spans="31:52">
      <c r="AE9391" s="10"/>
      <c r="AF9391" s="10"/>
      <c r="AG9391" s="10"/>
      <c r="AH9391" s="10"/>
      <c r="AI9391" s="10"/>
      <c r="AJ9391" s="10"/>
      <c r="AK9391" s="10"/>
      <c r="AL9391" s="10"/>
      <c r="AM9391" s="10"/>
      <c r="AN9391" s="10"/>
      <c r="AO9391" s="10"/>
      <c r="AP9391" s="10"/>
      <c r="AQ9391" s="10"/>
      <c r="AR9391" s="10"/>
      <c r="AS9391" s="10"/>
      <c r="AT9391" s="10"/>
      <c r="AU9391" s="10"/>
      <c r="AV9391" s="10"/>
      <c r="AW9391" s="10"/>
      <c r="AX9391" s="10"/>
      <c r="AY9391" s="10"/>
      <c r="AZ9391" s="10"/>
    </row>
    <row r="9392" spans="31:52">
      <c r="AE9392" s="10"/>
      <c r="AF9392" s="10"/>
      <c r="AG9392" s="10"/>
      <c r="AH9392" s="10"/>
      <c r="AI9392" s="10"/>
      <c r="AJ9392" s="10"/>
      <c r="AK9392" s="10"/>
      <c r="AL9392" s="10"/>
      <c r="AM9392" s="10"/>
      <c r="AN9392" s="10"/>
      <c r="AO9392" s="10"/>
      <c r="AP9392" s="10"/>
      <c r="AQ9392" s="10"/>
      <c r="AR9392" s="10"/>
      <c r="AS9392" s="10"/>
      <c r="AT9392" s="10"/>
      <c r="AU9392" s="10"/>
      <c r="AV9392" s="10"/>
      <c r="AW9392" s="10"/>
      <c r="AX9392" s="10"/>
      <c r="AY9392" s="10"/>
      <c r="AZ9392" s="10"/>
    </row>
    <row r="9393" spans="31:52">
      <c r="AE9393" s="10"/>
      <c r="AF9393" s="10"/>
      <c r="AG9393" s="10"/>
      <c r="AH9393" s="10"/>
      <c r="AI9393" s="10"/>
      <c r="AJ9393" s="10"/>
      <c r="AK9393" s="10"/>
      <c r="AL9393" s="10"/>
      <c r="AM9393" s="10"/>
      <c r="AN9393" s="10"/>
      <c r="AO9393" s="10"/>
      <c r="AP9393" s="10"/>
      <c r="AQ9393" s="10"/>
      <c r="AR9393" s="10"/>
      <c r="AS9393" s="10"/>
      <c r="AT9393" s="10"/>
      <c r="AU9393" s="10"/>
      <c r="AV9393" s="10"/>
      <c r="AW9393" s="10"/>
      <c r="AX9393" s="10"/>
      <c r="AY9393" s="10"/>
      <c r="AZ9393" s="10"/>
    </row>
    <row r="9394" spans="31:52">
      <c r="AE9394" s="10"/>
      <c r="AF9394" s="10"/>
      <c r="AG9394" s="10"/>
      <c r="AH9394" s="10"/>
      <c r="AI9394" s="10"/>
      <c r="AJ9394" s="10"/>
      <c r="AK9394" s="10"/>
      <c r="AL9394" s="10"/>
      <c r="AM9394" s="10"/>
      <c r="AN9394" s="10"/>
      <c r="AO9394" s="10"/>
      <c r="AP9394" s="10"/>
      <c r="AQ9394" s="10"/>
      <c r="AR9394" s="10"/>
      <c r="AS9394" s="10"/>
      <c r="AT9394" s="10"/>
      <c r="AU9394" s="10"/>
      <c r="AV9394" s="10"/>
      <c r="AW9394" s="10"/>
      <c r="AX9394" s="10"/>
      <c r="AY9394" s="10"/>
      <c r="AZ9394" s="10"/>
    </row>
    <row r="9395" spans="31:52">
      <c r="AE9395" s="10"/>
      <c r="AF9395" s="10"/>
      <c r="AG9395" s="10"/>
      <c r="AH9395" s="10"/>
      <c r="AI9395" s="10"/>
      <c r="AJ9395" s="10"/>
      <c r="AK9395" s="10"/>
      <c r="AL9395" s="10"/>
      <c r="AM9395" s="10"/>
      <c r="AN9395" s="10"/>
      <c r="AO9395" s="10"/>
      <c r="AP9395" s="10"/>
      <c r="AQ9395" s="10"/>
      <c r="AR9395" s="10"/>
      <c r="AS9395" s="10"/>
      <c r="AT9395" s="10"/>
      <c r="AU9395" s="10"/>
      <c r="AV9395" s="10"/>
      <c r="AW9395" s="10"/>
      <c r="AX9395" s="10"/>
      <c r="AY9395" s="10"/>
      <c r="AZ9395" s="10"/>
    </row>
    <row r="9396" spans="31:52">
      <c r="AE9396" s="10"/>
      <c r="AF9396" s="10"/>
      <c r="AG9396" s="10"/>
      <c r="AH9396" s="10"/>
      <c r="AI9396" s="10"/>
      <c r="AJ9396" s="10"/>
      <c r="AK9396" s="10"/>
      <c r="AL9396" s="10"/>
      <c r="AM9396" s="10"/>
      <c r="AN9396" s="10"/>
      <c r="AO9396" s="10"/>
      <c r="AP9396" s="10"/>
      <c r="AQ9396" s="10"/>
      <c r="AR9396" s="10"/>
      <c r="AS9396" s="10"/>
      <c r="AT9396" s="10"/>
      <c r="AU9396" s="10"/>
      <c r="AV9396" s="10"/>
      <c r="AW9396" s="10"/>
      <c r="AX9396" s="10"/>
      <c r="AY9396" s="10"/>
      <c r="AZ9396" s="10"/>
    </row>
    <row r="9397" spans="31:52">
      <c r="AE9397" s="10"/>
      <c r="AF9397" s="10"/>
      <c r="AG9397" s="10"/>
      <c r="AH9397" s="10"/>
      <c r="AI9397" s="10"/>
      <c r="AJ9397" s="10"/>
      <c r="AK9397" s="10"/>
      <c r="AL9397" s="10"/>
      <c r="AM9397" s="10"/>
      <c r="AN9397" s="10"/>
      <c r="AO9397" s="10"/>
      <c r="AP9397" s="10"/>
      <c r="AQ9397" s="10"/>
      <c r="AR9397" s="10"/>
      <c r="AS9397" s="10"/>
      <c r="AT9397" s="10"/>
      <c r="AU9397" s="10"/>
      <c r="AV9397" s="10"/>
      <c r="AW9397" s="10"/>
      <c r="AX9397" s="10"/>
      <c r="AY9397" s="10"/>
      <c r="AZ9397" s="10"/>
    </row>
    <row r="9398" spans="31:52">
      <c r="AE9398" s="10"/>
      <c r="AF9398" s="10"/>
      <c r="AG9398" s="10"/>
      <c r="AH9398" s="10"/>
      <c r="AI9398" s="10"/>
      <c r="AJ9398" s="10"/>
      <c r="AK9398" s="10"/>
      <c r="AL9398" s="10"/>
      <c r="AM9398" s="10"/>
      <c r="AN9398" s="10"/>
      <c r="AO9398" s="10"/>
      <c r="AP9398" s="10"/>
      <c r="AQ9398" s="10"/>
      <c r="AR9398" s="10"/>
      <c r="AS9398" s="10"/>
      <c r="AT9398" s="10"/>
      <c r="AU9398" s="10"/>
      <c r="AV9398" s="10"/>
      <c r="AW9398" s="10"/>
      <c r="AX9398" s="10"/>
      <c r="AY9398" s="10"/>
      <c r="AZ9398" s="10"/>
    </row>
    <row r="9399" spans="31:52">
      <c r="AE9399" s="10"/>
      <c r="AF9399" s="10"/>
      <c r="AG9399" s="10"/>
      <c r="AH9399" s="10"/>
      <c r="AI9399" s="10"/>
      <c r="AJ9399" s="10"/>
      <c r="AK9399" s="10"/>
      <c r="AL9399" s="10"/>
      <c r="AM9399" s="10"/>
      <c r="AN9399" s="10"/>
      <c r="AO9399" s="10"/>
      <c r="AP9399" s="10"/>
      <c r="AQ9399" s="10"/>
      <c r="AR9399" s="10"/>
      <c r="AS9399" s="10"/>
      <c r="AT9399" s="10"/>
      <c r="AU9399" s="10"/>
      <c r="AV9399" s="10"/>
      <c r="AW9399" s="10"/>
      <c r="AX9399" s="10"/>
      <c r="AY9399" s="10"/>
      <c r="AZ9399" s="10"/>
    </row>
    <row r="9400" spans="31:52">
      <c r="AE9400" s="10"/>
      <c r="AF9400" s="10"/>
      <c r="AG9400" s="10"/>
      <c r="AH9400" s="10"/>
      <c r="AI9400" s="10"/>
      <c r="AJ9400" s="10"/>
      <c r="AK9400" s="10"/>
      <c r="AL9400" s="10"/>
      <c r="AM9400" s="10"/>
      <c r="AN9400" s="10"/>
      <c r="AO9400" s="10"/>
      <c r="AP9400" s="10"/>
      <c r="AQ9400" s="10"/>
      <c r="AR9400" s="10"/>
      <c r="AS9400" s="10"/>
      <c r="AT9400" s="10"/>
      <c r="AU9400" s="10"/>
      <c r="AV9400" s="10"/>
      <c r="AW9400" s="10"/>
      <c r="AX9400" s="10"/>
      <c r="AY9400" s="10"/>
      <c r="AZ9400" s="10"/>
    </row>
    <row r="9401" spans="31:52">
      <c r="AE9401" s="10"/>
      <c r="AF9401" s="10"/>
      <c r="AG9401" s="10"/>
      <c r="AH9401" s="10"/>
      <c r="AI9401" s="10"/>
      <c r="AJ9401" s="10"/>
      <c r="AK9401" s="10"/>
      <c r="AL9401" s="10"/>
      <c r="AM9401" s="10"/>
      <c r="AN9401" s="10"/>
      <c r="AO9401" s="10"/>
      <c r="AP9401" s="10"/>
      <c r="AQ9401" s="10"/>
      <c r="AR9401" s="10"/>
      <c r="AS9401" s="10"/>
      <c r="AT9401" s="10"/>
      <c r="AU9401" s="10"/>
      <c r="AV9401" s="10"/>
      <c r="AW9401" s="10"/>
      <c r="AX9401" s="10"/>
      <c r="AY9401" s="10"/>
      <c r="AZ9401" s="10"/>
    </row>
    <row r="9402" spans="31:52">
      <c r="AE9402" s="10"/>
      <c r="AF9402" s="10"/>
      <c r="AG9402" s="10"/>
      <c r="AH9402" s="10"/>
      <c r="AI9402" s="10"/>
      <c r="AJ9402" s="10"/>
      <c r="AK9402" s="10"/>
      <c r="AL9402" s="10"/>
      <c r="AM9402" s="10"/>
      <c r="AN9402" s="10"/>
      <c r="AO9402" s="10"/>
      <c r="AP9402" s="10"/>
      <c r="AQ9402" s="10"/>
      <c r="AR9402" s="10"/>
      <c r="AS9402" s="10"/>
      <c r="AT9402" s="10"/>
      <c r="AU9402" s="10"/>
      <c r="AV9402" s="10"/>
      <c r="AW9402" s="10"/>
      <c r="AX9402" s="10"/>
      <c r="AY9402" s="10"/>
      <c r="AZ9402" s="10"/>
    </row>
    <row r="9403" spans="31:52">
      <c r="AE9403" s="10"/>
      <c r="AF9403" s="10"/>
      <c r="AG9403" s="10"/>
      <c r="AH9403" s="10"/>
      <c r="AI9403" s="10"/>
      <c r="AJ9403" s="10"/>
      <c r="AK9403" s="10"/>
      <c r="AL9403" s="10"/>
      <c r="AM9403" s="10"/>
      <c r="AN9403" s="10"/>
      <c r="AO9403" s="10"/>
      <c r="AP9403" s="10"/>
      <c r="AQ9403" s="10"/>
      <c r="AR9403" s="10"/>
      <c r="AS9403" s="10"/>
      <c r="AT9403" s="10"/>
      <c r="AU9403" s="10"/>
      <c r="AV9403" s="10"/>
      <c r="AW9403" s="10"/>
      <c r="AX9403" s="10"/>
      <c r="AY9403" s="10"/>
      <c r="AZ9403" s="10"/>
    </row>
    <row r="9404" spans="31:52">
      <c r="AE9404" s="10"/>
      <c r="AF9404" s="10"/>
      <c r="AG9404" s="10"/>
      <c r="AH9404" s="10"/>
      <c r="AI9404" s="10"/>
      <c r="AJ9404" s="10"/>
      <c r="AK9404" s="10"/>
      <c r="AL9404" s="10"/>
      <c r="AM9404" s="10"/>
      <c r="AN9404" s="10"/>
      <c r="AO9404" s="10"/>
      <c r="AP9404" s="10"/>
      <c r="AQ9404" s="10"/>
      <c r="AR9404" s="10"/>
      <c r="AS9404" s="10"/>
      <c r="AT9404" s="10"/>
      <c r="AU9404" s="10"/>
      <c r="AV9404" s="10"/>
      <c r="AW9404" s="10"/>
      <c r="AX9404" s="10"/>
      <c r="AY9404" s="10"/>
      <c r="AZ9404" s="10"/>
    </row>
    <row r="9405" spans="31:52">
      <c r="AE9405" s="10"/>
      <c r="AF9405" s="10"/>
      <c r="AG9405" s="10"/>
      <c r="AH9405" s="10"/>
      <c r="AI9405" s="10"/>
      <c r="AJ9405" s="10"/>
      <c r="AK9405" s="10"/>
      <c r="AL9405" s="10"/>
      <c r="AM9405" s="10"/>
      <c r="AN9405" s="10"/>
      <c r="AO9405" s="10"/>
      <c r="AP9405" s="10"/>
      <c r="AQ9405" s="10"/>
      <c r="AR9405" s="10"/>
      <c r="AS9405" s="10"/>
      <c r="AT9405" s="10"/>
      <c r="AU9405" s="10"/>
      <c r="AV9405" s="10"/>
      <c r="AW9405" s="10"/>
      <c r="AX9405" s="10"/>
      <c r="AY9405" s="10"/>
      <c r="AZ9405" s="10"/>
    </row>
    <row r="9406" spans="31:52">
      <c r="AE9406" s="10"/>
      <c r="AF9406" s="10"/>
      <c r="AG9406" s="10"/>
      <c r="AH9406" s="10"/>
      <c r="AI9406" s="10"/>
      <c r="AJ9406" s="10"/>
      <c r="AK9406" s="10"/>
      <c r="AL9406" s="10"/>
      <c r="AM9406" s="10"/>
      <c r="AN9406" s="10"/>
      <c r="AO9406" s="10"/>
      <c r="AP9406" s="10"/>
      <c r="AQ9406" s="10"/>
      <c r="AR9406" s="10"/>
      <c r="AS9406" s="10"/>
      <c r="AT9406" s="10"/>
      <c r="AU9406" s="10"/>
      <c r="AV9406" s="10"/>
      <c r="AW9406" s="10"/>
      <c r="AX9406" s="10"/>
      <c r="AY9406" s="10"/>
      <c r="AZ9406" s="10"/>
    </row>
    <row r="9407" spans="31:52">
      <c r="AE9407" s="10"/>
      <c r="AF9407" s="10"/>
      <c r="AG9407" s="10"/>
      <c r="AH9407" s="10"/>
      <c r="AI9407" s="10"/>
      <c r="AJ9407" s="10"/>
      <c r="AK9407" s="10"/>
      <c r="AL9407" s="10"/>
      <c r="AM9407" s="10"/>
      <c r="AN9407" s="10"/>
      <c r="AO9407" s="10"/>
      <c r="AP9407" s="10"/>
      <c r="AQ9407" s="10"/>
      <c r="AR9407" s="10"/>
      <c r="AS9407" s="10"/>
      <c r="AT9407" s="10"/>
      <c r="AU9407" s="10"/>
      <c r="AV9407" s="10"/>
      <c r="AW9407" s="10"/>
      <c r="AX9407" s="10"/>
      <c r="AY9407" s="10"/>
      <c r="AZ9407" s="10"/>
    </row>
    <row r="9408" spans="31:52">
      <c r="AE9408" s="10"/>
      <c r="AF9408" s="10"/>
      <c r="AG9408" s="10"/>
      <c r="AH9408" s="10"/>
      <c r="AI9408" s="10"/>
      <c r="AJ9408" s="10"/>
      <c r="AK9408" s="10"/>
      <c r="AL9408" s="10"/>
      <c r="AM9408" s="10"/>
      <c r="AN9408" s="10"/>
      <c r="AO9408" s="10"/>
      <c r="AP9408" s="10"/>
      <c r="AQ9408" s="10"/>
      <c r="AR9408" s="10"/>
      <c r="AS9408" s="10"/>
      <c r="AT9408" s="10"/>
      <c r="AU9408" s="10"/>
      <c r="AV9408" s="10"/>
      <c r="AW9408" s="10"/>
      <c r="AX9408" s="10"/>
      <c r="AY9408" s="10"/>
      <c r="AZ9408" s="10"/>
    </row>
    <row r="9409" spans="31:52">
      <c r="AE9409" s="10"/>
      <c r="AF9409" s="10"/>
      <c r="AG9409" s="10"/>
      <c r="AH9409" s="10"/>
      <c r="AI9409" s="10"/>
      <c r="AJ9409" s="10"/>
      <c r="AK9409" s="10"/>
      <c r="AL9409" s="10"/>
      <c r="AM9409" s="10"/>
      <c r="AN9409" s="10"/>
      <c r="AO9409" s="10"/>
      <c r="AP9409" s="10"/>
      <c r="AQ9409" s="10"/>
      <c r="AR9409" s="10"/>
      <c r="AS9409" s="10"/>
      <c r="AT9409" s="10"/>
      <c r="AU9409" s="10"/>
      <c r="AV9409" s="10"/>
      <c r="AW9409" s="10"/>
      <c r="AX9409" s="10"/>
      <c r="AY9409" s="10"/>
      <c r="AZ9409" s="10"/>
    </row>
    <row r="9410" spans="31:52">
      <c r="AE9410" s="10"/>
      <c r="AF9410" s="10"/>
      <c r="AG9410" s="10"/>
      <c r="AH9410" s="10"/>
      <c r="AI9410" s="10"/>
      <c r="AJ9410" s="10"/>
      <c r="AK9410" s="10"/>
      <c r="AL9410" s="10"/>
      <c r="AM9410" s="10"/>
      <c r="AN9410" s="10"/>
      <c r="AO9410" s="10"/>
      <c r="AP9410" s="10"/>
      <c r="AQ9410" s="10"/>
      <c r="AR9410" s="10"/>
      <c r="AS9410" s="10"/>
      <c r="AT9410" s="10"/>
      <c r="AU9410" s="10"/>
      <c r="AV9410" s="10"/>
      <c r="AW9410" s="10"/>
      <c r="AX9410" s="10"/>
      <c r="AY9410" s="10"/>
      <c r="AZ9410" s="10"/>
    </row>
    <row r="9411" spans="31:52">
      <c r="AE9411" s="10"/>
      <c r="AF9411" s="10"/>
      <c r="AG9411" s="10"/>
      <c r="AH9411" s="10"/>
      <c r="AI9411" s="10"/>
      <c r="AJ9411" s="10"/>
      <c r="AK9411" s="10"/>
      <c r="AL9411" s="10"/>
      <c r="AM9411" s="10"/>
      <c r="AN9411" s="10"/>
      <c r="AO9411" s="10"/>
      <c r="AP9411" s="10"/>
      <c r="AQ9411" s="10"/>
      <c r="AR9411" s="10"/>
      <c r="AS9411" s="10"/>
      <c r="AT9411" s="10"/>
      <c r="AU9411" s="10"/>
      <c r="AV9411" s="10"/>
      <c r="AW9411" s="10"/>
      <c r="AX9411" s="10"/>
      <c r="AY9411" s="10"/>
      <c r="AZ9411" s="10"/>
    </row>
    <row r="9412" spans="31:52">
      <c r="AE9412" s="10"/>
      <c r="AF9412" s="10"/>
      <c r="AG9412" s="10"/>
      <c r="AH9412" s="10"/>
      <c r="AI9412" s="10"/>
      <c r="AJ9412" s="10"/>
      <c r="AK9412" s="10"/>
      <c r="AL9412" s="10"/>
      <c r="AM9412" s="10"/>
      <c r="AN9412" s="10"/>
      <c r="AO9412" s="10"/>
      <c r="AP9412" s="10"/>
      <c r="AQ9412" s="10"/>
      <c r="AR9412" s="10"/>
      <c r="AS9412" s="10"/>
      <c r="AT9412" s="10"/>
      <c r="AU9412" s="10"/>
      <c r="AV9412" s="10"/>
      <c r="AW9412" s="10"/>
      <c r="AX9412" s="10"/>
      <c r="AY9412" s="10"/>
      <c r="AZ9412" s="10"/>
    </row>
    <row r="9413" spans="31:52">
      <c r="AE9413" s="10"/>
      <c r="AF9413" s="10"/>
      <c r="AG9413" s="10"/>
      <c r="AH9413" s="10"/>
      <c r="AI9413" s="10"/>
      <c r="AJ9413" s="10"/>
      <c r="AK9413" s="10"/>
      <c r="AL9413" s="10"/>
      <c r="AM9413" s="10"/>
      <c r="AN9413" s="10"/>
      <c r="AO9413" s="10"/>
      <c r="AP9413" s="10"/>
      <c r="AQ9413" s="10"/>
      <c r="AR9413" s="10"/>
      <c r="AS9413" s="10"/>
      <c r="AT9413" s="10"/>
      <c r="AU9413" s="10"/>
      <c r="AV9413" s="10"/>
      <c r="AW9413" s="10"/>
      <c r="AX9413" s="10"/>
      <c r="AY9413" s="10"/>
      <c r="AZ9413" s="10"/>
    </row>
    <row r="9414" spans="31:52">
      <c r="AE9414" s="10"/>
      <c r="AF9414" s="10"/>
      <c r="AG9414" s="10"/>
      <c r="AH9414" s="10"/>
      <c r="AI9414" s="10"/>
      <c r="AJ9414" s="10"/>
      <c r="AK9414" s="10"/>
      <c r="AL9414" s="10"/>
      <c r="AM9414" s="10"/>
      <c r="AN9414" s="10"/>
      <c r="AO9414" s="10"/>
      <c r="AP9414" s="10"/>
      <c r="AQ9414" s="10"/>
      <c r="AR9414" s="10"/>
      <c r="AS9414" s="10"/>
      <c r="AT9414" s="10"/>
      <c r="AU9414" s="10"/>
      <c r="AV9414" s="10"/>
      <c r="AW9414" s="10"/>
      <c r="AX9414" s="10"/>
      <c r="AY9414" s="10"/>
      <c r="AZ9414" s="10"/>
    </row>
    <row r="9415" spans="31:52">
      <c r="AE9415" s="10"/>
      <c r="AF9415" s="10"/>
      <c r="AG9415" s="10"/>
      <c r="AH9415" s="10"/>
      <c r="AI9415" s="10"/>
      <c r="AJ9415" s="10"/>
      <c r="AK9415" s="10"/>
      <c r="AL9415" s="10"/>
      <c r="AM9415" s="10"/>
      <c r="AN9415" s="10"/>
      <c r="AO9415" s="10"/>
      <c r="AP9415" s="10"/>
      <c r="AQ9415" s="10"/>
      <c r="AR9415" s="10"/>
      <c r="AS9415" s="10"/>
      <c r="AT9415" s="10"/>
      <c r="AU9415" s="10"/>
      <c r="AV9415" s="10"/>
      <c r="AW9415" s="10"/>
      <c r="AX9415" s="10"/>
      <c r="AY9415" s="10"/>
      <c r="AZ9415" s="10"/>
    </row>
    <row r="9416" spans="31:52">
      <c r="AE9416" s="10"/>
      <c r="AF9416" s="10"/>
      <c r="AG9416" s="10"/>
      <c r="AH9416" s="10"/>
      <c r="AI9416" s="10"/>
      <c r="AJ9416" s="10"/>
      <c r="AK9416" s="10"/>
      <c r="AL9416" s="10"/>
      <c r="AM9416" s="10"/>
      <c r="AN9416" s="10"/>
      <c r="AO9416" s="10"/>
      <c r="AP9416" s="10"/>
      <c r="AQ9416" s="10"/>
      <c r="AR9416" s="10"/>
      <c r="AS9416" s="10"/>
      <c r="AT9416" s="10"/>
      <c r="AU9416" s="10"/>
      <c r="AV9416" s="10"/>
      <c r="AW9416" s="10"/>
      <c r="AX9416" s="10"/>
      <c r="AY9416" s="10"/>
      <c r="AZ9416" s="10"/>
    </row>
    <row r="9417" spans="31:52">
      <c r="AE9417" s="10"/>
      <c r="AF9417" s="10"/>
      <c r="AG9417" s="10"/>
      <c r="AH9417" s="10"/>
      <c r="AI9417" s="10"/>
      <c r="AJ9417" s="10"/>
      <c r="AK9417" s="10"/>
      <c r="AL9417" s="10"/>
      <c r="AM9417" s="10"/>
      <c r="AN9417" s="10"/>
      <c r="AO9417" s="10"/>
      <c r="AP9417" s="10"/>
      <c r="AQ9417" s="10"/>
      <c r="AR9417" s="10"/>
      <c r="AS9417" s="10"/>
      <c r="AT9417" s="10"/>
      <c r="AU9417" s="10"/>
      <c r="AV9417" s="10"/>
      <c r="AW9417" s="10"/>
      <c r="AX9417" s="10"/>
      <c r="AY9417" s="10"/>
      <c r="AZ9417" s="10"/>
    </row>
    <row r="9418" spans="31:52">
      <c r="AE9418" s="10"/>
      <c r="AF9418" s="10"/>
      <c r="AG9418" s="10"/>
      <c r="AH9418" s="10"/>
      <c r="AI9418" s="10"/>
      <c r="AJ9418" s="10"/>
      <c r="AK9418" s="10"/>
      <c r="AL9418" s="10"/>
      <c r="AM9418" s="10"/>
      <c r="AN9418" s="10"/>
      <c r="AO9418" s="10"/>
      <c r="AP9418" s="10"/>
      <c r="AQ9418" s="10"/>
      <c r="AR9418" s="10"/>
      <c r="AS9418" s="10"/>
      <c r="AT9418" s="10"/>
      <c r="AU9418" s="10"/>
      <c r="AV9418" s="10"/>
      <c r="AW9418" s="10"/>
      <c r="AX9418" s="10"/>
      <c r="AY9418" s="10"/>
      <c r="AZ9418" s="10"/>
    </row>
    <row r="9419" spans="31:52">
      <c r="AE9419" s="10"/>
      <c r="AF9419" s="10"/>
      <c r="AG9419" s="10"/>
      <c r="AH9419" s="10"/>
      <c r="AI9419" s="10"/>
      <c r="AJ9419" s="10"/>
      <c r="AK9419" s="10"/>
      <c r="AL9419" s="10"/>
      <c r="AM9419" s="10"/>
      <c r="AN9419" s="10"/>
      <c r="AO9419" s="10"/>
      <c r="AP9419" s="10"/>
      <c r="AQ9419" s="10"/>
      <c r="AR9419" s="10"/>
      <c r="AS9419" s="10"/>
      <c r="AT9419" s="10"/>
      <c r="AU9419" s="10"/>
      <c r="AV9419" s="10"/>
      <c r="AW9419" s="10"/>
      <c r="AX9419" s="10"/>
      <c r="AY9419" s="10"/>
      <c r="AZ9419" s="10"/>
    </row>
    <row r="9420" spans="31:52">
      <c r="AE9420" s="10"/>
      <c r="AF9420" s="10"/>
      <c r="AG9420" s="10"/>
      <c r="AH9420" s="10"/>
      <c r="AI9420" s="10"/>
      <c r="AJ9420" s="10"/>
      <c r="AK9420" s="10"/>
      <c r="AL9420" s="10"/>
      <c r="AM9420" s="10"/>
      <c r="AN9420" s="10"/>
      <c r="AO9420" s="10"/>
      <c r="AP9420" s="10"/>
      <c r="AQ9420" s="10"/>
      <c r="AR9420" s="10"/>
      <c r="AS9420" s="10"/>
      <c r="AT9420" s="10"/>
      <c r="AU9420" s="10"/>
      <c r="AV9420" s="10"/>
      <c r="AW9420" s="10"/>
      <c r="AX9420" s="10"/>
      <c r="AY9420" s="10"/>
      <c r="AZ9420" s="10"/>
    </row>
    <row r="9421" spans="31:52">
      <c r="AE9421" s="10"/>
      <c r="AF9421" s="10"/>
      <c r="AG9421" s="10"/>
      <c r="AH9421" s="10"/>
      <c r="AI9421" s="10"/>
      <c r="AJ9421" s="10"/>
      <c r="AK9421" s="10"/>
      <c r="AL9421" s="10"/>
      <c r="AM9421" s="10"/>
      <c r="AN9421" s="10"/>
      <c r="AO9421" s="10"/>
      <c r="AP9421" s="10"/>
      <c r="AQ9421" s="10"/>
      <c r="AR9421" s="10"/>
      <c r="AS9421" s="10"/>
      <c r="AT9421" s="10"/>
      <c r="AU9421" s="10"/>
      <c r="AV9421" s="10"/>
      <c r="AW9421" s="10"/>
      <c r="AX9421" s="10"/>
      <c r="AY9421" s="10"/>
      <c r="AZ9421" s="10"/>
    </row>
    <row r="9422" spans="31:52">
      <c r="AE9422" s="10"/>
      <c r="AF9422" s="10"/>
      <c r="AG9422" s="10"/>
      <c r="AH9422" s="10"/>
      <c r="AI9422" s="10"/>
      <c r="AJ9422" s="10"/>
      <c r="AK9422" s="10"/>
      <c r="AL9422" s="10"/>
      <c r="AM9422" s="10"/>
      <c r="AN9422" s="10"/>
      <c r="AO9422" s="10"/>
      <c r="AP9422" s="10"/>
      <c r="AQ9422" s="10"/>
      <c r="AR9422" s="10"/>
      <c r="AS9422" s="10"/>
      <c r="AT9422" s="10"/>
      <c r="AU9422" s="10"/>
      <c r="AV9422" s="10"/>
      <c r="AW9422" s="10"/>
      <c r="AX9422" s="10"/>
      <c r="AY9422" s="10"/>
      <c r="AZ9422" s="10"/>
    </row>
    <row r="9423" spans="31:52">
      <c r="AE9423" s="10"/>
      <c r="AF9423" s="10"/>
      <c r="AG9423" s="10"/>
      <c r="AH9423" s="10"/>
      <c r="AI9423" s="10"/>
      <c r="AJ9423" s="10"/>
      <c r="AK9423" s="10"/>
      <c r="AL9423" s="10"/>
      <c r="AM9423" s="10"/>
      <c r="AN9423" s="10"/>
      <c r="AO9423" s="10"/>
      <c r="AP9423" s="10"/>
      <c r="AQ9423" s="10"/>
      <c r="AR9423" s="10"/>
      <c r="AS9423" s="10"/>
      <c r="AT9423" s="10"/>
      <c r="AU9423" s="10"/>
      <c r="AV9423" s="10"/>
      <c r="AW9423" s="10"/>
      <c r="AX9423" s="10"/>
      <c r="AY9423" s="10"/>
      <c r="AZ9423" s="10"/>
    </row>
    <row r="9424" spans="31:52">
      <c r="AE9424" s="10"/>
      <c r="AF9424" s="10"/>
      <c r="AG9424" s="10"/>
      <c r="AH9424" s="10"/>
      <c r="AI9424" s="10"/>
      <c r="AJ9424" s="10"/>
      <c r="AK9424" s="10"/>
      <c r="AL9424" s="10"/>
      <c r="AM9424" s="10"/>
      <c r="AN9424" s="10"/>
      <c r="AO9424" s="10"/>
      <c r="AP9424" s="10"/>
      <c r="AQ9424" s="10"/>
      <c r="AR9424" s="10"/>
      <c r="AS9424" s="10"/>
      <c r="AT9424" s="10"/>
      <c r="AU9424" s="10"/>
      <c r="AV9424" s="10"/>
      <c r="AW9424" s="10"/>
      <c r="AX9424" s="10"/>
      <c r="AY9424" s="10"/>
      <c r="AZ9424" s="10"/>
    </row>
    <row r="9425" spans="31:52">
      <c r="AE9425" s="10"/>
      <c r="AF9425" s="10"/>
      <c r="AG9425" s="10"/>
      <c r="AH9425" s="10"/>
      <c r="AI9425" s="10"/>
      <c r="AJ9425" s="10"/>
      <c r="AK9425" s="10"/>
      <c r="AL9425" s="10"/>
      <c r="AM9425" s="10"/>
      <c r="AN9425" s="10"/>
      <c r="AO9425" s="10"/>
      <c r="AP9425" s="10"/>
      <c r="AQ9425" s="10"/>
      <c r="AR9425" s="10"/>
      <c r="AS9425" s="10"/>
      <c r="AT9425" s="10"/>
      <c r="AU9425" s="10"/>
      <c r="AV9425" s="10"/>
      <c r="AW9425" s="10"/>
      <c r="AX9425" s="10"/>
      <c r="AY9425" s="10"/>
      <c r="AZ9425" s="10"/>
    </row>
    <row r="9426" spans="31:52">
      <c r="AE9426" s="10"/>
      <c r="AF9426" s="10"/>
      <c r="AG9426" s="10"/>
      <c r="AH9426" s="10"/>
      <c r="AI9426" s="10"/>
      <c r="AJ9426" s="10"/>
      <c r="AK9426" s="10"/>
      <c r="AL9426" s="10"/>
      <c r="AM9426" s="10"/>
      <c r="AN9426" s="10"/>
      <c r="AO9426" s="10"/>
      <c r="AP9426" s="10"/>
      <c r="AQ9426" s="10"/>
      <c r="AR9426" s="10"/>
      <c r="AS9426" s="10"/>
      <c r="AT9426" s="10"/>
      <c r="AU9426" s="10"/>
      <c r="AV9426" s="10"/>
      <c r="AW9426" s="10"/>
      <c r="AX9426" s="10"/>
      <c r="AY9426" s="10"/>
      <c r="AZ9426" s="10"/>
    </row>
    <row r="9427" spans="31:52">
      <c r="AE9427" s="10"/>
      <c r="AF9427" s="10"/>
      <c r="AG9427" s="10"/>
      <c r="AH9427" s="10"/>
      <c r="AI9427" s="10"/>
      <c r="AJ9427" s="10"/>
      <c r="AK9427" s="10"/>
      <c r="AL9427" s="10"/>
      <c r="AM9427" s="10"/>
      <c r="AN9427" s="10"/>
      <c r="AO9427" s="10"/>
      <c r="AP9427" s="10"/>
      <c r="AQ9427" s="10"/>
      <c r="AR9427" s="10"/>
      <c r="AS9427" s="10"/>
      <c r="AT9427" s="10"/>
      <c r="AU9427" s="10"/>
      <c r="AV9427" s="10"/>
      <c r="AW9427" s="10"/>
      <c r="AX9427" s="10"/>
      <c r="AY9427" s="10"/>
      <c r="AZ9427" s="10"/>
    </row>
    <row r="9428" spans="31:52">
      <c r="AE9428" s="10"/>
      <c r="AF9428" s="10"/>
      <c r="AG9428" s="10"/>
      <c r="AH9428" s="10"/>
      <c r="AI9428" s="10"/>
      <c r="AJ9428" s="10"/>
      <c r="AK9428" s="10"/>
      <c r="AL9428" s="10"/>
      <c r="AM9428" s="10"/>
      <c r="AN9428" s="10"/>
      <c r="AO9428" s="10"/>
      <c r="AP9428" s="10"/>
      <c r="AQ9428" s="10"/>
      <c r="AR9428" s="10"/>
      <c r="AS9428" s="10"/>
      <c r="AT9428" s="10"/>
      <c r="AU9428" s="10"/>
      <c r="AV9428" s="10"/>
      <c r="AW9428" s="10"/>
      <c r="AX9428" s="10"/>
      <c r="AY9428" s="10"/>
      <c r="AZ9428" s="10"/>
    </row>
    <row r="9429" spans="31:52">
      <c r="AE9429" s="10"/>
      <c r="AF9429" s="10"/>
      <c r="AG9429" s="10"/>
      <c r="AH9429" s="10"/>
      <c r="AI9429" s="10"/>
      <c r="AJ9429" s="10"/>
      <c r="AK9429" s="10"/>
      <c r="AL9429" s="10"/>
      <c r="AM9429" s="10"/>
      <c r="AN9429" s="10"/>
      <c r="AO9429" s="10"/>
      <c r="AP9429" s="10"/>
      <c r="AQ9429" s="10"/>
      <c r="AR9429" s="10"/>
      <c r="AS9429" s="10"/>
      <c r="AT9429" s="10"/>
      <c r="AU9429" s="10"/>
      <c r="AV9429" s="10"/>
      <c r="AW9429" s="10"/>
      <c r="AX9429" s="10"/>
      <c r="AY9429" s="10"/>
      <c r="AZ9429" s="10"/>
    </row>
    <row r="9430" spans="31:52">
      <c r="AE9430" s="10"/>
      <c r="AF9430" s="10"/>
      <c r="AG9430" s="10"/>
      <c r="AH9430" s="10"/>
      <c r="AI9430" s="10"/>
      <c r="AJ9430" s="10"/>
      <c r="AK9430" s="10"/>
      <c r="AL9430" s="10"/>
      <c r="AM9430" s="10"/>
      <c r="AN9430" s="10"/>
      <c r="AO9430" s="10"/>
      <c r="AP9430" s="10"/>
      <c r="AQ9430" s="10"/>
      <c r="AR9430" s="10"/>
      <c r="AS9430" s="10"/>
      <c r="AT9430" s="10"/>
      <c r="AU9430" s="10"/>
      <c r="AV9430" s="10"/>
      <c r="AW9430" s="10"/>
      <c r="AX9430" s="10"/>
      <c r="AY9430" s="10"/>
      <c r="AZ9430" s="10"/>
    </row>
    <row r="9431" spans="31:52">
      <c r="AE9431" s="10"/>
      <c r="AF9431" s="10"/>
      <c r="AG9431" s="10"/>
      <c r="AH9431" s="10"/>
      <c r="AI9431" s="10"/>
      <c r="AJ9431" s="10"/>
      <c r="AK9431" s="10"/>
      <c r="AL9431" s="10"/>
      <c r="AM9431" s="10"/>
      <c r="AN9431" s="10"/>
      <c r="AO9431" s="10"/>
      <c r="AP9431" s="10"/>
      <c r="AQ9431" s="10"/>
      <c r="AR9431" s="10"/>
      <c r="AS9431" s="10"/>
      <c r="AT9431" s="10"/>
      <c r="AU9431" s="10"/>
      <c r="AV9431" s="10"/>
      <c r="AW9431" s="10"/>
      <c r="AX9431" s="10"/>
      <c r="AY9431" s="10"/>
      <c r="AZ9431" s="10"/>
    </row>
    <row r="9432" spans="31:52">
      <c r="AE9432" s="10"/>
      <c r="AF9432" s="10"/>
      <c r="AG9432" s="10"/>
      <c r="AH9432" s="10"/>
      <c r="AI9432" s="10"/>
      <c r="AJ9432" s="10"/>
      <c r="AK9432" s="10"/>
      <c r="AL9432" s="10"/>
      <c r="AM9432" s="10"/>
      <c r="AN9432" s="10"/>
      <c r="AO9432" s="10"/>
      <c r="AP9432" s="10"/>
      <c r="AQ9432" s="10"/>
      <c r="AR9432" s="10"/>
      <c r="AS9432" s="10"/>
      <c r="AT9432" s="10"/>
      <c r="AU9432" s="10"/>
      <c r="AV9432" s="10"/>
      <c r="AW9432" s="10"/>
      <c r="AX9432" s="10"/>
      <c r="AY9432" s="10"/>
      <c r="AZ9432" s="10"/>
    </row>
    <row r="9433" spans="31:52">
      <c r="AE9433" s="10"/>
      <c r="AF9433" s="10"/>
      <c r="AG9433" s="10"/>
      <c r="AH9433" s="10"/>
      <c r="AI9433" s="10"/>
      <c r="AJ9433" s="10"/>
      <c r="AK9433" s="10"/>
      <c r="AL9433" s="10"/>
      <c r="AM9433" s="10"/>
      <c r="AN9433" s="10"/>
      <c r="AO9433" s="10"/>
      <c r="AP9433" s="10"/>
      <c r="AQ9433" s="10"/>
      <c r="AR9433" s="10"/>
      <c r="AS9433" s="10"/>
      <c r="AT9433" s="10"/>
      <c r="AU9433" s="10"/>
      <c r="AV9433" s="10"/>
      <c r="AW9433" s="10"/>
      <c r="AX9433" s="10"/>
      <c r="AY9433" s="10"/>
      <c r="AZ9433" s="10"/>
    </row>
    <row r="9434" spans="31:52">
      <c r="AE9434" s="10"/>
      <c r="AF9434" s="10"/>
      <c r="AG9434" s="10"/>
      <c r="AH9434" s="10"/>
      <c r="AI9434" s="10"/>
      <c r="AJ9434" s="10"/>
      <c r="AK9434" s="10"/>
      <c r="AL9434" s="10"/>
      <c r="AM9434" s="10"/>
      <c r="AN9434" s="10"/>
      <c r="AO9434" s="10"/>
      <c r="AP9434" s="10"/>
      <c r="AQ9434" s="10"/>
      <c r="AR9434" s="10"/>
      <c r="AS9434" s="10"/>
      <c r="AT9434" s="10"/>
      <c r="AU9434" s="10"/>
      <c r="AV9434" s="10"/>
      <c r="AW9434" s="10"/>
      <c r="AX9434" s="10"/>
      <c r="AY9434" s="10"/>
      <c r="AZ9434" s="10"/>
    </row>
    <row r="9435" spans="31:52">
      <c r="AE9435" s="10"/>
      <c r="AF9435" s="10"/>
      <c r="AG9435" s="10"/>
      <c r="AH9435" s="10"/>
      <c r="AI9435" s="10"/>
      <c r="AJ9435" s="10"/>
      <c r="AK9435" s="10"/>
      <c r="AL9435" s="10"/>
      <c r="AM9435" s="10"/>
      <c r="AN9435" s="10"/>
      <c r="AO9435" s="10"/>
      <c r="AP9435" s="10"/>
      <c r="AQ9435" s="10"/>
      <c r="AR9435" s="10"/>
      <c r="AS9435" s="10"/>
      <c r="AT9435" s="10"/>
      <c r="AU9435" s="10"/>
      <c r="AV9435" s="10"/>
      <c r="AW9435" s="10"/>
      <c r="AX9435" s="10"/>
      <c r="AY9435" s="10"/>
      <c r="AZ9435" s="10"/>
    </row>
    <row r="9436" spans="31:52">
      <c r="AE9436" s="10"/>
      <c r="AF9436" s="10"/>
      <c r="AG9436" s="10"/>
      <c r="AH9436" s="10"/>
      <c r="AI9436" s="10"/>
      <c r="AJ9436" s="10"/>
      <c r="AK9436" s="10"/>
      <c r="AL9436" s="10"/>
      <c r="AM9436" s="10"/>
      <c r="AN9436" s="10"/>
      <c r="AO9436" s="10"/>
      <c r="AP9436" s="10"/>
      <c r="AQ9436" s="10"/>
      <c r="AR9436" s="10"/>
      <c r="AS9436" s="10"/>
      <c r="AT9436" s="10"/>
      <c r="AU9436" s="10"/>
      <c r="AV9436" s="10"/>
      <c r="AW9436" s="10"/>
      <c r="AX9436" s="10"/>
      <c r="AY9436" s="10"/>
      <c r="AZ9436" s="10"/>
    </row>
    <row r="9437" spans="31:52">
      <c r="AE9437" s="10"/>
      <c r="AF9437" s="10"/>
      <c r="AG9437" s="10"/>
      <c r="AH9437" s="10"/>
      <c r="AI9437" s="10"/>
      <c r="AJ9437" s="10"/>
      <c r="AK9437" s="10"/>
      <c r="AL9437" s="10"/>
      <c r="AM9437" s="10"/>
      <c r="AN9437" s="10"/>
      <c r="AO9437" s="10"/>
      <c r="AP9437" s="10"/>
      <c r="AQ9437" s="10"/>
      <c r="AR9437" s="10"/>
      <c r="AS9437" s="10"/>
      <c r="AT9437" s="10"/>
      <c r="AU9437" s="10"/>
      <c r="AV9437" s="10"/>
      <c r="AW9437" s="10"/>
      <c r="AX9437" s="10"/>
      <c r="AY9437" s="10"/>
      <c r="AZ9437" s="10"/>
    </row>
    <row r="9438" spans="31:52">
      <c r="AE9438" s="10"/>
      <c r="AF9438" s="10"/>
      <c r="AG9438" s="10"/>
      <c r="AH9438" s="10"/>
      <c r="AI9438" s="10"/>
      <c r="AJ9438" s="10"/>
      <c r="AK9438" s="10"/>
      <c r="AL9438" s="10"/>
      <c r="AM9438" s="10"/>
      <c r="AN9438" s="10"/>
      <c r="AO9438" s="10"/>
      <c r="AP9438" s="10"/>
      <c r="AQ9438" s="10"/>
      <c r="AR9438" s="10"/>
      <c r="AS9438" s="10"/>
      <c r="AT9438" s="10"/>
      <c r="AU9438" s="10"/>
      <c r="AV9438" s="10"/>
      <c r="AW9438" s="10"/>
      <c r="AX9438" s="10"/>
      <c r="AY9438" s="10"/>
      <c r="AZ9438" s="10"/>
    </row>
    <row r="9439" spans="31:52">
      <c r="AE9439" s="10"/>
      <c r="AF9439" s="10"/>
      <c r="AG9439" s="10"/>
      <c r="AH9439" s="10"/>
      <c r="AI9439" s="10"/>
      <c r="AJ9439" s="10"/>
      <c r="AK9439" s="10"/>
      <c r="AL9439" s="10"/>
      <c r="AM9439" s="10"/>
      <c r="AN9439" s="10"/>
      <c r="AO9439" s="10"/>
      <c r="AP9439" s="10"/>
      <c r="AQ9439" s="10"/>
      <c r="AR9439" s="10"/>
      <c r="AS9439" s="10"/>
      <c r="AT9439" s="10"/>
      <c r="AU9439" s="10"/>
      <c r="AV9439" s="10"/>
      <c r="AW9439" s="10"/>
      <c r="AX9439" s="10"/>
      <c r="AY9439" s="10"/>
      <c r="AZ9439" s="10"/>
    </row>
    <row r="9440" spans="31:52">
      <c r="AE9440" s="10"/>
      <c r="AF9440" s="10"/>
      <c r="AG9440" s="10"/>
      <c r="AH9440" s="10"/>
      <c r="AI9440" s="10"/>
      <c r="AJ9440" s="10"/>
      <c r="AK9440" s="10"/>
      <c r="AL9440" s="10"/>
      <c r="AM9440" s="10"/>
      <c r="AN9440" s="10"/>
      <c r="AO9440" s="10"/>
      <c r="AP9440" s="10"/>
      <c r="AQ9440" s="10"/>
      <c r="AR9440" s="10"/>
      <c r="AS9440" s="10"/>
      <c r="AT9440" s="10"/>
      <c r="AU9440" s="10"/>
      <c r="AV9440" s="10"/>
      <c r="AW9440" s="10"/>
      <c r="AX9440" s="10"/>
      <c r="AY9440" s="10"/>
      <c r="AZ9440" s="10"/>
    </row>
    <row r="9441" spans="31:52">
      <c r="AE9441" s="10"/>
      <c r="AF9441" s="10"/>
      <c r="AG9441" s="10"/>
      <c r="AH9441" s="10"/>
      <c r="AI9441" s="10"/>
      <c r="AJ9441" s="10"/>
      <c r="AK9441" s="10"/>
      <c r="AL9441" s="10"/>
      <c r="AM9441" s="10"/>
      <c r="AN9441" s="10"/>
      <c r="AO9441" s="10"/>
      <c r="AP9441" s="10"/>
      <c r="AQ9441" s="10"/>
      <c r="AR9441" s="10"/>
      <c r="AS9441" s="10"/>
      <c r="AT9441" s="10"/>
      <c r="AU9441" s="10"/>
      <c r="AV9441" s="10"/>
      <c r="AW9441" s="10"/>
      <c r="AX9441" s="10"/>
      <c r="AY9441" s="10"/>
      <c r="AZ9441" s="10"/>
    </row>
    <row r="9442" spans="31:52">
      <c r="AE9442" s="10"/>
      <c r="AF9442" s="10"/>
      <c r="AG9442" s="10"/>
      <c r="AH9442" s="10"/>
      <c r="AI9442" s="10"/>
      <c r="AJ9442" s="10"/>
      <c r="AK9442" s="10"/>
      <c r="AL9442" s="10"/>
      <c r="AM9442" s="10"/>
      <c r="AN9442" s="10"/>
      <c r="AO9442" s="10"/>
      <c r="AP9442" s="10"/>
      <c r="AQ9442" s="10"/>
      <c r="AR9442" s="10"/>
      <c r="AS9442" s="10"/>
      <c r="AT9442" s="10"/>
      <c r="AU9442" s="10"/>
      <c r="AV9442" s="10"/>
      <c r="AW9442" s="10"/>
      <c r="AX9442" s="10"/>
      <c r="AY9442" s="10"/>
      <c r="AZ9442" s="10"/>
    </row>
    <row r="9443" spans="31:52">
      <c r="AE9443" s="10"/>
      <c r="AF9443" s="10"/>
      <c r="AG9443" s="10"/>
      <c r="AH9443" s="10"/>
      <c r="AI9443" s="10"/>
      <c r="AJ9443" s="10"/>
      <c r="AK9443" s="10"/>
      <c r="AL9443" s="10"/>
      <c r="AM9443" s="10"/>
      <c r="AN9443" s="10"/>
      <c r="AO9443" s="10"/>
      <c r="AP9443" s="10"/>
      <c r="AQ9443" s="10"/>
      <c r="AR9443" s="10"/>
      <c r="AS9443" s="10"/>
      <c r="AT9443" s="10"/>
      <c r="AU9443" s="10"/>
      <c r="AV9443" s="10"/>
      <c r="AW9443" s="10"/>
      <c r="AX9443" s="10"/>
      <c r="AY9443" s="10"/>
      <c r="AZ9443" s="10"/>
    </row>
    <row r="9444" spans="31:52">
      <c r="AE9444" s="10"/>
      <c r="AF9444" s="10"/>
      <c r="AG9444" s="10"/>
      <c r="AH9444" s="10"/>
      <c r="AI9444" s="10"/>
      <c r="AJ9444" s="10"/>
      <c r="AK9444" s="10"/>
      <c r="AL9444" s="10"/>
      <c r="AM9444" s="10"/>
      <c r="AN9444" s="10"/>
      <c r="AO9444" s="10"/>
      <c r="AP9444" s="10"/>
      <c r="AQ9444" s="10"/>
      <c r="AR9444" s="10"/>
      <c r="AS9444" s="10"/>
      <c r="AT9444" s="10"/>
      <c r="AU9444" s="10"/>
      <c r="AV9444" s="10"/>
      <c r="AW9444" s="10"/>
      <c r="AX9444" s="10"/>
      <c r="AY9444" s="10"/>
      <c r="AZ9444" s="10"/>
    </row>
    <row r="9445" spans="31:52">
      <c r="AE9445" s="10"/>
      <c r="AF9445" s="10"/>
      <c r="AG9445" s="10"/>
      <c r="AH9445" s="10"/>
      <c r="AI9445" s="10"/>
      <c r="AJ9445" s="10"/>
      <c r="AK9445" s="10"/>
      <c r="AL9445" s="10"/>
      <c r="AM9445" s="10"/>
      <c r="AN9445" s="10"/>
      <c r="AO9445" s="10"/>
      <c r="AP9445" s="10"/>
      <c r="AQ9445" s="10"/>
      <c r="AR9445" s="10"/>
      <c r="AS9445" s="10"/>
      <c r="AT9445" s="10"/>
      <c r="AU9445" s="10"/>
      <c r="AV9445" s="10"/>
      <c r="AW9445" s="10"/>
      <c r="AX9445" s="10"/>
      <c r="AY9445" s="10"/>
      <c r="AZ9445" s="10"/>
    </row>
    <row r="9446" spans="31:52">
      <c r="AE9446" s="10"/>
      <c r="AF9446" s="10"/>
      <c r="AG9446" s="10"/>
      <c r="AH9446" s="10"/>
      <c r="AI9446" s="10"/>
      <c r="AJ9446" s="10"/>
      <c r="AK9446" s="10"/>
      <c r="AL9446" s="10"/>
      <c r="AM9446" s="10"/>
      <c r="AN9446" s="10"/>
      <c r="AO9446" s="10"/>
      <c r="AP9446" s="10"/>
      <c r="AQ9446" s="10"/>
      <c r="AR9446" s="10"/>
      <c r="AS9446" s="10"/>
      <c r="AT9446" s="10"/>
      <c r="AU9446" s="10"/>
      <c r="AV9446" s="10"/>
      <c r="AW9446" s="10"/>
      <c r="AX9446" s="10"/>
      <c r="AY9446" s="10"/>
      <c r="AZ9446" s="10"/>
    </row>
    <row r="9447" spans="31:52">
      <c r="AE9447" s="10"/>
      <c r="AF9447" s="10"/>
      <c r="AG9447" s="10"/>
      <c r="AH9447" s="10"/>
      <c r="AI9447" s="10"/>
      <c r="AJ9447" s="10"/>
      <c r="AK9447" s="10"/>
      <c r="AL9447" s="10"/>
      <c r="AM9447" s="10"/>
      <c r="AN9447" s="10"/>
      <c r="AO9447" s="10"/>
      <c r="AP9447" s="10"/>
      <c r="AQ9447" s="10"/>
      <c r="AR9447" s="10"/>
      <c r="AS9447" s="10"/>
      <c r="AT9447" s="10"/>
      <c r="AU9447" s="10"/>
      <c r="AV9447" s="10"/>
      <c r="AW9447" s="10"/>
      <c r="AX9447" s="10"/>
      <c r="AY9447" s="10"/>
      <c r="AZ9447" s="10"/>
    </row>
    <row r="9448" spans="31:52">
      <c r="AE9448" s="10"/>
      <c r="AF9448" s="10"/>
      <c r="AG9448" s="10"/>
      <c r="AH9448" s="10"/>
      <c r="AI9448" s="10"/>
      <c r="AJ9448" s="10"/>
      <c r="AK9448" s="10"/>
      <c r="AL9448" s="10"/>
      <c r="AM9448" s="10"/>
      <c r="AN9448" s="10"/>
      <c r="AO9448" s="10"/>
      <c r="AP9448" s="10"/>
      <c r="AQ9448" s="10"/>
      <c r="AR9448" s="10"/>
      <c r="AS9448" s="10"/>
      <c r="AT9448" s="10"/>
      <c r="AU9448" s="10"/>
      <c r="AV9448" s="10"/>
      <c r="AW9448" s="10"/>
      <c r="AX9448" s="10"/>
      <c r="AY9448" s="10"/>
      <c r="AZ9448" s="10"/>
    </row>
    <row r="9449" spans="31:52">
      <c r="AE9449" s="10"/>
      <c r="AF9449" s="10"/>
      <c r="AG9449" s="10"/>
      <c r="AH9449" s="10"/>
      <c r="AI9449" s="10"/>
      <c r="AJ9449" s="10"/>
      <c r="AK9449" s="10"/>
      <c r="AL9449" s="10"/>
      <c r="AM9449" s="10"/>
      <c r="AN9449" s="10"/>
      <c r="AO9449" s="10"/>
      <c r="AP9449" s="10"/>
      <c r="AQ9449" s="10"/>
      <c r="AR9449" s="10"/>
      <c r="AS9449" s="10"/>
      <c r="AT9449" s="10"/>
      <c r="AU9449" s="10"/>
      <c r="AV9449" s="10"/>
      <c r="AW9449" s="10"/>
      <c r="AX9449" s="10"/>
      <c r="AY9449" s="10"/>
      <c r="AZ9449" s="10"/>
    </row>
    <row r="9450" spans="31:52">
      <c r="AE9450" s="10"/>
      <c r="AF9450" s="10"/>
      <c r="AG9450" s="10"/>
      <c r="AH9450" s="10"/>
      <c r="AI9450" s="10"/>
      <c r="AJ9450" s="10"/>
      <c r="AK9450" s="10"/>
      <c r="AL9450" s="10"/>
      <c r="AM9450" s="10"/>
      <c r="AN9450" s="10"/>
      <c r="AO9450" s="10"/>
      <c r="AP9450" s="10"/>
      <c r="AQ9450" s="10"/>
      <c r="AR9450" s="10"/>
      <c r="AS9450" s="10"/>
      <c r="AT9450" s="10"/>
      <c r="AU9450" s="10"/>
      <c r="AV9450" s="10"/>
      <c r="AW9450" s="10"/>
      <c r="AX9450" s="10"/>
      <c r="AY9450" s="10"/>
      <c r="AZ9450" s="10"/>
    </row>
    <row r="9451" spans="31:52">
      <c r="AE9451" s="10"/>
      <c r="AF9451" s="10"/>
      <c r="AG9451" s="10"/>
      <c r="AH9451" s="10"/>
      <c r="AI9451" s="10"/>
      <c r="AJ9451" s="10"/>
      <c r="AK9451" s="10"/>
      <c r="AL9451" s="10"/>
      <c r="AM9451" s="10"/>
      <c r="AN9451" s="10"/>
      <c r="AO9451" s="10"/>
      <c r="AP9451" s="10"/>
      <c r="AQ9451" s="10"/>
      <c r="AR9451" s="10"/>
      <c r="AS9451" s="10"/>
      <c r="AT9451" s="10"/>
      <c r="AU9451" s="10"/>
      <c r="AV9451" s="10"/>
      <c r="AW9451" s="10"/>
      <c r="AX9451" s="10"/>
      <c r="AY9451" s="10"/>
      <c r="AZ9451" s="10"/>
    </row>
    <row r="9452" spans="31:52">
      <c r="AE9452" s="10"/>
      <c r="AF9452" s="10"/>
      <c r="AG9452" s="10"/>
      <c r="AH9452" s="10"/>
      <c r="AI9452" s="10"/>
      <c r="AJ9452" s="10"/>
      <c r="AK9452" s="10"/>
      <c r="AL9452" s="10"/>
      <c r="AM9452" s="10"/>
      <c r="AN9452" s="10"/>
      <c r="AO9452" s="10"/>
      <c r="AP9452" s="10"/>
      <c r="AQ9452" s="10"/>
      <c r="AR9452" s="10"/>
      <c r="AS9452" s="10"/>
      <c r="AT9452" s="10"/>
      <c r="AU9452" s="10"/>
      <c r="AV9452" s="10"/>
      <c r="AW9452" s="10"/>
      <c r="AX9452" s="10"/>
      <c r="AY9452" s="10"/>
      <c r="AZ9452" s="10"/>
    </row>
    <row r="9453" spans="31:52">
      <c r="AE9453" s="10"/>
      <c r="AF9453" s="10"/>
      <c r="AG9453" s="10"/>
      <c r="AH9453" s="10"/>
      <c r="AI9453" s="10"/>
      <c r="AJ9453" s="10"/>
      <c r="AK9453" s="10"/>
      <c r="AL9453" s="10"/>
      <c r="AM9453" s="10"/>
      <c r="AN9453" s="10"/>
      <c r="AO9453" s="10"/>
      <c r="AP9453" s="10"/>
      <c r="AQ9453" s="10"/>
      <c r="AR9453" s="10"/>
      <c r="AS9453" s="10"/>
      <c r="AT9453" s="10"/>
      <c r="AU9453" s="10"/>
      <c r="AV9453" s="10"/>
      <c r="AW9453" s="10"/>
      <c r="AX9453" s="10"/>
      <c r="AY9453" s="10"/>
      <c r="AZ9453" s="10"/>
    </row>
    <row r="9454" spans="31:52">
      <c r="AE9454" s="10"/>
      <c r="AF9454" s="10"/>
      <c r="AG9454" s="10"/>
      <c r="AH9454" s="10"/>
      <c r="AI9454" s="10"/>
      <c r="AJ9454" s="10"/>
      <c r="AK9454" s="10"/>
      <c r="AL9454" s="10"/>
      <c r="AM9454" s="10"/>
      <c r="AN9454" s="10"/>
      <c r="AO9454" s="10"/>
      <c r="AP9454" s="10"/>
      <c r="AQ9454" s="10"/>
      <c r="AR9454" s="10"/>
      <c r="AS9454" s="10"/>
      <c r="AT9454" s="10"/>
      <c r="AU9454" s="10"/>
      <c r="AV9454" s="10"/>
      <c r="AW9454" s="10"/>
      <c r="AX9454" s="10"/>
      <c r="AY9454" s="10"/>
      <c r="AZ9454" s="10"/>
    </row>
    <row r="9455" spans="31:52">
      <c r="AE9455" s="10"/>
      <c r="AF9455" s="10"/>
      <c r="AG9455" s="10"/>
      <c r="AH9455" s="10"/>
      <c r="AI9455" s="10"/>
      <c r="AJ9455" s="10"/>
      <c r="AK9455" s="10"/>
      <c r="AL9455" s="10"/>
      <c r="AM9455" s="10"/>
      <c r="AN9455" s="10"/>
      <c r="AO9455" s="10"/>
      <c r="AP9455" s="10"/>
      <c r="AQ9455" s="10"/>
      <c r="AR9455" s="10"/>
      <c r="AS9455" s="10"/>
      <c r="AT9455" s="10"/>
      <c r="AU9455" s="10"/>
      <c r="AV9455" s="10"/>
      <c r="AW9455" s="10"/>
      <c r="AX9455" s="10"/>
      <c r="AY9455" s="10"/>
      <c r="AZ9455" s="10"/>
    </row>
    <row r="9456" spans="31:52">
      <c r="AE9456" s="10"/>
      <c r="AF9456" s="10"/>
      <c r="AG9456" s="10"/>
      <c r="AH9456" s="10"/>
      <c r="AI9456" s="10"/>
      <c r="AJ9456" s="10"/>
      <c r="AK9456" s="10"/>
      <c r="AL9456" s="10"/>
      <c r="AM9456" s="10"/>
      <c r="AN9456" s="10"/>
      <c r="AO9456" s="10"/>
      <c r="AP9456" s="10"/>
      <c r="AQ9456" s="10"/>
      <c r="AR9456" s="10"/>
      <c r="AS9456" s="10"/>
      <c r="AT9456" s="10"/>
      <c r="AU9456" s="10"/>
      <c r="AV9456" s="10"/>
      <c r="AW9456" s="10"/>
      <c r="AX9456" s="10"/>
      <c r="AY9456" s="10"/>
      <c r="AZ9456" s="10"/>
    </row>
    <row r="9457" spans="31:52">
      <c r="AE9457" s="10"/>
      <c r="AF9457" s="10"/>
      <c r="AG9457" s="10"/>
      <c r="AH9457" s="10"/>
      <c r="AI9457" s="10"/>
      <c r="AJ9457" s="10"/>
      <c r="AK9457" s="10"/>
      <c r="AL9457" s="10"/>
      <c r="AM9457" s="10"/>
      <c r="AN9457" s="10"/>
      <c r="AO9457" s="10"/>
      <c r="AP9457" s="10"/>
      <c r="AQ9457" s="10"/>
      <c r="AR9457" s="10"/>
      <c r="AS9457" s="10"/>
      <c r="AT9457" s="10"/>
      <c r="AU9457" s="10"/>
      <c r="AV9457" s="10"/>
      <c r="AW9457" s="10"/>
      <c r="AX9457" s="10"/>
      <c r="AY9457" s="10"/>
      <c r="AZ9457" s="10"/>
    </row>
    <row r="9458" spans="31:52">
      <c r="AE9458" s="10"/>
      <c r="AF9458" s="10"/>
      <c r="AG9458" s="10"/>
      <c r="AH9458" s="10"/>
      <c r="AI9458" s="10"/>
      <c r="AJ9458" s="10"/>
      <c r="AK9458" s="10"/>
      <c r="AL9458" s="10"/>
      <c r="AM9458" s="10"/>
      <c r="AN9458" s="10"/>
      <c r="AO9458" s="10"/>
      <c r="AP9458" s="10"/>
      <c r="AQ9458" s="10"/>
      <c r="AR9458" s="10"/>
      <c r="AS9458" s="10"/>
      <c r="AT9458" s="10"/>
      <c r="AU9458" s="10"/>
      <c r="AV9458" s="10"/>
      <c r="AW9458" s="10"/>
      <c r="AX9458" s="10"/>
      <c r="AY9458" s="10"/>
      <c r="AZ9458" s="10"/>
    </row>
    <row r="9459" spans="31:52">
      <c r="AE9459" s="10"/>
      <c r="AF9459" s="10"/>
      <c r="AG9459" s="10"/>
      <c r="AH9459" s="10"/>
      <c r="AI9459" s="10"/>
      <c r="AJ9459" s="10"/>
      <c r="AK9459" s="10"/>
      <c r="AL9459" s="10"/>
      <c r="AM9459" s="10"/>
      <c r="AN9459" s="10"/>
      <c r="AO9459" s="10"/>
      <c r="AP9459" s="10"/>
      <c r="AQ9459" s="10"/>
      <c r="AR9459" s="10"/>
      <c r="AS9459" s="10"/>
      <c r="AT9459" s="10"/>
      <c r="AU9459" s="10"/>
      <c r="AV9459" s="10"/>
      <c r="AW9459" s="10"/>
      <c r="AX9459" s="10"/>
      <c r="AY9459" s="10"/>
      <c r="AZ9459" s="10"/>
    </row>
    <row r="9460" spans="31:52">
      <c r="AE9460" s="10"/>
      <c r="AF9460" s="10"/>
      <c r="AG9460" s="10"/>
      <c r="AH9460" s="10"/>
      <c r="AI9460" s="10"/>
      <c r="AJ9460" s="10"/>
      <c r="AK9460" s="10"/>
      <c r="AL9460" s="10"/>
      <c r="AM9460" s="10"/>
      <c r="AN9460" s="10"/>
      <c r="AO9460" s="10"/>
      <c r="AP9460" s="10"/>
      <c r="AQ9460" s="10"/>
      <c r="AR9460" s="10"/>
      <c r="AS9460" s="10"/>
      <c r="AT9460" s="10"/>
      <c r="AU9460" s="10"/>
      <c r="AV9460" s="10"/>
      <c r="AW9460" s="10"/>
      <c r="AX9460" s="10"/>
      <c r="AY9460" s="10"/>
      <c r="AZ9460" s="10"/>
    </row>
    <row r="9461" spans="31:52">
      <c r="AE9461" s="10"/>
      <c r="AF9461" s="10"/>
      <c r="AG9461" s="10"/>
      <c r="AH9461" s="10"/>
      <c r="AI9461" s="10"/>
      <c r="AJ9461" s="10"/>
      <c r="AK9461" s="10"/>
      <c r="AL9461" s="10"/>
      <c r="AM9461" s="10"/>
      <c r="AN9461" s="10"/>
      <c r="AO9461" s="10"/>
      <c r="AP9461" s="10"/>
      <c r="AQ9461" s="10"/>
      <c r="AR9461" s="10"/>
      <c r="AS9461" s="10"/>
      <c r="AT9461" s="10"/>
      <c r="AU9461" s="10"/>
      <c r="AV9461" s="10"/>
      <c r="AW9461" s="10"/>
      <c r="AX9461" s="10"/>
      <c r="AY9461" s="10"/>
      <c r="AZ9461" s="10"/>
    </row>
    <row r="9462" spans="31:52">
      <c r="AE9462" s="10"/>
      <c r="AF9462" s="10"/>
      <c r="AG9462" s="10"/>
      <c r="AH9462" s="10"/>
      <c r="AI9462" s="10"/>
      <c r="AJ9462" s="10"/>
      <c r="AK9462" s="10"/>
      <c r="AL9462" s="10"/>
      <c r="AM9462" s="10"/>
      <c r="AN9462" s="10"/>
      <c r="AO9462" s="10"/>
      <c r="AP9462" s="10"/>
      <c r="AQ9462" s="10"/>
      <c r="AR9462" s="10"/>
      <c r="AS9462" s="10"/>
      <c r="AT9462" s="10"/>
      <c r="AU9462" s="10"/>
      <c r="AV9462" s="10"/>
      <c r="AW9462" s="10"/>
      <c r="AX9462" s="10"/>
      <c r="AY9462" s="10"/>
      <c r="AZ9462" s="10"/>
    </row>
    <row r="9463" spans="31:52">
      <c r="AE9463" s="10"/>
      <c r="AF9463" s="10"/>
      <c r="AG9463" s="10"/>
      <c r="AH9463" s="10"/>
      <c r="AI9463" s="10"/>
      <c r="AJ9463" s="10"/>
      <c r="AK9463" s="10"/>
      <c r="AL9463" s="10"/>
      <c r="AM9463" s="10"/>
      <c r="AN9463" s="10"/>
      <c r="AO9463" s="10"/>
      <c r="AP9463" s="10"/>
      <c r="AQ9463" s="10"/>
      <c r="AR9463" s="10"/>
      <c r="AS9463" s="10"/>
      <c r="AT9463" s="10"/>
      <c r="AU9463" s="10"/>
      <c r="AV9463" s="10"/>
      <c r="AW9463" s="10"/>
      <c r="AX9463" s="10"/>
      <c r="AY9463" s="10"/>
      <c r="AZ9463" s="10"/>
    </row>
    <row r="9464" spans="31:52">
      <c r="AE9464" s="10"/>
      <c r="AF9464" s="10"/>
      <c r="AG9464" s="10"/>
      <c r="AH9464" s="10"/>
      <c r="AI9464" s="10"/>
      <c r="AJ9464" s="10"/>
      <c r="AK9464" s="10"/>
      <c r="AL9464" s="10"/>
      <c r="AM9464" s="10"/>
      <c r="AN9464" s="10"/>
      <c r="AO9464" s="10"/>
      <c r="AP9464" s="10"/>
      <c r="AQ9464" s="10"/>
      <c r="AR9464" s="10"/>
      <c r="AS9464" s="10"/>
      <c r="AT9464" s="10"/>
      <c r="AU9464" s="10"/>
      <c r="AV9464" s="10"/>
      <c r="AW9464" s="10"/>
      <c r="AX9464" s="10"/>
      <c r="AY9464" s="10"/>
      <c r="AZ9464" s="10"/>
    </row>
    <row r="9465" spans="31:52">
      <c r="AE9465" s="10"/>
      <c r="AF9465" s="10"/>
      <c r="AG9465" s="10"/>
      <c r="AH9465" s="10"/>
      <c r="AI9465" s="10"/>
      <c r="AJ9465" s="10"/>
      <c r="AK9465" s="10"/>
      <c r="AL9465" s="10"/>
      <c r="AM9465" s="10"/>
      <c r="AN9465" s="10"/>
      <c r="AO9465" s="10"/>
      <c r="AP9465" s="10"/>
      <c r="AQ9465" s="10"/>
      <c r="AR9465" s="10"/>
      <c r="AS9465" s="10"/>
      <c r="AT9465" s="10"/>
      <c r="AU9465" s="10"/>
      <c r="AV9465" s="10"/>
      <c r="AW9465" s="10"/>
      <c r="AX9465" s="10"/>
      <c r="AY9465" s="10"/>
      <c r="AZ9465" s="10"/>
    </row>
    <row r="9466" spans="31:52">
      <c r="AE9466" s="10"/>
      <c r="AF9466" s="10"/>
      <c r="AG9466" s="10"/>
      <c r="AH9466" s="10"/>
      <c r="AI9466" s="10"/>
      <c r="AJ9466" s="10"/>
      <c r="AK9466" s="10"/>
      <c r="AL9466" s="10"/>
      <c r="AM9466" s="10"/>
      <c r="AN9466" s="10"/>
      <c r="AO9466" s="10"/>
      <c r="AP9466" s="10"/>
      <c r="AQ9466" s="10"/>
      <c r="AR9466" s="10"/>
      <c r="AS9466" s="10"/>
      <c r="AT9466" s="10"/>
      <c r="AU9466" s="10"/>
      <c r="AV9466" s="10"/>
      <c r="AW9466" s="10"/>
      <c r="AX9466" s="10"/>
      <c r="AY9466" s="10"/>
      <c r="AZ9466" s="10"/>
    </row>
    <row r="9467" spans="31:52">
      <c r="AE9467" s="10"/>
      <c r="AF9467" s="10"/>
      <c r="AG9467" s="10"/>
      <c r="AH9467" s="10"/>
      <c r="AI9467" s="10"/>
      <c r="AJ9467" s="10"/>
      <c r="AK9467" s="10"/>
      <c r="AL9467" s="10"/>
      <c r="AM9467" s="10"/>
      <c r="AN9467" s="10"/>
      <c r="AO9467" s="10"/>
      <c r="AP9467" s="10"/>
      <c r="AQ9467" s="10"/>
      <c r="AR9467" s="10"/>
      <c r="AS9467" s="10"/>
      <c r="AT9467" s="10"/>
      <c r="AU9467" s="10"/>
      <c r="AV9467" s="10"/>
      <c r="AW9467" s="10"/>
      <c r="AX9467" s="10"/>
      <c r="AY9467" s="10"/>
      <c r="AZ9467" s="10"/>
    </row>
    <row r="9468" spans="31:52">
      <c r="AE9468" s="10"/>
      <c r="AF9468" s="10"/>
      <c r="AG9468" s="10"/>
      <c r="AH9468" s="10"/>
      <c r="AI9468" s="10"/>
      <c r="AJ9468" s="10"/>
      <c r="AK9468" s="10"/>
      <c r="AL9468" s="10"/>
      <c r="AM9468" s="10"/>
      <c r="AN9468" s="10"/>
      <c r="AO9468" s="10"/>
      <c r="AP9468" s="10"/>
      <c r="AQ9468" s="10"/>
      <c r="AR9468" s="10"/>
      <c r="AS9468" s="10"/>
      <c r="AT9468" s="10"/>
      <c r="AU9468" s="10"/>
      <c r="AV9468" s="10"/>
      <c r="AW9468" s="10"/>
      <c r="AX9468" s="10"/>
      <c r="AY9468" s="10"/>
      <c r="AZ9468" s="10"/>
    </row>
    <row r="9469" spans="31:52">
      <c r="AE9469" s="10"/>
      <c r="AF9469" s="10"/>
      <c r="AG9469" s="10"/>
      <c r="AH9469" s="10"/>
      <c r="AI9469" s="10"/>
      <c r="AJ9469" s="10"/>
      <c r="AK9469" s="10"/>
      <c r="AL9469" s="10"/>
      <c r="AM9469" s="10"/>
      <c r="AN9469" s="10"/>
      <c r="AO9469" s="10"/>
      <c r="AP9469" s="10"/>
      <c r="AQ9469" s="10"/>
      <c r="AR9469" s="10"/>
      <c r="AS9469" s="10"/>
      <c r="AT9469" s="10"/>
      <c r="AU9469" s="10"/>
      <c r="AV9469" s="10"/>
      <c r="AW9469" s="10"/>
      <c r="AX9469" s="10"/>
      <c r="AY9469" s="10"/>
      <c r="AZ9469" s="10"/>
    </row>
    <row r="9470" spans="31:52">
      <c r="AE9470" s="10"/>
      <c r="AF9470" s="10"/>
      <c r="AG9470" s="10"/>
      <c r="AH9470" s="10"/>
      <c r="AI9470" s="10"/>
      <c r="AJ9470" s="10"/>
      <c r="AK9470" s="10"/>
      <c r="AL9470" s="10"/>
      <c r="AM9470" s="10"/>
      <c r="AN9470" s="10"/>
      <c r="AO9470" s="10"/>
      <c r="AP9470" s="10"/>
      <c r="AQ9470" s="10"/>
      <c r="AR9470" s="10"/>
      <c r="AS9470" s="10"/>
      <c r="AT9470" s="10"/>
      <c r="AU9470" s="10"/>
      <c r="AV9470" s="10"/>
      <c r="AW9470" s="10"/>
      <c r="AX9470" s="10"/>
      <c r="AY9470" s="10"/>
      <c r="AZ9470" s="10"/>
    </row>
    <row r="9471" spans="31:52">
      <c r="AE9471" s="10"/>
      <c r="AF9471" s="10"/>
      <c r="AG9471" s="10"/>
      <c r="AH9471" s="10"/>
      <c r="AI9471" s="10"/>
      <c r="AJ9471" s="10"/>
      <c r="AK9471" s="10"/>
      <c r="AL9471" s="10"/>
      <c r="AM9471" s="10"/>
      <c r="AN9471" s="10"/>
      <c r="AO9471" s="10"/>
      <c r="AP9471" s="10"/>
      <c r="AQ9471" s="10"/>
      <c r="AR9471" s="10"/>
      <c r="AS9471" s="10"/>
      <c r="AT9471" s="10"/>
      <c r="AU9471" s="10"/>
      <c r="AV9471" s="10"/>
      <c r="AW9471" s="10"/>
      <c r="AX9471" s="10"/>
      <c r="AY9471" s="10"/>
      <c r="AZ9471" s="10"/>
    </row>
    <row r="9472" spans="31:52">
      <c r="AE9472" s="10"/>
      <c r="AF9472" s="10"/>
      <c r="AG9472" s="10"/>
      <c r="AH9472" s="10"/>
      <c r="AI9472" s="10"/>
      <c r="AJ9472" s="10"/>
      <c r="AK9472" s="10"/>
      <c r="AL9472" s="10"/>
      <c r="AM9472" s="10"/>
      <c r="AN9472" s="10"/>
      <c r="AO9472" s="10"/>
      <c r="AP9472" s="10"/>
      <c r="AQ9472" s="10"/>
      <c r="AR9472" s="10"/>
      <c r="AS9472" s="10"/>
      <c r="AT9472" s="10"/>
      <c r="AU9472" s="10"/>
      <c r="AV9472" s="10"/>
      <c r="AW9472" s="10"/>
      <c r="AX9472" s="10"/>
      <c r="AY9472" s="10"/>
      <c r="AZ9472" s="10"/>
    </row>
    <row r="9473" spans="31:52">
      <c r="AE9473" s="10"/>
      <c r="AF9473" s="10"/>
      <c r="AG9473" s="10"/>
      <c r="AH9473" s="10"/>
      <c r="AI9473" s="10"/>
      <c r="AJ9473" s="10"/>
      <c r="AK9473" s="10"/>
      <c r="AL9473" s="10"/>
      <c r="AM9473" s="10"/>
      <c r="AN9473" s="10"/>
      <c r="AO9473" s="10"/>
      <c r="AP9473" s="10"/>
      <c r="AQ9473" s="10"/>
      <c r="AR9473" s="10"/>
      <c r="AS9473" s="10"/>
      <c r="AT9473" s="10"/>
      <c r="AU9473" s="10"/>
      <c r="AV9473" s="10"/>
      <c r="AW9473" s="10"/>
      <c r="AX9473" s="10"/>
      <c r="AY9473" s="10"/>
      <c r="AZ9473" s="10"/>
    </row>
    <row r="9474" spans="31:52">
      <c r="AE9474" s="10"/>
      <c r="AF9474" s="10"/>
      <c r="AG9474" s="10"/>
      <c r="AH9474" s="10"/>
      <c r="AI9474" s="10"/>
      <c r="AJ9474" s="10"/>
      <c r="AK9474" s="10"/>
      <c r="AL9474" s="10"/>
      <c r="AM9474" s="10"/>
      <c r="AN9474" s="10"/>
      <c r="AO9474" s="10"/>
      <c r="AP9474" s="10"/>
      <c r="AQ9474" s="10"/>
      <c r="AR9474" s="10"/>
      <c r="AS9474" s="10"/>
      <c r="AT9474" s="10"/>
      <c r="AU9474" s="10"/>
      <c r="AV9474" s="10"/>
      <c r="AW9474" s="10"/>
      <c r="AX9474" s="10"/>
      <c r="AY9474" s="10"/>
      <c r="AZ9474" s="10"/>
    </row>
    <row r="9475" spans="31:52">
      <c r="AE9475" s="10"/>
      <c r="AF9475" s="10"/>
      <c r="AG9475" s="10"/>
      <c r="AH9475" s="10"/>
      <c r="AI9475" s="10"/>
      <c r="AJ9475" s="10"/>
      <c r="AK9475" s="10"/>
      <c r="AL9475" s="10"/>
      <c r="AM9475" s="10"/>
      <c r="AN9475" s="10"/>
      <c r="AO9475" s="10"/>
      <c r="AP9475" s="10"/>
      <c r="AQ9475" s="10"/>
      <c r="AR9475" s="10"/>
      <c r="AS9475" s="10"/>
      <c r="AT9475" s="10"/>
      <c r="AU9475" s="10"/>
      <c r="AV9475" s="10"/>
      <c r="AW9475" s="10"/>
      <c r="AX9475" s="10"/>
      <c r="AY9475" s="10"/>
      <c r="AZ9475" s="10"/>
    </row>
    <row r="9476" spans="31:52">
      <c r="AE9476" s="10"/>
      <c r="AF9476" s="10"/>
      <c r="AG9476" s="10"/>
      <c r="AH9476" s="10"/>
      <c r="AI9476" s="10"/>
      <c r="AJ9476" s="10"/>
      <c r="AK9476" s="10"/>
      <c r="AL9476" s="10"/>
      <c r="AM9476" s="10"/>
      <c r="AN9476" s="10"/>
      <c r="AO9476" s="10"/>
      <c r="AP9476" s="10"/>
      <c r="AQ9476" s="10"/>
      <c r="AR9476" s="10"/>
      <c r="AS9476" s="10"/>
      <c r="AT9476" s="10"/>
      <c r="AU9476" s="10"/>
      <c r="AV9476" s="10"/>
      <c r="AW9476" s="10"/>
      <c r="AX9476" s="10"/>
      <c r="AY9476" s="10"/>
      <c r="AZ9476" s="10"/>
    </row>
    <row r="9477" spans="31:52">
      <c r="AE9477" s="10"/>
      <c r="AF9477" s="10"/>
      <c r="AG9477" s="10"/>
      <c r="AH9477" s="10"/>
      <c r="AI9477" s="10"/>
      <c r="AJ9477" s="10"/>
      <c r="AK9477" s="10"/>
      <c r="AL9477" s="10"/>
      <c r="AM9477" s="10"/>
      <c r="AN9477" s="10"/>
      <c r="AO9477" s="10"/>
      <c r="AP9477" s="10"/>
      <c r="AQ9477" s="10"/>
      <c r="AR9477" s="10"/>
      <c r="AS9477" s="10"/>
      <c r="AT9477" s="10"/>
      <c r="AU9477" s="10"/>
      <c r="AV9477" s="10"/>
      <c r="AW9477" s="10"/>
      <c r="AX9477" s="10"/>
      <c r="AY9477" s="10"/>
      <c r="AZ9477" s="10"/>
    </row>
    <row r="9478" spans="31:52">
      <c r="AE9478" s="10"/>
      <c r="AF9478" s="10"/>
      <c r="AG9478" s="10"/>
      <c r="AH9478" s="10"/>
      <c r="AI9478" s="10"/>
      <c r="AJ9478" s="10"/>
      <c r="AK9478" s="10"/>
      <c r="AL9478" s="10"/>
      <c r="AM9478" s="10"/>
      <c r="AN9478" s="10"/>
      <c r="AO9478" s="10"/>
      <c r="AP9478" s="10"/>
      <c r="AQ9478" s="10"/>
      <c r="AR9478" s="10"/>
      <c r="AS9478" s="10"/>
      <c r="AT9478" s="10"/>
      <c r="AU9478" s="10"/>
      <c r="AV9478" s="10"/>
      <c r="AW9478" s="10"/>
      <c r="AX9478" s="10"/>
      <c r="AY9478" s="10"/>
      <c r="AZ9478" s="10"/>
    </row>
    <row r="9479" spans="31:52">
      <c r="AE9479" s="10"/>
      <c r="AF9479" s="10"/>
      <c r="AG9479" s="10"/>
      <c r="AH9479" s="10"/>
      <c r="AI9479" s="10"/>
      <c r="AJ9479" s="10"/>
      <c r="AK9479" s="10"/>
      <c r="AL9479" s="10"/>
      <c r="AM9479" s="10"/>
      <c r="AN9479" s="10"/>
      <c r="AO9479" s="10"/>
      <c r="AP9479" s="10"/>
      <c r="AQ9479" s="10"/>
      <c r="AR9479" s="10"/>
      <c r="AS9479" s="10"/>
      <c r="AT9479" s="10"/>
      <c r="AU9479" s="10"/>
      <c r="AV9479" s="10"/>
      <c r="AW9479" s="10"/>
      <c r="AX9479" s="10"/>
      <c r="AY9479" s="10"/>
      <c r="AZ9479" s="10"/>
    </row>
    <row r="9480" spans="31:52">
      <c r="AE9480" s="10"/>
      <c r="AF9480" s="10"/>
      <c r="AG9480" s="10"/>
      <c r="AH9480" s="10"/>
      <c r="AI9480" s="10"/>
      <c r="AJ9480" s="10"/>
      <c r="AK9480" s="10"/>
      <c r="AL9480" s="10"/>
      <c r="AM9480" s="10"/>
      <c r="AN9480" s="10"/>
      <c r="AO9480" s="10"/>
      <c r="AP9480" s="10"/>
      <c r="AQ9480" s="10"/>
      <c r="AR9480" s="10"/>
      <c r="AS9480" s="10"/>
      <c r="AT9480" s="10"/>
      <c r="AU9480" s="10"/>
      <c r="AV9480" s="10"/>
      <c r="AW9480" s="10"/>
      <c r="AX9480" s="10"/>
      <c r="AY9480" s="10"/>
      <c r="AZ9480" s="10"/>
    </row>
    <row r="9481" spans="31:52">
      <c r="AE9481" s="10"/>
      <c r="AF9481" s="10"/>
      <c r="AG9481" s="10"/>
      <c r="AH9481" s="10"/>
      <c r="AI9481" s="10"/>
      <c r="AJ9481" s="10"/>
      <c r="AK9481" s="10"/>
      <c r="AL9481" s="10"/>
      <c r="AM9481" s="10"/>
      <c r="AN9481" s="10"/>
      <c r="AO9481" s="10"/>
      <c r="AP9481" s="10"/>
      <c r="AQ9481" s="10"/>
      <c r="AR9481" s="10"/>
      <c r="AS9481" s="10"/>
      <c r="AT9481" s="10"/>
      <c r="AU9481" s="10"/>
      <c r="AV9481" s="10"/>
      <c r="AW9481" s="10"/>
      <c r="AX9481" s="10"/>
      <c r="AY9481" s="10"/>
      <c r="AZ9481" s="10"/>
    </row>
    <row r="9482" spans="31:52">
      <c r="AE9482" s="10"/>
      <c r="AF9482" s="10"/>
      <c r="AG9482" s="10"/>
      <c r="AH9482" s="10"/>
      <c r="AI9482" s="10"/>
      <c r="AJ9482" s="10"/>
      <c r="AK9482" s="10"/>
      <c r="AL9482" s="10"/>
      <c r="AM9482" s="10"/>
      <c r="AN9482" s="10"/>
      <c r="AO9482" s="10"/>
      <c r="AP9482" s="10"/>
      <c r="AQ9482" s="10"/>
      <c r="AR9482" s="10"/>
      <c r="AS9482" s="10"/>
      <c r="AT9482" s="10"/>
      <c r="AU9482" s="10"/>
      <c r="AV9482" s="10"/>
      <c r="AW9482" s="10"/>
      <c r="AX9482" s="10"/>
      <c r="AY9482" s="10"/>
      <c r="AZ9482" s="10"/>
    </row>
    <row r="9483" spans="31:52">
      <c r="AE9483" s="10"/>
      <c r="AF9483" s="10"/>
      <c r="AG9483" s="10"/>
      <c r="AH9483" s="10"/>
      <c r="AI9483" s="10"/>
      <c r="AJ9483" s="10"/>
      <c r="AK9483" s="10"/>
      <c r="AL9483" s="10"/>
      <c r="AM9483" s="10"/>
      <c r="AN9483" s="10"/>
      <c r="AO9483" s="10"/>
      <c r="AP9483" s="10"/>
      <c r="AQ9483" s="10"/>
      <c r="AR9483" s="10"/>
      <c r="AS9483" s="10"/>
      <c r="AT9483" s="10"/>
      <c r="AU9483" s="10"/>
      <c r="AV9483" s="10"/>
      <c r="AW9483" s="10"/>
      <c r="AX9483" s="10"/>
      <c r="AY9483" s="10"/>
      <c r="AZ9483" s="10"/>
    </row>
    <row r="9484" spans="31:52">
      <c r="AE9484" s="10"/>
      <c r="AF9484" s="10"/>
      <c r="AG9484" s="10"/>
      <c r="AH9484" s="10"/>
      <c r="AI9484" s="10"/>
      <c r="AJ9484" s="10"/>
      <c r="AK9484" s="10"/>
      <c r="AL9484" s="10"/>
      <c r="AM9484" s="10"/>
      <c r="AN9484" s="10"/>
      <c r="AO9484" s="10"/>
      <c r="AP9484" s="10"/>
      <c r="AQ9484" s="10"/>
      <c r="AR9484" s="10"/>
      <c r="AS9484" s="10"/>
      <c r="AT9484" s="10"/>
      <c r="AU9484" s="10"/>
      <c r="AV9484" s="10"/>
      <c r="AW9484" s="10"/>
      <c r="AX9484" s="10"/>
      <c r="AY9484" s="10"/>
      <c r="AZ9484" s="10"/>
    </row>
    <row r="9485" spans="31:52">
      <c r="AE9485" s="10"/>
      <c r="AF9485" s="10"/>
      <c r="AG9485" s="10"/>
      <c r="AH9485" s="10"/>
      <c r="AI9485" s="10"/>
      <c r="AJ9485" s="10"/>
      <c r="AK9485" s="10"/>
      <c r="AL9485" s="10"/>
      <c r="AM9485" s="10"/>
      <c r="AN9485" s="10"/>
      <c r="AO9485" s="10"/>
      <c r="AP9485" s="10"/>
      <c r="AQ9485" s="10"/>
      <c r="AR9485" s="10"/>
      <c r="AS9485" s="10"/>
      <c r="AT9485" s="10"/>
      <c r="AU9485" s="10"/>
      <c r="AV9485" s="10"/>
      <c r="AW9485" s="10"/>
      <c r="AX9485" s="10"/>
      <c r="AY9485" s="10"/>
      <c r="AZ9485" s="10"/>
    </row>
    <row r="9486" spans="31:52">
      <c r="AE9486" s="10"/>
      <c r="AF9486" s="10"/>
      <c r="AG9486" s="10"/>
      <c r="AH9486" s="10"/>
      <c r="AI9486" s="10"/>
      <c r="AJ9486" s="10"/>
      <c r="AK9486" s="10"/>
      <c r="AL9486" s="10"/>
      <c r="AM9486" s="10"/>
      <c r="AN9486" s="10"/>
      <c r="AO9486" s="10"/>
      <c r="AP9486" s="10"/>
      <c r="AQ9486" s="10"/>
      <c r="AR9486" s="10"/>
      <c r="AS9486" s="10"/>
      <c r="AT9486" s="10"/>
      <c r="AU9486" s="10"/>
      <c r="AV9486" s="10"/>
      <c r="AW9486" s="10"/>
      <c r="AX9486" s="10"/>
      <c r="AY9486" s="10"/>
      <c r="AZ9486" s="10"/>
    </row>
    <row r="9487" spans="31:52">
      <c r="AE9487" s="10"/>
      <c r="AF9487" s="10"/>
      <c r="AG9487" s="10"/>
      <c r="AH9487" s="10"/>
      <c r="AI9487" s="10"/>
      <c r="AJ9487" s="10"/>
      <c r="AK9487" s="10"/>
      <c r="AL9487" s="10"/>
      <c r="AM9487" s="10"/>
      <c r="AN9487" s="10"/>
      <c r="AO9487" s="10"/>
      <c r="AP9487" s="10"/>
      <c r="AQ9487" s="10"/>
      <c r="AR9487" s="10"/>
      <c r="AS9487" s="10"/>
      <c r="AT9487" s="10"/>
      <c r="AU9487" s="10"/>
      <c r="AV9487" s="10"/>
      <c r="AW9487" s="10"/>
      <c r="AX9487" s="10"/>
      <c r="AY9487" s="10"/>
      <c r="AZ9487" s="10"/>
    </row>
    <row r="9488" spans="31:52">
      <c r="AE9488" s="10"/>
      <c r="AF9488" s="10"/>
      <c r="AG9488" s="10"/>
      <c r="AH9488" s="10"/>
      <c r="AI9488" s="10"/>
      <c r="AJ9488" s="10"/>
      <c r="AK9488" s="10"/>
      <c r="AL9488" s="10"/>
      <c r="AM9488" s="10"/>
      <c r="AN9488" s="10"/>
      <c r="AO9488" s="10"/>
      <c r="AP9488" s="10"/>
      <c r="AQ9488" s="10"/>
      <c r="AR9488" s="10"/>
      <c r="AS9488" s="10"/>
      <c r="AT9488" s="10"/>
      <c r="AU9488" s="10"/>
      <c r="AV9488" s="10"/>
      <c r="AW9488" s="10"/>
      <c r="AX9488" s="10"/>
      <c r="AY9488" s="10"/>
      <c r="AZ9488" s="10"/>
    </row>
    <row r="9489" spans="31:52">
      <c r="AE9489" s="10"/>
      <c r="AF9489" s="10"/>
      <c r="AG9489" s="10"/>
      <c r="AH9489" s="10"/>
      <c r="AI9489" s="10"/>
      <c r="AJ9489" s="10"/>
      <c r="AK9489" s="10"/>
      <c r="AL9489" s="10"/>
      <c r="AM9489" s="10"/>
      <c r="AN9489" s="10"/>
      <c r="AO9489" s="10"/>
      <c r="AP9489" s="10"/>
      <c r="AQ9489" s="10"/>
      <c r="AR9489" s="10"/>
      <c r="AS9489" s="10"/>
      <c r="AT9489" s="10"/>
      <c r="AU9489" s="10"/>
      <c r="AV9489" s="10"/>
      <c r="AW9489" s="10"/>
      <c r="AX9489" s="10"/>
      <c r="AY9489" s="10"/>
      <c r="AZ9489" s="10"/>
    </row>
    <row r="9490" spans="31:52">
      <c r="AE9490" s="10"/>
      <c r="AF9490" s="10"/>
      <c r="AG9490" s="10"/>
      <c r="AH9490" s="10"/>
      <c r="AI9490" s="10"/>
      <c r="AJ9490" s="10"/>
      <c r="AK9490" s="10"/>
      <c r="AL9490" s="10"/>
      <c r="AM9490" s="10"/>
      <c r="AN9490" s="10"/>
      <c r="AO9490" s="10"/>
      <c r="AP9490" s="10"/>
      <c r="AQ9490" s="10"/>
      <c r="AR9490" s="10"/>
      <c r="AS9490" s="10"/>
      <c r="AT9490" s="10"/>
      <c r="AU9490" s="10"/>
      <c r="AV9490" s="10"/>
      <c r="AW9490" s="10"/>
      <c r="AX9490" s="10"/>
      <c r="AY9490" s="10"/>
      <c r="AZ9490" s="10"/>
    </row>
    <row r="9491" spans="31:52">
      <c r="AE9491" s="10"/>
      <c r="AF9491" s="10"/>
      <c r="AG9491" s="10"/>
      <c r="AH9491" s="10"/>
      <c r="AI9491" s="10"/>
      <c r="AJ9491" s="10"/>
      <c r="AK9491" s="10"/>
      <c r="AL9491" s="10"/>
      <c r="AM9491" s="10"/>
      <c r="AN9491" s="10"/>
      <c r="AO9491" s="10"/>
      <c r="AP9491" s="10"/>
      <c r="AQ9491" s="10"/>
      <c r="AR9491" s="10"/>
      <c r="AS9491" s="10"/>
      <c r="AT9491" s="10"/>
      <c r="AU9491" s="10"/>
      <c r="AV9491" s="10"/>
      <c r="AW9491" s="10"/>
      <c r="AX9491" s="10"/>
      <c r="AY9491" s="10"/>
      <c r="AZ9491" s="10"/>
    </row>
    <row r="9492" spans="31:52">
      <c r="AE9492" s="10"/>
      <c r="AF9492" s="10"/>
      <c r="AG9492" s="10"/>
      <c r="AH9492" s="10"/>
      <c r="AI9492" s="10"/>
      <c r="AJ9492" s="10"/>
      <c r="AK9492" s="10"/>
      <c r="AL9492" s="10"/>
      <c r="AM9492" s="10"/>
      <c r="AN9492" s="10"/>
      <c r="AO9492" s="10"/>
      <c r="AP9492" s="10"/>
      <c r="AQ9492" s="10"/>
      <c r="AR9492" s="10"/>
      <c r="AS9492" s="10"/>
      <c r="AT9492" s="10"/>
      <c r="AU9492" s="10"/>
      <c r="AV9492" s="10"/>
      <c r="AW9492" s="10"/>
      <c r="AX9492" s="10"/>
      <c r="AY9492" s="10"/>
      <c r="AZ9492" s="10"/>
    </row>
    <row r="9493" spans="31:52">
      <c r="AE9493" s="10"/>
      <c r="AF9493" s="10"/>
      <c r="AG9493" s="10"/>
      <c r="AH9493" s="10"/>
      <c r="AI9493" s="10"/>
      <c r="AJ9493" s="10"/>
      <c r="AK9493" s="10"/>
      <c r="AL9493" s="10"/>
      <c r="AM9493" s="10"/>
      <c r="AN9493" s="10"/>
      <c r="AO9493" s="10"/>
      <c r="AP9493" s="10"/>
      <c r="AQ9493" s="10"/>
      <c r="AR9493" s="10"/>
      <c r="AS9493" s="10"/>
      <c r="AT9493" s="10"/>
      <c r="AU9493" s="10"/>
      <c r="AV9493" s="10"/>
      <c r="AW9493" s="10"/>
      <c r="AX9493" s="10"/>
      <c r="AY9493" s="10"/>
      <c r="AZ9493" s="10"/>
    </row>
    <row r="9494" spans="31:52">
      <c r="AE9494" s="10"/>
      <c r="AF9494" s="10"/>
      <c r="AG9494" s="10"/>
      <c r="AH9494" s="10"/>
      <c r="AI9494" s="10"/>
      <c r="AJ9494" s="10"/>
      <c r="AK9494" s="10"/>
      <c r="AL9494" s="10"/>
      <c r="AM9494" s="10"/>
      <c r="AN9494" s="10"/>
      <c r="AO9494" s="10"/>
      <c r="AP9494" s="10"/>
      <c r="AQ9494" s="10"/>
      <c r="AR9494" s="10"/>
      <c r="AS9494" s="10"/>
      <c r="AT9494" s="10"/>
      <c r="AU9494" s="10"/>
      <c r="AV9494" s="10"/>
      <c r="AW9494" s="10"/>
      <c r="AX9494" s="10"/>
      <c r="AY9494" s="10"/>
      <c r="AZ9494" s="10"/>
    </row>
    <row r="9495" spans="31:52">
      <c r="AE9495" s="10"/>
      <c r="AF9495" s="10"/>
      <c r="AG9495" s="10"/>
      <c r="AH9495" s="10"/>
      <c r="AI9495" s="10"/>
      <c r="AJ9495" s="10"/>
      <c r="AK9495" s="10"/>
      <c r="AL9495" s="10"/>
      <c r="AM9495" s="10"/>
      <c r="AN9495" s="10"/>
      <c r="AO9495" s="10"/>
      <c r="AP9495" s="10"/>
      <c r="AQ9495" s="10"/>
      <c r="AR9495" s="10"/>
      <c r="AS9495" s="10"/>
      <c r="AT9495" s="10"/>
      <c r="AU9495" s="10"/>
      <c r="AV9495" s="10"/>
      <c r="AW9495" s="10"/>
      <c r="AX9495" s="10"/>
      <c r="AY9495" s="10"/>
      <c r="AZ9495" s="10"/>
    </row>
    <row r="9496" spans="31:52">
      <c r="AE9496" s="10"/>
      <c r="AF9496" s="10"/>
      <c r="AG9496" s="10"/>
      <c r="AH9496" s="10"/>
      <c r="AI9496" s="10"/>
      <c r="AJ9496" s="10"/>
      <c r="AK9496" s="10"/>
      <c r="AL9496" s="10"/>
      <c r="AM9496" s="10"/>
      <c r="AN9496" s="10"/>
      <c r="AO9496" s="10"/>
      <c r="AP9496" s="10"/>
      <c r="AQ9496" s="10"/>
      <c r="AR9496" s="10"/>
      <c r="AS9496" s="10"/>
      <c r="AT9496" s="10"/>
      <c r="AU9496" s="10"/>
      <c r="AV9496" s="10"/>
      <c r="AW9496" s="10"/>
      <c r="AX9496" s="10"/>
      <c r="AY9496" s="10"/>
      <c r="AZ9496" s="10"/>
    </row>
    <row r="9497" spans="31:52">
      <c r="AE9497" s="10"/>
      <c r="AF9497" s="10"/>
      <c r="AG9497" s="10"/>
      <c r="AH9497" s="10"/>
      <c r="AI9497" s="10"/>
      <c r="AJ9497" s="10"/>
      <c r="AK9497" s="10"/>
      <c r="AL9497" s="10"/>
      <c r="AM9497" s="10"/>
      <c r="AN9497" s="10"/>
      <c r="AO9497" s="10"/>
      <c r="AP9497" s="10"/>
      <c r="AQ9497" s="10"/>
      <c r="AR9497" s="10"/>
      <c r="AS9497" s="10"/>
      <c r="AT9497" s="10"/>
      <c r="AU9497" s="10"/>
      <c r="AV9497" s="10"/>
      <c r="AW9497" s="10"/>
      <c r="AX9497" s="10"/>
      <c r="AY9497" s="10"/>
      <c r="AZ9497" s="10"/>
    </row>
    <row r="9498" spans="31:52">
      <c r="AE9498" s="10"/>
      <c r="AF9498" s="10"/>
      <c r="AG9498" s="10"/>
      <c r="AH9498" s="10"/>
      <c r="AI9498" s="10"/>
      <c r="AJ9498" s="10"/>
      <c r="AK9498" s="10"/>
      <c r="AL9498" s="10"/>
      <c r="AM9498" s="10"/>
      <c r="AN9498" s="10"/>
      <c r="AO9498" s="10"/>
      <c r="AP9498" s="10"/>
      <c r="AQ9498" s="10"/>
      <c r="AR9498" s="10"/>
      <c r="AS9498" s="10"/>
      <c r="AT9498" s="10"/>
      <c r="AU9498" s="10"/>
      <c r="AV9498" s="10"/>
      <c r="AW9498" s="10"/>
      <c r="AX9498" s="10"/>
      <c r="AY9498" s="10"/>
      <c r="AZ9498" s="10"/>
    </row>
    <row r="9499" spans="31:52">
      <c r="AE9499" s="10"/>
      <c r="AF9499" s="10"/>
      <c r="AG9499" s="10"/>
      <c r="AH9499" s="10"/>
      <c r="AI9499" s="10"/>
      <c r="AJ9499" s="10"/>
      <c r="AK9499" s="10"/>
      <c r="AL9499" s="10"/>
      <c r="AM9499" s="10"/>
      <c r="AN9499" s="10"/>
      <c r="AO9499" s="10"/>
      <c r="AP9499" s="10"/>
      <c r="AQ9499" s="10"/>
      <c r="AR9499" s="10"/>
      <c r="AS9499" s="10"/>
      <c r="AT9499" s="10"/>
      <c r="AU9499" s="10"/>
      <c r="AV9499" s="10"/>
      <c r="AW9499" s="10"/>
      <c r="AX9499" s="10"/>
      <c r="AY9499" s="10"/>
      <c r="AZ9499" s="10"/>
    </row>
    <row r="9500" spans="31:52">
      <c r="AE9500" s="10"/>
      <c r="AF9500" s="10"/>
      <c r="AG9500" s="10"/>
      <c r="AH9500" s="10"/>
      <c r="AI9500" s="10"/>
      <c r="AJ9500" s="10"/>
      <c r="AK9500" s="10"/>
      <c r="AL9500" s="10"/>
      <c r="AM9500" s="10"/>
      <c r="AN9500" s="10"/>
      <c r="AO9500" s="10"/>
      <c r="AP9500" s="10"/>
      <c r="AQ9500" s="10"/>
      <c r="AR9500" s="10"/>
      <c r="AS9500" s="10"/>
      <c r="AT9500" s="10"/>
      <c r="AU9500" s="10"/>
      <c r="AV9500" s="10"/>
      <c r="AW9500" s="10"/>
      <c r="AX9500" s="10"/>
      <c r="AY9500" s="10"/>
      <c r="AZ9500" s="10"/>
    </row>
    <row r="9501" spans="31:52">
      <c r="AE9501" s="10"/>
      <c r="AF9501" s="10"/>
      <c r="AG9501" s="10"/>
      <c r="AH9501" s="10"/>
      <c r="AI9501" s="10"/>
      <c r="AJ9501" s="10"/>
      <c r="AK9501" s="10"/>
      <c r="AL9501" s="10"/>
      <c r="AM9501" s="10"/>
      <c r="AN9501" s="10"/>
      <c r="AO9501" s="10"/>
      <c r="AP9501" s="10"/>
      <c r="AQ9501" s="10"/>
      <c r="AR9501" s="10"/>
      <c r="AS9501" s="10"/>
      <c r="AT9501" s="10"/>
      <c r="AU9501" s="10"/>
      <c r="AV9501" s="10"/>
      <c r="AW9501" s="10"/>
      <c r="AX9501" s="10"/>
      <c r="AY9501" s="10"/>
      <c r="AZ9501" s="10"/>
    </row>
    <row r="9502" spans="31:52">
      <c r="AE9502" s="10"/>
      <c r="AF9502" s="10"/>
      <c r="AG9502" s="10"/>
      <c r="AH9502" s="10"/>
      <c r="AI9502" s="10"/>
      <c r="AJ9502" s="10"/>
      <c r="AK9502" s="10"/>
      <c r="AL9502" s="10"/>
      <c r="AM9502" s="10"/>
      <c r="AN9502" s="10"/>
      <c r="AO9502" s="10"/>
      <c r="AP9502" s="10"/>
      <c r="AQ9502" s="10"/>
      <c r="AR9502" s="10"/>
      <c r="AS9502" s="10"/>
      <c r="AT9502" s="10"/>
      <c r="AU9502" s="10"/>
      <c r="AV9502" s="10"/>
      <c r="AW9502" s="10"/>
      <c r="AX9502" s="10"/>
      <c r="AY9502" s="10"/>
      <c r="AZ9502" s="10"/>
    </row>
    <row r="9503" spans="31:52">
      <c r="AE9503" s="10"/>
      <c r="AF9503" s="10"/>
      <c r="AG9503" s="10"/>
      <c r="AH9503" s="10"/>
      <c r="AI9503" s="10"/>
      <c r="AJ9503" s="10"/>
      <c r="AK9503" s="10"/>
      <c r="AL9503" s="10"/>
      <c r="AM9503" s="10"/>
      <c r="AN9503" s="10"/>
      <c r="AO9503" s="10"/>
      <c r="AP9503" s="10"/>
      <c r="AQ9503" s="10"/>
      <c r="AR9503" s="10"/>
      <c r="AS9503" s="10"/>
      <c r="AT9503" s="10"/>
      <c r="AU9503" s="10"/>
      <c r="AV9503" s="10"/>
      <c r="AW9503" s="10"/>
      <c r="AX9503" s="10"/>
      <c r="AY9503" s="10"/>
      <c r="AZ9503" s="10"/>
    </row>
    <row r="9504" spans="31:52">
      <c r="AE9504" s="10"/>
      <c r="AF9504" s="10"/>
      <c r="AG9504" s="10"/>
      <c r="AH9504" s="10"/>
      <c r="AI9504" s="10"/>
      <c r="AJ9504" s="10"/>
      <c r="AK9504" s="10"/>
      <c r="AL9504" s="10"/>
      <c r="AM9504" s="10"/>
      <c r="AN9504" s="10"/>
      <c r="AO9504" s="10"/>
      <c r="AP9504" s="10"/>
      <c r="AQ9504" s="10"/>
      <c r="AR9504" s="10"/>
      <c r="AS9504" s="10"/>
      <c r="AT9504" s="10"/>
      <c r="AU9504" s="10"/>
      <c r="AV9504" s="10"/>
      <c r="AW9504" s="10"/>
      <c r="AX9504" s="10"/>
      <c r="AY9504" s="10"/>
      <c r="AZ9504" s="10"/>
    </row>
    <row r="9505" spans="31:52">
      <c r="AE9505" s="10"/>
      <c r="AF9505" s="10"/>
      <c r="AG9505" s="10"/>
      <c r="AH9505" s="10"/>
      <c r="AI9505" s="10"/>
      <c r="AJ9505" s="10"/>
      <c r="AK9505" s="10"/>
      <c r="AL9505" s="10"/>
      <c r="AM9505" s="10"/>
      <c r="AN9505" s="10"/>
      <c r="AO9505" s="10"/>
      <c r="AP9505" s="10"/>
      <c r="AQ9505" s="10"/>
      <c r="AR9505" s="10"/>
      <c r="AS9505" s="10"/>
      <c r="AT9505" s="10"/>
      <c r="AU9505" s="10"/>
      <c r="AV9505" s="10"/>
      <c r="AW9505" s="10"/>
      <c r="AX9505" s="10"/>
      <c r="AY9505" s="10"/>
      <c r="AZ9505" s="10"/>
    </row>
    <row r="9506" spans="31:52">
      <c r="AE9506" s="10"/>
      <c r="AF9506" s="10"/>
      <c r="AG9506" s="10"/>
      <c r="AH9506" s="10"/>
      <c r="AI9506" s="10"/>
      <c r="AJ9506" s="10"/>
      <c r="AK9506" s="10"/>
      <c r="AL9506" s="10"/>
      <c r="AM9506" s="10"/>
      <c r="AN9506" s="10"/>
      <c r="AO9506" s="10"/>
      <c r="AP9506" s="10"/>
      <c r="AQ9506" s="10"/>
      <c r="AR9506" s="10"/>
      <c r="AS9506" s="10"/>
      <c r="AT9506" s="10"/>
      <c r="AU9506" s="10"/>
      <c r="AV9506" s="10"/>
      <c r="AW9506" s="10"/>
      <c r="AX9506" s="10"/>
      <c r="AY9506" s="10"/>
      <c r="AZ9506" s="10"/>
    </row>
    <row r="9507" spans="31:52">
      <c r="AE9507" s="10"/>
      <c r="AF9507" s="10"/>
      <c r="AG9507" s="10"/>
      <c r="AH9507" s="10"/>
      <c r="AI9507" s="10"/>
      <c r="AJ9507" s="10"/>
      <c r="AK9507" s="10"/>
      <c r="AL9507" s="10"/>
      <c r="AM9507" s="10"/>
      <c r="AN9507" s="10"/>
      <c r="AO9507" s="10"/>
      <c r="AP9507" s="10"/>
      <c r="AQ9507" s="10"/>
      <c r="AR9507" s="10"/>
      <c r="AS9507" s="10"/>
      <c r="AT9507" s="10"/>
      <c r="AU9507" s="10"/>
      <c r="AV9507" s="10"/>
      <c r="AW9507" s="10"/>
      <c r="AX9507" s="10"/>
      <c r="AY9507" s="10"/>
      <c r="AZ9507" s="10"/>
    </row>
    <row r="9508" spans="31:52">
      <c r="AE9508" s="10"/>
      <c r="AF9508" s="10"/>
      <c r="AG9508" s="10"/>
      <c r="AH9508" s="10"/>
      <c r="AI9508" s="10"/>
      <c r="AJ9508" s="10"/>
      <c r="AK9508" s="10"/>
      <c r="AL9508" s="10"/>
      <c r="AM9508" s="10"/>
      <c r="AN9508" s="10"/>
      <c r="AO9508" s="10"/>
      <c r="AP9508" s="10"/>
      <c r="AQ9508" s="10"/>
      <c r="AR9508" s="10"/>
      <c r="AS9508" s="10"/>
      <c r="AT9508" s="10"/>
      <c r="AU9508" s="10"/>
      <c r="AV9508" s="10"/>
      <c r="AW9508" s="10"/>
      <c r="AX9508" s="10"/>
      <c r="AY9508" s="10"/>
      <c r="AZ9508" s="10"/>
    </row>
    <row r="9509" spans="31:52">
      <c r="AE9509" s="10"/>
      <c r="AF9509" s="10"/>
      <c r="AG9509" s="10"/>
      <c r="AH9509" s="10"/>
      <c r="AI9509" s="10"/>
      <c r="AJ9509" s="10"/>
      <c r="AK9509" s="10"/>
      <c r="AL9509" s="10"/>
      <c r="AM9509" s="10"/>
      <c r="AN9509" s="10"/>
      <c r="AO9509" s="10"/>
      <c r="AP9509" s="10"/>
      <c r="AQ9509" s="10"/>
      <c r="AR9509" s="10"/>
      <c r="AS9509" s="10"/>
      <c r="AT9509" s="10"/>
      <c r="AU9509" s="10"/>
      <c r="AV9509" s="10"/>
      <c r="AW9509" s="10"/>
      <c r="AX9509" s="10"/>
      <c r="AY9509" s="10"/>
      <c r="AZ9509" s="10"/>
    </row>
    <row r="9510" spans="31:52">
      <c r="AE9510" s="10"/>
      <c r="AF9510" s="10"/>
      <c r="AG9510" s="10"/>
      <c r="AH9510" s="10"/>
      <c r="AI9510" s="10"/>
      <c r="AJ9510" s="10"/>
      <c r="AK9510" s="10"/>
      <c r="AL9510" s="10"/>
      <c r="AM9510" s="10"/>
      <c r="AN9510" s="10"/>
      <c r="AO9510" s="10"/>
      <c r="AP9510" s="10"/>
      <c r="AQ9510" s="10"/>
      <c r="AR9510" s="10"/>
      <c r="AS9510" s="10"/>
      <c r="AT9510" s="10"/>
      <c r="AU9510" s="10"/>
      <c r="AV9510" s="10"/>
      <c r="AW9510" s="10"/>
      <c r="AX9510" s="10"/>
      <c r="AY9510" s="10"/>
      <c r="AZ9510" s="10"/>
    </row>
    <row r="9511" spans="31:52">
      <c r="AE9511" s="10"/>
      <c r="AF9511" s="10"/>
      <c r="AG9511" s="10"/>
      <c r="AH9511" s="10"/>
      <c r="AI9511" s="10"/>
      <c r="AJ9511" s="10"/>
      <c r="AK9511" s="10"/>
      <c r="AL9511" s="10"/>
      <c r="AM9511" s="10"/>
      <c r="AN9511" s="10"/>
      <c r="AO9511" s="10"/>
      <c r="AP9511" s="10"/>
      <c r="AQ9511" s="10"/>
      <c r="AR9511" s="10"/>
      <c r="AS9511" s="10"/>
      <c r="AT9511" s="10"/>
      <c r="AU9511" s="10"/>
      <c r="AV9511" s="10"/>
      <c r="AW9511" s="10"/>
      <c r="AX9511" s="10"/>
      <c r="AY9511" s="10"/>
      <c r="AZ9511" s="10"/>
    </row>
    <row r="9512" spans="31:52">
      <c r="AE9512" s="10"/>
      <c r="AF9512" s="10"/>
      <c r="AG9512" s="10"/>
      <c r="AH9512" s="10"/>
      <c r="AI9512" s="10"/>
      <c r="AJ9512" s="10"/>
      <c r="AK9512" s="10"/>
      <c r="AL9512" s="10"/>
      <c r="AM9512" s="10"/>
      <c r="AN9512" s="10"/>
      <c r="AO9512" s="10"/>
      <c r="AP9512" s="10"/>
      <c r="AQ9512" s="10"/>
      <c r="AR9512" s="10"/>
      <c r="AS9512" s="10"/>
      <c r="AT9512" s="10"/>
      <c r="AU9512" s="10"/>
      <c r="AV9512" s="10"/>
      <c r="AW9512" s="10"/>
      <c r="AX9512" s="10"/>
      <c r="AY9512" s="10"/>
      <c r="AZ9512" s="10"/>
    </row>
    <row r="9513" spans="31:52">
      <c r="AE9513" s="10"/>
      <c r="AF9513" s="10"/>
      <c r="AG9513" s="10"/>
      <c r="AH9513" s="10"/>
      <c r="AI9513" s="10"/>
      <c r="AJ9513" s="10"/>
      <c r="AK9513" s="10"/>
      <c r="AL9513" s="10"/>
      <c r="AM9513" s="10"/>
      <c r="AN9513" s="10"/>
      <c r="AO9513" s="10"/>
      <c r="AP9513" s="10"/>
      <c r="AQ9513" s="10"/>
      <c r="AR9513" s="10"/>
      <c r="AS9513" s="10"/>
      <c r="AT9513" s="10"/>
      <c r="AU9513" s="10"/>
      <c r="AV9513" s="10"/>
      <c r="AW9513" s="10"/>
      <c r="AX9513" s="10"/>
      <c r="AY9513" s="10"/>
      <c r="AZ9513" s="10"/>
    </row>
    <row r="9514" spans="31:52">
      <c r="AE9514" s="10"/>
      <c r="AF9514" s="10"/>
      <c r="AG9514" s="10"/>
      <c r="AH9514" s="10"/>
      <c r="AI9514" s="10"/>
      <c r="AJ9514" s="10"/>
      <c r="AK9514" s="10"/>
      <c r="AL9514" s="10"/>
      <c r="AM9514" s="10"/>
      <c r="AN9514" s="10"/>
      <c r="AO9514" s="10"/>
      <c r="AP9514" s="10"/>
      <c r="AQ9514" s="10"/>
      <c r="AR9514" s="10"/>
      <c r="AS9514" s="10"/>
      <c r="AT9514" s="10"/>
      <c r="AU9514" s="10"/>
      <c r="AV9514" s="10"/>
      <c r="AW9514" s="10"/>
      <c r="AX9514" s="10"/>
      <c r="AY9514" s="10"/>
      <c r="AZ9514" s="10"/>
    </row>
    <row r="9515" spans="31:52">
      <c r="AE9515" s="10"/>
      <c r="AF9515" s="10"/>
      <c r="AG9515" s="10"/>
      <c r="AH9515" s="10"/>
      <c r="AI9515" s="10"/>
      <c r="AJ9515" s="10"/>
      <c r="AK9515" s="10"/>
      <c r="AL9515" s="10"/>
      <c r="AM9515" s="10"/>
      <c r="AN9515" s="10"/>
      <c r="AO9515" s="10"/>
      <c r="AP9515" s="10"/>
      <c r="AQ9515" s="10"/>
      <c r="AR9515" s="10"/>
      <c r="AS9515" s="10"/>
      <c r="AT9515" s="10"/>
      <c r="AU9515" s="10"/>
      <c r="AV9515" s="10"/>
      <c r="AW9515" s="10"/>
      <c r="AX9515" s="10"/>
      <c r="AY9515" s="10"/>
      <c r="AZ9515" s="10"/>
    </row>
    <row r="9516" spans="31:52">
      <c r="AE9516" s="10"/>
      <c r="AF9516" s="10"/>
      <c r="AG9516" s="10"/>
      <c r="AH9516" s="10"/>
      <c r="AI9516" s="10"/>
      <c r="AJ9516" s="10"/>
      <c r="AK9516" s="10"/>
      <c r="AL9516" s="10"/>
      <c r="AM9516" s="10"/>
      <c r="AN9516" s="10"/>
      <c r="AO9516" s="10"/>
      <c r="AP9516" s="10"/>
      <c r="AQ9516" s="10"/>
      <c r="AR9516" s="10"/>
      <c r="AS9516" s="10"/>
      <c r="AT9516" s="10"/>
      <c r="AU9516" s="10"/>
      <c r="AV9516" s="10"/>
      <c r="AW9516" s="10"/>
      <c r="AX9516" s="10"/>
      <c r="AY9516" s="10"/>
      <c r="AZ9516" s="10"/>
    </row>
    <row r="9517" spans="31:52">
      <c r="AE9517" s="10"/>
      <c r="AF9517" s="10"/>
      <c r="AG9517" s="10"/>
      <c r="AH9517" s="10"/>
      <c r="AI9517" s="10"/>
      <c r="AJ9517" s="10"/>
      <c r="AK9517" s="10"/>
      <c r="AL9517" s="10"/>
      <c r="AM9517" s="10"/>
      <c r="AN9517" s="10"/>
      <c r="AO9517" s="10"/>
      <c r="AP9517" s="10"/>
      <c r="AQ9517" s="10"/>
      <c r="AR9517" s="10"/>
      <c r="AS9517" s="10"/>
      <c r="AT9517" s="10"/>
      <c r="AU9517" s="10"/>
      <c r="AV9517" s="10"/>
      <c r="AW9517" s="10"/>
      <c r="AX9517" s="10"/>
      <c r="AY9517" s="10"/>
      <c r="AZ9517" s="10"/>
    </row>
    <row r="9518" spans="31:52">
      <c r="AE9518" s="10"/>
      <c r="AF9518" s="10"/>
      <c r="AG9518" s="10"/>
      <c r="AH9518" s="10"/>
      <c r="AI9518" s="10"/>
      <c r="AJ9518" s="10"/>
      <c r="AK9518" s="10"/>
      <c r="AL9518" s="10"/>
      <c r="AM9518" s="10"/>
      <c r="AN9518" s="10"/>
      <c r="AO9518" s="10"/>
      <c r="AP9518" s="10"/>
      <c r="AQ9518" s="10"/>
      <c r="AR9518" s="10"/>
      <c r="AS9518" s="10"/>
      <c r="AT9518" s="10"/>
      <c r="AU9518" s="10"/>
      <c r="AV9518" s="10"/>
      <c r="AW9518" s="10"/>
      <c r="AX9518" s="10"/>
      <c r="AY9518" s="10"/>
      <c r="AZ9518" s="10"/>
    </row>
    <row r="9519" spans="31:52">
      <c r="AE9519" s="10"/>
      <c r="AF9519" s="10"/>
      <c r="AG9519" s="10"/>
      <c r="AH9519" s="10"/>
      <c r="AI9519" s="10"/>
      <c r="AJ9519" s="10"/>
      <c r="AK9519" s="10"/>
      <c r="AL9519" s="10"/>
      <c r="AM9519" s="10"/>
      <c r="AN9519" s="10"/>
      <c r="AO9519" s="10"/>
      <c r="AP9519" s="10"/>
      <c r="AQ9519" s="10"/>
      <c r="AR9519" s="10"/>
      <c r="AS9519" s="10"/>
      <c r="AT9519" s="10"/>
      <c r="AU9519" s="10"/>
      <c r="AV9519" s="10"/>
      <c r="AW9519" s="10"/>
      <c r="AX9519" s="10"/>
      <c r="AY9519" s="10"/>
      <c r="AZ9519" s="10"/>
    </row>
    <row r="9520" spans="31:52">
      <c r="AE9520" s="10"/>
      <c r="AF9520" s="10"/>
      <c r="AG9520" s="10"/>
      <c r="AH9520" s="10"/>
      <c r="AI9520" s="10"/>
      <c r="AJ9520" s="10"/>
      <c r="AK9520" s="10"/>
      <c r="AL9520" s="10"/>
      <c r="AM9520" s="10"/>
      <c r="AN9520" s="10"/>
      <c r="AO9520" s="10"/>
      <c r="AP9520" s="10"/>
      <c r="AQ9520" s="10"/>
      <c r="AR9520" s="10"/>
      <c r="AS9520" s="10"/>
      <c r="AT9520" s="10"/>
      <c r="AU9520" s="10"/>
      <c r="AV9520" s="10"/>
      <c r="AW9520" s="10"/>
      <c r="AX9520" s="10"/>
      <c r="AY9520" s="10"/>
      <c r="AZ9520" s="10"/>
    </row>
    <row r="9521" spans="31:52">
      <c r="AE9521" s="10"/>
      <c r="AF9521" s="10"/>
      <c r="AG9521" s="10"/>
      <c r="AH9521" s="10"/>
      <c r="AI9521" s="10"/>
      <c r="AJ9521" s="10"/>
      <c r="AK9521" s="10"/>
      <c r="AL9521" s="10"/>
      <c r="AM9521" s="10"/>
      <c r="AN9521" s="10"/>
      <c r="AO9521" s="10"/>
      <c r="AP9521" s="10"/>
      <c r="AQ9521" s="10"/>
      <c r="AR9521" s="10"/>
      <c r="AS9521" s="10"/>
      <c r="AT9521" s="10"/>
      <c r="AU9521" s="10"/>
      <c r="AV9521" s="10"/>
      <c r="AW9521" s="10"/>
      <c r="AX9521" s="10"/>
      <c r="AY9521" s="10"/>
      <c r="AZ9521" s="10"/>
    </row>
    <row r="9522" spans="31:52">
      <c r="AE9522" s="10"/>
      <c r="AF9522" s="10"/>
      <c r="AG9522" s="10"/>
      <c r="AH9522" s="10"/>
      <c r="AI9522" s="10"/>
      <c r="AJ9522" s="10"/>
      <c r="AK9522" s="10"/>
      <c r="AL9522" s="10"/>
      <c r="AM9522" s="10"/>
      <c r="AN9522" s="10"/>
      <c r="AO9522" s="10"/>
      <c r="AP9522" s="10"/>
      <c r="AQ9522" s="10"/>
      <c r="AR9522" s="10"/>
      <c r="AS9522" s="10"/>
      <c r="AT9522" s="10"/>
      <c r="AU9522" s="10"/>
      <c r="AV9522" s="10"/>
      <c r="AW9522" s="10"/>
      <c r="AX9522" s="10"/>
      <c r="AY9522" s="10"/>
      <c r="AZ9522" s="10"/>
    </row>
    <row r="9523" spans="31:52">
      <c r="AE9523" s="10"/>
      <c r="AF9523" s="10"/>
      <c r="AG9523" s="10"/>
      <c r="AH9523" s="10"/>
      <c r="AI9523" s="10"/>
      <c r="AJ9523" s="10"/>
      <c r="AK9523" s="10"/>
      <c r="AL9523" s="10"/>
      <c r="AM9523" s="10"/>
      <c r="AN9523" s="10"/>
      <c r="AO9523" s="10"/>
      <c r="AP9523" s="10"/>
      <c r="AQ9523" s="10"/>
      <c r="AR9523" s="10"/>
      <c r="AS9523" s="10"/>
      <c r="AT9523" s="10"/>
      <c r="AU9523" s="10"/>
      <c r="AV9523" s="10"/>
      <c r="AW9523" s="10"/>
      <c r="AX9523" s="10"/>
      <c r="AY9523" s="10"/>
      <c r="AZ9523" s="10"/>
    </row>
    <row r="9524" spans="31:52">
      <c r="AE9524" s="10"/>
      <c r="AF9524" s="10"/>
      <c r="AG9524" s="10"/>
      <c r="AH9524" s="10"/>
      <c r="AI9524" s="10"/>
      <c r="AJ9524" s="10"/>
      <c r="AK9524" s="10"/>
      <c r="AL9524" s="10"/>
      <c r="AM9524" s="10"/>
      <c r="AN9524" s="10"/>
      <c r="AO9524" s="10"/>
      <c r="AP9524" s="10"/>
      <c r="AQ9524" s="10"/>
      <c r="AR9524" s="10"/>
      <c r="AS9524" s="10"/>
      <c r="AT9524" s="10"/>
      <c r="AU9524" s="10"/>
      <c r="AV9524" s="10"/>
      <c r="AW9524" s="10"/>
      <c r="AX9524" s="10"/>
      <c r="AY9524" s="10"/>
      <c r="AZ9524" s="10"/>
    </row>
    <row r="9525" spans="31:52">
      <c r="AE9525" s="10"/>
      <c r="AF9525" s="10"/>
      <c r="AG9525" s="10"/>
      <c r="AH9525" s="10"/>
      <c r="AI9525" s="10"/>
      <c r="AJ9525" s="10"/>
      <c r="AK9525" s="10"/>
      <c r="AL9525" s="10"/>
      <c r="AM9525" s="10"/>
      <c r="AN9525" s="10"/>
      <c r="AO9525" s="10"/>
      <c r="AP9525" s="10"/>
      <c r="AQ9525" s="10"/>
      <c r="AR9525" s="10"/>
      <c r="AS9525" s="10"/>
      <c r="AT9525" s="10"/>
      <c r="AU9525" s="10"/>
      <c r="AV9525" s="10"/>
      <c r="AW9525" s="10"/>
      <c r="AX9525" s="10"/>
      <c r="AY9525" s="10"/>
      <c r="AZ9525" s="10"/>
    </row>
    <row r="9526" spans="31:52">
      <c r="AE9526" s="10"/>
      <c r="AF9526" s="10"/>
      <c r="AG9526" s="10"/>
      <c r="AH9526" s="10"/>
      <c r="AI9526" s="10"/>
      <c r="AJ9526" s="10"/>
      <c r="AK9526" s="10"/>
      <c r="AL9526" s="10"/>
      <c r="AM9526" s="10"/>
      <c r="AN9526" s="10"/>
      <c r="AO9526" s="10"/>
      <c r="AP9526" s="10"/>
      <c r="AQ9526" s="10"/>
      <c r="AR9526" s="10"/>
      <c r="AS9526" s="10"/>
      <c r="AT9526" s="10"/>
      <c r="AU9526" s="10"/>
      <c r="AV9526" s="10"/>
      <c r="AW9526" s="10"/>
      <c r="AX9526" s="10"/>
      <c r="AY9526" s="10"/>
      <c r="AZ9526" s="10"/>
    </row>
    <row r="9527" spans="31:52">
      <c r="AE9527" s="10"/>
      <c r="AF9527" s="10"/>
      <c r="AG9527" s="10"/>
      <c r="AH9527" s="10"/>
      <c r="AI9527" s="10"/>
      <c r="AJ9527" s="10"/>
      <c r="AK9527" s="10"/>
      <c r="AL9527" s="10"/>
      <c r="AM9527" s="10"/>
      <c r="AN9527" s="10"/>
      <c r="AO9527" s="10"/>
      <c r="AP9527" s="10"/>
      <c r="AQ9527" s="10"/>
      <c r="AR9527" s="10"/>
      <c r="AS9527" s="10"/>
      <c r="AT9527" s="10"/>
      <c r="AU9527" s="10"/>
      <c r="AV9527" s="10"/>
      <c r="AW9527" s="10"/>
      <c r="AX9527" s="10"/>
      <c r="AY9527" s="10"/>
      <c r="AZ9527" s="10"/>
    </row>
    <row r="9528" spans="31:52">
      <c r="AE9528" s="10"/>
      <c r="AF9528" s="10"/>
      <c r="AG9528" s="10"/>
      <c r="AH9528" s="10"/>
      <c r="AI9528" s="10"/>
      <c r="AJ9528" s="10"/>
      <c r="AK9528" s="10"/>
      <c r="AL9528" s="10"/>
      <c r="AM9528" s="10"/>
      <c r="AN9528" s="10"/>
      <c r="AO9528" s="10"/>
      <c r="AP9528" s="10"/>
      <c r="AQ9528" s="10"/>
      <c r="AR9528" s="10"/>
      <c r="AS9528" s="10"/>
      <c r="AT9528" s="10"/>
      <c r="AU9528" s="10"/>
      <c r="AV9528" s="10"/>
      <c r="AW9528" s="10"/>
      <c r="AX9528" s="10"/>
      <c r="AY9528" s="10"/>
      <c r="AZ9528" s="10"/>
    </row>
    <row r="9529" spans="31:52">
      <c r="AE9529" s="10"/>
      <c r="AF9529" s="10"/>
      <c r="AG9529" s="10"/>
      <c r="AH9529" s="10"/>
      <c r="AI9529" s="10"/>
      <c r="AJ9529" s="10"/>
      <c r="AK9529" s="10"/>
      <c r="AL9529" s="10"/>
      <c r="AM9529" s="10"/>
      <c r="AN9529" s="10"/>
      <c r="AO9529" s="10"/>
      <c r="AP9529" s="10"/>
      <c r="AQ9529" s="10"/>
      <c r="AR9529" s="10"/>
      <c r="AS9529" s="10"/>
      <c r="AT9529" s="10"/>
      <c r="AU9529" s="10"/>
      <c r="AV9529" s="10"/>
      <c r="AW9529" s="10"/>
      <c r="AX9529" s="10"/>
      <c r="AY9529" s="10"/>
      <c r="AZ9529" s="10"/>
    </row>
    <row r="9530" spans="31:52">
      <c r="AE9530" s="10"/>
      <c r="AF9530" s="10"/>
      <c r="AG9530" s="10"/>
      <c r="AH9530" s="10"/>
      <c r="AI9530" s="10"/>
      <c r="AJ9530" s="10"/>
      <c r="AK9530" s="10"/>
      <c r="AL9530" s="10"/>
      <c r="AM9530" s="10"/>
      <c r="AN9530" s="10"/>
      <c r="AO9530" s="10"/>
      <c r="AP9530" s="10"/>
      <c r="AQ9530" s="10"/>
      <c r="AR9530" s="10"/>
      <c r="AS9530" s="10"/>
      <c r="AT9530" s="10"/>
      <c r="AU9530" s="10"/>
      <c r="AV9530" s="10"/>
      <c r="AW9530" s="10"/>
      <c r="AX9530" s="10"/>
      <c r="AY9530" s="10"/>
      <c r="AZ9530" s="10"/>
    </row>
    <row r="9531" spans="31:52">
      <c r="AE9531" s="10"/>
      <c r="AF9531" s="10"/>
      <c r="AG9531" s="10"/>
      <c r="AH9531" s="10"/>
      <c r="AI9531" s="10"/>
      <c r="AJ9531" s="10"/>
      <c r="AK9531" s="10"/>
      <c r="AL9531" s="10"/>
      <c r="AM9531" s="10"/>
      <c r="AN9531" s="10"/>
      <c r="AO9531" s="10"/>
      <c r="AP9531" s="10"/>
      <c r="AQ9531" s="10"/>
      <c r="AR9531" s="10"/>
      <c r="AS9531" s="10"/>
      <c r="AT9531" s="10"/>
      <c r="AU9531" s="10"/>
      <c r="AV9531" s="10"/>
      <c r="AW9531" s="10"/>
      <c r="AX9531" s="10"/>
      <c r="AY9531" s="10"/>
      <c r="AZ9531" s="10"/>
    </row>
    <row r="9532" spans="31:52">
      <c r="AE9532" s="10"/>
      <c r="AF9532" s="10"/>
      <c r="AG9532" s="10"/>
      <c r="AH9532" s="10"/>
      <c r="AI9532" s="10"/>
      <c r="AJ9532" s="10"/>
      <c r="AK9532" s="10"/>
      <c r="AL9532" s="10"/>
      <c r="AM9532" s="10"/>
      <c r="AN9532" s="10"/>
      <c r="AO9532" s="10"/>
      <c r="AP9532" s="10"/>
      <c r="AQ9532" s="10"/>
      <c r="AR9532" s="10"/>
      <c r="AS9532" s="10"/>
      <c r="AT9532" s="10"/>
      <c r="AU9532" s="10"/>
      <c r="AV9532" s="10"/>
      <c r="AW9532" s="10"/>
      <c r="AX9532" s="10"/>
      <c r="AY9532" s="10"/>
      <c r="AZ9532" s="10"/>
    </row>
    <row r="9533" spans="31:52">
      <c r="AE9533" s="10"/>
      <c r="AF9533" s="10"/>
      <c r="AG9533" s="10"/>
      <c r="AH9533" s="10"/>
      <c r="AI9533" s="10"/>
      <c r="AJ9533" s="10"/>
      <c r="AK9533" s="10"/>
      <c r="AL9533" s="10"/>
      <c r="AM9533" s="10"/>
      <c r="AN9533" s="10"/>
      <c r="AO9533" s="10"/>
      <c r="AP9533" s="10"/>
      <c r="AQ9533" s="10"/>
      <c r="AR9533" s="10"/>
      <c r="AS9533" s="10"/>
      <c r="AT9533" s="10"/>
      <c r="AU9533" s="10"/>
      <c r="AV9533" s="10"/>
      <c r="AW9533" s="10"/>
      <c r="AX9533" s="10"/>
      <c r="AY9533" s="10"/>
      <c r="AZ9533" s="10"/>
    </row>
    <row r="9534" spans="31:52">
      <c r="AE9534" s="10"/>
      <c r="AF9534" s="10"/>
      <c r="AG9534" s="10"/>
      <c r="AH9534" s="10"/>
      <c r="AI9534" s="10"/>
      <c r="AJ9534" s="10"/>
      <c r="AK9534" s="10"/>
      <c r="AL9534" s="10"/>
      <c r="AM9534" s="10"/>
      <c r="AN9534" s="10"/>
      <c r="AO9534" s="10"/>
      <c r="AP9534" s="10"/>
      <c r="AQ9534" s="10"/>
      <c r="AR9534" s="10"/>
      <c r="AS9534" s="10"/>
      <c r="AT9534" s="10"/>
      <c r="AU9534" s="10"/>
      <c r="AV9534" s="10"/>
      <c r="AW9534" s="10"/>
      <c r="AX9534" s="10"/>
      <c r="AY9534" s="10"/>
      <c r="AZ9534" s="10"/>
    </row>
    <row r="9535" spans="31:52">
      <c r="AE9535" s="10"/>
      <c r="AF9535" s="10"/>
      <c r="AG9535" s="10"/>
      <c r="AH9535" s="10"/>
      <c r="AI9535" s="10"/>
      <c r="AJ9535" s="10"/>
      <c r="AK9535" s="10"/>
      <c r="AL9535" s="10"/>
      <c r="AM9535" s="10"/>
      <c r="AN9535" s="10"/>
      <c r="AO9535" s="10"/>
      <c r="AP9535" s="10"/>
      <c r="AQ9535" s="10"/>
      <c r="AR9535" s="10"/>
      <c r="AS9535" s="10"/>
      <c r="AT9535" s="10"/>
      <c r="AU9535" s="10"/>
      <c r="AV9535" s="10"/>
      <c r="AW9535" s="10"/>
      <c r="AX9535" s="10"/>
      <c r="AY9535" s="10"/>
      <c r="AZ9535" s="10"/>
    </row>
    <row r="9536" spans="31:52">
      <c r="AE9536" s="10"/>
      <c r="AF9536" s="10"/>
      <c r="AG9536" s="10"/>
      <c r="AH9536" s="10"/>
      <c r="AI9536" s="10"/>
      <c r="AJ9536" s="10"/>
      <c r="AK9536" s="10"/>
      <c r="AL9536" s="10"/>
      <c r="AM9536" s="10"/>
      <c r="AN9536" s="10"/>
      <c r="AO9536" s="10"/>
      <c r="AP9536" s="10"/>
      <c r="AQ9536" s="10"/>
      <c r="AR9536" s="10"/>
      <c r="AS9536" s="10"/>
      <c r="AT9536" s="10"/>
      <c r="AU9536" s="10"/>
      <c r="AV9536" s="10"/>
      <c r="AW9536" s="10"/>
      <c r="AX9536" s="10"/>
      <c r="AY9536" s="10"/>
      <c r="AZ9536" s="10"/>
    </row>
    <row r="9537" spans="31:52">
      <c r="AE9537" s="10"/>
      <c r="AF9537" s="10"/>
      <c r="AG9537" s="10"/>
      <c r="AH9537" s="10"/>
      <c r="AI9537" s="10"/>
      <c r="AJ9537" s="10"/>
      <c r="AK9537" s="10"/>
      <c r="AL9537" s="10"/>
      <c r="AM9537" s="10"/>
      <c r="AN9537" s="10"/>
      <c r="AO9537" s="10"/>
      <c r="AP9537" s="10"/>
      <c r="AQ9537" s="10"/>
      <c r="AR9537" s="10"/>
      <c r="AS9537" s="10"/>
      <c r="AT9537" s="10"/>
      <c r="AU9537" s="10"/>
      <c r="AV9537" s="10"/>
      <c r="AW9537" s="10"/>
      <c r="AX9537" s="10"/>
      <c r="AY9537" s="10"/>
      <c r="AZ9537" s="10"/>
    </row>
    <row r="9538" spans="31:52">
      <c r="AE9538" s="10"/>
      <c r="AF9538" s="10"/>
      <c r="AG9538" s="10"/>
      <c r="AH9538" s="10"/>
      <c r="AI9538" s="10"/>
      <c r="AJ9538" s="10"/>
      <c r="AK9538" s="10"/>
      <c r="AL9538" s="10"/>
      <c r="AM9538" s="10"/>
      <c r="AN9538" s="10"/>
      <c r="AO9538" s="10"/>
      <c r="AP9538" s="10"/>
      <c r="AQ9538" s="10"/>
      <c r="AR9538" s="10"/>
      <c r="AS9538" s="10"/>
      <c r="AT9538" s="10"/>
      <c r="AU9538" s="10"/>
      <c r="AV9538" s="10"/>
      <c r="AW9538" s="10"/>
      <c r="AX9538" s="10"/>
      <c r="AY9538" s="10"/>
      <c r="AZ9538" s="10"/>
    </row>
    <row r="9539" spans="31:52">
      <c r="AE9539" s="10"/>
      <c r="AF9539" s="10"/>
      <c r="AG9539" s="10"/>
      <c r="AH9539" s="10"/>
      <c r="AI9539" s="10"/>
      <c r="AJ9539" s="10"/>
      <c r="AK9539" s="10"/>
      <c r="AL9539" s="10"/>
      <c r="AM9539" s="10"/>
      <c r="AN9539" s="10"/>
      <c r="AO9539" s="10"/>
      <c r="AP9539" s="10"/>
      <c r="AQ9539" s="10"/>
      <c r="AR9539" s="10"/>
      <c r="AS9539" s="10"/>
      <c r="AT9539" s="10"/>
      <c r="AU9539" s="10"/>
      <c r="AV9539" s="10"/>
      <c r="AW9539" s="10"/>
      <c r="AX9539" s="10"/>
      <c r="AY9539" s="10"/>
      <c r="AZ9539" s="10"/>
    </row>
    <row r="9540" spans="31:52">
      <c r="AE9540" s="10"/>
      <c r="AF9540" s="10"/>
      <c r="AG9540" s="10"/>
      <c r="AH9540" s="10"/>
      <c r="AI9540" s="10"/>
      <c r="AJ9540" s="10"/>
      <c r="AK9540" s="10"/>
      <c r="AL9540" s="10"/>
      <c r="AM9540" s="10"/>
      <c r="AN9540" s="10"/>
      <c r="AO9540" s="10"/>
      <c r="AP9540" s="10"/>
      <c r="AQ9540" s="10"/>
      <c r="AR9540" s="10"/>
      <c r="AS9540" s="10"/>
      <c r="AT9540" s="10"/>
      <c r="AU9540" s="10"/>
      <c r="AV9540" s="10"/>
      <c r="AW9540" s="10"/>
      <c r="AX9540" s="10"/>
      <c r="AY9540" s="10"/>
      <c r="AZ9540" s="10"/>
    </row>
    <row r="9541" spans="31:52">
      <c r="AE9541" s="10"/>
      <c r="AF9541" s="10"/>
      <c r="AG9541" s="10"/>
      <c r="AH9541" s="10"/>
      <c r="AI9541" s="10"/>
      <c r="AJ9541" s="10"/>
      <c r="AK9541" s="10"/>
      <c r="AL9541" s="10"/>
      <c r="AM9541" s="10"/>
      <c r="AN9541" s="10"/>
      <c r="AO9541" s="10"/>
      <c r="AP9541" s="10"/>
      <c r="AQ9541" s="10"/>
      <c r="AR9541" s="10"/>
      <c r="AS9541" s="10"/>
      <c r="AT9541" s="10"/>
      <c r="AU9541" s="10"/>
      <c r="AV9541" s="10"/>
      <c r="AW9541" s="10"/>
      <c r="AX9541" s="10"/>
      <c r="AY9541" s="10"/>
      <c r="AZ9541" s="10"/>
    </row>
    <row r="9542" spans="31:52">
      <c r="AE9542" s="10"/>
      <c r="AF9542" s="10"/>
      <c r="AG9542" s="10"/>
      <c r="AH9542" s="10"/>
      <c r="AI9542" s="10"/>
      <c r="AJ9542" s="10"/>
      <c r="AK9542" s="10"/>
      <c r="AL9542" s="10"/>
      <c r="AM9542" s="10"/>
      <c r="AN9542" s="10"/>
      <c r="AO9542" s="10"/>
      <c r="AP9542" s="10"/>
      <c r="AQ9542" s="10"/>
      <c r="AR9542" s="10"/>
      <c r="AS9542" s="10"/>
      <c r="AT9542" s="10"/>
      <c r="AU9542" s="10"/>
      <c r="AV9542" s="10"/>
      <c r="AW9542" s="10"/>
      <c r="AX9542" s="10"/>
      <c r="AY9542" s="10"/>
      <c r="AZ9542" s="10"/>
    </row>
    <row r="9543" spans="31:52">
      <c r="AE9543" s="10"/>
      <c r="AF9543" s="10"/>
      <c r="AG9543" s="10"/>
      <c r="AH9543" s="10"/>
      <c r="AI9543" s="10"/>
      <c r="AJ9543" s="10"/>
      <c r="AK9543" s="10"/>
      <c r="AL9543" s="10"/>
      <c r="AM9543" s="10"/>
      <c r="AN9543" s="10"/>
      <c r="AO9543" s="10"/>
      <c r="AP9543" s="10"/>
      <c r="AQ9543" s="10"/>
      <c r="AR9543" s="10"/>
      <c r="AS9543" s="10"/>
      <c r="AT9543" s="10"/>
      <c r="AU9543" s="10"/>
      <c r="AV9543" s="10"/>
      <c r="AW9543" s="10"/>
      <c r="AX9543" s="10"/>
      <c r="AY9543" s="10"/>
      <c r="AZ9543" s="10"/>
    </row>
    <row r="9544" spans="31:52">
      <c r="AE9544" s="10"/>
      <c r="AF9544" s="10"/>
      <c r="AG9544" s="10"/>
      <c r="AH9544" s="10"/>
      <c r="AI9544" s="10"/>
      <c r="AJ9544" s="10"/>
      <c r="AK9544" s="10"/>
      <c r="AL9544" s="10"/>
      <c r="AM9544" s="10"/>
      <c r="AN9544" s="10"/>
      <c r="AO9544" s="10"/>
      <c r="AP9544" s="10"/>
      <c r="AQ9544" s="10"/>
      <c r="AR9544" s="10"/>
      <c r="AS9544" s="10"/>
      <c r="AT9544" s="10"/>
      <c r="AU9544" s="10"/>
      <c r="AV9544" s="10"/>
      <c r="AW9544" s="10"/>
      <c r="AX9544" s="10"/>
      <c r="AY9544" s="10"/>
      <c r="AZ9544" s="10"/>
    </row>
    <row r="9545" spans="31:52">
      <c r="AE9545" s="10"/>
      <c r="AF9545" s="10"/>
      <c r="AG9545" s="10"/>
      <c r="AH9545" s="10"/>
      <c r="AI9545" s="10"/>
      <c r="AJ9545" s="10"/>
      <c r="AK9545" s="10"/>
      <c r="AL9545" s="10"/>
      <c r="AM9545" s="10"/>
      <c r="AN9545" s="10"/>
      <c r="AO9545" s="10"/>
      <c r="AP9545" s="10"/>
      <c r="AQ9545" s="10"/>
      <c r="AR9545" s="10"/>
      <c r="AS9545" s="10"/>
      <c r="AT9545" s="10"/>
      <c r="AU9545" s="10"/>
      <c r="AV9545" s="10"/>
      <c r="AW9545" s="10"/>
      <c r="AX9545" s="10"/>
      <c r="AY9545" s="10"/>
      <c r="AZ9545" s="10"/>
    </row>
    <row r="9546" spans="31:52">
      <c r="AE9546" s="10"/>
      <c r="AF9546" s="10"/>
      <c r="AG9546" s="10"/>
      <c r="AH9546" s="10"/>
      <c r="AI9546" s="10"/>
      <c r="AJ9546" s="10"/>
      <c r="AK9546" s="10"/>
      <c r="AL9546" s="10"/>
      <c r="AM9546" s="10"/>
      <c r="AN9546" s="10"/>
      <c r="AO9546" s="10"/>
      <c r="AP9546" s="10"/>
      <c r="AQ9546" s="10"/>
      <c r="AR9546" s="10"/>
      <c r="AS9546" s="10"/>
      <c r="AT9546" s="10"/>
      <c r="AU9546" s="10"/>
      <c r="AV9546" s="10"/>
      <c r="AW9546" s="10"/>
      <c r="AX9546" s="10"/>
      <c r="AY9546" s="10"/>
      <c r="AZ9546" s="10"/>
    </row>
    <row r="9547" spans="31:52">
      <c r="AE9547" s="10"/>
      <c r="AF9547" s="10"/>
      <c r="AG9547" s="10"/>
      <c r="AH9547" s="10"/>
      <c r="AI9547" s="10"/>
      <c r="AJ9547" s="10"/>
      <c r="AK9547" s="10"/>
      <c r="AL9547" s="10"/>
      <c r="AM9547" s="10"/>
      <c r="AN9547" s="10"/>
      <c r="AO9547" s="10"/>
      <c r="AP9547" s="10"/>
      <c r="AQ9547" s="10"/>
      <c r="AR9547" s="10"/>
      <c r="AS9547" s="10"/>
      <c r="AT9547" s="10"/>
      <c r="AU9547" s="10"/>
      <c r="AV9547" s="10"/>
      <c r="AW9547" s="10"/>
      <c r="AX9547" s="10"/>
      <c r="AY9547" s="10"/>
      <c r="AZ9547" s="10"/>
    </row>
    <row r="9548" spans="31:52">
      <c r="AE9548" s="10"/>
      <c r="AF9548" s="10"/>
      <c r="AG9548" s="10"/>
      <c r="AH9548" s="10"/>
      <c r="AI9548" s="10"/>
      <c r="AJ9548" s="10"/>
      <c r="AK9548" s="10"/>
      <c r="AL9548" s="10"/>
      <c r="AM9548" s="10"/>
      <c r="AN9548" s="10"/>
      <c r="AO9548" s="10"/>
      <c r="AP9548" s="10"/>
      <c r="AQ9548" s="10"/>
      <c r="AR9548" s="10"/>
      <c r="AS9548" s="10"/>
      <c r="AT9548" s="10"/>
      <c r="AU9548" s="10"/>
      <c r="AV9548" s="10"/>
      <c r="AW9548" s="10"/>
      <c r="AX9548" s="10"/>
      <c r="AY9548" s="10"/>
      <c r="AZ9548" s="10"/>
    </row>
    <row r="9549" spans="31:52">
      <c r="AE9549" s="10"/>
      <c r="AF9549" s="10"/>
      <c r="AG9549" s="10"/>
      <c r="AH9549" s="10"/>
      <c r="AI9549" s="10"/>
      <c r="AJ9549" s="10"/>
      <c r="AK9549" s="10"/>
      <c r="AL9549" s="10"/>
      <c r="AM9549" s="10"/>
      <c r="AN9549" s="10"/>
      <c r="AO9549" s="10"/>
      <c r="AP9549" s="10"/>
      <c r="AQ9549" s="10"/>
      <c r="AR9549" s="10"/>
      <c r="AS9549" s="10"/>
      <c r="AT9549" s="10"/>
      <c r="AU9549" s="10"/>
      <c r="AV9549" s="10"/>
      <c r="AW9549" s="10"/>
      <c r="AX9549" s="10"/>
      <c r="AY9549" s="10"/>
      <c r="AZ9549" s="10"/>
    </row>
    <row r="9550" spans="31:52">
      <c r="AE9550" s="10"/>
      <c r="AF9550" s="10"/>
      <c r="AG9550" s="10"/>
      <c r="AH9550" s="10"/>
      <c r="AI9550" s="10"/>
      <c r="AJ9550" s="10"/>
      <c r="AK9550" s="10"/>
      <c r="AL9550" s="10"/>
      <c r="AM9550" s="10"/>
      <c r="AN9550" s="10"/>
      <c r="AO9550" s="10"/>
      <c r="AP9550" s="10"/>
      <c r="AQ9550" s="10"/>
      <c r="AR9550" s="10"/>
      <c r="AS9550" s="10"/>
      <c r="AT9550" s="10"/>
      <c r="AU9550" s="10"/>
      <c r="AV9550" s="10"/>
      <c r="AW9550" s="10"/>
      <c r="AX9550" s="10"/>
      <c r="AY9550" s="10"/>
      <c r="AZ9550" s="10"/>
    </row>
    <row r="9551" spans="31:52">
      <c r="AE9551" s="10"/>
      <c r="AF9551" s="10"/>
      <c r="AG9551" s="10"/>
      <c r="AH9551" s="10"/>
      <c r="AI9551" s="10"/>
      <c r="AJ9551" s="10"/>
      <c r="AK9551" s="10"/>
      <c r="AL9551" s="10"/>
      <c r="AM9551" s="10"/>
      <c r="AN9551" s="10"/>
      <c r="AO9551" s="10"/>
      <c r="AP9551" s="10"/>
      <c r="AQ9551" s="10"/>
      <c r="AR9551" s="10"/>
      <c r="AS9551" s="10"/>
      <c r="AT9551" s="10"/>
      <c r="AU9551" s="10"/>
      <c r="AV9551" s="10"/>
      <c r="AW9551" s="10"/>
      <c r="AX9551" s="10"/>
      <c r="AY9551" s="10"/>
      <c r="AZ9551" s="10"/>
    </row>
    <row r="9552" spans="31:52">
      <c r="AE9552" s="10"/>
      <c r="AF9552" s="10"/>
      <c r="AG9552" s="10"/>
      <c r="AH9552" s="10"/>
      <c r="AI9552" s="10"/>
      <c r="AJ9552" s="10"/>
      <c r="AK9552" s="10"/>
      <c r="AL9552" s="10"/>
      <c r="AM9552" s="10"/>
      <c r="AN9552" s="10"/>
      <c r="AO9552" s="10"/>
      <c r="AP9552" s="10"/>
      <c r="AQ9552" s="10"/>
      <c r="AR9552" s="10"/>
      <c r="AS9552" s="10"/>
      <c r="AT9552" s="10"/>
      <c r="AU9552" s="10"/>
      <c r="AV9552" s="10"/>
      <c r="AW9552" s="10"/>
      <c r="AX9552" s="10"/>
      <c r="AY9552" s="10"/>
      <c r="AZ9552" s="10"/>
    </row>
    <row r="9553" spans="31:52">
      <c r="AE9553" s="10"/>
      <c r="AF9553" s="10"/>
      <c r="AG9553" s="10"/>
      <c r="AH9553" s="10"/>
      <c r="AI9553" s="10"/>
      <c r="AJ9553" s="10"/>
      <c r="AK9553" s="10"/>
      <c r="AL9553" s="10"/>
      <c r="AM9553" s="10"/>
      <c r="AN9553" s="10"/>
      <c r="AO9553" s="10"/>
      <c r="AP9553" s="10"/>
      <c r="AQ9553" s="10"/>
      <c r="AR9553" s="10"/>
      <c r="AS9553" s="10"/>
      <c r="AT9553" s="10"/>
      <c r="AU9553" s="10"/>
      <c r="AV9553" s="10"/>
      <c r="AW9553" s="10"/>
      <c r="AX9553" s="10"/>
      <c r="AY9553" s="10"/>
      <c r="AZ9553" s="10"/>
    </row>
    <row r="9554" spans="31:52">
      <c r="AE9554" s="10"/>
      <c r="AF9554" s="10"/>
      <c r="AG9554" s="10"/>
      <c r="AH9554" s="10"/>
      <c r="AI9554" s="10"/>
      <c r="AJ9554" s="10"/>
      <c r="AK9554" s="10"/>
      <c r="AL9554" s="10"/>
      <c r="AM9554" s="10"/>
      <c r="AN9554" s="10"/>
      <c r="AO9554" s="10"/>
      <c r="AP9554" s="10"/>
      <c r="AQ9554" s="10"/>
      <c r="AR9554" s="10"/>
      <c r="AS9554" s="10"/>
      <c r="AT9554" s="10"/>
      <c r="AU9554" s="10"/>
      <c r="AV9554" s="10"/>
      <c r="AW9554" s="10"/>
      <c r="AX9554" s="10"/>
      <c r="AY9554" s="10"/>
      <c r="AZ9554" s="10"/>
    </row>
    <row r="9555" spans="31:52">
      <c r="AE9555" s="10"/>
      <c r="AF9555" s="10"/>
      <c r="AG9555" s="10"/>
      <c r="AH9555" s="10"/>
      <c r="AI9555" s="10"/>
      <c r="AJ9555" s="10"/>
      <c r="AK9555" s="10"/>
      <c r="AL9555" s="10"/>
      <c r="AM9555" s="10"/>
      <c r="AN9555" s="10"/>
      <c r="AO9555" s="10"/>
      <c r="AP9555" s="10"/>
      <c r="AQ9555" s="10"/>
      <c r="AR9555" s="10"/>
      <c r="AS9555" s="10"/>
      <c r="AT9555" s="10"/>
      <c r="AU9555" s="10"/>
      <c r="AV9555" s="10"/>
      <c r="AW9555" s="10"/>
      <c r="AX9555" s="10"/>
      <c r="AY9555" s="10"/>
      <c r="AZ9555" s="10"/>
    </row>
    <row r="9556" spans="31:52">
      <c r="AE9556" s="10"/>
      <c r="AF9556" s="10"/>
      <c r="AG9556" s="10"/>
      <c r="AH9556" s="10"/>
      <c r="AI9556" s="10"/>
      <c r="AJ9556" s="10"/>
      <c r="AK9556" s="10"/>
      <c r="AL9556" s="10"/>
      <c r="AM9556" s="10"/>
      <c r="AN9556" s="10"/>
      <c r="AO9556" s="10"/>
      <c r="AP9556" s="10"/>
      <c r="AQ9556" s="10"/>
      <c r="AR9556" s="10"/>
      <c r="AS9556" s="10"/>
      <c r="AT9556" s="10"/>
      <c r="AU9556" s="10"/>
      <c r="AV9556" s="10"/>
      <c r="AW9556" s="10"/>
      <c r="AX9556" s="10"/>
      <c r="AY9556" s="10"/>
      <c r="AZ9556" s="10"/>
    </row>
    <row r="9557" spans="31:52">
      <c r="AE9557" s="10"/>
      <c r="AF9557" s="10"/>
      <c r="AG9557" s="10"/>
      <c r="AH9557" s="10"/>
      <c r="AI9557" s="10"/>
      <c r="AJ9557" s="10"/>
      <c r="AK9557" s="10"/>
      <c r="AL9557" s="10"/>
      <c r="AM9557" s="10"/>
      <c r="AN9557" s="10"/>
      <c r="AO9557" s="10"/>
      <c r="AP9557" s="10"/>
      <c r="AQ9557" s="10"/>
      <c r="AR9557" s="10"/>
      <c r="AS9557" s="10"/>
      <c r="AT9557" s="10"/>
      <c r="AU9557" s="10"/>
      <c r="AV9557" s="10"/>
      <c r="AW9557" s="10"/>
      <c r="AX9557" s="10"/>
      <c r="AY9557" s="10"/>
      <c r="AZ9557" s="10"/>
    </row>
    <row r="9558" spans="31:52">
      <c r="AE9558" s="10"/>
      <c r="AF9558" s="10"/>
      <c r="AG9558" s="10"/>
      <c r="AH9558" s="10"/>
      <c r="AI9558" s="10"/>
      <c r="AJ9558" s="10"/>
      <c r="AK9558" s="10"/>
      <c r="AL9558" s="10"/>
      <c r="AM9558" s="10"/>
      <c r="AN9558" s="10"/>
      <c r="AO9558" s="10"/>
      <c r="AP9558" s="10"/>
      <c r="AQ9558" s="10"/>
      <c r="AR9558" s="10"/>
      <c r="AS9558" s="10"/>
      <c r="AT9558" s="10"/>
      <c r="AU9558" s="10"/>
      <c r="AV9558" s="10"/>
      <c r="AW9558" s="10"/>
      <c r="AX9558" s="10"/>
      <c r="AY9558" s="10"/>
      <c r="AZ9558" s="10"/>
    </row>
    <row r="9559" spans="31:52">
      <c r="AE9559" s="10"/>
      <c r="AF9559" s="10"/>
      <c r="AG9559" s="10"/>
      <c r="AH9559" s="10"/>
      <c r="AI9559" s="10"/>
      <c r="AJ9559" s="10"/>
      <c r="AK9559" s="10"/>
      <c r="AL9559" s="10"/>
      <c r="AM9559" s="10"/>
      <c r="AN9559" s="10"/>
      <c r="AO9559" s="10"/>
      <c r="AP9559" s="10"/>
      <c r="AQ9559" s="10"/>
      <c r="AR9559" s="10"/>
      <c r="AS9559" s="10"/>
      <c r="AT9559" s="10"/>
      <c r="AU9559" s="10"/>
      <c r="AV9559" s="10"/>
      <c r="AW9559" s="10"/>
      <c r="AX9559" s="10"/>
      <c r="AY9559" s="10"/>
      <c r="AZ9559" s="10"/>
    </row>
    <row r="9560" spans="31:52">
      <c r="AE9560" s="10"/>
      <c r="AF9560" s="10"/>
      <c r="AG9560" s="10"/>
      <c r="AH9560" s="10"/>
      <c r="AI9560" s="10"/>
      <c r="AJ9560" s="10"/>
      <c r="AK9560" s="10"/>
      <c r="AL9560" s="10"/>
      <c r="AM9560" s="10"/>
      <c r="AN9560" s="10"/>
      <c r="AO9560" s="10"/>
      <c r="AP9560" s="10"/>
      <c r="AQ9560" s="10"/>
      <c r="AR9560" s="10"/>
      <c r="AS9560" s="10"/>
      <c r="AT9560" s="10"/>
      <c r="AU9560" s="10"/>
      <c r="AV9560" s="10"/>
      <c r="AW9560" s="10"/>
      <c r="AX9560" s="10"/>
      <c r="AY9560" s="10"/>
      <c r="AZ9560" s="10"/>
    </row>
    <row r="9561" spans="31:52">
      <c r="AE9561" s="10"/>
      <c r="AF9561" s="10"/>
      <c r="AG9561" s="10"/>
      <c r="AH9561" s="10"/>
      <c r="AI9561" s="10"/>
      <c r="AJ9561" s="10"/>
      <c r="AK9561" s="10"/>
      <c r="AL9561" s="10"/>
      <c r="AM9561" s="10"/>
      <c r="AN9561" s="10"/>
      <c r="AO9561" s="10"/>
      <c r="AP9561" s="10"/>
      <c r="AQ9561" s="10"/>
      <c r="AR9561" s="10"/>
      <c r="AS9561" s="10"/>
      <c r="AT9561" s="10"/>
      <c r="AU9561" s="10"/>
      <c r="AV9561" s="10"/>
      <c r="AW9561" s="10"/>
      <c r="AX9561" s="10"/>
      <c r="AY9561" s="10"/>
      <c r="AZ9561" s="10"/>
    </row>
    <row r="9562" spans="31:52">
      <c r="AE9562" s="10"/>
      <c r="AF9562" s="10"/>
      <c r="AG9562" s="10"/>
      <c r="AH9562" s="10"/>
      <c r="AI9562" s="10"/>
      <c r="AJ9562" s="10"/>
      <c r="AK9562" s="10"/>
      <c r="AL9562" s="10"/>
      <c r="AM9562" s="10"/>
      <c r="AN9562" s="10"/>
      <c r="AO9562" s="10"/>
      <c r="AP9562" s="10"/>
      <c r="AQ9562" s="10"/>
      <c r="AR9562" s="10"/>
      <c r="AS9562" s="10"/>
      <c r="AT9562" s="10"/>
      <c r="AU9562" s="10"/>
      <c r="AV9562" s="10"/>
      <c r="AW9562" s="10"/>
      <c r="AX9562" s="10"/>
      <c r="AY9562" s="10"/>
      <c r="AZ9562" s="10"/>
    </row>
    <row r="9563" spans="31:52">
      <c r="AE9563" s="10"/>
      <c r="AF9563" s="10"/>
      <c r="AG9563" s="10"/>
      <c r="AH9563" s="10"/>
      <c r="AI9563" s="10"/>
      <c r="AJ9563" s="10"/>
      <c r="AK9563" s="10"/>
      <c r="AL9563" s="10"/>
      <c r="AM9563" s="10"/>
      <c r="AN9563" s="10"/>
      <c r="AO9563" s="10"/>
      <c r="AP9563" s="10"/>
      <c r="AQ9563" s="10"/>
      <c r="AR9563" s="10"/>
      <c r="AS9563" s="10"/>
      <c r="AT9563" s="10"/>
      <c r="AU9563" s="10"/>
      <c r="AV9563" s="10"/>
      <c r="AW9563" s="10"/>
      <c r="AX9563" s="10"/>
      <c r="AY9563" s="10"/>
      <c r="AZ9563" s="10"/>
    </row>
    <row r="9564" spans="31:52">
      <c r="AE9564" s="10"/>
      <c r="AF9564" s="10"/>
      <c r="AG9564" s="10"/>
      <c r="AH9564" s="10"/>
      <c r="AI9564" s="10"/>
      <c r="AJ9564" s="10"/>
      <c r="AK9564" s="10"/>
      <c r="AL9564" s="10"/>
      <c r="AM9564" s="10"/>
      <c r="AN9564" s="10"/>
      <c r="AO9564" s="10"/>
      <c r="AP9564" s="10"/>
      <c r="AQ9564" s="10"/>
      <c r="AR9564" s="10"/>
      <c r="AS9564" s="10"/>
      <c r="AT9564" s="10"/>
      <c r="AU9564" s="10"/>
      <c r="AV9564" s="10"/>
      <c r="AW9564" s="10"/>
      <c r="AX9564" s="10"/>
      <c r="AY9564" s="10"/>
      <c r="AZ9564" s="10"/>
    </row>
    <row r="9565" spans="31:52">
      <c r="AE9565" s="10"/>
      <c r="AF9565" s="10"/>
      <c r="AG9565" s="10"/>
      <c r="AH9565" s="10"/>
      <c r="AI9565" s="10"/>
      <c r="AJ9565" s="10"/>
      <c r="AK9565" s="10"/>
      <c r="AL9565" s="10"/>
      <c r="AM9565" s="10"/>
      <c r="AN9565" s="10"/>
      <c r="AO9565" s="10"/>
      <c r="AP9565" s="10"/>
      <c r="AQ9565" s="10"/>
      <c r="AR9565" s="10"/>
      <c r="AS9565" s="10"/>
      <c r="AT9565" s="10"/>
      <c r="AU9565" s="10"/>
      <c r="AV9565" s="10"/>
      <c r="AW9565" s="10"/>
      <c r="AX9565" s="10"/>
      <c r="AY9565" s="10"/>
      <c r="AZ9565" s="10"/>
    </row>
    <row r="9566" spans="31:52">
      <c r="AE9566" s="10"/>
      <c r="AF9566" s="10"/>
      <c r="AG9566" s="10"/>
      <c r="AH9566" s="10"/>
      <c r="AI9566" s="10"/>
      <c r="AJ9566" s="10"/>
      <c r="AK9566" s="10"/>
      <c r="AL9566" s="10"/>
      <c r="AM9566" s="10"/>
      <c r="AN9566" s="10"/>
      <c r="AO9566" s="10"/>
      <c r="AP9566" s="10"/>
      <c r="AQ9566" s="10"/>
      <c r="AR9566" s="10"/>
      <c r="AS9566" s="10"/>
      <c r="AT9566" s="10"/>
      <c r="AU9566" s="10"/>
      <c r="AV9566" s="10"/>
      <c r="AW9566" s="10"/>
      <c r="AX9566" s="10"/>
      <c r="AY9566" s="10"/>
      <c r="AZ9566" s="10"/>
    </row>
    <row r="9567" spans="31:52">
      <c r="AE9567" s="10"/>
      <c r="AF9567" s="10"/>
      <c r="AG9567" s="10"/>
      <c r="AH9567" s="10"/>
      <c r="AI9567" s="10"/>
      <c r="AJ9567" s="10"/>
      <c r="AK9567" s="10"/>
      <c r="AL9567" s="10"/>
      <c r="AM9567" s="10"/>
      <c r="AN9567" s="10"/>
      <c r="AO9567" s="10"/>
      <c r="AP9567" s="10"/>
      <c r="AQ9567" s="10"/>
      <c r="AR9567" s="10"/>
      <c r="AS9567" s="10"/>
      <c r="AT9567" s="10"/>
      <c r="AU9567" s="10"/>
      <c r="AV9567" s="10"/>
      <c r="AW9567" s="10"/>
      <c r="AX9567" s="10"/>
      <c r="AY9567" s="10"/>
      <c r="AZ9567" s="10"/>
    </row>
    <row r="9568" spans="31:52">
      <c r="AE9568" s="10"/>
      <c r="AF9568" s="10"/>
      <c r="AG9568" s="10"/>
      <c r="AH9568" s="10"/>
      <c r="AI9568" s="10"/>
      <c r="AJ9568" s="10"/>
      <c r="AK9568" s="10"/>
      <c r="AL9568" s="10"/>
      <c r="AM9568" s="10"/>
      <c r="AN9568" s="10"/>
      <c r="AO9568" s="10"/>
      <c r="AP9568" s="10"/>
      <c r="AQ9568" s="10"/>
      <c r="AR9568" s="10"/>
      <c r="AS9568" s="10"/>
      <c r="AT9568" s="10"/>
      <c r="AU9568" s="10"/>
      <c r="AV9568" s="10"/>
      <c r="AW9568" s="10"/>
      <c r="AX9568" s="10"/>
      <c r="AY9568" s="10"/>
      <c r="AZ9568" s="10"/>
    </row>
    <row r="9569" spans="31:52">
      <c r="AE9569" s="10"/>
      <c r="AF9569" s="10"/>
      <c r="AG9569" s="10"/>
      <c r="AH9569" s="10"/>
      <c r="AI9569" s="10"/>
      <c r="AJ9569" s="10"/>
      <c r="AK9569" s="10"/>
      <c r="AL9569" s="10"/>
      <c r="AM9569" s="10"/>
      <c r="AN9569" s="10"/>
      <c r="AO9569" s="10"/>
      <c r="AP9569" s="10"/>
      <c r="AQ9569" s="10"/>
      <c r="AR9569" s="10"/>
      <c r="AS9569" s="10"/>
      <c r="AT9569" s="10"/>
      <c r="AU9569" s="10"/>
      <c r="AV9569" s="10"/>
      <c r="AW9569" s="10"/>
      <c r="AX9569" s="10"/>
      <c r="AY9569" s="10"/>
      <c r="AZ9569" s="10"/>
    </row>
    <row r="9570" spans="31:52">
      <c r="AE9570" s="10"/>
      <c r="AF9570" s="10"/>
      <c r="AG9570" s="10"/>
      <c r="AH9570" s="10"/>
      <c r="AI9570" s="10"/>
      <c r="AJ9570" s="10"/>
      <c r="AK9570" s="10"/>
      <c r="AL9570" s="10"/>
      <c r="AM9570" s="10"/>
      <c r="AN9570" s="10"/>
      <c r="AO9570" s="10"/>
      <c r="AP9570" s="10"/>
      <c r="AQ9570" s="10"/>
      <c r="AR9570" s="10"/>
      <c r="AS9570" s="10"/>
      <c r="AT9570" s="10"/>
      <c r="AU9570" s="10"/>
      <c r="AV9570" s="10"/>
      <c r="AW9570" s="10"/>
      <c r="AX9570" s="10"/>
      <c r="AY9570" s="10"/>
      <c r="AZ9570" s="10"/>
    </row>
    <row r="9571" spans="31:52">
      <c r="AE9571" s="10"/>
      <c r="AF9571" s="10"/>
      <c r="AG9571" s="10"/>
      <c r="AH9571" s="10"/>
      <c r="AI9571" s="10"/>
      <c r="AJ9571" s="10"/>
      <c r="AK9571" s="10"/>
      <c r="AL9571" s="10"/>
      <c r="AM9571" s="10"/>
      <c r="AN9571" s="10"/>
      <c r="AO9571" s="10"/>
      <c r="AP9571" s="10"/>
      <c r="AQ9571" s="10"/>
      <c r="AR9571" s="10"/>
      <c r="AS9571" s="10"/>
      <c r="AT9571" s="10"/>
      <c r="AU9571" s="10"/>
      <c r="AV9571" s="10"/>
      <c r="AW9571" s="10"/>
      <c r="AX9571" s="10"/>
      <c r="AY9571" s="10"/>
      <c r="AZ9571" s="10"/>
    </row>
    <row r="9572" spans="31:52">
      <c r="AE9572" s="10"/>
      <c r="AF9572" s="10"/>
      <c r="AG9572" s="10"/>
      <c r="AH9572" s="10"/>
      <c r="AI9572" s="10"/>
      <c r="AJ9572" s="10"/>
      <c r="AK9572" s="10"/>
      <c r="AL9572" s="10"/>
      <c r="AM9572" s="10"/>
      <c r="AN9572" s="10"/>
      <c r="AO9572" s="10"/>
      <c r="AP9572" s="10"/>
      <c r="AQ9572" s="10"/>
      <c r="AR9572" s="10"/>
      <c r="AS9572" s="10"/>
      <c r="AT9572" s="10"/>
      <c r="AU9572" s="10"/>
      <c r="AV9572" s="10"/>
      <c r="AW9572" s="10"/>
      <c r="AX9572" s="10"/>
      <c r="AY9572" s="10"/>
      <c r="AZ9572" s="10"/>
    </row>
    <row r="9573" spans="31:52">
      <c r="AE9573" s="10"/>
      <c r="AF9573" s="10"/>
      <c r="AG9573" s="10"/>
      <c r="AH9573" s="10"/>
      <c r="AI9573" s="10"/>
      <c r="AJ9573" s="10"/>
      <c r="AK9573" s="10"/>
      <c r="AL9573" s="10"/>
      <c r="AM9573" s="10"/>
      <c r="AN9573" s="10"/>
      <c r="AO9573" s="10"/>
      <c r="AP9573" s="10"/>
      <c r="AQ9573" s="10"/>
      <c r="AR9573" s="10"/>
      <c r="AS9573" s="10"/>
      <c r="AT9573" s="10"/>
      <c r="AU9573" s="10"/>
      <c r="AV9573" s="10"/>
      <c r="AW9573" s="10"/>
      <c r="AX9573" s="10"/>
      <c r="AY9573" s="10"/>
      <c r="AZ9573" s="10"/>
    </row>
    <row r="9574" spans="31:52">
      <c r="AE9574" s="10"/>
      <c r="AF9574" s="10"/>
      <c r="AG9574" s="10"/>
      <c r="AH9574" s="10"/>
      <c r="AI9574" s="10"/>
      <c r="AJ9574" s="10"/>
      <c r="AK9574" s="10"/>
      <c r="AL9574" s="10"/>
      <c r="AM9574" s="10"/>
      <c r="AN9574" s="10"/>
      <c r="AO9574" s="10"/>
      <c r="AP9574" s="10"/>
      <c r="AQ9574" s="10"/>
      <c r="AR9574" s="10"/>
      <c r="AS9574" s="10"/>
      <c r="AT9574" s="10"/>
      <c r="AU9574" s="10"/>
      <c r="AV9574" s="10"/>
      <c r="AW9574" s="10"/>
      <c r="AX9574" s="10"/>
      <c r="AY9574" s="10"/>
      <c r="AZ9574" s="10"/>
    </row>
    <row r="9575" spans="31:52">
      <c r="AE9575" s="10"/>
      <c r="AF9575" s="10"/>
      <c r="AG9575" s="10"/>
      <c r="AH9575" s="10"/>
      <c r="AI9575" s="10"/>
      <c r="AJ9575" s="10"/>
      <c r="AK9575" s="10"/>
      <c r="AL9575" s="10"/>
      <c r="AM9575" s="10"/>
      <c r="AN9575" s="10"/>
      <c r="AO9575" s="10"/>
      <c r="AP9575" s="10"/>
      <c r="AQ9575" s="10"/>
      <c r="AR9575" s="10"/>
      <c r="AS9575" s="10"/>
      <c r="AT9575" s="10"/>
      <c r="AU9575" s="10"/>
      <c r="AV9575" s="10"/>
      <c r="AW9575" s="10"/>
      <c r="AX9575" s="10"/>
      <c r="AY9575" s="10"/>
      <c r="AZ9575" s="10"/>
    </row>
    <row r="9576" spans="31:52">
      <c r="AE9576" s="10"/>
      <c r="AF9576" s="10"/>
      <c r="AG9576" s="10"/>
      <c r="AH9576" s="10"/>
      <c r="AI9576" s="10"/>
      <c r="AJ9576" s="10"/>
      <c r="AK9576" s="10"/>
      <c r="AL9576" s="10"/>
      <c r="AM9576" s="10"/>
      <c r="AN9576" s="10"/>
      <c r="AO9576" s="10"/>
      <c r="AP9576" s="10"/>
      <c r="AQ9576" s="10"/>
      <c r="AR9576" s="10"/>
      <c r="AS9576" s="10"/>
      <c r="AT9576" s="10"/>
      <c r="AU9576" s="10"/>
      <c r="AV9576" s="10"/>
      <c r="AW9576" s="10"/>
      <c r="AX9576" s="10"/>
      <c r="AY9576" s="10"/>
      <c r="AZ9576" s="10"/>
    </row>
    <row r="9577" spans="31:52">
      <c r="AE9577" s="10"/>
      <c r="AF9577" s="10"/>
      <c r="AG9577" s="10"/>
      <c r="AH9577" s="10"/>
      <c r="AI9577" s="10"/>
      <c r="AJ9577" s="10"/>
      <c r="AK9577" s="10"/>
      <c r="AL9577" s="10"/>
      <c r="AM9577" s="10"/>
      <c r="AN9577" s="10"/>
      <c r="AO9577" s="10"/>
      <c r="AP9577" s="10"/>
      <c r="AQ9577" s="10"/>
      <c r="AR9577" s="10"/>
      <c r="AS9577" s="10"/>
      <c r="AT9577" s="10"/>
      <c r="AU9577" s="10"/>
      <c r="AV9577" s="10"/>
      <c r="AW9577" s="10"/>
      <c r="AX9577" s="10"/>
      <c r="AY9577" s="10"/>
      <c r="AZ9577" s="10"/>
    </row>
    <row r="9578" spans="31:52">
      <c r="AE9578" s="10"/>
      <c r="AF9578" s="10"/>
      <c r="AG9578" s="10"/>
      <c r="AH9578" s="10"/>
      <c r="AI9578" s="10"/>
      <c r="AJ9578" s="10"/>
      <c r="AK9578" s="10"/>
      <c r="AL9578" s="10"/>
      <c r="AM9578" s="10"/>
      <c r="AN9578" s="10"/>
      <c r="AO9578" s="10"/>
      <c r="AP9578" s="10"/>
      <c r="AQ9578" s="10"/>
      <c r="AR9578" s="10"/>
      <c r="AS9578" s="10"/>
      <c r="AT9578" s="10"/>
      <c r="AU9578" s="10"/>
      <c r="AV9578" s="10"/>
      <c r="AW9578" s="10"/>
      <c r="AX9578" s="10"/>
      <c r="AY9578" s="10"/>
      <c r="AZ9578" s="10"/>
    </row>
    <row r="9579" spans="31:52">
      <c r="AE9579" s="10"/>
      <c r="AF9579" s="10"/>
      <c r="AG9579" s="10"/>
      <c r="AH9579" s="10"/>
      <c r="AI9579" s="10"/>
      <c r="AJ9579" s="10"/>
      <c r="AK9579" s="10"/>
      <c r="AL9579" s="10"/>
      <c r="AM9579" s="10"/>
      <c r="AN9579" s="10"/>
      <c r="AO9579" s="10"/>
      <c r="AP9579" s="10"/>
      <c r="AQ9579" s="10"/>
      <c r="AR9579" s="10"/>
      <c r="AS9579" s="10"/>
      <c r="AT9579" s="10"/>
      <c r="AU9579" s="10"/>
      <c r="AV9579" s="10"/>
      <c r="AW9579" s="10"/>
      <c r="AX9579" s="10"/>
      <c r="AY9579" s="10"/>
      <c r="AZ9579" s="10"/>
    </row>
    <row r="9580" spans="31:52">
      <c r="AE9580" s="10"/>
      <c r="AF9580" s="10"/>
      <c r="AG9580" s="10"/>
      <c r="AH9580" s="10"/>
      <c r="AI9580" s="10"/>
      <c r="AJ9580" s="10"/>
      <c r="AK9580" s="10"/>
      <c r="AL9580" s="10"/>
      <c r="AM9580" s="10"/>
      <c r="AN9580" s="10"/>
      <c r="AO9580" s="10"/>
      <c r="AP9580" s="10"/>
      <c r="AQ9580" s="10"/>
      <c r="AR9580" s="10"/>
      <c r="AS9580" s="10"/>
      <c r="AT9580" s="10"/>
      <c r="AU9580" s="10"/>
      <c r="AV9580" s="10"/>
      <c r="AW9580" s="10"/>
      <c r="AX9580" s="10"/>
      <c r="AY9580" s="10"/>
      <c r="AZ9580" s="10"/>
    </row>
    <row r="9581" spans="31:52">
      <c r="AE9581" s="10"/>
      <c r="AF9581" s="10"/>
      <c r="AG9581" s="10"/>
      <c r="AH9581" s="10"/>
      <c r="AI9581" s="10"/>
      <c r="AJ9581" s="10"/>
      <c r="AK9581" s="10"/>
      <c r="AL9581" s="10"/>
      <c r="AM9581" s="10"/>
      <c r="AN9581" s="10"/>
      <c r="AO9581" s="10"/>
      <c r="AP9581" s="10"/>
      <c r="AQ9581" s="10"/>
      <c r="AR9581" s="10"/>
      <c r="AS9581" s="10"/>
      <c r="AT9581" s="10"/>
      <c r="AU9581" s="10"/>
      <c r="AV9581" s="10"/>
      <c r="AW9581" s="10"/>
      <c r="AX9581" s="10"/>
      <c r="AY9581" s="10"/>
      <c r="AZ9581" s="10"/>
    </row>
    <row r="9582" spans="31:52">
      <c r="AE9582" s="10"/>
      <c r="AF9582" s="10"/>
      <c r="AG9582" s="10"/>
      <c r="AH9582" s="10"/>
      <c r="AI9582" s="10"/>
      <c r="AJ9582" s="10"/>
      <c r="AK9582" s="10"/>
      <c r="AL9582" s="10"/>
      <c r="AM9582" s="10"/>
      <c r="AN9582" s="10"/>
      <c r="AO9582" s="10"/>
      <c r="AP9582" s="10"/>
      <c r="AQ9582" s="10"/>
      <c r="AR9582" s="10"/>
      <c r="AS9582" s="10"/>
      <c r="AT9582" s="10"/>
      <c r="AU9582" s="10"/>
      <c r="AV9582" s="10"/>
      <c r="AW9582" s="10"/>
      <c r="AX9582" s="10"/>
      <c r="AY9582" s="10"/>
      <c r="AZ9582" s="10"/>
    </row>
    <row r="9583" spans="31:52">
      <c r="AE9583" s="10"/>
      <c r="AF9583" s="10"/>
      <c r="AG9583" s="10"/>
      <c r="AH9583" s="10"/>
      <c r="AI9583" s="10"/>
      <c r="AJ9583" s="10"/>
      <c r="AK9583" s="10"/>
      <c r="AL9583" s="10"/>
      <c r="AM9583" s="10"/>
      <c r="AN9583" s="10"/>
      <c r="AO9583" s="10"/>
      <c r="AP9583" s="10"/>
      <c r="AQ9583" s="10"/>
      <c r="AR9583" s="10"/>
      <c r="AS9583" s="10"/>
      <c r="AT9583" s="10"/>
      <c r="AU9583" s="10"/>
      <c r="AV9583" s="10"/>
      <c r="AW9583" s="10"/>
      <c r="AX9583" s="10"/>
      <c r="AY9583" s="10"/>
      <c r="AZ9583" s="10"/>
    </row>
    <row r="9584" spans="31:52">
      <c r="AE9584" s="10"/>
      <c r="AF9584" s="10"/>
      <c r="AG9584" s="10"/>
      <c r="AH9584" s="10"/>
      <c r="AI9584" s="10"/>
      <c r="AJ9584" s="10"/>
      <c r="AK9584" s="10"/>
      <c r="AL9584" s="10"/>
      <c r="AM9584" s="10"/>
      <c r="AN9584" s="10"/>
      <c r="AO9584" s="10"/>
      <c r="AP9584" s="10"/>
      <c r="AQ9584" s="10"/>
      <c r="AR9584" s="10"/>
      <c r="AS9584" s="10"/>
      <c r="AT9584" s="10"/>
      <c r="AU9584" s="10"/>
      <c r="AV9584" s="10"/>
      <c r="AW9584" s="10"/>
      <c r="AX9584" s="10"/>
      <c r="AY9584" s="10"/>
      <c r="AZ9584" s="10"/>
    </row>
    <row r="9585" spans="31:52">
      <c r="AE9585" s="10"/>
      <c r="AF9585" s="10"/>
      <c r="AG9585" s="10"/>
      <c r="AH9585" s="10"/>
      <c r="AI9585" s="10"/>
      <c r="AJ9585" s="10"/>
      <c r="AK9585" s="10"/>
      <c r="AL9585" s="10"/>
      <c r="AM9585" s="10"/>
      <c r="AN9585" s="10"/>
      <c r="AO9585" s="10"/>
      <c r="AP9585" s="10"/>
      <c r="AQ9585" s="10"/>
      <c r="AR9585" s="10"/>
      <c r="AS9585" s="10"/>
      <c r="AT9585" s="10"/>
      <c r="AU9585" s="10"/>
      <c r="AV9585" s="10"/>
      <c r="AW9585" s="10"/>
      <c r="AX9585" s="10"/>
      <c r="AY9585" s="10"/>
      <c r="AZ9585" s="10"/>
    </row>
    <row r="9586" spans="31:52">
      <c r="AE9586" s="10"/>
      <c r="AF9586" s="10"/>
      <c r="AG9586" s="10"/>
      <c r="AH9586" s="10"/>
      <c r="AI9586" s="10"/>
      <c r="AJ9586" s="10"/>
      <c r="AK9586" s="10"/>
      <c r="AL9586" s="10"/>
      <c r="AM9586" s="10"/>
      <c r="AN9586" s="10"/>
      <c r="AO9586" s="10"/>
      <c r="AP9586" s="10"/>
      <c r="AQ9586" s="10"/>
      <c r="AR9586" s="10"/>
      <c r="AS9586" s="10"/>
      <c r="AT9586" s="10"/>
      <c r="AU9586" s="10"/>
      <c r="AV9586" s="10"/>
      <c r="AW9586" s="10"/>
      <c r="AX9586" s="10"/>
      <c r="AY9586" s="10"/>
      <c r="AZ9586" s="10"/>
    </row>
    <row r="9587" spans="31:52">
      <c r="AE9587" s="10"/>
      <c r="AF9587" s="10"/>
      <c r="AG9587" s="10"/>
      <c r="AH9587" s="10"/>
      <c r="AI9587" s="10"/>
      <c r="AJ9587" s="10"/>
      <c r="AK9587" s="10"/>
      <c r="AL9587" s="10"/>
      <c r="AM9587" s="10"/>
      <c r="AN9587" s="10"/>
      <c r="AO9587" s="10"/>
      <c r="AP9587" s="10"/>
      <c r="AQ9587" s="10"/>
      <c r="AR9587" s="10"/>
      <c r="AS9587" s="10"/>
      <c r="AT9587" s="10"/>
      <c r="AU9587" s="10"/>
      <c r="AV9587" s="10"/>
      <c r="AW9587" s="10"/>
      <c r="AX9587" s="10"/>
      <c r="AY9587" s="10"/>
      <c r="AZ9587" s="10"/>
    </row>
    <row r="9588" spans="31:52">
      <c r="AE9588" s="10"/>
      <c r="AF9588" s="10"/>
      <c r="AG9588" s="10"/>
      <c r="AH9588" s="10"/>
      <c r="AI9588" s="10"/>
      <c r="AJ9588" s="10"/>
      <c r="AK9588" s="10"/>
      <c r="AL9588" s="10"/>
      <c r="AM9588" s="10"/>
      <c r="AN9588" s="10"/>
      <c r="AO9588" s="10"/>
      <c r="AP9588" s="10"/>
      <c r="AQ9588" s="10"/>
      <c r="AR9588" s="10"/>
      <c r="AS9588" s="10"/>
      <c r="AT9588" s="10"/>
      <c r="AU9588" s="10"/>
      <c r="AV9588" s="10"/>
      <c r="AW9588" s="10"/>
      <c r="AX9588" s="10"/>
      <c r="AY9588" s="10"/>
      <c r="AZ9588" s="10"/>
    </row>
    <row r="9589" spans="31:52">
      <c r="AE9589" s="10"/>
      <c r="AF9589" s="10"/>
      <c r="AG9589" s="10"/>
      <c r="AH9589" s="10"/>
      <c r="AI9589" s="10"/>
      <c r="AJ9589" s="10"/>
      <c r="AK9589" s="10"/>
      <c r="AL9589" s="10"/>
      <c r="AM9589" s="10"/>
      <c r="AN9589" s="10"/>
      <c r="AO9589" s="10"/>
      <c r="AP9589" s="10"/>
      <c r="AQ9589" s="10"/>
      <c r="AR9589" s="10"/>
      <c r="AS9589" s="10"/>
      <c r="AT9589" s="10"/>
      <c r="AU9589" s="10"/>
      <c r="AV9589" s="10"/>
      <c r="AW9589" s="10"/>
      <c r="AX9589" s="10"/>
      <c r="AY9589" s="10"/>
      <c r="AZ9589" s="10"/>
    </row>
    <row r="9590" spans="31:52">
      <c r="AE9590" s="10"/>
      <c r="AF9590" s="10"/>
      <c r="AG9590" s="10"/>
      <c r="AH9590" s="10"/>
      <c r="AI9590" s="10"/>
      <c r="AJ9590" s="10"/>
      <c r="AK9590" s="10"/>
      <c r="AL9590" s="10"/>
      <c r="AM9590" s="10"/>
      <c r="AN9590" s="10"/>
      <c r="AO9590" s="10"/>
      <c r="AP9590" s="10"/>
      <c r="AQ9590" s="10"/>
      <c r="AR9590" s="10"/>
      <c r="AS9590" s="10"/>
      <c r="AT9590" s="10"/>
      <c r="AU9590" s="10"/>
      <c r="AV9590" s="10"/>
      <c r="AW9590" s="10"/>
      <c r="AX9590" s="10"/>
      <c r="AY9590" s="10"/>
      <c r="AZ9590" s="10"/>
    </row>
    <row r="9591" spans="31:52">
      <c r="AE9591" s="10"/>
      <c r="AF9591" s="10"/>
      <c r="AG9591" s="10"/>
      <c r="AH9591" s="10"/>
      <c r="AI9591" s="10"/>
      <c r="AJ9591" s="10"/>
      <c r="AK9591" s="10"/>
      <c r="AL9591" s="10"/>
      <c r="AM9591" s="10"/>
      <c r="AN9591" s="10"/>
      <c r="AO9591" s="10"/>
      <c r="AP9591" s="10"/>
      <c r="AQ9591" s="10"/>
      <c r="AR9591" s="10"/>
      <c r="AS9591" s="10"/>
      <c r="AT9591" s="10"/>
      <c r="AU9591" s="10"/>
      <c r="AV9591" s="10"/>
      <c r="AW9591" s="10"/>
      <c r="AX9591" s="10"/>
      <c r="AY9591" s="10"/>
      <c r="AZ9591" s="10"/>
    </row>
    <row r="9592" spans="31:52">
      <c r="AE9592" s="10"/>
      <c r="AF9592" s="10"/>
      <c r="AG9592" s="10"/>
      <c r="AH9592" s="10"/>
      <c r="AI9592" s="10"/>
      <c r="AJ9592" s="10"/>
      <c r="AK9592" s="10"/>
      <c r="AL9592" s="10"/>
      <c r="AM9592" s="10"/>
      <c r="AN9592" s="10"/>
      <c r="AO9592" s="10"/>
      <c r="AP9592" s="10"/>
      <c r="AQ9592" s="10"/>
      <c r="AR9592" s="10"/>
      <c r="AS9592" s="10"/>
      <c r="AT9592" s="10"/>
      <c r="AU9592" s="10"/>
      <c r="AV9592" s="10"/>
      <c r="AW9592" s="10"/>
      <c r="AX9592" s="10"/>
      <c r="AY9592" s="10"/>
      <c r="AZ9592" s="10"/>
    </row>
    <row r="9593" spans="31:52">
      <c r="AE9593" s="10"/>
      <c r="AF9593" s="10"/>
      <c r="AG9593" s="10"/>
      <c r="AH9593" s="10"/>
      <c r="AI9593" s="10"/>
      <c r="AJ9593" s="10"/>
      <c r="AK9593" s="10"/>
      <c r="AL9593" s="10"/>
      <c r="AM9593" s="10"/>
      <c r="AN9593" s="10"/>
      <c r="AO9593" s="10"/>
      <c r="AP9593" s="10"/>
      <c r="AQ9593" s="10"/>
      <c r="AR9593" s="10"/>
      <c r="AS9593" s="10"/>
      <c r="AT9593" s="10"/>
      <c r="AU9593" s="10"/>
      <c r="AV9593" s="10"/>
      <c r="AW9593" s="10"/>
      <c r="AX9593" s="10"/>
      <c r="AY9593" s="10"/>
      <c r="AZ9593" s="10"/>
    </row>
    <row r="9594" spans="31:52">
      <c r="AE9594" s="10"/>
      <c r="AF9594" s="10"/>
      <c r="AG9594" s="10"/>
      <c r="AH9594" s="10"/>
      <c r="AI9594" s="10"/>
      <c r="AJ9594" s="10"/>
      <c r="AK9594" s="10"/>
      <c r="AL9594" s="10"/>
      <c r="AM9594" s="10"/>
      <c r="AN9594" s="10"/>
      <c r="AO9594" s="10"/>
      <c r="AP9594" s="10"/>
      <c r="AQ9594" s="10"/>
      <c r="AR9594" s="10"/>
      <c r="AS9594" s="10"/>
      <c r="AT9594" s="10"/>
      <c r="AU9594" s="10"/>
      <c r="AV9594" s="10"/>
      <c r="AW9594" s="10"/>
      <c r="AX9594" s="10"/>
      <c r="AY9594" s="10"/>
      <c r="AZ9594" s="10"/>
    </row>
    <row r="9595" spans="31:52">
      <c r="AE9595" s="10"/>
      <c r="AF9595" s="10"/>
      <c r="AG9595" s="10"/>
      <c r="AH9595" s="10"/>
      <c r="AI9595" s="10"/>
      <c r="AJ9595" s="10"/>
      <c r="AK9595" s="10"/>
      <c r="AL9595" s="10"/>
      <c r="AM9595" s="10"/>
      <c r="AN9595" s="10"/>
      <c r="AO9595" s="10"/>
      <c r="AP9595" s="10"/>
      <c r="AQ9595" s="10"/>
      <c r="AR9595" s="10"/>
      <c r="AS9595" s="10"/>
      <c r="AT9595" s="10"/>
      <c r="AU9595" s="10"/>
      <c r="AV9595" s="10"/>
      <c r="AW9595" s="10"/>
      <c r="AX9595" s="10"/>
      <c r="AY9595" s="10"/>
      <c r="AZ9595" s="10"/>
    </row>
    <row r="9596" spans="31:52">
      <c r="AE9596" s="10"/>
      <c r="AF9596" s="10"/>
      <c r="AG9596" s="10"/>
      <c r="AH9596" s="10"/>
      <c r="AI9596" s="10"/>
      <c r="AJ9596" s="10"/>
      <c r="AK9596" s="10"/>
      <c r="AL9596" s="10"/>
      <c r="AM9596" s="10"/>
      <c r="AN9596" s="10"/>
      <c r="AO9596" s="10"/>
      <c r="AP9596" s="10"/>
      <c r="AQ9596" s="10"/>
      <c r="AR9596" s="10"/>
      <c r="AS9596" s="10"/>
      <c r="AT9596" s="10"/>
      <c r="AU9596" s="10"/>
      <c r="AV9596" s="10"/>
      <c r="AW9596" s="10"/>
      <c r="AX9596" s="10"/>
      <c r="AY9596" s="10"/>
      <c r="AZ9596" s="10"/>
    </row>
    <row r="9597" spans="31:52">
      <c r="AE9597" s="10"/>
      <c r="AF9597" s="10"/>
      <c r="AG9597" s="10"/>
      <c r="AH9597" s="10"/>
      <c r="AI9597" s="10"/>
      <c r="AJ9597" s="10"/>
      <c r="AK9597" s="10"/>
      <c r="AL9597" s="10"/>
      <c r="AM9597" s="10"/>
      <c r="AN9597" s="10"/>
      <c r="AO9597" s="10"/>
      <c r="AP9597" s="10"/>
      <c r="AQ9597" s="10"/>
      <c r="AR9597" s="10"/>
      <c r="AS9597" s="10"/>
      <c r="AT9597" s="10"/>
      <c r="AU9597" s="10"/>
      <c r="AV9597" s="10"/>
      <c r="AW9597" s="10"/>
      <c r="AX9597" s="10"/>
      <c r="AY9597" s="10"/>
      <c r="AZ9597" s="10"/>
    </row>
    <row r="9598" spans="31:52">
      <c r="AE9598" s="10"/>
      <c r="AF9598" s="10"/>
      <c r="AG9598" s="10"/>
      <c r="AH9598" s="10"/>
      <c r="AI9598" s="10"/>
      <c r="AJ9598" s="10"/>
      <c r="AK9598" s="10"/>
      <c r="AL9598" s="10"/>
      <c r="AM9598" s="10"/>
      <c r="AN9598" s="10"/>
      <c r="AO9598" s="10"/>
      <c r="AP9598" s="10"/>
      <c r="AQ9598" s="10"/>
      <c r="AR9598" s="10"/>
      <c r="AS9598" s="10"/>
      <c r="AT9598" s="10"/>
      <c r="AU9598" s="10"/>
      <c r="AV9598" s="10"/>
      <c r="AW9598" s="10"/>
      <c r="AX9598" s="10"/>
      <c r="AY9598" s="10"/>
      <c r="AZ9598" s="10"/>
    </row>
    <row r="9599" spans="31:52">
      <c r="AE9599" s="10"/>
      <c r="AF9599" s="10"/>
      <c r="AG9599" s="10"/>
      <c r="AH9599" s="10"/>
      <c r="AI9599" s="10"/>
      <c r="AJ9599" s="10"/>
      <c r="AK9599" s="10"/>
      <c r="AL9599" s="10"/>
      <c r="AM9599" s="10"/>
      <c r="AN9599" s="10"/>
      <c r="AO9599" s="10"/>
      <c r="AP9599" s="10"/>
      <c r="AQ9599" s="10"/>
      <c r="AR9599" s="10"/>
      <c r="AS9599" s="10"/>
      <c r="AT9599" s="10"/>
      <c r="AU9599" s="10"/>
      <c r="AV9599" s="10"/>
      <c r="AW9599" s="10"/>
      <c r="AX9599" s="10"/>
      <c r="AY9599" s="10"/>
      <c r="AZ9599" s="10"/>
    </row>
    <row r="9600" spans="31:52">
      <c r="AE9600" s="10"/>
      <c r="AF9600" s="10"/>
      <c r="AG9600" s="10"/>
      <c r="AH9600" s="10"/>
      <c r="AI9600" s="10"/>
      <c r="AJ9600" s="10"/>
      <c r="AK9600" s="10"/>
      <c r="AL9600" s="10"/>
      <c r="AM9600" s="10"/>
      <c r="AN9600" s="10"/>
      <c r="AO9600" s="10"/>
      <c r="AP9600" s="10"/>
      <c r="AQ9600" s="10"/>
      <c r="AR9600" s="10"/>
      <c r="AS9600" s="10"/>
      <c r="AT9600" s="10"/>
      <c r="AU9600" s="10"/>
      <c r="AV9600" s="10"/>
      <c r="AW9600" s="10"/>
      <c r="AX9600" s="10"/>
      <c r="AY9600" s="10"/>
      <c r="AZ9600" s="10"/>
    </row>
    <row r="9601" spans="31:52">
      <c r="AE9601" s="10"/>
      <c r="AF9601" s="10"/>
      <c r="AG9601" s="10"/>
      <c r="AH9601" s="10"/>
      <c r="AI9601" s="10"/>
      <c r="AJ9601" s="10"/>
      <c r="AK9601" s="10"/>
      <c r="AL9601" s="10"/>
      <c r="AM9601" s="10"/>
      <c r="AN9601" s="10"/>
      <c r="AO9601" s="10"/>
      <c r="AP9601" s="10"/>
      <c r="AQ9601" s="10"/>
      <c r="AR9601" s="10"/>
      <c r="AS9601" s="10"/>
      <c r="AT9601" s="10"/>
      <c r="AU9601" s="10"/>
      <c r="AV9601" s="10"/>
      <c r="AW9601" s="10"/>
      <c r="AX9601" s="10"/>
      <c r="AY9601" s="10"/>
      <c r="AZ9601" s="10"/>
    </row>
    <row r="9602" spans="31:52">
      <c r="AE9602" s="10"/>
      <c r="AF9602" s="10"/>
      <c r="AG9602" s="10"/>
      <c r="AH9602" s="10"/>
      <c r="AI9602" s="10"/>
      <c r="AJ9602" s="10"/>
      <c r="AK9602" s="10"/>
      <c r="AL9602" s="10"/>
      <c r="AM9602" s="10"/>
      <c r="AN9602" s="10"/>
      <c r="AO9602" s="10"/>
      <c r="AP9602" s="10"/>
      <c r="AQ9602" s="10"/>
      <c r="AR9602" s="10"/>
      <c r="AS9602" s="10"/>
      <c r="AT9602" s="10"/>
      <c r="AU9602" s="10"/>
      <c r="AV9602" s="10"/>
      <c r="AW9602" s="10"/>
      <c r="AX9602" s="10"/>
      <c r="AY9602" s="10"/>
      <c r="AZ9602" s="10"/>
    </row>
    <row r="9603" spans="31:52">
      <c r="AE9603" s="10"/>
      <c r="AF9603" s="10"/>
      <c r="AG9603" s="10"/>
      <c r="AH9603" s="10"/>
      <c r="AI9603" s="10"/>
      <c r="AJ9603" s="10"/>
      <c r="AK9603" s="10"/>
      <c r="AL9603" s="10"/>
      <c r="AM9603" s="10"/>
      <c r="AN9603" s="10"/>
      <c r="AO9603" s="10"/>
      <c r="AP9603" s="10"/>
      <c r="AQ9603" s="10"/>
      <c r="AR9603" s="10"/>
      <c r="AS9603" s="10"/>
      <c r="AT9603" s="10"/>
      <c r="AU9603" s="10"/>
      <c r="AV9603" s="10"/>
      <c r="AW9603" s="10"/>
      <c r="AX9603" s="10"/>
      <c r="AY9603" s="10"/>
      <c r="AZ9603" s="10"/>
    </row>
    <row r="9604" spans="31:52">
      <c r="AE9604" s="10"/>
      <c r="AF9604" s="10"/>
      <c r="AG9604" s="10"/>
      <c r="AH9604" s="10"/>
      <c r="AI9604" s="10"/>
      <c r="AJ9604" s="10"/>
      <c r="AK9604" s="10"/>
      <c r="AL9604" s="10"/>
      <c r="AM9604" s="10"/>
      <c r="AN9604" s="10"/>
      <c r="AO9604" s="10"/>
      <c r="AP9604" s="10"/>
      <c r="AQ9604" s="10"/>
      <c r="AR9604" s="10"/>
      <c r="AS9604" s="10"/>
      <c r="AT9604" s="10"/>
      <c r="AU9604" s="10"/>
      <c r="AV9604" s="10"/>
      <c r="AW9604" s="10"/>
      <c r="AX9604" s="10"/>
      <c r="AY9604" s="10"/>
      <c r="AZ9604" s="10"/>
    </row>
    <row r="9605" spans="31:52">
      <c r="AE9605" s="10"/>
      <c r="AF9605" s="10"/>
      <c r="AG9605" s="10"/>
      <c r="AH9605" s="10"/>
      <c r="AI9605" s="10"/>
      <c r="AJ9605" s="10"/>
      <c r="AK9605" s="10"/>
      <c r="AL9605" s="10"/>
      <c r="AM9605" s="10"/>
      <c r="AN9605" s="10"/>
      <c r="AO9605" s="10"/>
      <c r="AP9605" s="10"/>
      <c r="AQ9605" s="10"/>
      <c r="AR9605" s="10"/>
      <c r="AS9605" s="10"/>
      <c r="AT9605" s="10"/>
      <c r="AU9605" s="10"/>
      <c r="AV9605" s="10"/>
      <c r="AW9605" s="10"/>
      <c r="AX9605" s="10"/>
      <c r="AY9605" s="10"/>
      <c r="AZ9605" s="10"/>
    </row>
    <row r="9606" spans="31:52">
      <c r="AE9606" s="10"/>
      <c r="AF9606" s="10"/>
      <c r="AG9606" s="10"/>
      <c r="AH9606" s="10"/>
      <c r="AI9606" s="10"/>
      <c r="AJ9606" s="10"/>
      <c r="AK9606" s="10"/>
      <c r="AL9606" s="10"/>
      <c r="AM9606" s="10"/>
      <c r="AN9606" s="10"/>
      <c r="AO9606" s="10"/>
      <c r="AP9606" s="10"/>
      <c r="AQ9606" s="10"/>
      <c r="AR9606" s="10"/>
      <c r="AS9606" s="10"/>
      <c r="AT9606" s="10"/>
      <c r="AU9606" s="10"/>
      <c r="AV9606" s="10"/>
      <c r="AW9606" s="10"/>
      <c r="AX9606" s="10"/>
      <c r="AY9606" s="10"/>
      <c r="AZ9606" s="10"/>
    </row>
    <row r="9607" spans="31:52">
      <c r="AE9607" s="10"/>
      <c r="AF9607" s="10"/>
      <c r="AG9607" s="10"/>
      <c r="AH9607" s="10"/>
      <c r="AI9607" s="10"/>
      <c r="AJ9607" s="10"/>
      <c r="AK9607" s="10"/>
      <c r="AL9607" s="10"/>
      <c r="AM9607" s="10"/>
      <c r="AN9607" s="10"/>
      <c r="AO9607" s="10"/>
      <c r="AP9607" s="10"/>
      <c r="AQ9607" s="10"/>
      <c r="AR9607" s="10"/>
      <c r="AS9607" s="10"/>
      <c r="AT9607" s="10"/>
      <c r="AU9607" s="10"/>
      <c r="AV9607" s="10"/>
      <c r="AW9607" s="10"/>
      <c r="AX9607" s="10"/>
      <c r="AY9607" s="10"/>
      <c r="AZ9607" s="10"/>
    </row>
    <row r="9608" spans="31:52">
      <c r="AE9608" s="10"/>
      <c r="AF9608" s="10"/>
      <c r="AG9608" s="10"/>
      <c r="AH9608" s="10"/>
      <c r="AI9608" s="10"/>
      <c r="AJ9608" s="10"/>
      <c r="AK9608" s="10"/>
      <c r="AL9608" s="10"/>
      <c r="AM9608" s="10"/>
      <c r="AN9608" s="10"/>
      <c r="AO9608" s="10"/>
      <c r="AP9608" s="10"/>
      <c r="AQ9608" s="10"/>
      <c r="AR9608" s="10"/>
      <c r="AS9608" s="10"/>
      <c r="AT9608" s="10"/>
      <c r="AU9608" s="10"/>
      <c r="AV9608" s="10"/>
      <c r="AW9608" s="10"/>
      <c r="AX9608" s="10"/>
      <c r="AY9608" s="10"/>
      <c r="AZ9608" s="10"/>
    </row>
    <row r="9609" spans="31:52">
      <c r="AE9609" s="10"/>
      <c r="AF9609" s="10"/>
      <c r="AG9609" s="10"/>
      <c r="AH9609" s="10"/>
      <c r="AI9609" s="10"/>
      <c r="AJ9609" s="10"/>
      <c r="AK9609" s="10"/>
      <c r="AL9609" s="10"/>
      <c r="AM9609" s="10"/>
      <c r="AN9609" s="10"/>
      <c r="AO9609" s="10"/>
      <c r="AP9609" s="10"/>
      <c r="AQ9609" s="10"/>
      <c r="AR9609" s="10"/>
      <c r="AS9609" s="10"/>
      <c r="AT9609" s="10"/>
      <c r="AU9609" s="10"/>
      <c r="AV9609" s="10"/>
      <c r="AW9609" s="10"/>
      <c r="AX9609" s="10"/>
      <c r="AY9609" s="10"/>
      <c r="AZ9609" s="10"/>
    </row>
    <row r="9610" spans="31:52">
      <c r="AE9610" s="10"/>
      <c r="AF9610" s="10"/>
      <c r="AG9610" s="10"/>
      <c r="AH9610" s="10"/>
      <c r="AI9610" s="10"/>
      <c r="AJ9610" s="10"/>
      <c r="AK9610" s="10"/>
      <c r="AL9610" s="10"/>
      <c r="AM9610" s="10"/>
      <c r="AN9610" s="10"/>
      <c r="AO9610" s="10"/>
      <c r="AP9610" s="10"/>
      <c r="AQ9610" s="10"/>
      <c r="AR9610" s="10"/>
      <c r="AS9610" s="10"/>
      <c r="AT9610" s="10"/>
      <c r="AU9610" s="10"/>
      <c r="AV9610" s="10"/>
      <c r="AW9610" s="10"/>
      <c r="AX9610" s="10"/>
      <c r="AY9610" s="10"/>
      <c r="AZ9610" s="10"/>
    </row>
    <row r="9611" spans="31:52">
      <c r="AE9611" s="10"/>
      <c r="AF9611" s="10"/>
      <c r="AG9611" s="10"/>
      <c r="AH9611" s="10"/>
      <c r="AI9611" s="10"/>
      <c r="AJ9611" s="10"/>
      <c r="AK9611" s="10"/>
      <c r="AL9611" s="10"/>
      <c r="AM9611" s="10"/>
      <c r="AN9611" s="10"/>
      <c r="AO9611" s="10"/>
      <c r="AP9611" s="10"/>
      <c r="AQ9611" s="10"/>
      <c r="AR9611" s="10"/>
      <c r="AS9611" s="10"/>
      <c r="AT9611" s="10"/>
      <c r="AU9611" s="10"/>
      <c r="AV9611" s="10"/>
      <c r="AW9611" s="10"/>
      <c r="AX9611" s="10"/>
      <c r="AY9611" s="10"/>
      <c r="AZ9611" s="10"/>
    </row>
    <row r="9612" spans="31:52">
      <c r="AE9612" s="10"/>
      <c r="AF9612" s="10"/>
      <c r="AG9612" s="10"/>
      <c r="AH9612" s="10"/>
      <c r="AI9612" s="10"/>
      <c r="AJ9612" s="10"/>
      <c r="AK9612" s="10"/>
      <c r="AL9612" s="10"/>
      <c r="AM9612" s="10"/>
      <c r="AN9612" s="10"/>
      <c r="AO9612" s="10"/>
      <c r="AP9612" s="10"/>
      <c r="AQ9612" s="10"/>
      <c r="AR9612" s="10"/>
      <c r="AS9612" s="10"/>
      <c r="AT9612" s="10"/>
      <c r="AU9612" s="10"/>
      <c r="AV9612" s="10"/>
      <c r="AW9612" s="10"/>
      <c r="AX9612" s="10"/>
      <c r="AY9612" s="10"/>
      <c r="AZ9612" s="10"/>
    </row>
    <row r="9613" spans="31:52">
      <c r="AE9613" s="10"/>
      <c r="AF9613" s="10"/>
      <c r="AG9613" s="10"/>
      <c r="AH9613" s="10"/>
      <c r="AI9613" s="10"/>
      <c r="AJ9613" s="10"/>
      <c r="AK9613" s="10"/>
      <c r="AL9613" s="10"/>
      <c r="AM9613" s="10"/>
      <c r="AN9613" s="10"/>
      <c r="AO9613" s="10"/>
      <c r="AP9613" s="10"/>
      <c r="AQ9613" s="10"/>
      <c r="AR9613" s="10"/>
      <c r="AS9613" s="10"/>
      <c r="AT9613" s="10"/>
      <c r="AU9613" s="10"/>
      <c r="AV9613" s="10"/>
      <c r="AW9613" s="10"/>
      <c r="AX9613" s="10"/>
      <c r="AY9613" s="10"/>
      <c r="AZ9613" s="10"/>
    </row>
    <row r="9614" spans="31:52">
      <c r="AE9614" s="10"/>
      <c r="AF9614" s="10"/>
      <c r="AG9614" s="10"/>
      <c r="AH9614" s="10"/>
      <c r="AI9614" s="10"/>
      <c r="AJ9614" s="10"/>
      <c r="AK9614" s="10"/>
      <c r="AL9614" s="10"/>
      <c r="AM9614" s="10"/>
      <c r="AN9614" s="10"/>
      <c r="AO9614" s="10"/>
      <c r="AP9614" s="10"/>
      <c r="AQ9614" s="10"/>
      <c r="AR9614" s="10"/>
      <c r="AS9614" s="10"/>
      <c r="AT9614" s="10"/>
      <c r="AU9614" s="10"/>
      <c r="AV9614" s="10"/>
      <c r="AW9614" s="10"/>
      <c r="AX9614" s="10"/>
      <c r="AY9614" s="10"/>
      <c r="AZ9614" s="10"/>
    </row>
    <row r="9615" spans="31:52">
      <c r="AE9615" s="10"/>
      <c r="AF9615" s="10"/>
      <c r="AG9615" s="10"/>
      <c r="AH9615" s="10"/>
      <c r="AI9615" s="10"/>
      <c r="AJ9615" s="10"/>
      <c r="AK9615" s="10"/>
      <c r="AL9615" s="10"/>
      <c r="AM9615" s="10"/>
      <c r="AN9615" s="10"/>
      <c r="AO9615" s="10"/>
      <c r="AP9615" s="10"/>
      <c r="AQ9615" s="10"/>
      <c r="AR9615" s="10"/>
      <c r="AS9615" s="10"/>
      <c r="AT9615" s="10"/>
      <c r="AU9615" s="10"/>
      <c r="AV9615" s="10"/>
      <c r="AW9615" s="10"/>
      <c r="AX9615" s="10"/>
      <c r="AY9615" s="10"/>
      <c r="AZ9615" s="10"/>
    </row>
    <row r="9616" spans="31:52">
      <c r="AE9616" s="10"/>
      <c r="AF9616" s="10"/>
      <c r="AG9616" s="10"/>
      <c r="AH9616" s="10"/>
      <c r="AI9616" s="10"/>
      <c r="AJ9616" s="10"/>
      <c r="AK9616" s="10"/>
      <c r="AL9616" s="10"/>
      <c r="AM9616" s="10"/>
      <c r="AN9616" s="10"/>
      <c r="AO9616" s="10"/>
      <c r="AP9616" s="10"/>
      <c r="AQ9616" s="10"/>
      <c r="AR9616" s="10"/>
      <c r="AS9616" s="10"/>
      <c r="AT9616" s="10"/>
      <c r="AU9616" s="10"/>
      <c r="AV9616" s="10"/>
      <c r="AW9616" s="10"/>
      <c r="AX9616" s="10"/>
      <c r="AY9616" s="10"/>
      <c r="AZ9616" s="10"/>
    </row>
    <row r="9617" spans="31:52">
      <c r="AE9617" s="10"/>
      <c r="AF9617" s="10"/>
      <c r="AG9617" s="10"/>
      <c r="AH9617" s="10"/>
      <c r="AI9617" s="10"/>
      <c r="AJ9617" s="10"/>
      <c r="AK9617" s="10"/>
      <c r="AL9617" s="10"/>
      <c r="AM9617" s="10"/>
      <c r="AN9617" s="10"/>
      <c r="AO9617" s="10"/>
      <c r="AP9617" s="10"/>
      <c r="AQ9617" s="10"/>
      <c r="AR9617" s="10"/>
      <c r="AS9617" s="10"/>
      <c r="AT9617" s="10"/>
      <c r="AU9617" s="10"/>
      <c r="AV9617" s="10"/>
      <c r="AW9617" s="10"/>
      <c r="AX9617" s="10"/>
      <c r="AY9617" s="10"/>
      <c r="AZ9617" s="10"/>
    </row>
    <row r="9618" spans="31:52">
      <c r="AE9618" s="10"/>
      <c r="AF9618" s="10"/>
      <c r="AG9618" s="10"/>
      <c r="AH9618" s="10"/>
      <c r="AI9618" s="10"/>
      <c r="AJ9618" s="10"/>
      <c r="AK9618" s="10"/>
      <c r="AL9618" s="10"/>
      <c r="AM9618" s="10"/>
      <c r="AN9618" s="10"/>
      <c r="AO9618" s="10"/>
      <c r="AP9618" s="10"/>
      <c r="AQ9618" s="10"/>
      <c r="AR9618" s="10"/>
      <c r="AS9618" s="10"/>
      <c r="AT9618" s="10"/>
      <c r="AU9618" s="10"/>
      <c r="AV9618" s="10"/>
      <c r="AW9618" s="10"/>
      <c r="AX9618" s="10"/>
      <c r="AY9618" s="10"/>
      <c r="AZ9618" s="10"/>
    </row>
    <row r="9619" spans="31:52">
      <c r="AE9619" s="10"/>
      <c r="AF9619" s="10"/>
      <c r="AG9619" s="10"/>
      <c r="AH9619" s="10"/>
      <c r="AI9619" s="10"/>
      <c r="AJ9619" s="10"/>
      <c r="AK9619" s="10"/>
      <c r="AL9619" s="10"/>
      <c r="AM9619" s="10"/>
      <c r="AN9619" s="10"/>
      <c r="AO9619" s="10"/>
      <c r="AP9619" s="10"/>
      <c r="AQ9619" s="10"/>
      <c r="AR9619" s="10"/>
      <c r="AS9619" s="10"/>
      <c r="AT9619" s="10"/>
      <c r="AU9619" s="10"/>
      <c r="AV9619" s="10"/>
      <c r="AW9619" s="10"/>
      <c r="AX9619" s="10"/>
      <c r="AY9619" s="10"/>
      <c r="AZ9619" s="10"/>
    </row>
    <row r="9620" spans="31:52">
      <c r="AE9620" s="10"/>
      <c r="AF9620" s="10"/>
      <c r="AG9620" s="10"/>
      <c r="AH9620" s="10"/>
      <c r="AI9620" s="10"/>
      <c r="AJ9620" s="10"/>
      <c r="AK9620" s="10"/>
      <c r="AL9620" s="10"/>
      <c r="AM9620" s="10"/>
      <c r="AN9620" s="10"/>
      <c r="AO9620" s="10"/>
      <c r="AP9620" s="10"/>
      <c r="AQ9620" s="10"/>
      <c r="AR9620" s="10"/>
      <c r="AS9620" s="10"/>
      <c r="AT9620" s="10"/>
      <c r="AU9620" s="10"/>
      <c r="AV9620" s="10"/>
      <c r="AW9620" s="10"/>
      <c r="AX9620" s="10"/>
      <c r="AY9620" s="10"/>
      <c r="AZ9620" s="10"/>
    </row>
    <row r="9621" spans="31:52">
      <c r="AE9621" s="10"/>
      <c r="AF9621" s="10"/>
      <c r="AG9621" s="10"/>
      <c r="AH9621" s="10"/>
      <c r="AI9621" s="10"/>
      <c r="AJ9621" s="10"/>
      <c r="AK9621" s="10"/>
      <c r="AL9621" s="10"/>
      <c r="AM9621" s="10"/>
      <c r="AN9621" s="10"/>
      <c r="AO9621" s="10"/>
      <c r="AP9621" s="10"/>
      <c r="AQ9621" s="10"/>
      <c r="AR9621" s="10"/>
      <c r="AS9621" s="10"/>
      <c r="AT9621" s="10"/>
      <c r="AU9621" s="10"/>
      <c r="AV9621" s="10"/>
      <c r="AW9621" s="10"/>
      <c r="AX9621" s="10"/>
      <c r="AY9621" s="10"/>
      <c r="AZ9621" s="10"/>
    </row>
    <row r="9622" spans="31:52">
      <c r="AE9622" s="10"/>
      <c r="AF9622" s="10"/>
      <c r="AG9622" s="10"/>
      <c r="AH9622" s="10"/>
      <c r="AI9622" s="10"/>
      <c r="AJ9622" s="10"/>
      <c r="AK9622" s="10"/>
      <c r="AL9622" s="10"/>
      <c r="AM9622" s="10"/>
      <c r="AN9622" s="10"/>
      <c r="AO9622" s="10"/>
      <c r="AP9622" s="10"/>
      <c r="AQ9622" s="10"/>
      <c r="AR9622" s="10"/>
      <c r="AS9622" s="10"/>
      <c r="AT9622" s="10"/>
      <c r="AU9622" s="10"/>
      <c r="AV9622" s="10"/>
      <c r="AW9622" s="10"/>
      <c r="AX9622" s="10"/>
      <c r="AY9622" s="10"/>
      <c r="AZ9622" s="10"/>
    </row>
    <row r="9623" spans="31:52">
      <c r="AE9623" s="10"/>
      <c r="AF9623" s="10"/>
      <c r="AG9623" s="10"/>
      <c r="AH9623" s="10"/>
      <c r="AI9623" s="10"/>
      <c r="AJ9623" s="10"/>
      <c r="AK9623" s="10"/>
      <c r="AL9623" s="10"/>
      <c r="AM9623" s="10"/>
      <c r="AN9623" s="10"/>
      <c r="AO9623" s="10"/>
      <c r="AP9623" s="10"/>
      <c r="AQ9623" s="10"/>
      <c r="AR9623" s="10"/>
      <c r="AS9623" s="10"/>
      <c r="AT9623" s="10"/>
      <c r="AU9623" s="10"/>
      <c r="AV9623" s="10"/>
      <c r="AW9623" s="10"/>
      <c r="AX9623" s="10"/>
      <c r="AY9623" s="10"/>
      <c r="AZ9623" s="10"/>
    </row>
    <row r="9624" spans="31:52">
      <c r="AE9624" s="10"/>
      <c r="AF9624" s="10"/>
      <c r="AG9624" s="10"/>
      <c r="AH9624" s="10"/>
      <c r="AI9624" s="10"/>
      <c r="AJ9624" s="10"/>
      <c r="AK9624" s="10"/>
      <c r="AL9624" s="10"/>
      <c r="AM9624" s="10"/>
      <c r="AN9624" s="10"/>
      <c r="AO9624" s="10"/>
      <c r="AP9624" s="10"/>
      <c r="AQ9624" s="10"/>
      <c r="AR9624" s="10"/>
      <c r="AS9624" s="10"/>
      <c r="AT9624" s="10"/>
      <c r="AU9624" s="10"/>
      <c r="AV9624" s="10"/>
      <c r="AW9624" s="10"/>
      <c r="AX9624" s="10"/>
      <c r="AY9624" s="10"/>
      <c r="AZ9624" s="10"/>
    </row>
    <row r="9625" spans="31:52">
      <c r="AE9625" s="10"/>
      <c r="AF9625" s="10"/>
      <c r="AG9625" s="10"/>
      <c r="AH9625" s="10"/>
      <c r="AI9625" s="10"/>
      <c r="AJ9625" s="10"/>
      <c r="AK9625" s="10"/>
      <c r="AL9625" s="10"/>
      <c r="AM9625" s="10"/>
      <c r="AN9625" s="10"/>
      <c r="AO9625" s="10"/>
      <c r="AP9625" s="10"/>
      <c r="AQ9625" s="10"/>
      <c r="AR9625" s="10"/>
      <c r="AS9625" s="10"/>
      <c r="AT9625" s="10"/>
      <c r="AU9625" s="10"/>
      <c r="AV9625" s="10"/>
      <c r="AW9625" s="10"/>
      <c r="AX9625" s="10"/>
      <c r="AY9625" s="10"/>
      <c r="AZ9625" s="10"/>
    </row>
    <row r="9626" spans="31:52">
      <c r="AE9626" s="10"/>
      <c r="AF9626" s="10"/>
      <c r="AG9626" s="10"/>
      <c r="AH9626" s="10"/>
      <c r="AI9626" s="10"/>
      <c r="AJ9626" s="10"/>
      <c r="AK9626" s="10"/>
      <c r="AL9626" s="10"/>
      <c r="AM9626" s="10"/>
      <c r="AN9626" s="10"/>
      <c r="AO9626" s="10"/>
      <c r="AP9626" s="10"/>
      <c r="AQ9626" s="10"/>
      <c r="AR9626" s="10"/>
      <c r="AS9626" s="10"/>
      <c r="AT9626" s="10"/>
      <c r="AU9626" s="10"/>
      <c r="AV9626" s="10"/>
      <c r="AW9626" s="10"/>
      <c r="AX9626" s="10"/>
      <c r="AY9626" s="10"/>
      <c r="AZ9626" s="10"/>
    </row>
    <row r="9627" spans="31:52">
      <c r="AE9627" s="10"/>
      <c r="AF9627" s="10"/>
      <c r="AG9627" s="10"/>
      <c r="AH9627" s="10"/>
      <c r="AI9627" s="10"/>
      <c r="AJ9627" s="10"/>
      <c r="AK9627" s="10"/>
      <c r="AL9627" s="10"/>
      <c r="AM9627" s="10"/>
      <c r="AN9627" s="10"/>
      <c r="AO9627" s="10"/>
      <c r="AP9627" s="10"/>
      <c r="AQ9627" s="10"/>
      <c r="AR9627" s="10"/>
      <c r="AS9627" s="10"/>
      <c r="AT9627" s="10"/>
      <c r="AU9627" s="10"/>
      <c r="AV9627" s="10"/>
      <c r="AW9627" s="10"/>
      <c r="AX9627" s="10"/>
      <c r="AY9627" s="10"/>
      <c r="AZ9627" s="10"/>
    </row>
    <row r="9628" spans="31:52">
      <c r="AE9628" s="10"/>
      <c r="AF9628" s="10"/>
      <c r="AG9628" s="10"/>
      <c r="AH9628" s="10"/>
      <c r="AI9628" s="10"/>
      <c r="AJ9628" s="10"/>
      <c r="AK9628" s="10"/>
      <c r="AL9628" s="10"/>
      <c r="AM9628" s="10"/>
      <c r="AN9628" s="10"/>
      <c r="AO9628" s="10"/>
      <c r="AP9628" s="10"/>
      <c r="AQ9628" s="10"/>
      <c r="AR9628" s="10"/>
      <c r="AS9628" s="10"/>
      <c r="AT9628" s="10"/>
      <c r="AU9628" s="10"/>
      <c r="AV9628" s="10"/>
      <c r="AW9628" s="10"/>
      <c r="AX9628" s="10"/>
      <c r="AY9628" s="10"/>
      <c r="AZ9628" s="10"/>
    </row>
    <row r="9629" spans="31:52">
      <c r="AE9629" s="10"/>
      <c r="AF9629" s="10"/>
      <c r="AG9629" s="10"/>
      <c r="AH9629" s="10"/>
      <c r="AI9629" s="10"/>
      <c r="AJ9629" s="10"/>
      <c r="AK9629" s="10"/>
      <c r="AL9629" s="10"/>
      <c r="AM9629" s="10"/>
      <c r="AN9629" s="10"/>
      <c r="AO9629" s="10"/>
      <c r="AP9629" s="10"/>
      <c r="AQ9629" s="10"/>
      <c r="AR9629" s="10"/>
      <c r="AS9629" s="10"/>
      <c r="AT9629" s="10"/>
      <c r="AU9629" s="10"/>
      <c r="AV9629" s="10"/>
      <c r="AW9629" s="10"/>
      <c r="AX9629" s="10"/>
      <c r="AY9629" s="10"/>
      <c r="AZ9629" s="10"/>
    </row>
    <row r="9630" spans="31:52">
      <c r="AE9630" s="10"/>
      <c r="AF9630" s="10"/>
      <c r="AG9630" s="10"/>
      <c r="AH9630" s="10"/>
      <c r="AI9630" s="10"/>
      <c r="AJ9630" s="10"/>
      <c r="AK9630" s="10"/>
      <c r="AL9630" s="10"/>
      <c r="AM9630" s="10"/>
      <c r="AN9630" s="10"/>
      <c r="AO9630" s="10"/>
      <c r="AP9630" s="10"/>
      <c r="AQ9630" s="10"/>
      <c r="AR9630" s="10"/>
      <c r="AS9630" s="10"/>
      <c r="AT9630" s="10"/>
      <c r="AU9630" s="10"/>
      <c r="AV9630" s="10"/>
      <c r="AW9630" s="10"/>
      <c r="AX9630" s="10"/>
      <c r="AY9630" s="10"/>
      <c r="AZ9630" s="10"/>
    </row>
    <row r="9631" spans="31:52">
      <c r="AE9631" s="10"/>
      <c r="AF9631" s="10"/>
      <c r="AG9631" s="10"/>
      <c r="AH9631" s="10"/>
      <c r="AI9631" s="10"/>
      <c r="AJ9631" s="10"/>
      <c r="AK9631" s="10"/>
      <c r="AL9631" s="10"/>
      <c r="AM9631" s="10"/>
      <c r="AN9631" s="10"/>
      <c r="AO9631" s="10"/>
      <c r="AP9631" s="10"/>
      <c r="AQ9631" s="10"/>
      <c r="AR9631" s="10"/>
      <c r="AS9631" s="10"/>
      <c r="AT9631" s="10"/>
      <c r="AU9631" s="10"/>
      <c r="AV9631" s="10"/>
      <c r="AW9631" s="10"/>
      <c r="AX9631" s="10"/>
      <c r="AY9631" s="10"/>
      <c r="AZ9631" s="10"/>
    </row>
    <row r="9632" spans="31:52">
      <c r="AE9632" s="10"/>
      <c r="AF9632" s="10"/>
      <c r="AG9632" s="10"/>
      <c r="AH9632" s="10"/>
      <c r="AI9632" s="10"/>
      <c r="AJ9632" s="10"/>
      <c r="AK9632" s="10"/>
      <c r="AL9632" s="10"/>
      <c r="AM9632" s="10"/>
      <c r="AN9632" s="10"/>
      <c r="AO9632" s="10"/>
      <c r="AP9632" s="10"/>
      <c r="AQ9632" s="10"/>
      <c r="AR9632" s="10"/>
      <c r="AS9632" s="10"/>
      <c r="AT9632" s="10"/>
      <c r="AU9632" s="10"/>
      <c r="AV9632" s="10"/>
      <c r="AW9632" s="10"/>
      <c r="AX9632" s="10"/>
      <c r="AY9632" s="10"/>
      <c r="AZ9632" s="10"/>
    </row>
    <row r="9633" spans="31:52">
      <c r="AE9633" s="10"/>
      <c r="AF9633" s="10"/>
      <c r="AG9633" s="10"/>
      <c r="AH9633" s="10"/>
      <c r="AI9633" s="10"/>
      <c r="AJ9633" s="10"/>
      <c r="AK9633" s="10"/>
      <c r="AL9633" s="10"/>
      <c r="AM9633" s="10"/>
      <c r="AN9633" s="10"/>
      <c r="AO9633" s="10"/>
      <c r="AP9633" s="10"/>
      <c r="AQ9633" s="10"/>
      <c r="AR9633" s="10"/>
      <c r="AS9633" s="10"/>
      <c r="AT9633" s="10"/>
      <c r="AU9633" s="10"/>
      <c r="AV9633" s="10"/>
      <c r="AW9633" s="10"/>
      <c r="AX9633" s="10"/>
      <c r="AY9633" s="10"/>
      <c r="AZ9633" s="10"/>
    </row>
    <row r="9634" spans="31:52">
      <c r="AE9634" s="10"/>
      <c r="AF9634" s="10"/>
      <c r="AG9634" s="10"/>
      <c r="AH9634" s="10"/>
      <c r="AI9634" s="10"/>
      <c r="AJ9634" s="10"/>
      <c r="AK9634" s="10"/>
      <c r="AL9634" s="10"/>
      <c r="AM9634" s="10"/>
      <c r="AN9634" s="10"/>
      <c r="AO9634" s="10"/>
      <c r="AP9634" s="10"/>
      <c r="AQ9634" s="10"/>
      <c r="AR9634" s="10"/>
      <c r="AS9634" s="10"/>
      <c r="AT9634" s="10"/>
      <c r="AU9634" s="10"/>
      <c r="AV9634" s="10"/>
      <c r="AW9634" s="10"/>
      <c r="AX9634" s="10"/>
      <c r="AY9634" s="10"/>
      <c r="AZ9634" s="10"/>
    </row>
    <row r="9635" spans="31:52">
      <c r="AE9635" s="10"/>
      <c r="AF9635" s="10"/>
      <c r="AG9635" s="10"/>
      <c r="AH9635" s="10"/>
      <c r="AI9635" s="10"/>
      <c r="AJ9635" s="10"/>
      <c r="AK9635" s="10"/>
      <c r="AL9635" s="10"/>
      <c r="AM9635" s="10"/>
      <c r="AN9635" s="10"/>
      <c r="AO9635" s="10"/>
      <c r="AP9635" s="10"/>
      <c r="AQ9635" s="10"/>
      <c r="AR9635" s="10"/>
      <c r="AS9635" s="10"/>
      <c r="AT9635" s="10"/>
      <c r="AU9635" s="10"/>
      <c r="AV9635" s="10"/>
      <c r="AW9635" s="10"/>
      <c r="AX9635" s="10"/>
      <c r="AY9635" s="10"/>
      <c r="AZ9635" s="10"/>
    </row>
    <row r="9636" spans="31:52">
      <c r="AE9636" s="10"/>
      <c r="AF9636" s="10"/>
      <c r="AG9636" s="10"/>
      <c r="AH9636" s="10"/>
      <c r="AI9636" s="10"/>
      <c r="AJ9636" s="10"/>
      <c r="AK9636" s="10"/>
      <c r="AL9636" s="10"/>
      <c r="AM9636" s="10"/>
      <c r="AN9636" s="10"/>
      <c r="AO9636" s="10"/>
      <c r="AP9636" s="10"/>
      <c r="AQ9636" s="10"/>
      <c r="AR9636" s="10"/>
      <c r="AS9636" s="10"/>
      <c r="AT9636" s="10"/>
      <c r="AU9636" s="10"/>
      <c r="AV9636" s="10"/>
      <c r="AW9636" s="10"/>
      <c r="AX9636" s="10"/>
      <c r="AY9636" s="10"/>
      <c r="AZ9636" s="10"/>
    </row>
    <row r="9637" spans="31:52">
      <c r="AE9637" s="10"/>
      <c r="AF9637" s="10"/>
      <c r="AG9637" s="10"/>
      <c r="AH9637" s="10"/>
      <c r="AI9637" s="10"/>
      <c r="AJ9637" s="10"/>
      <c r="AK9637" s="10"/>
      <c r="AL9637" s="10"/>
      <c r="AM9637" s="10"/>
      <c r="AN9637" s="10"/>
      <c r="AO9637" s="10"/>
      <c r="AP9637" s="10"/>
      <c r="AQ9637" s="10"/>
      <c r="AR9637" s="10"/>
      <c r="AS9637" s="10"/>
      <c r="AT9637" s="10"/>
      <c r="AU9637" s="10"/>
      <c r="AV9637" s="10"/>
      <c r="AW9637" s="10"/>
      <c r="AX9637" s="10"/>
      <c r="AY9637" s="10"/>
      <c r="AZ9637" s="10"/>
    </row>
    <row r="9638" spans="31:52">
      <c r="AE9638" s="10"/>
      <c r="AF9638" s="10"/>
      <c r="AG9638" s="10"/>
      <c r="AH9638" s="10"/>
      <c r="AI9638" s="10"/>
      <c r="AJ9638" s="10"/>
      <c r="AK9638" s="10"/>
      <c r="AL9638" s="10"/>
      <c r="AM9638" s="10"/>
      <c r="AN9638" s="10"/>
      <c r="AO9638" s="10"/>
      <c r="AP9638" s="10"/>
      <c r="AQ9638" s="10"/>
      <c r="AR9638" s="10"/>
      <c r="AS9638" s="10"/>
      <c r="AT9638" s="10"/>
      <c r="AU9638" s="10"/>
      <c r="AV9638" s="10"/>
      <c r="AW9638" s="10"/>
      <c r="AX9638" s="10"/>
      <c r="AY9638" s="10"/>
      <c r="AZ9638" s="10"/>
    </row>
    <row r="9639" spans="31:52">
      <c r="AE9639" s="10"/>
      <c r="AF9639" s="10"/>
      <c r="AG9639" s="10"/>
      <c r="AH9639" s="10"/>
      <c r="AI9639" s="10"/>
      <c r="AJ9639" s="10"/>
      <c r="AK9639" s="10"/>
      <c r="AL9639" s="10"/>
      <c r="AM9639" s="10"/>
      <c r="AN9639" s="10"/>
      <c r="AO9639" s="10"/>
      <c r="AP9639" s="10"/>
      <c r="AQ9639" s="10"/>
      <c r="AR9639" s="10"/>
      <c r="AS9639" s="10"/>
      <c r="AT9639" s="10"/>
      <c r="AU9639" s="10"/>
      <c r="AV9639" s="10"/>
      <c r="AW9639" s="10"/>
      <c r="AX9639" s="10"/>
      <c r="AY9639" s="10"/>
      <c r="AZ9639" s="10"/>
    </row>
    <row r="9640" spans="31:52">
      <c r="AE9640" s="10"/>
      <c r="AF9640" s="10"/>
      <c r="AG9640" s="10"/>
      <c r="AH9640" s="10"/>
      <c r="AI9640" s="10"/>
      <c r="AJ9640" s="10"/>
      <c r="AK9640" s="10"/>
      <c r="AL9640" s="10"/>
      <c r="AM9640" s="10"/>
      <c r="AN9640" s="10"/>
      <c r="AO9640" s="10"/>
      <c r="AP9640" s="10"/>
      <c r="AQ9640" s="10"/>
      <c r="AR9640" s="10"/>
      <c r="AS9640" s="10"/>
      <c r="AT9640" s="10"/>
      <c r="AU9640" s="10"/>
      <c r="AV9640" s="10"/>
      <c r="AW9640" s="10"/>
      <c r="AX9640" s="10"/>
      <c r="AY9640" s="10"/>
      <c r="AZ9640" s="10"/>
    </row>
    <row r="9641" spans="31:52">
      <c r="AE9641" s="10"/>
      <c r="AF9641" s="10"/>
      <c r="AG9641" s="10"/>
      <c r="AH9641" s="10"/>
      <c r="AI9641" s="10"/>
      <c r="AJ9641" s="10"/>
      <c r="AK9641" s="10"/>
      <c r="AL9641" s="10"/>
      <c r="AM9641" s="10"/>
      <c r="AN9641" s="10"/>
      <c r="AO9641" s="10"/>
      <c r="AP9641" s="10"/>
      <c r="AQ9641" s="10"/>
      <c r="AR9641" s="10"/>
      <c r="AS9641" s="10"/>
      <c r="AT9641" s="10"/>
      <c r="AU9641" s="10"/>
      <c r="AV9641" s="10"/>
      <c r="AW9641" s="10"/>
      <c r="AX9641" s="10"/>
      <c r="AY9641" s="10"/>
      <c r="AZ9641" s="10"/>
    </row>
    <row r="9642" spans="31:52">
      <c r="AE9642" s="10"/>
      <c r="AF9642" s="10"/>
      <c r="AG9642" s="10"/>
      <c r="AH9642" s="10"/>
      <c r="AI9642" s="10"/>
      <c r="AJ9642" s="10"/>
      <c r="AK9642" s="10"/>
      <c r="AL9642" s="10"/>
      <c r="AM9642" s="10"/>
      <c r="AN9642" s="10"/>
      <c r="AO9642" s="10"/>
      <c r="AP9642" s="10"/>
      <c r="AQ9642" s="10"/>
      <c r="AR9642" s="10"/>
      <c r="AS9642" s="10"/>
      <c r="AT9642" s="10"/>
      <c r="AU9642" s="10"/>
      <c r="AV9642" s="10"/>
      <c r="AW9642" s="10"/>
      <c r="AX9642" s="10"/>
      <c r="AY9642" s="10"/>
      <c r="AZ9642" s="10"/>
    </row>
    <row r="9643" spans="31:52">
      <c r="AE9643" s="10"/>
      <c r="AF9643" s="10"/>
      <c r="AG9643" s="10"/>
      <c r="AH9643" s="10"/>
      <c r="AI9643" s="10"/>
      <c r="AJ9643" s="10"/>
      <c r="AK9643" s="10"/>
      <c r="AL9643" s="10"/>
      <c r="AM9643" s="10"/>
      <c r="AN9643" s="10"/>
      <c r="AO9643" s="10"/>
      <c r="AP9643" s="10"/>
      <c r="AQ9643" s="10"/>
      <c r="AR9643" s="10"/>
      <c r="AS9643" s="10"/>
      <c r="AT9643" s="10"/>
      <c r="AU9643" s="10"/>
      <c r="AV9643" s="10"/>
      <c r="AW9643" s="10"/>
      <c r="AX9643" s="10"/>
      <c r="AY9643" s="10"/>
      <c r="AZ9643" s="10"/>
    </row>
    <row r="9644" spans="31:52">
      <c r="AE9644" s="10"/>
      <c r="AF9644" s="10"/>
      <c r="AG9644" s="10"/>
      <c r="AH9644" s="10"/>
      <c r="AI9644" s="10"/>
      <c r="AJ9644" s="10"/>
      <c r="AK9644" s="10"/>
      <c r="AL9644" s="10"/>
      <c r="AM9644" s="10"/>
      <c r="AN9644" s="10"/>
      <c r="AO9644" s="10"/>
      <c r="AP9644" s="10"/>
      <c r="AQ9644" s="10"/>
      <c r="AR9644" s="10"/>
      <c r="AS9644" s="10"/>
      <c r="AT9644" s="10"/>
      <c r="AU9644" s="10"/>
      <c r="AV9644" s="10"/>
      <c r="AW9644" s="10"/>
      <c r="AX9644" s="10"/>
      <c r="AY9644" s="10"/>
      <c r="AZ9644" s="10"/>
    </row>
    <row r="9645" spans="31:52">
      <c r="AE9645" s="10"/>
      <c r="AF9645" s="10"/>
      <c r="AG9645" s="10"/>
      <c r="AH9645" s="10"/>
      <c r="AI9645" s="10"/>
      <c r="AJ9645" s="10"/>
      <c r="AK9645" s="10"/>
      <c r="AL9645" s="10"/>
      <c r="AM9645" s="10"/>
      <c r="AN9645" s="10"/>
      <c r="AO9645" s="10"/>
      <c r="AP9645" s="10"/>
      <c r="AQ9645" s="10"/>
      <c r="AR9645" s="10"/>
      <c r="AS9645" s="10"/>
      <c r="AT9645" s="10"/>
      <c r="AU9645" s="10"/>
      <c r="AV9645" s="10"/>
      <c r="AW9645" s="10"/>
      <c r="AX9645" s="10"/>
      <c r="AY9645" s="10"/>
      <c r="AZ9645" s="10"/>
    </row>
    <row r="9646" spans="31:52">
      <c r="AE9646" s="10"/>
      <c r="AF9646" s="10"/>
      <c r="AG9646" s="10"/>
      <c r="AH9646" s="10"/>
      <c r="AI9646" s="10"/>
      <c r="AJ9646" s="10"/>
      <c r="AK9646" s="10"/>
      <c r="AL9646" s="10"/>
      <c r="AM9646" s="10"/>
      <c r="AN9646" s="10"/>
      <c r="AO9646" s="10"/>
      <c r="AP9646" s="10"/>
      <c r="AQ9646" s="10"/>
      <c r="AR9646" s="10"/>
      <c r="AS9646" s="10"/>
      <c r="AT9646" s="10"/>
      <c r="AU9646" s="10"/>
      <c r="AV9646" s="10"/>
      <c r="AW9646" s="10"/>
      <c r="AX9646" s="10"/>
      <c r="AY9646" s="10"/>
      <c r="AZ9646" s="10"/>
    </row>
    <row r="9647" spans="31:52">
      <c r="AE9647" s="10"/>
      <c r="AF9647" s="10"/>
      <c r="AG9647" s="10"/>
      <c r="AH9647" s="10"/>
      <c r="AI9647" s="10"/>
      <c r="AJ9647" s="10"/>
      <c r="AK9647" s="10"/>
      <c r="AL9647" s="10"/>
      <c r="AM9647" s="10"/>
      <c r="AN9647" s="10"/>
      <c r="AO9647" s="10"/>
      <c r="AP9647" s="10"/>
      <c r="AQ9647" s="10"/>
      <c r="AR9647" s="10"/>
      <c r="AS9647" s="10"/>
      <c r="AT9647" s="10"/>
      <c r="AU9647" s="10"/>
      <c r="AV9647" s="10"/>
      <c r="AW9647" s="10"/>
      <c r="AX9647" s="10"/>
      <c r="AY9647" s="10"/>
      <c r="AZ9647" s="10"/>
    </row>
    <row r="9648" spans="31:52">
      <c r="AE9648" s="10"/>
      <c r="AF9648" s="10"/>
      <c r="AG9648" s="10"/>
      <c r="AH9648" s="10"/>
      <c r="AI9648" s="10"/>
      <c r="AJ9648" s="10"/>
      <c r="AK9648" s="10"/>
      <c r="AL9648" s="10"/>
      <c r="AM9648" s="10"/>
      <c r="AN9648" s="10"/>
      <c r="AO9648" s="10"/>
      <c r="AP9648" s="10"/>
      <c r="AQ9648" s="10"/>
      <c r="AR9648" s="10"/>
      <c r="AS9648" s="10"/>
      <c r="AT9648" s="10"/>
      <c r="AU9648" s="10"/>
      <c r="AV9648" s="10"/>
      <c r="AW9648" s="10"/>
      <c r="AX9648" s="10"/>
      <c r="AY9648" s="10"/>
      <c r="AZ9648" s="10"/>
    </row>
    <row r="9649" spans="31:52">
      <c r="AE9649" s="10"/>
      <c r="AF9649" s="10"/>
      <c r="AG9649" s="10"/>
      <c r="AH9649" s="10"/>
      <c r="AI9649" s="10"/>
      <c r="AJ9649" s="10"/>
      <c r="AK9649" s="10"/>
      <c r="AL9649" s="10"/>
      <c r="AM9649" s="10"/>
      <c r="AN9649" s="10"/>
      <c r="AO9649" s="10"/>
      <c r="AP9649" s="10"/>
      <c r="AQ9649" s="10"/>
      <c r="AR9649" s="10"/>
      <c r="AS9649" s="10"/>
      <c r="AT9649" s="10"/>
      <c r="AU9649" s="10"/>
      <c r="AV9649" s="10"/>
      <c r="AW9649" s="10"/>
      <c r="AX9649" s="10"/>
      <c r="AY9649" s="10"/>
      <c r="AZ9649" s="10"/>
    </row>
    <row r="9650" spans="31:52">
      <c r="AE9650" s="10"/>
      <c r="AF9650" s="10"/>
      <c r="AG9650" s="10"/>
      <c r="AH9650" s="10"/>
      <c r="AI9650" s="10"/>
      <c r="AJ9650" s="10"/>
      <c r="AK9650" s="10"/>
      <c r="AL9650" s="10"/>
      <c r="AM9650" s="10"/>
      <c r="AN9650" s="10"/>
      <c r="AO9650" s="10"/>
      <c r="AP9650" s="10"/>
      <c r="AQ9650" s="10"/>
      <c r="AR9650" s="10"/>
      <c r="AS9650" s="10"/>
      <c r="AT9650" s="10"/>
      <c r="AU9650" s="10"/>
      <c r="AV9650" s="10"/>
      <c r="AW9650" s="10"/>
      <c r="AX9650" s="10"/>
      <c r="AY9650" s="10"/>
      <c r="AZ9650" s="10"/>
    </row>
    <row r="9651" spans="31:52">
      <c r="AE9651" s="10"/>
      <c r="AF9651" s="10"/>
      <c r="AG9651" s="10"/>
      <c r="AH9651" s="10"/>
      <c r="AI9651" s="10"/>
      <c r="AJ9651" s="10"/>
      <c r="AK9651" s="10"/>
      <c r="AL9651" s="10"/>
      <c r="AM9651" s="10"/>
      <c r="AN9651" s="10"/>
      <c r="AO9651" s="10"/>
      <c r="AP9651" s="10"/>
      <c r="AQ9651" s="10"/>
      <c r="AR9651" s="10"/>
      <c r="AS9651" s="10"/>
      <c r="AT9651" s="10"/>
      <c r="AU9651" s="10"/>
      <c r="AV9651" s="10"/>
      <c r="AW9651" s="10"/>
      <c r="AX9651" s="10"/>
      <c r="AY9651" s="10"/>
      <c r="AZ9651" s="10"/>
    </row>
    <row r="9652" spans="31:52">
      <c r="AE9652" s="10"/>
      <c r="AF9652" s="10"/>
      <c r="AG9652" s="10"/>
      <c r="AH9652" s="10"/>
      <c r="AI9652" s="10"/>
      <c r="AJ9652" s="10"/>
      <c r="AK9652" s="10"/>
      <c r="AL9652" s="10"/>
      <c r="AM9652" s="10"/>
      <c r="AN9652" s="10"/>
      <c r="AO9652" s="10"/>
      <c r="AP9652" s="10"/>
      <c r="AQ9652" s="10"/>
      <c r="AR9652" s="10"/>
      <c r="AS9652" s="10"/>
      <c r="AT9652" s="10"/>
      <c r="AU9652" s="10"/>
      <c r="AV9652" s="10"/>
      <c r="AW9652" s="10"/>
      <c r="AX9652" s="10"/>
      <c r="AY9652" s="10"/>
      <c r="AZ9652" s="10"/>
    </row>
    <row r="9653" spans="31:52">
      <c r="AE9653" s="10"/>
      <c r="AF9653" s="10"/>
      <c r="AG9653" s="10"/>
      <c r="AH9653" s="10"/>
      <c r="AI9653" s="10"/>
      <c r="AJ9653" s="10"/>
      <c r="AK9653" s="10"/>
      <c r="AL9653" s="10"/>
      <c r="AM9653" s="10"/>
      <c r="AN9653" s="10"/>
      <c r="AO9653" s="10"/>
      <c r="AP9653" s="10"/>
      <c r="AQ9653" s="10"/>
      <c r="AR9653" s="10"/>
      <c r="AS9653" s="10"/>
      <c r="AT9653" s="10"/>
      <c r="AU9653" s="10"/>
      <c r="AV9653" s="10"/>
      <c r="AW9653" s="10"/>
      <c r="AX9653" s="10"/>
      <c r="AY9653" s="10"/>
      <c r="AZ9653" s="10"/>
    </row>
    <row r="9654" spans="31:52">
      <c r="AE9654" s="10"/>
      <c r="AF9654" s="10"/>
      <c r="AG9654" s="10"/>
      <c r="AH9654" s="10"/>
      <c r="AI9654" s="10"/>
      <c r="AJ9654" s="10"/>
      <c r="AK9654" s="10"/>
      <c r="AL9654" s="10"/>
      <c r="AM9654" s="10"/>
      <c r="AN9654" s="10"/>
      <c r="AO9654" s="10"/>
      <c r="AP9654" s="10"/>
      <c r="AQ9654" s="10"/>
      <c r="AR9654" s="10"/>
      <c r="AS9654" s="10"/>
      <c r="AT9654" s="10"/>
      <c r="AU9654" s="10"/>
      <c r="AV9654" s="10"/>
      <c r="AW9654" s="10"/>
      <c r="AX9654" s="10"/>
      <c r="AY9654" s="10"/>
      <c r="AZ9654" s="10"/>
    </row>
    <row r="9655" spans="31:52">
      <c r="AE9655" s="10"/>
      <c r="AF9655" s="10"/>
      <c r="AG9655" s="10"/>
      <c r="AH9655" s="10"/>
      <c r="AI9655" s="10"/>
      <c r="AJ9655" s="10"/>
      <c r="AK9655" s="10"/>
      <c r="AL9655" s="10"/>
      <c r="AM9655" s="10"/>
      <c r="AN9655" s="10"/>
      <c r="AO9655" s="10"/>
      <c r="AP9655" s="10"/>
      <c r="AQ9655" s="10"/>
      <c r="AR9655" s="10"/>
      <c r="AS9655" s="10"/>
      <c r="AT9655" s="10"/>
      <c r="AU9655" s="10"/>
      <c r="AV9655" s="10"/>
      <c r="AW9655" s="10"/>
      <c r="AX9655" s="10"/>
      <c r="AY9655" s="10"/>
      <c r="AZ9655" s="10"/>
    </row>
    <row r="9656" spans="31:52">
      <c r="AE9656" s="10"/>
      <c r="AF9656" s="10"/>
      <c r="AG9656" s="10"/>
      <c r="AH9656" s="10"/>
      <c r="AI9656" s="10"/>
      <c r="AJ9656" s="10"/>
      <c r="AK9656" s="10"/>
      <c r="AL9656" s="10"/>
      <c r="AM9656" s="10"/>
      <c r="AN9656" s="10"/>
      <c r="AO9656" s="10"/>
      <c r="AP9656" s="10"/>
      <c r="AQ9656" s="10"/>
      <c r="AR9656" s="10"/>
      <c r="AS9656" s="10"/>
      <c r="AT9656" s="10"/>
      <c r="AU9656" s="10"/>
      <c r="AV9656" s="10"/>
      <c r="AW9656" s="10"/>
      <c r="AX9656" s="10"/>
      <c r="AY9656" s="10"/>
      <c r="AZ9656" s="10"/>
    </row>
    <row r="9657" spans="31:52">
      <c r="AE9657" s="10"/>
      <c r="AF9657" s="10"/>
      <c r="AG9657" s="10"/>
      <c r="AH9657" s="10"/>
      <c r="AI9657" s="10"/>
      <c r="AJ9657" s="10"/>
      <c r="AK9657" s="10"/>
      <c r="AL9657" s="10"/>
      <c r="AM9657" s="10"/>
      <c r="AN9657" s="10"/>
      <c r="AO9657" s="10"/>
      <c r="AP9657" s="10"/>
      <c r="AQ9657" s="10"/>
      <c r="AR9657" s="10"/>
      <c r="AS9657" s="10"/>
      <c r="AT9657" s="10"/>
      <c r="AU9657" s="10"/>
      <c r="AV9657" s="10"/>
      <c r="AW9657" s="10"/>
      <c r="AX9657" s="10"/>
      <c r="AY9657" s="10"/>
      <c r="AZ9657" s="10"/>
    </row>
    <row r="9658" spans="31:52">
      <c r="AE9658" s="10"/>
      <c r="AF9658" s="10"/>
      <c r="AG9658" s="10"/>
      <c r="AH9658" s="10"/>
      <c r="AI9658" s="10"/>
      <c r="AJ9658" s="10"/>
      <c r="AK9658" s="10"/>
      <c r="AL9658" s="10"/>
      <c r="AM9658" s="10"/>
      <c r="AN9658" s="10"/>
      <c r="AO9658" s="10"/>
      <c r="AP9658" s="10"/>
      <c r="AQ9658" s="10"/>
      <c r="AR9658" s="10"/>
      <c r="AS9658" s="10"/>
      <c r="AT9658" s="10"/>
      <c r="AU9658" s="10"/>
      <c r="AV9658" s="10"/>
      <c r="AW9658" s="10"/>
      <c r="AX9658" s="10"/>
      <c r="AY9658" s="10"/>
      <c r="AZ9658" s="10"/>
    </row>
    <row r="9659" spans="31:52">
      <c r="AE9659" s="10"/>
      <c r="AF9659" s="10"/>
      <c r="AG9659" s="10"/>
      <c r="AH9659" s="10"/>
      <c r="AI9659" s="10"/>
      <c r="AJ9659" s="10"/>
      <c r="AK9659" s="10"/>
      <c r="AL9659" s="10"/>
      <c r="AM9659" s="10"/>
      <c r="AN9659" s="10"/>
      <c r="AO9659" s="10"/>
      <c r="AP9659" s="10"/>
      <c r="AQ9659" s="10"/>
      <c r="AR9659" s="10"/>
      <c r="AS9659" s="10"/>
      <c r="AT9659" s="10"/>
      <c r="AU9659" s="10"/>
      <c r="AV9659" s="10"/>
      <c r="AW9659" s="10"/>
      <c r="AX9659" s="10"/>
      <c r="AY9659" s="10"/>
      <c r="AZ9659" s="10"/>
    </row>
    <row r="9660" spans="31:52">
      <c r="AE9660" s="10"/>
      <c r="AF9660" s="10"/>
      <c r="AG9660" s="10"/>
      <c r="AH9660" s="10"/>
      <c r="AI9660" s="10"/>
      <c r="AJ9660" s="10"/>
      <c r="AK9660" s="10"/>
      <c r="AL9660" s="10"/>
      <c r="AM9660" s="10"/>
      <c r="AN9660" s="10"/>
      <c r="AO9660" s="10"/>
      <c r="AP9660" s="10"/>
      <c r="AQ9660" s="10"/>
      <c r="AR9660" s="10"/>
      <c r="AS9660" s="10"/>
      <c r="AT9660" s="10"/>
      <c r="AU9660" s="10"/>
      <c r="AV9660" s="10"/>
      <c r="AW9660" s="10"/>
      <c r="AX9660" s="10"/>
      <c r="AY9660" s="10"/>
      <c r="AZ9660" s="10"/>
    </row>
    <row r="9661" spans="31:52">
      <c r="AE9661" s="10"/>
      <c r="AF9661" s="10"/>
      <c r="AG9661" s="10"/>
      <c r="AH9661" s="10"/>
      <c r="AI9661" s="10"/>
      <c r="AJ9661" s="10"/>
      <c r="AK9661" s="10"/>
      <c r="AL9661" s="10"/>
      <c r="AM9661" s="10"/>
      <c r="AN9661" s="10"/>
      <c r="AO9661" s="10"/>
      <c r="AP9661" s="10"/>
      <c r="AQ9661" s="10"/>
      <c r="AR9661" s="10"/>
      <c r="AS9661" s="10"/>
      <c r="AT9661" s="10"/>
      <c r="AU9661" s="10"/>
      <c r="AV9661" s="10"/>
      <c r="AW9661" s="10"/>
      <c r="AX9661" s="10"/>
      <c r="AY9661" s="10"/>
      <c r="AZ9661" s="10"/>
    </row>
    <row r="9662" spans="31:52">
      <c r="AE9662" s="10"/>
      <c r="AF9662" s="10"/>
      <c r="AG9662" s="10"/>
      <c r="AH9662" s="10"/>
      <c r="AI9662" s="10"/>
      <c r="AJ9662" s="10"/>
      <c r="AK9662" s="10"/>
      <c r="AL9662" s="10"/>
      <c r="AM9662" s="10"/>
      <c r="AN9662" s="10"/>
      <c r="AO9662" s="10"/>
      <c r="AP9662" s="10"/>
      <c r="AQ9662" s="10"/>
      <c r="AR9662" s="10"/>
      <c r="AS9662" s="10"/>
      <c r="AT9662" s="10"/>
      <c r="AU9662" s="10"/>
      <c r="AV9662" s="10"/>
      <c r="AW9662" s="10"/>
      <c r="AX9662" s="10"/>
      <c r="AY9662" s="10"/>
      <c r="AZ9662" s="10"/>
    </row>
    <row r="9663" spans="31:52">
      <c r="AE9663" s="10"/>
      <c r="AF9663" s="10"/>
      <c r="AG9663" s="10"/>
      <c r="AH9663" s="10"/>
      <c r="AI9663" s="10"/>
      <c r="AJ9663" s="10"/>
      <c r="AK9663" s="10"/>
      <c r="AL9663" s="10"/>
      <c r="AM9663" s="10"/>
      <c r="AN9663" s="10"/>
      <c r="AO9663" s="10"/>
      <c r="AP9663" s="10"/>
      <c r="AQ9663" s="10"/>
      <c r="AR9663" s="10"/>
      <c r="AS9663" s="10"/>
      <c r="AT9663" s="10"/>
      <c r="AU9663" s="10"/>
      <c r="AV9663" s="10"/>
      <c r="AW9663" s="10"/>
      <c r="AX9663" s="10"/>
      <c r="AY9663" s="10"/>
      <c r="AZ9663" s="10"/>
    </row>
    <row r="9664" spans="31:52">
      <c r="AE9664" s="10"/>
      <c r="AF9664" s="10"/>
      <c r="AG9664" s="10"/>
      <c r="AH9664" s="10"/>
      <c r="AI9664" s="10"/>
      <c r="AJ9664" s="10"/>
      <c r="AK9664" s="10"/>
      <c r="AL9664" s="10"/>
      <c r="AM9664" s="10"/>
      <c r="AN9664" s="10"/>
      <c r="AO9664" s="10"/>
      <c r="AP9664" s="10"/>
      <c r="AQ9664" s="10"/>
      <c r="AR9664" s="10"/>
      <c r="AS9664" s="10"/>
      <c r="AT9664" s="10"/>
      <c r="AU9664" s="10"/>
      <c r="AV9664" s="10"/>
      <c r="AW9664" s="10"/>
      <c r="AX9664" s="10"/>
      <c r="AY9664" s="10"/>
      <c r="AZ9664" s="10"/>
    </row>
    <row r="9665" spans="31:52">
      <c r="AE9665" s="10"/>
      <c r="AF9665" s="10"/>
      <c r="AG9665" s="10"/>
      <c r="AH9665" s="10"/>
      <c r="AI9665" s="10"/>
      <c r="AJ9665" s="10"/>
      <c r="AK9665" s="10"/>
      <c r="AL9665" s="10"/>
      <c r="AM9665" s="10"/>
      <c r="AN9665" s="10"/>
      <c r="AO9665" s="10"/>
      <c r="AP9665" s="10"/>
      <c r="AQ9665" s="10"/>
      <c r="AR9665" s="10"/>
      <c r="AS9665" s="10"/>
      <c r="AT9665" s="10"/>
      <c r="AU9665" s="10"/>
      <c r="AV9665" s="10"/>
      <c r="AW9665" s="10"/>
      <c r="AX9665" s="10"/>
      <c r="AY9665" s="10"/>
      <c r="AZ9665" s="10"/>
    </row>
    <row r="9666" spans="31:52">
      <c r="AE9666" s="10"/>
      <c r="AF9666" s="10"/>
      <c r="AG9666" s="10"/>
      <c r="AH9666" s="10"/>
      <c r="AI9666" s="10"/>
      <c r="AJ9666" s="10"/>
      <c r="AK9666" s="10"/>
      <c r="AL9666" s="10"/>
      <c r="AM9666" s="10"/>
      <c r="AN9666" s="10"/>
      <c r="AO9666" s="10"/>
      <c r="AP9666" s="10"/>
      <c r="AQ9666" s="10"/>
      <c r="AR9666" s="10"/>
      <c r="AS9666" s="10"/>
      <c r="AT9666" s="10"/>
      <c r="AU9666" s="10"/>
      <c r="AV9666" s="10"/>
      <c r="AW9666" s="10"/>
      <c r="AX9666" s="10"/>
      <c r="AY9666" s="10"/>
      <c r="AZ9666" s="10"/>
    </row>
    <row r="9667" spans="31:52">
      <c r="AE9667" s="10"/>
      <c r="AF9667" s="10"/>
      <c r="AG9667" s="10"/>
      <c r="AH9667" s="10"/>
      <c r="AI9667" s="10"/>
      <c r="AJ9667" s="10"/>
      <c r="AK9667" s="10"/>
      <c r="AL9667" s="10"/>
      <c r="AM9667" s="10"/>
      <c r="AN9667" s="10"/>
      <c r="AO9667" s="10"/>
      <c r="AP9667" s="10"/>
      <c r="AQ9667" s="10"/>
      <c r="AR9667" s="10"/>
      <c r="AS9667" s="10"/>
      <c r="AT9667" s="10"/>
      <c r="AU9667" s="10"/>
      <c r="AV9667" s="10"/>
      <c r="AW9667" s="10"/>
      <c r="AX9667" s="10"/>
      <c r="AY9667" s="10"/>
      <c r="AZ9667" s="10"/>
    </row>
    <row r="9668" spans="31:52">
      <c r="AE9668" s="10"/>
      <c r="AF9668" s="10"/>
      <c r="AG9668" s="10"/>
      <c r="AH9668" s="10"/>
      <c r="AI9668" s="10"/>
      <c r="AJ9668" s="10"/>
      <c r="AK9668" s="10"/>
      <c r="AL9668" s="10"/>
      <c r="AM9668" s="10"/>
      <c r="AN9668" s="10"/>
      <c r="AO9668" s="10"/>
      <c r="AP9668" s="10"/>
      <c r="AQ9668" s="10"/>
      <c r="AR9668" s="10"/>
      <c r="AS9668" s="10"/>
      <c r="AT9668" s="10"/>
      <c r="AU9668" s="10"/>
      <c r="AV9668" s="10"/>
      <c r="AW9668" s="10"/>
      <c r="AX9668" s="10"/>
      <c r="AY9668" s="10"/>
      <c r="AZ9668" s="10"/>
    </row>
    <row r="9669" spans="31:52">
      <c r="AE9669" s="10"/>
      <c r="AF9669" s="10"/>
      <c r="AG9669" s="10"/>
      <c r="AH9669" s="10"/>
      <c r="AI9669" s="10"/>
      <c r="AJ9669" s="10"/>
      <c r="AK9669" s="10"/>
      <c r="AL9669" s="10"/>
      <c r="AM9669" s="10"/>
      <c r="AN9669" s="10"/>
      <c r="AO9669" s="10"/>
      <c r="AP9669" s="10"/>
      <c r="AQ9669" s="10"/>
      <c r="AR9669" s="10"/>
      <c r="AS9669" s="10"/>
      <c r="AT9669" s="10"/>
      <c r="AU9669" s="10"/>
      <c r="AV9669" s="10"/>
      <c r="AW9669" s="10"/>
      <c r="AX9669" s="10"/>
      <c r="AY9669" s="10"/>
      <c r="AZ9669" s="10"/>
    </row>
    <row r="9670" spans="31:52">
      <c r="AE9670" s="10"/>
      <c r="AF9670" s="10"/>
      <c r="AG9670" s="10"/>
      <c r="AH9670" s="10"/>
      <c r="AI9670" s="10"/>
      <c r="AJ9670" s="10"/>
      <c r="AK9670" s="10"/>
      <c r="AL9670" s="10"/>
      <c r="AM9670" s="10"/>
      <c r="AN9670" s="10"/>
      <c r="AO9670" s="10"/>
      <c r="AP9670" s="10"/>
      <c r="AQ9670" s="10"/>
      <c r="AR9670" s="10"/>
      <c r="AS9670" s="10"/>
      <c r="AT9670" s="10"/>
      <c r="AU9670" s="10"/>
      <c r="AV9670" s="10"/>
      <c r="AW9670" s="10"/>
      <c r="AX9670" s="10"/>
      <c r="AY9670" s="10"/>
      <c r="AZ9670" s="10"/>
    </row>
    <row r="9671" spans="31:52">
      <c r="AE9671" s="10"/>
      <c r="AF9671" s="10"/>
      <c r="AG9671" s="10"/>
      <c r="AH9671" s="10"/>
      <c r="AI9671" s="10"/>
      <c r="AJ9671" s="10"/>
      <c r="AK9671" s="10"/>
      <c r="AL9671" s="10"/>
      <c r="AM9671" s="10"/>
      <c r="AN9671" s="10"/>
      <c r="AO9671" s="10"/>
      <c r="AP9671" s="10"/>
      <c r="AQ9671" s="10"/>
      <c r="AR9671" s="10"/>
      <c r="AS9671" s="10"/>
      <c r="AT9671" s="10"/>
      <c r="AU9671" s="10"/>
      <c r="AV9671" s="10"/>
      <c r="AW9671" s="10"/>
      <c r="AX9671" s="10"/>
      <c r="AY9671" s="10"/>
      <c r="AZ9671" s="10"/>
    </row>
    <row r="9672" spans="31:52">
      <c r="AE9672" s="10"/>
      <c r="AF9672" s="10"/>
      <c r="AG9672" s="10"/>
      <c r="AH9672" s="10"/>
      <c r="AI9672" s="10"/>
      <c r="AJ9672" s="10"/>
      <c r="AK9672" s="10"/>
      <c r="AL9672" s="10"/>
      <c r="AM9672" s="10"/>
      <c r="AN9672" s="10"/>
      <c r="AO9672" s="10"/>
      <c r="AP9672" s="10"/>
      <c r="AQ9672" s="10"/>
      <c r="AR9672" s="10"/>
      <c r="AS9672" s="10"/>
      <c r="AT9672" s="10"/>
      <c r="AU9672" s="10"/>
      <c r="AV9672" s="10"/>
      <c r="AW9672" s="10"/>
      <c r="AX9672" s="10"/>
      <c r="AY9672" s="10"/>
      <c r="AZ9672" s="10"/>
    </row>
    <row r="9673" spans="31:52">
      <c r="AE9673" s="10"/>
      <c r="AF9673" s="10"/>
      <c r="AG9673" s="10"/>
      <c r="AH9673" s="10"/>
      <c r="AI9673" s="10"/>
      <c r="AJ9673" s="10"/>
      <c r="AK9673" s="10"/>
      <c r="AL9673" s="10"/>
      <c r="AM9673" s="10"/>
      <c r="AN9673" s="10"/>
      <c r="AO9673" s="10"/>
      <c r="AP9673" s="10"/>
      <c r="AQ9673" s="10"/>
      <c r="AR9673" s="10"/>
      <c r="AS9673" s="10"/>
      <c r="AT9673" s="10"/>
      <c r="AU9673" s="10"/>
      <c r="AV9673" s="10"/>
      <c r="AW9673" s="10"/>
      <c r="AX9673" s="10"/>
      <c r="AY9673" s="10"/>
      <c r="AZ9673" s="10"/>
    </row>
    <row r="9674" spans="31:52">
      <c r="AE9674" s="10"/>
      <c r="AF9674" s="10"/>
      <c r="AG9674" s="10"/>
      <c r="AH9674" s="10"/>
      <c r="AI9674" s="10"/>
      <c r="AJ9674" s="10"/>
      <c r="AK9674" s="10"/>
      <c r="AL9674" s="10"/>
      <c r="AM9674" s="10"/>
      <c r="AN9674" s="10"/>
      <c r="AO9674" s="10"/>
      <c r="AP9674" s="10"/>
      <c r="AQ9674" s="10"/>
      <c r="AR9674" s="10"/>
      <c r="AS9674" s="10"/>
      <c r="AT9674" s="10"/>
      <c r="AU9674" s="10"/>
      <c r="AV9674" s="10"/>
      <c r="AW9674" s="10"/>
      <c r="AX9674" s="10"/>
      <c r="AY9674" s="10"/>
      <c r="AZ9674" s="10"/>
    </row>
    <row r="9675" spans="31:52">
      <c r="AE9675" s="10"/>
      <c r="AF9675" s="10"/>
      <c r="AG9675" s="10"/>
      <c r="AH9675" s="10"/>
      <c r="AI9675" s="10"/>
      <c r="AJ9675" s="10"/>
      <c r="AK9675" s="10"/>
      <c r="AL9675" s="10"/>
      <c r="AM9675" s="10"/>
      <c r="AN9675" s="10"/>
      <c r="AO9675" s="10"/>
      <c r="AP9675" s="10"/>
      <c r="AQ9675" s="10"/>
      <c r="AR9675" s="10"/>
      <c r="AS9675" s="10"/>
      <c r="AT9675" s="10"/>
      <c r="AU9675" s="10"/>
      <c r="AV9675" s="10"/>
      <c r="AW9675" s="10"/>
      <c r="AX9675" s="10"/>
      <c r="AY9675" s="10"/>
      <c r="AZ9675" s="10"/>
    </row>
    <row r="9676" spans="31:52">
      <c r="AE9676" s="10"/>
      <c r="AF9676" s="10"/>
      <c r="AG9676" s="10"/>
      <c r="AH9676" s="10"/>
      <c r="AI9676" s="10"/>
      <c r="AJ9676" s="10"/>
      <c r="AK9676" s="10"/>
      <c r="AL9676" s="10"/>
      <c r="AM9676" s="10"/>
      <c r="AN9676" s="10"/>
      <c r="AO9676" s="10"/>
      <c r="AP9676" s="10"/>
      <c r="AQ9676" s="10"/>
      <c r="AR9676" s="10"/>
      <c r="AS9676" s="10"/>
      <c r="AT9676" s="10"/>
      <c r="AU9676" s="10"/>
      <c r="AV9676" s="10"/>
      <c r="AW9676" s="10"/>
      <c r="AX9676" s="10"/>
      <c r="AY9676" s="10"/>
      <c r="AZ9676" s="10"/>
    </row>
    <row r="9677" spans="31:52">
      <c r="AE9677" s="10"/>
      <c r="AF9677" s="10"/>
      <c r="AG9677" s="10"/>
      <c r="AH9677" s="10"/>
      <c r="AI9677" s="10"/>
      <c r="AJ9677" s="10"/>
      <c r="AK9677" s="10"/>
      <c r="AL9677" s="10"/>
      <c r="AM9677" s="10"/>
      <c r="AN9677" s="10"/>
      <c r="AO9677" s="10"/>
      <c r="AP9677" s="10"/>
      <c r="AQ9677" s="10"/>
      <c r="AR9677" s="10"/>
      <c r="AS9677" s="10"/>
      <c r="AT9677" s="10"/>
      <c r="AU9677" s="10"/>
      <c r="AV9677" s="10"/>
      <c r="AW9677" s="10"/>
      <c r="AX9677" s="10"/>
      <c r="AY9677" s="10"/>
      <c r="AZ9677" s="10"/>
    </row>
    <row r="9678" spans="31:52">
      <c r="AE9678" s="10"/>
      <c r="AF9678" s="10"/>
      <c r="AG9678" s="10"/>
      <c r="AH9678" s="10"/>
      <c r="AI9678" s="10"/>
      <c r="AJ9678" s="10"/>
      <c r="AK9678" s="10"/>
      <c r="AL9678" s="10"/>
      <c r="AM9678" s="10"/>
      <c r="AN9678" s="10"/>
      <c r="AO9678" s="10"/>
      <c r="AP9678" s="10"/>
      <c r="AQ9678" s="10"/>
      <c r="AR9678" s="10"/>
      <c r="AS9678" s="10"/>
      <c r="AT9678" s="10"/>
      <c r="AU9678" s="10"/>
      <c r="AV9678" s="10"/>
      <c r="AW9678" s="10"/>
      <c r="AX9678" s="10"/>
      <c r="AY9678" s="10"/>
      <c r="AZ9678" s="10"/>
    </row>
    <row r="9679" spans="31:52">
      <c r="AE9679" s="10"/>
      <c r="AF9679" s="10"/>
      <c r="AG9679" s="10"/>
      <c r="AH9679" s="10"/>
      <c r="AI9679" s="10"/>
      <c r="AJ9679" s="10"/>
      <c r="AK9679" s="10"/>
      <c r="AL9679" s="10"/>
      <c r="AM9679" s="10"/>
      <c r="AN9679" s="10"/>
      <c r="AO9679" s="10"/>
      <c r="AP9679" s="10"/>
      <c r="AQ9679" s="10"/>
      <c r="AR9679" s="10"/>
      <c r="AS9679" s="10"/>
      <c r="AT9679" s="10"/>
      <c r="AU9679" s="10"/>
      <c r="AV9679" s="10"/>
      <c r="AW9679" s="10"/>
      <c r="AX9679" s="10"/>
      <c r="AY9679" s="10"/>
      <c r="AZ9679" s="10"/>
    </row>
    <row r="9680" spans="31:52">
      <c r="AE9680" s="10"/>
      <c r="AF9680" s="10"/>
      <c r="AG9680" s="10"/>
      <c r="AH9680" s="10"/>
      <c r="AI9680" s="10"/>
      <c r="AJ9680" s="10"/>
      <c r="AK9680" s="10"/>
      <c r="AL9680" s="10"/>
      <c r="AM9680" s="10"/>
      <c r="AN9680" s="10"/>
      <c r="AO9680" s="10"/>
      <c r="AP9680" s="10"/>
      <c r="AQ9680" s="10"/>
      <c r="AR9680" s="10"/>
      <c r="AS9680" s="10"/>
      <c r="AT9680" s="10"/>
      <c r="AU9680" s="10"/>
      <c r="AV9680" s="10"/>
      <c r="AW9680" s="10"/>
      <c r="AX9680" s="10"/>
      <c r="AY9680" s="10"/>
      <c r="AZ9680" s="10"/>
    </row>
    <row r="9681" spans="31:52">
      <c r="AE9681" s="10"/>
      <c r="AF9681" s="10"/>
      <c r="AG9681" s="10"/>
      <c r="AH9681" s="10"/>
      <c r="AI9681" s="10"/>
      <c r="AJ9681" s="10"/>
      <c r="AK9681" s="10"/>
      <c r="AL9681" s="10"/>
      <c r="AM9681" s="10"/>
      <c r="AN9681" s="10"/>
      <c r="AO9681" s="10"/>
      <c r="AP9681" s="10"/>
      <c r="AQ9681" s="10"/>
      <c r="AR9681" s="10"/>
      <c r="AS9681" s="10"/>
      <c r="AT9681" s="10"/>
      <c r="AU9681" s="10"/>
      <c r="AV9681" s="10"/>
      <c r="AW9681" s="10"/>
      <c r="AX9681" s="10"/>
      <c r="AY9681" s="10"/>
      <c r="AZ9681" s="10"/>
    </row>
    <row r="9682" spans="31:52">
      <c r="AE9682" s="10"/>
      <c r="AF9682" s="10"/>
      <c r="AG9682" s="10"/>
      <c r="AH9682" s="10"/>
      <c r="AI9682" s="10"/>
      <c r="AJ9682" s="10"/>
      <c r="AK9682" s="10"/>
      <c r="AL9682" s="10"/>
      <c r="AM9682" s="10"/>
      <c r="AN9682" s="10"/>
      <c r="AO9682" s="10"/>
      <c r="AP9682" s="10"/>
      <c r="AQ9682" s="10"/>
      <c r="AR9682" s="10"/>
      <c r="AS9682" s="10"/>
      <c r="AT9682" s="10"/>
      <c r="AU9682" s="10"/>
      <c r="AV9682" s="10"/>
      <c r="AW9682" s="10"/>
      <c r="AX9682" s="10"/>
      <c r="AY9682" s="10"/>
      <c r="AZ9682" s="10"/>
    </row>
    <row r="9683" spans="31:52">
      <c r="AE9683" s="10"/>
      <c r="AF9683" s="10"/>
      <c r="AG9683" s="10"/>
      <c r="AH9683" s="10"/>
      <c r="AI9683" s="10"/>
      <c r="AJ9683" s="10"/>
      <c r="AK9683" s="10"/>
      <c r="AL9683" s="10"/>
      <c r="AM9683" s="10"/>
      <c r="AN9683" s="10"/>
      <c r="AO9683" s="10"/>
      <c r="AP9683" s="10"/>
      <c r="AQ9683" s="10"/>
      <c r="AR9683" s="10"/>
      <c r="AS9683" s="10"/>
      <c r="AT9683" s="10"/>
      <c r="AU9683" s="10"/>
      <c r="AV9683" s="10"/>
      <c r="AW9683" s="10"/>
      <c r="AX9683" s="10"/>
      <c r="AY9683" s="10"/>
      <c r="AZ9683" s="10"/>
    </row>
    <row r="9684" spans="31:52">
      <c r="AE9684" s="10"/>
      <c r="AF9684" s="10"/>
      <c r="AG9684" s="10"/>
      <c r="AH9684" s="10"/>
      <c r="AI9684" s="10"/>
      <c r="AJ9684" s="10"/>
      <c r="AK9684" s="10"/>
      <c r="AL9684" s="10"/>
      <c r="AM9684" s="10"/>
      <c r="AN9684" s="10"/>
      <c r="AO9684" s="10"/>
      <c r="AP9684" s="10"/>
      <c r="AQ9684" s="10"/>
      <c r="AR9684" s="10"/>
      <c r="AS9684" s="10"/>
      <c r="AT9684" s="10"/>
      <c r="AU9684" s="10"/>
      <c r="AV9684" s="10"/>
      <c r="AW9684" s="10"/>
      <c r="AX9684" s="10"/>
      <c r="AY9684" s="10"/>
      <c r="AZ9684" s="10"/>
    </row>
    <row r="9685" spans="31:52">
      <c r="AE9685" s="10"/>
      <c r="AF9685" s="10"/>
      <c r="AG9685" s="10"/>
      <c r="AH9685" s="10"/>
      <c r="AI9685" s="10"/>
      <c r="AJ9685" s="10"/>
      <c r="AK9685" s="10"/>
      <c r="AL9685" s="10"/>
      <c r="AM9685" s="10"/>
      <c r="AN9685" s="10"/>
      <c r="AO9685" s="10"/>
      <c r="AP9685" s="10"/>
      <c r="AQ9685" s="10"/>
      <c r="AR9685" s="10"/>
      <c r="AS9685" s="10"/>
      <c r="AT9685" s="10"/>
      <c r="AU9685" s="10"/>
      <c r="AV9685" s="10"/>
      <c r="AW9685" s="10"/>
      <c r="AX9685" s="10"/>
      <c r="AY9685" s="10"/>
      <c r="AZ9685" s="10"/>
    </row>
    <row r="9686" spans="31:52">
      <c r="AE9686" s="10"/>
      <c r="AF9686" s="10"/>
      <c r="AG9686" s="10"/>
      <c r="AH9686" s="10"/>
      <c r="AI9686" s="10"/>
      <c r="AJ9686" s="10"/>
      <c r="AK9686" s="10"/>
      <c r="AL9686" s="10"/>
      <c r="AM9686" s="10"/>
      <c r="AN9686" s="10"/>
      <c r="AO9686" s="10"/>
      <c r="AP9686" s="10"/>
      <c r="AQ9686" s="10"/>
      <c r="AR9686" s="10"/>
      <c r="AS9686" s="10"/>
      <c r="AT9686" s="10"/>
      <c r="AU9686" s="10"/>
      <c r="AV9686" s="10"/>
      <c r="AW9686" s="10"/>
      <c r="AX9686" s="10"/>
      <c r="AY9686" s="10"/>
      <c r="AZ9686" s="10"/>
    </row>
    <row r="9687" spans="31:52">
      <c r="AE9687" s="10"/>
      <c r="AF9687" s="10"/>
      <c r="AG9687" s="10"/>
      <c r="AH9687" s="10"/>
      <c r="AI9687" s="10"/>
      <c r="AJ9687" s="10"/>
      <c r="AK9687" s="10"/>
      <c r="AL9687" s="10"/>
      <c r="AM9687" s="10"/>
      <c r="AN9687" s="10"/>
      <c r="AO9687" s="10"/>
      <c r="AP9687" s="10"/>
      <c r="AQ9687" s="10"/>
      <c r="AR9687" s="10"/>
      <c r="AS9687" s="10"/>
      <c r="AT9687" s="10"/>
      <c r="AU9687" s="10"/>
      <c r="AV9687" s="10"/>
      <c r="AW9687" s="10"/>
      <c r="AX9687" s="10"/>
      <c r="AY9687" s="10"/>
      <c r="AZ9687" s="10"/>
    </row>
    <row r="9688" spans="31:52">
      <c r="AE9688" s="10"/>
      <c r="AF9688" s="10"/>
      <c r="AG9688" s="10"/>
      <c r="AH9688" s="10"/>
      <c r="AI9688" s="10"/>
      <c r="AJ9688" s="10"/>
      <c r="AK9688" s="10"/>
      <c r="AL9688" s="10"/>
      <c r="AM9688" s="10"/>
      <c r="AN9688" s="10"/>
      <c r="AO9688" s="10"/>
      <c r="AP9688" s="10"/>
      <c r="AQ9688" s="10"/>
      <c r="AR9688" s="10"/>
      <c r="AS9688" s="10"/>
      <c r="AT9688" s="10"/>
      <c r="AU9688" s="10"/>
      <c r="AV9688" s="10"/>
      <c r="AW9688" s="10"/>
      <c r="AX9688" s="10"/>
      <c r="AY9688" s="10"/>
      <c r="AZ9688" s="10"/>
    </row>
    <row r="9689" spans="31:52">
      <c r="AE9689" s="10"/>
      <c r="AF9689" s="10"/>
      <c r="AG9689" s="10"/>
      <c r="AH9689" s="10"/>
      <c r="AI9689" s="10"/>
      <c r="AJ9689" s="10"/>
      <c r="AK9689" s="10"/>
      <c r="AL9689" s="10"/>
      <c r="AM9689" s="10"/>
      <c r="AN9689" s="10"/>
      <c r="AO9689" s="10"/>
      <c r="AP9689" s="10"/>
      <c r="AQ9689" s="10"/>
      <c r="AR9689" s="10"/>
      <c r="AS9689" s="10"/>
      <c r="AT9689" s="10"/>
      <c r="AU9689" s="10"/>
      <c r="AV9689" s="10"/>
      <c r="AW9689" s="10"/>
      <c r="AX9689" s="10"/>
      <c r="AY9689" s="10"/>
      <c r="AZ9689" s="10"/>
    </row>
    <row r="9690" spans="31:52">
      <c r="AE9690" s="10"/>
      <c r="AF9690" s="10"/>
      <c r="AG9690" s="10"/>
      <c r="AH9690" s="10"/>
      <c r="AI9690" s="10"/>
      <c r="AJ9690" s="10"/>
      <c r="AK9690" s="10"/>
      <c r="AL9690" s="10"/>
      <c r="AM9690" s="10"/>
      <c r="AN9690" s="10"/>
      <c r="AO9690" s="10"/>
      <c r="AP9690" s="10"/>
      <c r="AQ9690" s="10"/>
      <c r="AR9690" s="10"/>
      <c r="AS9690" s="10"/>
      <c r="AT9690" s="10"/>
      <c r="AU9690" s="10"/>
      <c r="AV9690" s="10"/>
      <c r="AW9690" s="10"/>
      <c r="AX9690" s="10"/>
      <c r="AY9690" s="10"/>
      <c r="AZ9690" s="10"/>
    </row>
    <row r="9691" spans="31:52">
      <c r="AE9691" s="10"/>
      <c r="AF9691" s="10"/>
      <c r="AG9691" s="10"/>
      <c r="AH9691" s="10"/>
      <c r="AI9691" s="10"/>
      <c r="AJ9691" s="10"/>
      <c r="AK9691" s="10"/>
      <c r="AL9691" s="10"/>
      <c r="AM9691" s="10"/>
      <c r="AN9691" s="10"/>
      <c r="AO9691" s="10"/>
      <c r="AP9691" s="10"/>
      <c r="AQ9691" s="10"/>
      <c r="AR9691" s="10"/>
      <c r="AS9691" s="10"/>
      <c r="AT9691" s="10"/>
      <c r="AU9691" s="10"/>
      <c r="AV9691" s="10"/>
      <c r="AW9691" s="10"/>
      <c r="AX9691" s="10"/>
      <c r="AY9691" s="10"/>
      <c r="AZ9691" s="10"/>
    </row>
    <row r="9692" spans="31:52">
      <c r="AE9692" s="10"/>
      <c r="AF9692" s="10"/>
      <c r="AG9692" s="10"/>
      <c r="AH9692" s="10"/>
      <c r="AI9692" s="10"/>
      <c r="AJ9692" s="10"/>
      <c r="AK9692" s="10"/>
      <c r="AL9692" s="10"/>
      <c r="AM9692" s="10"/>
      <c r="AN9692" s="10"/>
      <c r="AO9692" s="10"/>
      <c r="AP9692" s="10"/>
      <c r="AQ9692" s="10"/>
      <c r="AR9692" s="10"/>
      <c r="AS9692" s="10"/>
      <c r="AT9692" s="10"/>
      <c r="AU9692" s="10"/>
      <c r="AV9692" s="10"/>
      <c r="AW9692" s="10"/>
      <c r="AX9692" s="10"/>
      <c r="AY9692" s="10"/>
      <c r="AZ9692" s="10"/>
    </row>
    <row r="9693" spans="31:52">
      <c r="AE9693" s="10"/>
      <c r="AF9693" s="10"/>
      <c r="AG9693" s="10"/>
      <c r="AH9693" s="10"/>
      <c r="AI9693" s="10"/>
      <c r="AJ9693" s="10"/>
      <c r="AK9693" s="10"/>
      <c r="AL9693" s="10"/>
      <c r="AM9693" s="10"/>
      <c r="AN9693" s="10"/>
      <c r="AO9693" s="10"/>
      <c r="AP9693" s="10"/>
      <c r="AQ9693" s="10"/>
      <c r="AR9693" s="10"/>
      <c r="AS9693" s="10"/>
      <c r="AT9693" s="10"/>
      <c r="AU9693" s="10"/>
      <c r="AV9693" s="10"/>
      <c r="AW9693" s="10"/>
      <c r="AX9693" s="10"/>
      <c r="AY9693" s="10"/>
      <c r="AZ9693" s="10"/>
    </row>
    <row r="9694" spans="31:52">
      <c r="AE9694" s="10"/>
      <c r="AF9694" s="10"/>
      <c r="AG9694" s="10"/>
      <c r="AH9694" s="10"/>
      <c r="AI9694" s="10"/>
      <c r="AJ9694" s="10"/>
      <c r="AK9694" s="10"/>
      <c r="AL9694" s="10"/>
      <c r="AM9694" s="10"/>
      <c r="AN9694" s="10"/>
      <c r="AO9694" s="10"/>
      <c r="AP9694" s="10"/>
      <c r="AQ9694" s="10"/>
      <c r="AR9694" s="10"/>
      <c r="AS9694" s="10"/>
      <c r="AT9694" s="10"/>
      <c r="AU9694" s="10"/>
      <c r="AV9694" s="10"/>
      <c r="AW9694" s="10"/>
      <c r="AX9694" s="10"/>
      <c r="AY9694" s="10"/>
      <c r="AZ9694" s="10"/>
    </row>
    <row r="9695" spans="31:52">
      <c r="AE9695" s="10"/>
      <c r="AF9695" s="10"/>
      <c r="AG9695" s="10"/>
      <c r="AH9695" s="10"/>
      <c r="AI9695" s="10"/>
      <c r="AJ9695" s="10"/>
      <c r="AK9695" s="10"/>
      <c r="AL9695" s="10"/>
      <c r="AM9695" s="10"/>
      <c r="AN9695" s="10"/>
      <c r="AO9695" s="10"/>
      <c r="AP9695" s="10"/>
      <c r="AQ9695" s="10"/>
      <c r="AR9695" s="10"/>
      <c r="AS9695" s="10"/>
      <c r="AT9695" s="10"/>
      <c r="AU9695" s="10"/>
      <c r="AV9695" s="10"/>
      <c r="AW9695" s="10"/>
      <c r="AX9695" s="10"/>
      <c r="AY9695" s="10"/>
      <c r="AZ9695" s="10"/>
    </row>
    <row r="9696" spans="31:52">
      <c r="AE9696" s="10"/>
      <c r="AF9696" s="10"/>
      <c r="AG9696" s="10"/>
      <c r="AH9696" s="10"/>
      <c r="AI9696" s="10"/>
      <c r="AJ9696" s="10"/>
      <c r="AK9696" s="10"/>
      <c r="AL9696" s="10"/>
      <c r="AM9696" s="10"/>
      <c r="AN9696" s="10"/>
      <c r="AO9696" s="10"/>
      <c r="AP9696" s="10"/>
      <c r="AQ9696" s="10"/>
      <c r="AR9696" s="10"/>
      <c r="AS9696" s="10"/>
      <c r="AT9696" s="10"/>
      <c r="AU9696" s="10"/>
      <c r="AV9696" s="10"/>
      <c r="AW9696" s="10"/>
      <c r="AX9696" s="10"/>
      <c r="AY9696" s="10"/>
      <c r="AZ9696" s="10"/>
    </row>
    <row r="9697" spans="31:52">
      <c r="AE9697" s="10"/>
      <c r="AF9697" s="10"/>
      <c r="AG9697" s="10"/>
      <c r="AH9697" s="10"/>
      <c r="AI9697" s="10"/>
      <c r="AJ9697" s="10"/>
      <c r="AK9697" s="10"/>
      <c r="AL9697" s="10"/>
      <c r="AM9697" s="10"/>
      <c r="AN9697" s="10"/>
      <c r="AO9697" s="10"/>
      <c r="AP9697" s="10"/>
      <c r="AQ9697" s="10"/>
      <c r="AR9697" s="10"/>
      <c r="AS9697" s="10"/>
      <c r="AT9697" s="10"/>
      <c r="AU9697" s="10"/>
      <c r="AV9697" s="10"/>
      <c r="AW9697" s="10"/>
      <c r="AX9697" s="10"/>
      <c r="AY9697" s="10"/>
      <c r="AZ9697" s="10"/>
    </row>
    <row r="9698" spans="31:52">
      <c r="AE9698" s="10"/>
      <c r="AF9698" s="10"/>
      <c r="AG9698" s="10"/>
      <c r="AH9698" s="10"/>
      <c r="AI9698" s="10"/>
      <c r="AJ9698" s="10"/>
      <c r="AK9698" s="10"/>
      <c r="AL9698" s="10"/>
      <c r="AM9698" s="10"/>
      <c r="AN9698" s="10"/>
      <c r="AO9698" s="10"/>
      <c r="AP9698" s="10"/>
      <c r="AQ9698" s="10"/>
      <c r="AR9698" s="10"/>
      <c r="AS9698" s="10"/>
      <c r="AT9698" s="10"/>
      <c r="AU9698" s="10"/>
      <c r="AV9698" s="10"/>
      <c r="AW9698" s="10"/>
      <c r="AX9698" s="10"/>
      <c r="AY9698" s="10"/>
      <c r="AZ9698" s="10"/>
    </row>
    <row r="9699" spans="31:52">
      <c r="AE9699" s="10"/>
      <c r="AF9699" s="10"/>
      <c r="AG9699" s="10"/>
      <c r="AH9699" s="10"/>
      <c r="AI9699" s="10"/>
      <c r="AJ9699" s="10"/>
      <c r="AK9699" s="10"/>
      <c r="AL9699" s="10"/>
      <c r="AM9699" s="10"/>
      <c r="AN9699" s="10"/>
      <c r="AO9699" s="10"/>
      <c r="AP9699" s="10"/>
      <c r="AQ9699" s="10"/>
      <c r="AR9699" s="10"/>
      <c r="AS9699" s="10"/>
      <c r="AT9699" s="10"/>
      <c r="AU9699" s="10"/>
      <c r="AV9699" s="10"/>
      <c r="AW9699" s="10"/>
      <c r="AX9699" s="10"/>
      <c r="AY9699" s="10"/>
      <c r="AZ9699" s="10"/>
    </row>
    <row r="9700" spans="31:52">
      <c r="AE9700" s="10"/>
      <c r="AF9700" s="10"/>
      <c r="AG9700" s="10"/>
      <c r="AH9700" s="10"/>
      <c r="AI9700" s="10"/>
      <c r="AJ9700" s="10"/>
      <c r="AK9700" s="10"/>
      <c r="AL9700" s="10"/>
      <c r="AM9700" s="10"/>
      <c r="AN9700" s="10"/>
      <c r="AO9700" s="10"/>
      <c r="AP9700" s="10"/>
      <c r="AQ9700" s="10"/>
      <c r="AR9700" s="10"/>
      <c r="AS9700" s="10"/>
      <c r="AT9700" s="10"/>
      <c r="AU9700" s="10"/>
      <c r="AV9700" s="10"/>
      <c r="AW9700" s="10"/>
      <c r="AX9700" s="10"/>
      <c r="AY9700" s="10"/>
      <c r="AZ9700" s="10"/>
    </row>
    <row r="9701" spans="31:52">
      <c r="AE9701" s="10"/>
      <c r="AF9701" s="10"/>
      <c r="AG9701" s="10"/>
      <c r="AH9701" s="10"/>
      <c r="AI9701" s="10"/>
      <c r="AJ9701" s="10"/>
      <c r="AK9701" s="10"/>
      <c r="AL9701" s="10"/>
      <c r="AM9701" s="10"/>
      <c r="AN9701" s="10"/>
      <c r="AO9701" s="10"/>
      <c r="AP9701" s="10"/>
      <c r="AQ9701" s="10"/>
      <c r="AR9701" s="10"/>
      <c r="AS9701" s="10"/>
      <c r="AT9701" s="10"/>
      <c r="AU9701" s="10"/>
      <c r="AV9701" s="10"/>
      <c r="AW9701" s="10"/>
      <c r="AX9701" s="10"/>
      <c r="AY9701" s="10"/>
      <c r="AZ9701" s="10"/>
    </row>
    <row r="9702" spans="31:52">
      <c r="AE9702" s="10"/>
      <c r="AF9702" s="10"/>
      <c r="AG9702" s="10"/>
      <c r="AH9702" s="10"/>
      <c r="AI9702" s="10"/>
      <c r="AJ9702" s="10"/>
      <c r="AK9702" s="10"/>
      <c r="AL9702" s="10"/>
      <c r="AM9702" s="10"/>
      <c r="AN9702" s="10"/>
      <c r="AO9702" s="10"/>
      <c r="AP9702" s="10"/>
      <c r="AQ9702" s="10"/>
      <c r="AR9702" s="10"/>
      <c r="AS9702" s="10"/>
      <c r="AT9702" s="10"/>
      <c r="AU9702" s="10"/>
      <c r="AV9702" s="10"/>
      <c r="AW9702" s="10"/>
      <c r="AX9702" s="10"/>
      <c r="AY9702" s="10"/>
      <c r="AZ9702" s="10"/>
    </row>
    <row r="9703" spans="31:52">
      <c r="AE9703" s="10"/>
      <c r="AF9703" s="10"/>
      <c r="AG9703" s="10"/>
      <c r="AH9703" s="10"/>
      <c r="AI9703" s="10"/>
      <c r="AJ9703" s="10"/>
      <c r="AK9703" s="10"/>
      <c r="AL9703" s="10"/>
      <c r="AM9703" s="10"/>
      <c r="AN9703" s="10"/>
      <c r="AO9703" s="10"/>
      <c r="AP9703" s="10"/>
      <c r="AQ9703" s="10"/>
      <c r="AR9703" s="10"/>
      <c r="AS9703" s="10"/>
      <c r="AT9703" s="10"/>
      <c r="AU9703" s="10"/>
      <c r="AV9703" s="10"/>
      <c r="AW9703" s="10"/>
      <c r="AX9703" s="10"/>
      <c r="AY9703" s="10"/>
      <c r="AZ9703" s="10"/>
    </row>
    <row r="9704" spans="31:52">
      <c r="AE9704" s="10"/>
      <c r="AF9704" s="10"/>
      <c r="AG9704" s="10"/>
      <c r="AH9704" s="10"/>
      <c r="AI9704" s="10"/>
      <c r="AJ9704" s="10"/>
      <c r="AK9704" s="10"/>
      <c r="AL9704" s="10"/>
      <c r="AM9704" s="10"/>
      <c r="AN9704" s="10"/>
      <c r="AO9704" s="10"/>
      <c r="AP9704" s="10"/>
      <c r="AQ9704" s="10"/>
      <c r="AR9704" s="10"/>
      <c r="AS9704" s="10"/>
      <c r="AT9704" s="10"/>
      <c r="AU9704" s="10"/>
      <c r="AV9704" s="10"/>
      <c r="AW9704" s="10"/>
      <c r="AX9704" s="10"/>
      <c r="AY9704" s="10"/>
      <c r="AZ9704" s="10"/>
    </row>
    <row r="9705" spans="31:52">
      <c r="AE9705" s="10"/>
      <c r="AF9705" s="10"/>
      <c r="AG9705" s="10"/>
      <c r="AH9705" s="10"/>
      <c r="AI9705" s="10"/>
      <c r="AJ9705" s="10"/>
      <c r="AK9705" s="10"/>
      <c r="AL9705" s="10"/>
      <c r="AM9705" s="10"/>
      <c r="AN9705" s="10"/>
      <c r="AO9705" s="10"/>
      <c r="AP9705" s="10"/>
      <c r="AQ9705" s="10"/>
      <c r="AR9705" s="10"/>
      <c r="AS9705" s="10"/>
      <c r="AT9705" s="10"/>
      <c r="AU9705" s="10"/>
      <c r="AV9705" s="10"/>
      <c r="AW9705" s="10"/>
      <c r="AX9705" s="10"/>
      <c r="AY9705" s="10"/>
      <c r="AZ9705" s="10"/>
    </row>
    <row r="9706" spans="31:52">
      <c r="AE9706" s="10"/>
      <c r="AF9706" s="10"/>
      <c r="AG9706" s="10"/>
      <c r="AH9706" s="10"/>
      <c r="AI9706" s="10"/>
      <c r="AJ9706" s="10"/>
      <c r="AK9706" s="10"/>
      <c r="AL9706" s="10"/>
      <c r="AM9706" s="10"/>
      <c r="AN9706" s="10"/>
      <c r="AO9706" s="10"/>
      <c r="AP9706" s="10"/>
      <c r="AQ9706" s="10"/>
      <c r="AR9706" s="10"/>
      <c r="AS9706" s="10"/>
      <c r="AT9706" s="10"/>
      <c r="AU9706" s="10"/>
      <c r="AV9706" s="10"/>
      <c r="AW9706" s="10"/>
      <c r="AX9706" s="10"/>
      <c r="AY9706" s="10"/>
      <c r="AZ9706" s="10"/>
    </row>
    <row r="9707" spans="31:52">
      <c r="AE9707" s="10"/>
      <c r="AF9707" s="10"/>
      <c r="AG9707" s="10"/>
      <c r="AH9707" s="10"/>
      <c r="AI9707" s="10"/>
      <c r="AJ9707" s="10"/>
      <c r="AK9707" s="10"/>
      <c r="AL9707" s="10"/>
      <c r="AM9707" s="10"/>
      <c r="AN9707" s="10"/>
      <c r="AO9707" s="10"/>
      <c r="AP9707" s="10"/>
      <c r="AQ9707" s="10"/>
      <c r="AR9707" s="10"/>
      <c r="AS9707" s="10"/>
      <c r="AT9707" s="10"/>
      <c r="AU9707" s="10"/>
      <c r="AV9707" s="10"/>
      <c r="AW9707" s="10"/>
      <c r="AX9707" s="10"/>
      <c r="AY9707" s="10"/>
      <c r="AZ9707" s="10"/>
    </row>
    <row r="9708" spans="31:52">
      <c r="AE9708" s="10"/>
      <c r="AF9708" s="10"/>
      <c r="AG9708" s="10"/>
      <c r="AH9708" s="10"/>
      <c r="AI9708" s="10"/>
      <c r="AJ9708" s="10"/>
      <c r="AK9708" s="10"/>
      <c r="AL9708" s="10"/>
      <c r="AM9708" s="10"/>
      <c r="AN9708" s="10"/>
      <c r="AO9708" s="10"/>
      <c r="AP9708" s="10"/>
      <c r="AQ9708" s="10"/>
      <c r="AR9708" s="10"/>
      <c r="AS9708" s="10"/>
      <c r="AT9708" s="10"/>
      <c r="AU9708" s="10"/>
      <c r="AV9708" s="10"/>
      <c r="AW9708" s="10"/>
      <c r="AX9708" s="10"/>
      <c r="AY9708" s="10"/>
      <c r="AZ9708" s="10"/>
    </row>
    <row r="9709" spans="31:52">
      <c r="AE9709" s="10"/>
      <c r="AF9709" s="10"/>
      <c r="AG9709" s="10"/>
      <c r="AH9709" s="10"/>
      <c r="AI9709" s="10"/>
      <c r="AJ9709" s="10"/>
      <c r="AK9709" s="10"/>
      <c r="AL9709" s="10"/>
      <c r="AM9709" s="10"/>
      <c r="AN9709" s="10"/>
      <c r="AO9709" s="10"/>
      <c r="AP9709" s="10"/>
      <c r="AQ9709" s="10"/>
      <c r="AR9709" s="10"/>
      <c r="AS9709" s="10"/>
      <c r="AT9709" s="10"/>
      <c r="AU9709" s="10"/>
      <c r="AV9709" s="10"/>
      <c r="AW9709" s="10"/>
      <c r="AX9709" s="10"/>
      <c r="AY9709" s="10"/>
      <c r="AZ9709" s="10"/>
    </row>
    <row r="9710" spans="31:52">
      <c r="AE9710" s="10"/>
      <c r="AF9710" s="10"/>
      <c r="AG9710" s="10"/>
      <c r="AH9710" s="10"/>
      <c r="AI9710" s="10"/>
      <c r="AJ9710" s="10"/>
      <c r="AK9710" s="10"/>
      <c r="AL9710" s="10"/>
      <c r="AM9710" s="10"/>
      <c r="AN9710" s="10"/>
      <c r="AO9710" s="10"/>
      <c r="AP9710" s="10"/>
      <c r="AQ9710" s="10"/>
      <c r="AR9710" s="10"/>
      <c r="AS9710" s="10"/>
      <c r="AT9710" s="10"/>
      <c r="AU9710" s="10"/>
      <c r="AV9710" s="10"/>
      <c r="AW9710" s="10"/>
      <c r="AX9710" s="10"/>
      <c r="AY9710" s="10"/>
      <c r="AZ9710" s="10"/>
    </row>
    <row r="9711" spans="31:52">
      <c r="AE9711" s="10"/>
      <c r="AF9711" s="10"/>
      <c r="AG9711" s="10"/>
      <c r="AH9711" s="10"/>
      <c r="AI9711" s="10"/>
      <c r="AJ9711" s="10"/>
      <c r="AK9711" s="10"/>
      <c r="AL9711" s="10"/>
      <c r="AM9711" s="10"/>
      <c r="AN9711" s="10"/>
      <c r="AO9711" s="10"/>
      <c r="AP9711" s="10"/>
      <c r="AQ9711" s="10"/>
      <c r="AR9711" s="10"/>
      <c r="AS9711" s="10"/>
      <c r="AT9711" s="10"/>
      <c r="AU9711" s="10"/>
      <c r="AV9711" s="10"/>
      <c r="AW9711" s="10"/>
      <c r="AX9711" s="10"/>
      <c r="AY9711" s="10"/>
      <c r="AZ9711" s="10"/>
    </row>
    <row r="9712" spans="31:52">
      <c r="AE9712" s="10"/>
      <c r="AF9712" s="10"/>
      <c r="AG9712" s="10"/>
      <c r="AH9712" s="10"/>
      <c r="AI9712" s="10"/>
      <c r="AJ9712" s="10"/>
      <c r="AK9712" s="10"/>
      <c r="AL9712" s="10"/>
      <c r="AM9712" s="10"/>
      <c r="AN9712" s="10"/>
      <c r="AO9712" s="10"/>
      <c r="AP9712" s="10"/>
      <c r="AQ9712" s="10"/>
      <c r="AR9712" s="10"/>
      <c r="AS9712" s="10"/>
      <c r="AT9712" s="10"/>
      <c r="AU9712" s="10"/>
      <c r="AV9712" s="10"/>
      <c r="AW9712" s="10"/>
      <c r="AX9712" s="10"/>
      <c r="AY9712" s="10"/>
      <c r="AZ9712" s="10"/>
    </row>
    <row r="9713" spans="31:52">
      <c r="AE9713" s="10"/>
      <c r="AF9713" s="10"/>
      <c r="AG9713" s="10"/>
      <c r="AH9713" s="10"/>
      <c r="AI9713" s="10"/>
      <c r="AJ9713" s="10"/>
      <c r="AK9713" s="10"/>
      <c r="AL9713" s="10"/>
      <c r="AM9713" s="10"/>
      <c r="AN9713" s="10"/>
      <c r="AO9713" s="10"/>
      <c r="AP9713" s="10"/>
      <c r="AQ9713" s="10"/>
      <c r="AR9713" s="10"/>
      <c r="AS9713" s="10"/>
      <c r="AT9713" s="10"/>
      <c r="AU9713" s="10"/>
      <c r="AV9713" s="10"/>
      <c r="AW9713" s="10"/>
      <c r="AX9713" s="10"/>
      <c r="AY9713" s="10"/>
      <c r="AZ9713" s="10"/>
    </row>
    <row r="9714" spans="31:52">
      <c r="AE9714" s="10"/>
      <c r="AF9714" s="10"/>
      <c r="AG9714" s="10"/>
      <c r="AH9714" s="10"/>
      <c r="AI9714" s="10"/>
      <c r="AJ9714" s="10"/>
      <c r="AK9714" s="10"/>
      <c r="AL9714" s="10"/>
      <c r="AM9714" s="10"/>
      <c r="AN9714" s="10"/>
      <c r="AO9714" s="10"/>
      <c r="AP9714" s="10"/>
      <c r="AQ9714" s="10"/>
      <c r="AR9714" s="10"/>
      <c r="AS9714" s="10"/>
      <c r="AT9714" s="10"/>
      <c r="AU9714" s="10"/>
      <c r="AV9714" s="10"/>
      <c r="AW9714" s="10"/>
      <c r="AX9714" s="10"/>
      <c r="AY9714" s="10"/>
      <c r="AZ9714" s="10"/>
    </row>
    <row r="9715" spans="31:52">
      <c r="AE9715" s="10"/>
      <c r="AF9715" s="10"/>
      <c r="AG9715" s="10"/>
      <c r="AH9715" s="10"/>
      <c r="AI9715" s="10"/>
      <c r="AJ9715" s="10"/>
      <c r="AK9715" s="10"/>
      <c r="AL9715" s="10"/>
      <c r="AM9715" s="10"/>
      <c r="AN9715" s="10"/>
      <c r="AO9715" s="10"/>
      <c r="AP9715" s="10"/>
      <c r="AQ9715" s="10"/>
      <c r="AR9715" s="10"/>
      <c r="AS9715" s="10"/>
      <c r="AT9715" s="10"/>
      <c r="AU9715" s="10"/>
      <c r="AV9715" s="10"/>
      <c r="AW9715" s="10"/>
      <c r="AX9715" s="10"/>
      <c r="AY9715" s="10"/>
      <c r="AZ9715" s="10"/>
    </row>
    <row r="9716" spans="31:52">
      <c r="AE9716" s="10"/>
      <c r="AF9716" s="10"/>
      <c r="AG9716" s="10"/>
      <c r="AH9716" s="10"/>
      <c r="AI9716" s="10"/>
      <c r="AJ9716" s="10"/>
      <c r="AK9716" s="10"/>
      <c r="AL9716" s="10"/>
      <c r="AM9716" s="10"/>
      <c r="AN9716" s="10"/>
      <c r="AO9716" s="10"/>
      <c r="AP9716" s="10"/>
      <c r="AQ9716" s="10"/>
      <c r="AR9716" s="10"/>
      <c r="AS9716" s="10"/>
      <c r="AT9716" s="10"/>
      <c r="AU9716" s="10"/>
      <c r="AV9716" s="10"/>
      <c r="AW9716" s="10"/>
      <c r="AX9716" s="10"/>
      <c r="AY9716" s="10"/>
      <c r="AZ9716" s="10"/>
    </row>
    <row r="9717" spans="31:52">
      <c r="AE9717" s="10"/>
      <c r="AF9717" s="10"/>
      <c r="AG9717" s="10"/>
      <c r="AH9717" s="10"/>
      <c r="AI9717" s="10"/>
      <c r="AJ9717" s="10"/>
      <c r="AK9717" s="10"/>
      <c r="AL9717" s="10"/>
      <c r="AM9717" s="10"/>
      <c r="AN9717" s="10"/>
      <c r="AO9717" s="10"/>
      <c r="AP9717" s="10"/>
      <c r="AQ9717" s="10"/>
      <c r="AR9717" s="10"/>
      <c r="AS9717" s="10"/>
      <c r="AT9717" s="10"/>
      <c r="AU9717" s="10"/>
      <c r="AV9717" s="10"/>
      <c r="AW9717" s="10"/>
      <c r="AX9717" s="10"/>
      <c r="AY9717" s="10"/>
      <c r="AZ9717" s="10"/>
    </row>
    <row r="9718" spans="31:52">
      <c r="AE9718" s="10"/>
      <c r="AF9718" s="10"/>
      <c r="AG9718" s="10"/>
      <c r="AH9718" s="10"/>
      <c r="AI9718" s="10"/>
      <c r="AJ9718" s="10"/>
      <c r="AK9718" s="10"/>
      <c r="AL9718" s="10"/>
      <c r="AM9718" s="10"/>
      <c r="AN9718" s="10"/>
      <c r="AO9718" s="10"/>
      <c r="AP9718" s="10"/>
      <c r="AQ9718" s="10"/>
      <c r="AR9718" s="10"/>
      <c r="AS9718" s="10"/>
      <c r="AT9718" s="10"/>
      <c r="AU9718" s="10"/>
      <c r="AV9718" s="10"/>
      <c r="AW9718" s="10"/>
      <c r="AX9718" s="10"/>
      <c r="AY9718" s="10"/>
      <c r="AZ9718" s="10"/>
    </row>
    <row r="9719" spans="31:52">
      <c r="AE9719" s="10"/>
      <c r="AF9719" s="10"/>
      <c r="AG9719" s="10"/>
      <c r="AH9719" s="10"/>
      <c r="AI9719" s="10"/>
      <c r="AJ9719" s="10"/>
      <c r="AK9719" s="10"/>
      <c r="AL9719" s="10"/>
      <c r="AM9719" s="10"/>
      <c r="AN9719" s="10"/>
      <c r="AO9719" s="10"/>
      <c r="AP9719" s="10"/>
      <c r="AQ9719" s="10"/>
      <c r="AR9719" s="10"/>
      <c r="AS9719" s="10"/>
      <c r="AT9719" s="10"/>
      <c r="AU9719" s="10"/>
      <c r="AV9719" s="10"/>
      <c r="AW9719" s="10"/>
      <c r="AX9719" s="10"/>
      <c r="AY9719" s="10"/>
      <c r="AZ9719" s="10"/>
    </row>
    <row r="9720" spans="31:52">
      <c r="AE9720" s="10"/>
      <c r="AF9720" s="10"/>
      <c r="AG9720" s="10"/>
      <c r="AH9720" s="10"/>
      <c r="AI9720" s="10"/>
      <c r="AJ9720" s="10"/>
      <c r="AK9720" s="10"/>
      <c r="AL9720" s="10"/>
      <c r="AM9720" s="10"/>
      <c r="AN9720" s="10"/>
      <c r="AO9720" s="10"/>
      <c r="AP9720" s="10"/>
      <c r="AQ9720" s="10"/>
      <c r="AR9720" s="10"/>
      <c r="AS9720" s="10"/>
      <c r="AT9720" s="10"/>
      <c r="AU9720" s="10"/>
      <c r="AV9720" s="10"/>
      <c r="AW9720" s="10"/>
      <c r="AX9720" s="10"/>
      <c r="AY9720" s="10"/>
      <c r="AZ9720" s="10"/>
    </row>
    <row r="9721" spans="31:52">
      <c r="AE9721" s="10"/>
      <c r="AF9721" s="10"/>
      <c r="AG9721" s="10"/>
      <c r="AH9721" s="10"/>
      <c r="AI9721" s="10"/>
      <c r="AJ9721" s="10"/>
      <c r="AK9721" s="10"/>
      <c r="AL9721" s="10"/>
      <c r="AM9721" s="10"/>
      <c r="AN9721" s="10"/>
      <c r="AO9721" s="10"/>
      <c r="AP9721" s="10"/>
      <c r="AQ9721" s="10"/>
      <c r="AR9721" s="10"/>
      <c r="AS9721" s="10"/>
      <c r="AT9721" s="10"/>
      <c r="AU9721" s="10"/>
      <c r="AV9721" s="10"/>
      <c r="AW9721" s="10"/>
      <c r="AX9721" s="10"/>
      <c r="AY9721" s="10"/>
      <c r="AZ9721" s="10"/>
    </row>
    <row r="9722" spans="31:52">
      <c r="AE9722" s="10"/>
      <c r="AF9722" s="10"/>
      <c r="AG9722" s="10"/>
      <c r="AH9722" s="10"/>
      <c r="AI9722" s="10"/>
      <c r="AJ9722" s="10"/>
      <c r="AK9722" s="10"/>
      <c r="AL9722" s="10"/>
      <c r="AM9722" s="10"/>
      <c r="AN9722" s="10"/>
      <c r="AO9722" s="10"/>
      <c r="AP9722" s="10"/>
      <c r="AQ9722" s="10"/>
      <c r="AR9722" s="10"/>
      <c r="AS9722" s="10"/>
      <c r="AT9722" s="10"/>
      <c r="AU9722" s="10"/>
      <c r="AV9722" s="10"/>
      <c r="AW9722" s="10"/>
      <c r="AX9722" s="10"/>
      <c r="AY9722" s="10"/>
      <c r="AZ9722" s="10"/>
    </row>
    <row r="9723" spans="31:52">
      <c r="AE9723" s="10"/>
      <c r="AF9723" s="10"/>
      <c r="AG9723" s="10"/>
      <c r="AH9723" s="10"/>
      <c r="AI9723" s="10"/>
      <c r="AJ9723" s="10"/>
      <c r="AK9723" s="10"/>
      <c r="AL9723" s="10"/>
      <c r="AM9723" s="10"/>
      <c r="AN9723" s="10"/>
      <c r="AO9723" s="10"/>
      <c r="AP9723" s="10"/>
      <c r="AQ9723" s="10"/>
      <c r="AR9723" s="10"/>
      <c r="AS9723" s="10"/>
      <c r="AT9723" s="10"/>
      <c r="AU9723" s="10"/>
      <c r="AV9723" s="10"/>
      <c r="AW9723" s="10"/>
      <c r="AX9723" s="10"/>
      <c r="AY9723" s="10"/>
      <c r="AZ9723" s="10"/>
    </row>
    <row r="9724" spans="31:52">
      <c r="AE9724" s="10"/>
      <c r="AF9724" s="10"/>
      <c r="AG9724" s="10"/>
      <c r="AH9724" s="10"/>
      <c r="AI9724" s="10"/>
      <c r="AJ9724" s="10"/>
      <c r="AK9724" s="10"/>
      <c r="AL9724" s="10"/>
      <c r="AM9724" s="10"/>
      <c r="AN9724" s="10"/>
      <c r="AO9724" s="10"/>
      <c r="AP9724" s="10"/>
      <c r="AQ9724" s="10"/>
      <c r="AR9724" s="10"/>
      <c r="AS9724" s="10"/>
      <c r="AT9724" s="10"/>
      <c r="AU9724" s="10"/>
      <c r="AV9724" s="10"/>
      <c r="AW9724" s="10"/>
      <c r="AX9724" s="10"/>
      <c r="AY9724" s="10"/>
      <c r="AZ9724" s="10"/>
    </row>
    <row r="9725" spans="31:52">
      <c r="AE9725" s="10"/>
      <c r="AF9725" s="10"/>
      <c r="AG9725" s="10"/>
      <c r="AH9725" s="10"/>
      <c r="AI9725" s="10"/>
      <c r="AJ9725" s="10"/>
      <c r="AK9725" s="10"/>
      <c r="AL9725" s="10"/>
      <c r="AM9725" s="10"/>
      <c r="AN9725" s="10"/>
      <c r="AO9725" s="10"/>
      <c r="AP9725" s="10"/>
      <c r="AQ9725" s="10"/>
      <c r="AR9725" s="10"/>
      <c r="AS9725" s="10"/>
      <c r="AT9725" s="10"/>
      <c r="AU9725" s="10"/>
      <c r="AV9725" s="10"/>
      <c r="AW9725" s="10"/>
      <c r="AX9725" s="10"/>
      <c r="AY9725" s="10"/>
      <c r="AZ9725" s="10"/>
    </row>
    <row r="9726" spans="31:52">
      <c r="AE9726" s="10"/>
      <c r="AF9726" s="10"/>
      <c r="AG9726" s="10"/>
      <c r="AH9726" s="10"/>
      <c r="AI9726" s="10"/>
      <c r="AJ9726" s="10"/>
      <c r="AK9726" s="10"/>
      <c r="AL9726" s="10"/>
      <c r="AM9726" s="10"/>
      <c r="AN9726" s="10"/>
      <c r="AO9726" s="10"/>
      <c r="AP9726" s="10"/>
      <c r="AQ9726" s="10"/>
      <c r="AR9726" s="10"/>
      <c r="AS9726" s="10"/>
      <c r="AT9726" s="10"/>
      <c r="AU9726" s="10"/>
      <c r="AV9726" s="10"/>
      <c r="AW9726" s="10"/>
      <c r="AX9726" s="10"/>
      <c r="AY9726" s="10"/>
      <c r="AZ9726" s="10"/>
    </row>
    <row r="9727" spans="31:52">
      <c r="AE9727" s="10"/>
      <c r="AF9727" s="10"/>
      <c r="AG9727" s="10"/>
      <c r="AH9727" s="10"/>
      <c r="AI9727" s="10"/>
      <c r="AJ9727" s="10"/>
      <c r="AK9727" s="10"/>
      <c r="AL9727" s="10"/>
      <c r="AM9727" s="10"/>
      <c r="AN9727" s="10"/>
      <c r="AO9727" s="10"/>
      <c r="AP9727" s="10"/>
      <c r="AQ9727" s="10"/>
      <c r="AR9727" s="10"/>
      <c r="AS9727" s="10"/>
      <c r="AT9727" s="10"/>
      <c r="AU9727" s="10"/>
      <c r="AV9727" s="10"/>
      <c r="AW9727" s="10"/>
      <c r="AX9727" s="10"/>
      <c r="AY9727" s="10"/>
      <c r="AZ9727" s="10"/>
    </row>
    <row r="9728" spans="31:52">
      <c r="AE9728" s="10"/>
      <c r="AF9728" s="10"/>
      <c r="AG9728" s="10"/>
      <c r="AH9728" s="10"/>
      <c r="AI9728" s="10"/>
      <c r="AJ9728" s="10"/>
      <c r="AK9728" s="10"/>
      <c r="AL9728" s="10"/>
      <c r="AM9728" s="10"/>
      <c r="AN9728" s="10"/>
      <c r="AO9728" s="10"/>
      <c r="AP9728" s="10"/>
      <c r="AQ9728" s="10"/>
      <c r="AR9728" s="10"/>
      <c r="AS9728" s="10"/>
      <c r="AT9728" s="10"/>
      <c r="AU9728" s="10"/>
      <c r="AV9728" s="10"/>
      <c r="AW9728" s="10"/>
      <c r="AX9728" s="10"/>
      <c r="AY9728" s="10"/>
      <c r="AZ9728" s="10"/>
    </row>
    <row r="9729" spans="31:52">
      <c r="AE9729" s="10"/>
      <c r="AF9729" s="10"/>
      <c r="AG9729" s="10"/>
      <c r="AH9729" s="10"/>
      <c r="AI9729" s="10"/>
      <c r="AJ9729" s="10"/>
      <c r="AK9729" s="10"/>
      <c r="AL9729" s="10"/>
      <c r="AM9729" s="10"/>
      <c r="AN9729" s="10"/>
      <c r="AO9729" s="10"/>
      <c r="AP9729" s="10"/>
      <c r="AQ9729" s="10"/>
      <c r="AR9729" s="10"/>
      <c r="AS9729" s="10"/>
      <c r="AT9729" s="10"/>
      <c r="AU9729" s="10"/>
      <c r="AV9729" s="10"/>
      <c r="AW9729" s="10"/>
      <c r="AX9729" s="10"/>
      <c r="AY9729" s="10"/>
      <c r="AZ9729" s="10"/>
    </row>
    <row r="9730" spans="31:52">
      <c r="AE9730" s="10"/>
      <c r="AF9730" s="10"/>
      <c r="AG9730" s="10"/>
      <c r="AH9730" s="10"/>
      <c r="AI9730" s="10"/>
      <c r="AJ9730" s="10"/>
      <c r="AK9730" s="10"/>
      <c r="AL9730" s="10"/>
      <c r="AM9730" s="10"/>
      <c r="AN9730" s="10"/>
      <c r="AO9730" s="10"/>
      <c r="AP9730" s="10"/>
      <c r="AQ9730" s="10"/>
      <c r="AR9730" s="10"/>
      <c r="AS9730" s="10"/>
      <c r="AT9730" s="10"/>
      <c r="AU9730" s="10"/>
      <c r="AV9730" s="10"/>
      <c r="AW9730" s="10"/>
      <c r="AX9730" s="10"/>
      <c r="AY9730" s="10"/>
      <c r="AZ9730" s="10"/>
    </row>
    <row r="9731" spans="31:52">
      <c r="AE9731" s="10"/>
      <c r="AF9731" s="10"/>
      <c r="AG9731" s="10"/>
      <c r="AH9731" s="10"/>
      <c r="AI9731" s="10"/>
      <c r="AJ9731" s="10"/>
      <c r="AK9731" s="10"/>
      <c r="AL9731" s="10"/>
      <c r="AM9731" s="10"/>
      <c r="AN9731" s="10"/>
      <c r="AO9731" s="10"/>
      <c r="AP9731" s="10"/>
      <c r="AQ9731" s="10"/>
      <c r="AR9731" s="10"/>
      <c r="AS9731" s="10"/>
      <c r="AT9731" s="10"/>
      <c r="AU9731" s="10"/>
      <c r="AV9731" s="10"/>
      <c r="AW9731" s="10"/>
      <c r="AX9731" s="10"/>
      <c r="AY9731" s="10"/>
      <c r="AZ9731" s="10"/>
    </row>
    <row r="9732" spans="31:52">
      <c r="AE9732" s="10"/>
      <c r="AF9732" s="10"/>
      <c r="AG9732" s="10"/>
      <c r="AH9732" s="10"/>
      <c r="AI9732" s="10"/>
      <c r="AJ9732" s="10"/>
      <c r="AK9732" s="10"/>
      <c r="AL9732" s="10"/>
      <c r="AM9732" s="10"/>
      <c r="AN9732" s="10"/>
      <c r="AO9732" s="10"/>
      <c r="AP9732" s="10"/>
      <c r="AQ9732" s="10"/>
      <c r="AR9732" s="10"/>
      <c r="AS9732" s="10"/>
      <c r="AT9732" s="10"/>
      <c r="AU9732" s="10"/>
      <c r="AV9732" s="10"/>
      <c r="AW9732" s="10"/>
      <c r="AX9732" s="10"/>
      <c r="AY9732" s="10"/>
      <c r="AZ9732" s="10"/>
    </row>
    <row r="9733" spans="31:52">
      <c r="AE9733" s="10"/>
      <c r="AF9733" s="10"/>
      <c r="AG9733" s="10"/>
      <c r="AH9733" s="10"/>
      <c r="AI9733" s="10"/>
      <c r="AJ9733" s="10"/>
      <c r="AK9733" s="10"/>
      <c r="AL9733" s="10"/>
      <c r="AM9733" s="10"/>
      <c r="AN9733" s="10"/>
      <c r="AO9733" s="10"/>
      <c r="AP9733" s="10"/>
      <c r="AQ9733" s="10"/>
      <c r="AR9733" s="10"/>
      <c r="AS9733" s="10"/>
      <c r="AT9733" s="10"/>
      <c r="AU9733" s="10"/>
      <c r="AV9733" s="10"/>
      <c r="AW9733" s="10"/>
      <c r="AX9733" s="10"/>
      <c r="AY9733" s="10"/>
      <c r="AZ9733" s="10"/>
    </row>
    <row r="9734" spans="31:52">
      <c r="AE9734" s="10"/>
      <c r="AF9734" s="10"/>
      <c r="AG9734" s="10"/>
      <c r="AH9734" s="10"/>
      <c r="AI9734" s="10"/>
      <c r="AJ9734" s="10"/>
      <c r="AK9734" s="10"/>
      <c r="AL9734" s="10"/>
      <c r="AM9734" s="10"/>
      <c r="AN9734" s="10"/>
      <c r="AO9734" s="10"/>
      <c r="AP9734" s="10"/>
      <c r="AQ9734" s="10"/>
      <c r="AR9734" s="10"/>
      <c r="AS9734" s="10"/>
      <c r="AT9734" s="10"/>
      <c r="AU9734" s="10"/>
      <c r="AV9734" s="10"/>
      <c r="AW9734" s="10"/>
      <c r="AX9734" s="10"/>
      <c r="AY9734" s="10"/>
      <c r="AZ9734" s="10"/>
    </row>
    <row r="9735" spans="31:52">
      <c r="AE9735" s="10"/>
      <c r="AF9735" s="10"/>
      <c r="AG9735" s="10"/>
      <c r="AH9735" s="10"/>
      <c r="AI9735" s="10"/>
      <c r="AJ9735" s="10"/>
      <c r="AK9735" s="10"/>
      <c r="AL9735" s="10"/>
      <c r="AM9735" s="10"/>
      <c r="AN9735" s="10"/>
      <c r="AO9735" s="10"/>
      <c r="AP9735" s="10"/>
      <c r="AQ9735" s="10"/>
      <c r="AR9735" s="10"/>
      <c r="AS9735" s="10"/>
      <c r="AT9735" s="10"/>
      <c r="AU9735" s="10"/>
      <c r="AV9735" s="10"/>
      <c r="AW9735" s="10"/>
      <c r="AX9735" s="10"/>
      <c r="AY9735" s="10"/>
      <c r="AZ9735" s="10"/>
    </row>
    <row r="9736" spans="31:52">
      <c r="AE9736" s="10"/>
      <c r="AF9736" s="10"/>
      <c r="AG9736" s="10"/>
      <c r="AH9736" s="10"/>
      <c r="AI9736" s="10"/>
      <c r="AJ9736" s="10"/>
      <c r="AK9736" s="10"/>
      <c r="AL9736" s="10"/>
      <c r="AM9736" s="10"/>
      <c r="AN9736" s="10"/>
      <c r="AO9736" s="10"/>
      <c r="AP9736" s="10"/>
      <c r="AQ9736" s="10"/>
      <c r="AR9736" s="10"/>
      <c r="AS9736" s="10"/>
      <c r="AT9736" s="10"/>
      <c r="AU9736" s="10"/>
      <c r="AV9736" s="10"/>
      <c r="AW9736" s="10"/>
      <c r="AX9736" s="10"/>
      <c r="AY9736" s="10"/>
      <c r="AZ9736" s="10"/>
    </row>
    <row r="9737" spans="31:52">
      <c r="AE9737" s="10"/>
      <c r="AF9737" s="10"/>
      <c r="AG9737" s="10"/>
      <c r="AH9737" s="10"/>
      <c r="AI9737" s="10"/>
      <c r="AJ9737" s="10"/>
      <c r="AK9737" s="10"/>
      <c r="AL9737" s="10"/>
      <c r="AM9737" s="10"/>
      <c r="AN9737" s="10"/>
      <c r="AO9737" s="10"/>
      <c r="AP9737" s="10"/>
      <c r="AQ9737" s="10"/>
      <c r="AR9737" s="10"/>
      <c r="AS9737" s="10"/>
      <c r="AT9737" s="10"/>
      <c r="AU9737" s="10"/>
      <c r="AV9737" s="10"/>
      <c r="AW9737" s="10"/>
      <c r="AX9737" s="10"/>
      <c r="AY9737" s="10"/>
      <c r="AZ9737" s="10"/>
    </row>
    <row r="9738" spans="31:52">
      <c r="AE9738" s="10"/>
      <c r="AF9738" s="10"/>
      <c r="AG9738" s="10"/>
      <c r="AH9738" s="10"/>
      <c r="AI9738" s="10"/>
      <c r="AJ9738" s="10"/>
      <c r="AK9738" s="10"/>
      <c r="AL9738" s="10"/>
      <c r="AM9738" s="10"/>
      <c r="AN9738" s="10"/>
      <c r="AO9738" s="10"/>
      <c r="AP9738" s="10"/>
      <c r="AQ9738" s="10"/>
      <c r="AR9738" s="10"/>
      <c r="AS9738" s="10"/>
      <c r="AT9738" s="10"/>
      <c r="AU9738" s="10"/>
      <c r="AV9738" s="10"/>
      <c r="AW9738" s="10"/>
      <c r="AX9738" s="10"/>
      <c r="AY9738" s="10"/>
      <c r="AZ9738" s="10"/>
    </row>
    <row r="9739" spans="31:52">
      <c r="AE9739" s="10"/>
      <c r="AF9739" s="10"/>
      <c r="AG9739" s="10"/>
      <c r="AH9739" s="10"/>
      <c r="AI9739" s="10"/>
      <c r="AJ9739" s="10"/>
      <c r="AK9739" s="10"/>
      <c r="AL9739" s="10"/>
      <c r="AM9739" s="10"/>
      <c r="AN9739" s="10"/>
      <c r="AO9739" s="10"/>
      <c r="AP9739" s="10"/>
      <c r="AQ9739" s="10"/>
      <c r="AR9739" s="10"/>
      <c r="AS9739" s="10"/>
      <c r="AT9739" s="10"/>
      <c r="AU9739" s="10"/>
      <c r="AV9739" s="10"/>
      <c r="AW9739" s="10"/>
      <c r="AX9739" s="10"/>
      <c r="AY9739" s="10"/>
      <c r="AZ9739" s="10"/>
    </row>
    <row r="9740" spans="31:52">
      <c r="AE9740" s="10"/>
      <c r="AF9740" s="10"/>
      <c r="AG9740" s="10"/>
      <c r="AH9740" s="10"/>
      <c r="AI9740" s="10"/>
      <c r="AJ9740" s="10"/>
      <c r="AK9740" s="10"/>
      <c r="AL9740" s="10"/>
      <c r="AM9740" s="10"/>
      <c r="AN9740" s="10"/>
      <c r="AO9740" s="10"/>
      <c r="AP9740" s="10"/>
      <c r="AQ9740" s="10"/>
      <c r="AR9740" s="10"/>
      <c r="AS9740" s="10"/>
      <c r="AT9740" s="10"/>
      <c r="AU9740" s="10"/>
      <c r="AV9740" s="10"/>
      <c r="AW9740" s="10"/>
      <c r="AX9740" s="10"/>
      <c r="AY9740" s="10"/>
      <c r="AZ9740" s="10"/>
    </row>
    <row r="9741" spans="31:52">
      <c r="AE9741" s="10"/>
      <c r="AF9741" s="10"/>
      <c r="AG9741" s="10"/>
      <c r="AH9741" s="10"/>
      <c r="AI9741" s="10"/>
      <c r="AJ9741" s="10"/>
      <c r="AK9741" s="10"/>
      <c r="AL9741" s="10"/>
      <c r="AM9741" s="10"/>
      <c r="AN9741" s="10"/>
      <c r="AO9741" s="10"/>
      <c r="AP9741" s="10"/>
      <c r="AQ9741" s="10"/>
      <c r="AR9741" s="10"/>
      <c r="AS9741" s="10"/>
      <c r="AT9741" s="10"/>
      <c r="AU9741" s="10"/>
      <c r="AV9741" s="10"/>
      <c r="AW9741" s="10"/>
      <c r="AX9741" s="10"/>
      <c r="AY9741" s="10"/>
      <c r="AZ9741" s="10"/>
    </row>
    <row r="9742" spans="31:52">
      <c r="AE9742" s="10"/>
      <c r="AF9742" s="10"/>
      <c r="AG9742" s="10"/>
      <c r="AH9742" s="10"/>
      <c r="AI9742" s="10"/>
      <c r="AJ9742" s="10"/>
      <c r="AK9742" s="10"/>
      <c r="AL9742" s="10"/>
      <c r="AM9742" s="10"/>
      <c r="AN9742" s="10"/>
      <c r="AO9742" s="10"/>
      <c r="AP9742" s="10"/>
      <c r="AQ9742" s="10"/>
      <c r="AR9742" s="10"/>
      <c r="AS9742" s="10"/>
      <c r="AT9742" s="10"/>
      <c r="AU9742" s="10"/>
      <c r="AV9742" s="10"/>
      <c r="AW9742" s="10"/>
      <c r="AX9742" s="10"/>
      <c r="AY9742" s="10"/>
      <c r="AZ9742" s="10"/>
    </row>
    <row r="9743" spans="31:52">
      <c r="AE9743" s="10"/>
      <c r="AF9743" s="10"/>
      <c r="AG9743" s="10"/>
      <c r="AH9743" s="10"/>
      <c r="AI9743" s="10"/>
      <c r="AJ9743" s="10"/>
      <c r="AK9743" s="10"/>
      <c r="AL9743" s="10"/>
      <c r="AM9743" s="10"/>
      <c r="AN9743" s="10"/>
      <c r="AO9743" s="10"/>
      <c r="AP9743" s="10"/>
      <c r="AQ9743" s="10"/>
      <c r="AR9743" s="10"/>
      <c r="AS9743" s="10"/>
      <c r="AT9743" s="10"/>
      <c r="AU9743" s="10"/>
      <c r="AV9743" s="10"/>
      <c r="AW9743" s="10"/>
      <c r="AX9743" s="10"/>
      <c r="AY9743" s="10"/>
      <c r="AZ9743" s="10"/>
    </row>
    <row r="9744" spans="31:52">
      <c r="AE9744" s="10"/>
      <c r="AF9744" s="10"/>
      <c r="AG9744" s="10"/>
      <c r="AH9744" s="10"/>
      <c r="AI9744" s="10"/>
      <c r="AJ9744" s="10"/>
      <c r="AK9744" s="10"/>
      <c r="AL9744" s="10"/>
      <c r="AM9744" s="10"/>
      <c r="AN9744" s="10"/>
      <c r="AO9744" s="10"/>
      <c r="AP9744" s="10"/>
      <c r="AQ9744" s="10"/>
      <c r="AR9744" s="10"/>
      <c r="AS9744" s="10"/>
      <c r="AT9744" s="10"/>
      <c r="AU9744" s="10"/>
      <c r="AV9744" s="10"/>
      <c r="AW9744" s="10"/>
      <c r="AX9744" s="10"/>
      <c r="AY9744" s="10"/>
      <c r="AZ9744" s="10"/>
    </row>
    <row r="9745" spans="31:52">
      <c r="AE9745" s="10"/>
      <c r="AF9745" s="10"/>
      <c r="AG9745" s="10"/>
      <c r="AH9745" s="10"/>
      <c r="AI9745" s="10"/>
      <c r="AJ9745" s="10"/>
      <c r="AK9745" s="10"/>
      <c r="AL9745" s="10"/>
      <c r="AM9745" s="10"/>
      <c r="AN9745" s="10"/>
      <c r="AO9745" s="10"/>
      <c r="AP9745" s="10"/>
      <c r="AQ9745" s="10"/>
      <c r="AR9745" s="10"/>
      <c r="AS9745" s="10"/>
      <c r="AT9745" s="10"/>
      <c r="AU9745" s="10"/>
      <c r="AV9745" s="10"/>
      <c r="AW9745" s="10"/>
      <c r="AX9745" s="10"/>
      <c r="AY9745" s="10"/>
      <c r="AZ9745" s="10"/>
    </row>
    <row r="9746" spans="31:52">
      <c r="AE9746" s="10"/>
      <c r="AF9746" s="10"/>
      <c r="AG9746" s="10"/>
      <c r="AH9746" s="10"/>
      <c r="AI9746" s="10"/>
      <c r="AJ9746" s="10"/>
      <c r="AK9746" s="10"/>
      <c r="AL9746" s="10"/>
      <c r="AM9746" s="10"/>
      <c r="AN9746" s="10"/>
      <c r="AO9746" s="10"/>
      <c r="AP9746" s="10"/>
      <c r="AQ9746" s="10"/>
      <c r="AR9746" s="10"/>
      <c r="AS9746" s="10"/>
      <c r="AT9746" s="10"/>
      <c r="AU9746" s="10"/>
      <c r="AV9746" s="10"/>
      <c r="AW9746" s="10"/>
      <c r="AX9746" s="10"/>
      <c r="AY9746" s="10"/>
      <c r="AZ9746" s="10"/>
    </row>
    <row r="9747" spans="31:52">
      <c r="AE9747" s="10"/>
      <c r="AF9747" s="10"/>
      <c r="AG9747" s="10"/>
      <c r="AH9747" s="10"/>
      <c r="AI9747" s="10"/>
      <c r="AJ9747" s="10"/>
      <c r="AK9747" s="10"/>
      <c r="AL9747" s="10"/>
      <c r="AM9747" s="10"/>
      <c r="AN9747" s="10"/>
      <c r="AO9747" s="10"/>
      <c r="AP9747" s="10"/>
      <c r="AQ9747" s="10"/>
      <c r="AR9747" s="10"/>
      <c r="AS9747" s="10"/>
      <c r="AT9747" s="10"/>
      <c r="AU9747" s="10"/>
      <c r="AV9747" s="10"/>
      <c r="AW9747" s="10"/>
      <c r="AX9747" s="10"/>
      <c r="AY9747" s="10"/>
      <c r="AZ9747" s="10"/>
    </row>
    <row r="9748" spans="31:52">
      <c r="AE9748" s="10"/>
      <c r="AF9748" s="10"/>
      <c r="AG9748" s="10"/>
      <c r="AH9748" s="10"/>
      <c r="AI9748" s="10"/>
      <c r="AJ9748" s="10"/>
      <c r="AK9748" s="10"/>
      <c r="AL9748" s="10"/>
      <c r="AM9748" s="10"/>
      <c r="AN9748" s="10"/>
      <c r="AO9748" s="10"/>
      <c r="AP9748" s="10"/>
      <c r="AQ9748" s="10"/>
      <c r="AR9748" s="10"/>
      <c r="AS9748" s="10"/>
      <c r="AT9748" s="10"/>
      <c r="AU9748" s="10"/>
      <c r="AV9748" s="10"/>
      <c r="AW9748" s="10"/>
      <c r="AX9748" s="10"/>
      <c r="AY9748" s="10"/>
      <c r="AZ9748" s="10"/>
    </row>
    <row r="9749" spans="31:52">
      <c r="AE9749" s="10"/>
      <c r="AF9749" s="10"/>
      <c r="AG9749" s="10"/>
      <c r="AH9749" s="10"/>
      <c r="AI9749" s="10"/>
      <c r="AJ9749" s="10"/>
      <c r="AK9749" s="10"/>
      <c r="AL9749" s="10"/>
      <c r="AM9749" s="10"/>
      <c r="AN9749" s="10"/>
      <c r="AO9749" s="10"/>
      <c r="AP9749" s="10"/>
      <c r="AQ9749" s="10"/>
      <c r="AR9749" s="10"/>
      <c r="AS9749" s="10"/>
      <c r="AT9749" s="10"/>
      <c r="AU9749" s="10"/>
      <c r="AV9749" s="10"/>
      <c r="AW9749" s="10"/>
      <c r="AX9749" s="10"/>
      <c r="AY9749" s="10"/>
      <c r="AZ9749" s="10"/>
    </row>
    <row r="9750" spans="31:52">
      <c r="AE9750" s="10"/>
      <c r="AF9750" s="10"/>
      <c r="AG9750" s="10"/>
      <c r="AH9750" s="10"/>
      <c r="AI9750" s="10"/>
      <c r="AJ9750" s="10"/>
      <c r="AK9750" s="10"/>
      <c r="AL9750" s="10"/>
      <c r="AM9750" s="10"/>
      <c r="AN9750" s="10"/>
      <c r="AO9750" s="10"/>
      <c r="AP9750" s="10"/>
      <c r="AQ9750" s="10"/>
      <c r="AR9750" s="10"/>
      <c r="AS9750" s="10"/>
      <c r="AT9750" s="10"/>
      <c r="AU9750" s="10"/>
      <c r="AV9750" s="10"/>
      <c r="AW9750" s="10"/>
      <c r="AX9750" s="10"/>
      <c r="AY9750" s="10"/>
      <c r="AZ9750" s="10"/>
    </row>
    <row r="9751" spans="31:52">
      <c r="AE9751" s="10"/>
      <c r="AF9751" s="10"/>
      <c r="AG9751" s="10"/>
      <c r="AH9751" s="10"/>
      <c r="AI9751" s="10"/>
      <c r="AJ9751" s="10"/>
      <c r="AK9751" s="10"/>
      <c r="AL9751" s="10"/>
      <c r="AM9751" s="10"/>
      <c r="AN9751" s="10"/>
      <c r="AO9751" s="10"/>
      <c r="AP9751" s="10"/>
      <c r="AQ9751" s="10"/>
      <c r="AR9751" s="10"/>
      <c r="AS9751" s="10"/>
      <c r="AT9751" s="10"/>
      <c r="AU9751" s="10"/>
      <c r="AV9751" s="10"/>
      <c r="AW9751" s="10"/>
      <c r="AX9751" s="10"/>
      <c r="AY9751" s="10"/>
      <c r="AZ9751" s="10"/>
    </row>
    <row r="9752" spans="31:52">
      <c r="AE9752" s="10"/>
      <c r="AF9752" s="10"/>
      <c r="AG9752" s="10"/>
      <c r="AH9752" s="10"/>
      <c r="AI9752" s="10"/>
      <c r="AJ9752" s="10"/>
      <c r="AK9752" s="10"/>
      <c r="AL9752" s="10"/>
      <c r="AM9752" s="10"/>
      <c r="AN9752" s="10"/>
      <c r="AO9752" s="10"/>
      <c r="AP9752" s="10"/>
      <c r="AQ9752" s="10"/>
      <c r="AR9752" s="10"/>
      <c r="AS9752" s="10"/>
      <c r="AT9752" s="10"/>
      <c r="AU9752" s="10"/>
      <c r="AV9752" s="10"/>
      <c r="AW9752" s="10"/>
      <c r="AX9752" s="10"/>
      <c r="AY9752" s="10"/>
      <c r="AZ9752" s="10"/>
    </row>
    <row r="9753" spans="31:52">
      <c r="AE9753" s="10"/>
      <c r="AF9753" s="10"/>
      <c r="AG9753" s="10"/>
      <c r="AH9753" s="10"/>
      <c r="AI9753" s="10"/>
      <c r="AJ9753" s="10"/>
      <c r="AK9753" s="10"/>
      <c r="AL9753" s="10"/>
      <c r="AM9753" s="10"/>
      <c r="AN9753" s="10"/>
      <c r="AO9753" s="10"/>
      <c r="AP9753" s="10"/>
      <c r="AQ9753" s="10"/>
      <c r="AR9753" s="10"/>
      <c r="AS9753" s="10"/>
      <c r="AT9753" s="10"/>
      <c r="AU9753" s="10"/>
      <c r="AV9753" s="10"/>
      <c r="AW9753" s="10"/>
      <c r="AX9753" s="10"/>
      <c r="AY9753" s="10"/>
      <c r="AZ9753" s="10"/>
    </row>
    <row r="9754" spans="31:52">
      <c r="AE9754" s="10"/>
      <c r="AF9754" s="10"/>
      <c r="AG9754" s="10"/>
      <c r="AH9754" s="10"/>
      <c r="AI9754" s="10"/>
      <c r="AJ9754" s="10"/>
      <c r="AK9754" s="10"/>
      <c r="AL9754" s="10"/>
      <c r="AM9754" s="10"/>
      <c r="AN9754" s="10"/>
      <c r="AO9754" s="10"/>
      <c r="AP9754" s="10"/>
      <c r="AQ9754" s="10"/>
      <c r="AR9754" s="10"/>
      <c r="AS9754" s="10"/>
      <c r="AT9754" s="10"/>
      <c r="AU9754" s="10"/>
      <c r="AV9754" s="10"/>
      <c r="AW9754" s="10"/>
      <c r="AX9754" s="10"/>
      <c r="AY9754" s="10"/>
      <c r="AZ9754" s="10"/>
    </row>
    <row r="9755" spans="31:52">
      <c r="AE9755" s="10"/>
      <c r="AF9755" s="10"/>
      <c r="AG9755" s="10"/>
      <c r="AH9755" s="10"/>
      <c r="AI9755" s="10"/>
      <c r="AJ9755" s="10"/>
      <c r="AK9755" s="10"/>
      <c r="AL9755" s="10"/>
      <c r="AM9755" s="10"/>
      <c r="AN9755" s="10"/>
      <c r="AO9755" s="10"/>
      <c r="AP9755" s="10"/>
      <c r="AQ9755" s="10"/>
      <c r="AR9755" s="10"/>
      <c r="AS9755" s="10"/>
      <c r="AT9755" s="10"/>
      <c r="AU9755" s="10"/>
      <c r="AV9755" s="10"/>
      <c r="AW9755" s="10"/>
      <c r="AX9755" s="10"/>
      <c r="AY9755" s="10"/>
      <c r="AZ9755" s="10"/>
    </row>
    <row r="9756" spans="31:52">
      <c r="AE9756" s="10"/>
      <c r="AF9756" s="10"/>
      <c r="AG9756" s="10"/>
      <c r="AH9756" s="10"/>
      <c r="AI9756" s="10"/>
      <c r="AJ9756" s="10"/>
      <c r="AK9756" s="10"/>
      <c r="AL9756" s="10"/>
      <c r="AM9756" s="10"/>
      <c r="AN9756" s="10"/>
      <c r="AO9756" s="10"/>
      <c r="AP9756" s="10"/>
      <c r="AQ9756" s="10"/>
      <c r="AR9756" s="10"/>
      <c r="AS9756" s="10"/>
      <c r="AT9756" s="10"/>
      <c r="AU9756" s="10"/>
      <c r="AV9756" s="10"/>
      <c r="AW9756" s="10"/>
      <c r="AX9756" s="10"/>
      <c r="AY9756" s="10"/>
      <c r="AZ9756" s="10"/>
    </row>
    <row r="9757" spans="31:52">
      <c r="AE9757" s="10"/>
      <c r="AF9757" s="10"/>
      <c r="AG9757" s="10"/>
      <c r="AH9757" s="10"/>
      <c r="AI9757" s="10"/>
      <c r="AJ9757" s="10"/>
      <c r="AK9757" s="10"/>
      <c r="AL9757" s="10"/>
      <c r="AM9757" s="10"/>
      <c r="AN9757" s="10"/>
      <c r="AO9757" s="10"/>
      <c r="AP9757" s="10"/>
      <c r="AQ9757" s="10"/>
      <c r="AR9757" s="10"/>
      <c r="AS9757" s="10"/>
      <c r="AT9757" s="10"/>
      <c r="AU9757" s="10"/>
      <c r="AV9757" s="10"/>
      <c r="AW9757" s="10"/>
      <c r="AX9757" s="10"/>
      <c r="AY9757" s="10"/>
      <c r="AZ9757" s="10"/>
    </row>
    <row r="9758" spans="31:52">
      <c r="AE9758" s="10"/>
      <c r="AF9758" s="10"/>
      <c r="AG9758" s="10"/>
      <c r="AH9758" s="10"/>
      <c r="AI9758" s="10"/>
      <c r="AJ9758" s="10"/>
      <c r="AK9758" s="10"/>
      <c r="AL9758" s="10"/>
      <c r="AM9758" s="10"/>
      <c r="AN9758" s="10"/>
      <c r="AO9758" s="10"/>
      <c r="AP9758" s="10"/>
      <c r="AQ9758" s="10"/>
      <c r="AR9758" s="10"/>
      <c r="AS9758" s="10"/>
      <c r="AT9758" s="10"/>
      <c r="AU9758" s="10"/>
      <c r="AV9758" s="10"/>
      <c r="AW9758" s="10"/>
      <c r="AX9758" s="10"/>
      <c r="AY9758" s="10"/>
      <c r="AZ9758" s="10"/>
    </row>
    <row r="9759" spans="31:52">
      <c r="AE9759" s="10"/>
      <c r="AF9759" s="10"/>
      <c r="AG9759" s="10"/>
      <c r="AH9759" s="10"/>
      <c r="AI9759" s="10"/>
      <c r="AJ9759" s="10"/>
      <c r="AK9759" s="10"/>
      <c r="AL9759" s="10"/>
      <c r="AM9759" s="10"/>
      <c r="AN9759" s="10"/>
      <c r="AO9759" s="10"/>
      <c r="AP9759" s="10"/>
      <c r="AQ9759" s="10"/>
      <c r="AR9759" s="10"/>
      <c r="AS9759" s="10"/>
      <c r="AT9759" s="10"/>
      <c r="AU9759" s="10"/>
      <c r="AV9759" s="10"/>
      <c r="AW9759" s="10"/>
      <c r="AX9759" s="10"/>
      <c r="AY9759" s="10"/>
      <c r="AZ9759" s="10"/>
    </row>
    <row r="9760" spans="31:52">
      <c r="AE9760" s="10"/>
      <c r="AF9760" s="10"/>
      <c r="AG9760" s="10"/>
      <c r="AH9760" s="10"/>
      <c r="AI9760" s="10"/>
      <c r="AJ9760" s="10"/>
      <c r="AK9760" s="10"/>
      <c r="AL9760" s="10"/>
      <c r="AM9760" s="10"/>
      <c r="AN9760" s="10"/>
      <c r="AO9760" s="10"/>
      <c r="AP9760" s="10"/>
      <c r="AQ9760" s="10"/>
      <c r="AR9760" s="10"/>
      <c r="AS9760" s="10"/>
      <c r="AT9760" s="10"/>
      <c r="AU9760" s="10"/>
      <c r="AV9760" s="10"/>
      <c r="AW9760" s="10"/>
      <c r="AX9760" s="10"/>
      <c r="AY9760" s="10"/>
      <c r="AZ9760" s="10"/>
    </row>
    <row r="9761" spans="31:52">
      <c r="AE9761" s="10"/>
      <c r="AF9761" s="10"/>
      <c r="AG9761" s="10"/>
      <c r="AH9761" s="10"/>
      <c r="AI9761" s="10"/>
      <c r="AJ9761" s="10"/>
      <c r="AK9761" s="10"/>
      <c r="AL9761" s="10"/>
      <c r="AM9761" s="10"/>
      <c r="AN9761" s="10"/>
      <c r="AO9761" s="10"/>
      <c r="AP9761" s="10"/>
      <c r="AQ9761" s="10"/>
      <c r="AR9761" s="10"/>
      <c r="AS9761" s="10"/>
      <c r="AT9761" s="10"/>
      <c r="AU9761" s="10"/>
      <c r="AV9761" s="10"/>
      <c r="AW9761" s="10"/>
      <c r="AX9761" s="10"/>
      <c r="AY9761" s="10"/>
      <c r="AZ9761" s="10"/>
    </row>
    <row r="9762" spans="31:52">
      <c r="AE9762" s="10"/>
      <c r="AF9762" s="10"/>
      <c r="AG9762" s="10"/>
      <c r="AH9762" s="10"/>
      <c r="AI9762" s="10"/>
      <c r="AJ9762" s="10"/>
      <c r="AK9762" s="10"/>
      <c r="AL9762" s="10"/>
      <c r="AM9762" s="10"/>
      <c r="AN9762" s="10"/>
      <c r="AO9762" s="10"/>
      <c r="AP9762" s="10"/>
      <c r="AQ9762" s="10"/>
      <c r="AR9762" s="10"/>
      <c r="AS9762" s="10"/>
      <c r="AT9762" s="10"/>
      <c r="AU9762" s="10"/>
      <c r="AV9762" s="10"/>
      <c r="AW9762" s="10"/>
      <c r="AX9762" s="10"/>
      <c r="AY9762" s="10"/>
      <c r="AZ9762" s="10"/>
    </row>
    <row r="9763" spans="31:52">
      <c r="AE9763" s="10"/>
      <c r="AF9763" s="10"/>
      <c r="AG9763" s="10"/>
      <c r="AH9763" s="10"/>
      <c r="AI9763" s="10"/>
      <c r="AJ9763" s="10"/>
      <c r="AK9763" s="10"/>
      <c r="AL9763" s="10"/>
      <c r="AM9763" s="10"/>
      <c r="AN9763" s="10"/>
      <c r="AO9763" s="10"/>
      <c r="AP9763" s="10"/>
      <c r="AQ9763" s="10"/>
      <c r="AR9763" s="10"/>
      <c r="AS9763" s="10"/>
      <c r="AT9763" s="10"/>
      <c r="AU9763" s="10"/>
      <c r="AV9763" s="10"/>
      <c r="AW9763" s="10"/>
      <c r="AX9763" s="10"/>
      <c r="AY9763" s="10"/>
      <c r="AZ9763" s="10"/>
    </row>
    <row r="9764" spans="31:52">
      <c r="AE9764" s="10"/>
      <c r="AF9764" s="10"/>
      <c r="AG9764" s="10"/>
      <c r="AH9764" s="10"/>
      <c r="AI9764" s="10"/>
      <c r="AJ9764" s="10"/>
      <c r="AK9764" s="10"/>
      <c r="AL9764" s="10"/>
      <c r="AM9764" s="10"/>
      <c r="AN9764" s="10"/>
      <c r="AO9764" s="10"/>
      <c r="AP9764" s="10"/>
      <c r="AQ9764" s="10"/>
      <c r="AR9764" s="10"/>
      <c r="AS9764" s="10"/>
      <c r="AT9764" s="10"/>
      <c r="AU9764" s="10"/>
      <c r="AV9764" s="10"/>
      <c r="AW9764" s="10"/>
      <c r="AX9764" s="10"/>
      <c r="AY9764" s="10"/>
      <c r="AZ9764" s="10"/>
    </row>
    <row r="9765" spans="31:52">
      <c r="AE9765" s="10"/>
      <c r="AF9765" s="10"/>
      <c r="AG9765" s="10"/>
      <c r="AH9765" s="10"/>
      <c r="AI9765" s="10"/>
      <c r="AJ9765" s="10"/>
      <c r="AK9765" s="10"/>
      <c r="AL9765" s="10"/>
      <c r="AM9765" s="10"/>
      <c r="AN9765" s="10"/>
      <c r="AO9765" s="10"/>
      <c r="AP9765" s="10"/>
      <c r="AQ9765" s="10"/>
      <c r="AR9765" s="10"/>
      <c r="AS9765" s="10"/>
      <c r="AT9765" s="10"/>
      <c r="AU9765" s="10"/>
      <c r="AV9765" s="10"/>
      <c r="AW9765" s="10"/>
      <c r="AX9765" s="10"/>
      <c r="AY9765" s="10"/>
      <c r="AZ9765" s="10"/>
    </row>
    <row r="9766" spans="31:52">
      <c r="AE9766" s="10"/>
      <c r="AF9766" s="10"/>
      <c r="AG9766" s="10"/>
      <c r="AH9766" s="10"/>
      <c r="AI9766" s="10"/>
      <c r="AJ9766" s="10"/>
      <c r="AK9766" s="10"/>
      <c r="AL9766" s="10"/>
      <c r="AM9766" s="10"/>
      <c r="AN9766" s="10"/>
      <c r="AO9766" s="10"/>
      <c r="AP9766" s="10"/>
      <c r="AQ9766" s="10"/>
      <c r="AR9766" s="10"/>
      <c r="AS9766" s="10"/>
      <c r="AT9766" s="10"/>
      <c r="AU9766" s="10"/>
      <c r="AV9766" s="10"/>
      <c r="AW9766" s="10"/>
      <c r="AX9766" s="10"/>
      <c r="AY9766" s="10"/>
      <c r="AZ9766" s="10"/>
    </row>
    <row r="9767" spans="31:52">
      <c r="AE9767" s="10"/>
      <c r="AF9767" s="10"/>
      <c r="AG9767" s="10"/>
      <c r="AH9767" s="10"/>
      <c r="AI9767" s="10"/>
      <c r="AJ9767" s="10"/>
      <c r="AK9767" s="10"/>
      <c r="AL9767" s="10"/>
      <c r="AM9767" s="10"/>
      <c r="AN9767" s="10"/>
      <c r="AO9767" s="10"/>
      <c r="AP9767" s="10"/>
      <c r="AQ9767" s="10"/>
      <c r="AR9767" s="10"/>
      <c r="AS9767" s="10"/>
      <c r="AT9767" s="10"/>
      <c r="AU9767" s="10"/>
      <c r="AV9767" s="10"/>
      <c r="AW9767" s="10"/>
      <c r="AX9767" s="10"/>
      <c r="AY9767" s="10"/>
      <c r="AZ9767" s="10"/>
    </row>
    <row r="9768" spans="31:52">
      <c r="AE9768" s="10"/>
      <c r="AF9768" s="10"/>
      <c r="AG9768" s="10"/>
      <c r="AH9768" s="10"/>
      <c r="AI9768" s="10"/>
      <c r="AJ9768" s="10"/>
      <c r="AK9768" s="10"/>
      <c r="AL9768" s="10"/>
      <c r="AM9768" s="10"/>
      <c r="AN9768" s="10"/>
      <c r="AO9768" s="10"/>
      <c r="AP9768" s="10"/>
      <c r="AQ9768" s="10"/>
      <c r="AR9768" s="10"/>
      <c r="AS9768" s="10"/>
      <c r="AT9768" s="10"/>
      <c r="AU9768" s="10"/>
      <c r="AV9768" s="10"/>
      <c r="AW9768" s="10"/>
      <c r="AX9768" s="10"/>
      <c r="AY9768" s="10"/>
      <c r="AZ9768" s="10"/>
    </row>
    <row r="9769" spans="31:52">
      <c r="AE9769" s="10"/>
      <c r="AF9769" s="10"/>
      <c r="AG9769" s="10"/>
      <c r="AH9769" s="10"/>
      <c r="AI9769" s="10"/>
      <c r="AJ9769" s="10"/>
      <c r="AK9769" s="10"/>
      <c r="AL9769" s="10"/>
      <c r="AM9769" s="10"/>
      <c r="AN9769" s="10"/>
      <c r="AO9769" s="10"/>
      <c r="AP9769" s="10"/>
      <c r="AQ9769" s="10"/>
      <c r="AR9769" s="10"/>
      <c r="AS9769" s="10"/>
      <c r="AT9769" s="10"/>
      <c r="AU9769" s="10"/>
      <c r="AV9769" s="10"/>
      <c r="AW9769" s="10"/>
      <c r="AX9769" s="10"/>
      <c r="AY9769" s="10"/>
      <c r="AZ9769" s="10"/>
    </row>
    <row r="9770" spans="31:52">
      <c r="AE9770" s="10"/>
      <c r="AF9770" s="10"/>
      <c r="AG9770" s="10"/>
      <c r="AH9770" s="10"/>
      <c r="AI9770" s="10"/>
      <c r="AJ9770" s="10"/>
      <c r="AK9770" s="10"/>
      <c r="AL9770" s="10"/>
      <c r="AM9770" s="10"/>
      <c r="AN9770" s="10"/>
      <c r="AO9770" s="10"/>
      <c r="AP9770" s="10"/>
      <c r="AQ9770" s="10"/>
      <c r="AR9770" s="10"/>
      <c r="AS9770" s="10"/>
      <c r="AT9770" s="10"/>
      <c r="AU9770" s="10"/>
      <c r="AV9770" s="10"/>
      <c r="AW9770" s="10"/>
      <c r="AX9770" s="10"/>
      <c r="AY9770" s="10"/>
      <c r="AZ9770" s="10"/>
    </row>
    <row r="9771" spans="31:52">
      <c r="AE9771" s="10"/>
      <c r="AF9771" s="10"/>
      <c r="AG9771" s="10"/>
      <c r="AH9771" s="10"/>
      <c r="AI9771" s="10"/>
      <c r="AJ9771" s="10"/>
      <c r="AK9771" s="10"/>
      <c r="AL9771" s="10"/>
      <c r="AM9771" s="10"/>
      <c r="AN9771" s="10"/>
      <c r="AO9771" s="10"/>
      <c r="AP9771" s="10"/>
      <c r="AQ9771" s="10"/>
      <c r="AR9771" s="10"/>
      <c r="AS9771" s="10"/>
      <c r="AT9771" s="10"/>
      <c r="AU9771" s="10"/>
      <c r="AV9771" s="10"/>
      <c r="AW9771" s="10"/>
      <c r="AX9771" s="10"/>
      <c r="AY9771" s="10"/>
      <c r="AZ9771" s="10"/>
    </row>
    <row r="9772" spans="31:52">
      <c r="AE9772" s="10"/>
      <c r="AF9772" s="10"/>
      <c r="AG9772" s="10"/>
      <c r="AH9772" s="10"/>
      <c r="AI9772" s="10"/>
      <c r="AJ9772" s="10"/>
      <c r="AK9772" s="10"/>
      <c r="AL9772" s="10"/>
      <c r="AM9772" s="10"/>
      <c r="AN9772" s="10"/>
      <c r="AO9772" s="10"/>
      <c r="AP9772" s="10"/>
      <c r="AQ9772" s="10"/>
      <c r="AR9772" s="10"/>
      <c r="AS9772" s="10"/>
      <c r="AT9772" s="10"/>
      <c r="AU9772" s="10"/>
      <c r="AV9772" s="10"/>
      <c r="AW9772" s="10"/>
      <c r="AX9772" s="10"/>
      <c r="AY9772" s="10"/>
      <c r="AZ9772" s="10"/>
    </row>
    <row r="9773" spans="31:52">
      <c r="AE9773" s="10"/>
      <c r="AF9773" s="10"/>
      <c r="AG9773" s="10"/>
      <c r="AH9773" s="10"/>
      <c r="AI9773" s="10"/>
      <c r="AJ9773" s="10"/>
      <c r="AK9773" s="10"/>
      <c r="AL9773" s="10"/>
      <c r="AM9773" s="10"/>
      <c r="AN9773" s="10"/>
      <c r="AO9773" s="10"/>
      <c r="AP9773" s="10"/>
      <c r="AQ9773" s="10"/>
      <c r="AR9773" s="10"/>
      <c r="AS9773" s="10"/>
      <c r="AT9773" s="10"/>
      <c r="AU9773" s="10"/>
      <c r="AV9773" s="10"/>
      <c r="AW9773" s="10"/>
      <c r="AX9773" s="10"/>
      <c r="AY9773" s="10"/>
      <c r="AZ9773" s="10"/>
    </row>
    <row r="9774" spans="31:52">
      <c r="AE9774" s="10"/>
      <c r="AF9774" s="10"/>
      <c r="AG9774" s="10"/>
      <c r="AH9774" s="10"/>
      <c r="AI9774" s="10"/>
      <c r="AJ9774" s="10"/>
      <c r="AK9774" s="10"/>
      <c r="AL9774" s="10"/>
      <c r="AM9774" s="10"/>
      <c r="AN9774" s="10"/>
      <c r="AO9774" s="10"/>
      <c r="AP9774" s="10"/>
      <c r="AQ9774" s="10"/>
      <c r="AR9774" s="10"/>
      <c r="AS9774" s="10"/>
      <c r="AT9774" s="10"/>
      <c r="AU9774" s="10"/>
      <c r="AV9774" s="10"/>
      <c r="AW9774" s="10"/>
      <c r="AX9774" s="10"/>
      <c r="AY9774" s="10"/>
      <c r="AZ9774" s="10"/>
    </row>
    <row r="9775" spans="31:52">
      <c r="AE9775" s="10"/>
      <c r="AF9775" s="10"/>
      <c r="AG9775" s="10"/>
      <c r="AH9775" s="10"/>
      <c r="AI9775" s="10"/>
      <c r="AJ9775" s="10"/>
      <c r="AK9775" s="10"/>
      <c r="AL9775" s="10"/>
      <c r="AM9775" s="10"/>
      <c r="AN9775" s="10"/>
      <c r="AO9775" s="10"/>
      <c r="AP9775" s="10"/>
      <c r="AQ9775" s="10"/>
      <c r="AR9775" s="10"/>
      <c r="AS9775" s="10"/>
      <c r="AT9775" s="10"/>
      <c r="AU9775" s="10"/>
      <c r="AV9775" s="10"/>
      <c r="AW9775" s="10"/>
      <c r="AX9775" s="10"/>
      <c r="AY9775" s="10"/>
      <c r="AZ9775" s="10"/>
    </row>
    <row r="9776" spans="31:52">
      <c r="AE9776" s="10"/>
      <c r="AF9776" s="10"/>
      <c r="AG9776" s="10"/>
      <c r="AH9776" s="10"/>
      <c r="AI9776" s="10"/>
      <c r="AJ9776" s="10"/>
      <c r="AK9776" s="10"/>
      <c r="AL9776" s="10"/>
      <c r="AM9776" s="10"/>
      <c r="AN9776" s="10"/>
      <c r="AO9776" s="10"/>
      <c r="AP9776" s="10"/>
      <c r="AQ9776" s="10"/>
      <c r="AR9776" s="10"/>
      <c r="AS9776" s="10"/>
      <c r="AT9776" s="10"/>
      <c r="AU9776" s="10"/>
      <c r="AV9776" s="10"/>
      <c r="AW9776" s="10"/>
      <c r="AX9776" s="10"/>
      <c r="AY9776" s="10"/>
      <c r="AZ9776" s="10"/>
    </row>
    <row r="9777" spans="31:52">
      <c r="AE9777" s="10"/>
      <c r="AF9777" s="10"/>
      <c r="AG9777" s="10"/>
      <c r="AH9777" s="10"/>
      <c r="AI9777" s="10"/>
      <c r="AJ9777" s="10"/>
      <c r="AK9777" s="10"/>
      <c r="AL9777" s="10"/>
      <c r="AM9777" s="10"/>
      <c r="AN9777" s="10"/>
      <c r="AO9777" s="10"/>
      <c r="AP9777" s="10"/>
      <c r="AQ9777" s="10"/>
      <c r="AR9777" s="10"/>
      <c r="AS9777" s="10"/>
      <c r="AT9777" s="10"/>
      <c r="AU9777" s="10"/>
      <c r="AV9777" s="10"/>
      <c r="AW9777" s="10"/>
      <c r="AX9777" s="10"/>
      <c r="AY9777" s="10"/>
      <c r="AZ9777" s="10"/>
    </row>
    <row r="9778" spans="31:52">
      <c r="AE9778" s="10"/>
      <c r="AF9778" s="10"/>
      <c r="AG9778" s="10"/>
      <c r="AH9778" s="10"/>
      <c r="AI9778" s="10"/>
      <c r="AJ9778" s="10"/>
      <c r="AK9778" s="10"/>
      <c r="AL9778" s="10"/>
      <c r="AM9778" s="10"/>
      <c r="AN9778" s="10"/>
      <c r="AO9778" s="10"/>
      <c r="AP9778" s="10"/>
      <c r="AQ9778" s="10"/>
      <c r="AR9778" s="10"/>
      <c r="AS9778" s="10"/>
      <c r="AT9778" s="10"/>
      <c r="AU9778" s="10"/>
      <c r="AV9778" s="10"/>
      <c r="AW9778" s="10"/>
      <c r="AX9778" s="10"/>
      <c r="AY9778" s="10"/>
      <c r="AZ9778" s="10"/>
    </row>
    <row r="9779" spans="31:52">
      <c r="AE9779" s="10"/>
      <c r="AF9779" s="10"/>
      <c r="AG9779" s="10"/>
      <c r="AH9779" s="10"/>
      <c r="AI9779" s="10"/>
      <c r="AJ9779" s="10"/>
      <c r="AK9779" s="10"/>
      <c r="AL9779" s="10"/>
      <c r="AM9779" s="10"/>
      <c r="AN9779" s="10"/>
      <c r="AO9779" s="10"/>
      <c r="AP9779" s="10"/>
      <c r="AQ9779" s="10"/>
      <c r="AR9779" s="10"/>
      <c r="AS9779" s="10"/>
      <c r="AT9779" s="10"/>
      <c r="AU9779" s="10"/>
      <c r="AV9779" s="10"/>
      <c r="AW9779" s="10"/>
      <c r="AX9779" s="10"/>
      <c r="AY9779" s="10"/>
      <c r="AZ9779" s="10"/>
    </row>
    <row r="9780" spans="31:52">
      <c r="AE9780" s="10"/>
      <c r="AF9780" s="10"/>
      <c r="AG9780" s="10"/>
      <c r="AH9780" s="10"/>
      <c r="AI9780" s="10"/>
      <c r="AJ9780" s="10"/>
      <c r="AK9780" s="10"/>
      <c r="AL9780" s="10"/>
      <c r="AM9780" s="10"/>
      <c r="AN9780" s="10"/>
      <c r="AO9780" s="10"/>
      <c r="AP9780" s="10"/>
      <c r="AQ9780" s="10"/>
      <c r="AR9780" s="10"/>
      <c r="AS9780" s="10"/>
      <c r="AT9780" s="10"/>
      <c r="AU9780" s="10"/>
      <c r="AV9780" s="10"/>
      <c r="AW9780" s="10"/>
      <c r="AX9780" s="10"/>
      <c r="AY9780" s="10"/>
      <c r="AZ9780" s="10"/>
    </row>
    <row r="9781" spans="31:52">
      <c r="AE9781" s="10"/>
      <c r="AF9781" s="10"/>
      <c r="AG9781" s="10"/>
      <c r="AH9781" s="10"/>
      <c r="AI9781" s="10"/>
      <c r="AJ9781" s="10"/>
      <c r="AK9781" s="10"/>
      <c r="AL9781" s="10"/>
      <c r="AM9781" s="10"/>
      <c r="AN9781" s="10"/>
      <c r="AO9781" s="10"/>
      <c r="AP9781" s="10"/>
      <c r="AQ9781" s="10"/>
      <c r="AR9781" s="10"/>
      <c r="AS9781" s="10"/>
      <c r="AT9781" s="10"/>
      <c r="AU9781" s="10"/>
      <c r="AV9781" s="10"/>
      <c r="AW9781" s="10"/>
      <c r="AX9781" s="10"/>
      <c r="AY9781" s="10"/>
      <c r="AZ9781" s="10"/>
    </row>
    <row r="9782" spans="31:52">
      <c r="AE9782" s="10"/>
      <c r="AF9782" s="10"/>
      <c r="AG9782" s="10"/>
      <c r="AH9782" s="10"/>
      <c r="AI9782" s="10"/>
      <c r="AJ9782" s="10"/>
      <c r="AK9782" s="10"/>
      <c r="AL9782" s="10"/>
      <c r="AM9782" s="10"/>
      <c r="AN9782" s="10"/>
      <c r="AO9782" s="10"/>
      <c r="AP9782" s="10"/>
      <c r="AQ9782" s="10"/>
      <c r="AR9782" s="10"/>
      <c r="AS9782" s="10"/>
      <c r="AT9782" s="10"/>
      <c r="AU9782" s="10"/>
      <c r="AV9782" s="10"/>
      <c r="AW9782" s="10"/>
      <c r="AX9782" s="10"/>
      <c r="AY9782" s="10"/>
      <c r="AZ9782" s="10"/>
    </row>
    <row r="9783" spans="31:52">
      <c r="AE9783" s="10"/>
      <c r="AF9783" s="10"/>
      <c r="AG9783" s="10"/>
      <c r="AH9783" s="10"/>
      <c r="AI9783" s="10"/>
      <c r="AJ9783" s="10"/>
      <c r="AK9783" s="10"/>
      <c r="AL9783" s="10"/>
      <c r="AM9783" s="10"/>
      <c r="AN9783" s="10"/>
      <c r="AO9783" s="10"/>
      <c r="AP9783" s="10"/>
      <c r="AQ9783" s="10"/>
      <c r="AR9783" s="10"/>
      <c r="AS9783" s="10"/>
      <c r="AT9783" s="10"/>
      <c r="AU9783" s="10"/>
      <c r="AV9783" s="10"/>
      <c r="AW9783" s="10"/>
      <c r="AX9783" s="10"/>
      <c r="AY9783" s="10"/>
      <c r="AZ9783" s="10"/>
    </row>
    <row r="9784" spans="31:52">
      <c r="AE9784" s="10"/>
      <c r="AF9784" s="10"/>
      <c r="AG9784" s="10"/>
      <c r="AH9784" s="10"/>
      <c r="AI9784" s="10"/>
      <c r="AJ9784" s="10"/>
      <c r="AK9784" s="10"/>
      <c r="AL9784" s="10"/>
      <c r="AM9784" s="10"/>
      <c r="AN9784" s="10"/>
      <c r="AO9784" s="10"/>
      <c r="AP9784" s="10"/>
      <c r="AQ9784" s="10"/>
      <c r="AR9784" s="10"/>
      <c r="AS9784" s="10"/>
      <c r="AT9784" s="10"/>
      <c r="AU9784" s="10"/>
      <c r="AV9784" s="10"/>
      <c r="AW9784" s="10"/>
      <c r="AX9784" s="10"/>
      <c r="AY9784" s="10"/>
      <c r="AZ9784" s="10"/>
    </row>
    <row r="9785" spans="31:52">
      <c r="AE9785" s="10"/>
      <c r="AF9785" s="10"/>
      <c r="AG9785" s="10"/>
      <c r="AH9785" s="10"/>
      <c r="AI9785" s="10"/>
      <c r="AJ9785" s="10"/>
      <c r="AK9785" s="10"/>
      <c r="AL9785" s="10"/>
      <c r="AM9785" s="10"/>
      <c r="AN9785" s="10"/>
      <c r="AO9785" s="10"/>
      <c r="AP9785" s="10"/>
      <c r="AQ9785" s="10"/>
      <c r="AR9785" s="10"/>
      <c r="AS9785" s="10"/>
      <c r="AT9785" s="10"/>
      <c r="AU9785" s="10"/>
      <c r="AV9785" s="10"/>
      <c r="AW9785" s="10"/>
      <c r="AX9785" s="10"/>
      <c r="AY9785" s="10"/>
      <c r="AZ9785" s="10"/>
    </row>
    <row r="9786" spans="31:52">
      <c r="AE9786" s="10"/>
      <c r="AF9786" s="10"/>
      <c r="AG9786" s="10"/>
      <c r="AH9786" s="10"/>
      <c r="AI9786" s="10"/>
      <c r="AJ9786" s="10"/>
      <c r="AK9786" s="10"/>
      <c r="AL9786" s="10"/>
      <c r="AM9786" s="10"/>
      <c r="AN9786" s="10"/>
      <c r="AO9786" s="10"/>
      <c r="AP9786" s="10"/>
      <c r="AQ9786" s="10"/>
      <c r="AR9786" s="10"/>
      <c r="AS9786" s="10"/>
      <c r="AT9786" s="10"/>
      <c r="AU9786" s="10"/>
      <c r="AV9786" s="10"/>
      <c r="AW9786" s="10"/>
      <c r="AX9786" s="10"/>
      <c r="AY9786" s="10"/>
      <c r="AZ9786" s="10"/>
    </row>
    <row r="9787" spans="31:52">
      <c r="AE9787" s="10"/>
      <c r="AF9787" s="10"/>
      <c r="AG9787" s="10"/>
      <c r="AH9787" s="10"/>
      <c r="AI9787" s="10"/>
      <c r="AJ9787" s="10"/>
      <c r="AK9787" s="10"/>
      <c r="AL9787" s="10"/>
      <c r="AM9787" s="10"/>
      <c r="AN9787" s="10"/>
      <c r="AO9787" s="10"/>
      <c r="AP9787" s="10"/>
      <c r="AQ9787" s="10"/>
      <c r="AR9787" s="10"/>
      <c r="AS9787" s="10"/>
      <c r="AT9787" s="10"/>
      <c r="AU9787" s="10"/>
      <c r="AV9787" s="10"/>
      <c r="AW9787" s="10"/>
      <c r="AX9787" s="10"/>
      <c r="AY9787" s="10"/>
      <c r="AZ9787" s="10"/>
    </row>
    <row r="9788" spans="31:52">
      <c r="AE9788" s="10"/>
      <c r="AF9788" s="10"/>
      <c r="AG9788" s="10"/>
      <c r="AH9788" s="10"/>
      <c r="AI9788" s="10"/>
      <c r="AJ9788" s="10"/>
      <c r="AK9788" s="10"/>
      <c r="AL9788" s="10"/>
      <c r="AM9788" s="10"/>
      <c r="AN9788" s="10"/>
      <c r="AO9788" s="10"/>
      <c r="AP9788" s="10"/>
      <c r="AQ9788" s="10"/>
      <c r="AR9788" s="10"/>
      <c r="AS9788" s="10"/>
      <c r="AT9788" s="10"/>
      <c r="AU9788" s="10"/>
      <c r="AV9788" s="10"/>
      <c r="AW9788" s="10"/>
      <c r="AX9788" s="10"/>
      <c r="AY9788" s="10"/>
      <c r="AZ9788" s="10"/>
    </row>
    <row r="9789" spans="31:52">
      <c r="AE9789" s="10"/>
      <c r="AF9789" s="10"/>
      <c r="AG9789" s="10"/>
      <c r="AH9789" s="10"/>
      <c r="AI9789" s="10"/>
      <c r="AJ9789" s="10"/>
      <c r="AK9789" s="10"/>
      <c r="AL9789" s="10"/>
      <c r="AM9789" s="10"/>
      <c r="AN9789" s="10"/>
      <c r="AO9789" s="10"/>
      <c r="AP9789" s="10"/>
      <c r="AQ9789" s="10"/>
      <c r="AR9789" s="10"/>
      <c r="AS9789" s="10"/>
      <c r="AT9789" s="10"/>
      <c r="AU9789" s="10"/>
      <c r="AV9789" s="10"/>
      <c r="AW9789" s="10"/>
      <c r="AX9789" s="10"/>
      <c r="AY9789" s="10"/>
      <c r="AZ9789" s="10"/>
    </row>
    <row r="9790" spans="31:52">
      <c r="AE9790" s="10"/>
      <c r="AF9790" s="10"/>
      <c r="AG9790" s="10"/>
      <c r="AH9790" s="10"/>
      <c r="AI9790" s="10"/>
      <c r="AJ9790" s="10"/>
      <c r="AK9790" s="10"/>
      <c r="AL9790" s="10"/>
      <c r="AM9790" s="10"/>
      <c r="AN9790" s="10"/>
      <c r="AO9790" s="10"/>
      <c r="AP9790" s="10"/>
      <c r="AQ9790" s="10"/>
      <c r="AR9790" s="10"/>
      <c r="AS9790" s="10"/>
      <c r="AT9790" s="10"/>
      <c r="AU9790" s="10"/>
      <c r="AV9790" s="10"/>
      <c r="AW9790" s="10"/>
      <c r="AX9790" s="10"/>
      <c r="AY9790" s="10"/>
      <c r="AZ9790" s="10"/>
    </row>
    <row r="9791" spans="31:52">
      <c r="AE9791" s="10"/>
      <c r="AF9791" s="10"/>
      <c r="AG9791" s="10"/>
      <c r="AH9791" s="10"/>
      <c r="AI9791" s="10"/>
      <c r="AJ9791" s="10"/>
      <c r="AK9791" s="10"/>
      <c r="AL9791" s="10"/>
      <c r="AM9791" s="10"/>
      <c r="AN9791" s="10"/>
      <c r="AO9791" s="10"/>
      <c r="AP9791" s="10"/>
      <c r="AQ9791" s="10"/>
      <c r="AR9791" s="10"/>
      <c r="AS9791" s="10"/>
      <c r="AT9791" s="10"/>
      <c r="AU9791" s="10"/>
      <c r="AV9791" s="10"/>
      <c r="AW9791" s="10"/>
      <c r="AX9791" s="10"/>
      <c r="AY9791" s="10"/>
      <c r="AZ9791" s="10"/>
    </row>
    <row r="9792" spans="31:52">
      <c r="AE9792" s="10"/>
      <c r="AF9792" s="10"/>
      <c r="AG9792" s="10"/>
      <c r="AH9792" s="10"/>
      <c r="AI9792" s="10"/>
      <c r="AJ9792" s="10"/>
      <c r="AK9792" s="10"/>
      <c r="AL9792" s="10"/>
      <c r="AM9792" s="10"/>
      <c r="AN9792" s="10"/>
      <c r="AO9792" s="10"/>
      <c r="AP9792" s="10"/>
      <c r="AQ9792" s="10"/>
      <c r="AR9792" s="10"/>
      <c r="AS9792" s="10"/>
      <c r="AT9792" s="10"/>
      <c r="AU9792" s="10"/>
      <c r="AV9792" s="10"/>
      <c r="AW9792" s="10"/>
      <c r="AX9792" s="10"/>
      <c r="AY9792" s="10"/>
      <c r="AZ9792" s="10"/>
    </row>
    <row r="9793" spans="31:52">
      <c r="AE9793" s="10"/>
      <c r="AF9793" s="10"/>
      <c r="AG9793" s="10"/>
      <c r="AH9793" s="10"/>
      <c r="AI9793" s="10"/>
      <c r="AJ9793" s="10"/>
      <c r="AK9793" s="10"/>
      <c r="AL9793" s="10"/>
      <c r="AM9793" s="10"/>
      <c r="AN9793" s="10"/>
      <c r="AO9793" s="10"/>
      <c r="AP9793" s="10"/>
      <c r="AQ9793" s="10"/>
      <c r="AR9793" s="10"/>
      <c r="AS9793" s="10"/>
      <c r="AT9793" s="10"/>
      <c r="AU9793" s="10"/>
      <c r="AV9793" s="10"/>
      <c r="AW9793" s="10"/>
      <c r="AX9793" s="10"/>
      <c r="AY9793" s="10"/>
      <c r="AZ9793" s="10"/>
    </row>
    <row r="9794" spans="31:52">
      <c r="AE9794" s="10"/>
      <c r="AF9794" s="10"/>
      <c r="AG9794" s="10"/>
      <c r="AH9794" s="10"/>
      <c r="AI9794" s="10"/>
      <c r="AJ9794" s="10"/>
      <c r="AK9794" s="10"/>
      <c r="AL9794" s="10"/>
      <c r="AM9794" s="10"/>
      <c r="AN9794" s="10"/>
      <c r="AO9794" s="10"/>
      <c r="AP9794" s="10"/>
      <c r="AQ9794" s="10"/>
      <c r="AR9794" s="10"/>
      <c r="AS9794" s="10"/>
      <c r="AT9794" s="10"/>
      <c r="AU9794" s="10"/>
      <c r="AV9794" s="10"/>
      <c r="AW9794" s="10"/>
      <c r="AX9794" s="10"/>
      <c r="AY9794" s="10"/>
      <c r="AZ9794" s="10"/>
    </row>
    <row r="9795" spans="31:52">
      <c r="AE9795" s="10"/>
      <c r="AF9795" s="10"/>
      <c r="AG9795" s="10"/>
      <c r="AH9795" s="10"/>
      <c r="AI9795" s="10"/>
      <c r="AJ9795" s="10"/>
      <c r="AK9795" s="10"/>
      <c r="AL9795" s="10"/>
      <c r="AM9795" s="10"/>
      <c r="AN9795" s="10"/>
      <c r="AO9795" s="10"/>
      <c r="AP9795" s="10"/>
      <c r="AQ9795" s="10"/>
      <c r="AR9795" s="10"/>
      <c r="AS9795" s="10"/>
      <c r="AT9795" s="10"/>
      <c r="AU9795" s="10"/>
      <c r="AV9795" s="10"/>
      <c r="AW9795" s="10"/>
      <c r="AX9795" s="10"/>
      <c r="AY9795" s="10"/>
      <c r="AZ9795" s="10"/>
    </row>
    <row r="9796" spans="31:52">
      <c r="AE9796" s="10"/>
      <c r="AF9796" s="10"/>
      <c r="AG9796" s="10"/>
      <c r="AH9796" s="10"/>
      <c r="AI9796" s="10"/>
      <c r="AJ9796" s="10"/>
      <c r="AK9796" s="10"/>
      <c r="AL9796" s="10"/>
      <c r="AM9796" s="10"/>
      <c r="AN9796" s="10"/>
      <c r="AO9796" s="10"/>
      <c r="AP9796" s="10"/>
      <c r="AQ9796" s="10"/>
      <c r="AR9796" s="10"/>
      <c r="AS9796" s="10"/>
      <c r="AT9796" s="10"/>
      <c r="AU9796" s="10"/>
      <c r="AV9796" s="10"/>
      <c r="AW9796" s="10"/>
      <c r="AX9796" s="10"/>
      <c r="AY9796" s="10"/>
      <c r="AZ9796" s="10"/>
    </row>
    <row r="9797" spans="31:52">
      <c r="AE9797" s="10"/>
      <c r="AF9797" s="10"/>
      <c r="AG9797" s="10"/>
      <c r="AH9797" s="10"/>
      <c r="AI9797" s="10"/>
      <c r="AJ9797" s="10"/>
      <c r="AK9797" s="10"/>
      <c r="AL9797" s="10"/>
      <c r="AM9797" s="10"/>
      <c r="AN9797" s="10"/>
      <c r="AO9797" s="10"/>
      <c r="AP9797" s="10"/>
      <c r="AQ9797" s="10"/>
      <c r="AR9797" s="10"/>
      <c r="AS9797" s="10"/>
      <c r="AT9797" s="10"/>
      <c r="AU9797" s="10"/>
      <c r="AV9797" s="10"/>
      <c r="AW9797" s="10"/>
      <c r="AX9797" s="10"/>
      <c r="AY9797" s="10"/>
      <c r="AZ9797" s="10"/>
    </row>
    <row r="9798" spans="31:52">
      <c r="AE9798" s="10"/>
      <c r="AF9798" s="10"/>
      <c r="AG9798" s="10"/>
      <c r="AH9798" s="10"/>
      <c r="AI9798" s="10"/>
      <c r="AJ9798" s="10"/>
      <c r="AK9798" s="10"/>
      <c r="AL9798" s="10"/>
      <c r="AM9798" s="10"/>
      <c r="AN9798" s="10"/>
      <c r="AO9798" s="10"/>
      <c r="AP9798" s="10"/>
      <c r="AQ9798" s="10"/>
      <c r="AR9798" s="10"/>
      <c r="AS9798" s="10"/>
      <c r="AT9798" s="10"/>
      <c r="AU9798" s="10"/>
      <c r="AV9798" s="10"/>
      <c r="AW9798" s="10"/>
      <c r="AX9798" s="10"/>
      <c r="AY9798" s="10"/>
      <c r="AZ9798" s="10"/>
    </row>
    <row r="9799" spans="31:52">
      <c r="AE9799" s="10"/>
      <c r="AF9799" s="10"/>
      <c r="AG9799" s="10"/>
      <c r="AH9799" s="10"/>
      <c r="AI9799" s="10"/>
      <c r="AJ9799" s="10"/>
      <c r="AK9799" s="10"/>
      <c r="AL9799" s="10"/>
      <c r="AM9799" s="10"/>
      <c r="AN9799" s="10"/>
      <c r="AO9799" s="10"/>
      <c r="AP9799" s="10"/>
      <c r="AQ9799" s="10"/>
      <c r="AR9799" s="10"/>
      <c r="AS9799" s="10"/>
      <c r="AT9799" s="10"/>
      <c r="AU9799" s="10"/>
      <c r="AV9799" s="10"/>
      <c r="AW9799" s="10"/>
      <c r="AX9799" s="10"/>
      <c r="AY9799" s="10"/>
      <c r="AZ9799" s="10"/>
    </row>
    <row r="9800" spans="31:52">
      <c r="AE9800" s="10"/>
      <c r="AF9800" s="10"/>
      <c r="AG9800" s="10"/>
      <c r="AH9800" s="10"/>
      <c r="AI9800" s="10"/>
      <c r="AJ9800" s="10"/>
      <c r="AK9800" s="10"/>
      <c r="AL9800" s="10"/>
      <c r="AM9800" s="10"/>
      <c r="AN9800" s="10"/>
      <c r="AO9800" s="10"/>
      <c r="AP9800" s="10"/>
      <c r="AQ9800" s="10"/>
      <c r="AR9800" s="10"/>
      <c r="AS9800" s="10"/>
      <c r="AT9800" s="10"/>
      <c r="AU9800" s="10"/>
      <c r="AV9800" s="10"/>
      <c r="AW9800" s="10"/>
      <c r="AX9800" s="10"/>
      <c r="AY9800" s="10"/>
      <c r="AZ9800" s="10"/>
    </row>
    <row r="9801" spans="31:52">
      <c r="AE9801" s="10"/>
      <c r="AF9801" s="10"/>
      <c r="AG9801" s="10"/>
      <c r="AH9801" s="10"/>
      <c r="AI9801" s="10"/>
      <c r="AJ9801" s="10"/>
      <c r="AK9801" s="10"/>
      <c r="AL9801" s="10"/>
      <c r="AM9801" s="10"/>
      <c r="AN9801" s="10"/>
      <c r="AO9801" s="10"/>
      <c r="AP9801" s="10"/>
      <c r="AQ9801" s="10"/>
      <c r="AR9801" s="10"/>
      <c r="AS9801" s="10"/>
      <c r="AT9801" s="10"/>
      <c r="AU9801" s="10"/>
      <c r="AV9801" s="10"/>
      <c r="AW9801" s="10"/>
      <c r="AX9801" s="10"/>
      <c r="AY9801" s="10"/>
      <c r="AZ9801" s="10"/>
    </row>
    <row r="9802" spans="31:52">
      <c r="AE9802" s="10"/>
      <c r="AF9802" s="10"/>
      <c r="AG9802" s="10"/>
      <c r="AH9802" s="10"/>
      <c r="AI9802" s="10"/>
      <c r="AJ9802" s="10"/>
      <c r="AK9802" s="10"/>
      <c r="AL9802" s="10"/>
      <c r="AM9802" s="10"/>
      <c r="AN9802" s="10"/>
      <c r="AO9802" s="10"/>
      <c r="AP9802" s="10"/>
      <c r="AQ9802" s="10"/>
      <c r="AR9802" s="10"/>
      <c r="AS9802" s="10"/>
      <c r="AT9802" s="10"/>
      <c r="AU9802" s="10"/>
      <c r="AV9802" s="10"/>
      <c r="AW9802" s="10"/>
      <c r="AX9802" s="10"/>
      <c r="AY9802" s="10"/>
      <c r="AZ9802" s="10"/>
    </row>
    <row r="9803" spans="31:52">
      <c r="AE9803" s="10"/>
      <c r="AF9803" s="10"/>
      <c r="AG9803" s="10"/>
      <c r="AH9803" s="10"/>
      <c r="AI9803" s="10"/>
      <c r="AJ9803" s="10"/>
      <c r="AK9803" s="10"/>
      <c r="AL9803" s="10"/>
      <c r="AM9803" s="10"/>
      <c r="AN9803" s="10"/>
      <c r="AO9803" s="10"/>
      <c r="AP9803" s="10"/>
      <c r="AQ9803" s="10"/>
      <c r="AR9803" s="10"/>
      <c r="AS9803" s="10"/>
      <c r="AT9803" s="10"/>
      <c r="AU9803" s="10"/>
      <c r="AV9803" s="10"/>
      <c r="AW9803" s="10"/>
      <c r="AX9803" s="10"/>
      <c r="AY9803" s="10"/>
      <c r="AZ9803" s="10"/>
    </row>
    <row r="9804" spans="31:52">
      <c r="AE9804" s="10"/>
      <c r="AF9804" s="10"/>
      <c r="AG9804" s="10"/>
      <c r="AH9804" s="10"/>
      <c r="AI9804" s="10"/>
      <c r="AJ9804" s="10"/>
      <c r="AK9804" s="10"/>
      <c r="AL9804" s="10"/>
      <c r="AM9804" s="10"/>
      <c r="AN9804" s="10"/>
      <c r="AO9804" s="10"/>
      <c r="AP9804" s="10"/>
      <c r="AQ9804" s="10"/>
      <c r="AR9804" s="10"/>
      <c r="AS9804" s="10"/>
      <c r="AT9804" s="10"/>
      <c r="AU9804" s="10"/>
      <c r="AV9804" s="10"/>
      <c r="AW9804" s="10"/>
      <c r="AX9804" s="10"/>
      <c r="AY9804" s="10"/>
      <c r="AZ9804" s="10"/>
    </row>
    <row r="9805" spans="31:52">
      <c r="AE9805" s="10"/>
      <c r="AF9805" s="10"/>
      <c r="AG9805" s="10"/>
      <c r="AH9805" s="10"/>
      <c r="AI9805" s="10"/>
      <c r="AJ9805" s="10"/>
      <c r="AK9805" s="10"/>
      <c r="AL9805" s="10"/>
      <c r="AM9805" s="10"/>
      <c r="AN9805" s="10"/>
      <c r="AO9805" s="10"/>
      <c r="AP9805" s="10"/>
      <c r="AQ9805" s="10"/>
      <c r="AR9805" s="10"/>
      <c r="AS9805" s="10"/>
      <c r="AT9805" s="10"/>
      <c r="AU9805" s="10"/>
      <c r="AV9805" s="10"/>
      <c r="AW9805" s="10"/>
      <c r="AX9805" s="10"/>
      <c r="AY9805" s="10"/>
      <c r="AZ9805" s="10"/>
    </row>
    <row r="9806" spans="31:52">
      <c r="AE9806" s="10"/>
      <c r="AF9806" s="10"/>
      <c r="AG9806" s="10"/>
      <c r="AH9806" s="10"/>
      <c r="AI9806" s="10"/>
      <c r="AJ9806" s="10"/>
      <c r="AK9806" s="10"/>
      <c r="AL9806" s="10"/>
      <c r="AM9806" s="10"/>
      <c r="AN9806" s="10"/>
      <c r="AO9806" s="10"/>
      <c r="AP9806" s="10"/>
      <c r="AQ9806" s="10"/>
      <c r="AR9806" s="10"/>
      <c r="AS9806" s="10"/>
      <c r="AT9806" s="10"/>
      <c r="AU9806" s="10"/>
      <c r="AV9806" s="10"/>
      <c r="AW9806" s="10"/>
      <c r="AX9806" s="10"/>
      <c r="AY9806" s="10"/>
      <c r="AZ9806" s="10"/>
    </row>
    <row r="9807" spans="31:52">
      <c r="AE9807" s="10"/>
      <c r="AF9807" s="10"/>
      <c r="AG9807" s="10"/>
      <c r="AH9807" s="10"/>
      <c r="AI9807" s="10"/>
      <c r="AJ9807" s="10"/>
      <c r="AK9807" s="10"/>
      <c r="AL9807" s="10"/>
      <c r="AM9807" s="10"/>
      <c r="AN9807" s="10"/>
      <c r="AO9807" s="10"/>
      <c r="AP9807" s="10"/>
      <c r="AQ9807" s="10"/>
      <c r="AR9807" s="10"/>
      <c r="AS9807" s="10"/>
      <c r="AT9807" s="10"/>
      <c r="AU9807" s="10"/>
      <c r="AV9807" s="10"/>
      <c r="AW9807" s="10"/>
      <c r="AX9807" s="10"/>
      <c r="AY9807" s="10"/>
      <c r="AZ9807" s="10"/>
    </row>
    <row r="9808" spans="31:52">
      <c r="AE9808" s="10"/>
      <c r="AF9808" s="10"/>
      <c r="AG9808" s="10"/>
      <c r="AH9808" s="10"/>
      <c r="AI9808" s="10"/>
      <c r="AJ9808" s="10"/>
      <c r="AK9808" s="10"/>
      <c r="AL9808" s="10"/>
      <c r="AM9808" s="10"/>
      <c r="AN9808" s="10"/>
      <c r="AO9808" s="10"/>
      <c r="AP9808" s="10"/>
      <c r="AQ9808" s="10"/>
      <c r="AR9808" s="10"/>
      <c r="AS9808" s="10"/>
      <c r="AT9808" s="10"/>
      <c r="AU9808" s="10"/>
      <c r="AV9808" s="10"/>
      <c r="AW9808" s="10"/>
      <c r="AX9808" s="10"/>
      <c r="AY9808" s="10"/>
      <c r="AZ9808" s="10"/>
    </row>
    <row r="9809" spans="31:52">
      <c r="AE9809" s="10"/>
      <c r="AF9809" s="10"/>
      <c r="AG9809" s="10"/>
      <c r="AH9809" s="10"/>
      <c r="AI9809" s="10"/>
      <c r="AJ9809" s="10"/>
      <c r="AK9809" s="10"/>
      <c r="AL9809" s="10"/>
      <c r="AM9809" s="10"/>
      <c r="AN9809" s="10"/>
      <c r="AO9809" s="10"/>
      <c r="AP9809" s="10"/>
      <c r="AQ9809" s="10"/>
      <c r="AR9809" s="10"/>
      <c r="AS9809" s="10"/>
      <c r="AT9809" s="10"/>
      <c r="AU9809" s="10"/>
      <c r="AV9809" s="10"/>
      <c r="AW9809" s="10"/>
      <c r="AX9809" s="10"/>
      <c r="AY9809" s="10"/>
      <c r="AZ9809" s="10"/>
    </row>
    <row r="9810" spans="31:52">
      <c r="AE9810" s="10"/>
      <c r="AF9810" s="10"/>
      <c r="AG9810" s="10"/>
      <c r="AH9810" s="10"/>
      <c r="AI9810" s="10"/>
      <c r="AJ9810" s="10"/>
      <c r="AK9810" s="10"/>
      <c r="AL9810" s="10"/>
      <c r="AM9810" s="10"/>
      <c r="AN9810" s="10"/>
      <c r="AO9810" s="10"/>
      <c r="AP9810" s="10"/>
      <c r="AQ9810" s="10"/>
      <c r="AR9810" s="10"/>
      <c r="AS9810" s="10"/>
      <c r="AT9810" s="10"/>
      <c r="AU9810" s="10"/>
      <c r="AV9810" s="10"/>
      <c r="AW9810" s="10"/>
      <c r="AX9810" s="10"/>
      <c r="AY9810" s="10"/>
      <c r="AZ9810" s="10"/>
    </row>
    <row r="9811" spans="31:52">
      <c r="AE9811" s="10"/>
      <c r="AF9811" s="10"/>
      <c r="AG9811" s="10"/>
      <c r="AH9811" s="10"/>
      <c r="AI9811" s="10"/>
      <c r="AJ9811" s="10"/>
      <c r="AK9811" s="10"/>
      <c r="AL9811" s="10"/>
      <c r="AM9811" s="10"/>
      <c r="AN9811" s="10"/>
      <c r="AO9811" s="10"/>
      <c r="AP9811" s="10"/>
      <c r="AQ9811" s="10"/>
      <c r="AR9811" s="10"/>
      <c r="AS9811" s="10"/>
      <c r="AT9811" s="10"/>
      <c r="AU9811" s="10"/>
      <c r="AV9811" s="10"/>
      <c r="AW9811" s="10"/>
      <c r="AX9811" s="10"/>
      <c r="AY9811" s="10"/>
      <c r="AZ9811" s="10"/>
    </row>
    <row r="9812" spans="31:52">
      <c r="AE9812" s="10"/>
      <c r="AF9812" s="10"/>
      <c r="AG9812" s="10"/>
      <c r="AH9812" s="10"/>
      <c r="AI9812" s="10"/>
      <c r="AJ9812" s="10"/>
      <c r="AK9812" s="10"/>
      <c r="AL9812" s="10"/>
      <c r="AM9812" s="10"/>
      <c r="AN9812" s="10"/>
      <c r="AO9812" s="10"/>
      <c r="AP9812" s="10"/>
      <c r="AQ9812" s="10"/>
      <c r="AR9812" s="10"/>
      <c r="AS9812" s="10"/>
      <c r="AT9812" s="10"/>
      <c r="AU9812" s="10"/>
      <c r="AV9812" s="10"/>
      <c r="AW9812" s="10"/>
      <c r="AX9812" s="10"/>
      <c r="AY9812" s="10"/>
      <c r="AZ9812" s="10"/>
    </row>
    <row r="9813" spans="31:52">
      <c r="AE9813" s="10"/>
      <c r="AF9813" s="10"/>
      <c r="AG9813" s="10"/>
      <c r="AH9813" s="10"/>
      <c r="AI9813" s="10"/>
      <c r="AJ9813" s="10"/>
      <c r="AK9813" s="10"/>
      <c r="AL9813" s="10"/>
      <c r="AM9813" s="10"/>
      <c r="AN9813" s="10"/>
      <c r="AO9813" s="10"/>
      <c r="AP9813" s="10"/>
      <c r="AQ9813" s="10"/>
      <c r="AR9813" s="10"/>
      <c r="AS9813" s="10"/>
      <c r="AT9813" s="10"/>
      <c r="AU9813" s="10"/>
      <c r="AV9813" s="10"/>
      <c r="AW9813" s="10"/>
      <c r="AX9813" s="10"/>
      <c r="AY9813" s="10"/>
      <c r="AZ9813" s="10"/>
    </row>
    <row r="9814" spans="31:52">
      <c r="AE9814" s="10"/>
      <c r="AF9814" s="10"/>
      <c r="AG9814" s="10"/>
      <c r="AH9814" s="10"/>
      <c r="AI9814" s="10"/>
      <c r="AJ9814" s="10"/>
      <c r="AK9814" s="10"/>
      <c r="AL9814" s="10"/>
      <c r="AM9814" s="10"/>
      <c r="AN9814" s="10"/>
      <c r="AO9814" s="10"/>
      <c r="AP9814" s="10"/>
      <c r="AQ9814" s="10"/>
      <c r="AR9814" s="10"/>
      <c r="AS9814" s="10"/>
      <c r="AT9814" s="10"/>
      <c r="AU9814" s="10"/>
      <c r="AV9814" s="10"/>
      <c r="AW9814" s="10"/>
      <c r="AX9814" s="10"/>
      <c r="AY9814" s="10"/>
      <c r="AZ9814" s="10"/>
    </row>
    <row r="9815" spans="31:52">
      <c r="AE9815" s="10"/>
      <c r="AF9815" s="10"/>
      <c r="AG9815" s="10"/>
      <c r="AH9815" s="10"/>
      <c r="AI9815" s="10"/>
      <c r="AJ9815" s="10"/>
      <c r="AK9815" s="10"/>
      <c r="AL9815" s="10"/>
      <c r="AM9815" s="10"/>
      <c r="AN9815" s="10"/>
      <c r="AO9815" s="10"/>
      <c r="AP9815" s="10"/>
      <c r="AQ9815" s="10"/>
      <c r="AR9815" s="10"/>
      <c r="AS9815" s="10"/>
      <c r="AT9815" s="10"/>
      <c r="AU9815" s="10"/>
      <c r="AV9815" s="10"/>
      <c r="AW9815" s="10"/>
      <c r="AX9815" s="10"/>
      <c r="AY9815" s="10"/>
      <c r="AZ9815" s="10"/>
    </row>
    <row r="9816" spans="31:52">
      <c r="AE9816" s="10"/>
      <c r="AF9816" s="10"/>
      <c r="AG9816" s="10"/>
      <c r="AH9816" s="10"/>
      <c r="AI9816" s="10"/>
      <c r="AJ9816" s="10"/>
      <c r="AK9816" s="10"/>
      <c r="AL9816" s="10"/>
      <c r="AM9816" s="10"/>
      <c r="AN9816" s="10"/>
      <c r="AO9816" s="10"/>
      <c r="AP9816" s="10"/>
      <c r="AQ9816" s="10"/>
      <c r="AR9816" s="10"/>
      <c r="AS9816" s="10"/>
      <c r="AT9816" s="10"/>
      <c r="AU9816" s="10"/>
      <c r="AV9816" s="10"/>
      <c r="AW9816" s="10"/>
      <c r="AX9816" s="10"/>
      <c r="AY9816" s="10"/>
      <c r="AZ9816" s="10"/>
    </row>
    <row r="9817" spans="31:52">
      <c r="AE9817" s="10"/>
      <c r="AF9817" s="10"/>
      <c r="AG9817" s="10"/>
      <c r="AH9817" s="10"/>
      <c r="AI9817" s="10"/>
      <c r="AJ9817" s="10"/>
      <c r="AK9817" s="10"/>
      <c r="AL9817" s="10"/>
      <c r="AM9817" s="10"/>
      <c r="AN9817" s="10"/>
      <c r="AO9817" s="10"/>
      <c r="AP9817" s="10"/>
      <c r="AQ9817" s="10"/>
      <c r="AR9817" s="10"/>
      <c r="AS9817" s="10"/>
      <c r="AT9817" s="10"/>
      <c r="AU9817" s="10"/>
      <c r="AV9817" s="10"/>
      <c r="AW9817" s="10"/>
      <c r="AX9817" s="10"/>
      <c r="AY9817" s="10"/>
      <c r="AZ9817" s="10"/>
    </row>
    <row r="9818" spans="31:52">
      <c r="AE9818" s="10"/>
      <c r="AF9818" s="10"/>
      <c r="AG9818" s="10"/>
      <c r="AH9818" s="10"/>
      <c r="AI9818" s="10"/>
      <c r="AJ9818" s="10"/>
      <c r="AK9818" s="10"/>
      <c r="AL9818" s="10"/>
      <c r="AM9818" s="10"/>
      <c r="AN9818" s="10"/>
      <c r="AO9818" s="10"/>
      <c r="AP9818" s="10"/>
      <c r="AQ9818" s="10"/>
      <c r="AR9818" s="10"/>
      <c r="AS9818" s="10"/>
      <c r="AT9818" s="10"/>
      <c r="AU9818" s="10"/>
      <c r="AV9818" s="10"/>
      <c r="AW9818" s="10"/>
      <c r="AX9818" s="10"/>
      <c r="AY9818" s="10"/>
      <c r="AZ9818" s="10"/>
    </row>
    <row r="9819" spans="31:52">
      <c r="AE9819" s="10"/>
      <c r="AF9819" s="10"/>
      <c r="AG9819" s="10"/>
      <c r="AH9819" s="10"/>
      <c r="AI9819" s="10"/>
      <c r="AJ9819" s="10"/>
      <c r="AK9819" s="10"/>
      <c r="AL9819" s="10"/>
      <c r="AM9819" s="10"/>
      <c r="AN9819" s="10"/>
      <c r="AO9819" s="10"/>
      <c r="AP9819" s="10"/>
      <c r="AQ9819" s="10"/>
      <c r="AR9819" s="10"/>
      <c r="AS9819" s="10"/>
      <c r="AT9819" s="10"/>
      <c r="AU9819" s="10"/>
      <c r="AV9819" s="10"/>
      <c r="AW9819" s="10"/>
      <c r="AX9819" s="10"/>
      <c r="AY9819" s="10"/>
      <c r="AZ9819" s="10"/>
    </row>
    <row r="9820" spans="31:52">
      <c r="AE9820" s="10"/>
      <c r="AF9820" s="10"/>
      <c r="AG9820" s="10"/>
      <c r="AH9820" s="10"/>
      <c r="AI9820" s="10"/>
      <c r="AJ9820" s="10"/>
      <c r="AK9820" s="10"/>
      <c r="AL9820" s="10"/>
      <c r="AM9820" s="10"/>
      <c r="AN9820" s="10"/>
      <c r="AO9820" s="10"/>
      <c r="AP9820" s="10"/>
      <c r="AQ9820" s="10"/>
      <c r="AR9820" s="10"/>
      <c r="AS9820" s="10"/>
      <c r="AT9820" s="10"/>
      <c r="AU9820" s="10"/>
      <c r="AV9820" s="10"/>
      <c r="AW9820" s="10"/>
      <c r="AX9820" s="10"/>
      <c r="AY9820" s="10"/>
      <c r="AZ9820" s="10"/>
    </row>
    <row r="9821" spans="31:52">
      <c r="AE9821" s="10"/>
      <c r="AF9821" s="10"/>
      <c r="AG9821" s="10"/>
      <c r="AH9821" s="10"/>
      <c r="AI9821" s="10"/>
      <c r="AJ9821" s="10"/>
      <c r="AK9821" s="10"/>
      <c r="AL9821" s="10"/>
      <c r="AM9821" s="10"/>
      <c r="AN9821" s="10"/>
      <c r="AO9821" s="10"/>
      <c r="AP9821" s="10"/>
      <c r="AQ9821" s="10"/>
      <c r="AR9821" s="10"/>
      <c r="AS9821" s="10"/>
      <c r="AT9821" s="10"/>
      <c r="AU9821" s="10"/>
      <c r="AV9821" s="10"/>
      <c r="AW9821" s="10"/>
      <c r="AX9821" s="10"/>
      <c r="AY9821" s="10"/>
      <c r="AZ9821" s="10"/>
    </row>
    <row r="9822" spans="31:52">
      <c r="AE9822" s="10"/>
      <c r="AF9822" s="10"/>
      <c r="AG9822" s="10"/>
      <c r="AH9822" s="10"/>
      <c r="AI9822" s="10"/>
      <c r="AJ9822" s="10"/>
      <c r="AK9822" s="10"/>
      <c r="AL9822" s="10"/>
      <c r="AM9822" s="10"/>
      <c r="AN9822" s="10"/>
      <c r="AO9822" s="10"/>
      <c r="AP9822" s="10"/>
      <c r="AQ9822" s="10"/>
      <c r="AR9822" s="10"/>
      <c r="AS9822" s="10"/>
      <c r="AT9822" s="10"/>
      <c r="AU9822" s="10"/>
      <c r="AV9822" s="10"/>
      <c r="AW9822" s="10"/>
      <c r="AX9822" s="10"/>
      <c r="AY9822" s="10"/>
      <c r="AZ9822" s="10"/>
    </row>
    <row r="9823" spans="31:52">
      <c r="AE9823" s="10"/>
      <c r="AF9823" s="10"/>
      <c r="AG9823" s="10"/>
      <c r="AH9823" s="10"/>
      <c r="AI9823" s="10"/>
      <c r="AJ9823" s="10"/>
      <c r="AK9823" s="10"/>
      <c r="AL9823" s="10"/>
      <c r="AM9823" s="10"/>
      <c r="AN9823" s="10"/>
      <c r="AO9823" s="10"/>
      <c r="AP9823" s="10"/>
      <c r="AQ9823" s="10"/>
      <c r="AR9823" s="10"/>
      <c r="AS9823" s="10"/>
      <c r="AT9823" s="10"/>
      <c r="AU9823" s="10"/>
      <c r="AV9823" s="10"/>
      <c r="AW9823" s="10"/>
      <c r="AX9823" s="10"/>
      <c r="AY9823" s="10"/>
      <c r="AZ9823" s="10"/>
    </row>
    <row r="9824" spans="31:52">
      <c r="AE9824" s="10"/>
      <c r="AF9824" s="10"/>
      <c r="AG9824" s="10"/>
      <c r="AH9824" s="10"/>
      <c r="AI9824" s="10"/>
      <c r="AJ9824" s="10"/>
      <c r="AK9824" s="10"/>
      <c r="AL9824" s="10"/>
      <c r="AM9824" s="10"/>
      <c r="AN9824" s="10"/>
      <c r="AO9824" s="10"/>
      <c r="AP9824" s="10"/>
      <c r="AQ9824" s="10"/>
      <c r="AR9824" s="10"/>
      <c r="AS9824" s="10"/>
      <c r="AT9824" s="10"/>
      <c r="AU9824" s="10"/>
      <c r="AV9824" s="10"/>
      <c r="AW9824" s="10"/>
      <c r="AX9824" s="10"/>
      <c r="AY9824" s="10"/>
      <c r="AZ9824" s="10"/>
    </row>
    <row r="9825" spans="31:52">
      <c r="AE9825" s="10"/>
      <c r="AF9825" s="10"/>
      <c r="AG9825" s="10"/>
      <c r="AH9825" s="10"/>
      <c r="AI9825" s="10"/>
      <c r="AJ9825" s="10"/>
      <c r="AK9825" s="10"/>
      <c r="AL9825" s="10"/>
      <c r="AM9825" s="10"/>
      <c r="AN9825" s="10"/>
      <c r="AO9825" s="10"/>
      <c r="AP9825" s="10"/>
      <c r="AQ9825" s="10"/>
      <c r="AR9825" s="10"/>
      <c r="AS9825" s="10"/>
      <c r="AT9825" s="10"/>
      <c r="AU9825" s="10"/>
      <c r="AV9825" s="10"/>
      <c r="AW9825" s="10"/>
      <c r="AX9825" s="10"/>
      <c r="AY9825" s="10"/>
      <c r="AZ9825" s="10"/>
    </row>
    <row r="9826" spans="31:52">
      <c r="AE9826" s="10"/>
      <c r="AF9826" s="10"/>
      <c r="AG9826" s="10"/>
      <c r="AH9826" s="10"/>
      <c r="AI9826" s="10"/>
      <c r="AJ9826" s="10"/>
      <c r="AK9826" s="10"/>
      <c r="AL9826" s="10"/>
      <c r="AM9826" s="10"/>
      <c r="AN9826" s="10"/>
      <c r="AO9826" s="10"/>
      <c r="AP9826" s="10"/>
      <c r="AQ9826" s="10"/>
      <c r="AR9826" s="10"/>
      <c r="AS9826" s="10"/>
      <c r="AT9826" s="10"/>
      <c r="AU9826" s="10"/>
      <c r="AV9826" s="10"/>
      <c r="AW9826" s="10"/>
      <c r="AX9826" s="10"/>
      <c r="AY9826" s="10"/>
      <c r="AZ9826" s="10"/>
    </row>
    <row r="9827" spans="31:52">
      <c r="AE9827" s="10"/>
      <c r="AF9827" s="10"/>
      <c r="AG9827" s="10"/>
      <c r="AH9827" s="10"/>
      <c r="AI9827" s="10"/>
      <c r="AJ9827" s="10"/>
      <c r="AK9827" s="10"/>
      <c r="AL9827" s="10"/>
      <c r="AM9827" s="10"/>
      <c r="AN9827" s="10"/>
      <c r="AO9827" s="10"/>
      <c r="AP9827" s="10"/>
      <c r="AQ9827" s="10"/>
      <c r="AR9827" s="10"/>
      <c r="AS9827" s="10"/>
      <c r="AT9827" s="10"/>
      <c r="AU9827" s="10"/>
      <c r="AV9827" s="10"/>
      <c r="AW9827" s="10"/>
      <c r="AX9827" s="10"/>
      <c r="AY9827" s="10"/>
      <c r="AZ9827" s="10"/>
    </row>
    <row r="9828" spans="31:52">
      <c r="AE9828" s="10"/>
      <c r="AF9828" s="10"/>
      <c r="AG9828" s="10"/>
      <c r="AH9828" s="10"/>
      <c r="AI9828" s="10"/>
      <c r="AJ9828" s="10"/>
      <c r="AK9828" s="10"/>
      <c r="AL9828" s="10"/>
      <c r="AM9828" s="10"/>
      <c r="AN9828" s="10"/>
      <c r="AO9828" s="10"/>
      <c r="AP9828" s="10"/>
      <c r="AQ9828" s="10"/>
      <c r="AR9828" s="10"/>
      <c r="AS9828" s="10"/>
      <c r="AT9828" s="10"/>
      <c r="AU9828" s="10"/>
      <c r="AV9828" s="10"/>
      <c r="AW9828" s="10"/>
      <c r="AX9828" s="10"/>
      <c r="AY9828" s="10"/>
      <c r="AZ9828" s="10"/>
    </row>
    <row r="9829" spans="31:52">
      <c r="AE9829" s="10"/>
      <c r="AF9829" s="10"/>
      <c r="AG9829" s="10"/>
      <c r="AH9829" s="10"/>
      <c r="AI9829" s="10"/>
      <c r="AJ9829" s="10"/>
      <c r="AK9829" s="10"/>
      <c r="AL9829" s="10"/>
      <c r="AM9829" s="10"/>
      <c r="AN9829" s="10"/>
      <c r="AO9829" s="10"/>
      <c r="AP9829" s="10"/>
      <c r="AQ9829" s="10"/>
      <c r="AR9829" s="10"/>
      <c r="AS9829" s="10"/>
      <c r="AT9829" s="10"/>
      <c r="AU9829" s="10"/>
      <c r="AV9829" s="10"/>
      <c r="AW9829" s="10"/>
      <c r="AX9829" s="10"/>
      <c r="AY9829" s="10"/>
      <c r="AZ9829" s="10"/>
    </row>
    <row r="9830" spans="31:52">
      <c r="AE9830" s="10"/>
      <c r="AF9830" s="10"/>
      <c r="AG9830" s="10"/>
      <c r="AH9830" s="10"/>
      <c r="AI9830" s="10"/>
      <c r="AJ9830" s="10"/>
      <c r="AK9830" s="10"/>
      <c r="AL9830" s="10"/>
      <c r="AM9830" s="10"/>
      <c r="AN9830" s="10"/>
      <c r="AO9830" s="10"/>
      <c r="AP9830" s="10"/>
      <c r="AQ9830" s="10"/>
      <c r="AR9830" s="10"/>
      <c r="AS9830" s="10"/>
      <c r="AT9830" s="10"/>
      <c r="AU9830" s="10"/>
      <c r="AV9830" s="10"/>
      <c r="AW9830" s="10"/>
      <c r="AX9830" s="10"/>
      <c r="AY9830" s="10"/>
      <c r="AZ9830" s="10"/>
    </row>
    <row r="9831" spans="31:52">
      <c r="AE9831" s="10"/>
      <c r="AF9831" s="10"/>
      <c r="AG9831" s="10"/>
      <c r="AH9831" s="10"/>
      <c r="AI9831" s="10"/>
      <c r="AJ9831" s="10"/>
      <c r="AK9831" s="10"/>
      <c r="AL9831" s="10"/>
      <c r="AM9831" s="10"/>
      <c r="AN9831" s="10"/>
      <c r="AO9831" s="10"/>
      <c r="AP9831" s="10"/>
      <c r="AQ9831" s="10"/>
      <c r="AR9831" s="10"/>
      <c r="AS9831" s="10"/>
      <c r="AT9831" s="10"/>
      <c r="AU9831" s="10"/>
      <c r="AV9831" s="10"/>
      <c r="AW9831" s="10"/>
      <c r="AX9831" s="10"/>
      <c r="AY9831" s="10"/>
      <c r="AZ9831" s="10"/>
    </row>
    <row r="9832" spans="31:52">
      <c r="AE9832" s="10"/>
      <c r="AF9832" s="10"/>
      <c r="AG9832" s="10"/>
      <c r="AH9832" s="10"/>
      <c r="AI9832" s="10"/>
      <c r="AJ9832" s="10"/>
      <c r="AK9832" s="10"/>
      <c r="AL9832" s="10"/>
      <c r="AM9832" s="10"/>
      <c r="AN9832" s="10"/>
      <c r="AO9832" s="10"/>
      <c r="AP9832" s="10"/>
      <c r="AQ9832" s="10"/>
      <c r="AR9832" s="10"/>
      <c r="AS9832" s="10"/>
      <c r="AT9832" s="10"/>
      <c r="AU9832" s="10"/>
      <c r="AV9832" s="10"/>
      <c r="AW9832" s="10"/>
      <c r="AX9832" s="10"/>
      <c r="AY9832" s="10"/>
      <c r="AZ9832" s="10"/>
    </row>
    <row r="9833" spans="31:52">
      <c r="AE9833" s="10"/>
      <c r="AF9833" s="10"/>
      <c r="AG9833" s="10"/>
      <c r="AH9833" s="10"/>
      <c r="AI9833" s="10"/>
      <c r="AJ9833" s="10"/>
      <c r="AK9833" s="10"/>
      <c r="AL9833" s="10"/>
      <c r="AM9833" s="10"/>
      <c r="AN9833" s="10"/>
      <c r="AO9833" s="10"/>
      <c r="AP9833" s="10"/>
      <c r="AQ9833" s="10"/>
      <c r="AR9833" s="10"/>
      <c r="AS9833" s="10"/>
      <c r="AT9833" s="10"/>
      <c r="AU9833" s="10"/>
      <c r="AV9833" s="10"/>
      <c r="AW9833" s="10"/>
      <c r="AX9833" s="10"/>
      <c r="AY9833" s="10"/>
      <c r="AZ9833" s="10"/>
    </row>
    <row r="9834" spans="31:52">
      <c r="AE9834" s="10"/>
      <c r="AF9834" s="10"/>
      <c r="AG9834" s="10"/>
      <c r="AH9834" s="10"/>
      <c r="AI9834" s="10"/>
      <c r="AJ9834" s="10"/>
      <c r="AK9834" s="10"/>
      <c r="AL9834" s="10"/>
      <c r="AM9834" s="10"/>
      <c r="AN9834" s="10"/>
      <c r="AO9834" s="10"/>
      <c r="AP9834" s="10"/>
      <c r="AQ9834" s="10"/>
      <c r="AR9834" s="10"/>
      <c r="AS9834" s="10"/>
      <c r="AT9834" s="10"/>
      <c r="AU9834" s="10"/>
      <c r="AV9834" s="10"/>
      <c r="AW9834" s="10"/>
      <c r="AX9834" s="10"/>
      <c r="AY9834" s="10"/>
      <c r="AZ9834" s="10"/>
    </row>
    <row r="9835" spans="31:52">
      <c r="AE9835" s="10"/>
      <c r="AF9835" s="10"/>
      <c r="AG9835" s="10"/>
      <c r="AH9835" s="10"/>
      <c r="AI9835" s="10"/>
      <c r="AJ9835" s="10"/>
      <c r="AK9835" s="10"/>
      <c r="AL9835" s="10"/>
      <c r="AM9835" s="10"/>
      <c r="AN9835" s="10"/>
      <c r="AO9835" s="10"/>
      <c r="AP9835" s="10"/>
      <c r="AQ9835" s="10"/>
      <c r="AR9835" s="10"/>
      <c r="AS9835" s="10"/>
      <c r="AT9835" s="10"/>
      <c r="AU9835" s="10"/>
      <c r="AV9835" s="10"/>
      <c r="AW9835" s="10"/>
      <c r="AX9835" s="10"/>
      <c r="AY9835" s="10"/>
      <c r="AZ9835" s="10"/>
    </row>
    <row r="9836" spans="31:52">
      <c r="AE9836" s="10"/>
      <c r="AF9836" s="10"/>
      <c r="AG9836" s="10"/>
      <c r="AH9836" s="10"/>
      <c r="AI9836" s="10"/>
      <c r="AJ9836" s="10"/>
      <c r="AK9836" s="10"/>
      <c r="AL9836" s="10"/>
      <c r="AM9836" s="10"/>
      <c r="AN9836" s="10"/>
      <c r="AO9836" s="10"/>
      <c r="AP9836" s="10"/>
      <c r="AQ9836" s="10"/>
      <c r="AR9836" s="10"/>
      <c r="AS9836" s="10"/>
      <c r="AT9836" s="10"/>
      <c r="AU9836" s="10"/>
      <c r="AV9836" s="10"/>
      <c r="AW9836" s="10"/>
      <c r="AX9836" s="10"/>
      <c r="AY9836" s="10"/>
      <c r="AZ9836" s="10"/>
    </row>
    <row r="9837" spans="31:52">
      <c r="AE9837" s="10"/>
      <c r="AF9837" s="10"/>
      <c r="AG9837" s="10"/>
      <c r="AH9837" s="10"/>
      <c r="AI9837" s="10"/>
      <c r="AJ9837" s="10"/>
      <c r="AK9837" s="10"/>
      <c r="AL9837" s="10"/>
      <c r="AM9837" s="10"/>
      <c r="AN9837" s="10"/>
      <c r="AO9837" s="10"/>
      <c r="AP9837" s="10"/>
      <c r="AQ9837" s="10"/>
      <c r="AR9837" s="10"/>
      <c r="AS9837" s="10"/>
      <c r="AT9837" s="10"/>
      <c r="AU9837" s="10"/>
      <c r="AV9837" s="10"/>
      <c r="AW9837" s="10"/>
      <c r="AX9837" s="10"/>
      <c r="AY9837" s="10"/>
      <c r="AZ9837" s="10"/>
    </row>
    <row r="9838" spans="31:52">
      <c r="AE9838" s="10"/>
      <c r="AF9838" s="10"/>
      <c r="AG9838" s="10"/>
      <c r="AH9838" s="10"/>
      <c r="AI9838" s="10"/>
      <c r="AJ9838" s="10"/>
      <c r="AK9838" s="10"/>
      <c r="AL9838" s="10"/>
      <c r="AM9838" s="10"/>
      <c r="AN9838" s="10"/>
      <c r="AO9838" s="10"/>
      <c r="AP9838" s="10"/>
      <c r="AQ9838" s="10"/>
      <c r="AR9838" s="10"/>
      <c r="AS9838" s="10"/>
      <c r="AT9838" s="10"/>
      <c r="AU9838" s="10"/>
      <c r="AV9838" s="10"/>
      <c r="AW9838" s="10"/>
      <c r="AX9838" s="10"/>
      <c r="AY9838" s="10"/>
      <c r="AZ9838" s="10"/>
    </row>
    <row r="9839" spans="31:52">
      <c r="AE9839" s="10"/>
      <c r="AF9839" s="10"/>
      <c r="AG9839" s="10"/>
      <c r="AH9839" s="10"/>
      <c r="AI9839" s="10"/>
      <c r="AJ9839" s="10"/>
      <c r="AK9839" s="10"/>
      <c r="AL9839" s="10"/>
      <c r="AM9839" s="10"/>
      <c r="AN9839" s="10"/>
      <c r="AO9839" s="10"/>
      <c r="AP9839" s="10"/>
      <c r="AQ9839" s="10"/>
      <c r="AR9839" s="10"/>
      <c r="AS9839" s="10"/>
      <c r="AT9839" s="10"/>
      <c r="AU9839" s="10"/>
      <c r="AV9839" s="10"/>
      <c r="AW9839" s="10"/>
      <c r="AX9839" s="10"/>
      <c r="AY9839" s="10"/>
      <c r="AZ9839" s="10"/>
    </row>
    <row r="9840" spans="31:52">
      <c r="AE9840" s="10"/>
      <c r="AF9840" s="10"/>
      <c r="AG9840" s="10"/>
      <c r="AH9840" s="10"/>
      <c r="AI9840" s="10"/>
      <c r="AJ9840" s="10"/>
      <c r="AK9840" s="10"/>
      <c r="AL9840" s="10"/>
      <c r="AM9840" s="10"/>
      <c r="AN9840" s="10"/>
      <c r="AO9840" s="10"/>
      <c r="AP9840" s="10"/>
      <c r="AQ9840" s="10"/>
      <c r="AR9840" s="10"/>
      <c r="AS9840" s="10"/>
      <c r="AT9840" s="10"/>
      <c r="AU9840" s="10"/>
      <c r="AV9840" s="10"/>
      <c r="AW9840" s="10"/>
      <c r="AX9840" s="10"/>
      <c r="AY9840" s="10"/>
      <c r="AZ9840" s="10"/>
    </row>
    <row r="9841" spans="31:52">
      <c r="AE9841" s="10"/>
      <c r="AF9841" s="10"/>
      <c r="AG9841" s="10"/>
      <c r="AH9841" s="10"/>
      <c r="AI9841" s="10"/>
      <c r="AJ9841" s="10"/>
      <c r="AK9841" s="10"/>
      <c r="AL9841" s="10"/>
      <c r="AM9841" s="10"/>
      <c r="AN9841" s="10"/>
      <c r="AO9841" s="10"/>
      <c r="AP9841" s="10"/>
      <c r="AQ9841" s="10"/>
      <c r="AR9841" s="10"/>
      <c r="AS9841" s="10"/>
      <c r="AT9841" s="10"/>
      <c r="AU9841" s="10"/>
      <c r="AV9841" s="10"/>
      <c r="AW9841" s="10"/>
      <c r="AX9841" s="10"/>
      <c r="AY9841" s="10"/>
      <c r="AZ9841" s="10"/>
    </row>
    <row r="9842" spans="31:52">
      <c r="AE9842" s="10"/>
      <c r="AF9842" s="10"/>
      <c r="AG9842" s="10"/>
      <c r="AH9842" s="10"/>
      <c r="AI9842" s="10"/>
      <c r="AJ9842" s="10"/>
      <c r="AK9842" s="10"/>
      <c r="AL9842" s="10"/>
      <c r="AM9842" s="10"/>
      <c r="AN9842" s="10"/>
      <c r="AO9842" s="10"/>
      <c r="AP9842" s="10"/>
      <c r="AQ9842" s="10"/>
      <c r="AR9842" s="10"/>
      <c r="AS9842" s="10"/>
      <c r="AT9842" s="10"/>
      <c r="AU9842" s="10"/>
      <c r="AV9842" s="10"/>
      <c r="AW9842" s="10"/>
      <c r="AX9842" s="10"/>
      <c r="AY9842" s="10"/>
      <c r="AZ9842" s="10"/>
    </row>
    <row r="9843" spans="31:52">
      <c r="AE9843" s="10"/>
      <c r="AF9843" s="10"/>
      <c r="AG9843" s="10"/>
      <c r="AH9843" s="10"/>
      <c r="AI9843" s="10"/>
      <c r="AJ9843" s="10"/>
      <c r="AK9843" s="10"/>
      <c r="AL9843" s="10"/>
      <c r="AM9843" s="10"/>
      <c r="AN9843" s="10"/>
      <c r="AO9843" s="10"/>
      <c r="AP9843" s="10"/>
      <c r="AQ9843" s="10"/>
      <c r="AR9843" s="10"/>
      <c r="AS9843" s="10"/>
      <c r="AT9843" s="10"/>
      <c r="AU9843" s="10"/>
      <c r="AV9843" s="10"/>
      <c r="AW9843" s="10"/>
      <c r="AX9843" s="10"/>
      <c r="AY9843" s="10"/>
      <c r="AZ9843" s="10"/>
    </row>
    <row r="9844" spans="31:52">
      <c r="AE9844" s="10"/>
      <c r="AF9844" s="10"/>
      <c r="AG9844" s="10"/>
      <c r="AH9844" s="10"/>
      <c r="AI9844" s="10"/>
      <c r="AJ9844" s="10"/>
      <c r="AK9844" s="10"/>
      <c r="AL9844" s="10"/>
      <c r="AM9844" s="10"/>
      <c r="AN9844" s="10"/>
      <c r="AO9844" s="10"/>
      <c r="AP9844" s="10"/>
      <c r="AQ9844" s="10"/>
      <c r="AR9844" s="10"/>
      <c r="AS9844" s="10"/>
      <c r="AT9844" s="10"/>
      <c r="AU9844" s="10"/>
      <c r="AV9844" s="10"/>
      <c r="AW9844" s="10"/>
      <c r="AX9844" s="10"/>
      <c r="AY9844" s="10"/>
      <c r="AZ9844" s="10"/>
    </row>
    <row r="9845" spans="31:52">
      <c r="AE9845" s="10"/>
      <c r="AF9845" s="10"/>
      <c r="AG9845" s="10"/>
      <c r="AH9845" s="10"/>
      <c r="AI9845" s="10"/>
      <c r="AJ9845" s="10"/>
      <c r="AK9845" s="10"/>
      <c r="AL9845" s="10"/>
      <c r="AM9845" s="10"/>
      <c r="AN9845" s="10"/>
      <c r="AO9845" s="10"/>
      <c r="AP9845" s="10"/>
      <c r="AQ9845" s="10"/>
      <c r="AR9845" s="10"/>
      <c r="AS9845" s="10"/>
      <c r="AT9845" s="10"/>
      <c r="AU9845" s="10"/>
      <c r="AV9845" s="10"/>
      <c r="AW9845" s="10"/>
      <c r="AX9845" s="10"/>
      <c r="AY9845" s="10"/>
      <c r="AZ9845" s="10"/>
    </row>
    <row r="9846" spans="31:52">
      <c r="AE9846" s="10"/>
      <c r="AF9846" s="10"/>
      <c r="AG9846" s="10"/>
      <c r="AH9846" s="10"/>
      <c r="AI9846" s="10"/>
      <c r="AJ9846" s="10"/>
      <c r="AK9846" s="10"/>
      <c r="AL9846" s="10"/>
      <c r="AM9846" s="10"/>
      <c r="AN9846" s="10"/>
      <c r="AO9846" s="10"/>
      <c r="AP9846" s="10"/>
      <c r="AQ9846" s="10"/>
      <c r="AR9846" s="10"/>
      <c r="AS9846" s="10"/>
      <c r="AT9846" s="10"/>
      <c r="AU9846" s="10"/>
      <c r="AV9846" s="10"/>
      <c r="AW9846" s="10"/>
      <c r="AX9846" s="10"/>
      <c r="AY9846" s="10"/>
      <c r="AZ9846" s="10"/>
    </row>
    <row r="9847" spans="31:52">
      <c r="AE9847" s="10"/>
      <c r="AF9847" s="10"/>
      <c r="AG9847" s="10"/>
      <c r="AH9847" s="10"/>
      <c r="AI9847" s="10"/>
      <c r="AJ9847" s="10"/>
      <c r="AK9847" s="10"/>
      <c r="AL9847" s="10"/>
      <c r="AM9847" s="10"/>
      <c r="AN9847" s="10"/>
      <c r="AO9847" s="10"/>
      <c r="AP9847" s="10"/>
      <c r="AQ9847" s="10"/>
      <c r="AR9847" s="10"/>
      <c r="AS9847" s="10"/>
      <c r="AT9847" s="10"/>
      <c r="AU9847" s="10"/>
      <c r="AV9847" s="10"/>
      <c r="AW9847" s="10"/>
      <c r="AX9847" s="10"/>
      <c r="AY9847" s="10"/>
      <c r="AZ9847" s="10"/>
    </row>
    <row r="9848" spans="31:52">
      <c r="AE9848" s="10"/>
      <c r="AF9848" s="10"/>
      <c r="AG9848" s="10"/>
      <c r="AH9848" s="10"/>
      <c r="AI9848" s="10"/>
      <c r="AJ9848" s="10"/>
      <c r="AK9848" s="10"/>
      <c r="AL9848" s="10"/>
      <c r="AM9848" s="10"/>
      <c r="AN9848" s="10"/>
      <c r="AO9848" s="10"/>
      <c r="AP9848" s="10"/>
      <c r="AQ9848" s="10"/>
      <c r="AR9848" s="10"/>
      <c r="AS9848" s="10"/>
      <c r="AT9848" s="10"/>
      <c r="AU9848" s="10"/>
      <c r="AV9848" s="10"/>
      <c r="AW9848" s="10"/>
      <c r="AX9848" s="10"/>
      <c r="AY9848" s="10"/>
      <c r="AZ9848" s="10"/>
    </row>
    <row r="9849" spans="31:52">
      <c r="AE9849" s="10"/>
      <c r="AF9849" s="10"/>
      <c r="AG9849" s="10"/>
      <c r="AH9849" s="10"/>
      <c r="AI9849" s="10"/>
      <c r="AJ9849" s="10"/>
      <c r="AK9849" s="10"/>
      <c r="AL9849" s="10"/>
      <c r="AM9849" s="10"/>
      <c r="AN9849" s="10"/>
      <c r="AO9849" s="10"/>
      <c r="AP9849" s="10"/>
      <c r="AQ9849" s="10"/>
      <c r="AR9849" s="10"/>
      <c r="AS9849" s="10"/>
      <c r="AT9849" s="10"/>
      <c r="AU9849" s="10"/>
      <c r="AV9849" s="10"/>
      <c r="AW9849" s="10"/>
      <c r="AX9849" s="10"/>
      <c r="AY9849" s="10"/>
      <c r="AZ9849" s="10"/>
    </row>
    <row r="9850" spans="31:52">
      <c r="AE9850" s="10"/>
      <c r="AF9850" s="10"/>
      <c r="AG9850" s="10"/>
      <c r="AH9850" s="10"/>
      <c r="AI9850" s="10"/>
      <c r="AJ9850" s="10"/>
      <c r="AK9850" s="10"/>
      <c r="AL9850" s="10"/>
      <c r="AM9850" s="10"/>
      <c r="AN9850" s="10"/>
      <c r="AO9850" s="10"/>
      <c r="AP9850" s="10"/>
      <c r="AQ9850" s="10"/>
      <c r="AR9850" s="10"/>
      <c r="AS9850" s="10"/>
      <c r="AT9850" s="10"/>
      <c r="AU9850" s="10"/>
      <c r="AV9850" s="10"/>
      <c r="AW9850" s="10"/>
      <c r="AX9850" s="10"/>
      <c r="AY9850" s="10"/>
      <c r="AZ9850" s="10"/>
    </row>
    <row r="9851" spans="31:52">
      <c r="AE9851" s="10"/>
      <c r="AF9851" s="10"/>
      <c r="AG9851" s="10"/>
      <c r="AH9851" s="10"/>
      <c r="AI9851" s="10"/>
      <c r="AJ9851" s="10"/>
      <c r="AK9851" s="10"/>
      <c r="AL9851" s="10"/>
      <c r="AM9851" s="10"/>
      <c r="AN9851" s="10"/>
      <c r="AO9851" s="10"/>
      <c r="AP9851" s="10"/>
      <c r="AQ9851" s="10"/>
      <c r="AR9851" s="10"/>
      <c r="AS9851" s="10"/>
      <c r="AT9851" s="10"/>
      <c r="AU9851" s="10"/>
      <c r="AV9851" s="10"/>
      <c r="AW9851" s="10"/>
      <c r="AX9851" s="10"/>
      <c r="AY9851" s="10"/>
      <c r="AZ9851" s="10"/>
    </row>
    <row r="9852" spans="31:52">
      <c r="AE9852" s="10"/>
      <c r="AF9852" s="10"/>
      <c r="AG9852" s="10"/>
      <c r="AH9852" s="10"/>
      <c r="AI9852" s="10"/>
      <c r="AJ9852" s="10"/>
      <c r="AK9852" s="10"/>
      <c r="AL9852" s="10"/>
      <c r="AM9852" s="10"/>
      <c r="AN9852" s="10"/>
      <c r="AO9852" s="10"/>
      <c r="AP9852" s="10"/>
      <c r="AQ9852" s="10"/>
      <c r="AR9852" s="10"/>
      <c r="AS9852" s="10"/>
      <c r="AT9852" s="10"/>
      <c r="AU9852" s="10"/>
      <c r="AV9852" s="10"/>
      <c r="AW9852" s="10"/>
      <c r="AX9852" s="10"/>
      <c r="AY9852" s="10"/>
      <c r="AZ9852" s="10"/>
    </row>
    <row r="9853" spans="31:52">
      <c r="AE9853" s="10"/>
      <c r="AF9853" s="10"/>
      <c r="AG9853" s="10"/>
      <c r="AH9853" s="10"/>
      <c r="AI9853" s="10"/>
      <c r="AJ9853" s="10"/>
      <c r="AK9853" s="10"/>
      <c r="AL9853" s="10"/>
      <c r="AM9853" s="10"/>
      <c r="AN9853" s="10"/>
      <c r="AO9853" s="10"/>
      <c r="AP9853" s="10"/>
      <c r="AQ9853" s="10"/>
      <c r="AR9853" s="10"/>
      <c r="AS9853" s="10"/>
      <c r="AT9853" s="10"/>
      <c r="AU9853" s="10"/>
      <c r="AV9853" s="10"/>
      <c r="AW9853" s="10"/>
      <c r="AX9853" s="10"/>
      <c r="AY9853" s="10"/>
      <c r="AZ9853" s="10"/>
    </row>
    <row r="9854" spans="31:52">
      <c r="AE9854" s="10"/>
      <c r="AF9854" s="10"/>
      <c r="AG9854" s="10"/>
      <c r="AH9854" s="10"/>
      <c r="AI9854" s="10"/>
      <c r="AJ9854" s="10"/>
      <c r="AK9854" s="10"/>
      <c r="AL9854" s="10"/>
      <c r="AM9854" s="10"/>
      <c r="AN9854" s="10"/>
      <c r="AO9854" s="10"/>
      <c r="AP9854" s="10"/>
      <c r="AQ9854" s="10"/>
      <c r="AR9854" s="10"/>
      <c r="AS9854" s="10"/>
      <c r="AT9854" s="10"/>
      <c r="AU9854" s="10"/>
      <c r="AV9854" s="10"/>
      <c r="AW9854" s="10"/>
      <c r="AX9854" s="10"/>
      <c r="AY9854" s="10"/>
      <c r="AZ9854" s="10"/>
    </row>
    <row r="9855" spans="31:52">
      <c r="AE9855" s="10"/>
      <c r="AF9855" s="10"/>
      <c r="AG9855" s="10"/>
      <c r="AH9855" s="10"/>
      <c r="AI9855" s="10"/>
      <c r="AJ9855" s="10"/>
      <c r="AK9855" s="10"/>
      <c r="AL9855" s="10"/>
      <c r="AM9855" s="10"/>
      <c r="AN9855" s="10"/>
      <c r="AO9855" s="10"/>
      <c r="AP9855" s="10"/>
      <c r="AQ9855" s="10"/>
      <c r="AR9855" s="10"/>
      <c r="AS9855" s="10"/>
      <c r="AT9855" s="10"/>
      <c r="AU9855" s="10"/>
      <c r="AV9855" s="10"/>
      <c r="AW9855" s="10"/>
      <c r="AX9855" s="10"/>
      <c r="AY9855" s="10"/>
      <c r="AZ9855" s="10"/>
    </row>
    <row r="9856" spans="31:52">
      <c r="AE9856" s="10"/>
      <c r="AF9856" s="10"/>
      <c r="AG9856" s="10"/>
      <c r="AH9856" s="10"/>
      <c r="AI9856" s="10"/>
      <c r="AJ9856" s="10"/>
      <c r="AK9856" s="10"/>
      <c r="AL9856" s="10"/>
      <c r="AM9856" s="10"/>
      <c r="AN9856" s="10"/>
      <c r="AO9856" s="10"/>
      <c r="AP9856" s="10"/>
      <c r="AQ9856" s="10"/>
      <c r="AR9856" s="10"/>
      <c r="AS9856" s="10"/>
      <c r="AT9856" s="10"/>
      <c r="AU9856" s="10"/>
      <c r="AV9856" s="10"/>
      <c r="AW9856" s="10"/>
      <c r="AX9856" s="10"/>
      <c r="AY9856" s="10"/>
      <c r="AZ9856" s="10"/>
    </row>
    <row r="9857" spans="31:52">
      <c r="AE9857" s="10"/>
      <c r="AF9857" s="10"/>
      <c r="AG9857" s="10"/>
      <c r="AH9857" s="10"/>
      <c r="AI9857" s="10"/>
      <c r="AJ9857" s="10"/>
      <c r="AK9857" s="10"/>
      <c r="AL9857" s="10"/>
      <c r="AM9857" s="10"/>
      <c r="AN9857" s="10"/>
      <c r="AO9857" s="10"/>
      <c r="AP9857" s="10"/>
      <c r="AQ9857" s="10"/>
      <c r="AR9857" s="10"/>
      <c r="AS9857" s="10"/>
      <c r="AT9857" s="10"/>
      <c r="AU9857" s="10"/>
      <c r="AV9857" s="10"/>
      <c r="AW9857" s="10"/>
      <c r="AX9857" s="10"/>
      <c r="AY9857" s="10"/>
      <c r="AZ9857" s="10"/>
    </row>
    <row r="9858" spans="31:52">
      <c r="AE9858" s="10"/>
      <c r="AF9858" s="10"/>
      <c r="AG9858" s="10"/>
      <c r="AH9858" s="10"/>
      <c r="AI9858" s="10"/>
      <c r="AJ9858" s="10"/>
      <c r="AK9858" s="10"/>
      <c r="AL9858" s="10"/>
      <c r="AM9858" s="10"/>
      <c r="AN9858" s="10"/>
      <c r="AO9858" s="10"/>
      <c r="AP9858" s="10"/>
      <c r="AQ9858" s="10"/>
      <c r="AR9858" s="10"/>
      <c r="AS9858" s="10"/>
      <c r="AT9858" s="10"/>
      <c r="AU9858" s="10"/>
      <c r="AV9858" s="10"/>
      <c r="AW9858" s="10"/>
      <c r="AX9858" s="10"/>
      <c r="AY9858" s="10"/>
      <c r="AZ9858" s="10"/>
    </row>
    <row r="9859" spans="31:52">
      <c r="AE9859" s="10"/>
      <c r="AF9859" s="10"/>
      <c r="AG9859" s="10"/>
      <c r="AH9859" s="10"/>
      <c r="AI9859" s="10"/>
      <c r="AJ9859" s="10"/>
      <c r="AK9859" s="10"/>
      <c r="AL9859" s="10"/>
      <c r="AM9859" s="10"/>
      <c r="AN9859" s="10"/>
      <c r="AO9859" s="10"/>
      <c r="AP9859" s="10"/>
      <c r="AQ9859" s="10"/>
      <c r="AR9859" s="10"/>
      <c r="AS9859" s="10"/>
      <c r="AT9859" s="10"/>
      <c r="AU9859" s="10"/>
      <c r="AV9859" s="10"/>
      <c r="AW9859" s="10"/>
      <c r="AX9859" s="10"/>
      <c r="AY9859" s="10"/>
      <c r="AZ9859" s="10"/>
    </row>
    <row r="9860" spans="31:52">
      <c r="AE9860" s="10"/>
      <c r="AF9860" s="10"/>
      <c r="AG9860" s="10"/>
      <c r="AH9860" s="10"/>
      <c r="AI9860" s="10"/>
      <c r="AJ9860" s="10"/>
      <c r="AK9860" s="10"/>
      <c r="AL9860" s="10"/>
      <c r="AM9860" s="10"/>
      <c r="AN9860" s="10"/>
      <c r="AO9860" s="10"/>
      <c r="AP9860" s="10"/>
      <c r="AQ9860" s="10"/>
      <c r="AR9860" s="10"/>
      <c r="AS9860" s="10"/>
      <c r="AT9860" s="10"/>
      <c r="AU9860" s="10"/>
      <c r="AV9860" s="10"/>
      <c r="AW9860" s="10"/>
      <c r="AX9860" s="10"/>
      <c r="AY9860" s="10"/>
      <c r="AZ9860" s="10"/>
    </row>
    <row r="9861" spans="31:52">
      <c r="AE9861" s="10"/>
      <c r="AF9861" s="10"/>
      <c r="AG9861" s="10"/>
      <c r="AH9861" s="10"/>
      <c r="AI9861" s="10"/>
      <c r="AJ9861" s="10"/>
      <c r="AK9861" s="10"/>
      <c r="AL9861" s="10"/>
      <c r="AM9861" s="10"/>
      <c r="AN9861" s="10"/>
      <c r="AO9861" s="10"/>
      <c r="AP9861" s="10"/>
      <c r="AQ9861" s="10"/>
      <c r="AR9861" s="10"/>
      <c r="AS9861" s="10"/>
      <c r="AT9861" s="10"/>
      <c r="AU9861" s="10"/>
      <c r="AV9861" s="10"/>
      <c r="AW9861" s="10"/>
      <c r="AX9861" s="10"/>
      <c r="AY9861" s="10"/>
      <c r="AZ9861" s="10"/>
    </row>
    <row r="9862" spans="31:52">
      <c r="AE9862" s="10"/>
      <c r="AF9862" s="10"/>
      <c r="AG9862" s="10"/>
      <c r="AH9862" s="10"/>
      <c r="AI9862" s="10"/>
      <c r="AJ9862" s="10"/>
      <c r="AK9862" s="10"/>
      <c r="AL9862" s="10"/>
      <c r="AM9862" s="10"/>
      <c r="AN9862" s="10"/>
      <c r="AO9862" s="10"/>
      <c r="AP9862" s="10"/>
      <c r="AQ9862" s="10"/>
      <c r="AR9862" s="10"/>
      <c r="AS9862" s="10"/>
      <c r="AT9862" s="10"/>
      <c r="AU9862" s="10"/>
      <c r="AV9862" s="10"/>
      <c r="AW9862" s="10"/>
      <c r="AX9862" s="10"/>
      <c r="AY9862" s="10"/>
      <c r="AZ9862" s="10"/>
    </row>
    <row r="9863" spans="31:52">
      <c r="AE9863" s="10"/>
      <c r="AF9863" s="10"/>
      <c r="AG9863" s="10"/>
      <c r="AH9863" s="10"/>
      <c r="AI9863" s="10"/>
      <c r="AJ9863" s="10"/>
      <c r="AK9863" s="10"/>
      <c r="AL9863" s="10"/>
      <c r="AM9863" s="10"/>
      <c r="AN9863" s="10"/>
      <c r="AO9863" s="10"/>
      <c r="AP9863" s="10"/>
      <c r="AQ9863" s="10"/>
      <c r="AR9863" s="10"/>
      <c r="AS9863" s="10"/>
      <c r="AT9863" s="10"/>
      <c r="AU9863" s="10"/>
      <c r="AV9863" s="10"/>
      <c r="AW9863" s="10"/>
      <c r="AX9863" s="10"/>
      <c r="AY9863" s="10"/>
      <c r="AZ9863" s="10"/>
    </row>
    <row r="9864" spans="31:52">
      <c r="AE9864" s="10"/>
      <c r="AF9864" s="10"/>
      <c r="AG9864" s="10"/>
      <c r="AH9864" s="10"/>
      <c r="AI9864" s="10"/>
      <c r="AJ9864" s="10"/>
      <c r="AK9864" s="10"/>
      <c r="AL9864" s="10"/>
      <c r="AM9864" s="10"/>
      <c r="AN9864" s="10"/>
      <c r="AO9864" s="10"/>
      <c r="AP9864" s="10"/>
      <c r="AQ9864" s="10"/>
      <c r="AR9864" s="10"/>
      <c r="AS9864" s="10"/>
      <c r="AT9864" s="10"/>
      <c r="AU9864" s="10"/>
      <c r="AV9864" s="10"/>
      <c r="AW9864" s="10"/>
      <c r="AX9864" s="10"/>
      <c r="AY9864" s="10"/>
      <c r="AZ9864" s="10"/>
    </row>
    <row r="9865" spans="31:52">
      <c r="AE9865" s="10"/>
      <c r="AF9865" s="10"/>
      <c r="AG9865" s="10"/>
      <c r="AH9865" s="10"/>
      <c r="AI9865" s="10"/>
      <c r="AJ9865" s="10"/>
      <c r="AK9865" s="10"/>
      <c r="AL9865" s="10"/>
      <c r="AM9865" s="10"/>
      <c r="AN9865" s="10"/>
      <c r="AO9865" s="10"/>
      <c r="AP9865" s="10"/>
      <c r="AQ9865" s="10"/>
      <c r="AR9865" s="10"/>
      <c r="AS9865" s="10"/>
      <c r="AT9865" s="10"/>
      <c r="AU9865" s="10"/>
      <c r="AV9865" s="10"/>
      <c r="AW9865" s="10"/>
      <c r="AX9865" s="10"/>
      <c r="AY9865" s="10"/>
      <c r="AZ9865" s="10"/>
    </row>
    <row r="9866" spans="31:52">
      <c r="AE9866" s="10"/>
      <c r="AF9866" s="10"/>
      <c r="AG9866" s="10"/>
      <c r="AH9866" s="10"/>
      <c r="AI9866" s="10"/>
      <c r="AJ9866" s="10"/>
      <c r="AK9866" s="10"/>
      <c r="AL9866" s="10"/>
      <c r="AM9866" s="10"/>
      <c r="AN9866" s="10"/>
      <c r="AO9866" s="10"/>
      <c r="AP9866" s="10"/>
      <c r="AQ9866" s="10"/>
      <c r="AR9866" s="10"/>
      <c r="AS9866" s="10"/>
      <c r="AT9866" s="10"/>
      <c r="AU9866" s="10"/>
      <c r="AV9866" s="10"/>
      <c r="AW9866" s="10"/>
      <c r="AX9866" s="10"/>
      <c r="AY9866" s="10"/>
      <c r="AZ9866" s="10"/>
    </row>
    <row r="9867" spans="31:52">
      <c r="AE9867" s="10"/>
      <c r="AF9867" s="10"/>
      <c r="AG9867" s="10"/>
      <c r="AH9867" s="10"/>
      <c r="AI9867" s="10"/>
      <c r="AJ9867" s="10"/>
      <c r="AK9867" s="10"/>
      <c r="AL9867" s="10"/>
      <c r="AM9867" s="10"/>
      <c r="AN9867" s="10"/>
      <c r="AO9867" s="10"/>
      <c r="AP9867" s="10"/>
      <c r="AQ9867" s="10"/>
      <c r="AR9867" s="10"/>
      <c r="AS9867" s="10"/>
      <c r="AT9867" s="10"/>
      <c r="AU9867" s="10"/>
      <c r="AV9867" s="10"/>
      <c r="AW9867" s="10"/>
      <c r="AX9867" s="10"/>
      <c r="AY9867" s="10"/>
      <c r="AZ9867" s="10"/>
    </row>
    <row r="9868" spans="31:52">
      <c r="AE9868" s="10"/>
      <c r="AF9868" s="10"/>
      <c r="AG9868" s="10"/>
      <c r="AH9868" s="10"/>
      <c r="AI9868" s="10"/>
      <c r="AJ9868" s="10"/>
      <c r="AK9868" s="10"/>
      <c r="AL9868" s="10"/>
      <c r="AM9868" s="10"/>
      <c r="AN9868" s="10"/>
      <c r="AO9868" s="10"/>
      <c r="AP9868" s="10"/>
      <c r="AQ9868" s="10"/>
      <c r="AR9868" s="10"/>
      <c r="AS9868" s="10"/>
      <c r="AT9868" s="10"/>
      <c r="AU9868" s="10"/>
      <c r="AV9868" s="10"/>
      <c r="AW9868" s="10"/>
      <c r="AX9868" s="10"/>
      <c r="AY9868" s="10"/>
      <c r="AZ9868" s="10"/>
    </row>
    <row r="9869" spans="31:52">
      <c r="AE9869" s="10"/>
      <c r="AF9869" s="10"/>
      <c r="AG9869" s="10"/>
      <c r="AH9869" s="10"/>
      <c r="AI9869" s="10"/>
      <c r="AJ9869" s="10"/>
      <c r="AK9869" s="10"/>
      <c r="AL9869" s="10"/>
      <c r="AM9869" s="10"/>
      <c r="AN9869" s="10"/>
      <c r="AO9869" s="10"/>
      <c r="AP9869" s="10"/>
      <c r="AQ9869" s="10"/>
      <c r="AR9869" s="10"/>
      <c r="AS9869" s="10"/>
      <c r="AT9869" s="10"/>
      <c r="AU9869" s="10"/>
      <c r="AV9869" s="10"/>
      <c r="AW9869" s="10"/>
      <c r="AX9869" s="10"/>
      <c r="AY9869" s="10"/>
      <c r="AZ9869" s="10"/>
    </row>
    <row r="9870" spans="31:52">
      <c r="AE9870" s="10"/>
      <c r="AF9870" s="10"/>
      <c r="AG9870" s="10"/>
      <c r="AH9870" s="10"/>
      <c r="AI9870" s="10"/>
      <c r="AJ9870" s="10"/>
      <c r="AK9870" s="10"/>
      <c r="AL9870" s="10"/>
      <c r="AM9870" s="10"/>
      <c r="AN9870" s="10"/>
      <c r="AO9870" s="10"/>
      <c r="AP9870" s="10"/>
      <c r="AQ9870" s="10"/>
      <c r="AR9870" s="10"/>
      <c r="AS9870" s="10"/>
      <c r="AT9870" s="10"/>
      <c r="AU9870" s="10"/>
      <c r="AV9870" s="10"/>
      <c r="AW9870" s="10"/>
      <c r="AX9870" s="10"/>
      <c r="AY9870" s="10"/>
      <c r="AZ9870" s="10"/>
    </row>
    <row r="9871" spans="31:52">
      <c r="AE9871" s="10"/>
      <c r="AF9871" s="10"/>
      <c r="AG9871" s="10"/>
      <c r="AH9871" s="10"/>
      <c r="AI9871" s="10"/>
      <c r="AJ9871" s="10"/>
      <c r="AK9871" s="10"/>
      <c r="AL9871" s="10"/>
      <c r="AM9871" s="10"/>
      <c r="AN9871" s="10"/>
      <c r="AO9871" s="10"/>
      <c r="AP9871" s="10"/>
      <c r="AQ9871" s="10"/>
      <c r="AR9871" s="10"/>
      <c r="AS9871" s="10"/>
      <c r="AT9871" s="10"/>
      <c r="AU9871" s="10"/>
      <c r="AV9871" s="10"/>
      <c r="AW9871" s="10"/>
      <c r="AX9871" s="10"/>
      <c r="AY9871" s="10"/>
      <c r="AZ9871" s="10"/>
    </row>
    <row r="9872" spans="31:52">
      <c r="AE9872" s="10"/>
      <c r="AF9872" s="10"/>
      <c r="AG9872" s="10"/>
      <c r="AH9872" s="10"/>
      <c r="AI9872" s="10"/>
      <c r="AJ9872" s="10"/>
      <c r="AK9872" s="10"/>
      <c r="AL9872" s="10"/>
      <c r="AM9872" s="10"/>
      <c r="AN9872" s="10"/>
      <c r="AO9872" s="10"/>
      <c r="AP9872" s="10"/>
      <c r="AQ9872" s="10"/>
      <c r="AR9872" s="10"/>
      <c r="AS9872" s="10"/>
      <c r="AT9872" s="10"/>
      <c r="AU9872" s="10"/>
      <c r="AV9872" s="10"/>
      <c r="AW9872" s="10"/>
      <c r="AX9872" s="10"/>
      <c r="AY9872" s="10"/>
      <c r="AZ9872" s="10"/>
    </row>
    <row r="9873" spans="31:52">
      <c r="AE9873" s="10"/>
      <c r="AF9873" s="10"/>
      <c r="AG9873" s="10"/>
      <c r="AH9873" s="10"/>
      <c r="AI9873" s="10"/>
      <c r="AJ9873" s="10"/>
      <c r="AK9873" s="10"/>
      <c r="AL9873" s="10"/>
      <c r="AM9873" s="10"/>
      <c r="AN9873" s="10"/>
      <c r="AO9873" s="10"/>
      <c r="AP9873" s="10"/>
      <c r="AQ9873" s="10"/>
      <c r="AR9873" s="10"/>
      <c r="AS9873" s="10"/>
      <c r="AT9873" s="10"/>
      <c r="AU9873" s="10"/>
      <c r="AV9873" s="10"/>
      <c r="AW9873" s="10"/>
      <c r="AX9873" s="10"/>
      <c r="AY9873" s="10"/>
      <c r="AZ9873" s="10"/>
    </row>
    <row r="9874" spans="31:52">
      <c r="AE9874" s="10"/>
      <c r="AF9874" s="10"/>
      <c r="AG9874" s="10"/>
      <c r="AH9874" s="10"/>
      <c r="AI9874" s="10"/>
      <c r="AJ9874" s="10"/>
      <c r="AK9874" s="10"/>
      <c r="AL9874" s="10"/>
      <c r="AM9874" s="10"/>
      <c r="AN9874" s="10"/>
      <c r="AO9874" s="10"/>
      <c r="AP9874" s="10"/>
      <c r="AQ9874" s="10"/>
      <c r="AR9874" s="10"/>
      <c r="AS9874" s="10"/>
      <c r="AT9874" s="10"/>
      <c r="AU9874" s="10"/>
      <c r="AV9874" s="10"/>
      <c r="AW9874" s="10"/>
      <c r="AX9874" s="10"/>
      <c r="AY9874" s="10"/>
      <c r="AZ9874" s="10"/>
    </row>
    <row r="9875" spans="31:52">
      <c r="AE9875" s="10"/>
      <c r="AF9875" s="10"/>
      <c r="AG9875" s="10"/>
      <c r="AH9875" s="10"/>
      <c r="AI9875" s="10"/>
      <c r="AJ9875" s="10"/>
      <c r="AK9875" s="10"/>
      <c r="AL9875" s="10"/>
      <c r="AM9875" s="10"/>
      <c r="AN9875" s="10"/>
      <c r="AO9875" s="10"/>
      <c r="AP9875" s="10"/>
      <c r="AQ9875" s="10"/>
      <c r="AR9875" s="10"/>
      <c r="AS9875" s="10"/>
      <c r="AT9875" s="10"/>
      <c r="AU9875" s="10"/>
      <c r="AV9875" s="10"/>
      <c r="AW9875" s="10"/>
      <c r="AX9875" s="10"/>
      <c r="AY9875" s="10"/>
      <c r="AZ9875" s="10"/>
    </row>
    <row r="9876" spans="31:52">
      <c r="AE9876" s="10"/>
      <c r="AF9876" s="10"/>
      <c r="AG9876" s="10"/>
      <c r="AH9876" s="10"/>
      <c r="AI9876" s="10"/>
      <c r="AJ9876" s="10"/>
      <c r="AK9876" s="10"/>
      <c r="AL9876" s="10"/>
      <c r="AM9876" s="10"/>
      <c r="AN9876" s="10"/>
      <c r="AO9876" s="10"/>
      <c r="AP9876" s="10"/>
      <c r="AQ9876" s="10"/>
      <c r="AR9876" s="10"/>
      <c r="AS9876" s="10"/>
      <c r="AT9876" s="10"/>
      <c r="AU9876" s="10"/>
      <c r="AV9876" s="10"/>
      <c r="AW9876" s="10"/>
      <c r="AX9876" s="10"/>
      <c r="AY9876" s="10"/>
      <c r="AZ9876" s="10"/>
    </row>
    <row r="9877" spans="31:52">
      <c r="AE9877" s="10"/>
      <c r="AF9877" s="10"/>
      <c r="AG9877" s="10"/>
      <c r="AH9877" s="10"/>
      <c r="AI9877" s="10"/>
      <c r="AJ9877" s="10"/>
      <c r="AK9877" s="10"/>
      <c r="AL9877" s="10"/>
      <c r="AM9877" s="10"/>
      <c r="AN9877" s="10"/>
      <c r="AO9877" s="10"/>
      <c r="AP9877" s="10"/>
      <c r="AQ9877" s="10"/>
      <c r="AR9877" s="10"/>
      <c r="AS9877" s="10"/>
      <c r="AT9877" s="10"/>
      <c r="AU9877" s="10"/>
      <c r="AV9877" s="10"/>
      <c r="AW9877" s="10"/>
      <c r="AX9877" s="10"/>
      <c r="AY9877" s="10"/>
      <c r="AZ9877" s="10"/>
    </row>
    <row r="9878" spans="31:52">
      <c r="AE9878" s="10"/>
      <c r="AF9878" s="10"/>
      <c r="AG9878" s="10"/>
      <c r="AH9878" s="10"/>
      <c r="AI9878" s="10"/>
      <c r="AJ9878" s="10"/>
      <c r="AK9878" s="10"/>
      <c r="AL9878" s="10"/>
      <c r="AM9878" s="10"/>
      <c r="AN9878" s="10"/>
      <c r="AO9878" s="10"/>
      <c r="AP9878" s="10"/>
      <c r="AQ9878" s="10"/>
      <c r="AR9878" s="10"/>
      <c r="AS9878" s="10"/>
      <c r="AT9878" s="10"/>
      <c r="AU9878" s="10"/>
      <c r="AV9878" s="10"/>
      <c r="AW9878" s="10"/>
      <c r="AX9878" s="10"/>
      <c r="AY9878" s="10"/>
      <c r="AZ9878" s="10"/>
    </row>
    <row r="9879" spans="31:52">
      <c r="AE9879" s="10"/>
      <c r="AF9879" s="10"/>
      <c r="AG9879" s="10"/>
      <c r="AH9879" s="10"/>
      <c r="AI9879" s="10"/>
      <c r="AJ9879" s="10"/>
      <c r="AK9879" s="10"/>
      <c r="AL9879" s="10"/>
      <c r="AM9879" s="10"/>
      <c r="AN9879" s="10"/>
      <c r="AO9879" s="10"/>
      <c r="AP9879" s="10"/>
      <c r="AQ9879" s="10"/>
      <c r="AR9879" s="10"/>
      <c r="AS9879" s="10"/>
      <c r="AT9879" s="10"/>
      <c r="AU9879" s="10"/>
      <c r="AV9879" s="10"/>
      <c r="AW9879" s="10"/>
      <c r="AX9879" s="10"/>
      <c r="AY9879" s="10"/>
      <c r="AZ9879" s="10"/>
    </row>
    <row r="9880" spans="31:52">
      <c r="AE9880" s="10"/>
      <c r="AF9880" s="10"/>
      <c r="AG9880" s="10"/>
      <c r="AH9880" s="10"/>
      <c r="AI9880" s="10"/>
      <c r="AJ9880" s="10"/>
      <c r="AK9880" s="10"/>
      <c r="AL9880" s="10"/>
      <c r="AM9880" s="10"/>
      <c r="AN9880" s="10"/>
      <c r="AO9880" s="10"/>
      <c r="AP9880" s="10"/>
      <c r="AQ9880" s="10"/>
      <c r="AR9880" s="10"/>
      <c r="AS9880" s="10"/>
      <c r="AT9880" s="10"/>
      <c r="AU9880" s="10"/>
      <c r="AV9880" s="10"/>
      <c r="AW9880" s="10"/>
      <c r="AX9880" s="10"/>
      <c r="AY9880" s="10"/>
      <c r="AZ9880" s="10"/>
    </row>
    <row r="9881" spans="31:52">
      <c r="AE9881" s="10"/>
      <c r="AF9881" s="10"/>
      <c r="AG9881" s="10"/>
      <c r="AH9881" s="10"/>
      <c r="AI9881" s="10"/>
      <c r="AJ9881" s="10"/>
      <c r="AK9881" s="10"/>
      <c r="AL9881" s="10"/>
      <c r="AM9881" s="10"/>
      <c r="AN9881" s="10"/>
      <c r="AO9881" s="10"/>
      <c r="AP9881" s="10"/>
      <c r="AQ9881" s="10"/>
      <c r="AR9881" s="10"/>
      <c r="AS9881" s="10"/>
      <c r="AT9881" s="10"/>
      <c r="AU9881" s="10"/>
      <c r="AV9881" s="10"/>
      <c r="AW9881" s="10"/>
      <c r="AX9881" s="10"/>
      <c r="AY9881" s="10"/>
      <c r="AZ9881" s="10"/>
    </row>
    <row r="9882" spans="31:52">
      <c r="AE9882" s="10"/>
      <c r="AF9882" s="10"/>
      <c r="AG9882" s="10"/>
      <c r="AH9882" s="10"/>
      <c r="AI9882" s="10"/>
      <c r="AJ9882" s="10"/>
      <c r="AK9882" s="10"/>
      <c r="AL9882" s="10"/>
      <c r="AM9882" s="10"/>
      <c r="AN9882" s="10"/>
      <c r="AO9882" s="10"/>
      <c r="AP9882" s="10"/>
      <c r="AQ9882" s="10"/>
      <c r="AR9882" s="10"/>
      <c r="AS9882" s="10"/>
      <c r="AT9882" s="10"/>
      <c r="AU9882" s="10"/>
      <c r="AV9882" s="10"/>
      <c r="AW9882" s="10"/>
      <c r="AX9882" s="10"/>
      <c r="AY9882" s="10"/>
      <c r="AZ9882" s="10"/>
    </row>
    <row r="9883" spans="31:52">
      <c r="AE9883" s="10"/>
      <c r="AF9883" s="10"/>
      <c r="AG9883" s="10"/>
      <c r="AH9883" s="10"/>
      <c r="AI9883" s="10"/>
      <c r="AJ9883" s="10"/>
      <c r="AK9883" s="10"/>
      <c r="AL9883" s="10"/>
      <c r="AM9883" s="10"/>
      <c r="AN9883" s="10"/>
      <c r="AO9883" s="10"/>
      <c r="AP9883" s="10"/>
      <c r="AQ9883" s="10"/>
      <c r="AR9883" s="10"/>
      <c r="AS9883" s="10"/>
      <c r="AT9883" s="10"/>
      <c r="AU9883" s="10"/>
      <c r="AV9883" s="10"/>
      <c r="AW9883" s="10"/>
      <c r="AX9883" s="10"/>
      <c r="AY9883" s="10"/>
      <c r="AZ9883" s="10"/>
    </row>
    <row r="9884" spans="31:52">
      <c r="AE9884" s="10"/>
      <c r="AF9884" s="10"/>
      <c r="AG9884" s="10"/>
      <c r="AH9884" s="10"/>
      <c r="AI9884" s="10"/>
      <c r="AJ9884" s="10"/>
      <c r="AK9884" s="10"/>
      <c r="AL9884" s="10"/>
      <c r="AM9884" s="10"/>
      <c r="AN9884" s="10"/>
      <c r="AO9884" s="10"/>
      <c r="AP9884" s="10"/>
      <c r="AQ9884" s="10"/>
      <c r="AR9884" s="10"/>
      <c r="AS9884" s="10"/>
      <c r="AT9884" s="10"/>
      <c r="AU9884" s="10"/>
      <c r="AV9884" s="10"/>
      <c r="AW9884" s="10"/>
      <c r="AX9884" s="10"/>
      <c r="AY9884" s="10"/>
      <c r="AZ9884" s="10"/>
    </row>
    <row r="9885" spans="31:52">
      <c r="AE9885" s="10"/>
      <c r="AF9885" s="10"/>
      <c r="AG9885" s="10"/>
      <c r="AH9885" s="10"/>
      <c r="AI9885" s="10"/>
      <c r="AJ9885" s="10"/>
      <c r="AK9885" s="10"/>
      <c r="AL9885" s="10"/>
      <c r="AM9885" s="10"/>
      <c r="AN9885" s="10"/>
      <c r="AO9885" s="10"/>
      <c r="AP9885" s="10"/>
      <c r="AQ9885" s="10"/>
      <c r="AR9885" s="10"/>
      <c r="AS9885" s="10"/>
      <c r="AT9885" s="10"/>
      <c r="AU9885" s="10"/>
      <c r="AV9885" s="10"/>
      <c r="AW9885" s="10"/>
      <c r="AX9885" s="10"/>
      <c r="AY9885" s="10"/>
      <c r="AZ9885" s="10"/>
    </row>
    <row r="9886" spans="31:52">
      <c r="AE9886" s="10"/>
      <c r="AF9886" s="10"/>
      <c r="AG9886" s="10"/>
      <c r="AH9886" s="10"/>
      <c r="AI9886" s="10"/>
      <c r="AJ9886" s="10"/>
      <c r="AK9886" s="10"/>
      <c r="AL9886" s="10"/>
      <c r="AM9886" s="10"/>
      <c r="AN9886" s="10"/>
      <c r="AO9886" s="10"/>
      <c r="AP9886" s="10"/>
      <c r="AQ9886" s="10"/>
      <c r="AR9886" s="10"/>
      <c r="AS9886" s="10"/>
      <c r="AT9886" s="10"/>
      <c r="AU9886" s="10"/>
      <c r="AV9886" s="10"/>
      <c r="AW9886" s="10"/>
      <c r="AX9886" s="10"/>
      <c r="AY9886" s="10"/>
      <c r="AZ9886" s="10"/>
    </row>
    <row r="9887" spans="31:52">
      <c r="AE9887" s="10"/>
      <c r="AF9887" s="10"/>
      <c r="AG9887" s="10"/>
      <c r="AH9887" s="10"/>
      <c r="AI9887" s="10"/>
      <c r="AJ9887" s="10"/>
      <c r="AK9887" s="10"/>
      <c r="AL9887" s="10"/>
      <c r="AM9887" s="10"/>
      <c r="AN9887" s="10"/>
      <c r="AO9887" s="10"/>
      <c r="AP9887" s="10"/>
      <c r="AQ9887" s="10"/>
      <c r="AR9887" s="10"/>
      <c r="AS9887" s="10"/>
      <c r="AT9887" s="10"/>
      <c r="AU9887" s="10"/>
      <c r="AV9887" s="10"/>
      <c r="AW9887" s="10"/>
      <c r="AX9887" s="10"/>
      <c r="AY9887" s="10"/>
      <c r="AZ9887" s="10"/>
    </row>
    <row r="9888" spans="31:52">
      <c r="AE9888" s="10"/>
      <c r="AF9888" s="10"/>
      <c r="AG9888" s="10"/>
      <c r="AH9888" s="10"/>
      <c r="AI9888" s="10"/>
      <c r="AJ9888" s="10"/>
      <c r="AK9888" s="10"/>
      <c r="AL9888" s="10"/>
      <c r="AM9888" s="10"/>
      <c r="AN9888" s="10"/>
      <c r="AO9888" s="10"/>
      <c r="AP9888" s="10"/>
      <c r="AQ9888" s="10"/>
      <c r="AR9888" s="10"/>
      <c r="AS9888" s="10"/>
      <c r="AT9888" s="10"/>
      <c r="AU9888" s="10"/>
      <c r="AV9888" s="10"/>
      <c r="AW9888" s="10"/>
      <c r="AX9888" s="10"/>
      <c r="AY9888" s="10"/>
      <c r="AZ9888" s="10"/>
    </row>
    <row r="9889" spans="31:52">
      <c r="AE9889" s="10"/>
      <c r="AF9889" s="10"/>
      <c r="AG9889" s="10"/>
      <c r="AH9889" s="10"/>
      <c r="AI9889" s="10"/>
      <c r="AJ9889" s="10"/>
      <c r="AK9889" s="10"/>
      <c r="AL9889" s="10"/>
      <c r="AM9889" s="10"/>
      <c r="AN9889" s="10"/>
      <c r="AO9889" s="10"/>
      <c r="AP9889" s="10"/>
      <c r="AQ9889" s="10"/>
      <c r="AR9889" s="10"/>
      <c r="AS9889" s="10"/>
      <c r="AT9889" s="10"/>
      <c r="AU9889" s="10"/>
      <c r="AV9889" s="10"/>
      <c r="AW9889" s="10"/>
      <c r="AX9889" s="10"/>
      <c r="AY9889" s="10"/>
      <c r="AZ9889" s="10"/>
    </row>
    <row r="9890" spans="31:52">
      <c r="AE9890" s="10"/>
      <c r="AF9890" s="10"/>
      <c r="AG9890" s="10"/>
      <c r="AH9890" s="10"/>
      <c r="AI9890" s="10"/>
      <c r="AJ9890" s="10"/>
      <c r="AK9890" s="10"/>
      <c r="AL9890" s="10"/>
      <c r="AM9890" s="10"/>
      <c r="AN9890" s="10"/>
      <c r="AO9890" s="10"/>
      <c r="AP9890" s="10"/>
      <c r="AQ9890" s="10"/>
      <c r="AR9890" s="10"/>
      <c r="AS9890" s="10"/>
      <c r="AT9890" s="10"/>
      <c r="AU9890" s="10"/>
      <c r="AV9890" s="10"/>
      <c r="AW9890" s="10"/>
      <c r="AX9890" s="10"/>
      <c r="AY9890" s="10"/>
      <c r="AZ9890" s="10"/>
    </row>
    <row r="9891" spans="31:52">
      <c r="AE9891" s="10"/>
      <c r="AF9891" s="10"/>
      <c r="AG9891" s="10"/>
      <c r="AH9891" s="10"/>
      <c r="AI9891" s="10"/>
      <c r="AJ9891" s="10"/>
      <c r="AK9891" s="10"/>
      <c r="AL9891" s="10"/>
      <c r="AM9891" s="10"/>
      <c r="AN9891" s="10"/>
      <c r="AO9891" s="10"/>
      <c r="AP9891" s="10"/>
      <c r="AQ9891" s="10"/>
      <c r="AR9891" s="10"/>
      <c r="AS9891" s="10"/>
      <c r="AT9891" s="10"/>
      <c r="AU9891" s="10"/>
      <c r="AV9891" s="10"/>
      <c r="AW9891" s="10"/>
      <c r="AX9891" s="10"/>
      <c r="AY9891" s="10"/>
      <c r="AZ9891" s="10"/>
    </row>
    <row r="9892" spans="31:52">
      <c r="AE9892" s="10"/>
      <c r="AF9892" s="10"/>
      <c r="AG9892" s="10"/>
      <c r="AH9892" s="10"/>
      <c r="AI9892" s="10"/>
      <c r="AJ9892" s="10"/>
      <c r="AK9892" s="10"/>
      <c r="AL9892" s="10"/>
      <c r="AM9892" s="10"/>
      <c r="AN9892" s="10"/>
      <c r="AO9892" s="10"/>
      <c r="AP9892" s="10"/>
      <c r="AQ9892" s="10"/>
      <c r="AR9892" s="10"/>
      <c r="AS9892" s="10"/>
      <c r="AT9892" s="10"/>
      <c r="AU9892" s="10"/>
      <c r="AV9892" s="10"/>
      <c r="AW9892" s="10"/>
      <c r="AX9892" s="10"/>
      <c r="AY9892" s="10"/>
      <c r="AZ9892" s="10"/>
    </row>
    <row r="9893" spans="31:52">
      <c r="AE9893" s="10"/>
      <c r="AF9893" s="10"/>
      <c r="AG9893" s="10"/>
      <c r="AH9893" s="10"/>
      <c r="AI9893" s="10"/>
      <c r="AJ9893" s="10"/>
      <c r="AK9893" s="10"/>
      <c r="AL9893" s="10"/>
      <c r="AM9893" s="10"/>
      <c r="AN9893" s="10"/>
      <c r="AO9893" s="10"/>
      <c r="AP9893" s="10"/>
      <c r="AQ9893" s="10"/>
      <c r="AR9893" s="10"/>
      <c r="AS9893" s="10"/>
      <c r="AT9893" s="10"/>
      <c r="AU9893" s="10"/>
      <c r="AV9893" s="10"/>
      <c r="AW9893" s="10"/>
      <c r="AX9893" s="10"/>
      <c r="AY9893" s="10"/>
      <c r="AZ9893" s="10"/>
    </row>
    <row r="9894" spans="31:52">
      <c r="AE9894" s="10"/>
      <c r="AF9894" s="10"/>
      <c r="AG9894" s="10"/>
      <c r="AH9894" s="10"/>
      <c r="AI9894" s="10"/>
      <c r="AJ9894" s="10"/>
      <c r="AK9894" s="10"/>
      <c r="AL9894" s="10"/>
      <c r="AM9894" s="10"/>
      <c r="AN9894" s="10"/>
      <c r="AO9894" s="10"/>
      <c r="AP9894" s="10"/>
      <c r="AQ9894" s="10"/>
      <c r="AR9894" s="10"/>
      <c r="AS9894" s="10"/>
      <c r="AT9894" s="10"/>
      <c r="AU9894" s="10"/>
      <c r="AV9894" s="10"/>
      <c r="AW9894" s="10"/>
      <c r="AX9894" s="10"/>
      <c r="AY9894" s="10"/>
      <c r="AZ9894" s="10"/>
    </row>
    <row r="9895" spans="31:52">
      <c r="AE9895" s="10"/>
      <c r="AF9895" s="10"/>
      <c r="AG9895" s="10"/>
      <c r="AH9895" s="10"/>
      <c r="AI9895" s="10"/>
      <c r="AJ9895" s="10"/>
      <c r="AK9895" s="10"/>
      <c r="AL9895" s="10"/>
      <c r="AM9895" s="10"/>
      <c r="AN9895" s="10"/>
      <c r="AO9895" s="10"/>
      <c r="AP9895" s="10"/>
      <c r="AQ9895" s="10"/>
      <c r="AR9895" s="10"/>
      <c r="AS9895" s="10"/>
      <c r="AT9895" s="10"/>
      <c r="AU9895" s="10"/>
      <c r="AV9895" s="10"/>
      <c r="AW9895" s="10"/>
      <c r="AX9895" s="10"/>
      <c r="AY9895" s="10"/>
      <c r="AZ9895" s="10"/>
    </row>
    <row r="9896" spans="31:52">
      <c r="AE9896" s="10"/>
      <c r="AF9896" s="10"/>
      <c r="AG9896" s="10"/>
      <c r="AH9896" s="10"/>
      <c r="AI9896" s="10"/>
      <c r="AJ9896" s="10"/>
      <c r="AK9896" s="10"/>
      <c r="AL9896" s="10"/>
      <c r="AM9896" s="10"/>
      <c r="AN9896" s="10"/>
      <c r="AO9896" s="10"/>
      <c r="AP9896" s="10"/>
      <c r="AQ9896" s="10"/>
      <c r="AR9896" s="10"/>
      <c r="AS9896" s="10"/>
      <c r="AT9896" s="10"/>
      <c r="AU9896" s="10"/>
      <c r="AV9896" s="10"/>
      <c r="AW9896" s="10"/>
      <c r="AX9896" s="10"/>
      <c r="AY9896" s="10"/>
      <c r="AZ9896" s="10"/>
    </row>
    <row r="9897" spans="31:52">
      <c r="AE9897" s="10"/>
      <c r="AF9897" s="10"/>
      <c r="AG9897" s="10"/>
      <c r="AH9897" s="10"/>
      <c r="AI9897" s="10"/>
      <c r="AJ9897" s="10"/>
      <c r="AK9897" s="10"/>
      <c r="AL9897" s="10"/>
      <c r="AM9897" s="10"/>
      <c r="AN9897" s="10"/>
      <c r="AO9897" s="10"/>
      <c r="AP9897" s="10"/>
      <c r="AQ9897" s="10"/>
      <c r="AR9897" s="10"/>
      <c r="AS9897" s="10"/>
      <c r="AT9897" s="10"/>
      <c r="AU9897" s="10"/>
      <c r="AV9897" s="10"/>
      <c r="AW9897" s="10"/>
      <c r="AX9897" s="10"/>
      <c r="AY9897" s="10"/>
      <c r="AZ9897" s="10"/>
    </row>
    <row r="9898" spans="31:52">
      <c r="AE9898" s="10"/>
      <c r="AF9898" s="10"/>
      <c r="AG9898" s="10"/>
      <c r="AH9898" s="10"/>
      <c r="AI9898" s="10"/>
      <c r="AJ9898" s="10"/>
      <c r="AK9898" s="10"/>
      <c r="AL9898" s="10"/>
      <c r="AM9898" s="10"/>
      <c r="AN9898" s="10"/>
      <c r="AO9898" s="10"/>
      <c r="AP9898" s="10"/>
      <c r="AQ9898" s="10"/>
      <c r="AR9898" s="10"/>
      <c r="AS9898" s="10"/>
      <c r="AT9898" s="10"/>
      <c r="AU9898" s="10"/>
      <c r="AV9898" s="10"/>
      <c r="AW9898" s="10"/>
      <c r="AX9898" s="10"/>
      <c r="AY9898" s="10"/>
      <c r="AZ9898" s="10"/>
    </row>
    <row r="9899" spans="31:52">
      <c r="AE9899" s="10"/>
      <c r="AF9899" s="10"/>
      <c r="AG9899" s="10"/>
      <c r="AH9899" s="10"/>
      <c r="AI9899" s="10"/>
      <c r="AJ9899" s="10"/>
      <c r="AK9899" s="10"/>
      <c r="AL9899" s="10"/>
      <c r="AM9899" s="10"/>
      <c r="AN9899" s="10"/>
      <c r="AO9899" s="10"/>
      <c r="AP9899" s="10"/>
      <c r="AQ9899" s="10"/>
      <c r="AR9899" s="10"/>
      <c r="AS9899" s="10"/>
      <c r="AT9899" s="10"/>
      <c r="AU9899" s="10"/>
      <c r="AV9899" s="10"/>
      <c r="AW9899" s="10"/>
      <c r="AX9899" s="10"/>
      <c r="AY9899" s="10"/>
      <c r="AZ9899" s="10"/>
    </row>
    <row r="9900" spans="31:52">
      <c r="AE9900" s="10"/>
      <c r="AF9900" s="10"/>
      <c r="AG9900" s="10"/>
      <c r="AH9900" s="10"/>
      <c r="AI9900" s="10"/>
      <c r="AJ9900" s="10"/>
      <c r="AK9900" s="10"/>
      <c r="AL9900" s="10"/>
      <c r="AM9900" s="10"/>
      <c r="AN9900" s="10"/>
      <c r="AO9900" s="10"/>
      <c r="AP9900" s="10"/>
      <c r="AQ9900" s="10"/>
      <c r="AR9900" s="10"/>
      <c r="AS9900" s="10"/>
      <c r="AT9900" s="10"/>
      <c r="AU9900" s="10"/>
      <c r="AV9900" s="10"/>
      <c r="AW9900" s="10"/>
      <c r="AX9900" s="10"/>
      <c r="AY9900" s="10"/>
      <c r="AZ9900" s="10"/>
    </row>
    <row r="9901" spans="31:52">
      <c r="AE9901" s="10"/>
      <c r="AF9901" s="10"/>
      <c r="AG9901" s="10"/>
      <c r="AH9901" s="10"/>
      <c r="AI9901" s="10"/>
      <c r="AJ9901" s="10"/>
      <c r="AK9901" s="10"/>
      <c r="AL9901" s="10"/>
      <c r="AM9901" s="10"/>
      <c r="AN9901" s="10"/>
      <c r="AO9901" s="10"/>
      <c r="AP9901" s="10"/>
      <c r="AQ9901" s="10"/>
      <c r="AR9901" s="10"/>
      <c r="AS9901" s="10"/>
      <c r="AT9901" s="10"/>
      <c r="AU9901" s="10"/>
      <c r="AV9901" s="10"/>
      <c r="AW9901" s="10"/>
      <c r="AX9901" s="10"/>
      <c r="AY9901" s="10"/>
      <c r="AZ9901" s="10"/>
    </row>
    <row r="9902" spans="31:52">
      <c r="AE9902" s="10"/>
      <c r="AF9902" s="10"/>
      <c r="AG9902" s="10"/>
      <c r="AH9902" s="10"/>
      <c r="AI9902" s="10"/>
      <c r="AJ9902" s="10"/>
      <c r="AK9902" s="10"/>
      <c r="AL9902" s="10"/>
      <c r="AM9902" s="10"/>
      <c r="AN9902" s="10"/>
      <c r="AO9902" s="10"/>
      <c r="AP9902" s="10"/>
      <c r="AQ9902" s="10"/>
      <c r="AR9902" s="10"/>
      <c r="AS9902" s="10"/>
      <c r="AT9902" s="10"/>
      <c r="AU9902" s="10"/>
      <c r="AV9902" s="10"/>
      <c r="AW9902" s="10"/>
      <c r="AX9902" s="10"/>
      <c r="AY9902" s="10"/>
      <c r="AZ9902" s="10"/>
    </row>
    <row r="9903" spans="31:52">
      <c r="AE9903" s="10"/>
      <c r="AF9903" s="10"/>
      <c r="AG9903" s="10"/>
      <c r="AH9903" s="10"/>
      <c r="AI9903" s="10"/>
      <c r="AJ9903" s="10"/>
      <c r="AK9903" s="10"/>
      <c r="AL9903" s="10"/>
      <c r="AM9903" s="10"/>
      <c r="AN9903" s="10"/>
      <c r="AO9903" s="10"/>
      <c r="AP9903" s="10"/>
      <c r="AQ9903" s="10"/>
      <c r="AR9903" s="10"/>
      <c r="AS9903" s="10"/>
      <c r="AT9903" s="10"/>
      <c r="AU9903" s="10"/>
      <c r="AV9903" s="10"/>
      <c r="AW9903" s="10"/>
      <c r="AX9903" s="10"/>
      <c r="AY9903" s="10"/>
      <c r="AZ9903" s="10"/>
    </row>
    <row r="9904" spans="31:52">
      <c r="AE9904" s="10"/>
      <c r="AF9904" s="10"/>
      <c r="AG9904" s="10"/>
      <c r="AH9904" s="10"/>
      <c r="AI9904" s="10"/>
      <c r="AJ9904" s="10"/>
      <c r="AK9904" s="10"/>
      <c r="AL9904" s="10"/>
      <c r="AM9904" s="10"/>
      <c r="AN9904" s="10"/>
      <c r="AO9904" s="10"/>
      <c r="AP9904" s="10"/>
      <c r="AQ9904" s="10"/>
      <c r="AR9904" s="10"/>
      <c r="AS9904" s="10"/>
      <c r="AT9904" s="10"/>
      <c r="AU9904" s="10"/>
      <c r="AV9904" s="10"/>
      <c r="AW9904" s="10"/>
      <c r="AX9904" s="10"/>
      <c r="AY9904" s="10"/>
      <c r="AZ9904" s="10"/>
    </row>
    <row r="9905" spans="31:52">
      <c r="AE9905" s="10"/>
      <c r="AF9905" s="10"/>
      <c r="AG9905" s="10"/>
      <c r="AH9905" s="10"/>
      <c r="AI9905" s="10"/>
      <c r="AJ9905" s="10"/>
      <c r="AK9905" s="10"/>
      <c r="AL9905" s="10"/>
      <c r="AM9905" s="10"/>
      <c r="AN9905" s="10"/>
      <c r="AO9905" s="10"/>
      <c r="AP9905" s="10"/>
      <c r="AQ9905" s="10"/>
      <c r="AR9905" s="10"/>
      <c r="AS9905" s="10"/>
      <c r="AT9905" s="10"/>
      <c r="AU9905" s="10"/>
      <c r="AV9905" s="10"/>
      <c r="AW9905" s="10"/>
      <c r="AX9905" s="10"/>
      <c r="AY9905" s="10"/>
      <c r="AZ9905" s="10"/>
    </row>
    <row r="9906" spans="31:52">
      <c r="AE9906" s="10"/>
      <c r="AF9906" s="10"/>
      <c r="AG9906" s="10"/>
      <c r="AH9906" s="10"/>
      <c r="AI9906" s="10"/>
      <c r="AJ9906" s="10"/>
      <c r="AK9906" s="10"/>
      <c r="AL9906" s="10"/>
      <c r="AM9906" s="10"/>
      <c r="AN9906" s="10"/>
      <c r="AO9906" s="10"/>
      <c r="AP9906" s="10"/>
      <c r="AQ9906" s="10"/>
      <c r="AR9906" s="10"/>
      <c r="AS9906" s="10"/>
      <c r="AT9906" s="10"/>
      <c r="AU9906" s="10"/>
      <c r="AV9906" s="10"/>
      <c r="AW9906" s="10"/>
      <c r="AX9906" s="10"/>
      <c r="AY9906" s="10"/>
      <c r="AZ9906" s="10"/>
    </row>
    <row r="9907" spans="31:52">
      <c r="AE9907" s="10"/>
      <c r="AF9907" s="10"/>
      <c r="AG9907" s="10"/>
      <c r="AH9907" s="10"/>
      <c r="AI9907" s="10"/>
      <c r="AJ9907" s="10"/>
      <c r="AK9907" s="10"/>
      <c r="AL9907" s="10"/>
      <c r="AM9907" s="10"/>
      <c r="AN9907" s="10"/>
      <c r="AO9907" s="10"/>
      <c r="AP9907" s="10"/>
      <c r="AQ9907" s="10"/>
      <c r="AR9907" s="10"/>
      <c r="AS9907" s="10"/>
      <c r="AT9907" s="10"/>
      <c r="AU9907" s="10"/>
      <c r="AV9907" s="10"/>
      <c r="AW9907" s="10"/>
      <c r="AX9907" s="10"/>
      <c r="AY9907" s="10"/>
      <c r="AZ9907" s="10"/>
    </row>
    <row r="9908" spans="31:52">
      <c r="AE9908" s="10"/>
      <c r="AF9908" s="10"/>
      <c r="AG9908" s="10"/>
      <c r="AH9908" s="10"/>
      <c r="AI9908" s="10"/>
      <c r="AJ9908" s="10"/>
      <c r="AK9908" s="10"/>
      <c r="AL9908" s="10"/>
      <c r="AM9908" s="10"/>
      <c r="AN9908" s="10"/>
      <c r="AO9908" s="10"/>
      <c r="AP9908" s="10"/>
      <c r="AQ9908" s="10"/>
      <c r="AR9908" s="10"/>
      <c r="AS9908" s="10"/>
      <c r="AT9908" s="10"/>
      <c r="AU9908" s="10"/>
      <c r="AV9908" s="10"/>
      <c r="AW9908" s="10"/>
      <c r="AX9908" s="10"/>
      <c r="AY9908" s="10"/>
      <c r="AZ9908" s="10"/>
    </row>
    <row r="9909" spans="31:52">
      <c r="AE9909" s="10"/>
      <c r="AF9909" s="10"/>
      <c r="AG9909" s="10"/>
      <c r="AH9909" s="10"/>
      <c r="AI9909" s="10"/>
      <c r="AJ9909" s="10"/>
      <c r="AK9909" s="10"/>
      <c r="AL9909" s="10"/>
      <c r="AM9909" s="10"/>
      <c r="AN9909" s="10"/>
      <c r="AO9909" s="10"/>
      <c r="AP9909" s="10"/>
      <c r="AQ9909" s="10"/>
      <c r="AR9909" s="10"/>
      <c r="AS9909" s="10"/>
      <c r="AT9909" s="10"/>
      <c r="AU9909" s="10"/>
      <c r="AV9909" s="10"/>
      <c r="AW9909" s="10"/>
      <c r="AX9909" s="10"/>
      <c r="AY9909" s="10"/>
      <c r="AZ9909" s="10"/>
    </row>
    <row r="9910" spans="31:52">
      <c r="AE9910" s="10"/>
      <c r="AF9910" s="10"/>
      <c r="AG9910" s="10"/>
      <c r="AH9910" s="10"/>
      <c r="AI9910" s="10"/>
      <c r="AJ9910" s="10"/>
      <c r="AK9910" s="10"/>
      <c r="AL9910" s="10"/>
      <c r="AM9910" s="10"/>
      <c r="AN9910" s="10"/>
      <c r="AO9910" s="10"/>
      <c r="AP9910" s="10"/>
      <c r="AQ9910" s="10"/>
      <c r="AR9910" s="10"/>
      <c r="AS9910" s="10"/>
      <c r="AT9910" s="10"/>
      <c r="AU9910" s="10"/>
      <c r="AV9910" s="10"/>
      <c r="AW9910" s="10"/>
      <c r="AX9910" s="10"/>
      <c r="AY9910" s="10"/>
      <c r="AZ9910" s="10"/>
    </row>
    <row r="9911" spans="31:52">
      <c r="AE9911" s="10"/>
      <c r="AF9911" s="10"/>
      <c r="AG9911" s="10"/>
      <c r="AH9911" s="10"/>
      <c r="AI9911" s="10"/>
      <c r="AJ9911" s="10"/>
      <c r="AK9911" s="10"/>
      <c r="AL9911" s="10"/>
      <c r="AM9911" s="10"/>
      <c r="AN9911" s="10"/>
      <c r="AO9911" s="10"/>
      <c r="AP9911" s="10"/>
      <c r="AQ9911" s="10"/>
      <c r="AR9911" s="10"/>
      <c r="AS9911" s="10"/>
      <c r="AT9911" s="10"/>
      <c r="AU9911" s="10"/>
      <c r="AV9911" s="10"/>
      <c r="AW9911" s="10"/>
      <c r="AX9911" s="10"/>
      <c r="AY9911" s="10"/>
      <c r="AZ9911" s="10"/>
    </row>
    <row r="9912" spans="31:52">
      <c r="AE9912" s="10"/>
      <c r="AF9912" s="10"/>
      <c r="AG9912" s="10"/>
      <c r="AH9912" s="10"/>
      <c r="AI9912" s="10"/>
      <c r="AJ9912" s="10"/>
      <c r="AK9912" s="10"/>
      <c r="AL9912" s="10"/>
      <c r="AM9912" s="10"/>
      <c r="AN9912" s="10"/>
      <c r="AO9912" s="10"/>
      <c r="AP9912" s="10"/>
      <c r="AQ9912" s="10"/>
      <c r="AR9912" s="10"/>
      <c r="AS9912" s="10"/>
      <c r="AT9912" s="10"/>
      <c r="AU9912" s="10"/>
      <c r="AV9912" s="10"/>
      <c r="AW9912" s="10"/>
      <c r="AX9912" s="10"/>
      <c r="AY9912" s="10"/>
      <c r="AZ9912" s="10"/>
    </row>
    <row r="9913" spans="31:52">
      <c r="AE9913" s="10"/>
      <c r="AF9913" s="10"/>
      <c r="AG9913" s="10"/>
      <c r="AH9913" s="10"/>
      <c r="AI9913" s="10"/>
      <c r="AJ9913" s="10"/>
      <c r="AK9913" s="10"/>
      <c r="AL9913" s="10"/>
      <c r="AM9913" s="10"/>
      <c r="AN9913" s="10"/>
      <c r="AO9913" s="10"/>
      <c r="AP9913" s="10"/>
      <c r="AQ9913" s="10"/>
      <c r="AR9913" s="10"/>
      <c r="AS9913" s="10"/>
      <c r="AT9913" s="10"/>
      <c r="AU9913" s="10"/>
      <c r="AV9913" s="10"/>
      <c r="AW9913" s="10"/>
      <c r="AX9913" s="10"/>
      <c r="AY9913" s="10"/>
      <c r="AZ9913" s="10"/>
    </row>
    <row r="9914" spans="31:52">
      <c r="AE9914" s="10"/>
      <c r="AF9914" s="10"/>
      <c r="AG9914" s="10"/>
      <c r="AH9914" s="10"/>
      <c r="AI9914" s="10"/>
      <c r="AJ9914" s="10"/>
      <c r="AK9914" s="10"/>
      <c r="AL9914" s="10"/>
      <c r="AM9914" s="10"/>
      <c r="AN9914" s="10"/>
      <c r="AO9914" s="10"/>
      <c r="AP9914" s="10"/>
      <c r="AQ9914" s="10"/>
      <c r="AR9914" s="10"/>
      <c r="AS9914" s="10"/>
      <c r="AT9914" s="10"/>
      <c r="AU9914" s="10"/>
      <c r="AV9914" s="10"/>
      <c r="AW9914" s="10"/>
      <c r="AX9914" s="10"/>
      <c r="AY9914" s="10"/>
      <c r="AZ9914" s="10"/>
    </row>
    <row r="9915" spans="31:52">
      <c r="AE9915" s="10"/>
      <c r="AF9915" s="10"/>
      <c r="AG9915" s="10"/>
      <c r="AH9915" s="10"/>
      <c r="AI9915" s="10"/>
      <c r="AJ9915" s="10"/>
      <c r="AK9915" s="10"/>
      <c r="AL9915" s="10"/>
      <c r="AM9915" s="10"/>
      <c r="AN9915" s="10"/>
      <c r="AO9915" s="10"/>
      <c r="AP9915" s="10"/>
      <c r="AQ9915" s="10"/>
      <c r="AR9915" s="10"/>
      <c r="AS9915" s="10"/>
      <c r="AT9915" s="10"/>
      <c r="AU9915" s="10"/>
      <c r="AV9915" s="10"/>
      <c r="AW9915" s="10"/>
      <c r="AX9915" s="10"/>
      <c r="AY9915" s="10"/>
      <c r="AZ9915" s="10"/>
    </row>
    <row r="9916" spans="31:52">
      <c r="AE9916" s="10"/>
      <c r="AF9916" s="10"/>
      <c r="AG9916" s="10"/>
      <c r="AH9916" s="10"/>
      <c r="AI9916" s="10"/>
      <c r="AJ9916" s="10"/>
      <c r="AK9916" s="10"/>
      <c r="AL9916" s="10"/>
      <c r="AM9916" s="10"/>
      <c r="AN9916" s="10"/>
      <c r="AO9916" s="10"/>
      <c r="AP9916" s="10"/>
      <c r="AQ9916" s="10"/>
      <c r="AR9916" s="10"/>
      <c r="AS9916" s="10"/>
      <c r="AT9916" s="10"/>
      <c r="AU9916" s="10"/>
      <c r="AV9916" s="10"/>
      <c r="AW9916" s="10"/>
      <c r="AX9916" s="10"/>
      <c r="AY9916" s="10"/>
      <c r="AZ9916" s="10"/>
    </row>
    <row r="9917" spans="31:52">
      <c r="AE9917" s="10"/>
      <c r="AF9917" s="10"/>
      <c r="AG9917" s="10"/>
      <c r="AH9917" s="10"/>
      <c r="AI9917" s="10"/>
      <c r="AJ9917" s="10"/>
      <c r="AK9917" s="10"/>
      <c r="AL9917" s="10"/>
      <c r="AM9917" s="10"/>
      <c r="AN9917" s="10"/>
      <c r="AO9917" s="10"/>
      <c r="AP9917" s="10"/>
      <c r="AQ9917" s="10"/>
      <c r="AR9917" s="10"/>
      <c r="AS9917" s="10"/>
      <c r="AT9917" s="10"/>
      <c r="AU9917" s="10"/>
      <c r="AV9917" s="10"/>
      <c r="AW9917" s="10"/>
      <c r="AX9917" s="10"/>
      <c r="AY9917" s="10"/>
      <c r="AZ9917" s="10"/>
    </row>
    <row r="9918" spans="31:52">
      <c r="AE9918" s="10"/>
      <c r="AF9918" s="10"/>
      <c r="AG9918" s="10"/>
      <c r="AH9918" s="10"/>
      <c r="AI9918" s="10"/>
      <c r="AJ9918" s="10"/>
      <c r="AK9918" s="10"/>
      <c r="AL9918" s="10"/>
      <c r="AM9918" s="10"/>
      <c r="AN9918" s="10"/>
      <c r="AO9918" s="10"/>
      <c r="AP9918" s="10"/>
      <c r="AQ9918" s="10"/>
      <c r="AR9918" s="10"/>
      <c r="AS9918" s="10"/>
      <c r="AT9918" s="10"/>
      <c r="AU9918" s="10"/>
      <c r="AV9918" s="10"/>
      <c r="AW9918" s="10"/>
      <c r="AX9918" s="10"/>
      <c r="AY9918" s="10"/>
      <c r="AZ9918" s="10"/>
    </row>
    <row r="9919" spans="31:52">
      <c r="AE9919" s="10"/>
      <c r="AF9919" s="10"/>
      <c r="AG9919" s="10"/>
      <c r="AH9919" s="10"/>
      <c r="AI9919" s="10"/>
      <c r="AJ9919" s="10"/>
      <c r="AK9919" s="10"/>
      <c r="AL9919" s="10"/>
      <c r="AM9919" s="10"/>
      <c r="AN9919" s="10"/>
      <c r="AO9919" s="10"/>
      <c r="AP9919" s="10"/>
      <c r="AQ9919" s="10"/>
      <c r="AR9919" s="10"/>
      <c r="AS9919" s="10"/>
      <c r="AT9919" s="10"/>
      <c r="AU9919" s="10"/>
      <c r="AV9919" s="10"/>
      <c r="AW9919" s="10"/>
      <c r="AX9919" s="10"/>
      <c r="AY9919" s="10"/>
      <c r="AZ9919" s="10"/>
    </row>
    <row r="9920" spans="31:52">
      <c r="AE9920" s="10"/>
      <c r="AF9920" s="10"/>
      <c r="AG9920" s="10"/>
      <c r="AH9920" s="10"/>
      <c r="AI9920" s="10"/>
      <c r="AJ9920" s="10"/>
      <c r="AK9920" s="10"/>
      <c r="AL9920" s="10"/>
      <c r="AM9920" s="10"/>
      <c r="AN9920" s="10"/>
      <c r="AO9920" s="10"/>
      <c r="AP9920" s="10"/>
      <c r="AQ9920" s="10"/>
      <c r="AR9920" s="10"/>
      <c r="AS9920" s="10"/>
      <c r="AT9920" s="10"/>
      <c r="AU9920" s="10"/>
      <c r="AV9920" s="10"/>
      <c r="AW9920" s="10"/>
      <c r="AX9920" s="10"/>
      <c r="AY9920" s="10"/>
      <c r="AZ9920" s="10"/>
    </row>
    <row r="9921" spans="31:52">
      <c r="AE9921" s="10"/>
      <c r="AF9921" s="10"/>
      <c r="AG9921" s="10"/>
      <c r="AH9921" s="10"/>
      <c r="AI9921" s="10"/>
      <c r="AJ9921" s="10"/>
      <c r="AK9921" s="10"/>
      <c r="AL9921" s="10"/>
      <c r="AM9921" s="10"/>
      <c r="AN9921" s="10"/>
      <c r="AO9921" s="10"/>
      <c r="AP9921" s="10"/>
      <c r="AQ9921" s="10"/>
      <c r="AR9921" s="10"/>
      <c r="AS9921" s="10"/>
      <c r="AT9921" s="10"/>
      <c r="AU9921" s="10"/>
      <c r="AV9921" s="10"/>
      <c r="AW9921" s="10"/>
      <c r="AX9921" s="10"/>
      <c r="AY9921" s="10"/>
      <c r="AZ9921" s="10"/>
    </row>
    <row r="9922" spans="31:52">
      <c r="AE9922" s="10"/>
      <c r="AF9922" s="10"/>
      <c r="AG9922" s="10"/>
      <c r="AH9922" s="10"/>
      <c r="AI9922" s="10"/>
      <c r="AJ9922" s="10"/>
      <c r="AK9922" s="10"/>
      <c r="AL9922" s="10"/>
      <c r="AM9922" s="10"/>
      <c r="AN9922" s="10"/>
      <c r="AO9922" s="10"/>
      <c r="AP9922" s="10"/>
      <c r="AQ9922" s="10"/>
      <c r="AR9922" s="10"/>
      <c r="AS9922" s="10"/>
      <c r="AT9922" s="10"/>
      <c r="AU9922" s="10"/>
      <c r="AV9922" s="10"/>
      <c r="AW9922" s="10"/>
      <c r="AX9922" s="10"/>
      <c r="AY9922" s="10"/>
      <c r="AZ9922" s="10"/>
    </row>
    <row r="9923" spans="31:52">
      <c r="AE9923" s="10"/>
      <c r="AF9923" s="10"/>
      <c r="AG9923" s="10"/>
      <c r="AH9923" s="10"/>
      <c r="AI9923" s="10"/>
      <c r="AJ9923" s="10"/>
      <c r="AK9923" s="10"/>
      <c r="AL9923" s="10"/>
      <c r="AM9923" s="10"/>
      <c r="AN9923" s="10"/>
      <c r="AO9923" s="10"/>
      <c r="AP9923" s="10"/>
      <c r="AQ9923" s="10"/>
      <c r="AR9923" s="10"/>
      <c r="AS9923" s="10"/>
      <c r="AT9923" s="10"/>
      <c r="AU9923" s="10"/>
      <c r="AV9923" s="10"/>
      <c r="AW9923" s="10"/>
      <c r="AX9923" s="10"/>
      <c r="AY9923" s="10"/>
      <c r="AZ9923" s="10"/>
    </row>
    <row r="9924" spans="31:52">
      <c r="AE9924" s="10"/>
      <c r="AF9924" s="10"/>
      <c r="AG9924" s="10"/>
      <c r="AH9924" s="10"/>
      <c r="AI9924" s="10"/>
      <c r="AJ9924" s="10"/>
      <c r="AK9924" s="10"/>
      <c r="AL9924" s="10"/>
      <c r="AM9924" s="10"/>
      <c r="AN9924" s="10"/>
      <c r="AO9924" s="10"/>
      <c r="AP9924" s="10"/>
      <c r="AQ9924" s="10"/>
      <c r="AR9924" s="10"/>
      <c r="AS9924" s="10"/>
      <c r="AT9924" s="10"/>
      <c r="AU9924" s="10"/>
      <c r="AV9924" s="10"/>
      <c r="AW9924" s="10"/>
      <c r="AX9924" s="10"/>
      <c r="AY9924" s="10"/>
      <c r="AZ9924" s="10"/>
    </row>
    <row r="9925" spans="31:52">
      <c r="AE9925" s="10"/>
      <c r="AF9925" s="10"/>
      <c r="AG9925" s="10"/>
      <c r="AH9925" s="10"/>
      <c r="AI9925" s="10"/>
      <c r="AJ9925" s="10"/>
      <c r="AK9925" s="10"/>
      <c r="AL9925" s="10"/>
      <c r="AM9925" s="10"/>
      <c r="AN9925" s="10"/>
      <c r="AO9925" s="10"/>
      <c r="AP9925" s="10"/>
      <c r="AQ9925" s="10"/>
      <c r="AR9925" s="10"/>
      <c r="AS9925" s="10"/>
      <c r="AT9925" s="10"/>
      <c r="AU9925" s="10"/>
      <c r="AV9925" s="10"/>
      <c r="AW9925" s="10"/>
      <c r="AX9925" s="10"/>
      <c r="AY9925" s="10"/>
      <c r="AZ9925" s="10"/>
    </row>
    <row r="9926" spans="31:52">
      <c r="AE9926" s="10"/>
      <c r="AF9926" s="10"/>
      <c r="AG9926" s="10"/>
      <c r="AH9926" s="10"/>
      <c r="AI9926" s="10"/>
      <c r="AJ9926" s="10"/>
      <c r="AK9926" s="10"/>
      <c r="AL9926" s="10"/>
      <c r="AM9926" s="10"/>
      <c r="AN9926" s="10"/>
      <c r="AO9926" s="10"/>
      <c r="AP9926" s="10"/>
      <c r="AQ9926" s="10"/>
      <c r="AR9926" s="10"/>
      <c r="AS9926" s="10"/>
      <c r="AT9926" s="10"/>
      <c r="AU9926" s="10"/>
      <c r="AV9926" s="10"/>
      <c r="AW9926" s="10"/>
      <c r="AX9926" s="10"/>
      <c r="AY9926" s="10"/>
      <c r="AZ9926" s="10"/>
    </row>
    <row r="9927" spans="31:52">
      <c r="AE9927" s="10"/>
      <c r="AF9927" s="10"/>
      <c r="AG9927" s="10"/>
      <c r="AH9927" s="10"/>
      <c r="AI9927" s="10"/>
      <c r="AJ9927" s="10"/>
      <c r="AK9927" s="10"/>
      <c r="AL9927" s="10"/>
      <c r="AM9927" s="10"/>
      <c r="AN9927" s="10"/>
      <c r="AO9927" s="10"/>
      <c r="AP9927" s="10"/>
      <c r="AQ9927" s="10"/>
      <c r="AR9927" s="10"/>
      <c r="AS9927" s="10"/>
      <c r="AT9927" s="10"/>
      <c r="AU9927" s="10"/>
      <c r="AV9927" s="10"/>
      <c r="AW9927" s="10"/>
      <c r="AX9927" s="10"/>
      <c r="AY9927" s="10"/>
      <c r="AZ9927" s="10"/>
    </row>
    <row r="9928" spans="31:52">
      <c r="AE9928" s="10"/>
      <c r="AF9928" s="10"/>
      <c r="AG9928" s="10"/>
      <c r="AH9928" s="10"/>
      <c r="AI9928" s="10"/>
      <c r="AJ9928" s="10"/>
      <c r="AK9928" s="10"/>
      <c r="AL9928" s="10"/>
      <c r="AM9928" s="10"/>
      <c r="AN9928" s="10"/>
      <c r="AO9928" s="10"/>
      <c r="AP9928" s="10"/>
      <c r="AQ9928" s="10"/>
      <c r="AR9928" s="10"/>
      <c r="AS9928" s="10"/>
      <c r="AT9928" s="10"/>
      <c r="AU9928" s="10"/>
      <c r="AV9928" s="10"/>
      <c r="AW9928" s="10"/>
      <c r="AX9928" s="10"/>
      <c r="AY9928" s="10"/>
      <c r="AZ9928" s="10"/>
    </row>
    <row r="9929" spans="31:52">
      <c r="AE9929" s="10"/>
      <c r="AF9929" s="10"/>
      <c r="AG9929" s="10"/>
      <c r="AH9929" s="10"/>
      <c r="AI9929" s="10"/>
      <c r="AJ9929" s="10"/>
      <c r="AK9929" s="10"/>
      <c r="AL9929" s="10"/>
      <c r="AM9929" s="10"/>
      <c r="AN9929" s="10"/>
      <c r="AO9929" s="10"/>
      <c r="AP9929" s="10"/>
      <c r="AQ9929" s="10"/>
      <c r="AR9929" s="10"/>
      <c r="AS9929" s="10"/>
      <c r="AT9929" s="10"/>
      <c r="AU9929" s="10"/>
      <c r="AV9929" s="10"/>
      <c r="AW9929" s="10"/>
      <c r="AX9929" s="10"/>
      <c r="AY9929" s="10"/>
      <c r="AZ9929" s="10"/>
    </row>
    <row r="9930" spans="31:52">
      <c r="AE9930" s="10"/>
      <c r="AF9930" s="10"/>
      <c r="AG9930" s="10"/>
      <c r="AH9930" s="10"/>
      <c r="AI9930" s="10"/>
      <c r="AJ9930" s="10"/>
      <c r="AK9930" s="10"/>
      <c r="AL9930" s="10"/>
      <c r="AM9930" s="10"/>
      <c r="AN9930" s="10"/>
      <c r="AO9930" s="10"/>
      <c r="AP9930" s="10"/>
      <c r="AQ9930" s="10"/>
      <c r="AR9930" s="10"/>
      <c r="AS9930" s="10"/>
      <c r="AT9930" s="10"/>
      <c r="AU9930" s="10"/>
      <c r="AV9930" s="10"/>
      <c r="AW9930" s="10"/>
      <c r="AX9930" s="10"/>
      <c r="AY9930" s="10"/>
      <c r="AZ9930" s="10"/>
    </row>
    <row r="9931" spans="31:52">
      <c r="AE9931" s="10"/>
      <c r="AF9931" s="10"/>
      <c r="AG9931" s="10"/>
      <c r="AH9931" s="10"/>
      <c r="AI9931" s="10"/>
      <c r="AJ9931" s="10"/>
      <c r="AK9931" s="10"/>
      <c r="AL9931" s="10"/>
      <c r="AM9931" s="10"/>
      <c r="AN9931" s="10"/>
      <c r="AO9931" s="10"/>
      <c r="AP9931" s="10"/>
      <c r="AQ9931" s="10"/>
      <c r="AR9931" s="10"/>
      <c r="AS9931" s="10"/>
      <c r="AT9931" s="10"/>
      <c r="AU9931" s="10"/>
      <c r="AV9931" s="10"/>
      <c r="AW9931" s="10"/>
      <c r="AX9931" s="10"/>
      <c r="AY9931" s="10"/>
      <c r="AZ9931" s="10"/>
    </row>
    <row r="9932" spans="31:52">
      <c r="AE9932" s="10"/>
      <c r="AF9932" s="10"/>
      <c r="AG9932" s="10"/>
      <c r="AH9932" s="10"/>
      <c r="AI9932" s="10"/>
      <c r="AJ9932" s="10"/>
      <c r="AK9932" s="10"/>
      <c r="AL9932" s="10"/>
      <c r="AM9932" s="10"/>
      <c r="AN9932" s="10"/>
      <c r="AO9932" s="10"/>
      <c r="AP9932" s="10"/>
      <c r="AQ9932" s="10"/>
      <c r="AR9932" s="10"/>
      <c r="AS9932" s="10"/>
      <c r="AT9932" s="10"/>
      <c r="AU9932" s="10"/>
      <c r="AV9932" s="10"/>
      <c r="AW9932" s="10"/>
      <c r="AX9932" s="10"/>
      <c r="AY9932" s="10"/>
      <c r="AZ9932" s="10"/>
    </row>
    <row r="9933" spans="31:52">
      <c r="AE9933" s="10"/>
      <c r="AF9933" s="10"/>
      <c r="AG9933" s="10"/>
      <c r="AH9933" s="10"/>
      <c r="AI9933" s="10"/>
      <c r="AJ9933" s="10"/>
      <c r="AK9933" s="10"/>
      <c r="AL9933" s="10"/>
      <c r="AM9933" s="10"/>
      <c r="AN9933" s="10"/>
      <c r="AO9933" s="10"/>
      <c r="AP9933" s="10"/>
      <c r="AQ9933" s="10"/>
      <c r="AR9933" s="10"/>
      <c r="AS9933" s="10"/>
      <c r="AT9933" s="10"/>
      <c r="AU9933" s="10"/>
      <c r="AV9933" s="10"/>
      <c r="AW9933" s="10"/>
      <c r="AX9933" s="10"/>
      <c r="AY9933" s="10"/>
      <c r="AZ9933" s="10"/>
    </row>
    <row r="9934" spans="31:52">
      <c r="AE9934" s="10"/>
      <c r="AF9934" s="10"/>
      <c r="AG9934" s="10"/>
      <c r="AH9934" s="10"/>
      <c r="AI9934" s="10"/>
      <c r="AJ9934" s="10"/>
      <c r="AK9934" s="10"/>
      <c r="AL9934" s="10"/>
      <c r="AM9934" s="10"/>
      <c r="AN9934" s="10"/>
      <c r="AO9934" s="10"/>
      <c r="AP9934" s="10"/>
      <c r="AQ9934" s="10"/>
      <c r="AR9934" s="10"/>
      <c r="AS9934" s="10"/>
      <c r="AT9934" s="10"/>
      <c r="AU9934" s="10"/>
      <c r="AV9934" s="10"/>
      <c r="AW9934" s="10"/>
      <c r="AX9934" s="10"/>
      <c r="AY9934" s="10"/>
      <c r="AZ9934" s="10"/>
    </row>
    <row r="9935" spans="31:52">
      <c r="AE9935" s="10"/>
      <c r="AF9935" s="10"/>
      <c r="AG9935" s="10"/>
      <c r="AH9935" s="10"/>
      <c r="AI9935" s="10"/>
      <c r="AJ9935" s="10"/>
      <c r="AK9935" s="10"/>
      <c r="AL9935" s="10"/>
      <c r="AM9935" s="10"/>
      <c r="AN9935" s="10"/>
      <c r="AO9935" s="10"/>
      <c r="AP9935" s="10"/>
      <c r="AQ9935" s="10"/>
      <c r="AR9935" s="10"/>
      <c r="AS9935" s="10"/>
      <c r="AT9935" s="10"/>
      <c r="AU9935" s="10"/>
      <c r="AV9935" s="10"/>
      <c r="AW9935" s="10"/>
      <c r="AX9935" s="10"/>
      <c r="AY9935" s="10"/>
      <c r="AZ9935" s="10"/>
    </row>
    <row r="9936" spans="31:52">
      <c r="AE9936" s="10"/>
      <c r="AF9936" s="10"/>
      <c r="AG9936" s="10"/>
      <c r="AH9936" s="10"/>
      <c r="AI9936" s="10"/>
      <c r="AJ9936" s="10"/>
      <c r="AK9936" s="10"/>
      <c r="AL9936" s="10"/>
      <c r="AM9936" s="10"/>
      <c r="AN9936" s="10"/>
      <c r="AO9936" s="10"/>
      <c r="AP9936" s="10"/>
      <c r="AQ9936" s="10"/>
      <c r="AR9936" s="10"/>
      <c r="AS9936" s="10"/>
      <c r="AT9936" s="10"/>
      <c r="AU9936" s="10"/>
      <c r="AV9936" s="10"/>
      <c r="AW9936" s="10"/>
      <c r="AX9936" s="10"/>
      <c r="AY9936" s="10"/>
      <c r="AZ9936" s="10"/>
    </row>
    <row r="9937" spans="31:52">
      <c r="AE9937" s="10"/>
      <c r="AF9937" s="10"/>
      <c r="AG9937" s="10"/>
      <c r="AH9937" s="10"/>
      <c r="AI9937" s="10"/>
      <c r="AJ9937" s="10"/>
      <c r="AK9937" s="10"/>
      <c r="AL9937" s="10"/>
      <c r="AM9937" s="10"/>
      <c r="AN9937" s="10"/>
      <c r="AO9937" s="10"/>
      <c r="AP9937" s="10"/>
      <c r="AQ9937" s="10"/>
      <c r="AR9937" s="10"/>
      <c r="AS9937" s="10"/>
      <c r="AT9937" s="10"/>
      <c r="AU9937" s="10"/>
      <c r="AV9937" s="10"/>
      <c r="AW9937" s="10"/>
      <c r="AX9937" s="10"/>
      <c r="AY9937" s="10"/>
      <c r="AZ9937" s="10"/>
    </row>
    <row r="9938" spans="31:52">
      <c r="AE9938" s="10"/>
      <c r="AF9938" s="10"/>
      <c r="AG9938" s="10"/>
      <c r="AH9938" s="10"/>
      <c r="AI9938" s="10"/>
      <c r="AJ9938" s="10"/>
      <c r="AK9938" s="10"/>
      <c r="AL9938" s="10"/>
      <c r="AM9938" s="10"/>
      <c r="AN9938" s="10"/>
      <c r="AO9938" s="10"/>
      <c r="AP9938" s="10"/>
      <c r="AQ9938" s="10"/>
      <c r="AR9938" s="10"/>
      <c r="AS9938" s="10"/>
      <c r="AT9938" s="10"/>
      <c r="AU9938" s="10"/>
      <c r="AV9938" s="10"/>
      <c r="AW9938" s="10"/>
      <c r="AX9938" s="10"/>
      <c r="AY9938" s="10"/>
      <c r="AZ9938" s="10"/>
    </row>
    <row r="9939" spans="31:52">
      <c r="AE9939" s="10"/>
      <c r="AF9939" s="10"/>
      <c r="AG9939" s="10"/>
      <c r="AH9939" s="10"/>
      <c r="AI9939" s="10"/>
      <c r="AJ9939" s="10"/>
      <c r="AK9939" s="10"/>
      <c r="AL9939" s="10"/>
      <c r="AM9939" s="10"/>
      <c r="AN9939" s="10"/>
      <c r="AO9939" s="10"/>
      <c r="AP9939" s="10"/>
      <c r="AQ9939" s="10"/>
      <c r="AR9939" s="10"/>
      <c r="AS9939" s="10"/>
      <c r="AT9939" s="10"/>
      <c r="AU9939" s="10"/>
      <c r="AV9939" s="10"/>
      <c r="AW9939" s="10"/>
      <c r="AX9939" s="10"/>
      <c r="AY9939" s="10"/>
      <c r="AZ9939" s="10"/>
    </row>
    <row r="9940" spans="31:52">
      <c r="AE9940" s="10"/>
      <c r="AF9940" s="10"/>
      <c r="AG9940" s="10"/>
      <c r="AH9940" s="10"/>
      <c r="AI9940" s="10"/>
      <c r="AJ9940" s="10"/>
      <c r="AK9940" s="10"/>
      <c r="AL9940" s="10"/>
      <c r="AM9940" s="10"/>
      <c r="AN9940" s="10"/>
      <c r="AO9940" s="10"/>
      <c r="AP9940" s="10"/>
      <c r="AQ9940" s="10"/>
      <c r="AR9940" s="10"/>
      <c r="AS9940" s="10"/>
      <c r="AT9940" s="10"/>
      <c r="AU9940" s="10"/>
      <c r="AV9940" s="10"/>
      <c r="AW9940" s="10"/>
      <c r="AX9940" s="10"/>
      <c r="AY9940" s="10"/>
      <c r="AZ9940" s="10"/>
    </row>
    <row r="9941" spans="31:52">
      <c r="AE9941" s="10"/>
      <c r="AF9941" s="10"/>
      <c r="AG9941" s="10"/>
      <c r="AH9941" s="10"/>
      <c r="AI9941" s="10"/>
      <c r="AJ9941" s="10"/>
      <c r="AK9941" s="10"/>
      <c r="AL9941" s="10"/>
      <c r="AM9941" s="10"/>
      <c r="AN9941" s="10"/>
      <c r="AO9941" s="10"/>
      <c r="AP9941" s="10"/>
      <c r="AQ9941" s="10"/>
      <c r="AR9941" s="10"/>
      <c r="AS9941" s="10"/>
      <c r="AT9941" s="10"/>
      <c r="AU9941" s="10"/>
      <c r="AV9941" s="10"/>
      <c r="AW9941" s="10"/>
      <c r="AX9941" s="10"/>
      <c r="AY9941" s="10"/>
      <c r="AZ9941" s="10"/>
    </row>
    <row r="9942" spans="31:52">
      <c r="AE9942" s="10"/>
      <c r="AF9942" s="10"/>
      <c r="AG9942" s="10"/>
      <c r="AH9942" s="10"/>
      <c r="AI9942" s="10"/>
      <c r="AJ9942" s="10"/>
      <c r="AK9942" s="10"/>
      <c r="AL9942" s="10"/>
      <c r="AM9942" s="10"/>
      <c r="AN9942" s="10"/>
      <c r="AO9942" s="10"/>
      <c r="AP9942" s="10"/>
      <c r="AQ9942" s="10"/>
      <c r="AR9942" s="10"/>
      <c r="AS9942" s="10"/>
      <c r="AT9942" s="10"/>
      <c r="AU9942" s="10"/>
      <c r="AV9942" s="10"/>
      <c r="AW9942" s="10"/>
      <c r="AX9942" s="10"/>
      <c r="AY9942" s="10"/>
      <c r="AZ9942" s="10"/>
    </row>
    <row r="9943" spans="31:52">
      <c r="AE9943" s="10"/>
      <c r="AF9943" s="10"/>
      <c r="AG9943" s="10"/>
      <c r="AH9943" s="10"/>
      <c r="AI9943" s="10"/>
      <c r="AJ9943" s="10"/>
      <c r="AK9943" s="10"/>
      <c r="AL9943" s="10"/>
      <c r="AM9943" s="10"/>
      <c r="AN9943" s="10"/>
      <c r="AO9943" s="10"/>
      <c r="AP9943" s="10"/>
      <c r="AQ9943" s="10"/>
      <c r="AR9943" s="10"/>
      <c r="AS9943" s="10"/>
      <c r="AT9943" s="10"/>
      <c r="AU9943" s="10"/>
      <c r="AV9943" s="10"/>
      <c r="AW9943" s="10"/>
      <c r="AX9943" s="10"/>
      <c r="AY9943" s="10"/>
      <c r="AZ9943" s="10"/>
    </row>
    <row r="9944" spans="31:52">
      <c r="AE9944" s="10"/>
      <c r="AF9944" s="10"/>
      <c r="AG9944" s="10"/>
      <c r="AH9944" s="10"/>
      <c r="AI9944" s="10"/>
      <c r="AJ9944" s="10"/>
      <c r="AK9944" s="10"/>
      <c r="AL9944" s="10"/>
      <c r="AM9944" s="10"/>
      <c r="AN9944" s="10"/>
      <c r="AO9944" s="10"/>
      <c r="AP9944" s="10"/>
      <c r="AQ9944" s="10"/>
      <c r="AR9944" s="10"/>
      <c r="AS9944" s="10"/>
      <c r="AT9944" s="10"/>
      <c r="AU9944" s="10"/>
      <c r="AV9944" s="10"/>
      <c r="AW9944" s="10"/>
      <c r="AX9944" s="10"/>
      <c r="AY9944" s="10"/>
      <c r="AZ9944" s="10"/>
    </row>
    <row r="9945" spans="31:52">
      <c r="AE9945" s="10"/>
      <c r="AF9945" s="10"/>
      <c r="AG9945" s="10"/>
      <c r="AH9945" s="10"/>
      <c r="AI9945" s="10"/>
      <c r="AJ9945" s="10"/>
      <c r="AK9945" s="10"/>
      <c r="AL9945" s="10"/>
      <c r="AM9945" s="10"/>
      <c r="AN9945" s="10"/>
      <c r="AO9945" s="10"/>
      <c r="AP9945" s="10"/>
      <c r="AQ9945" s="10"/>
      <c r="AR9945" s="10"/>
      <c r="AS9945" s="10"/>
      <c r="AT9945" s="10"/>
      <c r="AU9945" s="10"/>
      <c r="AV9945" s="10"/>
      <c r="AW9945" s="10"/>
      <c r="AX9945" s="10"/>
      <c r="AY9945" s="10"/>
      <c r="AZ9945" s="10"/>
    </row>
    <row r="9946" spans="31:52">
      <c r="AE9946" s="10"/>
      <c r="AF9946" s="10"/>
      <c r="AG9946" s="10"/>
      <c r="AH9946" s="10"/>
      <c r="AI9946" s="10"/>
      <c r="AJ9946" s="10"/>
      <c r="AK9946" s="10"/>
      <c r="AL9946" s="10"/>
      <c r="AM9946" s="10"/>
      <c r="AN9946" s="10"/>
      <c r="AO9946" s="10"/>
      <c r="AP9946" s="10"/>
      <c r="AQ9946" s="10"/>
      <c r="AR9946" s="10"/>
      <c r="AS9946" s="10"/>
      <c r="AT9946" s="10"/>
      <c r="AU9946" s="10"/>
      <c r="AV9946" s="10"/>
      <c r="AW9946" s="10"/>
      <c r="AX9946" s="10"/>
      <c r="AY9946" s="10"/>
      <c r="AZ9946" s="10"/>
    </row>
    <row r="9947" spans="31:52">
      <c r="AE9947" s="10"/>
      <c r="AF9947" s="10"/>
      <c r="AG9947" s="10"/>
      <c r="AH9947" s="10"/>
      <c r="AI9947" s="10"/>
      <c r="AJ9947" s="10"/>
      <c r="AK9947" s="10"/>
      <c r="AL9947" s="10"/>
      <c r="AM9947" s="10"/>
      <c r="AN9947" s="10"/>
      <c r="AO9947" s="10"/>
      <c r="AP9947" s="10"/>
      <c r="AQ9947" s="10"/>
      <c r="AR9947" s="10"/>
      <c r="AS9947" s="10"/>
      <c r="AT9947" s="10"/>
      <c r="AU9947" s="10"/>
      <c r="AV9947" s="10"/>
      <c r="AW9947" s="10"/>
      <c r="AX9947" s="10"/>
      <c r="AY9947" s="10"/>
      <c r="AZ9947" s="10"/>
    </row>
    <row r="9948" spans="31:52">
      <c r="AE9948" s="10"/>
      <c r="AF9948" s="10"/>
      <c r="AG9948" s="10"/>
      <c r="AH9948" s="10"/>
      <c r="AI9948" s="10"/>
      <c r="AJ9948" s="10"/>
      <c r="AK9948" s="10"/>
      <c r="AL9948" s="10"/>
      <c r="AM9948" s="10"/>
      <c r="AN9948" s="10"/>
      <c r="AO9948" s="10"/>
      <c r="AP9948" s="10"/>
      <c r="AQ9948" s="10"/>
      <c r="AR9948" s="10"/>
      <c r="AS9948" s="10"/>
      <c r="AT9948" s="10"/>
      <c r="AU9948" s="10"/>
      <c r="AV9948" s="10"/>
      <c r="AW9948" s="10"/>
      <c r="AX9948" s="10"/>
      <c r="AY9948" s="10"/>
      <c r="AZ9948" s="10"/>
    </row>
    <row r="9949" spans="31:52">
      <c r="AE9949" s="10"/>
      <c r="AF9949" s="10"/>
      <c r="AG9949" s="10"/>
      <c r="AH9949" s="10"/>
      <c r="AI9949" s="10"/>
      <c r="AJ9949" s="10"/>
      <c r="AK9949" s="10"/>
      <c r="AL9949" s="10"/>
      <c r="AM9949" s="10"/>
      <c r="AN9949" s="10"/>
      <c r="AO9949" s="10"/>
      <c r="AP9949" s="10"/>
      <c r="AQ9949" s="10"/>
      <c r="AR9949" s="10"/>
      <c r="AS9949" s="10"/>
      <c r="AT9949" s="10"/>
      <c r="AU9949" s="10"/>
      <c r="AV9949" s="10"/>
      <c r="AW9949" s="10"/>
      <c r="AX9949" s="10"/>
      <c r="AY9949" s="10"/>
      <c r="AZ9949" s="10"/>
    </row>
    <row r="9950" spans="31:52">
      <c r="AE9950" s="10"/>
      <c r="AF9950" s="10"/>
      <c r="AG9950" s="10"/>
      <c r="AH9950" s="10"/>
      <c r="AI9950" s="10"/>
      <c r="AJ9950" s="10"/>
      <c r="AK9950" s="10"/>
      <c r="AL9950" s="10"/>
      <c r="AM9950" s="10"/>
      <c r="AN9950" s="10"/>
      <c r="AO9950" s="10"/>
      <c r="AP9950" s="10"/>
      <c r="AQ9950" s="10"/>
      <c r="AR9950" s="10"/>
      <c r="AS9950" s="10"/>
      <c r="AT9950" s="10"/>
      <c r="AU9950" s="10"/>
      <c r="AV9950" s="10"/>
      <c r="AW9950" s="10"/>
      <c r="AX9950" s="10"/>
      <c r="AY9950" s="10"/>
      <c r="AZ9950" s="10"/>
    </row>
    <row r="9951" spans="31:52">
      <c r="AE9951" s="10"/>
      <c r="AF9951" s="10"/>
      <c r="AG9951" s="10"/>
      <c r="AH9951" s="10"/>
      <c r="AI9951" s="10"/>
      <c r="AJ9951" s="10"/>
      <c r="AK9951" s="10"/>
      <c r="AL9951" s="10"/>
      <c r="AM9951" s="10"/>
      <c r="AN9951" s="10"/>
      <c r="AO9951" s="10"/>
      <c r="AP9951" s="10"/>
      <c r="AQ9951" s="10"/>
      <c r="AR9951" s="10"/>
      <c r="AS9951" s="10"/>
      <c r="AT9951" s="10"/>
      <c r="AU9951" s="10"/>
      <c r="AV9951" s="10"/>
      <c r="AW9951" s="10"/>
      <c r="AX9951" s="10"/>
      <c r="AY9951" s="10"/>
      <c r="AZ9951" s="10"/>
    </row>
    <row r="9952" spans="31:52">
      <c r="AE9952" s="10"/>
      <c r="AF9952" s="10"/>
      <c r="AG9952" s="10"/>
      <c r="AH9952" s="10"/>
      <c r="AI9952" s="10"/>
      <c r="AJ9952" s="10"/>
      <c r="AK9952" s="10"/>
      <c r="AL9952" s="10"/>
      <c r="AM9952" s="10"/>
      <c r="AN9952" s="10"/>
      <c r="AO9952" s="10"/>
      <c r="AP9952" s="10"/>
      <c r="AQ9952" s="10"/>
      <c r="AR9952" s="10"/>
      <c r="AS9952" s="10"/>
      <c r="AT9952" s="10"/>
      <c r="AU9952" s="10"/>
      <c r="AV9952" s="10"/>
      <c r="AW9952" s="10"/>
      <c r="AX9952" s="10"/>
      <c r="AY9952" s="10"/>
      <c r="AZ9952" s="10"/>
    </row>
    <row r="9953" spans="31:52">
      <c r="AE9953" s="10"/>
      <c r="AF9953" s="10"/>
      <c r="AG9953" s="10"/>
      <c r="AH9953" s="10"/>
      <c r="AI9953" s="10"/>
      <c r="AJ9953" s="10"/>
      <c r="AK9953" s="10"/>
      <c r="AL9953" s="10"/>
      <c r="AM9953" s="10"/>
      <c r="AN9953" s="10"/>
      <c r="AO9953" s="10"/>
      <c r="AP9953" s="10"/>
      <c r="AQ9953" s="10"/>
      <c r="AR9953" s="10"/>
      <c r="AS9953" s="10"/>
      <c r="AT9953" s="10"/>
      <c r="AU9953" s="10"/>
      <c r="AV9953" s="10"/>
      <c r="AW9953" s="10"/>
      <c r="AX9953" s="10"/>
      <c r="AY9953" s="10"/>
      <c r="AZ9953" s="10"/>
    </row>
    <row r="9954" spans="31:52">
      <c r="AE9954" s="10"/>
      <c r="AF9954" s="10"/>
      <c r="AG9954" s="10"/>
      <c r="AH9954" s="10"/>
      <c r="AI9954" s="10"/>
      <c r="AJ9954" s="10"/>
      <c r="AK9954" s="10"/>
      <c r="AL9954" s="10"/>
      <c r="AM9954" s="10"/>
      <c r="AN9954" s="10"/>
      <c r="AO9954" s="10"/>
      <c r="AP9954" s="10"/>
      <c r="AQ9954" s="10"/>
      <c r="AR9954" s="10"/>
      <c r="AS9954" s="10"/>
      <c r="AT9954" s="10"/>
      <c r="AU9954" s="10"/>
      <c r="AV9954" s="10"/>
      <c r="AW9954" s="10"/>
      <c r="AX9954" s="10"/>
      <c r="AY9954" s="10"/>
      <c r="AZ9954" s="10"/>
    </row>
    <row r="9955" spans="31:52">
      <c r="AE9955" s="10"/>
      <c r="AF9955" s="10"/>
      <c r="AG9955" s="10"/>
      <c r="AH9955" s="10"/>
      <c r="AI9955" s="10"/>
      <c r="AJ9955" s="10"/>
      <c r="AK9955" s="10"/>
      <c r="AL9955" s="10"/>
      <c r="AM9955" s="10"/>
      <c r="AN9955" s="10"/>
      <c r="AO9955" s="10"/>
      <c r="AP9955" s="10"/>
      <c r="AQ9955" s="10"/>
      <c r="AR9955" s="10"/>
      <c r="AS9955" s="10"/>
      <c r="AT9955" s="10"/>
      <c r="AU9955" s="10"/>
      <c r="AV9955" s="10"/>
      <c r="AW9955" s="10"/>
      <c r="AX9955" s="10"/>
      <c r="AY9955" s="10"/>
      <c r="AZ9955" s="10"/>
    </row>
    <row r="9956" spans="31:52">
      <c r="AE9956" s="10"/>
      <c r="AF9956" s="10"/>
      <c r="AG9956" s="10"/>
      <c r="AH9956" s="10"/>
      <c r="AI9956" s="10"/>
      <c r="AJ9956" s="10"/>
      <c r="AK9956" s="10"/>
      <c r="AL9956" s="10"/>
      <c r="AM9956" s="10"/>
      <c r="AN9956" s="10"/>
      <c r="AO9956" s="10"/>
      <c r="AP9956" s="10"/>
      <c r="AQ9956" s="10"/>
      <c r="AR9956" s="10"/>
      <c r="AS9956" s="10"/>
      <c r="AT9956" s="10"/>
      <c r="AU9956" s="10"/>
      <c r="AV9956" s="10"/>
      <c r="AW9956" s="10"/>
      <c r="AX9956" s="10"/>
      <c r="AY9956" s="10"/>
      <c r="AZ9956" s="10"/>
    </row>
    <row r="9957" spans="31:52">
      <c r="AE9957" s="10"/>
      <c r="AF9957" s="10"/>
      <c r="AG9957" s="10"/>
      <c r="AH9957" s="10"/>
      <c r="AI9957" s="10"/>
      <c r="AJ9957" s="10"/>
      <c r="AK9957" s="10"/>
      <c r="AL9957" s="10"/>
      <c r="AM9957" s="10"/>
      <c r="AN9957" s="10"/>
      <c r="AO9957" s="10"/>
      <c r="AP9957" s="10"/>
      <c r="AQ9957" s="10"/>
      <c r="AR9957" s="10"/>
      <c r="AS9957" s="10"/>
      <c r="AT9957" s="10"/>
      <c r="AU9957" s="10"/>
      <c r="AV9957" s="10"/>
      <c r="AW9957" s="10"/>
      <c r="AX9957" s="10"/>
      <c r="AY9957" s="10"/>
      <c r="AZ9957" s="10"/>
    </row>
    <row r="9958" spans="31:52">
      <c r="AE9958" s="10"/>
      <c r="AF9958" s="10"/>
      <c r="AG9958" s="10"/>
      <c r="AH9958" s="10"/>
      <c r="AI9958" s="10"/>
      <c r="AJ9958" s="10"/>
      <c r="AK9958" s="10"/>
      <c r="AL9958" s="10"/>
      <c r="AM9958" s="10"/>
      <c r="AN9958" s="10"/>
      <c r="AO9958" s="10"/>
      <c r="AP9958" s="10"/>
      <c r="AQ9958" s="10"/>
      <c r="AR9958" s="10"/>
      <c r="AS9958" s="10"/>
      <c r="AT9958" s="10"/>
      <c r="AU9958" s="10"/>
      <c r="AV9958" s="10"/>
      <c r="AW9958" s="10"/>
      <c r="AX9958" s="10"/>
      <c r="AY9958" s="10"/>
      <c r="AZ9958" s="10"/>
    </row>
    <row r="9959" spans="31:52">
      <c r="AE9959" s="10"/>
      <c r="AF9959" s="10"/>
      <c r="AG9959" s="10"/>
      <c r="AH9959" s="10"/>
      <c r="AI9959" s="10"/>
      <c r="AJ9959" s="10"/>
      <c r="AK9959" s="10"/>
      <c r="AL9959" s="10"/>
      <c r="AM9959" s="10"/>
      <c r="AN9959" s="10"/>
      <c r="AO9959" s="10"/>
      <c r="AP9959" s="10"/>
      <c r="AQ9959" s="10"/>
      <c r="AR9959" s="10"/>
      <c r="AS9959" s="10"/>
      <c r="AT9959" s="10"/>
      <c r="AU9959" s="10"/>
      <c r="AV9959" s="10"/>
      <c r="AW9959" s="10"/>
      <c r="AX9959" s="10"/>
      <c r="AY9959" s="10"/>
      <c r="AZ9959" s="10"/>
    </row>
    <row r="9960" spans="31:52">
      <c r="AE9960" s="10"/>
      <c r="AF9960" s="10"/>
      <c r="AG9960" s="10"/>
      <c r="AH9960" s="10"/>
      <c r="AI9960" s="10"/>
      <c r="AJ9960" s="10"/>
      <c r="AK9960" s="10"/>
      <c r="AL9960" s="10"/>
      <c r="AM9960" s="10"/>
      <c r="AN9960" s="10"/>
      <c r="AO9960" s="10"/>
      <c r="AP9960" s="10"/>
      <c r="AQ9960" s="10"/>
      <c r="AR9960" s="10"/>
      <c r="AS9960" s="10"/>
      <c r="AT9960" s="10"/>
      <c r="AU9960" s="10"/>
      <c r="AV9960" s="10"/>
      <c r="AW9960" s="10"/>
      <c r="AX9960" s="10"/>
      <c r="AY9960" s="10"/>
      <c r="AZ9960" s="10"/>
    </row>
    <row r="9961" spans="31:52">
      <c r="AE9961" s="10"/>
      <c r="AF9961" s="10"/>
      <c r="AG9961" s="10"/>
      <c r="AH9961" s="10"/>
      <c r="AI9961" s="10"/>
      <c r="AJ9961" s="10"/>
      <c r="AK9961" s="10"/>
      <c r="AL9961" s="10"/>
      <c r="AM9961" s="10"/>
      <c r="AN9961" s="10"/>
      <c r="AO9961" s="10"/>
      <c r="AP9961" s="10"/>
      <c r="AQ9961" s="10"/>
      <c r="AR9961" s="10"/>
      <c r="AS9961" s="10"/>
      <c r="AT9961" s="10"/>
      <c r="AU9961" s="10"/>
      <c r="AV9961" s="10"/>
      <c r="AW9961" s="10"/>
      <c r="AX9961" s="10"/>
      <c r="AY9961" s="10"/>
      <c r="AZ9961" s="10"/>
    </row>
    <row r="9962" spans="31:52">
      <c r="AE9962" s="10"/>
      <c r="AF9962" s="10"/>
      <c r="AG9962" s="10"/>
      <c r="AH9962" s="10"/>
      <c r="AI9962" s="10"/>
      <c r="AJ9962" s="10"/>
      <c r="AK9962" s="10"/>
      <c r="AL9962" s="10"/>
      <c r="AM9962" s="10"/>
      <c r="AN9962" s="10"/>
      <c r="AO9962" s="10"/>
      <c r="AP9962" s="10"/>
      <c r="AQ9962" s="10"/>
      <c r="AR9962" s="10"/>
      <c r="AS9962" s="10"/>
      <c r="AT9962" s="10"/>
      <c r="AU9962" s="10"/>
      <c r="AV9962" s="10"/>
      <c r="AW9962" s="10"/>
      <c r="AX9962" s="10"/>
      <c r="AY9962" s="10"/>
      <c r="AZ9962" s="10"/>
    </row>
    <row r="9963" spans="31:52">
      <c r="AE9963" s="10"/>
      <c r="AF9963" s="10"/>
      <c r="AG9963" s="10"/>
      <c r="AH9963" s="10"/>
      <c r="AI9963" s="10"/>
      <c r="AJ9963" s="10"/>
      <c r="AK9963" s="10"/>
      <c r="AL9963" s="10"/>
      <c r="AM9963" s="10"/>
      <c r="AN9963" s="10"/>
      <c r="AO9963" s="10"/>
      <c r="AP9963" s="10"/>
      <c r="AQ9963" s="10"/>
      <c r="AR9963" s="10"/>
      <c r="AS9963" s="10"/>
      <c r="AT9963" s="10"/>
      <c r="AU9963" s="10"/>
      <c r="AV9963" s="10"/>
      <c r="AW9963" s="10"/>
      <c r="AX9963" s="10"/>
      <c r="AY9963" s="10"/>
      <c r="AZ9963" s="10"/>
    </row>
    <row r="9964" spans="31:52">
      <c r="AE9964" s="10"/>
      <c r="AF9964" s="10"/>
      <c r="AG9964" s="10"/>
      <c r="AH9964" s="10"/>
      <c r="AI9964" s="10"/>
      <c r="AJ9964" s="10"/>
      <c r="AK9964" s="10"/>
      <c r="AL9964" s="10"/>
      <c r="AM9964" s="10"/>
      <c r="AN9964" s="10"/>
      <c r="AO9964" s="10"/>
      <c r="AP9964" s="10"/>
      <c r="AQ9964" s="10"/>
      <c r="AR9964" s="10"/>
      <c r="AS9964" s="10"/>
      <c r="AT9964" s="10"/>
      <c r="AU9964" s="10"/>
      <c r="AV9964" s="10"/>
      <c r="AW9964" s="10"/>
      <c r="AX9964" s="10"/>
      <c r="AY9964" s="10"/>
      <c r="AZ9964" s="10"/>
    </row>
    <row r="9965" spans="31:52">
      <c r="AE9965" s="10"/>
      <c r="AF9965" s="10"/>
      <c r="AG9965" s="10"/>
      <c r="AH9965" s="10"/>
      <c r="AI9965" s="10"/>
      <c r="AJ9965" s="10"/>
      <c r="AK9965" s="10"/>
      <c r="AL9965" s="10"/>
      <c r="AM9965" s="10"/>
      <c r="AN9965" s="10"/>
      <c r="AO9965" s="10"/>
      <c r="AP9965" s="10"/>
      <c r="AQ9965" s="10"/>
      <c r="AR9965" s="10"/>
      <c r="AS9965" s="10"/>
      <c r="AT9965" s="10"/>
      <c r="AU9965" s="10"/>
      <c r="AV9965" s="10"/>
      <c r="AW9965" s="10"/>
      <c r="AX9965" s="10"/>
      <c r="AY9965" s="10"/>
      <c r="AZ9965" s="10"/>
    </row>
    <row r="9966" spans="31:52">
      <c r="AE9966" s="10"/>
      <c r="AF9966" s="10"/>
      <c r="AG9966" s="10"/>
      <c r="AH9966" s="10"/>
      <c r="AI9966" s="10"/>
      <c r="AJ9966" s="10"/>
      <c r="AK9966" s="10"/>
      <c r="AL9966" s="10"/>
      <c r="AM9966" s="10"/>
      <c r="AN9966" s="10"/>
      <c r="AO9966" s="10"/>
      <c r="AP9966" s="10"/>
      <c r="AQ9966" s="10"/>
      <c r="AR9966" s="10"/>
      <c r="AS9966" s="10"/>
      <c r="AT9966" s="10"/>
      <c r="AU9966" s="10"/>
      <c r="AV9966" s="10"/>
      <c r="AW9966" s="10"/>
      <c r="AX9966" s="10"/>
      <c r="AY9966" s="10"/>
      <c r="AZ9966" s="10"/>
    </row>
    <row r="9967" spans="31:52">
      <c r="AE9967" s="10"/>
      <c r="AF9967" s="10"/>
      <c r="AG9967" s="10"/>
      <c r="AH9967" s="10"/>
      <c r="AI9967" s="10"/>
      <c r="AJ9967" s="10"/>
      <c r="AK9967" s="10"/>
      <c r="AL9967" s="10"/>
      <c r="AM9967" s="10"/>
      <c r="AN9967" s="10"/>
      <c r="AO9967" s="10"/>
      <c r="AP9967" s="10"/>
      <c r="AQ9967" s="10"/>
      <c r="AR9967" s="10"/>
      <c r="AS9967" s="10"/>
      <c r="AT9967" s="10"/>
      <c r="AU9967" s="10"/>
      <c r="AV9967" s="10"/>
      <c r="AW9967" s="10"/>
      <c r="AX9967" s="10"/>
      <c r="AY9967" s="10"/>
      <c r="AZ9967" s="10"/>
    </row>
    <row r="9968" spans="31:52">
      <c r="AE9968" s="10"/>
      <c r="AF9968" s="10"/>
      <c r="AG9968" s="10"/>
      <c r="AH9968" s="10"/>
      <c r="AI9968" s="10"/>
      <c r="AJ9968" s="10"/>
      <c r="AK9968" s="10"/>
      <c r="AL9968" s="10"/>
      <c r="AM9968" s="10"/>
      <c r="AN9968" s="10"/>
      <c r="AO9968" s="10"/>
      <c r="AP9968" s="10"/>
      <c r="AQ9968" s="10"/>
      <c r="AR9968" s="10"/>
      <c r="AS9968" s="10"/>
      <c r="AT9968" s="10"/>
      <c r="AU9968" s="10"/>
      <c r="AV9968" s="10"/>
      <c r="AW9968" s="10"/>
      <c r="AX9968" s="10"/>
      <c r="AY9968" s="10"/>
      <c r="AZ9968" s="10"/>
    </row>
    <row r="9969" spans="31:52">
      <c r="AE9969" s="10"/>
      <c r="AF9969" s="10"/>
      <c r="AG9969" s="10"/>
      <c r="AH9969" s="10"/>
      <c r="AI9969" s="10"/>
      <c r="AJ9969" s="10"/>
      <c r="AK9969" s="10"/>
      <c r="AL9969" s="10"/>
      <c r="AM9969" s="10"/>
      <c r="AN9969" s="10"/>
      <c r="AO9969" s="10"/>
      <c r="AP9969" s="10"/>
      <c r="AQ9969" s="10"/>
      <c r="AR9969" s="10"/>
      <c r="AS9969" s="10"/>
      <c r="AT9969" s="10"/>
      <c r="AU9969" s="10"/>
      <c r="AV9969" s="10"/>
      <c r="AW9969" s="10"/>
      <c r="AX9969" s="10"/>
      <c r="AY9969" s="10"/>
      <c r="AZ9969" s="10"/>
    </row>
    <row r="9970" spans="31:52">
      <c r="AE9970" s="10"/>
      <c r="AF9970" s="10"/>
      <c r="AG9970" s="10"/>
      <c r="AH9970" s="10"/>
      <c r="AI9970" s="10"/>
      <c r="AJ9970" s="10"/>
      <c r="AK9970" s="10"/>
      <c r="AL9970" s="10"/>
      <c r="AM9970" s="10"/>
      <c r="AN9970" s="10"/>
      <c r="AO9970" s="10"/>
      <c r="AP9970" s="10"/>
      <c r="AQ9970" s="10"/>
      <c r="AR9970" s="10"/>
      <c r="AS9970" s="10"/>
      <c r="AT9970" s="10"/>
      <c r="AU9970" s="10"/>
      <c r="AV9970" s="10"/>
      <c r="AW9970" s="10"/>
      <c r="AX9970" s="10"/>
      <c r="AY9970" s="10"/>
      <c r="AZ9970" s="10"/>
    </row>
    <row r="9971" spans="31:52">
      <c r="AE9971" s="10"/>
      <c r="AF9971" s="10"/>
      <c r="AG9971" s="10"/>
      <c r="AH9971" s="10"/>
      <c r="AI9971" s="10"/>
      <c r="AJ9971" s="10"/>
      <c r="AK9971" s="10"/>
      <c r="AL9971" s="10"/>
      <c r="AM9971" s="10"/>
      <c r="AN9971" s="10"/>
      <c r="AO9971" s="10"/>
      <c r="AP9971" s="10"/>
      <c r="AQ9971" s="10"/>
      <c r="AR9971" s="10"/>
      <c r="AS9971" s="10"/>
      <c r="AT9971" s="10"/>
      <c r="AU9971" s="10"/>
      <c r="AV9971" s="10"/>
      <c r="AW9971" s="10"/>
      <c r="AX9971" s="10"/>
      <c r="AY9971" s="10"/>
      <c r="AZ9971" s="10"/>
    </row>
    <row r="9972" spans="31:52">
      <c r="AE9972" s="10"/>
      <c r="AF9972" s="10"/>
      <c r="AG9972" s="10"/>
      <c r="AH9972" s="10"/>
      <c r="AI9972" s="10"/>
      <c r="AJ9972" s="10"/>
      <c r="AK9972" s="10"/>
      <c r="AL9972" s="10"/>
      <c r="AM9972" s="10"/>
      <c r="AN9972" s="10"/>
      <c r="AO9972" s="10"/>
      <c r="AP9972" s="10"/>
      <c r="AQ9972" s="10"/>
      <c r="AR9972" s="10"/>
      <c r="AS9972" s="10"/>
      <c r="AT9972" s="10"/>
      <c r="AU9972" s="10"/>
      <c r="AV9972" s="10"/>
      <c r="AW9972" s="10"/>
      <c r="AX9972" s="10"/>
      <c r="AY9972" s="10"/>
      <c r="AZ9972" s="10"/>
    </row>
    <row r="9973" spans="31:52">
      <c r="AE9973" s="10"/>
      <c r="AF9973" s="10"/>
      <c r="AG9973" s="10"/>
      <c r="AH9973" s="10"/>
      <c r="AI9973" s="10"/>
      <c r="AJ9973" s="10"/>
      <c r="AK9973" s="10"/>
      <c r="AL9973" s="10"/>
      <c r="AM9973" s="10"/>
      <c r="AN9973" s="10"/>
      <c r="AO9973" s="10"/>
      <c r="AP9973" s="10"/>
      <c r="AQ9973" s="10"/>
      <c r="AR9973" s="10"/>
      <c r="AS9973" s="10"/>
      <c r="AT9973" s="10"/>
      <c r="AU9973" s="10"/>
      <c r="AV9973" s="10"/>
      <c r="AW9973" s="10"/>
      <c r="AX9973" s="10"/>
      <c r="AY9973" s="10"/>
      <c r="AZ9973" s="10"/>
    </row>
    <row r="9974" spans="31:52">
      <c r="AE9974" s="10"/>
      <c r="AF9974" s="10"/>
      <c r="AG9974" s="10"/>
      <c r="AH9974" s="10"/>
      <c r="AI9974" s="10"/>
      <c r="AJ9974" s="10"/>
      <c r="AK9974" s="10"/>
      <c r="AL9974" s="10"/>
      <c r="AM9974" s="10"/>
      <c r="AN9974" s="10"/>
      <c r="AO9974" s="10"/>
      <c r="AP9974" s="10"/>
      <c r="AQ9974" s="10"/>
      <c r="AR9974" s="10"/>
      <c r="AS9974" s="10"/>
      <c r="AT9974" s="10"/>
      <c r="AU9974" s="10"/>
      <c r="AV9974" s="10"/>
      <c r="AW9974" s="10"/>
      <c r="AX9974" s="10"/>
      <c r="AY9974" s="10"/>
      <c r="AZ9974" s="10"/>
    </row>
    <row r="9975" spans="31:52">
      <c r="AE9975" s="10"/>
      <c r="AF9975" s="10"/>
      <c r="AG9975" s="10"/>
      <c r="AH9975" s="10"/>
      <c r="AI9975" s="10"/>
      <c r="AJ9975" s="10"/>
      <c r="AK9975" s="10"/>
      <c r="AL9975" s="10"/>
      <c r="AM9975" s="10"/>
      <c r="AN9975" s="10"/>
      <c r="AO9975" s="10"/>
      <c r="AP9975" s="10"/>
      <c r="AQ9975" s="10"/>
      <c r="AR9975" s="10"/>
      <c r="AS9975" s="10"/>
      <c r="AT9975" s="10"/>
      <c r="AU9975" s="10"/>
      <c r="AV9975" s="10"/>
      <c r="AW9975" s="10"/>
      <c r="AX9975" s="10"/>
      <c r="AY9975" s="10"/>
      <c r="AZ9975" s="10"/>
    </row>
    <row r="9976" spans="31:52">
      <c r="AE9976" s="10"/>
      <c r="AF9976" s="10"/>
      <c r="AG9976" s="10"/>
      <c r="AH9976" s="10"/>
      <c r="AI9976" s="10"/>
      <c r="AJ9976" s="10"/>
      <c r="AK9976" s="10"/>
      <c r="AL9976" s="10"/>
      <c r="AM9976" s="10"/>
      <c r="AN9976" s="10"/>
      <c r="AO9976" s="10"/>
      <c r="AP9976" s="10"/>
      <c r="AQ9976" s="10"/>
      <c r="AR9976" s="10"/>
      <c r="AS9976" s="10"/>
      <c r="AT9976" s="10"/>
      <c r="AU9976" s="10"/>
      <c r="AV9976" s="10"/>
      <c r="AW9976" s="10"/>
      <c r="AX9976" s="10"/>
      <c r="AY9976" s="10"/>
      <c r="AZ9976" s="10"/>
    </row>
    <row r="9977" spans="31:52">
      <c r="AE9977" s="10"/>
      <c r="AF9977" s="10"/>
      <c r="AG9977" s="10"/>
      <c r="AH9977" s="10"/>
      <c r="AI9977" s="10"/>
      <c r="AJ9977" s="10"/>
      <c r="AK9977" s="10"/>
      <c r="AL9977" s="10"/>
      <c r="AM9977" s="10"/>
      <c r="AN9977" s="10"/>
      <c r="AO9977" s="10"/>
      <c r="AP9977" s="10"/>
      <c r="AQ9977" s="10"/>
      <c r="AR9977" s="10"/>
      <c r="AS9977" s="10"/>
      <c r="AT9977" s="10"/>
      <c r="AU9977" s="10"/>
      <c r="AV9977" s="10"/>
      <c r="AW9977" s="10"/>
      <c r="AX9977" s="10"/>
      <c r="AY9977" s="10"/>
      <c r="AZ9977" s="10"/>
    </row>
    <row r="9978" spans="31:52">
      <c r="AE9978" s="10"/>
      <c r="AF9978" s="10"/>
      <c r="AG9978" s="10"/>
      <c r="AH9978" s="10"/>
      <c r="AI9978" s="10"/>
      <c r="AJ9978" s="10"/>
      <c r="AK9978" s="10"/>
      <c r="AL9978" s="10"/>
      <c r="AM9978" s="10"/>
      <c r="AN9978" s="10"/>
      <c r="AO9978" s="10"/>
      <c r="AP9978" s="10"/>
      <c r="AQ9978" s="10"/>
      <c r="AR9978" s="10"/>
      <c r="AS9978" s="10"/>
      <c r="AT9978" s="10"/>
      <c r="AU9978" s="10"/>
      <c r="AV9978" s="10"/>
      <c r="AW9978" s="10"/>
      <c r="AX9978" s="10"/>
      <c r="AY9978" s="10"/>
      <c r="AZ9978" s="10"/>
    </row>
    <row r="9979" spans="31:52">
      <c r="AE9979" s="10"/>
      <c r="AF9979" s="10"/>
      <c r="AG9979" s="10"/>
      <c r="AH9979" s="10"/>
      <c r="AI9979" s="10"/>
      <c r="AJ9979" s="10"/>
      <c r="AK9979" s="10"/>
      <c r="AL9979" s="10"/>
      <c r="AM9979" s="10"/>
      <c r="AN9979" s="10"/>
      <c r="AO9979" s="10"/>
      <c r="AP9979" s="10"/>
      <c r="AQ9979" s="10"/>
      <c r="AR9979" s="10"/>
      <c r="AS9979" s="10"/>
      <c r="AT9979" s="10"/>
      <c r="AU9979" s="10"/>
      <c r="AV9979" s="10"/>
      <c r="AW9979" s="10"/>
      <c r="AX9979" s="10"/>
      <c r="AY9979" s="10"/>
      <c r="AZ9979" s="10"/>
    </row>
    <row r="9980" spans="31:52">
      <c r="AE9980" s="10"/>
      <c r="AF9980" s="10"/>
      <c r="AG9980" s="10"/>
      <c r="AH9980" s="10"/>
      <c r="AI9980" s="10"/>
      <c r="AJ9980" s="10"/>
      <c r="AK9980" s="10"/>
      <c r="AL9980" s="10"/>
      <c r="AM9980" s="10"/>
      <c r="AN9980" s="10"/>
      <c r="AO9980" s="10"/>
      <c r="AP9980" s="10"/>
      <c r="AQ9980" s="10"/>
      <c r="AR9980" s="10"/>
      <c r="AS9980" s="10"/>
      <c r="AT9980" s="10"/>
      <c r="AU9980" s="10"/>
      <c r="AV9980" s="10"/>
      <c r="AW9980" s="10"/>
      <c r="AX9980" s="10"/>
      <c r="AY9980" s="10"/>
      <c r="AZ9980" s="10"/>
    </row>
    <row r="9981" spans="31:52">
      <c r="AE9981" s="10"/>
      <c r="AF9981" s="10"/>
      <c r="AG9981" s="10"/>
      <c r="AH9981" s="10"/>
      <c r="AI9981" s="10"/>
      <c r="AJ9981" s="10"/>
      <c r="AK9981" s="10"/>
      <c r="AL9981" s="10"/>
      <c r="AM9981" s="10"/>
      <c r="AN9981" s="10"/>
      <c r="AO9981" s="10"/>
      <c r="AP9981" s="10"/>
      <c r="AQ9981" s="10"/>
      <c r="AR9981" s="10"/>
      <c r="AS9981" s="10"/>
      <c r="AT9981" s="10"/>
      <c r="AU9981" s="10"/>
      <c r="AV9981" s="10"/>
      <c r="AW9981" s="10"/>
      <c r="AX9981" s="10"/>
      <c r="AY9981" s="10"/>
      <c r="AZ9981" s="10"/>
    </row>
    <row r="9982" spans="31:52">
      <c r="AE9982" s="10"/>
      <c r="AF9982" s="10"/>
      <c r="AG9982" s="10"/>
      <c r="AH9982" s="10"/>
      <c r="AI9982" s="10"/>
      <c r="AJ9982" s="10"/>
      <c r="AK9982" s="10"/>
      <c r="AL9982" s="10"/>
      <c r="AM9982" s="10"/>
      <c r="AN9982" s="10"/>
      <c r="AO9982" s="10"/>
      <c r="AP9982" s="10"/>
      <c r="AQ9982" s="10"/>
      <c r="AR9982" s="10"/>
      <c r="AS9982" s="10"/>
      <c r="AT9982" s="10"/>
      <c r="AU9982" s="10"/>
      <c r="AV9982" s="10"/>
      <c r="AW9982" s="10"/>
      <c r="AX9982" s="10"/>
      <c r="AY9982" s="10"/>
      <c r="AZ9982" s="10"/>
    </row>
    <row r="9983" spans="31:52">
      <c r="AE9983" s="10"/>
      <c r="AF9983" s="10"/>
      <c r="AG9983" s="10"/>
      <c r="AH9983" s="10"/>
      <c r="AI9983" s="10"/>
      <c r="AJ9983" s="10"/>
      <c r="AK9983" s="10"/>
      <c r="AL9983" s="10"/>
      <c r="AM9983" s="10"/>
      <c r="AN9983" s="10"/>
      <c r="AO9983" s="10"/>
      <c r="AP9983" s="10"/>
      <c r="AQ9983" s="10"/>
      <c r="AR9983" s="10"/>
      <c r="AS9983" s="10"/>
      <c r="AT9983" s="10"/>
      <c r="AU9983" s="10"/>
      <c r="AV9983" s="10"/>
      <c r="AW9983" s="10"/>
      <c r="AX9983" s="10"/>
      <c r="AY9983" s="10"/>
      <c r="AZ9983" s="10"/>
    </row>
    <row r="9984" spans="31:52">
      <c r="AE9984" s="10"/>
      <c r="AF9984" s="10"/>
      <c r="AG9984" s="10"/>
      <c r="AH9984" s="10"/>
      <c r="AI9984" s="10"/>
      <c r="AJ9984" s="10"/>
      <c r="AK9984" s="10"/>
      <c r="AL9984" s="10"/>
      <c r="AM9984" s="10"/>
      <c r="AN9984" s="10"/>
      <c r="AO9984" s="10"/>
      <c r="AP9984" s="10"/>
      <c r="AQ9984" s="10"/>
      <c r="AR9984" s="10"/>
      <c r="AS9984" s="10"/>
      <c r="AT9984" s="10"/>
      <c r="AU9984" s="10"/>
      <c r="AV9984" s="10"/>
      <c r="AW9984" s="10"/>
      <c r="AX9984" s="10"/>
      <c r="AY9984" s="10"/>
      <c r="AZ9984" s="10"/>
    </row>
    <row r="9985" spans="31:52">
      <c r="AE9985" s="10"/>
      <c r="AF9985" s="10"/>
      <c r="AG9985" s="10"/>
      <c r="AH9985" s="10"/>
      <c r="AI9985" s="10"/>
      <c r="AJ9985" s="10"/>
      <c r="AK9985" s="10"/>
      <c r="AL9985" s="10"/>
      <c r="AM9985" s="10"/>
      <c r="AN9985" s="10"/>
      <c r="AO9985" s="10"/>
      <c r="AP9985" s="10"/>
      <c r="AQ9985" s="10"/>
      <c r="AR9985" s="10"/>
      <c r="AS9985" s="10"/>
      <c r="AT9985" s="10"/>
      <c r="AU9985" s="10"/>
      <c r="AV9985" s="10"/>
      <c r="AW9985" s="10"/>
      <c r="AX9985" s="10"/>
      <c r="AY9985" s="10"/>
      <c r="AZ9985" s="10"/>
    </row>
    <row r="9986" spans="31:52">
      <c r="AE9986" s="10"/>
      <c r="AF9986" s="10"/>
      <c r="AG9986" s="10"/>
      <c r="AH9986" s="10"/>
      <c r="AI9986" s="10"/>
      <c r="AJ9986" s="10"/>
      <c r="AK9986" s="10"/>
      <c r="AL9986" s="10"/>
      <c r="AM9986" s="10"/>
      <c r="AN9986" s="10"/>
      <c r="AO9986" s="10"/>
      <c r="AP9986" s="10"/>
      <c r="AQ9986" s="10"/>
      <c r="AR9986" s="10"/>
      <c r="AS9986" s="10"/>
      <c r="AT9986" s="10"/>
      <c r="AU9986" s="10"/>
      <c r="AV9986" s="10"/>
      <c r="AW9986" s="10"/>
      <c r="AX9986" s="10"/>
      <c r="AY9986" s="10"/>
      <c r="AZ9986" s="10"/>
    </row>
    <row r="9987" spans="31:52">
      <c r="AE9987" s="10"/>
      <c r="AF9987" s="10"/>
      <c r="AG9987" s="10"/>
      <c r="AH9987" s="10"/>
      <c r="AI9987" s="10"/>
      <c r="AJ9987" s="10"/>
      <c r="AK9987" s="10"/>
      <c r="AL9987" s="10"/>
      <c r="AM9987" s="10"/>
      <c r="AN9987" s="10"/>
      <c r="AO9987" s="10"/>
      <c r="AP9987" s="10"/>
      <c r="AQ9987" s="10"/>
      <c r="AR9987" s="10"/>
      <c r="AS9987" s="10"/>
      <c r="AT9987" s="10"/>
      <c r="AU9987" s="10"/>
      <c r="AV9987" s="10"/>
      <c r="AW9987" s="10"/>
      <c r="AX9987" s="10"/>
      <c r="AY9987" s="10"/>
      <c r="AZ9987" s="10"/>
    </row>
    <row r="9988" spans="31:52">
      <c r="AE9988" s="10"/>
      <c r="AF9988" s="10"/>
      <c r="AG9988" s="10"/>
      <c r="AH9988" s="10"/>
      <c r="AI9988" s="10"/>
      <c r="AJ9988" s="10"/>
      <c r="AK9988" s="10"/>
      <c r="AL9988" s="10"/>
      <c r="AM9988" s="10"/>
      <c r="AN9988" s="10"/>
      <c r="AO9988" s="10"/>
      <c r="AP9988" s="10"/>
      <c r="AQ9988" s="10"/>
      <c r="AR9988" s="10"/>
      <c r="AS9988" s="10"/>
      <c r="AT9988" s="10"/>
      <c r="AU9988" s="10"/>
      <c r="AV9988" s="10"/>
      <c r="AW9988" s="10"/>
      <c r="AX9988" s="10"/>
      <c r="AY9988" s="10"/>
      <c r="AZ9988" s="10"/>
    </row>
    <row r="9989" spans="31:52">
      <c r="AE9989" s="10"/>
      <c r="AF9989" s="10"/>
      <c r="AG9989" s="10"/>
      <c r="AH9989" s="10"/>
      <c r="AI9989" s="10"/>
      <c r="AJ9989" s="10"/>
      <c r="AK9989" s="10"/>
      <c r="AL9989" s="10"/>
      <c r="AM9989" s="10"/>
      <c r="AN9989" s="10"/>
      <c r="AO9989" s="10"/>
      <c r="AP9989" s="10"/>
      <c r="AQ9989" s="10"/>
      <c r="AR9989" s="10"/>
      <c r="AS9989" s="10"/>
      <c r="AT9989" s="10"/>
      <c r="AU9989" s="10"/>
      <c r="AV9989" s="10"/>
      <c r="AW9989" s="10"/>
      <c r="AX9989" s="10"/>
      <c r="AY9989" s="10"/>
      <c r="AZ9989" s="10"/>
    </row>
    <row r="9990" spans="31:52">
      <c r="AE9990" s="10"/>
      <c r="AF9990" s="10"/>
      <c r="AG9990" s="10"/>
      <c r="AH9990" s="10"/>
      <c r="AI9990" s="10"/>
      <c r="AJ9990" s="10"/>
      <c r="AK9990" s="10"/>
      <c r="AL9990" s="10"/>
      <c r="AM9990" s="10"/>
      <c r="AN9990" s="10"/>
      <c r="AO9990" s="10"/>
      <c r="AP9990" s="10"/>
      <c r="AQ9990" s="10"/>
      <c r="AR9990" s="10"/>
      <c r="AS9990" s="10"/>
      <c r="AT9990" s="10"/>
      <c r="AU9990" s="10"/>
      <c r="AV9990" s="10"/>
      <c r="AW9990" s="10"/>
      <c r="AX9990" s="10"/>
      <c r="AY9990" s="10"/>
      <c r="AZ9990" s="10"/>
    </row>
    <row r="9991" spans="31:52">
      <c r="AE9991" s="10"/>
      <c r="AF9991" s="10"/>
      <c r="AG9991" s="10"/>
      <c r="AH9991" s="10"/>
      <c r="AI9991" s="10"/>
      <c r="AJ9991" s="10"/>
      <c r="AK9991" s="10"/>
      <c r="AL9991" s="10"/>
      <c r="AM9991" s="10"/>
      <c r="AN9991" s="10"/>
      <c r="AO9991" s="10"/>
      <c r="AP9991" s="10"/>
      <c r="AQ9991" s="10"/>
      <c r="AR9991" s="10"/>
      <c r="AS9991" s="10"/>
      <c r="AT9991" s="10"/>
      <c r="AU9991" s="10"/>
      <c r="AV9991" s="10"/>
      <c r="AW9991" s="10"/>
      <c r="AX9991" s="10"/>
      <c r="AY9991" s="10"/>
      <c r="AZ9991" s="10"/>
    </row>
    <row r="9992" spans="31:52">
      <c r="AE9992" s="10"/>
      <c r="AF9992" s="10"/>
      <c r="AG9992" s="10"/>
      <c r="AH9992" s="10"/>
      <c r="AI9992" s="10"/>
      <c r="AJ9992" s="10"/>
      <c r="AK9992" s="10"/>
      <c r="AL9992" s="10"/>
      <c r="AM9992" s="10"/>
      <c r="AN9992" s="10"/>
      <c r="AO9992" s="10"/>
      <c r="AP9992" s="10"/>
      <c r="AQ9992" s="10"/>
      <c r="AR9992" s="10"/>
      <c r="AS9992" s="10"/>
      <c r="AT9992" s="10"/>
      <c r="AU9992" s="10"/>
      <c r="AV9992" s="10"/>
      <c r="AW9992" s="10"/>
      <c r="AX9992" s="10"/>
      <c r="AY9992" s="10"/>
      <c r="AZ9992" s="10"/>
    </row>
    <row r="9993" spans="31:52">
      <c r="AE9993" s="10"/>
      <c r="AF9993" s="10"/>
      <c r="AG9993" s="10"/>
      <c r="AH9993" s="10"/>
      <c r="AI9993" s="10"/>
      <c r="AJ9993" s="10"/>
      <c r="AK9993" s="10"/>
      <c r="AL9993" s="10"/>
      <c r="AM9993" s="10"/>
      <c r="AN9993" s="10"/>
      <c r="AO9993" s="10"/>
      <c r="AP9993" s="10"/>
      <c r="AQ9993" s="10"/>
      <c r="AR9993" s="10"/>
      <c r="AS9993" s="10"/>
      <c r="AT9993" s="10"/>
      <c r="AU9993" s="10"/>
      <c r="AV9993" s="10"/>
      <c r="AW9993" s="10"/>
      <c r="AX9993" s="10"/>
      <c r="AY9993" s="10"/>
      <c r="AZ9993" s="10"/>
    </row>
    <row r="9994" spans="31:52">
      <c r="AE9994" s="10"/>
      <c r="AF9994" s="10"/>
      <c r="AG9994" s="10"/>
      <c r="AH9994" s="10"/>
      <c r="AI9994" s="10"/>
      <c r="AJ9994" s="10"/>
      <c r="AK9994" s="10"/>
      <c r="AL9994" s="10"/>
      <c r="AM9994" s="10"/>
      <c r="AN9994" s="10"/>
      <c r="AO9994" s="10"/>
      <c r="AP9994" s="10"/>
      <c r="AQ9994" s="10"/>
      <c r="AR9994" s="10"/>
      <c r="AS9994" s="10"/>
      <c r="AT9994" s="10"/>
      <c r="AU9994" s="10"/>
      <c r="AV9994" s="10"/>
      <c r="AW9994" s="10"/>
      <c r="AX9994" s="10"/>
      <c r="AY9994" s="10"/>
      <c r="AZ9994" s="10"/>
    </row>
    <row r="9995" spans="31:52">
      <c r="AE9995" s="10"/>
      <c r="AF9995" s="10"/>
      <c r="AG9995" s="10"/>
      <c r="AH9995" s="10"/>
      <c r="AI9995" s="10"/>
      <c r="AJ9995" s="10"/>
      <c r="AK9995" s="10"/>
      <c r="AL9995" s="10"/>
      <c r="AM9995" s="10"/>
      <c r="AN9995" s="10"/>
      <c r="AO9995" s="10"/>
      <c r="AP9995" s="10"/>
      <c r="AQ9995" s="10"/>
      <c r="AR9995" s="10"/>
      <c r="AS9995" s="10"/>
      <c r="AT9995" s="10"/>
      <c r="AU9995" s="10"/>
      <c r="AV9995" s="10"/>
      <c r="AW9995" s="10"/>
      <c r="AX9995" s="10"/>
      <c r="AY9995" s="10"/>
      <c r="AZ9995" s="10"/>
    </row>
    <row r="9996" spans="31:52">
      <c r="AE9996" s="10"/>
      <c r="AF9996" s="10"/>
      <c r="AG9996" s="10"/>
      <c r="AH9996" s="10"/>
      <c r="AI9996" s="10"/>
      <c r="AJ9996" s="10"/>
      <c r="AK9996" s="10"/>
      <c r="AL9996" s="10"/>
      <c r="AM9996" s="10"/>
      <c r="AN9996" s="10"/>
      <c r="AO9996" s="10"/>
      <c r="AP9996" s="10"/>
      <c r="AQ9996" s="10"/>
      <c r="AR9996" s="10"/>
      <c r="AS9996" s="10"/>
      <c r="AT9996" s="10"/>
      <c r="AU9996" s="10"/>
      <c r="AV9996" s="10"/>
      <c r="AW9996" s="10"/>
      <c r="AX9996" s="10"/>
      <c r="AY9996" s="10"/>
      <c r="AZ9996" s="10"/>
    </row>
    <row r="9997" spans="31:52">
      <c r="AE9997" s="10"/>
      <c r="AF9997" s="10"/>
      <c r="AG9997" s="10"/>
      <c r="AH9997" s="10"/>
      <c r="AI9997" s="10"/>
      <c r="AJ9997" s="10"/>
      <c r="AK9997" s="10"/>
      <c r="AL9997" s="10"/>
      <c r="AM9997" s="10"/>
      <c r="AN9997" s="10"/>
      <c r="AO9997" s="10"/>
      <c r="AP9997" s="10"/>
      <c r="AQ9997" s="10"/>
      <c r="AR9997" s="10"/>
      <c r="AS9997" s="10"/>
      <c r="AT9997" s="10"/>
      <c r="AU9997" s="10"/>
      <c r="AV9997" s="10"/>
      <c r="AW9997" s="10"/>
      <c r="AX9997" s="10"/>
      <c r="AY9997" s="10"/>
      <c r="AZ9997" s="10"/>
    </row>
    <row r="9998" spans="31:52">
      <c r="AE9998" s="10"/>
      <c r="AF9998" s="10"/>
      <c r="AG9998" s="10"/>
      <c r="AH9998" s="10"/>
      <c r="AI9998" s="10"/>
      <c r="AJ9998" s="10"/>
      <c r="AK9998" s="10"/>
      <c r="AL9998" s="10"/>
      <c r="AM9998" s="10"/>
      <c r="AN9998" s="10"/>
      <c r="AO9998" s="10"/>
      <c r="AP9998" s="10"/>
      <c r="AQ9998" s="10"/>
      <c r="AR9998" s="10"/>
      <c r="AS9998" s="10"/>
      <c r="AT9998" s="10"/>
      <c r="AU9998" s="10"/>
      <c r="AV9998" s="10"/>
      <c r="AW9998" s="10"/>
      <c r="AX9998" s="10"/>
      <c r="AY9998" s="10"/>
      <c r="AZ9998" s="10"/>
    </row>
    <row r="9999" spans="31:52">
      <c r="AE9999" s="10"/>
      <c r="AF9999" s="10"/>
      <c r="AG9999" s="10"/>
      <c r="AH9999" s="10"/>
      <c r="AI9999" s="10"/>
      <c r="AJ9999" s="10"/>
      <c r="AK9999" s="10"/>
      <c r="AL9999" s="10"/>
      <c r="AM9999" s="10"/>
      <c r="AN9999" s="10"/>
      <c r="AO9999" s="10"/>
      <c r="AP9999" s="10"/>
      <c r="AQ9999" s="10"/>
      <c r="AR9999" s="10"/>
      <c r="AS9999" s="10"/>
      <c r="AT9999" s="10"/>
      <c r="AU9999" s="10"/>
      <c r="AV9999" s="10"/>
      <c r="AW9999" s="10"/>
      <c r="AX9999" s="10"/>
      <c r="AY9999" s="10"/>
      <c r="AZ9999" s="10"/>
    </row>
    <row r="10000" spans="31:52">
      <c r="AE10000" s="10"/>
      <c r="AF10000" s="10"/>
      <c r="AG10000" s="10"/>
      <c r="AH10000" s="10"/>
      <c r="AI10000" s="10"/>
      <c r="AJ10000" s="10"/>
      <c r="AK10000" s="10"/>
      <c r="AL10000" s="10"/>
      <c r="AM10000" s="10"/>
      <c r="AN10000" s="10"/>
      <c r="AO10000" s="10"/>
      <c r="AP10000" s="10"/>
      <c r="AQ10000" s="10"/>
      <c r="AR10000" s="10"/>
      <c r="AS10000" s="10"/>
      <c r="AT10000" s="10"/>
      <c r="AU10000" s="10"/>
      <c r="AV10000" s="10"/>
      <c r="AW10000" s="10"/>
      <c r="AX10000" s="10"/>
      <c r="AY10000" s="10"/>
      <c r="AZ10000" s="10"/>
    </row>
    <row r="10001" spans="31:52">
      <c r="AE10001" s="10"/>
      <c r="AF10001" s="10"/>
      <c r="AG10001" s="10"/>
      <c r="AH10001" s="10"/>
      <c r="AI10001" s="10"/>
      <c r="AJ10001" s="10"/>
      <c r="AK10001" s="10"/>
      <c r="AL10001" s="10"/>
      <c r="AM10001" s="10"/>
      <c r="AN10001" s="10"/>
      <c r="AO10001" s="10"/>
      <c r="AP10001" s="10"/>
      <c r="AQ10001" s="10"/>
      <c r="AR10001" s="10"/>
      <c r="AS10001" s="10"/>
      <c r="AT10001" s="10"/>
      <c r="AU10001" s="10"/>
      <c r="AV10001" s="10"/>
      <c r="AW10001" s="10"/>
      <c r="AX10001" s="10"/>
      <c r="AY10001" s="10"/>
      <c r="AZ10001" s="10"/>
    </row>
    <row r="10002" spans="31:52">
      <c r="AE10002" s="10"/>
      <c r="AF10002" s="10"/>
      <c r="AG10002" s="10"/>
      <c r="AH10002" s="10"/>
      <c r="AI10002" s="10"/>
      <c r="AJ10002" s="10"/>
      <c r="AK10002" s="10"/>
      <c r="AL10002" s="10"/>
      <c r="AM10002" s="10"/>
      <c r="AN10002" s="10"/>
      <c r="AO10002" s="10"/>
      <c r="AP10002" s="10"/>
      <c r="AQ10002" s="10"/>
      <c r="AR10002" s="10"/>
      <c r="AS10002" s="10"/>
      <c r="AT10002" s="10"/>
      <c r="AU10002" s="10"/>
      <c r="AV10002" s="10"/>
      <c r="AW10002" s="10"/>
      <c r="AX10002" s="10"/>
      <c r="AY10002" s="10"/>
      <c r="AZ10002" s="10"/>
    </row>
    <row r="10003" spans="31:52">
      <c r="AE10003" s="10"/>
      <c r="AF10003" s="10"/>
      <c r="AG10003" s="10"/>
      <c r="AH10003" s="10"/>
      <c r="AI10003" s="10"/>
      <c r="AJ10003" s="10"/>
      <c r="AK10003" s="10"/>
      <c r="AL10003" s="10"/>
      <c r="AM10003" s="10"/>
      <c r="AN10003" s="10"/>
      <c r="AO10003" s="10"/>
      <c r="AP10003" s="10"/>
      <c r="AQ10003" s="10"/>
      <c r="AR10003" s="10"/>
      <c r="AS10003" s="10"/>
      <c r="AT10003" s="10"/>
      <c r="AU10003" s="10"/>
      <c r="AV10003" s="10"/>
      <c r="AW10003" s="10"/>
      <c r="AX10003" s="10"/>
      <c r="AY10003" s="10"/>
      <c r="AZ10003" s="10"/>
    </row>
    <row r="10004" spans="31:52">
      <c r="AE10004" s="10"/>
      <c r="AF10004" s="10"/>
      <c r="AG10004" s="10"/>
      <c r="AH10004" s="10"/>
      <c r="AI10004" s="10"/>
      <c r="AJ10004" s="10"/>
      <c r="AK10004" s="10"/>
      <c r="AL10004" s="10"/>
      <c r="AM10004" s="10"/>
      <c r="AN10004" s="10"/>
      <c r="AO10004" s="10"/>
      <c r="AP10004" s="10"/>
      <c r="AQ10004" s="10"/>
      <c r="AR10004" s="10"/>
      <c r="AS10004" s="10"/>
      <c r="AT10004" s="10"/>
      <c r="AU10004" s="10"/>
      <c r="AV10004" s="10"/>
      <c r="AW10004" s="10"/>
      <c r="AX10004" s="10"/>
      <c r="AY10004" s="10"/>
      <c r="AZ10004" s="10"/>
    </row>
    <row r="10005" spans="31:52">
      <c r="AE10005" s="10"/>
      <c r="AF10005" s="10"/>
      <c r="AG10005" s="10"/>
      <c r="AH10005" s="10"/>
      <c r="AI10005" s="10"/>
      <c r="AJ10005" s="10"/>
      <c r="AK10005" s="10"/>
      <c r="AL10005" s="10"/>
      <c r="AM10005" s="10"/>
      <c r="AN10005" s="10"/>
      <c r="AO10005" s="10"/>
      <c r="AP10005" s="10"/>
      <c r="AQ10005" s="10"/>
      <c r="AR10005" s="10"/>
      <c r="AS10005" s="10"/>
      <c r="AT10005" s="10"/>
      <c r="AU10005" s="10"/>
      <c r="AV10005" s="10"/>
      <c r="AW10005" s="10"/>
      <c r="AX10005" s="10"/>
      <c r="AY10005" s="10"/>
      <c r="AZ10005" s="10"/>
    </row>
    <row r="10006" spans="31:52">
      <c r="AE10006" s="10"/>
      <c r="AF10006" s="10"/>
      <c r="AG10006" s="10"/>
      <c r="AH10006" s="10"/>
      <c r="AI10006" s="10"/>
      <c r="AJ10006" s="10"/>
      <c r="AK10006" s="10"/>
      <c r="AL10006" s="10"/>
      <c r="AM10006" s="10"/>
      <c r="AN10006" s="10"/>
      <c r="AO10006" s="10"/>
      <c r="AP10006" s="10"/>
      <c r="AQ10006" s="10"/>
      <c r="AR10006" s="10"/>
      <c r="AS10006" s="10"/>
      <c r="AT10006" s="10"/>
      <c r="AU10006" s="10"/>
      <c r="AV10006" s="10"/>
      <c r="AW10006" s="10"/>
      <c r="AX10006" s="10"/>
      <c r="AY10006" s="10"/>
      <c r="AZ10006" s="10"/>
    </row>
    <row r="10007" spans="31:52">
      <c r="AE10007" s="10"/>
      <c r="AF10007" s="10"/>
      <c r="AG10007" s="10"/>
      <c r="AH10007" s="10"/>
      <c r="AI10007" s="10"/>
      <c r="AJ10007" s="10"/>
      <c r="AK10007" s="10"/>
      <c r="AL10007" s="10"/>
      <c r="AM10007" s="10"/>
      <c r="AN10007" s="10"/>
      <c r="AO10007" s="10"/>
      <c r="AP10007" s="10"/>
      <c r="AQ10007" s="10"/>
      <c r="AR10007" s="10"/>
      <c r="AS10007" s="10"/>
      <c r="AT10007" s="10"/>
      <c r="AU10007" s="10"/>
      <c r="AV10007" s="10"/>
      <c r="AW10007" s="10"/>
      <c r="AX10007" s="10"/>
      <c r="AY10007" s="10"/>
      <c r="AZ10007" s="10"/>
    </row>
    <row r="10008" spans="31:52">
      <c r="AE10008" s="10"/>
      <c r="AF10008" s="10"/>
      <c r="AG10008" s="10"/>
      <c r="AH10008" s="10"/>
      <c r="AI10008" s="10"/>
      <c r="AJ10008" s="10"/>
      <c r="AK10008" s="10"/>
      <c r="AL10008" s="10"/>
      <c r="AM10008" s="10"/>
      <c r="AN10008" s="10"/>
      <c r="AO10008" s="10"/>
      <c r="AP10008" s="10"/>
      <c r="AQ10008" s="10"/>
      <c r="AR10008" s="10"/>
      <c r="AS10008" s="10"/>
      <c r="AT10008" s="10"/>
      <c r="AU10008" s="10"/>
      <c r="AV10008" s="10"/>
      <c r="AW10008" s="10"/>
      <c r="AX10008" s="10"/>
      <c r="AY10008" s="10"/>
      <c r="AZ10008" s="10"/>
    </row>
    <row r="10009" spans="31:52">
      <c r="AE10009" s="10"/>
      <c r="AF10009" s="10"/>
      <c r="AG10009" s="10"/>
      <c r="AH10009" s="10"/>
      <c r="AI10009" s="10"/>
      <c r="AJ10009" s="10"/>
      <c r="AK10009" s="10"/>
      <c r="AL10009" s="10"/>
      <c r="AM10009" s="10"/>
      <c r="AN10009" s="10"/>
      <c r="AO10009" s="10"/>
      <c r="AP10009" s="10"/>
      <c r="AQ10009" s="10"/>
      <c r="AR10009" s="10"/>
      <c r="AS10009" s="10"/>
      <c r="AT10009" s="10"/>
      <c r="AU10009" s="10"/>
      <c r="AV10009" s="10"/>
      <c r="AW10009" s="10"/>
      <c r="AX10009" s="10"/>
      <c r="AY10009" s="10"/>
      <c r="AZ10009" s="10"/>
    </row>
    <row r="10010" spans="31:52">
      <c r="AE10010" s="10"/>
      <c r="AF10010" s="10"/>
      <c r="AG10010" s="10"/>
      <c r="AH10010" s="10"/>
      <c r="AI10010" s="10"/>
      <c r="AJ10010" s="10"/>
      <c r="AK10010" s="10"/>
      <c r="AL10010" s="10"/>
      <c r="AM10010" s="10"/>
      <c r="AN10010" s="10"/>
      <c r="AO10010" s="10"/>
      <c r="AP10010" s="10"/>
      <c r="AQ10010" s="10"/>
      <c r="AR10010" s="10"/>
      <c r="AS10010" s="10"/>
      <c r="AT10010" s="10"/>
      <c r="AU10010" s="10"/>
      <c r="AV10010" s="10"/>
      <c r="AW10010" s="10"/>
      <c r="AX10010" s="10"/>
      <c r="AY10010" s="10"/>
      <c r="AZ10010" s="10"/>
    </row>
    <row r="10011" spans="31:52">
      <c r="AE10011" s="10"/>
      <c r="AF10011" s="10"/>
      <c r="AG10011" s="10"/>
      <c r="AH10011" s="10"/>
      <c r="AI10011" s="10"/>
      <c r="AJ10011" s="10"/>
      <c r="AK10011" s="10"/>
      <c r="AL10011" s="10"/>
      <c r="AM10011" s="10"/>
      <c r="AN10011" s="10"/>
      <c r="AO10011" s="10"/>
      <c r="AP10011" s="10"/>
      <c r="AQ10011" s="10"/>
      <c r="AR10011" s="10"/>
      <c r="AS10011" s="10"/>
      <c r="AT10011" s="10"/>
      <c r="AU10011" s="10"/>
      <c r="AV10011" s="10"/>
      <c r="AW10011" s="10"/>
      <c r="AX10011" s="10"/>
      <c r="AY10011" s="10"/>
      <c r="AZ10011" s="10"/>
    </row>
    <row r="10012" spans="31:52">
      <c r="AE10012" s="10"/>
      <c r="AF10012" s="10"/>
      <c r="AG10012" s="10"/>
      <c r="AH10012" s="10"/>
      <c r="AI10012" s="10"/>
      <c r="AJ10012" s="10"/>
      <c r="AK10012" s="10"/>
      <c r="AL10012" s="10"/>
      <c r="AM10012" s="10"/>
      <c r="AN10012" s="10"/>
      <c r="AO10012" s="10"/>
      <c r="AP10012" s="10"/>
      <c r="AQ10012" s="10"/>
      <c r="AR10012" s="10"/>
      <c r="AS10012" s="10"/>
      <c r="AT10012" s="10"/>
      <c r="AU10012" s="10"/>
      <c r="AV10012" s="10"/>
      <c r="AW10012" s="10"/>
      <c r="AX10012" s="10"/>
      <c r="AY10012" s="10"/>
      <c r="AZ10012" s="10"/>
    </row>
    <row r="10013" spans="31:52">
      <c r="AE10013" s="10"/>
      <c r="AF10013" s="10"/>
      <c r="AG10013" s="10"/>
      <c r="AH10013" s="10"/>
      <c r="AI10013" s="10"/>
      <c r="AJ10013" s="10"/>
      <c r="AK10013" s="10"/>
      <c r="AL10013" s="10"/>
      <c r="AM10013" s="10"/>
      <c r="AN10013" s="10"/>
      <c r="AO10013" s="10"/>
      <c r="AP10013" s="10"/>
      <c r="AQ10013" s="10"/>
      <c r="AR10013" s="10"/>
      <c r="AS10013" s="10"/>
      <c r="AT10013" s="10"/>
      <c r="AU10013" s="10"/>
      <c r="AV10013" s="10"/>
      <c r="AW10013" s="10"/>
      <c r="AX10013" s="10"/>
      <c r="AY10013" s="10"/>
      <c r="AZ10013" s="10"/>
    </row>
    <row r="10014" spans="31:52">
      <c r="AE10014" s="10"/>
      <c r="AF10014" s="10"/>
      <c r="AG10014" s="10"/>
      <c r="AH10014" s="10"/>
      <c r="AI10014" s="10"/>
      <c r="AJ10014" s="10"/>
      <c r="AK10014" s="10"/>
      <c r="AL10014" s="10"/>
      <c r="AM10014" s="10"/>
      <c r="AN10014" s="10"/>
      <c r="AO10014" s="10"/>
      <c r="AP10014" s="10"/>
      <c r="AQ10014" s="10"/>
      <c r="AR10014" s="10"/>
      <c r="AS10014" s="10"/>
      <c r="AT10014" s="10"/>
      <c r="AU10014" s="10"/>
      <c r="AV10014" s="10"/>
      <c r="AW10014" s="10"/>
      <c r="AX10014" s="10"/>
      <c r="AY10014" s="10"/>
      <c r="AZ10014" s="10"/>
    </row>
    <row r="10015" spans="31:52">
      <c r="AE10015" s="10"/>
      <c r="AF10015" s="10"/>
      <c r="AG10015" s="10"/>
      <c r="AH10015" s="10"/>
      <c r="AI10015" s="10"/>
      <c r="AJ10015" s="10"/>
      <c r="AK10015" s="10"/>
      <c r="AL10015" s="10"/>
      <c r="AM10015" s="10"/>
      <c r="AN10015" s="10"/>
      <c r="AO10015" s="10"/>
      <c r="AP10015" s="10"/>
      <c r="AQ10015" s="10"/>
      <c r="AR10015" s="10"/>
      <c r="AS10015" s="10"/>
      <c r="AT10015" s="10"/>
      <c r="AU10015" s="10"/>
      <c r="AV10015" s="10"/>
      <c r="AW10015" s="10"/>
      <c r="AX10015" s="10"/>
      <c r="AY10015" s="10"/>
      <c r="AZ10015" s="10"/>
    </row>
    <row r="10016" spans="31:52">
      <c r="AE10016" s="10"/>
      <c r="AF10016" s="10"/>
      <c r="AG10016" s="10"/>
      <c r="AH10016" s="10"/>
      <c r="AI10016" s="10"/>
      <c r="AJ10016" s="10"/>
      <c r="AK10016" s="10"/>
      <c r="AL10016" s="10"/>
      <c r="AM10016" s="10"/>
      <c r="AN10016" s="10"/>
      <c r="AO10016" s="10"/>
      <c r="AP10016" s="10"/>
      <c r="AQ10016" s="10"/>
      <c r="AR10016" s="10"/>
      <c r="AS10016" s="10"/>
      <c r="AT10016" s="10"/>
      <c r="AU10016" s="10"/>
      <c r="AV10016" s="10"/>
      <c r="AW10016" s="10"/>
      <c r="AX10016" s="10"/>
      <c r="AY10016" s="10"/>
      <c r="AZ10016" s="10"/>
    </row>
    <row r="10017" spans="31:52">
      <c r="AE10017" s="10"/>
      <c r="AF10017" s="10"/>
      <c r="AG10017" s="10"/>
      <c r="AH10017" s="10"/>
      <c r="AI10017" s="10"/>
      <c r="AJ10017" s="10"/>
      <c r="AK10017" s="10"/>
      <c r="AL10017" s="10"/>
      <c r="AM10017" s="10"/>
      <c r="AN10017" s="10"/>
      <c r="AO10017" s="10"/>
      <c r="AP10017" s="10"/>
      <c r="AQ10017" s="10"/>
      <c r="AR10017" s="10"/>
      <c r="AS10017" s="10"/>
      <c r="AT10017" s="10"/>
      <c r="AU10017" s="10"/>
      <c r="AV10017" s="10"/>
      <c r="AW10017" s="10"/>
      <c r="AX10017" s="10"/>
      <c r="AY10017" s="10"/>
      <c r="AZ10017" s="10"/>
    </row>
    <row r="10018" spans="31:52">
      <c r="AE10018" s="10"/>
      <c r="AF10018" s="10"/>
      <c r="AG10018" s="10"/>
      <c r="AH10018" s="10"/>
      <c r="AI10018" s="10"/>
      <c r="AJ10018" s="10"/>
      <c r="AK10018" s="10"/>
      <c r="AL10018" s="10"/>
      <c r="AM10018" s="10"/>
      <c r="AN10018" s="10"/>
      <c r="AO10018" s="10"/>
      <c r="AP10018" s="10"/>
      <c r="AQ10018" s="10"/>
      <c r="AR10018" s="10"/>
      <c r="AS10018" s="10"/>
      <c r="AT10018" s="10"/>
      <c r="AU10018" s="10"/>
      <c r="AV10018" s="10"/>
      <c r="AW10018" s="10"/>
      <c r="AX10018" s="10"/>
      <c r="AY10018" s="10"/>
      <c r="AZ10018" s="10"/>
    </row>
    <row r="10019" spans="31:52">
      <c r="AE10019" s="10"/>
      <c r="AF10019" s="10"/>
      <c r="AG10019" s="10"/>
      <c r="AH10019" s="10"/>
      <c r="AI10019" s="10"/>
      <c r="AJ10019" s="10"/>
      <c r="AK10019" s="10"/>
      <c r="AL10019" s="10"/>
      <c r="AM10019" s="10"/>
      <c r="AN10019" s="10"/>
      <c r="AO10019" s="10"/>
      <c r="AP10019" s="10"/>
      <c r="AQ10019" s="10"/>
      <c r="AR10019" s="10"/>
      <c r="AS10019" s="10"/>
      <c r="AT10019" s="10"/>
      <c r="AU10019" s="10"/>
      <c r="AV10019" s="10"/>
      <c r="AW10019" s="10"/>
      <c r="AX10019" s="10"/>
      <c r="AY10019" s="10"/>
      <c r="AZ10019" s="10"/>
    </row>
    <row r="10020" spans="31:52">
      <c r="AE10020" s="10"/>
      <c r="AF10020" s="10"/>
      <c r="AG10020" s="10"/>
      <c r="AH10020" s="10"/>
      <c r="AI10020" s="10"/>
      <c r="AJ10020" s="10"/>
      <c r="AK10020" s="10"/>
      <c r="AL10020" s="10"/>
      <c r="AM10020" s="10"/>
      <c r="AN10020" s="10"/>
      <c r="AO10020" s="10"/>
      <c r="AP10020" s="10"/>
      <c r="AQ10020" s="10"/>
      <c r="AR10020" s="10"/>
      <c r="AS10020" s="10"/>
      <c r="AT10020" s="10"/>
      <c r="AU10020" s="10"/>
      <c r="AV10020" s="10"/>
      <c r="AW10020" s="10"/>
      <c r="AX10020" s="10"/>
      <c r="AY10020" s="10"/>
      <c r="AZ10020" s="10"/>
    </row>
    <row r="10021" spans="31:52">
      <c r="AE10021" s="10"/>
      <c r="AF10021" s="10"/>
      <c r="AG10021" s="10"/>
      <c r="AH10021" s="10"/>
      <c r="AI10021" s="10"/>
      <c r="AJ10021" s="10"/>
      <c r="AK10021" s="10"/>
      <c r="AL10021" s="10"/>
      <c r="AM10021" s="10"/>
      <c r="AN10021" s="10"/>
      <c r="AO10021" s="10"/>
      <c r="AP10021" s="10"/>
      <c r="AQ10021" s="10"/>
      <c r="AR10021" s="10"/>
      <c r="AS10021" s="10"/>
      <c r="AT10021" s="10"/>
      <c r="AU10021" s="10"/>
      <c r="AV10021" s="10"/>
      <c r="AW10021" s="10"/>
      <c r="AX10021" s="10"/>
      <c r="AY10021" s="10"/>
      <c r="AZ10021" s="10"/>
    </row>
    <row r="10022" spans="31:52">
      <c r="AE10022" s="10"/>
      <c r="AF10022" s="10"/>
      <c r="AG10022" s="10"/>
      <c r="AH10022" s="10"/>
      <c r="AI10022" s="10"/>
      <c r="AJ10022" s="10"/>
      <c r="AK10022" s="10"/>
      <c r="AL10022" s="10"/>
      <c r="AM10022" s="10"/>
      <c r="AN10022" s="10"/>
      <c r="AO10022" s="10"/>
      <c r="AP10022" s="10"/>
      <c r="AQ10022" s="10"/>
      <c r="AR10022" s="10"/>
      <c r="AS10022" s="10"/>
      <c r="AT10022" s="10"/>
      <c r="AU10022" s="10"/>
      <c r="AV10022" s="10"/>
      <c r="AW10022" s="10"/>
      <c r="AX10022" s="10"/>
      <c r="AY10022" s="10"/>
      <c r="AZ10022" s="10"/>
    </row>
    <row r="10023" spans="31:52">
      <c r="AE10023" s="10"/>
      <c r="AF10023" s="10"/>
      <c r="AG10023" s="10"/>
      <c r="AH10023" s="10"/>
      <c r="AI10023" s="10"/>
      <c r="AJ10023" s="10"/>
      <c r="AK10023" s="10"/>
      <c r="AL10023" s="10"/>
      <c r="AM10023" s="10"/>
      <c r="AN10023" s="10"/>
      <c r="AO10023" s="10"/>
      <c r="AP10023" s="10"/>
      <c r="AQ10023" s="10"/>
      <c r="AR10023" s="10"/>
      <c r="AS10023" s="10"/>
      <c r="AT10023" s="10"/>
      <c r="AU10023" s="10"/>
      <c r="AV10023" s="10"/>
      <c r="AW10023" s="10"/>
      <c r="AX10023" s="10"/>
      <c r="AY10023" s="10"/>
      <c r="AZ10023" s="10"/>
    </row>
    <row r="10024" spans="31:52">
      <c r="AE10024" s="10"/>
      <c r="AF10024" s="10"/>
      <c r="AG10024" s="10"/>
      <c r="AH10024" s="10"/>
      <c r="AI10024" s="10"/>
      <c r="AJ10024" s="10"/>
      <c r="AK10024" s="10"/>
      <c r="AL10024" s="10"/>
      <c r="AM10024" s="10"/>
      <c r="AN10024" s="10"/>
      <c r="AO10024" s="10"/>
      <c r="AP10024" s="10"/>
      <c r="AQ10024" s="10"/>
      <c r="AR10024" s="10"/>
      <c r="AS10024" s="10"/>
      <c r="AT10024" s="10"/>
      <c r="AU10024" s="10"/>
      <c r="AV10024" s="10"/>
      <c r="AW10024" s="10"/>
      <c r="AX10024" s="10"/>
      <c r="AY10024" s="10"/>
      <c r="AZ10024" s="10"/>
    </row>
    <row r="10025" spans="31:52">
      <c r="AE10025" s="10"/>
      <c r="AF10025" s="10"/>
      <c r="AG10025" s="10"/>
      <c r="AH10025" s="10"/>
      <c r="AI10025" s="10"/>
      <c r="AJ10025" s="10"/>
      <c r="AK10025" s="10"/>
      <c r="AL10025" s="10"/>
      <c r="AM10025" s="10"/>
      <c r="AN10025" s="10"/>
      <c r="AO10025" s="10"/>
      <c r="AP10025" s="10"/>
      <c r="AQ10025" s="10"/>
      <c r="AR10025" s="10"/>
      <c r="AS10025" s="10"/>
      <c r="AT10025" s="10"/>
      <c r="AU10025" s="10"/>
      <c r="AV10025" s="10"/>
      <c r="AW10025" s="10"/>
      <c r="AX10025" s="10"/>
      <c r="AY10025" s="10"/>
      <c r="AZ10025" s="10"/>
    </row>
    <row r="10026" spans="31:52">
      <c r="AE10026" s="10"/>
      <c r="AF10026" s="10"/>
      <c r="AG10026" s="10"/>
      <c r="AH10026" s="10"/>
      <c r="AI10026" s="10"/>
      <c r="AJ10026" s="10"/>
      <c r="AK10026" s="10"/>
      <c r="AL10026" s="10"/>
      <c r="AM10026" s="10"/>
      <c r="AN10026" s="10"/>
      <c r="AO10026" s="10"/>
      <c r="AP10026" s="10"/>
      <c r="AQ10026" s="10"/>
      <c r="AR10026" s="10"/>
      <c r="AS10026" s="10"/>
      <c r="AT10026" s="10"/>
      <c r="AU10026" s="10"/>
      <c r="AV10026" s="10"/>
      <c r="AW10026" s="10"/>
      <c r="AX10026" s="10"/>
      <c r="AY10026" s="10"/>
      <c r="AZ10026" s="10"/>
    </row>
    <row r="10027" spans="31:52">
      <c r="AE10027" s="10"/>
      <c r="AF10027" s="10"/>
      <c r="AG10027" s="10"/>
      <c r="AH10027" s="10"/>
      <c r="AI10027" s="10"/>
      <c r="AJ10027" s="10"/>
      <c r="AK10027" s="10"/>
      <c r="AL10027" s="10"/>
      <c r="AM10027" s="10"/>
      <c r="AN10027" s="10"/>
      <c r="AO10027" s="10"/>
      <c r="AP10027" s="10"/>
      <c r="AQ10027" s="10"/>
      <c r="AR10027" s="10"/>
      <c r="AS10027" s="10"/>
      <c r="AT10027" s="10"/>
      <c r="AU10027" s="10"/>
      <c r="AV10027" s="10"/>
      <c r="AW10027" s="10"/>
      <c r="AX10027" s="10"/>
      <c r="AY10027" s="10"/>
      <c r="AZ10027" s="10"/>
    </row>
    <row r="10028" spans="31:52">
      <c r="AE10028" s="10"/>
      <c r="AF10028" s="10"/>
      <c r="AG10028" s="10"/>
      <c r="AH10028" s="10"/>
      <c r="AI10028" s="10"/>
      <c r="AJ10028" s="10"/>
      <c r="AK10028" s="10"/>
      <c r="AL10028" s="10"/>
      <c r="AM10028" s="10"/>
      <c r="AN10028" s="10"/>
      <c r="AO10028" s="10"/>
      <c r="AP10028" s="10"/>
      <c r="AQ10028" s="10"/>
      <c r="AR10028" s="10"/>
      <c r="AS10028" s="10"/>
      <c r="AT10028" s="10"/>
      <c r="AU10028" s="10"/>
      <c r="AV10028" s="10"/>
      <c r="AW10028" s="10"/>
      <c r="AX10028" s="10"/>
      <c r="AY10028" s="10"/>
      <c r="AZ10028" s="10"/>
    </row>
    <row r="10029" spans="31:52">
      <c r="AE10029" s="10"/>
      <c r="AF10029" s="10"/>
      <c r="AG10029" s="10"/>
      <c r="AH10029" s="10"/>
      <c r="AI10029" s="10"/>
      <c r="AJ10029" s="10"/>
      <c r="AK10029" s="10"/>
      <c r="AL10029" s="10"/>
      <c r="AM10029" s="10"/>
      <c r="AN10029" s="10"/>
      <c r="AO10029" s="10"/>
      <c r="AP10029" s="10"/>
      <c r="AQ10029" s="10"/>
      <c r="AR10029" s="10"/>
      <c r="AS10029" s="10"/>
      <c r="AT10029" s="10"/>
      <c r="AU10029" s="10"/>
      <c r="AV10029" s="10"/>
      <c r="AW10029" s="10"/>
      <c r="AX10029" s="10"/>
      <c r="AY10029" s="10"/>
      <c r="AZ10029" s="10"/>
    </row>
    <row r="10030" spans="31:52">
      <c r="AE10030" s="10"/>
      <c r="AF10030" s="10"/>
      <c r="AG10030" s="10"/>
      <c r="AH10030" s="10"/>
      <c r="AI10030" s="10"/>
      <c r="AJ10030" s="10"/>
      <c r="AK10030" s="10"/>
      <c r="AL10030" s="10"/>
      <c r="AM10030" s="10"/>
      <c r="AN10030" s="10"/>
      <c r="AO10030" s="10"/>
      <c r="AP10030" s="10"/>
      <c r="AQ10030" s="10"/>
      <c r="AR10030" s="10"/>
      <c r="AS10030" s="10"/>
      <c r="AT10030" s="10"/>
      <c r="AU10030" s="10"/>
      <c r="AV10030" s="10"/>
      <c r="AW10030" s="10"/>
      <c r="AX10030" s="10"/>
      <c r="AY10030" s="10"/>
      <c r="AZ10030" s="10"/>
    </row>
    <row r="10031" spans="31:52">
      <c r="AE10031" s="10"/>
      <c r="AF10031" s="10"/>
      <c r="AG10031" s="10"/>
      <c r="AH10031" s="10"/>
      <c r="AI10031" s="10"/>
      <c r="AJ10031" s="10"/>
      <c r="AK10031" s="10"/>
      <c r="AL10031" s="10"/>
      <c r="AM10031" s="10"/>
      <c r="AN10031" s="10"/>
      <c r="AO10031" s="10"/>
      <c r="AP10031" s="10"/>
      <c r="AQ10031" s="10"/>
      <c r="AR10031" s="10"/>
      <c r="AS10031" s="10"/>
      <c r="AT10031" s="10"/>
      <c r="AU10031" s="10"/>
      <c r="AV10031" s="10"/>
      <c r="AW10031" s="10"/>
      <c r="AX10031" s="10"/>
      <c r="AY10031" s="10"/>
      <c r="AZ10031" s="10"/>
    </row>
    <row r="10032" spans="31:52">
      <c r="AE10032" s="10"/>
      <c r="AF10032" s="10"/>
      <c r="AG10032" s="10"/>
      <c r="AH10032" s="10"/>
      <c r="AI10032" s="10"/>
      <c r="AJ10032" s="10"/>
      <c r="AK10032" s="10"/>
      <c r="AL10032" s="10"/>
      <c r="AM10032" s="10"/>
      <c r="AN10032" s="10"/>
      <c r="AO10032" s="10"/>
      <c r="AP10032" s="10"/>
      <c r="AQ10032" s="10"/>
      <c r="AR10032" s="10"/>
      <c r="AS10032" s="10"/>
      <c r="AT10032" s="10"/>
      <c r="AU10032" s="10"/>
      <c r="AV10032" s="10"/>
      <c r="AW10032" s="10"/>
      <c r="AX10032" s="10"/>
      <c r="AY10032" s="10"/>
      <c r="AZ10032" s="10"/>
    </row>
    <row r="10033" spans="31:52">
      <c r="AE10033" s="10"/>
      <c r="AF10033" s="10"/>
      <c r="AG10033" s="10"/>
      <c r="AH10033" s="10"/>
      <c r="AI10033" s="10"/>
      <c r="AJ10033" s="10"/>
      <c r="AK10033" s="10"/>
      <c r="AL10033" s="10"/>
      <c r="AM10033" s="10"/>
      <c r="AN10033" s="10"/>
      <c r="AO10033" s="10"/>
      <c r="AP10033" s="10"/>
      <c r="AQ10033" s="10"/>
      <c r="AR10033" s="10"/>
      <c r="AS10033" s="10"/>
      <c r="AT10033" s="10"/>
      <c r="AU10033" s="10"/>
      <c r="AV10033" s="10"/>
      <c r="AW10033" s="10"/>
      <c r="AX10033" s="10"/>
      <c r="AY10033" s="10"/>
      <c r="AZ10033" s="10"/>
    </row>
    <row r="10034" spans="31:52">
      <c r="AE10034" s="10"/>
      <c r="AF10034" s="10"/>
      <c r="AG10034" s="10"/>
      <c r="AH10034" s="10"/>
      <c r="AI10034" s="10"/>
      <c r="AJ10034" s="10"/>
      <c r="AK10034" s="10"/>
      <c r="AL10034" s="10"/>
      <c r="AM10034" s="10"/>
      <c r="AN10034" s="10"/>
      <c r="AO10034" s="10"/>
      <c r="AP10034" s="10"/>
      <c r="AQ10034" s="10"/>
      <c r="AR10034" s="10"/>
      <c r="AS10034" s="10"/>
      <c r="AT10034" s="10"/>
      <c r="AU10034" s="10"/>
      <c r="AV10034" s="10"/>
      <c r="AW10034" s="10"/>
      <c r="AX10034" s="10"/>
      <c r="AY10034" s="10"/>
      <c r="AZ10034" s="10"/>
    </row>
    <row r="10035" spans="31:52">
      <c r="AE10035" s="10"/>
      <c r="AF10035" s="10"/>
      <c r="AG10035" s="10"/>
      <c r="AH10035" s="10"/>
      <c r="AI10035" s="10"/>
      <c r="AJ10035" s="10"/>
      <c r="AK10035" s="10"/>
      <c r="AL10035" s="10"/>
      <c r="AM10035" s="10"/>
      <c r="AN10035" s="10"/>
      <c r="AO10035" s="10"/>
      <c r="AP10035" s="10"/>
      <c r="AQ10035" s="10"/>
      <c r="AR10035" s="10"/>
      <c r="AS10035" s="10"/>
      <c r="AT10035" s="10"/>
      <c r="AU10035" s="10"/>
      <c r="AV10035" s="10"/>
      <c r="AW10035" s="10"/>
      <c r="AX10035" s="10"/>
      <c r="AY10035" s="10"/>
      <c r="AZ10035" s="10"/>
    </row>
    <row r="10036" spans="31:52">
      <c r="AE10036" s="10"/>
      <c r="AF10036" s="10"/>
      <c r="AG10036" s="10"/>
      <c r="AH10036" s="10"/>
      <c r="AI10036" s="10"/>
      <c r="AJ10036" s="10"/>
      <c r="AK10036" s="10"/>
      <c r="AL10036" s="10"/>
      <c r="AM10036" s="10"/>
      <c r="AN10036" s="10"/>
      <c r="AO10036" s="10"/>
      <c r="AP10036" s="10"/>
      <c r="AQ10036" s="10"/>
      <c r="AR10036" s="10"/>
      <c r="AS10036" s="10"/>
      <c r="AT10036" s="10"/>
      <c r="AU10036" s="10"/>
      <c r="AV10036" s="10"/>
      <c r="AW10036" s="10"/>
      <c r="AX10036" s="10"/>
      <c r="AY10036" s="10"/>
      <c r="AZ10036" s="10"/>
    </row>
    <row r="10037" spans="31:52">
      <c r="AE10037" s="10"/>
      <c r="AF10037" s="10"/>
      <c r="AG10037" s="10"/>
      <c r="AH10037" s="10"/>
      <c r="AI10037" s="10"/>
      <c r="AJ10037" s="10"/>
      <c r="AK10037" s="10"/>
      <c r="AL10037" s="10"/>
      <c r="AM10037" s="10"/>
      <c r="AN10037" s="10"/>
      <c r="AO10037" s="10"/>
      <c r="AP10037" s="10"/>
      <c r="AQ10037" s="10"/>
      <c r="AR10037" s="10"/>
      <c r="AS10037" s="10"/>
      <c r="AT10037" s="10"/>
      <c r="AU10037" s="10"/>
      <c r="AV10037" s="10"/>
      <c r="AW10037" s="10"/>
      <c r="AX10037" s="10"/>
      <c r="AY10037" s="10"/>
      <c r="AZ10037" s="10"/>
    </row>
    <row r="10038" spans="31:52">
      <c r="AE10038" s="10"/>
      <c r="AF10038" s="10"/>
      <c r="AG10038" s="10"/>
      <c r="AH10038" s="10"/>
      <c r="AI10038" s="10"/>
      <c r="AJ10038" s="10"/>
      <c r="AK10038" s="10"/>
      <c r="AL10038" s="10"/>
      <c r="AM10038" s="10"/>
      <c r="AN10038" s="10"/>
      <c r="AO10038" s="10"/>
      <c r="AP10038" s="10"/>
      <c r="AQ10038" s="10"/>
      <c r="AR10038" s="10"/>
      <c r="AS10038" s="10"/>
      <c r="AT10038" s="10"/>
      <c r="AU10038" s="10"/>
      <c r="AV10038" s="10"/>
      <c r="AW10038" s="10"/>
      <c r="AX10038" s="10"/>
      <c r="AY10038" s="10"/>
      <c r="AZ10038" s="10"/>
    </row>
    <row r="10039" spans="31:52">
      <c r="AE10039" s="10"/>
      <c r="AF10039" s="10"/>
      <c r="AG10039" s="10"/>
      <c r="AH10039" s="10"/>
      <c r="AI10039" s="10"/>
      <c r="AJ10039" s="10"/>
      <c r="AK10039" s="10"/>
      <c r="AL10039" s="10"/>
      <c r="AM10039" s="10"/>
      <c r="AN10039" s="10"/>
      <c r="AO10039" s="10"/>
      <c r="AP10039" s="10"/>
      <c r="AQ10039" s="10"/>
      <c r="AR10039" s="10"/>
      <c r="AS10039" s="10"/>
      <c r="AT10039" s="10"/>
      <c r="AU10039" s="10"/>
      <c r="AV10039" s="10"/>
      <c r="AW10039" s="10"/>
      <c r="AX10039" s="10"/>
      <c r="AY10039" s="10"/>
      <c r="AZ10039" s="10"/>
    </row>
    <row r="10040" spans="31:52">
      <c r="AE10040" s="10"/>
      <c r="AF10040" s="10"/>
      <c r="AG10040" s="10"/>
      <c r="AH10040" s="10"/>
      <c r="AI10040" s="10"/>
      <c r="AJ10040" s="10"/>
      <c r="AK10040" s="10"/>
      <c r="AL10040" s="10"/>
      <c r="AM10040" s="10"/>
      <c r="AN10040" s="10"/>
      <c r="AO10040" s="10"/>
      <c r="AP10040" s="10"/>
      <c r="AQ10040" s="10"/>
      <c r="AR10040" s="10"/>
      <c r="AS10040" s="10"/>
      <c r="AT10040" s="10"/>
      <c r="AU10040" s="10"/>
      <c r="AV10040" s="10"/>
      <c r="AW10040" s="10"/>
      <c r="AX10040" s="10"/>
      <c r="AY10040" s="10"/>
      <c r="AZ10040" s="10"/>
    </row>
    <row r="10041" spans="31:52">
      <c r="AE10041" s="10"/>
      <c r="AF10041" s="10"/>
      <c r="AG10041" s="10"/>
      <c r="AH10041" s="10"/>
      <c r="AI10041" s="10"/>
      <c r="AJ10041" s="10"/>
      <c r="AK10041" s="10"/>
      <c r="AL10041" s="10"/>
      <c r="AM10041" s="10"/>
      <c r="AN10041" s="10"/>
      <c r="AO10041" s="10"/>
      <c r="AP10041" s="10"/>
      <c r="AQ10041" s="10"/>
      <c r="AR10041" s="10"/>
      <c r="AS10041" s="10"/>
      <c r="AT10041" s="10"/>
      <c r="AU10041" s="10"/>
      <c r="AV10041" s="10"/>
      <c r="AW10041" s="10"/>
      <c r="AX10041" s="10"/>
      <c r="AY10041" s="10"/>
      <c r="AZ10041" s="10"/>
    </row>
    <row r="10042" spans="31:52">
      <c r="AE10042" s="10"/>
      <c r="AF10042" s="10"/>
      <c r="AG10042" s="10"/>
      <c r="AH10042" s="10"/>
      <c r="AI10042" s="10"/>
      <c r="AJ10042" s="10"/>
      <c r="AK10042" s="10"/>
      <c r="AL10042" s="10"/>
      <c r="AM10042" s="10"/>
      <c r="AN10042" s="10"/>
      <c r="AO10042" s="10"/>
      <c r="AP10042" s="10"/>
      <c r="AQ10042" s="10"/>
      <c r="AR10042" s="10"/>
      <c r="AS10042" s="10"/>
      <c r="AT10042" s="10"/>
      <c r="AU10042" s="10"/>
      <c r="AV10042" s="10"/>
      <c r="AW10042" s="10"/>
      <c r="AX10042" s="10"/>
      <c r="AY10042" s="10"/>
      <c r="AZ10042" s="10"/>
    </row>
    <row r="10043" spans="31:52">
      <c r="AE10043" s="10"/>
      <c r="AF10043" s="10"/>
      <c r="AG10043" s="10"/>
      <c r="AH10043" s="10"/>
      <c r="AI10043" s="10"/>
      <c r="AJ10043" s="10"/>
      <c r="AK10043" s="10"/>
      <c r="AL10043" s="10"/>
      <c r="AM10043" s="10"/>
      <c r="AN10043" s="10"/>
      <c r="AO10043" s="10"/>
      <c r="AP10043" s="10"/>
      <c r="AQ10043" s="10"/>
      <c r="AR10043" s="10"/>
      <c r="AS10043" s="10"/>
      <c r="AT10043" s="10"/>
      <c r="AU10043" s="10"/>
      <c r="AV10043" s="10"/>
      <c r="AW10043" s="10"/>
      <c r="AX10043" s="10"/>
      <c r="AY10043" s="10"/>
      <c r="AZ10043" s="10"/>
    </row>
    <row r="10044" spans="31:52">
      <c r="AE10044" s="10"/>
      <c r="AF10044" s="10"/>
      <c r="AG10044" s="10"/>
      <c r="AH10044" s="10"/>
      <c r="AI10044" s="10"/>
      <c r="AJ10044" s="10"/>
      <c r="AK10044" s="10"/>
      <c r="AL10044" s="10"/>
      <c r="AM10044" s="10"/>
      <c r="AN10044" s="10"/>
      <c r="AO10044" s="10"/>
      <c r="AP10044" s="10"/>
      <c r="AQ10044" s="10"/>
      <c r="AR10044" s="10"/>
      <c r="AS10044" s="10"/>
      <c r="AT10044" s="10"/>
      <c r="AU10044" s="10"/>
      <c r="AV10044" s="10"/>
      <c r="AW10044" s="10"/>
      <c r="AX10044" s="10"/>
      <c r="AY10044" s="10"/>
      <c r="AZ10044" s="10"/>
    </row>
    <row r="10045" spans="31:52">
      <c r="AE10045" s="10"/>
      <c r="AF10045" s="10"/>
      <c r="AG10045" s="10"/>
      <c r="AH10045" s="10"/>
      <c r="AI10045" s="10"/>
      <c r="AJ10045" s="10"/>
      <c r="AK10045" s="10"/>
      <c r="AL10045" s="10"/>
      <c r="AM10045" s="10"/>
      <c r="AN10045" s="10"/>
      <c r="AO10045" s="10"/>
      <c r="AP10045" s="10"/>
      <c r="AQ10045" s="10"/>
      <c r="AR10045" s="10"/>
      <c r="AS10045" s="10"/>
      <c r="AT10045" s="10"/>
      <c r="AU10045" s="10"/>
      <c r="AV10045" s="10"/>
      <c r="AW10045" s="10"/>
      <c r="AX10045" s="10"/>
      <c r="AY10045" s="10"/>
      <c r="AZ10045" s="10"/>
    </row>
    <row r="10046" spans="31:52">
      <c r="AE10046" s="10"/>
      <c r="AF10046" s="10"/>
      <c r="AG10046" s="10"/>
      <c r="AH10046" s="10"/>
      <c r="AI10046" s="10"/>
      <c r="AJ10046" s="10"/>
      <c r="AK10046" s="10"/>
      <c r="AL10046" s="10"/>
      <c r="AM10046" s="10"/>
      <c r="AN10046" s="10"/>
      <c r="AO10046" s="10"/>
      <c r="AP10046" s="10"/>
      <c r="AQ10046" s="10"/>
      <c r="AR10046" s="10"/>
      <c r="AS10046" s="10"/>
      <c r="AT10046" s="10"/>
      <c r="AU10046" s="10"/>
      <c r="AV10046" s="10"/>
      <c r="AW10046" s="10"/>
      <c r="AX10046" s="10"/>
      <c r="AY10046" s="10"/>
      <c r="AZ10046" s="10"/>
    </row>
    <row r="10047" spans="31:52">
      <c r="AE10047" s="10"/>
      <c r="AF10047" s="10"/>
      <c r="AG10047" s="10"/>
      <c r="AH10047" s="10"/>
      <c r="AI10047" s="10"/>
      <c r="AJ10047" s="10"/>
      <c r="AK10047" s="10"/>
      <c r="AL10047" s="10"/>
      <c r="AM10047" s="10"/>
      <c r="AN10047" s="10"/>
      <c r="AO10047" s="10"/>
      <c r="AP10047" s="10"/>
      <c r="AQ10047" s="10"/>
      <c r="AR10047" s="10"/>
      <c r="AS10047" s="10"/>
      <c r="AT10047" s="10"/>
      <c r="AU10047" s="10"/>
      <c r="AV10047" s="10"/>
      <c r="AW10047" s="10"/>
      <c r="AX10047" s="10"/>
      <c r="AY10047" s="10"/>
      <c r="AZ10047" s="10"/>
    </row>
    <row r="10048" spans="31:52">
      <c r="AE10048" s="10"/>
      <c r="AF10048" s="10"/>
      <c r="AG10048" s="10"/>
      <c r="AH10048" s="10"/>
      <c r="AI10048" s="10"/>
      <c r="AJ10048" s="10"/>
      <c r="AK10048" s="10"/>
      <c r="AL10048" s="10"/>
      <c r="AM10048" s="10"/>
      <c r="AN10048" s="10"/>
      <c r="AO10048" s="10"/>
      <c r="AP10048" s="10"/>
      <c r="AQ10048" s="10"/>
      <c r="AR10048" s="10"/>
      <c r="AS10048" s="10"/>
      <c r="AT10048" s="10"/>
      <c r="AU10048" s="10"/>
      <c r="AV10048" s="10"/>
      <c r="AW10048" s="10"/>
      <c r="AX10048" s="10"/>
      <c r="AY10048" s="10"/>
      <c r="AZ10048" s="10"/>
    </row>
    <row r="10049" spans="31:52">
      <c r="AE10049" s="10"/>
      <c r="AF10049" s="10"/>
      <c r="AG10049" s="10"/>
      <c r="AH10049" s="10"/>
      <c r="AI10049" s="10"/>
      <c r="AJ10049" s="10"/>
      <c r="AK10049" s="10"/>
      <c r="AL10049" s="10"/>
      <c r="AM10049" s="10"/>
      <c r="AN10049" s="10"/>
      <c r="AO10049" s="10"/>
      <c r="AP10049" s="10"/>
      <c r="AQ10049" s="10"/>
      <c r="AR10049" s="10"/>
      <c r="AS10049" s="10"/>
      <c r="AT10049" s="10"/>
      <c r="AU10049" s="10"/>
      <c r="AV10049" s="10"/>
      <c r="AW10049" s="10"/>
      <c r="AX10049" s="10"/>
      <c r="AY10049" s="10"/>
      <c r="AZ10049" s="10"/>
    </row>
    <row r="10050" spans="31:52">
      <c r="AE10050" s="10"/>
      <c r="AF10050" s="10"/>
      <c r="AG10050" s="10"/>
      <c r="AH10050" s="10"/>
      <c r="AI10050" s="10"/>
      <c r="AJ10050" s="10"/>
      <c r="AK10050" s="10"/>
      <c r="AL10050" s="10"/>
      <c r="AM10050" s="10"/>
      <c r="AN10050" s="10"/>
      <c r="AO10050" s="10"/>
      <c r="AP10050" s="10"/>
      <c r="AQ10050" s="10"/>
      <c r="AR10050" s="10"/>
      <c r="AS10050" s="10"/>
      <c r="AT10050" s="10"/>
      <c r="AU10050" s="10"/>
      <c r="AV10050" s="10"/>
      <c r="AW10050" s="10"/>
      <c r="AX10050" s="10"/>
      <c r="AY10050" s="10"/>
      <c r="AZ10050" s="10"/>
    </row>
    <row r="10051" spans="31:52">
      <c r="AE10051" s="10"/>
      <c r="AF10051" s="10"/>
      <c r="AG10051" s="10"/>
      <c r="AH10051" s="10"/>
      <c r="AI10051" s="10"/>
      <c r="AJ10051" s="10"/>
      <c r="AK10051" s="10"/>
      <c r="AL10051" s="10"/>
      <c r="AM10051" s="10"/>
      <c r="AN10051" s="10"/>
      <c r="AO10051" s="10"/>
      <c r="AP10051" s="10"/>
      <c r="AQ10051" s="10"/>
      <c r="AR10051" s="10"/>
      <c r="AS10051" s="10"/>
      <c r="AT10051" s="10"/>
      <c r="AU10051" s="10"/>
      <c r="AV10051" s="10"/>
      <c r="AW10051" s="10"/>
      <c r="AX10051" s="10"/>
      <c r="AY10051" s="10"/>
      <c r="AZ10051" s="10"/>
    </row>
    <row r="10052" spans="31:52">
      <c r="AE10052" s="10"/>
      <c r="AF10052" s="10"/>
      <c r="AG10052" s="10"/>
      <c r="AH10052" s="10"/>
      <c r="AI10052" s="10"/>
      <c r="AJ10052" s="10"/>
      <c r="AK10052" s="10"/>
      <c r="AL10052" s="10"/>
      <c r="AM10052" s="10"/>
      <c r="AN10052" s="10"/>
      <c r="AO10052" s="10"/>
      <c r="AP10052" s="10"/>
      <c r="AQ10052" s="10"/>
      <c r="AR10052" s="10"/>
      <c r="AS10052" s="10"/>
      <c r="AT10052" s="10"/>
      <c r="AU10052" s="10"/>
      <c r="AV10052" s="10"/>
      <c r="AW10052" s="10"/>
      <c r="AX10052" s="10"/>
      <c r="AY10052" s="10"/>
      <c r="AZ10052" s="10"/>
    </row>
    <row r="10053" spans="31:52">
      <c r="AE10053" s="10"/>
      <c r="AF10053" s="10"/>
      <c r="AG10053" s="10"/>
      <c r="AH10053" s="10"/>
      <c r="AI10053" s="10"/>
      <c r="AJ10053" s="10"/>
      <c r="AK10053" s="10"/>
      <c r="AL10053" s="10"/>
      <c r="AM10053" s="10"/>
      <c r="AN10053" s="10"/>
      <c r="AO10053" s="10"/>
      <c r="AP10053" s="10"/>
      <c r="AQ10053" s="10"/>
      <c r="AR10053" s="10"/>
      <c r="AS10053" s="10"/>
      <c r="AT10053" s="10"/>
      <c r="AU10053" s="10"/>
      <c r="AV10053" s="10"/>
      <c r="AW10053" s="10"/>
      <c r="AX10053" s="10"/>
      <c r="AY10053" s="10"/>
      <c r="AZ10053" s="10"/>
    </row>
    <row r="10054" spans="31:52">
      <c r="AE10054" s="10"/>
      <c r="AF10054" s="10"/>
      <c r="AG10054" s="10"/>
      <c r="AH10054" s="10"/>
      <c r="AI10054" s="10"/>
      <c r="AJ10054" s="10"/>
      <c r="AK10054" s="10"/>
      <c r="AL10054" s="10"/>
      <c r="AM10054" s="10"/>
      <c r="AN10054" s="10"/>
      <c r="AO10054" s="10"/>
      <c r="AP10054" s="10"/>
      <c r="AQ10054" s="10"/>
      <c r="AR10054" s="10"/>
      <c r="AS10054" s="10"/>
      <c r="AT10054" s="10"/>
      <c r="AU10054" s="10"/>
      <c r="AV10054" s="10"/>
      <c r="AW10054" s="10"/>
      <c r="AX10054" s="10"/>
      <c r="AY10054" s="10"/>
      <c r="AZ10054" s="10"/>
    </row>
    <row r="10055" spans="31:52">
      <c r="AE10055" s="10"/>
      <c r="AF10055" s="10"/>
      <c r="AG10055" s="10"/>
      <c r="AH10055" s="10"/>
      <c r="AI10055" s="10"/>
      <c r="AJ10055" s="10"/>
      <c r="AK10055" s="10"/>
      <c r="AL10055" s="10"/>
      <c r="AM10055" s="10"/>
      <c r="AN10055" s="10"/>
      <c r="AO10055" s="10"/>
      <c r="AP10055" s="10"/>
      <c r="AQ10055" s="10"/>
      <c r="AR10055" s="10"/>
      <c r="AS10055" s="10"/>
      <c r="AT10055" s="10"/>
      <c r="AU10055" s="10"/>
      <c r="AV10055" s="10"/>
      <c r="AW10055" s="10"/>
      <c r="AX10055" s="10"/>
      <c r="AY10055" s="10"/>
      <c r="AZ10055" s="10"/>
    </row>
    <row r="10056" spans="31:52">
      <c r="AE10056" s="10"/>
      <c r="AF10056" s="10"/>
      <c r="AG10056" s="10"/>
      <c r="AH10056" s="10"/>
      <c r="AI10056" s="10"/>
      <c r="AJ10056" s="10"/>
      <c r="AK10056" s="10"/>
      <c r="AL10056" s="10"/>
      <c r="AM10056" s="10"/>
      <c r="AN10056" s="10"/>
      <c r="AO10056" s="10"/>
      <c r="AP10056" s="10"/>
      <c r="AQ10056" s="10"/>
      <c r="AR10056" s="10"/>
      <c r="AS10056" s="10"/>
      <c r="AT10056" s="10"/>
      <c r="AU10056" s="10"/>
      <c r="AV10056" s="10"/>
      <c r="AW10056" s="10"/>
      <c r="AX10056" s="10"/>
      <c r="AY10056" s="10"/>
      <c r="AZ10056" s="10"/>
    </row>
    <row r="10057" spans="31:52">
      <c r="AE10057" s="10"/>
      <c r="AF10057" s="10"/>
      <c r="AG10057" s="10"/>
      <c r="AH10057" s="10"/>
      <c r="AI10057" s="10"/>
      <c r="AJ10057" s="10"/>
      <c r="AK10057" s="10"/>
      <c r="AL10057" s="10"/>
      <c r="AM10057" s="10"/>
      <c r="AN10057" s="10"/>
      <c r="AO10057" s="10"/>
      <c r="AP10057" s="10"/>
      <c r="AQ10057" s="10"/>
      <c r="AR10057" s="10"/>
      <c r="AS10057" s="10"/>
      <c r="AT10057" s="10"/>
      <c r="AU10057" s="10"/>
      <c r="AV10057" s="10"/>
      <c r="AW10057" s="10"/>
      <c r="AX10057" s="10"/>
      <c r="AY10057" s="10"/>
      <c r="AZ10057" s="10"/>
    </row>
    <row r="10058" spans="31:52">
      <c r="AE10058" s="10"/>
      <c r="AF10058" s="10"/>
      <c r="AG10058" s="10"/>
      <c r="AH10058" s="10"/>
      <c r="AI10058" s="10"/>
      <c r="AJ10058" s="10"/>
      <c r="AK10058" s="10"/>
      <c r="AL10058" s="10"/>
      <c r="AM10058" s="10"/>
      <c r="AN10058" s="10"/>
      <c r="AO10058" s="10"/>
      <c r="AP10058" s="10"/>
      <c r="AQ10058" s="10"/>
      <c r="AR10058" s="10"/>
      <c r="AS10058" s="10"/>
      <c r="AT10058" s="10"/>
      <c r="AU10058" s="10"/>
      <c r="AV10058" s="10"/>
      <c r="AW10058" s="10"/>
      <c r="AX10058" s="10"/>
      <c r="AY10058" s="10"/>
      <c r="AZ10058" s="10"/>
    </row>
    <row r="10059" spans="31:52">
      <c r="AE10059" s="10"/>
      <c r="AF10059" s="10"/>
      <c r="AG10059" s="10"/>
      <c r="AH10059" s="10"/>
      <c r="AI10059" s="10"/>
      <c r="AJ10059" s="10"/>
      <c r="AK10059" s="10"/>
      <c r="AL10059" s="10"/>
      <c r="AM10059" s="10"/>
      <c r="AN10059" s="10"/>
      <c r="AO10059" s="10"/>
      <c r="AP10059" s="10"/>
      <c r="AQ10059" s="10"/>
      <c r="AR10059" s="10"/>
      <c r="AS10059" s="10"/>
      <c r="AT10059" s="10"/>
      <c r="AU10059" s="10"/>
      <c r="AV10059" s="10"/>
      <c r="AW10059" s="10"/>
      <c r="AX10059" s="10"/>
      <c r="AY10059" s="10"/>
      <c r="AZ10059" s="10"/>
    </row>
    <row r="10060" spans="31:52">
      <c r="AE10060" s="10"/>
      <c r="AF10060" s="10"/>
      <c r="AG10060" s="10"/>
      <c r="AH10060" s="10"/>
      <c r="AI10060" s="10"/>
      <c r="AJ10060" s="10"/>
      <c r="AK10060" s="10"/>
      <c r="AL10060" s="10"/>
      <c r="AM10060" s="10"/>
      <c r="AN10060" s="10"/>
      <c r="AO10060" s="10"/>
      <c r="AP10060" s="10"/>
      <c r="AQ10060" s="10"/>
      <c r="AR10060" s="10"/>
      <c r="AS10060" s="10"/>
      <c r="AT10060" s="10"/>
      <c r="AU10060" s="10"/>
      <c r="AV10060" s="10"/>
      <c r="AW10060" s="10"/>
      <c r="AX10060" s="10"/>
      <c r="AY10060" s="10"/>
      <c r="AZ10060" s="10"/>
    </row>
    <row r="10061" spans="31:52">
      <c r="AE10061" s="10"/>
      <c r="AF10061" s="10"/>
      <c r="AG10061" s="10"/>
      <c r="AH10061" s="10"/>
      <c r="AI10061" s="10"/>
      <c r="AJ10061" s="10"/>
      <c r="AK10061" s="10"/>
      <c r="AL10061" s="10"/>
      <c r="AM10061" s="10"/>
      <c r="AN10061" s="10"/>
      <c r="AO10061" s="10"/>
      <c r="AP10061" s="10"/>
      <c r="AQ10061" s="10"/>
      <c r="AR10061" s="10"/>
      <c r="AS10061" s="10"/>
      <c r="AT10061" s="10"/>
      <c r="AU10061" s="10"/>
      <c r="AV10061" s="10"/>
      <c r="AW10061" s="10"/>
      <c r="AX10061" s="10"/>
      <c r="AY10061" s="10"/>
      <c r="AZ10061" s="10"/>
    </row>
    <row r="10062" spans="31:52">
      <c r="AE10062" s="10"/>
      <c r="AF10062" s="10"/>
      <c r="AG10062" s="10"/>
      <c r="AH10062" s="10"/>
      <c r="AI10062" s="10"/>
      <c r="AJ10062" s="10"/>
      <c r="AK10062" s="10"/>
      <c r="AL10062" s="10"/>
      <c r="AM10062" s="10"/>
      <c r="AN10062" s="10"/>
      <c r="AO10062" s="10"/>
      <c r="AP10062" s="10"/>
      <c r="AQ10062" s="10"/>
      <c r="AR10062" s="10"/>
      <c r="AS10062" s="10"/>
      <c r="AT10062" s="10"/>
      <c r="AU10062" s="10"/>
      <c r="AV10062" s="10"/>
      <c r="AW10062" s="10"/>
      <c r="AX10062" s="10"/>
      <c r="AY10062" s="10"/>
      <c r="AZ10062" s="10"/>
    </row>
    <row r="10063" spans="31:52">
      <c r="AE10063" s="10"/>
      <c r="AF10063" s="10"/>
      <c r="AG10063" s="10"/>
      <c r="AH10063" s="10"/>
      <c r="AI10063" s="10"/>
      <c r="AJ10063" s="10"/>
      <c r="AK10063" s="10"/>
      <c r="AL10063" s="10"/>
      <c r="AM10063" s="10"/>
      <c r="AN10063" s="10"/>
      <c r="AO10063" s="10"/>
      <c r="AP10063" s="10"/>
      <c r="AQ10063" s="10"/>
      <c r="AR10063" s="10"/>
      <c r="AS10063" s="10"/>
      <c r="AT10063" s="10"/>
      <c r="AU10063" s="10"/>
      <c r="AV10063" s="10"/>
      <c r="AW10063" s="10"/>
      <c r="AX10063" s="10"/>
      <c r="AY10063" s="10"/>
      <c r="AZ10063" s="10"/>
    </row>
    <row r="10064" spans="31:52">
      <c r="AE10064" s="10"/>
      <c r="AF10064" s="10"/>
      <c r="AG10064" s="10"/>
      <c r="AH10064" s="10"/>
      <c r="AI10064" s="10"/>
      <c r="AJ10064" s="10"/>
      <c r="AK10064" s="10"/>
      <c r="AL10064" s="10"/>
      <c r="AM10064" s="10"/>
      <c r="AN10064" s="10"/>
      <c r="AO10064" s="10"/>
      <c r="AP10064" s="10"/>
      <c r="AQ10064" s="10"/>
      <c r="AR10064" s="10"/>
      <c r="AS10064" s="10"/>
      <c r="AT10064" s="10"/>
      <c r="AU10064" s="10"/>
      <c r="AV10064" s="10"/>
      <c r="AW10064" s="10"/>
      <c r="AX10064" s="10"/>
      <c r="AY10064" s="10"/>
      <c r="AZ10064" s="10"/>
    </row>
    <row r="10065" spans="31:52">
      <c r="AE10065" s="10"/>
      <c r="AF10065" s="10"/>
      <c r="AG10065" s="10"/>
      <c r="AH10065" s="10"/>
      <c r="AI10065" s="10"/>
      <c r="AJ10065" s="10"/>
      <c r="AK10065" s="10"/>
      <c r="AL10065" s="10"/>
      <c r="AM10065" s="10"/>
      <c r="AN10065" s="10"/>
      <c r="AO10065" s="10"/>
      <c r="AP10065" s="10"/>
      <c r="AQ10065" s="10"/>
      <c r="AR10065" s="10"/>
      <c r="AS10065" s="10"/>
      <c r="AT10065" s="10"/>
      <c r="AU10065" s="10"/>
      <c r="AV10065" s="10"/>
      <c r="AW10065" s="10"/>
      <c r="AX10065" s="10"/>
      <c r="AY10065" s="10"/>
      <c r="AZ10065" s="10"/>
    </row>
    <row r="10066" spans="31:52">
      <c r="AE10066" s="10"/>
      <c r="AF10066" s="10"/>
      <c r="AG10066" s="10"/>
      <c r="AH10066" s="10"/>
      <c r="AI10066" s="10"/>
      <c r="AJ10066" s="10"/>
      <c r="AK10066" s="10"/>
      <c r="AL10066" s="10"/>
      <c r="AM10066" s="10"/>
      <c r="AN10066" s="10"/>
      <c r="AO10066" s="10"/>
      <c r="AP10066" s="10"/>
      <c r="AQ10066" s="10"/>
      <c r="AR10066" s="10"/>
      <c r="AS10066" s="10"/>
      <c r="AT10066" s="10"/>
      <c r="AU10066" s="10"/>
      <c r="AV10066" s="10"/>
      <c r="AW10066" s="10"/>
      <c r="AX10066" s="10"/>
      <c r="AY10066" s="10"/>
      <c r="AZ10066" s="10"/>
    </row>
    <row r="10067" spans="31:52">
      <c r="AE10067" s="10"/>
      <c r="AF10067" s="10"/>
      <c r="AG10067" s="10"/>
      <c r="AH10067" s="10"/>
      <c r="AI10067" s="10"/>
      <c r="AJ10067" s="10"/>
      <c r="AK10067" s="10"/>
      <c r="AL10067" s="10"/>
      <c r="AM10067" s="10"/>
      <c r="AN10067" s="10"/>
      <c r="AO10067" s="10"/>
      <c r="AP10067" s="10"/>
      <c r="AQ10067" s="10"/>
      <c r="AR10067" s="10"/>
      <c r="AS10067" s="10"/>
      <c r="AT10067" s="10"/>
      <c r="AU10067" s="10"/>
      <c r="AV10067" s="10"/>
      <c r="AW10067" s="10"/>
      <c r="AX10067" s="10"/>
      <c r="AY10067" s="10"/>
      <c r="AZ10067" s="10"/>
    </row>
    <row r="10068" spans="31:52">
      <c r="AE10068" s="10"/>
      <c r="AF10068" s="10"/>
      <c r="AG10068" s="10"/>
      <c r="AH10068" s="10"/>
      <c r="AI10068" s="10"/>
      <c r="AJ10068" s="10"/>
      <c r="AK10068" s="10"/>
      <c r="AL10068" s="10"/>
      <c r="AM10068" s="10"/>
      <c r="AN10068" s="10"/>
      <c r="AO10068" s="10"/>
      <c r="AP10068" s="10"/>
      <c r="AQ10068" s="10"/>
      <c r="AR10068" s="10"/>
      <c r="AS10068" s="10"/>
      <c r="AT10068" s="10"/>
      <c r="AU10068" s="10"/>
      <c r="AV10068" s="10"/>
      <c r="AW10068" s="10"/>
      <c r="AX10068" s="10"/>
      <c r="AY10068" s="10"/>
      <c r="AZ10068" s="10"/>
    </row>
    <row r="10069" spans="31:52">
      <c r="AE10069" s="10"/>
      <c r="AF10069" s="10"/>
      <c r="AG10069" s="10"/>
      <c r="AH10069" s="10"/>
      <c r="AI10069" s="10"/>
      <c r="AJ10069" s="10"/>
      <c r="AK10069" s="10"/>
      <c r="AL10069" s="10"/>
      <c r="AM10069" s="10"/>
      <c r="AN10069" s="10"/>
      <c r="AO10069" s="10"/>
      <c r="AP10069" s="10"/>
      <c r="AQ10069" s="10"/>
      <c r="AR10069" s="10"/>
      <c r="AS10069" s="10"/>
      <c r="AT10069" s="10"/>
      <c r="AU10069" s="10"/>
      <c r="AV10069" s="10"/>
      <c r="AW10069" s="10"/>
      <c r="AX10069" s="10"/>
      <c r="AY10069" s="10"/>
      <c r="AZ10069" s="10"/>
    </row>
    <row r="10070" spans="31:52">
      <c r="AE10070" s="10"/>
      <c r="AF10070" s="10"/>
      <c r="AG10070" s="10"/>
      <c r="AH10070" s="10"/>
      <c r="AI10070" s="10"/>
      <c r="AJ10070" s="10"/>
      <c r="AK10070" s="10"/>
      <c r="AL10070" s="10"/>
      <c r="AM10070" s="10"/>
      <c r="AN10070" s="10"/>
      <c r="AO10070" s="10"/>
      <c r="AP10070" s="10"/>
      <c r="AQ10070" s="10"/>
      <c r="AR10070" s="10"/>
      <c r="AS10070" s="10"/>
      <c r="AT10070" s="10"/>
      <c r="AU10070" s="10"/>
      <c r="AV10070" s="10"/>
      <c r="AW10070" s="10"/>
      <c r="AX10070" s="10"/>
      <c r="AY10070" s="10"/>
      <c r="AZ10070" s="10"/>
    </row>
    <row r="10071" spans="31:52">
      <c r="AE10071" s="10"/>
      <c r="AF10071" s="10"/>
      <c r="AG10071" s="10"/>
      <c r="AH10071" s="10"/>
      <c r="AI10071" s="10"/>
      <c r="AJ10071" s="10"/>
      <c r="AK10071" s="10"/>
      <c r="AL10071" s="10"/>
      <c r="AM10071" s="10"/>
      <c r="AN10071" s="10"/>
      <c r="AO10071" s="10"/>
      <c r="AP10071" s="10"/>
      <c r="AQ10071" s="10"/>
      <c r="AR10071" s="10"/>
      <c r="AS10071" s="10"/>
      <c r="AT10071" s="10"/>
      <c r="AU10071" s="10"/>
      <c r="AV10071" s="10"/>
      <c r="AW10071" s="10"/>
      <c r="AX10071" s="10"/>
      <c r="AY10071" s="10"/>
      <c r="AZ10071" s="10"/>
    </row>
    <row r="10072" spans="31:52">
      <c r="AE10072" s="10"/>
      <c r="AF10072" s="10"/>
      <c r="AG10072" s="10"/>
      <c r="AH10072" s="10"/>
      <c r="AI10072" s="10"/>
      <c r="AJ10072" s="10"/>
      <c r="AK10072" s="10"/>
      <c r="AL10072" s="10"/>
      <c r="AM10072" s="10"/>
      <c r="AN10072" s="10"/>
      <c r="AO10072" s="10"/>
      <c r="AP10072" s="10"/>
      <c r="AQ10072" s="10"/>
      <c r="AR10072" s="10"/>
      <c r="AS10072" s="10"/>
      <c r="AT10072" s="10"/>
      <c r="AU10072" s="10"/>
      <c r="AV10072" s="10"/>
      <c r="AW10072" s="10"/>
      <c r="AX10072" s="10"/>
      <c r="AY10072" s="10"/>
      <c r="AZ10072" s="10"/>
    </row>
    <row r="10073" spans="31:52">
      <c r="AE10073" s="10"/>
      <c r="AF10073" s="10"/>
      <c r="AG10073" s="10"/>
      <c r="AH10073" s="10"/>
      <c r="AI10073" s="10"/>
      <c r="AJ10073" s="10"/>
      <c r="AK10073" s="10"/>
      <c r="AL10073" s="10"/>
      <c r="AM10073" s="10"/>
      <c r="AN10073" s="10"/>
      <c r="AO10073" s="10"/>
      <c r="AP10073" s="10"/>
      <c r="AQ10073" s="10"/>
      <c r="AR10073" s="10"/>
      <c r="AS10073" s="10"/>
      <c r="AT10073" s="10"/>
      <c r="AU10073" s="10"/>
      <c r="AV10073" s="10"/>
      <c r="AW10073" s="10"/>
      <c r="AX10073" s="10"/>
      <c r="AY10073" s="10"/>
      <c r="AZ10073" s="10"/>
    </row>
    <row r="10074" spans="31:52">
      <c r="AE10074" s="10"/>
      <c r="AF10074" s="10"/>
      <c r="AG10074" s="10"/>
      <c r="AH10074" s="10"/>
      <c r="AI10074" s="10"/>
      <c r="AJ10074" s="10"/>
      <c r="AK10074" s="10"/>
      <c r="AL10074" s="10"/>
      <c r="AM10074" s="10"/>
      <c r="AN10074" s="10"/>
      <c r="AO10074" s="10"/>
      <c r="AP10074" s="10"/>
      <c r="AQ10074" s="10"/>
      <c r="AR10074" s="10"/>
      <c r="AS10074" s="10"/>
      <c r="AT10074" s="10"/>
      <c r="AU10074" s="10"/>
      <c r="AV10074" s="10"/>
      <c r="AW10074" s="10"/>
      <c r="AX10074" s="10"/>
      <c r="AY10074" s="10"/>
      <c r="AZ10074" s="10"/>
    </row>
    <row r="10075" spans="31:52">
      <c r="AE10075" s="10"/>
      <c r="AF10075" s="10"/>
      <c r="AG10075" s="10"/>
      <c r="AH10075" s="10"/>
      <c r="AI10075" s="10"/>
      <c r="AJ10075" s="10"/>
      <c r="AK10075" s="10"/>
      <c r="AL10075" s="10"/>
      <c r="AM10075" s="10"/>
      <c r="AN10075" s="10"/>
      <c r="AO10075" s="10"/>
      <c r="AP10075" s="10"/>
      <c r="AQ10075" s="10"/>
      <c r="AR10075" s="10"/>
      <c r="AS10075" s="10"/>
      <c r="AT10075" s="10"/>
      <c r="AU10075" s="10"/>
      <c r="AV10075" s="10"/>
      <c r="AW10075" s="10"/>
      <c r="AX10075" s="10"/>
      <c r="AY10075" s="10"/>
      <c r="AZ10075" s="10"/>
    </row>
    <row r="10076" spans="31:52">
      <c r="AE10076" s="10"/>
      <c r="AF10076" s="10"/>
      <c r="AG10076" s="10"/>
      <c r="AH10076" s="10"/>
      <c r="AI10076" s="10"/>
      <c r="AJ10076" s="10"/>
      <c r="AK10076" s="10"/>
      <c r="AL10076" s="10"/>
      <c r="AM10076" s="10"/>
      <c r="AN10076" s="10"/>
      <c r="AO10076" s="10"/>
      <c r="AP10076" s="10"/>
      <c r="AQ10076" s="10"/>
      <c r="AR10076" s="10"/>
      <c r="AS10076" s="10"/>
      <c r="AT10076" s="10"/>
      <c r="AU10076" s="10"/>
      <c r="AV10076" s="10"/>
      <c r="AW10076" s="10"/>
      <c r="AX10076" s="10"/>
      <c r="AY10076" s="10"/>
      <c r="AZ10076" s="10"/>
    </row>
    <row r="10077" spans="31:52">
      <c r="AE10077" s="10"/>
      <c r="AF10077" s="10"/>
      <c r="AG10077" s="10"/>
      <c r="AH10077" s="10"/>
      <c r="AI10077" s="10"/>
      <c r="AJ10077" s="10"/>
      <c r="AK10077" s="10"/>
      <c r="AL10077" s="10"/>
      <c r="AM10077" s="10"/>
      <c r="AN10077" s="10"/>
      <c r="AO10077" s="10"/>
      <c r="AP10077" s="10"/>
      <c r="AQ10077" s="10"/>
      <c r="AR10077" s="10"/>
      <c r="AS10077" s="10"/>
      <c r="AT10077" s="10"/>
      <c r="AU10077" s="10"/>
      <c r="AV10077" s="10"/>
      <c r="AW10077" s="10"/>
      <c r="AX10077" s="10"/>
      <c r="AY10077" s="10"/>
      <c r="AZ10077" s="10"/>
    </row>
    <row r="10078" spans="31:52">
      <c r="AE10078" s="10"/>
      <c r="AF10078" s="10"/>
      <c r="AG10078" s="10"/>
      <c r="AH10078" s="10"/>
      <c r="AI10078" s="10"/>
      <c r="AJ10078" s="10"/>
      <c r="AK10078" s="10"/>
      <c r="AL10078" s="10"/>
      <c r="AM10078" s="10"/>
      <c r="AN10078" s="10"/>
      <c r="AO10078" s="10"/>
      <c r="AP10078" s="10"/>
      <c r="AQ10078" s="10"/>
      <c r="AR10078" s="10"/>
      <c r="AS10078" s="10"/>
      <c r="AT10078" s="10"/>
      <c r="AU10078" s="10"/>
      <c r="AV10078" s="10"/>
      <c r="AW10078" s="10"/>
      <c r="AX10078" s="10"/>
      <c r="AY10078" s="10"/>
      <c r="AZ10078" s="10"/>
    </row>
    <row r="10079" spans="31:52">
      <c r="AE10079" s="10"/>
      <c r="AF10079" s="10"/>
      <c r="AG10079" s="10"/>
      <c r="AH10079" s="10"/>
      <c r="AI10079" s="10"/>
      <c r="AJ10079" s="10"/>
      <c r="AK10079" s="10"/>
      <c r="AL10079" s="10"/>
      <c r="AM10079" s="10"/>
      <c r="AN10079" s="10"/>
      <c r="AO10079" s="10"/>
      <c r="AP10079" s="10"/>
      <c r="AQ10079" s="10"/>
      <c r="AR10079" s="10"/>
      <c r="AS10079" s="10"/>
      <c r="AT10079" s="10"/>
      <c r="AU10079" s="10"/>
      <c r="AV10079" s="10"/>
      <c r="AW10079" s="10"/>
      <c r="AX10079" s="10"/>
      <c r="AY10079" s="10"/>
      <c r="AZ10079" s="10"/>
    </row>
    <row r="10080" spans="31:52">
      <c r="AE10080" s="10"/>
      <c r="AF10080" s="10"/>
      <c r="AG10080" s="10"/>
      <c r="AH10080" s="10"/>
      <c r="AI10080" s="10"/>
      <c r="AJ10080" s="10"/>
      <c r="AK10080" s="10"/>
      <c r="AL10080" s="10"/>
      <c r="AM10080" s="10"/>
      <c r="AN10080" s="10"/>
      <c r="AO10080" s="10"/>
      <c r="AP10080" s="10"/>
      <c r="AQ10080" s="10"/>
      <c r="AR10080" s="10"/>
      <c r="AS10080" s="10"/>
      <c r="AT10080" s="10"/>
      <c r="AU10080" s="10"/>
      <c r="AV10080" s="10"/>
      <c r="AW10080" s="10"/>
      <c r="AX10080" s="10"/>
      <c r="AY10080" s="10"/>
      <c r="AZ10080" s="10"/>
    </row>
    <row r="10081" spans="31:52">
      <c r="AE10081" s="10"/>
      <c r="AF10081" s="10"/>
      <c r="AG10081" s="10"/>
      <c r="AH10081" s="10"/>
      <c r="AI10081" s="10"/>
      <c r="AJ10081" s="10"/>
      <c r="AK10081" s="10"/>
      <c r="AL10081" s="10"/>
      <c r="AM10081" s="10"/>
      <c r="AN10081" s="10"/>
      <c r="AO10081" s="10"/>
      <c r="AP10081" s="10"/>
      <c r="AQ10081" s="10"/>
      <c r="AR10081" s="10"/>
      <c r="AS10081" s="10"/>
      <c r="AT10081" s="10"/>
      <c r="AU10081" s="10"/>
      <c r="AV10081" s="10"/>
      <c r="AW10081" s="10"/>
      <c r="AX10081" s="10"/>
      <c r="AY10081" s="10"/>
      <c r="AZ10081" s="10"/>
    </row>
    <row r="10082" spans="31:52">
      <c r="AE10082" s="10"/>
      <c r="AF10082" s="10"/>
      <c r="AG10082" s="10"/>
      <c r="AH10082" s="10"/>
      <c r="AI10082" s="10"/>
      <c r="AJ10082" s="10"/>
      <c r="AK10082" s="10"/>
      <c r="AL10082" s="10"/>
      <c r="AM10082" s="10"/>
      <c r="AN10082" s="10"/>
      <c r="AO10082" s="10"/>
      <c r="AP10082" s="10"/>
      <c r="AQ10082" s="10"/>
      <c r="AR10082" s="10"/>
      <c r="AS10082" s="10"/>
      <c r="AT10082" s="10"/>
      <c r="AU10082" s="10"/>
      <c r="AV10082" s="10"/>
      <c r="AW10082" s="10"/>
      <c r="AX10082" s="10"/>
      <c r="AY10082" s="10"/>
      <c r="AZ10082" s="10"/>
    </row>
    <row r="10083" spans="31:52">
      <c r="AE10083" s="10"/>
      <c r="AF10083" s="10"/>
      <c r="AG10083" s="10"/>
      <c r="AH10083" s="10"/>
      <c r="AI10083" s="10"/>
      <c r="AJ10083" s="10"/>
      <c r="AK10083" s="10"/>
      <c r="AL10083" s="10"/>
      <c r="AM10083" s="10"/>
      <c r="AN10083" s="10"/>
      <c r="AO10083" s="10"/>
      <c r="AP10083" s="10"/>
      <c r="AQ10083" s="10"/>
      <c r="AR10083" s="10"/>
      <c r="AS10083" s="10"/>
      <c r="AT10083" s="10"/>
      <c r="AU10083" s="10"/>
      <c r="AV10083" s="10"/>
      <c r="AW10083" s="10"/>
      <c r="AX10083" s="10"/>
      <c r="AY10083" s="10"/>
      <c r="AZ10083" s="10"/>
    </row>
    <row r="10084" spans="31:52">
      <c r="AE10084" s="10"/>
      <c r="AF10084" s="10"/>
      <c r="AG10084" s="10"/>
      <c r="AH10084" s="10"/>
      <c r="AI10084" s="10"/>
      <c r="AJ10084" s="10"/>
      <c r="AK10084" s="10"/>
      <c r="AL10084" s="10"/>
      <c r="AM10084" s="10"/>
      <c r="AN10084" s="10"/>
      <c r="AO10084" s="10"/>
      <c r="AP10084" s="10"/>
      <c r="AQ10084" s="10"/>
      <c r="AR10084" s="10"/>
      <c r="AS10084" s="10"/>
      <c r="AT10084" s="10"/>
      <c r="AU10084" s="10"/>
      <c r="AV10084" s="10"/>
      <c r="AW10084" s="10"/>
      <c r="AX10084" s="10"/>
      <c r="AY10084" s="10"/>
      <c r="AZ10084" s="10"/>
    </row>
    <row r="10085" spans="31:52">
      <c r="AE10085" s="10"/>
      <c r="AF10085" s="10"/>
      <c r="AG10085" s="10"/>
      <c r="AH10085" s="10"/>
      <c r="AI10085" s="10"/>
      <c r="AJ10085" s="10"/>
      <c r="AK10085" s="10"/>
      <c r="AL10085" s="10"/>
      <c r="AM10085" s="10"/>
      <c r="AN10085" s="10"/>
      <c r="AO10085" s="10"/>
      <c r="AP10085" s="10"/>
      <c r="AQ10085" s="10"/>
      <c r="AR10085" s="10"/>
      <c r="AS10085" s="10"/>
      <c r="AT10085" s="10"/>
      <c r="AU10085" s="10"/>
      <c r="AV10085" s="10"/>
      <c r="AW10085" s="10"/>
      <c r="AX10085" s="10"/>
      <c r="AY10085" s="10"/>
      <c r="AZ10085" s="10"/>
    </row>
    <row r="10086" spans="31:52">
      <c r="AE10086" s="10"/>
      <c r="AF10086" s="10"/>
      <c r="AG10086" s="10"/>
      <c r="AH10086" s="10"/>
      <c r="AI10086" s="10"/>
      <c r="AJ10086" s="10"/>
      <c r="AK10086" s="10"/>
      <c r="AL10086" s="10"/>
      <c r="AM10086" s="10"/>
      <c r="AN10086" s="10"/>
      <c r="AO10086" s="10"/>
      <c r="AP10086" s="10"/>
      <c r="AQ10086" s="10"/>
      <c r="AR10086" s="10"/>
      <c r="AS10086" s="10"/>
      <c r="AT10086" s="10"/>
      <c r="AU10086" s="10"/>
      <c r="AV10086" s="10"/>
      <c r="AW10086" s="10"/>
      <c r="AX10086" s="10"/>
      <c r="AY10086" s="10"/>
      <c r="AZ10086" s="10"/>
    </row>
    <row r="10087" spans="31:52">
      <c r="AE10087" s="10"/>
      <c r="AF10087" s="10"/>
      <c r="AG10087" s="10"/>
      <c r="AH10087" s="10"/>
      <c r="AI10087" s="10"/>
      <c r="AJ10087" s="10"/>
      <c r="AK10087" s="10"/>
      <c r="AL10087" s="10"/>
      <c r="AM10087" s="10"/>
      <c r="AN10087" s="10"/>
      <c r="AO10087" s="10"/>
      <c r="AP10087" s="10"/>
      <c r="AQ10087" s="10"/>
      <c r="AR10087" s="10"/>
      <c r="AS10087" s="10"/>
      <c r="AT10087" s="10"/>
      <c r="AU10087" s="10"/>
      <c r="AV10087" s="10"/>
      <c r="AW10087" s="10"/>
      <c r="AX10087" s="10"/>
      <c r="AY10087" s="10"/>
      <c r="AZ10087" s="10"/>
    </row>
    <row r="10088" spans="31:52">
      <c r="AE10088" s="10"/>
      <c r="AF10088" s="10"/>
      <c r="AG10088" s="10"/>
      <c r="AH10088" s="10"/>
      <c r="AI10088" s="10"/>
      <c r="AJ10088" s="10"/>
      <c r="AK10088" s="10"/>
      <c r="AL10088" s="10"/>
      <c r="AM10088" s="10"/>
      <c r="AN10088" s="10"/>
      <c r="AO10088" s="10"/>
      <c r="AP10088" s="10"/>
      <c r="AQ10088" s="10"/>
      <c r="AR10088" s="10"/>
      <c r="AS10088" s="10"/>
      <c r="AT10088" s="10"/>
      <c r="AU10088" s="10"/>
      <c r="AV10088" s="10"/>
      <c r="AW10088" s="10"/>
      <c r="AX10088" s="10"/>
      <c r="AY10088" s="10"/>
      <c r="AZ10088" s="10"/>
    </row>
    <row r="10089" spans="31:52">
      <c r="AE10089" s="10"/>
      <c r="AF10089" s="10"/>
      <c r="AG10089" s="10"/>
      <c r="AH10089" s="10"/>
      <c r="AI10089" s="10"/>
      <c r="AJ10089" s="10"/>
      <c r="AK10089" s="10"/>
      <c r="AL10089" s="10"/>
      <c r="AM10089" s="10"/>
      <c r="AN10089" s="10"/>
      <c r="AO10089" s="10"/>
      <c r="AP10089" s="10"/>
      <c r="AQ10089" s="10"/>
      <c r="AR10089" s="10"/>
      <c r="AS10089" s="10"/>
      <c r="AT10089" s="10"/>
      <c r="AU10089" s="10"/>
      <c r="AV10089" s="10"/>
      <c r="AW10089" s="10"/>
      <c r="AX10089" s="10"/>
      <c r="AY10089" s="10"/>
      <c r="AZ10089" s="10"/>
    </row>
    <row r="10090" spans="31:52">
      <c r="AE10090" s="10"/>
      <c r="AF10090" s="10"/>
      <c r="AG10090" s="10"/>
      <c r="AH10090" s="10"/>
      <c r="AI10090" s="10"/>
      <c r="AJ10090" s="10"/>
      <c r="AK10090" s="10"/>
      <c r="AL10090" s="10"/>
      <c r="AM10090" s="10"/>
      <c r="AN10090" s="10"/>
      <c r="AO10090" s="10"/>
      <c r="AP10090" s="10"/>
      <c r="AQ10090" s="10"/>
      <c r="AR10090" s="10"/>
      <c r="AS10090" s="10"/>
      <c r="AT10090" s="10"/>
      <c r="AU10090" s="10"/>
      <c r="AV10090" s="10"/>
      <c r="AW10090" s="10"/>
      <c r="AX10090" s="10"/>
      <c r="AY10090" s="10"/>
      <c r="AZ10090" s="10"/>
    </row>
    <row r="10091" spans="31:52">
      <c r="AE10091" s="10"/>
      <c r="AF10091" s="10"/>
      <c r="AG10091" s="10"/>
      <c r="AH10091" s="10"/>
      <c r="AI10091" s="10"/>
      <c r="AJ10091" s="10"/>
      <c r="AK10091" s="10"/>
      <c r="AL10091" s="10"/>
      <c r="AM10091" s="10"/>
      <c r="AN10091" s="10"/>
      <c r="AO10091" s="10"/>
      <c r="AP10091" s="10"/>
      <c r="AQ10091" s="10"/>
      <c r="AR10091" s="10"/>
      <c r="AS10091" s="10"/>
      <c r="AT10091" s="10"/>
      <c r="AU10091" s="10"/>
      <c r="AV10091" s="10"/>
      <c r="AW10091" s="10"/>
      <c r="AX10091" s="10"/>
      <c r="AY10091" s="10"/>
      <c r="AZ10091" s="10"/>
    </row>
    <row r="10092" spans="31:52">
      <c r="AE10092" s="10"/>
      <c r="AF10092" s="10"/>
      <c r="AG10092" s="10"/>
      <c r="AH10092" s="10"/>
      <c r="AI10092" s="10"/>
      <c r="AJ10092" s="10"/>
      <c r="AK10092" s="10"/>
      <c r="AL10092" s="10"/>
      <c r="AM10092" s="10"/>
      <c r="AN10092" s="10"/>
      <c r="AO10092" s="10"/>
      <c r="AP10092" s="10"/>
      <c r="AQ10092" s="10"/>
      <c r="AR10092" s="10"/>
      <c r="AS10092" s="10"/>
      <c r="AT10092" s="10"/>
      <c r="AU10092" s="10"/>
      <c r="AV10092" s="10"/>
      <c r="AW10092" s="10"/>
      <c r="AX10092" s="10"/>
      <c r="AY10092" s="10"/>
      <c r="AZ10092" s="10"/>
    </row>
    <row r="10093" spans="31:52">
      <c r="AE10093" s="10"/>
      <c r="AF10093" s="10"/>
      <c r="AG10093" s="10"/>
      <c r="AH10093" s="10"/>
      <c r="AI10093" s="10"/>
      <c r="AJ10093" s="10"/>
      <c r="AK10093" s="10"/>
      <c r="AL10093" s="10"/>
      <c r="AM10093" s="10"/>
      <c r="AN10093" s="10"/>
      <c r="AO10093" s="10"/>
      <c r="AP10093" s="10"/>
      <c r="AQ10093" s="10"/>
      <c r="AR10093" s="10"/>
      <c r="AS10093" s="10"/>
      <c r="AT10093" s="10"/>
      <c r="AU10093" s="10"/>
      <c r="AV10093" s="10"/>
      <c r="AW10093" s="10"/>
      <c r="AX10093" s="10"/>
      <c r="AY10093" s="10"/>
      <c r="AZ10093" s="10"/>
    </row>
    <row r="10094" spans="31:52">
      <c r="AE10094" s="10"/>
      <c r="AF10094" s="10"/>
      <c r="AG10094" s="10"/>
      <c r="AH10094" s="10"/>
      <c r="AI10094" s="10"/>
      <c r="AJ10094" s="10"/>
      <c r="AK10094" s="10"/>
      <c r="AL10094" s="10"/>
      <c r="AM10094" s="10"/>
      <c r="AN10094" s="10"/>
      <c r="AO10094" s="10"/>
      <c r="AP10094" s="10"/>
      <c r="AQ10094" s="10"/>
      <c r="AR10094" s="10"/>
      <c r="AS10094" s="10"/>
      <c r="AT10094" s="10"/>
      <c r="AU10094" s="10"/>
      <c r="AV10094" s="10"/>
      <c r="AW10094" s="10"/>
      <c r="AX10094" s="10"/>
      <c r="AY10094" s="10"/>
      <c r="AZ10094" s="10"/>
    </row>
    <row r="10095" spans="31:52">
      <c r="AE10095" s="10"/>
      <c r="AF10095" s="10"/>
      <c r="AG10095" s="10"/>
      <c r="AH10095" s="10"/>
      <c r="AI10095" s="10"/>
      <c r="AJ10095" s="10"/>
      <c r="AK10095" s="10"/>
      <c r="AL10095" s="10"/>
      <c r="AM10095" s="10"/>
      <c r="AN10095" s="10"/>
      <c r="AO10095" s="10"/>
      <c r="AP10095" s="10"/>
      <c r="AQ10095" s="10"/>
      <c r="AR10095" s="10"/>
      <c r="AS10095" s="10"/>
      <c r="AT10095" s="10"/>
      <c r="AU10095" s="10"/>
      <c r="AV10095" s="10"/>
      <c r="AW10095" s="10"/>
      <c r="AX10095" s="10"/>
      <c r="AY10095" s="10"/>
      <c r="AZ10095" s="10"/>
    </row>
    <row r="10096" spans="31:52">
      <c r="AE10096" s="10"/>
      <c r="AF10096" s="10"/>
      <c r="AG10096" s="10"/>
      <c r="AH10096" s="10"/>
      <c r="AI10096" s="10"/>
      <c r="AJ10096" s="10"/>
      <c r="AK10096" s="10"/>
      <c r="AL10096" s="10"/>
      <c r="AM10096" s="10"/>
      <c r="AN10096" s="10"/>
      <c r="AO10096" s="10"/>
      <c r="AP10096" s="10"/>
      <c r="AQ10096" s="10"/>
      <c r="AR10096" s="10"/>
      <c r="AS10096" s="10"/>
      <c r="AT10096" s="10"/>
      <c r="AU10096" s="10"/>
      <c r="AV10096" s="10"/>
      <c r="AW10096" s="10"/>
      <c r="AX10096" s="10"/>
      <c r="AY10096" s="10"/>
      <c r="AZ10096" s="10"/>
    </row>
    <row r="10097" spans="31:52">
      <c r="AE10097" s="10"/>
      <c r="AF10097" s="10"/>
      <c r="AG10097" s="10"/>
      <c r="AH10097" s="10"/>
      <c r="AI10097" s="10"/>
      <c r="AJ10097" s="10"/>
      <c r="AK10097" s="10"/>
      <c r="AL10097" s="10"/>
      <c r="AM10097" s="10"/>
      <c r="AN10097" s="10"/>
      <c r="AO10097" s="10"/>
      <c r="AP10097" s="10"/>
      <c r="AQ10097" s="10"/>
      <c r="AR10097" s="10"/>
      <c r="AS10097" s="10"/>
      <c r="AT10097" s="10"/>
      <c r="AU10097" s="10"/>
      <c r="AV10097" s="10"/>
      <c r="AW10097" s="10"/>
      <c r="AX10097" s="10"/>
      <c r="AY10097" s="10"/>
      <c r="AZ10097" s="10"/>
    </row>
    <row r="10098" spans="31:52">
      <c r="AE10098" s="10"/>
      <c r="AF10098" s="10"/>
      <c r="AG10098" s="10"/>
      <c r="AH10098" s="10"/>
      <c r="AI10098" s="10"/>
      <c r="AJ10098" s="10"/>
      <c r="AK10098" s="10"/>
      <c r="AL10098" s="10"/>
      <c r="AM10098" s="10"/>
      <c r="AN10098" s="10"/>
      <c r="AO10098" s="10"/>
      <c r="AP10098" s="10"/>
      <c r="AQ10098" s="10"/>
      <c r="AR10098" s="10"/>
      <c r="AS10098" s="10"/>
      <c r="AT10098" s="10"/>
      <c r="AU10098" s="10"/>
      <c r="AV10098" s="10"/>
      <c r="AW10098" s="10"/>
      <c r="AX10098" s="10"/>
      <c r="AY10098" s="10"/>
      <c r="AZ10098" s="10"/>
    </row>
    <row r="10099" spans="31:52">
      <c r="AE10099" s="10"/>
      <c r="AF10099" s="10"/>
      <c r="AG10099" s="10"/>
      <c r="AH10099" s="10"/>
      <c r="AI10099" s="10"/>
      <c r="AJ10099" s="10"/>
      <c r="AK10099" s="10"/>
      <c r="AL10099" s="10"/>
      <c r="AM10099" s="10"/>
      <c r="AN10099" s="10"/>
      <c r="AO10099" s="10"/>
      <c r="AP10099" s="10"/>
      <c r="AQ10099" s="10"/>
      <c r="AR10099" s="10"/>
      <c r="AS10099" s="10"/>
      <c r="AT10099" s="10"/>
      <c r="AU10099" s="10"/>
      <c r="AV10099" s="10"/>
      <c r="AW10099" s="10"/>
      <c r="AX10099" s="10"/>
      <c r="AY10099" s="10"/>
      <c r="AZ10099" s="10"/>
    </row>
    <row r="10100" spans="31:52">
      <c r="AE10100" s="10"/>
      <c r="AF10100" s="10"/>
      <c r="AG10100" s="10"/>
      <c r="AH10100" s="10"/>
      <c r="AI10100" s="10"/>
      <c r="AJ10100" s="10"/>
      <c r="AK10100" s="10"/>
      <c r="AL10100" s="10"/>
      <c r="AM10100" s="10"/>
      <c r="AN10100" s="10"/>
      <c r="AO10100" s="10"/>
      <c r="AP10100" s="10"/>
      <c r="AQ10100" s="10"/>
      <c r="AR10100" s="10"/>
      <c r="AS10100" s="10"/>
      <c r="AT10100" s="10"/>
      <c r="AU10100" s="10"/>
      <c r="AV10100" s="10"/>
      <c r="AW10100" s="10"/>
      <c r="AX10100" s="10"/>
      <c r="AY10100" s="10"/>
      <c r="AZ10100" s="10"/>
    </row>
    <row r="10101" spans="31:52">
      <c r="AE10101" s="10"/>
      <c r="AF10101" s="10"/>
      <c r="AG10101" s="10"/>
      <c r="AH10101" s="10"/>
      <c r="AI10101" s="10"/>
      <c r="AJ10101" s="10"/>
      <c r="AK10101" s="10"/>
      <c r="AL10101" s="10"/>
      <c r="AM10101" s="10"/>
      <c r="AN10101" s="10"/>
      <c r="AO10101" s="10"/>
      <c r="AP10101" s="10"/>
      <c r="AQ10101" s="10"/>
      <c r="AR10101" s="10"/>
      <c r="AS10101" s="10"/>
      <c r="AT10101" s="10"/>
      <c r="AU10101" s="10"/>
      <c r="AV10101" s="10"/>
      <c r="AW10101" s="10"/>
      <c r="AX10101" s="10"/>
      <c r="AY10101" s="10"/>
      <c r="AZ10101" s="10"/>
    </row>
    <row r="10102" spans="31:52">
      <c r="AE10102" s="10"/>
      <c r="AF10102" s="10"/>
      <c r="AG10102" s="10"/>
      <c r="AH10102" s="10"/>
      <c r="AI10102" s="10"/>
      <c r="AJ10102" s="10"/>
      <c r="AK10102" s="10"/>
      <c r="AL10102" s="10"/>
      <c r="AM10102" s="10"/>
      <c r="AN10102" s="10"/>
      <c r="AO10102" s="10"/>
      <c r="AP10102" s="10"/>
      <c r="AQ10102" s="10"/>
      <c r="AR10102" s="10"/>
      <c r="AS10102" s="10"/>
      <c r="AT10102" s="10"/>
      <c r="AU10102" s="10"/>
      <c r="AV10102" s="10"/>
      <c r="AW10102" s="10"/>
      <c r="AX10102" s="10"/>
      <c r="AY10102" s="10"/>
      <c r="AZ10102" s="10"/>
    </row>
    <row r="10103" spans="31:52">
      <c r="AE10103" s="10"/>
      <c r="AF10103" s="10"/>
      <c r="AG10103" s="10"/>
      <c r="AH10103" s="10"/>
      <c r="AI10103" s="10"/>
      <c r="AJ10103" s="10"/>
      <c r="AK10103" s="10"/>
      <c r="AL10103" s="10"/>
      <c r="AM10103" s="10"/>
      <c r="AN10103" s="10"/>
      <c r="AO10103" s="10"/>
      <c r="AP10103" s="10"/>
      <c r="AQ10103" s="10"/>
      <c r="AR10103" s="10"/>
      <c r="AS10103" s="10"/>
      <c r="AT10103" s="10"/>
      <c r="AU10103" s="10"/>
      <c r="AV10103" s="10"/>
      <c r="AW10103" s="10"/>
      <c r="AX10103" s="10"/>
      <c r="AY10103" s="10"/>
      <c r="AZ10103" s="10"/>
    </row>
    <row r="10104" spans="31:52">
      <c r="AE10104" s="10"/>
      <c r="AF10104" s="10"/>
      <c r="AG10104" s="10"/>
      <c r="AH10104" s="10"/>
      <c r="AI10104" s="10"/>
      <c r="AJ10104" s="10"/>
      <c r="AK10104" s="10"/>
      <c r="AL10104" s="10"/>
      <c r="AM10104" s="10"/>
      <c r="AN10104" s="10"/>
      <c r="AO10104" s="10"/>
      <c r="AP10104" s="10"/>
      <c r="AQ10104" s="10"/>
      <c r="AR10104" s="10"/>
      <c r="AS10104" s="10"/>
      <c r="AT10104" s="10"/>
      <c r="AU10104" s="10"/>
      <c r="AV10104" s="10"/>
      <c r="AW10104" s="10"/>
      <c r="AX10104" s="10"/>
      <c r="AY10104" s="10"/>
      <c r="AZ10104" s="10"/>
    </row>
    <row r="10105" spans="31:52">
      <c r="AE10105" s="10"/>
      <c r="AF10105" s="10"/>
      <c r="AG10105" s="10"/>
      <c r="AH10105" s="10"/>
      <c r="AI10105" s="10"/>
      <c r="AJ10105" s="10"/>
      <c r="AK10105" s="10"/>
      <c r="AL10105" s="10"/>
      <c r="AM10105" s="10"/>
      <c r="AN10105" s="10"/>
      <c r="AO10105" s="10"/>
      <c r="AP10105" s="10"/>
      <c r="AQ10105" s="10"/>
      <c r="AR10105" s="10"/>
      <c r="AS10105" s="10"/>
      <c r="AT10105" s="10"/>
      <c r="AU10105" s="10"/>
      <c r="AV10105" s="10"/>
      <c r="AW10105" s="10"/>
      <c r="AX10105" s="10"/>
      <c r="AY10105" s="10"/>
      <c r="AZ10105" s="10"/>
    </row>
    <row r="10106" spans="31:52">
      <c r="AE10106" s="10"/>
      <c r="AF10106" s="10"/>
      <c r="AG10106" s="10"/>
      <c r="AH10106" s="10"/>
      <c r="AI10106" s="10"/>
      <c r="AJ10106" s="10"/>
      <c r="AK10106" s="10"/>
      <c r="AL10106" s="10"/>
      <c r="AM10106" s="10"/>
      <c r="AN10106" s="10"/>
      <c r="AO10106" s="10"/>
      <c r="AP10106" s="10"/>
      <c r="AQ10106" s="10"/>
      <c r="AR10106" s="10"/>
      <c r="AS10106" s="10"/>
      <c r="AT10106" s="10"/>
      <c r="AU10106" s="10"/>
      <c r="AV10106" s="10"/>
      <c r="AW10106" s="10"/>
      <c r="AX10106" s="10"/>
      <c r="AY10106" s="10"/>
      <c r="AZ10106" s="10"/>
    </row>
    <row r="10107" spans="31:52">
      <c r="AE10107" s="10"/>
      <c r="AF10107" s="10"/>
      <c r="AG10107" s="10"/>
      <c r="AH10107" s="10"/>
      <c r="AI10107" s="10"/>
      <c r="AJ10107" s="10"/>
      <c r="AK10107" s="10"/>
      <c r="AL10107" s="10"/>
      <c r="AM10107" s="10"/>
      <c r="AN10107" s="10"/>
      <c r="AO10107" s="10"/>
      <c r="AP10107" s="10"/>
      <c r="AQ10107" s="10"/>
      <c r="AR10107" s="10"/>
      <c r="AS10107" s="10"/>
      <c r="AT10107" s="10"/>
      <c r="AU10107" s="10"/>
      <c r="AV10107" s="10"/>
      <c r="AW10107" s="10"/>
      <c r="AX10107" s="10"/>
      <c r="AY10107" s="10"/>
      <c r="AZ10107" s="10"/>
    </row>
    <row r="10108" spans="31:52">
      <c r="AE10108" s="10"/>
      <c r="AF10108" s="10"/>
      <c r="AG10108" s="10"/>
      <c r="AH10108" s="10"/>
      <c r="AI10108" s="10"/>
      <c r="AJ10108" s="10"/>
      <c r="AK10108" s="10"/>
      <c r="AL10108" s="10"/>
      <c r="AM10108" s="10"/>
      <c r="AN10108" s="10"/>
      <c r="AO10108" s="10"/>
      <c r="AP10108" s="10"/>
      <c r="AQ10108" s="10"/>
      <c r="AR10108" s="10"/>
      <c r="AS10108" s="10"/>
      <c r="AT10108" s="10"/>
      <c r="AU10108" s="10"/>
      <c r="AV10108" s="10"/>
      <c r="AW10108" s="10"/>
      <c r="AX10108" s="10"/>
      <c r="AY10108" s="10"/>
      <c r="AZ10108" s="10"/>
    </row>
    <row r="10109" spans="31:52">
      <c r="AE10109" s="10"/>
      <c r="AF10109" s="10"/>
      <c r="AG10109" s="10"/>
      <c r="AH10109" s="10"/>
      <c r="AI10109" s="10"/>
      <c r="AJ10109" s="10"/>
      <c r="AK10109" s="10"/>
      <c r="AL10109" s="10"/>
      <c r="AM10109" s="10"/>
      <c r="AN10109" s="10"/>
      <c r="AO10109" s="10"/>
      <c r="AP10109" s="10"/>
      <c r="AQ10109" s="10"/>
      <c r="AR10109" s="10"/>
      <c r="AS10109" s="10"/>
      <c r="AT10109" s="10"/>
      <c r="AU10109" s="10"/>
      <c r="AV10109" s="10"/>
      <c r="AW10109" s="10"/>
      <c r="AX10109" s="10"/>
      <c r="AY10109" s="10"/>
      <c r="AZ10109" s="10"/>
    </row>
    <row r="10110" spans="31:52">
      <c r="AE10110" s="10"/>
      <c r="AF10110" s="10"/>
      <c r="AG10110" s="10"/>
      <c r="AH10110" s="10"/>
      <c r="AI10110" s="10"/>
      <c r="AJ10110" s="10"/>
      <c r="AK10110" s="10"/>
      <c r="AL10110" s="10"/>
      <c r="AM10110" s="10"/>
      <c r="AN10110" s="10"/>
      <c r="AO10110" s="10"/>
      <c r="AP10110" s="10"/>
      <c r="AQ10110" s="10"/>
      <c r="AR10110" s="10"/>
      <c r="AS10110" s="10"/>
      <c r="AT10110" s="10"/>
      <c r="AU10110" s="10"/>
      <c r="AV10110" s="10"/>
      <c r="AW10110" s="10"/>
      <c r="AX10110" s="10"/>
      <c r="AY10110" s="10"/>
      <c r="AZ10110" s="10"/>
    </row>
    <row r="10111" spans="31:52">
      <c r="AE10111" s="10"/>
      <c r="AF10111" s="10"/>
      <c r="AG10111" s="10"/>
      <c r="AH10111" s="10"/>
      <c r="AI10111" s="10"/>
      <c r="AJ10111" s="10"/>
      <c r="AK10111" s="10"/>
      <c r="AL10111" s="10"/>
      <c r="AM10111" s="10"/>
      <c r="AN10111" s="10"/>
      <c r="AO10111" s="10"/>
      <c r="AP10111" s="10"/>
      <c r="AQ10111" s="10"/>
      <c r="AR10111" s="10"/>
      <c r="AS10111" s="10"/>
      <c r="AT10111" s="10"/>
      <c r="AU10111" s="10"/>
      <c r="AV10111" s="10"/>
      <c r="AW10111" s="10"/>
      <c r="AX10111" s="10"/>
      <c r="AY10111" s="10"/>
      <c r="AZ10111" s="10"/>
    </row>
    <row r="10112" spans="31:52">
      <c r="AE10112" s="10"/>
      <c r="AF10112" s="10"/>
      <c r="AG10112" s="10"/>
      <c r="AH10112" s="10"/>
      <c r="AI10112" s="10"/>
      <c r="AJ10112" s="10"/>
      <c r="AK10112" s="10"/>
      <c r="AL10112" s="10"/>
      <c r="AM10112" s="10"/>
      <c r="AN10112" s="10"/>
      <c r="AO10112" s="10"/>
      <c r="AP10112" s="10"/>
      <c r="AQ10112" s="10"/>
      <c r="AR10112" s="10"/>
      <c r="AS10112" s="10"/>
      <c r="AT10112" s="10"/>
      <c r="AU10112" s="10"/>
      <c r="AV10112" s="10"/>
      <c r="AW10112" s="10"/>
      <c r="AX10112" s="10"/>
      <c r="AY10112" s="10"/>
      <c r="AZ10112" s="10"/>
    </row>
    <row r="10113" spans="31:52">
      <c r="AE10113" s="10"/>
      <c r="AF10113" s="10"/>
      <c r="AG10113" s="10"/>
      <c r="AH10113" s="10"/>
      <c r="AI10113" s="10"/>
      <c r="AJ10113" s="10"/>
      <c r="AK10113" s="10"/>
      <c r="AL10113" s="10"/>
      <c r="AM10113" s="10"/>
      <c r="AN10113" s="10"/>
      <c r="AO10113" s="10"/>
      <c r="AP10113" s="10"/>
      <c r="AQ10113" s="10"/>
      <c r="AR10113" s="10"/>
      <c r="AS10113" s="10"/>
      <c r="AT10113" s="10"/>
      <c r="AU10113" s="10"/>
      <c r="AV10113" s="10"/>
      <c r="AW10113" s="10"/>
      <c r="AX10113" s="10"/>
      <c r="AY10113" s="10"/>
      <c r="AZ10113" s="10"/>
    </row>
    <row r="10114" spans="31:52">
      <c r="AE10114" s="10"/>
      <c r="AF10114" s="10"/>
      <c r="AG10114" s="10"/>
      <c r="AH10114" s="10"/>
      <c r="AI10114" s="10"/>
      <c r="AJ10114" s="10"/>
      <c r="AK10114" s="10"/>
      <c r="AL10114" s="10"/>
      <c r="AM10114" s="10"/>
      <c r="AN10114" s="10"/>
      <c r="AO10114" s="10"/>
      <c r="AP10114" s="10"/>
      <c r="AQ10114" s="10"/>
      <c r="AR10114" s="10"/>
      <c r="AS10114" s="10"/>
      <c r="AT10114" s="10"/>
      <c r="AU10114" s="10"/>
      <c r="AV10114" s="10"/>
      <c r="AW10114" s="10"/>
      <c r="AX10114" s="10"/>
      <c r="AY10114" s="10"/>
      <c r="AZ10114" s="10"/>
    </row>
    <row r="10115" spans="31:52">
      <c r="AE10115" s="10"/>
      <c r="AF10115" s="10"/>
      <c r="AG10115" s="10"/>
      <c r="AH10115" s="10"/>
      <c r="AI10115" s="10"/>
      <c r="AJ10115" s="10"/>
      <c r="AK10115" s="10"/>
      <c r="AL10115" s="10"/>
      <c r="AM10115" s="10"/>
      <c r="AN10115" s="10"/>
      <c r="AO10115" s="10"/>
      <c r="AP10115" s="10"/>
      <c r="AQ10115" s="10"/>
      <c r="AR10115" s="10"/>
      <c r="AS10115" s="10"/>
      <c r="AT10115" s="10"/>
      <c r="AU10115" s="10"/>
      <c r="AV10115" s="10"/>
      <c r="AW10115" s="10"/>
      <c r="AX10115" s="10"/>
      <c r="AY10115" s="10"/>
      <c r="AZ10115" s="10"/>
    </row>
    <row r="10116" spans="31:52">
      <c r="AE10116" s="10"/>
      <c r="AF10116" s="10"/>
      <c r="AG10116" s="10"/>
      <c r="AH10116" s="10"/>
      <c r="AI10116" s="10"/>
      <c r="AJ10116" s="10"/>
      <c r="AK10116" s="10"/>
      <c r="AL10116" s="10"/>
      <c r="AM10116" s="10"/>
      <c r="AN10116" s="10"/>
      <c r="AO10116" s="10"/>
      <c r="AP10116" s="10"/>
      <c r="AQ10116" s="10"/>
      <c r="AR10116" s="10"/>
      <c r="AS10116" s="10"/>
      <c r="AT10116" s="10"/>
      <c r="AU10116" s="10"/>
      <c r="AV10116" s="10"/>
      <c r="AW10116" s="10"/>
      <c r="AX10116" s="10"/>
      <c r="AY10116" s="10"/>
      <c r="AZ10116" s="10"/>
    </row>
    <row r="10117" spans="31:52">
      <c r="AE10117" s="10"/>
      <c r="AF10117" s="10"/>
      <c r="AG10117" s="10"/>
      <c r="AH10117" s="10"/>
      <c r="AI10117" s="10"/>
      <c r="AJ10117" s="10"/>
      <c r="AK10117" s="10"/>
      <c r="AL10117" s="10"/>
      <c r="AM10117" s="10"/>
      <c r="AN10117" s="10"/>
      <c r="AO10117" s="10"/>
      <c r="AP10117" s="10"/>
      <c r="AQ10117" s="10"/>
      <c r="AR10117" s="10"/>
      <c r="AS10117" s="10"/>
      <c r="AT10117" s="10"/>
      <c r="AU10117" s="10"/>
      <c r="AV10117" s="10"/>
      <c r="AW10117" s="10"/>
      <c r="AX10117" s="10"/>
      <c r="AY10117" s="10"/>
      <c r="AZ10117" s="10"/>
    </row>
    <row r="10118" spans="31:52">
      <c r="AE10118" s="10"/>
      <c r="AF10118" s="10"/>
      <c r="AG10118" s="10"/>
      <c r="AH10118" s="10"/>
      <c r="AI10118" s="10"/>
      <c r="AJ10118" s="10"/>
      <c r="AK10118" s="10"/>
      <c r="AL10118" s="10"/>
      <c r="AM10118" s="10"/>
      <c r="AN10118" s="10"/>
      <c r="AO10118" s="10"/>
      <c r="AP10118" s="10"/>
      <c r="AQ10118" s="10"/>
      <c r="AR10118" s="10"/>
      <c r="AS10118" s="10"/>
      <c r="AT10118" s="10"/>
      <c r="AU10118" s="10"/>
      <c r="AV10118" s="10"/>
      <c r="AW10118" s="10"/>
      <c r="AX10118" s="10"/>
      <c r="AY10118" s="10"/>
      <c r="AZ10118" s="10"/>
    </row>
    <row r="10119" spans="31:52">
      <c r="AE10119" s="10"/>
      <c r="AF10119" s="10"/>
      <c r="AG10119" s="10"/>
      <c r="AH10119" s="10"/>
      <c r="AI10119" s="10"/>
      <c r="AJ10119" s="10"/>
      <c r="AK10119" s="10"/>
      <c r="AL10119" s="10"/>
      <c r="AM10119" s="10"/>
      <c r="AN10119" s="10"/>
      <c r="AO10119" s="10"/>
      <c r="AP10119" s="10"/>
      <c r="AQ10119" s="10"/>
      <c r="AR10119" s="10"/>
      <c r="AS10119" s="10"/>
      <c r="AT10119" s="10"/>
      <c r="AU10119" s="10"/>
      <c r="AV10119" s="10"/>
      <c r="AW10119" s="10"/>
      <c r="AX10119" s="10"/>
      <c r="AY10119" s="10"/>
      <c r="AZ10119" s="10"/>
    </row>
    <row r="10120" spans="31:52">
      <c r="AE10120" s="10"/>
      <c r="AF10120" s="10"/>
      <c r="AG10120" s="10"/>
      <c r="AH10120" s="10"/>
      <c r="AI10120" s="10"/>
      <c r="AJ10120" s="10"/>
      <c r="AK10120" s="10"/>
      <c r="AL10120" s="10"/>
      <c r="AM10120" s="10"/>
      <c r="AN10120" s="10"/>
      <c r="AO10120" s="10"/>
      <c r="AP10120" s="10"/>
      <c r="AQ10120" s="10"/>
      <c r="AR10120" s="10"/>
      <c r="AS10120" s="10"/>
      <c r="AT10120" s="10"/>
      <c r="AU10120" s="10"/>
      <c r="AV10120" s="10"/>
      <c r="AW10120" s="10"/>
      <c r="AX10120" s="10"/>
      <c r="AY10120" s="10"/>
      <c r="AZ10120" s="10"/>
    </row>
    <row r="10121" spans="31:52">
      <c r="AE10121" s="10"/>
      <c r="AF10121" s="10"/>
      <c r="AG10121" s="10"/>
      <c r="AH10121" s="10"/>
      <c r="AI10121" s="10"/>
      <c r="AJ10121" s="10"/>
      <c r="AK10121" s="10"/>
      <c r="AL10121" s="10"/>
      <c r="AM10121" s="10"/>
      <c r="AN10121" s="10"/>
      <c r="AO10121" s="10"/>
      <c r="AP10121" s="10"/>
      <c r="AQ10121" s="10"/>
      <c r="AR10121" s="10"/>
      <c r="AS10121" s="10"/>
      <c r="AT10121" s="10"/>
      <c r="AU10121" s="10"/>
      <c r="AV10121" s="10"/>
      <c r="AW10121" s="10"/>
      <c r="AX10121" s="10"/>
      <c r="AY10121" s="10"/>
      <c r="AZ10121" s="10"/>
    </row>
    <row r="10122" spans="31:52">
      <c r="AE10122" s="10"/>
      <c r="AF10122" s="10"/>
      <c r="AG10122" s="10"/>
      <c r="AH10122" s="10"/>
      <c r="AI10122" s="10"/>
      <c r="AJ10122" s="10"/>
      <c r="AK10122" s="10"/>
      <c r="AL10122" s="10"/>
      <c r="AM10122" s="10"/>
      <c r="AN10122" s="10"/>
      <c r="AO10122" s="10"/>
      <c r="AP10122" s="10"/>
      <c r="AQ10122" s="10"/>
      <c r="AR10122" s="10"/>
      <c r="AS10122" s="10"/>
      <c r="AT10122" s="10"/>
      <c r="AU10122" s="10"/>
      <c r="AV10122" s="10"/>
      <c r="AW10122" s="10"/>
      <c r="AX10122" s="10"/>
      <c r="AY10122" s="10"/>
      <c r="AZ10122" s="10"/>
    </row>
    <row r="10123" spans="31:52">
      <c r="AE10123" s="10"/>
      <c r="AF10123" s="10"/>
      <c r="AG10123" s="10"/>
      <c r="AH10123" s="10"/>
      <c r="AI10123" s="10"/>
      <c r="AJ10123" s="10"/>
      <c r="AK10123" s="10"/>
      <c r="AL10123" s="10"/>
      <c r="AM10123" s="10"/>
      <c r="AN10123" s="10"/>
      <c r="AO10123" s="10"/>
      <c r="AP10123" s="10"/>
      <c r="AQ10123" s="10"/>
      <c r="AR10123" s="10"/>
      <c r="AS10123" s="10"/>
      <c r="AT10123" s="10"/>
      <c r="AU10123" s="10"/>
      <c r="AV10123" s="10"/>
      <c r="AW10123" s="10"/>
      <c r="AX10123" s="10"/>
      <c r="AY10123" s="10"/>
      <c r="AZ10123" s="10"/>
    </row>
    <row r="10124" spans="31:52">
      <c r="AE10124" s="10"/>
      <c r="AF10124" s="10"/>
      <c r="AG10124" s="10"/>
      <c r="AH10124" s="10"/>
      <c r="AI10124" s="10"/>
      <c r="AJ10124" s="10"/>
      <c r="AK10124" s="10"/>
      <c r="AL10124" s="10"/>
      <c r="AM10124" s="10"/>
      <c r="AN10124" s="10"/>
      <c r="AO10124" s="10"/>
      <c r="AP10124" s="10"/>
      <c r="AQ10124" s="10"/>
      <c r="AR10124" s="10"/>
      <c r="AS10124" s="10"/>
      <c r="AT10124" s="10"/>
      <c r="AU10124" s="10"/>
      <c r="AV10124" s="10"/>
      <c r="AW10124" s="10"/>
      <c r="AX10124" s="10"/>
      <c r="AY10124" s="10"/>
      <c r="AZ10124" s="10"/>
    </row>
    <row r="10125" spans="31:52">
      <c r="AE10125" s="10"/>
      <c r="AF10125" s="10"/>
      <c r="AG10125" s="10"/>
      <c r="AH10125" s="10"/>
      <c r="AI10125" s="10"/>
      <c r="AJ10125" s="10"/>
      <c r="AK10125" s="10"/>
      <c r="AL10125" s="10"/>
      <c r="AM10125" s="10"/>
      <c r="AN10125" s="10"/>
      <c r="AO10125" s="10"/>
      <c r="AP10125" s="10"/>
      <c r="AQ10125" s="10"/>
      <c r="AR10125" s="10"/>
      <c r="AS10125" s="10"/>
      <c r="AT10125" s="10"/>
      <c r="AU10125" s="10"/>
      <c r="AV10125" s="10"/>
      <c r="AW10125" s="10"/>
      <c r="AX10125" s="10"/>
      <c r="AY10125" s="10"/>
      <c r="AZ10125" s="10"/>
    </row>
    <row r="10126" spans="31:52">
      <c r="AE10126" s="10"/>
      <c r="AF10126" s="10"/>
      <c r="AG10126" s="10"/>
      <c r="AH10126" s="10"/>
      <c r="AI10126" s="10"/>
      <c r="AJ10126" s="10"/>
      <c r="AK10126" s="10"/>
      <c r="AL10126" s="10"/>
      <c r="AM10126" s="10"/>
      <c r="AN10126" s="10"/>
      <c r="AO10126" s="10"/>
      <c r="AP10126" s="10"/>
      <c r="AQ10126" s="10"/>
      <c r="AR10126" s="10"/>
      <c r="AS10126" s="10"/>
      <c r="AT10126" s="10"/>
      <c r="AU10126" s="10"/>
      <c r="AV10126" s="10"/>
      <c r="AW10126" s="10"/>
      <c r="AX10126" s="10"/>
      <c r="AY10126" s="10"/>
      <c r="AZ10126" s="10"/>
    </row>
    <row r="10127" spans="31:52">
      <c r="AE10127" s="10"/>
      <c r="AF10127" s="10"/>
      <c r="AG10127" s="10"/>
      <c r="AH10127" s="10"/>
      <c r="AI10127" s="10"/>
      <c r="AJ10127" s="10"/>
      <c r="AK10127" s="10"/>
      <c r="AL10127" s="10"/>
      <c r="AM10127" s="10"/>
      <c r="AN10127" s="10"/>
      <c r="AO10127" s="10"/>
      <c r="AP10127" s="10"/>
      <c r="AQ10127" s="10"/>
      <c r="AR10127" s="10"/>
      <c r="AS10127" s="10"/>
      <c r="AT10127" s="10"/>
      <c r="AU10127" s="10"/>
      <c r="AV10127" s="10"/>
      <c r="AW10127" s="10"/>
      <c r="AX10127" s="10"/>
      <c r="AY10127" s="10"/>
      <c r="AZ10127" s="10"/>
    </row>
    <row r="10128" spans="31:52">
      <c r="AE10128" s="10"/>
      <c r="AF10128" s="10"/>
      <c r="AG10128" s="10"/>
      <c r="AH10128" s="10"/>
      <c r="AI10128" s="10"/>
      <c r="AJ10128" s="10"/>
      <c r="AK10128" s="10"/>
      <c r="AL10128" s="10"/>
      <c r="AM10128" s="10"/>
      <c r="AN10128" s="10"/>
      <c r="AO10128" s="10"/>
      <c r="AP10128" s="10"/>
      <c r="AQ10128" s="10"/>
      <c r="AR10128" s="10"/>
      <c r="AS10128" s="10"/>
      <c r="AT10128" s="10"/>
      <c r="AU10128" s="10"/>
      <c r="AV10128" s="10"/>
      <c r="AW10128" s="10"/>
      <c r="AX10128" s="10"/>
      <c r="AY10128" s="10"/>
      <c r="AZ10128" s="10"/>
    </row>
    <row r="10129" spans="31:52">
      <c r="AE10129" s="10"/>
      <c r="AF10129" s="10"/>
      <c r="AG10129" s="10"/>
      <c r="AH10129" s="10"/>
      <c r="AI10129" s="10"/>
      <c r="AJ10129" s="10"/>
      <c r="AK10129" s="10"/>
      <c r="AL10129" s="10"/>
      <c r="AM10129" s="10"/>
      <c r="AN10129" s="10"/>
      <c r="AO10129" s="10"/>
      <c r="AP10129" s="10"/>
      <c r="AQ10129" s="10"/>
      <c r="AR10129" s="10"/>
      <c r="AS10129" s="10"/>
      <c r="AT10129" s="10"/>
      <c r="AU10129" s="10"/>
      <c r="AV10129" s="10"/>
      <c r="AW10129" s="10"/>
      <c r="AX10129" s="10"/>
      <c r="AY10129" s="10"/>
      <c r="AZ10129" s="10"/>
    </row>
    <row r="10130" spans="31:52">
      <c r="AE10130" s="10"/>
      <c r="AF10130" s="10"/>
      <c r="AG10130" s="10"/>
      <c r="AH10130" s="10"/>
      <c r="AI10130" s="10"/>
      <c r="AJ10130" s="10"/>
      <c r="AK10130" s="10"/>
      <c r="AL10130" s="10"/>
      <c r="AM10130" s="10"/>
      <c r="AN10130" s="10"/>
      <c r="AO10130" s="10"/>
      <c r="AP10130" s="10"/>
      <c r="AQ10130" s="10"/>
      <c r="AR10130" s="10"/>
      <c r="AS10130" s="10"/>
      <c r="AT10130" s="10"/>
      <c r="AU10130" s="10"/>
      <c r="AV10130" s="10"/>
      <c r="AW10130" s="10"/>
      <c r="AX10130" s="10"/>
      <c r="AY10130" s="10"/>
      <c r="AZ10130" s="10"/>
    </row>
    <row r="10131" spans="31:52">
      <c r="AE10131" s="10"/>
      <c r="AF10131" s="10"/>
      <c r="AG10131" s="10"/>
      <c r="AH10131" s="10"/>
      <c r="AI10131" s="10"/>
      <c r="AJ10131" s="10"/>
      <c r="AK10131" s="10"/>
      <c r="AL10131" s="10"/>
      <c r="AM10131" s="10"/>
      <c r="AN10131" s="10"/>
      <c r="AO10131" s="10"/>
      <c r="AP10131" s="10"/>
      <c r="AQ10131" s="10"/>
      <c r="AR10131" s="10"/>
      <c r="AS10131" s="10"/>
      <c r="AT10131" s="10"/>
      <c r="AU10131" s="10"/>
      <c r="AV10131" s="10"/>
      <c r="AW10131" s="10"/>
      <c r="AX10131" s="10"/>
      <c r="AY10131" s="10"/>
      <c r="AZ10131" s="10"/>
    </row>
    <row r="10132" spans="31:52">
      <c r="AE10132" s="10"/>
      <c r="AF10132" s="10"/>
      <c r="AG10132" s="10"/>
      <c r="AH10132" s="10"/>
      <c r="AI10132" s="10"/>
      <c r="AJ10132" s="10"/>
      <c r="AK10132" s="10"/>
      <c r="AL10132" s="10"/>
      <c r="AM10132" s="10"/>
      <c r="AN10132" s="10"/>
      <c r="AO10132" s="10"/>
      <c r="AP10132" s="10"/>
      <c r="AQ10132" s="10"/>
      <c r="AR10132" s="10"/>
      <c r="AS10132" s="10"/>
      <c r="AT10132" s="10"/>
      <c r="AU10132" s="10"/>
      <c r="AV10132" s="10"/>
      <c r="AW10132" s="10"/>
      <c r="AX10132" s="10"/>
      <c r="AY10132" s="10"/>
      <c r="AZ10132" s="10"/>
    </row>
    <row r="10133" spans="31:52">
      <c r="AE10133" s="10"/>
      <c r="AF10133" s="10"/>
      <c r="AG10133" s="10"/>
      <c r="AH10133" s="10"/>
      <c r="AI10133" s="10"/>
      <c r="AJ10133" s="10"/>
      <c r="AK10133" s="10"/>
      <c r="AL10133" s="10"/>
      <c r="AM10133" s="10"/>
      <c r="AN10133" s="10"/>
      <c r="AO10133" s="10"/>
      <c r="AP10133" s="10"/>
      <c r="AQ10133" s="10"/>
      <c r="AR10133" s="10"/>
      <c r="AS10133" s="10"/>
      <c r="AT10133" s="10"/>
      <c r="AU10133" s="10"/>
      <c r="AV10133" s="10"/>
      <c r="AW10133" s="10"/>
      <c r="AX10133" s="10"/>
      <c r="AY10133" s="10"/>
      <c r="AZ10133" s="10"/>
    </row>
    <row r="10134" spans="31:52">
      <c r="AE10134" s="10"/>
      <c r="AF10134" s="10"/>
      <c r="AG10134" s="10"/>
      <c r="AH10134" s="10"/>
      <c r="AI10134" s="10"/>
      <c r="AJ10134" s="10"/>
      <c r="AK10134" s="10"/>
      <c r="AL10134" s="10"/>
      <c r="AM10134" s="10"/>
      <c r="AN10134" s="10"/>
      <c r="AO10134" s="10"/>
      <c r="AP10134" s="10"/>
      <c r="AQ10134" s="10"/>
      <c r="AR10134" s="10"/>
      <c r="AS10134" s="10"/>
      <c r="AT10134" s="10"/>
      <c r="AU10134" s="10"/>
      <c r="AV10134" s="10"/>
      <c r="AW10134" s="10"/>
      <c r="AX10134" s="10"/>
      <c r="AY10134" s="10"/>
      <c r="AZ10134" s="10"/>
    </row>
    <row r="10135" spans="31:52">
      <c r="AE10135" s="10"/>
      <c r="AF10135" s="10"/>
      <c r="AG10135" s="10"/>
      <c r="AH10135" s="10"/>
      <c r="AI10135" s="10"/>
      <c r="AJ10135" s="10"/>
      <c r="AK10135" s="10"/>
      <c r="AL10135" s="10"/>
      <c r="AM10135" s="10"/>
      <c r="AN10135" s="10"/>
      <c r="AO10135" s="10"/>
      <c r="AP10135" s="10"/>
      <c r="AQ10135" s="10"/>
      <c r="AR10135" s="10"/>
      <c r="AS10135" s="10"/>
      <c r="AT10135" s="10"/>
      <c r="AU10135" s="10"/>
      <c r="AV10135" s="10"/>
      <c r="AW10135" s="10"/>
      <c r="AX10135" s="10"/>
      <c r="AY10135" s="10"/>
      <c r="AZ10135" s="10"/>
    </row>
    <row r="10136" spans="31:52">
      <c r="AE10136" s="10"/>
      <c r="AF10136" s="10"/>
      <c r="AG10136" s="10"/>
      <c r="AH10136" s="10"/>
      <c r="AI10136" s="10"/>
      <c r="AJ10136" s="10"/>
      <c r="AK10136" s="10"/>
      <c r="AL10136" s="10"/>
      <c r="AM10136" s="10"/>
      <c r="AN10136" s="10"/>
      <c r="AO10136" s="10"/>
      <c r="AP10136" s="10"/>
      <c r="AQ10136" s="10"/>
      <c r="AR10136" s="10"/>
      <c r="AS10136" s="10"/>
      <c r="AT10136" s="10"/>
      <c r="AU10136" s="10"/>
      <c r="AV10136" s="10"/>
      <c r="AW10136" s="10"/>
      <c r="AX10136" s="10"/>
      <c r="AY10136" s="10"/>
      <c r="AZ10136" s="10"/>
    </row>
    <row r="10137" spans="31:52">
      <c r="AE10137" s="10"/>
      <c r="AF10137" s="10"/>
      <c r="AG10137" s="10"/>
      <c r="AH10137" s="10"/>
      <c r="AI10137" s="10"/>
      <c r="AJ10137" s="10"/>
      <c r="AK10137" s="10"/>
      <c r="AL10137" s="10"/>
      <c r="AM10137" s="10"/>
      <c r="AN10137" s="10"/>
      <c r="AO10137" s="10"/>
      <c r="AP10137" s="10"/>
      <c r="AQ10137" s="10"/>
      <c r="AR10137" s="10"/>
      <c r="AS10137" s="10"/>
      <c r="AT10137" s="10"/>
      <c r="AU10137" s="10"/>
      <c r="AV10137" s="10"/>
      <c r="AW10137" s="10"/>
      <c r="AX10137" s="10"/>
      <c r="AY10137" s="10"/>
      <c r="AZ10137" s="10"/>
    </row>
    <row r="10138" spans="31:52">
      <c r="AE10138" s="10"/>
      <c r="AF10138" s="10"/>
      <c r="AG10138" s="10"/>
      <c r="AH10138" s="10"/>
      <c r="AI10138" s="10"/>
      <c r="AJ10138" s="10"/>
      <c r="AK10138" s="10"/>
      <c r="AL10138" s="10"/>
      <c r="AM10138" s="10"/>
      <c r="AN10138" s="10"/>
      <c r="AO10138" s="10"/>
      <c r="AP10138" s="10"/>
      <c r="AQ10138" s="10"/>
      <c r="AR10138" s="10"/>
      <c r="AS10138" s="10"/>
      <c r="AT10138" s="10"/>
      <c r="AU10138" s="10"/>
      <c r="AV10138" s="10"/>
      <c r="AW10138" s="10"/>
      <c r="AX10138" s="10"/>
      <c r="AY10138" s="10"/>
      <c r="AZ10138" s="10"/>
    </row>
    <row r="10139" spans="31:52">
      <c r="AE10139" s="10"/>
      <c r="AF10139" s="10"/>
      <c r="AG10139" s="10"/>
      <c r="AH10139" s="10"/>
      <c r="AI10139" s="10"/>
      <c r="AJ10139" s="10"/>
      <c r="AK10139" s="10"/>
      <c r="AL10139" s="10"/>
      <c r="AM10139" s="10"/>
      <c r="AN10139" s="10"/>
      <c r="AO10139" s="10"/>
      <c r="AP10139" s="10"/>
      <c r="AQ10139" s="10"/>
      <c r="AR10139" s="10"/>
      <c r="AS10139" s="10"/>
      <c r="AT10139" s="10"/>
      <c r="AU10139" s="10"/>
      <c r="AV10139" s="10"/>
      <c r="AW10139" s="10"/>
      <c r="AX10139" s="10"/>
      <c r="AY10139" s="10"/>
      <c r="AZ10139" s="10"/>
    </row>
    <row r="10140" spans="31:52">
      <c r="AE10140" s="10"/>
      <c r="AF10140" s="10"/>
      <c r="AG10140" s="10"/>
      <c r="AH10140" s="10"/>
      <c r="AI10140" s="10"/>
      <c r="AJ10140" s="10"/>
      <c r="AK10140" s="10"/>
      <c r="AL10140" s="10"/>
      <c r="AM10140" s="10"/>
      <c r="AN10140" s="10"/>
      <c r="AO10140" s="10"/>
      <c r="AP10140" s="10"/>
      <c r="AQ10140" s="10"/>
      <c r="AR10140" s="10"/>
      <c r="AS10140" s="10"/>
      <c r="AT10140" s="10"/>
      <c r="AU10140" s="10"/>
      <c r="AV10140" s="10"/>
      <c r="AW10140" s="10"/>
      <c r="AX10140" s="10"/>
      <c r="AY10140" s="10"/>
      <c r="AZ10140" s="10"/>
    </row>
    <row r="10141" spans="31:52">
      <c r="AE10141" s="10"/>
      <c r="AF10141" s="10"/>
      <c r="AG10141" s="10"/>
      <c r="AH10141" s="10"/>
      <c r="AI10141" s="10"/>
      <c r="AJ10141" s="10"/>
      <c r="AK10141" s="10"/>
      <c r="AL10141" s="10"/>
      <c r="AM10141" s="10"/>
      <c r="AN10141" s="10"/>
      <c r="AO10141" s="10"/>
      <c r="AP10141" s="10"/>
      <c r="AQ10141" s="10"/>
      <c r="AR10141" s="10"/>
      <c r="AS10141" s="10"/>
      <c r="AT10141" s="10"/>
      <c r="AU10141" s="10"/>
      <c r="AV10141" s="10"/>
      <c r="AW10141" s="10"/>
      <c r="AX10141" s="10"/>
      <c r="AY10141" s="10"/>
      <c r="AZ10141" s="10"/>
    </row>
    <row r="10142" spans="31:52">
      <c r="AE10142" s="10"/>
      <c r="AF10142" s="10"/>
      <c r="AG10142" s="10"/>
      <c r="AH10142" s="10"/>
      <c r="AI10142" s="10"/>
      <c r="AJ10142" s="10"/>
      <c r="AK10142" s="10"/>
      <c r="AL10142" s="10"/>
      <c r="AM10142" s="10"/>
      <c r="AN10142" s="10"/>
      <c r="AO10142" s="10"/>
      <c r="AP10142" s="10"/>
      <c r="AQ10142" s="10"/>
      <c r="AR10142" s="10"/>
      <c r="AS10142" s="10"/>
      <c r="AT10142" s="10"/>
      <c r="AU10142" s="10"/>
      <c r="AV10142" s="10"/>
      <c r="AW10142" s="10"/>
      <c r="AX10142" s="10"/>
      <c r="AY10142" s="10"/>
      <c r="AZ10142" s="10"/>
    </row>
    <row r="10143" spans="31:52">
      <c r="AE10143" s="10"/>
      <c r="AF10143" s="10"/>
      <c r="AG10143" s="10"/>
      <c r="AH10143" s="10"/>
      <c r="AI10143" s="10"/>
      <c r="AJ10143" s="10"/>
      <c r="AK10143" s="10"/>
      <c r="AL10143" s="10"/>
      <c r="AM10143" s="10"/>
      <c r="AN10143" s="10"/>
      <c r="AO10143" s="10"/>
      <c r="AP10143" s="10"/>
      <c r="AQ10143" s="10"/>
      <c r="AR10143" s="10"/>
      <c r="AS10143" s="10"/>
      <c r="AT10143" s="10"/>
      <c r="AU10143" s="10"/>
      <c r="AV10143" s="10"/>
      <c r="AW10143" s="10"/>
      <c r="AX10143" s="10"/>
      <c r="AY10143" s="10"/>
      <c r="AZ10143" s="10"/>
    </row>
    <row r="10144" spans="31:52">
      <c r="AE10144" s="10"/>
      <c r="AF10144" s="10"/>
      <c r="AG10144" s="10"/>
      <c r="AH10144" s="10"/>
      <c r="AI10144" s="10"/>
      <c r="AJ10144" s="10"/>
      <c r="AK10144" s="10"/>
      <c r="AL10144" s="10"/>
      <c r="AM10144" s="10"/>
      <c r="AN10144" s="10"/>
      <c r="AO10144" s="10"/>
      <c r="AP10144" s="10"/>
      <c r="AQ10144" s="10"/>
      <c r="AR10144" s="10"/>
      <c r="AS10144" s="10"/>
      <c r="AT10144" s="10"/>
      <c r="AU10144" s="10"/>
      <c r="AV10144" s="10"/>
      <c r="AW10144" s="10"/>
      <c r="AX10144" s="10"/>
      <c r="AY10144" s="10"/>
      <c r="AZ10144" s="10"/>
    </row>
    <row r="10145" spans="31:52">
      <c r="AE10145" s="10"/>
      <c r="AF10145" s="10"/>
      <c r="AG10145" s="10"/>
      <c r="AH10145" s="10"/>
      <c r="AI10145" s="10"/>
      <c r="AJ10145" s="10"/>
      <c r="AK10145" s="10"/>
      <c r="AL10145" s="10"/>
      <c r="AM10145" s="10"/>
      <c r="AN10145" s="10"/>
      <c r="AO10145" s="10"/>
      <c r="AP10145" s="10"/>
      <c r="AQ10145" s="10"/>
      <c r="AR10145" s="10"/>
      <c r="AS10145" s="10"/>
      <c r="AT10145" s="10"/>
      <c r="AU10145" s="10"/>
      <c r="AV10145" s="10"/>
      <c r="AW10145" s="10"/>
      <c r="AX10145" s="10"/>
      <c r="AY10145" s="10"/>
      <c r="AZ10145" s="10"/>
    </row>
    <row r="10146" spans="31:52">
      <c r="AE10146" s="10"/>
      <c r="AF10146" s="10"/>
      <c r="AG10146" s="10"/>
      <c r="AH10146" s="10"/>
      <c r="AI10146" s="10"/>
      <c r="AJ10146" s="10"/>
      <c r="AK10146" s="10"/>
      <c r="AL10146" s="10"/>
      <c r="AM10146" s="10"/>
      <c r="AN10146" s="10"/>
      <c r="AO10146" s="10"/>
      <c r="AP10146" s="10"/>
      <c r="AQ10146" s="10"/>
      <c r="AR10146" s="10"/>
      <c r="AS10146" s="10"/>
      <c r="AT10146" s="10"/>
      <c r="AU10146" s="10"/>
      <c r="AV10146" s="10"/>
      <c r="AW10146" s="10"/>
      <c r="AX10146" s="10"/>
      <c r="AY10146" s="10"/>
      <c r="AZ10146" s="10"/>
    </row>
    <row r="10147" spans="31:52">
      <c r="AE10147" s="10"/>
      <c r="AF10147" s="10"/>
      <c r="AG10147" s="10"/>
      <c r="AH10147" s="10"/>
      <c r="AI10147" s="10"/>
      <c r="AJ10147" s="10"/>
      <c r="AK10147" s="10"/>
      <c r="AL10147" s="10"/>
      <c r="AM10147" s="10"/>
      <c r="AN10147" s="10"/>
      <c r="AO10147" s="10"/>
      <c r="AP10147" s="10"/>
      <c r="AQ10147" s="10"/>
      <c r="AR10147" s="10"/>
      <c r="AS10147" s="10"/>
      <c r="AT10147" s="10"/>
      <c r="AU10147" s="10"/>
      <c r="AV10147" s="10"/>
      <c r="AW10147" s="10"/>
      <c r="AX10147" s="10"/>
      <c r="AY10147" s="10"/>
      <c r="AZ10147" s="10"/>
    </row>
    <row r="10148" spans="31:52">
      <c r="AE10148" s="10"/>
      <c r="AF10148" s="10"/>
      <c r="AG10148" s="10"/>
      <c r="AH10148" s="10"/>
      <c r="AI10148" s="10"/>
      <c r="AJ10148" s="10"/>
      <c r="AK10148" s="10"/>
      <c r="AL10148" s="10"/>
      <c r="AM10148" s="10"/>
      <c r="AN10148" s="10"/>
      <c r="AO10148" s="10"/>
      <c r="AP10148" s="10"/>
      <c r="AQ10148" s="10"/>
      <c r="AR10148" s="10"/>
      <c r="AS10148" s="10"/>
      <c r="AT10148" s="10"/>
      <c r="AU10148" s="10"/>
      <c r="AV10148" s="10"/>
      <c r="AW10148" s="10"/>
      <c r="AX10148" s="10"/>
      <c r="AY10148" s="10"/>
      <c r="AZ10148" s="10"/>
    </row>
    <row r="10149" spans="31:52">
      <c r="AE10149" s="10"/>
      <c r="AF10149" s="10"/>
      <c r="AG10149" s="10"/>
      <c r="AH10149" s="10"/>
      <c r="AI10149" s="10"/>
      <c r="AJ10149" s="10"/>
      <c r="AK10149" s="10"/>
      <c r="AL10149" s="10"/>
      <c r="AM10149" s="10"/>
      <c r="AN10149" s="10"/>
      <c r="AO10149" s="10"/>
      <c r="AP10149" s="10"/>
      <c r="AQ10149" s="10"/>
      <c r="AR10149" s="10"/>
      <c r="AS10149" s="10"/>
      <c r="AT10149" s="10"/>
      <c r="AU10149" s="10"/>
      <c r="AV10149" s="10"/>
      <c r="AW10149" s="10"/>
      <c r="AX10149" s="10"/>
      <c r="AY10149" s="10"/>
      <c r="AZ10149" s="10"/>
    </row>
    <row r="10150" spans="31:52">
      <c r="AE10150" s="10"/>
      <c r="AF10150" s="10"/>
      <c r="AG10150" s="10"/>
      <c r="AH10150" s="10"/>
      <c r="AI10150" s="10"/>
      <c r="AJ10150" s="10"/>
      <c r="AK10150" s="10"/>
      <c r="AL10150" s="10"/>
      <c r="AM10150" s="10"/>
      <c r="AN10150" s="10"/>
      <c r="AO10150" s="10"/>
      <c r="AP10150" s="10"/>
      <c r="AQ10150" s="10"/>
      <c r="AR10150" s="10"/>
      <c r="AS10150" s="10"/>
      <c r="AT10150" s="10"/>
      <c r="AU10150" s="10"/>
      <c r="AV10150" s="10"/>
      <c r="AW10150" s="10"/>
      <c r="AX10150" s="10"/>
      <c r="AY10150" s="10"/>
      <c r="AZ10150" s="10"/>
    </row>
    <row r="10151" spans="31:52">
      <c r="AE10151" s="10"/>
      <c r="AF10151" s="10"/>
      <c r="AG10151" s="10"/>
      <c r="AH10151" s="10"/>
      <c r="AI10151" s="10"/>
      <c r="AJ10151" s="10"/>
      <c r="AK10151" s="10"/>
      <c r="AL10151" s="10"/>
      <c r="AM10151" s="10"/>
      <c r="AN10151" s="10"/>
      <c r="AO10151" s="10"/>
      <c r="AP10151" s="10"/>
      <c r="AQ10151" s="10"/>
      <c r="AR10151" s="10"/>
      <c r="AS10151" s="10"/>
      <c r="AT10151" s="10"/>
      <c r="AU10151" s="10"/>
      <c r="AV10151" s="10"/>
      <c r="AW10151" s="10"/>
      <c r="AX10151" s="10"/>
      <c r="AY10151" s="10"/>
      <c r="AZ10151" s="10"/>
    </row>
    <row r="10152" spans="31:52">
      <c r="AE10152" s="10"/>
      <c r="AF10152" s="10"/>
      <c r="AG10152" s="10"/>
      <c r="AH10152" s="10"/>
      <c r="AI10152" s="10"/>
      <c r="AJ10152" s="10"/>
      <c r="AK10152" s="10"/>
      <c r="AL10152" s="10"/>
      <c r="AM10152" s="10"/>
      <c r="AN10152" s="10"/>
      <c r="AO10152" s="10"/>
      <c r="AP10152" s="10"/>
      <c r="AQ10152" s="10"/>
      <c r="AR10152" s="10"/>
      <c r="AS10152" s="10"/>
      <c r="AT10152" s="10"/>
      <c r="AU10152" s="10"/>
      <c r="AV10152" s="10"/>
      <c r="AW10152" s="10"/>
      <c r="AX10152" s="10"/>
      <c r="AY10152" s="10"/>
      <c r="AZ10152" s="10"/>
    </row>
    <row r="10153" spans="31:52">
      <c r="AE10153" s="10"/>
      <c r="AF10153" s="10"/>
      <c r="AG10153" s="10"/>
      <c r="AH10153" s="10"/>
      <c r="AI10153" s="10"/>
      <c r="AJ10153" s="10"/>
      <c r="AK10153" s="10"/>
      <c r="AL10153" s="10"/>
      <c r="AM10153" s="10"/>
      <c r="AN10153" s="10"/>
      <c r="AO10153" s="10"/>
      <c r="AP10153" s="10"/>
      <c r="AQ10153" s="10"/>
      <c r="AR10153" s="10"/>
      <c r="AS10153" s="10"/>
      <c r="AT10153" s="10"/>
      <c r="AU10153" s="10"/>
      <c r="AV10153" s="10"/>
      <c r="AW10153" s="10"/>
      <c r="AX10153" s="10"/>
      <c r="AY10153" s="10"/>
      <c r="AZ10153" s="10"/>
    </row>
    <row r="10154" spans="31:52">
      <c r="AE10154" s="10"/>
      <c r="AF10154" s="10"/>
      <c r="AG10154" s="10"/>
      <c r="AH10154" s="10"/>
      <c r="AI10154" s="10"/>
      <c r="AJ10154" s="10"/>
      <c r="AK10154" s="10"/>
      <c r="AL10154" s="10"/>
      <c r="AM10154" s="10"/>
      <c r="AN10154" s="10"/>
      <c r="AO10154" s="10"/>
      <c r="AP10154" s="10"/>
      <c r="AQ10154" s="10"/>
      <c r="AR10154" s="10"/>
      <c r="AS10154" s="10"/>
      <c r="AT10154" s="10"/>
      <c r="AU10154" s="10"/>
      <c r="AV10154" s="10"/>
      <c r="AW10154" s="10"/>
      <c r="AX10154" s="10"/>
      <c r="AY10154" s="10"/>
      <c r="AZ10154" s="10"/>
    </row>
    <row r="10155" spans="31:52">
      <c r="AE10155" s="10"/>
      <c r="AF10155" s="10"/>
      <c r="AG10155" s="10"/>
      <c r="AH10155" s="10"/>
      <c r="AI10155" s="10"/>
      <c r="AJ10155" s="10"/>
      <c r="AK10155" s="10"/>
      <c r="AL10155" s="10"/>
      <c r="AM10155" s="10"/>
      <c r="AN10155" s="10"/>
      <c r="AO10155" s="10"/>
      <c r="AP10155" s="10"/>
      <c r="AQ10155" s="10"/>
      <c r="AR10155" s="10"/>
      <c r="AS10155" s="10"/>
      <c r="AT10155" s="10"/>
      <c r="AU10155" s="10"/>
      <c r="AV10155" s="10"/>
      <c r="AW10155" s="10"/>
      <c r="AX10155" s="10"/>
      <c r="AY10155" s="10"/>
      <c r="AZ10155" s="10"/>
    </row>
    <row r="10156" spans="31:52">
      <c r="AE10156" s="10"/>
      <c r="AF10156" s="10"/>
      <c r="AG10156" s="10"/>
      <c r="AH10156" s="10"/>
      <c r="AI10156" s="10"/>
      <c r="AJ10156" s="10"/>
      <c r="AK10156" s="10"/>
      <c r="AL10156" s="10"/>
      <c r="AM10156" s="10"/>
      <c r="AN10156" s="10"/>
      <c r="AO10156" s="10"/>
      <c r="AP10156" s="10"/>
      <c r="AQ10156" s="10"/>
      <c r="AR10156" s="10"/>
      <c r="AS10156" s="10"/>
      <c r="AT10156" s="10"/>
      <c r="AU10156" s="10"/>
      <c r="AV10156" s="10"/>
      <c r="AW10156" s="10"/>
      <c r="AX10156" s="10"/>
      <c r="AY10156" s="10"/>
      <c r="AZ10156" s="10"/>
    </row>
    <row r="10157" spans="31:52">
      <c r="AE10157" s="10"/>
      <c r="AF10157" s="10"/>
      <c r="AG10157" s="10"/>
      <c r="AH10157" s="10"/>
      <c r="AI10157" s="10"/>
      <c r="AJ10157" s="10"/>
      <c r="AK10157" s="10"/>
      <c r="AL10157" s="10"/>
      <c r="AM10157" s="10"/>
      <c r="AN10157" s="10"/>
      <c r="AO10157" s="10"/>
      <c r="AP10157" s="10"/>
      <c r="AQ10157" s="10"/>
      <c r="AR10157" s="10"/>
      <c r="AS10157" s="10"/>
      <c r="AT10157" s="10"/>
      <c r="AU10157" s="10"/>
      <c r="AV10157" s="10"/>
      <c r="AW10157" s="10"/>
      <c r="AX10157" s="10"/>
      <c r="AY10157" s="10"/>
      <c r="AZ10157" s="10"/>
    </row>
    <row r="10158" spans="31:52">
      <c r="AE10158" s="10"/>
      <c r="AF10158" s="10"/>
      <c r="AG10158" s="10"/>
      <c r="AH10158" s="10"/>
      <c r="AI10158" s="10"/>
      <c r="AJ10158" s="10"/>
      <c r="AK10158" s="10"/>
      <c r="AL10158" s="10"/>
      <c r="AM10158" s="10"/>
      <c r="AN10158" s="10"/>
      <c r="AO10158" s="10"/>
      <c r="AP10158" s="10"/>
      <c r="AQ10158" s="10"/>
      <c r="AR10158" s="10"/>
      <c r="AS10158" s="10"/>
      <c r="AT10158" s="10"/>
      <c r="AU10158" s="10"/>
      <c r="AV10158" s="10"/>
      <c r="AW10158" s="10"/>
      <c r="AX10158" s="10"/>
      <c r="AY10158" s="10"/>
      <c r="AZ10158" s="10"/>
    </row>
    <row r="10159" spans="31:52">
      <c r="AE10159" s="10"/>
      <c r="AF10159" s="10"/>
      <c r="AG10159" s="10"/>
      <c r="AH10159" s="10"/>
      <c r="AI10159" s="10"/>
      <c r="AJ10159" s="10"/>
      <c r="AK10159" s="10"/>
      <c r="AL10159" s="10"/>
      <c r="AM10159" s="10"/>
      <c r="AN10159" s="10"/>
      <c r="AO10159" s="10"/>
      <c r="AP10159" s="10"/>
      <c r="AQ10159" s="10"/>
      <c r="AR10159" s="10"/>
      <c r="AS10159" s="10"/>
      <c r="AT10159" s="10"/>
      <c r="AU10159" s="10"/>
      <c r="AV10159" s="10"/>
      <c r="AW10159" s="10"/>
      <c r="AX10159" s="10"/>
      <c r="AY10159" s="10"/>
      <c r="AZ10159" s="10"/>
    </row>
    <row r="10160" spans="31:52">
      <c r="AE10160" s="10"/>
      <c r="AF10160" s="10"/>
      <c r="AG10160" s="10"/>
      <c r="AH10160" s="10"/>
      <c r="AI10160" s="10"/>
      <c r="AJ10160" s="10"/>
      <c r="AK10160" s="10"/>
      <c r="AL10160" s="10"/>
      <c r="AM10160" s="10"/>
      <c r="AN10160" s="10"/>
      <c r="AO10160" s="10"/>
      <c r="AP10160" s="10"/>
      <c r="AQ10160" s="10"/>
      <c r="AR10160" s="10"/>
      <c r="AS10160" s="10"/>
      <c r="AT10160" s="10"/>
      <c r="AU10160" s="10"/>
      <c r="AV10160" s="10"/>
      <c r="AW10160" s="10"/>
      <c r="AX10160" s="10"/>
      <c r="AY10160" s="10"/>
      <c r="AZ10160" s="10"/>
    </row>
    <row r="10161" spans="31:52">
      <c r="AE10161" s="10"/>
      <c r="AF10161" s="10"/>
      <c r="AG10161" s="10"/>
      <c r="AH10161" s="10"/>
      <c r="AI10161" s="10"/>
      <c r="AJ10161" s="10"/>
      <c r="AK10161" s="10"/>
      <c r="AL10161" s="10"/>
      <c r="AM10161" s="10"/>
      <c r="AN10161" s="10"/>
      <c r="AO10161" s="10"/>
      <c r="AP10161" s="10"/>
      <c r="AQ10161" s="10"/>
      <c r="AR10161" s="10"/>
      <c r="AS10161" s="10"/>
      <c r="AT10161" s="10"/>
      <c r="AU10161" s="10"/>
      <c r="AV10161" s="10"/>
      <c r="AW10161" s="10"/>
      <c r="AX10161" s="10"/>
      <c r="AY10161" s="10"/>
      <c r="AZ10161" s="10"/>
    </row>
    <row r="10162" spans="31:52">
      <c r="AE10162" s="10"/>
      <c r="AF10162" s="10"/>
      <c r="AG10162" s="10"/>
      <c r="AH10162" s="10"/>
      <c r="AI10162" s="10"/>
      <c r="AJ10162" s="10"/>
      <c r="AK10162" s="10"/>
      <c r="AL10162" s="10"/>
      <c r="AM10162" s="10"/>
      <c r="AN10162" s="10"/>
      <c r="AO10162" s="10"/>
      <c r="AP10162" s="10"/>
      <c r="AQ10162" s="10"/>
      <c r="AR10162" s="10"/>
      <c r="AS10162" s="10"/>
      <c r="AT10162" s="10"/>
      <c r="AU10162" s="10"/>
      <c r="AV10162" s="10"/>
      <c r="AW10162" s="10"/>
      <c r="AX10162" s="10"/>
      <c r="AY10162" s="10"/>
      <c r="AZ10162" s="10"/>
    </row>
    <row r="10163" spans="31:52">
      <c r="AE10163" s="10"/>
      <c r="AF10163" s="10"/>
      <c r="AG10163" s="10"/>
      <c r="AH10163" s="10"/>
      <c r="AI10163" s="10"/>
      <c r="AJ10163" s="10"/>
      <c r="AK10163" s="10"/>
      <c r="AL10163" s="10"/>
      <c r="AM10163" s="10"/>
      <c r="AN10163" s="10"/>
      <c r="AO10163" s="10"/>
      <c r="AP10163" s="10"/>
      <c r="AQ10163" s="10"/>
      <c r="AR10163" s="10"/>
      <c r="AS10163" s="10"/>
      <c r="AT10163" s="10"/>
      <c r="AU10163" s="10"/>
      <c r="AV10163" s="10"/>
      <c r="AW10163" s="10"/>
      <c r="AX10163" s="10"/>
      <c r="AY10163" s="10"/>
      <c r="AZ10163" s="10"/>
    </row>
    <row r="10164" spans="31:52">
      <c r="AE10164" s="10"/>
      <c r="AF10164" s="10"/>
      <c r="AG10164" s="10"/>
      <c r="AH10164" s="10"/>
      <c r="AI10164" s="10"/>
      <c r="AJ10164" s="10"/>
      <c r="AK10164" s="10"/>
      <c r="AL10164" s="10"/>
      <c r="AM10164" s="10"/>
      <c r="AN10164" s="10"/>
      <c r="AO10164" s="10"/>
      <c r="AP10164" s="10"/>
      <c r="AQ10164" s="10"/>
      <c r="AR10164" s="10"/>
      <c r="AS10164" s="10"/>
      <c r="AT10164" s="10"/>
      <c r="AU10164" s="10"/>
      <c r="AV10164" s="10"/>
      <c r="AW10164" s="10"/>
      <c r="AX10164" s="10"/>
      <c r="AY10164" s="10"/>
      <c r="AZ10164" s="10"/>
    </row>
    <row r="10165" spans="31:52">
      <c r="AE10165" s="10"/>
      <c r="AF10165" s="10"/>
      <c r="AG10165" s="10"/>
      <c r="AH10165" s="10"/>
      <c r="AI10165" s="10"/>
      <c r="AJ10165" s="10"/>
      <c r="AK10165" s="10"/>
      <c r="AL10165" s="10"/>
      <c r="AM10165" s="10"/>
      <c r="AN10165" s="10"/>
      <c r="AO10165" s="10"/>
      <c r="AP10165" s="10"/>
      <c r="AQ10165" s="10"/>
      <c r="AR10165" s="10"/>
      <c r="AS10165" s="10"/>
      <c r="AT10165" s="10"/>
      <c r="AU10165" s="10"/>
      <c r="AV10165" s="10"/>
      <c r="AW10165" s="10"/>
      <c r="AX10165" s="10"/>
      <c r="AY10165" s="10"/>
      <c r="AZ10165" s="10"/>
    </row>
    <row r="10166" spans="31:52">
      <c r="AE10166" s="10"/>
      <c r="AF10166" s="10"/>
      <c r="AG10166" s="10"/>
      <c r="AH10166" s="10"/>
      <c r="AI10166" s="10"/>
      <c r="AJ10166" s="10"/>
      <c r="AK10166" s="10"/>
      <c r="AL10166" s="10"/>
      <c r="AM10166" s="10"/>
      <c r="AN10166" s="10"/>
      <c r="AO10166" s="10"/>
      <c r="AP10166" s="10"/>
      <c r="AQ10166" s="10"/>
      <c r="AR10166" s="10"/>
      <c r="AS10166" s="10"/>
      <c r="AT10166" s="10"/>
      <c r="AU10166" s="10"/>
      <c r="AV10166" s="10"/>
      <c r="AW10166" s="10"/>
      <c r="AX10166" s="10"/>
      <c r="AY10166" s="10"/>
      <c r="AZ10166" s="10"/>
    </row>
    <row r="10167" spans="31:52">
      <c r="AE10167" s="10"/>
      <c r="AF10167" s="10"/>
      <c r="AG10167" s="10"/>
      <c r="AH10167" s="10"/>
      <c r="AI10167" s="10"/>
      <c r="AJ10167" s="10"/>
      <c r="AK10167" s="10"/>
      <c r="AL10167" s="10"/>
      <c r="AM10167" s="10"/>
      <c r="AN10167" s="10"/>
      <c r="AO10167" s="10"/>
      <c r="AP10167" s="10"/>
      <c r="AQ10167" s="10"/>
      <c r="AR10167" s="10"/>
      <c r="AS10167" s="10"/>
      <c r="AT10167" s="10"/>
      <c r="AU10167" s="10"/>
      <c r="AV10167" s="10"/>
      <c r="AW10167" s="10"/>
      <c r="AX10167" s="10"/>
      <c r="AY10167" s="10"/>
      <c r="AZ10167" s="10"/>
    </row>
    <row r="10168" spans="31:52">
      <c r="AE10168" s="10"/>
      <c r="AF10168" s="10"/>
      <c r="AG10168" s="10"/>
      <c r="AH10168" s="10"/>
      <c r="AI10168" s="10"/>
      <c r="AJ10168" s="10"/>
      <c r="AK10168" s="10"/>
      <c r="AL10168" s="10"/>
      <c r="AM10168" s="10"/>
      <c r="AN10168" s="10"/>
      <c r="AO10168" s="10"/>
      <c r="AP10168" s="10"/>
      <c r="AQ10168" s="10"/>
      <c r="AR10168" s="10"/>
      <c r="AS10168" s="10"/>
      <c r="AT10168" s="10"/>
      <c r="AU10168" s="10"/>
      <c r="AV10168" s="10"/>
      <c r="AW10168" s="10"/>
      <c r="AX10168" s="10"/>
      <c r="AY10168" s="10"/>
      <c r="AZ10168" s="10"/>
    </row>
    <row r="10169" spans="31:52">
      <c r="AE10169" s="10"/>
      <c r="AF10169" s="10"/>
      <c r="AG10169" s="10"/>
      <c r="AH10169" s="10"/>
      <c r="AI10169" s="10"/>
      <c r="AJ10169" s="10"/>
      <c r="AK10169" s="10"/>
      <c r="AL10169" s="10"/>
      <c r="AM10169" s="10"/>
      <c r="AN10169" s="10"/>
      <c r="AO10169" s="10"/>
      <c r="AP10169" s="10"/>
      <c r="AQ10169" s="10"/>
      <c r="AR10169" s="10"/>
      <c r="AS10169" s="10"/>
      <c r="AT10169" s="10"/>
      <c r="AU10169" s="10"/>
      <c r="AV10169" s="10"/>
      <c r="AW10169" s="10"/>
      <c r="AX10169" s="10"/>
      <c r="AY10169" s="10"/>
      <c r="AZ10169" s="10"/>
    </row>
    <row r="10170" spans="31:52">
      <c r="AE10170" s="10"/>
      <c r="AF10170" s="10"/>
      <c r="AG10170" s="10"/>
      <c r="AH10170" s="10"/>
      <c r="AI10170" s="10"/>
      <c r="AJ10170" s="10"/>
      <c r="AK10170" s="10"/>
      <c r="AL10170" s="10"/>
      <c r="AM10170" s="10"/>
      <c r="AN10170" s="10"/>
      <c r="AO10170" s="10"/>
      <c r="AP10170" s="10"/>
      <c r="AQ10170" s="10"/>
      <c r="AR10170" s="10"/>
      <c r="AS10170" s="10"/>
      <c r="AT10170" s="10"/>
      <c r="AU10170" s="10"/>
      <c r="AV10170" s="10"/>
      <c r="AW10170" s="10"/>
      <c r="AX10170" s="10"/>
      <c r="AY10170" s="10"/>
      <c r="AZ10170" s="10"/>
    </row>
    <row r="10171" spans="31:52">
      <c r="AE10171" s="10"/>
      <c r="AF10171" s="10"/>
      <c r="AG10171" s="10"/>
      <c r="AH10171" s="10"/>
      <c r="AI10171" s="10"/>
      <c r="AJ10171" s="10"/>
      <c r="AK10171" s="10"/>
      <c r="AL10171" s="10"/>
      <c r="AM10171" s="10"/>
      <c r="AN10171" s="10"/>
      <c r="AO10171" s="10"/>
      <c r="AP10171" s="10"/>
      <c r="AQ10171" s="10"/>
      <c r="AR10171" s="10"/>
      <c r="AS10171" s="10"/>
      <c r="AT10171" s="10"/>
      <c r="AU10171" s="10"/>
      <c r="AV10171" s="10"/>
      <c r="AW10171" s="10"/>
      <c r="AX10171" s="10"/>
      <c r="AY10171" s="10"/>
      <c r="AZ10171" s="10"/>
    </row>
    <row r="10172" spans="31:52">
      <c r="AE10172" s="10"/>
      <c r="AF10172" s="10"/>
      <c r="AG10172" s="10"/>
      <c r="AH10172" s="10"/>
      <c r="AI10172" s="10"/>
      <c r="AJ10172" s="10"/>
      <c r="AK10172" s="10"/>
      <c r="AL10172" s="10"/>
      <c r="AM10172" s="10"/>
      <c r="AN10172" s="10"/>
      <c r="AO10172" s="10"/>
      <c r="AP10172" s="10"/>
      <c r="AQ10172" s="10"/>
      <c r="AR10172" s="10"/>
      <c r="AS10172" s="10"/>
      <c r="AT10172" s="10"/>
      <c r="AU10172" s="10"/>
      <c r="AV10172" s="10"/>
      <c r="AW10172" s="10"/>
      <c r="AX10172" s="10"/>
      <c r="AY10172" s="10"/>
      <c r="AZ10172" s="10"/>
    </row>
    <row r="10173" spans="31:52">
      <c r="AE10173" s="10"/>
      <c r="AF10173" s="10"/>
      <c r="AG10173" s="10"/>
      <c r="AH10173" s="10"/>
      <c r="AI10173" s="10"/>
      <c r="AJ10173" s="10"/>
      <c r="AK10173" s="10"/>
      <c r="AL10173" s="10"/>
      <c r="AM10173" s="10"/>
      <c r="AN10173" s="10"/>
      <c r="AO10173" s="10"/>
      <c r="AP10173" s="10"/>
      <c r="AQ10173" s="10"/>
      <c r="AR10173" s="10"/>
      <c r="AS10173" s="10"/>
      <c r="AT10173" s="10"/>
      <c r="AU10173" s="10"/>
      <c r="AV10173" s="10"/>
      <c r="AW10173" s="10"/>
      <c r="AX10173" s="10"/>
      <c r="AY10173" s="10"/>
      <c r="AZ10173" s="10"/>
    </row>
    <row r="10174" spans="31:52">
      <c r="AE10174" s="10"/>
      <c r="AF10174" s="10"/>
      <c r="AG10174" s="10"/>
      <c r="AH10174" s="10"/>
      <c r="AI10174" s="10"/>
      <c r="AJ10174" s="10"/>
      <c r="AK10174" s="10"/>
      <c r="AL10174" s="10"/>
      <c r="AM10174" s="10"/>
      <c r="AN10174" s="10"/>
      <c r="AO10174" s="10"/>
      <c r="AP10174" s="10"/>
      <c r="AQ10174" s="10"/>
      <c r="AR10174" s="10"/>
      <c r="AS10174" s="10"/>
      <c r="AT10174" s="10"/>
      <c r="AU10174" s="10"/>
      <c r="AV10174" s="10"/>
      <c r="AW10174" s="10"/>
      <c r="AX10174" s="10"/>
      <c r="AY10174" s="10"/>
      <c r="AZ10174" s="10"/>
    </row>
    <row r="10175" spans="31:52">
      <c r="AE10175" s="10"/>
      <c r="AF10175" s="10"/>
      <c r="AG10175" s="10"/>
      <c r="AH10175" s="10"/>
      <c r="AI10175" s="10"/>
      <c r="AJ10175" s="10"/>
      <c r="AK10175" s="10"/>
      <c r="AL10175" s="10"/>
      <c r="AM10175" s="10"/>
      <c r="AN10175" s="10"/>
      <c r="AO10175" s="10"/>
      <c r="AP10175" s="10"/>
      <c r="AQ10175" s="10"/>
      <c r="AR10175" s="10"/>
      <c r="AS10175" s="10"/>
      <c r="AT10175" s="10"/>
      <c r="AU10175" s="10"/>
      <c r="AV10175" s="10"/>
      <c r="AW10175" s="10"/>
      <c r="AX10175" s="10"/>
      <c r="AY10175" s="10"/>
      <c r="AZ10175" s="10"/>
    </row>
    <row r="10176" spans="31:52">
      <c r="AE10176" s="10"/>
      <c r="AF10176" s="10"/>
      <c r="AG10176" s="10"/>
      <c r="AH10176" s="10"/>
      <c r="AI10176" s="10"/>
      <c r="AJ10176" s="10"/>
      <c r="AK10176" s="10"/>
      <c r="AL10176" s="10"/>
      <c r="AM10176" s="10"/>
      <c r="AN10176" s="10"/>
      <c r="AO10176" s="10"/>
      <c r="AP10176" s="10"/>
      <c r="AQ10176" s="10"/>
      <c r="AR10176" s="10"/>
      <c r="AS10176" s="10"/>
      <c r="AT10176" s="10"/>
      <c r="AU10176" s="10"/>
      <c r="AV10176" s="10"/>
      <c r="AW10176" s="10"/>
      <c r="AX10176" s="10"/>
      <c r="AY10176" s="10"/>
      <c r="AZ10176" s="10"/>
    </row>
    <row r="10177" spans="31:52">
      <c r="AE10177" s="10"/>
      <c r="AF10177" s="10"/>
      <c r="AG10177" s="10"/>
      <c r="AH10177" s="10"/>
      <c r="AI10177" s="10"/>
      <c r="AJ10177" s="10"/>
      <c r="AK10177" s="10"/>
      <c r="AL10177" s="10"/>
      <c r="AM10177" s="10"/>
      <c r="AN10177" s="10"/>
      <c r="AO10177" s="10"/>
      <c r="AP10177" s="10"/>
      <c r="AQ10177" s="10"/>
      <c r="AR10177" s="10"/>
      <c r="AS10177" s="10"/>
      <c r="AT10177" s="10"/>
      <c r="AU10177" s="10"/>
      <c r="AV10177" s="10"/>
      <c r="AW10177" s="10"/>
      <c r="AX10177" s="10"/>
      <c r="AY10177" s="10"/>
      <c r="AZ10177" s="10"/>
    </row>
    <row r="10178" spans="31:52">
      <c r="AE10178" s="10"/>
      <c r="AF10178" s="10"/>
      <c r="AG10178" s="10"/>
      <c r="AH10178" s="10"/>
      <c r="AI10178" s="10"/>
      <c r="AJ10178" s="10"/>
      <c r="AK10178" s="10"/>
      <c r="AL10178" s="10"/>
      <c r="AM10178" s="10"/>
      <c r="AN10178" s="10"/>
      <c r="AO10178" s="10"/>
      <c r="AP10178" s="10"/>
      <c r="AQ10178" s="10"/>
      <c r="AR10178" s="10"/>
      <c r="AS10178" s="10"/>
      <c r="AT10178" s="10"/>
      <c r="AU10178" s="10"/>
      <c r="AV10178" s="10"/>
      <c r="AW10178" s="10"/>
      <c r="AX10178" s="10"/>
      <c r="AY10178" s="10"/>
      <c r="AZ10178" s="10"/>
    </row>
    <row r="10179" spans="31:52">
      <c r="AE10179" s="10"/>
      <c r="AF10179" s="10"/>
      <c r="AG10179" s="10"/>
      <c r="AH10179" s="10"/>
      <c r="AI10179" s="10"/>
      <c r="AJ10179" s="10"/>
      <c r="AK10179" s="10"/>
      <c r="AL10179" s="10"/>
      <c r="AM10179" s="10"/>
      <c r="AN10179" s="10"/>
      <c r="AO10179" s="10"/>
      <c r="AP10179" s="10"/>
      <c r="AQ10179" s="10"/>
      <c r="AR10179" s="10"/>
      <c r="AS10179" s="10"/>
      <c r="AT10179" s="10"/>
      <c r="AU10179" s="10"/>
      <c r="AV10179" s="10"/>
      <c r="AW10179" s="10"/>
      <c r="AX10179" s="10"/>
      <c r="AY10179" s="10"/>
      <c r="AZ10179" s="10"/>
    </row>
    <row r="10180" spans="31:52">
      <c r="AE10180" s="10"/>
      <c r="AF10180" s="10"/>
      <c r="AG10180" s="10"/>
      <c r="AH10180" s="10"/>
      <c r="AI10180" s="10"/>
      <c r="AJ10180" s="10"/>
      <c r="AK10180" s="10"/>
      <c r="AL10180" s="10"/>
      <c r="AM10180" s="10"/>
      <c r="AN10180" s="10"/>
      <c r="AO10180" s="10"/>
      <c r="AP10180" s="10"/>
      <c r="AQ10180" s="10"/>
      <c r="AR10180" s="10"/>
      <c r="AS10180" s="10"/>
      <c r="AT10180" s="10"/>
      <c r="AU10180" s="10"/>
      <c r="AV10180" s="10"/>
      <c r="AW10180" s="10"/>
      <c r="AX10180" s="10"/>
      <c r="AY10180" s="10"/>
      <c r="AZ10180" s="10"/>
    </row>
    <row r="10181" spans="31:52">
      <c r="AE10181" s="10"/>
      <c r="AF10181" s="10"/>
      <c r="AG10181" s="10"/>
      <c r="AH10181" s="10"/>
      <c r="AI10181" s="10"/>
      <c r="AJ10181" s="10"/>
      <c r="AK10181" s="10"/>
      <c r="AL10181" s="10"/>
      <c r="AM10181" s="10"/>
      <c r="AN10181" s="10"/>
      <c r="AO10181" s="10"/>
      <c r="AP10181" s="10"/>
      <c r="AQ10181" s="10"/>
      <c r="AR10181" s="10"/>
      <c r="AS10181" s="10"/>
      <c r="AT10181" s="10"/>
      <c r="AU10181" s="10"/>
      <c r="AV10181" s="10"/>
      <c r="AW10181" s="10"/>
      <c r="AX10181" s="10"/>
      <c r="AY10181" s="10"/>
      <c r="AZ10181" s="10"/>
    </row>
    <row r="10182" spans="31:52">
      <c r="AE10182" s="10"/>
      <c r="AF10182" s="10"/>
      <c r="AG10182" s="10"/>
      <c r="AH10182" s="10"/>
      <c r="AI10182" s="10"/>
      <c r="AJ10182" s="10"/>
      <c r="AK10182" s="10"/>
      <c r="AL10182" s="10"/>
      <c r="AM10182" s="10"/>
      <c r="AN10182" s="10"/>
      <c r="AO10182" s="10"/>
      <c r="AP10182" s="10"/>
      <c r="AQ10182" s="10"/>
      <c r="AR10182" s="10"/>
      <c r="AS10182" s="10"/>
      <c r="AT10182" s="10"/>
      <c r="AU10182" s="10"/>
      <c r="AV10182" s="10"/>
      <c r="AW10182" s="10"/>
      <c r="AX10182" s="10"/>
      <c r="AY10182" s="10"/>
      <c r="AZ10182" s="10"/>
    </row>
    <row r="10183" spans="31:52">
      <c r="AE10183" s="10"/>
      <c r="AF10183" s="10"/>
      <c r="AG10183" s="10"/>
      <c r="AH10183" s="10"/>
      <c r="AI10183" s="10"/>
      <c r="AJ10183" s="10"/>
      <c r="AK10183" s="10"/>
      <c r="AL10183" s="10"/>
      <c r="AM10183" s="10"/>
      <c r="AN10183" s="10"/>
      <c r="AO10183" s="10"/>
      <c r="AP10183" s="10"/>
      <c r="AQ10183" s="10"/>
      <c r="AR10183" s="10"/>
      <c r="AS10183" s="10"/>
      <c r="AT10183" s="10"/>
      <c r="AU10183" s="10"/>
      <c r="AV10183" s="10"/>
      <c r="AW10183" s="10"/>
      <c r="AX10183" s="10"/>
      <c r="AY10183" s="10"/>
      <c r="AZ10183" s="10"/>
    </row>
    <row r="10184" spans="31:52">
      <c r="AE10184" s="10"/>
      <c r="AF10184" s="10"/>
      <c r="AG10184" s="10"/>
      <c r="AH10184" s="10"/>
      <c r="AI10184" s="10"/>
      <c r="AJ10184" s="10"/>
      <c r="AK10184" s="10"/>
      <c r="AL10184" s="10"/>
      <c r="AM10184" s="10"/>
      <c r="AN10184" s="10"/>
      <c r="AO10184" s="10"/>
      <c r="AP10184" s="10"/>
      <c r="AQ10184" s="10"/>
      <c r="AR10184" s="10"/>
      <c r="AS10184" s="10"/>
      <c r="AT10184" s="10"/>
      <c r="AU10184" s="10"/>
      <c r="AV10184" s="10"/>
      <c r="AW10184" s="10"/>
      <c r="AX10184" s="10"/>
      <c r="AY10184" s="10"/>
      <c r="AZ10184" s="10"/>
    </row>
    <row r="10185" spans="31:52">
      <c r="AE10185" s="10"/>
      <c r="AF10185" s="10"/>
      <c r="AG10185" s="10"/>
      <c r="AH10185" s="10"/>
      <c r="AI10185" s="10"/>
      <c r="AJ10185" s="10"/>
      <c r="AK10185" s="10"/>
      <c r="AL10185" s="10"/>
      <c r="AM10185" s="10"/>
      <c r="AN10185" s="10"/>
      <c r="AO10185" s="10"/>
      <c r="AP10185" s="10"/>
      <c r="AQ10185" s="10"/>
      <c r="AR10185" s="10"/>
      <c r="AS10185" s="10"/>
      <c r="AT10185" s="10"/>
      <c r="AU10185" s="10"/>
      <c r="AV10185" s="10"/>
      <c r="AW10185" s="10"/>
      <c r="AX10185" s="10"/>
      <c r="AY10185" s="10"/>
      <c r="AZ10185" s="10"/>
    </row>
    <row r="10186" spans="31:52">
      <c r="AE10186" s="10"/>
      <c r="AF10186" s="10"/>
      <c r="AG10186" s="10"/>
      <c r="AH10186" s="10"/>
      <c r="AI10186" s="10"/>
      <c r="AJ10186" s="10"/>
      <c r="AK10186" s="10"/>
      <c r="AL10186" s="10"/>
      <c r="AM10186" s="10"/>
      <c r="AN10186" s="10"/>
      <c r="AO10186" s="10"/>
      <c r="AP10186" s="10"/>
      <c r="AQ10186" s="10"/>
      <c r="AR10186" s="10"/>
      <c r="AS10186" s="10"/>
      <c r="AT10186" s="10"/>
      <c r="AU10186" s="10"/>
      <c r="AV10186" s="10"/>
      <c r="AW10186" s="10"/>
      <c r="AX10186" s="10"/>
      <c r="AY10186" s="10"/>
      <c r="AZ10186" s="10"/>
    </row>
    <row r="10187" spans="31:52">
      <c r="AE10187" s="10"/>
      <c r="AF10187" s="10"/>
      <c r="AG10187" s="10"/>
      <c r="AH10187" s="10"/>
      <c r="AI10187" s="10"/>
      <c r="AJ10187" s="10"/>
      <c r="AK10187" s="10"/>
      <c r="AL10187" s="10"/>
      <c r="AM10187" s="10"/>
      <c r="AN10187" s="10"/>
      <c r="AO10187" s="10"/>
      <c r="AP10187" s="10"/>
      <c r="AQ10187" s="10"/>
      <c r="AR10187" s="10"/>
      <c r="AS10187" s="10"/>
      <c r="AT10187" s="10"/>
      <c r="AU10187" s="10"/>
      <c r="AV10187" s="10"/>
      <c r="AW10187" s="10"/>
      <c r="AX10187" s="10"/>
      <c r="AY10187" s="10"/>
      <c r="AZ10187" s="10"/>
    </row>
    <row r="10188" spans="31:52">
      <c r="AE10188" s="10"/>
      <c r="AF10188" s="10"/>
      <c r="AG10188" s="10"/>
      <c r="AH10188" s="10"/>
      <c r="AI10188" s="10"/>
      <c r="AJ10188" s="10"/>
      <c r="AK10188" s="10"/>
      <c r="AL10188" s="10"/>
      <c r="AM10188" s="10"/>
      <c r="AN10188" s="10"/>
      <c r="AO10188" s="10"/>
      <c r="AP10188" s="10"/>
      <c r="AQ10188" s="10"/>
      <c r="AR10188" s="10"/>
      <c r="AS10188" s="10"/>
      <c r="AT10188" s="10"/>
      <c r="AU10188" s="10"/>
      <c r="AV10188" s="10"/>
      <c r="AW10188" s="10"/>
      <c r="AX10188" s="10"/>
      <c r="AY10188" s="10"/>
      <c r="AZ10188" s="10"/>
    </row>
    <row r="10189" spans="31:52">
      <c r="AE10189" s="10"/>
      <c r="AF10189" s="10"/>
      <c r="AG10189" s="10"/>
      <c r="AH10189" s="10"/>
      <c r="AI10189" s="10"/>
      <c r="AJ10189" s="10"/>
      <c r="AK10189" s="10"/>
      <c r="AL10189" s="10"/>
      <c r="AM10189" s="10"/>
      <c r="AN10189" s="10"/>
      <c r="AO10189" s="10"/>
      <c r="AP10189" s="10"/>
      <c r="AQ10189" s="10"/>
      <c r="AR10189" s="10"/>
      <c r="AS10189" s="10"/>
      <c r="AT10189" s="10"/>
      <c r="AU10189" s="10"/>
      <c r="AV10189" s="10"/>
      <c r="AW10189" s="10"/>
      <c r="AX10189" s="10"/>
      <c r="AY10189" s="10"/>
      <c r="AZ10189" s="10"/>
    </row>
    <row r="10190" spans="31:52">
      <c r="AE10190" s="10"/>
      <c r="AF10190" s="10"/>
      <c r="AG10190" s="10"/>
      <c r="AH10190" s="10"/>
      <c r="AI10190" s="10"/>
      <c r="AJ10190" s="10"/>
      <c r="AK10190" s="10"/>
      <c r="AL10190" s="10"/>
      <c r="AM10190" s="10"/>
      <c r="AN10190" s="10"/>
      <c r="AO10190" s="10"/>
      <c r="AP10190" s="10"/>
      <c r="AQ10190" s="10"/>
      <c r="AR10190" s="10"/>
      <c r="AS10190" s="10"/>
      <c r="AT10190" s="10"/>
      <c r="AU10190" s="10"/>
      <c r="AV10190" s="10"/>
      <c r="AW10190" s="10"/>
      <c r="AX10190" s="10"/>
      <c r="AY10190" s="10"/>
      <c r="AZ10190" s="10"/>
    </row>
    <row r="10191" spans="31:52">
      <c r="AE10191" s="10"/>
      <c r="AF10191" s="10"/>
      <c r="AG10191" s="10"/>
      <c r="AH10191" s="10"/>
      <c r="AI10191" s="10"/>
      <c r="AJ10191" s="10"/>
      <c r="AK10191" s="10"/>
      <c r="AL10191" s="10"/>
      <c r="AM10191" s="10"/>
      <c r="AN10191" s="10"/>
      <c r="AO10191" s="10"/>
      <c r="AP10191" s="10"/>
      <c r="AQ10191" s="10"/>
      <c r="AR10191" s="10"/>
      <c r="AS10191" s="10"/>
      <c r="AT10191" s="10"/>
      <c r="AU10191" s="10"/>
      <c r="AV10191" s="10"/>
      <c r="AW10191" s="10"/>
      <c r="AX10191" s="10"/>
      <c r="AY10191" s="10"/>
      <c r="AZ10191" s="10"/>
    </row>
    <row r="10192" spans="31:52">
      <c r="AE10192" s="10"/>
      <c r="AF10192" s="10"/>
      <c r="AG10192" s="10"/>
      <c r="AH10192" s="10"/>
      <c r="AI10192" s="10"/>
      <c r="AJ10192" s="10"/>
      <c r="AK10192" s="10"/>
      <c r="AL10192" s="10"/>
      <c r="AM10192" s="10"/>
      <c r="AN10192" s="10"/>
      <c r="AO10192" s="10"/>
      <c r="AP10192" s="10"/>
      <c r="AQ10192" s="10"/>
      <c r="AR10192" s="10"/>
      <c r="AS10192" s="10"/>
      <c r="AT10192" s="10"/>
      <c r="AU10192" s="10"/>
      <c r="AV10192" s="10"/>
      <c r="AW10192" s="10"/>
      <c r="AX10192" s="10"/>
      <c r="AY10192" s="10"/>
      <c r="AZ10192" s="10"/>
    </row>
    <row r="10193" spans="31:52">
      <c r="AE10193" s="10"/>
      <c r="AF10193" s="10"/>
      <c r="AG10193" s="10"/>
      <c r="AH10193" s="10"/>
      <c r="AI10193" s="10"/>
      <c r="AJ10193" s="10"/>
      <c r="AK10193" s="10"/>
      <c r="AL10193" s="10"/>
      <c r="AM10193" s="10"/>
      <c r="AN10193" s="10"/>
      <c r="AO10193" s="10"/>
      <c r="AP10193" s="10"/>
      <c r="AQ10193" s="10"/>
      <c r="AR10193" s="10"/>
      <c r="AS10193" s="10"/>
      <c r="AT10193" s="10"/>
      <c r="AU10193" s="10"/>
      <c r="AV10193" s="10"/>
      <c r="AW10193" s="10"/>
      <c r="AX10193" s="10"/>
      <c r="AY10193" s="10"/>
      <c r="AZ10193" s="10"/>
    </row>
    <row r="10194" spans="31:52">
      <c r="AE10194" s="10"/>
      <c r="AF10194" s="10"/>
      <c r="AG10194" s="10"/>
      <c r="AH10194" s="10"/>
      <c r="AI10194" s="10"/>
      <c r="AJ10194" s="10"/>
      <c r="AK10194" s="10"/>
      <c r="AL10194" s="10"/>
      <c r="AM10194" s="10"/>
      <c r="AN10194" s="10"/>
      <c r="AO10194" s="10"/>
      <c r="AP10194" s="10"/>
      <c r="AQ10194" s="10"/>
      <c r="AR10194" s="10"/>
      <c r="AS10194" s="10"/>
      <c r="AT10194" s="10"/>
      <c r="AU10194" s="10"/>
      <c r="AV10194" s="10"/>
      <c r="AW10194" s="10"/>
      <c r="AX10194" s="10"/>
      <c r="AY10194" s="10"/>
      <c r="AZ10194" s="10"/>
    </row>
    <row r="10195" spans="31:52">
      <c r="AE10195" s="10"/>
      <c r="AF10195" s="10"/>
      <c r="AG10195" s="10"/>
      <c r="AH10195" s="10"/>
      <c r="AI10195" s="10"/>
      <c r="AJ10195" s="10"/>
      <c r="AK10195" s="10"/>
      <c r="AL10195" s="10"/>
      <c r="AM10195" s="10"/>
      <c r="AN10195" s="10"/>
      <c r="AO10195" s="10"/>
      <c r="AP10195" s="10"/>
      <c r="AQ10195" s="10"/>
      <c r="AR10195" s="10"/>
      <c r="AS10195" s="10"/>
      <c r="AT10195" s="10"/>
      <c r="AU10195" s="10"/>
      <c r="AV10195" s="10"/>
      <c r="AW10195" s="10"/>
      <c r="AX10195" s="10"/>
      <c r="AY10195" s="10"/>
      <c r="AZ10195" s="10"/>
    </row>
    <row r="10196" spans="31:52">
      <c r="AE10196" s="10"/>
      <c r="AF10196" s="10"/>
      <c r="AG10196" s="10"/>
      <c r="AH10196" s="10"/>
      <c r="AI10196" s="10"/>
      <c r="AJ10196" s="10"/>
      <c r="AK10196" s="10"/>
      <c r="AL10196" s="10"/>
      <c r="AM10196" s="10"/>
      <c r="AN10196" s="10"/>
      <c r="AO10196" s="10"/>
      <c r="AP10196" s="10"/>
      <c r="AQ10196" s="10"/>
      <c r="AR10196" s="10"/>
      <c r="AS10196" s="10"/>
      <c r="AT10196" s="10"/>
      <c r="AU10196" s="10"/>
      <c r="AV10196" s="10"/>
      <c r="AW10196" s="10"/>
      <c r="AX10196" s="10"/>
      <c r="AY10196" s="10"/>
      <c r="AZ10196" s="10"/>
    </row>
    <row r="10197" spans="31:52">
      <c r="AE10197" s="10"/>
      <c r="AF10197" s="10"/>
      <c r="AG10197" s="10"/>
      <c r="AH10197" s="10"/>
      <c r="AI10197" s="10"/>
      <c r="AJ10197" s="10"/>
      <c r="AK10197" s="10"/>
      <c r="AL10197" s="10"/>
      <c r="AM10197" s="10"/>
      <c r="AN10197" s="10"/>
      <c r="AO10197" s="10"/>
      <c r="AP10197" s="10"/>
      <c r="AQ10197" s="10"/>
      <c r="AR10197" s="10"/>
      <c r="AS10197" s="10"/>
      <c r="AT10197" s="10"/>
      <c r="AU10197" s="10"/>
      <c r="AV10197" s="10"/>
      <c r="AW10197" s="10"/>
      <c r="AX10197" s="10"/>
      <c r="AY10197" s="10"/>
      <c r="AZ10197" s="10"/>
    </row>
    <row r="10198" spans="31:52">
      <c r="AE10198" s="10"/>
      <c r="AF10198" s="10"/>
      <c r="AG10198" s="10"/>
      <c r="AH10198" s="10"/>
      <c r="AI10198" s="10"/>
      <c r="AJ10198" s="10"/>
      <c r="AK10198" s="10"/>
      <c r="AL10198" s="10"/>
      <c r="AM10198" s="10"/>
      <c r="AN10198" s="10"/>
      <c r="AO10198" s="10"/>
      <c r="AP10198" s="10"/>
      <c r="AQ10198" s="10"/>
      <c r="AR10198" s="10"/>
      <c r="AS10198" s="10"/>
      <c r="AT10198" s="10"/>
      <c r="AU10198" s="10"/>
      <c r="AV10198" s="10"/>
      <c r="AW10198" s="10"/>
      <c r="AX10198" s="10"/>
      <c r="AY10198" s="10"/>
      <c r="AZ10198" s="10"/>
    </row>
    <row r="10199" spans="31:52">
      <c r="AE10199" s="10"/>
      <c r="AF10199" s="10"/>
      <c r="AG10199" s="10"/>
      <c r="AH10199" s="10"/>
      <c r="AI10199" s="10"/>
      <c r="AJ10199" s="10"/>
      <c r="AK10199" s="10"/>
      <c r="AL10199" s="10"/>
      <c r="AM10199" s="10"/>
      <c r="AN10199" s="10"/>
      <c r="AO10199" s="10"/>
      <c r="AP10199" s="10"/>
      <c r="AQ10199" s="10"/>
      <c r="AR10199" s="10"/>
      <c r="AS10199" s="10"/>
      <c r="AT10199" s="10"/>
      <c r="AU10199" s="10"/>
      <c r="AV10199" s="10"/>
      <c r="AW10199" s="10"/>
      <c r="AX10199" s="10"/>
      <c r="AY10199" s="10"/>
      <c r="AZ10199" s="10"/>
    </row>
    <row r="10200" spans="31:52">
      <c r="AE10200" s="10"/>
      <c r="AF10200" s="10"/>
      <c r="AG10200" s="10"/>
      <c r="AH10200" s="10"/>
      <c r="AI10200" s="10"/>
      <c r="AJ10200" s="10"/>
      <c r="AK10200" s="10"/>
      <c r="AL10200" s="10"/>
      <c r="AM10200" s="10"/>
      <c r="AN10200" s="10"/>
      <c r="AO10200" s="10"/>
      <c r="AP10200" s="10"/>
      <c r="AQ10200" s="10"/>
      <c r="AR10200" s="10"/>
      <c r="AS10200" s="10"/>
      <c r="AT10200" s="10"/>
      <c r="AU10200" s="10"/>
      <c r="AV10200" s="10"/>
      <c r="AW10200" s="10"/>
      <c r="AX10200" s="10"/>
      <c r="AY10200" s="10"/>
      <c r="AZ10200" s="10"/>
    </row>
    <row r="10201" spans="31:52">
      <c r="AE10201" s="10"/>
      <c r="AF10201" s="10"/>
      <c r="AG10201" s="10"/>
      <c r="AH10201" s="10"/>
      <c r="AI10201" s="10"/>
      <c r="AJ10201" s="10"/>
      <c r="AK10201" s="10"/>
      <c r="AL10201" s="10"/>
      <c r="AM10201" s="10"/>
      <c r="AN10201" s="10"/>
      <c r="AO10201" s="10"/>
      <c r="AP10201" s="10"/>
      <c r="AQ10201" s="10"/>
      <c r="AR10201" s="10"/>
      <c r="AS10201" s="10"/>
      <c r="AT10201" s="10"/>
      <c r="AU10201" s="10"/>
      <c r="AV10201" s="10"/>
      <c r="AW10201" s="10"/>
      <c r="AX10201" s="10"/>
      <c r="AY10201" s="10"/>
      <c r="AZ10201" s="10"/>
    </row>
    <row r="10202" spans="31:52">
      <c r="AE10202" s="10"/>
      <c r="AF10202" s="10"/>
      <c r="AG10202" s="10"/>
      <c r="AH10202" s="10"/>
      <c r="AI10202" s="10"/>
      <c r="AJ10202" s="10"/>
      <c r="AK10202" s="10"/>
      <c r="AL10202" s="10"/>
      <c r="AM10202" s="10"/>
      <c r="AN10202" s="10"/>
      <c r="AO10202" s="10"/>
      <c r="AP10202" s="10"/>
      <c r="AQ10202" s="10"/>
      <c r="AR10202" s="10"/>
      <c r="AS10202" s="10"/>
      <c r="AT10202" s="10"/>
      <c r="AU10202" s="10"/>
      <c r="AV10202" s="10"/>
      <c r="AW10202" s="10"/>
      <c r="AX10202" s="10"/>
      <c r="AY10202" s="10"/>
      <c r="AZ10202" s="10"/>
    </row>
    <row r="10203" spans="31:52">
      <c r="AE10203" s="10"/>
      <c r="AF10203" s="10"/>
      <c r="AG10203" s="10"/>
      <c r="AH10203" s="10"/>
      <c r="AI10203" s="10"/>
      <c r="AJ10203" s="10"/>
      <c r="AK10203" s="10"/>
      <c r="AL10203" s="10"/>
      <c r="AM10203" s="10"/>
      <c r="AN10203" s="10"/>
      <c r="AO10203" s="10"/>
      <c r="AP10203" s="10"/>
      <c r="AQ10203" s="10"/>
      <c r="AR10203" s="10"/>
      <c r="AS10203" s="10"/>
      <c r="AT10203" s="10"/>
      <c r="AU10203" s="10"/>
      <c r="AV10203" s="10"/>
      <c r="AW10203" s="10"/>
      <c r="AX10203" s="10"/>
      <c r="AY10203" s="10"/>
      <c r="AZ10203" s="10"/>
    </row>
    <row r="10204" spans="31:52">
      <c r="AE10204" s="10"/>
      <c r="AF10204" s="10"/>
      <c r="AG10204" s="10"/>
      <c r="AH10204" s="10"/>
      <c r="AI10204" s="10"/>
      <c r="AJ10204" s="10"/>
      <c r="AK10204" s="10"/>
      <c r="AL10204" s="10"/>
      <c r="AM10204" s="10"/>
      <c r="AN10204" s="10"/>
      <c r="AO10204" s="10"/>
      <c r="AP10204" s="10"/>
      <c r="AQ10204" s="10"/>
      <c r="AR10204" s="10"/>
      <c r="AS10204" s="10"/>
      <c r="AT10204" s="10"/>
      <c r="AU10204" s="10"/>
      <c r="AV10204" s="10"/>
      <c r="AW10204" s="10"/>
      <c r="AX10204" s="10"/>
      <c r="AY10204" s="10"/>
      <c r="AZ10204" s="10"/>
    </row>
    <row r="10205" spans="31:52">
      <c r="AE10205" s="10"/>
      <c r="AF10205" s="10"/>
      <c r="AG10205" s="10"/>
      <c r="AH10205" s="10"/>
      <c r="AI10205" s="10"/>
      <c r="AJ10205" s="10"/>
      <c r="AK10205" s="10"/>
      <c r="AL10205" s="10"/>
      <c r="AM10205" s="10"/>
      <c r="AN10205" s="10"/>
      <c r="AO10205" s="10"/>
      <c r="AP10205" s="10"/>
      <c r="AQ10205" s="10"/>
      <c r="AR10205" s="10"/>
      <c r="AS10205" s="10"/>
      <c r="AT10205" s="10"/>
      <c r="AU10205" s="10"/>
      <c r="AV10205" s="10"/>
      <c r="AW10205" s="10"/>
      <c r="AX10205" s="10"/>
      <c r="AY10205" s="10"/>
      <c r="AZ10205" s="10"/>
    </row>
    <row r="10206" spans="31:52">
      <c r="AE10206" s="10"/>
      <c r="AF10206" s="10"/>
      <c r="AG10206" s="10"/>
      <c r="AH10206" s="10"/>
      <c r="AI10206" s="10"/>
      <c r="AJ10206" s="10"/>
      <c r="AK10206" s="10"/>
      <c r="AL10206" s="10"/>
      <c r="AM10206" s="10"/>
      <c r="AN10206" s="10"/>
      <c r="AO10206" s="10"/>
      <c r="AP10206" s="10"/>
      <c r="AQ10206" s="10"/>
      <c r="AR10206" s="10"/>
      <c r="AS10206" s="10"/>
      <c r="AT10206" s="10"/>
      <c r="AU10206" s="10"/>
      <c r="AV10206" s="10"/>
      <c r="AW10206" s="10"/>
      <c r="AX10206" s="10"/>
      <c r="AY10206" s="10"/>
      <c r="AZ10206" s="10"/>
    </row>
    <row r="10207" spans="31:52">
      <c r="AE10207" s="10"/>
      <c r="AF10207" s="10"/>
      <c r="AG10207" s="10"/>
      <c r="AH10207" s="10"/>
      <c r="AI10207" s="10"/>
      <c r="AJ10207" s="10"/>
      <c r="AK10207" s="10"/>
      <c r="AL10207" s="10"/>
      <c r="AM10207" s="10"/>
      <c r="AN10207" s="10"/>
      <c r="AO10207" s="10"/>
      <c r="AP10207" s="10"/>
      <c r="AQ10207" s="10"/>
      <c r="AR10207" s="10"/>
      <c r="AS10207" s="10"/>
      <c r="AT10207" s="10"/>
      <c r="AU10207" s="10"/>
      <c r="AV10207" s="10"/>
      <c r="AW10207" s="10"/>
      <c r="AX10207" s="10"/>
      <c r="AY10207" s="10"/>
      <c r="AZ10207" s="10"/>
    </row>
    <row r="10208" spans="31:52">
      <c r="AE10208" s="10"/>
      <c r="AF10208" s="10"/>
      <c r="AG10208" s="10"/>
      <c r="AH10208" s="10"/>
      <c r="AI10208" s="10"/>
      <c r="AJ10208" s="10"/>
      <c r="AK10208" s="10"/>
      <c r="AL10208" s="10"/>
      <c r="AM10208" s="10"/>
      <c r="AN10208" s="10"/>
      <c r="AO10208" s="10"/>
      <c r="AP10208" s="10"/>
      <c r="AQ10208" s="10"/>
      <c r="AR10208" s="10"/>
      <c r="AS10208" s="10"/>
      <c r="AT10208" s="10"/>
      <c r="AU10208" s="10"/>
      <c r="AV10208" s="10"/>
      <c r="AW10208" s="10"/>
      <c r="AX10208" s="10"/>
      <c r="AY10208" s="10"/>
      <c r="AZ10208" s="10"/>
    </row>
    <row r="10209" spans="31:52">
      <c r="AE10209" s="10"/>
      <c r="AF10209" s="10"/>
      <c r="AG10209" s="10"/>
      <c r="AH10209" s="10"/>
      <c r="AI10209" s="10"/>
      <c r="AJ10209" s="10"/>
      <c r="AK10209" s="10"/>
      <c r="AL10209" s="10"/>
      <c r="AM10209" s="10"/>
      <c r="AN10209" s="10"/>
      <c r="AO10209" s="10"/>
      <c r="AP10209" s="10"/>
      <c r="AQ10209" s="10"/>
      <c r="AR10209" s="10"/>
      <c r="AS10209" s="10"/>
      <c r="AT10209" s="10"/>
      <c r="AU10209" s="10"/>
      <c r="AV10209" s="10"/>
      <c r="AW10209" s="10"/>
      <c r="AX10209" s="10"/>
      <c r="AY10209" s="10"/>
      <c r="AZ10209" s="10"/>
    </row>
    <row r="10210" spans="31:52">
      <c r="AE10210" s="10"/>
      <c r="AF10210" s="10"/>
      <c r="AG10210" s="10"/>
      <c r="AH10210" s="10"/>
      <c r="AI10210" s="10"/>
      <c r="AJ10210" s="10"/>
      <c r="AK10210" s="10"/>
      <c r="AL10210" s="10"/>
      <c r="AM10210" s="10"/>
      <c r="AN10210" s="10"/>
      <c r="AO10210" s="10"/>
      <c r="AP10210" s="10"/>
      <c r="AQ10210" s="10"/>
      <c r="AR10210" s="10"/>
      <c r="AS10210" s="10"/>
      <c r="AT10210" s="10"/>
      <c r="AU10210" s="10"/>
      <c r="AV10210" s="10"/>
      <c r="AW10210" s="10"/>
      <c r="AX10210" s="10"/>
      <c r="AY10210" s="10"/>
      <c r="AZ10210" s="10"/>
    </row>
    <row r="10211" spans="31:52">
      <c r="AE10211" s="10"/>
      <c r="AF10211" s="10"/>
      <c r="AG10211" s="10"/>
      <c r="AH10211" s="10"/>
      <c r="AI10211" s="10"/>
      <c r="AJ10211" s="10"/>
      <c r="AK10211" s="10"/>
      <c r="AL10211" s="10"/>
      <c r="AM10211" s="10"/>
      <c r="AN10211" s="10"/>
      <c r="AO10211" s="10"/>
      <c r="AP10211" s="10"/>
      <c r="AQ10211" s="10"/>
      <c r="AR10211" s="10"/>
      <c r="AS10211" s="10"/>
      <c r="AT10211" s="10"/>
      <c r="AU10211" s="10"/>
      <c r="AV10211" s="10"/>
      <c r="AW10211" s="10"/>
      <c r="AX10211" s="10"/>
      <c r="AY10211" s="10"/>
      <c r="AZ10211" s="10"/>
    </row>
    <row r="10212" spans="31:52">
      <c r="AE10212" s="10"/>
      <c r="AF10212" s="10"/>
      <c r="AG10212" s="10"/>
      <c r="AH10212" s="10"/>
      <c r="AI10212" s="10"/>
      <c r="AJ10212" s="10"/>
      <c r="AK10212" s="10"/>
      <c r="AL10212" s="10"/>
      <c r="AM10212" s="10"/>
      <c r="AN10212" s="10"/>
      <c r="AO10212" s="10"/>
      <c r="AP10212" s="10"/>
      <c r="AQ10212" s="10"/>
      <c r="AR10212" s="10"/>
      <c r="AS10212" s="10"/>
      <c r="AT10212" s="10"/>
      <c r="AU10212" s="10"/>
      <c r="AV10212" s="10"/>
      <c r="AW10212" s="10"/>
      <c r="AX10212" s="10"/>
      <c r="AY10212" s="10"/>
      <c r="AZ10212" s="10"/>
    </row>
    <row r="10213" spans="31:52">
      <c r="AE10213" s="10"/>
      <c r="AF10213" s="10"/>
      <c r="AG10213" s="10"/>
      <c r="AH10213" s="10"/>
      <c r="AI10213" s="10"/>
      <c r="AJ10213" s="10"/>
      <c r="AK10213" s="10"/>
      <c r="AL10213" s="10"/>
      <c r="AM10213" s="10"/>
      <c r="AN10213" s="10"/>
      <c r="AO10213" s="10"/>
      <c r="AP10213" s="10"/>
      <c r="AQ10213" s="10"/>
      <c r="AR10213" s="10"/>
      <c r="AS10213" s="10"/>
      <c r="AT10213" s="10"/>
      <c r="AU10213" s="10"/>
      <c r="AV10213" s="10"/>
      <c r="AW10213" s="10"/>
      <c r="AX10213" s="10"/>
      <c r="AY10213" s="10"/>
      <c r="AZ10213" s="10"/>
    </row>
    <row r="10214" spans="31:52">
      <c r="AE10214" s="10"/>
      <c r="AF10214" s="10"/>
      <c r="AG10214" s="10"/>
      <c r="AH10214" s="10"/>
      <c r="AI10214" s="10"/>
      <c r="AJ10214" s="10"/>
      <c r="AK10214" s="10"/>
      <c r="AL10214" s="10"/>
      <c r="AM10214" s="10"/>
      <c r="AN10214" s="10"/>
      <c r="AO10214" s="10"/>
      <c r="AP10214" s="10"/>
      <c r="AQ10214" s="10"/>
      <c r="AR10214" s="10"/>
      <c r="AS10214" s="10"/>
      <c r="AT10214" s="10"/>
      <c r="AU10214" s="10"/>
      <c r="AV10214" s="10"/>
      <c r="AW10214" s="10"/>
      <c r="AX10214" s="10"/>
      <c r="AY10214" s="10"/>
      <c r="AZ10214" s="10"/>
    </row>
    <row r="10215" spans="31:52">
      <c r="AE10215" s="10"/>
      <c r="AF10215" s="10"/>
      <c r="AG10215" s="10"/>
      <c r="AH10215" s="10"/>
      <c r="AI10215" s="10"/>
      <c r="AJ10215" s="10"/>
      <c r="AK10215" s="10"/>
      <c r="AL10215" s="10"/>
      <c r="AM10215" s="10"/>
      <c r="AN10215" s="10"/>
      <c r="AO10215" s="10"/>
      <c r="AP10215" s="10"/>
      <c r="AQ10215" s="10"/>
      <c r="AR10215" s="10"/>
      <c r="AS10215" s="10"/>
      <c r="AT10215" s="10"/>
      <c r="AU10215" s="10"/>
      <c r="AV10215" s="10"/>
      <c r="AW10215" s="10"/>
      <c r="AX10215" s="10"/>
      <c r="AY10215" s="10"/>
      <c r="AZ10215" s="10"/>
    </row>
    <row r="10216" spans="31:52">
      <c r="AE10216" s="10"/>
      <c r="AF10216" s="10"/>
      <c r="AG10216" s="10"/>
      <c r="AH10216" s="10"/>
      <c r="AI10216" s="10"/>
      <c r="AJ10216" s="10"/>
      <c r="AK10216" s="10"/>
      <c r="AL10216" s="10"/>
      <c r="AM10216" s="10"/>
      <c r="AN10216" s="10"/>
      <c r="AO10216" s="10"/>
      <c r="AP10216" s="10"/>
      <c r="AQ10216" s="10"/>
      <c r="AR10216" s="10"/>
      <c r="AS10216" s="10"/>
      <c r="AT10216" s="10"/>
      <c r="AU10216" s="10"/>
      <c r="AV10216" s="10"/>
      <c r="AW10216" s="10"/>
      <c r="AX10216" s="10"/>
      <c r="AY10216" s="10"/>
      <c r="AZ10216" s="10"/>
    </row>
    <row r="10217" spans="31:52">
      <c r="AE10217" s="10"/>
      <c r="AF10217" s="10"/>
      <c r="AG10217" s="10"/>
      <c r="AH10217" s="10"/>
      <c r="AI10217" s="10"/>
      <c r="AJ10217" s="10"/>
      <c r="AK10217" s="10"/>
      <c r="AL10217" s="10"/>
      <c r="AM10217" s="10"/>
      <c r="AN10217" s="10"/>
      <c r="AO10217" s="10"/>
      <c r="AP10217" s="10"/>
      <c r="AQ10217" s="10"/>
      <c r="AR10217" s="10"/>
      <c r="AS10217" s="10"/>
      <c r="AT10217" s="10"/>
      <c r="AU10217" s="10"/>
      <c r="AV10217" s="10"/>
      <c r="AW10217" s="10"/>
      <c r="AX10217" s="10"/>
      <c r="AY10217" s="10"/>
      <c r="AZ10217" s="10"/>
    </row>
    <row r="10218" spans="31:52">
      <c r="AE10218" s="10"/>
      <c r="AF10218" s="10"/>
      <c r="AG10218" s="10"/>
      <c r="AH10218" s="10"/>
      <c r="AI10218" s="10"/>
      <c r="AJ10218" s="10"/>
      <c r="AK10218" s="10"/>
      <c r="AL10218" s="10"/>
      <c r="AM10218" s="10"/>
      <c r="AN10218" s="10"/>
      <c r="AO10218" s="10"/>
      <c r="AP10218" s="10"/>
      <c r="AQ10218" s="10"/>
      <c r="AR10218" s="10"/>
      <c r="AS10218" s="10"/>
      <c r="AT10218" s="10"/>
      <c r="AU10218" s="10"/>
      <c r="AV10218" s="10"/>
      <c r="AW10218" s="10"/>
      <c r="AX10218" s="10"/>
      <c r="AY10218" s="10"/>
      <c r="AZ10218" s="10"/>
    </row>
    <row r="10219" spans="31:52">
      <c r="AE10219" s="10"/>
      <c r="AF10219" s="10"/>
      <c r="AG10219" s="10"/>
      <c r="AH10219" s="10"/>
      <c r="AI10219" s="10"/>
      <c r="AJ10219" s="10"/>
      <c r="AK10219" s="10"/>
      <c r="AL10219" s="10"/>
      <c r="AM10219" s="10"/>
      <c r="AN10219" s="10"/>
      <c r="AO10219" s="10"/>
      <c r="AP10219" s="10"/>
      <c r="AQ10219" s="10"/>
      <c r="AR10219" s="10"/>
      <c r="AS10219" s="10"/>
      <c r="AT10219" s="10"/>
      <c r="AU10219" s="10"/>
      <c r="AV10219" s="10"/>
      <c r="AW10219" s="10"/>
      <c r="AX10219" s="10"/>
      <c r="AY10219" s="10"/>
      <c r="AZ10219" s="10"/>
    </row>
    <row r="10220" spans="31:52">
      <c r="AE10220" s="10"/>
      <c r="AF10220" s="10"/>
      <c r="AG10220" s="10"/>
      <c r="AH10220" s="10"/>
      <c r="AI10220" s="10"/>
      <c r="AJ10220" s="10"/>
      <c r="AK10220" s="10"/>
      <c r="AL10220" s="10"/>
      <c r="AM10220" s="10"/>
      <c r="AN10220" s="10"/>
      <c r="AO10220" s="10"/>
      <c r="AP10220" s="10"/>
      <c r="AQ10220" s="10"/>
      <c r="AR10220" s="10"/>
      <c r="AS10220" s="10"/>
      <c r="AT10220" s="10"/>
      <c r="AU10220" s="10"/>
      <c r="AV10220" s="10"/>
      <c r="AW10220" s="10"/>
      <c r="AX10220" s="10"/>
      <c r="AY10220" s="10"/>
      <c r="AZ10220" s="10"/>
    </row>
    <row r="10221" spans="31:52">
      <c r="AE10221" s="10"/>
      <c r="AF10221" s="10"/>
      <c r="AG10221" s="10"/>
      <c r="AH10221" s="10"/>
      <c r="AI10221" s="10"/>
      <c r="AJ10221" s="10"/>
      <c r="AK10221" s="10"/>
      <c r="AL10221" s="10"/>
      <c r="AM10221" s="10"/>
      <c r="AN10221" s="10"/>
      <c r="AO10221" s="10"/>
      <c r="AP10221" s="10"/>
      <c r="AQ10221" s="10"/>
      <c r="AR10221" s="10"/>
      <c r="AS10221" s="10"/>
      <c r="AT10221" s="10"/>
      <c r="AU10221" s="10"/>
      <c r="AV10221" s="10"/>
      <c r="AW10221" s="10"/>
      <c r="AX10221" s="10"/>
      <c r="AY10221" s="10"/>
      <c r="AZ10221" s="10"/>
    </row>
    <row r="10222" spans="31:52">
      <c r="AE10222" s="10"/>
      <c r="AF10222" s="10"/>
      <c r="AG10222" s="10"/>
      <c r="AH10222" s="10"/>
      <c r="AI10222" s="10"/>
      <c r="AJ10222" s="10"/>
      <c r="AK10222" s="10"/>
      <c r="AL10222" s="10"/>
      <c r="AM10222" s="10"/>
      <c r="AN10222" s="10"/>
      <c r="AO10222" s="10"/>
      <c r="AP10222" s="10"/>
      <c r="AQ10222" s="10"/>
      <c r="AR10222" s="10"/>
      <c r="AS10222" s="10"/>
      <c r="AT10222" s="10"/>
      <c r="AU10222" s="10"/>
      <c r="AV10222" s="10"/>
      <c r="AW10222" s="10"/>
      <c r="AX10222" s="10"/>
      <c r="AY10222" s="10"/>
      <c r="AZ10222" s="10"/>
    </row>
    <row r="10223" spans="31:52">
      <c r="AE10223" s="10"/>
      <c r="AF10223" s="10"/>
      <c r="AG10223" s="10"/>
      <c r="AH10223" s="10"/>
      <c r="AI10223" s="10"/>
      <c r="AJ10223" s="10"/>
      <c r="AK10223" s="10"/>
      <c r="AL10223" s="10"/>
      <c r="AM10223" s="10"/>
      <c r="AN10223" s="10"/>
      <c r="AO10223" s="10"/>
      <c r="AP10223" s="10"/>
      <c r="AQ10223" s="10"/>
      <c r="AR10223" s="10"/>
      <c r="AS10223" s="10"/>
      <c r="AT10223" s="10"/>
      <c r="AU10223" s="10"/>
      <c r="AV10223" s="10"/>
      <c r="AW10223" s="10"/>
      <c r="AX10223" s="10"/>
      <c r="AY10223" s="10"/>
      <c r="AZ10223" s="10"/>
    </row>
    <row r="10224" spans="31:52">
      <c r="AE10224" s="10"/>
      <c r="AF10224" s="10"/>
      <c r="AG10224" s="10"/>
      <c r="AH10224" s="10"/>
      <c r="AI10224" s="10"/>
      <c r="AJ10224" s="10"/>
      <c r="AK10224" s="10"/>
      <c r="AL10224" s="10"/>
      <c r="AM10224" s="10"/>
      <c r="AN10224" s="10"/>
      <c r="AO10224" s="10"/>
      <c r="AP10224" s="10"/>
      <c r="AQ10224" s="10"/>
      <c r="AR10224" s="10"/>
      <c r="AS10224" s="10"/>
      <c r="AT10224" s="10"/>
      <c r="AU10224" s="10"/>
      <c r="AV10224" s="10"/>
      <c r="AW10224" s="10"/>
      <c r="AX10224" s="10"/>
      <c r="AY10224" s="10"/>
      <c r="AZ10224" s="10"/>
    </row>
    <row r="10225" spans="31:52">
      <c r="AE10225" s="10"/>
      <c r="AF10225" s="10"/>
      <c r="AG10225" s="10"/>
      <c r="AH10225" s="10"/>
      <c r="AI10225" s="10"/>
      <c r="AJ10225" s="10"/>
      <c r="AK10225" s="10"/>
      <c r="AL10225" s="10"/>
      <c r="AM10225" s="10"/>
      <c r="AN10225" s="10"/>
      <c r="AO10225" s="10"/>
      <c r="AP10225" s="10"/>
      <c r="AQ10225" s="10"/>
      <c r="AR10225" s="10"/>
      <c r="AS10225" s="10"/>
      <c r="AT10225" s="10"/>
      <c r="AU10225" s="10"/>
      <c r="AV10225" s="10"/>
      <c r="AW10225" s="10"/>
      <c r="AX10225" s="10"/>
      <c r="AY10225" s="10"/>
      <c r="AZ10225" s="10"/>
    </row>
    <row r="10226" spans="31:52">
      <c r="AE10226" s="10"/>
      <c r="AF10226" s="10"/>
      <c r="AG10226" s="10"/>
      <c r="AH10226" s="10"/>
      <c r="AI10226" s="10"/>
      <c r="AJ10226" s="10"/>
      <c r="AK10226" s="10"/>
      <c r="AL10226" s="10"/>
      <c r="AM10226" s="10"/>
      <c r="AN10226" s="10"/>
      <c r="AO10226" s="10"/>
      <c r="AP10226" s="10"/>
      <c r="AQ10226" s="10"/>
      <c r="AR10226" s="10"/>
      <c r="AS10226" s="10"/>
      <c r="AT10226" s="10"/>
      <c r="AU10226" s="10"/>
      <c r="AV10226" s="10"/>
      <c r="AW10226" s="10"/>
      <c r="AX10226" s="10"/>
      <c r="AY10226" s="10"/>
      <c r="AZ10226" s="10"/>
    </row>
    <row r="10227" spans="31:52">
      <c r="AE10227" s="10"/>
      <c r="AF10227" s="10"/>
      <c r="AG10227" s="10"/>
      <c r="AH10227" s="10"/>
      <c r="AI10227" s="10"/>
      <c r="AJ10227" s="10"/>
      <c r="AK10227" s="10"/>
      <c r="AL10227" s="10"/>
      <c r="AM10227" s="10"/>
      <c r="AN10227" s="10"/>
      <c r="AO10227" s="10"/>
      <c r="AP10227" s="10"/>
      <c r="AQ10227" s="10"/>
      <c r="AR10227" s="10"/>
      <c r="AS10227" s="10"/>
      <c r="AT10227" s="10"/>
      <c r="AU10227" s="10"/>
      <c r="AV10227" s="10"/>
      <c r="AW10227" s="10"/>
      <c r="AX10227" s="10"/>
      <c r="AY10227" s="10"/>
      <c r="AZ10227" s="10"/>
    </row>
    <row r="10228" spans="31:52">
      <c r="AE10228" s="10"/>
      <c r="AF10228" s="10"/>
      <c r="AG10228" s="10"/>
      <c r="AH10228" s="10"/>
      <c r="AI10228" s="10"/>
      <c r="AJ10228" s="10"/>
      <c r="AK10228" s="10"/>
      <c r="AL10228" s="10"/>
      <c r="AM10228" s="10"/>
      <c r="AN10228" s="10"/>
      <c r="AO10228" s="10"/>
      <c r="AP10228" s="10"/>
      <c r="AQ10228" s="10"/>
      <c r="AR10228" s="10"/>
      <c r="AS10228" s="10"/>
      <c r="AT10228" s="10"/>
      <c r="AU10228" s="10"/>
      <c r="AV10228" s="10"/>
      <c r="AW10228" s="10"/>
      <c r="AX10228" s="10"/>
      <c r="AY10228" s="10"/>
      <c r="AZ10228" s="10"/>
    </row>
    <row r="10229" spans="31:52">
      <c r="AE10229" s="10"/>
      <c r="AF10229" s="10"/>
      <c r="AG10229" s="10"/>
      <c r="AH10229" s="10"/>
      <c r="AI10229" s="10"/>
      <c r="AJ10229" s="10"/>
      <c r="AK10229" s="10"/>
      <c r="AL10229" s="10"/>
      <c r="AM10229" s="10"/>
      <c r="AN10229" s="10"/>
      <c r="AO10229" s="10"/>
      <c r="AP10229" s="10"/>
      <c r="AQ10229" s="10"/>
      <c r="AR10229" s="10"/>
      <c r="AS10229" s="10"/>
      <c r="AT10229" s="10"/>
      <c r="AU10229" s="10"/>
      <c r="AV10229" s="10"/>
      <c r="AW10229" s="10"/>
      <c r="AX10229" s="10"/>
      <c r="AY10229" s="10"/>
      <c r="AZ10229" s="10"/>
    </row>
    <row r="10230" spans="31:52">
      <c r="AE10230" s="10"/>
      <c r="AF10230" s="10"/>
      <c r="AG10230" s="10"/>
      <c r="AH10230" s="10"/>
      <c r="AI10230" s="10"/>
      <c r="AJ10230" s="10"/>
      <c r="AK10230" s="10"/>
      <c r="AL10230" s="10"/>
      <c r="AM10230" s="10"/>
      <c r="AN10230" s="10"/>
      <c r="AO10230" s="10"/>
      <c r="AP10230" s="10"/>
      <c r="AQ10230" s="10"/>
      <c r="AR10230" s="10"/>
      <c r="AS10230" s="10"/>
      <c r="AT10230" s="10"/>
      <c r="AU10230" s="10"/>
      <c r="AV10230" s="10"/>
      <c r="AW10230" s="10"/>
      <c r="AX10230" s="10"/>
      <c r="AY10230" s="10"/>
      <c r="AZ10230" s="10"/>
    </row>
    <row r="10231" spans="31:52">
      <c r="AE10231" s="10"/>
      <c r="AF10231" s="10"/>
      <c r="AG10231" s="10"/>
      <c r="AH10231" s="10"/>
      <c r="AI10231" s="10"/>
      <c r="AJ10231" s="10"/>
      <c r="AK10231" s="10"/>
      <c r="AL10231" s="10"/>
      <c r="AM10231" s="10"/>
      <c r="AN10231" s="10"/>
      <c r="AO10231" s="10"/>
      <c r="AP10231" s="10"/>
      <c r="AQ10231" s="10"/>
      <c r="AR10231" s="10"/>
      <c r="AS10231" s="10"/>
      <c r="AT10231" s="10"/>
      <c r="AU10231" s="10"/>
      <c r="AV10231" s="10"/>
      <c r="AW10231" s="10"/>
      <c r="AX10231" s="10"/>
      <c r="AY10231" s="10"/>
      <c r="AZ10231" s="10"/>
    </row>
    <row r="10232" spans="31:52">
      <c r="AE10232" s="10"/>
      <c r="AF10232" s="10"/>
      <c r="AG10232" s="10"/>
      <c r="AH10232" s="10"/>
      <c r="AI10232" s="10"/>
      <c r="AJ10232" s="10"/>
      <c r="AK10232" s="10"/>
      <c r="AL10232" s="10"/>
      <c r="AM10232" s="10"/>
      <c r="AN10232" s="10"/>
      <c r="AO10232" s="10"/>
      <c r="AP10232" s="10"/>
      <c r="AQ10232" s="10"/>
      <c r="AR10232" s="10"/>
      <c r="AS10232" s="10"/>
      <c r="AT10232" s="10"/>
      <c r="AU10232" s="10"/>
      <c r="AV10232" s="10"/>
      <c r="AW10232" s="10"/>
      <c r="AX10232" s="10"/>
      <c r="AY10232" s="10"/>
      <c r="AZ10232" s="10"/>
    </row>
    <row r="10233" spans="31:52">
      <c r="AE10233" s="10"/>
      <c r="AF10233" s="10"/>
      <c r="AG10233" s="10"/>
      <c r="AH10233" s="10"/>
      <c r="AI10233" s="10"/>
      <c r="AJ10233" s="10"/>
      <c r="AK10233" s="10"/>
      <c r="AL10233" s="10"/>
      <c r="AM10233" s="10"/>
      <c r="AN10233" s="10"/>
      <c r="AO10233" s="10"/>
      <c r="AP10233" s="10"/>
      <c r="AQ10233" s="10"/>
      <c r="AR10233" s="10"/>
      <c r="AS10233" s="10"/>
      <c r="AT10233" s="10"/>
      <c r="AU10233" s="10"/>
      <c r="AV10233" s="10"/>
      <c r="AW10233" s="10"/>
      <c r="AX10233" s="10"/>
      <c r="AY10233" s="10"/>
      <c r="AZ10233" s="10"/>
    </row>
    <row r="10234" spans="31:52">
      <c r="AE10234" s="10"/>
      <c r="AF10234" s="10"/>
      <c r="AG10234" s="10"/>
      <c r="AH10234" s="10"/>
      <c r="AI10234" s="10"/>
      <c r="AJ10234" s="10"/>
      <c r="AK10234" s="10"/>
      <c r="AL10234" s="10"/>
      <c r="AM10234" s="10"/>
      <c r="AN10234" s="10"/>
      <c r="AO10234" s="10"/>
      <c r="AP10234" s="10"/>
      <c r="AQ10234" s="10"/>
      <c r="AR10234" s="10"/>
      <c r="AS10234" s="10"/>
      <c r="AT10234" s="10"/>
      <c r="AU10234" s="10"/>
      <c r="AV10234" s="10"/>
      <c r="AW10234" s="10"/>
      <c r="AX10234" s="10"/>
      <c r="AY10234" s="10"/>
      <c r="AZ10234" s="10"/>
    </row>
    <row r="10235" spans="31:52">
      <c r="AE10235" s="10"/>
      <c r="AF10235" s="10"/>
      <c r="AG10235" s="10"/>
      <c r="AH10235" s="10"/>
      <c r="AI10235" s="10"/>
      <c r="AJ10235" s="10"/>
      <c r="AK10235" s="10"/>
      <c r="AL10235" s="10"/>
      <c r="AM10235" s="10"/>
      <c r="AN10235" s="10"/>
      <c r="AO10235" s="10"/>
      <c r="AP10235" s="10"/>
      <c r="AQ10235" s="10"/>
      <c r="AR10235" s="10"/>
      <c r="AS10235" s="10"/>
      <c r="AT10235" s="10"/>
      <c r="AU10235" s="10"/>
      <c r="AV10235" s="10"/>
      <c r="AW10235" s="10"/>
      <c r="AX10235" s="10"/>
      <c r="AY10235" s="10"/>
      <c r="AZ10235" s="10"/>
    </row>
    <row r="10236" spans="31:52">
      <c r="AE10236" s="10"/>
      <c r="AF10236" s="10"/>
      <c r="AG10236" s="10"/>
      <c r="AH10236" s="10"/>
      <c r="AI10236" s="10"/>
      <c r="AJ10236" s="10"/>
      <c r="AK10236" s="10"/>
      <c r="AL10236" s="10"/>
      <c r="AM10236" s="10"/>
      <c r="AN10236" s="10"/>
      <c r="AO10236" s="10"/>
      <c r="AP10236" s="10"/>
      <c r="AQ10236" s="10"/>
      <c r="AR10236" s="10"/>
      <c r="AS10236" s="10"/>
      <c r="AT10236" s="10"/>
      <c r="AU10236" s="10"/>
      <c r="AV10236" s="10"/>
      <c r="AW10236" s="10"/>
      <c r="AX10236" s="10"/>
      <c r="AY10236" s="10"/>
      <c r="AZ10236" s="10"/>
    </row>
    <row r="10237" spans="31:52">
      <c r="AE10237" s="10"/>
      <c r="AF10237" s="10"/>
      <c r="AG10237" s="10"/>
      <c r="AH10237" s="10"/>
      <c r="AI10237" s="10"/>
      <c r="AJ10237" s="10"/>
      <c r="AK10237" s="10"/>
      <c r="AL10237" s="10"/>
      <c r="AM10237" s="10"/>
      <c r="AN10237" s="10"/>
      <c r="AO10237" s="10"/>
      <c r="AP10237" s="10"/>
      <c r="AQ10237" s="10"/>
      <c r="AR10237" s="10"/>
      <c r="AS10237" s="10"/>
      <c r="AT10237" s="10"/>
      <c r="AU10237" s="10"/>
      <c r="AV10237" s="10"/>
      <c r="AW10237" s="10"/>
      <c r="AX10237" s="10"/>
      <c r="AY10237" s="10"/>
      <c r="AZ10237" s="10"/>
    </row>
    <row r="10238" spans="31:52">
      <c r="AE10238" s="10"/>
      <c r="AF10238" s="10"/>
      <c r="AG10238" s="10"/>
      <c r="AH10238" s="10"/>
      <c r="AI10238" s="10"/>
      <c r="AJ10238" s="10"/>
      <c r="AK10238" s="10"/>
      <c r="AL10238" s="10"/>
      <c r="AM10238" s="10"/>
      <c r="AN10238" s="10"/>
      <c r="AO10238" s="10"/>
      <c r="AP10238" s="10"/>
      <c r="AQ10238" s="10"/>
      <c r="AR10238" s="10"/>
      <c r="AS10238" s="10"/>
      <c r="AT10238" s="10"/>
      <c r="AU10238" s="10"/>
      <c r="AV10238" s="10"/>
      <c r="AW10238" s="10"/>
      <c r="AX10238" s="10"/>
      <c r="AY10238" s="10"/>
      <c r="AZ10238" s="10"/>
    </row>
    <row r="10239" spans="31:52">
      <c r="AE10239" s="10"/>
      <c r="AF10239" s="10"/>
      <c r="AG10239" s="10"/>
      <c r="AH10239" s="10"/>
      <c r="AI10239" s="10"/>
      <c r="AJ10239" s="10"/>
      <c r="AK10239" s="10"/>
      <c r="AL10239" s="10"/>
      <c r="AM10239" s="10"/>
      <c r="AN10239" s="10"/>
      <c r="AO10239" s="10"/>
      <c r="AP10239" s="10"/>
      <c r="AQ10239" s="10"/>
      <c r="AR10239" s="10"/>
      <c r="AS10239" s="10"/>
      <c r="AT10239" s="10"/>
      <c r="AU10239" s="10"/>
      <c r="AV10239" s="10"/>
      <c r="AW10239" s="10"/>
      <c r="AX10239" s="10"/>
      <c r="AY10239" s="10"/>
      <c r="AZ10239" s="10"/>
    </row>
    <row r="10240" spans="31:52">
      <c r="AE10240" s="10"/>
      <c r="AF10240" s="10"/>
      <c r="AG10240" s="10"/>
      <c r="AH10240" s="10"/>
      <c r="AI10240" s="10"/>
      <c r="AJ10240" s="10"/>
      <c r="AK10240" s="10"/>
      <c r="AL10240" s="10"/>
      <c r="AM10240" s="10"/>
      <c r="AN10240" s="10"/>
      <c r="AO10240" s="10"/>
      <c r="AP10240" s="10"/>
      <c r="AQ10240" s="10"/>
      <c r="AR10240" s="10"/>
      <c r="AS10240" s="10"/>
      <c r="AT10240" s="10"/>
      <c r="AU10240" s="10"/>
      <c r="AV10240" s="10"/>
      <c r="AW10240" s="10"/>
      <c r="AX10240" s="10"/>
      <c r="AY10240" s="10"/>
      <c r="AZ10240" s="10"/>
    </row>
    <row r="10241" spans="31:52">
      <c r="AE10241" s="10"/>
      <c r="AF10241" s="10"/>
      <c r="AG10241" s="10"/>
      <c r="AH10241" s="10"/>
      <c r="AI10241" s="10"/>
      <c r="AJ10241" s="10"/>
      <c r="AK10241" s="10"/>
      <c r="AL10241" s="10"/>
      <c r="AM10241" s="10"/>
      <c r="AN10241" s="10"/>
      <c r="AO10241" s="10"/>
      <c r="AP10241" s="10"/>
      <c r="AQ10241" s="10"/>
      <c r="AR10241" s="10"/>
      <c r="AS10241" s="10"/>
      <c r="AT10241" s="10"/>
      <c r="AU10241" s="10"/>
      <c r="AV10241" s="10"/>
      <c r="AW10241" s="10"/>
      <c r="AX10241" s="10"/>
      <c r="AY10241" s="10"/>
      <c r="AZ10241" s="10"/>
    </row>
    <row r="10242" spans="31:52">
      <c r="AE10242" s="10"/>
      <c r="AF10242" s="10"/>
      <c r="AG10242" s="10"/>
      <c r="AH10242" s="10"/>
      <c r="AI10242" s="10"/>
      <c r="AJ10242" s="10"/>
      <c r="AK10242" s="10"/>
      <c r="AL10242" s="10"/>
      <c r="AM10242" s="10"/>
      <c r="AN10242" s="10"/>
      <c r="AO10242" s="10"/>
      <c r="AP10242" s="10"/>
      <c r="AQ10242" s="10"/>
      <c r="AR10242" s="10"/>
      <c r="AS10242" s="10"/>
      <c r="AT10242" s="10"/>
      <c r="AU10242" s="10"/>
      <c r="AV10242" s="10"/>
      <c r="AW10242" s="10"/>
      <c r="AX10242" s="10"/>
      <c r="AY10242" s="10"/>
      <c r="AZ10242" s="10"/>
    </row>
    <row r="10243" spans="31:52">
      <c r="AE10243" s="10"/>
      <c r="AF10243" s="10"/>
      <c r="AG10243" s="10"/>
      <c r="AH10243" s="10"/>
      <c r="AI10243" s="10"/>
      <c r="AJ10243" s="10"/>
      <c r="AK10243" s="10"/>
      <c r="AL10243" s="10"/>
      <c r="AM10243" s="10"/>
      <c r="AN10243" s="10"/>
      <c r="AO10243" s="10"/>
      <c r="AP10243" s="10"/>
      <c r="AQ10243" s="10"/>
      <c r="AR10243" s="10"/>
      <c r="AS10243" s="10"/>
      <c r="AT10243" s="10"/>
      <c r="AU10243" s="10"/>
      <c r="AV10243" s="10"/>
      <c r="AW10243" s="10"/>
      <c r="AX10243" s="10"/>
      <c r="AY10243" s="10"/>
      <c r="AZ10243" s="10"/>
    </row>
    <row r="10244" spans="31:52">
      <c r="AE10244" s="10"/>
      <c r="AF10244" s="10"/>
      <c r="AG10244" s="10"/>
      <c r="AH10244" s="10"/>
      <c r="AI10244" s="10"/>
      <c r="AJ10244" s="10"/>
      <c r="AK10244" s="10"/>
      <c r="AL10244" s="10"/>
      <c r="AM10244" s="10"/>
      <c r="AN10244" s="10"/>
      <c r="AO10244" s="10"/>
      <c r="AP10244" s="10"/>
      <c r="AQ10244" s="10"/>
      <c r="AR10244" s="10"/>
      <c r="AS10244" s="10"/>
      <c r="AT10244" s="10"/>
      <c r="AU10244" s="10"/>
      <c r="AV10244" s="10"/>
      <c r="AW10244" s="10"/>
      <c r="AX10244" s="10"/>
      <c r="AY10244" s="10"/>
      <c r="AZ10244" s="10"/>
    </row>
    <row r="10245" spans="31:52">
      <c r="AE10245" s="10"/>
      <c r="AF10245" s="10"/>
      <c r="AG10245" s="10"/>
      <c r="AH10245" s="10"/>
      <c r="AI10245" s="10"/>
      <c r="AJ10245" s="10"/>
      <c r="AK10245" s="10"/>
      <c r="AL10245" s="10"/>
      <c r="AM10245" s="10"/>
      <c r="AN10245" s="10"/>
      <c r="AO10245" s="10"/>
      <c r="AP10245" s="10"/>
      <c r="AQ10245" s="10"/>
      <c r="AR10245" s="10"/>
      <c r="AS10245" s="10"/>
      <c r="AT10245" s="10"/>
      <c r="AU10245" s="10"/>
      <c r="AV10245" s="10"/>
      <c r="AW10245" s="10"/>
      <c r="AX10245" s="10"/>
      <c r="AY10245" s="10"/>
      <c r="AZ10245" s="10"/>
    </row>
    <row r="10246" spans="31:52">
      <c r="AE10246" s="10"/>
      <c r="AF10246" s="10"/>
      <c r="AG10246" s="10"/>
      <c r="AH10246" s="10"/>
      <c r="AI10246" s="10"/>
      <c r="AJ10246" s="10"/>
      <c r="AK10246" s="10"/>
      <c r="AL10246" s="10"/>
      <c r="AM10246" s="10"/>
      <c r="AN10246" s="10"/>
      <c r="AO10246" s="10"/>
      <c r="AP10246" s="10"/>
      <c r="AQ10246" s="10"/>
      <c r="AR10246" s="10"/>
      <c r="AS10246" s="10"/>
      <c r="AT10246" s="10"/>
      <c r="AU10246" s="10"/>
      <c r="AV10246" s="10"/>
      <c r="AW10246" s="10"/>
      <c r="AX10246" s="10"/>
      <c r="AY10246" s="10"/>
      <c r="AZ10246" s="10"/>
    </row>
    <row r="10247" spans="31:52">
      <c r="AE10247" s="10"/>
      <c r="AF10247" s="10"/>
      <c r="AG10247" s="10"/>
      <c r="AH10247" s="10"/>
      <c r="AI10247" s="10"/>
      <c r="AJ10247" s="10"/>
      <c r="AK10247" s="10"/>
      <c r="AL10247" s="10"/>
      <c r="AM10247" s="10"/>
      <c r="AN10247" s="10"/>
      <c r="AO10247" s="10"/>
      <c r="AP10247" s="10"/>
      <c r="AQ10247" s="10"/>
      <c r="AR10247" s="10"/>
      <c r="AS10247" s="10"/>
      <c r="AT10247" s="10"/>
      <c r="AU10247" s="10"/>
      <c r="AV10247" s="10"/>
      <c r="AW10247" s="10"/>
      <c r="AX10247" s="10"/>
      <c r="AY10247" s="10"/>
      <c r="AZ10247" s="10"/>
    </row>
    <row r="10248" spans="31:52">
      <c r="AE10248" s="10"/>
      <c r="AF10248" s="10"/>
      <c r="AG10248" s="10"/>
      <c r="AH10248" s="10"/>
      <c r="AI10248" s="10"/>
      <c r="AJ10248" s="10"/>
      <c r="AK10248" s="10"/>
      <c r="AL10248" s="10"/>
      <c r="AM10248" s="10"/>
      <c r="AN10248" s="10"/>
      <c r="AO10248" s="10"/>
      <c r="AP10248" s="10"/>
      <c r="AQ10248" s="10"/>
      <c r="AR10248" s="10"/>
      <c r="AS10248" s="10"/>
      <c r="AT10248" s="10"/>
      <c r="AU10248" s="10"/>
      <c r="AV10248" s="10"/>
      <c r="AW10248" s="10"/>
      <c r="AX10248" s="10"/>
      <c r="AY10248" s="10"/>
      <c r="AZ10248" s="10"/>
    </row>
    <row r="10249" spans="31:52">
      <c r="AE10249" s="10"/>
      <c r="AF10249" s="10"/>
      <c r="AG10249" s="10"/>
      <c r="AH10249" s="10"/>
      <c r="AI10249" s="10"/>
      <c r="AJ10249" s="10"/>
      <c r="AK10249" s="10"/>
      <c r="AL10249" s="10"/>
      <c r="AM10249" s="10"/>
      <c r="AN10249" s="10"/>
      <c r="AO10249" s="10"/>
      <c r="AP10249" s="10"/>
      <c r="AQ10249" s="10"/>
      <c r="AR10249" s="10"/>
      <c r="AS10249" s="10"/>
      <c r="AT10249" s="10"/>
      <c r="AU10249" s="10"/>
      <c r="AV10249" s="10"/>
      <c r="AW10249" s="10"/>
      <c r="AX10249" s="10"/>
      <c r="AY10249" s="10"/>
      <c r="AZ10249" s="10"/>
    </row>
    <row r="10250" spans="31:52">
      <c r="AE10250" s="10"/>
      <c r="AF10250" s="10"/>
      <c r="AG10250" s="10"/>
      <c r="AH10250" s="10"/>
      <c r="AI10250" s="10"/>
      <c r="AJ10250" s="10"/>
      <c r="AK10250" s="10"/>
      <c r="AL10250" s="10"/>
      <c r="AM10250" s="10"/>
      <c r="AN10250" s="10"/>
      <c r="AO10250" s="10"/>
      <c r="AP10250" s="10"/>
      <c r="AQ10250" s="10"/>
      <c r="AR10250" s="10"/>
      <c r="AS10250" s="10"/>
      <c r="AT10250" s="10"/>
      <c r="AU10250" s="10"/>
      <c r="AV10250" s="10"/>
      <c r="AW10250" s="10"/>
      <c r="AX10250" s="10"/>
      <c r="AY10250" s="10"/>
      <c r="AZ10250" s="10"/>
    </row>
    <row r="10251" spans="31:52">
      <c r="AE10251" s="10"/>
      <c r="AF10251" s="10"/>
      <c r="AG10251" s="10"/>
      <c r="AH10251" s="10"/>
      <c r="AI10251" s="10"/>
      <c r="AJ10251" s="10"/>
      <c r="AK10251" s="10"/>
      <c r="AL10251" s="10"/>
      <c r="AM10251" s="10"/>
      <c r="AN10251" s="10"/>
      <c r="AO10251" s="10"/>
      <c r="AP10251" s="10"/>
      <c r="AQ10251" s="10"/>
      <c r="AR10251" s="10"/>
      <c r="AS10251" s="10"/>
      <c r="AT10251" s="10"/>
      <c r="AU10251" s="10"/>
      <c r="AV10251" s="10"/>
      <c r="AW10251" s="10"/>
      <c r="AX10251" s="10"/>
      <c r="AY10251" s="10"/>
      <c r="AZ10251" s="10"/>
    </row>
    <row r="10252" spans="31:52">
      <c r="AE10252" s="10"/>
      <c r="AF10252" s="10"/>
      <c r="AG10252" s="10"/>
      <c r="AH10252" s="10"/>
      <c r="AI10252" s="10"/>
      <c r="AJ10252" s="10"/>
      <c r="AK10252" s="10"/>
      <c r="AL10252" s="10"/>
      <c r="AM10252" s="10"/>
      <c r="AN10252" s="10"/>
      <c r="AO10252" s="10"/>
      <c r="AP10252" s="10"/>
      <c r="AQ10252" s="10"/>
      <c r="AR10252" s="10"/>
      <c r="AS10252" s="10"/>
      <c r="AT10252" s="10"/>
      <c r="AU10252" s="10"/>
      <c r="AV10252" s="10"/>
      <c r="AW10252" s="10"/>
      <c r="AX10252" s="10"/>
      <c r="AY10252" s="10"/>
      <c r="AZ10252" s="10"/>
    </row>
    <row r="10253" spans="31:52">
      <c r="AE10253" s="10"/>
      <c r="AF10253" s="10"/>
      <c r="AG10253" s="10"/>
      <c r="AH10253" s="10"/>
      <c r="AI10253" s="10"/>
      <c r="AJ10253" s="10"/>
      <c r="AK10253" s="10"/>
      <c r="AL10253" s="10"/>
      <c r="AM10253" s="10"/>
      <c r="AN10253" s="10"/>
      <c r="AO10253" s="10"/>
      <c r="AP10253" s="10"/>
      <c r="AQ10253" s="10"/>
      <c r="AR10253" s="10"/>
      <c r="AS10253" s="10"/>
      <c r="AT10253" s="10"/>
      <c r="AU10253" s="10"/>
      <c r="AV10253" s="10"/>
      <c r="AW10253" s="10"/>
      <c r="AX10253" s="10"/>
      <c r="AY10253" s="10"/>
      <c r="AZ10253" s="10"/>
    </row>
    <row r="10254" spans="31:52">
      <c r="AE10254" s="10"/>
      <c r="AF10254" s="10"/>
      <c r="AG10254" s="10"/>
      <c r="AH10254" s="10"/>
      <c r="AI10254" s="10"/>
      <c r="AJ10254" s="10"/>
      <c r="AK10254" s="10"/>
      <c r="AL10254" s="10"/>
      <c r="AM10254" s="10"/>
      <c r="AN10254" s="10"/>
      <c r="AO10254" s="10"/>
      <c r="AP10254" s="10"/>
      <c r="AQ10254" s="10"/>
      <c r="AR10254" s="10"/>
      <c r="AS10254" s="10"/>
      <c r="AT10254" s="10"/>
      <c r="AU10254" s="10"/>
      <c r="AV10254" s="10"/>
      <c r="AW10254" s="10"/>
      <c r="AX10254" s="10"/>
      <c r="AY10254" s="10"/>
      <c r="AZ10254" s="10"/>
    </row>
    <row r="10255" spans="31:52">
      <c r="AE10255" s="10"/>
      <c r="AF10255" s="10"/>
      <c r="AG10255" s="10"/>
      <c r="AH10255" s="10"/>
      <c r="AI10255" s="10"/>
      <c r="AJ10255" s="10"/>
      <c r="AK10255" s="10"/>
      <c r="AL10255" s="10"/>
      <c r="AM10255" s="10"/>
      <c r="AN10255" s="10"/>
      <c r="AO10255" s="10"/>
      <c r="AP10255" s="10"/>
      <c r="AQ10255" s="10"/>
      <c r="AR10255" s="10"/>
      <c r="AS10255" s="10"/>
      <c r="AT10255" s="10"/>
      <c r="AU10255" s="10"/>
      <c r="AV10255" s="10"/>
      <c r="AW10255" s="10"/>
      <c r="AX10255" s="10"/>
      <c r="AY10255" s="10"/>
      <c r="AZ10255" s="10"/>
    </row>
    <row r="10256" spans="31:52">
      <c r="AE10256" s="10"/>
      <c r="AF10256" s="10"/>
      <c r="AG10256" s="10"/>
      <c r="AH10256" s="10"/>
      <c r="AI10256" s="10"/>
      <c r="AJ10256" s="10"/>
      <c r="AK10256" s="10"/>
      <c r="AL10256" s="10"/>
      <c r="AM10256" s="10"/>
      <c r="AN10256" s="10"/>
      <c r="AO10256" s="10"/>
      <c r="AP10256" s="10"/>
      <c r="AQ10256" s="10"/>
      <c r="AR10256" s="10"/>
      <c r="AS10256" s="10"/>
      <c r="AT10256" s="10"/>
      <c r="AU10256" s="10"/>
      <c r="AV10256" s="10"/>
      <c r="AW10256" s="10"/>
      <c r="AX10256" s="10"/>
      <c r="AY10256" s="10"/>
      <c r="AZ10256" s="10"/>
    </row>
    <row r="10257" spans="31:52">
      <c r="AE10257" s="10"/>
      <c r="AF10257" s="10"/>
      <c r="AG10257" s="10"/>
      <c r="AH10257" s="10"/>
      <c r="AI10257" s="10"/>
      <c r="AJ10257" s="10"/>
      <c r="AK10257" s="10"/>
      <c r="AL10257" s="10"/>
      <c r="AM10257" s="10"/>
      <c r="AN10257" s="10"/>
      <c r="AO10257" s="10"/>
      <c r="AP10257" s="10"/>
      <c r="AQ10257" s="10"/>
      <c r="AR10257" s="10"/>
      <c r="AS10257" s="10"/>
      <c r="AT10257" s="10"/>
      <c r="AU10257" s="10"/>
      <c r="AV10257" s="10"/>
      <c r="AW10257" s="10"/>
      <c r="AX10257" s="10"/>
      <c r="AY10257" s="10"/>
      <c r="AZ10257" s="10"/>
    </row>
    <row r="10258" spans="31:52">
      <c r="AE10258" s="10"/>
      <c r="AF10258" s="10"/>
      <c r="AG10258" s="10"/>
      <c r="AH10258" s="10"/>
      <c r="AI10258" s="10"/>
      <c r="AJ10258" s="10"/>
      <c r="AK10258" s="10"/>
      <c r="AL10258" s="10"/>
      <c r="AM10258" s="10"/>
      <c r="AN10258" s="10"/>
      <c r="AO10258" s="10"/>
      <c r="AP10258" s="10"/>
      <c r="AQ10258" s="10"/>
      <c r="AR10258" s="10"/>
      <c r="AS10258" s="10"/>
      <c r="AT10258" s="10"/>
      <c r="AU10258" s="10"/>
      <c r="AV10258" s="10"/>
      <c r="AW10258" s="10"/>
      <c r="AX10258" s="10"/>
      <c r="AY10258" s="10"/>
      <c r="AZ10258" s="10"/>
    </row>
    <row r="10259" spans="31:52">
      <c r="AE10259" s="10"/>
      <c r="AF10259" s="10"/>
      <c r="AG10259" s="10"/>
      <c r="AH10259" s="10"/>
      <c r="AI10259" s="10"/>
      <c r="AJ10259" s="10"/>
      <c r="AK10259" s="10"/>
      <c r="AL10259" s="10"/>
      <c r="AM10259" s="10"/>
      <c r="AN10259" s="10"/>
      <c r="AO10259" s="10"/>
      <c r="AP10259" s="10"/>
      <c r="AQ10259" s="10"/>
      <c r="AR10259" s="10"/>
      <c r="AS10259" s="10"/>
      <c r="AT10259" s="10"/>
      <c r="AU10259" s="10"/>
      <c r="AV10259" s="10"/>
      <c r="AW10259" s="10"/>
      <c r="AX10259" s="10"/>
      <c r="AY10259" s="10"/>
      <c r="AZ10259" s="10"/>
    </row>
    <row r="10260" spans="31:52">
      <c r="AE10260" s="10"/>
      <c r="AF10260" s="10"/>
      <c r="AG10260" s="10"/>
      <c r="AH10260" s="10"/>
      <c r="AI10260" s="10"/>
      <c r="AJ10260" s="10"/>
      <c r="AK10260" s="10"/>
      <c r="AL10260" s="10"/>
      <c r="AM10260" s="10"/>
      <c r="AN10260" s="10"/>
      <c r="AO10260" s="10"/>
      <c r="AP10260" s="10"/>
      <c r="AQ10260" s="10"/>
      <c r="AR10260" s="10"/>
      <c r="AS10260" s="10"/>
      <c r="AT10260" s="10"/>
      <c r="AU10260" s="10"/>
      <c r="AV10260" s="10"/>
      <c r="AW10260" s="10"/>
      <c r="AX10260" s="10"/>
      <c r="AY10260" s="10"/>
      <c r="AZ10260" s="10"/>
    </row>
    <row r="10261" spans="31:52">
      <c r="AE10261" s="10"/>
      <c r="AF10261" s="10"/>
      <c r="AG10261" s="10"/>
      <c r="AH10261" s="10"/>
      <c r="AI10261" s="10"/>
      <c r="AJ10261" s="10"/>
      <c r="AK10261" s="10"/>
      <c r="AL10261" s="10"/>
      <c r="AM10261" s="10"/>
      <c r="AN10261" s="10"/>
      <c r="AO10261" s="10"/>
      <c r="AP10261" s="10"/>
      <c r="AQ10261" s="10"/>
      <c r="AR10261" s="10"/>
      <c r="AS10261" s="10"/>
      <c r="AT10261" s="10"/>
      <c r="AU10261" s="10"/>
      <c r="AV10261" s="10"/>
      <c r="AW10261" s="10"/>
      <c r="AX10261" s="10"/>
      <c r="AY10261" s="10"/>
      <c r="AZ10261" s="10"/>
    </row>
    <row r="10262" spans="31:52">
      <c r="AE10262" s="10"/>
      <c r="AF10262" s="10"/>
      <c r="AG10262" s="10"/>
      <c r="AH10262" s="10"/>
      <c r="AI10262" s="10"/>
      <c r="AJ10262" s="10"/>
      <c r="AK10262" s="10"/>
      <c r="AL10262" s="10"/>
      <c r="AM10262" s="10"/>
      <c r="AN10262" s="10"/>
      <c r="AO10262" s="10"/>
      <c r="AP10262" s="10"/>
      <c r="AQ10262" s="10"/>
      <c r="AR10262" s="10"/>
      <c r="AS10262" s="10"/>
      <c r="AT10262" s="10"/>
      <c r="AU10262" s="10"/>
      <c r="AV10262" s="10"/>
      <c r="AW10262" s="10"/>
      <c r="AX10262" s="10"/>
      <c r="AY10262" s="10"/>
      <c r="AZ10262" s="10"/>
    </row>
    <row r="10263" spans="31:52">
      <c r="AE10263" s="10"/>
      <c r="AF10263" s="10"/>
      <c r="AG10263" s="10"/>
      <c r="AH10263" s="10"/>
      <c r="AI10263" s="10"/>
      <c r="AJ10263" s="10"/>
      <c r="AK10263" s="10"/>
      <c r="AL10263" s="10"/>
      <c r="AM10263" s="10"/>
      <c r="AN10263" s="10"/>
      <c r="AO10263" s="10"/>
      <c r="AP10263" s="10"/>
      <c r="AQ10263" s="10"/>
      <c r="AR10263" s="10"/>
      <c r="AS10263" s="10"/>
      <c r="AT10263" s="10"/>
      <c r="AU10263" s="10"/>
      <c r="AV10263" s="10"/>
      <c r="AW10263" s="10"/>
      <c r="AX10263" s="10"/>
      <c r="AY10263" s="10"/>
      <c r="AZ10263" s="10"/>
    </row>
    <row r="10264" spans="31:52">
      <c r="AE10264" s="10"/>
      <c r="AF10264" s="10"/>
      <c r="AG10264" s="10"/>
      <c r="AH10264" s="10"/>
      <c r="AI10264" s="10"/>
      <c r="AJ10264" s="10"/>
      <c r="AK10264" s="10"/>
      <c r="AL10264" s="10"/>
      <c r="AM10264" s="10"/>
      <c r="AN10264" s="10"/>
      <c r="AO10264" s="10"/>
      <c r="AP10264" s="10"/>
      <c r="AQ10264" s="10"/>
      <c r="AR10264" s="10"/>
      <c r="AS10264" s="10"/>
      <c r="AT10264" s="10"/>
      <c r="AU10264" s="10"/>
      <c r="AV10264" s="10"/>
      <c r="AW10264" s="10"/>
      <c r="AX10264" s="10"/>
      <c r="AY10264" s="10"/>
      <c r="AZ10264" s="10"/>
    </row>
    <row r="10265" spans="31:52">
      <c r="AE10265" s="10"/>
      <c r="AF10265" s="10"/>
      <c r="AG10265" s="10"/>
      <c r="AH10265" s="10"/>
      <c r="AI10265" s="10"/>
      <c r="AJ10265" s="10"/>
      <c r="AK10265" s="10"/>
      <c r="AL10265" s="10"/>
      <c r="AM10265" s="10"/>
      <c r="AN10265" s="10"/>
      <c r="AO10265" s="10"/>
      <c r="AP10265" s="10"/>
      <c r="AQ10265" s="10"/>
      <c r="AR10265" s="10"/>
      <c r="AS10265" s="10"/>
      <c r="AT10265" s="10"/>
      <c r="AU10265" s="10"/>
      <c r="AV10265" s="10"/>
      <c r="AW10265" s="10"/>
      <c r="AX10265" s="10"/>
      <c r="AY10265" s="10"/>
      <c r="AZ10265" s="10"/>
    </row>
    <row r="10266" spans="31:52">
      <c r="AE10266" s="10"/>
      <c r="AF10266" s="10"/>
      <c r="AG10266" s="10"/>
      <c r="AH10266" s="10"/>
      <c r="AI10266" s="10"/>
      <c r="AJ10266" s="10"/>
      <c r="AK10266" s="10"/>
      <c r="AL10266" s="10"/>
      <c r="AM10266" s="10"/>
      <c r="AN10266" s="10"/>
      <c r="AO10266" s="10"/>
      <c r="AP10266" s="10"/>
      <c r="AQ10266" s="10"/>
      <c r="AR10266" s="10"/>
      <c r="AS10266" s="10"/>
      <c r="AT10266" s="10"/>
      <c r="AU10266" s="10"/>
      <c r="AV10266" s="10"/>
      <c r="AW10266" s="10"/>
      <c r="AX10266" s="10"/>
      <c r="AY10266" s="10"/>
      <c r="AZ10266" s="10"/>
    </row>
    <row r="10267" spans="31:52">
      <c r="AE10267" s="10"/>
      <c r="AF10267" s="10"/>
      <c r="AG10267" s="10"/>
      <c r="AH10267" s="10"/>
      <c r="AI10267" s="10"/>
      <c r="AJ10267" s="10"/>
      <c r="AK10267" s="10"/>
      <c r="AL10267" s="10"/>
      <c r="AM10267" s="10"/>
      <c r="AN10267" s="10"/>
      <c r="AO10267" s="10"/>
      <c r="AP10267" s="10"/>
      <c r="AQ10267" s="10"/>
      <c r="AR10267" s="10"/>
      <c r="AS10267" s="10"/>
      <c r="AT10267" s="10"/>
      <c r="AU10267" s="10"/>
      <c r="AV10267" s="10"/>
      <c r="AW10267" s="10"/>
      <c r="AX10267" s="10"/>
      <c r="AY10267" s="10"/>
      <c r="AZ10267" s="10"/>
    </row>
    <row r="10268" spans="31:52">
      <c r="AE10268" s="10"/>
      <c r="AF10268" s="10"/>
      <c r="AG10268" s="10"/>
      <c r="AH10268" s="10"/>
      <c r="AI10268" s="10"/>
      <c r="AJ10268" s="10"/>
      <c r="AK10268" s="10"/>
      <c r="AL10268" s="10"/>
      <c r="AM10268" s="10"/>
      <c r="AN10268" s="10"/>
      <c r="AO10268" s="10"/>
      <c r="AP10268" s="10"/>
      <c r="AQ10268" s="10"/>
      <c r="AR10268" s="10"/>
      <c r="AS10268" s="10"/>
      <c r="AT10268" s="10"/>
      <c r="AU10268" s="10"/>
      <c r="AV10268" s="10"/>
      <c r="AW10268" s="10"/>
      <c r="AX10268" s="10"/>
      <c r="AY10268" s="10"/>
      <c r="AZ10268" s="10"/>
    </row>
    <row r="10269" spans="31:52">
      <c r="AE10269" s="10"/>
      <c r="AF10269" s="10"/>
      <c r="AG10269" s="10"/>
      <c r="AH10269" s="10"/>
      <c r="AI10269" s="10"/>
      <c r="AJ10269" s="10"/>
      <c r="AK10269" s="10"/>
      <c r="AL10269" s="10"/>
      <c r="AM10269" s="10"/>
      <c r="AN10269" s="10"/>
      <c r="AO10269" s="10"/>
      <c r="AP10269" s="10"/>
      <c r="AQ10269" s="10"/>
      <c r="AR10269" s="10"/>
      <c r="AS10269" s="10"/>
      <c r="AT10269" s="10"/>
      <c r="AU10269" s="10"/>
      <c r="AV10269" s="10"/>
      <c r="AW10269" s="10"/>
      <c r="AX10269" s="10"/>
      <c r="AY10269" s="10"/>
      <c r="AZ10269" s="10"/>
    </row>
    <row r="10270" spans="31:52">
      <c r="AE10270" s="10"/>
      <c r="AF10270" s="10"/>
      <c r="AG10270" s="10"/>
      <c r="AH10270" s="10"/>
      <c r="AI10270" s="10"/>
      <c r="AJ10270" s="10"/>
      <c r="AK10270" s="10"/>
      <c r="AL10270" s="10"/>
      <c r="AM10270" s="10"/>
      <c r="AN10270" s="10"/>
      <c r="AO10270" s="10"/>
      <c r="AP10270" s="10"/>
      <c r="AQ10270" s="10"/>
      <c r="AR10270" s="10"/>
      <c r="AS10270" s="10"/>
      <c r="AT10270" s="10"/>
      <c r="AU10270" s="10"/>
      <c r="AV10270" s="10"/>
      <c r="AW10270" s="10"/>
      <c r="AX10270" s="10"/>
      <c r="AY10270" s="10"/>
      <c r="AZ10270" s="10"/>
    </row>
    <row r="10271" spans="31:52">
      <c r="AE10271" s="10"/>
      <c r="AF10271" s="10"/>
      <c r="AG10271" s="10"/>
      <c r="AH10271" s="10"/>
      <c r="AI10271" s="10"/>
      <c r="AJ10271" s="10"/>
      <c r="AK10271" s="10"/>
      <c r="AL10271" s="10"/>
      <c r="AM10271" s="10"/>
      <c r="AN10271" s="10"/>
      <c r="AO10271" s="10"/>
      <c r="AP10271" s="10"/>
      <c r="AQ10271" s="10"/>
      <c r="AR10271" s="10"/>
      <c r="AS10271" s="10"/>
      <c r="AT10271" s="10"/>
      <c r="AU10271" s="10"/>
      <c r="AV10271" s="10"/>
      <c r="AW10271" s="10"/>
      <c r="AX10271" s="10"/>
      <c r="AY10271" s="10"/>
      <c r="AZ10271" s="10"/>
    </row>
    <row r="10272" spans="31:52">
      <c r="AE10272" s="10"/>
      <c r="AF10272" s="10"/>
      <c r="AG10272" s="10"/>
      <c r="AH10272" s="10"/>
      <c r="AI10272" s="10"/>
      <c r="AJ10272" s="10"/>
      <c r="AK10272" s="10"/>
      <c r="AL10272" s="10"/>
      <c r="AM10272" s="10"/>
      <c r="AN10272" s="10"/>
      <c r="AO10272" s="10"/>
      <c r="AP10272" s="10"/>
      <c r="AQ10272" s="10"/>
      <c r="AR10272" s="10"/>
      <c r="AS10272" s="10"/>
      <c r="AT10272" s="10"/>
      <c r="AU10272" s="10"/>
      <c r="AV10272" s="10"/>
      <c r="AW10272" s="10"/>
      <c r="AX10272" s="10"/>
      <c r="AY10272" s="10"/>
      <c r="AZ10272" s="10"/>
    </row>
    <row r="10273" spans="31:52">
      <c r="AE10273" s="10"/>
      <c r="AF10273" s="10"/>
      <c r="AG10273" s="10"/>
      <c r="AH10273" s="10"/>
      <c r="AI10273" s="10"/>
      <c r="AJ10273" s="10"/>
      <c r="AK10273" s="10"/>
      <c r="AL10273" s="10"/>
      <c r="AM10273" s="10"/>
      <c r="AN10273" s="10"/>
      <c r="AO10273" s="10"/>
      <c r="AP10273" s="10"/>
      <c r="AQ10273" s="10"/>
      <c r="AR10273" s="10"/>
      <c r="AS10273" s="10"/>
      <c r="AT10273" s="10"/>
      <c r="AU10273" s="10"/>
      <c r="AV10273" s="10"/>
      <c r="AW10273" s="10"/>
      <c r="AX10273" s="10"/>
      <c r="AY10273" s="10"/>
      <c r="AZ10273" s="10"/>
    </row>
    <row r="10274" spans="31:52">
      <c r="AE10274" s="10"/>
      <c r="AF10274" s="10"/>
      <c r="AG10274" s="10"/>
      <c r="AH10274" s="10"/>
      <c r="AI10274" s="10"/>
      <c r="AJ10274" s="10"/>
      <c r="AK10274" s="10"/>
      <c r="AL10274" s="10"/>
      <c r="AM10274" s="10"/>
      <c r="AN10274" s="10"/>
      <c r="AO10274" s="10"/>
      <c r="AP10274" s="10"/>
      <c r="AQ10274" s="10"/>
      <c r="AR10274" s="10"/>
      <c r="AS10274" s="10"/>
      <c r="AT10274" s="10"/>
      <c r="AU10274" s="10"/>
      <c r="AV10274" s="10"/>
      <c r="AW10274" s="10"/>
      <c r="AX10274" s="10"/>
      <c r="AY10274" s="10"/>
      <c r="AZ10274" s="10"/>
    </row>
    <row r="10275" spans="31:52">
      <c r="AE10275" s="10"/>
      <c r="AF10275" s="10"/>
      <c r="AG10275" s="10"/>
      <c r="AH10275" s="10"/>
      <c r="AI10275" s="10"/>
      <c r="AJ10275" s="10"/>
      <c r="AK10275" s="10"/>
      <c r="AL10275" s="10"/>
      <c r="AM10275" s="10"/>
      <c r="AN10275" s="10"/>
      <c r="AO10275" s="10"/>
      <c r="AP10275" s="10"/>
      <c r="AQ10275" s="10"/>
      <c r="AR10275" s="10"/>
      <c r="AS10275" s="10"/>
      <c r="AT10275" s="10"/>
      <c r="AU10275" s="10"/>
      <c r="AV10275" s="10"/>
      <c r="AW10275" s="10"/>
      <c r="AX10275" s="10"/>
      <c r="AY10275" s="10"/>
      <c r="AZ10275" s="10"/>
    </row>
    <row r="10276" spans="31:52">
      <c r="AE10276" s="10"/>
      <c r="AF10276" s="10"/>
      <c r="AG10276" s="10"/>
      <c r="AH10276" s="10"/>
      <c r="AI10276" s="10"/>
      <c r="AJ10276" s="10"/>
      <c r="AK10276" s="10"/>
      <c r="AL10276" s="10"/>
      <c r="AM10276" s="10"/>
      <c r="AN10276" s="10"/>
      <c r="AO10276" s="10"/>
      <c r="AP10276" s="10"/>
      <c r="AQ10276" s="10"/>
      <c r="AR10276" s="10"/>
      <c r="AS10276" s="10"/>
      <c r="AT10276" s="10"/>
      <c r="AU10276" s="10"/>
      <c r="AV10276" s="10"/>
      <c r="AW10276" s="10"/>
      <c r="AX10276" s="10"/>
      <c r="AY10276" s="10"/>
      <c r="AZ10276" s="10"/>
    </row>
    <row r="10277" spans="31:52">
      <c r="AE10277" s="10"/>
      <c r="AF10277" s="10"/>
      <c r="AG10277" s="10"/>
      <c r="AH10277" s="10"/>
      <c r="AI10277" s="10"/>
      <c r="AJ10277" s="10"/>
      <c r="AK10277" s="10"/>
      <c r="AL10277" s="10"/>
      <c r="AM10277" s="10"/>
      <c r="AN10277" s="10"/>
      <c r="AO10277" s="10"/>
      <c r="AP10277" s="10"/>
      <c r="AQ10277" s="10"/>
      <c r="AR10277" s="10"/>
      <c r="AS10277" s="10"/>
      <c r="AT10277" s="10"/>
      <c r="AU10277" s="10"/>
      <c r="AV10277" s="10"/>
      <c r="AW10277" s="10"/>
      <c r="AX10277" s="10"/>
      <c r="AY10277" s="10"/>
      <c r="AZ10277" s="10"/>
    </row>
    <row r="10278" spans="31:52">
      <c r="AE10278" s="10"/>
      <c r="AF10278" s="10"/>
      <c r="AG10278" s="10"/>
      <c r="AH10278" s="10"/>
      <c r="AI10278" s="10"/>
      <c r="AJ10278" s="10"/>
      <c r="AK10278" s="10"/>
      <c r="AL10278" s="10"/>
      <c r="AM10278" s="10"/>
      <c r="AN10278" s="10"/>
      <c r="AO10278" s="10"/>
      <c r="AP10278" s="10"/>
      <c r="AQ10278" s="10"/>
      <c r="AR10278" s="10"/>
      <c r="AS10278" s="10"/>
      <c r="AT10278" s="10"/>
      <c r="AU10278" s="10"/>
      <c r="AV10278" s="10"/>
      <c r="AW10278" s="10"/>
      <c r="AX10278" s="10"/>
      <c r="AY10278" s="10"/>
      <c r="AZ10278" s="10"/>
    </row>
    <row r="10279" spans="31:52">
      <c r="AE10279" s="10"/>
      <c r="AF10279" s="10"/>
      <c r="AG10279" s="10"/>
      <c r="AH10279" s="10"/>
      <c r="AI10279" s="10"/>
      <c r="AJ10279" s="10"/>
      <c r="AK10279" s="10"/>
      <c r="AL10279" s="10"/>
      <c r="AM10279" s="10"/>
      <c r="AN10279" s="10"/>
      <c r="AO10279" s="10"/>
      <c r="AP10279" s="10"/>
      <c r="AQ10279" s="10"/>
      <c r="AR10279" s="10"/>
      <c r="AS10279" s="10"/>
      <c r="AT10279" s="10"/>
      <c r="AU10279" s="10"/>
      <c r="AV10279" s="10"/>
      <c r="AW10279" s="10"/>
      <c r="AX10279" s="10"/>
      <c r="AY10279" s="10"/>
      <c r="AZ10279" s="10"/>
    </row>
    <row r="10280" spans="31:52">
      <c r="AE10280" s="10"/>
      <c r="AF10280" s="10"/>
      <c r="AG10280" s="10"/>
      <c r="AH10280" s="10"/>
      <c r="AI10280" s="10"/>
      <c r="AJ10280" s="10"/>
      <c r="AK10280" s="10"/>
      <c r="AL10280" s="10"/>
      <c r="AM10280" s="10"/>
      <c r="AN10280" s="10"/>
      <c r="AO10280" s="10"/>
      <c r="AP10280" s="10"/>
      <c r="AQ10280" s="10"/>
      <c r="AR10280" s="10"/>
      <c r="AS10280" s="10"/>
      <c r="AT10280" s="10"/>
      <c r="AU10280" s="10"/>
      <c r="AV10280" s="10"/>
      <c r="AW10280" s="10"/>
      <c r="AX10280" s="10"/>
      <c r="AY10280" s="10"/>
      <c r="AZ10280" s="10"/>
    </row>
    <row r="10281" spans="31:52">
      <c r="AE10281" s="10"/>
      <c r="AF10281" s="10"/>
      <c r="AG10281" s="10"/>
      <c r="AH10281" s="10"/>
      <c r="AI10281" s="10"/>
      <c r="AJ10281" s="10"/>
      <c r="AK10281" s="10"/>
      <c r="AL10281" s="10"/>
      <c r="AM10281" s="10"/>
      <c r="AN10281" s="10"/>
      <c r="AO10281" s="10"/>
      <c r="AP10281" s="10"/>
      <c r="AQ10281" s="10"/>
      <c r="AR10281" s="10"/>
      <c r="AS10281" s="10"/>
      <c r="AT10281" s="10"/>
      <c r="AU10281" s="10"/>
      <c r="AV10281" s="10"/>
      <c r="AW10281" s="10"/>
      <c r="AX10281" s="10"/>
      <c r="AY10281" s="10"/>
      <c r="AZ10281" s="10"/>
    </row>
    <row r="10282" spans="31:52">
      <c r="AE10282" s="10"/>
      <c r="AF10282" s="10"/>
      <c r="AG10282" s="10"/>
      <c r="AH10282" s="10"/>
      <c r="AI10282" s="10"/>
      <c r="AJ10282" s="10"/>
      <c r="AK10282" s="10"/>
      <c r="AL10282" s="10"/>
      <c r="AM10282" s="10"/>
      <c r="AN10282" s="10"/>
      <c r="AO10282" s="10"/>
      <c r="AP10282" s="10"/>
      <c r="AQ10282" s="10"/>
      <c r="AR10282" s="10"/>
      <c r="AS10282" s="10"/>
      <c r="AT10282" s="10"/>
      <c r="AU10282" s="10"/>
      <c r="AV10282" s="10"/>
      <c r="AW10282" s="10"/>
      <c r="AX10282" s="10"/>
      <c r="AY10282" s="10"/>
      <c r="AZ10282" s="10"/>
    </row>
    <row r="10283" spans="31:52">
      <c r="AE10283" s="10"/>
      <c r="AF10283" s="10"/>
      <c r="AG10283" s="10"/>
      <c r="AH10283" s="10"/>
      <c r="AI10283" s="10"/>
      <c r="AJ10283" s="10"/>
      <c r="AK10283" s="10"/>
      <c r="AL10283" s="10"/>
      <c r="AM10283" s="10"/>
      <c r="AN10283" s="10"/>
      <c r="AO10283" s="10"/>
      <c r="AP10283" s="10"/>
      <c r="AQ10283" s="10"/>
      <c r="AR10283" s="10"/>
      <c r="AS10283" s="10"/>
      <c r="AT10283" s="10"/>
      <c r="AU10283" s="10"/>
      <c r="AV10283" s="10"/>
      <c r="AW10283" s="10"/>
      <c r="AX10283" s="10"/>
      <c r="AY10283" s="10"/>
      <c r="AZ10283" s="10"/>
    </row>
    <row r="10284" spans="31:52">
      <c r="AE10284" s="10"/>
      <c r="AF10284" s="10"/>
      <c r="AG10284" s="10"/>
      <c r="AH10284" s="10"/>
      <c r="AI10284" s="10"/>
      <c r="AJ10284" s="10"/>
      <c r="AK10284" s="10"/>
      <c r="AL10284" s="10"/>
      <c r="AM10284" s="10"/>
      <c r="AN10284" s="10"/>
      <c r="AO10284" s="10"/>
      <c r="AP10284" s="10"/>
      <c r="AQ10284" s="10"/>
      <c r="AR10284" s="10"/>
      <c r="AS10284" s="10"/>
      <c r="AT10284" s="10"/>
      <c r="AU10284" s="10"/>
      <c r="AV10284" s="10"/>
      <c r="AW10284" s="10"/>
      <c r="AX10284" s="10"/>
      <c r="AY10284" s="10"/>
      <c r="AZ10284" s="10"/>
    </row>
    <row r="10285" spans="31:52">
      <c r="AE10285" s="10"/>
      <c r="AF10285" s="10"/>
      <c r="AG10285" s="10"/>
      <c r="AH10285" s="10"/>
      <c r="AI10285" s="10"/>
      <c r="AJ10285" s="10"/>
      <c r="AK10285" s="10"/>
      <c r="AL10285" s="10"/>
      <c r="AM10285" s="10"/>
      <c r="AN10285" s="10"/>
      <c r="AO10285" s="10"/>
      <c r="AP10285" s="10"/>
      <c r="AQ10285" s="10"/>
      <c r="AR10285" s="10"/>
      <c r="AS10285" s="10"/>
      <c r="AT10285" s="10"/>
      <c r="AU10285" s="10"/>
      <c r="AV10285" s="10"/>
      <c r="AW10285" s="10"/>
      <c r="AX10285" s="10"/>
      <c r="AY10285" s="10"/>
      <c r="AZ10285" s="10"/>
    </row>
    <row r="10286" spans="31:52">
      <c r="AE10286" s="10"/>
      <c r="AF10286" s="10"/>
      <c r="AG10286" s="10"/>
      <c r="AH10286" s="10"/>
      <c r="AI10286" s="10"/>
      <c r="AJ10286" s="10"/>
      <c r="AK10286" s="10"/>
      <c r="AL10286" s="10"/>
      <c r="AM10286" s="10"/>
      <c r="AN10286" s="10"/>
      <c r="AO10286" s="10"/>
      <c r="AP10286" s="10"/>
      <c r="AQ10286" s="10"/>
      <c r="AR10286" s="10"/>
      <c r="AS10286" s="10"/>
      <c r="AT10286" s="10"/>
      <c r="AU10286" s="10"/>
      <c r="AV10286" s="10"/>
      <c r="AW10286" s="10"/>
      <c r="AX10286" s="10"/>
      <c r="AY10286" s="10"/>
      <c r="AZ10286" s="10"/>
    </row>
    <row r="10287" spans="31:52">
      <c r="AE10287" s="10"/>
      <c r="AF10287" s="10"/>
      <c r="AG10287" s="10"/>
      <c r="AH10287" s="10"/>
      <c r="AI10287" s="10"/>
      <c r="AJ10287" s="10"/>
      <c r="AK10287" s="10"/>
      <c r="AL10287" s="10"/>
      <c r="AM10287" s="10"/>
      <c r="AN10287" s="10"/>
      <c r="AO10287" s="10"/>
      <c r="AP10287" s="10"/>
      <c r="AQ10287" s="10"/>
      <c r="AR10287" s="10"/>
      <c r="AS10287" s="10"/>
      <c r="AT10287" s="10"/>
      <c r="AU10287" s="10"/>
      <c r="AV10287" s="10"/>
      <c r="AW10287" s="10"/>
      <c r="AX10287" s="10"/>
      <c r="AY10287" s="10"/>
      <c r="AZ10287" s="10"/>
    </row>
    <row r="10288" spans="31:52">
      <c r="AE10288" s="10"/>
      <c r="AF10288" s="10"/>
      <c r="AG10288" s="10"/>
      <c r="AH10288" s="10"/>
      <c r="AI10288" s="10"/>
      <c r="AJ10288" s="10"/>
      <c r="AK10288" s="10"/>
      <c r="AL10288" s="10"/>
      <c r="AM10288" s="10"/>
      <c r="AN10288" s="10"/>
      <c r="AO10288" s="10"/>
      <c r="AP10288" s="10"/>
      <c r="AQ10288" s="10"/>
      <c r="AR10288" s="10"/>
      <c r="AS10288" s="10"/>
      <c r="AT10288" s="10"/>
      <c r="AU10288" s="10"/>
      <c r="AV10288" s="10"/>
      <c r="AW10288" s="10"/>
      <c r="AX10288" s="10"/>
      <c r="AY10288" s="10"/>
      <c r="AZ10288" s="10"/>
    </row>
    <row r="10289" spans="31:52">
      <c r="AE10289" s="10"/>
      <c r="AF10289" s="10"/>
      <c r="AG10289" s="10"/>
      <c r="AH10289" s="10"/>
      <c r="AI10289" s="10"/>
      <c r="AJ10289" s="10"/>
      <c r="AK10289" s="10"/>
      <c r="AL10289" s="10"/>
      <c r="AM10289" s="10"/>
      <c r="AN10289" s="10"/>
      <c r="AO10289" s="10"/>
      <c r="AP10289" s="10"/>
      <c r="AQ10289" s="10"/>
      <c r="AR10289" s="10"/>
      <c r="AS10289" s="10"/>
      <c r="AT10289" s="10"/>
      <c r="AU10289" s="10"/>
      <c r="AV10289" s="10"/>
      <c r="AW10289" s="10"/>
      <c r="AX10289" s="10"/>
      <c r="AY10289" s="10"/>
      <c r="AZ10289" s="10"/>
    </row>
    <row r="10290" spans="31:52">
      <c r="AE10290" s="10"/>
      <c r="AF10290" s="10"/>
      <c r="AG10290" s="10"/>
      <c r="AH10290" s="10"/>
      <c r="AI10290" s="10"/>
      <c r="AJ10290" s="10"/>
      <c r="AK10290" s="10"/>
      <c r="AL10290" s="10"/>
      <c r="AM10290" s="10"/>
      <c r="AN10290" s="10"/>
      <c r="AO10290" s="10"/>
      <c r="AP10290" s="10"/>
      <c r="AQ10290" s="10"/>
      <c r="AR10290" s="10"/>
      <c r="AS10290" s="10"/>
      <c r="AT10290" s="10"/>
      <c r="AU10290" s="10"/>
      <c r="AV10290" s="10"/>
      <c r="AW10290" s="10"/>
      <c r="AX10290" s="10"/>
      <c r="AY10290" s="10"/>
      <c r="AZ10290" s="10"/>
    </row>
    <row r="10291" spans="31:52">
      <c r="AE10291" s="10"/>
      <c r="AF10291" s="10"/>
      <c r="AG10291" s="10"/>
      <c r="AH10291" s="10"/>
      <c r="AI10291" s="10"/>
      <c r="AJ10291" s="10"/>
      <c r="AK10291" s="10"/>
      <c r="AL10291" s="10"/>
      <c r="AM10291" s="10"/>
      <c r="AN10291" s="10"/>
      <c r="AO10291" s="10"/>
      <c r="AP10291" s="10"/>
      <c r="AQ10291" s="10"/>
      <c r="AR10291" s="10"/>
      <c r="AS10291" s="10"/>
      <c r="AT10291" s="10"/>
      <c r="AU10291" s="10"/>
      <c r="AV10291" s="10"/>
      <c r="AW10291" s="10"/>
      <c r="AX10291" s="10"/>
      <c r="AY10291" s="10"/>
      <c r="AZ10291" s="10"/>
    </row>
    <row r="10292" spans="31:52">
      <c r="AE10292" s="10"/>
      <c r="AF10292" s="10"/>
      <c r="AG10292" s="10"/>
      <c r="AH10292" s="10"/>
      <c r="AI10292" s="10"/>
      <c r="AJ10292" s="10"/>
      <c r="AK10292" s="10"/>
      <c r="AL10292" s="10"/>
      <c r="AM10292" s="10"/>
      <c r="AN10292" s="10"/>
      <c r="AO10292" s="10"/>
      <c r="AP10292" s="10"/>
      <c r="AQ10292" s="10"/>
      <c r="AR10292" s="10"/>
      <c r="AS10292" s="10"/>
      <c r="AT10292" s="10"/>
      <c r="AU10292" s="10"/>
      <c r="AV10292" s="10"/>
      <c r="AW10292" s="10"/>
      <c r="AX10292" s="10"/>
      <c r="AY10292" s="10"/>
      <c r="AZ10292" s="10"/>
    </row>
    <row r="10293" spans="31:52">
      <c r="AE10293" s="10"/>
      <c r="AF10293" s="10"/>
      <c r="AG10293" s="10"/>
      <c r="AH10293" s="10"/>
      <c r="AI10293" s="10"/>
      <c r="AJ10293" s="10"/>
      <c r="AK10293" s="10"/>
      <c r="AL10293" s="10"/>
      <c r="AM10293" s="10"/>
      <c r="AN10293" s="10"/>
      <c r="AO10293" s="10"/>
      <c r="AP10293" s="10"/>
      <c r="AQ10293" s="10"/>
      <c r="AR10293" s="10"/>
      <c r="AS10293" s="10"/>
      <c r="AT10293" s="10"/>
      <c r="AU10293" s="10"/>
      <c r="AV10293" s="10"/>
      <c r="AW10293" s="10"/>
      <c r="AX10293" s="10"/>
      <c r="AY10293" s="10"/>
      <c r="AZ10293" s="10"/>
    </row>
    <row r="10294" spans="31:52">
      <c r="AE10294" s="10"/>
      <c r="AF10294" s="10"/>
      <c r="AG10294" s="10"/>
      <c r="AH10294" s="10"/>
      <c r="AI10294" s="10"/>
      <c r="AJ10294" s="10"/>
      <c r="AK10294" s="10"/>
      <c r="AL10294" s="10"/>
      <c r="AM10294" s="10"/>
      <c r="AN10294" s="10"/>
      <c r="AO10294" s="10"/>
      <c r="AP10294" s="10"/>
      <c r="AQ10294" s="10"/>
      <c r="AR10294" s="10"/>
      <c r="AS10294" s="10"/>
      <c r="AT10294" s="10"/>
      <c r="AU10294" s="10"/>
      <c r="AV10294" s="10"/>
      <c r="AW10294" s="10"/>
      <c r="AX10294" s="10"/>
      <c r="AY10294" s="10"/>
      <c r="AZ10294" s="10"/>
    </row>
    <row r="10295" spans="31:52">
      <c r="AE10295" s="10"/>
      <c r="AF10295" s="10"/>
      <c r="AG10295" s="10"/>
      <c r="AH10295" s="10"/>
      <c r="AI10295" s="10"/>
      <c r="AJ10295" s="10"/>
      <c r="AK10295" s="10"/>
      <c r="AL10295" s="10"/>
      <c r="AM10295" s="10"/>
      <c r="AN10295" s="10"/>
      <c r="AO10295" s="10"/>
      <c r="AP10295" s="10"/>
      <c r="AQ10295" s="10"/>
      <c r="AR10295" s="10"/>
      <c r="AS10295" s="10"/>
      <c r="AT10295" s="10"/>
      <c r="AU10295" s="10"/>
      <c r="AV10295" s="10"/>
      <c r="AW10295" s="10"/>
      <c r="AX10295" s="10"/>
      <c r="AY10295" s="10"/>
      <c r="AZ10295" s="10"/>
    </row>
    <row r="10296" spans="31:52">
      <c r="AE10296" s="10"/>
      <c r="AF10296" s="10"/>
      <c r="AG10296" s="10"/>
      <c r="AH10296" s="10"/>
      <c r="AI10296" s="10"/>
      <c r="AJ10296" s="10"/>
      <c r="AK10296" s="10"/>
      <c r="AL10296" s="10"/>
      <c r="AM10296" s="10"/>
      <c r="AN10296" s="10"/>
      <c r="AO10296" s="10"/>
      <c r="AP10296" s="10"/>
      <c r="AQ10296" s="10"/>
      <c r="AR10296" s="10"/>
      <c r="AS10296" s="10"/>
      <c r="AT10296" s="10"/>
      <c r="AU10296" s="10"/>
      <c r="AV10296" s="10"/>
      <c r="AW10296" s="10"/>
      <c r="AX10296" s="10"/>
      <c r="AY10296" s="10"/>
      <c r="AZ10296" s="10"/>
    </row>
    <row r="10297" spans="31:52">
      <c r="AE10297" s="10"/>
      <c r="AF10297" s="10"/>
      <c r="AG10297" s="10"/>
      <c r="AH10297" s="10"/>
      <c r="AI10297" s="10"/>
      <c r="AJ10297" s="10"/>
      <c r="AK10297" s="10"/>
      <c r="AL10297" s="10"/>
      <c r="AM10297" s="10"/>
      <c r="AN10297" s="10"/>
      <c r="AO10297" s="10"/>
      <c r="AP10297" s="10"/>
      <c r="AQ10297" s="10"/>
      <c r="AR10297" s="10"/>
      <c r="AS10297" s="10"/>
      <c r="AT10297" s="10"/>
      <c r="AU10297" s="10"/>
      <c r="AV10297" s="10"/>
      <c r="AW10297" s="10"/>
      <c r="AX10297" s="10"/>
      <c r="AY10297" s="10"/>
      <c r="AZ10297" s="10"/>
    </row>
    <row r="10298" spans="31:52">
      <c r="AE10298" s="10"/>
      <c r="AF10298" s="10"/>
      <c r="AG10298" s="10"/>
      <c r="AH10298" s="10"/>
      <c r="AI10298" s="10"/>
      <c r="AJ10298" s="10"/>
      <c r="AK10298" s="10"/>
      <c r="AL10298" s="10"/>
      <c r="AM10298" s="10"/>
      <c r="AN10298" s="10"/>
      <c r="AO10298" s="10"/>
      <c r="AP10298" s="10"/>
      <c r="AQ10298" s="10"/>
      <c r="AR10298" s="10"/>
      <c r="AS10298" s="10"/>
      <c r="AT10298" s="10"/>
      <c r="AU10298" s="10"/>
      <c r="AV10298" s="10"/>
      <c r="AW10298" s="10"/>
      <c r="AX10298" s="10"/>
      <c r="AY10298" s="10"/>
      <c r="AZ10298" s="10"/>
    </row>
    <row r="10299" spans="31:52">
      <c r="AE10299" s="10"/>
      <c r="AF10299" s="10"/>
      <c r="AG10299" s="10"/>
      <c r="AH10299" s="10"/>
      <c r="AI10299" s="10"/>
      <c r="AJ10299" s="10"/>
      <c r="AK10299" s="10"/>
      <c r="AL10299" s="10"/>
      <c r="AM10299" s="10"/>
      <c r="AN10299" s="10"/>
      <c r="AO10299" s="10"/>
      <c r="AP10299" s="10"/>
      <c r="AQ10299" s="10"/>
      <c r="AR10299" s="10"/>
      <c r="AS10299" s="10"/>
      <c r="AT10299" s="10"/>
      <c r="AU10299" s="10"/>
      <c r="AV10299" s="10"/>
      <c r="AW10299" s="10"/>
      <c r="AX10299" s="10"/>
      <c r="AY10299" s="10"/>
      <c r="AZ10299" s="10"/>
    </row>
    <row r="10300" spans="31:52">
      <c r="AE10300" s="10"/>
      <c r="AF10300" s="10"/>
      <c r="AG10300" s="10"/>
      <c r="AH10300" s="10"/>
      <c r="AI10300" s="10"/>
      <c r="AJ10300" s="10"/>
      <c r="AK10300" s="10"/>
      <c r="AL10300" s="10"/>
      <c r="AM10300" s="10"/>
      <c r="AN10300" s="10"/>
      <c r="AO10300" s="10"/>
      <c r="AP10300" s="10"/>
      <c r="AQ10300" s="10"/>
      <c r="AR10300" s="10"/>
      <c r="AS10300" s="10"/>
      <c r="AT10300" s="10"/>
      <c r="AU10300" s="10"/>
      <c r="AV10300" s="10"/>
      <c r="AW10300" s="10"/>
      <c r="AX10300" s="10"/>
      <c r="AY10300" s="10"/>
      <c r="AZ10300" s="10"/>
    </row>
    <row r="10301" spans="31:52">
      <c r="AE10301" s="10"/>
      <c r="AF10301" s="10"/>
      <c r="AG10301" s="10"/>
      <c r="AH10301" s="10"/>
      <c r="AI10301" s="10"/>
      <c r="AJ10301" s="10"/>
      <c r="AK10301" s="10"/>
      <c r="AL10301" s="10"/>
      <c r="AM10301" s="10"/>
      <c r="AN10301" s="10"/>
      <c r="AO10301" s="10"/>
      <c r="AP10301" s="10"/>
      <c r="AQ10301" s="10"/>
      <c r="AR10301" s="10"/>
      <c r="AS10301" s="10"/>
      <c r="AT10301" s="10"/>
      <c r="AU10301" s="10"/>
      <c r="AV10301" s="10"/>
      <c r="AW10301" s="10"/>
      <c r="AX10301" s="10"/>
      <c r="AY10301" s="10"/>
      <c r="AZ10301" s="10"/>
    </row>
    <row r="10302" spans="31:52">
      <c r="AE10302" s="10"/>
      <c r="AF10302" s="10"/>
      <c r="AG10302" s="10"/>
      <c r="AH10302" s="10"/>
      <c r="AI10302" s="10"/>
      <c r="AJ10302" s="10"/>
      <c r="AK10302" s="10"/>
      <c r="AL10302" s="10"/>
      <c r="AM10302" s="10"/>
      <c r="AN10302" s="10"/>
      <c r="AO10302" s="10"/>
      <c r="AP10302" s="10"/>
      <c r="AQ10302" s="10"/>
      <c r="AR10302" s="10"/>
      <c r="AS10302" s="10"/>
      <c r="AT10302" s="10"/>
      <c r="AU10302" s="10"/>
      <c r="AV10302" s="10"/>
      <c r="AW10302" s="10"/>
      <c r="AX10302" s="10"/>
      <c r="AY10302" s="10"/>
      <c r="AZ10302" s="10"/>
    </row>
    <row r="10303" spans="31:52">
      <c r="AE10303" s="10"/>
      <c r="AF10303" s="10"/>
      <c r="AG10303" s="10"/>
      <c r="AH10303" s="10"/>
      <c r="AI10303" s="10"/>
      <c r="AJ10303" s="10"/>
      <c r="AK10303" s="10"/>
      <c r="AL10303" s="10"/>
      <c r="AM10303" s="10"/>
      <c r="AN10303" s="10"/>
      <c r="AO10303" s="10"/>
      <c r="AP10303" s="10"/>
      <c r="AQ10303" s="10"/>
      <c r="AR10303" s="10"/>
      <c r="AS10303" s="10"/>
      <c r="AT10303" s="10"/>
      <c r="AU10303" s="10"/>
      <c r="AV10303" s="10"/>
      <c r="AW10303" s="10"/>
      <c r="AX10303" s="10"/>
      <c r="AY10303" s="10"/>
      <c r="AZ10303" s="10"/>
    </row>
    <row r="10304" spans="31:52">
      <c r="AE10304" s="10"/>
      <c r="AF10304" s="10"/>
      <c r="AG10304" s="10"/>
      <c r="AH10304" s="10"/>
      <c r="AI10304" s="10"/>
      <c r="AJ10304" s="10"/>
      <c r="AK10304" s="10"/>
      <c r="AL10304" s="10"/>
      <c r="AM10304" s="10"/>
      <c r="AN10304" s="10"/>
      <c r="AO10304" s="10"/>
      <c r="AP10304" s="10"/>
      <c r="AQ10304" s="10"/>
      <c r="AR10304" s="10"/>
      <c r="AS10304" s="10"/>
      <c r="AT10304" s="10"/>
      <c r="AU10304" s="10"/>
      <c r="AV10304" s="10"/>
      <c r="AW10304" s="10"/>
      <c r="AX10304" s="10"/>
      <c r="AY10304" s="10"/>
      <c r="AZ10304" s="10"/>
    </row>
    <row r="10305" spans="31:52">
      <c r="AE10305" s="10"/>
      <c r="AF10305" s="10"/>
      <c r="AG10305" s="10"/>
      <c r="AH10305" s="10"/>
      <c r="AI10305" s="10"/>
      <c r="AJ10305" s="10"/>
      <c r="AK10305" s="10"/>
      <c r="AL10305" s="10"/>
      <c r="AM10305" s="10"/>
      <c r="AN10305" s="10"/>
      <c r="AO10305" s="10"/>
      <c r="AP10305" s="10"/>
      <c r="AQ10305" s="10"/>
      <c r="AR10305" s="10"/>
      <c r="AS10305" s="10"/>
      <c r="AT10305" s="10"/>
      <c r="AU10305" s="10"/>
      <c r="AV10305" s="10"/>
      <c r="AW10305" s="10"/>
      <c r="AX10305" s="10"/>
      <c r="AY10305" s="10"/>
      <c r="AZ10305" s="10"/>
    </row>
    <row r="10306" spans="31:52">
      <c r="AE10306" s="10"/>
      <c r="AF10306" s="10"/>
      <c r="AG10306" s="10"/>
      <c r="AH10306" s="10"/>
      <c r="AI10306" s="10"/>
      <c r="AJ10306" s="10"/>
      <c r="AK10306" s="10"/>
      <c r="AL10306" s="10"/>
      <c r="AM10306" s="10"/>
      <c r="AN10306" s="10"/>
      <c r="AO10306" s="10"/>
      <c r="AP10306" s="10"/>
      <c r="AQ10306" s="10"/>
      <c r="AR10306" s="10"/>
      <c r="AS10306" s="10"/>
      <c r="AT10306" s="10"/>
      <c r="AU10306" s="10"/>
      <c r="AV10306" s="10"/>
      <c r="AW10306" s="10"/>
      <c r="AX10306" s="10"/>
      <c r="AY10306" s="10"/>
      <c r="AZ10306" s="10"/>
    </row>
    <row r="10307" spans="31:52">
      <c r="AE10307" s="10"/>
      <c r="AF10307" s="10"/>
      <c r="AG10307" s="10"/>
      <c r="AH10307" s="10"/>
      <c r="AI10307" s="10"/>
      <c r="AJ10307" s="10"/>
      <c r="AK10307" s="10"/>
      <c r="AL10307" s="10"/>
      <c r="AM10307" s="10"/>
      <c r="AN10307" s="10"/>
      <c r="AO10307" s="10"/>
      <c r="AP10307" s="10"/>
      <c r="AQ10307" s="10"/>
      <c r="AR10307" s="10"/>
      <c r="AS10307" s="10"/>
      <c r="AT10307" s="10"/>
      <c r="AU10307" s="10"/>
      <c r="AV10307" s="10"/>
      <c r="AW10307" s="10"/>
      <c r="AX10307" s="10"/>
      <c r="AY10307" s="10"/>
      <c r="AZ10307" s="10"/>
    </row>
    <row r="10308" spans="31:52">
      <c r="AE10308" s="10"/>
      <c r="AF10308" s="10"/>
      <c r="AG10308" s="10"/>
      <c r="AH10308" s="10"/>
      <c r="AI10308" s="10"/>
      <c r="AJ10308" s="10"/>
      <c r="AK10308" s="10"/>
      <c r="AL10308" s="10"/>
      <c r="AM10308" s="10"/>
      <c r="AN10308" s="10"/>
      <c r="AO10308" s="10"/>
      <c r="AP10308" s="10"/>
      <c r="AQ10308" s="10"/>
      <c r="AR10308" s="10"/>
      <c r="AS10308" s="10"/>
      <c r="AT10308" s="10"/>
      <c r="AU10308" s="10"/>
      <c r="AV10308" s="10"/>
      <c r="AW10308" s="10"/>
      <c r="AX10308" s="10"/>
      <c r="AY10308" s="10"/>
      <c r="AZ10308" s="10"/>
    </row>
    <row r="10309" spans="31:52">
      <c r="AE10309" s="10"/>
      <c r="AF10309" s="10"/>
      <c r="AG10309" s="10"/>
      <c r="AH10309" s="10"/>
      <c r="AI10309" s="10"/>
      <c r="AJ10309" s="10"/>
      <c r="AK10309" s="10"/>
      <c r="AL10309" s="10"/>
      <c r="AM10309" s="10"/>
      <c r="AN10309" s="10"/>
      <c r="AO10309" s="10"/>
      <c r="AP10309" s="10"/>
      <c r="AQ10309" s="10"/>
      <c r="AR10309" s="10"/>
      <c r="AS10309" s="10"/>
      <c r="AT10309" s="10"/>
      <c r="AU10309" s="10"/>
      <c r="AV10309" s="10"/>
      <c r="AW10309" s="10"/>
      <c r="AX10309" s="10"/>
      <c r="AY10309" s="10"/>
      <c r="AZ10309" s="10"/>
    </row>
    <row r="10310" spans="31:52">
      <c r="AE10310" s="10"/>
      <c r="AF10310" s="10"/>
      <c r="AG10310" s="10"/>
      <c r="AH10310" s="10"/>
      <c r="AI10310" s="10"/>
      <c r="AJ10310" s="10"/>
      <c r="AK10310" s="10"/>
      <c r="AL10310" s="10"/>
      <c r="AM10310" s="10"/>
      <c r="AN10310" s="10"/>
      <c r="AO10310" s="10"/>
      <c r="AP10310" s="10"/>
      <c r="AQ10310" s="10"/>
      <c r="AR10310" s="10"/>
      <c r="AS10310" s="10"/>
      <c r="AT10310" s="10"/>
      <c r="AU10310" s="10"/>
      <c r="AV10310" s="10"/>
      <c r="AW10310" s="10"/>
      <c r="AX10310" s="10"/>
      <c r="AY10310" s="10"/>
      <c r="AZ10310" s="10"/>
    </row>
    <row r="10311" spans="31:52">
      <c r="AE10311" s="10"/>
      <c r="AF10311" s="10"/>
      <c r="AG10311" s="10"/>
      <c r="AH10311" s="10"/>
      <c r="AI10311" s="10"/>
      <c r="AJ10311" s="10"/>
      <c r="AK10311" s="10"/>
      <c r="AL10311" s="10"/>
      <c r="AM10311" s="10"/>
      <c r="AN10311" s="10"/>
      <c r="AO10311" s="10"/>
      <c r="AP10311" s="10"/>
      <c r="AQ10311" s="10"/>
      <c r="AR10311" s="10"/>
      <c r="AS10311" s="10"/>
      <c r="AT10311" s="10"/>
      <c r="AU10311" s="10"/>
      <c r="AV10311" s="10"/>
      <c r="AW10311" s="10"/>
      <c r="AX10311" s="10"/>
      <c r="AY10311" s="10"/>
      <c r="AZ10311" s="10"/>
    </row>
    <row r="10312" spans="31:52">
      <c r="AE10312" s="10"/>
      <c r="AF10312" s="10"/>
      <c r="AG10312" s="10"/>
      <c r="AH10312" s="10"/>
      <c r="AI10312" s="10"/>
      <c r="AJ10312" s="10"/>
      <c r="AK10312" s="10"/>
      <c r="AL10312" s="10"/>
      <c r="AM10312" s="10"/>
      <c r="AN10312" s="10"/>
      <c r="AO10312" s="10"/>
      <c r="AP10312" s="10"/>
      <c r="AQ10312" s="10"/>
      <c r="AR10312" s="10"/>
      <c r="AS10312" s="10"/>
      <c r="AT10312" s="10"/>
      <c r="AU10312" s="10"/>
      <c r="AV10312" s="10"/>
      <c r="AW10312" s="10"/>
      <c r="AX10312" s="10"/>
      <c r="AY10312" s="10"/>
      <c r="AZ10312" s="10"/>
    </row>
    <row r="10313" spans="31:52">
      <c r="AE10313" s="10"/>
      <c r="AF10313" s="10"/>
      <c r="AG10313" s="10"/>
      <c r="AH10313" s="10"/>
      <c r="AI10313" s="10"/>
      <c r="AJ10313" s="10"/>
      <c r="AK10313" s="10"/>
      <c r="AL10313" s="10"/>
      <c r="AM10313" s="10"/>
      <c r="AN10313" s="10"/>
      <c r="AO10313" s="10"/>
      <c r="AP10313" s="10"/>
      <c r="AQ10313" s="10"/>
      <c r="AR10313" s="10"/>
      <c r="AS10313" s="10"/>
      <c r="AT10313" s="10"/>
      <c r="AU10313" s="10"/>
      <c r="AV10313" s="10"/>
      <c r="AW10313" s="10"/>
      <c r="AX10313" s="10"/>
      <c r="AY10313" s="10"/>
      <c r="AZ10313" s="10"/>
    </row>
    <row r="10314" spans="31:52">
      <c r="AE10314" s="10"/>
      <c r="AF10314" s="10"/>
      <c r="AG10314" s="10"/>
      <c r="AH10314" s="10"/>
      <c r="AI10314" s="10"/>
      <c r="AJ10314" s="10"/>
      <c r="AK10314" s="10"/>
      <c r="AL10314" s="10"/>
      <c r="AM10314" s="10"/>
      <c r="AN10314" s="10"/>
      <c r="AO10314" s="10"/>
      <c r="AP10314" s="10"/>
      <c r="AQ10314" s="10"/>
      <c r="AR10314" s="10"/>
      <c r="AS10314" s="10"/>
      <c r="AT10314" s="10"/>
      <c r="AU10314" s="10"/>
      <c r="AV10314" s="10"/>
      <c r="AW10314" s="10"/>
      <c r="AX10314" s="10"/>
      <c r="AY10314" s="10"/>
      <c r="AZ10314" s="10"/>
    </row>
    <row r="10315" spans="31:52">
      <c r="AE10315" s="10"/>
      <c r="AF10315" s="10"/>
      <c r="AG10315" s="10"/>
      <c r="AH10315" s="10"/>
      <c r="AI10315" s="10"/>
      <c r="AJ10315" s="10"/>
      <c r="AK10315" s="10"/>
      <c r="AL10315" s="10"/>
      <c r="AM10315" s="10"/>
      <c r="AN10315" s="10"/>
      <c r="AO10315" s="10"/>
      <c r="AP10315" s="10"/>
      <c r="AQ10315" s="10"/>
      <c r="AR10315" s="10"/>
      <c r="AS10315" s="10"/>
      <c r="AT10315" s="10"/>
      <c r="AU10315" s="10"/>
      <c r="AV10315" s="10"/>
      <c r="AW10315" s="10"/>
      <c r="AX10315" s="10"/>
      <c r="AY10315" s="10"/>
      <c r="AZ10315" s="10"/>
    </row>
    <row r="10316" spans="31:52">
      <c r="AE10316" s="10"/>
      <c r="AF10316" s="10"/>
      <c r="AG10316" s="10"/>
      <c r="AH10316" s="10"/>
      <c r="AI10316" s="10"/>
      <c r="AJ10316" s="10"/>
      <c r="AK10316" s="10"/>
      <c r="AL10316" s="10"/>
      <c r="AM10316" s="10"/>
      <c r="AN10316" s="10"/>
      <c r="AO10316" s="10"/>
      <c r="AP10316" s="10"/>
      <c r="AQ10316" s="10"/>
      <c r="AR10316" s="10"/>
      <c r="AS10316" s="10"/>
      <c r="AT10316" s="10"/>
      <c r="AU10316" s="10"/>
      <c r="AV10316" s="10"/>
      <c r="AW10316" s="10"/>
      <c r="AX10316" s="10"/>
      <c r="AY10316" s="10"/>
      <c r="AZ10316" s="10"/>
    </row>
    <row r="10317" spans="31:52">
      <c r="AE10317" s="10"/>
      <c r="AF10317" s="10"/>
      <c r="AG10317" s="10"/>
      <c r="AH10317" s="10"/>
      <c r="AI10317" s="10"/>
      <c r="AJ10317" s="10"/>
      <c r="AK10317" s="10"/>
      <c r="AL10317" s="10"/>
      <c r="AM10317" s="10"/>
      <c r="AN10317" s="10"/>
      <c r="AO10317" s="10"/>
      <c r="AP10317" s="10"/>
      <c r="AQ10317" s="10"/>
      <c r="AR10317" s="10"/>
      <c r="AS10317" s="10"/>
      <c r="AT10317" s="10"/>
      <c r="AU10317" s="10"/>
      <c r="AV10317" s="10"/>
      <c r="AW10317" s="10"/>
      <c r="AX10317" s="10"/>
      <c r="AY10317" s="10"/>
      <c r="AZ10317" s="10"/>
    </row>
    <row r="10318" spans="31:52">
      <c r="AE10318" s="10"/>
      <c r="AF10318" s="10"/>
      <c r="AG10318" s="10"/>
      <c r="AH10318" s="10"/>
      <c r="AI10318" s="10"/>
      <c r="AJ10318" s="10"/>
      <c r="AK10318" s="10"/>
      <c r="AL10318" s="10"/>
      <c r="AM10318" s="10"/>
      <c r="AN10318" s="10"/>
      <c r="AO10318" s="10"/>
      <c r="AP10318" s="10"/>
      <c r="AQ10318" s="10"/>
      <c r="AR10318" s="10"/>
      <c r="AS10318" s="10"/>
      <c r="AT10318" s="10"/>
      <c r="AU10318" s="10"/>
      <c r="AV10318" s="10"/>
      <c r="AW10318" s="10"/>
      <c r="AX10318" s="10"/>
      <c r="AY10318" s="10"/>
      <c r="AZ10318" s="10"/>
    </row>
    <row r="10319" spans="31:52">
      <c r="AE10319" s="10"/>
      <c r="AF10319" s="10"/>
      <c r="AG10319" s="10"/>
      <c r="AH10319" s="10"/>
      <c r="AI10319" s="10"/>
      <c r="AJ10319" s="10"/>
      <c r="AK10319" s="10"/>
      <c r="AL10319" s="10"/>
      <c r="AM10319" s="10"/>
      <c r="AN10319" s="10"/>
      <c r="AO10319" s="10"/>
      <c r="AP10319" s="10"/>
      <c r="AQ10319" s="10"/>
      <c r="AR10319" s="10"/>
      <c r="AS10319" s="10"/>
      <c r="AT10319" s="10"/>
      <c r="AU10319" s="10"/>
      <c r="AV10319" s="10"/>
      <c r="AW10319" s="10"/>
      <c r="AX10319" s="10"/>
      <c r="AY10319" s="10"/>
      <c r="AZ10319" s="10"/>
    </row>
    <row r="10320" spans="31:52">
      <c r="AE10320" s="10"/>
      <c r="AF10320" s="10"/>
      <c r="AG10320" s="10"/>
      <c r="AH10320" s="10"/>
      <c r="AI10320" s="10"/>
      <c r="AJ10320" s="10"/>
      <c r="AK10320" s="10"/>
      <c r="AL10320" s="10"/>
      <c r="AM10320" s="10"/>
      <c r="AN10320" s="10"/>
      <c r="AO10320" s="10"/>
      <c r="AP10320" s="10"/>
      <c r="AQ10320" s="10"/>
      <c r="AR10320" s="10"/>
      <c r="AS10320" s="10"/>
      <c r="AT10320" s="10"/>
      <c r="AU10320" s="10"/>
      <c r="AV10320" s="10"/>
      <c r="AW10320" s="10"/>
      <c r="AX10320" s="10"/>
      <c r="AY10320" s="10"/>
      <c r="AZ10320" s="10"/>
    </row>
    <row r="10321" spans="31:52">
      <c r="AE10321" s="10"/>
      <c r="AF10321" s="10"/>
      <c r="AG10321" s="10"/>
      <c r="AH10321" s="10"/>
      <c r="AI10321" s="10"/>
      <c r="AJ10321" s="10"/>
      <c r="AK10321" s="10"/>
      <c r="AL10321" s="10"/>
      <c r="AM10321" s="10"/>
      <c r="AN10321" s="10"/>
      <c r="AO10321" s="10"/>
      <c r="AP10321" s="10"/>
      <c r="AQ10321" s="10"/>
      <c r="AR10321" s="10"/>
      <c r="AS10321" s="10"/>
      <c r="AT10321" s="10"/>
      <c r="AU10321" s="10"/>
      <c r="AV10321" s="10"/>
      <c r="AW10321" s="10"/>
      <c r="AX10321" s="10"/>
      <c r="AY10321" s="10"/>
      <c r="AZ10321" s="10"/>
    </row>
    <row r="10322" spans="31:52">
      <c r="AE10322" s="10"/>
      <c r="AF10322" s="10"/>
      <c r="AG10322" s="10"/>
      <c r="AH10322" s="10"/>
      <c r="AI10322" s="10"/>
      <c r="AJ10322" s="10"/>
      <c r="AK10322" s="10"/>
      <c r="AL10322" s="10"/>
      <c r="AM10322" s="10"/>
      <c r="AN10322" s="10"/>
      <c r="AO10322" s="10"/>
      <c r="AP10322" s="10"/>
      <c r="AQ10322" s="10"/>
      <c r="AR10322" s="10"/>
      <c r="AS10322" s="10"/>
      <c r="AT10322" s="10"/>
      <c r="AU10322" s="10"/>
      <c r="AV10322" s="10"/>
      <c r="AW10322" s="10"/>
      <c r="AX10322" s="10"/>
      <c r="AY10322" s="10"/>
      <c r="AZ10322" s="10"/>
    </row>
    <row r="10323" spans="31:52">
      <c r="AE10323" s="10"/>
      <c r="AF10323" s="10"/>
      <c r="AG10323" s="10"/>
      <c r="AH10323" s="10"/>
      <c r="AI10323" s="10"/>
      <c r="AJ10323" s="10"/>
      <c r="AK10323" s="10"/>
      <c r="AL10323" s="10"/>
      <c r="AM10323" s="10"/>
      <c r="AN10323" s="10"/>
      <c r="AO10323" s="10"/>
      <c r="AP10323" s="10"/>
      <c r="AQ10323" s="10"/>
      <c r="AR10323" s="10"/>
      <c r="AS10323" s="10"/>
      <c r="AT10323" s="10"/>
      <c r="AU10323" s="10"/>
      <c r="AV10323" s="10"/>
      <c r="AW10323" s="10"/>
      <c r="AX10323" s="10"/>
      <c r="AY10323" s="10"/>
      <c r="AZ10323" s="10"/>
    </row>
    <row r="10324" spans="31:52">
      <c r="AE10324" s="10"/>
      <c r="AF10324" s="10"/>
      <c r="AG10324" s="10"/>
      <c r="AH10324" s="10"/>
      <c r="AI10324" s="10"/>
      <c r="AJ10324" s="10"/>
      <c r="AK10324" s="10"/>
      <c r="AL10324" s="10"/>
      <c r="AM10324" s="10"/>
      <c r="AN10324" s="10"/>
      <c r="AO10324" s="10"/>
      <c r="AP10324" s="10"/>
      <c r="AQ10324" s="10"/>
      <c r="AR10324" s="10"/>
      <c r="AS10324" s="10"/>
      <c r="AT10324" s="10"/>
      <c r="AU10324" s="10"/>
      <c r="AV10324" s="10"/>
      <c r="AW10324" s="10"/>
      <c r="AX10324" s="10"/>
      <c r="AY10324" s="10"/>
      <c r="AZ10324" s="10"/>
    </row>
    <row r="10325" spans="31:52">
      <c r="AE10325" s="10"/>
      <c r="AF10325" s="10"/>
      <c r="AG10325" s="10"/>
      <c r="AH10325" s="10"/>
      <c r="AI10325" s="10"/>
      <c r="AJ10325" s="10"/>
      <c r="AK10325" s="10"/>
      <c r="AL10325" s="10"/>
      <c r="AM10325" s="10"/>
      <c r="AN10325" s="10"/>
      <c r="AO10325" s="10"/>
      <c r="AP10325" s="10"/>
      <c r="AQ10325" s="10"/>
      <c r="AR10325" s="10"/>
      <c r="AS10325" s="10"/>
      <c r="AT10325" s="10"/>
      <c r="AU10325" s="10"/>
      <c r="AV10325" s="10"/>
      <c r="AW10325" s="10"/>
      <c r="AX10325" s="10"/>
      <c r="AY10325" s="10"/>
      <c r="AZ10325" s="10"/>
    </row>
    <row r="10326" spans="31:52">
      <c r="AE10326" s="10"/>
      <c r="AF10326" s="10"/>
      <c r="AG10326" s="10"/>
      <c r="AH10326" s="10"/>
      <c r="AI10326" s="10"/>
      <c r="AJ10326" s="10"/>
      <c r="AK10326" s="10"/>
      <c r="AL10326" s="10"/>
      <c r="AM10326" s="10"/>
      <c r="AN10326" s="10"/>
      <c r="AO10326" s="10"/>
      <c r="AP10326" s="10"/>
      <c r="AQ10326" s="10"/>
      <c r="AR10326" s="10"/>
      <c r="AS10326" s="10"/>
      <c r="AT10326" s="10"/>
      <c r="AU10326" s="10"/>
      <c r="AV10326" s="10"/>
      <c r="AW10326" s="10"/>
      <c r="AX10326" s="10"/>
      <c r="AY10326" s="10"/>
      <c r="AZ10326" s="10"/>
    </row>
    <row r="10327" spans="31:52">
      <c r="AE10327" s="10"/>
      <c r="AF10327" s="10"/>
      <c r="AG10327" s="10"/>
      <c r="AH10327" s="10"/>
      <c r="AI10327" s="10"/>
      <c r="AJ10327" s="10"/>
      <c r="AK10327" s="10"/>
      <c r="AL10327" s="10"/>
      <c r="AM10327" s="10"/>
      <c r="AN10327" s="10"/>
      <c r="AO10327" s="10"/>
      <c r="AP10327" s="10"/>
      <c r="AQ10327" s="10"/>
      <c r="AR10327" s="10"/>
      <c r="AS10327" s="10"/>
      <c r="AT10327" s="10"/>
      <c r="AU10327" s="10"/>
      <c r="AV10327" s="10"/>
      <c r="AW10327" s="10"/>
      <c r="AX10327" s="10"/>
      <c r="AY10327" s="10"/>
      <c r="AZ10327" s="10"/>
    </row>
    <row r="10328" spans="31:52">
      <c r="AE10328" s="10"/>
      <c r="AF10328" s="10"/>
      <c r="AG10328" s="10"/>
      <c r="AH10328" s="10"/>
      <c r="AI10328" s="10"/>
      <c r="AJ10328" s="10"/>
      <c r="AK10328" s="10"/>
      <c r="AL10328" s="10"/>
      <c r="AM10328" s="10"/>
      <c r="AN10328" s="10"/>
      <c r="AO10328" s="10"/>
      <c r="AP10328" s="10"/>
      <c r="AQ10328" s="10"/>
      <c r="AR10328" s="10"/>
      <c r="AS10328" s="10"/>
      <c r="AT10328" s="10"/>
      <c r="AU10328" s="10"/>
      <c r="AV10328" s="10"/>
      <c r="AW10328" s="10"/>
      <c r="AX10328" s="10"/>
      <c r="AY10328" s="10"/>
      <c r="AZ10328" s="10"/>
    </row>
    <row r="10329" spans="31:52">
      <c r="AE10329" s="10"/>
      <c r="AF10329" s="10"/>
      <c r="AG10329" s="10"/>
      <c r="AH10329" s="10"/>
      <c r="AI10329" s="10"/>
      <c r="AJ10329" s="10"/>
      <c r="AK10329" s="10"/>
      <c r="AL10329" s="10"/>
      <c r="AM10329" s="10"/>
      <c r="AN10329" s="10"/>
      <c r="AO10329" s="10"/>
      <c r="AP10329" s="10"/>
      <c r="AQ10329" s="10"/>
      <c r="AR10329" s="10"/>
      <c r="AS10329" s="10"/>
      <c r="AT10329" s="10"/>
      <c r="AU10329" s="10"/>
      <c r="AV10329" s="10"/>
      <c r="AW10329" s="10"/>
      <c r="AX10329" s="10"/>
      <c r="AY10329" s="10"/>
      <c r="AZ10329" s="10"/>
    </row>
    <row r="10330" spans="31:52">
      <c r="AE10330" s="10"/>
      <c r="AF10330" s="10"/>
      <c r="AG10330" s="10"/>
      <c r="AH10330" s="10"/>
      <c r="AI10330" s="10"/>
      <c r="AJ10330" s="10"/>
      <c r="AK10330" s="10"/>
      <c r="AL10330" s="10"/>
      <c r="AM10330" s="10"/>
      <c r="AN10330" s="10"/>
      <c r="AO10330" s="10"/>
      <c r="AP10330" s="10"/>
      <c r="AQ10330" s="10"/>
      <c r="AR10330" s="10"/>
      <c r="AS10330" s="10"/>
      <c r="AT10330" s="10"/>
      <c r="AU10330" s="10"/>
      <c r="AV10330" s="10"/>
      <c r="AW10330" s="10"/>
      <c r="AX10330" s="10"/>
      <c r="AY10330" s="10"/>
      <c r="AZ10330" s="10"/>
    </row>
    <row r="10331" spans="31:52">
      <c r="AE10331" s="10"/>
      <c r="AF10331" s="10"/>
      <c r="AG10331" s="10"/>
      <c r="AH10331" s="10"/>
      <c r="AI10331" s="10"/>
      <c r="AJ10331" s="10"/>
      <c r="AK10331" s="10"/>
      <c r="AL10331" s="10"/>
      <c r="AM10331" s="10"/>
      <c r="AN10331" s="10"/>
      <c r="AO10331" s="10"/>
      <c r="AP10331" s="10"/>
      <c r="AQ10331" s="10"/>
      <c r="AR10331" s="10"/>
      <c r="AS10331" s="10"/>
      <c r="AT10331" s="10"/>
      <c r="AU10331" s="10"/>
      <c r="AV10331" s="10"/>
      <c r="AW10331" s="10"/>
      <c r="AX10331" s="10"/>
      <c r="AY10331" s="10"/>
      <c r="AZ10331" s="10"/>
    </row>
    <row r="10332" spans="31:52">
      <c r="AE10332" s="10"/>
      <c r="AF10332" s="10"/>
      <c r="AG10332" s="10"/>
      <c r="AH10332" s="10"/>
      <c r="AI10332" s="10"/>
      <c r="AJ10332" s="10"/>
      <c r="AK10332" s="10"/>
      <c r="AL10332" s="10"/>
      <c r="AM10332" s="10"/>
      <c r="AN10332" s="10"/>
      <c r="AO10332" s="10"/>
      <c r="AP10332" s="10"/>
      <c r="AQ10332" s="10"/>
      <c r="AR10332" s="10"/>
      <c r="AS10332" s="10"/>
      <c r="AT10332" s="10"/>
      <c r="AU10332" s="10"/>
      <c r="AV10332" s="10"/>
      <c r="AW10332" s="10"/>
      <c r="AX10332" s="10"/>
      <c r="AY10332" s="10"/>
      <c r="AZ10332" s="10"/>
    </row>
    <row r="10333" spans="31:52">
      <c r="AE10333" s="10"/>
      <c r="AF10333" s="10"/>
      <c r="AG10333" s="10"/>
      <c r="AH10333" s="10"/>
      <c r="AI10333" s="10"/>
      <c r="AJ10333" s="10"/>
      <c r="AK10333" s="10"/>
      <c r="AL10333" s="10"/>
      <c r="AM10333" s="10"/>
      <c r="AN10333" s="10"/>
      <c r="AO10333" s="10"/>
      <c r="AP10333" s="10"/>
      <c r="AQ10333" s="10"/>
      <c r="AR10333" s="10"/>
      <c r="AS10333" s="10"/>
      <c r="AT10333" s="10"/>
      <c r="AU10333" s="10"/>
      <c r="AV10333" s="10"/>
      <c r="AW10333" s="10"/>
      <c r="AX10333" s="10"/>
      <c r="AY10333" s="10"/>
      <c r="AZ10333" s="10"/>
    </row>
    <row r="10334" spans="31:52">
      <c r="AE10334" s="10"/>
      <c r="AF10334" s="10"/>
      <c r="AG10334" s="10"/>
      <c r="AH10334" s="10"/>
      <c r="AI10334" s="10"/>
      <c r="AJ10334" s="10"/>
      <c r="AK10334" s="10"/>
      <c r="AL10334" s="10"/>
      <c r="AM10334" s="10"/>
      <c r="AN10334" s="10"/>
      <c r="AO10334" s="10"/>
      <c r="AP10334" s="10"/>
      <c r="AQ10334" s="10"/>
      <c r="AR10334" s="10"/>
      <c r="AS10334" s="10"/>
      <c r="AT10334" s="10"/>
      <c r="AU10334" s="10"/>
      <c r="AV10334" s="10"/>
      <c r="AW10334" s="10"/>
      <c r="AX10334" s="10"/>
      <c r="AY10334" s="10"/>
      <c r="AZ10334" s="10"/>
    </row>
    <row r="10335" spans="31:52">
      <c r="AE10335" s="10"/>
      <c r="AF10335" s="10"/>
      <c r="AG10335" s="10"/>
      <c r="AH10335" s="10"/>
      <c r="AI10335" s="10"/>
      <c r="AJ10335" s="10"/>
      <c r="AK10335" s="10"/>
      <c r="AL10335" s="10"/>
      <c r="AM10335" s="10"/>
      <c r="AN10335" s="10"/>
      <c r="AO10335" s="10"/>
      <c r="AP10335" s="10"/>
      <c r="AQ10335" s="10"/>
      <c r="AR10335" s="10"/>
      <c r="AS10335" s="10"/>
      <c r="AT10335" s="10"/>
      <c r="AU10335" s="10"/>
      <c r="AV10335" s="10"/>
      <c r="AW10335" s="10"/>
      <c r="AX10335" s="10"/>
      <c r="AY10335" s="10"/>
      <c r="AZ10335" s="10"/>
    </row>
    <row r="10336" spans="31:52">
      <c r="AE10336" s="10"/>
      <c r="AF10336" s="10"/>
      <c r="AG10336" s="10"/>
      <c r="AH10336" s="10"/>
      <c r="AI10336" s="10"/>
      <c r="AJ10336" s="10"/>
      <c r="AK10336" s="10"/>
      <c r="AL10336" s="10"/>
      <c r="AM10336" s="10"/>
      <c r="AN10336" s="10"/>
      <c r="AO10336" s="10"/>
      <c r="AP10336" s="10"/>
      <c r="AQ10336" s="10"/>
      <c r="AR10336" s="10"/>
      <c r="AS10336" s="10"/>
      <c r="AT10336" s="10"/>
      <c r="AU10336" s="10"/>
      <c r="AV10336" s="10"/>
      <c r="AW10336" s="10"/>
      <c r="AX10336" s="10"/>
      <c r="AY10336" s="10"/>
      <c r="AZ10336" s="10"/>
    </row>
    <row r="10337" spans="31:52">
      <c r="AE10337" s="10"/>
      <c r="AF10337" s="10"/>
      <c r="AG10337" s="10"/>
      <c r="AH10337" s="10"/>
      <c r="AI10337" s="10"/>
      <c r="AJ10337" s="10"/>
      <c r="AK10337" s="10"/>
      <c r="AL10337" s="10"/>
      <c r="AM10337" s="10"/>
      <c r="AN10337" s="10"/>
      <c r="AO10337" s="10"/>
      <c r="AP10337" s="10"/>
      <c r="AQ10337" s="10"/>
      <c r="AR10337" s="10"/>
      <c r="AS10337" s="10"/>
      <c r="AT10337" s="10"/>
      <c r="AU10337" s="10"/>
      <c r="AV10337" s="10"/>
      <c r="AW10337" s="10"/>
      <c r="AX10337" s="10"/>
      <c r="AY10337" s="10"/>
      <c r="AZ10337" s="10"/>
    </row>
    <row r="10338" spans="31:52">
      <c r="AE10338" s="10"/>
      <c r="AF10338" s="10"/>
      <c r="AG10338" s="10"/>
      <c r="AH10338" s="10"/>
      <c r="AI10338" s="10"/>
      <c r="AJ10338" s="10"/>
      <c r="AK10338" s="10"/>
      <c r="AL10338" s="10"/>
      <c r="AM10338" s="10"/>
      <c r="AN10338" s="10"/>
      <c r="AO10338" s="10"/>
      <c r="AP10338" s="10"/>
      <c r="AQ10338" s="10"/>
      <c r="AR10338" s="10"/>
      <c r="AS10338" s="10"/>
      <c r="AT10338" s="10"/>
      <c r="AU10338" s="10"/>
      <c r="AV10338" s="10"/>
      <c r="AW10338" s="10"/>
      <c r="AX10338" s="10"/>
      <c r="AY10338" s="10"/>
      <c r="AZ10338" s="10"/>
    </row>
    <row r="10339" spans="31:52">
      <c r="AE10339" s="10"/>
      <c r="AF10339" s="10"/>
      <c r="AG10339" s="10"/>
      <c r="AH10339" s="10"/>
      <c r="AI10339" s="10"/>
      <c r="AJ10339" s="10"/>
      <c r="AK10339" s="10"/>
      <c r="AL10339" s="10"/>
      <c r="AM10339" s="10"/>
      <c r="AN10339" s="10"/>
      <c r="AO10339" s="10"/>
      <c r="AP10339" s="10"/>
      <c r="AQ10339" s="10"/>
      <c r="AR10339" s="10"/>
      <c r="AS10339" s="10"/>
      <c r="AT10339" s="10"/>
      <c r="AU10339" s="10"/>
      <c r="AV10339" s="10"/>
      <c r="AW10339" s="10"/>
      <c r="AX10339" s="10"/>
      <c r="AY10339" s="10"/>
      <c r="AZ10339" s="10"/>
    </row>
    <row r="10340" spans="31:52">
      <c r="AE10340" s="10"/>
      <c r="AF10340" s="10"/>
      <c r="AG10340" s="10"/>
      <c r="AH10340" s="10"/>
      <c r="AI10340" s="10"/>
      <c r="AJ10340" s="10"/>
      <c r="AK10340" s="10"/>
      <c r="AL10340" s="10"/>
      <c r="AM10340" s="10"/>
      <c r="AN10340" s="10"/>
      <c r="AO10340" s="10"/>
      <c r="AP10340" s="10"/>
      <c r="AQ10340" s="10"/>
      <c r="AR10340" s="10"/>
      <c r="AS10340" s="10"/>
      <c r="AT10340" s="10"/>
      <c r="AU10340" s="10"/>
      <c r="AV10340" s="10"/>
      <c r="AW10340" s="10"/>
      <c r="AX10340" s="10"/>
      <c r="AY10340" s="10"/>
      <c r="AZ10340" s="10"/>
    </row>
    <row r="10341" spans="31:52">
      <c r="AE10341" s="10"/>
      <c r="AF10341" s="10"/>
      <c r="AG10341" s="10"/>
      <c r="AH10341" s="10"/>
      <c r="AI10341" s="10"/>
      <c r="AJ10341" s="10"/>
      <c r="AK10341" s="10"/>
      <c r="AL10341" s="10"/>
      <c r="AM10341" s="10"/>
      <c r="AN10341" s="10"/>
      <c r="AO10341" s="10"/>
      <c r="AP10341" s="10"/>
      <c r="AQ10341" s="10"/>
      <c r="AR10341" s="10"/>
      <c r="AS10341" s="10"/>
      <c r="AT10341" s="10"/>
      <c r="AU10341" s="10"/>
      <c r="AV10341" s="10"/>
      <c r="AW10341" s="10"/>
      <c r="AX10341" s="10"/>
      <c r="AY10341" s="10"/>
      <c r="AZ10341" s="10"/>
    </row>
    <row r="10342" spans="31:52">
      <c r="AE10342" s="10"/>
      <c r="AF10342" s="10"/>
      <c r="AG10342" s="10"/>
      <c r="AH10342" s="10"/>
      <c r="AI10342" s="10"/>
      <c r="AJ10342" s="10"/>
      <c r="AK10342" s="10"/>
      <c r="AL10342" s="10"/>
      <c r="AM10342" s="10"/>
      <c r="AN10342" s="10"/>
      <c r="AO10342" s="10"/>
      <c r="AP10342" s="10"/>
      <c r="AQ10342" s="10"/>
      <c r="AR10342" s="10"/>
      <c r="AS10342" s="10"/>
      <c r="AT10342" s="10"/>
      <c r="AU10342" s="10"/>
      <c r="AV10342" s="10"/>
      <c r="AW10342" s="10"/>
      <c r="AX10342" s="10"/>
      <c r="AY10342" s="10"/>
      <c r="AZ10342" s="10"/>
    </row>
    <row r="10343" spans="31:52">
      <c r="AE10343" s="10"/>
      <c r="AF10343" s="10"/>
      <c r="AG10343" s="10"/>
      <c r="AH10343" s="10"/>
      <c r="AI10343" s="10"/>
      <c r="AJ10343" s="10"/>
      <c r="AK10343" s="10"/>
      <c r="AL10343" s="10"/>
      <c r="AM10343" s="10"/>
      <c r="AN10343" s="10"/>
      <c r="AO10343" s="10"/>
      <c r="AP10343" s="10"/>
      <c r="AQ10343" s="10"/>
      <c r="AR10343" s="10"/>
      <c r="AS10343" s="10"/>
      <c r="AT10343" s="10"/>
      <c r="AU10343" s="10"/>
      <c r="AV10343" s="10"/>
      <c r="AW10343" s="10"/>
      <c r="AX10343" s="10"/>
      <c r="AY10343" s="10"/>
      <c r="AZ10343" s="10"/>
    </row>
    <row r="10344" spans="31:52">
      <c r="AE10344" s="10"/>
      <c r="AF10344" s="10"/>
      <c r="AG10344" s="10"/>
      <c r="AH10344" s="10"/>
      <c r="AI10344" s="10"/>
      <c r="AJ10344" s="10"/>
      <c r="AK10344" s="10"/>
      <c r="AL10344" s="10"/>
      <c r="AM10344" s="10"/>
      <c r="AN10344" s="10"/>
      <c r="AO10344" s="10"/>
      <c r="AP10344" s="10"/>
      <c r="AQ10344" s="10"/>
      <c r="AR10344" s="10"/>
      <c r="AS10344" s="10"/>
      <c r="AT10344" s="10"/>
      <c r="AU10344" s="10"/>
      <c r="AV10344" s="10"/>
      <c r="AW10344" s="10"/>
      <c r="AX10344" s="10"/>
      <c r="AY10344" s="10"/>
      <c r="AZ10344" s="10"/>
    </row>
    <row r="10345" spans="31:52">
      <c r="AE10345" s="10"/>
      <c r="AF10345" s="10"/>
      <c r="AG10345" s="10"/>
      <c r="AH10345" s="10"/>
      <c r="AI10345" s="10"/>
      <c r="AJ10345" s="10"/>
      <c r="AK10345" s="10"/>
      <c r="AL10345" s="10"/>
      <c r="AM10345" s="10"/>
      <c r="AN10345" s="10"/>
      <c r="AO10345" s="10"/>
      <c r="AP10345" s="10"/>
      <c r="AQ10345" s="10"/>
      <c r="AR10345" s="10"/>
      <c r="AS10345" s="10"/>
      <c r="AT10345" s="10"/>
      <c r="AU10345" s="10"/>
      <c r="AV10345" s="10"/>
      <c r="AW10345" s="10"/>
      <c r="AX10345" s="10"/>
      <c r="AY10345" s="10"/>
      <c r="AZ10345" s="10"/>
    </row>
    <row r="10346" spans="31:52">
      <c r="AE10346" s="10"/>
      <c r="AF10346" s="10"/>
      <c r="AG10346" s="10"/>
      <c r="AH10346" s="10"/>
      <c r="AI10346" s="10"/>
      <c r="AJ10346" s="10"/>
      <c r="AK10346" s="10"/>
      <c r="AL10346" s="10"/>
      <c r="AM10346" s="10"/>
      <c r="AN10346" s="10"/>
      <c r="AO10346" s="10"/>
      <c r="AP10346" s="10"/>
      <c r="AQ10346" s="10"/>
      <c r="AR10346" s="10"/>
      <c r="AS10346" s="10"/>
      <c r="AT10346" s="10"/>
      <c r="AU10346" s="10"/>
      <c r="AV10346" s="10"/>
      <c r="AW10346" s="10"/>
      <c r="AX10346" s="10"/>
      <c r="AY10346" s="10"/>
      <c r="AZ10346" s="10"/>
    </row>
    <row r="10347" spans="31:52">
      <c r="AE10347" s="10"/>
      <c r="AF10347" s="10"/>
      <c r="AG10347" s="10"/>
      <c r="AH10347" s="10"/>
      <c r="AI10347" s="10"/>
      <c r="AJ10347" s="10"/>
      <c r="AK10347" s="10"/>
      <c r="AL10347" s="10"/>
      <c r="AM10347" s="10"/>
      <c r="AN10347" s="10"/>
      <c r="AO10347" s="10"/>
      <c r="AP10347" s="10"/>
      <c r="AQ10347" s="10"/>
      <c r="AR10347" s="10"/>
      <c r="AS10347" s="10"/>
      <c r="AT10347" s="10"/>
      <c r="AU10347" s="10"/>
      <c r="AV10347" s="10"/>
      <c r="AW10347" s="10"/>
      <c r="AX10347" s="10"/>
      <c r="AY10347" s="10"/>
      <c r="AZ10347" s="10"/>
    </row>
    <row r="10348" spans="31:52">
      <c r="AE10348" s="10"/>
      <c r="AF10348" s="10"/>
      <c r="AG10348" s="10"/>
      <c r="AH10348" s="10"/>
      <c r="AI10348" s="10"/>
      <c r="AJ10348" s="10"/>
      <c r="AK10348" s="10"/>
      <c r="AL10348" s="10"/>
      <c r="AM10348" s="10"/>
      <c r="AN10348" s="10"/>
      <c r="AO10348" s="10"/>
      <c r="AP10348" s="10"/>
      <c r="AQ10348" s="10"/>
      <c r="AR10348" s="10"/>
      <c r="AS10348" s="10"/>
      <c r="AT10348" s="10"/>
      <c r="AU10348" s="10"/>
      <c r="AV10348" s="10"/>
      <c r="AW10348" s="10"/>
      <c r="AX10348" s="10"/>
      <c r="AY10348" s="10"/>
      <c r="AZ10348" s="10"/>
    </row>
    <row r="10349" spans="31:52">
      <c r="AE10349" s="10"/>
      <c r="AF10349" s="10"/>
      <c r="AG10349" s="10"/>
      <c r="AH10349" s="10"/>
      <c r="AI10349" s="10"/>
      <c r="AJ10349" s="10"/>
      <c r="AK10349" s="10"/>
      <c r="AL10349" s="10"/>
      <c r="AM10349" s="10"/>
      <c r="AN10349" s="10"/>
      <c r="AO10349" s="10"/>
      <c r="AP10349" s="10"/>
      <c r="AQ10349" s="10"/>
      <c r="AR10349" s="10"/>
      <c r="AS10349" s="10"/>
      <c r="AT10349" s="10"/>
      <c r="AU10349" s="10"/>
      <c r="AV10349" s="10"/>
      <c r="AW10349" s="10"/>
      <c r="AX10349" s="10"/>
      <c r="AY10349" s="10"/>
      <c r="AZ10349" s="10"/>
    </row>
    <row r="10350" spans="31:52">
      <c r="AE10350" s="10"/>
      <c r="AF10350" s="10"/>
      <c r="AG10350" s="10"/>
      <c r="AH10350" s="10"/>
      <c r="AI10350" s="10"/>
      <c r="AJ10350" s="10"/>
      <c r="AK10350" s="10"/>
      <c r="AL10350" s="10"/>
      <c r="AM10350" s="10"/>
      <c r="AN10350" s="10"/>
      <c r="AO10350" s="10"/>
      <c r="AP10350" s="10"/>
      <c r="AQ10350" s="10"/>
      <c r="AR10350" s="10"/>
      <c r="AS10350" s="10"/>
      <c r="AT10350" s="10"/>
      <c r="AU10350" s="10"/>
      <c r="AV10350" s="10"/>
      <c r="AW10350" s="10"/>
      <c r="AX10350" s="10"/>
      <c r="AY10350" s="10"/>
      <c r="AZ10350" s="10"/>
    </row>
    <row r="10351" spans="31:52">
      <c r="AE10351" s="10"/>
      <c r="AF10351" s="10"/>
      <c r="AG10351" s="10"/>
      <c r="AH10351" s="10"/>
      <c r="AI10351" s="10"/>
      <c r="AJ10351" s="10"/>
      <c r="AK10351" s="10"/>
      <c r="AL10351" s="10"/>
      <c r="AM10351" s="10"/>
      <c r="AN10351" s="10"/>
      <c r="AO10351" s="10"/>
      <c r="AP10351" s="10"/>
      <c r="AQ10351" s="10"/>
      <c r="AR10351" s="10"/>
      <c r="AS10351" s="10"/>
      <c r="AT10351" s="10"/>
      <c r="AU10351" s="10"/>
      <c r="AV10351" s="10"/>
      <c r="AW10351" s="10"/>
      <c r="AX10351" s="10"/>
      <c r="AY10351" s="10"/>
      <c r="AZ10351" s="10"/>
    </row>
    <row r="10352" spans="31:52">
      <c r="AE10352" s="10"/>
      <c r="AF10352" s="10"/>
      <c r="AG10352" s="10"/>
      <c r="AH10352" s="10"/>
      <c r="AI10352" s="10"/>
      <c r="AJ10352" s="10"/>
      <c r="AK10352" s="10"/>
      <c r="AL10352" s="10"/>
      <c r="AM10352" s="10"/>
      <c r="AN10352" s="10"/>
      <c r="AO10352" s="10"/>
      <c r="AP10352" s="10"/>
      <c r="AQ10352" s="10"/>
      <c r="AR10352" s="10"/>
      <c r="AS10352" s="10"/>
      <c r="AT10352" s="10"/>
      <c r="AU10352" s="10"/>
      <c r="AV10352" s="10"/>
      <c r="AW10352" s="10"/>
      <c r="AX10352" s="10"/>
      <c r="AY10352" s="10"/>
      <c r="AZ10352" s="10"/>
    </row>
    <row r="10353" spans="31:52">
      <c r="AE10353" s="10"/>
      <c r="AF10353" s="10"/>
      <c r="AG10353" s="10"/>
      <c r="AH10353" s="10"/>
      <c r="AI10353" s="10"/>
      <c r="AJ10353" s="10"/>
      <c r="AK10353" s="10"/>
      <c r="AL10353" s="10"/>
      <c r="AM10353" s="10"/>
      <c r="AN10353" s="10"/>
      <c r="AO10353" s="10"/>
      <c r="AP10353" s="10"/>
      <c r="AQ10353" s="10"/>
      <c r="AR10353" s="10"/>
      <c r="AS10353" s="10"/>
      <c r="AT10353" s="10"/>
      <c r="AU10353" s="10"/>
      <c r="AV10353" s="10"/>
      <c r="AW10353" s="10"/>
      <c r="AX10353" s="10"/>
      <c r="AY10353" s="10"/>
      <c r="AZ10353" s="10"/>
    </row>
    <row r="10354" spans="31:52">
      <c r="AE10354" s="10"/>
      <c r="AF10354" s="10"/>
      <c r="AG10354" s="10"/>
      <c r="AH10354" s="10"/>
      <c r="AI10354" s="10"/>
      <c r="AJ10354" s="10"/>
      <c r="AK10354" s="10"/>
      <c r="AL10354" s="10"/>
      <c r="AM10354" s="10"/>
      <c r="AN10354" s="10"/>
      <c r="AO10354" s="10"/>
      <c r="AP10354" s="10"/>
      <c r="AQ10354" s="10"/>
      <c r="AR10354" s="10"/>
      <c r="AS10354" s="10"/>
      <c r="AT10354" s="10"/>
      <c r="AU10354" s="10"/>
      <c r="AV10354" s="10"/>
      <c r="AW10354" s="10"/>
      <c r="AX10354" s="10"/>
      <c r="AY10354" s="10"/>
      <c r="AZ10354" s="10"/>
    </row>
    <row r="10355" spans="31:52">
      <c r="AE10355" s="10"/>
      <c r="AF10355" s="10"/>
      <c r="AG10355" s="10"/>
      <c r="AH10355" s="10"/>
      <c r="AI10355" s="10"/>
      <c r="AJ10355" s="10"/>
      <c r="AK10355" s="10"/>
      <c r="AL10355" s="10"/>
      <c r="AM10355" s="10"/>
      <c r="AN10355" s="10"/>
      <c r="AO10355" s="10"/>
      <c r="AP10355" s="10"/>
      <c r="AQ10355" s="10"/>
      <c r="AR10355" s="10"/>
      <c r="AS10355" s="10"/>
      <c r="AT10355" s="10"/>
      <c r="AU10355" s="10"/>
      <c r="AV10355" s="10"/>
      <c r="AW10355" s="10"/>
      <c r="AX10355" s="10"/>
      <c r="AY10355" s="10"/>
      <c r="AZ10355" s="10"/>
    </row>
    <row r="10356" spans="31:52">
      <c r="AE10356" s="10"/>
      <c r="AF10356" s="10"/>
      <c r="AG10356" s="10"/>
      <c r="AH10356" s="10"/>
      <c r="AI10356" s="10"/>
      <c r="AJ10356" s="10"/>
      <c r="AK10356" s="10"/>
      <c r="AL10356" s="10"/>
      <c r="AM10356" s="10"/>
      <c r="AN10356" s="10"/>
      <c r="AO10356" s="10"/>
      <c r="AP10356" s="10"/>
      <c r="AQ10356" s="10"/>
      <c r="AR10356" s="10"/>
      <c r="AS10356" s="10"/>
      <c r="AT10356" s="10"/>
      <c r="AU10356" s="10"/>
      <c r="AV10356" s="10"/>
      <c r="AW10356" s="10"/>
      <c r="AX10356" s="10"/>
      <c r="AY10356" s="10"/>
      <c r="AZ10356" s="10"/>
    </row>
    <row r="10357" spans="31:52">
      <c r="AE10357" s="10"/>
      <c r="AF10357" s="10"/>
      <c r="AG10357" s="10"/>
      <c r="AH10357" s="10"/>
      <c r="AI10357" s="10"/>
      <c r="AJ10357" s="10"/>
      <c r="AK10357" s="10"/>
      <c r="AL10357" s="10"/>
      <c r="AM10357" s="10"/>
      <c r="AN10357" s="10"/>
      <c r="AO10357" s="10"/>
      <c r="AP10357" s="10"/>
      <c r="AQ10357" s="10"/>
      <c r="AR10357" s="10"/>
      <c r="AS10357" s="10"/>
      <c r="AT10357" s="10"/>
      <c r="AU10357" s="10"/>
      <c r="AV10357" s="10"/>
      <c r="AW10357" s="10"/>
      <c r="AX10357" s="10"/>
      <c r="AY10357" s="10"/>
      <c r="AZ10357" s="10"/>
    </row>
    <row r="10358" spans="31:52">
      <c r="AE10358" s="10"/>
      <c r="AF10358" s="10"/>
      <c r="AG10358" s="10"/>
      <c r="AH10358" s="10"/>
      <c r="AI10358" s="10"/>
      <c r="AJ10358" s="10"/>
      <c r="AK10358" s="10"/>
      <c r="AL10358" s="10"/>
      <c r="AM10358" s="10"/>
      <c r="AN10358" s="10"/>
      <c r="AO10358" s="10"/>
      <c r="AP10358" s="10"/>
      <c r="AQ10358" s="10"/>
      <c r="AR10358" s="10"/>
      <c r="AS10358" s="10"/>
      <c r="AT10358" s="10"/>
      <c r="AU10358" s="10"/>
      <c r="AV10358" s="10"/>
      <c r="AW10358" s="10"/>
      <c r="AX10358" s="10"/>
      <c r="AY10358" s="10"/>
      <c r="AZ10358" s="10"/>
    </row>
    <row r="10359" spans="31:52">
      <c r="AE10359" s="10"/>
      <c r="AF10359" s="10"/>
      <c r="AG10359" s="10"/>
      <c r="AH10359" s="10"/>
      <c r="AI10359" s="10"/>
      <c r="AJ10359" s="10"/>
      <c r="AK10359" s="10"/>
      <c r="AL10359" s="10"/>
      <c r="AM10359" s="10"/>
      <c r="AN10359" s="10"/>
      <c r="AO10359" s="10"/>
      <c r="AP10359" s="10"/>
      <c r="AQ10359" s="10"/>
      <c r="AR10359" s="10"/>
      <c r="AS10359" s="10"/>
      <c r="AT10359" s="10"/>
      <c r="AU10359" s="10"/>
      <c r="AV10359" s="10"/>
      <c r="AW10359" s="10"/>
      <c r="AX10359" s="10"/>
      <c r="AY10359" s="10"/>
      <c r="AZ10359" s="10"/>
    </row>
    <row r="10360" spans="31:52">
      <c r="AE10360" s="10"/>
      <c r="AF10360" s="10"/>
      <c r="AG10360" s="10"/>
      <c r="AH10360" s="10"/>
      <c r="AI10360" s="10"/>
      <c r="AJ10360" s="10"/>
      <c r="AK10360" s="10"/>
      <c r="AL10360" s="10"/>
      <c r="AM10360" s="10"/>
      <c r="AN10360" s="10"/>
      <c r="AO10360" s="10"/>
      <c r="AP10360" s="10"/>
      <c r="AQ10360" s="10"/>
      <c r="AR10360" s="10"/>
      <c r="AS10360" s="10"/>
      <c r="AT10360" s="10"/>
      <c r="AU10360" s="10"/>
      <c r="AV10360" s="10"/>
      <c r="AW10360" s="10"/>
      <c r="AX10360" s="10"/>
      <c r="AY10360" s="10"/>
      <c r="AZ10360" s="10"/>
    </row>
    <row r="10361" spans="31:52">
      <c r="AE10361" s="10"/>
      <c r="AF10361" s="10"/>
      <c r="AG10361" s="10"/>
      <c r="AH10361" s="10"/>
      <c r="AI10361" s="10"/>
      <c r="AJ10361" s="10"/>
      <c r="AK10361" s="10"/>
      <c r="AL10361" s="10"/>
      <c r="AM10361" s="10"/>
      <c r="AN10361" s="10"/>
      <c r="AO10361" s="10"/>
      <c r="AP10361" s="10"/>
      <c r="AQ10361" s="10"/>
      <c r="AR10361" s="10"/>
      <c r="AS10361" s="10"/>
      <c r="AT10361" s="10"/>
      <c r="AU10361" s="10"/>
      <c r="AV10361" s="10"/>
      <c r="AW10361" s="10"/>
      <c r="AX10361" s="10"/>
      <c r="AY10361" s="10"/>
      <c r="AZ10361" s="10"/>
    </row>
    <row r="10362" spans="31:52">
      <c r="AE10362" s="10"/>
      <c r="AF10362" s="10"/>
      <c r="AG10362" s="10"/>
      <c r="AH10362" s="10"/>
      <c r="AI10362" s="10"/>
      <c r="AJ10362" s="10"/>
      <c r="AK10362" s="10"/>
      <c r="AL10362" s="10"/>
      <c r="AM10362" s="10"/>
      <c r="AN10362" s="10"/>
      <c r="AO10362" s="10"/>
      <c r="AP10362" s="10"/>
      <c r="AQ10362" s="10"/>
      <c r="AR10362" s="10"/>
      <c r="AS10362" s="10"/>
      <c r="AT10362" s="10"/>
      <c r="AU10362" s="10"/>
      <c r="AV10362" s="10"/>
      <c r="AW10362" s="10"/>
      <c r="AX10362" s="10"/>
      <c r="AY10362" s="10"/>
      <c r="AZ10362" s="10"/>
    </row>
    <row r="10363" spans="31:52">
      <c r="AE10363" s="10"/>
      <c r="AF10363" s="10"/>
      <c r="AG10363" s="10"/>
      <c r="AH10363" s="10"/>
      <c r="AI10363" s="10"/>
      <c r="AJ10363" s="10"/>
      <c r="AK10363" s="10"/>
      <c r="AL10363" s="10"/>
      <c r="AM10363" s="10"/>
      <c r="AN10363" s="10"/>
      <c r="AO10363" s="10"/>
      <c r="AP10363" s="10"/>
      <c r="AQ10363" s="10"/>
      <c r="AR10363" s="10"/>
      <c r="AS10363" s="10"/>
      <c r="AT10363" s="10"/>
      <c r="AU10363" s="10"/>
      <c r="AV10363" s="10"/>
      <c r="AW10363" s="10"/>
      <c r="AX10363" s="10"/>
      <c r="AY10363" s="10"/>
      <c r="AZ10363" s="10"/>
    </row>
    <row r="10364" spans="31:52">
      <c r="AE10364" s="10"/>
      <c r="AF10364" s="10"/>
      <c r="AG10364" s="10"/>
      <c r="AH10364" s="10"/>
      <c r="AI10364" s="10"/>
      <c r="AJ10364" s="10"/>
      <c r="AK10364" s="10"/>
      <c r="AL10364" s="10"/>
      <c r="AM10364" s="10"/>
      <c r="AN10364" s="10"/>
      <c r="AO10364" s="10"/>
      <c r="AP10364" s="10"/>
      <c r="AQ10364" s="10"/>
      <c r="AR10364" s="10"/>
      <c r="AS10364" s="10"/>
      <c r="AT10364" s="10"/>
      <c r="AU10364" s="10"/>
      <c r="AV10364" s="10"/>
      <c r="AW10364" s="10"/>
      <c r="AX10364" s="10"/>
      <c r="AY10364" s="10"/>
      <c r="AZ10364" s="10"/>
    </row>
    <row r="10365" spans="31:52">
      <c r="AE10365" s="10"/>
      <c r="AF10365" s="10"/>
      <c r="AG10365" s="10"/>
      <c r="AH10365" s="10"/>
      <c r="AI10365" s="10"/>
      <c r="AJ10365" s="10"/>
      <c r="AK10365" s="10"/>
      <c r="AL10365" s="10"/>
      <c r="AM10365" s="10"/>
      <c r="AN10365" s="10"/>
      <c r="AO10365" s="10"/>
      <c r="AP10365" s="10"/>
      <c r="AQ10365" s="10"/>
      <c r="AR10365" s="10"/>
      <c r="AS10365" s="10"/>
      <c r="AT10365" s="10"/>
      <c r="AU10365" s="10"/>
      <c r="AV10365" s="10"/>
      <c r="AW10365" s="10"/>
      <c r="AX10365" s="10"/>
      <c r="AY10365" s="10"/>
      <c r="AZ10365" s="10"/>
    </row>
    <row r="10366" spans="31:52">
      <c r="AE10366" s="10"/>
      <c r="AF10366" s="10"/>
      <c r="AG10366" s="10"/>
      <c r="AH10366" s="10"/>
      <c r="AI10366" s="10"/>
      <c r="AJ10366" s="10"/>
      <c r="AK10366" s="10"/>
      <c r="AL10366" s="10"/>
      <c r="AM10366" s="10"/>
      <c r="AN10366" s="10"/>
      <c r="AO10366" s="10"/>
      <c r="AP10366" s="10"/>
      <c r="AQ10366" s="10"/>
      <c r="AR10366" s="10"/>
      <c r="AS10366" s="10"/>
      <c r="AT10366" s="10"/>
      <c r="AU10366" s="10"/>
      <c r="AV10366" s="10"/>
      <c r="AW10366" s="10"/>
      <c r="AX10366" s="10"/>
      <c r="AY10366" s="10"/>
      <c r="AZ10366" s="10"/>
    </row>
    <row r="10367" spans="31:52">
      <c r="AE10367" s="10"/>
      <c r="AF10367" s="10"/>
      <c r="AG10367" s="10"/>
      <c r="AH10367" s="10"/>
      <c r="AI10367" s="10"/>
      <c r="AJ10367" s="10"/>
      <c r="AK10367" s="10"/>
      <c r="AL10367" s="10"/>
      <c r="AM10367" s="10"/>
      <c r="AN10367" s="10"/>
      <c r="AO10367" s="10"/>
      <c r="AP10367" s="10"/>
      <c r="AQ10367" s="10"/>
      <c r="AR10367" s="10"/>
      <c r="AS10367" s="10"/>
      <c r="AT10367" s="10"/>
      <c r="AU10367" s="10"/>
      <c r="AV10367" s="10"/>
      <c r="AW10367" s="10"/>
      <c r="AX10367" s="10"/>
      <c r="AY10367" s="10"/>
      <c r="AZ10367" s="10"/>
    </row>
    <row r="10368" spans="31:52">
      <c r="AE10368" s="10"/>
      <c r="AF10368" s="10"/>
      <c r="AG10368" s="10"/>
      <c r="AH10368" s="10"/>
      <c r="AI10368" s="10"/>
      <c r="AJ10368" s="10"/>
      <c r="AK10368" s="10"/>
      <c r="AL10368" s="10"/>
      <c r="AM10368" s="10"/>
      <c r="AN10368" s="10"/>
      <c r="AO10368" s="10"/>
      <c r="AP10368" s="10"/>
      <c r="AQ10368" s="10"/>
      <c r="AR10368" s="10"/>
      <c r="AS10368" s="10"/>
      <c r="AT10368" s="10"/>
      <c r="AU10368" s="10"/>
      <c r="AV10368" s="10"/>
      <c r="AW10368" s="10"/>
      <c r="AX10368" s="10"/>
      <c r="AY10368" s="10"/>
      <c r="AZ10368" s="10"/>
    </row>
    <row r="10369" spans="31:52">
      <c r="AE10369" s="10"/>
      <c r="AF10369" s="10"/>
      <c r="AG10369" s="10"/>
      <c r="AH10369" s="10"/>
      <c r="AI10369" s="10"/>
      <c r="AJ10369" s="10"/>
      <c r="AK10369" s="10"/>
      <c r="AL10369" s="10"/>
      <c r="AM10369" s="10"/>
      <c r="AN10369" s="10"/>
      <c r="AO10369" s="10"/>
      <c r="AP10369" s="10"/>
      <c r="AQ10369" s="10"/>
      <c r="AR10369" s="10"/>
      <c r="AS10369" s="10"/>
      <c r="AT10369" s="10"/>
      <c r="AU10369" s="10"/>
      <c r="AV10369" s="10"/>
      <c r="AW10369" s="10"/>
      <c r="AX10369" s="10"/>
      <c r="AY10369" s="10"/>
      <c r="AZ10369" s="10"/>
    </row>
    <row r="10370" spans="31:52">
      <c r="AE10370" s="10"/>
      <c r="AF10370" s="10"/>
      <c r="AG10370" s="10"/>
      <c r="AH10370" s="10"/>
      <c r="AI10370" s="10"/>
      <c r="AJ10370" s="10"/>
      <c r="AK10370" s="10"/>
      <c r="AL10370" s="10"/>
      <c r="AM10370" s="10"/>
      <c r="AN10370" s="10"/>
      <c r="AO10370" s="10"/>
      <c r="AP10370" s="10"/>
      <c r="AQ10370" s="10"/>
      <c r="AR10370" s="10"/>
      <c r="AS10370" s="10"/>
      <c r="AT10370" s="10"/>
      <c r="AU10370" s="10"/>
      <c r="AV10370" s="10"/>
      <c r="AW10370" s="10"/>
      <c r="AX10370" s="10"/>
      <c r="AY10370" s="10"/>
      <c r="AZ10370" s="10"/>
    </row>
    <row r="10371" spans="31:52">
      <c r="AE10371" s="10"/>
      <c r="AF10371" s="10"/>
      <c r="AG10371" s="10"/>
      <c r="AH10371" s="10"/>
      <c r="AI10371" s="10"/>
      <c r="AJ10371" s="10"/>
      <c r="AK10371" s="10"/>
      <c r="AL10371" s="10"/>
      <c r="AM10371" s="10"/>
      <c r="AN10371" s="10"/>
      <c r="AO10371" s="10"/>
      <c r="AP10371" s="10"/>
      <c r="AQ10371" s="10"/>
      <c r="AR10371" s="10"/>
      <c r="AS10371" s="10"/>
      <c r="AT10371" s="10"/>
      <c r="AU10371" s="10"/>
      <c r="AV10371" s="10"/>
      <c r="AW10371" s="10"/>
      <c r="AX10371" s="10"/>
      <c r="AY10371" s="10"/>
      <c r="AZ10371" s="10"/>
    </row>
    <row r="10372" spans="31:52">
      <c r="AE10372" s="10"/>
      <c r="AF10372" s="10"/>
      <c r="AG10372" s="10"/>
      <c r="AH10372" s="10"/>
      <c r="AI10372" s="10"/>
      <c r="AJ10372" s="10"/>
      <c r="AK10372" s="10"/>
      <c r="AL10372" s="10"/>
      <c r="AM10372" s="10"/>
      <c r="AN10372" s="10"/>
      <c r="AO10372" s="10"/>
      <c r="AP10372" s="10"/>
      <c r="AQ10372" s="10"/>
      <c r="AR10372" s="10"/>
      <c r="AS10372" s="10"/>
      <c r="AT10372" s="10"/>
      <c r="AU10372" s="10"/>
      <c r="AV10372" s="10"/>
      <c r="AW10372" s="10"/>
      <c r="AX10372" s="10"/>
      <c r="AY10372" s="10"/>
      <c r="AZ10372" s="10"/>
    </row>
    <row r="10373" spans="31:52">
      <c r="AE10373" s="10"/>
      <c r="AF10373" s="10"/>
      <c r="AG10373" s="10"/>
      <c r="AH10373" s="10"/>
      <c r="AI10373" s="10"/>
      <c r="AJ10373" s="10"/>
      <c r="AK10373" s="10"/>
      <c r="AL10373" s="10"/>
      <c r="AM10373" s="10"/>
      <c r="AN10373" s="10"/>
      <c r="AO10373" s="10"/>
      <c r="AP10373" s="10"/>
      <c r="AQ10373" s="10"/>
      <c r="AR10373" s="10"/>
      <c r="AS10373" s="10"/>
      <c r="AT10373" s="10"/>
      <c r="AU10373" s="10"/>
      <c r="AV10373" s="10"/>
      <c r="AW10373" s="10"/>
      <c r="AX10373" s="10"/>
      <c r="AY10373" s="10"/>
      <c r="AZ10373" s="10"/>
    </row>
    <row r="10374" spans="31:52">
      <c r="AE10374" s="10"/>
      <c r="AF10374" s="10"/>
      <c r="AG10374" s="10"/>
      <c r="AH10374" s="10"/>
      <c r="AI10374" s="10"/>
      <c r="AJ10374" s="10"/>
      <c r="AK10374" s="10"/>
      <c r="AL10374" s="10"/>
      <c r="AM10374" s="10"/>
      <c r="AN10374" s="10"/>
      <c r="AO10374" s="10"/>
      <c r="AP10374" s="10"/>
      <c r="AQ10374" s="10"/>
      <c r="AR10374" s="10"/>
      <c r="AS10374" s="10"/>
      <c r="AT10374" s="10"/>
      <c r="AU10374" s="10"/>
      <c r="AV10374" s="10"/>
      <c r="AW10374" s="10"/>
      <c r="AX10374" s="10"/>
      <c r="AY10374" s="10"/>
      <c r="AZ10374" s="10"/>
    </row>
    <row r="10375" spans="31:52">
      <c r="AE10375" s="10"/>
      <c r="AF10375" s="10"/>
      <c r="AG10375" s="10"/>
      <c r="AH10375" s="10"/>
      <c r="AI10375" s="10"/>
      <c r="AJ10375" s="10"/>
      <c r="AK10375" s="10"/>
      <c r="AL10375" s="10"/>
      <c r="AM10375" s="10"/>
      <c r="AN10375" s="10"/>
      <c r="AO10375" s="10"/>
      <c r="AP10375" s="10"/>
      <c r="AQ10375" s="10"/>
      <c r="AR10375" s="10"/>
      <c r="AS10375" s="10"/>
      <c r="AT10375" s="10"/>
      <c r="AU10375" s="10"/>
      <c r="AV10375" s="10"/>
      <c r="AW10375" s="10"/>
      <c r="AX10375" s="10"/>
      <c r="AY10375" s="10"/>
      <c r="AZ10375" s="10"/>
    </row>
    <row r="10376" spans="31:52">
      <c r="AE10376" s="10"/>
      <c r="AF10376" s="10"/>
      <c r="AG10376" s="10"/>
      <c r="AH10376" s="10"/>
      <c r="AI10376" s="10"/>
      <c r="AJ10376" s="10"/>
      <c r="AK10376" s="10"/>
      <c r="AL10376" s="10"/>
      <c r="AM10376" s="10"/>
      <c r="AN10376" s="10"/>
      <c r="AO10376" s="10"/>
      <c r="AP10376" s="10"/>
      <c r="AQ10376" s="10"/>
      <c r="AR10376" s="10"/>
      <c r="AS10376" s="10"/>
      <c r="AT10376" s="10"/>
      <c r="AU10376" s="10"/>
      <c r="AV10376" s="10"/>
      <c r="AW10376" s="10"/>
      <c r="AX10376" s="10"/>
      <c r="AY10376" s="10"/>
      <c r="AZ10376" s="10"/>
    </row>
    <row r="10377" spans="31:52">
      <c r="AE10377" s="10"/>
      <c r="AF10377" s="10"/>
      <c r="AG10377" s="10"/>
      <c r="AH10377" s="10"/>
      <c r="AI10377" s="10"/>
      <c r="AJ10377" s="10"/>
      <c r="AK10377" s="10"/>
      <c r="AL10377" s="10"/>
      <c r="AM10377" s="10"/>
      <c r="AN10377" s="10"/>
      <c r="AO10377" s="10"/>
      <c r="AP10377" s="10"/>
      <c r="AQ10377" s="10"/>
      <c r="AR10377" s="10"/>
      <c r="AS10377" s="10"/>
      <c r="AT10377" s="10"/>
      <c r="AU10377" s="10"/>
      <c r="AV10377" s="10"/>
      <c r="AW10377" s="10"/>
      <c r="AX10377" s="10"/>
      <c r="AY10377" s="10"/>
      <c r="AZ10377" s="10"/>
    </row>
    <row r="10378" spans="31:52">
      <c r="AE10378" s="10"/>
      <c r="AF10378" s="10"/>
      <c r="AG10378" s="10"/>
      <c r="AH10378" s="10"/>
      <c r="AI10378" s="10"/>
      <c r="AJ10378" s="10"/>
      <c r="AK10378" s="10"/>
      <c r="AL10378" s="10"/>
      <c r="AM10378" s="10"/>
      <c r="AN10378" s="10"/>
      <c r="AO10378" s="10"/>
      <c r="AP10378" s="10"/>
      <c r="AQ10378" s="10"/>
      <c r="AR10378" s="10"/>
      <c r="AS10378" s="10"/>
      <c r="AT10378" s="10"/>
      <c r="AU10378" s="10"/>
      <c r="AV10378" s="10"/>
      <c r="AW10378" s="10"/>
      <c r="AX10378" s="10"/>
      <c r="AY10378" s="10"/>
      <c r="AZ10378" s="10"/>
    </row>
    <row r="10379" spans="31:52">
      <c r="AE10379" s="10"/>
      <c r="AF10379" s="10"/>
      <c r="AG10379" s="10"/>
      <c r="AH10379" s="10"/>
      <c r="AI10379" s="10"/>
      <c r="AJ10379" s="10"/>
      <c r="AK10379" s="10"/>
      <c r="AL10379" s="10"/>
      <c r="AM10379" s="10"/>
      <c r="AN10379" s="10"/>
      <c r="AO10379" s="10"/>
      <c r="AP10379" s="10"/>
      <c r="AQ10379" s="10"/>
      <c r="AR10379" s="10"/>
      <c r="AS10379" s="10"/>
      <c r="AT10379" s="10"/>
      <c r="AU10379" s="10"/>
      <c r="AV10379" s="10"/>
      <c r="AW10379" s="10"/>
      <c r="AX10379" s="10"/>
      <c r="AY10379" s="10"/>
      <c r="AZ10379" s="10"/>
    </row>
    <row r="10380" spans="31:52">
      <c r="AE10380" s="10"/>
      <c r="AF10380" s="10"/>
      <c r="AG10380" s="10"/>
      <c r="AH10380" s="10"/>
      <c r="AI10380" s="10"/>
      <c r="AJ10380" s="10"/>
      <c r="AK10380" s="10"/>
      <c r="AL10380" s="10"/>
      <c r="AM10380" s="10"/>
      <c r="AN10380" s="10"/>
      <c r="AO10380" s="10"/>
      <c r="AP10380" s="10"/>
      <c r="AQ10380" s="10"/>
      <c r="AR10380" s="10"/>
      <c r="AS10380" s="10"/>
      <c r="AT10380" s="10"/>
      <c r="AU10380" s="10"/>
      <c r="AV10380" s="10"/>
      <c r="AW10380" s="10"/>
      <c r="AX10380" s="10"/>
      <c r="AY10380" s="10"/>
      <c r="AZ10380" s="10"/>
    </row>
    <row r="10381" spans="31:52">
      <c r="AE10381" s="10"/>
      <c r="AF10381" s="10"/>
      <c r="AG10381" s="10"/>
      <c r="AH10381" s="10"/>
      <c r="AI10381" s="10"/>
      <c r="AJ10381" s="10"/>
      <c r="AK10381" s="10"/>
      <c r="AL10381" s="10"/>
      <c r="AM10381" s="10"/>
      <c r="AN10381" s="10"/>
      <c r="AO10381" s="10"/>
      <c r="AP10381" s="10"/>
      <c r="AQ10381" s="10"/>
      <c r="AR10381" s="10"/>
      <c r="AS10381" s="10"/>
      <c r="AT10381" s="10"/>
      <c r="AU10381" s="10"/>
      <c r="AV10381" s="10"/>
      <c r="AW10381" s="10"/>
      <c r="AX10381" s="10"/>
      <c r="AY10381" s="10"/>
      <c r="AZ10381" s="10"/>
    </row>
    <row r="10382" spans="31:52">
      <c r="AE10382" s="10"/>
      <c r="AF10382" s="10"/>
      <c r="AG10382" s="10"/>
      <c r="AH10382" s="10"/>
      <c r="AI10382" s="10"/>
      <c r="AJ10382" s="10"/>
      <c r="AK10382" s="10"/>
      <c r="AL10382" s="10"/>
      <c r="AM10382" s="10"/>
      <c r="AN10382" s="10"/>
      <c r="AO10382" s="10"/>
      <c r="AP10382" s="10"/>
      <c r="AQ10382" s="10"/>
      <c r="AR10382" s="10"/>
      <c r="AS10382" s="10"/>
      <c r="AT10382" s="10"/>
      <c r="AU10382" s="10"/>
      <c r="AV10382" s="10"/>
      <c r="AW10382" s="10"/>
      <c r="AX10382" s="10"/>
      <c r="AY10382" s="10"/>
      <c r="AZ10382" s="10"/>
    </row>
    <row r="10383" spans="31:52">
      <c r="AE10383" s="10"/>
      <c r="AF10383" s="10"/>
      <c r="AG10383" s="10"/>
      <c r="AH10383" s="10"/>
      <c r="AI10383" s="10"/>
      <c r="AJ10383" s="10"/>
      <c r="AK10383" s="10"/>
      <c r="AL10383" s="10"/>
      <c r="AM10383" s="10"/>
      <c r="AN10383" s="10"/>
      <c r="AO10383" s="10"/>
      <c r="AP10383" s="10"/>
      <c r="AQ10383" s="10"/>
      <c r="AR10383" s="10"/>
      <c r="AS10383" s="10"/>
      <c r="AT10383" s="10"/>
      <c r="AU10383" s="10"/>
      <c r="AV10383" s="10"/>
      <c r="AW10383" s="10"/>
      <c r="AX10383" s="10"/>
      <c r="AY10383" s="10"/>
      <c r="AZ10383" s="10"/>
    </row>
    <row r="10384" spans="31:52">
      <c r="AE10384" s="10"/>
      <c r="AF10384" s="10"/>
      <c r="AG10384" s="10"/>
      <c r="AH10384" s="10"/>
      <c r="AI10384" s="10"/>
      <c r="AJ10384" s="10"/>
      <c r="AK10384" s="10"/>
      <c r="AL10384" s="10"/>
      <c r="AM10384" s="10"/>
      <c r="AN10384" s="10"/>
      <c r="AO10384" s="10"/>
      <c r="AP10384" s="10"/>
      <c r="AQ10384" s="10"/>
      <c r="AR10384" s="10"/>
      <c r="AS10384" s="10"/>
      <c r="AT10384" s="10"/>
      <c r="AU10384" s="10"/>
      <c r="AV10384" s="10"/>
      <c r="AW10384" s="10"/>
      <c r="AX10384" s="10"/>
      <c r="AY10384" s="10"/>
      <c r="AZ10384" s="10"/>
    </row>
    <row r="10385" spans="31:52">
      <c r="AE10385" s="10"/>
      <c r="AF10385" s="10"/>
      <c r="AG10385" s="10"/>
      <c r="AH10385" s="10"/>
      <c r="AI10385" s="10"/>
      <c r="AJ10385" s="10"/>
      <c r="AK10385" s="10"/>
      <c r="AL10385" s="10"/>
      <c r="AM10385" s="10"/>
      <c r="AN10385" s="10"/>
      <c r="AO10385" s="10"/>
      <c r="AP10385" s="10"/>
      <c r="AQ10385" s="10"/>
      <c r="AR10385" s="10"/>
      <c r="AS10385" s="10"/>
      <c r="AT10385" s="10"/>
      <c r="AU10385" s="10"/>
      <c r="AV10385" s="10"/>
      <c r="AW10385" s="10"/>
      <c r="AX10385" s="10"/>
      <c r="AY10385" s="10"/>
      <c r="AZ10385" s="10"/>
    </row>
    <row r="10386" spans="31:52">
      <c r="AE10386" s="10"/>
      <c r="AF10386" s="10"/>
      <c r="AG10386" s="10"/>
      <c r="AH10386" s="10"/>
      <c r="AI10386" s="10"/>
      <c r="AJ10386" s="10"/>
      <c r="AK10386" s="10"/>
      <c r="AL10386" s="10"/>
      <c r="AM10386" s="10"/>
      <c r="AN10386" s="10"/>
      <c r="AO10386" s="10"/>
      <c r="AP10386" s="10"/>
      <c r="AQ10386" s="10"/>
      <c r="AR10386" s="10"/>
      <c r="AS10386" s="10"/>
      <c r="AT10386" s="10"/>
      <c r="AU10386" s="10"/>
      <c r="AV10386" s="10"/>
      <c r="AW10386" s="10"/>
      <c r="AX10386" s="10"/>
      <c r="AY10386" s="10"/>
      <c r="AZ10386" s="10"/>
    </row>
    <row r="10387" spans="31:52">
      <c r="AE10387" s="10"/>
      <c r="AF10387" s="10"/>
      <c r="AG10387" s="10"/>
      <c r="AH10387" s="10"/>
      <c r="AI10387" s="10"/>
      <c r="AJ10387" s="10"/>
      <c r="AK10387" s="10"/>
      <c r="AL10387" s="10"/>
      <c r="AM10387" s="10"/>
      <c r="AN10387" s="10"/>
      <c r="AO10387" s="10"/>
      <c r="AP10387" s="10"/>
      <c r="AQ10387" s="10"/>
      <c r="AR10387" s="10"/>
      <c r="AS10387" s="10"/>
      <c r="AT10387" s="10"/>
      <c r="AU10387" s="10"/>
      <c r="AV10387" s="10"/>
      <c r="AW10387" s="10"/>
      <c r="AX10387" s="10"/>
      <c r="AY10387" s="10"/>
      <c r="AZ10387" s="10"/>
    </row>
    <row r="10388" spans="31:52">
      <c r="AE10388" s="10"/>
      <c r="AF10388" s="10"/>
      <c r="AG10388" s="10"/>
      <c r="AH10388" s="10"/>
      <c r="AI10388" s="10"/>
      <c r="AJ10388" s="10"/>
      <c r="AK10388" s="10"/>
      <c r="AL10388" s="10"/>
      <c r="AM10388" s="10"/>
      <c r="AN10388" s="10"/>
      <c r="AO10388" s="10"/>
      <c r="AP10388" s="10"/>
      <c r="AQ10388" s="10"/>
      <c r="AR10388" s="10"/>
      <c r="AS10388" s="10"/>
      <c r="AT10388" s="10"/>
      <c r="AU10388" s="10"/>
      <c r="AV10388" s="10"/>
      <c r="AW10388" s="10"/>
      <c r="AX10388" s="10"/>
      <c r="AY10388" s="10"/>
      <c r="AZ10388" s="10"/>
    </row>
    <row r="10389" spans="31:52">
      <c r="AE10389" s="10"/>
      <c r="AF10389" s="10"/>
      <c r="AG10389" s="10"/>
      <c r="AH10389" s="10"/>
      <c r="AI10389" s="10"/>
      <c r="AJ10389" s="10"/>
      <c r="AK10389" s="10"/>
      <c r="AL10389" s="10"/>
      <c r="AM10389" s="10"/>
      <c r="AN10389" s="10"/>
      <c r="AO10389" s="10"/>
      <c r="AP10389" s="10"/>
      <c r="AQ10389" s="10"/>
      <c r="AR10389" s="10"/>
      <c r="AS10389" s="10"/>
      <c r="AT10389" s="10"/>
      <c r="AU10389" s="10"/>
      <c r="AV10389" s="10"/>
      <c r="AW10389" s="10"/>
      <c r="AX10389" s="10"/>
      <c r="AY10389" s="10"/>
      <c r="AZ10389" s="10"/>
    </row>
    <row r="10390" spans="31:52">
      <c r="AE10390" s="10"/>
      <c r="AF10390" s="10"/>
      <c r="AG10390" s="10"/>
      <c r="AH10390" s="10"/>
      <c r="AI10390" s="10"/>
      <c r="AJ10390" s="10"/>
      <c r="AK10390" s="10"/>
      <c r="AL10390" s="10"/>
      <c r="AM10390" s="10"/>
      <c r="AN10390" s="10"/>
      <c r="AO10390" s="10"/>
      <c r="AP10390" s="10"/>
      <c r="AQ10390" s="10"/>
      <c r="AR10390" s="10"/>
      <c r="AS10390" s="10"/>
      <c r="AT10390" s="10"/>
      <c r="AU10390" s="10"/>
      <c r="AV10390" s="10"/>
      <c r="AW10390" s="10"/>
      <c r="AX10390" s="10"/>
      <c r="AY10390" s="10"/>
      <c r="AZ10390" s="10"/>
    </row>
    <row r="10391" spans="31:52">
      <c r="AE10391" s="10"/>
      <c r="AF10391" s="10"/>
      <c r="AG10391" s="10"/>
      <c r="AH10391" s="10"/>
      <c r="AI10391" s="10"/>
      <c r="AJ10391" s="10"/>
      <c r="AK10391" s="10"/>
      <c r="AL10391" s="10"/>
      <c r="AM10391" s="10"/>
      <c r="AN10391" s="10"/>
      <c r="AO10391" s="10"/>
      <c r="AP10391" s="10"/>
      <c r="AQ10391" s="10"/>
      <c r="AR10391" s="10"/>
      <c r="AS10391" s="10"/>
      <c r="AT10391" s="10"/>
      <c r="AU10391" s="10"/>
      <c r="AV10391" s="10"/>
      <c r="AW10391" s="10"/>
      <c r="AX10391" s="10"/>
      <c r="AY10391" s="10"/>
      <c r="AZ10391" s="10"/>
    </row>
    <row r="10392" spans="31:52">
      <c r="AE10392" s="10"/>
      <c r="AF10392" s="10"/>
      <c r="AG10392" s="10"/>
      <c r="AH10392" s="10"/>
      <c r="AI10392" s="10"/>
      <c r="AJ10392" s="10"/>
      <c r="AK10392" s="10"/>
      <c r="AL10392" s="10"/>
      <c r="AM10392" s="10"/>
      <c r="AN10392" s="10"/>
      <c r="AO10392" s="10"/>
      <c r="AP10392" s="10"/>
      <c r="AQ10392" s="10"/>
      <c r="AR10392" s="10"/>
      <c r="AS10392" s="10"/>
      <c r="AT10392" s="10"/>
      <c r="AU10392" s="10"/>
      <c r="AV10392" s="10"/>
      <c r="AW10392" s="10"/>
      <c r="AX10392" s="10"/>
      <c r="AY10392" s="10"/>
      <c r="AZ10392" s="10"/>
    </row>
    <row r="10393" spans="31:52">
      <c r="AE10393" s="10"/>
      <c r="AF10393" s="10"/>
      <c r="AG10393" s="10"/>
      <c r="AH10393" s="10"/>
      <c r="AI10393" s="10"/>
      <c r="AJ10393" s="10"/>
      <c r="AK10393" s="10"/>
      <c r="AL10393" s="10"/>
      <c r="AM10393" s="10"/>
      <c r="AN10393" s="10"/>
      <c r="AO10393" s="10"/>
      <c r="AP10393" s="10"/>
      <c r="AQ10393" s="10"/>
      <c r="AR10393" s="10"/>
      <c r="AS10393" s="10"/>
      <c r="AT10393" s="10"/>
      <c r="AU10393" s="10"/>
      <c r="AV10393" s="10"/>
      <c r="AW10393" s="10"/>
      <c r="AX10393" s="10"/>
      <c r="AY10393" s="10"/>
      <c r="AZ10393" s="10"/>
    </row>
    <row r="10394" spans="31:52">
      <c r="AE10394" s="10"/>
      <c r="AF10394" s="10"/>
      <c r="AG10394" s="10"/>
      <c r="AH10394" s="10"/>
      <c r="AI10394" s="10"/>
      <c r="AJ10394" s="10"/>
      <c r="AK10394" s="10"/>
      <c r="AL10394" s="10"/>
      <c r="AM10394" s="10"/>
      <c r="AN10394" s="10"/>
      <c r="AO10394" s="10"/>
      <c r="AP10394" s="10"/>
      <c r="AQ10394" s="10"/>
      <c r="AR10394" s="10"/>
      <c r="AS10394" s="10"/>
      <c r="AT10394" s="10"/>
      <c r="AU10394" s="10"/>
      <c r="AV10394" s="10"/>
      <c r="AW10394" s="10"/>
      <c r="AX10394" s="10"/>
      <c r="AY10394" s="10"/>
      <c r="AZ10394" s="10"/>
    </row>
    <row r="10395" spans="31:52">
      <c r="AE10395" s="10"/>
      <c r="AF10395" s="10"/>
      <c r="AG10395" s="10"/>
      <c r="AH10395" s="10"/>
      <c r="AI10395" s="10"/>
      <c r="AJ10395" s="10"/>
      <c r="AK10395" s="10"/>
      <c r="AL10395" s="10"/>
      <c r="AM10395" s="10"/>
      <c r="AN10395" s="10"/>
      <c r="AO10395" s="10"/>
      <c r="AP10395" s="10"/>
      <c r="AQ10395" s="10"/>
      <c r="AR10395" s="10"/>
      <c r="AS10395" s="10"/>
      <c r="AT10395" s="10"/>
      <c r="AU10395" s="10"/>
      <c r="AV10395" s="10"/>
      <c r="AW10395" s="10"/>
      <c r="AX10395" s="10"/>
      <c r="AY10395" s="10"/>
      <c r="AZ10395" s="10"/>
    </row>
    <row r="10396" spans="31:52">
      <c r="AE10396" s="10"/>
      <c r="AF10396" s="10"/>
      <c r="AG10396" s="10"/>
      <c r="AH10396" s="10"/>
      <c r="AI10396" s="10"/>
      <c r="AJ10396" s="10"/>
      <c r="AK10396" s="10"/>
      <c r="AL10396" s="10"/>
      <c r="AM10396" s="10"/>
      <c r="AN10396" s="10"/>
      <c r="AO10396" s="10"/>
      <c r="AP10396" s="10"/>
      <c r="AQ10396" s="10"/>
      <c r="AR10396" s="10"/>
      <c r="AS10396" s="10"/>
      <c r="AT10396" s="10"/>
      <c r="AU10396" s="10"/>
      <c r="AV10396" s="10"/>
      <c r="AW10396" s="10"/>
      <c r="AX10396" s="10"/>
      <c r="AY10396" s="10"/>
      <c r="AZ10396" s="10"/>
    </row>
    <row r="10397" spans="31:52">
      <c r="AE10397" s="10"/>
      <c r="AF10397" s="10"/>
      <c r="AG10397" s="10"/>
      <c r="AH10397" s="10"/>
      <c r="AI10397" s="10"/>
      <c r="AJ10397" s="10"/>
      <c r="AK10397" s="10"/>
      <c r="AL10397" s="10"/>
      <c r="AM10397" s="10"/>
      <c r="AN10397" s="10"/>
      <c r="AO10397" s="10"/>
      <c r="AP10397" s="10"/>
      <c r="AQ10397" s="10"/>
      <c r="AR10397" s="10"/>
      <c r="AS10397" s="10"/>
      <c r="AT10397" s="10"/>
      <c r="AU10397" s="10"/>
      <c r="AV10397" s="10"/>
      <c r="AW10397" s="10"/>
      <c r="AX10397" s="10"/>
      <c r="AY10397" s="10"/>
      <c r="AZ10397" s="10"/>
    </row>
    <row r="10398" spans="31:52">
      <c r="AE10398" s="10"/>
      <c r="AF10398" s="10"/>
      <c r="AG10398" s="10"/>
      <c r="AH10398" s="10"/>
      <c r="AI10398" s="10"/>
      <c r="AJ10398" s="10"/>
      <c r="AK10398" s="10"/>
      <c r="AL10398" s="10"/>
      <c r="AM10398" s="10"/>
      <c r="AN10398" s="10"/>
      <c r="AO10398" s="10"/>
      <c r="AP10398" s="10"/>
      <c r="AQ10398" s="10"/>
      <c r="AR10398" s="10"/>
      <c r="AS10398" s="10"/>
      <c r="AT10398" s="10"/>
      <c r="AU10398" s="10"/>
      <c r="AV10398" s="10"/>
      <c r="AW10398" s="10"/>
      <c r="AX10398" s="10"/>
      <c r="AY10398" s="10"/>
      <c r="AZ10398" s="10"/>
    </row>
    <row r="10399" spans="31:52">
      <c r="AE10399" s="10"/>
      <c r="AF10399" s="10"/>
      <c r="AG10399" s="10"/>
      <c r="AH10399" s="10"/>
      <c r="AI10399" s="10"/>
      <c r="AJ10399" s="10"/>
      <c r="AK10399" s="10"/>
      <c r="AL10399" s="10"/>
      <c r="AM10399" s="10"/>
      <c r="AN10399" s="10"/>
      <c r="AO10399" s="10"/>
      <c r="AP10399" s="10"/>
      <c r="AQ10399" s="10"/>
      <c r="AR10399" s="10"/>
      <c r="AS10399" s="10"/>
      <c r="AT10399" s="10"/>
      <c r="AU10399" s="10"/>
      <c r="AV10399" s="10"/>
      <c r="AW10399" s="10"/>
      <c r="AX10399" s="10"/>
      <c r="AY10399" s="10"/>
      <c r="AZ10399" s="10"/>
    </row>
    <row r="10400" spans="31:52">
      <c r="AE10400" s="10"/>
      <c r="AF10400" s="10"/>
      <c r="AG10400" s="10"/>
      <c r="AH10400" s="10"/>
      <c r="AI10400" s="10"/>
      <c r="AJ10400" s="10"/>
      <c r="AK10400" s="10"/>
      <c r="AL10400" s="10"/>
      <c r="AM10400" s="10"/>
      <c r="AN10400" s="10"/>
      <c r="AO10400" s="10"/>
      <c r="AP10400" s="10"/>
      <c r="AQ10400" s="10"/>
      <c r="AR10400" s="10"/>
      <c r="AS10400" s="10"/>
      <c r="AT10400" s="10"/>
      <c r="AU10400" s="10"/>
      <c r="AV10400" s="10"/>
      <c r="AW10400" s="10"/>
      <c r="AX10400" s="10"/>
      <c r="AY10400" s="10"/>
      <c r="AZ10400" s="10"/>
    </row>
    <row r="10401" spans="31:52">
      <c r="AE10401" s="10"/>
      <c r="AF10401" s="10"/>
      <c r="AG10401" s="10"/>
      <c r="AH10401" s="10"/>
      <c r="AI10401" s="10"/>
      <c r="AJ10401" s="10"/>
      <c r="AK10401" s="10"/>
      <c r="AL10401" s="10"/>
      <c r="AM10401" s="10"/>
      <c r="AN10401" s="10"/>
      <c r="AO10401" s="10"/>
      <c r="AP10401" s="10"/>
      <c r="AQ10401" s="10"/>
      <c r="AR10401" s="10"/>
      <c r="AS10401" s="10"/>
      <c r="AT10401" s="10"/>
      <c r="AU10401" s="10"/>
      <c r="AV10401" s="10"/>
      <c r="AW10401" s="10"/>
      <c r="AX10401" s="10"/>
      <c r="AY10401" s="10"/>
      <c r="AZ10401" s="10"/>
    </row>
    <row r="10402" spans="31:52">
      <c r="AE10402" s="10"/>
      <c r="AF10402" s="10"/>
      <c r="AG10402" s="10"/>
      <c r="AH10402" s="10"/>
      <c r="AI10402" s="10"/>
      <c r="AJ10402" s="10"/>
      <c r="AK10402" s="10"/>
      <c r="AL10402" s="10"/>
      <c r="AM10402" s="10"/>
      <c r="AN10402" s="10"/>
      <c r="AO10402" s="10"/>
      <c r="AP10402" s="10"/>
      <c r="AQ10402" s="10"/>
      <c r="AR10402" s="10"/>
      <c r="AS10402" s="10"/>
      <c r="AT10402" s="10"/>
      <c r="AU10402" s="10"/>
      <c r="AV10402" s="10"/>
      <c r="AW10402" s="10"/>
      <c r="AX10402" s="10"/>
      <c r="AY10402" s="10"/>
      <c r="AZ10402" s="10"/>
    </row>
    <row r="10403" spans="31:52">
      <c r="AE10403" s="10"/>
      <c r="AF10403" s="10"/>
      <c r="AG10403" s="10"/>
      <c r="AH10403" s="10"/>
      <c r="AI10403" s="10"/>
      <c r="AJ10403" s="10"/>
      <c r="AK10403" s="10"/>
      <c r="AL10403" s="10"/>
      <c r="AM10403" s="10"/>
      <c r="AN10403" s="10"/>
      <c r="AO10403" s="10"/>
      <c r="AP10403" s="10"/>
      <c r="AQ10403" s="10"/>
      <c r="AR10403" s="10"/>
      <c r="AS10403" s="10"/>
      <c r="AT10403" s="10"/>
      <c r="AU10403" s="10"/>
      <c r="AV10403" s="10"/>
      <c r="AW10403" s="10"/>
      <c r="AX10403" s="10"/>
      <c r="AY10403" s="10"/>
      <c r="AZ10403" s="10"/>
    </row>
    <row r="10404" spans="31:52">
      <c r="AE10404" s="10"/>
      <c r="AF10404" s="10"/>
      <c r="AG10404" s="10"/>
      <c r="AH10404" s="10"/>
      <c r="AI10404" s="10"/>
      <c r="AJ10404" s="10"/>
      <c r="AK10404" s="10"/>
      <c r="AL10404" s="10"/>
      <c r="AM10404" s="10"/>
      <c r="AN10404" s="10"/>
      <c r="AO10404" s="10"/>
      <c r="AP10404" s="10"/>
      <c r="AQ10404" s="10"/>
      <c r="AR10404" s="10"/>
      <c r="AS10404" s="10"/>
      <c r="AT10404" s="10"/>
      <c r="AU10404" s="10"/>
      <c r="AV10404" s="10"/>
      <c r="AW10404" s="10"/>
      <c r="AX10404" s="10"/>
      <c r="AY10404" s="10"/>
      <c r="AZ10404" s="10"/>
    </row>
    <row r="10405" spans="31:52">
      <c r="AE10405" s="10"/>
      <c r="AF10405" s="10"/>
      <c r="AG10405" s="10"/>
      <c r="AH10405" s="10"/>
      <c r="AI10405" s="10"/>
      <c r="AJ10405" s="10"/>
      <c r="AK10405" s="10"/>
      <c r="AL10405" s="10"/>
      <c r="AM10405" s="10"/>
      <c r="AN10405" s="10"/>
      <c r="AO10405" s="10"/>
      <c r="AP10405" s="10"/>
      <c r="AQ10405" s="10"/>
      <c r="AR10405" s="10"/>
      <c r="AS10405" s="10"/>
      <c r="AT10405" s="10"/>
      <c r="AU10405" s="10"/>
      <c r="AV10405" s="10"/>
      <c r="AW10405" s="10"/>
      <c r="AX10405" s="10"/>
      <c r="AY10405" s="10"/>
      <c r="AZ10405" s="10"/>
    </row>
    <row r="10406" spans="31:52">
      <c r="AE10406" s="10"/>
      <c r="AF10406" s="10"/>
      <c r="AG10406" s="10"/>
      <c r="AH10406" s="10"/>
      <c r="AI10406" s="10"/>
      <c r="AJ10406" s="10"/>
      <c r="AK10406" s="10"/>
      <c r="AL10406" s="10"/>
      <c r="AM10406" s="10"/>
      <c r="AN10406" s="10"/>
      <c r="AO10406" s="10"/>
      <c r="AP10406" s="10"/>
      <c r="AQ10406" s="10"/>
      <c r="AR10406" s="10"/>
      <c r="AS10406" s="10"/>
      <c r="AT10406" s="10"/>
      <c r="AU10406" s="10"/>
      <c r="AV10406" s="10"/>
      <c r="AW10406" s="10"/>
      <c r="AX10406" s="10"/>
      <c r="AY10406" s="10"/>
      <c r="AZ10406" s="10"/>
    </row>
    <row r="10407" spans="31:52">
      <c r="AE10407" s="10"/>
      <c r="AF10407" s="10"/>
      <c r="AG10407" s="10"/>
      <c r="AH10407" s="10"/>
      <c r="AI10407" s="10"/>
      <c r="AJ10407" s="10"/>
      <c r="AK10407" s="10"/>
      <c r="AL10407" s="10"/>
      <c r="AM10407" s="10"/>
      <c r="AN10407" s="10"/>
      <c r="AO10407" s="10"/>
      <c r="AP10407" s="10"/>
      <c r="AQ10407" s="10"/>
      <c r="AR10407" s="10"/>
      <c r="AS10407" s="10"/>
      <c r="AT10407" s="10"/>
      <c r="AU10407" s="10"/>
      <c r="AV10407" s="10"/>
      <c r="AW10407" s="10"/>
      <c r="AX10407" s="10"/>
      <c r="AY10407" s="10"/>
      <c r="AZ10407" s="10"/>
    </row>
    <row r="10408" spans="31:52">
      <c r="AE10408" s="10"/>
      <c r="AF10408" s="10"/>
      <c r="AG10408" s="10"/>
      <c r="AH10408" s="10"/>
      <c r="AI10408" s="10"/>
      <c r="AJ10408" s="10"/>
      <c r="AK10408" s="10"/>
      <c r="AL10408" s="10"/>
      <c r="AM10408" s="10"/>
      <c r="AN10408" s="10"/>
      <c r="AO10408" s="10"/>
      <c r="AP10408" s="10"/>
      <c r="AQ10408" s="10"/>
      <c r="AR10408" s="10"/>
      <c r="AS10408" s="10"/>
      <c r="AT10408" s="10"/>
      <c r="AU10408" s="10"/>
      <c r="AV10408" s="10"/>
      <c r="AW10408" s="10"/>
      <c r="AX10408" s="10"/>
      <c r="AY10408" s="10"/>
      <c r="AZ10408" s="10"/>
    </row>
    <row r="10409" spans="31:52">
      <c r="AE10409" s="10"/>
      <c r="AF10409" s="10"/>
      <c r="AG10409" s="10"/>
      <c r="AH10409" s="10"/>
      <c r="AI10409" s="10"/>
      <c r="AJ10409" s="10"/>
      <c r="AK10409" s="10"/>
      <c r="AL10409" s="10"/>
      <c r="AM10409" s="10"/>
      <c r="AN10409" s="10"/>
      <c r="AO10409" s="10"/>
      <c r="AP10409" s="10"/>
      <c r="AQ10409" s="10"/>
      <c r="AR10409" s="10"/>
      <c r="AS10409" s="10"/>
      <c r="AT10409" s="10"/>
      <c r="AU10409" s="10"/>
      <c r="AV10409" s="10"/>
      <c r="AW10409" s="10"/>
      <c r="AX10409" s="10"/>
      <c r="AY10409" s="10"/>
      <c r="AZ10409" s="10"/>
    </row>
    <row r="10410" spans="31:52">
      <c r="AE10410" s="10"/>
      <c r="AF10410" s="10"/>
      <c r="AG10410" s="10"/>
      <c r="AH10410" s="10"/>
      <c r="AI10410" s="10"/>
      <c r="AJ10410" s="10"/>
      <c r="AK10410" s="10"/>
      <c r="AL10410" s="10"/>
      <c r="AM10410" s="10"/>
      <c r="AN10410" s="10"/>
      <c r="AO10410" s="10"/>
      <c r="AP10410" s="10"/>
      <c r="AQ10410" s="10"/>
      <c r="AR10410" s="10"/>
      <c r="AS10410" s="10"/>
      <c r="AT10410" s="10"/>
      <c r="AU10410" s="10"/>
      <c r="AV10410" s="10"/>
      <c r="AW10410" s="10"/>
      <c r="AX10410" s="10"/>
      <c r="AY10410" s="10"/>
      <c r="AZ10410" s="10"/>
    </row>
    <row r="10411" spans="31:52">
      <c r="AE10411" s="10"/>
      <c r="AF10411" s="10"/>
      <c r="AG10411" s="10"/>
      <c r="AH10411" s="10"/>
      <c r="AI10411" s="10"/>
      <c r="AJ10411" s="10"/>
      <c r="AK10411" s="10"/>
      <c r="AL10411" s="10"/>
      <c r="AM10411" s="10"/>
      <c r="AN10411" s="10"/>
      <c r="AO10411" s="10"/>
      <c r="AP10411" s="10"/>
      <c r="AQ10411" s="10"/>
      <c r="AR10411" s="10"/>
      <c r="AS10411" s="10"/>
      <c r="AT10411" s="10"/>
      <c r="AU10411" s="10"/>
      <c r="AV10411" s="10"/>
      <c r="AW10411" s="10"/>
      <c r="AX10411" s="10"/>
      <c r="AY10411" s="10"/>
      <c r="AZ10411" s="10"/>
    </row>
    <row r="10412" spans="31:52">
      <c r="AE10412" s="10"/>
      <c r="AF10412" s="10"/>
      <c r="AG10412" s="10"/>
      <c r="AH10412" s="10"/>
      <c r="AI10412" s="10"/>
      <c r="AJ10412" s="10"/>
      <c r="AK10412" s="10"/>
      <c r="AL10412" s="10"/>
      <c r="AM10412" s="10"/>
      <c r="AN10412" s="10"/>
      <c r="AO10412" s="10"/>
      <c r="AP10412" s="10"/>
      <c r="AQ10412" s="10"/>
      <c r="AR10412" s="10"/>
      <c r="AS10412" s="10"/>
      <c r="AT10412" s="10"/>
      <c r="AU10412" s="10"/>
      <c r="AV10412" s="10"/>
      <c r="AW10412" s="10"/>
      <c r="AX10412" s="10"/>
      <c r="AY10412" s="10"/>
      <c r="AZ10412" s="10"/>
    </row>
    <row r="10413" spans="31:52">
      <c r="AE10413" s="10"/>
      <c r="AF10413" s="10"/>
      <c r="AG10413" s="10"/>
      <c r="AH10413" s="10"/>
      <c r="AI10413" s="10"/>
      <c r="AJ10413" s="10"/>
      <c r="AK10413" s="10"/>
      <c r="AL10413" s="10"/>
      <c r="AM10413" s="10"/>
      <c r="AN10413" s="10"/>
      <c r="AO10413" s="10"/>
      <c r="AP10413" s="10"/>
      <c r="AQ10413" s="10"/>
      <c r="AR10413" s="10"/>
      <c r="AS10413" s="10"/>
      <c r="AT10413" s="10"/>
      <c r="AU10413" s="10"/>
      <c r="AV10413" s="10"/>
      <c r="AW10413" s="10"/>
      <c r="AX10413" s="10"/>
      <c r="AY10413" s="10"/>
      <c r="AZ10413" s="10"/>
    </row>
    <row r="10414" spans="31:52">
      <c r="AE10414" s="10"/>
      <c r="AF10414" s="10"/>
      <c r="AG10414" s="10"/>
      <c r="AH10414" s="10"/>
      <c r="AI10414" s="10"/>
      <c r="AJ10414" s="10"/>
      <c r="AK10414" s="10"/>
      <c r="AL10414" s="10"/>
      <c r="AM10414" s="10"/>
      <c r="AN10414" s="10"/>
      <c r="AO10414" s="10"/>
      <c r="AP10414" s="10"/>
      <c r="AQ10414" s="10"/>
      <c r="AR10414" s="10"/>
      <c r="AS10414" s="10"/>
      <c r="AT10414" s="10"/>
      <c r="AU10414" s="10"/>
      <c r="AV10414" s="10"/>
      <c r="AW10414" s="10"/>
      <c r="AX10414" s="10"/>
      <c r="AY10414" s="10"/>
      <c r="AZ10414" s="10"/>
    </row>
    <row r="10415" spans="31:52">
      <c r="AE10415" s="10"/>
      <c r="AF10415" s="10"/>
      <c r="AG10415" s="10"/>
      <c r="AH10415" s="10"/>
      <c r="AI10415" s="10"/>
      <c r="AJ10415" s="10"/>
      <c r="AK10415" s="10"/>
      <c r="AL10415" s="10"/>
      <c r="AM10415" s="10"/>
      <c r="AN10415" s="10"/>
      <c r="AO10415" s="10"/>
      <c r="AP10415" s="10"/>
      <c r="AQ10415" s="10"/>
      <c r="AR10415" s="10"/>
      <c r="AS10415" s="10"/>
      <c r="AT10415" s="10"/>
      <c r="AU10415" s="10"/>
      <c r="AV10415" s="10"/>
      <c r="AW10415" s="10"/>
      <c r="AX10415" s="10"/>
      <c r="AY10415" s="10"/>
      <c r="AZ10415" s="10"/>
    </row>
    <row r="10416" spans="31:52">
      <c r="AE10416" s="10"/>
      <c r="AF10416" s="10"/>
      <c r="AG10416" s="10"/>
      <c r="AH10416" s="10"/>
      <c r="AI10416" s="10"/>
      <c r="AJ10416" s="10"/>
      <c r="AK10416" s="10"/>
      <c r="AL10416" s="10"/>
      <c r="AM10416" s="10"/>
      <c r="AN10416" s="10"/>
      <c r="AO10416" s="10"/>
      <c r="AP10416" s="10"/>
      <c r="AQ10416" s="10"/>
      <c r="AR10416" s="10"/>
      <c r="AS10416" s="10"/>
      <c r="AT10416" s="10"/>
      <c r="AU10416" s="10"/>
      <c r="AV10416" s="10"/>
      <c r="AW10416" s="10"/>
      <c r="AX10416" s="10"/>
      <c r="AY10416" s="10"/>
      <c r="AZ10416" s="10"/>
    </row>
    <row r="10417" spans="31:52">
      <c r="AE10417" s="10"/>
      <c r="AF10417" s="10"/>
      <c r="AG10417" s="10"/>
      <c r="AH10417" s="10"/>
      <c r="AI10417" s="10"/>
      <c r="AJ10417" s="10"/>
      <c r="AK10417" s="10"/>
      <c r="AL10417" s="10"/>
      <c r="AM10417" s="10"/>
      <c r="AN10417" s="10"/>
      <c r="AO10417" s="10"/>
      <c r="AP10417" s="10"/>
      <c r="AQ10417" s="10"/>
      <c r="AR10417" s="10"/>
      <c r="AS10417" s="10"/>
      <c r="AT10417" s="10"/>
      <c r="AU10417" s="10"/>
      <c r="AV10417" s="10"/>
      <c r="AW10417" s="10"/>
      <c r="AX10417" s="10"/>
      <c r="AY10417" s="10"/>
      <c r="AZ10417" s="10"/>
    </row>
    <row r="10418" spans="31:52">
      <c r="AE10418" s="10"/>
      <c r="AF10418" s="10"/>
      <c r="AG10418" s="10"/>
      <c r="AH10418" s="10"/>
      <c r="AI10418" s="10"/>
      <c r="AJ10418" s="10"/>
      <c r="AK10418" s="10"/>
      <c r="AL10418" s="10"/>
      <c r="AM10418" s="10"/>
      <c r="AN10418" s="10"/>
      <c r="AO10418" s="10"/>
      <c r="AP10418" s="10"/>
      <c r="AQ10418" s="10"/>
      <c r="AR10418" s="10"/>
      <c r="AS10418" s="10"/>
      <c r="AT10418" s="10"/>
      <c r="AU10418" s="10"/>
      <c r="AV10418" s="10"/>
      <c r="AW10418" s="10"/>
      <c r="AX10418" s="10"/>
      <c r="AY10418" s="10"/>
      <c r="AZ10418" s="10"/>
    </row>
    <row r="10419" spans="31:52">
      <c r="AE10419" s="10"/>
      <c r="AF10419" s="10"/>
      <c r="AG10419" s="10"/>
      <c r="AH10419" s="10"/>
      <c r="AI10419" s="10"/>
      <c r="AJ10419" s="10"/>
      <c r="AK10419" s="10"/>
      <c r="AL10419" s="10"/>
      <c r="AM10419" s="10"/>
      <c r="AN10419" s="10"/>
      <c r="AO10419" s="10"/>
      <c r="AP10419" s="10"/>
      <c r="AQ10419" s="10"/>
      <c r="AR10419" s="10"/>
      <c r="AS10419" s="10"/>
      <c r="AT10419" s="10"/>
      <c r="AU10419" s="10"/>
      <c r="AV10419" s="10"/>
      <c r="AW10419" s="10"/>
      <c r="AX10419" s="10"/>
      <c r="AY10419" s="10"/>
      <c r="AZ10419" s="10"/>
    </row>
    <row r="10420" spans="31:52">
      <c r="AE10420" s="10"/>
      <c r="AF10420" s="10"/>
      <c r="AG10420" s="10"/>
      <c r="AH10420" s="10"/>
      <c r="AI10420" s="10"/>
      <c r="AJ10420" s="10"/>
      <c r="AK10420" s="10"/>
      <c r="AL10420" s="10"/>
      <c r="AM10420" s="10"/>
      <c r="AN10420" s="10"/>
      <c r="AO10420" s="10"/>
      <c r="AP10420" s="10"/>
      <c r="AQ10420" s="10"/>
      <c r="AR10420" s="10"/>
      <c r="AS10420" s="10"/>
      <c r="AT10420" s="10"/>
      <c r="AU10420" s="10"/>
      <c r="AV10420" s="10"/>
      <c r="AW10420" s="10"/>
      <c r="AX10420" s="10"/>
      <c r="AY10420" s="10"/>
      <c r="AZ10420" s="10"/>
    </row>
    <row r="10421" spans="31:52">
      <c r="AE10421" s="10"/>
      <c r="AF10421" s="10"/>
      <c r="AG10421" s="10"/>
      <c r="AH10421" s="10"/>
      <c r="AI10421" s="10"/>
      <c r="AJ10421" s="10"/>
      <c r="AK10421" s="10"/>
      <c r="AL10421" s="10"/>
      <c r="AM10421" s="10"/>
      <c r="AN10421" s="10"/>
      <c r="AO10421" s="10"/>
      <c r="AP10421" s="10"/>
      <c r="AQ10421" s="10"/>
      <c r="AR10421" s="10"/>
      <c r="AS10421" s="10"/>
      <c r="AT10421" s="10"/>
      <c r="AU10421" s="10"/>
      <c r="AV10421" s="10"/>
      <c r="AW10421" s="10"/>
      <c r="AX10421" s="10"/>
      <c r="AY10421" s="10"/>
      <c r="AZ10421" s="10"/>
    </row>
    <row r="10422" spans="31:52">
      <c r="AE10422" s="10"/>
      <c r="AF10422" s="10"/>
      <c r="AG10422" s="10"/>
      <c r="AH10422" s="10"/>
      <c r="AI10422" s="10"/>
      <c r="AJ10422" s="10"/>
      <c r="AK10422" s="10"/>
      <c r="AL10422" s="10"/>
      <c r="AM10422" s="10"/>
      <c r="AN10422" s="10"/>
      <c r="AO10422" s="10"/>
      <c r="AP10422" s="10"/>
      <c r="AQ10422" s="10"/>
      <c r="AR10422" s="10"/>
      <c r="AS10422" s="10"/>
      <c r="AT10422" s="10"/>
      <c r="AU10422" s="10"/>
      <c r="AV10422" s="10"/>
      <c r="AW10422" s="10"/>
      <c r="AX10422" s="10"/>
      <c r="AY10422" s="10"/>
      <c r="AZ10422" s="10"/>
    </row>
    <row r="10423" spans="31:52">
      <c r="AE10423" s="10"/>
      <c r="AF10423" s="10"/>
      <c r="AG10423" s="10"/>
      <c r="AH10423" s="10"/>
      <c r="AI10423" s="10"/>
      <c r="AJ10423" s="10"/>
      <c r="AK10423" s="10"/>
      <c r="AL10423" s="10"/>
      <c r="AM10423" s="10"/>
      <c r="AN10423" s="10"/>
      <c r="AO10423" s="10"/>
      <c r="AP10423" s="10"/>
      <c r="AQ10423" s="10"/>
      <c r="AR10423" s="10"/>
      <c r="AS10423" s="10"/>
      <c r="AT10423" s="10"/>
      <c r="AU10423" s="10"/>
      <c r="AV10423" s="10"/>
      <c r="AW10423" s="10"/>
      <c r="AX10423" s="10"/>
      <c r="AY10423" s="10"/>
      <c r="AZ10423" s="10"/>
    </row>
    <row r="10424" spans="31:52">
      <c r="AE10424" s="10"/>
      <c r="AF10424" s="10"/>
      <c r="AG10424" s="10"/>
      <c r="AH10424" s="10"/>
      <c r="AI10424" s="10"/>
      <c r="AJ10424" s="10"/>
      <c r="AK10424" s="10"/>
      <c r="AL10424" s="10"/>
      <c r="AM10424" s="10"/>
      <c r="AN10424" s="10"/>
      <c r="AO10424" s="10"/>
      <c r="AP10424" s="10"/>
      <c r="AQ10424" s="10"/>
      <c r="AR10424" s="10"/>
      <c r="AS10424" s="10"/>
      <c r="AT10424" s="10"/>
      <c r="AU10424" s="10"/>
      <c r="AV10424" s="10"/>
      <c r="AW10424" s="10"/>
      <c r="AX10424" s="10"/>
      <c r="AY10424" s="10"/>
      <c r="AZ10424" s="10"/>
    </row>
    <row r="10425" spans="31:52">
      <c r="AE10425" s="10"/>
      <c r="AF10425" s="10"/>
      <c r="AG10425" s="10"/>
      <c r="AH10425" s="10"/>
      <c r="AI10425" s="10"/>
      <c r="AJ10425" s="10"/>
      <c r="AK10425" s="10"/>
      <c r="AL10425" s="10"/>
      <c r="AM10425" s="10"/>
      <c r="AN10425" s="10"/>
      <c r="AO10425" s="10"/>
      <c r="AP10425" s="10"/>
      <c r="AQ10425" s="10"/>
      <c r="AR10425" s="10"/>
      <c r="AS10425" s="10"/>
      <c r="AT10425" s="10"/>
      <c r="AU10425" s="10"/>
      <c r="AV10425" s="10"/>
      <c r="AW10425" s="10"/>
      <c r="AX10425" s="10"/>
      <c r="AY10425" s="10"/>
      <c r="AZ10425" s="10"/>
    </row>
    <row r="10426" spans="31:52">
      <c r="AE10426" s="10"/>
      <c r="AF10426" s="10"/>
      <c r="AG10426" s="10"/>
      <c r="AH10426" s="10"/>
      <c r="AI10426" s="10"/>
      <c r="AJ10426" s="10"/>
      <c r="AK10426" s="10"/>
      <c r="AL10426" s="10"/>
      <c r="AM10426" s="10"/>
      <c r="AN10426" s="10"/>
      <c r="AO10426" s="10"/>
      <c r="AP10426" s="10"/>
      <c r="AQ10426" s="10"/>
      <c r="AR10426" s="10"/>
      <c r="AS10426" s="10"/>
      <c r="AT10426" s="10"/>
      <c r="AU10426" s="10"/>
      <c r="AV10426" s="10"/>
      <c r="AW10426" s="10"/>
      <c r="AX10426" s="10"/>
      <c r="AY10426" s="10"/>
      <c r="AZ10426" s="10"/>
    </row>
    <row r="10427" spans="31:52">
      <c r="AE10427" s="10"/>
      <c r="AF10427" s="10"/>
      <c r="AG10427" s="10"/>
      <c r="AH10427" s="10"/>
      <c r="AI10427" s="10"/>
      <c r="AJ10427" s="10"/>
      <c r="AK10427" s="10"/>
      <c r="AL10427" s="10"/>
      <c r="AM10427" s="10"/>
      <c r="AN10427" s="10"/>
      <c r="AO10427" s="10"/>
      <c r="AP10427" s="10"/>
      <c r="AQ10427" s="10"/>
      <c r="AR10427" s="10"/>
      <c r="AS10427" s="10"/>
      <c r="AT10427" s="10"/>
      <c r="AU10427" s="10"/>
      <c r="AV10427" s="10"/>
      <c r="AW10427" s="10"/>
      <c r="AX10427" s="10"/>
      <c r="AY10427" s="10"/>
      <c r="AZ10427" s="10"/>
    </row>
    <row r="10428" spans="31:52">
      <c r="AE10428" s="10"/>
      <c r="AF10428" s="10"/>
      <c r="AG10428" s="10"/>
      <c r="AH10428" s="10"/>
      <c r="AI10428" s="10"/>
      <c r="AJ10428" s="10"/>
      <c r="AK10428" s="10"/>
      <c r="AL10428" s="10"/>
      <c r="AM10428" s="10"/>
      <c r="AN10428" s="10"/>
      <c r="AO10428" s="10"/>
      <c r="AP10428" s="10"/>
      <c r="AQ10428" s="10"/>
      <c r="AR10428" s="10"/>
      <c r="AS10428" s="10"/>
      <c r="AT10428" s="10"/>
      <c r="AU10428" s="10"/>
      <c r="AV10428" s="10"/>
      <c r="AW10428" s="10"/>
      <c r="AX10428" s="10"/>
      <c r="AY10428" s="10"/>
      <c r="AZ10428" s="10"/>
    </row>
    <row r="10429" spans="31:52">
      <c r="AE10429" s="10"/>
      <c r="AF10429" s="10"/>
      <c r="AG10429" s="10"/>
      <c r="AH10429" s="10"/>
      <c r="AI10429" s="10"/>
      <c r="AJ10429" s="10"/>
      <c r="AK10429" s="10"/>
      <c r="AL10429" s="10"/>
      <c r="AM10429" s="10"/>
      <c r="AN10429" s="10"/>
      <c r="AO10429" s="10"/>
      <c r="AP10429" s="10"/>
      <c r="AQ10429" s="10"/>
      <c r="AR10429" s="10"/>
      <c r="AS10429" s="10"/>
      <c r="AT10429" s="10"/>
      <c r="AU10429" s="10"/>
      <c r="AV10429" s="10"/>
      <c r="AW10429" s="10"/>
      <c r="AX10429" s="10"/>
      <c r="AY10429" s="10"/>
      <c r="AZ10429" s="10"/>
    </row>
    <row r="10430" spans="31:52">
      <c r="AE10430" s="10"/>
      <c r="AF10430" s="10"/>
      <c r="AG10430" s="10"/>
      <c r="AH10430" s="10"/>
      <c r="AI10430" s="10"/>
      <c r="AJ10430" s="10"/>
      <c r="AK10430" s="10"/>
      <c r="AL10430" s="10"/>
      <c r="AM10430" s="10"/>
      <c r="AN10430" s="10"/>
      <c r="AO10430" s="10"/>
      <c r="AP10430" s="10"/>
      <c r="AQ10430" s="10"/>
      <c r="AR10430" s="10"/>
      <c r="AS10430" s="10"/>
      <c r="AT10430" s="10"/>
      <c r="AU10430" s="10"/>
      <c r="AV10430" s="10"/>
      <c r="AW10430" s="10"/>
      <c r="AX10430" s="10"/>
      <c r="AY10430" s="10"/>
      <c r="AZ10430" s="10"/>
    </row>
    <row r="10431" spans="31:52">
      <c r="AE10431" s="10"/>
      <c r="AF10431" s="10"/>
      <c r="AG10431" s="10"/>
      <c r="AH10431" s="10"/>
      <c r="AI10431" s="10"/>
      <c r="AJ10431" s="10"/>
      <c r="AK10431" s="10"/>
      <c r="AL10431" s="10"/>
      <c r="AM10431" s="10"/>
      <c r="AN10431" s="10"/>
      <c r="AO10431" s="10"/>
      <c r="AP10431" s="10"/>
      <c r="AQ10431" s="10"/>
      <c r="AR10431" s="10"/>
      <c r="AS10431" s="10"/>
      <c r="AT10431" s="10"/>
      <c r="AU10431" s="10"/>
      <c r="AV10431" s="10"/>
      <c r="AW10431" s="10"/>
      <c r="AX10431" s="10"/>
      <c r="AY10431" s="10"/>
      <c r="AZ10431" s="10"/>
    </row>
    <row r="10432" spans="31:52">
      <c r="AE10432" s="10"/>
      <c r="AF10432" s="10"/>
      <c r="AG10432" s="10"/>
      <c r="AH10432" s="10"/>
      <c r="AI10432" s="10"/>
      <c r="AJ10432" s="10"/>
      <c r="AK10432" s="10"/>
      <c r="AL10432" s="10"/>
      <c r="AM10432" s="10"/>
      <c r="AN10432" s="10"/>
      <c r="AO10432" s="10"/>
      <c r="AP10432" s="10"/>
      <c r="AQ10432" s="10"/>
      <c r="AR10432" s="10"/>
      <c r="AS10432" s="10"/>
      <c r="AT10432" s="10"/>
      <c r="AU10432" s="10"/>
      <c r="AV10432" s="10"/>
      <c r="AW10432" s="10"/>
      <c r="AX10432" s="10"/>
      <c r="AY10432" s="10"/>
      <c r="AZ10432" s="10"/>
    </row>
    <row r="10433" spans="31:52">
      <c r="AE10433" s="10"/>
      <c r="AF10433" s="10"/>
      <c r="AG10433" s="10"/>
      <c r="AH10433" s="10"/>
      <c r="AI10433" s="10"/>
      <c r="AJ10433" s="10"/>
      <c r="AK10433" s="10"/>
      <c r="AL10433" s="10"/>
      <c r="AM10433" s="10"/>
      <c r="AN10433" s="10"/>
      <c r="AO10433" s="10"/>
      <c r="AP10433" s="10"/>
      <c r="AQ10433" s="10"/>
      <c r="AR10433" s="10"/>
      <c r="AS10433" s="10"/>
      <c r="AT10433" s="10"/>
      <c r="AU10433" s="10"/>
      <c r="AV10433" s="10"/>
      <c r="AW10433" s="10"/>
      <c r="AX10433" s="10"/>
      <c r="AY10433" s="10"/>
      <c r="AZ10433" s="10"/>
    </row>
    <row r="10434" spans="31:52">
      <c r="AE10434" s="10"/>
      <c r="AF10434" s="10"/>
      <c r="AG10434" s="10"/>
      <c r="AH10434" s="10"/>
      <c r="AI10434" s="10"/>
      <c r="AJ10434" s="10"/>
      <c r="AK10434" s="10"/>
      <c r="AL10434" s="10"/>
      <c r="AM10434" s="10"/>
      <c r="AN10434" s="10"/>
      <c r="AO10434" s="10"/>
      <c r="AP10434" s="10"/>
      <c r="AQ10434" s="10"/>
      <c r="AR10434" s="10"/>
      <c r="AS10434" s="10"/>
      <c r="AT10434" s="10"/>
      <c r="AU10434" s="10"/>
      <c r="AV10434" s="10"/>
      <c r="AW10434" s="10"/>
      <c r="AX10434" s="10"/>
      <c r="AY10434" s="10"/>
      <c r="AZ10434" s="10"/>
    </row>
    <row r="10435" spans="31:52">
      <c r="AE10435" s="10"/>
      <c r="AF10435" s="10"/>
      <c r="AG10435" s="10"/>
      <c r="AH10435" s="10"/>
      <c r="AI10435" s="10"/>
      <c r="AJ10435" s="10"/>
      <c r="AK10435" s="10"/>
      <c r="AL10435" s="10"/>
      <c r="AM10435" s="10"/>
      <c r="AN10435" s="10"/>
      <c r="AO10435" s="10"/>
      <c r="AP10435" s="10"/>
      <c r="AQ10435" s="10"/>
      <c r="AR10435" s="10"/>
      <c r="AS10435" s="10"/>
      <c r="AT10435" s="10"/>
      <c r="AU10435" s="10"/>
      <c r="AV10435" s="10"/>
      <c r="AW10435" s="10"/>
      <c r="AX10435" s="10"/>
      <c r="AY10435" s="10"/>
      <c r="AZ10435" s="10"/>
    </row>
    <row r="10436" spans="31:52">
      <c r="AE10436" s="10"/>
      <c r="AF10436" s="10"/>
      <c r="AG10436" s="10"/>
      <c r="AH10436" s="10"/>
      <c r="AI10436" s="10"/>
      <c r="AJ10436" s="10"/>
      <c r="AK10436" s="10"/>
      <c r="AL10436" s="10"/>
      <c r="AM10436" s="10"/>
      <c r="AN10436" s="10"/>
      <c r="AO10436" s="10"/>
      <c r="AP10436" s="10"/>
      <c r="AQ10436" s="10"/>
      <c r="AR10436" s="10"/>
      <c r="AS10436" s="10"/>
      <c r="AT10436" s="10"/>
      <c r="AU10436" s="10"/>
      <c r="AV10436" s="10"/>
      <c r="AW10436" s="10"/>
      <c r="AX10436" s="10"/>
      <c r="AY10436" s="10"/>
      <c r="AZ10436" s="10"/>
    </row>
    <row r="10437" spans="31:52">
      <c r="AE10437" s="10"/>
      <c r="AF10437" s="10"/>
      <c r="AG10437" s="10"/>
      <c r="AH10437" s="10"/>
      <c r="AI10437" s="10"/>
      <c r="AJ10437" s="10"/>
      <c r="AK10437" s="10"/>
      <c r="AL10437" s="10"/>
      <c r="AM10437" s="10"/>
      <c r="AN10437" s="10"/>
      <c r="AO10437" s="10"/>
      <c r="AP10437" s="10"/>
      <c r="AQ10437" s="10"/>
      <c r="AR10437" s="10"/>
      <c r="AS10437" s="10"/>
      <c r="AT10437" s="10"/>
      <c r="AU10437" s="10"/>
      <c r="AV10437" s="10"/>
      <c r="AW10437" s="10"/>
      <c r="AX10437" s="10"/>
      <c r="AY10437" s="10"/>
      <c r="AZ10437" s="10"/>
    </row>
    <row r="10438" spans="31:52">
      <c r="AE10438" s="10"/>
      <c r="AF10438" s="10"/>
      <c r="AG10438" s="10"/>
      <c r="AH10438" s="10"/>
      <c r="AI10438" s="10"/>
      <c r="AJ10438" s="10"/>
      <c r="AK10438" s="10"/>
      <c r="AL10438" s="10"/>
      <c r="AM10438" s="10"/>
      <c r="AN10438" s="10"/>
      <c r="AO10438" s="10"/>
      <c r="AP10438" s="10"/>
      <c r="AQ10438" s="10"/>
      <c r="AR10438" s="10"/>
      <c r="AS10438" s="10"/>
      <c r="AT10438" s="10"/>
      <c r="AU10438" s="10"/>
      <c r="AV10438" s="10"/>
      <c r="AW10438" s="10"/>
      <c r="AX10438" s="10"/>
      <c r="AY10438" s="10"/>
      <c r="AZ10438" s="10"/>
    </row>
    <row r="10439" spans="31:52">
      <c r="AE10439" s="10"/>
      <c r="AF10439" s="10"/>
      <c r="AG10439" s="10"/>
      <c r="AH10439" s="10"/>
      <c r="AI10439" s="10"/>
      <c r="AJ10439" s="10"/>
      <c r="AK10439" s="10"/>
      <c r="AL10439" s="10"/>
      <c r="AM10439" s="10"/>
      <c r="AN10439" s="10"/>
      <c r="AO10439" s="10"/>
      <c r="AP10439" s="10"/>
      <c r="AQ10439" s="10"/>
      <c r="AR10439" s="10"/>
      <c r="AS10439" s="10"/>
      <c r="AT10439" s="10"/>
      <c r="AU10439" s="10"/>
      <c r="AV10439" s="10"/>
      <c r="AW10439" s="10"/>
      <c r="AX10439" s="10"/>
      <c r="AY10439" s="10"/>
      <c r="AZ10439" s="10"/>
    </row>
    <row r="10440" spans="31:52">
      <c r="AE10440" s="10"/>
      <c r="AF10440" s="10"/>
      <c r="AG10440" s="10"/>
      <c r="AH10440" s="10"/>
      <c r="AI10440" s="10"/>
      <c r="AJ10440" s="10"/>
      <c r="AK10440" s="10"/>
      <c r="AL10440" s="10"/>
      <c r="AM10440" s="10"/>
      <c r="AN10440" s="10"/>
      <c r="AO10440" s="10"/>
      <c r="AP10440" s="10"/>
      <c r="AQ10440" s="10"/>
      <c r="AR10440" s="10"/>
      <c r="AS10440" s="10"/>
      <c r="AT10440" s="10"/>
      <c r="AU10440" s="10"/>
      <c r="AV10440" s="10"/>
      <c r="AW10440" s="10"/>
      <c r="AX10440" s="10"/>
      <c r="AY10440" s="10"/>
      <c r="AZ10440" s="10"/>
    </row>
    <row r="10441" spans="31:52">
      <c r="AE10441" s="10"/>
      <c r="AF10441" s="10"/>
      <c r="AG10441" s="10"/>
      <c r="AH10441" s="10"/>
      <c r="AI10441" s="10"/>
      <c r="AJ10441" s="10"/>
      <c r="AK10441" s="10"/>
      <c r="AL10441" s="10"/>
      <c r="AM10441" s="10"/>
      <c r="AN10441" s="10"/>
      <c r="AO10441" s="10"/>
      <c r="AP10441" s="10"/>
      <c r="AQ10441" s="10"/>
      <c r="AR10441" s="10"/>
      <c r="AS10441" s="10"/>
      <c r="AT10441" s="10"/>
      <c r="AU10441" s="10"/>
      <c r="AV10441" s="10"/>
      <c r="AW10441" s="10"/>
      <c r="AX10441" s="10"/>
      <c r="AY10441" s="10"/>
      <c r="AZ10441" s="10"/>
    </row>
    <row r="10442" spans="31:52">
      <c r="AE10442" s="10"/>
      <c r="AF10442" s="10"/>
      <c r="AG10442" s="10"/>
      <c r="AH10442" s="10"/>
      <c r="AI10442" s="10"/>
      <c r="AJ10442" s="10"/>
      <c r="AK10442" s="10"/>
      <c r="AL10442" s="10"/>
      <c r="AM10442" s="10"/>
      <c r="AN10442" s="10"/>
      <c r="AO10442" s="10"/>
      <c r="AP10442" s="10"/>
      <c r="AQ10442" s="10"/>
      <c r="AR10442" s="10"/>
      <c r="AS10442" s="10"/>
      <c r="AT10442" s="10"/>
      <c r="AU10442" s="10"/>
      <c r="AV10442" s="10"/>
      <c r="AW10442" s="10"/>
      <c r="AX10442" s="10"/>
      <c r="AY10442" s="10"/>
      <c r="AZ10442" s="10"/>
    </row>
    <row r="10443" spans="31:52">
      <c r="AE10443" s="10"/>
      <c r="AF10443" s="10"/>
      <c r="AG10443" s="10"/>
      <c r="AH10443" s="10"/>
      <c r="AI10443" s="10"/>
      <c r="AJ10443" s="10"/>
      <c r="AK10443" s="10"/>
      <c r="AL10443" s="10"/>
      <c r="AM10443" s="10"/>
      <c r="AN10443" s="10"/>
      <c r="AO10443" s="10"/>
      <c r="AP10443" s="10"/>
      <c r="AQ10443" s="10"/>
      <c r="AR10443" s="10"/>
      <c r="AS10443" s="10"/>
      <c r="AT10443" s="10"/>
      <c r="AU10443" s="10"/>
      <c r="AV10443" s="10"/>
      <c r="AW10443" s="10"/>
      <c r="AX10443" s="10"/>
      <c r="AY10443" s="10"/>
      <c r="AZ10443" s="10"/>
    </row>
    <row r="10444" spans="31:52">
      <c r="AE10444" s="10"/>
      <c r="AF10444" s="10"/>
      <c r="AG10444" s="10"/>
      <c r="AH10444" s="10"/>
      <c r="AI10444" s="10"/>
      <c r="AJ10444" s="10"/>
      <c r="AK10444" s="10"/>
      <c r="AL10444" s="10"/>
      <c r="AM10444" s="10"/>
      <c r="AN10444" s="10"/>
      <c r="AO10444" s="10"/>
      <c r="AP10444" s="10"/>
      <c r="AQ10444" s="10"/>
      <c r="AR10444" s="10"/>
      <c r="AS10444" s="10"/>
      <c r="AT10444" s="10"/>
      <c r="AU10444" s="10"/>
      <c r="AV10444" s="10"/>
      <c r="AW10444" s="10"/>
      <c r="AX10444" s="10"/>
      <c r="AY10444" s="10"/>
      <c r="AZ10444" s="10"/>
    </row>
    <row r="10445" spans="31:52">
      <c r="AE10445" s="10"/>
      <c r="AF10445" s="10"/>
      <c r="AG10445" s="10"/>
      <c r="AH10445" s="10"/>
      <c r="AI10445" s="10"/>
      <c r="AJ10445" s="10"/>
      <c r="AK10445" s="10"/>
      <c r="AL10445" s="10"/>
      <c r="AM10445" s="10"/>
      <c r="AN10445" s="10"/>
      <c r="AO10445" s="10"/>
      <c r="AP10445" s="10"/>
      <c r="AQ10445" s="10"/>
      <c r="AR10445" s="10"/>
      <c r="AS10445" s="10"/>
      <c r="AT10445" s="10"/>
      <c r="AU10445" s="10"/>
      <c r="AV10445" s="10"/>
      <c r="AW10445" s="10"/>
      <c r="AX10445" s="10"/>
      <c r="AY10445" s="10"/>
      <c r="AZ10445" s="10"/>
    </row>
    <row r="10446" spans="31:52">
      <c r="AE10446" s="10"/>
      <c r="AF10446" s="10"/>
      <c r="AG10446" s="10"/>
      <c r="AH10446" s="10"/>
      <c r="AI10446" s="10"/>
      <c r="AJ10446" s="10"/>
      <c r="AK10446" s="10"/>
      <c r="AL10446" s="10"/>
      <c r="AM10446" s="10"/>
      <c r="AN10446" s="10"/>
      <c r="AO10446" s="10"/>
      <c r="AP10446" s="10"/>
      <c r="AQ10446" s="10"/>
      <c r="AR10446" s="10"/>
      <c r="AS10446" s="10"/>
      <c r="AT10446" s="10"/>
      <c r="AU10446" s="10"/>
      <c r="AV10446" s="10"/>
      <c r="AW10446" s="10"/>
      <c r="AX10446" s="10"/>
      <c r="AY10446" s="10"/>
      <c r="AZ10446" s="10"/>
    </row>
    <row r="10447" spans="31:52">
      <c r="AE10447" s="10"/>
      <c r="AF10447" s="10"/>
      <c r="AG10447" s="10"/>
      <c r="AH10447" s="10"/>
      <c r="AI10447" s="10"/>
      <c r="AJ10447" s="10"/>
      <c r="AK10447" s="10"/>
      <c r="AL10447" s="10"/>
      <c r="AM10447" s="10"/>
      <c r="AN10447" s="10"/>
      <c r="AO10447" s="10"/>
      <c r="AP10447" s="10"/>
      <c r="AQ10447" s="10"/>
      <c r="AR10447" s="10"/>
      <c r="AS10447" s="10"/>
      <c r="AT10447" s="10"/>
      <c r="AU10447" s="10"/>
      <c r="AV10447" s="10"/>
      <c r="AW10447" s="10"/>
      <c r="AX10447" s="10"/>
      <c r="AY10447" s="10"/>
      <c r="AZ10447" s="10"/>
    </row>
    <row r="10448" spans="31:52">
      <c r="AE10448" s="10"/>
      <c r="AF10448" s="10"/>
      <c r="AG10448" s="10"/>
      <c r="AH10448" s="10"/>
      <c r="AI10448" s="10"/>
      <c r="AJ10448" s="10"/>
      <c r="AK10448" s="10"/>
      <c r="AL10448" s="10"/>
      <c r="AM10448" s="10"/>
      <c r="AN10448" s="10"/>
      <c r="AO10448" s="10"/>
      <c r="AP10448" s="10"/>
      <c r="AQ10448" s="10"/>
      <c r="AR10448" s="10"/>
      <c r="AS10448" s="10"/>
      <c r="AT10448" s="10"/>
      <c r="AU10448" s="10"/>
      <c r="AV10448" s="10"/>
      <c r="AW10448" s="10"/>
      <c r="AX10448" s="10"/>
      <c r="AY10448" s="10"/>
      <c r="AZ10448" s="10"/>
    </row>
    <row r="10449" spans="31:52">
      <c r="AE10449" s="10"/>
      <c r="AF10449" s="10"/>
      <c r="AG10449" s="10"/>
      <c r="AH10449" s="10"/>
      <c r="AI10449" s="10"/>
      <c r="AJ10449" s="10"/>
      <c r="AK10449" s="10"/>
      <c r="AL10449" s="10"/>
      <c r="AM10449" s="10"/>
      <c r="AN10449" s="10"/>
      <c r="AO10449" s="10"/>
      <c r="AP10449" s="10"/>
      <c r="AQ10449" s="10"/>
      <c r="AR10449" s="10"/>
      <c r="AS10449" s="10"/>
      <c r="AT10449" s="10"/>
      <c r="AU10449" s="10"/>
      <c r="AV10449" s="10"/>
      <c r="AW10449" s="10"/>
      <c r="AX10449" s="10"/>
      <c r="AY10449" s="10"/>
      <c r="AZ10449" s="10"/>
    </row>
    <row r="10450" spans="31:52">
      <c r="AE10450" s="10"/>
      <c r="AF10450" s="10"/>
      <c r="AG10450" s="10"/>
      <c r="AH10450" s="10"/>
      <c r="AI10450" s="10"/>
      <c r="AJ10450" s="10"/>
      <c r="AK10450" s="10"/>
      <c r="AL10450" s="10"/>
      <c r="AM10450" s="10"/>
      <c r="AN10450" s="10"/>
      <c r="AO10450" s="10"/>
      <c r="AP10450" s="10"/>
      <c r="AQ10450" s="10"/>
      <c r="AR10450" s="10"/>
      <c r="AS10450" s="10"/>
      <c r="AT10450" s="10"/>
      <c r="AU10450" s="10"/>
      <c r="AV10450" s="10"/>
      <c r="AW10450" s="10"/>
      <c r="AX10450" s="10"/>
      <c r="AY10450" s="10"/>
      <c r="AZ10450" s="10"/>
    </row>
    <row r="10451" spans="31:52">
      <c r="AE10451" s="10"/>
      <c r="AF10451" s="10"/>
      <c r="AG10451" s="10"/>
      <c r="AH10451" s="10"/>
      <c r="AI10451" s="10"/>
      <c r="AJ10451" s="10"/>
      <c r="AK10451" s="10"/>
      <c r="AL10451" s="10"/>
      <c r="AM10451" s="10"/>
      <c r="AN10451" s="10"/>
      <c r="AO10451" s="10"/>
      <c r="AP10451" s="10"/>
      <c r="AQ10451" s="10"/>
      <c r="AR10451" s="10"/>
      <c r="AS10451" s="10"/>
      <c r="AT10451" s="10"/>
      <c r="AU10451" s="10"/>
      <c r="AV10451" s="10"/>
      <c r="AW10451" s="10"/>
      <c r="AX10451" s="10"/>
      <c r="AY10451" s="10"/>
      <c r="AZ10451" s="10"/>
    </row>
    <row r="10452" spans="31:52">
      <c r="AE10452" s="10"/>
      <c r="AF10452" s="10"/>
      <c r="AG10452" s="10"/>
      <c r="AH10452" s="10"/>
      <c r="AI10452" s="10"/>
      <c r="AJ10452" s="10"/>
      <c r="AK10452" s="10"/>
      <c r="AL10452" s="10"/>
      <c r="AM10452" s="10"/>
      <c r="AN10452" s="10"/>
      <c r="AO10452" s="10"/>
      <c r="AP10452" s="10"/>
      <c r="AQ10452" s="10"/>
      <c r="AR10452" s="10"/>
      <c r="AS10452" s="10"/>
      <c r="AT10452" s="10"/>
      <c r="AU10452" s="10"/>
      <c r="AV10452" s="10"/>
      <c r="AW10452" s="10"/>
      <c r="AX10452" s="10"/>
      <c r="AY10452" s="10"/>
      <c r="AZ10452" s="10"/>
    </row>
    <row r="10453" spans="31:52">
      <c r="AE10453" s="10"/>
      <c r="AF10453" s="10"/>
      <c r="AG10453" s="10"/>
      <c r="AH10453" s="10"/>
      <c r="AI10453" s="10"/>
      <c r="AJ10453" s="10"/>
      <c r="AK10453" s="10"/>
      <c r="AL10453" s="10"/>
      <c r="AM10453" s="10"/>
      <c r="AN10453" s="10"/>
      <c r="AO10453" s="10"/>
      <c r="AP10453" s="10"/>
      <c r="AQ10453" s="10"/>
      <c r="AR10453" s="10"/>
      <c r="AS10453" s="10"/>
      <c r="AT10453" s="10"/>
      <c r="AU10453" s="10"/>
      <c r="AV10453" s="10"/>
      <c r="AW10453" s="10"/>
      <c r="AX10453" s="10"/>
      <c r="AY10453" s="10"/>
      <c r="AZ10453" s="10"/>
    </row>
    <row r="10454" spans="31:52">
      <c r="AE10454" s="10"/>
      <c r="AF10454" s="10"/>
      <c r="AG10454" s="10"/>
      <c r="AH10454" s="10"/>
      <c r="AI10454" s="10"/>
      <c r="AJ10454" s="10"/>
      <c r="AK10454" s="10"/>
      <c r="AL10454" s="10"/>
      <c r="AM10454" s="10"/>
      <c r="AN10454" s="10"/>
      <c r="AO10454" s="10"/>
      <c r="AP10454" s="10"/>
      <c r="AQ10454" s="10"/>
      <c r="AR10454" s="10"/>
      <c r="AS10454" s="10"/>
      <c r="AT10454" s="10"/>
      <c r="AU10454" s="10"/>
      <c r="AV10454" s="10"/>
      <c r="AW10454" s="10"/>
      <c r="AX10454" s="10"/>
      <c r="AY10454" s="10"/>
      <c r="AZ10454" s="10"/>
    </row>
    <row r="10455" spans="31:52">
      <c r="AE10455" s="10"/>
      <c r="AF10455" s="10"/>
      <c r="AG10455" s="10"/>
      <c r="AH10455" s="10"/>
      <c r="AI10455" s="10"/>
      <c r="AJ10455" s="10"/>
      <c r="AK10455" s="10"/>
      <c r="AL10455" s="10"/>
      <c r="AM10455" s="10"/>
      <c r="AN10455" s="10"/>
      <c r="AO10455" s="10"/>
      <c r="AP10455" s="10"/>
      <c r="AQ10455" s="10"/>
      <c r="AR10455" s="10"/>
      <c r="AS10455" s="10"/>
      <c r="AT10455" s="10"/>
      <c r="AU10455" s="10"/>
      <c r="AV10455" s="10"/>
      <c r="AW10455" s="10"/>
      <c r="AX10455" s="10"/>
      <c r="AY10455" s="10"/>
      <c r="AZ10455" s="10"/>
    </row>
    <row r="10456" spans="31:52">
      <c r="AE10456" s="10"/>
      <c r="AF10456" s="10"/>
      <c r="AG10456" s="10"/>
      <c r="AH10456" s="10"/>
      <c r="AI10456" s="10"/>
      <c r="AJ10456" s="10"/>
      <c r="AK10456" s="10"/>
      <c r="AL10456" s="10"/>
      <c r="AM10456" s="10"/>
      <c r="AN10456" s="10"/>
      <c r="AO10456" s="10"/>
      <c r="AP10456" s="10"/>
      <c r="AQ10456" s="10"/>
      <c r="AR10456" s="10"/>
      <c r="AS10456" s="10"/>
      <c r="AT10456" s="10"/>
      <c r="AU10456" s="10"/>
      <c r="AV10456" s="10"/>
      <c r="AW10456" s="10"/>
      <c r="AX10456" s="10"/>
      <c r="AY10456" s="10"/>
      <c r="AZ10456" s="10"/>
    </row>
    <row r="10457" spans="31:52">
      <c r="AE10457" s="10"/>
      <c r="AF10457" s="10"/>
      <c r="AG10457" s="10"/>
      <c r="AH10457" s="10"/>
      <c r="AI10457" s="10"/>
      <c r="AJ10457" s="10"/>
      <c r="AK10457" s="10"/>
      <c r="AL10457" s="10"/>
      <c r="AM10457" s="10"/>
      <c r="AN10457" s="10"/>
      <c r="AO10457" s="10"/>
      <c r="AP10457" s="10"/>
      <c r="AQ10457" s="10"/>
      <c r="AR10457" s="10"/>
      <c r="AS10457" s="10"/>
      <c r="AT10457" s="10"/>
      <c r="AU10457" s="10"/>
      <c r="AV10457" s="10"/>
      <c r="AW10457" s="10"/>
      <c r="AX10457" s="10"/>
      <c r="AY10457" s="10"/>
      <c r="AZ10457" s="10"/>
    </row>
    <row r="10458" spans="31:52">
      <c r="AE10458" s="10"/>
      <c r="AF10458" s="10"/>
      <c r="AG10458" s="10"/>
      <c r="AH10458" s="10"/>
      <c r="AI10458" s="10"/>
      <c r="AJ10458" s="10"/>
      <c r="AK10458" s="10"/>
      <c r="AL10458" s="10"/>
      <c r="AM10458" s="10"/>
      <c r="AN10458" s="10"/>
      <c r="AO10458" s="10"/>
      <c r="AP10458" s="10"/>
      <c r="AQ10458" s="10"/>
      <c r="AR10458" s="10"/>
      <c r="AS10458" s="10"/>
      <c r="AT10458" s="10"/>
      <c r="AU10458" s="10"/>
      <c r="AV10458" s="10"/>
      <c r="AW10458" s="10"/>
      <c r="AX10458" s="10"/>
      <c r="AY10458" s="10"/>
      <c r="AZ10458" s="10"/>
    </row>
    <row r="10459" spans="31:52">
      <c r="AE10459" s="10"/>
      <c r="AF10459" s="10"/>
      <c r="AG10459" s="10"/>
      <c r="AH10459" s="10"/>
      <c r="AI10459" s="10"/>
      <c r="AJ10459" s="10"/>
      <c r="AK10459" s="10"/>
      <c r="AL10459" s="10"/>
      <c r="AM10459" s="10"/>
      <c r="AN10459" s="10"/>
      <c r="AO10459" s="10"/>
      <c r="AP10459" s="10"/>
      <c r="AQ10459" s="10"/>
      <c r="AR10459" s="10"/>
      <c r="AS10459" s="10"/>
      <c r="AT10459" s="10"/>
      <c r="AU10459" s="10"/>
      <c r="AV10459" s="10"/>
      <c r="AW10459" s="10"/>
      <c r="AX10459" s="10"/>
      <c r="AY10459" s="10"/>
      <c r="AZ10459" s="10"/>
    </row>
    <row r="10460" spans="31:52">
      <c r="AE10460" s="10"/>
      <c r="AF10460" s="10"/>
      <c r="AG10460" s="10"/>
      <c r="AH10460" s="10"/>
      <c r="AI10460" s="10"/>
      <c r="AJ10460" s="10"/>
      <c r="AK10460" s="10"/>
      <c r="AL10460" s="10"/>
      <c r="AM10460" s="10"/>
      <c r="AN10460" s="10"/>
      <c r="AO10460" s="10"/>
      <c r="AP10460" s="10"/>
      <c r="AQ10460" s="10"/>
      <c r="AR10460" s="10"/>
      <c r="AS10460" s="10"/>
      <c r="AT10460" s="10"/>
      <c r="AU10460" s="10"/>
      <c r="AV10460" s="10"/>
      <c r="AW10460" s="10"/>
      <c r="AX10460" s="10"/>
      <c r="AY10460" s="10"/>
      <c r="AZ10460" s="10"/>
    </row>
    <row r="10461" spans="31:52">
      <c r="AE10461" s="10"/>
      <c r="AF10461" s="10"/>
      <c r="AG10461" s="10"/>
      <c r="AH10461" s="10"/>
      <c r="AI10461" s="10"/>
      <c r="AJ10461" s="10"/>
      <c r="AK10461" s="10"/>
      <c r="AL10461" s="10"/>
      <c r="AM10461" s="10"/>
      <c r="AN10461" s="10"/>
      <c r="AO10461" s="10"/>
      <c r="AP10461" s="10"/>
      <c r="AQ10461" s="10"/>
      <c r="AR10461" s="10"/>
      <c r="AS10461" s="10"/>
      <c r="AT10461" s="10"/>
      <c r="AU10461" s="10"/>
      <c r="AV10461" s="10"/>
      <c r="AW10461" s="10"/>
      <c r="AX10461" s="10"/>
      <c r="AY10461" s="10"/>
      <c r="AZ10461" s="10"/>
    </row>
    <row r="10462" spans="31:52">
      <c r="AE10462" s="10"/>
      <c r="AF10462" s="10"/>
      <c r="AG10462" s="10"/>
      <c r="AH10462" s="10"/>
      <c r="AI10462" s="10"/>
      <c r="AJ10462" s="10"/>
      <c r="AK10462" s="10"/>
      <c r="AL10462" s="10"/>
      <c r="AM10462" s="10"/>
      <c r="AN10462" s="10"/>
      <c r="AO10462" s="10"/>
      <c r="AP10462" s="10"/>
      <c r="AQ10462" s="10"/>
      <c r="AR10462" s="10"/>
      <c r="AS10462" s="10"/>
      <c r="AT10462" s="10"/>
      <c r="AU10462" s="10"/>
      <c r="AV10462" s="10"/>
      <c r="AW10462" s="10"/>
      <c r="AX10462" s="10"/>
      <c r="AY10462" s="10"/>
      <c r="AZ10462" s="10"/>
    </row>
    <row r="10463" spans="31:52">
      <c r="AE10463" s="10"/>
      <c r="AF10463" s="10"/>
      <c r="AG10463" s="10"/>
      <c r="AH10463" s="10"/>
      <c r="AI10463" s="10"/>
      <c r="AJ10463" s="10"/>
      <c r="AK10463" s="10"/>
      <c r="AL10463" s="10"/>
      <c r="AM10463" s="10"/>
      <c r="AN10463" s="10"/>
      <c r="AO10463" s="10"/>
      <c r="AP10463" s="10"/>
      <c r="AQ10463" s="10"/>
      <c r="AR10463" s="10"/>
      <c r="AS10463" s="10"/>
      <c r="AT10463" s="10"/>
      <c r="AU10463" s="10"/>
      <c r="AV10463" s="10"/>
      <c r="AW10463" s="10"/>
      <c r="AX10463" s="10"/>
      <c r="AY10463" s="10"/>
      <c r="AZ10463" s="10"/>
    </row>
    <row r="10464" spans="31:52">
      <c r="AE10464" s="10"/>
      <c r="AF10464" s="10"/>
      <c r="AG10464" s="10"/>
      <c r="AH10464" s="10"/>
      <c r="AI10464" s="10"/>
      <c r="AJ10464" s="10"/>
      <c r="AK10464" s="10"/>
      <c r="AL10464" s="10"/>
      <c r="AM10464" s="10"/>
      <c r="AN10464" s="10"/>
      <c r="AO10464" s="10"/>
      <c r="AP10464" s="10"/>
      <c r="AQ10464" s="10"/>
      <c r="AR10464" s="10"/>
      <c r="AS10464" s="10"/>
      <c r="AT10464" s="10"/>
      <c r="AU10464" s="10"/>
      <c r="AV10464" s="10"/>
      <c r="AW10464" s="10"/>
      <c r="AX10464" s="10"/>
      <c r="AY10464" s="10"/>
      <c r="AZ10464" s="10"/>
    </row>
    <row r="10465" spans="31:52">
      <c r="AE10465" s="10"/>
      <c r="AF10465" s="10"/>
      <c r="AG10465" s="10"/>
      <c r="AH10465" s="10"/>
      <c r="AI10465" s="10"/>
      <c r="AJ10465" s="10"/>
      <c r="AK10465" s="10"/>
      <c r="AL10465" s="10"/>
      <c r="AM10465" s="10"/>
      <c r="AN10465" s="10"/>
      <c r="AO10465" s="10"/>
      <c r="AP10465" s="10"/>
      <c r="AQ10465" s="10"/>
      <c r="AR10465" s="10"/>
      <c r="AS10465" s="10"/>
      <c r="AT10465" s="10"/>
      <c r="AU10465" s="10"/>
      <c r="AV10465" s="10"/>
      <c r="AW10465" s="10"/>
      <c r="AX10465" s="10"/>
      <c r="AY10465" s="10"/>
      <c r="AZ10465" s="10"/>
    </row>
    <row r="10466" spans="31:52">
      <c r="AE10466" s="10"/>
      <c r="AF10466" s="10"/>
      <c r="AG10466" s="10"/>
      <c r="AH10466" s="10"/>
      <c r="AI10466" s="10"/>
      <c r="AJ10466" s="10"/>
      <c r="AK10466" s="10"/>
      <c r="AL10466" s="10"/>
      <c r="AM10466" s="10"/>
      <c r="AN10466" s="10"/>
      <c r="AO10466" s="10"/>
      <c r="AP10466" s="10"/>
      <c r="AQ10466" s="10"/>
      <c r="AR10466" s="10"/>
      <c r="AS10466" s="10"/>
      <c r="AT10466" s="10"/>
      <c r="AU10466" s="10"/>
      <c r="AV10466" s="10"/>
      <c r="AW10466" s="10"/>
      <c r="AX10466" s="10"/>
      <c r="AY10466" s="10"/>
      <c r="AZ10466" s="10"/>
    </row>
    <row r="10467" spans="31:52">
      <c r="AE10467" s="10"/>
      <c r="AF10467" s="10"/>
      <c r="AG10467" s="10"/>
      <c r="AH10467" s="10"/>
      <c r="AI10467" s="10"/>
      <c r="AJ10467" s="10"/>
      <c r="AK10467" s="10"/>
      <c r="AL10467" s="10"/>
      <c r="AM10467" s="10"/>
      <c r="AN10467" s="10"/>
      <c r="AO10467" s="10"/>
      <c r="AP10467" s="10"/>
      <c r="AQ10467" s="10"/>
      <c r="AR10467" s="10"/>
      <c r="AS10467" s="10"/>
      <c r="AT10467" s="10"/>
      <c r="AU10467" s="10"/>
      <c r="AV10467" s="10"/>
      <c r="AW10467" s="10"/>
      <c r="AX10467" s="10"/>
      <c r="AY10467" s="10"/>
      <c r="AZ10467" s="10"/>
    </row>
    <row r="10468" spans="31:52">
      <c r="AE10468" s="10"/>
      <c r="AF10468" s="10"/>
      <c r="AG10468" s="10"/>
      <c r="AH10468" s="10"/>
      <c r="AI10468" s="10"/>
      <c r="AJ10468" s="10"/>
      <c r="AK10468" s="10"/>
      <c r="AL10468" s="10"/>
      <c r="AM10468" s="10"/>
      <c r="AN10468" s="10"/>
      <c r="AO10468" s="10"/>
      <c r="AP10468" s="10"/>
      <c r="AQ10468" s="10"/>
      <c r="AR10468" s="10"/>
      <c r="AS10468" s="10"/>
      <c r="AT10468" s="10"/>
      <c r="AU10468" s="10"/>
      <c r="AV10468" s="10"/>
      <c r="AW10468" s="10"/>
      <c r="AX10468" s="10"/>
      <c r="AY10468" s="10"/>
      <c r="AZ10468" s="10"/>
    </row>
    <row r="10469" spans="31:52">
      <c r="AE10469" s="10"/>
      <c r="AF10469" s="10"/>
      <c r="AG10469" s="10"/>
      <c r="AH10469" s="10"/>
      <c r="AI10469" s="10"/>
      <c r="AJ10469" s="10"/>
      <c r="AK10469" s="10"/>
      <c r="AL10469" s="10"/>
      <c r="AM10469" s="10"/>
      <c r="AN10469" s="10"/>
      <c r="AO10469" s="10"/>
      <c r="AP10469" s="10"/>
      <c r="AQ10469" s="10"/>
      <c r="AR10469" s="10"/>
      <c r="AS10469" s="10"/>
      <c r="AT10469" s="10"/>
      <c r="AU10469" s="10"/>
      <c r="AV10469" s="10"/>
      <c r="AW10469" s="10"/>
      <c r="AX10469" s="10"/>
      <c r="AY10469" s="10"/>
      <c r="AZ10469" s="10"/>
    </row>
    <row r="10470" spans="31:52">
      <c r="AE10470" s="10"/>
      <c r="AF10470" s="10"/>
      <c r="AG10470" s="10"/>
      <c r="AH10470" s="10"/>
      <c r="AI10470" s="10"/>
      <c r="AJ10470" s="10"/>
      <c r="AK10470" s="10"/>
      <c r="AL10470" s="10"/>
      <c r="AM10470" s="10"/>
      <c r="AN10470" s="10"/>
      <c r="AO10470" s="10"/>
      <c r="AP10470" s="10"/>
      <c r="AQ10470" s="10"/>
      <c r="AR10470" s="10"/>
      <c r="AS10470" s="10"/>
      <c r="AT10470" s="10"/>
      <c r="AU10470" s="10"/>
      <c r="AV10470" s="10"/>
      <c r="AW10470" s="10"/>
      <c r="AX10470" s="10"/>
      <c r="AY10470" s="10"/>
      <c r="AZ10470" s="10"/>
    </row>
    <row r="10471" spans="31:52">
      <c r="AE10471" s="10"/>
      <c r="AF10471" s="10"/>
      <c r="AG10471" s="10"/>
      <c r="AH10471" s="10"/>
      <c r="AI10471" s="10"/>
      <c r="AJ10471" s="10"/>
      <c r="AK10471" s="10"/>
      <c r="AL10471" s="10"/>
      <c r="AM10471" s="10"/>
      <c r="AN10471" s="10"/>
      <c r="AO10471" s="10"/>
      <c r="AP10471" s="10"/>
      <c r="AQ10471" s="10"/>
      <c r="AR10471" s="10"/>
      <c r="AS10471" s="10"/>
      <c r="AT10471" s="10"/>
      <c r="AU10471" s="10"/>
      <c r="AV10471" s="10"/>
      <c r="AW10471" s="10"/>
      <c r="AX10471" s="10"/>
      <c r="AY10471" s="10"/>
      <c r="AZ10471" s="10"/>
    </row>
    <row r="10472" spans="31:52">
      <c r="AE10472" s="10"/>
      <c r="AF10472" s="10"/>
      <c r="AG10472" s="10"/>
      <c r="AH10472" s="10"/>
      <c r="AI10472" s="10"/>
      <c r="AJ10472" s="10"/>
      <c r="AK10472" s="10"/>
      <c r="AL10472" s="10"/>
      <c r="AM10472" s="10"/>
      <c r="AN10472" s="10"/>
      <c r="AO10472" s="10"/>
      <c r="AP10472" s="10"/>
      <c r="AQ10472" s="10"/>
      <c r="AR10472" s="10"/>
      <c r="AS10472" s="10"/>
      <c r="AT10472" s="10"/>
      <c r="AU10472" s="10"/>
      <c r="AV10472" s="10"/>
      <c r="AW10472" s="10"/>
      <c r="AX10472" s="10"/>
      <c r="AY10472" s="10"/>
      <c r="AZ10472" s="10"/>
    </row>
    <row r="10473" spans="31:52">
      <c r="AE10473" s="10"/>
      <c r="AF10473" s="10"/>
      <c r="AG10473" s="10"/>
      <c r="AH10473" s="10"/>
      <c r="AI10473" s="10"/>
      <c r="AJ10473" s="10"/>
      <c r="AK10473" s="10"/>
      <c r="AL10473" s="10"/>
      <c r="AM10473" s="10"/>
      <c r="AN10473" s="10"/>
      <c r="AO10473" s="10"/>
      <c r="AP10473" s="10"/>
      <c r="AQ10473" s="10"/>
      <c r="AR10473" s="10"/>
      <c r="AS10473" s="10"/>
      <c r="AT10473" s="10"/>
      <c r="AU10473" s="10"/>
      <c r="AV10473" s="10"/>
      <c r="AW10473" s="10"/>
      <c r="AX10473" s="10"/>
      <c r="AY10473" s="10"/>
      <c r="AZ10473" s="10"/>
    </row>
    <row r="10474" spans="31:52">
      <c r="AE10474" s="10"/>
      <c r="AF10474" s="10"/>
      <c r="AG10474" s="10"/>
      <c r="AH10474" s="10"/>
      <c r="AI10474" s="10"/>
      <c r="AJ10474" s="10"/>
      <c r="AK10474" s="10"/>
      <c r="AL10474" s="10"/>
      <c r="AM10474" s="10"/>
      <c r="AN10474" s="10"/>
      <c r="AO10474" s="10"/>
      <c r="AP10474" s="10"/>
      <c r="AQ10474" s="10"/>
      <c r="AR10474" s="10"/>
      <c r="AS10474" s="10"/>
      <c r="AT10474" s="10"/>
      <c r="AU10474" s="10"/>
      <c r="AV10474" s="10"/>
      <c r="AW10474" s="10"/>
      <c r="AX10474" s="10"/>
      <c r="AY10474" s="10"/>
      <c r="AZ10474" s="10"/>
    </row>
    <row r="10475" spans="31:52">
      <c r="AE10475" s="10"/>
      <c r="AF10475" s="10"/>
      <c r="AG10475" s="10"/>
      <c r="AH10475" s="10"/>
      <c r="AI10475" s="10"/>
      <c r="AJ10475" s="10"/>
      <c r="AK10475" s="10"/>
      <c r="AL10475" s="10"/>
      <c r="AM10475" s="10"/>
      <c r="AN10475" s="10"/>
      <c r="AO10475" s="10"/>
      <c r="AP10475" s="10"/>
      <c r="AQ10475" s="10"/>
      <c r="AR10475" s="10"/>
      <c r="AS10475" s="10"/>
      <c r="AT10475" s="10"/>
      <c r="AU10475" s="10"/>
      <c r="AV10475" s="10"/>
      <c r="AW10475" s="10"/>
      <c r="AX10475" s="10"/>
      <c r="AY10475" s="10"/>
      <c r="AZ10475" s="10"/>
    </row>
    <row r="10476" spans="31:52">
      <c r="AE10476" s="10"/>
      <c r="AF10476" s="10"/>
      <c r="AG10476" s="10"/>
      <c r="AH10476" s="10"/>
      <c r="AI10476" s="10"/>
      <c r="AJ10476" s="10"/>
      <c r="AK10476" s="10"/>
      <c r="AL10476" s="10"/>
      <c r="AM10476" s="10"/>
      <c r="AN10476" s="10"/>
      <c r="AO10476" s="10"/>
      <c r="AP10476" s="10"/>
      <c r="AQ10476" s="10"/>
      <c r="AR10476" s="10"/>
      <c r="AS10476" s="10"/>
      <c r="AT10476" s="10"/>
      <c r="AU10476" s="10"/>
      <c r="AV10476" s="10"/>
      <c r="AW10476" s="10"/>
      <c r="AX10476" s="10"/>
      <c r="AY10476" s="10"/>
      <c r="AZ10476" s="10"/>
    </row>
    <row r="10477" spans="31:52">
      <c r="AE10477" s="10"/>
      <c r="AF10477" s="10"/>
      <c r="AG10477" s="10"/>
      <c r="AH10477" s="10"/>
      <c r="AI10477" s="10"/>
      <c r="AJ10477" s="10"/>
      <c r="AK10477" s="10"/>
      <c r="AL10477" s="10"/>
      <c r="AM10477" s="10"/>
      <c r="AN10477" s="10"/>
      <c r="AO10477" s="10"/>
      <c r="AP10477" s="10"/>
      <c r="AQ10477" s="10"/>
      <c r="AR10477" s="10"/>
      <c r="AS10477" s="10"/>
      <c r="AT10477" s="10"/>
      <c r="AU10477" s="10"/>
      <c r="AV10477" s="10"/>
      <c r="AW10477" s="10"/>
      <c r="AX10477" s="10"/>
      <c r="AY10477" s="10"/>
      <c r="AZ10477" s="10"/>
    </row>
    <row r="10478" spans="31:52">
      <c r="AE10478" s="10"/>
      <c r="AF10478" s="10"/>
      <c r="AG10478" s="10"/>
      <c r="AH10478" s="10"/>
      <c r="AI10478" s="10"/>
      <c r="AJ10478" s="10"/>
      <c r="AK10478" s="10"/>
      <c r="AL10478" s="10"/>
      <c r="AM10478" s="10"/>
      <c r="AN10478" s="10"/>
      <c r="AO10478" s="10"/>
      <c r="AP10478" s="10"/>
      <c r="AQ10478" s="10"/>
      <c r="AR10478" s="10"/>
      <c r="AS10478" s="10"/>
      <c r="AT10478" s="10"/>
      <c r="AU10478" s="10"/>
      <c r="AV10478" s="10"/>
      <c r="AW10478" s="10"/>
      <c r="AX10478" s="10"/>
      <c r="AY10478" s="10"/>
      <c r="AZ10478" s="10"/>
    </row>
    <row r="10479" spans="31:52">
      <c r="AE10479" s="10"/>
      <c r="AF10479" s="10"/>
      <c r="AG10479" s="10"/>
      <c r="AH10479" s="10"/>
      <c r="AI10479" s="10"/>
      <c r="AJ10479" s="10"/>
      <c r="AK10479" s="10"/>
      <c r="AL10479" s="10"/>
      <c r="AM10479" s="10"/>
      <c r="AN10479" s="10"/>
      <c r="AO10479" s="10"/>
      <c r="AP10479" s="10"/>
      <c r="AQ10479" s="10"/>
      <c r="AR10479" s="10"/>
      <c r="AS10479" s="10"/>
      <c r="AT10479" s="10"/>
      <c r="AU10479" s="10"/>
      <c r="AV10479" s="10"/>
      <c r="AW10479" s="10"/>
      <c r="AX10479" s="10"/>
      <c r="AY10479" s="10"/>
      <c r="AZ10479" s="10"/>
    </row>
    <row r="10480" spans="31:52">
      <c r="AE10480" s="10"/>
      <c r="AF10480" s="10"/>
      <c r="AG10480" s="10"/>
      <c r="AH10480" s="10"/>
      <c r="AI10480" s="10"/>
      <c r="AJ10480" s="10"/>
      <c r="AK10480" s="10"/>
      <c r="AL10480" s="10"/>
      <c r="AM10480" s="10"/>
      <c r="AN10480" s="10"/>
      <c r="AO10480" s="10"/>
      <c r="AP10480" s="10"/>
      <c r="AQ10480" s="10"/>
      <c r="AR10480" s="10"/>
      <c r="AS10480" s="10"/>
      <c r="AT10480" s="10"/>
      <c r="AU10480" s="10"/>
      <c r="AV10480" s="10"/>
      <c r="AW10480" s="10"/>
      <c r="AX10480" s="10"/>
      <c r="AY10480" s="10"/>
      <c r="AZ10480" s="10"/>
    </row>
    <row r="10481" spans="31:52">
      <c r="AE10481" s="10"/>
      <c r="AF10481" s="10"/>
      <c r="AG10481" s="10"/>
      <c r="AH10481" s="10"/>
      <c r="AI10481" s="10"/>
      <c r="AJ10481" s="10"/>
      <c r="AK10481" s="10"/>
      <c r="AL10481" s="10"/>
      <c r="AM10481" s="10"/>
      <c r="AN10481" s="10"/>
      <c r="AO10481" s="10"/>
      <c r="AP10481" s="10"/>
      <c r="AQ10481" s="10"/>
      <c r="AR10481" s="10"/>
      <c r="AS10481" s="10"/>
      <c r="AT10481" s="10"/>
      <c r="AU10481" s="10"/>
      <c r="AV10481" s="10"/>
      <c r="AW10481" s="10"/>
      <c r="AX10481" s="10"/>
      <c r="AY10481" s="10"/>
      <c r="AZ10481" s="10"/>
    </row>
    <row r="10482" spans="31:52">
      <c r="AE10482" s="10"/>
      <c r="AF10482" s="10"/>
      <c r="AG10482" s="10"/>
      <c r="AH10482" s="10"/>
      <c r="AI10482" s="10"/>
      <c r="AJ10482" s="10"/>
      <c r="AK10482" s="10"/>
      <c r="AL10482" s="10"/>
      <c r="AM10482" s="10"/>
      <c r="AN10482" s="10"/>
      <c r="AO10482" s="10"/>
      <c r="AP10482" s="10"/>
      <c r="AQ10482" s="10"/>
      <c r="AR10482" s="10"/>
      <c r="AS10482" s="10"/>
      <c r="AT10482" s="10"/>
      <c r="AU10482" s="10"/>
      <c r="AV10482" s="10"/>
      <c r="AW10482" s="10"/>
      <c r="AX10482" s="10"/>
      <c r="AY10482" s="10"/>
      <c r="AZ10482" s="10"/>
    </row>
    <row r="10483" spans="31:52">
      <c r="AE10483" s="10"/>
      <c r="AF10483" s="10"/>
      <c r="AG10483" s="10"/>
      <c r="AH10483" s="10"/>
      <c r="AI10483" s="10"/>
      <c r="AJ10483" s="10"/>
      <c r="AK10483" s="10"/>
      <c r="AL10483" s="10"/>
      <c r="AM10483" s="10"/>
      <c r="AN10483" s="10"/>
      <c r="AO10483" s="10"/>
      <c r="AP10483" s="10"/>
      <c r="AQ10483" s="10"/>
      <c r="AR10483" s="10"/>
      <c r="AS10483" s="10"/>
      <c r="AT10483" s="10"/>
      <c r="AU10483" s="10"/>
      <c r="AV10483" s="10"/>
      <c r="AW10483" s="10"/>
      <c r="AX10483" s="10"/>
      <c r="AY10483" s="10"/>
      <c r="AZ10483" s="10"/>
    </row>
    <row r="10484" spans="31:52">
      <c r="AE10484" s="10"/>
      <c r="AF10484" s="10"/>
      <c r="AG10484" s="10"/>
      <c r="AH10484" s="10"/>
      <c r="AI10484" s="10"/>
      <c r="AJ10484" s="10"/>
      <c r="AK10484" s="10"/>
      <c r="AL10484" s="10"/>
      <c r="AM10484" s="10"/>
      <c r="AN10484" s="10"/>
      <c r="AO10484" s="10"/>
      <c r="AP10484" s="10"/>
      <c r="AQ10484" s="10"/>
      <c r="AR10484" s="10"/>
      <c r="AS10484" s="10"/>
      <c r="AT10484" s="10"/>
      <c r="AU10484" s="10"/>
      <c r="AV10484" s="10"/>
      <c r="AW10484" s="10"/>
      <c r="AX10484" s="10"/>
      <c r="AY10484" s="10"/>
      <c r="AZ10484" s="10"/>
    </row>
    <row r="10485" spans="31:52">
      <c r="AE10485" s="10"/>
      <c r="AF10485" s="10"/>
      <c r="AG10485" s="10"/>
      <c r="AH10485" s="10"/>
      <c r="AI10485" s="10"/>
      <c r="AJ10485" s="10"/>
      <c r="AK10485" s="10"/>
      <c r="AL10485" s="10"/>
      <c r="AM10485" s="10"/>
      <c r="AN10485" s="10"/>
      <c r="AO10485" s="10"/>
      <c r="AP10485" s="10"/>
      <c r="AQ10485" s="10"/>
      <c r="AR10485" s="10"/>
      <c r="AS10485" s="10"/>
      <c r="AT10485" s="10"/>
      <c r="AU10485" s="10"/>
      <c r="AV10485" s="10"/>
      <c r="AW10485" s="10"/>
      <c r="AX10485" s="10"/>
      <c r="AY10485" s="10"/>
      <c r="AZ10485" s="10"/>
    </row>
    <row r="10486" spans="31:52">
      <c r="AE10486" s="10"/>
      <c r="AF10486" s="10"/>
      <c r="AG10486" s="10"/>
      <c r="AH10486" s="10"/>
      <c r="AI10486" s="10"/>
      <c r="AJ10486" s="10"/>
      <c r="AK10486" s="10"/>
      <c r="AL10486" s="10"/>
      <c r="AM10486" s="10"/>
      <c r="AN10486" s="10"/>
      <c r="AO10486" s="10"/>
      <c r="AP10486" s="10"/>
      <c r="AQ10486" s="10"/>
      <c r="AR10486" s="10"/>
      <c r="AS10486" s="10"/>
      <c r="AT10486" s="10"/>
      <c r="AU10486" s="10"/>
      <c r="AV10486" s="10"/>
      <c r="AW10486" s="10"/>
      <c r="AX10486" s="10"/>
      <c r="AY10486" s="10"/>
      <c r="AZ10486" s="10"/>
    </row>
    <row r="10487" spans="31:52">
      <c r="AE10487" s="10"/>
      <c r="AF10487" s="10"/>
      <c r="AG10487" s="10"/>
      <c r="AH10487" s="10"/>
      <c r="AI10487" s="10"/>
      <c r="AJ10487" s="10"/>
      <c r="AK10487" s="10"/>
      <c r="AL10487" s="10"/>
      <c r="AM10487" s="10"/>
      <c r="AN10487" s="10"/>
      <c r="AO10487" s="10"/>
      <c r="AP10487" s="10"/>
      <c r="AQ10487" s="10"/>
      <c r="AR10487" s="10"/>
      <c r="AS10487" s="10"/>
      <c r="AT10487" s="10"/>
      <c r="AU10487" s="10"/>
      <c r="AV10487" s="10"/>
      <c r="AW10487" s="10"/>
      <c r="AX10487" s="10"/>
      <c r="AY10487" s="10"/>
      <c r="AZ10487" s="10"/>
    </row>
    <row r="10488" spans="31:52">
      <c r="AE10488" s="10"/>
      <c r="AF10488" s="10"/>
      <c r="AG10488" s="10"/>
      <c r="AH10488" s="10"/>
      <c r="AI10488" s="10"/>
      <c r="AJ10488" s="10"/>
      <c r="AK10488" s="10"/>
      <c r="AL10488" s="10"/>
      <c r="AM10488" s="10"/>
      <c r="AN10488" s="10"/>
      <c r="AO10488" s="10"/>
      <c r="AP10488" s="10"/>
      <c r="AQ10488" s="10"/>
      <c r="AR10488" s="10"/>
      <c r="AS10488" s="10"/>
      <c r="AT10488" s="10"/>
      <c r="AU10488" s="10"/>
      <c r="AV10488" s="10"/>
      <c r="AW10488" s="10"/>
      <c r="AX10488" s="10"/>
      <c r="AY10488" s="10"/>
      <c r="AZ10488" s="10"/>
    </row>
    <row r="10489" spans="31:52">
      <c r="AE10489" s="10"/>
      <c r="AF10489" s="10"/>
      <c r="AG10489" s="10"/>
      <c r="AH10489" s="10"/>
      <c r="AI10489" s="10"/>
      <c r="AJ10489" s="10"/>
      <c r="AK10489" s="10"/>
      <c r="AL10489" s="10"/>
      <c r="AM10489" s="10"/>
      <c r="AN10489" s="10"/>
      <c r="AO10489" s="10"/>
      <c r="AP10489" s="10"/>
      <c r="AQ10489" s="10"/>
      <c r="AR10489" s="10"/>
      <c r="AS10489" s="10"/>
      <c r="AT10489" s="10"/>
      <c r="AU10489" s="10"/>
      <c r="AV10489" s="10"/>
      <c r="AW10489" s="10"/>
      <c r="AX10489" s="10"/>
      <c r="AY10489" s="10"/>
      <c r="AZ10489" s="10"/>
    </row>
    <row r="10490" spans="31:52">
      <c r="AE10490" s="10"/>
      <c r="AF10490" s="10"/>
      <c r="AG10490" s="10"/>
      <c r="AH10490" s="10"/>
      <c r="AI10490" s="10"/>
      <c r="AJ10490" s="10"/>
      <c r="AK10490" s="10"/>
      <c r="AL10490" s="10"/>
      <c r="AM10490" s="10"/>
      <c r="AN10490" s="10"/>
      <c r="AO10490" s="10"/>
      <c r="AP10490" s="10"/>
      <c r="AQ10490" s="10"/>
      <c r="AR10490" s="10"/>
      <c r="AS10490" s="10"/>
      <c r="AT10490" s="10"/>
      <c r="AU10490" s="10"/>
      <c r="AV10490" s="10"/>
      <c r="AW10490" s="10"/>
      <c r="AX10490" s="10"/>
      <c r="AY10490" s="10"/>
      <c r="AZ10490" s="10"/>
    </row>
    <row r="10491" spans="31:52">
      <c r="AE10491" s="10"/>
      <c r="AF10491" s="10"/>
      <c r="AG10491" s="10"/>
      <c r="AH10491" s="10"/>
      <c r="AI10491" s="10"/>
      <c r="AJ10491" s="10"/>
      <c r="AK10491" s="10"/>
      <c r="AL10491" s="10"/>
      <c r="AM10491" s="10"/>
      <c r="AN10491" s="10"/>
      <c r="AO10491" s="10"/>
      <c r="AP10491" s="10"/>
      <c r="AQ10491" s="10"/>
      <c r="AR10491" s="10"/>
      <c r="AS10491" s="10"/>
      <c r="AT10491" s="10"/>
      <c r="AU10491" s="10"/>
      <c r="AV10491" s="10"/>
      <c r="AW10491" s="10"/>
      <c r="AX10491" s="10"/>
      <c r="AY10491" s="10"/>
      <c r="AZ10491" s="10"/>
    </row>
    <row r="10492" spans="31:52">
      <c r="AE10492" s="10"/>
      <c r="AF10492" s="10"/>
      <c r="AG10492" s="10"/>
      <c r="AH10492" s="10"/>
      <c r="AI10492" s="10"/>
      <c r="AJ10492" s="10"/>
      <c r="AK10492" s="10"/>
      <c r="AL10492" s="10"/>
      <c r="AM10492" s="10"/>
      <c r="AN10492" s="10"/>
      <c r="AO10492" s="10"/>
      <c r="AP10492" s="10"/>
      <c r="AQ10492" s="10"/>
      <c r="AR10492" s="10"/>
      <c r="AS10492" s="10"/>
      <c r="AT10492" s="10"/>
      <c r="AU10492" s="10"/>
      <c r="AV10492" s="10"/>
      <c r="AW10492" s="10"/>
      <c r="AX10492" s="10"/>
      <c r="AY10492" s="10"/>
      <c r="AZ10492" s="10"/>
    </row>
    <row r="10493" spans="31:52">
      <c r="AE10493" s="10"/>
      <c r="AF10493" s="10"/>
      <c r="AG10493" s="10"/>
      <c r="AH10493" s="10"/>
      <c r="AI10493" s="10"/>
      <c r="AJ10493" s="10"/>
      <c r="AK10493" s="10"/>
      <c r="AL10493" s="10"/>
      <c r="AM10493" s="10"/>
      <c r="AN10493" s="10"/>
      <c r="AO10493" s="10"/>
      <c r="AP10493" s="10"/>
      <c r="AQ10493" s="10"/>
      <c r="AR10493" s="10"/>
      <c r="AS10493" s="10"/>
      <c r="AT10493" s="10"/>
      <c r="AU10493" s="10"/>
      <c r="AV10493" s="10"/>
      <c r="AW10493" s="10"/>
      <c r="AX10493" s="10"/>
      <c r="AY10493" s="10"/>
      <c r="AZ10493" s="10"/>
    </row>
    <row r="10494" spans="31:52">
      <c r="AE10494" s="10"/>
      <c r="AF10494" s="10"/>
      <c r="AG10494" s="10"/>
      <c r="AH10494" s="10"/>
      <c r="AI10494" s="10"/>
      <c r="AJ10494" s="10"/>
      <c r="AK10494" s="10"/>
      <c r="AL10494" s="10"/>
      <c r="AM10494" s="10"/>
      <c r="AN10494" s="10"/>
      <c r="AO10494" s="10"/>
      <c r="AP10494" s="10"/>
      <c r="AQ10494" s="10"/>
      <c r="AR10494" s="10"/>
      <c r="AS10494" s="10"/>
      <c r="AT10494" s="10"/>
      <c r="AU10494" s="10"/>
      <c r="AV10494" s="10"/>
      <c r="AW10494" s="10"/>
      <c r="AX10494" s="10"/>
      <c r="AY10494" s="10"/>
      <c r="AZ10494" s="10"/>
    </row>
    <row r="10495" spans="31:52">
      <c r="AE10495" s="10"/>
      <c r="AF10495" s="10"/>
      <c r="AG10495" s="10"/>
      <c r="AH10495" s="10"/>
      <c r="AI10495" s="10"/>
      <c r="AJ10495" s="10"/>
      <c r="AK10495" s="10"/>
      <c r="AL10495" s="10"/>
      <c r="AM10495" s="10"/>
      <c r="AN10495" s="10"/>
      <c r="AO10495" s="10"/>
      <c r="AP10495" s="10"/>
      <c r="AQ10495" s="10"/>
      <c r="AR10495" s="10"/>
      <c r="AS10495" s="10"/>
      <c r="AT10495" s="10"/>
      <c r="AU10495" s="10"/>
      <c r="AV10495" s="10"/>
      <c r="AW10495" s="10"/>
      <c r="AX10495" s="10"/>
      <c r="AY10495" s="10"/>
      <c r="AZ10495" s="10"/>
    </row>
    <row r="10496" spans="31:52">
      <c r="AE10496" s="10"/>
      <c r="AF10496" s="10"/>
      <c r="AG10496" s="10"/>
      <c r="AH10496" s="10"/>
      <c r="AI10496" s="10"/>
      <c r="AJ10496" s="10"/>
      <c r="AK10496" s="10"/>
      <c r="AL10496" s="10"/>
      <c r="AM10496" s="10"/>
      <c r="AN10496" s="10"/>
      <c r="AO10496" s="10"/>
      <c r="AP10496" s="10"/>
      <c r="AQ10496" s="10"/>
      <c r="AR10496" s="10"/>
      <c r="AS10496" s="10"/>
      <c r="AT10496" s="10"/>
      <c r="AU10496" s="10"/>
      <c r="AV10496" s="10"/>
      <c r="AW10496" s="10"/>
      <c r="AX10496" s="10"/>
      <c r="AY10496" s="10"/>
      <c r="AZ10496" s="10"/>
    </row>
    <row r="10497" spans="31:52">
      <c r="AE10497" s="10"/>
      <c r="AF10497" s="10"/>
      <c r="AG10497" s="10"/>
      <c r="AH10497" s="10"/>
      <c r="AI10497" s="10"/>
      <c r="AJ10497" s="10"/>
      <c r="AK10497" s="10"/>
      <c r="AL10497" s="10"/>
      <c r="AM10497" s="10"/>
      <c r="AN10497" s="10"/>
      <c r="AO10497" s="10"/>
      <c r="AP10497" s="10"/>
      <c r="AQ10497" s="10"/>
      <c r="AR10497" s="10"/>
      <c r="AS10497" s="10"/>
      <c r="AT10497" s="10"/>
      <c r="AU10497" s="10"/>
      <c r="AV10497" s="10"/>
      <c r="AW10497" s="10"/>
      <c r="AX10497" s="10"/>
      <c r="AY10497" s="10"/>
      <c r="AZ10497" s="10"/>
    </row>
    <row r="10498" spans="31:52">
      <c r="AE10498" s="10"/>
      <c r="AF10498" s="10"/>
      <c r="AG10498" s="10"/>
      <c r="AH10498" s="10"/>
      <c r="AI10498" s="10"/>
      <c r="AJ10498" s="10"/>
      <c r="AK10498" s="10"/>
      <c r="AL10498" s="10"/>
      <c r="AM10498" s="10"/>
      <c r="AN10498" s="10"/>
      <c r="AO10498" s="10"/>
      <c r="AP10498" s="10"/>
      <c r="AQ10498" s="10"/>
      <c r="AR10498" s="10"/>
      <c r="AS10498" s="10"/>
      <c r="AT10498" s="10"/>
      <c r="AU10498" s="10"/>
      <c r="AV10498" s="10"/>
      <c r="AW10498" s="10"/>
      <c r="AX10498" s="10"/>
      <c r="AY10498" s="10"/>
      <c r="AZ10498" s="10"/>
    </row>
    <row r="10499" spans="31:52">
      <c r="AE10499" s="10"/>
      <c r="AF10499" s="10"/>
      <c r="AG10499" s="10"/>
      <c r="AH10499" s="10"/>
      <c r="AI10499" s="10"/>
      <c r="AJ10499" s="10"/>
      <c r="AK10499" s="10"/>
      <c r="AL10499" s="10"/>
      <c r="AM10499" s="10"/>
      <c r="AN10499" s="10"/>
      <c r="AO10499" s="10"/>
      <c r="AP10499" s="10"/>
      <c r="AQ10499" s="10"/>
      <c r="AR10499" s="10"/>
      <c r="AS10499" s="10"/>
      <c r="AT10499" s="10"/>
      <c r="AU10499" s="10"/>
      <c r="AV10499" s="10"/>
      <c r="AW10499" s="10"/>
      <c r="AX10499" s="10"/>
      <c r="AY10499" s="10"/>
      <c r="AZ10499" s="10"/>
    </row>
    <row r="10500" spans="31:52">
      <c r="AE10500" s="10"/>
      <c r="AF10500" s="10"/>
      <c r="AG10500" s="10"/>
      <c r="AH10500" s="10"/>
      <c r="AI10500" s="10"/>
      <c r="AJ10500" s="10"/>
      <c r="AK10500" s="10"/>
      <c r="AL10500" s="10"/>
      <c r="AM10500" s="10"/>
      <c r="AN10500" s="10"/>
      <c r="AO10500" s="10"/>
      <c r="AP10500" s="10"/>
      <c r="AQ10500" s="10"/>
      <c r="AR10500" s="10"/>
      <c r="AS10500" s="10"/>
      <c r="AT10500" s="10"/>
      <c r="AU10500" s="10"/>
      <c r="AV10500" s="10"/>
      <c r="AW10500" s="10"/>
      <c r="AX10500" s="10"/>
      <c r="AY10500" s="10"/>
      <c r="AZ10500" s="10"/>
    </row>
    <row r="10501" spans="31:52">
      <c r="AE10501" s="10"/>
      <c r="AF10501" s="10"/>
      <c r="AG10501" s="10"/>
      <c r="AH10501" s="10"/>
      <c r="AI10501" s="10"/>
      <c r="AJ10501" s="10"/>
      <c r="AK10501" s="10"/>
      <c r="AL10501" s="10"/>
      <c r="AM10501" s="10"/>
      <c r="AN10501" s="10"/>
      <c r="AO10501" s="10"/>
      <c r="AP10501" s="10"/>
      <c r="AQ10501" s="10"/>
      <c r="AR10501" s="10"/>
      <c r="AS10501" s="10"/>
      <c r="AT10501" s="10"/>
      <c r="AU10501" s="10"/>
      <c r="AV10501" s="10"/>
      <c r="AW10501" s="10"/>
      <c r="AX10501" s="10"/>
      <c r="AY10501" s="10"/>
      <c r="AZ10501" s="10"/>
    </row>
    <row r="10502" spans="31:52">
      <c r="AE10502" s="10"/>
      <c r="AF10502" s="10"/>
      <c r="AG10502" s="10"/>
      <c r="AH10502" s="10"/>
      <c r="AI10502" s="10"/>
      <c r="AJ10502" s="10"/>
      <c r="AK10502" s="10"/>
      <c r="AL10502" s="10"/>
      <c r="AM10502" s="10"/>
      <c r="AN10502" s="10"/>
      <c r="AO10502" s="10"/>
      <c r="AP10502" s="10"/>
      <c r="AQ10502" s="10"/>
      <c r="AR10502" s="10"/>
      <c r="AS10502" s="10"/>
      <c r="AT10502" s="10"/>
      <c r="AU10502" s="10"/>
      <c r="AV10502" s="10"/>
      <c r="AW10502" s="10"/>
      <c r="AX10502" s="10"/>
      <c r="AY10502" s="10"/>
      <c r="AZ10502" s="10"/>
    </row>
    <row r="10503" spans="31:52">
      <c r="AE10503" s="10"/>
      <c r="AF10503" s="10"/>
      <c r="AG10503" s="10"/>
      <c r="AH10503" s="10"/>
      <c r="AI10503" s="10"/>
      <c r="AJ10503" s="10"/>
      <c r="AK10503" s="10"/>
      <c r="AL10503" s="10"/>
      <c r="AM10503" s="10"/>
      <c r="AN10503" s="10"/>
      <c r="AO10503" s="10"/>
      <c r="AP10503" s="10"/>
      <c r="AQ10503" s="10"/>
      <c r="AR10503" s="10"/>
      <c r="AS10503" s="10"/>
      <c r="AT10503" s="10"/>
      <c r="AU10503" s="10"/>
      <c r="AV10503" s="10"/>
      <c r="AW10503" s="10"/>
      <c r="AX10503" s="10"/>
      <c r="AY10503" s="10"/>
      <c r="AZ10503" s="10"/>
    </row>
    <row r="10504" spans="31:52">
      <c r="AE10504" s="10"/>
      <c r="AF10504" s="10"/>
      <c r="AG10504" s="10"/>
      <c r="AH10504" s="10"/>
      <c r="AI10504" s="10"/>
      <c r="AJ10504" s="10"/>
      <c r="AK10504" s="10"/>
      <c r="AL10504" s="10"/>
      <c r="AM10504" s="10"/>
      <c r="AN10504" s="10"/>
      <c r="AO10504" s="10"/>
      <c r="AP10504" s="10"/>
      <c r="AQ10504" s="10"/>
      <c r="AR10504" s="10"/>
      <c r="AS10504" s="10"/>
      <c r="AT10504" s="10"/>
      <c r="AU10504" s="10"/>
      <c r="AV10504" s="10"/>
      <c r="AW10504" s="10"/>
      <c r="AX10504" s="10"/>
      <c r="AY10504" s="10"/>
      <c r="AZ10504" s="10"/>
    </row>
    <row r="10505" spans="31:52">
      <c r="AE10505" s="10"/>
      <c r="AF10505" s="10"/>
      <c r="AG10505" s="10"/>
      <c r="AH10505" s="10"/>
      <c r="AI10505" s="10"/>
      <c r="AJ10505" s="10"/>
      <c r="AK10505" s="10"/>
      <c r="AL10505" s="10"/>
      <c r="AM10505" s="10"/>
      <c r="AN10505" s="10"/>
      <c r="AO10505" s="10"/>
      <c r="AP10505" s="10"/>
      <c r="AQ10505" s="10"/>
      <c r="AR10505" s="10"/>
      <c r="AS10505" s="10"/>
      <c r="AT10505" s="10"/>
      <c r="AU10505" s="10"/>
      <c r="AV10505" s="10"/>
      <c r="AW10505" s="10"/>
      <c r="AX10505" s="10"/>
      <c r="AY10505" s="10"/>
      <c r="AZ10505" s="10"/>
    </row>
    <row r="10506" spans="31:52">
      <c r="AE10506" s="10"/>
      <c r="AF10506" s="10"/>
      <c r="AG10506" s="10"/>
      <c r="AH10506" s="10"/>
      <c r="AI10506" s="10"/>
      <c r="AJ10506" s="10"/>
      <c r="AK10506" s="10"/>
      <c r="AL10506" s="10"/>
      <c r="AM10506" s="10"/>
      <c r="AN10506" s="10"/>
      <c r="AO10506" s="10"/>
      <c r="AP10506" s="10"/>
      <c r="AQ10506" s="10"/>
      <c r="AR10506" s="10"/>
      <c r="AS10506" s="10"/>
      <c r="AT10506" s="10"/>
      <c r="AU10506" s="10"/>
      <c r="AV10506" s="10"/>
      <c r="AW10506" s="10"/>
      <c r="AX10506" s="10"/>
      <c r="AY10506" s="10"/>
      <c r="AZ10506" s="10"/>
    </row>
    <row r="10507" spans="31:52">
      <c r="AE10507" s="10"/>
      <c r="AF10507" s="10"/>
      <c r="AG10507" s="10"/>
      <c r="AH10507" s="10"/>
      <c r="AI10507" s="10"/>
      <c r="AJ10507" s="10"/>
      <c r="AK10507" s="10"/>
      <c r="AL10507" s="10"/>
      <c r="AM10507" s="10"/>
      <c r="AN10507" s="10"/>
      <c r="AO10507" s="10"/>
      <c r="AP10507" s="10"/>
      <c r="AQ10507" s="10"/>
      <c r="AR10507" s="10"/>
      <c r="AS10507" s="10"/>
      <c r="AT10507" s="10"/>
      <c r="AU10507" s="10"/>
      <c r="AV10507" s="10"/>
      <c r="AW10507" s="10"/>
      <c r="AX10507" s="10"/>
      <c r="AY10507" s="10"/>
      <c r="AZ10507" s="10"/>
    </row>
    <row r="10508" spans="31:52">
      <c r="AE10508" s="10"/>
      <c r="AF10508" s="10"/>
      <c r="AG10508" s="10"/>
      <c r="AH10508" s="10"/>
      <c r="AI10508" s="10"/>
      <c r="AJ10508" s="10"/>
      <c r="AK10508" s="10"/>
      <c r="AL10508" s="10"/>
      <c r="AM10508" s="10"/>
      <c r="AN10508" s="10"/>
      <c r="AO10508" s="10"/>
      <c r="AP10508" s="10"/>
      <c r="AQ10508" s="10"/>
      <c r="AR10508" s="10"/>
      <c r="AS10508" s="10"/>
      <c r="AT10508" s="10"/>
      <c r="AU10508" s="10"/>
      <c r="AV10508" s="10"/>
      <c r="AW10508" s="10"/>
      <c r="AX10508" s="10"/>
      <c r="AY10508" s="10"/>
      <c r="AZ10508" s="10"/>
    </row>
    <row r="10509" spans="31:52">
      <c r="AE10509" s="10"/>
      <c r="AF10509" s="10"/>
      <c r="AG10509" s="10"/>
      <c r="AH10509" s="10"/>
      <c r="AI10509" s="10"/>
      <c r="AJ10509" s="10"/>
      <c r="AK10509" s="10"/>
      <c r="AL10509" s="10"/>
      <c r="AM10509" s="10"/>
      <c r="AN10509" s="10"/>
      <c r="AO10509" s="10"/>
      <c r="AP10509" s="10"/>
      <c r="AQ10509" s="10"/>
      <c r="AR10509" s="10"/>
      <c r="AS10509" s="10"/>
      <c r="AT10509" s="10"/>
      <c r="AU10509" s="10"/>
      <c r="AV10509" s="10"/>
      <c r="AW10509" s="10"/>
      <c r="AX10509" s="10"/>
      <c r="AY10509" s="10"/>
      <c r="AZ10509" s="10"/>
    </row>
    <row r="10510" spans="31:52">
      <c r="AE10510" s="10"/>
      <c r="AF10510" s="10"/>
      <c r="AG10510" s="10"/>
      <c r="AH10510" s="10"/>
      <c r="AI10510" s="10"/>
      <c r="AJ10510" s="10"/>
      <c r="AK10510" s="10"/>
      <c r="AL10510" s="10"/>
      <c r="AM10510" s="10"/>
      <c r="AN10510" s="10"/>
      <c r="AO10510" s="10"/>
      <c r="AP10510" s="10"/>
      <c r="AQ10510" s="10"/>
      <c r="AR10510" s="10"/>
      <c r="AS10510" s="10"/>
      <c r="AT10510" s="10"/>
      <c r="AU10510" s="10"/>
      <c r="AV10510" s="10"/>
      <c r="AW10510" s="10"/>
      <c r="AX10510" s="10"/>
      <c r="AY10510" s="10"/>
      <c r="AZ10510" s="10"/>
    </row>
    <row r="10511" spans="31:52">
      <c r="AE10511" s="10"/>
      <c r="AF10511" s="10"/>
      <c r="AG10511" s="10"/>
      <c r="AH10511" s="10"/>
      <c r="AI10511" s="10"/>
      <c r="AJ10511" s="10"/>
      <c r="AK10511" s="10"/>
      <c r="AL10511" s="10"/>
      <c r="AM10511" s="10"/>
      <c r="AN10511" s="10"/>
      <c r="AO10511" s="10"/>
      <c r="AP10511" s="10"/>
      <c r="AQ10511" s="10"/>
      <c r="AR10511" s="10"/>
      <c r="AS10511" s="10"/>
      <c r="AT10511" s="10"/>
      <c r="AU10511" s="10"/>
      <c r="AV10511" s="10"/>
      <c r="AW10511" s="10"/>
      <c r="AX10511" s="10"/>
      <c r="AY10511" s="10"/>
      <c r="AZ10511" s="10"/>
    </row>
    <row r="10512" spans="31:52">
      <c r="AE10512" s="10"/>
      <c r="AF10512" s="10"/>
      <c r="AG10512" s="10"/>
      <c r="AH10512" s="10"/>
      <c r="AI10512" s="10"/>
      <c r="AJ10512" s="10"/>
      <c r="AK10512" s="10"/>
      <c r="AL10512" s="10"/>
      <c r="AM10512" s="10"/>
      <c r="AN10512" s="10"/>
      <c r="AO10512" s="10"/>
      <c r="AP10512" s="10"/>
      <c r="AQ10512" s="10"/>
      <c r="AR10512" s="10"/>
      <c r="AS10512" s="10"/>
      <c r="AT10512" s="10"/>
      <c r="AU10512" s="10"/>
      <c r="AV10512" s="10"/>
      <c r="AW10512" s="10"/>
      <c r="AX10512" s="10"/>
      <c r="AY10512" s="10"/>
      <c r="AZ10512" s="10"/>
    </row>
    <row r="10513" spans="31:52">
      <c r="AE10513" s="10"/>
      <c r="AF10513" s="10"/>
      <c r="AG10513" s="10"/>
      <c r="AH10513" s="10"/>
      <c r="AI10513" s="10"/>
      <c r="AJ10513" s="10"/>
      <c r="AK10513" s="10"/>
      <c r="AL10513" s="10"/>
      <c r="AM10513" s="10"/>
      <c r="AN10513" s="10"/>
      <c r="AO10513" s="10"/>
      <c r="AP10513" s="10"/>
      <c r="AQ10513" s="10"/>
      <c r="AR10513" s="10"/>
      <c r="AS10513" s="10"/>
      <c r="AT10513" s="10"/>
      <c r="AU10513" s="10"/>
      <c r="AV10513" s="10"/>
      <c r="AW10513" s="10"/>
      <c r="AX10513" s="10"/>
      <c r="AY10513" s="10"/>
      <c r="AZ10513" s="10"/>
    </row>
    <row r="10514" spans="31:52">
      <c r="AE10514" s="10"/>
      <c r="AF10514" s="10"/>
      <c r="AG10514" s="10"/>
      <c r="AH10514" s="10"/>
      <c r="AI10514" s="10"/>
      <c r="AJ10514" s="10"/>
      <c r="AK10514" s="10"/>
      <c r="AL10514" s="10"/>
      <c r="AM10514" s="10"/>
      <c r="AN10514" s="10"/>
      <c r="AO10514" s="10"/>
      <c r="AP10514" s="10"/>
      <c r="AQ10514" s="10"/>
      <c r="AR10514" s="10"/>
      <c r="AS10514" s="10"/>
      <c r="AT10514" s="10"/>
      <c r="AU10514" s="10"/>
      <c r="AV10514" s="10"/>
      <c r="AW10514" s="10"/>
      <c r="AX10514" s="10"/>
      <c r="AY10514" s="10"/>
      <c r="AZ10514" s="10"/>
    </row>
    <row r="10515" spans="31:52">
      <c r="AE10515" s="10"/>
      <c r="AF10515" s="10"/>
      <c r="AG10515" s="10"/>
      <c r="AH10515" s="10"/>
      <c r="AI10515" s="10"/>
      <c r="AJ10515" s="10"/>
      <c r="AK10515" s="10"/>
      <c r="AL10515" s="10"/>
      <c r="AM10515" s="10"/>
      <c r="AN10515" s="10"/>
      <c r="AO10515" s="10"/>
      <c r="AP10515" s="10"/>
      <c r="AQ10515" s="10"/>
      <c r="AR10515" s="10"/>
      <c r="AS10515" s="10"/>
      <c r="AT10515" s="10"/>
      <c r="AU10515" s="10"/>
      <c r="AV10515" s="10"/>
      <c r="AW10515" s="10"/>
      <c r="AX10515" s="10"/>
      <c r="AY10515" s="10"/>
      <c r="AZ10515" s="10"/>
    </row>
    <row r="10516" spans="31:52">
      <c r="AE10516" s="10"/>
      <c r="AF10516" s="10"/>
      <c r="AG10516" s="10"/>
      <c r="AH10516" s="10"/>
      <c r="AI10516" s="10"/>
      <c r="AJ10516" s="10"/>
      <c r="AK10516" s="10"/>
      <c r="AL10516" s="10"/>
      <c r="AM10516" s="10"/>
      <c r="AN10516" s="10"/>
      <c r="AO10516" s="10"/>
      <c r="AP10516" s="10"/>
      <c r="AQ10516" s="10"/>
      <c r="AR10516" s="10"/>
      <c r="AS10516" s="10"/>
      <c r="AT10516" s="10"/>
      <c r="AU10516" s="10"/>
      <c r="AV10516" s="10"/>
      <c r="AW10516" s="10"/>
      <c r="AX10516" s="10"/>
      <c r="AY10516" s="10"/>
      <c r="AZ10516" s="10"/>
    </row>
    <row r="10517" spans="31:52">
      <c r="AE10517" s="10"/>
      <c r="AF10517" s="10"/>
      <c r="AG10517" s="10"/>
      <c r="AH10517" s="10"/>
      <c r="AI10517" s="10"/>
      <c r="AJ10517" s="10"/>
      <c r="AK10517" s="10"/>
      <c r="AL10517" s="10"/>
      <c r="AM10517" s="10"/>
      <c r="AN10517" s="10"/>
      <c r="AO10517" s="10"/>
      <c r="AP10517" s="10"/>
      <c r="AQ10517" s="10"/>
      <c r="AR10517" s="10"/>
      <c r="AS10517" s="10"/>
      <c r="AT10517" s="10"/>
      <c r="AU10517" s="10"/>
      <c r="AV10517" s="10"/>
      <c r="AW10517" s="10"/>
      <c r="AX10517" s="10"/>
      <c r="AY10517" s="10"/>
      <c r="AZ10517" s="10"/>
    </row>
    <row r="10518" spans="31:52">
      <c r="AE10518" s="10"/>
      <c r="AF10518" s="10"/>
      <c r="AG10518" s="10"/>
      <c r="AH10518" s="10"/>
      <c r="AI10518" s="10"/>
      <c r="AJ10518" s="10"/>
      <c r="AK10518" s="10"/>
      <c r="AL10518" s="10"/>
      <c r="AM10518" s="10"/>
      <c r="AN10518" s="10"/>
      <c r="AO10518" s="10"/>
      <c r="AP10518" s="10"/>
      <c r="AQ10518" s="10"/>
      <c r="AR10518" s="10"/>
      <c r="AS10518" s="10"/>
      <c r="AT10518" s="10"/>
      <c r="AU10518" s="10"/>
      <c r="AV10518" s="10"/>
      <c r="AW10518" s="10"/>
      <c r="AX10518" s="10"/>
      <c r="AY10518" s="10"/>
      <c r="AZ10518" s="10"/>
    </row>
    <row r="10519" spans="31:52">
      <c r="AE10519" s="10"/>
      <c r="AF10519" s="10"/>
      <c r="AG10519" s="10"/>
      <c r="AH10519" s="10"/>
      <c r="AI10519" s="10"/>
      <c r="AJ10519" s="10"/>
      <c r="AK10519" s="10"/>
      <c r="AL10519" s="10"/>
      <c r="AM10519" s="10"/>
      <c r="AN10519" s="10"/>
      <c r="AO10519" s="10"/>
      <c r="AP10519" s="10"/>
      <c r="AQ10519" s="10"/>
      <c r="AR10519" s="10"/>
      <c r="AS10519" s="10"/>
      <c r="AT10519" s="10"/>
      <c r="AU10519" s="10"/>
      <c r="AV10519" s="10"/>
      <c r="AW10519" s="10"/>
      <c r="AX10519" s="10"/>
      <c r="AY10519" s="10"/>
      <c r="AZ10519" s="10"/>
    </row>
    <row r="10520" spans="31:52">
      <c r="AE10520" s="10"/>
      <c r="AF10520" s="10"/>
      <c r="AG10520" s="10"/>
      <c r="AH10520" s="10"/>
      <c r="AI10520" s="10"/>
      <c r="AJ10520" s="10"/>
      <c r="AK10520" s="10"/>
      <c r="AL10520" s="10"/>
      <c r="AM10520" s="10"/>
      <c r="AN10520" s="10"/>
      <c r="AO10520" s="10"/>
      <c r="AP10520" s="10"/>
      <c r="AQ10520" s="10"/>
      <c r="AR10520" s="10"/>
      <c r="AS10520" s="10"/>
      <c r="AT10520" s="10"/>
      <c r="AU10520" s="10"/>
      <c r="AV10520" s="10"/>
      <c r="AW10520" s="10"/>
      <c r="AX10520" s="10"/>
      <c r="AY10520" s="10"/>
      <c r="AZ10520" s="10"/>
    </row>
    <row r="10521" spans="31:52">
      <c r="AE10521" s="10"/>
      <c r="AF10521" s="10"/>
      <c r="AG10521" s="10"/>
      <c r="AH10521" s="10"/>
      <c r="AI10521" s="10"/>
      <c r="AJ10521" s="10"/>
      <c r="AK10521" s="10"/>
      <c r="AL10521" s="10"/>
      <c r="AM10521" s="10"/>
      <c r="AN10521" s="10"/>
      <c r="AO10521" s="10"/>
      <c r="AP10521" s="10"/>
      <c r="AQ10521" s="10"/>
      <c r="AR10521" s="10"/>
      <c r="AS10521" s="10"/>
      <c r="AT10521" s="10"/>
      <c r="AU10521" s="10"/>
      <c r="AV10521" s="10"/>
      <c r="AW10521" s="10"/>
      <c r="AX10521" s="10"/>
      <c r="AY10521" s="10"/>
      <c r="AZ10521" s="10"/>
    </row>
    <row r="10522" spans="31:52">
      <c r="AE10522" s="10"/>
      <c r="AF10522" s="10"/>
      <c r="AG10522" s="10"/>
      <c r="AH10522" s="10"/>
      <c r="AI10522" s="10"/>
      <c r="AJ10522" s="10"/>
      <c r="AK10522" s="10"/>
      <c r="AL10522" s="10"/>
      <c r="AM10522" s="10"/>
      <c r="AN10522" s="10"/>
      <c r="AO10522" s="10"/>
      <c r="AP10522" s="10"/>
      <c r="AQ10522" s="10"/>
      <c r="AR10522" s="10"/>
      <c r="AS10522" s="10"/>
      <c r="AT10522" s="10"/>
      <c r="AU10522" s="10"/>
      <c r="AV10522" s="10"/>
      <c r="AW10522" s="10"/>
      <c r="AX10522" s="10"/>
      <c r="AY10522" s="10"/>
      <c r="AZ10522" s="10"/>
    </row>
    <row r="10523" spans="31:52">
      <c r="AE10523" s="10"/>
      <c r="AF10523" s="10"/>
      <c r="AG10523" s="10"/>
      <c r="AH10523" s="10"/>
      <c r="AI10523" s="10"/>
      <c r="AJ10523" s="10"/>
      <c r="AK10523" s="10"/>
      <c r="AL10523" s="10"/>
      <c r="AM10523" s="10"/>
      <c r="AN10523" s="10"/>
      <c r="AO10523" s="10"/>
      <c r="AP10523" s="10"/>
      <c r="AQ10523" s="10"/>
      <c r="AR10523" s="10"/>
      <c r="AS10523" s="10"/>
      <c r="AT10523" s="10"/>
      <c r="AU10523" s="10"/>
      <c r="AV10523" s="10"/>
      <c r="AW10523" s="10"/>
      <c r="AX10523" s="10"/>
      <c r="AY10523" s="10"/>
      <c r="AZ10523" s="10"/>
    </row>
    <row r="10524" spans="31:52">
      <c r="AE10524" s="10"/>
      <c r="AF10524" s="10"/>
      <c r="AG10524" s="10"/>
      <c r="AH10524" s="10"/>
      <c r="AI10524" s="10"/>
      <c r="AJ10524" s="10"/>
      <c r="AK10524" s="10"/>
      <c r="AL10524" s="10"/>
      <c r="AM10524" s="10"/>
      <c r="AN10524" s="10"/>
      <c r="AO10524" s="10"/>
      <c r="AP10524" s="10"/>
      <c r="AQ10524" s="10"/>
      <c r="AR10524" s="10"/>
      <c r="AS10524" s="10"/>
      <c r="AT10524" s="10"/>
      <c r="AU10524" s="10"/>
      <c r="AV10524" s="10"/>
      <c r="AW10524" s="10"/>
      <c r="AX10524" s="10"/>
      <c r="AY10524" s="10"/>
      <c r="AZ10524" s="10"/>
    </row>
    <row r="10525" spans="31:52">
      <c r="AE10525" s="10"/>
      <c r="AF10525" s="10"/>
      <c r="AG10525" s="10"/>
      <c r="AH10525" s="10"/>
      <c r="AI10525" s="10"/>
      <c r="AJ10525" s="10"/>
      <c r="AK10525" s="10"/>
      <c r="AL10525" s="10"/>
      <c r="AM10525" s="10"/>
      <c r="AN10525" s="10"/>
      <c r="AO10525" s="10"/>
      <c r="AP10525" s="10"/>
      <c r="AQ10525" s="10"/>
      <c r="AR10525" s="10"/>
      <c r="AS10525" s="10"/>
      <c r="AT10525" s="10"/>
      <c r="AU10525" s="10"/>
      <c r="AV10525" s="10"/>
      <c r="AW10525" s="10"/>
      <c r="AX10525" s="10"/>
      <c r="AY10525" s="10"/>
      <c r="AZ10525" s="10"/>
    </row>
    <row r="10526" spans="31:52">
      <c r="AE10526" s="10"/>
      <c r="AF10526" s="10"/>
      <c r="AG10526" s="10"/>
      <c r="AH10526" s="10"/>
      <c r="AI10526" s="10"/>
      <c r="AJ10526" s="10"/>
      <c r="AK10526" s="10"/>
      <c r="AL10526" s="10"/>
      <c r="AM10526" s="10"/>
      <c r="AN10526" s="10"/>
      <c r="AO10526" s="10"/>
      <c r="AP10526" s="10"/>
      <c r="AQ10526" s="10"/>
      <c r="AR10526" s="10"/>
      <c r="AS10526" s="10"/>
      <c r="AT10526" s="10"/>
      <c r="AU10526" s="10"/>
      <c r="AV10526" s="10"/>
      <c r="AW10526" s="10"/>
      <c r="AX10526" s="10"/>
      <c r="AY10526" s="10"/>
      <c r="AZ10526" s="10"/>
    </row>
    <row r="10527" spans="31:52">
      <c r="AE10527" s="10"/>
      <c r="AF10527" s="10"/>
      <c r="AG10527" s="10"/>
      <c r="AH10527" s="10"/>
      <c r="AI10527" s="10"/>
      <c r="AJ10527" s="10"/>
      <c r="AK10527" s="10"/>
      <c r="AL10527" s="10"/>
      <c r="AM10527" s="10"/>
      <c r="AN10527" s="10"/>
      <c r="AO10527" s="10"/>
      <c r="AP10527" s="10"/>
      <c r="AQ10527" s="10"/>
      <c r="AR10527" s="10"/>
      <c r="AS10527" s="10"/>
      <c r="AT10527" s="10"/>
      <c r="AU10527" s="10"/>
      <c r="AV10527" s="10"/>
      <c r="AW10527" s="10"/>
      <c r="AX10527" s="10"/>
      <c r="AY10527" s="10"/>
      <c r="AZ10527" s="10"/>
    </row>
    <row r="10528" spans="31:52">
      <c r="AE10528" s="10"/>
      <c r="AF10528" s="10"/>
      <c r="AG10528" s="10"/>
      <c r="AH10528" s="10"/>
      <c r="AI10528" s="10"/>
      <c r="AJ10528" s="10"/>
      <c r="AK10528" s="10"/>
      <c r="AL10528" s="10"/>
      <c r="AM10528" s="10"/>
      <c r="AN10528" s="10"/>
      <c r="AO10528" s="10"/>
      <c r="AP10528" s="10"/>
      <c r="AQ10528" s="10"/>
      <c r="AR10528" s="10"/>
      <c r="AS10528" s="10"/>
      <c r="AT10528" s="10"/>
      <c r="AU10528" s="10"/>
      <c r="AV10528" s="10"/>
      <c r="AW10528" s="10"/>
      <c r="AX10528" s="10"/>
      <c r="AY10528" s="10"/>
      <c r="AZ10528" s="10"/>
    </row>
    <row r="10529" spans="31:52">
      <c r="AE10529" s="10"/>
      <c r="AF10529" s="10"/>
      <c r="AG10529" s="10"/>
      <c r="AH10529" s="10"/>
      <c r="AI10529" s="10"/>
      <c r="AJ10529" s="10"/>
      <c r="AK10529" s="10"/>
      <c r="AL10529" s="10"/>
      <c r="AM10529" s="10"/>
      <c r="AN10529" s="10"/>
      <c r="AO10529" s="10"/>
      <c r="AP10529" s="10"/>
      <c r="AQ10529" s="10"/>
      <c r="AR10529" s="10"/>
      <c r="AS10529" s="10"/>
      <c r="AT10529" s="10"/>
      <c r="AU10529" s="10"/>
      <c r="AV10529" s="10"/>
      <c r="AW10529" s="10"/>
      <c r="AX10529" s="10"/>
      <c r="AY10529" s="10"/>
      <c r="AZ10529" s="10"/>
    </row>
    <row r="10530" spans="31:52">
      <c r="AE10530" s="10"/>
      <c r="AF10530" s="10"/>
      <c r="AG10530" s="10"/>
      <c r="AH10530" s="10"/>
      <c r="AI10530" s="10"/>
      <c r="AJ10530" s="10"/>
      <c r="AK10530" s="10"/>
      <c r="AL10530" s="10"/>
      <c r="AM10530" s="10"/>
      <c r="AN10530" s="10"/>
      <c r="AO10530" s="10"/>
      <c r="AP10530" s="10"/>
      <c r="AQ10530" s="10"/>
      <c r="AR10530" s="10"/>
      <c r="AS10530" s="10"/>
      <c r="AT10530" s="10"/>
      <c r="AU10530" s="10"/>
      <c r="AV10530" s="10"/>
      <c r="AW10530" s="10"/>
      <c r="AX10530" s="10"/>
      <c r="AY10530" s="10"/>
      <c r="AZ10530" s="10"/>
    </row>
    <row r="10531" spans="31:52">
      <c r="AE10531" s="10"/>
      <c r="AF10531" s="10"/>
      <c r="AG10531" s="10"/>
      <c r="AH10531" s="10"/>
      <c r="AI10531" s="10"/>
      <c r="AJ10531" s="10"/>
      <c r="AK10531" s="10"/>
      <c r="AL10531" s="10"/>
      <c r="AM10531" s="10"/>
      <c r="AN10531" s="10"/>
      <c r="AO10531" s="10"/>
      <c r="AP10531" s="10"/>
      <c r="AQ10531" s="10"/>
      <c r="AR10531" s="10"/>
      <c r="AS10531" s="10"/>
      <c r="AT10531" s="10"/>
      <c r="AU10531" s="10"/>
      <c r="AV10531" s="10"/>
      <c r="AW10531" s="10"/>
      <c r="AX10531" s="10"/>
      <c r="AY10531" s="10"/>
      <c r="AZ10531" s="10"/>
    </row>
    <row r="10532" spans="31:52">
      <c r="AE10532" s="10"/>
      <c r="AF10532" s="10"/>
      <c r="AG10532" s="10"/>
      <c r="AH10532" s="10"/>
      <c r="AI10532" s="10"/>
      <c r="AJ10532" s="10"/>
      <c r="AK10532" s="10"/>
      <c r="AL10532" s="10"/>
      <c r="AM10532" s="10"/>
      <c r="AN10532" s="10"/>
      <c r="AO10532" s="10"/>
      <c r="AP10532" s="10"/>
      <c r="AQ10532" s="10"/>
      <c r="AR10532" s="10"/>
      <c r="AS10532" s="10"/>
      <c r="AT10532" s="10"/>
      <c r="AU10532" s="10"/>
      <c r="AV10532" s="10"/>
      <c r="AW10532" s="10"/>
      <c r="AX10532" s="10"/>
      <c r="AY10532" s="10"/>
      <c r="AZ10532" s="10"/>
    </row>
    <row r="10533" spans="31:52">
      <c r="AE10533" s="10"/>
      <c r="AF10533" s="10"/>
      <c r="AG10533" s="10"/>
      <c r="AH10533" s="10"/>
      <c r="AI10533" s="10"/>
      <c r="AJ10533" s="10"/>
      <c r="AK10533" s="10"/>
      <c r="AL10533" s="10"/>
      <c r="AM10533" s="10"/>
      <c r="AN10533" s="10"/>
      <c r="AO10533" s="10"/>
      <c r="AP10533" s="10"/>
      <c r="AQ10533" s="10"/>
      <c r="AR10533" s="10"/>
      <c r="AS10533" s="10"/>
      <c r="AT10533" s="10"/>
      <c r="AU10533" s="10"/>
      <c r="AV10533" s="10"/>
      <c r="AW10533" s="10"/>
      <c r="AX10533" s="10"/>
      <c r="AY10533" s="10"/>
      <c r="AZ10533" s="10"/>
    </row>
    <row r="10534" spans="31:52">
      <c r="AE10534" s="10"/>
      <c r="AF10534" s="10"/>
      <c r="AG10534" s="10"/>
      <c r="AH10534" s="10"/>
      <c r="AI10534" s="10"/>
      <c r="AJ10534" s="10"/>
      <c r="AK10534" s="10"/>
      <c r="AL10534" s="10"/>
      <c r="AM10534" s="10"/>
      <c r="AN10534" s="10"/>
      <c r="AO10534" s="10"/>
      <c r="AP10534" s="10"/>
      <c r="AQ10534" s="10"/>
      <c r="AR10534" s="10"/>
      <c r="AS10534" s="10"/>
      <c r="AT10534" s="10"/>
      <c r="AU10534" s="10"/>
      <c r="AV10534" s="10"/>
      <c r="AW10534" s="10"/>
      <c r="AX10534" s="10"/>
      <c r="AY10534" s="10"/>
      <c r="AZ10534" s="10"/>
    </row>
    <row r="10535" spans="31:52">
      <c r="AE10535" s="10"/>
      <c r="AF10535" s="10"/>
      <c r="AG10535" s="10"/>
      <c r="AH10535" s="10"/>
      <c r="AI10535" s="10"/>
      <c r="AJ10535" s="10"/>
      <c r="AK10535" s="10"/>
      <c r="AL10535" s="10"/>
      <c r="AM10535" s="10"/>
      <c r="AN10535" s="10"/>
      <c r="AO10535" s="10"/>
      <c r="AP10535" s="10"/>
      <c r="AQ10535" s="10"/>
      <c r="AR10535" s="10"/>
      <c r="AS10535" s="10"/>
      <c r="AT10535" s="10"/>
      <c r="AU10535" s="10"/>
      <c r="AV10535" s="10"/>
      <c r="AW10535" s="10"/>
      <c r="AX10535" s="10"/>
      <c r="AY10535" s="10"/>
      <c r="AZ10535" s="10"/>
    </row>
    <row r="10536" spans="31:52">
      <c r="AE10536" s="10"/>
      <c r="AF10536" s="10"/>
      <c r="AG10536" s="10"/>
      <c r="AH10536" s="10"/>
      <c r="AI10536" s="10"/>
      <c r="AJ10536" s="10"/>
      <c r="AK10536" s="10"/>
      <c r="AL10536" s="10"/>
      <c r="AM10536" s="10"/>
      <c r="AN10536" s="10"/>
      <c r="AO10536" s="10"/>
      <c r="AP10536" s="10"/>
      <c r="AQ10536" s="10"/>
      <c r="AR10536" s="10"/>
      <c r="AS10536" s="10"/>
      <c r="AT10536" s="10"/>
      <c r="AU10536" s="10"/>
      <c r="AV10536" s="10"/>
      <c r="AW10536" s="10"/>
      <c r="AX10536" s="10"/>
      <c r="AY10536" s="10"/>
      <c r="AZ10536" s="10"/>
    </row>
    <row r="10537" spans="31:52">
      <c r="AE10537" s="10"/>
      <c r="AF10537" s="10"/>
      <c r="AG10537" s="10"/>
      <c r="AH10537" s="10"/>
      <c r="AI10537" s="10"/>
      <c r="AJ10537" s="10"/>
      <c r="AK10537" s="10"/>
      <c r="AL10537" s="10"/>
      <c r="AM10537" s="10"/>
      <c r="AN10537" s="10"/>
      <c r="AO10537" s="10"/>
      <c r="AP10537" s="10"/>
      <c r="AQ10537" s="10"/>
      <c r="AR10537" s="10"/>
      <c r="AS10537" s="10"/>
      <c r="AT10537" s="10"/>
      <c r="AU10537" s="10"/>
      <c r="AV10537" s="10"/>
      <c r="AW10537" s="10"/>
      <c r="AX10537" s="10"/>
      <c r="AY10537" s="10"/>
      <c r="AZ10537" s="10"/>
    </row>
    <row r="10538" spans="31:52">
      <c r="AE10538" s="10"/>
      <c r="AF10538" s="10"/>
      <c r="AG10538" s="10"/>
      <c r="AH10538" s="10"/>
      <c r="AI10538" s="10"/>
      <c r="AJ10538" s="10"/>
      <c r="AK10538" s="10"/>
      <c r="AL10538" s="10"/>
      <c r="AM10538" s="10"/>
      <c r="AN10538" s="10"/>
      <c r="AO10538" s="10"/>
      <c r="AP10538" s="10"/>
      <c r="AQ10538" s="10"/>
      <c r="AR10538" s="10"/>
      <c r="AS10538" s="10"/>
      <c r="AT10538" s="10"/>
      <c r="AU10538" s="10"/>
      <c r="AV10538" s="10"/>
      <c r="AW10538" s="10"/>
      <c r="AX10538" s="10"/>
      <c r="AY10538" s="10"/>
      <c r="AZ10538" s="10"/>
    </row>
    <row r="10539" spans="31:52">
      <c r="AE10539" s="10"/>
      <c r="AF10539" s="10"/>
      <c r="AG10539" s="10"/>
      <c r="AH10539" s="10"/>
      <c r="AI10539" s="10"/>
      <c r="AJ10539" s="10"/>
      <c r="AK10539" s="10"/>
      <c r="AL10539" s="10"/>
      <c r="AM10539" s="10"/>
      <c r="AN10539" s="10"/>
      <c r="AO10539" s="10"/>
      <c r="AP10539" s="10"/>
      <c r="AQ10539" s="10"/>
      <c r="AR10539" s="10"/>
      <c r="AS10539" s="10"/>
      <c r="AT10539" s="10"/>
      <c r="AU10539" s="10"/>
      <c r="AV10539" s="10"/>
      <c r="AW10539" s="10"/>
      <c r="AX10539" s="10"/>
      <c r="AY10539" s="10"/>
      <c r="AZ10539" s="10"/>
    </row>
    <row r="10540" spans="31:52">
      <c r="AE10540" s="10"/>
      <c r="AF10540" s="10"/>
      <c r="AG10540" s="10"/>
      <c r="AH10540" s="10"/>
      <c r="AI10540" s="10"/>
      <c r="AJ10540" s="10"/>
      <c r="AK10540" s="10"/>
      <c r="AL10540" s="10"/>
      <c r="AM10540" s="10"/>
      <c r="AN10540" s="10"/>
      <c r="AO10540" s="10"/>
      <c r="AP10540" s="10"/>
      <c r="AQ10540" s="10"/>
      <c r="AR10540" s="10"/>
      <c r="AS10540" s="10"/>
      <c r="AT10540" s="10"/>
      <c r="AU10540" s="10"/>
      <c r="AV10540" s="10"/>
      <c r="AW10540" s="10"/>
      <c r="AX10540" s="10"/>
      <c r="AY10540" s="10"/>
      <c r="AZ10540" s="10"/>
    </row>
    <row r="10541" spans="31:52">
      <c r="AE10541" s="10"/>
      <c r="AF10541" s="10"/>
      <c r="AG10541" s="10"/>
      <c r="AH10541" s="10"/>
      <c r="AI10541" s="10"/>
      <c r="AJ10541" s="10"/>
      <c r="AK10541" s="10"/>
      <c r="AL10541" s="10"/>
      <c r="AM10541" s="10"/>
      <c r="AN10541" s="10"/>
      <c r="AO10541" s="10"/>
      <c r="AP10541" s="10"/>
      <c r="AQ10541" s="10"/>
      <c r="AR10541" s="10"/>
      <c r="AS10541" s="10"/>
      <c r="AT10541" s="10"/>
      <c r="AU10541" s="10"/>
      <c r="AV10541" s="10"/>
      <c r="AW10541" s="10"/>
      <c r="AX10541" s="10"/>
      <c r="AY10541" s="10"/>
      <c r="AZ10541" s="10"/>
    </row>
    <row r="10542" spans="31:52">
      <c r="AE10542" s="10"/>
      <c r="AF10542" s="10"/>
      <c r="AG10542" s="10"/>
      <c r="AH10542" s="10"/>
      <c r="AI10542" s="10"/>
      <c r="AJ10542" s="10"/>
      <c r="AK10542" s="10"/>
      <c r="AL10542" s="10"/>
      <c r="AM10542" s="10"/>
      <c r="AN10542" s="10"/>
      <c r="AO10542" s="10"/>
      <c r="AP10542" s="10"/>
      <c r="AQ10542" s="10"/>
      <c r="AR10542" s="10"/>
      <c r="AS10542" s="10"/>
      <c r="AT10542" s="10"/>
      <c r="AU10542" s="10"/>
      <c r="AV10542" s="10"/>
      <c r="AW10542" s="10"/>
      <c r="AX10542" s="10"/>
      <c r="AY10542" s="10"/>
      <c r="AZ10542" s="10"/>
    </row>
    <row r="10543" spans="31:52">
      <c r="AE10543" s="10"/>
      <c r="AF10543" s="10"/>
      <c r="AG10543" s="10"/>
      <c r="AH10543" s="10"/>
      <c r="AI10543" s="10"/>
      <c r="AJ10543" s="10"/>
      <c r="AK10543" s="10"/>
      <c r="AL10543" s="10"/>
      <c r="AM10543" s="10"/>
      <c r="AN10543" s="10"/>
      <c r="AO10543" s="10"/>
      <c r="AP10543" s="10"/>
      <c r="AQ10543" s="10"/>
      <c r="AR10543" s="10"/>
      <c r="AS10543" s="10"/>
      <c r="AT10543" s="10"/>
      <c r="AU10543" s="10"/>
      <c r="AV10543" s="10"/>
      <c r="AW10543" s="10"/>
      <c r="AX10543" s="10"/>
      <c r="AY10543" s="10"/>
      <c r="AZ10543" s="10"/>
    </row>
    <row r="10544" spans="31:52">
      <c r="AE10544" s="10"/>
      <c r="AF10544" s="10"/>
      <c r="AG10544" s="10"/>
      <c r="AH10544" s="10"/>
      <c r="AI10544" s="10"/>
      <c r="AJ10544" s="10"/>
      <c r="AK10544" s="10"/>
      <c r="AL10544" s="10"/>
      <c r="AM10544" s="10"/>
      <c r="AN10544" s="10"/>
      <c r="AO10544" s="10"/>
      <c r="AP10544" s="10"/>
      <c r="AQ10544" s="10"/>
      <c r="AR10544" s="10"/>
      <c r="AS10544" s="10"/>
      <c r="AT10544" s="10"/>
      <c r="AU10544" s="10"/>
      <c r="AV10544" s="10"/>
      <c r="AW10544" s="10"/>
      <c r="AX10544" s="10"/>
      <c r="AY10544" s="10"/>
      <c r="AZ10544" s="10"/>
    </row>
    <row r="10545" spans="31:52">
      <c r="AE10545" s="10"/>
      <c r="AF10545" s="10"/>
      <c r="AG10545" s="10"/>
      <c r="AH10545" s="10"/>
      <c r="AI10545" s="10"/>
      <c r="AJ10545" s="10"/>
      <c r="AK10545" s="10"/>
      <c r="AL10545" s="10"/>
      <c r="AM10545" s="10"/>
      <c r="AN10545" s="10"/>
      <c r="AO10545" s="10"/>
      <c r="AP10545" s="10"/>
      <c r="AQ10545" s="10"/>
      <c r="AR10545" s="10"/>
      <c r="AS10545" s="10"/>
      <c r="AT10545" s="10"/>
      <c r="AU10545" s="10"/>
      <c r="AV10545" s="10"/>
      <c r="AW10545" s="10"/>
      <c r="AX10545" s="10"/>
      <c r="AY10545" s="10"/>
      <c r="AZ10545" s="10"/>
    </row>
    <row r="10546" spans="31:52">
      <c r="AE10546" s="10"/>
      <c r="AF10546" s="10"/>
      <c r="AG10546" s="10"/>
      <c r="AH10546" s="10"/>
      <c r="AI10546" s="10"/>
      <c r="AJ10546" s="10"/>
      <c r="AK10546" s="10"/>
      <c r="AL10546" s="10"/>
      <c r="AM10546" s="10"/>
      <c r="AN10546" s="10"/>
      <c r="AO10546" s="10"/>
      <c r="AP10546" s="10"/>
      <c r="AQ10546" s="10"/>
      <c r="AR10546" s="10"/>
      <c r="AS10546" s="10"/>
      <c r="AT10546" s="10"/>
      <c r="AU10546" s="10"/>
      <c r="AV10546" s="10"/>
      <c r="AW10546" s="10"/>
      <c r="AX10546" s="10"/>
      <c r="AY10546" s="10"/>
      <c r="AZ10546" s="10"/>
    </row>
    <row r="10547" spans="31:52">
      <c r="AE10547" s="10"/>
      <c r="AF10547" s="10"/>
      <c r="AG10547" s="10"/>
      <c r="AH10547" s="10"/>
      <c r="AI10547" s="10"/>
      <c r="AJ10547" s="10"/>
      <c r="AK10547" s="10"/>
      <c r="AL10547" s="10"/>
      <c r="AM10547" s="10"/>
      <c r="AN10547" s="10"/>
      <c r="AO10547" s="10"/>
      <c r="AP10547" s="10"/>
      <c r="AQ10547" s="10"/>
      <c r="AR10547" s="10"/>
      <c r="AS10547" s="10"/>
      <c r="AT10547" s="10"/>
      <c r="AU10547" s="10"/>
      <c r="AV10547" s="10"/>
      <c r="AW10547" s="10"/>
      <c r="AX10547" s="10"/>
      <c r="AY10547" s="10"/>
      <c r="AZ10547" s="10"/>
    </row>
    <row r="10548" spans="31:52">
      <c r="AE10548" s="10"/>
      <c r="AF10548" s="10"/>
      <c r="AG10548" s="10"/>
      <c r="AH10548" s="10"/>
      <c r="AI10548" s="10"/>
      <c r="AJ10548" s="10"/>
      <c r="AK10548" s="10"/>
      <c r="AL10548" s="10"/>
      <c r="AM10548" s="10"/>
      <c r="AN10548" s="10"/>
      <c r="AO10548" s="10"/>
      <c r="AP10548" s="10"/>
      <c r="AQ10548" s="10"/>
      <c r="AR10548" s="10"/>
      <c r="AS10548" s="10"/>
      <c r="AT10548" s="10"/>
      <c r="AU10548" s="10"/>
      <c r="AV10548" s="10"/>
      <c r="AW10548" s="10"/>
      <c r="AX10548" s="10"/>
      <c r="AY10548" s="10"/>
      <c r="AZ10548" s="10"/>
    </row>
    <row r="10549" spans="31:52">
      <c r="AE10549" s="10"/>
      <c r="AF10549" s="10"/>
      <c r="AG10549" s="10"/>
      <c r="AH10549" s="10"/>
      <c r="AI10549" s="10"/>
      <c r="AJ10549" s="10"/>
      <c r="AK10549" s="10"/>
      <c r="AL10549" s="10"/>
      <c r="AM10549" s="10"/>
      <c r="AN10549" s="10"/>
      <c r="AO10549" s="10"/>
      <c r="AP10549" s="10"/>
      <c r="AQ10549" s="10"/>
      <c r="AR10549" s="10"/>
      <c r="AS10549" s="10"/>
      <c r="AT10549" s="10"/>
      <c r="AU10549" s="10"/>
      <c r="AV10549" s="10"/>
      <c r="AW10549" s="10"/>
      <c r="AX10549" s="10"/>
      <c r="AY10549" s="10"/>
      <c r="AZ10549" s="10"/>
    </row>
    <row r="10550" spans="31:52">
      <c r="AE10550" s="10"/>
      <c r="AF10550" s="10"/>
      <c r="AG10550" s="10"/>
      <c r="AH10550" s="10"/>
      <c r="AI10550" s="10"/>
      <c r="AJ10550" s="10"/>
      <c r="AK10550" s="10"/>
      <c r="AL10550" s="10"/>
      <c r="AM10550" s="10"/>
      <c r="AN10550" s="10"/>
      <c r="AO10550" s="10"/>
      <c r="AP10550" s="10"/>
      <c r="AQ10550" s="10"/>
      <c r="AR10550" s="10"/>
      <c r="AS10550" s="10"/>
      <c r="AT10550" s="10"/>
      <c r="AU10550" s="10"/>
      <c r="AV10550" s="10"/>
      <c r="AW10550" s="10"/>
      <c r="AX10550" s="10"/>
      <c r="AY10550" s="10"/>
      <c r="AZ10550" s="10"/>
    </row>
    <row r="10551" spans="31:52">
      <c r="AE10551" s="10"/>
      <c r="AF10551" s="10"/>
      <c r="AG10551" s="10"/>
      <c r="AH10551" s="10"/>
      <c r="AI10551" s="10"/>
      <c r="AJ10551" s="10"/>
      <c r="AK10551" s="10"/>
      <c r="AL10551" s="10"/>
      <c r="AM10551" s="10"/>
      <c r="AN10551" s="10"/>
      <c r="AO10551" s="10"/>
      <c r="AP10551" s="10"/>
      <c r="AQ10551" s="10"/>
      <c r="AR10551" s="10"/>
      <c r="AS10551" s="10"/>
      <c r="AT10551" s="10"/>
      <c r="AU10551" s="10"/>
      <c r="AV10551" s="10"/>
      <c r="AW10551" s="10"/>
      <c r="AX10551" s="10"/>
      <c r="AY10551" s="10"/>
      <c r="AZ10551" s="10"/>
    </row>
    <row r="10552" spans="31:52">
      <c r="AE10552" s="10"/>
      <c r="AF10552" s="10"/>
      <c r="AG10552" s="10"/>
      <c r="AH10552" s="10"/>
      <c r="AI10552" s="10"/>
      <c r="AJ10552" s="10"/>
      <c r="AK10552" s="10"/>
      <c r="AL10552" s="10"/>
      <c r="AM10552" s="10"/>
      <c r="AN10552" s="10"/>
      <c r="AO10552" s="10"/>
      <c r="AP10552" s="10"/>
      <c r="AQ10552" s="10"/>
      <c r="AR10552" s="10"/>
      <c r="AS10552" s="10"/>
      <c r="AT10552" s="10"/>
      <c r="AU10552" s="10"/>
      <c r="AV10552" s="10"/>
      <c r="AW10552" s="10"/>
      <c r="AX10552" s="10"/>
      <c r="AY10552" s="10"/>
      <c r="AZ10552" s="10"/>
    </row>
    <row r="10553" spans="31:52">
      <c r="AE10553" s="10"/>
      <c r="AF10553" s="10"/>
      <c r="AG10553" s="10"/>
      <c r="AH10553" s="10"/>
      <c r="AI10553" s="10"/>
      <c r="AJ10553" s="10"/>
      <c r="AK10553" s="10"/>
      <c r="AL10553" s="10"/>
      <c r="AM10553" s="10"/>
      <c r="AN10553" s="10"/>
      <c r="AO10553" s="10"/>
      <c r="AP10553" s="10"/>
      <c r="AQ10553" s="10"/>
      <c r="AR10553" s="10"/>
      <c r="AS10553" s="10"/>
      <c r="AT10553" s="10"/>
      <c r="AU10553" s="10"/>
      <c r="AV10553" s="10"/>
      <c r="AW10553" s="10"/>
      <c r="AX10553" s="10"/>
      <c r="AY10553" s="10"/>
      <c r="AZ10553" s="10"/>
    </row>
    <row r="10554" spans="31:52">
      <c r="AE10554" s="10"/>
      <c r="AF10554" s="10"/>
      <c r="AG10554" s="10"/>
      <c r="AH10554" s="10"/>
      <c r="AI10554" s="10"/>
      <c r="AJ10554" s="10"/>
      <c r="AK10554" s="10"/>
      <c r="AL10554" s="10"/>
      <c r="AM10554" s="10"/>
      <c r="AN10554" s="10"/>
      <c r="AO10554" s="10"/>
      <c r="AP10554" s="10"/>
      <c r="AQ10554" s="10"/>
      <c r="AR10554" s="10"/>
      <c r="AS10554" s="10"/>
      <c r="AT10554" s="10"/>
      <c r="AU10554" s="10"/>
      <c r="AV10554" s="10"/>
      <c r="AW10554" s="10"/>
      <c r="AX10554" s="10"/>
      <c r="AY10554" s="10"/>
      <c r="AZ10554" s="10"/>
    </row>
    <row r="10555" spans="31:52">
      <c r="AE10555" s="10"/>
      <c r="AF10555" s="10"/>
      <c r="AG10555" s="10"/>
      <c r="AH10555" s="10"/>
      <c r="AI10555" s="10"/>
      <c r="AJ10555" s="10"/>
      <c r="AK10555" s="10"/>
      <c r="AL10555" s="10"/>
      <c r="AM10555" s="10"/>
      <c r="AN10555" s="10"/>
      <c r="AO10555" s="10"/>
      <c r="AP10555" s="10"/>
      <c r="AQ10555" s="10"/>
      <c r="AR10555" s="10"/>
      <c r="AS10555" s="10"/>
      <c r="AT10555" s="10"/>
      <c r="AU10555" s="10"/>
      <c r="AV10555" s="10"/>
      <c r="AW10555" s="10"/>
      <c r="AX10555" s="10"/>
      <c r="AY10555" s="10"/>
      <c r="AZ10555" s="10"/>
    </row>
    <row r="10556" spans="31:52">
      <c r="AE10556" s="10"/>
      <c r="AF10556" s="10"/>
      <c r="AG10556" s="10"/>
      <c r="AH10556" s="10"/>
      <c r="AI10556" s="10"/>
      <c r="AJ10556" s="10"/>
      <c r="AK10556" s="10"/>
      <c r="AL10556" s="10"/>
      <c r="AM10556" s="10"/>
      <c r="AN10556" s="10"/>
      <c r="AO10556" s="10"/>
      <c r="AP10556" s="10"/>
      <c r="AQ10556" s="10"/>
      <c r="AR10556" s="10"/>
      <c r="AS10556" s="10"/>
      <c r="AT10556" s="10"/>
      <c r="AU10556" s="10"/>
      <c r="AV10556" s="10"/>
      <c r="AW10556" s="10"/>
      <c r="AX10556" s="10"/>
      <c r="AY10556" s="10"/>
      <c r="AZ10556" s="10"/>
    </row>
    <row r="10557" spans="31:52">
      <c r="AE10557" s="10"/>
      <c r="AF10557" s="10"/>
      <c r="AG10557" s="10"/>
      <c r="AH10557" s="10"/>
      <c r="AI10557" s="10"/>
      <c r="AJ10557" s="10"/>
      <c r="AK10557" s="10"/>
      <c r="AL10557" s="10"/>
      <c r="AM10557" s="10"/>
      <c r="AN10557" s="10"/>
      <c r="AO10557" s="10"/>
      <c r="AP10557" s="10"/>
      <c r="AQ10557" s="10"/>
      <c r="AR10557" s="10"/>
      <c r="AS10557" s="10"/>
      <c r="AT10557" s="10"/>
      <c r="AU10557" s="10"/>
      <c r="AV10557" s="10"/>
      <c r="AW10557" s="10"/>
      <c r="AX10557" s="10"/>
      <c r="AY10557" s="10"/>
      <c r="AZ10557" s="10"/>
    </row>
    <row r="10558" spans="31:52">
      <c r="AE10558" s="10"/>
      <c r="AF10558" s="10"/>
      <c r="AG10558" s="10"/>
      <c r="AH10558" s="10"/>
      <c r="AI10558" s="10"/>
      <c r="AJ10558" s="10"/>
      <c r="AK10558" s="10"/>
      <c r="AL10558" s="10"/>
      <c r="AM10558" s="10"/>
      <c r="AN10558" s="10"/>
      <c r="AO10558" s="10"/>
      <c r="AP10558" s="10"/>
      <c r="AQ10558" s="10"/>
      <c r="AR10558" s="10"/>
      <c r="AS10558" s="10"/>
      <c r="AT10558" s="10"/>
      <c r="AU10558" s="10"/>
      <c r="AV10558" s="10"/>
      <c r="AW10558" s="10"/>
      <c r="AX10558" s="10"/>
      <c r="AY10558" s="10"/>
      <c r="AZ10558" s="10"/>
    </row>
    <row r="10559" spans="31:52">
      <c r="AE10559" s="10"/>
      <c r="AF10559" s="10"/>
      <c r="AG10559" s="10"/>
      <c r="AH10559" s="10"/>
      <c r="AI10559" s="10"/>
      <c r="AJ10559" s="10"/>
      <c r="AK10559" s="10"/>
      <c r="AL10559" s="10"/>
      <c r="AM10559" s="10"/>
      <c r="AN10559" s="10"/>
      <c r="AO10559" s="10"/>
      <c r="AP10559" s="10"/>
      <c r="AQ10559" s="10"/>
      <c r="AR10559" s="10"/>
      <c r="AS10559" s="10"/>
      <c r="AT10559" s="10"/>
      <c r="AU10559" s="10"/>
      <c r="AV10559" s="10"/>
      <c r="AW10559" s="10"/>
      <c r="AX10559" s="10"/>
      <c r="AY10559" s="10"/>
      <c r="AZ10559" s="10"/>
    </row>
    <row r="10560" spans="31:52">
      <c r="AE10560" s="10"/>
      <c r="AF10560" s="10"/>
      <c r="AG10560" s="10"/>
      <c r="AH10560" s="10"/>
      <c r="AI10560" s="10"/>
      <c r="AJ10560" s="10"/>
      <c r="AK10560" s="10"/>
      <c r="AL10560" s="10"/>
      <c r="AM10560" s="10"/>
      <c r="AN10560" s="10"/>
      <c r="AO10560" s="10"/>
      <c r="AP10560" s="10"/>
      <c r="AQ10560" s="10"/>
      <c r="AR10560" s="10"/>
      <c r="AS10560" s="10"/>
      <c r="AT10560" s="10"/>
      <c r="AU10560" s="10"/>
      <c r="AV10560" s="10"/>
      <c r="AW10560" s="10"/>
      <c r="AX10560" s="10"/>
      <c r="AY10560" s="10"/>
      <c r="AZ10560" s="10"/>
    </row>
    <row r="10561" spans="31:52">
      <c r="AE10561" s="10"/>
      <c r="AF10561" s="10"/>
      <c r="AG10561" s="10"/>
      <c r="AH10561" s="10"/>
      <c r="AI10561" s="10"/>
      <c r="AJ10561" s="10"/>
      <c r="AK10561" s="10"/>
      <c r="AL10561" s="10"/>
      <c r="AM10561" s="10"/>
      <c r="AN10561" s="10"/>
      <c r="AO10561" s="10"/>
      <c r="AP10561" s="10"/>
      <c r="AQ10561" s="10"/>
      <c r="AR10561" s="10"/>
      <c r="AS10561" s="10"/>
      <c r="AT10561" s="10"/>
      <c r="AU10561" s="10"/>
      <c r="AV10561" s="10"/>
      <c r="AW10561" s="10"/>
      <c r="AX10561" s="10"/>
      <c r="AY10561" s="10"/>
      <c r="AZ10561" s="10"/>
    </row>
    <row r="10562" spans="31:52">
      <c r="AE10562" s="10"/>
      <c r="AF10562" s="10"/>
      <c r="AG10562" s="10"/>
      <c r="AH10562" s="10"/>
      <c r="AI10562" s="10"/>
      <c r="AJ10562" s="10"/>
      <c r="AK10562" s="10"/>
      <c r="AL10562" s="10"/>
      <c r="AM10562" s="10"/>
      <c r="AN10562" s="10"/>
      <c r="AO10562" s="10"/>
      <c r="AP10562" s="10"/>
      <c r="AQ10562" s="10"/>
      <c r="AR10562" s="10"/>
      <c r="AS10562" s="10"/>
      <c r="AT10562" s="10"/>
      <c r="AU10562" s="10"/>
      <c r="AV10562" s="10"/>
      <c r="AW10562" s="10"/>
      <c r="AX10562" s="10"/>
      <c r="AY10562" s="10"/>
      <c r="AZ10562" s="10"/>
    </row>
    <row r="10563" spans="31:52">
      <c r="AE10563" s="10"/>
      <c r="AF10563" s="10"/>
      <c r="AG10563" s="10"/>
      <c r="AH10563" s="10"/>
      <c r="AI10563" s="10"/>
      <c r="AJ10563" s="10"/>
      <c r="AK10563" s="10"/>
      <c r="AL10563" s="10"/>
      <c r="AM10563" s="10"/>
      <c r="AN10563" s="10"/>
      <c r="AO10563" s="10"/>
      <c r="AP10563" s="10"/>
      <c r="AQ10563" s="10"/>
      <c r="AR10563" s="10"/>
      <c r="AS10563" s="10"/>
      <c r="AT10563" s="10"/>
      <c r="AU10563" s="10"/>
      <c r="AV10563" s="10"/>
      <c r="AW10563" s="10"/>
      <c r="AX10563" s="10"/>
      <c r="AY10563" s="10"/>
      <c r="AZ10563" s="10"/>
    </row>
    <row r="10564" spans="31:52">
      <c r="AE10564" s="10"/>
      <c r="AF10564" s="10"/>
      <c r="AG10564" s="10"/>
      <c r="AH10564" s="10"/>
      <c r="AI10564" s="10"/>
      <c r="AJ10564" s="10"/>
      <c r="AK10564" s="10"/>
      <c r="AL10564" s="10"/>
      <c r="AM10564" s="10"/>
      <c r="AN10564" s="10"/>
      <c r="AO10564" s="10"/>
      <c r="AP10564" s="10"/>
      <c r="AQ10564" s="10"/>
      <c r="AR10564" s="10"/>
      <c r="AS10564" s="10"/>
      <c r="AT10564" s="10"/>
      <c r="AU10564" s="10"/>
      <c r="AV10564" s="10"/>
      <c r="AW10564" s="10"/>
      <c r="AX10564" s="10"/>
      <c r="AY10564" s="10"/>
      <c r="AZ10564" s="10"/>
    </row>
    <row r="10565" spans="31:52">
      <c r="AE10565" s="10"/>
      <c r="AF10565" s="10"/>
      <c r="AG10565" s="10"/>
      <c r="AH10565" s="10"/>
      <c r="AI10565" s="10"/>
      <c r="AJ10565" s="10"/>
      <c r="AK10565" s="10"/>
      <c r="AL10565" s="10"/>
      <c r="AM10565" s="10"/>
      <c r="AN10565" s="10"/>
      <c r="AO10565" s="10"/>
      <c r="AP10565" s="10"/>
      <c r="AQ10565" s="10"/>
      <c r="AR10565" s="10"/>
      <c r="AS10565" s="10"/>
      <c r="AT10565" s="10"/>
      <c r="AU10565" s="10"/>
      <c r="AV10565" s="10"/>
      <c r="AW10565" s="10"/>
      <c r="AX10565" s="10"/>
      <c r="AY10565" s="10"/>
      <c r="AZ10565" s="10"/>
    </row>
    <row r="10566" spans="31:52">
      <c r="AE10566" s="10"/>
      <c r="AF10566" s="10"/>
      <c r="AG10566" s="10"/>
      <c r="AH10566" s="10"/>
      <c r="AI10566" s="10"/>
      <c r="AJ10566" s="10"/>
      <c r="AK10566" s="10"/>
      <c r="AL10566" s="10"/>
      <c r="AM10566" s="10"/>
      <c r="AN10566" s="10"/>
      <c r="AO10566" s="10"/>
      <c r="AP10566" s="10"/>
      <c r="AQ10566" s="10"/>
      <c r="AR10566" s="10"/>
      <c r="AS10566" s="10"/>
      <c r="AT10566" s="10"/>
      <c r="AU10566" s="10"/>
      <c r="AV10566" s="10"/>
      <c r="AW10566" s="10"/>
      <c r="AX10566" s="10"/>
      <c r="AY10566" s="10"/>
      <c r="AZ10566" s="10"/>
    </row>
    <row r="10567" spans="31:52">
      <c r="AE10567" s="10"/>
      <c r="AF10567" s="10"/>
      <c r="AG10567" s="10"/>
      <c r="AH10567" s="10"/>
      <c r="AI10567" s="10"/>
      <c r="AJ10567" s="10"/>
      <c r="AK10567" s="10"/>
      <c r="AL10567" s="10"/>
      <c r="AM10567" s="10"/>
      <c r="AN10567" s="10"/>
      <c r="AO10567" s="10"/>
      <c r="AP10567" s="10"/>
      <c r="AQ10567" s="10"/>
      <c r="AR10567" s="10"/>
      <c r="AS10567" s="10"/>
      <c r="AT10567" s="10"/>
      <c r="AU10567" s="10"/>
      <c r="AV10567" s="10"/>
      <c r="AW10567" s="10"/>
      <c r="AX10567" s="10"/>
      <c r="AY10567" s="10"/>
      <c r="AZ10567" s="10"/>
    </row>
    <row r="10568" spans="31:52">
      <c r="AE10568" s="10"/>
      <c r="AF10568" s="10"/>
      <c r="AG10568" s="10"/>
      <c r="AH10568" s="10"/>
      <c r="AI10568" s="10"/>
      <c r="AJ10568" s="10"/>
      <c r="AK10568" s="10"/>
      <c r="AL10568" s="10"/>
      <c r="AM10568" s="10"/>
      <c r="AN10568" s="10"/>
      <c r="AO10568" s="10"/>
      <c r="AP10568" s="10"/>
      <c r="AQ10568" s="10"/>
      <c r="AR10568" s="10"/>
      <c r="AS10568" s="10"/>
      <c r="AT10568" s="10"/>
      <c r="AU10568" s="10"/>
      <c r="AV10568" s="10"/>
      <c r="AW10568" s="10"/>
      <c r="AX10568" s="10"/>
      <c r="AY10568" s="10"/>
      <c r="AZ10568" s="10"/>
    </row>
    <row r="10569" spans="31:52">
      <c r="AE10569" s="10"/>
      <c r="AF10569" s="10"/>
      <c r="AG10569" s="10"/>
      <c r="AH10569" s="10"/>
      <c r="AI10569" s="10"/>
      <c r="AJ10569" s="10"/>
      <c r="AK10569" s="10"/>
      <c r="AL10569" s="10"/>
      <c r="AM10569" s="10"/>
      <c r="AN10569" s="10"/>
      <c r="AO10569" s="10"/>
      <c r="AP10569" s="10"/>
      <c r="AQ10569" s="10"/>
      <c r="AR10569" s="10"/>
      <c r="AS10569" s="10"/>
      <c r="AT10569" s="10"/>
      <c r="AU10569" s="10"/>
      <c r="AV10569" s="10"/>
      <c r="AW10569" s="10"/>
      <c r="AX10569" s="10"/>
      <c r="AY10569" s="10"/>
      <c r="AZ10569" s="10"/>
    </row>
    <row r="10570" spans="31:52">
      <c r="AE10570" s="10"/>
      <c r="AF10570" s="10"/>
      <c r="AG10570" s="10"/>
      <c r="AH10570" s="10"/>
      <c r="AI10570" s="10"/>
      <c r="AJ10570" s="10"/>
      <c r="AK10570" s="10"/>
      <c r="AL10570" s="10"/>
      <c r="AM10570" s="10"/>
      <c r="AN10570" s="10"/>
      <c r="AO10570" s="10"/>
      <c r="AP10570" s="10"/>
      <c r="AQ10570" s="10"/>
      <c r="AR10570" s="10"/>
      <c r="AS10570" s="10"/>
      <c r="AT10570" s="10"/>
      <c r="AU10570" s="10"/>
      <c r="AV10570" s="10"/>
      <c r="AW10570" s="10"/>
      <c r="AX10570" s="10"/>
      <c r="AY10570" s="10"/>
      <c r="AZ10570" s="10"/>
    </row>
    <row r="10571" spans="31:52">
      <c r="AE10571" s="10"/>
      <c r="AF10571" s="10"/>
      <c r="AG10571" s="10"/>
      <c r="AH10571" s="10"/>
      <c r="AI10571" s="10"/>
      <c r="AJ10571" s="10"/>
      <c r="AK10571" s="10"/>
      <c r="AL10571" s="10"/>
      <c r="AM10571" s="10"/>
      <c r="AN10571" s="10"/>
      <c r="AO10571" s="10"/>
      <c r="AP10571" s="10"/>
      <c r="AQ10571" s="10"/>
      <c r="AR10571" s="10"/>
      <c r="AS10571" s="10"/>
      <c r="AT10571" s="10"/>
      <c r="AU10571" s="10"/>
      <c r="AV10571" s="10"/>
      <c r="AW10571" s="10"/>
      <c r="AX10571" s="10"/>
      <c r="AY10571" s="10"/>
      <c r="AZ10571" s="10"/>
    </row>
    <row r="10572" spans="31:52">
      <c r="AE10572" s="10"/>
      <c r="AF10572" s="10"/>
      <c r="AG10572" s="10"/>
      <c r="AH10572" s="10"/>
      <c r="AI10572" s="10"/>
      <c r="AJ10572" s="10"/>
      <c r="AK10572" s="10"/>
      <c r="AL10572" s="10"/>
      <c r="AM10572" s="10"/>
      <c r="AN10572" s="10"/>
      <c r="AO10572" s="10"/>
      <c r="AP10572" s="10"/>
      <c r="AQ10572" s="10"/>
      <c r="AR10572" s="10"/>
      <c r="AS10572" s="10"/>
      <c r="AT10572" s="10"/>
      <c r="AU10572" s="10"/>
      <c r="AV10572" s="10"/>
      <c r="AW10572" s="10"/>
      <c r="AX10572" s="10"/>
      <c r="AY10572" s="10"/>
      <c r="AZ10572" s="10"/>
    </row>
    <row r="10573" spans="31:52">
      <c r="AE10573" s="10"/>
      <c r="AF10573" s="10"/>
      <c r="AG10573" s="10"/>
      <c r="AH10573" s="10"/>
      <c r="AI10573" s="10"/>
      <c r="AJ10573" s="10"/>
      <c r="AK10573" s="10"/>
      <c r="AL10573" s="10"/>
      <c r="AM10573" s="10"/>
      <c r="AN10573" s="10"/>
      <c r="AO10573" s="10"/>
      <c r="AP10573" s="10"/>
      <c r="AQ10573" s="10"/>
      <c r="AR10573" s="10"/>
      <c r="AS10573" s="10"/>
      <c r="AT10573" s="10"/>
      <c r="AU10573" s="10"/>
      <c r="AV10573" s="10"/>
      <c r="AW10573" s="10"/>
      <c r="AX10573" s="10"/>
      <c r="AY10573" s="10"/>
      <c r="AZ10573" s="10"/>
    </row>
    <row r="10574" spans="31:52">
      <c r="AE10574" s="10"/>
      <c r="AF10574" s="10"/>
      <c r="AG10574" s="10"/>
      <c r="AH10574" s="10"/>
      <c r="AI10574" s="10"/>
      <c r="AJ10574" s="10"/>
      <c r="AK10574" s="10"/>
      <c r="AL10574" s="10"/>
      <c r="AM10574" s="10"/>
      <c r="AN10574" s="10"/>
      <c r="AO10574" s="10"/>
      <c r="AP10574" s="10"/>
      <c r="AQ10574" s="10"/>
      <c r="AR10574" s="10"/>
      <c r="AS10574" s="10"/>
      <c r="AT10574" s="10"/>
      <c r="AU10574" s="10"/>
      <c r="AV10574" s="10"/>
      <c r="AW10574" s="10"/>
      <c r="AX10574" s="10"/>
      <c r="AY10574" s="10"/>
      <c r="AZ10574" s="10"/>
    </row>
    <row r="10575" spans="31:52">
      <c r="AE10575" s="10"/>
      <c r="AF10575" s="10"/>
      <c r="AG10575" s="10"/>
      <c r="AH10575" s="10"/>
      <c r="AI10575" s="10"/>
      <c r="AJ10575" s="10"/>
      <c r="AK10575" s="10"/>
      <c r="AL10575" s="10"/>
      <c r="AM10575" s="10"/>
      <c r="AN10575" s="10"/>
      <c r="AO10575" s="10"/>
      <c r="AP10575" s="10"/>
      <c r="AQ10575" s="10"/>
      <c r="AR10575" s="10"/>
      <c r="AS10575" s="10"/>
      <c r="AT10575" s="10"/>
      <c r="AU10575" s="10"/>
      <c r="AV10575" s="10"/>
      <c r="AW10575" s="10"/>
      <c r="AX10575" s="10"/>
      <c r="AY10575" s="10"/>
      <c r="AZ10575" s="10"/>
    </row>
    <row r="10576" spans="31:52">
      <c r="AE10576" s="10"/>
      <c r="AF10576" s="10"/>
      <c r="AG10576" s="10"/>
      <c r="AH10576" s="10"/>
      <c r="AI10576" s="10"/>
      <c r="AJ10576" s="10"/>
      <c r="AK10576" s="10"/>
      <c r="AL10576" s="10"/>
      <c r="AM10576" s="10"/>
      <c r="AN10576" s="10"/>
      <c r="AO10576" s="10"/>
      <c r="AP10576" s="10"/>
      <c r="AQ10576" s="10"/>
      <c r="AR10576" s="10"/>
      <c r="AS10576" s="10"/>
      <c r="AT10576" s="10"/>
      <c r="AU10576" s="10"/>
      <c r="AV10576" s="10"/>
      <c r="AW10576" s="10"/>
      <c r="AX10576" s="10"/>
      <c r="AY10576" s="10"/>
      <c r="AZ10576" s="10"/>
    </row>
    <row r="10577" spans="31:52">
      <c r="AE10577" s="10"/>
      <c r="AF10577" s="10"/>
      <c r="AG10577" s="10"/>
      <c r="AH10577" s="10"/>
      <c r="AI10577" s="10"/>
      <c r="AJ10577" s="10"/>
      <c r="AK10577" s="10"/>
      <c r="AL10577" s="10"/>
      <c r="AM10577" s="10"/>
      <c r="AN10577" s="10"/>
      <c r="AO10577" s="10"/>
      <c r="AP10577" s="10"/>
      <c r="AQ10577" s="10"/>
      <c r="AR10577" s="10"/>
      <c r="AS10577" s="10"/>
      <c r="AT10577" s="10"/>
      <c r="AU10577" s="10"/>
      <c r="AV10577" s="10"/>
      <c r="AW10577" s="10"/>
      <c r="AX10577" s="10"/>
      <c r="AY10577" s="10"/>
      <c r="AZ10577" s="10"/>
    </row>
    <row r="10578" spans="31:52">
      <c r="AE10578" s="10"/>
      <c r="AF10578" s="10"/>
      <c r="AG10578" s="10"/>
      <c r="AH10578" s="10"/>
      <c r="AI10578" s="10"/>
      <c r="AJ10578" s="10"/>
      <c r="AK10578" s="10"/>
      <c r="AL10578" s="10"/>
      <c r="AM10578" s="10"/>
      <c r="AN10578" s="10"/>
      <c r="AO10578" s="10"/>
      <c r="AP10578" s="10"/>
      <c r="AQ10578" s="10"/>
      <c r="AR10578" s="10"/>
      <c r="AS10578" s="10"/>
      <c r="AT10578" s="10"/>
      <c r="AU10578" s="10"/>
      <c r="AV10578" s="10"/>
      <c r="AW10578" s="10"/>
      <c r="AX10578" s="10"/>
      <c r="AY10578" s="10"/>
      <c r="AZ10578" s="10"/>
    </row>
    <row r="10579" spans="31:52">
      <c r="AE10579" s="10"/>
      <c r="AF10579" s="10"/>
      <c r="AG10579" s="10"/>
      <c r="AH10579" s="10"/>
      <c r="AI10579" s="10"/>
      <c r="AJ10579" s="10"/>
      <c r="AK10579" s="10"/>
      <c r="AL10579" s="10"/>
      <c r="AM10579" s="10"/>
      <c r="AN10579" s="10"/>
      <c r="AO10579" s="10"/>
      <c r="AP10579" s="10"/>
      <c r="AQ10579" s="10"/>
      <c r="AR10579" s="10"/>
      <c r="AS10579" s="10"/>
      <c r="AT10579" s="10"/>
      <c r="AU10579" s="10"/>
      <c r="AV10579" s="10"/>
      <c r="AW10579" s="10"/>
      <c r="AX10579" s="10"/>
      <c r="AY10579" s="10"/>
      <c r="AZ10579" s="10"/>
    </row>
    <row r="10580" spans="31:52">
      <c r="AE10580" s="10"/>
      <c r="AF10580" s="10"/>
      <c r="AG10580" s="10"/>
      <c r="AH10580" s="10"/>
      <c r="AI10580" s="10"/>
      <c r="AJ10580" s="10"/>
      <c r="AK10580" s="10"/>
      <c r="AL10580" s="10"/>
      <c r="AM10580" s="10"/>
      <c r="AN10580" s="10"/>
      <c r="AO10580" s="10"/>
      <c r="AP10580" s="10"/>
      <c r="AQ10580" s="10"/>
      <c r="AR10580" s="10"/>
      <c r="AS10580" s="10"/>
      <c r="AT10580" s="10"/>
      <c r="AU10580" s="10"/>
      <c r="AV10580" s="10"/>
      <c r="AW10580" s="10"/>
      <c r="AX10580" s="10"/>
      <c r="AY10580" s="10"/>
      <c r="AZ10580" s="10"/>
    </row>
    <row r="10581" spans="31:52">
      <c r="AE10581" s="10"/>
      <c r="AF10581" s="10"/>
      <c r="AG10581" s="10"/>
      <c r="AH10581" s="10"/>
      <c r="AI10581" s="10"/>
      <c r="AJ10581" s="10"/>
      <c r="AK10581" s="10"/>
      <c r="AL10581" s="10"/>
      <c r="AM10581" s="10"/>
      <c r="AN10581" s="10"/>
      <c r="AO10581" s="10"/>
      <c r="AP10581" s="10"/>
      <c r="AQ10581" s="10"/>
      <c r="AR10581" s="10"/>
      <c r="AS10581" s="10"/>
      <c r="AT10581" s="10"/>
      <c r="AU10581" s="10"/>
      <c r="AV10581" s="10"/>
      <c r="AW10581" s="10"/>
      <c r="AX10581" s="10"/>
      <c r="AY10581" s="10"/>
      <c r="AZ10581" s="10"/>
    </row>
    <row r="10582" spans="31:52">
      <c r="AE10582" s="10"/>
      <c r="AF10582" s="10"/>
      <c r="AG10582" s="10"/>
      <c r="AH10582" s="10"/>
      <c r="AI10582" s="10"/>
      <c r="AJ10582" s="10"/>
      <c r="AK10582" s="10"/>
      <c r="AL10582" s="10"/>
      <c r="AM10582" s="10"/>
      <c r="AN10582" s="10"/>
      <c r="AO10582" s="10"/>
      <c r="AP10582" s="10"/>
      <c r="AQ10582" s="10"/>
      <c r="AR10582" s="10"/>
      <c r="AS10582" s="10"/>
      <c r="AT10582" s="10"/>
      <c r="AU10582" s="10"/>
      <c r="AV10582" s="10"/>
      <c r="AW10582" s="10"/>
      <c r="AX10582" s="10"/>
      <c r="AY10582" s="10"/>
      <c r="AZ10582" s="10"/>
    </row>
    <row r="10583" spans="31:52">
      <c r="AE10583" s="10"/>
      <c r="AF10583" s="10"/>
      <c r="AG10583" s="10"/>
      <c r="AH10583" s="10"/>
      <c r="AI10583" s="10"/>
      <c r="AJ10583" s="10"/>
      <c r="AK10583" s="10"/>
      <c r="AL10583" s="10"/>
      <c r="AM10583" s="10"/>
      <c r="AN10583" s="10"/>
      <c r="AO10583" s="10"/>
      <c r="AP10583" s="10"/>
      <c r="AQ10583" s="10"/>
      <c r="AR10583" s="10"/>
      <c r="AS10583" s="10"/>
      <c r="AT10583" s="10"/>
      <c r="AU10583" s="10"/>
      <c r="AV10583" s="10"/>
      <c r="AW10583" s="10"/>
      <c r="AX10583" s="10"/>
      <c r="AY10583" s="10"/>
      <c r="AZ10583" s="10"/>
    </row>
    <row r="10584" spans="31:52">
      <c r="AE10584" s="10"/>
      <c r="AF10584" s="10"/>
      <c r="AG10584" s="10"/>
      <c r="AH10584" s="10"/>
      <c r="AI10584" s="10"/>
      <c r="AJ10584" s="10"/>
      <c r="AK10584" s="10"/>
      <c r="AL10584" s="10"/>
      <c r="AM10584" s="10"/>
      <c r="AN10584" s="10"/>
      <c r="AO10584" s="10"/>
      <c r="AP10584" s="10"/>
      <c r="AQ10584" s="10"/>
      <c r="AR10584" s="10"/>
      <c r="AS10584" s="10"/>
      <c r="AT10584" s="10"/>
      <c r="AU10584" s="10"/>
      <c r="AV10584" s="10"/>
      <c r="AW10584" s="10"/>
      <c r="AX10584" s="10"/>
      <c r="AY10584" s="10"/>
      <c r="AZ10584" s="10"/>
    </row>
    <row r="10585" spans="31:52">
      <c r="AE10585" s="10"/>
      <c r="AF10585" s="10"/>
      <c r="AG10585" s="10"/>
      <c r="AH10585" s="10"/>
      <c r="AI10585" s="10"/>
      <c r="AJ10585" s="10"/>
      <c r="AK10585" s="10"/>
      <c r="AL10585" s="10"/>
      <c r="AM10585" s="10"/>
      <c r="AN10585" s="10"/>
      <c r="AO10585" s="10"/>
      <c r="AP10585" s="10"/>
      <c r="AQ10585" s="10"/>
      <c r="AR10585" s="10"/>
      <c r="AS10585" s="10"/>
      <c r="AT10585" s="10"/>
      <c r="AU10585" s="10"/>
      <c r="AV10585" s="10"/>
      <c r="AW10585" s="10"/>
      <c r="AX10585" s="10"/>
      <c r="AY10585" s="10"/>
      <c r="AZ10585" s="10"/>
    </row>
    <row r="10586" spans="31:52">
      <c r="AE10586" s="10"/>
      <c r="AF10586" s="10"/>
      <c r="AG10586" s="10"/>
      <c r="AH10586" s="10"/>
      <c r="AI10586" s="10"/>
      <c r="AJ10586" s="10"/>
      <c r="AK10586" s="10"/>
      <c r="AL10586" s="10"/>
      <c r="AM10586" s="10"/>
      <c r="AN10586" s="10"/>
      <c r="AO10586" s="10"/>
      <c r="AP10586" s="10"/>
      <c r="AQ10586" s="10"/>
      <c r="AR10586" s="10"/>
      <c r="AS10586" s="10"/>
      <c r="AT10586" s="10"/>
      <c r="AU10586" s="10"/>
      <c r="AV10586" s="10"/>
      <c r="AW10586" s="10"/>
      <c r="AX10586" s="10"/>
      <c r="AY10586" s="10"/>
      <c r="AZ10586" s="10"/>
    </row>
    <row r="10587" spans="31:52">
      <c r="AE10587" s="10"/>
      <c r="AF10587" s="10"/>
      <c r="AG10587" s="10"/>
      <c r="AH10587" s="10"/>
      <c r="AI10587" s="10"/>
      <c r="AJ10587" s="10"/>
      <c r="AK10587" s="10"/>
      <c r="AL10587" s="10"/>
      <c r="AM10587" s="10"/>
      <c r="AN10587" s="10"/>
      <c r="AO10587" s="10"/>
      <c r="AP10587" s="10"/>
      <c r="AQ10587" s="10"/>
      <c r="AR10587" s="10"/>
      <c r="AS10587" s="10"/>
      <c r="AT10587" s="10"/>
      <c r="AU10587" s="10"/>
      <c r="AV10587" s="10"/>
      <c r="AW10587" s="10"/>
      <c r="AX10587" s="10"/>
      <c r="AY10587" s="10"/>
      <c r="AZ10587" s="10"/>
    </row>
    <row r="10588" spans="31:52">
      <c r="AE10588" s="10"/>
      <c r="AF10588" s="10"/>
      <c r="AG10588" s="10"/>
      <c r="AH10588" s="10"/>
      <c r="AI10588" s="10"/>
      <c r="AJ10588" s="10"/>
      <c r="AK10588" s="10"/>
      <c r="AL10588" s="10"/>
      <c r="AM10588" s="10"/>
      <c r="AN10588" s="10"/>
      <c r="AO10588" s="10"/>
      <c r="AP10588" s="10"/>
      <c r="AQ10588" s="10"/>
      <c r="AR10588" s="10"/>
      <c r="AS10588" s="10"/>
      <c r="AT10588" s="10"/>
      <c r="AU10588" s="10"/>
      <c r="AV10588" s="10"/>
      <c r="AW10588" s="10"/>
      <c r="AX10588" s="10"/>
      <c r="AY10588" s="10"/>
      <c r="AZ10588" s="10"/>
    </row>
    <row r="10589" spans="31:52">
      <c r="AE10589" s="10"/>
      <c r="AF10589" s="10"/>
      <c r="AG10589" s="10"/>
      <c r="AH10589" s="10"/>
      <c r="AI10589" s="10"/>
      <c r="AJ10589" s="10"/>
      <c r="AK10589" s="10"/>
      <c r="AL10589" s="10"/>
      <c r="AM10589" s="10"/>
      <c r="AN10589" s="10"/>
      <c r="AO10589" s="10"/>
      <c r="AP10589" s="10"/>
      <c r="AQ10589" s="10"/>
      <c r="AR10589" s="10"/>
      <c r="AS10589" s="10"/>
      <c r="AT10589" s="10"/>
      <c r="AU10589" s="10"/>
      <c r="AV10589" s="10"/>
      <c r="AW10589" s="10"/>
      <c r="AX10589" s="10"/>
      <c r="AY10589" s="10"/>
      <c r="AZ10589" s="10"/>
    </row>
    <row r="10590" spans="31:52">
      <c r="AE10590" s="10"/>
      <c r="AF10590" s="10"/>
      <c r="AG10590" s="10"/>
      <c r="AH10590" s="10"/>
      <c r="AI10590" s="10"/>
      <c r="AJ10590" s="10"/>
      <c r="AK10590" s="10"/>
      <c r="AL10590" s="10"/>
      <c r="AM10590" s="10"/>
      <c r="AN10590" s="10"/>
      <c r="AO10590" s="10"/>
      <c r="AP10590" s="10"/>
      <c r="AQ10590" s="10"/>
      <c r="AR10590" s="10"/>
      <c r="AS10590" s="10"/>
      <c r="AT10590" s="10"/>
      <c r="AU10590" s="10"/>
      <c r="AV10590" s="10"/>
      <c r="AW10590" s="10"/>
      <c r="AX10590" s="10"/>
      <c r="AY10590" s="10"/>
      <c r="AZ10590" s="10"/>
    </row>
    <row r="10591" spans="31:52">
      <c r="AE10591" s="10"/>
      <c r="AF10591" s="10"/>
      <c r="AG10591" s="10"/>
      <c r="AH10591" s="10"/>
      <c r="AI10591" s="10"/>
      <c r="AJ10591" s="10"/>
      <c r="AK10591" s="10"/>
      <c r="AL10591" s="10"/>
      <c r="AM10591" s="10"/>
      <c r="AN10591" s="10"/>
      <c r="AO10591" s="10"/>
      <c r="AP10591" s="10"/>
      <c r="AQ10591" s="10"/>
      <c r="AR10591" s="10"/>
      <c r="AS10591" s="10"/>
      <c r="AT10591" s="10"/>
      <c r="AU10591" s="10"/>
      <c r="AV10591" s="10"/>
      <c r="AW10591" s="10"/>
      <c r="AX10591" s="10"/>
      <c r="AY10591" s="10"/>
      <c r="AZ10591" s="10"/>
    </row>
    <row r="10592" spans="31:52">
      <c r="AE10592" s="10"/>
      <c r="AF10592" s="10"/>
      <c r="AG10592" s="10"/>
      <c r="AH10592" s="10"/>
      <c r="AI10592" s="10"/>
      <c r="AJ10592" s="10"/>
      <c r="AK10592" s="10"/>
      <c r="AL10592" s="10"/>
      <c r="AM10592" s="10"/>
      <c r="AN10592" s="10"/>
      <c r="AO10592" s="10"/>
      <c r="AP10592" s="10"/>
      <c r="AQ10592" s="10"/>
      <c r="AR10592" s="10"/>
      <c r="AS10592" s="10"/>
      <c r="AT10592" s="10"/>
      <c r="AU10592" s="10"/>
      <c r="AV10592" s="10"/>
      <c r="AW10592" s="10"/>
      <c r="AX10592" s="10"/>
      <c r="AY10592" s="10"/>
      <c r="AZ10592" s="10"/>
    </row>
    <row r="10593" spans="31:52">
      <c r="AE10593" s="10"/>
      <c r="AF10593" s="10"/>
      <c r="AG10593" s="10"/>
      <c r="AH10593" s="10"/>
      <c r="AI10593" s="10"/>
      <c r="AJ10593" s="10"/>
      <c r="AK10593" s="10"/>
      <c r="AL10593" s="10"/>
      <c r="AM10593" s="10"/>
      <c r="AN10593" s="10"/>
      <c r="AO10593" s="10"/>
      <c r="AP10593" s="10"/>
      <c r="AQ10593" s="10"/>
      <c r="AR10593" s="10"/>
      <c r="AS10593" s="10"/>
      <c r="AT10593" s="10"/>
      <c r="AU10593" s="10"/>
      <c r="AV10593" s="10"/>
      <c r="AW10593" s="10"/>
      <c r="AX10593" s="10"/>
      <c r="AY10593" s="10"/>
      <c r="AZ10593" s="10"/>
    </row>
    <row r="10594" spans="31:52">
      <c r="AE10594" s="10"/>
      <c r="AF10594" s="10"/>
      <c r="AG10594" s="10"/>
      <c r="AH10594" s="10"/>
      <c r="AI10594" s="10"/>
      <c r="AJ10594" s="10"/>
      <c r="AK10594" s="10"/>
      <c r="AL10594" s="10"/>
      <c r="AM10594" s="10"/>
      <c r="AN10594" s="10"/>
      <c r="AO10594" s="10"/>
      <c r="AP10594" s="10"/>
      <c r="AQ10594" s="10"/>
      <c r="AR10594" s="10"/>
      <c r="AS10594" s="10"/>
      <c r="AT10594" s="10"/>
      <c r="AU10594" s="10"/>
      <c r="AV10594" s="10"/>
      <c r="AW10594" s="10"/>
      <c r="AX10594" s="10"/>
      <c r="AY10594" s="10"/>
      <c r="AZ10594" s="10"/>
    </row>
    <row r="10595" spans="31:52">
      <c r="AE10595" s="10"/>
      <c r="AF10595" s="10"/>
      <c r="AG10595" s="10"/>
      <c r="AH10595" s="10"/>
      <c r="AI10595" s="10"/>
      <c r="AJ10595" s="10"/>
      <c r="AK10595" s="10"/>
      <c r="AL10595" s="10"/>
      <c r="AM10595" s="10"/>
      <c r="AN10595" s="10"/>
      <c r="AO10595" s="10"/>
      <c r="AP10595" s="10"/>
      <c r="AQ10595" s="10"/>
      <c r="AR10595" s="10"/>
      <c r="AS10595" s="10"/>
      <c r="AT10595" s="10"/>
      <c r="AU10595" s="10"/>
      <c r="AV10595" s="10"/>
      <c r="AW10595" s="10"/>
      <c r="AX10595" s="10"/>
      <c r="AY10595" s="10"/>
      <c r="AZ10595" s="10"/>
    </row>
    <row r="10596" spans="31:52">
      <c r="AE10596" s="10"/>
      <c r="AF10596" s="10"/>
      <c r="AG10596" s="10"/>
      <c r="AH10596" s="10"/>
      <c r="AI10596" s="10"/>
      <c r="AJ10596" s="10"/>
      <c r="AK10596" s="10"/>
      <c r="AL10596" s="10"/>
      <c r="AM10596" s="10"/>
      <c r="AN10596" s="10"/>
      <c r="AO10596" s="10"/>
      <c r="AP10596" s="10"/>
      <c r="AQ10596" s="10"/>
      <c r="AR10596" s="10"/>
      <c r="AS10596" s="10"/>
      <c r="AT10596" s="10"/>
      <c r="AU10596" s="10"/>
      <c r="AV10596" s="10"/>
      <c r="AW10596" s="10"/>
      <c r="AX10596" s="10"/>
      <c r="AY10596" s="10"/>
      <c r="AZ10596" s="10"/>
    </row>
    <row r="10597" spans="31:52">
      <c r="AE10597" s="10"/>
      <c r="AF10597" s="10"/>
      <c r="AG10597" s="10"/>
      <c r="AH10597" s="10"/>
      <c r="AI10597" s="10"/>
      <c r="AJ10597" s="10"/>
      <c r="AK10597" s="10"/>
      <c r="AL10597" s="10"/>
      <c r="AM10597" s="10"/>
      <c r="AN10597" s="10"/>
      <c r="AO10597" s="10"/>
      <c r="AP10597" s="10"/>
      <c r="AQ10597" s="10"/>
      <c r="AR10597" s="10"/>
      <c r="AS10597" s="10"/>
      <c r="AT10597" s="10"/>
      <c r="AU10597" s="10"/>
      <c r="AV10597" s="10"/>
      <c r="AW10597" s="10"/>
      <c r="AX10597" s="10"/>
      <c r="AY10597" s="10"/>
      <c r="AZ10597" s="10"/>
    </row>
    <row r="10598" spans="31:52">
      <c r="AE10598" s="10"/>
      <c r="AF10598" s="10"/>
      <c r="AG10598" s="10"/>
      <c r="AH10598" s="10"/>
      <c r="AI10598" s="10"/>
      <c r="AJ10598" s="10"/>
      <c r="AK10598" s="10"/>
      <c r="AL10598" s="10"/>
      <c r="AM10598" s="10"/>
      <c r="AN10598" s="10"/>
      <c r="AO10598" s="10"/>
      <c r="AP10598" s="10"/>
      <c r="AQ10598" s="10"/>
      <c r="AR10598" s="10"/>
      <c r="AS10598" s="10"/>
      <c r="AT10598" s="10"/>
      <c r="AU10598" s="10"/>
      <c r="AV10598" s="10"/>
      <c r="AW10598" s="10"/>
      <c r="AX10598" s="10"/>
      <c r="AY10598" s="10"/>
      <c r="AZ10598" s="10"/>
    </row>
    <row r="10599" spans="31:52">
      <c r="AE10599" s="10"/>
      <c r="AF10599" s="10"/>
      <c r="AG10599" s="10"/>
      <c r="AH10599" s="10"/>
      <c r="AI10599" s="10"/>
      <c r="AJ10599" s="10"/>
      <c r="AK10599" s="10"/>
      <c r="AL10599" s="10"/>
      <c r="AM10599" s="10"/>
      <c r="AN10599" s="10"/>
      <c r="AO10599" s="10"/>
      <c r="AP10599" s="10"/>
      <c r="AQ10599" s="10"/>
      <c r="AR10599" s="10"/>
      <c r="AS10599" s="10"/>
      <c r="AT10599" s="10"/>
      <c r="AU10599" s="10"/>
      <c r="AV10599" s="10"/>
      <c r="AW10599" s="10"/>
      <c r="AX10599" s="10"/>
      <c r="AY10599" s="10"/>
      <c r="AZ10599" s="10"/>
    </row>
    <row r="10600" spans="31:52">
      <c r="AE10600" s="10"/>
      <c r="AF10600" s="10"/>
      <c r="AG10600" s="10"/>
      <c r="AH10600" s="10"/>
      <c r="AI10600" s="10"/>
      <c r="AJ10600" s="10"/>
      <c r="AK10600" s="10"/>
      <c r="AL10600" s="10"/>
      <c r="AM10600" s="10"/>
      <c r="AN10600" s="10"/>
      <c r="AO10600" s="10"/>
      <c r="AP10600" s="10"/>
      <c r="AQ10600" s="10"/>
      <c r="AR10600" s="10"/>
      <c r="AS10600" s="10"/>
      <c r="AT10600" s="10"/>
      <c r="AU10600" s="10"/>
      <c r="AV10600" s="10"/>
      <c r="AW10600" s="10"/>
      <c r="AX10600" s="10"/>
      <c r="AY10600" s="10"/>
      <c r="AZ10600" s="10"/>
    </row>
    <row r="10601" spans="31:52">
      <c r="AE10601" s="10"/>
      <c r="AF10601" s="10"/>
      <c r="AG10601" s="10"/>
      <c r="AH10601" s="10"/>
      <c r="AI10601" s="10"/>
      <c r="AJ10601" s="10"/>
      <c r="AK10601" s="10"/>
      <c r="AL10601" s="10"/>
      <c r="AM10601" s="10"/>
      <c r="AN10601" s="10"/>
      <c r="AO10601" s="10"/>
      <c r="AP10601" s="10"/>
      <c r="AQ10601" s="10"/>
      <c r="AR10601" s="10"/>
      <c r="AS10601" s="10"/>
      <c r="AT10601" s="10"/>
      <c r="AU10601" s="10"/>
      <c r="AV10601" s="10"/>
      <c r="AW10601" s="10"/>
      <c r="AX10601" s="10"/>
      <c r="AY10601" s="10"/>
      <c r="AZ10601" s="10"/>
    </row>
    <row r="10602" spans="31:52">
      <c r="AE10602" s="10"/>
      <c r="AF10602" s="10"/>
      <c r="AG10602" s="10"/>
      <c r="AH10602" s="10"/>
      <c r="AI10602" s="10"/>
      <c r="AJ10602" s="10"/>
      <c r="AK10602" s="10"/>
      <c r="AL10602" s="10"/>
      <c r="AM10602" s="10"/>
      <c r="AN10602" s="10"/>
      <c r="AO10602" s="10"/>
      <c r="AP10602" s="10"/>
      <c r="AQ10602" s="10"/>
      <c r="AR10602" s="10"/>
      <c r="AS10602" s="10"/>
      <c r="AT10602" s="10"/>
      <c r="AU10602" s="10"/>
      <c r="AV10602" s="10"/>
      <c r="AW10602" s="10"/>
      <c r="AX10602" s="10"/>
      <c r="AY10602" s="10"/>
      <c r="AZ10602" s="10"/>
    </row>
    <row r="10603" spans="31:52">
      <c r="AE10603" s="10"/>
      <c r="AF10603" s="10"/>
      <c r="AG10603" s="10"/>
      <c r="AH10603" s="10"/>
      <c r="AI10603" s="10"/>
      <c r="AJ10603" s="10"/>
      <c r="AK10603" s="10"/>
      <c r="AL10603" s="10"/>
      <c r="AM10603" s="10"/>
      <c r="AN10603" s="10"/>
      <c r="AO10603" s="10"/>
      <c r="AP10603" s="10"/>
      <c r="AQ10603" s="10"/>
      <c r="AR10603" s="10"/>
      <c r="AS10603" s="10"/>
      <c r="AT10603" s="10"/>
      <c r="AU10603" s="10"/>
      <c r="AV10603" s="10"/>
      <c r="AW10603" s="10"/>
      <c r="AX10603" s="10"/>
      <c r="AY10603" s="10"/>
      <c r="AZ10603" s="10"/>
    </row>
    <row r="10604" spans="31:52">
      <c r="AE10604" s="10"/>
      <c r="AF10604" s="10"/>
      <c r="AG10604" s="10"/>
      <c r="AH10604" s="10"/>
      <c r="AI10604" s="10"/>
      <c r="AJ10604" s="10"/>
      <c r="AK10604" s="10"/>
      <c r="AL10604" s="10"/>
      <c r="AM10604" s="10"/>
      <c r="AN10604" s="10"/>
      <c r="AO10604" s="10"/>
      <c r="AP10604" s="10"/>
      <c r="AQ10604" s="10"/>
      <c r="AR10604" s="10"/>
      <c r="AS10604" s="10"/>
      <c r="AT10604" s="10"/>
      <c r="AU10604" s="10"/>
      <c r="AV10604" s="10"/>
      <c r="AW10604" s="10"/>
      <c r="AX10604" s="10"/>
      <c r="AY10604" s="10"/>
      <c r="AZ10604" s="10"/>
    </row>
    <row r="10605" spans="31:52">
      <c r="AE10605" s="10"/>
      <c r="AF10605" s="10"/>
      <c r="AG10605" s="10"/>
      <c r="AH10605" s="10"/>
      <c r="AI10605" s="10"/>
      <c r="AJ10605" s="10"/>
      <c r="AK10605" s="10"/>
      <c r="AL10605" s="10"/>
      <c r="AM10605" s="10"/>
      <c r="AN10605" s="10"/>
      <c r="AO10605" s="10"/>
      <c r="AP10605" s="10"/>
      <c r="AQ10605" s="10"/>
      <c r="AR10605" s="10"/>
      <c r="AS10605" s="10"/>
      <c r="AT10605" s="10"/>
      <c r="AU10605" s="10"/>
      <c r="AV10605" s="10"/>
      <c r="AW10605" s="10"/>
      <c r="AX10605" s="10"/>
      <c r="AY10605" s="10"/>
      <c r="AZ10605" s="10"/>
    </row>
    <row r="10606" spans="31:52">
      <c r="AE10606" s="10"/>
      <c r="AF10606" s="10"/>
      <c r="AG10606" s="10"/>
      <c r="AH10606" s="10"/>
      <c r="AI10606" s="10"/>
      <c r="AJ10606" s="10"/>
      <c r="AK10606" s="10"/>
      <c r="AL10606" s="10"/>
      <c r="AM10606" s="10"/>
      <c r="AN10606" s="10"/>
      <c r="AO10606" s="10"/>
      <c r="AP10606" s="10"/>
      <c r="AQ10606" s="10"/>
      <c r="AR10606" s="10"/>
      <c r="AS10606" s="10"/>
      <c r="AT10606" s="10"/>
      <c r="AU10606" s="10"/>
      <c r="AV10606" s="10"/>
      <c r="AW10606" s="10"/>
      <c r="AX10606" s="10"/>
      <c r="AY10606" s="10"/>
      <c r="AZ10606" s="10"/>
    </row>
    <row r="10607" spans="31:52">
      <c r="AE10607" s="10"/>
      <c r="AF10607" s="10"/>
      <c r="AG10607" s="10"/>
      <c r="AH10607" s="10"/>
      <c r="AI10607" s="10"/>
      <c r="AJ10607" s="10"/>
      <c r="AK10607" s="10"/>
      <c r="AL10607" s="10"/>
      <c r="AM10607" s="10"/>
      <c r="AN10607" s="10"/>
      <c r="AO10607" s="10"/>
      <c r="AP10607" s="10"/>
      <c r="AQ10607" s="10"/>
      <c r="AR10607" s="10"/>
      <c r="AS10607" s="10"/>
      <c r="AT10607" s="10"/>
      <c r="AU10607" s="10"/>
      <c r="AV10607" s="10"/>
      <c r="AW10607" s="10"/>
      <c r="AX10607" s="10"/>
      <c r="AY10607" s="10"/>
      <c r="AZ10607" s="10"/>
    </row>
    <row r="10608" spans="31:52">
      <c r="AE10608" s="10"/>
      <c r="AF10608" s="10"/>
      <c r="AG10608" s="10"/>
      <c r="AH10608" s="10"/>
      <c r="AI10608" s="10"/>
      <c r="AJ10608" s="10"/>
      <c r="AK10608" s="10"/>
      <c r="AL10608" s="10"/>
      <c r="AM10608" s="10"/>
      <c r="AN10608" s="10"/>
      <c r="AO10608" s="10"/>
      <c r="AP10608" s="10"/>
      <c r="AQ10608" s="10"/>
      <c r="AR10608" s="10"/>
      <c r="AS10608" s="10"/>
      <c r="AT10608" s="10"/>
      <c r="AU10608" s="10"/>
      <c r="AV10608" s="10"/>
      <c r="AW10608" s="10"/>
      <c r="AX10608" s="10"/>
      <c r="AY10608" s="10"/>
      <c r="AZ10608" s="10"/>
    </row>
    <row r="10609" spans="31:52">
      <c r="AE10609" s="10"/>
      <c r="AF10609" s="10"/>
      <c r="AG10609" s="10"/>
      <c r="AH10609" s="10"/>
      <c r="AI10609" s="10"/>
      <c r="AJ10609" s="10"/>
      <c r="AK10609" s="10"/>
      <c r="AL10609" s="10"/>
      <c r="AM10609" s="10"/>
      <c r="AN10609" s="10"/>
      <c r="AO10609" s="10"/>
      <c r="AP10609" s="10"/>
      <c r="AQ10609" s="10"/>
      <c r="AR10609" s="10"/>
      <c r="AS10609" s="10"/>
      <c r="AT10609" s="10"/>
      <c r="AU10609" s="10"/>
      <c r="AV10609" s="10"/>
      <c r="AW10609" s="10"/>
      <c r="AX10609" s="10"/>
      <c r="AY10609" s="10"/>
      <c r="AZ10609" s="10"/>
    </row>
    <row r="10610" spans="31:52">
      <c r="AE10610" s="10"/>
      <c r="AF10610" s="10"/>
      <c r="AG10610" s="10"/>
      <c r="AH10610" s="10"/>
      <c r="AI10610" s="10"/>
      <c r="AJ10610" s="10"/>
      <c r="AK10610" s="10"/>
      <c r="AL10610" s="10"/>
      <c r="AM10610" s="10"/>
      <c r="AN10610" s="10"/>
      <c r="AO10610" s="10"/>
      <c r="AP10610" s="10"/>
      <c r="AQ10610" s="10"/>
      <c r="AR10610" s="10"/>
      <c r="AS10610" s="10"/>
      <c r="AT10610" s="10"/>
      <c r="AU10610" s="10"/>
      <c r="AV10610" s="10"/>
      <c r="AW10610" s="10"/>
      <c r="AX10610" s="10"/>
      <c r="AY10610" s="10"/>
      <c r="AZ10610" s="10"/>
    </row>
    <row r="10611" spans="31:52">
      <c r="AE10611" s="10"/>
      <c r="AF10611" s="10"/>
      <c r="AG10611" s="10"/>
      <c r="AH10611" s="10"/>
      <c r="AI10611" s="10"/>
      <c r="AJ10611" s="10"/>
      <c r="AK10611" s="10"/>
      <c r="AL10611" s="10"/>
      <c r="AM10611" s="10"/>
      <c r="AN10611" s="10"/>
      <c r="AO10611" s="10"/>
      <c r="AP10611" s="10"/>
      <c r="AQ10611" s="10"/>
      <c r="AR10611" s="10"/>
      <c r="AS10611" s="10"/>
      <c r="AT10611" s="10"/>
      <c r="AU10611" s="10"/>
      <c r="AV10611" s="10"/>
      <c r="AW10611" s="10"/>
      <c r="AX10611" s="10"/>
      <c r="AY10611" s="10"/>
      <c r="AZ10611" s="10"/>
    </row>
    <row r="10612" spans="31:52">
      <c r="AE10612" s="10"/>
      <c r="AF10612" s="10"/>
      <c r="AG10612" s="10"/>
      <c r="AH10612" s="10"/>
      <c r="AI10612" s="10"/>
      <c r="AJ10612" s="10"/>
      <c r="AK10612" s="10"/>
      <c r="AL10612" s="10"/>
      <c r="AM10612" s="10"/>
      <c r="AN10612" s="10"/>
      <c r="AO10612" s="10"/>
      <c r="AP10612" s="10"/>
      <c r="AQ10612" s="10"/>
      <c r="AR10612" s="10"/>
      <c r="AS10612" s="10"/>
      <c r="AT10612" s="10"/>
      <c r="AU10612" s="10"/>
      <c r="AV10612" s="10"/>
      <c r="AW10612" s="10"/>
      <c r="AX10612" s="10"/>
      <c r="AY10612" s="10"/>
      <c r="AZ10612" s="10"/>
    </row>
    <row r="10613" spans="31:52">
      <c r="AE10613" s="10"/>
      <c r="AF10613" s="10"/>
      <c r="AG10613" s="10"/>
      <c r="AH10613" s="10"/>
      <c r="AI10613" s="10"/>
      <c r="AJ10613" s="10"/>
      <c r="AK10613" s="10"/>
      <c r="AL10613" s="10"/>
      <c r="AM10613" s="10"/>
      <c r="AN10613" s="10"/>
      <c r="AO10613" s="10"/>
      <c r="AP10613" s="10"/>
      <c r="AQ10613" s="10"/>
      <c r="AR10613" s="10"/>
      <c r="AS10613" s="10"/>
      <c r="AT10613" s="10"/>
      <c r="AU10613" s="10"/>
      <c r="AV10613" s="10"/>
      <c r="AW10613" s="10"/>
      <c r="AX10613" s="10"/>
      <c r="AY10613" s="10"/>
      <c r="AZ10613" s="10"/>
    </row>
    <row r="10614" spans="31:52">
      <c r="AE10614" s="10"/>
      <c r="AF10614" s="10"/>
      <c r="AG10614" s="10"/>
      <c r="AH10614" s="10"/>
      <c r="AI10614" s="10"/>
      <c r="AJ10614" s="10"/>
      <c r="AK10614" s="10"/>
      <c r="AL10614" s="10"/>
      <c r="AM10614" s="10"/>
      <c r="AN10614" s="10"/>
      <c r="AO10614" s="10"/>
      <c r="AP10614" s="10"/>
      <c r="AQ10614" s="10"/>
      <c r="AR10614" s="10"/>
      <c r="AS10614" s="10"/>
      <c r="AT10614" s="10"/>
      <c r="AU10614" s="10"/>
      <c r="AV10614" s="10"/>
      <c r="AW10614" s="10"/>
      <c r="AX10614" s="10"/>
      <c r="AY10614" s="10"/>
      <c r="AZ10614" s="10"/>
    </row>
    <row r="10615" spans="31:52">
      <c r="AE10615" s="10"/>
      <c r="AF10615" s="10"/>
      <c r="AG10615" s="10"/>
      <c r="AH10615" s="10"/>
      <c r="AI10615" s="10"/>
      <c r="AJ10615" s="10"/>
      <c r="AK10615" s="10"/>
      <c r="AL10615" s="10"/>
      <c r="AM10615" s="10"/>
      <c r="AN10615" s="10"/>
      <c r="AO10615" s="10"/>
      <c r="AP10615" s="10"/>
      <c r="AQ10615" s="10"/>
      <c r="AR10615" s="10"/>
      <c r="AS10615" s="10"/>
      <c r="AT10615" s="10"/>
      <c r="AU10615" s="10"/>
      <c r="AV10615" s="10"/>
      <c r="AW10615" s="10"/>
      <c r="AX10615" s="10"/>
      <c r="AY10615" s="10"/>
      <c r="AZ10615" s="10"/>
    </row>
    <row r="10616" spans="31:52">
      <c r="AE10616" s="10"/>
      <c r="AF10616" s="10"/>
      <c r="AG10616" s="10"/>
      <c r="AH10616" s="10"/>
      <c r="AI10616" s="10"/>
      <c r="AJ10616" s="10"/>
      <c r="AK10616" s="10"/>
      <c r="AL10616" s="10"/>
      <c r="AM10616" s="10"/>
      <c r="AN10616" s="10"/>
      <c r="AO10616" s="10"/>
      <c r="AP10616" s="10"/>
      <c r="AQ10616" s="10"/>
      <c r="AR10616" s="10"/>
      <c r="AS10616" s="10"/>
      <c r="AT10616" s="10"/>
      <c r="AU10616" s="10"/>
      <c r="AV10616" s="10"/>
      <c r="AW10616" s="10"/>
      <c r="AX10616" s="10"/>
      <c r="AY10616" s="10"/>
      <c r="AZ10616" s="10"/>
    </row>
    <row r="10617" spans="31:52">
      <c r="AE10617" s="10"/>
      <c r="AF10617" s="10"/>
      <c r="AG10617" s="10"/>
      <c r="AH10617" s="10"/>
      <c r="AI10617" s="10"/>
      <c r="AJ10617" s="10"/>
      <c r="AK10617" s="10"/>
      <c r="AL10617" s="10"/>
      <c r="AM10617" s="10"/>
      <c r="AN10617" s="10"/>
      <c r="AO10617" s="10"/>
      <c r="AP10617" s="10"/>
      <c r="AQ10617" s="10"/>
      <c r="AR10617" s="10"/>
      <c r="AS10617" s="10"/>
      <c r="AT10617" s="10"/>
      <c r="AU10617" s="10"/>
      <c r="AV10617" s="10"/>
      <c r="AW10617" s="10"/>
      <c r="AX10617" s="10"/>
      <c r="AY10617" s="10"/>
      <c r="AZ10617" s="10"/>
    </row>
    <row r="10618" spans="31:52">
      <c r="AE10618" s="10"/>
      <c r="AF10618" s="10"/>
      <c r="AG10618" s="10"/>
      <c r="AH10618" s="10"/>
      <c r="AI10618" s="10"/>
      <c r="AJ10618" s="10"/>
      <c r="AK10618" s="10"/>
      <c r="AL10618" s="10"/>
      <c r="AM10618" s="10"/>
      <c r="AN10618" s="10"/>
      <c r="AO10618" s="10"/>
      <c r="AP10618" s="10"/>
      <c r="AQ10618" s="10"/>
      <c r="AR10618" s="10"/>
      <c r="AS10618" s="10"/>
      <c r="AT10618" s="10"/>
      <c r="AU10618" s="10"/>
      <c r="AV10618" s="10"/>
      <c r="AW10618" s="10"/>
      <c r="AX10618" s="10"/>
      <c r="AY10618" s="10"/>
      <c r="AZ10618" s="10"/>
    </row>
    <row r="10619" spans="31:52">
      <c r="AE10619" s="10"/>
      <c r="AF10619" s="10"/>
      <c r="AG10619" s="10"/>
      <c r="AH10619" s="10"/>
      <c r="AI10619" s="10"/>
      <c r="AJ10619" s="10"/>
      <c r="AK10619" s="10"/>
      <c r="AL10619" s="10"/>
      <c r="AM10619" s="10"/>
      <c r="AN10619" s="10"/>
      <c r="AO10619" s="10"/>
      <c r="AP10619" s="10"/>
      <c r="AQ10619" s="10"/>
      <c r="AR10619" s="10"/>
      <c r="AS10619" s="10"/>
      <c r="AT10619" s="10"/>
      <c r="AU10619" s="10"/>
      <c r="AV10619" s="10"/>
      <c r="AW10619" s="10"/>
      <c r="AX10619" s="10"/>
      <c r="AY10619" s="10"/>
      <c r="AZ10619" s="10"/>
    </row>
    <row r="10620" spans="31:52">
      <c r="AE10620" s="10"/>
      <c r="AF10620" s="10"/>
      <c r="AG10620" s="10"/>
      <c r="AH10620" s="10"/>
      <c r="AI10620" s="10"/>
      <c r="AJ10620" s="10"/>
      <c r="AK10620" s="10"/>
      <c r="AL10620" s="10"/>
      <c r="AM10620" s="10"/>
      <c r="AN10620" s="10"/>
      <c r="AO10620" s="10"/>
      <c r="AP10620" s="10"/>
      <c r="AQ10620" s="10"/>
      <c r="AR10620" s="10"/>
      <c r="AS10620" s="10"/>
      <c r="AT10620" s="10"/>
      <c r="AU10620" s="10"/>
      <c r="AV10620" s="10"/>
      <c r="AW10620" s="10"/>
      <c r="AX10620" s="10"/>
      <c r="AY10620" s="10"/>
      <c r="AZ10620" s="10"/>
    </row>
    <row r="10621" spans="31:52">
      <c r="AE10621" s="10"/>
      <c r="AF10621" s="10"/>
      <c r="AG10621" s="10"/>
      <c r="AH10621" s="10"/>
      <c r="AI10621" s="10"/>
      <c r="AJ10621" s="10"/>
      <c r="AK10621" s="10"/>
      <c r="AL10621" s="10"/>
      <c r="AM10621" s="10"/>
      <c r="AN10621" s="10"/>
      <c r="AO10621" s="10"/>
      <c r="AP10621" s="10"/>
      <c r="AQ10621" s="10"/>
      <c r="AR10621" s="10"/>
      <c r="AS10621" s="10"/>
      <c r="AT10621" s="10"/>
      <c r="AU10621" s="10"/>
      <c r="AV10621" s="10"/>
      <c r="AW10621" s="10"/>
      <c r="AX10621" s="10"/>
      <c r="AY10621" s="10"/>
      <c r="AZ10621" s="10"/>
    </row>
    <row r="10622" spans="31:52">
      <c r="AE10622" s="10"/>
      <c r="AF10622" s="10"/>
      <c r="AG10622" s="10"/>
      <c r="AH10622" s="10"/>
      <c r="AI10622" s="10"/>
      <c r="AJ10622" s="10"/>
      <c r="AK10622" s="10"/>
      <c r="AL10622" s="10"/>
      <c r="AM10622" s="10"/>
      <c r="AN10622" s="10"/>
      <c r="AO10622" s="10"/>
      <c r="AP10622" s="10"/>
      <c r="AQ10622" s="10"/>
      <c r="AR10622" s="10"/>
      <c r="AS10622" s="10"/>
      <c r="AT10622" s="10"/>
      <c r="AU10622" s="10"/>
      <c r="AV10622" s="10"/>
      <c r="AW10622" s="10"/>
      <c r="AX10622" s="10"/>
      <c r="AY10622" s="10"/>
      <c r="AZ10622" s="10"/>
    </row>
    <row r="10623" spans="31:52">
      <c r="AE10623" s="10"/>
      <c r="AF10623" s="10"/>
      <c r="AG10623" s="10"/>
      <c r="AH10623" s="10"/>
      <c r="AI10623" s="10"/>
      <c r="AJ10623" s="10"/>
      <c r="AK10623" s="10"/>
      <c r="AL10623" s="10"/>
      <c r="AM10623" s="10"/>
      <c r="AN10623" s="10"/>
      <c r="AO10623" s="10"/>
      <c r="AP10623" s="10"/>
      <c r="AQ10623" s="10"/>
      <c r="AR10623" s="10"/>
      <c r="AS10623" s="10"/>
      <c r="AT10623" s="10"/>
      <c r="AU10623" s="10"/>
      <c r="AV10623" s="10"/>
      <c r="AW10623" s="10"/>
      <c r="AX10623" s="10"/>
      <c r="AY10623" s="10"/>
      <c r="AZ10623" s="10"/>
    </row>
    <row r="10624" spans="31:52">
      <c r="AE10624" s="10"/>
      <c r="AF10624" s="10"/>
      <c r="AG10624" s="10"/>
      <c r="AH10624" s="10"/>
      <c r="AI10624" s="10"/>
      <c r="AJ10624" s="10"/>
      <c r="AK10624" s="10"/>
      <c r="AL10624" s="10"/>
      <c r="AM10624" s="10"/>
      <c r="AN10624" s="10"/>
      <c r="AO10624" s="10"/>
      <c r="AP10624" s="10"/>
      <c r="AQ10624" s="10"/>
      <c r="AR10624" s="10"/>
      <c r="AS10624" s="10"/>
      <c r="AT10624" s="10"/>
      <c r="AU10624" s="10"/>
      <c r="AV10624" s="10"/>
      <c r="AW10624" s="10"/>
      <c r="AX10624" s="10"/>
      <c r="AY10624" s="10"/>
      <c r="AZ10624" s="10"/>
    </row>
    <row r="10625" spans="31:52">
      <c r="AE10625" s="10"/>
      <c r="AF10625" s="10"/>
      <c r="AG10625" s="10"/>
      <c r="AH10625" s="10"/>
      <c r="AI10625" s="10"/>
      <c r="AJ10625" s="10"/>
      <c r="AK10625" s="10"/>
      <c r="AL10625" s="10"/>
      <c r="AM10625" s="10"/>
      <c r="AN10625" s="10"/>
      <c r="AO10625" s="10"/>
      <c r="AP10625" s="10"/>
      <c r="AQ10625" s="10"/>
      <c r="AR10625" s="10"/>
      <c r="AS10625" s="10"/>
      <c r="AT10625" s="10"/>
      <c r="AU10625" s="10"/>
      <c r="AV10625" s="10"/>
      <c r="AW10625" s="10"/>
      <c r="AX10625" s="10"/>
      <c r="AY10625" s="10"/>
      <c r="AZ10625" s="10"/>
    </row>
    <row r="10626" spans="31:52">
      <c r="AE10626" s="10"/>
      <c r="AF10626" s="10"/>
      <c r="AG10626" s="10"/>
      <c r="AH10626" s="10"/>
      <c r="AI10626" s="10"/>
      <c r="AJ10626" s="10"/>
      <c r="AK10626" s="10"/>
      <c r="AL10626" s="10"/>
      <c r="AM10626" s="10"/>
      <c r="AN10626" s="10"/>
      <c r="AO10626" s="10"/>
      <c r="AP10626" s="10"/>
      <c r="AQ10626" s="10"/>
      <c r="AR10626" s="10"/>
      <c r="AS10626" s="10"/>
      <c r="AT10626" s="10"/>
      <c r="AU10626" s="10"/>
      <c r="AV10626" s="10"/>
      <c r="AW10626" s="10"/>
      <c r="AX10626" s="10"/>
      <c r="AY10626" s="10"/>
      <c r="AZ10626" s="10"/>
    </row>
    <row r="10627" spans="31:52">
      <c r="AE10627" s="10"/>
      <c r="AF10627" s="10"/>
      <c r="AG10627" s="10"/>
      <c r="AH10627" s="10"/>
      <c r="AI10627" s="10"/>
      <c r="AJ10627" s="10"/>
      <c r="AK10627" s="10"/>
      <c r="AL10627" s="10"/>
      <c r="AM10627" s="10"/>
      <c r="AN10627" s="10"/>
      <c r="AO10627" s="10"/>
      <c r="AP10627" s="10"/>
      <c r="AQ10627" s="10"/>
      <c r="AR10627" s="10"/>
      <c r="AS10627" s="10"/>
      <c r="AT10627" s="10"/>
      <c r="AU10627" s="10"/>
      <c r="AV10627" s="10"/>
      <c r="AW10627" s="10"/>
      <c r="AX10627" s="10"/>
      <c r="AY10627" s="10"/>
      <c r="AZ10627" s="10"/>
    </row>
    <row r="10628" spans="31:52">
      <c r="AE10628" s="10"/>
      <c r="AF10628" s="10"/>
      <c r="AG10628" s="10"/>
      <c r="AH10628" s="10"/>
      <c r="AI10628" s="10"/>
      <c r="AJ10628" s="10"/>
      <c r="AK10628" s="10"/>
      <c r="AL10628" s="10"/>
      <c r="AM10628" s="10"/>
      <c r="AN10628" s="10"/>
      <c r="AO10628" s="10"/>
      <c r="AP10628" s="10"/>
      <c r="AQ10628" s="10"/>
      <c r="AR10628" s="10"/>
      <c r="AS10628" s="10"/>
      <c r="AT10628" s="10"/>
      <c r="AU10628" s="10"/>
      <c r="AV10628" s="10"/>
      <c r="AW10628" s="10"/>
      <c r="AX10628" s="10"/>
      <c r="AY10628" s="10"/>
      <c r="AZ10628" s="10"/>
    </row>
    <row r="10629" spans="31:52">
      <c r="AE10629" s="10"/>
      <c r="AF10629" s="10"/>
      <c r="AG10629" s="10"/>
      <c r="AH10629" s="10"/>
      <c r="AI10629" s="10"/>
      <c r="AJ10629" s="10"/>
      <c r="AK10629" s="10"/>
      <c r="AL10629" s="10"/>
      <c r="AM10629" s="10"/>
      <c r="AN10629" s="10"/>
      <c r="AO10629" s="10"/>
      <c r="AP10629" s="10"/>
      <c r="AQ10629" s="10"/>
      <c r="AR10629" s="10"/>
      <c r="AS10629" s="10"/>
      <c r="AT10629" s="10"/>
      <c r="AU10629" s="10"/>
      <c r="AV10629" s="10"/>
      <c r="AW10629" s="10"/>
      <c r="AX10629" s="10"/>
      <c r="AY10629" s="10"/>
      <c r="AZ10629" s="10"/>
    </row>
    <row r="10630" spans="31:52">
      <c r="AE10630" s="10"/>
      <c r="AF10630" s="10"/>
      <c r="AG10630" s="10"/>
      <c r="AH10630" s="10"/>
      <c r="AI10630" s="10"/>
      <c r="AJ10630" s="10"/>
      <c r="AK10630" s="10"/>
      <c r="AL10630" s="10"/>
      <c r="AM10630" s="10"/>
      <c r="AN10630" s="10"/>
      <c r="AO10630" s="10"/>
      <c r="AP10630" s="10"/>
      <c r="AQ10630" s="10"/>
      <c r="AR10630" s="10"/>
      <c r="AS10630" s="10"/>
      <c r="AT10630" s="10"/>
      <c r="AU10630" s="10"/>
      <c r="AV10630" s="10"/>
      <c r="AW10630" s="10"/>
      <c r="AX10630" s="10"/>
      <c r="AY10630" s="10"/>
      <c r="AZ10630" s="10"/>
    </row>
    <row r="10631" spans="31:52">
      <c r="AE10631" s="10"/>
      <c r="AF10631" s="10"/>
      <c r="AG10631" s="10"/>
      <c r="AH10631" s="10"/>
      <c r="AI10631" s="10"/>
      <c r="AJ10631" s="10"/>
      <c r="AK10631" s="10"/>
      <c r="AL10631" s="10"/>
      <c r="AM10631" s="10"/>
      <c r="AN10631" s="10"/>
      <c r="AO10631" s="10"/>
      <c r="AP10631" s="10"/>
      <c r="AQ10631" s="10"/>
      <c r="AR10631" s="10"/>
      <c r="AS10631" s="10"/>
      <c r="AT10631" s="10"/>
      <c r="AU10631" s="10"/>
      <c r="AV10631" s="10"/>
      <c r="AW10631" s="10"/>
      <c r="AX10631" s="10"/>
      <c r="AY10631" s="10"/>
      <c r="AZ10631" s="10"/>
    </row>
    <row r="10632" spans="31:52">
      <c r="AE10632" s="10"/>
      <c r="AF10632" s="10"/>
      <c r="AG10632" s="10"/>
      <c r="AH10632" s="10"/>
      <c r="AI10632" s="10"/>
      <c r="AJ10632" s="10"/>
      <c r="AK10632" s="10"/>
      <c r="AL10632" s="10"/>
      <c r="AM10632" s="10"/>
      <c r="AN10632" s="10"/>
      <c r="AO10632" s="10"/>
      <c r="AP10632" s="10"/>
      <c r="AQ10632" s="10"/>
      <c r="AR10632" s="10"/>
      <c r="AS10632" s="10"/>
      <c r="AT10632" s="10"/>
      <c r="AU10632" s="10"/>
      <c r="AV10632" s="10"/>
      <c r="AW10632" s="10"/>
      <c r="AX10632" s="10"/>
      <c r="AY10632" s="10"/>
      <c r="AZ10632" s="10"/>
    </row>
    <row r="10633" spans="31:52">
      <c r="AE10633" s="10"/>
      <c r="AF10633" s="10"/>
      <c r="AG10633" s="10"/>
      <c r="AH10633" s="10"/>
      <c r="AI10633" s="10"/>
      <c r="AJ10633" s="10"/>
      <c r="AK10633" s="10"/>
      <c r="AL10633" s="10"/>
      <c r="AM10633" s="10"/>
      <c r="AN10633" s="10"/>
      <c r="AO10633" s="10"/>
      <c r="AP10633" s="10"/>
      <c r="AQ10633" s="10"/>
      <c r="AR10633" s="10"/>
      <c r="AS10633" s="10"/>
      <c r="AT10633" s="10"/>
      <c r="AU10633" s="10"/>
      <c r="AV10633" s="10"/>
      <c r="AW10633" s="10"/>
      <c r="AX10633" s="10"/>
      <c r="AY10633" s="10"/>
      <c r="AZ10633" s="10"/>
    </row>
    <row r="10634" spans="31:52">
      <c r="AE10634" s="10"/>
      <c r="AF10634" s="10"/>
      <c r="AG10634" s="10"/>
      <c r="AH10634" s="10"/>
      <c r="AI10634" s="10"/>
      <c r="AJ10634" s="10"/>
      <c r="AK10634" s="10"/>
      <c r="AL10634" s="10"/>
      <c r="AM10634" s="10"/>
      <c r="AN10634" s="10"/>
      <c r="AO10634" s="10"/>
      <c r="AP10634" s="10"/>
      <c r="AQ10634" s="10"/>
      <c r="AR10634" s="10"/>
      <c r="AS10634" s="10"/>
      <c r="AT10634" s="10"/>
      <c r="AU10634" s="10"/>
      <c r="AV10634" s="10"/>
      <c r="AW10634" s="10"/>
      <c r="AX10634" s="10"/>
      <c r="AY10634" s="10"/>
      <c r="AZ10634" s="10"/>
    </row>
    <row r="10635" spans="31:52">
      <c r="AE10635" s="10"/>
      <c r="AF10635" s="10"/>
      <c r="AG10635" s="10"/>
      <c r="AH10635" s="10"/>
      <c r="AI10635" s="10"/>
      <c r="AJ10635" s="10"/>
      <c r="AK10635" s="10"/>
      <c r="AL10635" s="10"/>
      <c r="AM10635" s="10"/>
      <c r="AN10635" s="10"/>
      <c r="AO10635" s="10"/>
      <c r="AP10635" s="10"/>
      <c r="AQ10635" s="10"/>
      <c r="AR10635" s="10"/>
      <c r="AS10635" s="10"/>
      <c r="AT10635" s="10"/>
      <c r="AU10635" s="10"/>
      <c r="AV10635" s="10"/>
      <c r="AW10635" s="10"/>
      <c r="AX10635" s="10"/>
      <c r="AY10635" s="10"/>
      <c r="AZ10635" s="10"/>
    </row>
    <row r="10636" spans="31:52">
      <c r="AE10636" s="10"/>
      <c r="AF10636" s="10"/>
      <c r="AG10636" s="10"/>
      <c r="AH10636" s="10"/>
      <c r="AI10636" s="10"/>
      <c r="AJ10636" s="10"/>
      <c r="AK10636" s="10"/>
      <c r="AL10636" s="10"/>
      <c r="AM10636" s="10"/>
      <c r="AN10636" s="10"/>
      <c r="AO10636" s="10"/>
      <c r="AP10636" s="10"/>
      <c r="AQ10636" s="10"/>
      <c r="AR10636" s="10"/>
      <c r="AS10636" s="10"/>
      <c r="AT10636" s="10"/>
      <c r="AU10636" s="10"/>
      <c r="AV10636" s="10"/>
      <c r="AW10636" s="10"/>
      <c r="AX10636" s="10"/>
      <c r="AY10636" s="10"/>
      <c r="AZ10636" s="10"/>
    </row>
    <row r="10637" spans="31:52">
      <c r="AE10637" s="10"/>
      <c r="AF10637" s="10"/>
      <c r="AG10637" s="10"/>
      <c r="AH10637" s="10"/>
      <c r="AI10637" s="10"/>
      <c r="AJ10637" s="10"/>
      <c r="AK10637" s="10"/>
      <c r="AL10637" s="10"/>
      <c r="AM10637" s="10"/>
      <c r="AN10637" s="10"/>
      <c r="AO10637" s="10"/>
      <c r="AP10637" s="10"/>
      <c r="AQ10637" s="10"/>
      <c r="AR10637" s="10"/>
      <c r="AS10637" s="10"/>
      <c r="AT10637" s="10"/>
      <c r="AU10637" s="10"/>
      <c r="AV10637" s="10"/>
      <c r="AW10637" s="10"/>
      <c r="AX10637" s="10"/>
      <c r="AY10637" s="10"/>
      <c r="AZ10637" s="10"/>
    </row>
    <row r="10638" spans="31:52">
      <c r="AE10638" s="10"/>
      <c r="AF10638" s="10"/>
      <c r="AG10638" s="10"/>
      <c r="AH10638" s="10"/>
      <c r="AI10638" s="10"/>
      <c r="AJ10638" s="10"/>
      <c r="AK10638" s="10"/>
      <c r="AL10638" s="10"/>
      <c r="AM10638" s="10"/>
      <c r="AN10638" s="10"/>
      <c r="AO10638" s="10"/>
      <c r="AP10638" s="10"/>
      <c r="AQ10638" s="10"/>
      <c r="AR10638" s="10"/>
      <c r="AS10638" s="10"/>
      <c r="AT10638" s="10"/>
      <c r="AU10638" s="10"/>
      <c r="AV10638" s="10"/>
      <c r="AW10638" s="10"/>
      <c r="AX10638" s="10"/>
      <c r="AY10638" s="10"/>
      <c r="AZ10638" s="10"/>
    </row>
    <row r="10639" spans="31:52">
      <c r="AE10639" s="10"/>
      <c r="AF10639" s="10"/>
      <c r="AG10639" s="10"/>
      <c r="AH10639" s="10"/>
      <c r="AI10639" s="10"/>
      <c r="AJ10639" s="10"/>
      <c r="AK10639" s="10"/>
      <c r="AL10639" s="10"/>
      <c r="AM10639" s="10"/>
      <c r="AN10639" s="10"/>
      <c r="AO10639" s="10"/>
      <c r="AP10639" s="10"/>
      <c r="AQ10639" s="10"/>
      <c r="AR10639" s="10"/>
      <c r="AS10639" s="10"/>
      <c r="AT10639" s="10"/>
      <c r="AU10639" s="10"/>
      <c r="AV10639" s="10"/>
      <c r="AW10639" s="10"/>
      <c r="AX10639" s="10"/>
      <c r="AY10639" s="10"/>
      <c r="AZ10639" s="10"/>
    </row>
    <row r="10640" spans="31:52">
      <c r="AE10640" s="10"/>
      <c r="AF10640" s="10"/>
      <c r="AG10640" s="10"/>
      <c r="AH10640" s="10"/>
      <c r="AI10640" s="10"/>
      <c r="AJ10640" s="10"/>
      <c r="AK10640" s="10"/>
      <c r="AL10640" s="10"/>
      <c r="AM10640" s="10"/>
      <c r="AN10640" s="10"/>
      <c r="AO10640" s="10"/>
      <c r="AP10640" s="10"/>
      <c r="AQ10640" s="10"/>
      <c r="AR10640" s="10"/>
      <c r="AS10640" s="10"/>
      <c r="AT10640" s="10"/>
      <c r="AU10640" s="10"/>
      <c r="AV10640" s="10"/>
      <c r="AW10640" s="10"/>
      <c r="AX10640" s="10"/>
      <c r="AY10640" s="10"/>
      <c r="AZ10640" s="10"/>
    </row>
    <row r="10641" spans="31:52">
      <c r="AE10641" s="10"/>
      <c r="AF10641" s="10"/>
      <c r="AG10641" s="10"/>
      <c r="AH10641" s="10"/>
      <c r="AI10641" s="10"/>
      <c r="AJ10641" s="10"/>
      <c r="AK10641" s="10"/>
      <c r="AL10641" s="10"/>
      <c r="AM10641" s="10"/>
      <c r="AN10641" s="10"/>
      <c r="AO10641" s="10"/>
      <c r="AP10641" s="10"/>
      <c r="AQ10641" s="10"/>
      <c r="AR10641" s="10"/>
      <c r="AS10641" s="10"/>
      <c r="AT10641" s="10"/>
      <c r="AU10641" s="10"/>
      <c r="AV10641" s="10"/>
      <c r="AW10641" s="10"/>
      <c r="AX10641" s="10"/>
      <c r="AY10641" s="10"/>
      <c r="AZ10641" s="10"/>
    </row>
    <row r="10642" spans="31:52">
      <c r="AE10642" s="10"/>
      <c r="AF10642" s="10"/>
      <c r="AG10642" s="10"/>
      <c r="AH10642" s="10"/>
      <c r="AI10642" s="10"/>
      <c r="AJ10642" s="10"/>
      <c r="AK10642" s="10"/>
      <c r="AL10642" s="10"/>
      <c r="AM10642" s="10"/>
      <c r="AN10642" s="10"/>
      <c r="AO10642" s="10"/>
      <c r="AP10642" s="10"/>
      <c r="AQ10642" s="10"/>
      <c r="AR10642" s="10"/>
      <c r="AS10642" s="10"/>
      <c r="AT10642" s="10"/>
      <c r="AU10642" s="10"/>
      <c r="AV10642" s="10"/>
      <c r="AW10642" s="10"/>
      <c r="AX10642" s="10"/>
      <c r="AY10642" s="10"/>
      <c r="AZ10642" s="10"/>
    </row>
    <row r="10643" spans="31:52">
      <c r="AE10643" s="10"/>
      <c r="AF10643" s="10"/>
      <c r="AG10643" s="10"/>
      <c r="AH10643" s="10"/>
      <c r="AI10643" s="10"/>
      <c r="AJ10643" s="10"/>
      <c r="AK10643" s="10"/>
      <c r="AL10643" s="10"/>
      <c r="AM10643" s="10"/>
      <c r="AN10643" s="10"/>
      <c r="AO10643" s="10"/>
      <c r="AP10643" s="10"/>
      <c r="AQ10643" s="10"/>
      <c r="AR10643" s="10"/>
      <c r="AS10643" s="10"/>
      <c r="AT10643" s="10"/>
      <c r="AU10643" s="10"/>
      <c r="AV10643" s="10"/>
      <c r="AW10643" s="10"/>
      <c r="AX10643" s="10"/>
      <c r="AY10643" s="10"/>
      <c r="AZ10643" s="10"/>
    </row>
    <row r="10644" spans="31:52">
      <c r="AE10644" s="10"/>
      <c r="AF10644" s="10"/>
      <c r="AG10644" s="10"/>
      <c r="AH10644" s="10"/>
      <c r="AI10644" s="10"/>
      <c r="AJ10644" s="10"/>
      <c r="AK10644" s="10"/>
      <c r="AL10644" s="10"/>
      <c r="AM10644" s="10"/>
      <c r="AN10644" s="10"/>
      <c r="AO10644" s="10"/>
      <c r="AP10644" s="10"/>
      <c r="AQ10644" s="10"/>
      <c r="AR10644" s="10"/>
      <c r="AS10644" s="10"/>
      <c r="AT10644" s="10"/>
      <c r="AU10644" s="10"/>
      <c r="AV10644" s="10"/>
      <c r="AW10644" s="10"/>
      <c r="AX10644" s="10"/>
      <c r="AY10644" s="10"/>
      <c r="AZ10644" s="10"/>
    </row>
    <row r="10645" spans="31:52">
      <c r="AE10645" s="10"/>
      <c r="AF10645" s="10"/>
      <c r="AG10645" s="10"/>
      <c r="AH10645" s="10"/>
      <c r="AI10645" s="10"/>
      <c r="AJ10645" s="10"/>
      <c r="AK10645" s="10"/>
      <c r="AL10645" s="10"/>
      <c r="AM10645" s="10"/>
      <c r="AN10645" s="10"/>
      <c r="AO10645" s="10"/>
      <c r="AP10645" s="10"/>
      <c r="AQ10645" s="10"/>
      <c r="AR10645" s="10"/>
      <c r="AS10645" s="10"/>
      <c r="AT10645" s="10"/>
      <c r="AU10645" s="10"/>
      <c r="AV10645" s="10"/>
      <c r="AW10645" s="10"/>
      <c r="AX10645" s="10"/>
      <c r="AY10645" s="10"/>
      <c r="AZ10645" s="10"/>
    </row>
    <row r="10646" spans="31:52">
      <c r="AE10646" s="10"/>
      <c r="AF10646" s="10"/>
      <c r="AG10646" s="10"/>
      <c r="AH10646" s="10"/>
      <c r="AI10646" s="10"/>
      <c r="AJ10646" s="10"/>
      <c r="AK10646" s="10"/>
      <c r="AL10646" s="10"/>
      <c r="AM10646" s="10"/>
      <c r="AN10646" s="10"/>
      <c r="AO10646" s="10"/>
      <c r="AP10646" s="10"/>
      <c r="AQ10646" s="10"/>
      <c r="AR10646" s="10"/>
      <c r="AS10646" s="10"/>
      <c r="AT10646" s="10"/>
      <c r="AU10646" s="10"/>
      <c r="AV10646" s="10"/>
      <c r="AW10646" s="10"/>
      <c r="AX10646" s="10"/>
      <c r="AY10646" s="10"/>
      <c r="AZ10646" s="10"/>
    </row>
    <row r="10647" spans="31:52">
      <c r="AE10647" s="10"/>
      <c r="AF10647" s="10"/>
      <c r="AG10647" s="10"/>
      <c r="AH10647" s="10"/>
      <c r="AI10647" s="10"/>
      <c r="AJ10647" s="10"/>
      <c r="AK10647" s="10"/>
      <c r="AL10647" s="10"/>
      <c r="AM10647" s="10"/>
      <c r="AN10647" s="10"/>
      <c r="AO10647" s="10"/>
      <c r="AP10647" s="10"/>
      <c r="AQ10647" s="10"/>
      <c r="AR10647" s="10"/>
      <c r="AS10647" s="10"/>
      <c r="AT10647" s="10"/>
      <c r="AU10647" s="10"/>
      <c r="AV10647" s="10"/>
      <c r="AW10647" s="10"/>
      <c r="AX10647" s="10"/>
      <c r="AY10647" s="10"/>
      <c r="AZ10647" s="10"/>
    </row>
    <row r="10648" spans="31:52">
      <c r="AE10648" s="10"/>
      <c r="AF10648" s="10"/>
      <c r="AG10648" s="10"/>
      <c r="AH10648" s="10"/>
      <c r="AI10648" s="10"/>
      <c r="AJ10648" s="10"/>
      <c r="AK10648" s="10"/>
      <c r="AL10648" s="10"/>
      <c r="AM10648" s="10"/>
      <c r="AN10648" s="10"/>
      <c r="AO10648" s="10"/>
      <c r="AP10648" s="10"/>
      <c r="AQ10648" s="10"/>
      <c r="AR10648" s="10"/>
      <c r="AS10648" s="10"/>
      <c r="AT10648" s="10"/>
      <c r="AU10648" s="10"/>
      <c r="AV10648" s="10"/>
      <c r="AW10648" s="10"/>
      <c r="AX10648" s="10"/>
      <c r="AY10648" s="10"/>
      <c r="AZ10648" s="10"/>
    </row>
    <row r="10649" spans="31:52">
      <c r="AE10649" s="10"/>
      <c r="AF10649" s="10"/>
      <c r="AG10649" s="10"/>
      <c r="AH10649" s="10"/>
      <c r="AI10649" s="10"/>
      <c r="AJ10649" s="10"/>
      <c r="AK10649" s="10"/>
      <c r="AL10649" s="10"/>
      <c r="AM10649" s="10"/>
      <c r="AN10649" s="10"/>
      <c r="AO10649" s="10"/>
      <c r="AP10649" s="10"/>
      <c r="AQ10649" s="10"/>
      <c r="AR10649" s="10"/>
      <c r="AS10649" s="10"/>
      <c r="AT10649" s="10"/>
      <c r="AU10649" s="10"/>
      <c r="AV10649" s="10"/>
      <c r="AW10649" s="10"/>
      <c r="AX10649" s="10"/>
      <c r="AY10649" s="10"/>
      <c r="AZ10649" s="10"/>
    </row>
    <row r="10650" spans="31:52">
      <c r="AE10650" s="10"/>
      <c r="AF10650" s="10"/>
      <c r="AG10650" s="10"/>
      <c r="AH10650" s="10"/>
      <c r="AI10650" s="10"/>
      <c r="AJ10650" s="10"/>
      <c r="AK10650" s="10"/>
      <c r="AL10650" s="10"/>
      <c r="AM10650" s="10"/>
      <c r="AN10650" s="10"/>
      <c r="AO10650" s="10"/>
      <c r="AP10650" s="10"/>
      <c r="AQ10650" s="10"/>
      <c r="AR10650" s="10"/>
      <c r="AS10650" s="10"/>
      <c r="AT10650" s="10"/>
      <c r="AU10650" s="10"/>
      <c r="AV10650" s="10"/>
      <c r="AW10650" s="10"/>
      <c r="AX10650" s="10"/>
      <c r="AY10650" s="10"/>
      <c r="AZ10650" s="10"/>
    </row>
    <row r="10651" spans="31:52">
      <c r="AE10651" s="10"/>
      <c r="AF10651" s="10"/>
      <c r="AG10651" s="10"/>
      <c r="AH10651" s="10"/>
      <c r="AI10651" s="10"/>
      <c r="AJ10651" s="10"/>
      <c r="AK10651" s="10"/>
      <c r="AL10651" s="10"/>
      <c r="AM10651" s="10"/>
      <c r="AN10651" s="10"/>
      <c r="AO10651" s="10"/>
      <c r="AP10651" s="10"/>
      <c r="AQ10651" s="10"/>
      <c r="AR10651" s="10"/>
      <c r="AS10651" s="10"/>
      <c r="AT10651" s="10"/>
      <c r="AU10651" s="10"/>
      <c r="AV10651" s="10"/>
      <c r="AW10651" s="10"/>
      <c r="AX10651" s="10"/>
      <c r="AY10651" s="10"/>
      <c r="AZ10651" s="10"/>
    </row>
    <row r="10652" spans="31:52">
      <c r="AE10652" s="10"/>
      <c r="AF10652" s="10"/>
      <c r="AG10652" s="10"/>
      <c r="AH10652" s="10"/>
      <c r="AI10652" s="10"/>
      <c r="AJ10652" s="10"/>
      <c r="AK10652" s="10"/>
      <c r="AL10652" s="10"/>
      <c r="AM10652" s="10"/>
      <c r="AN10652" s="10"/>
      <c r="AO10652" s="10"/>
      <c r="AP10652" s="10"/>
      <c r="AQ10652" s="10"/>
      <c r="AR10652" s="10"/>
      <c r="AS10652" s="10"/>
      <c r="AT10652" s="10"/>
      <c r="AU10652" s="10"/>
      <c r="AV10652" s="10"/>
      <c r="AW10652" s="10"/>
      <c r="AX10652" s="10"/>
      <c r="AY10652" s="10"/>
      <c r="AZ10652" s="10"/>
    </row>
    <row r="10653" spans="31:52">
      <c r="AE10653" s="10"/>
      <c r="AF10653" s="10"/>
      <c r="AG10653" s="10"/>
      <c r="AH10653" s="10"/>
      <c r="AI10653" s="10"/>
      <c r="AJ10653" s="10"/>
      <c r="AK10653" s="10"/>
      <c r="AL10653" s="10"/>
      <c r="AM10653" s="10"/>
      <c r="AN10653" s="10"/>
      <c r="AO10653" s="10"/>
      <c r="AP10653" s="10"/>
      <c r="AQ10653" s="10"/>
      <c r="AR10653" s="10"/>
      <c r="AS10653" s="10"/>
      <c r="AT10653" s="10"/>
      <c r="AU10653" s="10"/>
      <c r="AV10653" s="10"/>
      <c r="AW10653" s="10"/>
      <c r="AX10653" s="10"/>
      <c r="AY10653" s="10"/>
      <c r="AZ10653" s="10"/>
    </row>
    <row r="10654" spans="31:52">
      <c r="AE10654" s="10"/>
      <c r="AF10654" s="10"/>
      <c r="AG10654" s="10"/>
      <c r="AH10654" s="10"/>
      <c r="AI10654" s="10"/>
      <c r="AJ10654" s="10"/>
      <c r="AK10654" s="10"/>
      <c r="AL10654" s="10"/>
      <c r="AM10654" s="10"/>
      <c r="AN10654" s="10"/>
      <c r="AO10654" s="10"/>
      <c r="AP10654" s="10"/>
      <c r="AQ10654" s="10"/>
      <c r="AR10654" s="10"/>
      <c r="AS10654" s="10"/>
      <c r="AT10654" s="10"/>
      <c r="AU10654" s="10"/>
      <c r="AV10654" s="10"/>
      <c r="AW10654" s="10"/>
      <c r="AX10654" s="10"/>
      <c r="AY10654" s="10"/>
      <c r="AZ10654" s="10"/>
    </row>
    <row r="10655" spans="31:52">
      <c r="AE10655" s="10"/>
      <c r="AF10655" s="10"/>
      <c r="AG10655" s="10"/>
      <c r="AH10655" s="10"/>
      <c r="AI10655" s="10"/>
      <c r="AJ10655" s="10"/>
      <c r="AK10655" s="10"/>
      <c r="AL10655" s="10"/>
      <c r="AM10655" s="10"/>
      <c r="AN10655" s="10"/>
      <c r="AO10655" s="10"/>
      <c r="AP10655" s="10"/>
      <c r="AQ10655" s="10"/>
      <c r="AR10655" s="10"/>
      <c r="AS10655" s="10"/>
      <c r="AT10655" s="10"/>
      <c r="AU10655" s="10"/>
      <c r="AV10655" s="10"/>
      <c r="AW10655" s="10"/>
      <c r="AX10655" s="10"/>
      <c r="AY10655" s="10"/>
      <c r="AZ10655" s="10"/>
    </row>
    <row r="10656" spans="31:52">
      <c r="AE10656" s="10"/>
      <c r="AF10656" s="10"/>
      <c r="AG10656" s="10"/>
      <c r="AH10656" s="10"/>
      <c r="AI10656" s="10"/>
      <c r="AJ10656" s="10"/>
      <c r="AK10656" s="10"/>
      <c r="AL10656" s="10"/>
      <c r="AM10656" s="10"/>
      <c r="AN10656" s="10"/>
      <c r="AO10656" s="10"/>
      <c r="AP10656" s="10"/>
      <c r="AQ10656" s="10"/>
      <c r="AR10656" s="10"/>
      <c r="AS10656" s="10"/>
      <c r="AT10656" s="10"/>
      <c r="AU10656" s="10"/>
      <c r="AV10656" s="10"/>
      <c r="AW10656" s="10"/>
      <c r="AX10656" s="10"/>
      <c r="AY10656" s="10"/>
      <c r="AZ10656" s="10"/>
    </row>
    <row r="10657" spans="31:52">
      <c r="AE10657" s="10"/>
      <c r="AF10657" s="10"/>
      <c r="AG10657" s="10"/>
      <c r="AH10657" s="10"/>
      <c r="AI10657" s="10"/>
      <c r="AJ10657" s="10"/>
      <c r="AK10657" s="10"/>
      <c r="AL10657" s="10"/>
      <c r="AM10657" s="10"/>
      <c r="AN10657" s="10"/>
      <c r="AO10657" s="10"/>
      <c r="AP10657" s="10"/>
      <c r="AQ10657" s="10"/>
      <c r="AR10657" s="10"/>
      <c r="AS10657" s="10"/>
      <c r="AT10657" s="10"/>
      <c r="AU10657" s="10"/>
      <c r="AV10657" s="10"/>
      <c r="AW10657" s="10"/>
      <c r="AX10657" s="10"/>
      <c r="AY10657" s="10"/>
      <c r="AZ10657" s="10"/>
    </row>
    <row r="10658" spans="31:52">
      <c r="AE10658" s="10"/>
      <c r="AF10658" s="10"/>
      <c r="AG10658" s="10"/>
      <c r="AH10658" s="10"/>
      <c r="AI10658" s="10"/>
      <c r="AJ10658" s="10"/>
      <c r="AK10658" s="10"/>
      <c r="AL10658" s="10"/>
      <c r="AM10658" s="10"/>
      <c r="AN10658" s="10"/>
      <c r="AO10658" s="10"/>
      <c r="AP10658" s="10"/>
      <c r="AQ10658" s="10"/>
      <c r="AR10658" s="10"/>
      <c r="AS10658" s="10"/>
      <c r="AT10658" s="10"/>
      <c r="AU10658" s="10"/>
      <c r="AV10658" s="10"/>
      <c r="AW10658" s="10"/>
      <c r="AX10658" s="10"/>
      <c r="AY10658" s="10"/>
      <c r="AZ10658" s="10"/>
    </row>
    <row r="10659" spans="31:52">
      <c r="AE10659" s="10"/>
      <c r="AF10659" s="10"/>
      <c r="AG10659" s="10"/>
      <c r="AH10659" s="10"/>
      <c r="AI10659" s="10"/>
      <c r="AJ10659" s="10"/>
      <c r="AK10659" s="10"/>
      <c r="AL10659" s="10"/>
      <c r="AM10659" s="10"/>
      <c r="AN10659" s="10"/>
      <c r="AO10659" s="10"/>
      <c r="AP10659" s="10"/>
      <c r="AQ10659" s="10"/>
      <c r="AR10659" s="10"/>
      <c r="AS10659" s="10"/>
      <c r="AT10659" s="10"/>
      <c r="AU10659" s="10"/>
      <c r="AV10659" s="10"/>
      <c r="AW10659" s="10"/>
      <c r="AX10659" s="10"/>
      <c r="AY10659" s="10"/>
      <c r="AZ10659" s="10"/>
    </row>
    <row r="10660" spans="31:52">
      <c r="AE10660" s="10"/>
      <c r="AF10660" s="10"/>
      <c r="AG10660" s="10"/>
      <c r="AH10660" s="10"/>
      <c r="AI10660" s="10"/>
      <c r="AJ10660" s="10"/>
      <c r="AK10660" s="10"/>
      <c r="AL10660" s="10"/>
      <c r="AM10660" s="10"/>
      <c r="AN10660" s="10"/>
      <c r="AO10660" s="10"/>
      <c r="AP10660" s="10"/>
      <c r="AQ10660" s="10"/>
      <c r="AR10660" s="10"/>
      <c r="AS10660" s="10"/>
      <c r="AT10660" s="10"/>
      <c r="AU10660" s="10"/>
      <c r="AV10660" s="10"/>
      <c r="AW10660" s="10"/>
      <c r="AX10660" s="10"/>
      <c r="AY10660" s="10"/>
      <c r="AZ10660" s="10"/>
    </row>
    <row r="10661" spans="31:52">
      <c r="AE10661" s="10"/>
      <c r="AF10661" s="10"/>
      <c r="AG10661" s="10"/>
      <c r="AH10661" s="10"/>
      <c r="AI10661" s="10"/>
      <c r="AJ10661" s="10"/>
      <c r="AK10661" s="10"/>
      <c r="AL10661" s="10"/>
      <c r="AM10661" s="10"/>
      <c r="AN10661" s="10"/>
      <c r="AO10661" s="10"/>
      <c r="AP10661" s="10"/>
      <c r="AQ10661" s="10"/>
      <c r="AR10661" s="10"/>
      <c r="AS10661" s="10"/>
      <c r="AT10661" s="10"/>
      <c r="AU10661" s="10"/>
      <c r="AV10661" s="10"/>
      <c r="AW10661" s="10"/>
      <c r="AX10661" s="10"/>
      <c r="AY10661" s="10"/>
      <c r="AZ10661" s="10"/>
    </row>
    <row r="10662" spans="31:52">
      <c r="AE10662" s="10"/>
      <c r="AF10662" s="10"/>
      <c r="AG10662" s="10"/>
      <c r="AH10662" s="10"/>
      <c r="AI10662" s="10"/>
      <c r="AJ10662" s="10"/>
      <c r="AK10662" s="10"/>
      <c r="AL10662" s="10"/>
      <c r="AM10662" s="10"/>
      <c r="AN10662" s="10"/>
      <c r="AO10662" s="10"/>
      <c r="AP10662" s="10"/>
      <c r="AQ10662" s="10"/>
      <c r="AR10662" s="10"/>
      <c r="AS10662" s="10"/>
      <c r="AT10662" s="10"/>
      <c r="AU10662" s="10"/>
      <c r="AV10662" s="10"/>
      <c r="AW10662" s="10"/>
      <c r="AX10662" s="10"/>
      <c r="AY10662" s="10"/>
      <c r="AZ10662" s="10"/>
    </row>
    <row r="10663" spans="31:52">
      <c r="AE10663" s="10"/>
      <c r="AF10663" s="10"/>
      <c r="AG10663" s="10"/>
      <c r="AH10663" s="10"/>
      <c r="AI10663" s="10"/>
      <c r="AJ10663" s="10"/>
      <c r="AK10663" s="10"/>
      <c r="AL10663" s="10"/>
      <c r="AM10663" s="10"/>
      <c r="AN10663" s="10"/>
      <c r="AO10663" s="10"/>
      <c r="AP10663" s="10"/>
      <c r="AQ10663" s="10"/>
      <c r="AR10663" s="10"/>
      <c r="AS10663" s="10"/>
      <c r="AT10663" s="10"/>
      <c r="AU10663" s="10"/>
      <c r="AV10663" s="10"/>
      <c r="AW10663" s="10"/>
      <c r="AX10663" s="10"/>
      <c r="AY10663" s="10"/>
      <c r="AZ10663" s="10"/>
    </row>
    <row r="10664" spans="31:52">
      <c r="AE10664" s="10"/>
      <c r="AF10664" s="10"/>
      <c r="AG10664" s="10"/>
      <c r="AH10664" s="10"/>
      <c r="AI10664" s="10"/>
      <c r="AJ10664" s="10"/>
      <c r="AK10664" s="10"/>
      <c r="AL10664" s="10"/>
      <c r="AM10664" s="10"/>
      <c r="AN10664" s="10"/>
      <c r="AO10664" s="10"/>
      <c r="AP10664" s="10"/>
      <c r="AQ10664" s="10"/>
      <c r="AR10664" s="10"/>
      <c r="AS10664" s="10"/>
      <c r="AT10664" s="10"/>
      <c r="AU10664" s="10"/>
      <c r="AV10664" s="10"/>
      <c r="AW10664" s="10"/>
      <c r="AX10664" s="10"/>
      <c r="AY10664" s="10"/>
      <c r="AZ10664" s="10"/>
    </row>
    <row r="10665" spans="31:52">
      <c r="AE10665" s="10"/>
      <c r="AF10665" s="10"/>
      <c r="AG10665" s="10"/>
      <c r="AH10665" s="10"/>
      <c r="AI10665" s="10"/>
      <c r="AJ10665" s="10"/>
      <c r="AK10665" s="10"/>
      <c r="AL10665" s="10"/>
      <c r="AM10665" s="10"/>
      <c r="AN10665" s="10"/>
      <c r="AO10665" s="10"/>
      <c r="AP10665" s="10"/>
      <c r="AQ10665" s="10"/>
      <c r="AR10665" s="10"/>
      <c r="AS10665" s="10"/>
      <c r="AT10665" s="10"/>
      <c r="AU10665" s="10"/>
      <c r="AV10665" s="10"/>
      <c r="AW10665" s="10"/>
      <c r="AX10665" s="10"/>
      <c r="AY10665" s="10"/>
      <c r="AZ10665" s="10"/>
    </row>
    <row r="10666" spans="31:52">
      <c r="AE10666" s="10"/>
      <c r="AF10666" s="10"/>
      <c r="AG10666" s="10"/>
      <c r="AH10666" s="10"/>
      <c r="AI10666" s="10"/>
      <c r="AJ10666" s="10"/>
      <c r="AK10666" s="10"/>
      <c r="AL10666" s="10"/>
      <c r="AM10666" s="10"/>
      <c r="AN10666" s="10"/>
      <c r="AO10666" s="10"/>
      <c r="AP10666" s="10"/>
      <c r="AQ10666" s="10"/>
      <c r="AR10666" s="10"/>
      <c r="AS10666" s="10"/>
      <c r="AT10666" s="10"/>
      <c r="AU10666" s="10"/>
      <c r="AV10666" s="10"/>
      <c r="AW10666" s="10"/>
      <c r="AX10666" s="10"/>
      <c r="AY10666" s="10"/>
      <c r="AZ10666" s="10"/>
    </row>
    <row r="10667" spans="31:52">
      <c r="AE10667" s="10"/>
      <c r="AF10667" s="10"/>
      <c r="AG10667" s="10"/>
      <c r="AH10667" s="10"/>
      <c r="AI10667" s="10"/>
      <c r="AJ10667" s="10"/>
      <c r="AK10667" s="10"/>
      <c r="AL10667" s="10"/>
      <c r="AM10667" s="10"/>
      <c r="AN10667" s="10"/>
      <c r="AO10667" s="10"/>
      <c r="AP10667" s="10"/>
      <c r="AQ10667" s="10"/>
      <c r="AR10667" s="10"/>
      <c r="AS10667" s="10"/>
      <c r="AT10667" s="10"/>
      <c r="AU10667" s="10"/>
      <c r="AV10667" s="10"/>
      <c r="AW10667" s="10"/>
      <c r="AX10667" s="10"/>
      <c r="AY10667" s="10"/>
      <c r="AZ10667" s="10"/>
    </row>
    <row r="10668" spans="31:52">
      <c r="AE10668" s="10"/>
      <c r="AF10668" s="10"/>
      <c r="AG10668" s="10"/>
      <c r="AH10668" s="10"/>
      <c r="AI10668" s="10"/>
      <c r="AJ10668" s="10"/>
      <c r="AK10668" s="10"/>
      <c r="AL10668" s="10"/>
      <c r="AM10668" s="10"/>
      <c r="AN10668" s="10"/>
      <c r="AO10668" s="10"/>
      <c r="AP10668" s="10"/>
      <c r="AQ10668" s="10"/>
      <c r="AR10668" s="10"/>
      <c r="AS10668" s="10"/>
      <c r="AT10668" s="10"/>
      <c r="AU10668" s="10"/>
      <c r="AV10668" s="10"/>
      <c r="AW10668" s="10"/>
      <c r="AX10668" s="10"/>
      <c r="AY10668" s="10"/>
      <c r="AZ10668" s="10"/>
    </row>
    <row r="10669" spans="31:52">
      <c r="AE10669" s="10"/>
      <c r="AF10669" s="10"/>
      <c r="AG10669" s="10"/>
      <c r="AH10669" s="10"/>
      <c r="AI10669" s="10"/>
      <c r="AJ10669" s="10"/>
      <c r="AK10669" s="10"/>
      <c r="AL10669" s="10"/>
      <c r="AM10669" s="10"/>
      <c r="AN10669" s="10"/>
      <c r="AO10669" s="10"/>
      <c r="AP10669" s="10"/>
      <c r="AQ10669" s="10"/>
      <c r="AR10669" s="10"/>
      <c r="AS10669" s="10"/>
      <c r="AT10669" s="10"/>
      <c r="AU10669" s="10"/>
      <c r="AV10669" s="10"/>
      <c r="AW10669" s="10"/>
      <c r="AX10669" s="10"/>
      <c r="AY10669" s="10"/>
      <c r="AZ10669" s="10"/>
    </row>
    <row r="10670" spans="31:52">
      <c r="AE10670" s="10"/>
      <c r="AF10670" s="10"/>
      <c r="AG10670" s="10"/>
      <c r="AH10670" s="10"/>
      <c r="AI10670" s="10"/>
      <c r="AJ10670" s="10"/>
      <c r="AK10670" s="10"/>
      <c r="AL10670" s="10"/>
      <c r="AM10670" s="10"/>
      <c r="AN10670" s="10"/>
      <c r="AO10670" s="10"/>
      <c r="AP10670" s="10"/>
      <c r="AQ10670" s="10"/>
      <c r="AR10670" s="10"/>
      <c r="AS10670" s="10"/>
      <c r="AT10670" s="10"/>
      <c r="AU10670" s="10"/>
      <c r="AV10670" s="10"/>
      <c r="AW10670" s="10"/>
      <c r="AX10670" s="10"/>
      <c r="AY10670" s="10"/>
      <c r="AZ10670" s="10"/>
    </row>
    <row r="10671" spans="31:52">
      <c r="AE10671" s="10"/>
      <c r="AF10671" s="10"/>
      <c r="AG10671" s="10"/>
      <c r="AH10671" s="10"/>
      <c r="AI10671" s="10"/>
      <c r="AJ10671" s="10"/>
      <c r="AK10671" s="10"/>
      <c r="AL10671" s="10"/>
      <c r="AM10671" s="10"/>
      <c r="AN10671" s="10"/>
      <c r="AO10671" s="10"/>
      <c r="AP10671" s="10"/>
      <c r="AQ10671" s="10"/>
      <c r="AR10671" s="10"/>
      <c r="AS10671" s="10"/>
      <c r="AT10671" s="10"/>
      <c r="AU10671" s="10"/>
      <c r="AV10671" s="10"/>
      <c r="AW10671" s="10"/>
      <c r="AX10671" s="10"/>
      <c r="AY10671" s="10"/>
      <c r="AZ10671" s="10"/>
    </row>
    <row r="10672" spans="31:52">
      <c r="AE10672" s="10"/>
      <c r="AF10672" s="10"/>
      <c r="AG10672" s="10"/>
      <c r="AH10672" s="10"/>
      <c r="AI10672" s="10"/>
      <c r="AJ10672" s="10"/>
      <c r="AK10672" s="10"/>
      <c r="AL10672" s="10"/>
      <c r="AM10672" s="10"/>
      <c r="AN10672" s="10"/>
      <c r="AO10672" s="10"/>
      <c r="AP10672" s="10"/>
      <c r="AQ10672" s="10"/>
      <c r="AR10672" s="10"/>
      <c r="AS10672" s="10"/>
      <c r="AT10672" s="10"/>
      <c r="AU10672" s="10"/>
      <c r="AV10672" s="10"/>
      <c r="AW10672" s="10"/>
      <c r="AX10672" s="10"/>
      <c r="AY10672" s="10"/>
      <c r="AZ10672" s="10"/>
    </row>
    <row r="10673" spans="31:52">
      <c r="AE10673" s="10"/>
      <c r="AF10673" s="10"/>
      <c r="AG10673" s="10"/>
      <c r="AH10673" s="10"/>
      <c r="AI10673" s="10"/>
      <c r="AJ10673" s="10"/>
      <c r="AK10673" s="10"/>
      <c r="AL10673" s="10"/>
      <c r="AM10673" s="10"/>
      <c r="AN10673" s="10"/>
      <c r="AO10673" s="10"/>
      <c r="AP10673" s="10"/>
      <c r="AQ10673" s="10"/>
      <c r="AR10673" s="10"/>
      <c r="AS10673" s="10"/>
      <c r="AT10673" s="10"/>
      <c r="AU10673" s="10"/>
      <c r="AV10673" s="10"/>
      <c r="AW10673" s="10"/>
      <c r="AX10673" s="10"/>
      <c r="AY10673" s="10"/>
      <c r="AZ10673" s="10"/>
    </row>
    <row r="10674" spans="31:52">
      <c r="AE10674" s="10"/>
      <c r="AF10674" s="10"/>
      <c r="AG10674" s="10"/>
      <c r="AH10674" s="10"/>
      <c r="AI10674" s="10"/>
      <c r="AJ10674" s="10"/>
      <c r="AK10674" s="10"/>
      <c r="AL10674" s="10"/>
      <c r="AM10674" s="10"/>
      <c r="AN10674" s="10"/>
      <c r="AO10674" s="10"/>
      <c r="AP10674" s="10"/>
      <c r="AQ10674" s="10"/>
      <c r="AR10674" s="10"/>
      <c r="AS10674" s="10"/>
      <c r="AT10674" s="10"/>
      <c r="AU10674" s="10"/>
      <c r="AV10674" s="10"/>
      <c r="AW10674" s="10"/>
      <c r="AX10674" s="10"/>
      <c r="AY10674" s="10"/>
      <c r="AZ10674" s="10"/>
    </row>
    <row r="10675" spans="31:52">
      <c r="AE10675" s="10"/>
      <c r="AF10675" s="10"/>
      <c r="AG10675" s="10"/>
      <c r="AH10675" s="10"/>
      <c r="AI10675" s="10"/>
      <c r="AJ10675" s="10"/>
      <c r="AK10675" s="10"/>
      <c r="AL10675" s="10"/>
      <c r="AM10675" s="10"/>
      <c r="AN10675" s="10"/>
      <c r="AO10675" s="10"/>
      <c r="AP10675" s="10"/>
      <c r="AQ10675" s="10"/>
      <c r="AR10675" s="10"/>
      <c r="AS10675" s="10"/>
      <c r="AT10675" s="10"/>
      <c r="AU10675" s="10"/>
      <c r="AV10675" s="10"/>
      <c r="AW10675" s="10"/>
      <c r="AX10675" s="10"/>
      <c r="AY10675" s="10"/>
      <c r="AZ10675" s="10"/>
    </row>
    <row r="10676" spans="31:52">
      <c r="AE10676" s="10"/>
      <c r="AF10676" s="10"/>
      <c r="AG10676" s="10"/>
      <c r="AH10676" s="10"/>
      <c r="AI10676" s="10"/>
      <c r="AJ10676" s="10"/>
      <c r="AK10676" s="10"/>
      <c r="AL10676" s="10"/>
      <c r="AM10676" s="10"/>
      <c r="AN10676" s="10"/>
      <c r="AO10676" s="10"/>
      <c r="AP10676" s="10"/>
      <c r="AQ10676" s="10"/>
      <c r="AR10676" s="10"/>
      <c r="AS10676" s="10"/>
      <c r="AT10676" s="10"/>
      <c r="AU10676" s="10"/>
      <c r="AV10676" s="10"/>
      <c r="AW10676" s="10"/>
      <c r="AX10676" s="10"/>
      <c r="AY10676" s="10"/>
      <c r="AZ10676" s="10"/>
    </row>
    <row r="10677" spans="31:52">
      <c r="AE10677" s="10"/>
      <c r="AF10677" s="10"/>
      <c r="AG10677" s="10"/>
      <c r="AH10677" s="10"/>
      <c r="AI10677" s="10"/>
      <c r="AJ10677" s="10"/>
      <c r="AK10677" s="10"/>
      <c r="AL10677" s="10"/>
      <c r="AM10677" s="10"/>
      <c r="AN10677" s="10"/>
      <c r="AO10677" s="10"/>
      <c r="AP10677" s="10"/>
      <c r="AQ10677" s="10"/>
      <c r="AR10677" s="10"/>
      <c r="AS10677" s="10"/>
      <c r="AT10677" s="10"/>
      <c r="AU10677" s="10"/>
      <c r="AV10677" s="10"/>
      <c r="AW10677" s="10"/>
      <c r="AX10677" s="10"/>
      <c r="AY10677" s="10"/>
      <c r="AZ10677" s="10"/>
    </row>
    <row r="10678" spans="31:52">
      <c r="AE10678" s="10"/>
      <c r="AF10678" s="10"/>
      <c r="AG10678" s="10"/>
      <c r="AH10678" s="10"/>
      <c r="AI10678" s="10"/>
      <c r="AJ10678" s="10"/>
      <c r="AK10678" s="10"/>
      <c r="AL10678" s="10"/>
      <c r="AM10678" s="10"/>
      <c r="AN10678" s="10"/>
      <c r="AO10678" s="10"/>
      <c r="AP10678" s="10"/>
      <c r="AQ10678" s="10"/>
      <c r="AR10678" s="10"/>
      <c r="AS10678" s="10"/>
      <c r="AT10678" s="10"/>
      <c r="AU10678" s="10"/>
      <c r="AV10678" s="10"/>
      <c r="AW10678" s="10"/>
      <c r="AX10678" s="10"/>
      <c r="AY10678" s="10"/>
      <c r="AZ10678" s="10"/>
    </row>
    <row r="10679" spans="31:52">
      <c r="AE10679" s="10"/>
      <c r="AF10679" s="10"/>
      <c r="AG10679" s="10"/>
      <c r="AH10679" s="10"/>
      <c r="AI10679" s="10"/>
      <c r="AJ10679" s="10"/>
      <c r="AK10679" s="10"/>
      <c r="AL10679" s="10"/>
      <c r="AM10679" s="10"/>
      <c r="AN10679" s="10"/>
      <c r="AO10679" s="10"/>
      <c r="AP10679" s="10"/>
      <c r="AQ10679" s="10"/>
      <c r="AR10679" s="10"/>
      <c r="AS10679" s="10"/>
      <c r="AT10679" s="10"/>
      <c r="AU10679" s="10"/>
      <c r="AV10679" s="10"/>
      <c r="AW10679" s="10"/>
      <c r="AX10679" s="10"/>
      <c r="AY10679" s="10"/>
      <c r="AZ10679" s="10"/>
    </row>
    <row r="10680" spans="31:52">
      <c r="AE10680" s="10"/>
      <c r="AF10680" s="10"/>
      <c r="AG10680" s="10"/>
      <c r="AH10680" s="10"/>
      <c r="AI10680" s="10"/>
      <c r="AJ10680" s="10"/>
      <c r="AK10680" s="10"/>
      <c r="AL10680" s="10"/>
      <c r="AM10680" s="10"/>
      <c r="AN10680" s="10"/>
      <c r="AO10680" s="10"/>
      <c r="AP10680" s="10"/>
      <c r="AQ10680" s="10"/>
      <c r="AR10680" s="10"/>
      <c r="AS10680" s="10"/>
      <c r="AT10680" s="10"/>
      <c r="AU10680" s="10"/>
      <c r="AV10680" s="10"/>
      <c r="AW10680" s="10"/>
      <c r="AX10680" s="10"/>
      <c r="AY10680" s="10"/>
      <c r="AZ10680" s="10"/>
    </row>
    <row r="10681" spans="31:52">
      <c r="AE10681" s="10"/>
      <c r="AF10681" s="10"/>
      <c r="AG10681" s="10"/>
      <c r="AH10681" s="10"/>
      <c r="AI10681" s="10"/>
      <c r="AJ10681" s="10"/>
      <c r="AK10681" s="10"/>
      <c r="AL10681" s="10"/>
      <c r="AM10681" s="10"/>
      <c r="AN10681" s="10"/>
      <c r="AO10681" s="10"/>
      <c r="AP10681" s="10"/>
      <c r="AQ10681" s="10"/>
      <c r="AR10681" s="10"/>
      <c r="AS10681" s="10"/>
      <c r="AT10681" s="10"/>
      <c r="AU10681" s="10"/>
      <c r="AV10681" s="10"/>
      <c r="AW10681" s="10"/>
      <c r="AX10681" s="10"/>
      <c r="AY10681" s="10"/>
      <c r="AZ10681" s="10"/>
    </row>
    <row r="10682" spans="31:52">
      <c r="AE10682" s="10"/>
      <c r="AF10682" s="10"/>
      <c r="AG10682" s="10"/>
      <c r="AH10682" s="10"/>
      <c r="AI10682" s="10"/>
      <c r="AJ10682" s="10"/>
      <c r="AK10682" s="10"/>
      <c r="AL10682" s="10"/>
      <c r="AM10682" s="10"/>
      <c r="AN10682" s="10"/>
      <c r="AO10682" s="10"/>
      <c r="AP10682" s="10"/>
      <c r="AQ10682" s="10"/>
      <c r="AR10682" s="10"/>
      <c r="AS10682" s="10"/>
      <c r="AT10682" s="10"/>
      <c r="AU10682" s="10"/>
      <c r="AV10682" s="10"/>
      <c r="AW10682" s="10"/>
      <c r="AX10682" s="10"/>
      <c r="AY10682" s="10"/>
      <c r="AZ10682" s="10"/>
    </row>
    <row r="10683" spans="31:52">
      <c r="AE10683" s="10"/>
      <c r="AF10683" s="10"/>
      <c r="AG10683" s="10"/>
      <c r="AH10683" s="10"/>
      <c r="AI10683" s="10"/>
      <c r="AJ10683" s="10"/>
      <c r="AK10683" s="10"/>
      <c r="AL10683" s="10"/>
      <c r="AM10683" s="10"/>
      <c r="AN10683" s="10"/>
      <c r="AO10683" s="10"/>
      <c r="AP10683" s="10"/>
      <c r="AQ10683" s="10"/>
      <c r="AR10683" s="10"/>
      <c r="AS10683" s="10"/>
      <c r="AT10683" s="10"/>
      <c r="AU10683" s="10"/>
      <c r="AV10683" s="10"/>
      <c r="AW10683" s="10"/>
      <c r="AX10683" s="10"/>
      <c r="AY10683" s="10"/>
      <c r="AZ10683" s="10"/>
    </row>
    <row r="10684" spans="31:52">
      <c r="AE10684" s="10"/>
      <c r="AF10684" s="10"/>
      <c r="AG10684" s="10"/>
      <c r="AH10684" s="10"/>
      <c r="AI10684" s="10"/>
      <c r="AJ10684" s="10"/>
      <c r="AK10684" s="10"/>
      <c r="AL10684" s="10"/>
      <c r="AM10684" s="10"/>
      <c r="AN10684" s="10"/>
      <c r="AO10684" s="10"/>
      <c r="AP10684" s="10"/>
      <c r="AQ10684" s="10"/>
      <c r="AR10684" s="10"/>
      <c r="AS10684" s="10"/>
      <c r="AT10684" s="10"/>
      <c r="AU10684" s="10"/>
      <c r="AV10684" s="10"/>
      <c r="AW10684" s="10"/>
      <c r="AX10684" s="10"/>
      <c r="AY10684" s="10"/>
      <c r="AZ10684" s="10"/>
    </row>
    <row r="10685" spans="31:52">
      <c r="AE10685" s="10"/>
      <c r="AF10685" s="10"/>
      <c r="AG10685" s="10"/>
      <c r="AH10685" s="10"/>
      <c r="AI10685" s="10"/>
      <c r="AJ10685" s="10"/>
      <c r="AK10685" s="10"/>
      <c r="AL10685" s="10"/>
      <c r="AM10685" s="10"/>
      <c r="AN10685" s="10"/>
      <c r="AO10685" s="10"/>
      <c r="AP10685" s="10"/>
      <c r="AQ10685" s="10"/>
      <c r="AR10685" s="10"/>
      <c r="AS10685" s="10"/>
      <c r="AT10685" s="10"/>
      <c r="AU10685" s="10"/>
      <c r="AV10685" s="10"/>
      <c r="AW10685" s="10"/>
      <c r="AX10685" s="10"/>
      <c r="AY10685" s="10"/>
      <c r="AZ10685" s="10"/>
    </row>
    <row r="10686" spans="31:52">
      <c r="AE10686" s="10"/>
      <c r="AF10686" s="10"/>
      <c r="AG10686" s="10"/>
      <c r="AH10686" s="10"/>
      <c r="AI10686" s="10"/>
      <c r="AJ10686" s="10"/>
      <c r="AK10686" s="10"/>
      <c r="AL10686" s="10"/>
      <c r="AM10686" s="10"/>
      <c r="AN10686" s="10"/>
      <c r="AO10686" s="10"/>
      <c r="AP10686" s="10"/>
      <c r="AQ10686" s="10"/>
      <c r="AR10686" s="10"/>
      <c r="AS10686" s="10"/>
      <c r="AT10686" s="10"/>
      <c r="AU10686" s="10"/>
      <c r="AV10686" s="10"/>
      <c r="AW10686" s="10"/>
      <c r="AX10686" s="10"/>
      <c r="AY10686" s="10"/>
      <c r="AZ10686" s="10"/>
    </row>
    <row r="10687" spans="31:52">
      <c r="AE10687" s="10"/>
      <c r="AF10687" s="10"/>
      <c r="AG10687" s="10"/>
      <c r="AH10687" s="10"/>
      <c r="AI10687" s="10"/>
      <c r="AJ10687" s="10"/>
      <c r="AK10687" s="10"/>
      <c r="AL10687" s="10"/>
      <c r="AM10687" s="10"/>
      <c r="AN10687" s="10"/>
      <c r="AO10687" s="10"/>
      <c r="AP10687" s="10"/>
      <c r="AQ10687" s="10"/>
      <c r="AR10687" s="10"/>
      <c r="AS10687" s="10"/>
      <c r="AT10687" s="10"/>
      <c r="AU10687" s="10"/>
      <c r="AV10687" s="10"/>
      <c r="AW10687" s="10"/>
      <c r="AX10687" s="10"/>
      <c r="AY10687" s="10"/>
      <c r="AZ10687" s="10"/>
    </row>
    <row r="10688" spans="31:52">
      <c r="AE10688" s="10"/>
      <c r="AF10688" s="10"/>
      <c r="AG10688" s="10"/>
      <c r="AH10688" s="10"/>
      <c r="AI10688" s="10"/>
      <c r="AJ10688" s="10"/>
      <c r="AK10688" s="10"/>
      <c r="AL10688" s="10"/>
      <c r="AM10688" s="10"/>
      <c r="AN10688" s="10"/>
      <c r="AO10688" s="10"/>
      <c r="AP10688" s="10"/>
      <c r="AQ10688" s="10"/>
      <c r="AR10688" s="10"/>
      <c r="AS10688" s="10"/>
      <c r="AT10688" s="10"/>
      <c r="AU10688" s="10"/>
      <c r="AV10688" s="10"/>
      <c r="AW10688" s="10"/>
      <c r="AX10688" s="10"/>
      <c r="AY10688" s="10"/>
      <c r="AZ10688" s="10"/>
    </row>
    <row r="10689" spans="31:52">
      <c r="AE10689" s="10"/>
      <c r="AF10689" s="10"/>
      <c r="AG10689" s="10"/>
      <c r="AH10689" s="10"/>
      <c r="AI10689" s="10"/>
      <c r="AJ10689" s="10"/>
      <c r="AK10689" s="10"/>
      <c r="AL10689" s="10"/>
      <c r="AM10689" s="10"/>
      <c r="AN10689" s="10"/>
      <c r="AO10689" s="10"/>
      <c r="AP10689" s="10"/>
      <c r="AQ10689" s="10"/>
      <c r="AR10689" s="10"/>
      <c r="AS10689" s="10"/>
      <c r="AT10689" s="10"/>
      <c r="AU10689" s="10"/>
      <c r="AV10689" s="10"/>
      <c r="AW10689" s="10"/>
      <c r="AX10689" s="10"/>
      <c r="AY10689" s="10"/>
      <c r="AZ10689" s="10"/>
    </row>
    <row r="10690" spans="31:52">
      <c r="AE10690" s="10"/>
      <c r="AF10690" s="10"/>
      <c r="AG10690" s="10"/>
      <c r="AH10690" s="10"/>
      <c r="AI10690" s="10"/>
      <c r="AJ10690" s="10"/>
      <c r="AK10690" s="10"/>
      <c r="AL10690" s="10"/>
      <c r="AM10690" s="10"/>
      <c r="AN10690" s="10"/>
      <c r="AO10690" s="10"/>
      <c r="AP10690" s="10"/>
      <c r="AQ10690" s="10"/>
      <c r="AR10690" s="10"/>
      <c r="AS10690" s="10"/>
      <c r="AT10690" s="10"/>
      <c r="AU10690" s="10"/>
      <c r="AV10690" s="10"/>
      <c r="AW10690" s="10"/>
      <c r="AX10690" s="10"/>
      <c r="AY10690" s="10"/>
      <c r="AZ10690" s="10"/>
    </row>
    <row r="10691" spans="31:52">
      <c r="AE10691" s="10"/>
      <c r="AF10691" s="10"/>
      <c r="AG10691" s="10"/>
      <c r="AH10691" s="10"/>
      <c r="AI10691" s="10"/>
      <c r="AJ10691" s="10"/>
      <c r="AK10691" s="10"/>
      <c r="AL10691" s="10"/>
      <c r="AM10691" s="10"/>
      <c r="AN10691" s="10"/>
      <c r="AO10691" s="10"/>
      <c r="AP10691" s="10"/>
      <c r="AQ10691" s="10"/>
      <c r="AR10691" s="10"/>
      <c r="AS10691" s="10"/>
      <c r="AT10691" s="10"/>
      <c r="AU10691" s="10"/>
      <c r="AV10691" s="10"/>
      <c r="AW10691" s="10"/>
      <c r="AX10691" s="10"/>
      <c r="AY10691" s="10"/>
      <c r="AZ10691" s="10"/>
    </row>
    <row r="10692" spans="31:52">
      <c r="AE10692" s="10"/>
      <c r="AF10692" s="10"/>
      <c r="AG10692" s="10"/>
      <c r="AH10692" s="10"/>
      <c r="AI10692" s="10"/>
      <c r="AJ10692" s="10"/>
      <c r="AK10692" s="10"/>
      <c r="AL10692" s="10"/>
      <c r="AM10692" s="10"/>
      <c r="AN10692" s="10"/>
      <c r="AO10692" s="10"/>
      <c r="AP10692" s="10"/>
      <c r="AQ10692" s="10"/>
      <c r="AR10692" s="10"/>
      <c r="AS10692" s="10"/>
      <c r="AT10692" s="10"/>
      <c r="AU10692" s="10"/>
      <c r="AV10692" s="10"/>
      <c r="AW10692" s="10"/>
      <c r="AX10692" s="10"/>
      <c r="AY10692" s="10"/>
      <c r="AZ10692" s="10"/>
    </row>
    <row r="10693" spans="31:52">
      <c r="AE10693" s="10"/>
      <c r="AF10693" s="10"/>
      <c r="AG10693" s="10"/>
      <c r="AH10693" s="10"/>
      <c r="AI10693" s="10"/>
      <c r="AJ10693" s="10"/>
      <c r="AK10693" s="10"/>
      <c r="AL10693" s="10"/>
      <c r="AM10693" s="10"/>
      <c r="AN10693" s="10"/>
      <c r="AO10693" s="10"/>
      <c r="AP10693" s="10"/>
      <c r="AQ10693" s="10"/>
      <c r="AR10693" s="10"/>
      <c r="AS10693" s="10"/>
      <c r="AT10693" s="10"/>
      <c r="AU10693" s="10"/>
      <c r="AV10693" s="10"/>
      <c r="AW10693" s="10"/>
      <c r="AX10693" s="10"/>
      <c r="AY10693" s="10"/>
      <c r="AZ10693" s="10"/>
    </row>
    <row r="10694" spans="31:52">
      <c r="AE10694" s="10"/>
      <c r="AF10694" s="10"/>
      <c r="AG10694" s="10"/>
      <c r="AH10694" s="10"/>
      <c r="AI10694" s="10"/>
      <c r="AJ10694" s="10"/>
      <c r="AK10694" s="10"/>
      <c r="AL10694" s="10"/>
      <c r="AM10694" s="10"/>
      <c r="AN10694" s="10"/>
      <c r="AO10694" s="10"/>
      <c r="AP10694" s="10"/>
      <c r="AQ10694" s="10"/>
      <c r="AR10694" s="10"/>
      <c r="AS10694" s="10"/>
      <c r="AT10694" s="10"/>
      <c r="AU10694" s="10"/>
      <c r="AV10694" s="10"/>
      <c r="AW10694" s="10"/>
      <c r="AX10694" s="10"/>
      <c r="AY10694" s="10"/>
      <c r="AZ10694" s="10"/>
    </row>
    <row r="10695" spans="31:52">
      <c r="AE10695" s="10"/>
      <c r="AF10695" s="10"/>
      <c r="AG10695" s="10"/>
      <c r="AH10695" s="10"/>
      <c r="AI10695" s="10"/>
      <c r="AJ10695" s="10"/>
      <c r="AK10695" s="10"/>
      <c r="AL10695" s="10"/>
      <c r="AM10695" s="10"/>
      <c r="AN10695" s="10"/>
      <c r="AO10695" s="10"/>
      <c r="AP10695" s="10"/>
      <c r="AQ10695" s="10"/>
      <c r="AR10695" s="10"/>
      <c r="AS10695" s="10"/>
      <c r="AT10695" s="10"/>
      <c r="AU10695" s="10"/>
      <c r="AV10695" s="10"/>
      <c r="AW10695" s="10"/>
      <c r="AX10695" s="10"/>
      <c r="AY10695" s="10"/>
      <c r="AZ10695" s="10"/>
    </row>
    <row r="10696" spans="31:52">
      <c r="AE10696" s="10"/>
      <c r="AF10696" s="10"/>
      <c r="AG10696" s="10"/>
      <c r="AH10696" s="10"/>
      <c r="AI10696" s="10"/>
      <c r="AJ10696" s="10"/>
      <c r="AK10696" s="10"/>
      <c r="AL10696" s="10"/>
      <c r="AM10696" s="10"/>
      <c r="AN10696" s="10"/>
      <c r="AO10696" s="10"/>
      <c r="AP10696" s="10"/>
      <c r="AQ10696" s="10"/>
      <c r="AR10696" s="10"/>
      <c r="AS10696" s="10"/>
      <c r="AT10696" s="10"/>
      <c r="AU10696" s="10"/>
      <c r="AV10696" s="10"/>
      <c r="AW10696" s="10"/>
      <c r="AX10696" s="10"/>
      <c r="AY10696" s="10"/>
      <c r="AZ10696" s="10"/>
    </row>
    <row r="10697" spans="31:52">
      <c r="AE10697" s="10"/>
      <c r="AF10697" s="10"/>
      <c r="AG10697" s="10"/>
      <c r="AH10697" s="10"/>
      <c r="AI10697" s="10"/>
      <c r="AJ10697" s="10"/>
      <c r="AK10697" s="10"/>
      <c r="AL10697" s="10"/>
      <c r="AM10697" s="10"/>
      <c r="AN10697" s="10"/>
      <c r="AO10697" s="10"/>
      <c r="AP10697" s="10"/>
      <c r="AQ10697" s="10"/>
      <c r="AR10697" s="10"/>
      <c r="AS10697" s="10"/>
      <c r="AT10697" s="10"/>
      <c r="AU10697" s="10"/>
      <c r="AV10697" s="10"/>
      <c r="AW10697" s="10"/>
      <c r="AX10697" s="10"/>
      <c r="AY10697" s="10"/>
      <c r="AZ10697" s="10"/>
    </row>
    <row r="10698" spans="31:52">
      <c r="AE10698" s="10"/>
      <c r="AF10698" s="10"/>
      <c r="AG10698" s="10"/>
      <c r="AH10698" s="10"/>
      <c r="AI10698" s="10"/>
      <c r="AJ10698" s="10"/>
      <c r="AK10698" s="10"/>
      <c r="AL10698" s="10"/>
      <c r="AM10698" s="10"/>
      <c r="AN10698" s="10"/>
      <c r="AO10698" s="10"/>
      <c r="AP10698" s="10"/>
      <c r="AQ10698" s="10"/>
      <c r="AR10698" s="10"/>
      <c r="AS10698" s="10"/>
      <c r="AT10698" s="10"/>
      <c r="AU10698" s="10"/>
      <c r="AV10698" s="10"/>
      <c r="AW10698" s="10"/>
      <c r="AX10698" s="10"/>
      <c r="AY10698" s="10"/>
      <c r="AZ10698" s="10"/>
    </row>
    <row r="10699" spans="31:52">
      <c r="AE10699" s="10"/>
      <c r="AF10699" s="10"/>
      <c r="AG10699" s="10"/>
      <c r="AH10699" s="10"/>
      <c r="AI10699" s="10"/>
      <c r="AJ10699" s="10"/>
      <c r="AK10699" s="10"/>
      <c r="AL10699" s="10"/>
      <c r="AM10699" s="10"/>
      <c r="AN10699" s="10"/>
      <c r="AO10699" s="10"/>
      <c r="AP10699" s="10"/>
      <c r="AQ10699" s="10"/>
      <c r="AR10699" s="10"/>
      <c r="AS10699" s="10"/>
      <c r="AT10699" s="10"/>
      <c r="AU10699" s="10"/>
      <c r="AV10699" s="10"/>
      <c r="AW10699" s="10"/>
      <c r="AX10699" s="10"/>
      <c r="AY10699" s="10"/>
      <c r="AZ10699" s="10"/>
    </row>
    <row r="10700" spans="31:52">
      <c r="AE10700" s="10"/>
      <c r="AF10700" s="10"/>
      <c r="AG10700" s="10"/>
      <c r="AH10700" s="10"/>
      <c r="AI10700" s="10"/>
      <c r="AJ10700" s="10"/>
      <c r="AK10700" s="10"/>
      <c r="AL10700" s="10"/>
      <c r="AM10700" s="10"/>
      <c r="AN10700" s="10"/>
      <c r="AO10700" s="10"/>
      <c r="AP10700" s="10"/>
      <c r="AQ10700" s="10"/>
      <c r="AR10700" s="10"/>
      <c r="AS10700" s="10"/>
      <c r="AT10700" s="10"/>
      <c r="AU10700" s="10"/>
      <c r="AV10700" s="10"/>
      <c r="AW10700" s="10"/>
      <c r="AX10700" s="10"/>
      <c r="AY10700" s="10"/>
      <c r="AZ10700" s="10"/>
    </row>
    <row r="10701" spans="31:52">
      <c r="AE10701" s="10"/>
      <c r="AF10701" s="10"/>
      <c r="AG10701" s="10"/>
      <c r="AH10701" s="10"/>
      <c r="AI10701" s="10"/>
      <c r="AJ10701" s="10"/>
      <c r="AK10701" s="10"/>
      <c r="AL10701" s="10"/>
      <c r="AM10701" s="10"/>
      <c r="AN10701" s="10"/>
      <c r="AO10701" s="10"/>
      <c r="AP10701" s="10"/>
      <c r="AQ10701" s="10"/>
      <c r="AR10701" s="10"/>
      <c r="AS10701" s="10"/>
      <c r="AT10701" s="10"/>
      <c r="AU10701" s="10"/>
      <c r="AV10701" s="10"/>
      <c r="AW10701" s="10"/>
      <c r="AX10701" s="10"/>
      <c r="AY10701" s="10"/>
      <c r="AZ10701" s="10"/>
    </row>
    <row r="10702" spans="31:52">
      <c r="AE10702" s="10"/>
      <c r="AF10702" s="10"/>
      <c r="AG10702" s="10"/>
      <c r="AH10702" s="10"/>
      <c r="AI10702" s="10"/>
      <c r="AJ10702" s="10"/>
      <c r="AK10702" s="10"/>
      <c r="AL10702" s="10"/>
      <c r="AM10702" s="10"/>
      <c r="AN10702" s="10"/>
      <c r="AO10702" s="10"/>
      <c r="AP10702" s="10"/>
      <c r="AQ10702" s="10"/>
      <c r="AR10702" s="10"/>
      <c r="AS10702" s="10"/>
      <c r="AT10702" s="10"/>
      <c r="AU10702" s="10"/>
      <c r="AV10702" s="10"/>
      <c r="AW10702" s="10"/>
      <c r="AX10702" s="10"/>
      <c r="AY10702" s="10"/>
      <c r="AZ10702" s="10"/>
    </row>
    <row r="10703" spans="31:52">
      <c r="AE10703" s="10"/>
      <c r="AF10703" s="10"/>
      <c r="AG10703" s="10"/>
      <c r="AH10703" s="10"/>
      <c r="AI10703" s="10"/>
      <c r="AJ10703" s="10"/>
      <c r="AK10703" s="10"/>
      <c r="AL10703" s="10"/>
      <c r="AM10703" s="10"/>
      <c r="AN10703" s="10"/>
      <c r="AO10703" s="10"/>
      <c r="AP10703" s="10"/>
      <c r="AQ10703" s="10"/>
      <c r="AR10703" s="10"/>
      <c r="AS10703" s="10"/>
      <c r="AT10703" s="10"/>
      <c r="AU10703" s="10"/>
      <c r="AV10703" s="10"/>
      <c r="AW10703" s="10"/>
      <c r="AX10703" s="10"/>
      <c r="AY10703" s="10"/>
      <c r="AZ10703" s="10"/>
    </row>
    <row r="10704" spans="31:52">
      <c r="AE10704" s="10"/>
      <c r="AF10704" s="10"/>
      <c r="AG10704" s="10"/>
      <c r="AH10704" s="10"/>
      <c r="AI10704" s="10"/>
      <c r="AJ10704" s="10"/>
      <c r="AK10704" s="10"/>
      <c r="AL10704" s="10"/>
      <c r="AM10704" s="10"/>
      <c r="AN10704" s="10"/>
      <c r="AO10704" s="10"/>
      <c r="AP10704" s="10"/>
      <c r="AQ10704" s="10"/>
      <c r="AR10704" s="10"/>
      <c r="AS10704" s="10"/>
      <c r="AT10704" s="10"/>
      <c r="AU10704" s="10"/>
      <c r="AV10704" s="10"/>
      <c r="AW10704" s="10"/>
      <c r="AX10704" s="10"/>
      <c r="AY10704" s="10"/>
      <c r="AZ10704" s="10"/>
    </row>
    <row r="10705" spans="31:52">
      <c r="AE10705" s="10"/>
      <c r="AF10705" s="10"/>
      <c r="AG10705" s="10"/>
      <c r="AH10705" s="10"/>
      <c r="AI10705" s="10"/>
      <c r="AJ10705" s="10"/>
      <c r="AK10705" s="10"/>
      <c r="AL10705" s="10"/>
      <c r="AM10705" s="10"/>
      <c r="AN10705" s="10"/>
      <c r="AO10705" s="10"/>
      <c r="AP10705" s="10"/>
      <c r="AQ10705" s="10"/>
      <c r="AR10705" s="10"/>
      <c r="AS10705" s="10"/>
      <c r="AT10705" s="10"/>
      <c r="AU10705" s="10"/>
      <c r="AV10705" s="10"/>
      <c r="AW10705" s="10"/>
      <c r="AX10705" s="10"/>
      <c r="AY10705" s="10"/>
      <c r="AZ10705" s="10"/>
    </row>
    <row r="10706" spans="31:52">
      <c r="AE10706" s="10"/>
      <c r="AF10706" s="10"/>
      <c r="AG10706" s="10"/>
      <c r="AH10706" s="10"/>
      <c r="AI10706" s="10"/>
      <c r="AJ10706" s="10"/>
      <c r="AK10706" s="10"/>
      <c r="AL10706" s="10"/>
      <c r="AM10706" s="10"/>
      <c r="AN10706" s="10"/>
      <c r="AO10706" s="10"/>
      <c r="AP10706" s="10"/>
      <c r="AQ10706" s="10"/>
      <c r="AR10706" s="10"/>
      <c r="AS10706" s="10"/>
      <c r="AT10706" s="10"/>
      <c r="AU10706" s="10"/>
      <c r="AV10706" s="10"/>
      <c r="AW10706" s="10"/>
      <c r="AX10706" s="10"/>
      <c r="AY10706" s="10"/>
      <c r="AZ10706" s="10"/>
    </row>
    <row r="10707" spans="31:52">
      <c r="AE10707" s="10"/>
      <c r="AF10707" s="10"/>
      <c r="AG10707" s="10"/>
      <c r="AH10707" s="10"/>
      <c r="AI10707" s="10"/>
      <c r="AJ10707" s="10"/>
      <c r="AK10707" s="10"/>
      <c r="AL10707" s="10"/>
      <c r="AM10707" s="10"/>
      <c r="AN10707" s="10"/>
      <c r="AO10707" s="10"/>
      <c r="AP10707" s="10"/>
      <c r="AQ10707" s="10"/>
      <c r="AR10707" s="10"/>
      <c r="AS10707" s="10"/>
      <c r="AT10707" s="10"/>
      <c r="AU10707" s="10"/>
      <c r="AV10707" s="10"/>
      <c r="AW10707" s="10"/>
      <c r="AX10707" s="10"/>
      <c r="AY10707" s="10"/>
      <c r="AZ10707" s="10"/>
    </row>
    <row r="10708" spans="31:52">
      <c r="AE10708" s="10"/>
      <c r="AF10708" s="10"/>
      <c r="AG10708" s="10"/>
      <c r="AH10708" s="10"/>
      <c r="AI10708" s="10"/>
      <c r="AJ10708" s="10"/>
      <c r="AK10708" s="10"/>
      <c r="AL10708" s="10"/>
      <c r="AM10708" s="10"/>
      <c r="AN10708" s="10"/>
      <c r="AO10708" s="10"/>
      <c r="AP10708" s="10"/>
      <c r="AQ10708" s="10"/>
      <c r="AR10708" s="10"/>
      <c r="AS10708" s="10"/>
      <c r="AT10708" s="10"/>
      <c r="AU10708" s="10"/>
      <c r="AV10708" s="10"/>
      <c r="AW10708" s="10"/>
      <c r="AX10708" s="10"/>
      <c r="AY10708" s="10"/>
      <c r="AZ10708" s="10"/>
    </row>
    <row r="10709" spans="31:52">
      <c r="AE10709" s="10"/>
      <c r="AF10709" s="10"/>
      <c r="AG10709" s="10"/>
      <c r="AH10709" s="10"/>
      <c r="AI10709" s="10"/>
      <c r="AJ10709" s="10"/>
      <c r="AK10709" s="10"/>
      <c r="AL10709" s="10"/>
      <c r="AM10709" s="10"/>
      <c r="AN10709" s="10"/>
      <c r="AO10709" s="10"/>
      <c r="AP10709" s="10"/>
      <c r="AQ10709" s="10"/>
      <c r="AR10709" s="10"/>
      <c r="AS10709" s="10"/>
      <c r="AT10709" s="10"/>
      <c r="AU10709" s="10"/>
      <c r="AV10709" s="10"/>
      <c r="AW10709" s="10"/>
      <c r="AX10709" s="10"/>
      <c r="AY10709" s="10"/>
      <c r="AZ10709" s="10"/>
    </row>
    <row r="10710" spans="31:52">
      <c r="AE10710" s="10"/>
      <c r="AF10710" s="10"/>
      <c r="AG10710" s="10"/>
      <c r="AH10710" s="10"/>
      <c r="AI10710" s="10"/>
      <c r="AJ10710" s="10"/>
      <c r="AK10710" s="10"/>
      <c r="AL10710" s="10"/>
      <c r="AM10710" s="10"/>
      <c r="AN10710" s="10"/>
      <c r="AO10710" s="10"/>
      <c r="AP10710" s="10"/>
      <c r="AQ10710" s="10"/>
      <c r="AR10710" s="10"/>
      <c r="AS10710" s="10"/>
      <c r="AT10710" s="10"/>
      <c r="AU10710" s="10"/>
      <c r="AV10710" s="10"/>
      <c r="AW10710" s="10"/>
      <c r="AX10710" s="10"/>
      <c r="AY10710" s="10"/>
      <c r="AZ10710" s="10"/>
    </row>
    <row r="10711" spans="31:52">
      <c r="AE10711" s="10"/>
      <c r="AF10711" s="10"/>
      <c r="AG10711" s="10"/>
      <c r="AH10711" s="10"/>
      <c r="AI10711" s="10"/>
      <c r="AJ10711" s="10"/>
      <c r="AK10711" s="10"/>
      <c r="AL10711" s="10"/>
      <c r="AM10711" s="10"/>
      <c r="AN10711" s="10"/>
      <c r="AO10711" s="10"/>
      <c r="AP10711" s="10"/>
      <c r="AQ10711" s="10"/>
      <c r="AR10711" s="10"/>
      <c r="AS10711" s="10"/>
      <c r="AT10711" s="10"/>
      <c r="AU10711" s="10"/>
      <c r="AV10711" s="10"/>
      <c r="AW10711" s="10"/>
      <c r="AX10711" s="10"/>
      <c r="AY10711" s="10"/>
      <c r="AZ10711" s="10"/>
    </row>
    <row r="10712" spans="31:52">
      <c r="AE10712" s="10"/>
      <c r="AF10712" s="10"/>
      <c r="AG10712" s="10"/>
      <c r="AH10712" s="10"/>
      <c r="AI10712" s="10"/>
      <c r="AJ10712" s="10"/>
      <c r="AK10712" s="10"/>
      <c r="AL10712" s="10"/>
      <c r="AM10712" s="10"/>
      <c r="AN10712" s="10"/>
      <c r="AO10712" s="10"/>
      <c r="AP10712" s="10"/>
      <c r="AQ10712" s="10"/>
      <c r="AR10712" s="10"/>
      <c r="AS10712" s="10"/>
      <c r="AT10712" s="10"/>
      <c r="AU10712" s="10"/>
      <c r="AV10712" s="10"/>
      <c r="AW10712" s="10"/>
      <c r="AX10712" s="10"/>
      <c r="AY10712" s="10"/>
      <c r="AZ10712" s="10"/>
    </row>
    <row r="10713" spans="31:52">
      <c r="AE10713" s="10"/>
      <c r="AF10713" s="10"/>
      <c r="AG10713" s="10"/>
      <c r="AH10713" s="10"/>
      <c r="AI10713" s="10"/>
      <c r="AJ10713" s="10"/>
      <c r="AK10713" s="10"/>
      <c r="AL10713" s="10"/>
      <c r="AM10713" s="10"/>
      <c r="AN10713" s="10"/>
      <c r="AO10713" s="10"/>
      <c r="AP10713" s="10"/>
      <c r="AQ10713" s="10"/>
      <c r="AR10713" s="10"/>
      <c r="AS10713" s="10"/>
      <c r="AT10713" s="10"/>
      <c r="AU10713" s="10"/>
      <c r="AV10713" s="10"/>
      <c r="AW10713" s="10"/>
      <c r="AX10713" s="10"/>
      <c r="AY10713" s="10"/>
      <c r="AZ10713" s="10"/>
    </row>
    <row r="10714" spans="31:52">
      <c r="AE10714" s="10"/>
      <c r="AF10714" s="10"/>
      <c r="AG10714" s="10"/>
      <c r="AH10714" s="10"/>
      <c r="AI10714" s="10"/>
      <c r="AJ10714" s="10"/>
      <c r="AK10714" s="10"/>
      <c r="AL10714" s="10"/>
      <c r="AM10714" s="10"/>
      <c r="AN10714" s="10"/>
      <c r="AO10714" s="10"/>
      <c r="AP10714" s="10"/>
      <c r="AQ10714" s="10"/>
      <c r="AR10714" s="10"/>
      <c r="AS10714" s="10"/>
      <c r="AT10714" s="10"/>
      <c r="AU10714" s="10"/>
      <c r="AV10714" s="10"/>
      <c r="AW10714" s="10"/>
      <c r="AX10714" s="10"/>
      <c r="AY10714" s="10"/>
      <c r="AZ10714" s="10"/>
    </row>
    <row r="10715" spans="31:52">
      <c r="AE10715" s="10"/>
      <c r="AF10715" s="10"/>
      <c r="AG10715" s="10"/>
      <c r="AH10715" s="10"/>
      <c r="AI10715" s="10"/>
      <c r="AJ10715" s="10"/>
      <c r="AK10715" s="10"/>
      <c r="AL10715" s="10"/>
      <c r="AM10715" s="10"/>
      <c r="AN10715" s="10"/>
      <c r="AO10715" s="10"/>
      <c r="AP10715" s="10"/>
      <c r="AQ10715" s="10"/>
      <c r="AR10715" s="10"/>
      <c r="AS10715" s="10"/>
      <c r="AT10715" s="10"/>
      <c r="AU10715" s="10"/>
      <c r="AV10715" s="10"/>
      <c r="AW10715" s="10"/>
      <c r="AX10715" s="10"/>
      <c r="AY10715" s="10"/>
      <c r="AZ10715" s="10"/>
    </row>
    <row r="10716" spans="31:52">
      <c r="AE10716" s="10"/>
      <c r="AF10716" s="10"/>
      <c r="AG10716" s="10"/>
      <c r="AH10716" s="10"/>
      <c r="AI10716" s="10"/>
      <c r="AJ10716" s="10"/>
      <c r="AK10716" s="10"/>
      <c r="AL10716" s="10"/>
      <c r="AM10716" s="10"/>
      <c r="AN10716" s="10"/>
      <c r="AO10716" s="10"/>
      <c r="AP10716" s="10"/>
      <c r="AQ10716" s="10"/>
      <c r="AR10716" s="10"/>
      <c r="AS10716" s="10"/>
      <c r="AT10716" s="10"/>
      <c r="AU10716" s="10"/>
      <c r="AV10716" s="10"/>
      <c r="AW10716" s="10"/>
      <c r="AX10716" s="10"/>
      <c r="AY10716" s="10"/>
      <c r="AZ10716" s="10"/>
    </row>
    <row r="10717" spans="31:52">
      <c r="AE10717" s="10"/>
      <c r="AF10717" s="10"/>
      <c r="AG10717" s="10"/>
      <c r="AH10717" s="10"/>
      <c r="AI10717" s="10"/>
      <c r="AJ10717" s="10"/>
      <c r="AK10717" s="10"/>
      <c r="AL10717" s="10"/>
      <c r="AM10717" s="10"/>
      <c r="AN10717" s="10"/>
      <c r="AO10717" s="10"/>
      <c r="AP10717" s="10"/>
      <c r="AQ10717" s="10"/>
      <c r="AR10717" s="10"/>
      <c r="AS10717" s="10"/>
      <c r="AT10717" s="10"/>
      <c r="AU10717" s="10"/>
      <c r="AV10717" s="10"/>
      <c r="AW10717" s="10"/>
      <c r="AX10717" s="10"/>
      <c r="AY10717" s="10"/>
      <c r="AZ10717" s="10"/>
    </row>
    <row r="10718" spans="31:52">
      <c r="AE10718" s="10"/>
      <c r="AF10718" s="10"/>
      <c r="AG10718" s="10"/>
      <c r="AH10718" s="10"/>
      <c r="AI10718" s="10"/>
      <c r="AJ10718" s="10"/>
      <c r="AK10718" s="10"/>
      <c r="AL10718" s="10"/>
      <c r="AM10718" s="10"/>
      <c r="AN10718" s="10"/>
      <c r="AO10718" s="10"/>
      <c r="AP10718" s="10"/>
      <c r="AQ10718" s="10"/>
      <c r="AR10718" s="10"/>
      <c r="AS10718" s="10"/>
      <c r="AT10718" s="10"/>
      <c r="AU10718" s="10"/>
      <c r="AV10718" s="10"/>
      <c r="AW10718" s="10"/>
      <c r="AX10718" s="10"/>
      <c r="AY10718" s="10"/>
      <c r="AZ10718" s="10"/>
    </row>
    <row r="10719" spans="31:52">
      <c r="AE10719" s="10"/>
      <c r="AF10719" s="10"/>
      <c r="AG10719" s="10"/>
      <c r="AH10719" s="10"/>
      <c r="AI10719" s="10"/>
      <c r="AJ10719" s="10"/>
      <c r="AK10719" s="10"/>
      <c r="AL10719" s="10"/>
      <c r="AM10719" s="10"/>
      <c r="AN10719" s="10"/>
      <c r="AO10719" s="10"/>
      <c r="AP10719" s="10"/>
      <c r="AQ10719" s="10"/>
      <c r="AR10719" s="10"/>
      <c r="AS10719" s="10"/>
      <c r="AT10719" s="10"/>
      <c r="AU10719" s="10"/>
      <c r="AV10719" s="10"/>
      <c r="AW10719" s="10"/>
      <c r="AX10719" s="10"/>
      <c r="AY10719" s="10"/>
      <c r="AZ10719" s="10"/>
    </row>
    <row r="10720" spans="31:52">
      <c r="AE10720" s="10"/>
      <c r="AF10720" s="10"/>
      <c r="AG10720" s="10"/>
      <c r="AH10720" s="10"/>
      <c r="AI10720" s="10"/>
      <c r="AJ10720" s="10"/>
      <c r="AK10720" s="10"/>
      <c r="AL10720" s="10"/>
      <c r="AM10720" s="10"/>
      <c r="AN10720" s="10"/>
      <c r="AO10720" s="10"/>
      <c r="AP10720" s="10"/>
      <c r="AQ10720" s="10"/>
      <c r="AR10720" s="10"/>
      <c r="AS10720" s="10"/>
      <c r="AT10720" s="10"/>
      <c r="AU10720" s="10"/>
      <c r="AV10720" s="10"/>
      <c r="AW10720" s="10"/>
      <c r="AX10720" s="10"/>
      <c r="AY10720" s="10"/>
      <c r="AZ10720" s="10"/>
    </row>
    <row r="10721" spans="31:52">
      <c r="AE10721" s="10"/>
      <c r="AF10721" s="10"/>
      <c r="AG10721" s="10"/>
      <c r="AH10721" s="10"/>
      <c r="AI10721" s="10"/>
      <c r="AJ10721" s="10"/>
      <c r="AK10721" s="10"/>
      <c r="AL10721" s="10"/>
      <c r="AM10721" s="10"/>
      <c r="AN10721" s="10"/>
      <c r="AO10721" s="10"/>
      <c r="AP10721" s="10"/>
      <c r="AQ10721" s="10"/>
      <c r="AR10721" s="10"/>
      <c r="AS10721" s="10"/>
      <c r="AT10721" s="10"/>
      <c r="AU10721" s="10"/>
      <c r="AV10721" s="10"/>
      <c r="AW10721" s="10"/>
      <c r="AX10721" s="10"/>
      <c r="AY10721" s="10"/>
      <c r="AZ10721" s="10"/>
    </row>
    <row r="10722" spans="31:52">
      <c r="AE10722" s="10"/>
      <c r="AF10722" s="10"/>
      <c r="AG10722" s="10"/>
      <c r="AH10722" s="10"/>
      <c r="AI10722" s="10"/>
      <c r="AJ10722" s="10"/>
      <c r="AK10722" s="10"/>
      <c r="AL10722" s="10"/>
      <c r="AM10722" s="10"/>
      <c r="AN10722" s="10"/>
      <c r="AO10722" s="10"/>
      <c r="AP10722" s="10"/>
      <c r="AQ10722" s="10"/>
      <c r="AR10722" s="10"/>
      <c r="AS10722" s="10"/>
      <c r="AT10722" s="10"/>
      <c r="AU10722" s="10"/>
      <c r="AV10722" s="10"/>
      <c r="AW10722" s="10"/>
      <c r="AX10722" s="10"/>
      <c r="AY10722" s="10"/>
      <c r="AZ10722" s="10"/>
    </row>
    <row r="10723" spans="31:52">
      <c r="AE10723" s="10"/>
      <c r="AF10723" s="10"/>
      <c r="AG10723" s="10"/>
      <c r="AH10723" s="10"/>
      <c r="AI10723" s="10"/>
      <c r="AJ10723" s="10"/>
      <c r="AK10723" s="10"/>
      <c r="AL10723" s="10"/>
      <c r="AM10723" s="10"/>
      <c r="AN10723" s="10"/>
      <c r="AO10723" s="10"/>
      <c r="AP10723" s="10"/>
      <c r="AQ10723" s="10"/>
      <c r="AR10723" s="10"/>
      <c r="AS10723" s="10"/>
      <c r="AT10723" s="10"/>
      <c r="AU10723" s="10"/>
      <c r="AV10723" s="10"/>
      <c r="AW10723" s="10"/>
      <c r="AX10723" s="10"/>
      <c r="AY10723" s="10"/>
      <c r="AZ10723" s="10"/>
    </row>
    <row r="10724" spans="31:52">
      <c r="AE10724" s="10"/>
      <c r="AF10724" s="10"/>
      <c r="AG10724" s="10"/>
      <c r="AH10724" s="10"/>
      <c r="AI10724" s="10"/>
      <c r="AJ10724" s="10"/>
      <c r="AK10724" s="10"/>
      <c r="AL10724" s="10"/>
      <c r="AM10724" s="10"/>
      <c r="AN10724" s="10"/>
      <c r="AO10724" s="10"/>
      <c r="AP10724" s="10"/>
      <c r="AQ10724" s="10"/>
      <c r="AR10724" s="10"/>
      <c r="AS10724" s="10"/>
      <c r="AT10724" s="10"/>
      <c r="AU10724" s="10"/>
      <c r="AV10724" s="10"/>
      <c r="AW10724" s="10"/>
      <c r="AX10724" s="10"/>
      <c r="AY10724" s="10"/>
      <c r="AZ10724" s="10"/>
    </row>
    <row r="10725" spans="31:52">
      <c r="AE10725" s="10"/>
      <c r="AF10725" s="10"/>
      <c r="AG10725" s="10"/>
      <c r="AH10725" s="10"/>
      <c r="AI10725" s="10"/>
      <c r="AJ10725" s="10"/>
      <c r="AK10725" s="10"/>
      <c r="AL10725" s="10"/>
      <c r="AM10725" s="10"/>
      <c r="AN10725" s="10"/>
      <c r="AO10725" s="10"/>
      <c r="AP10725" s="10"/>
      <c r="AQ10725" s="10"/>
      <c r="AR10725" s="10"/>
      <c r="AS10725" s="10"/>
      <c r="AT10725" s="10"/>
      <c r="AU10725" s="10"/>
      <c r="AV10725" s="10"/>
      <c r="AW10725" s="10"/>
      <c r="AX10725" s="10"/>
      <c r="AY10725" s="10"/>
      <c r="AZ10725" s="10"/>
    </row>
    <row r="10726" spans="31:52">
      <c r="AE10726" s="10"/>
      <c r="AF10726" s="10"/>
      <c r="AG10726" s="10"/>
      <c r="AH10726" s="10"/>
      <c r="AI10726" s="10"/>
      <c r="AJ10726" s="10"/>
      <c r="AK10726" s="10"/>
      <c r="AL10726" s="10"/>
      <c r="AM10726" s="10"/>
      <c r="AN10726" s="10"/>
      <c r="AO10726" s="10"/>
      <c r="AP10726" s="10"/>
      <c r="AQ10726" s="10"/>
      <c r="AR10726" s="10"/>
      <c r="AS10726" s="10"/>
      <c r="AT10726" s="10"/>
      <c r="AU10726" s="10"/>
      <c r="AV10726" s="10"/>
      <c r="AW10726" s="10"/>
      <c r="AX10726" s="10"/>
      <c r="AY10726" s="10"/>
      <c r="AZ10726" s="10"/>
    </row>
    <row r="10727" spans="31:52">
      <c r="AE10727" s="10"/>
      <c r="AF10727" s="10"/>
      <c r="AG10727" s="10"/>
      <c r="AH10727" s="10"/>
      <c r="AI10727" s="10"/>
      <c r="AJ10727" s="10"/>
      <c r="AK10727" s="10"/>
      <c r="AL10727" s="10"/>
      <c r="AM10727" s="10"/>
      <c r="AN10727" s="10"/>
      <c r="AO10727" s="10"/>
      <c r="AP10727" s="10"/>
      <c r="AQ10727" s="10"/>
      <c r="AR10727" s="10"/>
      <c r="AS10727" s="10"/>
      <c r="AT10727" s="10"/>
      <c r="AU10727" s="10"/>
      <c r="AV10727" s="10"/>
      <c r="AW10727" s="10"/>
      <c r="AX10727" s="10"/>
      <c r="AY10727" s="10"/>
      <c r="AZ10727" s="10"/>
    </row>
    <row r="10728" spans="31:52">
      <c r="AE10728" s="10"/>
      <c r="AF10728" s="10"/>
      <c r="AG10728" s="10"/>
      <c r="AH10728" s="10"/>
      <c r="AI10728" s="10"/>
      <c r="AJ10728" s="10"/>
      <c r="AK10728" s="10"/>
      <c r="AL10728" s="10"/>
      <c r="AM10728" s="10"/>
      <c r="AN10728" s="10"/>
      <c r="AO10728" s="10"/>
      <c r="AP10728" s="10"/>
      <c r="AQ10728" s="10"/>
      <c r="AR10728" s="10"/>
      <c r="AS10728" s="10"/>
      <c r="AT10728" s="10"/>
      <c r="AU10728" s="10"/>
      <c r="AV10728" s="10"/>
      <c r="AW10728" s="10"/>
      <c r="AX10728" s="10"/>
      <c r="AY10728" s="10"/>
      <c r="AZ10728" s="10"/>
    </row>
    <row r="10729" spans="31:52">
      <c r="AE10729" s="10"/>
      <c r="AF10729" s="10"/>
      <c r="AG10729" s="10"/>
      <c r="AH10729" s="10"/>
      <c r="AI10729" s="10"/>
      <c r="AJ10729" s="10"/>
      <c r="AK10729" s="10"/>
      <c r="AL10729" s="10"/>
      <c r="AM10729" s="10"/>
      <c r="AN10729" s="10"/>
      <c r="AO10729" s="10"/>
      <c r="AP10729" s="10"/>
      <c r="AQ10729" s="10"/>
      <c r="AR10729" s="10"/>
      <c r="AS10729" s="10"/>
      <c r="AT10729" s="10"/>
      <c r="AU10729" s="10"/>
      <c r="AV10729" s="10"/>
      <c r="AW10729" s="10"/>
      <c r="AX10729" s="10"/>
      <c r="AY10729" s="10"/>
      <c r="AZ10729" s="10"/>
    </row>
    <row r="10730" spans="31:52">
      <c r="AE10730" s="10"/>
      <c r="AF10730" s="10"/>
      <c r="AG10730" s="10"/>
      <c r="AH10730" s="10"/>
      <c r="AI10730" s="10"/>
      <c r="AJ10730" s="10"/>
      <c r="AK10730" s="10"/>
      <c r="AL10730" s="10"/>
      <c r="AM10730" s="10"/>
      <c r="AN10730" s="10"/>
      <c r="AO10730" s="10"/>
      <c r="AP10730" s="10"/>
      <c r="AQ10730" s="10"/>
      <c r="AR10730" s="10"/>
      <c r="AS10730" s="10"/>
      <c r="AT10730" s="10"/>
      <c r="AU10730" s="10"/>
      <c r="AV10730" s="10"/>
      <c r="AW10730" s="10"/>
      <c r="AX10730" s="10"/>
      <c r="AY10730" s="10"/>
      <c r="AZ10730" s="10"/>
    </row>
    <row r="10731" spans="31:52">
      <c r="AE10731" s="10"/>
      <c r="AF10731" s="10"/>
      <c r="AG10731" s="10"/>
      <c r="AH10731" s="10"/>
      <c r="AI10731" s="10"/>
      <c r="AJ10731" s="10"/>
      <c r="AK10731" s="10"/>
      <c r="AL10731" s="10"/>
      <c r="AM10731" s="10"/>
      <c r="AN10731" s="10"/>
      <c r="AO10731" s="10"/>
      <c r="AP10731" s="10"/>
      <c r="AQ10731" s="10"/>
      <c r="AR10731" s="10"/>
      <c r="AS10731" s="10"/>
      <c r="AT10731" s="10"/>
      <c r="AU10731" s="10"/>
      <c r="AV10731" s="10"/>
      <c r="AW10731" s="10"/>
      <c r="AX10731" s="10"/>
      <c r="AY10731" s="10"/>
      <c r="AZ10731" s="10"/>
    </row>
    <row r="10732" spans="31:52">
      <c r="AE10732" s="10"/>
      <c r="AF10732" s="10"/>
      <c r="AG10732" s="10"/>
      <c r="AH10732" s="10"/>
      <c r="AI10732" s="10"/>
      <c r="AJ10732" s="10"/>
      <c r="AK10732" s="10"/>
      <c r="AL10732" s="10"/>
      <c r="AM10732" s="10"/>
      <c r="AN10732" s="10"/>
      <c r="AO10732" s="10"/>
      <c r="AP10732" s="10"/>
      <c r="AQ10732" s="10"/>
      <c r="AR10732" s="10"/>
      <c r="AS10732" s="10"/>
      <c r="AT10732" s="10"/>
      <c r="AU10732" s="10"/>
      <c r="AV10732" s="10"/>
      <c r="AW10732" s="10"/>
      <c r="AX10732" s="10"/>
      <c r="AY10732" s="10"/>
      <c r="AZ10732" s="10"/>
    </row>
    <row r="10733" spans="31:52">
      <c r="AE10733" s="10"/>
      <c r="AF10733" s="10"/>
      <c r="AG10733" s="10"/>
      <c r="AH10733" s="10"/>
      <c r="AI10733" s="10"/>
      <c r="AJ10733" s="10"/>
      <c r="AK10733" s="10"/>
      <c r="AL10733" s="10"/>
      <c r="AM10733" s="10"/>
      <c r="AN10733" s="10"/>
      <c r="AO10733" s="10"/>
      <c r="AP10733" s="10"/>
      <c r="AQ10733" s="10"/>
      <c r="AR10733" s="10"/>
      <c r="AS10733" s="10"/>
      <c r="AT10733" s="10"/>
      <c r="AU10733" s="10"/>
      <c r="AV10733" s="10"/>
      <c r="AW10733" s="10"/>
      <c r="AX10733" s="10"/>
      <c r="AY10733" s="10"/>
      <c r="AZ10733" s="10"/>
    </row>
    <row r="10734" spans="31:52">
      <c r="AE10734" s="10"/>
      <c r="AF10734" s="10"/>
      <c r="AG10734" s="10"/>
      <c r="AH10734" s="10"/>
      <c r="AI10734" s="10"/>
      <c r="AJ10734" s="10"/>
      <c r="AK10734" s="10"/>
      <c r="AL10734" s="10"/>
      <c r="AM10734" s="10"/>
      <c r="AN10734" s="10"/>
      <c r="AO10734" s="10"/>
      <c r="AP10734" s="10"/>
      <c r="AQ10734" s="10"/>
      <c r="AR10734" s="10"/>
      <c r="AS10734" s="10"/>
      <c r="AT10734" s="10"/>
      <c r="AU10734" s="10"/>
      <c r="AV10734" s="10"/>
      <c r="AW10734" s="10"/>
      <c r="AX10734" s="10"/>
      <c r="AY10734" s="10"/>
      <c r="AZ10734" s="10"/>
    </row>
    <row r="10735" spans="31:52">
      <c r="AE10735" s="10"/>
      <c r="AF10735" s="10"/>
      <c r="AG10735" s="10"/>
      <c r="AH10735" s="10"/>
      <c r="AI10735" s="10"/>
      <c r="AJ10735" s="10"/>
      <c r="AK10735" s="10"/>
      <c r="AL10735" s="10"/>
      <c r="AM10735" s="10"/>
      <c r="AN10735" s="10"/>
      <c r="AO10735" s="10"/>
      <c r="AP10735" s="10"/>
      <c r="AQ10735" s="10"/>
      <c r="AR10735" s="10"/>
      <c r="AS10735" s="10"/>
      <c r="AT10735" s="10"/>
      <c r="AU10735" s="10"/>
      <c r="AV10735" s="10"/>
      <c r="AW10735" s="10"/>
      <c r="AX10735" s="10"/>
      <c r="AY10735" s="10"/>
      <c r="AZ10735" s="10"/>
    </row>
    <row r="10736" spans="31:52">
      <c r="AE10736" s="10"/>
      <c r="AF10736" s="10"/>
      <c r="AG10736" s="10"/>
      <c r="AH10736" s="10"/>
      <c r="AI10736" s="10"/>
      <c r="AJ10736" s="10"/>
      <c r="AK10736" s="10"/>
      <c r="AL10736" s="10"/>
      <c r="AM10736" s="10"/>
      <c r="AN10736" s="10"/>
      <c r="AO10736" s="10"/>
      <c r="AP10736" s="10"/>
      <c r="AQ10736" s="10"/>
      <c r="AR10736" s="10"/>
      <c r="AS10736" s="10"/>
      <c r="AT10736" s="10"/>
      <c r="AU10736" s="10"/>
      <c r="AV10736" s="10"/>
      <c r="AW10736" s="10"/>
      <c r="AX10736" s="10"/>
      <c r="AY10736" s="10"/>
      <c r="AZ10736" s="10"/>
    </row>
    <row r="10737" spans="31:52">
      <c r="AE10737" s="10"/>
      <c r="AF10737" s="10"/>
      <c r="AG10737" s="10"/>
      <c r="AH10737" s="10"/>
      <c r="AI10737" s="10"/>
      <c r="AJ10737" s="10"/>
      <c r="AK10737" s="10"/>
      <c r="AL10737" s="10"/>
      <c r="AM10737" s="10"/>
      <c r="AN10737" s="10"/>
      <c r="AO10737" s="10"/>
      <c r="AP10737" s="10"/>
      <c r="AQ10737" s="10"/>
      <c r="AR10737" s="10"/>
      <c r="AS10737" s="10"/>
      <c r="AT10737" s="10"/>
      <c r="AU10737" s="10"/>
      <c r="AV10737" s="10"/>
      <c r="AW10737" s="10"/>
      <c r="AX10737" s="10"/>
      <c r="AY10737" s="10"/>
      <c r="AZ10737" s="10"/>
    </row>
    <row r="10738" spans="31:52">
      <c r="AE10738" s="10"/>
      <c r="AF10738" s="10"/>
      <c r="AG10738" s="10"/>
      <c r="AH10738" s="10"/>
      <c r="AI10738" s="10"/>
      <c r="AJ10738" s="10"/>
      <c r="AK10738" s="10"/>
      <c r="AL10738" s="10"/>
      <c r="AM10738" s="10"/>
      <c r="AN10738" s="10"/>
      <c r="AO10738" s="10"/>
      <c r="AP10738" s="10"/>
      <c r="AQ10738" s="10"/>
      <c r="AR10738" s="10"/>
      <c r="AS10738" s="10"/>
      <c r="AT10738" s="10"/>
      <c r="AU10738" s="10"/>
      <c r="AV10738" s="10"/>
      <c r="AW10738" s="10"/>
      <c r="AX10738" s="10"/>
      <c r="AY10738" s="10"/>
      <c r="AZ10738" s="10"/>
    </row>
    <row r="10739" spans="31:52">
      <c r="AE10739" s="10"/>
      <c r="AF10739" s="10"/>
      <c r="AG10739" s="10"/>
      <c r="AH10739" s="10"/>
      <c r="AI10739" s="10"/>
      <c r="AJ10739" s="10"/>
      <c r="AK10739" s="10"/>
      <c r="AL10739" s="10"/>
      <c r="AM10739" s="10"/>
      <c r="AN10739" s="10"/>
      <c r="AO10739" s="10"/>
      <c r="AP10739" s="10"/>
      <c r="AQ10739" s="10"/>
      <c r="AR10739" s="10"/>
      <c r="AS10739" s="10"/>
      <c r="AT10739" s="10"/>
      <c r="AU10739" s="10"/>
      <c r="AV10739" s="10"/>
      <c r="AW10739" s="10"/>
      <c r="AX10739" s="10"/>
      <c r="AY10739" s="10"/>
      <c r="AZ10739" s="10"/>
    </row>
    <row r="10740" spans="31:52">
      <c r="AE10740" s="10"/>
      <c r="AF10740" s="10"/>
      <c r="AG10740" s="10"/>
      <c r="AH10740" s="10"/>
      <c r="AI10740" s="10"/>
      <c r="AJ10740" s="10"/>
      <c r="AK10740" s="10"/>
      <c r="AL10740" s="10"/>
      <c r="AM10740" s="10"/>
      <c r="AN10740" s="10"/>
      <c r="AO10740" s="10"/>
      <c r="AP10740" s="10"/>
      <c r="AQ10740" s="10"/>
      <c r="AR10740" s="10"/>
      <c r="AS10740" s="10"/>
      <c r="AT10740" s="10"/>
      <c r="AU10740" s="10"/>
      <c r="AV10740" s="10"/>
      <c r="AW10740" s="10"/>
      <c r="AX10740" s="10"/>
      <c r="AY10740" s="10"/>
      <c r="AZ10740" s="10"/>
    </row>
    <row r="10741" spans="31:52">
      <c r="AE10741" s="10"/>
      <c r="AF10741" s="10"/>
      <c r="AG10741" s="10"/>
      <c r="AH10741" s="10"/>
      <c r="AI10741" s="10"/>
      <c r="AJ10741" s="10"/>
      <c r="AK10741" s="10"/>
      <c r="AL10741" s="10"/>
      <c r="AM10741" s="10"/>
      <c r="AN10741" s="10"/>
      <c r="AO10741" s="10"/>
      <c r="AP10741" s="10"/>
      <c r="AQ10741" s="10"/>
      <c r="AR10741" s="10"/>
      <c r="AS10741" s="10"/>
      <c r="AT10741" s="10"/>
      <c r="AU10741" s="10"/>
      <c r="AV10741" s="10"/>
      <c r="AW10741" s="10"/>
      <c r="AX10741" s="10"/>
      <c r="AY10741" s="10"/>
      <c r="AZ10741" s="10"/>
    </row>
    <row r="10742" spans="31:52">
      <c r="AE10742" s="10"/>
      <c r="AF10742" s="10"/>
      <c r="AG10742" s="10"/>
      <c r="AH10742" s="10"/>
      <c r="AI10742" s="10"/>
      <c r="AJ10742" s="10"/>
      <c r="AK10742" s="10"/>
      <c r="AL10742" s="10"/>
      <c r="AM10742" s="10"/>
      <c r="AN10742" s="10"/>
      <c r="AO10742" s="10"/>
      <c r="AP10742" s="10"/>
      <c r="AQ10742" s="10"/>
      <c r="AR10742" s="10"/>
      <c r="AS10742" s="10"/>
      <c r="AT10742" s="10"/>
      <c r="AU10742" s="10"/>
      <c r="AV10742" s="10"/>
      <c r="AW10742" s="10"/>
      <c r="AX10742" s="10"/>
      <c r="AY10742" s="10"/>
      <c r="AZ10742" s="10"/>
    </row>
    <row r="10743" spans="31:52">
      <c r="AE10743" s="10"/>
      <c r="AF10743" s="10"/>
      <c r="AG10743" s="10"/>
      <c r="AH10743" s="10"/>
      <c r="AI10743" s="10"/>
      <c r="AJ10743" s="10"/>
      <c r="AK10743" s="10"/>
      <c r="AL10743" s="10"/>
      <c r="AM10743" s="10"/>
      <c r="AN10743" s="10"/>
      <c r="AO10743" s="10"/>
      <c r="AP10743" s="10"/>
      <c r="AQ10743" s="10"/>
      <c r="AR10743" s="10"/>
      <c r="AS10743" s="10"/>
      <c r="AT10743" s="10"/>
      <c r="AU10743" s="10"/>
      <c r="AV10743" s="10"/>
      <c r="AW10743" s="10"/>
      <c r="AX10743" s="10"/>
      <c r="AY10743" s="10"/>
      <c r="AZ10743" s="10"/>
    </row>
    <row r="10744" spans="31:52">
      <c r="AE10744" s="10"/>
      <c r="AF10744" s="10"/>
      <c r="AG10744" s="10"/>
      <c r="AH10744" s="10"/>
      <c r="AI10744" s="10"/>
      <c r="AJ10744" s="10"/>
      <c r="AK10744" s="10"/>
      <c r="AL10744" s="10"/>
      <c r="AM10744" s="10"/>
      <c r="AN10744" s="10"/>
      <c r="AO10744" s="10"/>
      <c r="AP10744" s="10"/>
      <c r="AQ10744" s="10"/>
      <c r="AR10744" s="10"/>
      <c r="AS10744" s="10"/>
      <c r="AT10744" s="10"/>
      <c r="AU10744" s="10"/>
      <c r="AV10744" s="10"/>
      <c r="AW10744" s="10"/>
      <c r="AX10744" s="10"/>
      <c r="AY10744" s="10"/>
      <c r="AZ10744" s="10"/>
    </row>
    <row r="10745" spans="31:52">
      <c r="AE10745" s="10"/>
      <c r="AF10745" s="10"/>
      <c r="AG10745" s="10"/>
      <c r="AH10745" s="10"/>
      <c r="AI10745" s="10"/>
      <c r="AJ10745" s="10"/>
      <c r="AK10745" s="10"/>
      <c r="AL10745" s="10"/>
      <c r="AM10745" s="10"/>
      <c r="AN10745" s="10"/>
      <c r="AO10745" s="10"/>
      <c r="AP10745" s="10"/>
      <c r="AQ10745" s="10"/>
      <c r="AR10745" s="10"/>
      <c r="AS10745" s="10"/>
      <c r="AT10745" s="10"/>
      <c r="AU10745" s="10"/>
      <c r="AV10745" s="10"/>
      <c r="AW10745" s="10"/>
      <c r="AX10745" s="10"/>
      <c r="AY10745" s="10"/>
      <c r="AZ10745" s="10"/>
    </row>
    <row r="10746" spans="31:52">
      <c r="AE10746" s="10"/>
      <c r="AF10746" s="10"/>
      <c r="AG10746" s="10"/>
      <c r="AH10746" s="10"/>
      <c r="AI10746" s="10"/>
      <c r="AJ10746" s="10"/>
      <c r="AK10746" s="10"/>
      <c r="AL10746" s="10"/>
      <c r="AM10746" s="10"/>
      <c r="AN10746" s="10"/>
      <c r="AO10746" s="10"/>
      <c r="AP10746" s="10"/>
      <c r="AQ10746" s="10"/>
      <c r="AR10746" s="10"/>
      <c r="AS10746" s="10"/>
      <c r="AT10746" s="10"/>
      <c r="AU10746" s="10"/>
      <c r="AV10746" s="10"/>
      <c r="AW10746" s="10"/>
      <c r="AX10746" s="10"/>
      <c r="AY10746" s="10"/>
      <c r="AZ10746" s="10"/>
    </row>
    <row r="10747" spans="31:52">
      <c r="AE10747" s="10"/>
      <c r="AF10747" s="10"/>
      <c r="AG10747" s="10"/>
      <c r="AH10747" s="10"/>
      <c r="AI10747" s="10"/>
      <c r="AJ10747" s="10"/>
      <c r="AK10747" s="10"/>
      <c r="AL10747" s="10"/>
      <c r="AM10747" s="10"/>
      <c r="AN10747" s="10"/>
      <c r="AO10747" s="10"/>
      <c r="AP10747" s="10"/>
      <c r="AQ10747" s="10"/>
      <c r="AR10747" s="10"/>
      <c r="AS10747" s="10"/>
      <c r="AT10747" s="10"/>
      <c r="AU10747" s="10"/>
      <c r="AV10747" s="10"/>
      <c r="AW10747" s="10"/>
      <c r="AX10747" s="10"/>
      <c r="AY10747" s="10"/>
      <c r="AZ10747" s="10"/>
    </row>
    <row r="10748" spans="31:52">
      <c r="AE10748" s="10"/>
      <c r="AF10748" s="10"/>
      <c r="AG10748" s="10"/>
      <c r="AH10748" s="10"/>
      <c r="AI10748" s="10"/>
      <c r="AJ10748" s="10"/>
      <c r="AK10748" s="10"/>
      <c r="AL10748" s="10"/>
      <c r="AM10748" s="10"/>
      <c r="AN10748" s="10"/>
      <c r="AO10748" s="10"/>
      <c r="AP10748" s="10"/>
      <c r="AQ10748" s="10"/>
      <c r="AR10748" s="10"/>
      <c r="AS10748" s="10"/>
      <c r="AT10748" s="10"/>
      <c r="AU10748" s="10"/>
      <c r="AV10748" s="10"/>
      <c r="AW10748" s="10"/>
      <c r="AX10748" s="10"/>
      <c r="AY10748" s="10"/>
      <c r="AZ10748" s="10"/>
    </row>
    <row r="10749" spans="31:52">
      <c r="AE10749" s="10"/>
      <c r="AF10749" s="10"/>
      <c r="AG10749" s="10"/>
      <c r="AH10749" s="10"/>
      <c r="AI10749" s="10"/>
      <c r="AJ10749" s="10"/>
      <c r="AK10749" s="10"/>
      <c r="AL10749" s="10"/>
      <c r="AM10749" s="10"/>
      <c r="AN10749" s="10"/>
      <c r="AO10749" s="10"/>
      <c r="AP10749" s="10"/>
      <c r="AQ10749" s="10"/>
      <c r="AR10749" s="10"/>
      <c r="AS10749" s="10"/>
      <c r="AT10749" s="10"/>
      <c r="AU10749" s="10"/>
      <c r="AV10749" s="10"/>
      <c r="AW10749" s="10"/>
      <c r="AX10749" s="10"/>
      <c r="AY10749" s="10"/>
      <c r="AZ10749" s="10"/>
    </row>
    <row r="10750" spans="31:52">
      <c r="AE10750" s="10"/>
      <c r="AF10750" s="10"/>
      <c r="AG10750" s="10"/>
      <c r="AH10750" s="10"/>
      <c r="AI10750" s="10"/>
      <c r="AJ10750" s="10"/>
      <c r="AK10750" s="10"/>
      <c r="AL10750" s="10"/>
      <c r="AM10750" s="10"/>
      <c r="AN10750" s="10"/>
      <c r="AO10750" s="10"/>
      <c r="AP10750" s="10"/>
      <c r="AQ10750" s="10"/>
      <c r="AR10750" s="10"/>
      <c r="AS10750" s="10"/>
      <c r="AT10750" s="10"/>
      <c r="AU10750" s="10"/>
      <c r="AV10750" s="10"/>
      <c r="AW10750" s="10"/>
      <c r="AX10750" s="10"/>
      <c r="AY10750" s="10"/>
      <c r="AZ10750" s="10"/>
    </row>
    <row r="10751" spans="31:52">
      <c r="AE10751" s="10"/>
      <c r="AF10751" s="10"/>
      <c r="AG10751" s="10"/>
      <c r="AH10751" s="10"/>
      <c r="AI10751" s="10"/>
      <c r="AJ10751" s="10"/>
      <c r="AK10751" s="10"/>
      <c r="AL10751" s="10"/>
      <c r="AM10751" s="10"/>
      <c r="AN10751" s="10"/>
      <c r="AO10751" s="10"/>
      <c r="AP10751" s="10"/>
      <c r="AQ10751" s="10"/>
      <c r="AR10751" s="10"/>
      <c r="AS10751" s="10"/>
      <c r="AT10751" s="10"/>
      <c r="AU10751" s="10"/>
      <c r="AV10751" s="10"/>
      <c r="AW10751" s="10"/>
      <c r="AX10751" s="10"/>
      <c r="AY10751" s="10"/>
      <c r="AZ10751" s="10"/>
    </row>
    <row r="10752" spans="31:52">
      <c r="AE10752" s="10"/>
      <c r="AF10752" s="10"/>
      <c r="AG10752" s="10"/>
      <c r="AH10752" s="10"/>
      <c r="AI10752" s="10"/>
      <c r="AJ10752" s="10"/>
      <c r="AK10752" s="10"/>
      <c r="AL10752" s="10"/>
      <c r="AM10752" s="10"/>
      <c r="AN10752" s="10"/>
      <c r="AO10752" s="10"/>
      <c r="AP10752" s="10"/>
      <c r="AQ10752" s="10"/>
      <c r="AR10752" s="10"/>
      <c r="AS10752" s="10"/>
      <c r="AT10752" s="10"/>
      <c r="AU10752" s="10"/>
      <c r="AV10752" s="10"/>
      <c r="AW10752" s="10"/>
      <c r="AX10752" s="10"/>
      <c r="AY10752" s="10"/>
      <c r="AZ10752" s="10"/>
    </row>
    <row r="10753" spans="31:52">
      <c r="AE10753" s="10"/>
      <c r="AF10753" s="10"/>
      <c r="AG10753" s="10"/>
      <c r="AH10753" s="10"/>
      <c r="AI10753" s="10"/>
      <c r="AJ10753" s="10"/>
      <c r="AK10753" s="10"/>
      <c r="AL10753" s="10"/>
      <c r="AM10753" s="10"/>
      <c r="AN10753" s="10"/>
      <c r="AO10753" s="10"/>
      <c r="AP10753" s="10"/>
      <c r="AQ10753" s="10"/>
      <c r="AR10753" s="10"/>
      <c r="AS10753" s="10"/>
      <c r="AT10753" s="10"/>
      <c r="AU10753" s="10"/>
      <c r="AV10753" s="10"/>
      <c r="AW10753" s="10"/>
      <c r="AX10753" s="10"/>
      <c r="AY10753" s="10"/>
      <c r="AZ10753" s="10"/>
    </row>
    <row r="10754" spans="31:52">
      <c r="AE10754" s="10"/>
      <c r="AF10754" s="10"/>
      <c r="AG10754" s="10"/>
      <c r="AH10754" s="10"/>
      <c r="AI10754" s="10"/>
      <c r="AJ10754" s="10"/>
      <c r="AK10754" s="10"/>
      <c r="AL10754" s="10"/>
      <c r="AM10754" s="10"/>
      <c r="AN10754" s="10"/>
      <c r="AO10754" s="10"/>
      <c r="AP10754" s="10"/>
      <c r="AQ10754" s="10"/>
      <c r="AR10754" s="10"/>
      <c r="AS10754" s="10"/>
      <c r="AT10754" s="10"/>
      <c r="AU10754" s="10"/>
      <c r="AV10754" s="10"/>
      <c r="AW10754" s="10"/>
      <c r="AX10754" s="10"/>
      <c r="AY10754" s="10"/>
      <c r="AZ10754" s="10"/>
    </row>
    <row r="10755" spans="31:52">
      <c r="AE10755" s="10"/>
      <c r="AF10755" s="10"/>
      <c r="AG10755" s="10"/>
      <c r="AH10755" s="10"/>
      <c r="AI10755" s="10"/>
      <c r="AJ10755" s="10"/>
      <c r="AK10755" s="10"/>
      <c r="AL10755" s="10"/>
      <c r="AM10755" s="10"/>
      <c r="AN10755" s="10"/>
      <c r="AO10755" s="10"/>
      <c r="AP10755" s="10"/>
      <c r="AQ10755" s="10"/>
      <c r="AR10755" s="10"/>
      <c r="AS10755" s="10"/>
      <c r="AT10755" s="10"/>
      <c r="AU10755" s="10"/>
      <c r="AV10755" s="10"/>
      <c r="AW10755" s="10"/>
      <c r="AX10755" s="10"/>
      <c r="AY10755" s="10"/>
      <c r="AZ10755" s="10"/>
    </row>
    <row r="10756" spans="31:52">
      <c r="AE10756" s="10"/>
      <c r="AF10756" s="10"/>
      <c r="AG10756" s="10"/>
      <c r="AH10756" s="10"/>
      <c r="AI10756" s="10"/>
      <c r="AJ10756" s="10"/>
      <c r="AK10756" s="10"/>
      <c r="AL10756" s="10"/>
      <c r="AM10756" s="10"/>
      <c r="AN10756" s="10"/>
      <c r="AO10756" s="10"/>
      <c r="AP10756" s="10"/>
      <c r="AQ10756" s="10"/>
      <c r="AR10756" s="10"/>
      <c r="AS10756" s="10"/>
      <c r="AT10756" s="10"/>
      <c r="AU10756" s="10"/>
      <c r="AV10756" s="10"/>
      <c r="AW10756" s="10"/>
      <c r="AX10756" s="10"/>
      <c r="AY10756" s="10"/>
      <c r="AZ10756" s="10"/>
    </row>
    <row r="10757" spans="31:52">
      <c r="AE10757" s="10"/>
      <c r="AF10757" s="10"/>
      <c r="AG10757" s="10"/>
      <c r="AH10757" s="10"/>
      <c r="AI10757" s="10"/>
      <c r="AJ10757" s="10"/>
      <c r="AK10757" s="10"/>
      <c r="AL10757" s="10"/>
      <c r="AM10757" s="10"/>
      <c r="AN10757" s="10"/>
      <c r="AO10757" s="10"/>
      <c r="AP10757" s="10"/>
      <c r="AQ10757" s="10"/>
      <c r="AR10757" s="10"/>
      <c r="AS10757" s="10"/>
      <c r="AT10757" s="10"/>
      <c r="AU10757" s="10"/>
      <c r="AV10757" s="10"/>
      <c r="AW10757" s="10"/>
      <c r="AX10757" s="10"/>
      <c r="AY10757" s="10"/>
      <c r="AZ10757" s="10"/>
    </row>
    <row r="10758" spans="31:52">
      <c r="AE10758" s="10"/>
      <c r="AF10758" s="10"/>
      <c r="AG10758" s="10"/>
      <c r="AH10758" s="10"/>
      <c r="AI10758" s="10"/>
      <c r="AJ10758" s="10"/>
      <c r="AK10758" s="10"/>
      <c r="AL10758" s="10"/>
      <c r="AM10758" s="10"/>
      <c r="AN10758" s="10"/>
      <c r="AO10758" s="10"/>
      <c r="AP10758" s="10"/>
      <c r="AQ10758" s="10"/>
      <c r="AR10758" s="10"/>
      <c r="AS10758" s="10"/>
      <c r="AT10758" s="10"/>
      <c r="AU10758" s="10"/>
      <c r="AV10758" s="10"/>
      <c r="AW10758" s="10"/>
      <c r="AX10758" s="10"/>
      <c r="AY10758" s="10"/>
      <c r="AZ10758" s="10"/>
    </row>
    <row r="10759" spans="31:52">
      <c r="AE10759" s="10"/>
      <c r="AF10759" s="10"/>
      <c r="AG10759" s="10"/>
      <c r="AH10759" s="10"/>
      <c r="AI10759" s="10"/>
      <c r="AJ10759" s="10"/>
      <c r="AK10759" s="10"/>
      <c r="AL10759" s="10"/>
      <c r="AM10759" s="10"/>
      <c r="AN10759" s="10"/>
      <c r="AO10759" s="10"/>
      <c r="AP10759" s="10"/>
      <c r="AQ10759" s="10"/>
      <c r="AR10759" s="10"/>
      <c r="AS10759" s="10"/>
      <c r="AT10759" s="10"/>
      <c r="AU10759" s="10"/>
      <c r="AV10759" s="10"/>
      <c r="AW10759" s="10"/>
      <c r="AX10759" s="10"/>
      <c r="AY10759" s="10"/>
      <c r="AZ10759" s="10"/>
    </row>
    <row r="10760" spans="31:52">
      <c r="AE10760" s="10"/>
      <c r="AF10760" s="10"/>
      <c r="AG10760" s="10"/>
      <c r="AH10760" s="10"/>
      <c r="AI10760" s="10"/>
      <c r="AJ10760" s="10"/>
      <c r="AK10760" s="10"/>
      <c r="AL10760" s="10"/>
      <c r="AM10760" s="10"/>
      <c r="AN10760" s="10"/>
      <c r="AO10760" s="10"/>
      <c r="AP10760" s="10"/>
      <c r="AQ10760" s="10"/>
      <c r="AR10760" s="10"/>
      <c r="AS10760" s="10"/>
      <c r="AT10760" s="10"/>
      <c r="AU10760" s="10"/>
      <c r="AV10760" s="10"/>
      <c r="AW10760" s="10"/>
      <c r="AX10760" s="10"/>
      <c r="AY10760" s="10"/>
      <c r="AZ10760" s="10"/>
    </row>
    <row r="10761" spans="31:52">
      <c r="AE10761" s="10"/>
      <c r="AF10761" s="10"/>
      <c r="AG10761" s="10"/>
      <c r="AH10761" s="10"/>
      <c r="AI10761" s="10"/>
      <c r="AJ10761" s="10"/>
      <c r="AK10761" s="10"/>
      <c r="AL10761" s="10"/>
      <c r="AM10761" s="10"/>
      <c r="AN10761" s="10"/>
      <c r="AO10761" s="10"/>
      <c r="AP10761" s="10"/>
      <c r="AQ10761" s="10"/>
      <c r="AR10761" s="10"/>
      <c r="AS10761" s="10"/>
      <c r="AT10761" s="10"/>
      <c r="AU10761" s="10"/>
      <c r="AV10761" s="10"/>
      <c r="AW10761" s="10"/>
      <c r="AX10761" s="10"/>
      <c r="AY10761" s="10"/>
      <c r="AZ10761" s="10"/>
    </row>
    <row r="10762" spans="31:52">
      <c r="AE10762" s="10"/>
      <c r="AF10762" s="10"/>
      <c r="AG10762" s="10"/>
      <c r="AH10762" s="10"/>
      <c r="AI10762" s="10"/>
      <c r="AJ10762" s="10"/>
      <c r="AK10762" s="10"/>
      <c r="AL10762" s="10"/>
      <c r="AM10762" s="10"/>
      <c r="AN10762" s="10"/>
      <c r="AO10762" s="10"/>
      <c r="AP10762" s="10"/>
      <c r="AQ10762" s="10"/>
      <c r="AR10762" s="10"/>
      <c r="AS10762" s="10"/>
      <c r="AT10762" s="10"/>
      <c r="AU10762" s="10"/>
      <c r="AV10762" s="10"/>
      <c r="AW10762" s="10"/>
      <c r="AX10762" s="10"/>
      <c r="AY10762" s="10"/>
      <c r="AZ10762" s="10"/>
    </row>
    <row r="10763" spans="31:52">
      <c r="AE10763" s="10"/>
      <c r="AF10763" s="10"/>
      <c r="AG10763" s="10"/>
      <c r="AH10763" s="10"/>
      <c r="AI10763" s="10"/>
      <c r="AJ10763" s="10"/>
      <c r="AK10763" s="10"/>
      <c r="AL10763" s="10"/>
      <c r="AM10763" s="10"/>
      <c r="AN10763" s="10"/>
      <c r="AO10763" s="10"/>
      <c r="AP10763" s="10"/>
      <c r="AQ10763" s="10"/>
      <c r="AR10763" s="10"/>
      <c r="AS10763" s="10"/>
      <c r="AT10763" s="10"/>
      <c r="AU10763" s="10"/>
      <c r="AV10763" s="10"/>
      <c r="AW10763" s="10"/>
      <c r="AX10763" s="10"/>
      <c r="AY10763" s="10"/>
      <c r="AZ10763" s="10"/>
    </row>
    <row r="10764" spans="31:52">
      <c r="AE10764" s="10"/>
      <c r="AF10764" s="10"/>
      <c r="AG10764" s="10"/>
      <c r="AH10764" s="10"/>
      <c r="AI10764" s="10"/>
      <c r="AJ10764" s="10"/>
      <c r="AK10764" s="10"/>
      <c r="AL10764" s="10"/>
      <c r="AM10764" s="10"/>
      <c r="AN10764" s="10"/>
      <c r="AO10764" s="10"/>
      <c r="AP10764" s="10"/>
      <c r="AQ10764" s="10"/>
      <c r="AR10764" s="10"/>
      <c r="AS10764" s="10"/>
      <c r="AT10764" s="10"/>
      <c r="AU10764" s="10"/>
      <c r="AV10764" s="10"/>
      <c r="AW10764" s="10"/>
      <c r="AX10764" s="10"/>
      <c r="AY10764" s="10"/>
      <c r="AZ10764" s="10"/>
    </row>
    <row r="10765" spans="31:52">
      <c r="AE10765" s="10"/>
      <c r="AF10765" s="10"/>
      <c r="AG10765" s="10"/>
      <c r="AH10765" s="10"/>
      <c r="AI10765" s="10"/>
      <c r="AJ10765" s="10"/>
      <c r="AK10765" s="10"/>
      <c r="AL10765" s="10"/>
      <c r="AM10765" s="10"/>
      <c r="AN10765" s="10"/>
      <c r="AO10765" s="10"/>
      <c r="AP10765" s="10"/>
      <c r="AQ10765" s="10"/>
      <c r="AR10765" s="10"/>
      <c r="AS10765" s="10"/>
      <c r="AT10765" s="10"/>
      <c r="AU10765" s="10"/>
      <c r="AV10765" s="10"/>
      <c r="AW10765" s="10"/>
      <c r="AX10765" s="10"/>
      <c r="AY10765" s="10"/>
      <c r="AZ10765" s="10"/>
    </row>
    <row r="10766" spans="31:52">
      <c r="AE10766" s="10"/>
      <c r="AF10766" s="10"/>
      <c r="AG10766" s="10"/>
      <c r="AH10766" s="10"/>
      <c r="AI10766" s="10"/>
      <c r="AJ10766" s="10"/>
      <c r="AK10766" s="10"/>
      <c r="AL10766" s="10"/>
      <c r="AM10766" s="10"/>
      <c r="AN10766" s="10"/>
      <c r="AO10766" s="10"/>
      <c r="AP10766" s="10"/>
      <c r="AQ10766" s="10"/>
      <c r="AR10766" s="10"/>
      <c r="AS10766" s="10"/>
      <c r="AT10766" s="10"/>
      <c r="AU10766" s="10"/>
      <c r="AV10766" s="10"/>
      <c r="AW10766" s="10"/>
      <c r="AX10766" s="10"/>
      <c r="AY10766" s="10"/>
      <c r="AZ10766" s="10"/>
    </row>
    <row r="10767" spans="31:52">
      <c r="AE10767" s="10"/>
      <c r="AF10767" s="10"/>
      <c r="AG10767" s="10"/>
      <c r="AH10767" s="10"/>
      <c r="AI10767" s="10"/>
      <c r="AJ10767" s="10"/>
      <c r="AK10767" s="10"/>
      <c r="AL10767" s="10"/>
      <c r="AM10767" s="10"/>
      <c r="AN10767" s="10"/>
      <c r="AO10767" s="10"/>
      <c r="AP10767" s="10"/>
      <c r="AQ10767" s="10"/>
      <c r="AR10767" s="10"/>
      <c r="AS10767" s="10"/>
      <c r="AT10767" s="10"/>
      <c r="AU10767" s="10"/>
      <c r="AV10767" s="10"/>
      <c r="AW10767" s="10"/>
      <c r="AX10767" s="10"/>
      <c r="AY10767" s="10"/>
      <c r="AZ10767" s="10"/>
    </row>
    <row r="10768" spans="31:52">
      <c r="AE10768" s="10"/>
      <c r="AF10768" s="10"/>
      <c r="AG10768" s="10"/>
      <c r="AH10768" s="10"/>
      <c r="AI10768" s="10"/>
      <c r="AJ10768" s="10"/>
      <c r="AK10768" s="10"/>
      <c r="AL10768" s="10"/>
      <c r="AM10768" s="10"/>
      <c r="AN10768" s="10"/>
      <c r="AO10768" s="10"/>
      <c r="AP10768" s="10"/>
      <c r="AQ10768" s="10"/>
      <c r="AR10768" s="10"/>
      <c r="AS10768" s="10"/>
      <c r="AT10768" s="10"/>
      <c r="AU10768" s="10"/>
      <c r="AV10768" s="10"/>
      <c r="AW10768" s="10"/>
      <c r="AX10768" s="10"/>
      <c r="AY10768" s="10"/>
      <c r="AZ10768" s="10"/>
    </row>
    <row r="10769" spans="31:52">
      <c r="AE10769" s="10"/>
      <c r="AF10769" s="10"/>
      <c r="AG10769" s="10"/>
      <c r="AH10769" s="10"/>
      <c r="AI10769" s="10"/>
      <c r="AJ10769" s="10"/>
      <c r="AK10769" s="10"/>
      <c r="AL10769" s="10"/>
      <c r="AM10769" s="10"/>
      <c r="AN10769" s="10"/>
      <c r="AO10769" s="10"/>
      <c r="AP10769" s="10"/>
      <c r="AQ10769" s="10"/>
      <c r="AR10769" s="10"/>
      <c r="AS10769" s="10"/>
      <c r="AT10769" s="10"/>
      <c r="AU10769" s="10"/>
      <c r="AV10769" s="10"/>
      <c r="AW10769" s="10"/>
      <c r="AX10769" s="10"/>
      <c r="AY10769" s="10"/>
      <c r="AZ10769" s="10"/>
    </row>
    <row r="10770" spans="31:52">
      <c r="AE10770" s="10"/>
      <c r="AF10770" s="10"/>
      <c r="AG10770" s="10"/>
      <c r="AH10770" s="10"/>
      <c r="AI10770" s="10"/>
      <c r="AJ10770" s="10"/>
      <c r="AK10770" s="10"/>
      <c r="AL10770" s="10"/>
      <c r="AM10770" s="10"/>
      <c r="AN10770" s="10"/>
      <c r="AO10770" s="10"/>
      <c r="AP10770" s="10"/>
      <c r="AQ10770" s="10"/>
      <c r="AR10770" s="10"/>
      <c r="AS10770" s="10"/>
      <c r="AT10770" s="10"/>
      <c r="AU10770" s="10"/>
      <c r="AV10770" s="10"/>
      <c r="AW10770" s="10"/>
      <c r="AX10770" s="10"/>
      <c r="AY10770" s="10"/>
      <c r="AZ10770" s="10"/>
    </row>
    <row r="10771" spans="31:52">
      <c r="AE10771" s="10"/>
      <c r="AF10771" s="10"/>
      <c r="AG10771" s="10"/>
      <c r="AH10771" s="10"/>
      <c r="AI10771" s="10"/>
      <c r="AJ10771" s="10"/>
      <c r="AK10771" s="10"/>
      <c r="AL10771" s="10"/>
      <c r="AM10771" s="10"/>
      <c r="AN10771" s="10"/>
      <c r="AO10771" s="10"/>
      <c r="AP10771" s="10"/>
      <c r="AQ10771" s="10"/>
      <c r="AR10771" s="10"/>
      <c r="AS10771" s="10"/>
      <c r="AT10771" s="10"/>
      <c r="AU10771" s="10"/>
      <c r="AV10771" s="10"/>
      <c r="AW10771" s="10"/>
      <c r="AX10771" s="10"/>
      <c r="AY10771" s="10"/>
      <c r="AZ10771" s="10"/>
    </row>
    <row r="10772" spans="31:52">
      <c r="AE10772" s="10"/>
      <c r="AF10772" s="10"/>
      <c r="AG10772" s="10"/>
      <c r="AH10772" s="10"/>
      <c r="AI10772" s="10"/>
      <c r="AJ10772" s="10"/>
      <c r="AK10772" s="10"/>
      <c r="AL10772" s="10"/>
      <c r="AM10772" s="10"/>
      <c r="AN10772" s="10"/>
      <c r="AO10772" s="10"/>
      <c r="AP10772" s="10"/>
      <c r="AQ10772" s="10"/>
      <c r="AR10772" s="10"/>
      <c r="AS10772" s="10"/>
      <c r="AT10772" s="10"/>
      <c r="AU10772" s="10"/>
      <c r="AV10772" s="10"/>
      <c r="AW10772" s="10"/>
      <c r="AX10772" s="10"/>
      <c r="AY10772" s="10"/>
      <c r="AZ10772" s="10"/>
    </row>
    <row r="10773" spans="31:52">
      <c r="AE10773" s="10"/>
      <c r="AF10773" s="10"/>
      <c r="AG10773" s="10"/>
      <c r="AH10773" s="10"/>
      <c r="AI10773" s="10"/>
      <c r="AJ10773" s="10"/>
      <c r="AK10773" s="10"/>
      <c r="AL10773" s="10"/>
      <c r="AM10773" s="10"/>
      <c r="AN10773" s="10"/>
      <c r="AO10773" s="10"/>
      <c r="AP10773" s="10"/>
      <c r="AQ10773" s="10"/>
      <c r="AR10773" s="10"/>
      <c r="AS10773" s="10"/>
      <c r="AT10773" s="10"/>
      <c r="AU10773" s="10"/>
      <c r="AV10773" s="10"/>
      <c r="AW10773" s="10"/>
      <c r="AX10773" s="10"/>
      <c r="AY10773" s="10"/>
      <c r="AZ10773" s="10"/>
    </row>
    <row r="10774" spans="31:52">
      <c r="AE10774" s="10"/>
      <c r="AF10774" s="10"/>
      <c r="AG10774" s="10"/>
      <c r="AH10774" s="10"/>
      <c r="AI10774" s="10"/>
      <c r="AJ10774" s="10"/>
      <c r="AK10774" s="10"/>
      <c r="AL10774" s="10"/>
      <c r="AM10774" s="10"/>
      <c r="AN10774" s="10"/>
      <c r="AO10774" s="10"/>
      <c r="AP10774" s="10"/>
      <c r="AQ10774" s="10"/>
      <c r="AR10774" s="10"/>
      <c r="AS10774" s="10"/>
      <c r="AT10774" s="10"/>
      <c r="AU10774" s="10"/>
      <c r="AV10774" s="10"/>
      <c r="AW10774" s="10"/>
      <c r="AX10774" s="10"/>
      <c r="AY10774" s="10"/>
      <c r="AZ10774" s="10"/>
    </row>
    <row r="10775" spans="31:52">
      <c r="AE10775" s="10"/>
      <c r="AF10775" s="10"/>
      <c r="AG10775" s="10"/>
      <c r="AH10775" s="10"/>
      <c r="AI10775" s="10"/>
      <c r="AJ10775" s="10"/>
      <c r="AK10775" s="10"/>
      <c r="AL10775" s="10"/>
      <c r="AM10775" s="10"/>
      <c r="AN10775" s="10"/>
      <c r="AO10775" s="10"/>
      <c r="AP10775" s="10"/>
      <c r="AQ10775" s="10"/>
      <c r="AR10775" s="10"/>
      <c r="AS10775" s="10"/>
      <c r="AT10775" s="10"/>
      <c r="AU10775" s="10"/>
      <c r="AV10775" s="10"/>
      <c r="AW10775" s="10"/>
      <c r="AX10775" s="10"/>
      <c r="AY10775" s="10"/>
      <c r="AZ10775" s="10"/>
    </row>
    <row r="10776" spans="31:52">
      <c r="AE10776" s="10"/>
      <c r="AF10776" s="10"/>
      <c r="AG10776" s="10"/>
      <c r="AH10776" s="10"/>
      <c r="AI10776" s="10"/>
      <c r="AJ10776" s="10"/>
      <c r="AK10776" s="10"/>
      <c r="AL10776" s="10"/>
      <c r="AM10776" s="10"/>
      <c r="AN10776" s="10"/>
      <c r="AO10776" s="10"/>
      <c r="AP10776" s="10"/>
      <c r="AQ10776" s="10"/>
      <c r="AR10776" s="10"/>
      <c r="AS10776" s="10"/>
      <c r="AT10776" s="10"/>
      <c r="AU10776" s="10"/>
      <c r="AV10776" s="10"/>
      <c r="AW10776" s="10"/>
      <c r="AX10776" s="10"/>
      <c r="AY10776" s="10"/>
      <c r="AZ10776" s="10"/>
    </row>
    <row r="10777" spans="31:52">
      <c r="AE10777" s="10"/>
      <c r="AF10777" s="10"/>
      <c r="AG10777" s="10"/>
      <c r="AH10777" s="10"/>
      <c r="AI10777" s="10"/>
      <c r="AJ10777" s="10"/>
      <c r="AK10777" s="10"/>
      <c r="AL10777" s="10"/>
      <c r="AM10777" s="10"/>
      <c r="AN10777" s="10"/>
      <c r="AO10777" s="10"/>
      <c r="AP10777" s="10"/>
      <c r="AQ10777" s="10"/>
      <c r="AR10777" s="10"/>
      <c r="AS10777" s="10"/>
      <c r="AT10777" s="10"/>
      <c r="AU10777" s="10"/>
      <c r="AV10777" s="10"/>
      <c r="AW10777" s="10"/>
      <c r="AX10777" s="10"/>
      <c r="AY10777" s="10"/>
      <c r="AZ10777" s="10"/>
    </row>
    <row r="10778" spans="31:52">
      <c r="AE10778" s="10"/>
      <c r="AF10778" s="10"/>
      <c r="AG10778" s="10"/>
      <c r="AH10778" s="10"/>
      <c r="AI10778" s="10"/>
      <c r="AJ10778" s="10"/>
      <c r="AK10778" s="10"/>
      <c r="AL10778" s="10"/>
      <c r="AM10778" s="10"/>
      <c r="AN10778" s="10"/>
      <c r="AO10778" s="10"/>
      <c r="AP10778" s="10"/>
      <c r="AQ10778" s="10"/>
      <c r="AR10778" s="10"/>
      <c r="AS10778" s="10"/>
      <c r="AT10778" s="10"/>
      <c r="AU10778" s="10"/>
      <c r="AV10778" s="10"/>
      <c r="AW10778" s="10"/>
      <c r="AX10778" s="10"/>
      <c r="AY10778" s="10"/>
      <c r="AZ10778" s="10"/>
    </row>
    <row r="10779" spans="31:52">
      <c r="AE10779" s="10"/>
      <c r="AF10779" s="10"/>
      <c r="AG10779" s="10"/>
      <c r="AH10779" s="10"/>
      <c r="AI10779" s="10"/>
      <c r="AJ10779" s="10"/>
      <c r="AK10779" s="10"/>
      <c r="AL10779" s="10"/>
      <c r="AM10779" s="10"/>
      <c r="AN10779" s="10"/>
      <c r="AO10779" s="10"/>
      <c r="AP10779" s="10"/>
      <c r="AQ10779" s="10"/>
      <c r="AR10779" s="10"/>
      <c r="AS10779" s="10"/>
      <c r="AT10779" s="10"/>
      <c r="AU10779" s="10"/>
      <c r="AV10779" s="10"/>
      <c r="AW10779" s="10"/>
      <c r="AX10779" s="10"/>
      <c r="AY10779" s="10"/>
      <c r="AZ10779" s="10"/>
    </row>
    <row r="10780" spans="31:52">
      <c r="AE10780" s="10"/>
      <c r="AF10780" s="10"/>
      <c r="AG10780" s="10"/>
      <c r="AH10780" s="10"/>
      <c r="AI10780" s="10"/>
      <c r="AJ10780" s="10"/>
      <c r="AK10780" s="10"/>
      <c r="AL10780" s="10"/>
      <c r="AM10780" s="10"/>
      <c r="AN10780" s="10"/>
      <c r="AO10780" s="10"/>
      <c r="AP10780" s="10"/>
      <c r="AQ10780" s="10"/>
      <c r="AR10780" s="10"/>
      <c r="AS10780" s="10"/>
      <c r="AT10780" s="10"/>
      <c r="AU10780" s="10"/>
      <c r="AV10780" s="10"/>
      <c r="AW10780" s="10"/>
      <c r="AX10780" s="10"/>
      <c r="AY10780" s="10"/>
      <c r="AZ10780" s="10"/>
    </row>
    <row r="10781" spans="31:52">
      <c r="AE10781" s="10"/>
      <c r="AF10781" s="10"/>
      <c r="AG10781" s="10"/>
      <c r="AH10781" s="10"/>
      <c r="AI10781" s="10"/>
      <c r="AJ10781" s="10"/>
      <c r="AK10781" s="10"/>
      <c r="AL10781" s="10"/>
      <c r="AM10781" s="10"/>
      <c r="AN10781" s="10"/>
      <c r="AO10781" s="10"/>
      <c r="AP10781" s="10"/>
      <c r="AQ10781" s="10"/>
      <c r="AR10781" s="10"/>
      <c r="AS10781" s="10"/>
      <c r="AT10781" s="10"/>
      <c r="AU10781" s="10"/>
      <c r="AV10781" s="10"/>
      <c r="AW10781" s="10"/>
      <c r="AX10781" s="10"/>
      <c r="AY10781" s="10"/>
      <c r="AZ10781" s="10"/>
    </row>
    <row r="10782" spans="31:52">
      <c r="AE10782" s="10"/>
      <c r="AF10782" s="10"/>
      <c r="AG10782" s="10"/>
      <c r="AH10782" s="10"/>
      <c r="AI10782" s="10"/>
      <c r="AJ10782" s="10"/>
      <c r="AK10782" s="10"/>
      <c r="AL10782" s="10"/>
      <c r="AM10782" s="10"/>
      <c r="AN10782" s="10"/>
      <c r="AO10782" s="10"/>
      <c r="AP10782" s="10"/>
      <c r="AQ10782" s="10"/>
      <c r="AR10782" s="10"/>
      <c r="AS10782" s="10"/>
      <c r="AT10782" s="10"/>
      <c r="AU10782" s="10"/>
      <c r="AV10782" s="10"/>
      <c r="AW10782" s="10"/>
      <c r="AX10782" s="10"/>
      <c r="AY10782" s="10"/>
      <c r="AZ10782" s="10"/>
    </row>
    <row r="10783" spans="31:52">
      <c r="AE10783" s="10"/>
      <c r="AF10783" s="10"/>
      <c r="AG10783" s="10"/>
      <c r="AH10783" s="10"/>
      <c r="AI10783" s="10"/>
      <c r="AJ10783" s="10"/>
      <c r="AK10783" s="10"/>
      <c r="AL10783" s="10"/>
      <c r="AM10783" s="10"/>
      <c r="AN10783" s="10"/>
      <c r="AO10783" s="10"/>
      <c r="AP10783" s="10"/>
      <c r="AQ10783" s="10"/>
      <c r="AR10783" s="10"/>
      <c r="AS10783" s="10"/>
      <c r="AT10783" s="10"/>
      <c r="AU10783" s="10"/>
      <c r="AV10783" s="10"/>
      <c r="AW10783" s="10"/>
      <c r="AX10783" s="10"/>
      <c r="AY10783" s="10"/>
      <c r="AZ10783" s="10"/>
    </row>
    <row r="10784" spans="31:52">
      <c r="AE10784" s="10"/>
      <c r="AF10784" s="10"/>
      <c r="AG10784" s="10"/>
      <c r="AH10784" s="10"/>
      <c r="AI10784" s="10"/>
      <c r="AJ10784" s="10"/>
      <c r="AK10784" s="10"/>
      <c r="AL10784" s="10"/>
      <c r="AM10784" s="10"/>
      <c r="AN10784" s="10"/>
      <c r="AO10784" s="10"/>
      <c r="AP10784" s="10"/>
      <c r="AQ10784" s="10"/>
      <c r="AR10784" s="10"/>
      <c r="AS10784" s="10"/>
      <c r="AT10784" s="10"/>
      <c r="AU10784" s="10"/>
      <c r="AV10784" s="10"/>
      <c r="AW10784" s="10"/>
      <c r="AX10784" s="10"/>
      <c r="AY10784" s="10"/>
      <c r="AZ10784" s="10"/>
    </row>
    <row r="10785" spans="31:52">
      <c r="AE10785" s="10"/>
      <c r="AF10785" s="10"/>
      <c r="AG10785" s="10"/>
      <c r="AH10785" s="10"/>
      <c r="AI10785" s="10"/>
      <c r="AJ10785" s="10"/>
      <c r="AK10785" s="10"/>
      <c r="AL10785" s="10"/>
      <c r="AM10785" s="10"/>
      <c r="AN10785" s="10"/>
      <c r="AO10785" s="10"/>
      <c r="AP10785" s="10"/>
      <c r="AQ10785" s="10"/>
      <c r="AR10785" s="10"/>
      <c r="AS10785" s="10"/>
      <c r="AT10785" s="10"/>
      <c r="AU10785" s="10"/>
      <c r="AV10785" s="10"/>
      <c r="AW10785" s="10"/>
      <c r="AX10785" s="10"/>
      <c r="AY10785" s="10"/>
      <c r="AZ10785" s="10"/>
    </row>
    <row r="10786" spans="31:52">
      <c r="AE10786" s="10"/>
      <c r="AF10786" s="10"/>
      <c r="AG10786" s="10"/>
      <c r="AH10786" s="10"/>
      <c r="AI10786" s="10"/>
      <c r="AJ10786" s="10"/>
      <c r="AK10786" s="10"/>
      <c r="AL10786" s="10"/>
      <c r="AM10786" s="10"/>
      <c r="AN10786" s="10"/>
      <c r="AO10786" s="10"/>
      <c r="AP10786" s="10"/>
      <c r="AQ10786" s="10"/>
      <c r="AR10786" s="10"/>
      <c r="AS10786" s="10"/>
      <c r="AT10786" s="10"/>
      <c r="AU10786" s="10"/>
      <c r="AV10786" s="10"/>
      <c r="AW10786" s="10"/>
      <c r="AX10786" s="10"/>
      <c r="AY10786" s="10"/>
      <c r="AZ10786" s="10"/>
    </row>
    <row r="10787" spans="31:52">
      <c r="AE10787" s="10"/>
      <c r="AF10787" s="10"/>
      <c r="AG10787" s="10"/>
      <c r="AH10787" s="10"/>
      <c r="AI10787" s="10"/>
      <c r="AJ10787" s="10"/>
      <c r="AK10787" s="10"/>
      <c r="AL10787" s="10"/>
      <c r="AM10787" s="10"/>
      <c r="AN10787" s="10"/>
      <c r="AO10787" s="10"/>
      <c r="AP10787" s="10"/>
      <c r="AQ10787" s="10"/>
      <c r="AR10787" s="10"/>
      <c r="AS10787" s="10"/>
      <c r="AT10787" s="10"/>
      <c r="AU10787" s="10"/>
      <c r="AV10787" s="10"/>
      <c r="AW10787" s="10"/>
      <c r="AX10787" s="10"/>
      <c r="AY10787" s="10"/>
      <c r="AZ10787" s="10"/>
    </row>
    <row r="10788" spans="31:52">
      <c r="AE10788" s="10"/>
      <c r="AF10788" s="10"/>
      <c r="AG10788" s="10"/>
      <c r="AH10788" s="10"/>
      <c r="AI10788" s="10"/>
      <c r="AJ10788" s="10"/>
      <c r="AK10788" s="10"/>
      <c r="AL10788" s="10"/>
      <c r="AM10788" s="10"/>
      <c r="AN10788" s="10"/>
      <c r="AO10788" s="10"/>
      <c r="AP10788" s="10"/>
      <c r="AQ10788" s="10"/>
      <c r="AR10788" s="10"/>
      <c r="AS10788" s="10"/>
      <c r="AT10788" s="10"/>
      <c r="AU10788" s="10"/>
      <c r="AV10788" s="10"/>
      <c r="AW10788" s="10"/>
      <c r="AX10788" s="10"/>
      <c r="AY10788" s="10"/>
      <c r="AZ10788" s="10"/>
    </row>
    <row r="10789" spans="31:52">
      <c r="AE10789" s="10"/>
      <c r="AF10789" s="10"/>
      <c r="AG10789" s="10"/>
      <c r="AH10789" s="10"/>
      <c r="AI10789" s="10"/>
      <c r="AJ10789" s="10"/>
      <c r="AK10789" s="10"/>
      <c r="AL10789" s="10"/>
      <c r="AM10789" s="10"/>
      <c r="AN10789" s="10"/>
      <c r="AO10789" s="10"/>
      <c r="AP10789" s="10"/>
      <c r="AQ10789" s="10"/>
      <c r="AR10789" s="10"/>
      <c r="AS10789" s="10"/>
      <c r="AT10789" s="10"/>
      <c r="AU10789" s="10"/>
      <c r="AV10789" s="10"/>
      <c r="AW10789" s="10"/>
      <c r="AX10789" s="10"/>
      <c r="AY10789" s="10"/>
      <c r="AZ10789" s="10"/>
    </row>
    <row r="10790" spans="31:52">
      <c r="AE10790" s="10"/>
      <c r="AF10790" s="10"/>
      <c r="AG10790" s="10"/>
      <c r="AH10790" s="10"/>
      <c r="AI10790" s="10"/>
      <c r="AJ10790" s="10"/>
      <c r="AK10790" s="10"/>
      <c r="AL10790" s="10"/>
      <c r="AM10790" s="10"/>
      <c r="AN10790" s="10"/>
      <c r="AO10790" s="10"/>
      <c r="AP10790" s="10"/>
      <c r="AQ10790" s="10"/>
      <c r="AR10790" s="10"/>
      <c r="AS10790" s="10"/>
      <c r="AT10790" s="10"/>
      <c r="AU10790" s="10"/>
      <c r="AV10790" s="10"/>
      <c r="AW10790" s="10"/>
      <c r="AX10790" s="10"/>
      <c r="AY10790" s="10"/>
      <c r="AZ10790" s="10"/>
    </row>
    <row r="10791" spans="31:52">
      <c r="AE10791" s="10"/>
      <c r="AF10791" s="10"/>
      <c r="AG10791" s="10"/>
      <c r="AH10791" s="10"/>
      <c r="AI10791" s="10"/>
      <c r="AJ10791" s="10"/>
      <c r="AK10791" s="10"/>
      <c r="AL10791" s="10"/>
      <c r="AM10791" s="10"/>
      <c r="AN10791" s="10"/>
      <c r="AO10791" s="10"/>
      <c r="AP10791" s="10"/>
      <c r="AQ10791" s="10"/>
      <c r="AR10791" s="10"/>
      <c r="AS10791" s="10"/>
      <c r="AT10791" s="10"/>
      <c r="AU10791" s="10"/>
      <c r="AV10791" s="10"/>
      <c r="AW10791" s="10"/>
      <c r="AX10791" s="10"/>
      <c r="AY10791" s="10"/>
      <c r="AZ10791" s="10"/>
    </row>
    <row r="10792" spans="31:52">
      <c r="AE10792" s="10"/>
      <c r="AF10792" s="10"/>
      <c r="AG10792" s="10"/>
      <c r="AH10792" s="10"/>
      <c r="AI10792" s="10"/>
      <c r="AJ10792" s="10"/>
      <c r="AK10792" s="10"/>
      <c r="AL10792" s="10"/>
      <c r="AM10792" s="10"/>
      <c r="AN10792" s="10"/>
      <c r="AO10792" s="10"/>
      <c r="AP10792" s="10"/>
      <c r="AQ10792" s="10"/>
      <c r="AR10792" s="10"/>
      <c r="AS10792" s="10"/>
      <c r="AT10792" s="10"/>
      <c r="AU10792" s="10"/>
      <c r="AV10792" s="10"/>
      <c r="AW10792" s="10"/>
      <c r="AX10792" s="10"/>
      <c r="AY10792" s="10"/>
      <c r="AZ10792" s="10"/>
    </row>
    <row r="10793" spans="31:52">
      <c r="AE10793" s="10"/>
      <c r="AF10793" s="10"/>
      <c r="AG10793" s="10"/>
      <c r="AH10793" s="10"/>
      <c r="AI10793" s="10"/>
      <c r="AJ10793" s="10"/>
      <c r="AK10793" s="10"/>
      <c r="AL10793" s="10"/>
      <c r="AM10793" s="10"/>
      <c r="AN10793" s="10"/>
      <c r="AO10793" s="10"/>
      <c r="AP10793" s="10"/>
      <c r="AQ10793" s="10"/>
      <c r="AR10793" s="10"/>
      <c r="AS10793" s="10"/>
      <c r="AT10793" s="10"/>
      <c r="AU10793" s="10"/>
      <c r="AV10793" s="10"/>
      <c r="AW10793" s="10"/>
      <c r="AX10793" s="10"/>
      <c r="AY10793" s="10"/>
      <c r="AZ10793" s="10"/>
    </row>
    <row r="10794" spans="31:52">
      <c r="AE10794" s="10"/>
      <c r="AF10794" s="10"/>
      <c r="AG10794" s="10"/>
      <c r="AH10794" s="10"/>
      <c r="AI10794" s="10"/>
      <c r="AJ10794" s="10"/>
      <c r="AK10794" s="10"/>
      <c r="AL10794" s="10"/>
      <c r="AM10794" s="10"/>
      <c r="AN10794" s="10"/>
      <c r="AO10794" s="10"/>
      <c r="AP10794" s="10"/>
      <c r="AQ10794" s="10"/>
      <c r="AR10794" s="10"/>
      <c r="AS10794" s="10"/>
      <c r="AT10794" s="10"/>
      <c r="AU10794" s="10"/>
      <c r="AV10794" s="10"/>
      <c r="AW10794" s="10"/>
      <c r="AX10794" s="10"/>
      <c r="AY10794" s="10"/>
      <c r="AZ10794" s="10"/>
    </row>
    <row r="10795" spans="31:52">
      <c r="AE10795" s="10"/>
      <c r="AF10795" s="10"/>
      <c r="AG10795" s="10"/>
      <c r="AH10795" s="10"/>
      <c r="AI10795" s="10"/>
      <c r="AJ10795" s="10"/>
      <c r="AK10795" s="10"/>
      <c r="AL10795" s="10"/>
      <c r="AM10795" s="10"/>
      <c r="AN10795" s="10"/>
      <c r="AO10795" s="10"/>
      <c r="AP10795" s="10"/>
      <c r="AQ10795" s="10"/>
      <c r="AR10795" s="10"/>
      <c r="AS10795" s="10"/>
      <c r="AT10795" s="10"/>
      <c r="AU10795" s="10"/>
      <c r="AV10795" s="10"/>
      <c r="AW10795" s="10"/>
      <c r="AX10795" s="10"/>
      <c r="AY10795" s="10"/>
      <c r="AZ10795" s="10"/>
    </row>
    <row r="10796" spans="31:52">
      <c r="AE10796" s="10"/>
      <c r="AF10796" s="10"/>
      <c r="AG10796" s="10"/>
      <c r="AH10796" s="10"/>
      <c r="AI10796" s="10"/>
      <c r="AJ10796" s="10"/>
      <c r="AK10796" s="10"/>
      <c r="AL10796" s="10"/>
      <c r="AM10796" s="10"/>
      <c r="AN10796" s="10"/>
      <c r="AO10796" s="10"/>
      <c r="AP10796" s="10"/>
      <c r="AQ10796" s="10"/>
      <c r="AR10796" s="10"/>
      <c r="AS10796" s="10"/>
      <c r="AT10796" s="10"/>
      <c r="AU10796" s="10"/>
      <c r="AV10796" s="10"/>
      <c r="AW10796" s="10"/>
      <c r="AX10796" s="10"/>
      <c r="AY10796" s="10"/>
      <c r="AZ10796" s="10"/>
    </row>
    <row r="10797" spans="31:52">
      <c r="AE10797" s="10"/>
      <c r="AF10797" s="10"/>
      <c r="AG10797" s="10"/>
      <c r="AH10797" s="10"/>
      <c r="AI10797" s="10"/>
      <c r="AJ10797" s="10"/>
      <c r="AK10797" s="10"/>
      <c r="AL10797" s="10"/>
      <c r="AM10797" s="10"/>
      <c r="AN10797" s="10"/>
      <c r="AO10797" s="10"/>
      <c r="AP10797" s="10"/>
      <c r="AQ10797" s="10"/>
      <c r="AR10797" s="10"/>
      <c r="AS10797" s="10"/>
      <c r="AT10797" s="10"/>
      <c r="AU10797" s="10"/>
      <c r="AV10797" s="10"/>
      <c r="AW10797" s="10"/>
      <c r="AX10797" s="10"/>
      <c r="AY10797" s="10"/>
      <c r="AZ10797" s="10"/>
    </row>
    <row r="10798" spans="31:52">
      <c r="AE10798" s="10"/>
      <c r="AF10798" s="10"/>
      <c r="AG10798" s="10"/>
      <c r="AH10798" s="10"/>
      <c r="AI10798" s="10"/>
      <c r="AJ10798" s="10"/>
      <c r="AK10798" s="10"/>
      <c r="AL10798" s="10"/>
      <c r="AM10798" s="10"/>
      <c r="AN10798" s="10"/>
      <c r="AO10798" s="10"/>
      <c r="AP10798" s="10"/>
      <c r="AQ10798" s="10"/>
      <c r="AR10798" s="10"/>
      <c r="AS10798" s="10"/>
      <c r="AT10798" s="10"/>
      <c r="AU10798" s="10"/>
      <c r="AV10798" s="10"/>
      <c r="AW10798" s="10"/>
      <c r="AX10798" s="10"/>
      <c r="AY10798" s="10"/>
      <c r="AZ10798" s="10"/>
    </row>
    <row r="10799" spans="31:52">
      <c r="AE10799" s="10"/>
      <c r="AF10799" s="10"/>
      <c r="AG10799" s="10"/>
      <c r="AH10799" s="10"/>
      <c r="AI10799" s="10"/>
      <c r="AJ10799" s="10"/>
      <c r="AK10799" s="10"/>
      <c r="AL10799" s="10"/>
      <c r="AM10799" s="10"/>
      <c r="AN10799" s="10"/>
      <c r="AO10799" s="10"/>
      <c r="AP10799" s="10"/>
      <c r="AQ10799" s="10"/>
      <c r="AR10799" s="10"/>
      <c r="AS10799" s="10"/>
      <c r="AT10799" s="10"/>
      <c r="AU10799" s="10"/>
      <c r="AV10799" s="10"/>
      <c r="AW10799" s="10"/>
      <c r="AX10799" s="10"/>
      <c r="AY10799" s="10"/>
      <c r="AZ10799" s="10"/>
    </row>
    <row r="10800" spans="31:52">
      <c r="AE10800" s="10"/>
      <c r="AF10800" s="10"/>
      <c r="AG10800" s="10"/>
      <c r="AH10800" s="10"/>
      <c r="AI10800" s="10"/>
      <c r="AJ10800" s="10"/>
      <c r="AK10800" s="10"/>
      <c r="AL10800" s="10"/>
      <c r="AM10800" s="10"/>
      <c r="AN10800" s="10"/>
      <c r="AO10800" s="10"/>
      <c r="AP10800" s="10"/>
      <c r="AQ10800" s="10"/>
      <c r="AR10800" s="10"/>
      <c r="AS10800" s="10"/>
      <c r="AT10800" s="10"/>
      <c r="AU10800" s="10"/>
      <c r="AV10800" s="10"/>
      <c r="AW10800" s="10"/>
      <c r="AX10800" s="10"/>
      <c r="AY10800" s="10"/>
      <c r="AZ10800" s="10"/>
    </row>
    <row r="10801" spans="31:52">
      <c r="AE10801" s="10"/>
      <c r="AF10801" s="10"/>
      <c r="AG10801" s="10"/>
      <c r="AH10801" s="10"/>
      <c r="AI10801" s="10"/>
      <c r="AJ10801" s="10"/>
      <c r="AK10801" s="10"/>
      <c r="AL10801" s="10"/>
      <c r="AM10801" s="10"/>
      <c r="AN10801" s="10"/>
      <c r="AO10801" s="10"/>
      <c r="AP10801" s="10"/>
      <c r="AQ10801" s="10"/>
      <c r="AR10801" s="10"/>
      <c r="AS10801" s="10"/>
      <c r="AT10801" s="10"/>
      <c r="AU10801" s="10"/>
      <c r="AV10801" s="10"/>
      <c r="AW10801" s="10"/>
      <c r="AX10801" s="10"/>
      <c r="AY10801" s="10"/>
      <c r="AZ10801" s="10"/>
    </row>
    <row r="10802" spans="31:52">
      <c r="AE10802" s="10"/>
      <c r="AF10802" s="10"/>
      <c r="AG10802" s="10"/>
      <c r="AH10802" s="10"/>
      <c r="AI10802" s="10"/>
      <c r="AJ10802" s="10"/>
      <c r="AK10802" s="10"/>
      <c r="AL10802" s="10"/>
      <c r="AM10802" s="10"/>
      <c r="AN10802" s="10"/>
      <c r="AO10802" s="10"/>
      <c r="AP10802" s="10"/>
      <c r="AQ10802" s="10"/>
      <c r="AR10802" s="10"/>
      <c r="AS10802" s="10"/>
      <c r="AT10802" s="10"/>
      <c r="AU10802" s="10"/>
      <c r="AV10802" s="10"/>
      <c r="AW10802" s="10"/>
      <c r="AX10802" s="10"/>
      <c r="AY10802" s="10"/>
      <c r="AZ10802" s="10"/>
    </row>
    <row r="10803" spans="31:52">
      <c r="AE10803" s="10"/>
      <c r="AF10803" s="10"/>
      <c r="AG10803" s="10"/>
      <c r="AH10803" s="10"/>
      <c r="AI10803" s="10"/>
      <c r="AJ10803" s="10"/>
      <c r="AK10803" s="10"/>
      <c r="AL10803" s="10"/>
      <c r="AM10803" s="10"/>
      <c r="AN10803" s="10"/>
      <c r="AO10803" s="10"/>
      <c r="AP10803" s="10"/>
      <c r="AQ10803" s="10"/>
      <c r="AR10803" s="10"/>
      <c r="AS10803" s="10"/>
      <c r="AT10803" s="10"/>
      <c r="AU10803" s="10"/>
      <c r="AV10803" s="10"/>
      <c r="AW10803" s="10"/>
      <c r="AX10803" s="10"/>
      <c r="AY10803" s="10"/>
      <c r="AZ10803" s="10"/>
    </row>
    <row r="10804" spans="31:52">
      <c r="AE10804" s="10"/>
      <c r="AF10804" s="10"/>
      <c r="AG10804" s="10"/>
      <c r="AH10804" s="10"/>
      <c r="AI10804" s="10"/>
      <c r="AJ10804" s="10"/>
      <c r="AK10804" s="10"/>
      <c r="AL10804" s="10"/>
      <c r="AM10804" s="10"/>
      <c r="AN10804" s="10"/>
      <c r="AO10804" s="10"/>
      <c r="AP10804" s="10"/>
      <c r="AQ10804" s="10"/>
      <c r="AR10804" s="10"/>
      <c r="AS10804" s="10"/>
      <c r="AT10804" s="10"/>
      <c r="AU10804" s="10"/>
      <c r="AV10804" s="10"/>
      <c r="AW10804" s="10"/>
      <c r="AX10804" s="10"/>
      <c r="AY10804" s="10"/>
      <c r="AZ10804" s="10"/>
    </row>
    <row r="10805" spans="31:52">
      <c r="AE10805" s="10"/>
      <c r="AF10805" s="10"/>
      <c r="AG10805" s="10"/>
      <c r="AH10805" s="10"/>
      <c r="AI10805" s="10"/>
      <c r="AJ10805" s="10"/>
      <c r="AK10805" s="10"/>
      <c r="AL10805" s="10"/>
      <c r="AM10805" s="10"/>
      <c r="AN10805" s="10"/>
      <c r="AO10805" s="10"/>
      <c r="AP10805" s="10"/>
      <c r="AQ10805" s="10"/>
      <c r="AR10805" s="10"/>
      <c r="AS10805" s="10"/>
      <c r="AT10805" s="10"/>
      <c r="AU10805" s="10"/>
      <c r="AV10805" s="10"/>
      <c r="AW10805" s="10"/>
      <c r="AX10805" s="10"/>
      <c r="AY10805" s="10"/>
      <c r="AZ10805" s="10"/>
    </row>
    <row r="10806" spans="31:52">
      <c r="AE10806" s="10"/>
      <c r="AF10806" s="10"/>
      <c r="AG10806" s="10"/>
      <c r="AH10806" s="10"/>
      <c r="AI10806" s="10"/>
      <c r="AJ10806" s="10"/>
      <c r="AK10806" s="10"/>
      <c r="AL10806" s="10"/>
      <c r="AM10806" s="10"/>
      <c r="AN10806" s="10"/>
      <c r="AO10806" s="10"/>
      <c r="AP10806" s="10"/>
      <c r="AQ10806" s="10"/>
      <c r="AR10806" s="10"/>
      <c r="AS10806" s="10"/>
      <c r="AT10806" s="10"/>
      <c r="AU10806" s="10"/>
      <c r="AV10806" s="10"/>
      <c r="AW10806" s="10"/>
      <c r="AX10806" s="10"/>
      <c r="AY10806" s="10"/>
      <c r="AZ10806" s="10"/>
    </row>
    <row r="10807" spans="31:52">
      <c r="AE10807" s="10"/>
      <c r="AF10807" s="10"/>
      <c r="AG10807" s="10"/>
      <c r="AH10807" s="10"/>
      <c r="AI10807" s="10"/>
      <c r="AJ10807" s="10"/>
      <c r="AK10807" s="10"/>
      <c r="AL10807" s="10"/>
      <c r="AM10807" s="10"/>
      <c r="AN10807" s="10"/>
      <c r="AO10807" s="10"/>
      <c r="AP10807" s="10"/>
      <c r="AQ10807" s="10"/>
      <c r="AR10807" s="10"/>
      <c r="AS10807" s="10"/>
      <c r="AT10807" s="10"/>
      <c r="AU10807" s="10"/>
      <c r="AV10807" s="10"/>
      <c r="AW10807" s="10"/>
      <c r="AX10807" s="10"/>
      <c r="AY10807" s="10"/>
      <c r="AZ10807" s="10"/>
    </row>
    <row r="10808" spans="31:52">
      <c r="AE10808" s="10"/>
      <c r="AF10808" s="10"/>
      <c r="AG10808" s="10"/>
      <c r="AH10808" s="10"/>
      <c r="AI10808" s="10"/>
      <c r="AJ10808" s="10"/>
      <c r="AK10808" s="10"/>
      <c r="AL10808" s="10"/>
      <c r="AM10808" s="10"/>
      <c r="AN10808" s="10"/>
      <c r="AO10808" s="10"/>
      <c r="AP10808" s="10"/>
      <c r="AQ10808" s="10"/>
      <c r="AR10808" s="10"/>
      <c r="AS10808" s="10"/>
      <c r="AT10808" s="10"/>
      <c r="AU10808" s="10"/>
      <c r="AV10808" s="10"/>
      <c r="AW10808" s="10"/>
      <c r="AX10808" s="10"/>
      <c r="AY10808" s="10"/>
      <c r="AZ10808" s="10"/>
    </row>
    <row r="10809" spans="31:52">
      <c r="AE10809" s="10"/>
      <c r="AF10809" s="10"/>
      <c r="AG10809" s="10"/>
      <c r="AH10809" s="10"/>
      <c r="AI10809" s="10"/>
      <c r="AJ10809" s="10"/>
      <c r="AK10809" s="10"/>
      <c r="AL10809" s="10"/>
      <c r="AM10809" s="10"/>
      <c r="AN10809" s="10"/>
      <c r="AO10809" s="10"/>
      <c r="AP10809" s="10"/>
      <c r="AQ10809" s="10"/>
      <c r="AR10809" s="10"/>
      <c r="AS10809" s="10"/>
      <c r="AT10809" s="10"/>
      <c r="AU10809" s="10"/>
      <c r="AV10809" s="10"/>
      <c r="AW10809" s="10"/>
      <c r="AX10809" s="10"/>
      <c r="AY10809" s="10"/>
      <c r="AZ10809" s="10"/>
    </row>
    <row r="10810" spans="31:52">
      <c r="AE10810" s="10"/>
      <c r="AF10810" s="10"/>
      <c r="AG10810" s="10"/>
      <c r="AH10810" s="10"/>
      <c r="AI10810" s="10"/>
      <c r="AJ10810" s="10"/>
      <c r="AK10810" s="10"/>
      <c r="AL10810" s="10"/>
      <c r="AM10810" s="10"/>
      <c r="AN10810" s="10"/>
      <c r="AO10810" s="10"/>
      <c r="AP10810" s="10"/>
      <c r="AQ10810" s="10"/>
      <c r="AR10810" s="10"/>
      <c r="AS10810" s="10"/>
      <c r="AT10810" s="10"/>
      <c r="AU10810" s="10"/>
      <c r="AV10810" s="10"/>
      <c r="AW10810" s="10"/>
      <c r="AX10810" s="10"/>
      <c r="AY10810" s="10"/>
      <c r="AZ10810" s="10"/>
    </row>
    <row r="10811" spans="31:52">
      <c r="AE10811" s="10"/>
      <c r="AF10811" s="10"/>
      <c r="AG10811" s="10"/>
      <c r="AH10811" s="10"/>
      <c r="AI10811" s="10"/>
      <c r="AJ10811" s="10"/>
      <c r="AK10811" s="10"/>
      <c r="AL10811" s="10"/>
      <c r="AM10811" s="10"/>
      <c r="AN10811" s="10"/>
      <c r="AO10811" s="10"/>
      <c r="AP10811" s="10"/>
      <c r="AQ10811" s="10"/>
      <c r="AR10811" s="10"/>
      <c r="AS10811" s="10"/>
      <c r="AT10811" s="10"/>
      <c r="AU10811" s="10"/>
      <c r="AV10811" s="10"/>
      <c r="AW10811" s="10"/>
      <c r="AX10811" s="10"/>
      <c r="AY10811" s="10"/>
      <c r="AZ10811" s="10"/>
    </row>
    <row r="10812" spans="31:52">
      <c r="AE10812" s="10"/>
      <c r="AF10812" s="10"/>
      <c r="AG10812" s="10"/>
      <c r="AH10812" s="10"/>
      <c r="AI10812" s="10"/>
      <c r="AJ10812" s="10"/>
      <c r="AK10812" s="10"/>
      <c r="AL10812" s="10"/>
      <c r="AM10812" s="10"/>
      <c r="AN10812" s="10"/>
      <c r="AO10812" s="10"/>
      <c r="AP10812" s="10"/>
      <c r="AQ10812" s="10"/>
      <c r="AR10812" s="10"/>
      <c r="AS10812" s="10"/>
      <c r="AT10812" s="10"/>
      <c r="AU10812" s="10"/>
      <c r="AV10812" s="10"/>
      <c r="AW10812" s="10"/>
      <c r="AX10812" s="10"/>
      <c r="AY10812" s="10"/>
      <c r="AZ10812" s="10"/>
    </row>
    <row r="10813" spans="31:52">
      <c r="AE10813" s="10"/>
      <c r="AF10813" s="10"/>
      <c r="AG10813" s="10"/>
      <c r="AH10813" s="10"/>
      <c r="AI10813" s="10"/>
      <c r="AJ10813" s="10"/>
      <c r="AK10813" s="10"/>
      <c r="AL10813" s="10"/>
      <c r="AM10813" s="10"/>
      <c r="AN10813" s="10"/>
      <c r="AO10813" s="10"/>
      <c r="AP10813" s="10"/>
      <c r="AQ10813" s="10"/>
      <c r="AR10813" s="10"/>
      <c r="AS10813" s="10"/>
      <c r="AT10813" s="10"/>
      <c r="AU10813" s="10"/>
      <c r="AV10813" s="10"/>
      <c r="AW10813" s="10"/>
      <c r="AX10813" s="10"/>
      <c r="AY10813" s="10"/>
      <c r="AZ10813" s="10"/>
    </row>
    <row r="10814" spans="31:52">
      <c r="AE10814" s="10"/>
      <c r="AF10814" s="10"/>
      <c r="AG10814" s="10"/>
      <c r="AH10814" s="10"/>
      <c r="AI10814" s="10"/>
      <c r="AJ10814" s="10"/>
      <c r="AK10814" s="10"/>
      <c r="AL10814" s="10"/>
      <c r="AM10814" s="10"/>
      <c r="AN10814" s="10"/>
      <c r="AO10814" s="10"/>
      <c r="AP10814" s="10"/>
      <c r="AQ10814" s="10"/>
      <c r="AR10814" s="10"/>
      <c r="AS10814" s="10"/>
      <c r="AT10814" s="10"/>
      <c r="AU10814" s="10"/>
      <c r="AV10814" s="10"/>
      <c r="AW10814" s="10"/>
      <c r="AX10814" s="10"/>
      <c r="AY10814" s="10"/>
      <c r="AZ10814" s="10"/>
    </row>
    <row r="10815" spans="31:52">
      <c r="AE10815" s="10"/>
      <c r="AF10815" s="10"/>
      <c r="AG10815" s="10"/>
      <c r="AH10815" s="10"/>
      <c r="AI10815" s="10"/>
      <c r="AJ10815" s="10"/>
      <c r="AK10815" s="10"/>
      <c r="AL10815" s="10"/>
      <c r="AM10815" s="10"/>
      <c r="AN10815" s="10"/>
      <c r="AO10815" s="10"/>
      <c r="AP10815" s="10"/>
      <c r="AQ10815" s="10"/>
      <c r="AR10815" s="10"/>
      <c r="AS10815" s="10"/>
      <c r="AT10815" s="10"/>
      <c r="AU10815" s="10"/>
      <c r="AV10815" s="10"/>
      <c r="AW10815" s="10"/>
      <c r="AX10815" s="10"/>
      <c r="AY10815" s="10"/>
      <c r="AZ10815" s="10"/>
    </row>
    <row r="10816" spans="31:52">
      <c r="AE10816" s="10"/>
      <c r="AF10816" s="10"/>
      <c r="AG10816" s="10"/>
      <c r="AH10816" s="10"/>
      <c r="AI10816" s="10"/>
      <c r="AJ10816" s="10"/>
      <c r="AK10816" s="10"/>
      <c r="AL10816" s="10"/>
      <c r="AM10816" s="10"/>
      <c r="AN10816" s="10"/>
      <c r="AO10816" s="10"/>
      <c r="AP10816" s="10"/>
      <c r="AQ10816" s="10"/>
      <c r="AR10816" s="10"/>
      <c r="AS10816" s="10"/>
      <c r="AT10816" s="10"/>
      <c r="AU10816" s="10"/>
      <c r="AV10816" s="10"/>
      <c r="AW10816" s="10"/>
      <c r="AX10816" s="10"/>
      <c r="AY10816" s="10"/>
      <c r="AZ10816" s="10"/>
    </row>
    <row r="10817" spans="31:52">
      <c r="AE10817" s="10"/>
      <c r="AF10817" s="10"/>
      <c r="AG10817" s="10"/>
      <c r="AH10817" s="10"/>
      <c r="AI10817" s="10"/>
      <c r="AJ10817" s="10"/>
      <c r="AK10817" s="10"/>
      <c r="AL10817" s="10"/>
      <c r="AM10817" s="10"/>
      <c r="AN10817" s="10"/>
      <c r="AO10817" s="10"/>
      <c r="AP10817" s="10"/>
      <c r="AQ10817" s="10"/>
      <c r="AR10817" s="10"/>
      <c r="AS10817" s="10"/>
      <c r="AT10817" s="10"/>
      <c r="AU10817" s="10"/>
      <c r="AV10817" s="10"/>
      <c r="AW10817" s="10"/>
      <c r="AX10817" s="10"/>
      <c r="AY10817" s="10"/>
      <c r="AZ10817" s="10"/>
    </row>
    <row r="10818" spans="31:52">
      <c r="AE10818" s="10"/>
      <c r="AF10818" s="10"/>
      <c r="AG10818" s="10"/>
      <c r="AH10818" s="10"/>
      <c r="AI10818" s="10"/>
      <c r="AJ10818" s="10"/>
      <c r="AK10818" s="10"/>
      <c r="AL10818" s="10"/>
      <c r="AM10818" s="10"/>
      <c r="AN10818" s="10"/>
      <c r="AO10818" s="10"/>
      <c r="AP10818" s="10"/>
      <c r="AQ10818" s="10"/>
      <c r="AR10818" s="10"/>
      <c r="AS10818" s="10"/>
      <c r="AT10818" s="10"/>
      <c r="AU10818" s="10"/>
      <c r="AV10818" s="10"/>
      <c r="AW10818" s="10"/>
      <c r="AX10818" s="10"/>
      <c r="AY10818" s="10"/>
      <c r="AZ10818" s="10"/>
    </row>
    <row r="10819" spans="31:52">
      <c r="AE10819" s="10"/>
      <c r="AF10819" s="10"/>
      <c r="AG10819" s="10"/>
      <c r="AH10819" s="10"/>
      <c r="AI10819" s="10"/>
      <c r="AJ10819" s="10"/>
      <c r="AK10819" s="10"/>
      <c r="AL10819" s="10"/>
      <c r="AM10819" s="10"/>
      <c r="AN10819" s="10"/>
      <c r="AO10819" s="10"/>
      <c r="AP10819" s="10"/>
      <c r="AQ10819" s="10"/>
      <c r="AR10819" s="10"/>
      <c r="AS10819" s="10"/>
      <c r="AT10819" s="10"/>
      <c r="AU10819" s="10"/>
      <c r="AV10819" s="10"/>
      <c r="AW10819" s="10"/>
      <c r="AX10819" s="10"/>
      <c r="AY10819" s="10"/>
      <c r="AZ10819" s="10"/>
    </row>
    <row r="10820" spans="31:52">
      <c r="AE10820" s="10"/>
      <c r="AF10820" s="10"/>
      <c r="AG10820" s="10"/>
      <c r="AH10820" s="10"/>
      <c r="AI10820" s="10"/>
      <c r="AJ10820" s="10"/>
      <c r="AK10820" s="10"/>
      <c r="AL10820" s="10"/>
      <c r="AM10820" s="10"/>
      <c r="AN10820" s="10"/>
      <c r="AO10820" s="10"/>
      <c r="AP10820" s="10"/>
      <c r="AQ10820" s="10"/>
      <c r="AR10820" s="10"/>
      <c r="AS10820" s="10"/>
      <c r="AT10820" s="10"/>
      <c r="AU10820" s="10"/>
      <c r="AV10820" s="10"/>
      <c r="AW10820" s="10"/>
      <c r="AX10820" s="10"/>
      <c r="AY10820" s="10"/>
      <c r="AZ10820" s="10"/>
    </row>
    <row r="10821" spans="31:52">
      <c r="AE10821" s="10"/>
      <c r="AF10821" s="10"/>
      <c r="AG10821" s="10"/>
      <c r="AH10821" s="10"/>
      <c r="AI10821" s="10"/>
      <c r="AJ10821" s="10"/>
      <c r="AK10821" s="10"/>
      <c r="AL10821" s="10"/>
      <c r="AM10821" s="10"/>
      <c r="AN10821" s="10"/>
      <c r="AO10821" s="10"/>
      <c r="AP10821" s="10"/>
      <c r="AQ10821" s="10"/>
      <c r="AR10821" s="10"/>
      <c r="AS10821" s="10"/>
      <c r="AT10821" s="10"/>
      <c r="AU10821" s="10"/>
      <c r="AV10821" s="10"/>
      <c r="AW10821" s="10"/>
      <c r="AX10821" s="10"/>
      <c r="AY10821" s="10"/>
      <c r="AZ10821" s="10"/>
    </row>
    <row r="10822" spans="31:52">
      <c r="AE10822" s="10"/>
      <c r="AF10822" s="10"/>
      <c r="AG10822" s="10"/>
      <c r="AH10822" s="10"/>
      <c r="AI10822" s="10"/>
      <c r="AJ10822" s="10"/>
      <c r="AK10822" s="10"/>
      <c r="AL10822" s="10"/>
      <c r="AM10822" s="10"/>
      <c r="AN10822" s="10"/>
      <c r="AO10822" s="10"/>
      <c r="AP10822" s="10"/>
      <c r="AQ10822" s="10"/>
      <c r="AR10822" s="10"/>
      <c r="AS10822" s="10"/>
      <c r="AT10822" s="10"/>
      <c r="AU10822" s="10"/>
      <c r="AV10822" s="10"/>
      <c r="AW10822" s="10"/>
      <c r="AX10822" s="10"/>
      <c r="AY10822" s="10"/>
      <c r="AZ10822" s="10"/>
    </row>
    <row r="10823" spans="31:52">
      <c r="AE10823" s="10"/>
      <c r="AF10823" s="10"/>
      <c r="AG10823" s="10"/>
      <c r="AH10823" s="10"/>
      <c r="AI10823" s="10"/>
      <c r="AJ10823" s="10"/>
      <c r="AK10823" s="10"/>
      <c r="AL10823" s="10"/>
      <c r="AM10823" s="10"/>
      <c r="AN10823" s="10"/>
      <c r="AO10823" s="10"/>
      <c r="AP10823" s="10"/>
      <c r="AQ10823" s="10"/>
      <c r="AR10823" s="10"/>
      <c r="AS10823" s="10"/>
      <c r="AT10823" s="10"/>
      <c r="AU10823" s="10"/>
      <c r="AV10823" s="10"/>
      <c r="AW10823" s="10"/>
      <c r="AX10823" s="10"/>
      <c r="AY10823" s="10"/>
      <c r="AZ10823" s="10"/>
    </row>
    <row r="10824" spans="31:52">
      <c r="AE10824" s="10"/>
      <c r="AF10824" s="10"/>
      <c r="AG10824" s="10"/>
      <c r="AH10824" s="10"/>
      <c r="AI10824" s="10"/>
      <c r="AJ10824" s="10"/>
      <c r="AK10824" s="10"/>
      <c r="AL10824" s="10"/>
      <c r="AM10824" s="10"/>
      <c r="AN10824" s="10"/>
      <c r="AO10824" s="10"/>
      <c r="AP10824" s="10"/>
      <c r="AQ10824" s="10"/>
      <c r="AR10824" s="10"/>
      <c r="AS10824" s="10"/>
      <c r="AT10824" s="10"/>
      <c r="AU10824" s="10"/>
      <c r="AV10824" s="10"/>
      <c r="AW10824" s="10"/>
      <c r="AX10824" s="10"/>
      <c r="AY10824" s="10"/>
      <c r="AZ10824" s="10"/>
    </row>
    <row r="10825" spans="31:52">
      <c r="AE10825" s="10"/>
      <c r="AF10825" s="10"/>
      <c r="AG10825" s="10"/>
      <c r="AH10825" s="10"/>
      <c r="AI10825" s="10"/>
      <c r="AJ10825" s="10"/>
      <c r="AK10825" s="10"/>
      <c r="AL10825" s="10"/>
      <c r="AM10825" s="10"/>
      <c r="AN10825" s="10"/>
      <c r="AO10825" s="10"/>
      <c r="AP10825" s="10"/>
      <c r="AQ10825" s="10"/>
      <c r="AR10825" s="10"/>
      <c r="AS10825" s="10"/>
      <c r="AT10825" s="10"/>
      <c r="AU10825" s="10"/>
      <c r="AV10825" s="10"/>
      <c r="AW10825" s="10"/>
      <c r="AX10825" s="10"/>
      <c r="AY10825" s="10"/>
      <c r="AZ10825" s="10"/>
    </row>
    <row r="10826" spans="31:52">
      <c r="AE10826" s="10"/>
      <c r="AF10826" s="10"/>
      <c r="AG10826" s="10"/>
      <c r="AH10826" s="10"/>
      <c r="AI10826" s="10"/>
      <c r="AJ10826" s="10"/>
      <c r="AK10826" s="10"/>
      <c r="AL10826" s="10"/>
      <c r="AM10826" s="10"/>
      <c r="AN10826" s="10"/>
      <c r="AO10826" s="10"/>
      <c r="AP10826" s="10"/>
      <c r="AQ10826" s="10"/>
      <c r="AR10826" s="10"/>
      <c r="AS10826" s="10"/>
      <c r="AT10826" s="10"/>
      <c r="AU10826" s="10"/>
      <c r="AV10826" s="10"/>
      <c r="AW10826" s="10"/>
      <c r="AX10826" s="10"/>
      <c r="AY10826" s="10"/>
      <c r="AZ10826" s="10"/>
    </row>
    <row r="10827" spans="31:52">
      <c r="AE10827" s="10"/>
      <c r="AF10827" s="10"/>
      <c r="AG10827" s="10"/>
      <c r="AH10827" s="10"/>
      <c r="AI10827" s="10"/>
      <c r="AJ10827" s="10"/>
      <c r="AK10827" s="10"/>
      <c r="AL10827" s="10"/>
      <c r="AM10827" s="10"/>
      <c r="AN10827" s="10"/>
      <c r="AO10827" s="10"/>
      <c r="AP10827" s="10"/>
      <c r="AQ10827" s="10"/>
      <c r="AR10827" s="10"/>
      <c r="AS10827" s="10"/>
      <c r="AT10827" s="10"/>
      <c r="AU10827" s="10"/>
      <c r="AV10827" s="10"/>
      <c r="AW10827" s="10"/>
      <c r="AX10827" s="10"/>
      <c r="AY10827" s="10"/>
      <c r="AZ10827" s="10"/>
    </row>
    <row r="10828" spans="31:52">
      <c r="AE10828" s="10"/>
      <c r="AF10828" s="10"/>
      <c r="AG10828" s="10"/>
      <c r="AH10828" s="10"/>
      <c r="AI10828" s="10"/>
      <c r="AJ10828" s="10"/>
      <c r="AK10828" s="10"/>
      <c r="AL10828" s="10"/>
      <c r="AM10828" s="10"/>
      <c r="AN10828" s="10"/>
      <c r="AO10828" s="10"/>
      <c r="AP10828" s="10"/>
      <c r="AQ10828" s="10"/>
      <c r="AR10828" s="10"/>
      <c r="AS10828" s="10"/>
      <c r="AT10828" s="10"/>
      <c r="AU10828" s="10"/>
      <c r="AV10828" s="10"/>
      <c r="AW10828" s="10"/>
      <c r="AX10828" s="10"/>
      <c r="AY10828" s="10"/>
      <c r="AZ10828" s="10"/>
    </row>
    <row r="10829" spans="31:52">
      <c r="AE10829" s="10"/>
      <c r="AF10829" s="10"/>
      <c r="AG10829" s="10"/>
      <c r="AH10829" s="10"/>
      <c r="AI10829" s="10"/>
      <c r="AJ10829" s="10"/>
      <c r="AK10829" s="10"/>
      <c r="AL10829" s="10"/>
      <c r="AM10829" s="10"/>
      <c r="AN10829" s="10"/>
      <c r="AO10829" s="10"/>
      <c r="AP10829" s="10"/>
      <c r="AQ10829" s="10"/>
      <c r="AR10829" s="10"/>
      <c r="AS10829" s="10"/>
      <c r="AT10829" s="10"/>
      <c r="AU10829" s="10"/>
      <c r="AV10829" s="10"/>
      <c r="AW10829" s="10"/>
      <c r="AX10829" s="10"/>
      <c r="AY10829" s="10"/>
      <c r="AZ10829" s="10"/>
    </row>
    <row r="10830" spans="31:52">
      <c r="AE10830" s="10"/>
      <c r="AF10830" s="10"/>
      <c r="AG10830" s="10"/>
      <c r="AH10830" s="10"/>
      <c r="AI10830" s="10"/>
      <c r="AJ10830" s="10"/>
      <c r="AK10830" s="10"/>
      <c r="AL10830" s="10"/>
      <c r="AM10830" s="10"/>
      <c r="AN10830" s="10"/>
      <c r="AO10830" s="10"/>
      <c r="AP10830" s="10"/>
      <c r="AQ10830" s="10"/>
      <c r="AR10830" s="10"/>
      <c r="AS10830" s="10"/>
      <c r="AT10830" s="10"/>
      <c r="AU10830" s="10"/>
      <c r="AV10830" s="10"/>
      <c r="AW10830" s="10"/>
      <c r="AX10830" s="10"/>
      <c r="AY10830" s="10"/>
      <c r="AZ10830" s="10"/>
    </row>
    <row r="10831" spans="31:52">
      <c r="AE10831" s="10"/>
      <c r="AF10831" s="10"/>
      <c r="AG10831" s="10"/>
      <c r="AH10831" s="10"/>
      <c r="AI10831" s="10"/>
      <c r="AJ10831" s="10"/>
      <c r="AK10831" s="10"/>
      <c r="AL10831" s="10"/>
      <c r="AM10831" s="10"/>
      <c r="AN10831" s="10"/>
      <c r="AO10831" s="10"/>
      <c r="AP10831" s="10"/>
      <c r="AQ10831" s="10"/>
      <c r="AR10831" s="10"/>
      <c r="AS10831" s="10"/>
      <c r="AT10831" s="10"/>
      <c r="AU10831" s="10"/>
      <c r="AV10831" s="10"/>
      <c r="AW10831" s="10"/>
      <c r="AX10831" s="10"/>
      <c r="AY10831" s="10"/>
      <c r="AZ10831" s="10"/>
    </row>
    <row r="10832" spans="31:52">
      <c r="AE10832" s="10"/>
      <c r="AF10832" s="10"/>
      <c r="AG10832" s="10"/>
      <c r="AH10832" s="10"/>
      <c r="AI10832" s="10"/>
      <c r="AJ10832" s="10"/>
      <c r="AK10832" s="10"/>
      <c r="AL10832" s="10"/>
      <c r="AM10832" s="10"/>
      <c r="AN10832" s="10"/>
      <c r="AO10832" s="10"/>
      <c r="AP10832" s="10"/>
      <c r="AQ10832" s="10"/>
      <c r="AR10832" s="10"/>
      <c r="AS10832" s="10"/>
      <c r="AT10832" s="10"/>
      <c r="AU10832" s="10"/>
      <c r="AV10832" s="10"/>
      <c r="AW10832" s="10"/>
      <c r="AX10832" s="10"/>
      <c r="AY10832" s="10"/>
      <c r="AZ10832" s="10"/>
    </row>
    <row r="10833" spans="31:52">
      <c r="AE10833" s="10"/>
      <c r="AF10833" s="10"/>
      <c r="AG10833" s="10"/>
      <c r="AH10833" s="10"/>
      <c r="AI10833" s="10"/>
      <c r="AJ10833" s="10"/>
      <c r="AK10833" s="10"/>
      <c r="AL10833" s="10"/>
      <c r="AM10833" s="10"/>
      <c r="AN10833" s="10"/>
      <c r="AO10833" s="10"/>
      <c r="AP10833" s="10"/>
      <c r="AQ10833" s="10"/>
      <c r="AR10833" s="10"/>
      <c r="AS10833" s="10"/>
      <c r="AT10833" s="10"/>
      <c r="AU10833" s="10"/>
      <c r="AV10833" s="10"/>
      <c r="AW10833" s="10"/>
      <c r="AX10833" s="10"/>
      <c r="AY10833" s="10"/>
      <c r="AZ10833" s="10"/>
    </row>
    <row r="10834" spans="31:52">
      <c r="AE10834" s="10"/>
      <c r="AF10834" s="10"/>
      <c r="AG10834" s="10"/>
      <c r="AH10834" s="10"/>
      <c r="AI10834" s="10"/>
      <c r="AJ10834" s="10"/>
      <c r="AK10834" s="10"/>
      <c r="AL10834" s="10"/>
      <c r="AM10834" s="10"/>
      <c r="AN10834" s="10"/>
      <c r="AO10834" s="10"/>
      <c r="AP10834" s="10"/>
      <c r="AQ10834" s="10"/>
      <c r="AR10834" s="10"/>
      <c r="AS10834" s="10"/>
      <c r="AT10834" s="10"/>
      <c r="AU10834" s="10"/>
      <c r="AV10834" s="10"/>
      <c r="AW10834" s="10"/>
      <c r="AX10834" s="10"/>
      <c r="AY10834" s="10"/>
      <c r="AZ10834" s="10"/>
    </row>
    <row r="10835" spans="31:52">
      <c r="AE10835" s="10"/>
      <c r="AF10835" s="10"/>
      <c r="AG10835" s="10"/>
      <c r="AH10835" s="10"/>
      <c r="AI10835" s="10"/>
      <c r="AJ10835" s="10"/>
      <c r="AK10835" s="10"/>
      <c r="AL10835" s="10"/>
      <c r="AM10835" s="10"/>
      <c r="AN10835" s="10"/>
      <c r="AO10835" s="10"/>
      <c r="AP10835" s="10"/>
      <c r="AQ10835" s="10"/>
      <c r="AR10835" s="10"/>
      <c r="AS10835" s="10"/>
      <c r="AT10835" s="10"/>
      <c r="AU10835" s="10"/>
      <c r="AV10835" s="10"/>
      <c r="AW10835" s="10"/>
      <c r="AX10835" s="10"/>
      <c r="AY10835" s="10"/>
      <c r="AZ10835" s="10"/>
    </row>
    <row r="10836" spans="31:52">
      <c r="AE10836" s="10"/>
      <c r="AF10836" s="10"/>
      <c r="AG10836" s="10"/>
      <c r="AH10836" s="10"/>
      <c r="AI10836" s="10"/>
      <c r="AJ10836" s="10"/>
      <c r="AK10836" s="10"/>
      <c r="AL10836" s="10"/>
      <c r="AM10836" s="10"/>
      <c r="AN10836" s="10"/>
      <c r="AO10836" s="10"/>
      <c r="AP10836" s="10"/>
      <c r="AQ10836" s="10"/>
      <c r="AR10836" s="10"/>
      <c r="AS10836" s="10"/>
      <c r="AT10836" s="10"/>
      <c r="AU10836" s="10"/>
      <c r="AV10836" s="10"/>
      <c r="AW10836" s="10"/>
      <c r="AX10836" s="10"/>
      <c r="AY10836" s="10"/>
      <c r="AZ10836" s="10"/>
    </row>
    <row r="10837" spans="31:52">
      <c r="AE10837" s="10"/>
      <c r="AF10837" s="10"/>
      <c r="AG10837" s="10"/>
      <c r="AH10837" s="10"/>
      <c r="AI10837" s="10"/>
      <c r="AJ10837" s="10"/>
      <c r="AK10837" s="10"/>
      <c r="AL10837" s="10"/>
      <c r="AM10837" s="10"/>
      <c r="AN10837" s="10"/>
      <c r="AO10837" s="10"/>
      <c r="AP10837" s="10"/>
      <c r="AQ10837" s="10"/>
      <c r="AR10837" s="10"/>
      <c r="AS10837" s="10"/>
      <c r="AT10837" s="10"/>
      <c r="AU10837" s="10"/>
      <c r="AV10837" s="10"/>
      <c r="AW10837" s="10"/>
      <c r="AX10837" s="10"/>
      <c r="AY10837" s="10"/>
      <c r="AZ10837" s="10"/>
    </row>
    <row r="10838" spans="31:52">
      <c r="AE10838" s="10"/>
      <c r="AF10838" s="10"/>
      <c r="AG10838" s="10"/>
      <c r="AH10838" s="10"/>
      <c r="AI10838" s="10"/>
      <c r="AJ10838" s="10"/>
      <c r="AK10838" s="10"/>
      <c r="AL10838" s="10"/>
      <c r="AM10838" s="10"/>
      <c r="AN10838" s="10"/>
      <c r="AO10838" s="10"/>
      <c r="AP10838" s="10"/>
      <c r="AQ10838" s="10"/>
      <c r="AR10838" s="10"/>
      <c r="AS10838" s="10"/>
      <c r="AT10838" s="10"/>
      <c r="AU10838" s="10"/>
      <c r="AV10838" s="10"/>
      <c r="AW10838" s="10"/>
      <c r="AX10838" s="10"/>
      <c r="AY10838" s="10"/>
      <c r="AZ10838" s="10"/>
    </row>
    <row r="10839" spans="31:52">
      <c r="AE10839" s="10"/>
      <c r="AF10839" s="10"/>
      <c r="AG10839" s="10"/>
      <c r="AH10839" s="10"/>
      <c r="AI10839" s="10"/>
      <c r="AJ10839" s="10"/>
      <c r="AK10839" s="10"/>
      <c r="AL10839" s="10"/>
      <c r="AM10839" s="10"/>
      <c r="AN10839" s="10"/>
      <c r="AO10839" s="10"/>
      <c r="AP10839" s="10"/>
      <c r="AQ10839" s="10"/>
      <c r="AR10839" s="10"/>
      <c r="AS10839" s="10"/>
      <c r="AT10839" s="10"/>
      <c r="AU10839" s="10"/>
      <c r="AV10839" s="10"/>
      <c r="AW10839" s="10"/>
      <c r="AX10839" s="10"/>
      <c r="AY10839" s="10"/>
      <c r="AZ10839" s="10"/>
    </row>
    <row r="10840" spans="31:52">
      <c r="AE10840" s="10"/>
      <c r="AF10840" s="10"/>
      <c r="AG10840" s="10"/>
      <c r="AH10840" s="10"/>
      <c r="AI10840" s="10"/>
      <c r="AJ10840" s="10"/>
      <c r="AK10840" s="10"/>
      <c r="AL10840" s="10"/>
      <c r="AM10840" s="10"/>
      <c r="AN10840" s="10"/>
      <c r="AO10840" s="10"/>
      <c r="AP10840" s="10"/>
      <c r="AQ10840" s="10"/>
      <c r="AR10840" s="10"/>
      <c r="AS10840" s="10"/>
      <c r="AT10840" s="10"/>
      <c r="AU10840" s="10"/>
      <c r="AV10840" s="10"/>
      <c r="AW10840" s="10"/>
      <c r="AX10840" s="10"/>
      <c r="AY10840" s="10"/>
      <c r="AZ10840" s="10"/>
    </row>
    <row r="10841" spans="31:52">
      <c r="AE10841" s="10"/>
      <c r="AF10841" s="10"/>
      <c r="AG10841" s="10"/>
      <c r="AH10841" s="10"/>
      <c r="AI10841" s="10"/>
      <c r="AJ10841" s="10"/>
      <c r="AK10841" s="10"/>
      <c r="AL10841" s="10"/>
      <c r="AM10841" s="10"/>
      <c r="AN10841" s="10"/>
      <c r="AO10841" s="10"/>
      <c r="AP10841" s="10"/>
      <c r="AQ10841" s="10"/>
      <c r="AR10841" s="10"/>
      <c r="AS10841" s="10"/>
      <c r="AT10841" s="10"/>
      <c r="AU10841" s="10"/>
      <c r="AV10841" s="10"/>
      <c r="AW10841" s="10"/>
      <c r="AX10841" s="10"/>
      <c r="AY10841" s="10"/>
      <c r="AZ10841" s="10"/>
    </row>
    <row r="10842" spans="31:52">
      <c r="AE10842" s="10"/>
      <c r="AF10842" s="10"/>
      <c r="AG10842" s="10"/>
      <c r="AH10842" s="10"/>
      <c r="AI10842" s="10"/>
      <c r="AJ10842" s="10"/>
      <c r="AK10842" s="10"/>
      <c r="AL10842" s="10"/>
      <c r="AM10842" s="10"/>
      <c r="AN10842" s="10"/>
      <c r="AO10842" s="10"/>
      <c r="AP10842" s="10"/>
      <c r="AQ10842" s="10"/>
      <c r="AR10842" s="10"/>
      <c r="AS10842" s="10"/>
      <c r="AT10842" s="10"/>
      <c r="AU10842" s="10"/>
      <c r="AV10842" s="10"/>
      <c r="AW10842" s="10"/>
      <c r="AX10842" s="10"/>
      <c r="AY10842" s="10"/>
      <c r="AZ10842" s="10"/>
    </row>
    <row r="10843" spans="31:52">
      <c r="AE10843" s="10"/>
      <c r="AF10843" s="10"/>
      <c r="AG10843" s="10"/>
      <c r="AH10843" s="10"/>
      <c r="AI10843" s="10"/>
      <c r="AJ10843" s="10"/>
      <c r="AK10843" s="10"/>
      <c r="AL10843" s="10"/>
      <c r="AM10843" s="10"/>
      <c r="AN10843" s="10"/>
      <c r="AO10843" s="10"/>
      <c r="AP10843" s="10"/>
      <c r="AQ10843" s="10"/>
      <c r="AR10843" s="10"/>
      <c r="AS10843" s="10"/>
      <c r="AT10843" s="10"/>
      <c r="AU10843" s="10"/>
      <c r="AV10843" s="10"/>
      <c r="AW10843" s="10"/>
      <c r="AX10843" s="10"/>
      <c r="AY10843" s="10"/>
      <c r="AZ10843" s="10"/>
    </row>
    <row r="10844" spans="31:52">
      <c r="AE10844" s="10"/>
      <c r="AF10844" s="10"/>
      <c r="AG10844" s="10"/>
      <c r="AH10844" s="10"/>
      <c r="AI10844" s="10"/>
      <c r="AJ10844" s="10"/>
      <c r="AK10844" s="10"/>
      <c r="AL10844" s="10"/>
      <c r="AM10844" s="10"/>
      <c r="AN10844" s="10"/>
      <c r="AO10844" s="10"/>
      <c r="AP10844" s="10"/>
      <c r="AQ10844" s="10"/>
      <c r="AR10844" s="10"/>
      <c r="AS10844" s="10"/>
      <c r="AT10844" s="10"/>
      <c r="AU10844" s="10"/>
      <c r="AV10844" s="10"/>
      <c r="AW10844" s="10"/>
      <c r="AX10844" s="10"/>
      <c r="AY10844" s="10"/>
      <c r="AZ10844" s="10"/>
    </row>
    <row r="10845" spans="31:52">
      <c r="AE10845" s="10"/>
      <c r="AF10845" s="10"/>
      <c r="AG10845" s="10"/>
      <c r="AH10845" s="10"/>
      <c r="AI10845" s="10"/>
      <c r="AJ10845" s="10"/>
      <c r="AK10845" s="10"/>
      <c r="AL10845" s="10"/>
      <c r="AM10845" s="10"/>
      <c r="AN10845" s="10"/>
      <c r="AO10845" s="10"/>
      <c r="AP10845" s="10"/>
      <c r="AQ10845" s="10"/>
      <c r="AR10845" s="10"/>
      <c r="AS10845" s="10"/>
      <c r="AT10845" s="10"/>
      <c r="AU10845" s="10"/>
      <c r="AV10845" s="10"/>
      <c r="AW10845" s="10"/>
      <c r="AX10845" s="10"/>
      <c r="AY10845" s="10"/>
      <c r="AZ10845" s="10"/>
    </row>
    <row r="10846" spans="31:52">
      <c r="AE10846" s="10"/>
      <c r="AF10846" s="10"/>
      <c r="AG10846" s="10"/>
      <c r="AH10846" s="10"/>
      <c r="AI10846" s="10"/>
      <c r="AJ10846" s="10"/>
      <c r="AK10846" s="10"/>
      <c r="AL10846" s="10"/>
      <c r="AM10846" s="10"/>
      <c r="AN10846" s="10"/>
      <c r="AO10846" s="10"/>
      <c r="AP10846" s="10"/>
      <c r="AQ10846" s="10"/>
      <c r="AR10846" s="10"/>
      <c r="AS10846" s="10"/>
      <c r="AT10846" s="10"/>
      <c r="AU10846" s="10"/>
      <c r="AV10846" s="10"/>
      <c r="AW10846" s="10"/>
      <c r="AX10846" s="10"/>
      <c r="AY10846" s="10"/>
      <c r="AZ10846" s="10"/>
    </row>
    <row r="10847" spans="31:52">
      <c r="AE10847" s="10"/>
      <c r="AF10847" s="10"/>
      <c r="AG10847" s="10"/>
      <c r="AH10847" s="10"/>
      <c r="AI10847" s="10"/>
      <c r="AJ10847" s="10"/>
      <c r="AK10847" s="10"/>
      <c r="AL10847" s="10"/>
      <c r="AM10847" s="10"/>
      <c r="AN10847" s="10"/>
      <c r="AO10847" s="10"/>
      <c r="AP10847" s="10"/>
      <c r="AQ10847" s="10"/>
      <c r="AR10847" s="10"/>
      <c r="AS10847" s="10"/>
      <c r="AT10847" s="10"/>
      <c r="AU10847" s="10"/>
      <c r="AV10847" s="10"/>
      <c r="AW10847" s="10"/>
      <c r="AX10847" s="10"/>
      <c r="AY10847" s="10"/>
      <c r="AZ10847" s="10"/>
    </row>
    <row r="10848" spans="31:52">
      <c r="AE10848" s="10"/>
      <c r="AF10848" s="10"/>
      <c r="AG10848" s="10"/>
      <c r="AH10848" s="10"/>
      <c r="AI10848" s="10"/>
      <c r="AJ10848" s="10"/>
      <c r="AK10848" s="10"/>
      <c r="AL10848" s="10"/>
      <c r="AM10848" s="10"/>
      <c r="AN10848" s="10"/>
      <c r="AO10848" s="10"/>
      <c r="AP10848" s="10"/>
      <c r="AQ10848" s="10"/>
      <c r="AR10848" s="10"/>
      <c r="AS10848" s="10"/>
      <c r="AT10848" s="10"/>
      <c r="AU10848" s="10"/>
      <c r="AV10848" s="10"/>
      <c r="AW10848" s="10"/>
      <c r="AX10848" s="10"/>
      <c r="AY10848" s="10"/>
      <c r="AZ10848" s="10"/>
    </row>
    <row r="10849" spans="31:52">
      <c r="AE10849" s="10"/>
      <c r="AF10849" s="10"/>
      <c r="AG10849" s="10"/>
      <c r="AH10849" s="10"/>
      <c r="AI10849" s="10"/>
      <c r="AJ10849" s="10"/>
      <c r="AK10849" s="10"/>
      <c r="AL10849" s="10"/>
      <c r="AM10849" s="10"/>
      <c r="AN10849" s="10"/>
      <c r="AO10849" s="10"/>
      <c r="AP10849" s="10"/>
      <c r="AQ10849" s="10"/>
      <c r="AR10849" s="10"/>
      <c r="AS10849" s="10"/>
      <c r="AT10849" s="10"/>
      <c r="AU10849" s="10"/>
      <c r="AV10849" s="10"/>
      <c r="AW10849" s="10"/>
      <c r="AX10849" s="10"/>
      <c r="AY10849" s="10"/>
      <c r="AZ10849" s="10"/>
    </row>
    <row r="10850" spans="31:52">
      <c r="AE10850" s="10"/>
      <c r="AF10850" s="10"/>
      <c r="AG10850" s="10"/>
      <c r="AH10850" s="10"/>
      <c r="AI10850" s="10"/>
      <c r="AJ10850" s="10"/>
      <c r="AK10850" s="10"/>
      <c r="AL10850" s="10"/>
      <c r="AM10850" s="10"/>
      <c r="AN10850" s="10"/>
      <c r="AO10850" s="10"/>
      <c r="AP10850" s="10"/>
      <c r="AQ10850" s="10"/>
      <c r="AR10850" s="10"/>
      <c r="AS10850" s="10"/>
      <c r="AT10850" s="10"/>
      <c r="AU10850" s="10"/>
      <c r="AV10850" s="10"/>
      <c r="AW10850" s="10"/>
      <c r="AX10850" s="10"/>
      <c r="AY10850" s="10"/>
      <c r="AZ10850" s="10"/>
    </row>
    <row r="10851" spans="31:52">
      <c r="AE10851" s="10"/>
      <c r="AF10851" s="10"/>
      <c r="AG10851" s="10"/>
      <c r="AH10851" s="10"/>
      <c r="AI10851" s="10"/>
      <c r="AJ10851" s="10"/>
      <c r="AK10851" s="10"/>
      <c r="AL10851" s="10"/>
      <c r="AM10851" s="10"/>
      <c r="AN10851" s="10"/>
      <c r="AO10851" s="10"/>
      <c r="AP10851" s="10"/>
      <c r="AQ10851" s="10"/>
      <c r="AR10851" s="10"/>
      <c r="AS10851" s="10"/>
      <c r="AT10851" s="10"/>
      <c r="AU10851" s="10"/>
      <c r="AV10851" s="10"/>
      <c r="AW10851" s="10"/>
      <c r="AX10851" s="10"/>
      <c r="AY10851" s="10"/>
      <c r="AZ10851" s="10"/>
    </row>
    <row r="10852" spans="31:52">
      <c r="AE10852" s="10"/>
      <c r="AF10852" s="10"/>
      <c r="AG10852" s="10"/>
      <c r="AH10852" s="10"/>
      <c r="AI10852" s="10"/>
      <c r="AJ10852" s="10"/>
      <c r="AK10852" s="10"/>
      <c r="AL10852" s="10"/>
      <c r="AM10852" s="10"/>
      <c r="AN10852" s="10"/>
      <c r="AO10852" s="10"/>
      <c r="AP10852" s="10"/>
      <c r="AQ10852" s="10"/>
      <c r="AR10852" s="10"/>
      <c r="AS10852" s="10"/>
      <c r="AT10852" s="10"/>
      <c r="AU10852" s="10"/>
      <c r="AV10852" s="10"/>
      <c r="AW10852" s="10"/>
      <c r="AX10852" s="10"/>
      <c r="AY10852" s="10"/>
      <c r="AZ10852" s="10"/>
    </row>
    <row r="10853" spans="31:52">
      <c r="AE10853" s="10"/>
      <c r="AF10853" s="10"/>
      <c r="AG10853" s="10"/>
      <c r="AH10853" s="10"/>
      <c r="AI10853" s="10"/>
      <c r="AJ10853" s="10"/>
      <c r="AK10853" s="10"/>
      <c r="AL10853" s="10"/>
      <c r="AM10853" s="10"/>
      <c r="AN10853" s="10"/>
      <c r="AO10853" s="10"/>
      <c r="AP10853" s="10"/>
      <c r="AQ10853" s="10"/>
      <c r="AR10853" s="10"/>
      <c r="AS10853" s="10"/>
      <c r="AT10853" s="10"/>
      <c r="AU10853" s="10"/>
      <c r="AV10853" s="10"/>
      <c r="AW10853" s="10"/>
      <c r="AX10853" s="10"/>
      <c r="AY10853" s="10"/>
      <c r="AZ10853" s="10"/>
    </row>
    <row r="10854" spans="31:52">
      <c r="AE10854" s="10"/>
      <c r="AF10854" s="10"/>
      <c r="AG10854" s="10"/>
      <c r="AH10854" s="10"/>
      <c r="AI10854" s="10"/>
      <c r="AJ10854" s="10"/>
      <c r="AK10854" s="10"/>
      <c r="AL10854" s="10"/>
      <c r="AM10854" s="10"/>
      <c r="AN10854" s="10"/>
      <c r="AO10854" s="10"/>
      <c r="AP10854" s="10"/>
      <c r="AQ10854" s="10"/>
      <c r="AR10854" s="10"/>
      <c r="AS10854" s="10"/>
      <c r="AT10854" s="10"/>
      <c r="AU10854" s="10"/>
      <c r="AV10854" s="10"/>
      <c r="AW10854" s="10"/>
      <c r="AX10854" s="10"/>
      <c r="AY10854" s="10"/>
      <c r="AZ10854" s="10"/>
    </row>
    <row r="10855" spans="31:52">
      <c r="AE10855" s="10"/>
      <c r="AF10855" s="10"/>
      <c r="AG10855" s="10"/>
      <c r="AH10855" s="10"/>
      <c r="AI10855" s="10"/>
      <c r="AJ10855" s="10"/>
      <c r="AK10855" s="10"/>
      <c r="AL10855" s="10"/>
      <c r="AM10855" s="10"/>
      <c r="AN10855" s="10"/>
      <c r="AO10855" s="10"/>
      <c r="AP10855" s="10"/>
      <c r="AQ10855" s="10"/>
      <c r="AR10855" s="10"/>
      <c r="AS10855" s="10"/>
      <c r="AT10855" s="10"/>
      <c r="AU10855" s="10"/>
      <c r="AV10855" s="10"/>
      <c r="AW10855" s="10"/>
      <c r="AX10855" s="10"/>
      <c r="AY10855" s="10"/>
      <c r="AZ10855" s="10"/>
    </row>
    <row r="10856" spans="31:52">
      <c r="AE10856" s="10"/>
      <c r="AF10856" s="10"/>
      <c r="AG10856" s="10"/>
      <c r="AH10856" s="10"/>
      <c r="AI10856" s="10"/>
      <c r="AJ10856" s="10"/>
      <c r="AK10856" s="10"/>
      <c r="AL10856" s="10"/>
      <c r="AM10856" s="10"/>
      <c r="AN10856" s="10"/>
      <c r="AO10856" s="10"/>
      <c r="AP10856" s="10"/>
      <c r="AQ10856" s="10"/>
      <c r="AR10856" s="10"/>
      <c r="AS10856" s="10"/>
      <c r="AT10856" s="10"/>
      <c r="AU10856" s="10"/>
      <c r="AV10856" s="10"/>
      <c r="AW10856" s="10"/>
      <c r="AX10856" s="10"/>
      <c r="AY10856" s="10"/>
      <c r="AZ10856" s="10"/>
    </row>
    <row r="10857" spans="31:52">
      <c r="AE10857" s="10"/>
      <c r="AF10857" s="10"/>
      <c r="AG10857" s="10"/>
      <c r="AH10857" s="10"/>
      <c r="AI10857" s="10"/>
      <c r="AJ10857" s="10"/>
      <c r="AK10857" s="10"/>
      <c r="AL10857" s="10"/>
      <c r="AM10857" s="10"/>
      <c r="AN10857" s="10"/>
      <c r="AO10857" s="10"/>
      <c r="AP10857" s="10"/>
      <c r="AQ10857" s="10"/>
      <c r="AR10857" s="10"/>
      <c r="AS10857" s="10"/>
      <c r="AT10857" s="10"/>
      <c r="AU10857" s="10"/>
      <c r="AV10857" s="10"/>
      <c r="AW10857" s="10"/>
      <c r="AX10857" s="10"/>
      <c r="AY10857" s="10"/>
      <c r="AZ10857" s="10"/>
    </row>
    <row r="10858" spans="31:52">
      <c r="AE10858" s="10"/>
      <c r="AF10858" s="10"/>
      <c r="AG10858" s="10"/>
      <c r="AH10858" s="10"/>
      <c r="AI10858" s="10"/>
      <c r="AJ10858" s="10"/>
      <c r="AK10858" s="10"/>
      <c r="AL10858" s="10"/>
      <c r="AM10858" s="10"/>
      <c r="AN10858" s="10"/>
      <c r="AO10858" s="10"/>
      <c r="AP10858" s="10"/>
      <c r="AQ10858" s="10"/>
      <c r="AR10858" s="10"/>
      <c r="AS10858" s="10"/>
      <c r="AT10858" s="10"/>
      <c r="AU10858" s="10"/>
      <c r="AV10858" s="10"/>
      <c r="AW10858" s="10"/>
      <c r="AX10858" s="10"/>
      <c r="AY10858" s="10"/>
      <c r="AZ10858" s="10"/>
    </row>
    <row r="10859" spans="31:52">
      <c r="AE10859" s="10"/>
      <c r="AF10859" s="10"/>
      <c r="AG10859" s="10"/>
      <c r="AH10859" s="10"/>
      <c r="AI10859" s="10"/>
      <c r="AJ10859" s="10"/>
      <c r="AK10859" s="10"/>
      <c r="AL10859" s="10"/>
      <c r="AM10859" s="10"/>
      <c r="AN10859" s="10"/>
      <c r="AO10859" s="10"/>
      <c r="AP10859" s="10"/>
      <c r="AQ10859" s="10"/>
      <c r="AR10859" s="10"/>
      <c r="AS10859" s="10"/>
      <c r="AT10859" s="10"/>
      <c r="AU10859" s="10"/>
      <c r="AV10859" s="10"/>
      <c r="AW10859" s="10"/>
      <c r="AX10859" s="10"/>
      <c r="AY10859" s="10"/>
      <c r="AZ10859" s="10"/>
    </row>
    <row r="10860" spans="31:52">
      <c r="AE10860" s="10"/>
      <c r="AF10860" s="10"/>
      <c r="AG10860" s="10"/>
      <c r="AH10860" s="10"/>
      <c r="AI10860" s="10"/>
      <c r="AJ10860" s="10"/>
      <c r="AK10860" s="10"/>
      <c r="AL10860" s="10"/>
      <c r="AM10860" s="10"/>
      <c r="AN10860" s="10"/>
      <c r="AO10860" s="10"/>
      <c r="AP10860" s="10"/>
      <c r="AQ10860" s="10"/>
      <c r="AR10860" s="10"/>
      <c r="AS10860" s="10"/>
      <c r="AT10860" s="10"/>
      <c r="AU10860" s="10"/>
      <c r="AV10860" s="10"/>
      <c r="AW10860" s="10"/>
      <c r="AX10860" s="10"/>
      <c r="AY10860" s="10"/>
      <c r="AZ10860" s="10"/>
    </row>
    <row r="10861" spans="31:52">
      <c r="AE10861" s="10"/>
      <c r="AF10861" s="10"/>
      <c r="AG10861" s="10"/>
      <c r="AH10861" s="10"/>
      <c r="AI10861" s="10"/>
      <c r="AJ10861" s="10"/>
      <c r="AK10861" s="10"/>
      <c r="AL10861" s="10"/>
      <c r="AM10861" s="10"/>
      <c r="AN10861" s="10"/>
      <c r="AO10861" s="10"/>
      <c r="AP10861" s="10"/>
      <c r="AQ10861" s="10"/>
      <c r="AR10861" s="10"/>
      <c r="AS10861" s="10"/>
      <c r="AT10861" s="10"/>
      <c r="AU10861" s="10"/>
      <c r="AV10861" s="10"/>
      <c r="AW10861" s="10"/>
      <c r="AX10861" s="10"/>
      <c r="AY10861" s="10"/>
      <c r="AZ10861" s="10"/>
    </row>
    <row r="10862" spans="31:52">
      <c r="AE10862" s="10"/>
      <c r="AF10862" s="10"/>
      <c r="AG10862" s="10"/>
      <c r="AH10862" s="10"/>
      <c r="AI10862" s="10"/>
      <c r="AJ10862" s="10"/>
      <c r="AK10862" s="10"/>
      <c r="AL10862" s="10"/>
      <c r="AM10862" s="10"/>
      <c r="AN10862" s="10"/>
      <c r="AO10862" s="10"/>
      <c r="AP10862" s="10"/>
      <c r="AQ10862" s="10"/>
      <c r="AR10862" s="10"/>
      <c r="AS10862" s="10"/>
      <c r="AT10862" s="10"/>
      <c r="AU10862" s="10"/>
      <c r="AV10862" s="10"/>
      <c r="AW10862" s="10"/>
      <c r="AX10862" s="10"/>
      <c r="AY10862" s="10"/>
      <c r="AZ10862" s="10"/>
    </row>
    <row r="10863" spans="31:52">
      <c r="AE10863" s="10"/>
      <c r="AF10863" s="10"/>
      <c r="AG10863" s="10"/>
      <c r="AH10863" s="10"/>
      <c r="AI10863" s="10"/>
      <c r="AJ10863" s="10"/>
      <c r="AK10863" s="10"/>
      <c r="AL10863" s="10"/>
      <c r="AM10863" s="10"/>
      <c r="AN10863" s="10"/>
      <c r="AO10863" s="10"/>
      <c r="AP10863" s="10"/>
      <c r="AQ10863" s="10"/>
      <c r="AR10863" s="10"/>
      <c r="AS10863" s="10"/>
      <c r="AT10863" s="10"/>
      <c r="AU10863" s="10"/>
      <c r="AV10863" s="10"/>
      <c r="AW10863" s="10"/>
      <c r="AX10863" s="10"/>
      <c r="AY10863" s="10"/>
      <c r="AZ10863" s="10"/>
    </row>
    <row r="10864" spans="31:52">
      <c r="AE10864" s="10"/>
      <c r="AF10864" s="10"/>
      <c r="AG10864" s="10"/>
      <c r="AH10864" s="10"/>
      <c r="AI10864" s="10"/>
      <c r="AJ10864" s="10"/>
      <c r="AK10864" s="10"/>
      <c r="AL10864" s="10"/>
      <c r="AM10864" s="10"/>
      <c r="AN10864" s="10"/>
      <c r="AO10864" s="10"/>
      <c r="AP10864" s="10"/>
      <c r="AQ10864" s="10"/>
      <c r="AR10864" s="10"/>
      <c r="AS10864" s="10"/>
      <c r="AT10864" s="10"/>
      <c r="AU10864" s="10"/>
      <c r="AV10864" s="10"/>
      <c r="AW10864" s="10"/>
      <c r="AX10864" s="10"/>
      <c r="AY10864" s="10"/>
      <c r="AZ10864" s="10"/>
    </row>
    <row r="10865" spans="31:52">
      <c r="AE10865" s="10"/>
      <c r="AF10865" s="10"/>
      <c r="AG10865" s="10"/>
      <c r="AH10865" s="10"/>
      <c r="AI10865" s="10"/>
      <c r="AJ10865" s="10"/>
      <c r="AK10865" s="10"/>
      <c r="AL10865" s="10"/>
      <c r="AM10865" s="10"/>
      <c r="AN10865" s="10"/>
      <c r="AO10865" s="10"/>
      <c r="AP10865" s="10"/>
      <c r="AQ10865" s="10"/>
      <c r="AR10865" s="10"/>
      <c r="AS10865" s="10"/>
      <c r="AT10865" s="10"/>
      <c r="AU10865" s="10"/>
      <c r="AV10865" s="10"/>
      <c r="AW10865" s="10"/>
      <c r="AX10865" s="10"/>
      <c r="AY10865" s="10"/>
      <c r="AZ10865" s="10"/>
    </row>
    <row r="10866" spans="31:52">
      <c r="AE10866" s="10"/>
      <c r="AF10866" s="10"/>
      <c r="AG10866" s="10"/>
      <c r="AH10866" s="10"/>
      <c r="AI10866" s="10"/>
      <c r="AJ10866" s="10"/>
      <c r="AK10866" s="10"/>
      <c r="AL10866" s="10"/>
      <c r="AM10866" s="10"/>
      <c r="AN10866" s="10"/>
      <c r="AO10866" s="10"/>
      <c r="AP10866" s="10"/>
      <c r="AQ10866" s="10"/>
      <c r="AR10866" s="10"/>
      <c r="AS10866" s="10"/>
      <c r="AT10866" s="10"/>
      <c r="AU10866" s="10"/>
      <c r="AV10866" s="10"/>
      <c r="AW10866" s="10"/>
      <c r="AX10866" s="10"/>
      <c r="AY10866" s="10"/>
      <c r="AZ10866" s="10"/>
    </row>
    <row r="10867" spans="31:52">
      <c r="AE10867" s="10"/>
      <c r="AF10867" s="10"/>
      <c r="AG10867" s="10"/>
      <c r="AH10867" s="10"/>
      <c r="AI10867" s="10"/>
      <c r="AJ10867" s="10"/>
      <c r="AK10867" s="10"/>
      <c r="AL10867" s="10"/>
      <c r="AM10867" s="10"/>
      <c r="AN10867" s="10"/>
      <c r="AO10867" s="10"/>
      <c r="AP10867" s="10"/>
      <c r="AQ10867" s="10"/>
      <c r="AR10867" s="10"/>
      <c r="AS10867" s="10"/>
      <c r="AT10867" s="10"/>
      <c r="AU10867" s="10"/>
      <c r="AV10867" s="10"/>
      <c r="AW10867" s="10"/>
      <c r="AX10867" s="10"/>
      <c r="AY10867" s="10"/>
      <c r="AZ10867" s="10"/>
    </row>
    <row r="10868" spans="31:52">
      <c r="AE10868" s="10"/>
      <c r="AF10868" s="10"/>
      <c r="AG10868" s="10"/>
      <c r="AH10868" s="10"/>
      <c r="AI10868" s="10"/>
      <c r="AJ10868" s="10"/>
      <c r="AK10868" s="10"/>
      <c r="AL10868" s="10"/>
      <c r="AM10868" s="10"/>
      <c r="AN10868" s="10"/>
      <c r="AO10868" s="10"/>
      <c r="AP10868" s="10"/>
      <c r="AQ10868" s="10"/>
      <c r="AR10868" s="10"/>
      <c r="AS10868" s="10"/>
      <c r="AT10868" s="10"/>
      <c r="AU10868" s="10"/>
      <c r="AV10868" s="10"/>
      <c r="AW10868" s="10"/>
      <c r="AX10868" s="10"/>
      <c r="AY10868" s="10"/>
      <c r="AZ10868" s="10"/>
    </row>
    <row r="10869" spans="31:52">
      <c r="AE10869" s="10"/>
      <c r="AF10869" s="10"/>
      <c r="AG10869" s="10"/>
      <c r="AH10869" s="10"/>
      <c r="AI10869" s="10"/>
      <c r="AJ10869" s="10"/>
      <c r="AK10869" s="10"/>
      <c r="AL10869" s="10"/>
      <c r="AM10869" s="10"/>
      <c r="AN10869" s="10"/>
      <c r="AO10869" s="10"/>
      <c r="AP10869" s="10"/>
      <c r="AQ10869" s="10"/>
      <c r="AR10869" s="10"/>
      <c r="AS10869" s="10"/>
      <c r="AT10869" s="10"/>
      <c r="AU10869" s="10"/>
      <c r="AV10869" s="10"/>
      <c r="AW10869" s="10"/>
      <c r="AX10869" s="10"/>
      <c r="AY10869" s="10"/>
      <c r="AZ10869" s="10"/>
    </row>
    <row r="10870" spans="31:52">
      <c r="AE10870" s="10"/>
      <c r="AF10870" s="10"/>
      <c r="AG10870" s="10"/>
      <c r="AH10870" s="10"/>
      <c r="AI10870" s="10"/>
      <c r="AJ10870" s="10"/>
      <c r="AK10870" s="10"/>
      <c r="AL10870" s="10"/>
      <c r="AM10870" s="10"/>
      <c r="AN10870" s="10"/>
      <c r="AO10870" s="10"/>
      <c r="AP10870" s="10"/>
      <c r="AQ10870" s="10"/>
      <c r="AR10870" s="10"/>
      <c r="AS10870" s="10"/>
      <c r="AT10870" s="10"/>
      <c r="AU10870" s="10"/>
      <c r="AV10870" s="10"/>
      <c r="AW10870" s="10"/>
      <c r="AX10870" s="10"/>
      <c r="AY10870" s="10"/>
      <c r="AZ10870" s="10"/>
    </row>
    <row r="10871" spans="31:52">
      <c r="AE10871" s="10"/>
      <c r="AF10871" s="10"/>
      <c r="AG10871" s="10"/>
      <c r="AH10871" s="10"/>
      <c r="AI10871" s="10"/>
      <c r="AJ10871" s="10"/>
      <c r="AK10871" s="10"/>
      <c r="AL10871" s="10"/>
      <c r="AM10871" s="10"/>
      <c r="AN10871" s="10"/>
      <c r="AO10871" s="10"/>
      <c r="AP10871" s="10"/>
      <c r="AQ10871" s="10"/>
      <c r="AR10871" s="10"/>
      <c r="AS10871" s="10"/>
      <c r="AT10871" s="10"/>
      <c r="AU10871" s="10"/>
      <c r="AV10871" s="10"/>
      <c r="AW10871" s="10"/>
      <c r="AX10871" s="10"/>
      <c r="AY10871" s="10"/>
      <c r="AZ10871" s="10"/>
    </row>
    <row r="10872" spans="31:52">
      <c r="AE10872" s="10"/>
      <c r="AF10872" s="10"/>
      <c r="AG10872" s="10"/>
      <c r="AH10872" s="10"/>
      <c r="AI10872" s="10"/>
      <c r="AJ10872" s="10"/>
      <c r="AK10872" s="10"/>
      <c r="AL10872" s="10"/>
      <c r="AM10872" s="10"/>
      <c r="AN10872" s="10"/>
      <c r="AO10872" s="10"/>
      <c r="AP10872" s="10"/>
      <c r="AQ10872" s="10"/>
      <c r="AR10872" s="10"/>
      <c r="AS10872" s="10"/>
      <c r="AT10872" s="10"/>
      <c r="AU10872" s="10"/>
      <c r="AV10872" s="10"/>
      <c r="AW10872" s="10"/>
      <c r="AX10872" s="10"/>
      <c r="AY10872" s="10"/>
      <c r="AZ10872" s="10"/>
    </row>
    <row r="10873" spans="31:52">
      <c r="AE10873" s="10"/>
      <c r="AF10873" s="10"/>
      <c r="AG10873" s="10"/>
      <c r="AH10873" s="10"/>
      <c r="AI10873" s="10"/>
      <c r="AJ10873" s="10"/>
      <c r="AK10873" s="10"/>
      <c r="AL10873" s="10"/>
      <c r="AM10873" s="10"/>
      <c r="AN10873" s="10"/>
      <c r="AO10873" s="10"/>
      <c r="AP10873" s="10"/>
      <c r="AQ10873" s="10"/>
      <c r="AR10873" s="10"/>
      <c r="AS10873" s="10"/>
      <c r="AT10873" s="10"/>
      <c r="AU10873" s="10"/>
      <c r="AV10873" s="10"/>
      <c r="AW10873" s="10"/>
      <c r="AX10873" s="10"/>
      <c r="AY10873" s="10"/>
      <c r="AZ10873" s="10"/>
    </row>
    <row r="10874" spans="31:52">
      <c r="AE10874" s="10"/>
      <c r="AF10874" s="10"/>
      <c r="AG10874" s="10"/>
      <c r="AH10874" s="10"/>
      <c r="AI10874" s="10"/>
      <c r="AJ10874" s="10"/>
      <c r="AK10874" s="10"/>
      <c r="AL10874" s="10"/>
      <c r="AM10874" s="10"/>
      <c r="AN10874" s="10"/>
      <c r="AO10874" s="10"/>
      <c r="AP10874" s="10"/>
      <c r="AQ10874" s="10"/>
      <c r="AR10874" s="10"/>
      <c r="AS10874" s="10"/>
      <c r="AT10874" s="10"/>
      <c r="AU10874" s="10"/>
      <c r="AV10874" s="10"/>
      <c r="AW10874" s="10"/>
      <c r="AX10874" s="10"/>
      <c r="AY10874" s="10"/>
      <c r="AZ10874" s="10"/>
    </row>
    <row r="10875" spans="31:52">
      <c r="AE10875" s="10"/>
      <c r="AF10875" s="10"/>
      <c r="AG10875" s="10"/>
      <c r="AH10875" s="10"/>
      <c r="AI10875" s="10"/>
      <c r="AJ10875" s="10"/>
      <c r="AK10875" s="10"/>
      <c r="AL10875" s="10"/>
      <c r="AM10875" s="10"/>
      <c r="AN10875" s="10"/>
      <c r="AO10875" s="10"/>
      <c r="AP10875" s="10"/>
      <c r="AQ10875" s="10"/>
      <c r="AR10875" s="10"/>
      <c r="AS10875" s="10"/>
      <c r="AT10875" s="10"/>
      <c r="AU10875" s="10"/>
      <c r="AV10875" s="10"/>
      <c r="AW10875" s="10"/>
      <c r="AX10875" s="10"/>
      <c r="AY10875" s="10"/>
      <c r="AZ10875" s="10"/>
    </row>
    <row r="10876" spans="31:52">
      <c r="AE10876" s="10"/>
      <c r="AF10876" s="10"/>
      <c r="AG10876" s="10"/>
      <c r="AH10876" s="10"/>
      <c r="AI10876" s="10"/>
      <c r="AJ10876" s="10"/>
      <c r="AK10876" s="10"/>
      <c r="AL10876" s="10"/>
      <c r="AM10876" s="10"/>
      <c r="AN10876" s="10"/>
      <c r="AO10876" s="10"/>
      <c r="AP10876" s="10"/>
      <c r="AQ10876" s="10"/>
      <c r="AR10876" s="10"/>
      <c r="AS10876" s="10"/>
      <c r="AT10876" s="10"/>
      <c r="AU10876" s="10"/>
      <c r="AV10876" s="10"/>
      <c r="AW10876" s="10"/>
      <c r="AX10876" s="10"/>
      <c r="AY10876" s="10"/>
      <c r="AZ10876" s="10"/>
    </row>
    <row r="10877" spans="31:52">
      <c r="AE10877" s="10"/>
      <c r="AF10877" s="10"/>
      <c r="AG10877" s="10"/>
      <c r="AH10877" s="10"/>
      <c r="AI10877" s="10"/>
      <c r="AJ10877" s="10"/>
      <c r="AK10877" s="10"/>
      <c r="AL10877" s="10"/>
      <c r="AM10877" s="10"/>
      <c r="AN10877" s="10"/>
      <c r="AO10877" s="10"/>
      <c r="AP10877" s="10"/>
      <c r="AQ10877" s="10"/>
      <c r="AR10877" s="10"/>
      <c r="AS10877" s="10"/>
      <c r="AT10877" s="10"/>
      <c r="AU10877" s="10"/>
      <c r="AV10877" s="10"/>
      <c r="AW10877" s="10"/>
      <c r="AX10877" s="10"/>
      <c r="AY10877" s="10"/>
      <c r="AZ10877" s="10"/>
    </row>
    <row r="10878" spans="31:52">
      <c r="AE10878" s="10"/>
      <c r="AF10878" s="10"/>
      <c r="AG10878" s="10"/>
      <c r="AH10878" s="10"/>
      <c r="AI10878" s="10"/>
      <c r="AJ10878" s="10"/>
      <c r="AK10878" s="10"/>
      <c r="AL10878" s="10"/>
      <c r="AM10878" s="10"/>
      <c r="AN10878" s="10"/>
      <c r="AO10878" s="10"/>
      <c r="AP10878" s="10"/>
      <c r="AQ10878" s="10"/>
      <c r="AR10878" s="10"/>
      <c r="AS10878" s="10"/>
      <c r="AT10878" s="10"/>
      <c r="AU10878" s="10"/>
      <c r="AV10878" s="10"/>
      <c r="AW10878" s="10"/>
      <c r="AX10878" s="10"/>
      <c r="AY10878" s="10"/>
      <c r="AZ10878" s="10"/>
    </row>
    <row r="10879" spans="31:52">
      <c r="AE10879" s="10"/>
      <c r="AF10879" s="10"/>
      <c r="AG10879" s="10"/>
      <c r="AH10879" s="10"/>
      <c r="AI10879" s="10"/>
      <c r="AJ10879" s="10"/>
      <c r="AK10879" s="10"/>
      <c r="AL10879" s="10"/>
      <c r="AM10879" s="10"/>
      <c r="AN10879" s="10"/>
      <c r="AO10879" s="10"/>
      <c r="AP10879" s="10"/>
      <c r="AQ10879" s="10"/>
      <c r="AR10879" s="10"/>
      <c r="AS10879" s="10"/>
      <c r="AT10879" s="10"/>
      <c r="AU10879" s="10"/>
      <c r="AV10879" s="10"/>
      <c r="AW10879" s="10"/>
      <c r="AX10879" s="10"/>
      <c r="AY10879" s="10"/>
      <c r="AZ10879" s="10"/>
    </row>
    <row r="10880" spans="31:52">
      <c r="AE10880" s="10"/>
      <c r="AF10880" s="10"/>
      <c r="AG10880" s="10"/>
      <c r="AH10880" s="10"/>
      <c r="AI10880" s="10"/>
      <c r="AJ10880" s="10"/>
      <c r="AK10880" s="10"/>
      <c r="AL10880" s="10"/>
      <c r="AM10880" s="10"/>
      <c r="AN10880" s="10"/>
      <c r="AO10880" s="10"/>
      <c r="AP10880" s="10"/>
      <c r="AQ10880" s="10"/>
      <c r="AR10880" s="10"/>
      <c r="AS10880" s="10"/>
      <c r="AT10880" s="10"/>
      <c r="AU10880" s="10"/>
      <c r="AV10880" s="10"/>
      <c r="AW10880" s="10"/>
      <c r="AX10880" s="10"/>
      <c r="AY10880" s="10"/>
      <c r="AZ10880" s="10"/>
    </row>
    <row r="10881" spans="31:52">
      <c r="AE10881" s="10"/>
      <c r="AF10881" s="10"/>
      <c r="AG10881" s="10"/>
      <c r="AH10881" s="10"/>
      <c r="AI10881" s="10"/>
      <c r="AJ10881" s="10"/>
      <c r="AK10881" s="10"/>
      <c r="AL10881" s="10"/>
      <c r="AM10881" s="10"/>
      <c r="AN10881" s="10"/>
      <c r="AO10881" s="10"/>
      <c r="AP10881" s="10"/>
      <c r="AQ10881" s="10"/>
      <c r="AR10881" s="10"/>
      <c r="AS10881" s="10"/>
      <c r="AT10881" s="10"/>
      <c r="AU10881" s="10"/>
      <c r="AV10881" s="10"/>
      <c r="AW10881" s="10"/>
      <c r="AX10881" s="10"/>
      <c r="AY10881" s="10"/>
      <c r="AZ10881" s="10"/>
    </row>
    <row r="10882" spans="31:52">
      <c r="AE10882" s="10"/>
      <c r="AF10882" s="10"/>
      <c r="AG10882" s="10"/>
      <c r="AH10882" s="10"/>
      <c r="AI10882" s="10"/>
      <c r="AJ10882" s="10"/>
      <c r="AK10882" s="10"/>
      <c r="AL10882" s="10"/>
      <c r="AM10882" s="10"/>
      <c r="AN10882" s="10"/>
      <c r="AO10882" s="10"/>
      <c r="AP10882" s="10"/>
      <c r="AQ10882" s="10"/>
      <c r="AR10882" s="10"/>
      <c r="AS10882" s="10"/>
      <c r="AT10882" s="10"/>
      <c r="AU10882" s="10"/>
      <c r="AV10882" s="10"/>
      <c r="AW10882" s="10"/>
      <c r="AX10882" s="10"/>
      <c r="AY10882" s="10"/>
      <c r="AZ10882" s="10"/>
    </row>
    <row r="10883" spans="31:52">
      <c r="AE10883" s="10"/>
      <c r="AF10883" s="10"/>
      <c r="AG10883" s="10"/>
      <c r="AH10883" s="10"/>
      <c r="AI10883" s="10"/>
      <c r="AJ10883" s="10"/>
      <c r="AK10883" s="10"/>
      <c r="AL10883" s="10"/>
      <c r="AM10883" s="10"/>
      <c r="AN10883" s="10"/>
      <c r="AO10883" s="10"/>
      <c r="AP10883" s="10"/>
      <c r="AQ10883" s="10"/>
      <c r="AR10883" s="10"/>
      <c r="AS10883" s="10"/>
      <c r="AT10883" s="10"/>
      <c r="AU10883" s="10"/>
      <c r="AV10883" s="10"/>
      <c r="AW10883" s="10"/>
      <c r="AX10883" s="10"/>
      <c r="AY10883" s="10"/>
      <c r="AZ10883" s="10"/>
    </row>
    <row r="10884" spans="31:52">
      <c r="AE10884" s="10"/>
      <c r="AF10884" s="10"/>
      <c r="AG10884" s="10"/>
      <c r="AH10884" s="10"/>
      <c r="AI10884" s="10"/>
      <c r="AJ10884" s="10"/>
      <c r="AK10884" s="10"/>
      <c r="AL10884" s="10"/>
      <c r="AM10884" s="10"/>
      <c r="AN10884" s="10"/>
      <c r="AO10884" s="10"/>
      <c r="AP10884" s="10"/>
      <c r="AQ10884" s="10"/>
      <c r="AR10884" s="10"/>
      <c r="AS10884" s="10"/>
      <c r="AT10884" s="10"/>
      <c r="AU10884" s="10"/>
      <c r="AV10884" s="10"/>
      <c r="AW10884" s="10"/>
      <c r="AX10884" s="10"/>
      <c r="AY10884" s="10"/>
      <c r="AZ10884" s="10"/>
    </row>
    <row r="10885" spans="31:52">
      <c r="AE10885" s="10"/>
      <c r="AF10885" s="10"/>
      <c r="AG10885" s="10"/>
      <c r="AH10885" s="10"/>
      <c r="AI10885" s="10"/>
      <c r="AJ10885" s="10"/>
      <c r="AK10885" s="10"/>
      <c r="AL10885" s="10"/>
      <c r="AM10885" s="10"/>
      <c r="AN10885" s="10"/>
      <c r="AO10885" s="10"/>
      <c r="AP10885" s="10"/>
      <c r="AQ10885" s="10"/>
      <c r="AR10885" s="10"/>
      <c r="AS10885" s="10"/>
      <c r="AT10885" s="10"/>
      <c r="AU10885" s="10"/>
      <c r="AV10885" s="10"/>
      <c r="AW10885" s="10"/>
      <c r="AX10885" s="10"/>
      <c r="AY10885" s="10"/>
      <c r="AZ10885" s="10"/>
    </row>
    <row r="10886" spans="31:52">
      <c r="AE10886" s="10"/>
      <c r="AF10886" s="10"/>
      <c r="AG10886" s="10"/>
      <c r="AH10886" s="10"/>
      <c r="AI10886" s="10"/>
      <c r="AJ10886" s="10"/>
      <c r="AK10886" s="10"/>
      <c r="AL10886" s="10"/>
      <c r="AM10886" s="10"/>
      <c r="AN10886" s="10"/>
      <c r="AO10886" s="10"/>
      <c r="AP10886" s="10"/>
      <c r="AQ10886" s="10"/>
      <c r="AR10886" s="10"/>
      <c r="AS10886" s="10"/>
      <c r="AT10886" s="10"/>
      <c r="AU10886" s="10"/>
      <c r="AV10886" s="10"/>
      <c r="AW10886" s="10"/>
      <c r="AX10886" s="10"/>
      <c r="AY10886" s="10"/>
      <c r="AZ10886" s="10"/>
    </row>
    <row r="10887" spans="31:52">
      <c r="AE10887" s="10"/>
      <c r="AF10887" s="10"/>
      <c r="AG10887" s="10"/>
      <c r="AH10887" s="10"/>
      <c r="AI10887" s="10"/>
      <c r="AJ10887" s="10"/>
      <c r="AK10887" s="10"/>
      <c r="AL10887" s="10"/>
      <c r="AM10887" s="10"/>
      <c r="AN10887" s="10"/>
      <c r="AO10887" s="10"/>
      <c r="AP10887" s="10"/>
      <c r="AQ10887" s="10"/>
      <c r="AR10887" s="10"/>
      <c r="AS10887" s="10"/>
      <c r="AT10887" s="10"/>
      <c r="AU10887" s="10"/>
      <c r="AV10887" s="10"/>
      <c r="AW10887" s="10"/>
      <c r="AX10887" s="10"/>
      <c r="AY10887" s="10"/>
      <c r="AZ10887" s="10"/>
    </row>
    <row r="10888" spans="31:52">
      <c r="AE10888" s="10"/>
      <c r="AF10888" s="10"/>
      <c r="AG10888" s="10"/>
      <c r="AH10888" s="10"/>
      <c r="AI10888" s="10"/>
      <c r="AJ10888" s="10"/>
      <c r="AK10888" s="10"/>
      <c r="AL10888" s="10"/>
      <c r="AM10888" s="10"/>
      <c r="AN10888" s="10"/>
      <c r="AO10888" s="10"/>
      <c r="AP10888" s="10"/>
      <c r="AQ10888" s="10"/>
      <c r="AR10888" s="10"/>
      <c r="AS10888" s="10"/>
      <c r="AT10888" s="10"/>
      <c r="AU10888" s="10"/>
      <c r="AV10888" s="10"/>
      <c r="AW10888" s="10"/>
      <c r="AX10888" s="10"/>
      <c r="AY10888" s="10"/>
      <c r="AZ10888" s="10"/>
    </row>
    <row r="10889" spans="31:52">
      <c r="AE10889" s="10"/>
      <c r="AF10889" s="10"/>
      <c r="AG10889" s="10"/>
      <c r="AH10889" s="10"/>
      <c r="AI10889" s="10"/>
      <c r="AJ10889" s="10"/>
      <c r="AK10889" s="10"/>
      <c r="AL10889" s="10"/>
      <c r="AM10889" s="10"/>
      <c r="AN10889" s="10"/>
      <c r="AO10889" s="10"/>
      <c r="AP10889" s="10"/>
      <c r="AQ10889" s="10"/>
      <c r="AR10889" s="10"/>
      <c r="AS10889" s="10"/>
      <c r="AT10889" s="10"/>
      <c r="AU10889" s="10"/>
      <c r="AV10889" s="10"/>
      <c r="AW10889" s="10"/>
      <c r="AX10889" s="10"/>
      <c r="AY10889" s="10"/>
      <c r="AZ10889" s="10"/>
    </row>
    <row r="10890" spans="31:52">
      <c r="AE10890" s="10"/>
      <c r="AF10890" s="10"/>
      <c r="AG10890" s="10"/>
      <c r="AH10890" s="10"/>
      <c r="AI10890" s="10"/>
      <c r="AJ10890" s="10"/>
      <c r="AK10890" s="10"/>
      <c r="AL10890" s="10"/>
      <c r="AM10890" s="10"/>
      <c r="AN10890" s="10"/>
      <c r="AO10890" s="10"/>
      <c r="AP10890" s="10"/>
      <c r="AQ10890" s="10"/>
      <c r="AR10890" s="10"/>
      <c r="AS10890" s="10"/>
      <c r="AT10890" s="10"/>
      <c r="AU10890" s="10"/>
      <c r="AV10890" s="10"/>
      <c r="AW10890" s="10"/>
      <c r="AX10890" s="10"/>
      <c r="AY10890" s="10"/>
      <c r="AZ10890" s="10"/>
    </row>
    <row r="10891" spans="31:52">
      <c r="AE10891" s="10"/>
      <c r="AF10891" s="10"/>
      <c r="AG10891" s="10"/>
      <c r="AH10891" s="10"/>
      <c r="AI10891" s="10"/>
      <c r="AJ10891" s="10"/>
      <c r="AK10891" s="10"/>
      <c r="AL10891" s="10"/>
      <c r="AM10891" s="10"/>
      <c r="AN10891" s="10"/>
      <c r="AO10891" s="10"/>
      <c r="AP10891" s="10"/>
      <c r="AQ10891" s="10"/>
      <c r="AR10891" s="10"/>
      <c r="AS10891" s="10"/>
      <c r="AT10891" s="10"/>
      <c r="AU10891" s="10"/>
      <c r="AV10891" s="10"/>
      <c r="AW10891" s="10"/>
      <c r="AX10891" s="10"/>
      <c r="AY10891" s="10"/>
      <c r="AZ10891" s="10"/>
    </row>
    <row r="10892" spans="31:52">
      <c r="AE10892" s="10"/>
      <c r="AF10892" s="10"/>
      <c r="AG10892" s="10"/>
      <c r="AH10892" s="10"/>
      <c r="AI10892" s="10"/>
      <c r="AJ10892" s="10"/>
      <c r="AK10892" s="10"/>
      <c r="AL10892" s="10"/>
      <c r="AM10892" s="10"/>
      <c r="AN10892" s="10"/>
      <c r="AO10892" s="10"/>
      <c r="AP10892" s="10"/>
      <c r="AQ10892" s="10"/>
      <c r="AR10892" s="10"/>
      <c r="AS10892" s="10"/>
      <c r="AT10892" s="10"/>
      <c r="AU10892" s="10"/>
      <c r="AV10892" s="10"/>
      <c r="AW10892" s="10"/>
      <c r="AX10892" s="10"/>
      <c r="AY10892" s="10"/>
      <c r="AZ10892" s="10"/>
    </row>
    <row r="10893" spans="31:52">
      <c r="AE10893" s="10"/>
      <c r="AF10893" s="10"/>
      <c r="AG10893" s="10"/>
      <c r="AH10893" s="10"/>
      <c r="AI10893" s="10"/>
      <c r="AJ10893" s="10"/>
      <c r="AK10893" s="10"/>
      <c r="AL10893" s="10"/>
      <c r="AM10893" s="10"/>
      <c r="AN10893" s="10"/>
      <c r="AO10893" s="10"/>
      <c r="AP10893" s="10"/>
      <c r="AQ10893" s="10"/>
      <c r="AR10893" s="10"/>
      <c r="AS10893" s="10"/>
      <c r="AT10893" s="10"/>
      <c r="AU10893" s="10"/>
      <c r="AV10893" s="10"/>
      <c r="AW10893" s="10"/>
      <c r="AX10893" s="10"/>
      <c r="AY10893" s="10"/>
      <c r="AZ10893" s="10"/>
    </row>
    <row r="10894" spans="31:52">
      <c r="AE10894" s="10"/>
      <c r="AF10894" s="10"/>
      <c r="AG10894" s="10"/>
      <c r="AH10894" s="10"/>
      <c r="AI10894" s="10"/>
      <c r="AJ10894" s="10"/>
      <c r="AK10894" s="10"/>
      <c r="AL10894" s="10"/>
      <c r="AM10894" s="10"/>
      <c r="AN10894" s="10"/>
      <c r="AO10894" s="10"/>
      <c r="AP10894" s="10"/>
      <c r="AQ10894" s="10"/>
      <c r="AR10894" s="10"/>
      <c r="AS10894" s="10"/>
      <c r="AT10894" s="10"/>
      <c r="AU10894" s="10"/>
      <c r="AV10894" s="10"/>
      <c r="AW10894" s="10"/>
      <c r="AX10894" s="10"/>
      <c r="AY10894" s="10"/>
      <c r="AZ10894" s="10"/>
    </row>
    <row r="10895" spans="31:52">
      <c r="AE10895" s="10"/>
      <c r="AF10895" s="10"/>
      <c r="AG10895" s="10"/>
      <c r="AH10895" s="10"/>
      <c r="AI10895" s="10"/>
      <c r="AJ10895" s="10"/>
      <c r="AK10895" s="10"/>
      <c r="AL10895" s="10"/>
      <c r="AM10895" s="10"/>
      <c r="AN10895" s="10"/>
      <c r="AO10895" s="10"/>
      <c r="AP10895" s="10"/>
      <c r="AQ10895" s="10"/>
      <c r="AR10895" s="10"/>
      <c r="AS10895" s="10"/>
      <c r="AT10895" s="10"/>
      <c r="AU10895" s="10"/>
      <c r="AV10895" s="10"/>
      <c r="AW10895" s="10"/>
      <c r="AX10895" s="10"/>
      <c r="AY10895" s="10"/>
      <c r="AZ10895" s="10"/>
    </row>
    <row r="10896" spans="31:52">
      <c r="AE10896" s="10"/>
      <c r="AF10896" s="10"/>
      <c r="AG10896" s="10"/>
      <c r="AH10896" s="10"/>
      <c r="AI10896" s="10"/>
      <c r="AJ10896" s="10"/>
      <c r="AK10896" s="10"/>
      <c r="AL10896" s="10"/>
      <c r="AM10896" s="10"/>
      <c r="AN10896" s="10"/>
      <c r="AO10896" s="10"/>
      <c r="AP10896" s="10"/>
      <c r="AQ10896" s="10"/>
      <c r="AR10896" s="10"/>
      <c r="AS10896" s="10"/>
      <c r="AT10896" s="10"/>
      <c r="AU10896" s="10"/>
      <c r="AV10896" s="10"/>
      <c r="AW10896" s="10"/>
      <c r="AX10896" s="10"/>
      <c r="AY10896" s="10"/>
      <c r="AZ10896" s="10"/>
    </row>
    <row r="10897" spans="31:52">
      <c r="AE10897" s="10"/>
      <c r="AF10897" s="10"/>
      <c r="AG10897" s="10"/>
      <c r="AH10897" s="10"/>
      <c r="AI10897" s="10"/>
      <c r="AJ10897" s="10"/>
      <c r="AK10897" s="10"/>
      <c r="AL10897" s="10"/>
      <c r="AM10897" s="10"/>
      <c r="AN10897" s="10"/>
      <c r="AO10897" s="10"/>
      <c r="AP10897" s="10"/>
      <c r="AQ10897" s="10"/>
      <c r="AR10897" s="10"/>
      <c r="AS10897" s="10"/>
      <c r="AT10897" s="10"/>
      <c r="AU10897" s="10"/>
      <c r="AV10897" s="10"/>
      <c r="AW10897" s="10"/>
      <c r="AX10897" s="10"/>
      <c r="AY10897" s="10"/>
      <c r="AZ10897" s="10"/>
    </row>
    <row r="10898" spans="31:52">
      <c r="AE10898" s="10"/>
      <c r="AF10898" s="10"/>
      <c r="AG10898" s="10"/>
      <c r="AH10898" s="10"/>
      <c r="AI10898" s="10"/>
      <c r="AJ10898" s="10"/>
      <c r="AK10898" s="10"/>
      <c r="AL10898" s="10"/>
      <c r="AM10898" s="10"/>
      <c r="AN10898" s="10"/>
      <c r="AO10898" s="10"/>
      <c r="AP10898" s="10"/>
      <c r="AQ10898" s="10"/>
      <c r="AR10898" s="10"/>
      <c r="AS10898" s="10"/>
      <c r="AT10898" s="10"/>
      <c r="AU10898" s="10"/>
      <c r="AV10898" s="10"/>
      <c r="AW10898" s="10"/>
      <c r="AX10898" s="10"/>
      <c r="AY10898" s="10"/>
      <c r="AZ10898" s="10"/>
    </row>
    <row r="10899" spans="31:52">
      <c r="AE10899" s="10"/>
      <c r="AF10899" s="10"/>
      <c r="AG10899" s="10"/>
      <c r="AH10899" s="10"/>
      <c r="AI10899" s="10"/>
      <c r="AJ10899" s="10"/>
      <c r="AK10899" s="10"/>
      <c r="AL10899" s="10"/>
      <c r="AM10899" s="10"/>
      <c r="AN10899" s="10"/>
      <c r="AO10899" s="10"/>
      <c r="AP10899" s="10"/>
      <c r="AQ10899" s="10"/>
      <c r="AR10899" s="10"/>
      <c r="AS10899" s="10"/>
      <c r="AT10899" s="10"/>
      <c r="AU10899" s="10"/>
      <c r="AV10899" s="10"/>
      <c r="AW10899" s="10"/>
      <c r="AX10899" s="10"/>
      <c r="AY10899" s="10"/>
      <c r="AZ10899" s="10"/>
    </row>
    <row r="10900" spans="31:52">
      <c r="AE10900" s="10"/>
      <c r="AF10900" s="10"/>
      <c r="AG10900" s="10"/>
      <c r="AH10900" s="10"/>
      <c r="AI10900" s="10"/>
      <c r="AJ10900" s="10"/>
      <c r="AK10900" s="10"/>
      <c r="AL10900" s="10"/>
      <c r="AM10900" s="10"/>
      <c r="AN10900" s="10"/>
      <c r="AO10900" s="10"/>
      <c r="AP10900" s="10"/>
      <c r="AQ10900" s="10"/>
      <c r="AR10900" s="10"/>
      <c r="AS10900" s="10"/>
      <c r="AT10900" s="10"/>
      <c r="AU10900" s="10"/>
      <c r="AV10900" s="10"/>
      <c r="AW10900" s="10"/>
      <c r="AX10900" s="10"/>
      <c r="AY10900" s="10"/>
      <c r="AZ10900" s="10"/>
    </row>
    <row r="10901" spans="31:52">
      <c r="AE10901" s="10"/>
      <c r="AF10901" s="10"/>
      <c r="AG10901" s="10"/>
      <c r="AH10901" s="10"/>
      <c r="AI10901" s="10"/>
      <c r="AJ10901" s="10"/>
      <c r="AK10901" s="10"/>
      <c r="AL10901" s="10"/>
      <c r="AM10901" s="10"/>
      <c r="AN10901" s="10"/>
      <c r="AO10901" s="10"/>
      <c r="AP10901" s="10"/>
      <c r="AQ10901" s="10"/>
      <c r="AR10901" s="10"/>
      <c r="AS10901" s="10"/>
      <c r="AT10901" s="10"/>
      <c r="AU10901" s="10"/>
      <c r="AV10901" s="10"/>
      <c r="AW10901" s="10"/>
      <c r="AX10901" s="10"/>
      <c r="AY10901" s="10"/>
      <c r="AZ10901" s="10"/>
    </row>
    <row r="10902" spans="31:52">
      <c r="AE10902" s="10"/>
      <c r="AF10902" s="10"/>
      <c r="AG10902" s="10"/>
      <c r="AH10902" s="10"/>
      <c r="AI10902" s="10"/>
      <c r="AJ10902" s="10"/>
      <c r="AK10902" s="10"/>
      <c r="AL10902" s="10"/>
      <c r="AM10902" s="10"/>
      <c r="AN10902" s="10"/>
      <c r="AO10902" s="10"/>
      <c r="AP10902" s="10"/>
      <c r="AQ10902" s="10"/>
      <c r="AR10902" s="10"/>
      <c r="AS10902" s="10"/>
      <c r="AT10902" s="10"/>
      <c r="AU10902" s="10"/>
      <c r="AV10902" s="10"/>
      <c r="AW10902" s="10"/>
      <c r="AX10902" s="10"/>
      <c r="AY10902" s="10"/>
      <c r="AZ10902" s="10"/>
    </row>
    <row r="10903" spans="31:52">
      <c r="AE10903" s="10"/>
      <c r="AF10903" s="10"/>
      <c r="AG10903" s="10"/>
      <c r="AH10903" s="10"/>
      <c r="AI10903" s="10"/>
      <c r="AJ10903" s="10"/>
      <c r="AK10903" s="10"/>
      <c r="AL10903" s="10"/>
      <c r="AM10903" s="10"/>
      <c r="AN10903" s="10"/>
      <c r="AO10903" s="10"/>
      <c r="AP10903" s="10"/>
      <c r="AQ10903" s="10"/>
      <c r="AR10903" s="10"/>
      <c r="AS10903" s="10"/>
      <c r="AT10903" s="10"/>
      <c r="AU10903" s="10"/>
      <c r="AV10903" s="10"/>
      <c r="AW10903" s="10"/>
      <c r="AX10903" s="10"/>
      <c r="AY10903" s="10"/>
      <c r="AZ10903" s="10"/>
    </row>
    <row r="10904" spans="31:52">
      <c r="AE10904" s="10"/>
      <c r="AF10904" s="10"/>
      <c r="AG10904" s="10"/>
      <c r="AH10904" s="10"/>
      <c r="AI10904" s="10"/>
      <c r="AJ10904" s="10"/>
      <c r="AK10904" s="10"/>
      <c r="AL10904" s="10"/>
      <c r="AM10904" s="10"/>
      <c r="AN10904" s="10"/>
      <c r="AO10904" s="10"/>
      <c r="AP10904" s="10"/>
      <c r="AQ10904" s="10"/>
      <c r="AR10904" s="10"/>
      <c r="AS10904" s="10"/>
      <c r="AT10904" s="10"/>
      <c r="AU10904" s="10"/>
      <c r="AV10904" s="10"/>
      <c r="AW10904" s="10"/>
      <c r="AX10904" s="10"/>
      <c r="AY10904" s="10"/>
      <c r="AZ10904" s="10"/>
    </row>
    <row r="10905" spans="31:52">
      <c r="AE10905" s="10"/>
      <c r="AF10905" s="10"/>
      <c r="AG10905" s="10"/>
      <c r="AH10905" s="10"/>
      <c r="AI10905" s="10"/>
      <c r="AJ10905" s="10"/>
      <c r="AK10905" s="10"/>
      <c r="AL10905" s="10"/>
      <c r="AM10905" s="10"/>
      <c r="AN10905" s="10"/>
      <c r="AO10905" s="10"/>
      <c r="AP10905" s="10"/>
      <c r="AQ10905" s="10"/>
      <c r="AR10905" s="10"/>
      <c r="AS10905" s="10"/>
      <c r="AT10905" s="10"/>
      <c r="AU10905" s="10"/>
      <c r="AV10905" s="10"/>
      <c r="AW10905" s="10"/>
      <c r="AX10905" s="10"/>
      <c r="AY10905" s="10"/>
      <c r="AZ10905" s="10"/>
    </row>
    <row r="10906" spans="31:52">
      <c r="AE10906" s="10"/>
      <c r="AF10906" s="10"/>
      <c r="AG10906" s="10"/>
      <c r="AH10906" s="10"/>
      <c r="AI10906" s="10"/>
      <c r="AJ10906" s="10"/>
      <c r="AK10906" s="10"/>
      <c r="AL10906" s="10"/>
      <c r="AM10906" s="10"/>
      <c r="AN10906" s="10"/>
      <c r="AO10906" s="10"/>
      <c r="AP10906" s="10"/>
      <c r="AQ10906" s="10"/>
      <c r="AR10906" s="10"/>
      <c r="AS10906" s="10"/>
      <c r="AT10906" s="10"/>
      <c r="AU10906" s="10"/>
      <c r="AV10906" s="10"/>
      <c r="AW10906" s="10"/>
      <c r="AX10906" s="10"/>
      <c r="AY10906" s="10"/>
      <c r="AZ10906" s="10"/>
    </row>
    <row r="10907" spans="31:52">
      <c r="AE10907" s="10"/>
      <c r="AF10907" s="10"/>
      <c r="AG10907" s="10"/>
      <c r="AH10907" s="10"/>
      <c r="AI10907" s="10"/>
      <c r="AJ10907" s="10"/>
      <c r="AK10907" s="10"/>
      <c r="AL10907" s="10"/>
      <c r="AM10907" s="10"/>
      <c r="AN10907" s="10"/>
      <c r="AO10907" s="10"/>
      <c r="AP10907" s="10"/>
      <c r="AQ10907" s="10"/>
      <c r="AR10907" s="10"/>
      <c r="AS10907" s="10"/>
      <c r="AT10907" s="10"/>
      <c r="AU10907" s="10"/>
      <c r="AV10907" s="10"/>
      <c r="AW10907" s="10"/>
      <c r="AX10907" s="10"/>
      <c r="AY10907" s="10"/>
      <c r="AZ10907" s="10"/>
    </row>
    <row r="10908" spans="31:52">
      <c r="AE10908" s="10"/>
      <c r="AF10908" s="10"/>
      <c r="AG10908" s="10"/>
      <c r="AH10908" s="10"/>
      <c r="AI10908" s="10"/>
      <c r="AJ10908" s="10"/>
      <c r="AK10908" s="10"/>
      <c r="AL10908" s="10"/>
      <c r="AM10908" s="10"/>
      <c r="AN10908" s="10"/>
      <c r="AO10908" s="10"/>
      <c r="AP10908" s="10"/>
      <c r="AQ10908" s="10"/>
      <c r="AR10908" s="10"/>
      <c r="AS10908" s="10"/>
      <c r="AT10908" s="10"/>
      <c r="AU10908" s="10"/>
      <c r="AV10908" s="10"/>
      <c r="AW10908" s="10"/>
      <c r="AX10908" s="10"/>
      <c r="AY10908" s="10"/>
      <c r="AZ10908" s="10"/>
    </row>
    <row r="10909" spans="31:52">
      <c r="AE10909" s="10"/>
      <c r="AF10909" s="10"/>
      <c r="AG10909" s="10"/>
      <c r="AH10909" s="10"/>
      <c r="AI10909" s="10"/>
      <c r="AJ10909" s="10"/>
      <c r="AK10909" s="10"/>
      <c r="AL10909" s="10"/>
      <c r="AM10909" s="10"/>
      <c r="AN10909" s="10"/>
      <c r="AO10909" s="10"/>
      <c r="AP10909" s="10"/>
      <c r="AQ10909" s="10"/>
      <c r="AR10909" s="10"/>
      <c r="AS10909" s="10"/>
      <c r="AT10909" s="10"/>
      <c r="AU10909" s="10"/>
      <c r="AV10909" s="10"/>
      <c r="AW10909" s="10"/>
      <c r="AX10909" s="10"/>
      <c r="AY10909" s="10"/>
      <c r="AZ10909" s="10"/>
    </row>
    <row r="10910" spans="31:52">
      <c r="AE10910" s="10"/>
      <c r="AF10910" s="10"/>
      <c r="AG10910" s="10"/>
      <c r="AH10910" s="10"/>
      <c r="AI10910" s="10"/>
      <c r="AJ10910" s="10"/>
      <c r="AK10910" s="10"/>
      <c r="AL10910" s="10"/>
      <c r="AM10910" s="10"/>
      <c r="AN10910" s="10"/>
      <c r="AO10910" s="10"/>
      <c r="AP10910" s="10"/>
      <c r="AQ10910" s="10"/>
      <c r="AR10910" s="10"/>
      <c r="AS10910" s="10"/>
      <c r="AT10910" s="10"/>
      <c r="AU10910" s="10"/>
      <c r="AV10910" s="10"/>
      <c r="AW10910" s="10"/>
      <c r="AX10910" s="10"/>
      <c r="AY10910" s="10"/>
      <c r="AZ10910" s="10"/>
    </row>
    <row r="10911" spans="31:52">
      <c r="AE10911" s="10"/>
      <c r="AF10911" s="10"/>
      <c r="AG10911" s="10"/>
      <c r="AH10911" s="10"/>
      <c r="AI10911" s="10"/>
      <c r="AJ10911" s="10"/>
      <c r="AK10911" s="10"/>
      <c r="AL10911" s="10"/>
      <c r="AM10911" s="10"/>
      <c r="AN10911" s="10"/>
      <c r="AO10911" s="10"/>
      <c r="AP10911" s="10"/>
      <c r="AQ10911" s="10"/>
      <c r="AR10911" s="10"/>
      <c r="AS10911" s="10"/>
      <c r="AT10911" s="10"/>
      <c r="AU10911" s="10"/>
      <c r="AV10911" s="10"/>
      <c r="AW10911" s="10"/>
      <c r="AX10911" s="10"/>
      <c r="AY10911" s="10"/>
      <c r="AZ10911" s="10"/>
    </row>
    <row r="10912" spans="31:52">
      <c r="AE10912" s="10"/>
      <c r="AF10912" s="10"/>
      <c r="AG10912" s="10"/>
      <c r="AH10912" s="10"/>
      <c r="AI10912" s="10"/>
      <c r="AJ10912" s="10"/>
      <c r="AK10912" s="10"/>
      <c r="AL10912" s="10"/>
      <c r="AM10912" s="10"/>
      <c r="AN10912" s="10"/>
      <c r="AO10912" s="10"/>
      <c r="AP10912" s="10"/>
      <c r="AQ10912" s="10"/>
      <c r="AR10912" s="10"/>
      <c r="AS10912" s="10"/>
      <c r="AT10912" s="10"/>
      <c r="AU10912" s="10"/>
      <c r="AV10912" s="10"/>
      <c r="AW10912" s="10"/>
      <c r="AX10912" s="10"/>
      <c r="AY10912" s="10"/>
      <c r="AZ10912" s="10"/>
    </row>
    <row r="10913" spans="31:52">
      <c r="AE10913" s="10"/>
      <c r="AF10913" s="10"/>
      <c r="AG10913" s="10"/>
      <c r="AH10913" s="10"/>
      <c r="AI10913" s="10"/>
      <c r="AJ10913" s="10"/>
      <c r="AK10913" s="10"/>
      <c r="AL10913" s="10"/>
      <c r="AM10913" s="10"/>
      <c r="AN10913" s="10"/>
      <c r="AO10913" s="10"/>
      <c r="AP10913" s="10"/>
      <c r="AQ10913" s="10"/>
      <c r="AR10913" s="10"/>
      <c r="AS10913" s="10"/>
      <c r="AT10913" s="10"/>
      <c r="AU10913" s="10"/>
      <c r="AV10913" s="10"/>
      <c r="AW10913" s="10"/>
      <c r="AX10913" s="10"/>
      <c r="AY10913" s="10"/>
      <c r="AZ10913" s="10"/>
    </row>
    <row r="10914" spans="31:52">
      <c r="AE10914" s="10"/>
      <c r="AF10914" s="10"/>
      <c r="AG10914" s="10"/>
      <c r="AH10914" s="10"/>
      <c r="AI10914" s="10"/>
      <c r="AJ10914" s="10"/>
      <c r="AK10914" s="10"/>
      <c r="AL10914" s="10"/>
      <c r="AM10914" s="10"/>
      <c r="AN10914" s="10"/>
      <c r="AO10914" s="10"/>
      <c r="AP10914" s="10"/>
      <c r="AQ10914" s="10"/>
      <c r="AR10914" s="10"/>
      <c r="AS10914" s="10"/>
      <c r="AT10914" s="10"/>
      <c r="AU10914" s="10"/>
      <c r="AV10914" s="10"/>
      <c r="AW10914" s="10"/>
      <c r="AX10914" s="10"/>
      <c r="AY10914" s="10"/>
      <c r="AZ10914" s="10"/>
    </row>
    <row r="10915" spans="31:52">
      <c r="AE10915" s="10"/>
      <c r="AF10915" s="10"/>
      <c r="AG10915" s="10"/>
      <c r="AH10915" s="10"/>
      <c r="AI10915" s="10"/>
      <c r="AJ10915" s="10"/>
      <c r="AK10915" s="10"/>
      <c r="AL10915" s="10"/>
      <c r="AM10915" s="10"/>
      <c r="AN10915" s="10"/>
      <c r="AO10915" s="10"/>
      <c r="AP10915" s="10"/>
      <c r="AQ10915" s="10"/>
      <c r="AR10915" s="10"/>
      <c r="AS10915" s="10"/>
      <c r="AT10915" s="10"/>
      <c r="AU10915" s="10"/>
      <c r="AV10915" s="10"/>
      <c r="AW10915" s="10"/>
      <c r="AX10915" s="10"/>
      <c r="AY10915" s="10"/>
      <c r="AZ10915" s="10"/>
    </row>
    <row r="10916" spans="31:52">
      <c r="AE10916" s="10"/>
      <c r="AF10916" s="10"/>
      <c r="AG10916" s="10"/>
      <c r="AH10916" s="10"/>
      <c r="AI10916" s="10"/>
      <c r="AJ10916" s="10"/>
      <c r="AK10916" s="10"/>
      <c r="AL10916" s="10"/>
      <c r="AM10916" s="10"/>
      <c r="AN10916" s="10"/>
      <c r="AO10916" s="10"/>
      <c r="AP10916" s="10"/>
      <c r="AQ10916" s="10"/>
      <c r="AR10916" s="10"/>
      <c r="AS10916" s="10"/>
      <c r="AT10916" s="10"/>
      <c r="AU10916" s="10"/>
      <c r="AV10916" s="10"/>
      <c r="AW10916" s="10"/>
      <c r="AX10916" s="10"/>
      <c r="AY10916" s="10"/>
      <c r="AZ10916" s="10"/>
    </row>
    <row r="10917" spans="31:52">
      <c r="AE10917" s="10"/>
      <c r="AF10917" s="10"/>
      <c r="AG10917" s="10"/>
      <c r="AH10917" s="10"/>
      <c r="AI10917" s="10"/>
      <c r="AJ10917" s="10"/>
      <c r="AK10917" s="10"/>
      <c r="AL10917" s="10"/>
      <c r="AM10917" s="10"/>
      <c r="AN10917" s="10"/>
      <c r="AO10917" s="10"/>
      <c r="AP10917" s="10"/>
      <c r="AQ10917" s="10"/>
      <c r="AR10917" s="10"/>
      <c r="AS10917" s="10"/>
      <c r="AT10917" s="10"/>
      <c r="AU10917" s="10"/>
      <c r="AV10917" s="10"/>
      <c r="AW10917" s="10"/>
      <c r="AX10917" s="10"/>
      <c r="AY10917" s="10"/>
      <c r="AZ10917" s="10"/>
    </row>
    <row r="10918" spans="31:52">
      <c r="AE10918" s="10"/>
      <c r="AF10918" s="10"/>
      <c r="AG10918" s="10"/>
      <c r="AH10918" s="10"/>
      <c r="AI10918" s="10"/>
      <c r="AJ10918" s="10"/>
      <c r="AK10918" s="10"/>
      <c r="AL10918" s="10"/>
      <c r="AM10918" s="10"/>
      <c r="AN10918" s="10"/>
      <c r="AO10918" s="10"/>
      <c r="AP10918" s="10"/>
      <c r="AQ10918" s="10"/>
      <c r="AR10918" s="10"/>
      <c r="AS10918" s="10"/>
      <c r="AT10918" s="10"/>
      <c r="AU10918" s="10"/>
      <c r="AV10918" s="10"/>
      <c r="AW10918" s="10"/>
      <c r="AX10918" s="10"/>
      <c r="AY10918" s="10"/>
      <c r="AZ10918" s="10"/>
    </row>
    <row r="10919" spans="31:52">
      <c r="AE10919" s="10"/>
      <c r="AF10919" s="10"/>
      <c r="AG10919" s="10"/>
      <c r="AH10919" s="10"/>
      <c r="AI10919" s="10"/>
      <c r="AJ10919" s="10"/>
      <c r="AK10919" s="10"/>
      <c r="AL10919" s="10"/>
      <c r="AM10919" s="10"/>
      <c r="AN10919" s="10"/>
      <c r="AO10919" s="10"/>
      <c r="AP10919" s="10"/>
      <c r="AQ10919" s="10"/>
      <c r="AR10919" s="10"/>
      <c r="AS10919" s="10"/>
      <c r="AT10919" s="10"/>
      <c r="AU10919" s="10"/>
      <c r="AV10919" s="10"/>
      <c r="AW10919" s="10"/>
      <c r="AX10919" s="10"/>
      <c r="AY10919" s="10"/>
      <c r="AZ10919" s="10"/>
    </row>
    <row r="10920" spans="31:52">
      <c r="AE10920" s="10"/>
      <c r="AF10920" s="10"/>
      <c r="AG10920" s="10"/>
      <c r="AH10920" s="10"/>
      <c r="AI10920" s="10"/>
      <c r="AJ10920" s="10"/>
      <c r="AK10920" s="10"/>
      <c r="AL10920" s="10"/>
      <c r="AM10920" s="10"/>
      <c r="AN10920" s="10"/>
      <c r="AO10920" s="10"/>
      <c r="AP10920" s="10"/>
      <c r="AQ10920" s="10"/>
      <c r="AR10920" s="10"/>
      <c r="AS10920" s="10"/>
      <c r="AT10920" s="10"/>
      <c r="AU10920" s="10"/>
      <c r="AV10920" s="10"/>
      <c r="AW10920" s="10"/>
      <c r="AX10920" s="10"/>
      <c r="AY10920" s="10"/>
      <c r="AZ10920" s="10"/>
    </row>
    <row r="10921" spans="31:52">
      <c r="AE10921" s="10"/>
      <c r="AF10921" s="10"/>
      <c r="AG10921" s="10"/>
      <c r="AH10921" s="10"/>
      <c r="AI10921" s="10"/>
      <c r="AJ10921" s="10"/>
      <c r="AK10921" s="10"/>
      <c r="AL10921" s="10"/>
      <c r="AM10921" s="10"/>
      <c r="AN10921" s="10"/>
      <c r="AO10921" s="10"/>
      <c r="AP10921" s="10"/>
      <c r="AQ10921" s="10"/>
      <c r="AR10921" s="10"/>
      <c r="AS10921" s="10"/>
      <c r="AT10921" s="10"/>
      <c r="AU10921" s="10"/>
      <c r="AV10921" s="10"/>
      <c r="AW10921" s="10"/>
      <c r="AX10921" s="10"/>
      <c r="AY10921" s="10"/>
      <c r="AZ10921" s="10"/>
    </row>
    <row r="10922" spans="31:52">
      <c r="AE10922" s="10"/>
      <c r="AF10922" s="10"/>
      <c r="AG10922" s="10"/>
      <c r="AH10922" s="10"/>
      <c r="AI10922" s="10"/>
      <c r="AJ10922" s="10"/>
      <c r="AK10922" s="10"/>
      <c r="AL10922" s="10"/>
      <c r="AM10922" s="10"/>
      <c r="AN10922" s="10"/>
      <c r="AO10922" s="10"/>
      <c r="AP10922" s="10"/>
      <c r="AQ10922" s="10"/>
      <c r="AR10922" s="10"/>
      <c r="AS10922" s="10"/>
      <c r="AT10922" s="10"/>
      <c r="AU10922" s="10"/>
      <c r="AV10922" s="10"/>
      <c r="AW10922" s="10"/>
      <c r="AX10922" s="10"/>
      <c r="AY10922" s="10"/>
      <c r="AZ10922" s="10"/>
    </row>
    <row r="10923" spans="31:52">
      <c r="AE10923" s="10"/>
      <c r="AF10923" s="10"/>
      <c r="AG10923" s="10"/>
      <c r="AH10923" s="10"/>
      <c r="AI10923" s="10"/>
      <c r="AJ10923" s="10"/>
      <c r="AK10923" s="10"/>
      <c r="AL10923" s="10"/>
      <c r="AM10923" s="10"/>
      <c r="AN10923" s="10"/>
      <c r="AO10923" s="10"/>
      <c r="AP10923" s="10"/>
      <c r="AQ10923" s="10"/>
      <c r="AR10923" s="10"/>
      <c r="AS10923" s="10"/>
      <c r="AT10923" s="10"/>
      <c r="AU10923" s="10"/>
      <c r="AV10923" s="10"/>
      <c r="AW10923" s="10"/>
      <c r="AX10923" s="10"/>
      <c r="AY10923" s="10"/>
      <c r="AZ10923" s="10"/>
    </row>
    <row r="10924" spans="31:52">
      <c r="AE10924" s="10"/>
      <c r="AF10924" s="10"/>
      <c r="AG10924" s="10"/>
      <c r="AH10924" s="10"/>
      <c r="AI10924" s="10"/>
      <c r="AJ10924" s="10"/>
      <c r="AK10924" s="10"/>
      <c r="AL10924" s="10"/>
      <c r="AM10924" s="10"/>
      <c r="AN10924" s="10"/>
      <c r="AO10924" s="10"/>
      <c r="AP10924" s="10"/>
      <c r="AQ10924" s="10"/>
      <c r="AR10924" s="10"/>
      <c r="AS10924" s="10"/>
      <c r="AT10924" s="10"/>
      <c r="AU10924" s="10"/>
      <c r="AV10924" s="10"/>
      <c r="AW10924" s="10"/>
      <c r="AX10924" s="10"/>
      <c r="AY10924" s="10"/>
      <c r="AZ10924" s="10"/>
    </row>
    <row r="10925" spans="31:52">
      <c r="AE10925" s="10"/>
      <c r="AF10925" s="10"/>
      <c r="AG10925" s="10"/>
      <c r="AH10925" s="10"/>
      <c r="AI10925" s="10"/>
      <c r="AJ10925" s="10"/>
      <c r="AK10925" s="10"/>
      <c r="AL10925" s="10"/>
      <c r="AM10925" s="10"/>
      <c r="AN10925" s="10"/>
      <c r="AO10925" s="10"/>
      <c r="AP10925" s="10"/>
      <c r="AQ10925" s="10"/>
      <c r="AR10925" s="10"/>
      <c r="AS10925" s="10"/>
      <c r="AT10925" s="10"/>
      <c r="AU10925" s="10"/>
      <c r="AV10925" s="10"/>
      <c r="AW10925" s="10"/>
      <c r="AX10925" s="10"/>
      <c r="AY10925" s="10"/>
      <c r="AZ10925" s="10"/>
    </row>
    <row r="10926" spans="31:52">
      <c r="AE10926" s="10"/>
      <c r="AF10926" s="10"/>
      <c r="AG10926" s="10"/>
      <c r="AH10926" s="10"/>
      <c r="AI10926" s="10"/>
      <c r="AJ10926" s="10"/>
      <c r="AK10926" s="10"/>
      <c r="AL10926" s="10"/>
      <c r="AM10926" s="10"/>
      <c r="AN10926" s="10"/>
      <c r="AO10926" s="10"/>
      <c r="AP10926" s="10"/>
      <c r="AQ10926" s="10"/>
      <c r="AR10926" s="10"/>
      <c r="AS10926" s="10"/>
      <c r="AT10926" s="10"/>
      <c r="AU10926" s="10"/>
      <c r="AV10926" s="10"/>
      <c r="AW10926" s="10"/>
      <c r="AX10926" s="10"/>
      <c r="AY10926" s="10"/>
      <c r="AZ10926" s="10"/>
    </row>
    <row r="10927" spans="31:52">
      <c r="AE10927" s="10"/>
      <c r="AF10927" s="10"/>
      <c r="AG10927" s="10"/>
      <c r="AH10927" s="10"/>
      <c r="AI10927" s="10"/>
      <c r="AJ10927" s="10"/>
      <c r="AK10927" s="10"/>
      <c r="AL10927" s="10"/>
      <c r="AM10927" s="10"/>
      <c r="AN10927" s="10"/>
      <c r="AO10927" s="10"/>
      <c r="AP10927" s="10"/>
      <c r="AQ10927" s="10"/>
      <c r="AR10927" s="10"/>
      <c r="AS10927" s="10"/>
      <c r="AT10927" s="10"/>
      <c r="AU10927" s="10"/>
      <c r="AV10927" s="10"/>
      <c r="AW10927" s="10"/>
      <c r="AX10927" s="10"/>
      <c r="AY10927" s="10"/>
      <c r="AZ10927" s="10"/>
    </row>
    <row r="10928" spans="31:52">
      <c r="AE10928" s="10"/>
      <c r="AF10928" s="10"/>
      <c r="AG10928" s="10"/>
      <c r="AH10928" s="10"/>
      <c r="AI10928" s="10"/>
      <c r="AJ10928" s="10"/>
      <c r="AK10928" s="10"/>
      <c r="AL10928" s="10"/>
      <c r="AM10928" s="10"/>
      <c r="AN10928" s="10"/>
      <c r="AO10928" s="10"/>
      <c r="AP10928" s="10"/>
      <c r="AQ10928" s="10"/>
      <c r="AR10928" s="10"/>
      <c r="AS10928" s="10"/>
      <c r="AT10928" s="10"/>
      <c r="AU10928" s="10"/>
      <c r="AV10928" s="10"/>
      <c r="AW10928" s="10"/>
      <c r="AX10928" s="10"/>
      <c r="AY10928" s="10"/>
      <c r="AZ10928" s="10"/>
    </row>
    <row r="10929" spans="31:52">
      <c r="AE10929" s="10"/>
      <c r="AF10929" s="10"/>
      <c r="AG10929" s="10"/>
      <c r="AH10929" s="10"/>
      <c r="AI10929" s="10"/>
      <c r="AJ10929" s="10"/>
      <c r="AK10929" s="10"/>
      <c r="AL10929" s="10"/>
      <c r="AM10929" s="10"/>
      <c r="AN10929" s="10"/>
      <c r="AO10929" s="10"/>
      <c r="AP10929" s="10"/>
      <c r="AQ10929" s="10"/>
      <c r="AR10929" s="10"/>
      <c r="AS10929" s="10"/>
      <c r="AT10929" s="10"/>
      <c r="AU10929" s="10"/>
      <c r="AV10929" s="10"/>
      <c r="AW10929" s="10"/>
      <c r="AX10929" s="10"/>
      <c r="AY10929" s="10"/>
      <c r="AZ10929" s="10"/>
    </row>
    <row r="10930" spans="31:52">
      <c r="AE10930" s="10"/>
      <c r="AF10930" s="10"/>
      <c r="AG10930" s="10"/>
      <c r="AH10930" s="10"/>
      <c r="AI10930" s="10"/>
      <c r="AJ10930" s="10"/>
      <c r="AK10930" s="10"/>
      <c r="AL10930" s="10"/>
      <c r="AM10930" s="10"/>
      <c r="AN10930" s="10"/>
      <c r="AO10930" s="10"/>
      <c r="AP10930" s="10"/>
      <c r="AQ10930" s="10"/>
      <c r="AR10930" s="10"/>
      <c r="AS10930" s="10"/>
      <c r="AT10930" s="10"/>
      <c r="AU10930" s="10"/>
      <c r="AV10930" s="10"/>
      <c r="AW10930" s="10"/>
      <c r="AX10930" s="10"/>
      <c r="AY10930" s="10"/>
      <c r="AZ10930" s="10"/>
    </row>
    <row r="10931" spans="31:52">
      <c r="AE10931" s="10"/>
      <c r="AF10931" s="10"/>
      <c r="AG10931" s="10"/>
      <c r="AH10931" s="10"/>
      <c r="AI10931" s="10"/>
      <c r="AJ10931" s="10"/>
      <c r="AK10931" s="10"/>
      <c r="AL10931" s="10"/>
      <c r="AM10931" s="10"/>
      <c r="AN10931" s="10"/>
      <c r="AO10931" s="10"/>
      <c r="AP10931" s="10"/>
      <c r="AQ10931" s="10"/>
      <c r="AR10931" s="10"/>
      <c r="AS10931" s="10"/>
      <c r="AT10931" s="10"/>
      <c r="AU10931" s="10"/>
      <c r="AV10931" s="10"/>
      <c r="AW10931" s="10"/>
      <c r="AX10931" s="10"/>
      <c r="AY10931" s="10"/>
      <c r="AZ10931" s="10"/>
    </row>
    <row r="10932" spans="31:52">
      <c r="AE10932" s="10"/>
      <c r="AF10932" s="10"/>
      <c r="AG10932" s="10"/>
      <c r="AH10932" s="10"/>
      <c r="AI10932" s="10"/>
      <c r="AJ10932" s="10"/>
      <c r="AK10932" s="10"/>
      <c r="AL10932" s="10"/>
      <c r="AM10932" s="10"/>
      <c r="AN10932" s="10"/>
      <c r="AO10932" s="10"/>
      <c r="AP10932" s="10"/>
      <c r="AQ10932" s="10"/>
      <c r="AR10932" s="10"/>
      <c r="AS10932" s="10"/>
      <c r="AT10932" s="10"/>
      <c r="AU10932" s="10"/>
      <c r="AV10932" s="10"/>
      <c r="AW10932" s="10"/>
      <c r="AX10932" s="10"/>
      <c r="AY10932" s="10"/>
      <c r="AZ10932" s="10"/>
    </row>
    <row r="10933" spans="31:52">
      <c r="AE10933" s="10"/>
      <c r="AF10933" s="10"/>
      <c r="AG10933" s="10"/>
      <c r="AH10933" s="10"/>
      <c r="AI10933" s="10"/>
      <c r="AJ10933" s="10"/>
      <c r="AK10933" s="10"/>
      <c r="AL10933" s="10"/>
      <c r="AM10933" s="10"/>
      <c r="AN10933" s="10"/>
      <c r="AO10933" s="10"/>
      <c r="AP10933" s="10"/>
      <c r="AQ10933" s="10"/>
      <c r="AR10933" s="10"/>
      <c r="AS10933" s="10"/>
      <c r="AT10933" s="10"/>
      <c r="AU10933" s="10"/>
      <c r="AV10933" s="10"/>
      <c r="AW10933" s="10"/>
      <c r="AX10933" s="10"/>
      <c r="AY10933" s="10"/>
      <c r="AZ10933" s="10"/>
    </row>
    <row r="10934" spans="31:52">
      <c r="AE10934" s="10"/>
      <c r="AF10934" s="10"/>
      <c r="AG10934" s="10"/>
      <c r="AH10934" s="10"/>
      <c r="AI10934" s="10"/>
      <c r="AJ10934" s="10"/>
      <c r="AK10934" s="10"/>
      <c r="AL10934" s="10"/>
      <c r="AM10934" s="10"/>
      <c r="AN10934" s="10"/>
      <c r="AO10934" s="10"/>
      <c r="AP10934" s="10"/>
      <c r="AQ10934" s="10"/>
      <c r="AR10934" s="10"/>
      <c r="AS10934" s="10"/>
      <c r="AT10934" s="10"/>
      <c r="AU10934" s="10"/>
      <c r="AV10934" s="10"/>
      <c r="AW10934" s="10"/>
      <c r="AX10934" s="10"/>
      <c r="AY10934" s="10"/>
      <c r="AZ10934" s="10"/>
    </row>
    <row r="10935" spans="31:52">
      <c r="AE10935" s="10"/>
      <c r="AF10935" s="10"/>
      <c r="AG10935" s="10"/>
      <c r="AH10935" s="10"/>
      <c r="AI10935" s="10"/>
      <c r="AJ10935" s="10"/>
      <c r="AK10935" s="10"/>
      <c r="AL10935" s="10"/>
      <c r="AM10935" s="10"/>
      <c r="AN10935" s="10"/>
      <c r="AO10935" s="10"/>
      <c r="AP10935" s="10"/>
      <c r="AQ10935" s="10"/>
      <c r="AR10935" s="10"/>
      <c r="AS10935" s="10"/>
      <c r="AT10935" s="10"/>
      <c r="AU10935" s="10"/>
      <c r="AV10935" s="10"/>
      <c r="AW10935" s="10"/>
      <c r="AX10935" s="10"/>
      <c r="AY10935" s="10"/>
      <c r="AZ10935" s="10"/>
    </row>
    <row r="10936" spans="31:52">
      <c r="AE10936" s="10"/>
      <c r="AF10936" s="10"/>
      <c r="AG10936" s="10"/>
      <c r="AH10936" s="10"/>
      <c r="AI10936" s="10"/>
      <c r="AJ10936" s="10"/>
      <c r="AK10936" s="10"/>
      <c r="AL10936" s="10"/>
      <c r="AM10936" s="10"/>
      <c r="AN10936" s="10"/>
      <c r="AO10936" s="10"/>
      <c r="AP10936" s="10"/>
      <c r="AQ10936" s="10"/>
      <c r="AR10936" s="10"/>
      <c r="AS10936" s="10"/>
      <c r="AT10936" s="10"/>
      <c r="AU10936" s="10"/>
      <c r="AV10936" s="10"/>
      <c r="AW10936" s="10"/>
      <c r="AX10936" s="10"/>
      <c r="AY10936" s="10"/>
      <c r="AZ10936" s="10"/>
    </row>
    <row r="10937" spans="31:52">
      <c r="AE10937" s="10"/>
      <c r="AF10937" s="10"/>
      <c r="AG10937" s="10"/>
      <c r="AH10937" s="10"/>
      <c r="AI10937" s="10"/>
      <c r="AJ10937" s="10"/>
      <c r="AK10937" s="10"/>
      <c r="AL10937" s="10"/>
      <c r="AM10937" s="10"/>
      <c r="AN10937" s="10"/>
      <c r="AO10937" s="10"/>
      <c r="AP10937" s="10"/>
      <c r="AQ10937" s="10"/>
      <c r="AR10937" s="10"/>
      <c r="AS10937" s="10"/>
      <c r="AT10937" s="10"/>
      <c r="AU10937" s="10"/>
      <c r="AV10937" s="10"/>
      <c r="AW10937" s="10"/>
      <c r="AX10937" s="10"/>
      <c r="AY10937" s="10"/>
      <c r="AZ10937" s="10"/>
    </row>
    <row r="10938" spans="31:52">
      <c r="AE10938" s="10"/>
      <c r="AF10938" s="10"/>
      <c r="AG10938" s="10"/>
      <c r="AH10938" s="10"/>
      <c r="AI10938" s="10"/>
      <c r="AJ10938" s="10"/>
      <c r="AK10938" s="10"/>
      <c r="AL10938" s="10"/>
      <c r="AM10938" s="10"/>
      <c r="AN10938" s="10"/>
      <c r="AO10938" s="10"/>
      <c r="AP10938" s="10"/>
      <c r="AQ10938" s="10"/>
      <c r="AR10938" s="10"/>
      <c r="AS10938" s="10"/>
      <c r="AT10938" s="10"/>
      <c r="AU10938" s="10"/>
      <c r="AV10938" s="10"/>
      <c r="AW10938" s="10"/>
      <c r="AX10938" s="10"/>
      <c r="AY10938" s="10"/>
      <c r="AZ10938" s="10"/>
    </row>
    <row r="10939" spans="31:52">
      <c r="AE10939" s="10"/>
      <c r="AF10939" s="10"/>
      <c r="AG10939" s="10"/>
      <c r="AH10939" s="10"/>
      <c r="AI10939" s="10"/>
      <c r="AJ10939" s="10"/>
      <c r="AK10939" s="10"/>
      <c r="AL10939" s="10"/>
      <c r="AM10939" s="10"/>
      <c r="AN10939" s="10"/>
      <c r="AO10939" s="10"/>
      <c r="AP10939" s="10"/>
      <c r="AQ10939" s="10"/>
      <c r="AR10939" s="10"/>
      <c r="AS10939" s="10"/>
      <c r="AT10939" s="10"/>
      <c r="AU10939" s="10"/>
      <c r="AV10939" s="10"/>
      <c r="AW10939" s="10"/>
      <c r="AX10939" s="10"/>
      <c r="AY10939" s="10"/>
      <c r="AZ10939" s="10"/>
    </row>
    <row r="10940" spans="31:52">
      <c r="AE10940" s="10"/>
      <c r="AF10940" s="10"/>
      <c r="AG10940" s="10"/>
      <c r="AH10940" s="10"/>
      <c r="AI10940" s="10"/>
      <c r="AJ10940" s="10"/>
      <c r="AK10940" s="10"/>
      <c r="AL10940" s="10"/>
      <c r="AM10940" s="10"/>
      <c r="AN10940" s="10"/>
      <c r="AO10940" s="10"/>
      <c r="AP10940" s="10"/>
      <c r="AQ10940" s="10"/>
      <c r="AR10940" s="10"/>
      <c r="AS10940" s="10"/>
      <c r="AT10940" s="10"/>
      <c r="AU10940" s="10"/>
      <c r="AV10940" s="10"/>
      <c r="AW10940" s="10"/>
      <c r="AX10940" s="10"/>
      <c r="AY10940" s="10"/>
      <c r="AZ10940" s="10"/>
    </row>
    <row r="10941" spans="31:52">
      <c r="AE10941" s="10"/>
      <c r="AF10941" s="10"/>
      <c r="AG10941" s="10"/>
      <c r="AH10941" s="10"/>
      <c r="AI10941" s="10"/>
      <c r="AJ10941" s="10"/>
      <c r="AK10941" s="10"/>
      <c r="AL10941" s="10"/>
      <c r="AM10941" s="10"/>
      <c r="AN10941" s="10"/>
      <c r="AO10941" s="10"/>
      <c r="AP10941" s="10"/>
      <c r="AQ10941" s="10"/>
      <c r="AR10941" s="10"/>
      <c r="AS10941" s="10"/>
      <c r="AT10941" s="10"/>
      <c r="AU10941" s="10"/>
      <c r="AV10941" s="10"/>
      <c r="AW10941" s="10"/>
      <c r="AX10941" s="10"/>
      <c r="AY10941" s="10"/>
      <c r="AZ10941" s="10"/>
    </row>
    <row r="10942" spans="31:52">
      <c r="AE10942" s="10"/>
      <c r="AF10942" s="10"/>
      <c r="AG10942" s="10"/>
      <c r="AH10942" s="10"/>
      <c r="AI10942" s="10"/>
      <c r="AJ10942" s="10"/>
      <c r="AK10942" s="10"/>
      <c r="AL10942" s="10"/>
      <c r="AM10942" s="10"/>
      <c r="AN10942" s="10"/>
      <c r="AO10942" s="10"/>
      <c r="AP10942" s="10"/>
      <c r="AQ10942" s="10"/>
      <c r="AR10942" s="10"/>
      <c r="AS10942" s="10"/>
      <c r="AT10942" s="10"/>
      <c r="AU10942" s="10"/>
      <c r="AV10942" s="10"/>
      <c r="AW10942" s="10"/>
      <c r="AX10942" s="10"/>
      <c r="AY10942" s="10"/>
      <c r="AZ10942" s="10"/>
    </row>
    <row r="10943" spans="31:52">
      <c r="AE10943" s="10"/>
      <c r="AF10943" s="10"/>
      <c r="AG10943" s="10"/>
      <c r="AH10943" s="10"/>
      <c r="AI10943" s="10"/>
      <c r="AJ10943" s="10"/>
      <c r="AK10943" s="10"/>
      <c r="AL10943" s="10"/>
      <c r="AM10943" s="10"/>
      <c r="AN10943" s="10"/>
      <c r="AO10943" s="10"/>
      <c r="AP10943" s="10"/>
      <c r="AQ10943" s="10"/>
      <c r="AR10943" s="10"/>
      <c r="AS10943" s="10"/>
      <c r="AT10943" s="10"/>
      <c r="AU10943" s="10"/>
      <c r="AV10943" s="10"/>
      <c r="AW10943" s="10"/>
      <c r="AX10943" s="10"/>
      <c r="AY10943" s="10"/>
      <c r="AZ10943" s="10"/>
    </row>
    <row r="10944" spans="31:52">
      <c r="AE10944" s="10"/>
      <c r="AF10944" s="10"/>
      <c r="AG10944" s="10"/>
      <c r="AH10944" s="10"/>
      <c r="AI10944" s="10"/>
      <c r="AJ10944" s="10"/>
      <c r="AK10944" s="10"/>
      <c r="AL10944" s="10"/>
      <c r="AM10944" s="10"/>
      <c r="AN10944" s="10"/>
      <c r="AO10944" s="10"/>
      <c r="AP10944" s="10"/>
      <c r="AQ10944" s="10"/>
      <c r="AR10944" s="10"/>
      <c r="AS10944" s="10"/>
      <c r="AT10944" s="10"/>
      <c r="AU10944" s="10"/>
      <c r="AV10944" s="10"/>
      <c r="AW10944" s="10"/>
      <c r="AX10944" s="10"/>
      <c r="AY10944" s="10"/>
      <c r="AZ10944" s="10"/>
    </row>
    <row r="10945" spans="31:52">
      <c r="AE10945" s="10"/>
      <c r="AF10945" s="10"/>
      <c r="AG10945" s="10"/>
      <c r="AH10945" s="10"/>
      <c r="AI10945" s="10"/>
      <c r="AJ10945" s="10"/>
      <c r="AK10945" s="10"/>
      <c r="AL10945" s="10"/>
      <c r="AM10945" s="10"/>
      <c r="AN10945" s="10"/>
      <c r="AO10945" s="10"/>
      <c r="AP10945" s="10"/>
      <c r="AQ10945" s="10"/>
      <c r="AR10945" s="10"/>
      <c r="AS10945" s="10"/>
      <c r="AT10945" s="10"/>
      <c r="AU10945" s="10"/>
      <c r="AV10945" s="10"/>
      <c r="AW10945" s="10"/>
      <c r="AX10945" s="10"/>
      <c r="AY10945" s="10"/>
      <c r="AZ10945" s="10"/>
    </row>
    <row r="10946" spans="31:52">
      <c r="AE10946" s="10"/>
      <c r="AF10946" s="10"/>
      <c r="AG10946" s="10"/>
      <c r="AH10946" s="10"/>
      <c r="AI10946" s="10"/>
      <c r="AJ10946" s="10"/>
      <c r="AK10946" s="10"/>
      <c r="AL10946" s="10"/>
      <c r="AM10946" s="10"/>
      <c r="AN10946" s="10"/>
      <c r="AO10946" s="10"/>
      <c r="AP10946" s="10"/>
      <c r="AQ10946" s="10"/>
      <c r="AR10946" s="10"/>
      <c r="AS10946" s="10"/>
      <c r="AT10946" s="10"/>
      <c r="AU10946" s="10"/>
      <c r="AV10946" s="10"/>
      <c r="AW10946" s="10"/>
      <c r="AX10946" s="10"/>
      <c r="AY10946" s="10"/>
      <c r="AZ10946" s="10"/>
    </row>
    <row r="10947" spans="31:52">
      <c r="AE10947" s="10"/>
      <c r="AF10947" s="10"/>
      <c r="AG10947" s="10"/>
      <c r="AH10947" s="10"/>
      <c r="AI10947" s="10"/>
      <c r="AJ10947" s="10"/>
      <c r="AK10947" s="10"/>
      <c r="AL10947" s="10"/>
      <c r="AM10947" s="10"/>
      <c r="AN10947" s="10"/>
      <c r="AO10947" s="10"/>
      <c r="AP10947" s="10"/>
      <c r="AQ10947" s="10"/>
      <c r="AR10947" s="10"/>
      <c r="AS10947" s="10"/>
      <c r="AT10947" s="10"/>
      <c r="AU10947" s="10"/>
      <c r="AV10947" s="10"/>
      <c r="AW10947" s="10"/>
      <c r="AX10947" s="10"/>
      <c r="AY10947" s="10"/>
      <c r="AZ10947" s="10"/>
    </row>
    <row r="10948" spans="31:52">
      <c r="AE10948" s="10"/>
      <c r="AF10948" s="10"/>
      <c r="AG10948" s="10"/>
      <c r="AH10948" s="10"/>
      <c r="AI10948" s="10"/>
      <c r="AJ10948" s="10"/>
      <c r="AK10948" s="10"/>
      <c r="AL10948" s="10"/>
      <c r="AM10948" s="10"/>
      <c r="AN10948" s="10"/>
      <c r="AO10948" s="10"/>
      <c r="AP10948" s="10"/>
      <c r="AQ10948" s="10"/>
      <c r="AR10948" s="10"/>
      <c r="AS10948" s="10"/>
      <c r="AT10948" s="10"/>
      <c r="AU10948" s="10"/>
      <c r="AV10948" s="10"/>
      <c r="AW10948" s="10"/>
      <c r="AX10948" s="10"/>
      <c r="AY10948" s="10"/>
      <c r="AZ10948" s="10"/>
    </row>
    <row r="10949" spans="31:52">
      <c r="AE10949" s="10"/>
      <c r="AF10949" s="10"/>
      <c r="AG10949" s="10"/>
      <c r="AH10949" s="10"/>
      <c r="AI10949" s="10"/>
      <c r="AJ10949" s="10"/>
      <c r="AK10949" s="10"/>
      <c r="AL10949" s="10"/>
      <c r="AM10949" s="10"/>
      <c r="AN10949" s="10"/>
      <c r="AO10949" s="10"/>
      <c r="AP10949" s="10"/>
      <c r="AQ10949" s="10"/>
      <c r="AR10949" s="10"/>
      <c r="AS10949" s="10"/>
      <c r="AT10949" s="10"/>
      <c r="AU10949" s="10"/>
      <c r="AV10949" s="10"/>
      <c r="AW10949" s="10"/>
      <c r="AX10949" s="10"/>
      <c r="AY10949" s="10"/>
      <c r="AZ10949" s="10"/>
    </row>
    <row r="10950" spans="31:52">
      <c r="AE10950" s="10"/>
      <c r="AF10950" s="10"/>
      <c r="AG10950" s="10"/>
      <c r="AH10950" s="10"/>
      <c r="AI10950" s="10"/>
      <c r="AJ10950" s="10"/>
      <c r="AK10950" s="10"/>
      <c r="AL10950" s="10"/>
      <c r="AM10950" s="10"/>
      <c r="AN10950" s="10"/>
      <c r="AO10950" s="10"/>
      <c r="AP10950" s="10"/>
      <c r="AQ10950" s="10"/>
      <c r="AR10950" s="10"/>
      <c r="AS10950" s="10"/>
      <c r="AT10950" s="10"/>
      <c r="AU10950" s="10"/>
      <c r="AV10950" s="10"/>
      <c r="AW10950" s="10"/>
      <c r="AX10950" s="10"/>
      <c r="AY10950" s="10"/>
      <c r="AZ10950" s="10"/>
    </row>
    <row r="10951" spans="31:52">
      <c r="AE10951" s="10"/>
      <c r="AF10951" s="10"/>
      <c r="AG10951" s="10"/>
      <c r="AH10951" s="10"/>
      <c r="AI10951" s="10"/>
      <c r="AJ10951" s="10"/>
      <c r="AK10951" s="10"/>
      <c r="AL10951" s="10"/>
      <c r="AM10951" s="10"/>
      <c r="AN10951" s="10"/>
      <c r="AO10951" s="10"/>
      <c r="AP10951" s="10"/>
      <c r="AQ10951" s="10"/>
      <c r="AR10951" s="10"/>
      <c r="AS10951" s="10"/>
      <c r="AT10951" s="10"/>
      <c r="AU10951" s="10"/>
      <c r="AV10951" s="10"/>
      <c r="AW10951" s="10"/>
      <c r="AX10951" s="10"/>
      <c r="AY10951" s="10"/>
      <c r="AZ10951" s="10"/>
    </row>
    <row r="10952" spans="31:52">
      <c r="AE10952" s="10"/>
      <c r="AF10952" s="10"/>
      <c r="AG10952" s="10"/>
      <c r="AH10952" s="10"/>
      <c r="AI10952" s="10"/>
      <c r="AJ10952" s="10"/>
      <c r="AK10952" s="10"/>
      <c r="AL10952" s="10"/>
      <c r="AM10952" s="10"/>
      <c r="AN10952" s="10"/>
      <c r="AO10952" s="10"/>
      <c r="AP10952" s="10"/>
      <c r="AQ10952" s="10"/>
      <c r="AR10952" s="10"/>
      <c r="AS10952" s="10"/>
      <c r="AT10952" s="10"/>
      <c r="AU10952" s="10"/>
      <c r="AV10952" s="10"/>
      <c r="AW10952" s="10"/>
      <c r="AX10952" s="10"/>
      <c r="AY10952" s="10"/>
      <c r="AZ10952" s="10"/>
    </row>
    <row r="10953" spans="31:52">
      <c r="AE10953" s="10"/>
      <c r="AF10953" s="10"/>
      <c r="AG10953" s="10"/>
      <c r="AH10953" s="10"/>
      <c r="AI10953" s="10"/>
      <c r="AJ10953" s="10"/>
      <c r="AK10953" s="10"/>
      <c r="AL10953" s="10"/>
      <c r="AM10953" s="10"/>
      <c r="AN10953" s="10"/>
      <c r="AO10953" s="10"/>
      <c r="AP10953" s="10"/>
      <c r="AQ10953" s="10"/>
      <c r="AR10953" s="10"/>
      <c r="AS10953" s="10"/>
      <c r="AT10953" s="10"/>
      <c r="AU10953" s="10"/>
      <c r="AV10953" s="10"/>
      <c r="AW10953" s="10"/>
      <c r="AX10953" s="10"/>
      <c r="AY10953" s="10"/>
      <c r="AZ10953" s="10"/>
    </row>
    <row r="10954" spans="31:52">
      <c r="AE10954" s="10"/>
      <c r="AF10954" s="10"/>
      <c r="AG10954" s="10"/>
      <c r="AH10954" s="10"/>
      <c r="AI10954" s="10"/>
      <c r="AJ10954" s="10"/>
      <c r="AK10954" s="10"/>
      <c r="AL10954" s="10"/>
      <c r="AM10954" s="10"/>
      <c r="AN10954" s="10"/>
      <c r="AO10954" s="10"/>
      <c r="AP10954" s="10"/>
      <c r="AQ10954" s="10"/>
      <c r="AR10954" s="10"/>
      <c r="AS10954" s="10"/>
      <c r="AT10954" s="10"/>
      <c r="AU10954" s="10"/>
      <c r="AV10954" s="10"/>
      <c r="AW10954" s="10"/>
      <c r="AX10954" s="10"/>
      <c r="AY10954" s="10"/>
      <c r="AZ10954" s="10"/>
    </row>
    <row r="10955" spans="31:52">
      <c r="AE10955" s="10"/>
      <c r="AF10955" s="10"/>
      <c r="AG10955" s="10"/>
      <c r="AH10955" s="10"/>
      <c r="AI10955" s="10"/>
      <c r="AJ10955" s="10"/>
      <c r="AK10955" s="10"/>
      <c r="AL10955" s="10"/>
      <c r="AM10955" s="10"/>
      <c r="AN10955" s="10"/>
      <c r="AO10955" s="10"/>
      <c r="AP10955" s="10"/>
      <c r="AQ10955" s="10"/>
      <c r="AR10955" s="10"/>
      <c r="AS10955" s="10"/>
      <c r="AT10955" s="10"/>
      <c r="AU10955" s="10"/>
      <c r="AV10955" s="10"/>
      <c r="AW10955" s="10"/>
      <c r="AX10955" s="10"/>
      <c r="AY10955" s="10"/>
      <c r="AZ10955" s="10"/>
    </row>
    <row r="10956" spans="31:52">
      <c r="AE10956" s="10"/>
      <c r="AF10956" s="10"/>
      <c r="AG10956" s="10"/>
      <c r="AH10956" s="10"/>
      <c r="AI10956" s="10"/>
      <c r="AJ10956" s="10"/>
      <c r="AK10956" s="10"/>
      <c r="AL10956" s="10"/>
      <c r="AM10956" s="10"/>
      <c r="AN10956" s="10"/>
      <c r="AO10956" s="10"/>
      <c r="AP10956" s="10"/>
      <c r="AQ10956" s="10"/>
      <c r="AR10956" s="10"/>
      <c r="AS10956" s="10"/>
      <c r="AT10956" s="10"/>
      <c r="AU10956" s="10"/>
      <c r="AV10956" s="10"/>
      <c r="AW10956" s="10"/>
      <c r="AX10956" s="10"/>
      <c r="AY10956" s="10"/>
      <c r="AZ10956" s="10"/>
    </row>
    <row r="10957" spans="31:52">
      <c r="AE10957" s="10"/>
      <c r="AF10957" s="10"/>
      <c r="AG10957" s="10"/>
      <c r="AH10957" s="10"/>
      <c r="AI10957" s="10"/>
      <c r="AJ10957" s="10"/>
      <c r="AK10957" s="10"/>
      <c r="AL10957" s="10"/>
      <c r="AM10957" s="10"/>
      <c r="AN10957" s="10"/>
      <c r="AO10957" s="10"/>
      <c r="AP10957" s="10"/>
      <c r="AQ10957" s="10"/>
      <c r="AR10957" s="10"/>
      <c r="AS10957" s="10"/>
      <c r="AT10957" s="10"/>
      <c r="AU10957" s="10"/>
      <c r="AV10957" s="10"/>
      <c r="AW10957" s="10"/>
      <c r="AX10957" s="10"/>
      <c r="AY10957" s="10"/>
      <c r="AZ10957" s="10"/>
    </row>
    <row r="10958" spans="31:52">
      <c r="AE10958" s="10"/>
      <c r="AF10958" s="10"/>
      <c r="AG10958" s="10"/>
      <c r="AH10958" s="10"/>
      <c r="AI10958" s="10"/>
      <c r="AJ10958" s="10"/>
      <c r="AK10958" s="10"/>
      <c r="AL10958" s="10"/>
      <c r="AM10958" s="10"/>
      <c r="AN10958" s="10"/>
      <c r="AO10958" s="10"/>
      <c r="AP10958" s="10"/>
      <c r="AQ10958" s="10"/>
      <c r="AR10958" s="10"/>
      <c r="AS10958" s="10"/>
      <c r="AT10958" s="10"/>
      <c r="AU10958" s="10"/>
      <c r="AV10958" s="10"/>
      <c r="AW10958" s="10"/>
      <c r="AX10958" s="10"/>
      <c r="AY10958" s="10"/>
      <c r="AZ10958" s="10"/>
    </row>
    <row r="10959" spans="31:52">
      <c r="AE10959" s="10"/>
      <c r="AF10959" s="10"/>
      <c r="AG10959" s="10"/>
      <c r="AH10959" s="10"/>
      <c r="AI10959" s="10"/>
      <c r="AJ10959" s="10"/>
      <c r="AK10959" s="10"/>
      <c r="AL10959" s="10"/>
      <c r="AM10959" s="10"/>
      <c r="AN10959" s="10"/>
      <c r="AO10959" s="10"/>
      <c r="AP10959" s="10"/>
      <c r="AQ10959" s="10"/>
      <c r="AR10959" s="10"/>
      <c r="AS10959" s="10"/>
      <c r="AT10959" s="10"/>
      <c r="AU10959" s="10"/>
      <c r="AV10959" s="10"/>
      <c r="AW10959" s="10"/>
      <c r="AX10959" s="10"/>
      <c r="AY10959" s="10"/>
      <c r="AZ10959" s="10"/>
    </row>
    <row r="10960" spans="31:52">
      <c r="AE10960" s="10"/>
      <c r="AF10960" s="10"/>
      <c r="AG10960" s="10"/>
      <c r="AH10960" s="10"/>
      <c r="AI10960" s="10"/>
      <c r="AJ10960" s="10"/>
      <c r="AK10960" s="10"/>
      <c r="AL10960" s="10"/>
      <c r="AM10960" s="10"/>
      <c r="AN10960" s="10"/>
      <c r="AO10960" s="10"/>
      <c r="AP10960" s="10"/>
      <c r="AQ10960" s="10"/>
      <c r="AR10960" s="10"/>
      <c r="AS10960" s="10"/>
      <c r="AT10960" s="10"/>
      <c r="AU10960" s="10"/>
      <c r="AV10960" s="10"/>
      <c r="AW10960" s="10"/>
      <c r="AX10960" s="10"/>
      <c r="AY10960" s="10"/>
      <c r="AZ10960" s="10"/>
    </row>
    <row r="10961" spans="31:52">
      <c r="AE10961" s="10"/>
      <c r="AF10961" s="10"/>
      <c r="AG10961" s="10"/>
      <c r="AH10961" s="10"/>
      <c r="AI10961" s="10"/>
      <c r="AJ10961" s="10"/>
      <c r="AK10961" s="10"/>
      <c r="AL10961" s="10"/>
      <c r="AM10961" s="10"/>
      <c r="AN10961" s="10"/>
      <c r="AO10961" s="10"/>
      <c r="AP10961" s="10"/>
      <c r="AQ10961" s="10"/>
      <c r="AR10961" s="10"/>
      <c r="AS10961" s="10"/>
      <c r="AT10961" s="10"/>
      <c r="AU10961" s="10"/>
      <c r="AV10961" s="10"/>
      <c r="AW10961" s="10"/>
      <c r="AX10961" s="10"/>
      <c r="AY10961" s="10"/>
      <c r="AZ10961" s="10"/>
    </row>
    <row r="10962" spans="31:52">
      <c r="AE10962" s="10"/>
      <c r="AF10962" s="10"/>
      <c r="AG10962" s="10"/>
      <c r="AH10962" s="10"/>
      <c r="AI10962" s="10"/>
      <c r="AJ10962" s="10"/>
      <c r="AK10962" s="10"/>
      <c r="AL10962" s="10"/>
      <c r="AM10962" s="10"/>
      <c r="AN10962" s="10"/>
      <c r="AO10962" s="10"/>
      <c r="AP10962" s="10"/>
      <c r="AQ10962" s="10"/>
      <c r="AR10962" s="10"/>
      <c r="AS10962" s="10"/>
      <c r="AT10962" s="10"/>
      <c r="AU10962" s="10"/>
      <c r="AV10962" s="10"/>
      <c r="AW10962" s="10"/>
      <c r="AX10962" s="10"/>
      <c r="AY10962" s="10"/>
      <c r="AZ10962" s="10"/>
    </row>
    <row r="10963" spans="31:52">
      <c r="AE10963" s="10"/>
      <c r="AF10963" s="10"/>
      <c r="AG10963" s="10"/>
      <c r="AH10963" s="10"/>
      <c r="AI10963" s="10"/>
      <c r="AJ10963" s="10"/>
      <c r="AK10963" s="10"/>
      <c r="AL10963" s="10"/>
      <c r="AM10963" s="10"/>
      <c r="AN10963" s="10"/>
      <c r="AO10963" s="10"/>
      <c r="AP10963" s="10"/>
      <c r="AQ10963" s="10"/>
      <c r="AR10963" s="10"/>
      <c r="AS10963" s="10"/>
      <c r="AT10963" s="10"/>
      <c r="AU10963" s="10"/>
      <c r="AV10963" s="10"/>
      <c r="AW10963" s="10"/>
      <c r="AX10963" s="10"/>
      <c r="AY10963" s="10"/>
      <c r="AZ10963" s="10"/>
    </row>
    <row r="10964" spans="31:52">
      <c r="AE10964" s="10"/>
      <c r="AF10964" s="10"/>
      <c r="AG10964" s="10"/>
      <c r="AH10964" s="10"/>
      <c r="AI10964" s="10"/>
      <c r="AJ10964" s="10"/>
      <c r="AK10964" s="10"/>
      <c r="AL10964" s="10"/>
      <c r="AM10964" s="10"/>
      <c r="AN10964" s="10"/>
      <c r="AO10964" s="10"/>
      <c r="AP10964" s="10"/>
      <c r="AQ10964" s="10"/>
      <c r="AR10964" s="10"/>
      <c r="AS10964" s="10"/>
      <c r="AT10964" s="10"/>
      <c r="AU10964" s="10"/>
      <c r="AV10964" s="10"/>
      <c r="AW10964" s="10"/>
      <c r="AX10964" s="10"/>
      <c r="AY10964" s="10"/>
      <c r="AZ10964" s="10"/>
    </row>
    <row r="10965" spans="31:52">
      <c r="AE10965" s="10"/>
      <c r="AF10965" s="10"/>
      <c r="AG10965" s="10"/>
      <c r="AH10965" s="10"/>
      <c r="AI10965" s="10"/>
      <c r="AJ10965" s="10"/>
      <c r="AK10965" s="10"/>
      <c r="AL10965" s="10"/>
      <c r="AM10965" s="10"/>
      <c r="AN10965" s="10"/>
      <c r="AO10965" s="10"/>
      <c r="AP10965" s="10"/>
      <c r="AQ10965" s="10"/>
      <c r="AR10965" s="10"/>
      <c r="AS10965" s="10"/>
      <c r="AT10965" s="10"/>
      <c r="AU10965" s="10"/>
      <c r="AV10965" s="10"/>
      <c r="AW10965" s="10"/>
      <c r="AX10965" s="10"/>
      <c r="AY10965" s="10"/>
      <c r="AZ10965" s="10"/>
    </row>
    <row r="10966" spans="31:52">
      <c r="AE10966" s="10"/>
      <c r="AF10966" s="10"/>
      <c r="AG10966" s="10"/>
      <c r="AH10966" s="10"/>
      <c r="AI10966" s="10"/>
      <c r="AJ10966" s="10"/>
      <c r="AK10966" s="10"/>
      <c r="AL10966" s="10"/>
      <c r="AM10966" s="10"/>
      <c r="AN10966" s="10"/>
      <c r="AO10966" s="10"/>
      <c r="AP10966" s="10"/>
      <c r="AQ10966" s="10"/>
      <c r="AR10966" s="10"/>
      <c r="AS10966" s="10"/>
      <c r="AT10966" s="10"/>
      <c r="AU10966" s="10"/>
      <c r="AV10966" s="10"/>
      <c r="AW10966" s="10"/>
      <c r="AX10966" s="10"/>
      <c r="AY10966" s="10"/>
      <c r="AZ10966" s="10"/>
    </row>
    <row r="10967" spans="31:52">
      <c r="AE10967" s="10"/>
      <c r="AF10967" s="10"/>
      <c r="AG10967" s="10"/>
      <c r="AH10967" s="10"/>
      <c r="AI10967" s="10"/>
      <c r="AJ10967" s="10"/>
      <c r="AK10967" s="10"/>
      <c r="AL10967" s="10"/>
      <c r="AM10967" s="10"/>
      <c r="AN10967" s="10"/>
      <c r="AO10967" s="10"/>
      <c r="AP10967" s="10"/>
      <c r="AQ10967" s="10"/>
      <c r="AR10967" s="10"/>
      <c r="AS10967" s="10"/>
      <c r="AT10967" s="10"/>
      <c r="AU10967" s="10"/>
      <c r="AV10967" s="10"/>
      <c r="AW10967" s="10"/>
      <c r="AX10967" s="10"/>
      <c r="AY10967" s="10"/>
      <c r="AZ10967" s="10"/>
    </row>
    <row r="10968" spans="31:52">
      <c r="AE10968" s="10"/>
      <c r="AF10968" s="10"/>
      <c r="AG10968" s="10"/>
      <c r="AH10968" s="10"/>
      <c r="AI10968" s="10"/>
      <c r="AJ10968" s="10"/>
      <c r="AK10968" s="10"/>
      <c r="AL10968" s="10"/>
      <c r="AM10968" s="10"/>
      <c r="AN10968" s="10"/>
      <c r="AO10968" s="10"/>
      <c r="AP10968" s="10"/>
      <c r="AQ10968" s="10"/>
      <c r="AR10968" s="10"/>
      <c r="AS10968" s="10"/>
      <c r="AT10968" s="10"/>
      <c r="AU10968" s="10"/>
      <c r="AV10968" s="10"/>
      <c r="AW10968" s="10"/>
      <c r="AX10968" s="10"/>
      <c r="AY10968" s="10"/>
      <c r="AZ10968" s="10"/>
    </row>
    <row r="10969" spans="31:52">
      <c r="AE10969" s="10"/>
      <c r="AF10969" s="10"/>
      <c r="AG10969" s="10"/>
      <c r="AH10969" s="10"/>
      <c r="AI10969" s="10"/>
      <c r="AJ10969" s="10"/>
      <c r="AK10969" s="10"/>
      <c r="AL10969" s="10"/>
      <c r="AM10969" s="10"/>
      <c r="AN10969" s="10"/>
      <c r="AO10969" s="10"/>
      <c r="AP10969" s="10"/>
      <c r="AQ10969" s="10"/>
      <c r="AR10969" s="10"/>
      <c r="AS10969" s="10"/>
      <c r="AT10969" s="10"/>
      <c r="AU10969" s="10"/>
      <c r="AV10969" s="10"/>
      <c r="AW10969" s="10"/>
      <c r="AX10969" s="10"/>
      <c r="AY10969" s="10"/>
      <c r="AZ10969" s="10"/>
    </row>
    <row r="10970" spans="31:52">
      <c r="AE10970" s="10"/>
      <c r="AF10970" s="10"/>
      <c r="AG10970" s="10"/>
      <c r="AH10970" s="10"/>
      <c r="AI10970" s="10"/>
      <c r="AJ10970" s="10"/>
      <c r="AK10970" s="10"/>
      <c r="AL10970" s="10"/>
      <c r="AM10970" s="10"/>
      <c r="AN10970" s="10"/>
      <c r="AO10970" s="10"/>
      <c r="AP10970" s="10"/>
      <c r="AQ10970" s="10"/>
      <c r="AR10970" s="10"/>
      <c r="AS10970" s="10"/>
      <c r="AT10970" s="10"/>
      <c r="AU10970" s="10"/>
      <c r="AV10970" s="10"/>
      <c r="AW10970" s="10"/>
      <c r="AX10970" s="10"/>
      <c r="AY10970" s="10"/>
      <c r="AZ10970" s="10"/>
    </row>
    <row r="10971" spans="31:52">
      <c r="AE10971" s="10"/>
      <c r="AF10971" s="10"/>
      <c r="AG10971" s="10"/>
      <c r="AH10971" s="10"/>
      <c r="AI10971" s="10"/>
      <c r="AJ10971" s="10"/>
      <c r="AK10971" s="10"/>
      <c r="AL10971" s="10"/>
      <c r="AM10971" s="10"/>
      <c r="AN10971" s="10"/>
      <c r="AO10971" s="10"/>
      <c r="AP10971" s="10"/>
      <c r="AQ10971" s="10"/>
      <c r="AR10971" s="10"/>
      <c r="AS10971" s="10"/>
      <c r="AT10971" s="10"/>
      <c r="AU10971" s="10"/>
      <c r="AV10971" s="10"/>
      <c r="AW10971" s="10"/>
      <c r="AX10971" s="10"/>
      <c r="AY10971" s="10"/>
      <c r="AZ10971" s="10"/>
    </row>
    <row r="10972" spans="31:52">
      <c r="AE10972" s="10"/>
      <c r="AF10972" s="10"/>
      <c r="AG10972" s="10"/>
      <c r="AH10972" s="10"/>
      <c r="AI10972" s="10"/>
      <c r="AJ10972" s="10"/>
      <c r="AK10972" s="10"/>
      <c r="AL10972" s="10"/>
      <c r="AM10972" s="10"/>
      <c r="AN10972" s="10"/>
      <c r="AO10972" s="10"/>
      <c r="AP10972" s="10"/>
      <c r="AQ10972" s="10"/>
      <c r="AR10972" s="10"/>
      <c r="AS10972" s="10"/>
      <c r="AT10972" s="10"/>
      <c r="AU10972" s="10"/>
      <c r="AV10972" s="10"/>
      <c r="AW10972" s="10"/>
      <c r="AX10972" s="10"/>
      <c r="AY10972" s="10"/>
      <c r="AZ10972" s="10"/>
    </row>
    <row r="10973" spans="31:52">
      <c r="AE10973" s="10"/>
      <c r="AF10973" s="10"/>
      <c r="AG10973" s="10"/>
      <c r="AH10973" s="10"/>
      <c r="AI10973" s="10"/>
      <c r="AJ10973" s="10"/>
      <c r="AK10973" s="10"/>
      <c r="AL10973" s="10"/>
      <c r="AM10973" s="10"/>
      <c r="AN10973" s="10"/>
      <c r="AO10973" s="10"/>
      <c r="AP10973" s="10"/>
      <c r="AQ10973" s="10"/>
      <c r="AR10973" s="10"/>
      <c r="AS10973" s="10"/>
      <c r="AT10973" s="10"/>
      <c r="AU10973" s="10"/>
      <c r="AV10973" s="10"/>
      <c r="AW10973" s="10"/>
      <c r="AX10973" s="10"/>
      <c r="AY10973" s="10"/>
      <c r="AZ10973" s="10"/>
    </row>
    <row r="10974" spans="31:52">
      <c r="AE10974" s="10"/>
      <c r="AF10974" s="10"/>
      <c r="AG10974" s="10"/>
      <c r="AH10974" s="10"/>
      <c r="AI10974" s="10"/>
      <c r="AJ10974" s="10"/>
      <c r="AK10974" s="10"/>
      <c r="AL10974" s="10"/>
      <c r="AM10974" s="10"/>
      <c r="AN10974" s="10"/>
      <c r="AO10974" s="10"/>
      <c r="AP10974" s="10"/>
      <c r="AQ10974" s="10"/>
      <c r="AR10974" s="10"/>
      <c r="AS10974" s="10"/>
      <c r="AT10974" s="10"/>
      <c r="AU10974" s="10"/>
      <c r="AV10974" s="10"/>
      <c r="AW10974" s="10"/>
      <c r="AX10974" s="10"/>
      <c r="AY10974" s="10"/>
      <c r="AZ10974" s="10"/>
    </row>
    <row r="10975" spans="31:52">
      <c r="AE10975" s="10"/>
      <c r="AF10975" s="10"/>
      <c r="AG10975" s="10"/>
      <c r="AH10975" s="10"/>
      <c r="AI10975" s="10"/>
      <c r="AJ10975" s="10"/>
      <c r="AK10975" s="10"/>
      <c r="AL10975" s="10"/>
      <c r="AM10975" s="10"/>
      <c r="AN10975" s="10"/>
      <c r="AO10975" s="10"/>
      <c r="AP10975" s="10"/>
      <c r="AQ10975" s="10"/>
      <c r="AR10975" s="10"/>
      <c r="AS10975" s="10"/>
      <c r="AT10975" s="10"/>
      <c r="AU10975" s="10"/>
      <c r="AV10975" s="10"/>
      <c r="AW10975" s="10"/>
      <c r="AX10975" s="10"/>
      <c r="AY10975" s="10"/>
      <c r="AZ10975" s="10"/>
    </row>
    <row r="10976" spans="31:52">
      <c r="AE10976" s="10"/>
      <c r="AF10976" s="10"/>
      <c r="AG10976" s="10"/>
      <c r="AH10976" s="10"/>
      <c r="AI10976" s="10"/>
      <c r="AJ10976" s="10"/>
      <c r="AK10976" s="10"/>
      <c r="AL10976" s="10"/>
      <c r="AM10976" s="10"/>
      <c r="AN10976" s="10"/>
      <c r="AO10976" s="10"/>
      <c r="AP10976" s="10"/>
      <c r="AQ10976" s="10"/>
      <c r="AR10976" s="10"/>
      <c r="AS10976" s="10"/>
      <c r="AT10976" s="10"/>
      <c r="AU10976" s="10"/>
      <c r="AV10976" s="10"/>
      <c r="AW10976" s="10"/>
      <c r="AX10976" s="10"/>
      <c r="AY10976" s="10"/>
      <c r="AZ10976" s="10"/>
    </row>
    <row r="10977" spans="31:52">
      <c r="AE10977" s="10"/>
      <c r="AF10977" s="10"/>
      <c r="AG10977" s="10"/>
      <c r="AH10977" s="10"/>
      <c r="AI10977" s="10"/>
      <c r="AJ10977" s="10"/>
      <c r="AK10977" s="10"/>
      <c r="AL10977" s="10"/>
      <c r="AM10977" s="10"/>
      <c r="AN10977" s="10"/>
      <c r="AO10977" s="10"/>
      <c r="AP10977" s="10"/>
      <c r="AQ10977" s="10"/>
      <c r="AR10977" s="10"/>
      <c r="AS10977" s="10"/>
      <c r="AT10977" s="10"/>
      <c r="AU10977" s="10"/>
      <c r="AV10977" s="10"/>
      <c r="AW10977" s="10"/>
      <c r="AX10977" s="10"/>
      <c r="AY10977" s="10"/>
      <c r="AZ10977" s="10"/>
    </row>
    <row r="10978" spans="31:52">
      <c r="AE10978" s="10"/>
      <c r="AF10978" s="10"/>
      <c r="AG10978" s="10"/>
      <c r="AH10978" s="10"/>
      <c r="AI10978" s="10"/>
      <c r="AJ10978" s="10"/>
      <c r="AK10978" s="10"/>
      <c r="AL10978" s="10"/>
      <c r="AM10978" s="10"/>
      <c r="AN10978" s="10"/>
      <c r="AO10978" s="10"/>
      <c r="AP10978" s="10"/>
      <c r="AQ10978" s="10"/>
      <c r="AR10978" s="10"/>
      <c r="AS10978" s="10"/>
      <c r="AT10978" s="10"/>
      <c r="AU10978" s="10"/>
      <c r="AV10978" s="10"/>
      <c r="AW10978" s="10"/>
      <c r="AX10978" s="10"/>
      <c r="AY10978" s="10"/>
      <c r="AZ10978" s="10"/>
    </row>
    <row r="10979" spans="31:52">
      <c r="AE10979" s="10"/>
      <c r="AF10979" s="10"/>
      <c r="AG10979" s="10"/>
      <c r="AH10979" s="10"/>
      <c r="AI10979" s="10"/>
      <c r="AJ10979" s="10"/>
      <c r="AK10979" s="10"/>
      <c r="AL10979" s="10"/>
      <c r="AM10979" s="10"/>
      <c r="AN10979" s="10"/>
      <c r="AO10979" s="10"/>
      <c r="AP10979" s="10"/>
      <c r="AQ10979" s="10"/>
      <c r="AR10979" s="10"/>
      <c r="AS10979" s="10"/>
      <c r="AT10979" s="10"/>
      <c r="AU10979" s="10"/>
      <c r="AV10979" s="10"/>
      <c r="AW10979" s="10"/>
      <c r="AX10979" s="10"/>
      <c r="AY10979" s="10"/>
      <c r="AZ10979" s="10"/>
    </row>
    <row r="10980" spans="31:52">
      <c r="AE10980" s="10"/>
      <c r="AF10980" s="10"/>
      <c r="AG10980" s="10"/>
      <c r="AH10980" s="10"/>
      <c r="AI10980" s="10"/>
      <c r="AJ10980" s="10"/>
      <c r="AK10980" s="10"/>
      <c r="AL10980" s="10"/>
      <c r="AM10980" s="10"/>
      <c r="AN10980" s="10"/>
      <c r="AO10980" s="10"/>
      <c r="AP10980" s="10"/>
      <c r="AQ10980" s="10"/>
      <c r="AR10980" s="10"/>
      <c r="AS10980" s="10"/>
      <c r="AT10980" s="10"/>
      <c r="AU10980" s="10"/>
      <c r="AV10980" s="10"/>
      <c r="AW10980" s="10"/>
      <c r="AX10980" s="10"/>
      <c r="AY10980" s="10"/>
      <c r="AZ10980" s="10"/>
    </row>
    <row r="10981" spans="31:52">
      <c r="AE10981" s="10"/>
      <c r="AF10981" s="10"/>
      <c r="AG10981" s="10"/>
      <c r="AH10981" s="10"/>
      <c r="AI10981" s="10"/>
      <c r="AJ10981" s="10"/>
      <c r="AK10981" s="10"/>
      <c r="AL10981" s="10"/>
      <c r="AM10981" s="10"/>
      <c r="AN10981" s="10"/>
      <c r="AO10981" s="10"/>
      <c r="AP10981" s="10"/>
      <c r="AQ10981" s="10"/>
      <c r="AR10981" s="10"/>
      <c r="AS10981" s="10"/>
      <c r="AT10981" s="10"/>
      <c r="AU10981" s="10"/>
      <c r="AV10981" s="10"/>
      <c r="AW10981" s="10"/>
      <c r="AX10981" s="10"/>
      <c r="AY10981" s="10"/>
      <c r="AZ10981" s="10"/>
    </row>
    <row r="10982" spans="31:52">
      <c r="AE10982" s="10"/>
      <c r="AF10982" s="10"/>
      <c r="AG10982" s="10"/>
      <c r="AH10982" s="10"/>
      <c r="AI10982" s="10"/>
      <c r="AJ10982" s="10"/>
      <c r="AK10982" s="10"/>
      <c r="AL10982" s="10"/>
      <c r="AM10982" s="10"/>
      <c r="AN10982" s="10"/>
      <c r="AO10982" s="10"/>
      <c r="AP10982" s="10"/>
      <c r="AQ10982" s="10"/>
      <c r="AR10982" s="10"/>
      <c r="AS10982" s="10"/>
      <c r="AT10982" s="10"/>
      <c r="AU10982" s="10"/>
      <c r="AV10982" s="10"/>
      <c r="AW10982" s="10"/>
      <c r="AX10982" s="10"/>
      <c r="AY10982" s="10"/>
      <c r="AZ10982" s="10"/>
    </row>
    <row r="10983" spans="31:52">
      <c r="AE10983" s="10"/>
      <c r="AF10983" s="10"/>
      <c r="AG10983" s="10"/>
      <c r="AH10983" s="10"/>
      <c r="AI10983" s="10"/>
      <c r="AJ10983" s="10"/>
      <c r="AK10983" s="10"/>
      <c r="AL10983" s="10"/>
      <c r="AM10983" s="10"/>
      <c r="AN10983" s="10"/>
      <c r="AO10983" s="10"/>
      <c r="AP10983" s="10"/>
      <c r="AQ10983" s="10"/>
      <c r="AR10983" s="10"/>
      <c r="AS10983" s="10"/>
      <c r="AT10983" s="10"/>
      <c r="AU10983" s="10"/>
      <c r="AV10983" s="10"/>
      <c r="AW10983" s="10"/>
      <c r="AX10983" s="10"/>
      <c r="AY10983" s="10"/>
      <c r="AZ10983" s="10"/>
    </row>
    <row r="10984" spans="31:52">
      <c r="AE10984" s="10"/>
      <c r="AF10984" s="10"/>
      <c r="AG10984" s="10"/>
      <c r="AH10984" s="10"/>
      <c r="AI10984" s="10"/>
      <c r="AJ10984" s="10"/>
      <c r="AK10984" s="10"/>
      <c r="AL10984" s="10"/>
      <c r="AM10984" s="10"/>
      <c r="AN10984" s="10"/>
      <c r="AO10984" s="10"/>
      <c r="AP10984" s="10"/>
      <c r="AQ10984" s="10"/>
      <c r="AR10984" s="10"/>
      <c r="AS10984" s="10"/>
      <c r="AT10984" s="10"/>
      <c r="AU10984" s="10"/>
      <c r="AV10984" s="10"/>
      <c r="AW10984" s="10"/>
      <c r="AX10984" s="10"/>
      <c r="AY10984" s="10"/>
      <c r="AZ10984" s="10"/>
    </row>
    <row r="10985" spans="31:52">
      <c r="AE10985" s="10"/>
      <c r="AF10985" s="10"/>
      <c r="AG10985" s="10"/>
      <c r="AH10985" s="10"/>
      <c r="AI10985" s="10"/>
      <c r="AJ10985" s="10"/>
      <c r="AK10985" s="10"/>
      <c r="AL10985" s="10"/>
      <c r="AM10985" s="10"/>
      <c r="AN10985" s="10"/>
      <c r="AO10985" s="10"/>
      <c r="AP10985" s="10"/>
      <c r="AQ10985" s="10"/>
      <c r="AR10985" s="10"/>
      <c r="AS10985" s="10"/>
      <c r="AT10985" s="10"/>
      <c r="AU10985" s="10"/>
      <c r="AV10985" s="10"/>
      <c r="AW10985" s="10"/>
      <c r="AX10985" s="10"/>
      <c r="AY10985" s="10"/>
      <c r="AZ10985" s="10"/>
    </row>
    <row r="10986" spans="31:52">
      <c r="AE10986" s="10"/>
      <c r="AF10986" s="10"/>
      <c r="AG10986" s="10"/>
      <c r="AH10986" s="10"/>
      <c r="AI10986" s="10"/>
      <c r="AJ10986" s="10"/>
      <c r="AK10986" s="10"/>
      <c r="AL10986" s="10"/>
      <c r="AM10986" s="10"/>
      <c r="AN10986" s="10"/>
      <c r="AO10986" s="10"/>
      <c r="AP10986" s="10"/>
      <c r="AQ10986" s="10"/>
      <c r="AR10986" s="10"/>
      <c r="AS10986" s="10"/>
      <c r="AT10986" s="10"/>
      <c r="AU10986" s="10"/>
      <c r="AV10986" s="10"/>
      <c r="AW10986" s="10"/>
      <c r="AX10986" s="10"/>
      <c r="AY10986" s="10"/>
      <c r="AZ10986" s="10"/>
    </row>
    <row r="10987" spans="31:52">
      <c r="AE10987" s="10"/>
      <c r="AF10987" s="10"/>
      <c r="AG10987" s="10"/>
      <c r="AH10987" s="10"/>
      <c r="AI10987" s="10"/>
      <c r="AJ10987" s="10"/>
      <c r="AK10987" s="10"/>
      <c r="AL10987" s="10"/>
      <c r="AM10987" s="10"/>
      <c r="AN10987" s="10"/>
      <c r="AO10987" s="10"/>
      <c r="AP10987" s="10"/>
      <c r="AQ10987" s="10"/>
      <c r="AR10987" s="10"/>
      <c r="AS10987" s="10"/>
      <c r="AT10987" s="10"/>
      <c r="AU10987" s="10"/>
      <c r="AV10987" s="10"/>
      <c r="AW10987" s="10"/>
      <c r="AX10987" s="10"/>
      <c r="AY10987" s="10"/>
      <c r="AZ10987" s="10"/>
    </row>
    <row r="10988" spans="31:52">
      <c r="AE10988" s="10"/>
      <c r="AF10988" s="10"/>
      <c r="AG10988" s="10"/>
      <c r="AH10988" s="10"/>
      <c r="AI10988" s="10"/>
      <c r="AJ10988" s="10"/>
      <c r="AK10988" s="10"/>
      <c r="AL10988" s="10"/>
      <c r="AM10988" s="10"/>
      <c r="AN10988" s="10"/>
      <c r="AO10988" s="10"/>
      <c r="AP10988" s="10"/>
      <c r="AQ10988" s="10"/>
      <c r="AR10988" s="10"/>
      <c r="AS10988" s="10"/>
      <c r="AT10988" s="10"/>
      <c r="AU10988" s="10"/>
      <c r="AV10988" s="10"/>
      <c r="AW10988" s="10"/>
      <c r="AX10988" s="10"/>
      <c r="AY10988" s="10"/>
      <c r="AZ10988" s="10"/>
    </row>
    <row r="10989" spans="31:52">
      <c r="AE10989" s="10"/>
      <c r="AF10989" s="10"/>
      <c r="AG10989" s="10"/>
      <c r="AH10989" s="10"/>
      <c r="AI10989" s="10"/>
      <c r="AJ10989" s="10"/>
      <c r="AK10989" s="10"/>
      <c r="AL10989" s="10"/>
      <c r="AM10989" s="10"/>
      <c r="AN10989" s="10"/>
      <c r="AO10989" s="10"/>
      <c r="AP10989" s="10"/>
      <c r="AQ10989" s="10"/>
      <c r="AR10989" s="10"/>
      <c r="AS10989" s="10"/>
      <c r="AT10989" s="10"/>
      <c r="AU10989" s="10"/>
      <c r="AV10989" s="10"/>
      <c r="AW10989" s="10"/>
      <c r="AX10989" s="10"/>
      <c r="AY10989" s="10"/>
      <c r="AZ10989" s="10"/>
    </row>
    <row r="10990" spans="31:52">
      <c r="AE10990" s="10"/>
      <c r="AF10990" s="10"/>
      <c r="AG10990" s="10"/>
      <c r="AH10990" s="10"/>
      <c r="AI10990" s="10"/>
      <c r="AJ10990" s="10"/>
      <c r="AK10990" s="10"/>
      <c r="AL10990" s="10"/>
      <c r="AM10990" s="10"/>
      <c r="AN10990" s="10"/>
      <c r="AO10990" s="10"/>
      <c r="AP10990" s="10"/>
      <c r="AQ10990" s="10"/>
      <c r="AR10990" s="10"/>
      <c r="AS10990" s="10"/>
      <c r="AT10990" s="10"/>
      <c r="AU10990" s="10"/>
      <c r="AV10990" s="10"/>
      <c r="AW10990" s="10"/>
      <c r="AX10990" s="10"/>
      <c r="AY10990" s="10"/>
      <c r="AZ10990" s="10"/>
    </row>
    <row r="10991" spans="31:52">
      <c r="AE10991" s="10"/>
      <c r="AF10991" s="10"/>
      <c r="AG10991" s="10"/>
      <c r="AH10991" s="10"/>
      <c r="AI10991" s="10"/>
      <c r="AJ10991" s="10"/>
      <c r="AK10991" s="10"/>
      <c r="AL10991" s="10"/>
      <c r="AM10991" s="10"/>
      <c r="AN10991" s="10"/>
      <c r="AO10991" s="10"/>
      <c r="AP10991" s="10"/>
      <c r="AQ10991" s="10"/>
      <c r="AR10991" s="10"/>
      <c r="AS10991" s="10"/>
      <c r="AT10991" s="10"/>
      <c r="AU10991" s="10"/>
      <c r="AV10991" s="10"/>
      <c r="AW10991" s="10"/>
      <c r="AX10991" s="10"/>
      <c r="AY10991" s="10"/>
      <c r="AZ10991" s="10"/>
    </row>
    <row r="10992" spans="31:52">
      <c r="AE10992" s="10"/>
      <c r="AF10992" s="10"/>
      <c r="AG10992" s="10"/>
      <c r="AH10992" s="10"/>
      <c r="AI10992" s="10"/>
      <c r="AJ10992" s="10"/>
      <c r="AK10992" s="10"/>
      <c r="AL10992" s="10"/>
      <c r="AM10992" s="10"/>
      <c r="AN10992" s="10"/>
      <c r="AO10992" s="10"/>
      <c r="AP10992" s="10"/>
      <c r="AQ10992" s="10"/>
      <c r="AR10992" s="10"/>
      <c r="AS10992" s="10"/>
      <c r="AT10992" s="10"/>
      <c r="AU10992" s="10"/>
      <c r="AV10992" s="10"/>
      <c r="AW10992" s="10"/>
      <c r="AX10992" s="10"/>
      <c r="AY10992" s="10"/>
      <c r="AZ10992" s="10"/>
    </row>
    <row r="10993" spans="31:52">
      <c r="AE10993" s="10"/>
      <c r="AF10993" s="10"/>
      <c r="AG10993" s="10"/>
      <c r="AH10993" s="10"/>
      <c r="AI10993" s="10"/>
      <c r="AJ10993" s="10"/>
      <c r="AK10993" s="10"/>
      <c r="AL10993" s="10"/>
      <c r="AM10993" s="10"/>
      <c r="AN10993" s="10"/>
      <c r="AO10993" s="10"/>
      <c r="AP10993" s="10"/>
      <c r="AQ10993" s="10"/>
      <c r="AR10993" s="10"/>
      <c r="AS10993" s="10"/>
      <c r="AT10993" s="10"/>
      <c r="AU10993" s="10"/>
      <c r="AV10993" s="10"/>
      <c r="AW10993" s="10"/>
      <c r="AX10993" s="10"/>
      <c r="AY10993" s="10"/>
      <c r="AZ10993" s="10"/>
    </row>
    <row r="10994" spans="31:52">
      <c r="AE10994" s="10"/>
      <c r="AF10994" s="10"/>
      <c r="AG10994" s="10"/>
      <c r="AH10994" s="10"/>
      <c r="AI10994" s="10"/>
      <c r="AJ10994" s="10"/>
      <c r="AK10994" s="10"/>
      <c r="AL10994" s="10"/>
      <c r="AM10994" s="10"/>
      <c r="AN10994" s="10"/>
      <c r="AO10994" s="10"/>
      <c r="AP10994" s="10"/>
      <c r="AQ10994" s="10"/>
      <c r="AR10994" s="10"/>
      <c r="AS10994" s="10"/>
      <c r="AT10994" s="10"/>
      <c r="AU10994" s="10"/>
      <c r="AV10994" s="10"/>
      <c r="AW10994" s="10"/>
      <c r="AX10994" s="10"/>
      <c r="AY10994" s="10"/>
      <c r="AZ10994" s="10"/>
    </row>
    <row r="10995" spans="31:52">
      <c r="AE10995" s="10"/>
      <c r="AF10995" s="10"/>
      <c r="AG10995" s="10"/>
      <c r="AH10995" s="10"/>
      <c r="AI10995" s="10"/>
      <c r="AJ10995" s="10"/>
      <c r="AK10995" s="10"/>
      <c r="AL10995" s="10"/>
      <c r="AM10995" s="10"/>
      <c r="AN10995" s="10"/>
      <c r="AO10995" s="10"/>
      <c r="AP10995" s="10"/>
      <c r="AQ10995" s="10"/>
      <c r="AR10995" s="10"/>
      <c r="AS10995" s="10"/>
      <c r="AT10995" s="10"/>
      <c r="AU10995" s="10"/>
      <c r="AV10995" s="10"/>
      <c r="AW10995" s="10"/>
      <c r="AX10995" s="10"/>
      <c r="AY10995" s="10"/>
      <c r="AZ10995" s="10"/>
    </row>
    <row r="10996" spans="31:52">
      <c r="AE10996" s="10"/>
      <c r="AF10996" s="10"/>
      <c r="AG10996" s="10"/>
      <c r="AH10996" s="10"/>
      <c r="AI10996" s="10"/>
      <c r="AJ10996" s="10"/>
      <c r="AK10996" s="10"/>
      <c r="AL10996" s="10"/>
      <c r="AM10996" s="10"/>
      <c r="AN10996" s="10"/>
      <c r="AO10996" s="10"/>
      <c r="AP10996" s="10"/>
      <c r="AQ10996" s="10"/>
      <c r="AR10996" s="10"/>
      <c r="AS10996" s="10"/>
      <c r="AT10996" s="10"/>
      <c r="AU10996" s="10"/>
      <c r="AV10996" s="10"/>
      <c r="AW10996" s="10"/>
      <c r="AX10996" s="10"/>
      <c r="AY10996" s="10"/>
      <c r="AZ10996" s="10"/>
    </row>
    <row r="10997" spans="31:52">
      <c r="AE10997" s="10"/>
      <c r="AF10997" s="10"/>
      <c r="AG10997" s="10"/>
      <c r="AH10997" s="10"/>
      <c r="AI10997" s="10"/>
      <c r="AJ10997" s="10"/>
      <c r="AK10997" s="10"/>
      <c r="AL10997" s="10"/>
      <c r="AM10997" s="10"/>
      <c r="AN10997" s="10"/>
      <c r="AO10997" s="10"/>
      <c r="AP10997" s="10"/>
      <c r="AQ10997" s="10"/>
      <c r="AR10997" s="10"/>
      <c r="AS10997" s="10"/>
      <c r="AT10997" s="10"/>
      <c r="AU10997" s="10"/>
      <c r="AV10997" s="10"/>
      <c r="AW10997" s="10"/>
      <c r="AX10997" s="10"/>
      <c r="AY10997" s="10"/>
      <c r="AZ10997" s="10"/>
    </row>
    <row r="10998" spans="31:52">
      <c r="AE10998" s="10"/>
      <c r="AF10998" s="10"/>
      <c r="AG10998" s="10"/>
      <c r="AH10998" s="10"/>
      <c r="AI10998" s="10"/>
      <c r="AJ10998" s="10"/>
      <c r="AK10998" s="10"/>
      <c r="AL10998" s="10"/>
      <c r="AM10998" s="10"/>
      <c r="AN10998" s="10"/>
      <c r="AO10998" s="10"/>
      <c r="AP10998" s="10"/>
      <c r="AQ10998" s="10"/>
      <c r="AR10998" s="10"/>
      <c r="AS10998" s="10"/>
      <c r="AT10998" s="10"/>
      <c r="AU10998" s="10"/>
      <c r="AV10998" s="10"/>
      <c r="AW10998" s="10"/>
      <c r="AX10998" s="10"/>
      <c r="AY10998" s="10"/>
      <c r="AZ10998" s="10"/>
    </row>
    <row r="10999" spans="31:52">
      <c r="AE10999" s="10"/>
      <c r="AF10999" s="10"/>
      <c r="AG10999" s="10"/>
      <c r="AH10999" s="10"/>
      <c r="AI10999" s="10"/>
      <c r="AJ10999" s="10"/>
      <c r="AK10999" s="10"/>
      <c r="AL10999" s="10"/>
      <c r="AM10999" s="10"/>
      <c r="AN10999" s="10"/>
      <c r="AO10999" s="10"/>
      <c r="AP10999" s="10"/>
      <c r="AQ10999" s="10"/>
      <c r="AR10999" s="10"/>
      <c r="AS10999" s="10"/>
      <c r="AT10999" s="10"/>
      <c r="AU10999" s="10"/>
      <c r="AV10999" s="10"/>
      <c r="AW10999" s="10"/>
      <c r="AX10999" s="10"/>
      <c r="AY10999" s="10"/>
      <c r="AZ10999" s="10"/>
    </row>
    <row r="11000" spans="31:52">
      <c r="AE11000" s="10"/>
      <c r="AF11000" s="10"/>
      <c r="AG11000" s="10"/>
      <c r="AH11000" s="10"/>
      <c r="AI11000" s="10"/>
      <c r="AJ11000" s="10"/>
      <c r="AK11000" s="10"/>
      <c r="AL11000" s="10"/>
      <c r="AM11000" s="10"/>
      <c r="AN11000" s="10"/>
      <c r="AO11000" s="10"/>
      <c r="AP11000" s="10"/>
      <c r="AQ11000" s="10"/>
      <c r="AR11000" s="10"/>
      <c r="AS11000" s="10"/>
      <c r="AT11000" s="10"/>
      <c r="AU11000" s="10"/>
      <c r="AV11000" s="10"/>
      <c r="AW11000" s="10"/>
      <c r="AX11000" s="10"/>
      <c r="AY11000" s="10"/>
      <c r="AZ11000" s="10"/>
    </row>
    <row r="11001" spans="31:52">
      <c r="AE11001" s="10"/>
      <c r="AF11001" s="10"/>
      <c r="AG11001" s="10"/>
      <c r="AH11001" s="10"/>
      <c r="AI11001" s="10"/>
      <c r="AJ11001" s="10"/>
      <c r="AK11001" s="10"/>
      <c r="AL11001" s="10"/>
      <c r="AM11001" s="10"/>
      <c r="AN11001" s="10"/>
      <c r="AO11001" s="10"/>
      <c r="AP11001" s="10"/>
      <c r="AQ11001" s="10"/>
      <c r="AR11001" s="10"/>
      <c r="AS11001" s="10"/>
      <c r="AT11001" s="10"/>
      <c r="AU11001" s="10"/>
      <c r="AV11001" s="10"/>
      <c r="AW11001" s="10"/>
      <c r="AX11001" s="10"/>
      <c r="AY11001" s="10"/>
      <c r="AZ11001" s="10"/>
    </row>
    <row r="11002" spans="31:52">
      <c r="AE11002" s="10"/>
      <c r="AF11002" s="10"/>
      <c r="AG11002" s="10"/>
      <c r="AH11002" s="10"/>
      <c r="AI11002" s="10"/>
      <c r="AJ11002" s="10"/>
      <c r="AK11002" s="10"/>
      <c r="AL11002" s="10"/>
      <c r="AM11002" s="10"/>
      <c r="AN11002" s="10"/>
      <c r="AO11002" s="10"/>
      <c r="AP11002" s="10"/>
      <c r="AQ11002" s="10"/>
      <c r="AR11002" s="10"/>
      <c r="AS11002" s="10"/>
      <c r="AT11002" s="10"/>
      <c r="AU11002" s="10"/>
      <c r="AV11002" s="10"/>
      <c r="AW11002" s="10"/>
      <c r="AX11002" s="10"/>
      <c r="AY11002" s="10"/>
      <c r="AZ11002" s="10"/>
    </row>
    <row r="11003" spans="31:52">
      <c r="AE11003" s="10"/>
      <c r="AF11003" s="10"/>
      <c r="AG11003" s="10"/>
      <c r="AH11003" s="10"/>
      <c r="AI11003" s="10"/>
      <c r="AJ11003" s="10"/>
      <c r="AK11003" s="10"/>
      <c r="AL11003" s="10"/>
      <c r="AM11003" s="10"/>
      <c r="AN11003" s="10"/>
      <c r="AO11003" s="10"/>
      <c r="AP11003" s="10"/>
      <c r="AQ11003" s="10"/>
      <c r="AR11003" s="10"/>
      <c r="AS11003" s="10"/>
      <c r="AT11003" s="10"/>
      <c r="AU11003" s="10"/>
      <c r="AV11003" s="10"/>
      <c r="AW11003" s="10"/>
      <c r="AX11003" s="10"/>
      <c r="AY11003" s="10"/>
      <c r="AZ11003" s="10"/>
    </row>
    <row r="11004" spans="31:52">
      <c r="AE11004" s="10"/>
      <c r="AF11004" s="10"/>
      <c r="AG11004" s="10"/>
      <c r="AH11004" s="10"/>
      <c r="AI11004" s="10"/>
      <c r="AJ11004" s="10"/>
      <c r="AK11004" s="10"/>
      <c r="AL11004" s="10"/>
      <c r="AM11004" s="10"/>
      <c r="AN11004" s="10"/>
      <c r="AO11004" s="10"/>
      <c r="AP11004" s="10"/>
      <c r="AQ11004" s="10"/>
      <c r="AR11004" s="10"/>
      <c r="AS11004" s="10"/>
      <c r="AT11004" s="10"/>
      <c r="AU11004" s="10"/>
      <c r="AV11004" s="10"/>
      <c r="AW11004" s="10"/>
      <c r="AX11004" s="10"/>
      <c r="AY11004" s="10"/>
      <c r="AZ11004" s="10"/>
    </row>
    <row r="11005" spans="31:52">
      <c r="AE11005" s="10"/>
      <c r="AF11005" s="10"/>
      <c r="AG11005" s="10"/>
      <c r="AH11005" s="10"/>
      <c r="AI11005" s="10"/>
      <c r="AJ11005" s="10"/>
      <c r="AK11005" s="10"/>
      <c r="AL11005" s="10"/>
      <c r="AM11005" s="10"/>
      <c r="AN11005" s="10"/>
      <c r="AO11005" s="10"/>
      <c r="AP11005" s="10"/>
      <c r="AQ11005" s="10"/>
      <c r="AR11005" s="10"/>
      <c r="AS11005" s="10"/>
      <c r="AT11005" s="10"/>
      <c r="AU11005" s="10"/>
      <c r="AV11005" s="10"/>
      <c r="AW11005" s="10"/>
      <c r="AX11005" s="10"/>
      <c r="AY11005" s="10"/>
      <c r="AZ11005" s="10"/>
    </row>
    <row r="11006" spans="31:52">
      <c r="AE11006" s="10"/>
      <c r="AF11006" s="10"/>
      <c r="AG11006" s="10"/>
      <c r="AH11006" s="10"/>
      <c r="AI11006" s="10"/>
      <c r="AJ11006" s="10"/>
      <c r="AK11006" s="10"/>
      <c r="AL11006" s="10"/>
      <c r="AM11006" s="10"/>
      <c r="AN11006" s="10"/>
      <c r="AO11006" s="10"/>
      <c r="AP11006" s="10"/>
      <c r="AQ11006" s="10"/>
      <c r="AR11006" s="10"/>
      <c r="AS11006" s="10"/>
      <c r="AT11006" s="10"/>
      <c r="AU11006" s="10"/>
      <c r="AV11006" s="10"/>
      <c r="AW11006" s="10"/>
      <c r="AX11006" s="10"/>
      <c r="AY11006" s="10"/>
      <c r="AZ11006" s="10"/>
    </row>
    <row r="11007" spans="31:52">
      <c r="AE11007" s="10"/>
      <c r="AF11007" s="10"/>
      <c r="AG11007" s="10"/>
      <c r="AH11007" s="10"/>
      <c r="AI11007" s="10"/>
      <c r="AJ11007" s="10"/>
      <c r="AK11007" s="10"/>
      <c r="AL11007" s="10"/>
      <c r="AM11007" s="10"/>
      <c r="AN11007" s="10"/>
      <c r="AO11007" s="10"/>
      <c r="AP11007" s="10"/>
      <c r="AQ11007" s="10"/>
      <c r="AR11007" s="10"/>
      <c r="AS11007" s="10"/>
      <c r="AT11007" s="10"/>
      <c r="AU11007" s="10"/>
      <c r="AV11007" s="10"/>
      <c r="AW11007" s="10"/>
      <c r="AX11007" s="10"/>
      <c r="AY11007" s="10"/>
      <c r="AZ11007" s="10"/>
    </row>
    <row r="11008" spans="31:52">
      <c r="AE11008" s="10"/>
      <c r="AF11008" s="10"/>
      <c r="AG11008" s="10"/>
      <c r="AH11008" s="10"/>
      <c r="AI11008" s="10"/>
      <c r="AJ11008" s="10"/>
      <c r="AK11008" s="10"/>
      <c r="AL11008" s="10"/>
      <c r="AM11008" s="10"/>
      <c r="AN11008" s="10"/>
      <c r="AO11008" s="10"/>
      <c r="AP11008" s="10"/>
      <c r="AQ11008" s="10"/>
      <c r="AR11008" s="10"/>
      <c r="AS11008" s="10"/>
      <c r="AT11008" s="10"/>
      <c r="AU11008" s="10"/>
      <c r="AV11008" s="10"/>
      <c r="AW11008" s="10"/>
      <c r="AX11008" s="10"/>
      <c r="AY11008" s="10"/>
      <c r="AZ11008" s="10"/>
    </row>
    <row r="11009" spans="31:52">
      <c r="AE11009" s="10"/>
      <c r="AF11009" s="10"/>
      <c r="AG11009" s="10"/>
      <c r="AH11009" s="10"/>
      <c r="AI11009" s="10"/>
      <c r="AJ11009" s="10"/>
      <c r="AK11009" s="10"/>
      <c r="AL11009" s="10"/>
      <c r="AM11009" s="10"/>
      <c r="AN11009" s="10"/>
      <c r="AO11009" s="10"/>
      <c r="AP11009" s="10"/>
      <c r="AQ11009" s="10"/>
      <c r="AR11009" s="10"/>
      <c r="AS11009" s="10"/>
      <c r="AT11009" s="10"/>
      <c r="AU11009" s="10"/>
      <c r="AV11009" s="10"/>
      <c r="AW11009" s="10"/>
      <c r="AX11009" s="10"/>
      <c r="AY11009" s="10"/>
      <c r="AZ11009" s="10"/>
    </row>
    <row r="11010" spans="31:52">
      <c r="AE11010" s="10"/>
      <c r="AF11010" s="10"/>
      <c r="AG11010" s="10"/>
      <c r="AH11010" s="10"/>
      <c r="AI11010" s="10"/>
      <c r="AJ11010" s="10"/>
      <c r="AK11010" s="10"/>
      <c r="AL11010" s="10"/>
      <c r="AM11010" s="10"/>
      <c r="AN11010" s="10"/>
      <c r="AO11010" s="10"/>
      <c r="AP11010" s="10"/>
      <c r="AQ11010" s="10"/>
      <c r="AR11010" s="10"/>
      <c r="AS11010" s="10"/>
      <c r="AT11010" s="10"/>
      <c r="AU11010" s="10"/>
      <c r="AV11010" s="10"/>
      <c r="AW11010" s="10"/>
      <c r="AX11010" s="10"/>
      <c r="AY11010" s="10"/>
      <c r="AZ11010" s="10"/>
    </row>
    <row r="11011" spans="31:52">
      <c r="AE11011" s="10"/>
      <c r="AF11011" s="10"/>
      <c r="AG11011" s="10"/>
      <c r="AH11011" s="10"/>
      <c r="AI11011" s="10"/>
      <c r="AJ11011" s="10"/>
      <c r="AK11011" s="10"/>
      <c r="AL11011" s="10"/>
      <c r="AM11011" s="10"/>
      <c r="AN11011" s="10"/>
      <c r="AO11011" s="10"/>
      <c r="AP11011" s="10"/>
      <c r="AQ11011" s="10"/>
      <c r="AR11011" s="10"/>
      <c r="AS11011" s="10"/>
      <c r="AT11011" s="10"/>
      <c r="AU11011" s="10"/>
      <c r="AV11011" s="10"/>
      <c r="AW11011" s="10"/>
      <c r="AX11011" s="10"/>
      <c r="AY11011" s="10"/>
      <c r="AZ11011" s="10"/>
    </row>
    <row r="11012" spans="31:52">
      <c r="AE11012" s="10"/>
      <c r="AF11012" s="10"/>
      <c r="AG11012" s="10"/>
      <c r="AH11012" s="10"/>
      <c r="AI11012" s="10"/>
      <c r="AJ11012" s="10"/>
      <c r="AK11012" s="10"/>
      <c r="AL11012" s="10"/>
      <c r="AM11012" s="10"/>
      <c r="AN11012" s="10"/>
      <c r="AO11012" s="10"/>
      <c r="AP11012" s="10"/>
      <c r="AQ11012" s="10"/>
      <c r="AR11012" s="10"/>
      <c r="AS11012" s="10"/>
      <c r="AT11012" s="10"/>
      <c r="AU11012" s="10"/>
      <c r="AV11012" s="10"/>
      <c r="AW11012" s="10"/>
      <c r="AX11012" s="10"/>
      <c r="AY11012" s="10"/>
      <c r="AZ11012" s="10"/>
    </row>
    <row r="11013" spans="31:52">
      <c r="AE11013" s="10"/>
      <c r="AF11013" s="10"/>
      <c r="AG11013" s="10"/>
      <c r="AH11013" s="10"/>
      <c r="AI11013" s="10"/>
      <c r="AJ11013" s="10"/>
      <c r="AK11013" s="10"/>
      <c r="AL11013" s="10"/>
      <c r="AM11013" s="10"/>
      <c r="AN11013" s="10"/>
      <c r="AO11013" s="10"/>
      <c r="AP11013" s="10"/>
      <c r="AQ11013" s="10"/>
      <c r="AR11013" s="10"/>
      <c r="AS11013" s="10"/>
      <c r="AT11013" s="10"/>
      <c r="AU11013" s="10"/>
      <c r="AV11013" s="10"/>
      <c r="AW11013" s="10"/>
      <c r="AX11013" s="10"/>
      <c r="AY11013" s="10"/>
      <c r="AZ11013" s="10"/>
    </row>
    <row r="11014" spans="31:52">
      <c r="AE11014" s="10"/>
      <c r="AF11014" s="10"/>
      <c r="AG11014" s="10"/>
      <c r="AH11014" s="10"/>
      <c r="AI11014" s="10"/>
      <c r="AJ11014" s="10"/>
      <c r="AK11014" s="10"/>
      <c r="AL11014" s="10"/>
      <c r="AM11014" s="10"/>
      <c r="AN11014" s="10"/>
      <c r="AO11014" s="10"/>
      <c r="AP11014" s="10"/>
      <c r="AQ11014" s="10"/>
      <c r="AR11014" s="10"/>
      <c r="AS11014" s="10"/>
      <c r="AT11014" s="10"/>
      <c r="AU11014" s="10"/>
      <c r="AV11014" s="10"/>
      <c r="AW11014" s="10"/>
      <c r="AX11014" s="10"/>
      <c r="AY11014" s="10"/>
      <c r="AZ11014" s="10"/>
    </row>
    <row r="11015" spans="31:52">
      <c r="AE11015" s="10"/>
      <c r="AF11015" s="10"/>
      <c r="AG11015" s="10"/>
      <c r="AH11015" s="10"/>
      <c r="AI11015" s="10"/>
      <c r="AJ11015" s="10"/>
      <c r="AK11015" s="10"/>
      <c r="AL11015" s="10"/>
      <c r="AM11015" s="10"/>
      <c r="AN11015" s="10"/>
      <c r="AO11015" s="10"/>
      <c r="AP11015" s="10"/>
      <c r="AQ11015" s="10"/>
      <c r="AR11015" s="10"/>
      <c r="AS11015" s="10"/>
      <c r="AT11015" s="10"/>
      <c r="AU11015" s="10"/>
      <c r="AV11015" s="10"/>
      <c r="AW11015" s="10"/>
      <c r="AX11015" s="10"/>
      <c r="AY11015" s="10"/>
      <c r="AZ11015" s="10"/>
    </row>
    <row r="11016" spans="31:52">
      <c r="AE11016" s="10"/>
      <c r="AF11016" s="10"/>
      <c r="AG11016" s="10"/>
      <c r="AH11016" s="10"/>
      <c r="AI11016" s="10"/>
      <c r="AJ11016" s="10"/>
      <c r="AK11016" s="10"/>
      <c r="AL11016" s="10"/>
      <c r="AM11016" s="10"/>
      <c r="AN11016" s="10"/>
      <c r="AO11016" s="10"/>
      <c r="AP11016" s="10"/>
      <c r="AQ11016" s="10"/>
      <c r="AR11016" s="10"/>
      <c r="AS11016" s="10"/>
      <c r="AT11016" s="10"/>
      <c r="AU11016" s="10"/>
      <c r="AV11016" s="10"/>
      <c r="AW11016" s="10"/>
      <c r="AX11016" s="10"/>
      <c r="AY11016" s="10"/>
      <c r="AZ11016" s="10"/>
    </row>
    <row r="11017" spans="31:52">
      <c r="AE11017" s="10"/>
      <c r="AF11017" s="10"/>
      <c r="AG11017" s="10"/>
      <c r="AH11017" s="10"/>
      <c r="AI11017" s="10"/>
      <c r="AJ11017" s="10"/>
      <c r="AK11017" s="10"/>
      <c r="AL11017" s="10"/>
      <c r="AM11017" s="10"/>
      <c r="AN11017" s="10"/>
      <c r="AO11017" s="10"/>
      <c r="AP11017" s="10"/>
      <c r="AQ11017" s="10"/>
      <c r="AR11017" s="10"/>
      <c r="AS11017" s="10"/>
      <c r="AT11017" s="10"/>
      <c r="AU11017" s="10"/>
      <c r="AV11017" s="10"/>
      <c r="AW11017" s="10"/>
      <c r="AX11017" s="10"/>
      <c r="AY11017" s="10"/>
      <c r="AZ11017" s="10"/>
    </row>
    <row r="11018" spans="31:52">
      <c r="AE11018" s="10"/>
      <c r="AF11018" s="10"/>
      <c r="AG11018" s="10"/>
      <c r="AH11018" s="10"/>
      <c r="AI11018" s="10"/>
      <c r="AJ11018" s="10"/>
      <c r="AK11018" s="10"/>
      <c r="AL11018" s="10"/>
      <c r="AM11018" s="10"/>
      <c r="AN11018" s="10"/>
      <c r="AO11018" s="10"/>
      <c r="AP11018" s="10"/>
      <c r="AQ11018" s="10"/>
      <c r="AR11018" s="10"/>
      <c r="AS11018" s="10"/>
      <c r="AT11018" s="10"/>
      <c r="AU11018" s="10"/>
      <c r="AV11018" s="10"/>
      <c r="AW11018" s="10"/>
      <c r="AX11018" s="10"/>
      <c r="AY11018" s="10"/>
      <c r="AZ11018" s="10"/>
    </row>
    <row r="11019" spans="31:52">
      <c r="AE11019" s="10"/>
      <c r="AF11019" s="10"/>
      <c r="AG11019" s="10"/>
      <c r="AH11019" s="10"/>
      <c r="AI11019" s="10"/>
      <c r="AJ11019" s="10"/>
      <c r="AK11019" s="10"/>
      <c r="AL11019" s="10"/>
      <c r="AM11019" s="10"/>
      <c r="AN11019" s="10"/>
      <c r="AO11019" s="10"/>
      <c r="AP11019" s="10"/>
      <c r="AQ11019" s="10"/>
      <c r="AR11019" s="10"/>
      <c r="AS11019" s="10"/>
      <c r="AT11019" s="10"/>
      <c r="AU11019" s="10"/>
      <c r="AV11019" s="10"/>
      <c r="AW11019" s="10"/>
      <c r="AX11019" s="10"/>
      <c r="AY11019" s="10"/>
      <c r="AZ11019" s="10"/>
    </row>
    <row r="11020" spans="31:52">
      <c r="AE11020" s="10"/>
      <c r="AF11020" s="10"/>
      <c r="AG11020" s="10"/>
      <c r="AH11020" s="10"/>
      <c r="AI11020" s="10"/>
      <c r="AJ11020" s="10"/>
      <c r="AK11020" s="10"/>
      <c r="AL11020" s="10"/>
      <c r="AM11020" s="10"/>
      <c r="AN11020" s="10"/>
      <c r="AO11020" s="10"/>
      <c r="AP11020" s="10"/>
      <c r="AQ11020" s="10"/>
      <c r="AR11020" s="10"/>
      <c r="AS11020" s="10"/>
      <c r="AT11020" s="10"/>
      <c r="AU11020" s="10"/>
      <c r="AV11020" s="10"/>
      <c r="AW11020" s="10"/>
      <c r="AX11020" s="10"/>
      <c r="AY11020" s="10"/>
      <c r="AZ11020" s="10"/>
    </row>
    <row r="11021" spans="31:52">
      <c r="AE11021" s="10"/>
      <c r="AF11021" s="10"/>
      <c r="AG11021" s="10"/>
      <c r="AH11021" s="10"/>
      <c r="AI11021" s="10"/>
      <c r="AJ11021" s="10"/>
      <c r="AK11021" s="10"/>
      <c r="AL11021" s="10"/>
      <c r="AM11021" s="10"/>
      <c r="AN11021" s="10"/>
      <c r="AO11021" s="10"/>
      <c r="AP11021" s="10"/>
      <c r="AQ11021" s="10"/>
      <c r="AR11021" s="10"/>
      <c r="AS11021" s="10"/>
      <c r="AT11021" s="10"/>
      <c r="AU11021" s="10"/>
      <c r="AV11021" s="10"/>
      <c r="AW11021" s="10"/>
      <c r="AX11021" s="10"/>
      <c r="AY11021" s="10"/>
      <c r="AZ11021" s="10"/>
    </row>
    <row r="11022" spans="31:52">
      <c r="AE11022" s="10"/>
      <c r="AF11022" s="10"/>
      <c r="AG11022" s="10"/>
      <c r="AH11022" s="10"/>
      <c r="AI11022" s="10"/>
      <c r="AJ11022" s="10"/>
      <c r="AK11022" s="10"/>
      <c r="AL11022" s="10"/>
      <c r="AM11022" s="10"/>
      <c r="AN11022" s="10"/>
      <c r="AO11022" s="10"/>
      <c r="AP11022" s="10"/>
      <c r="AQ11022" s="10"/>
      <c r="AR11022" s="10"/>
      <c r="AS11022" s="10"/>
      <c r="AT11022" s="10"/>
      <c r="AU11022" s="10"/>
      <c r="AV11022" s="10"/>
      <c r="AW11022" s="10"/>
      <c r="AX11022" s="10"/>
      <c r="AY11022" s="10"/>
      <c r="AZ11022" s="10"/>
    </row>
    <row r="11023" spans="31:52">
      <c r="AE11023" s="10"/>
      <c r="AF11023" s="10"/>
      <c r="AG11023" s="10"/>
      <c r="AH11023" s="10"/>
      <c r="AI11023" s="10"/>
      <c r="AJ11023" s="10"/>
      <c r="AK11023" s="10"/>
      <c r="AL11023" s="10"/>
      <c r="AM11023" s="10"/>
      <c r="AN11023" s="10"/>
      <c r="AO11023" s="10"/>
      <c r="AP11023" s="10"/>
      <c r="AQ11023" s="10"/>
      <c r="AR11023" s="10"/>
      <c r="AS11023" s="10"/>
      <c r="AT11023" s="10"/>
      <c r="AU11023" s="10"/>
      <c r="AV11023" s="10"/>
      <c r="AW11023" s="10"/>
      <c r="AX11023" s="10"/>
      <c r="AY11023" s="10"/>
      <c r="AZ11023" s="10"/>
    </row>
    <row r="11024" spans="31:52">
      <c r="AE11024" s="10"/>
      <c r="AF11024" s="10"/>
      <c r="AG11024" s="10"/>
      <c r="AH11024" s="10"/>
      <c r="AI11024" s="10"/>
      <c r="AJ11024" s="10"/>
      <c r="AK11024" s="10"/>
      <c r="AL11024" s="10"/>
      <c r="AM11024" s="10"/>
      <c r="AN11024" s="10"/>
      <c r="AO11024" s="10"/>
      <c r="AP11024" s="10"/>
      <c r="AQ11024" s="10"/>
      <c r="AR11024" s="10"/>
      <c r="AS11024" s="10"/>
      <c r="AT11024" s="10"/>
      <c r="AU11024" s="10"/>
      <c r="AV11024" s="10"/>
      <c r="AW11024" s="10"/>
      <c r="AX11024" s="10"/>
      <c r="AY11024" s="10"/>
      <c r="AZ11024" s="10"/>
    </row>
    <row r="11025" spans="31:52">
      <c r="AE11025" s="10"/>
      <c r="AF11025" s="10"/>
      <c r="AG11025" s="10"/>
      <c r="AH11025" s="10"/>
      <c r="AI11025" s="10"/>
      <c r="AJ11025" s="10"/>
      <c r="AK11025" s="10"/>
      <c r="AL11025" s="10"/>
      <c r="AM11025" s="10"/>
      <c r="AN11025" s="10"/>
      <c r="AO11025" s="10"/>
      <c r="AP11025" s="10"/>
      <c r="AQ11025" s="10"/>
      <c r="AR11025" s="10"/>
      <c r="AS11025" s="10"/>
      <c r="AT11025" s="10"/>
      <c r="AU11025" s="10"/>
      <c r="AV11025" s="10"/>
      <c r="AW11025" s="10"/>
      <c r="AX11025" s="10"/>
      <c r="AY11025" s="10"/>
      <c r="AZ11025" s="10"/>
    </row>
    <row r="11026" spans="31:52">
      <c r="AE11026" s="10"/>
      <c r="AF11026" s="10"/>
      <c r="AG11026" s="10"/>
      <c r="AH11026" s="10"/>
      <c r="AI11026" s="10"/>
      <c r="AJ11026" s="10"/>
      <c r="AK11026" s="10"/>
      <c r="AL11026" s="10"/>
      <c r="AM11026" s="10"/>
      <c r="AN11026" s="10"/>
      <c r="AO11026" s="10"/>
      <c r="AP11026" s="10"/>
      <c r="AQ11026" s="10"/>
      <c r="AR11026" s="10"/>
      <c r="AS11026" s="10"/>
      <c r="AT11026" s="10"/>
      <c r="AU11026" s="10"/>
      <c r="AV11026" s="10"/>
      <c r="AW11026" s="10"/>
      <c r="AX11026" s="10"/>
      <c r="AY11026" s="10"/>
      <c r="AZ11026" s="10"/>
    </row>
    <row r="11027" spans="31:52">
      <c r="AE11027" s="10"/>
      <c r="AF11027" s="10"/>
      <c r="AG11027" s="10"/>
      <c r="AH11027" s="10"/>
      <c r="AI11027" s="10"/>
      <c r="AJ11027" s="10"/>
      <c r="AK11027" s="10"/>
      <c r="AL11027" s="10"/>
      <c r="AM11027" s="10"/>
      <c r="AN11027" s="10"/>
      <c r="AO11027" s="10"/>
      <c r="AP11027" s="10"/>
      <c r="AQ11027" s="10"/>
      <c r="AR11027" s="10"/>
      <c r="AS11027" s="10"/>
      <c r="AT11027" s="10"/>
      <c r="AU11027" s="10"/>
      <c r="AV11027" s="10"/>
      <c r="AW11027" s="10"/>
      <c r="AX11027" s="10"/>
      <c r="AY11027" s="10"/>
      <c r="AZ11027" s="10"/>
    </row>
    <row r="11028" spans="31:52">
      <c r="AE11028" s="10"/>
      <c r="AF11028" s="10"/>
      <c r="AG11028" s="10"/>
      <c r="AH11028" s="10"/>
      <c r="AI11028" s="10"/>
      <c r="AJ11028" s="10"/>
      <c r="AK11028" s="10"/>
      <c r="AL11028" s="10"/>
      <c r="AM11028" s="10"/>
      <c r="AN11028" s="10"/>
      <c r="AO11028" s="10"/>
      <c r="AP11028" s="10"/>
      <c r="AQ11028" s="10"/>
      <c r="AR11028" s="10"/>
      <c r="AS11028" s="10"/>
      <c r="AT11028" s="10"/>
      <c r="AU11028" s="10"/>
      <c r="AV11028" s="10"/>
      <c r="AW11028" s="10"/>
      <c r="AX11028" s="10"/>
      <c r="AY11028" s="10"/>
      <c r="AZ11028" s="10"/>
    </row>
    <row r="11029" spans="31:52">
      <c r="AE11029" s="10"/>
      <c r="AF11029" s="10"/>
      <c r="AG11029" s="10"/>
      <c r="AH11029" s="10"/>
      <c r="AI11029" s="10"/>
      <c r="AJ11029" s="10"/>
      <c r="AK11029" s="10"/>
      <c r="AL11029" s="10"/>
      <c r="AM11029" s="10"/>
      <c r="AN11029" s="10"/>
      <c r="AO11029" s="10"/>
      <c r="AP11029" s="10"/>
      <c r="AQ11029" s="10"/>
      <c r="AR11029" s="10"/>
      <c r="AS11029" s="10"/>
      <c r="AT11029" s="10"/>
      <c r="AU11029" s="10"/>
      <c r="AV11029" s="10"/>
      <c r="AW11029" s="10"/>
      <c r="AX11029" s="10"/>
      <c r="AY11029" s="10"/>
      <c r="AZ11029" s="10"/>
    </row>
    <row r="11030" spans="31:52">
      <c r="AE11030" s="10"/>
      <c r="AF11030" s="10"/>
      <c r="AG11030" s="10"/>
      <c r="AH11030" s="10"/>
      <c r="AI11030" s="10"/>
      <c r="AJ11030" s="10"/>
      <c r="AK11030" s="10"/>
      <c r="AL11030" s="10"/>
      <c r="AM11030" s="10"/>
      <c r="AN11030" s="10"/>
      <c r="AO11030" s="10"/>
      <c r="AP11030" s="10"/>
      <c r="AQ11030" s="10"/>
      <c r="AR11030" s="10"/>
      <c r="AS11030" s="10"/>
      <c r="AT11030" s="10"/>
      <c r="AU11030" s="10"/>
      <c r="AV11030" s="10"/>
      <c r="AW11030" s="10"/>
      <c r="AX11030" s="10"/>
      <c r="AY11030" s="10"/>
      <c r="AZ11030" s="10"/>
    </row>
    <row r="11031" spans="31:52">
      <c r="AE11031" s="10"/>
      <c r="AF11031" s="10"/>
      <c r="AG11031" s="10"/>
      <c r="AH11031" s="10"/>
      <c r="AI11031" s="10"/>
      <c r="AJ11031" s="10"/>
      <c r="AK11031" s="10"/>
      <c r="AL11031" s="10"/>
      <c r="AM11031" s="10"/>
      <c r="AN11031" s="10"/>
      <c r="AO11031" s="10"/>
      <c r="AP11031" s="10"/>
      <c r="AQ11031" s="10"/>
      <c r="AR11031" s="10"/>
      <c r="AS11031" s="10"/>
      <c r="AT11031" s="10"/>
      <c r="AU11031" s="10"/>
      <c r="AV11031" s="10"/>
      <c r="AW11031" s="10"/>
      <c r="AX11031" s="10"/>
      <c r="AY11031" s="10"/>
      <c r="AZ11031" s="10"/>
    </row>
    <row r="11032" spans="31:52">
      <c r="AE11032" s="10"/>
      <c r="AF11032" s="10"/>
      <c r="AG11032" s="10"/>
      <c r="AH11032" s="10"/>
      <c r="AI11032" s="10"/>
      <c r="AJ11032" s="10"/>
      <c r="AK11032" s="10"/>
      <c r="AL11032" s="10"/>
      <c r="AM11032" s="10"/>
      <c r="AN11032" s="10"/>
      <c r="AO11032" s="10"/>
      <c r="AP11032" s="10"/>
      <c r="AQ11032" s="10"/>
      <c r="AR11032" s="10"/>
      <c r="AS11032" s="10"/>
      <c r="AT11032" s="10"/>
      <c r="AU11032" s="10"/>
      <c r="AV11032" s="10"/>
      <c r="AW11032" s="10"/>
      <c r="AX11032" s="10"/>
      <c r="AY11032" s="10"/>
      <c r="AZ11032" s="10"/>
    </row>
    <row r="11033" spans="31:52">
      <c r="AE11033" s="10"/>
      <c r="AF11033" s="10"/>
      <c r="AG11033" s="10"/>
      <c r="AH11033" s="10"/>
      <c r="AI11033" s="10"/>
      <c r="AJ11033" s="10"/>
      <c r="AK11033" s="10"/>
      <c r="AL11033" s="10"/>
      <c r="AM11033" s="10"/>
      <c r="AN11033" s="10"/>
      <c r="AO11033" s="10"/>
      <c r="AP11033" s="10"/>
      <c r="AQ11033" s="10"/>
      <c r="AR11033" s="10"/>
      <c r="AS11033" s="10"/>
      <c r="AT11033" s="10"/>
      <c r="AU11033" s="10"/>
      <c r="AV11033" s="10"/>
      <c r="AW11033" s="10"/>
      <c r="AX11033" s="10"/>
      <c r="AY11033" s="10"/>
      <c r="AZ11033" s="10"/>
    </row>
    <row r="11034" spans="31:52">
      <c r="AE11034" s="10"/>
      <c r="AF11034" s="10"/>
      <c r="AG11034" s="10"/>
      <c r="AH11034" s="10"/>
      <c r="AI11034" s="10"/>
      <c r="AJ11034" s="10"/>
      <c r="AK11034" s="10"/>
      <c r="AL11034" s="10"/>
      <c r="AM11034" s="10"/>
      <c r="AN11034" s="10"/>
      <c r="AO11034" s="10"/>
      <c r="AP11034" s="10"/>
      <c r="AQ11034" s="10"/>
      <c r="AR11034" s="10"/>
      <c r="AS11034" s="10"/>
      <c r="AT11034" s="10"/>
      <c r="AU11034" s="10"/>
      <c r="AV11034" s="10"/>
      <c r="AW11034" s="10"/>
      <c r="AX11034" s="10"/>
      <c r="AY11034" s="10"/>
      <c r="AZ11034" s="10"/>
    </row>
    <row r="11035" spans="31:52">
      <c r="AE11035" s="10"/>
      <c r="AF11035" s="10"/>
      <c r="AG11035" s="10"/>
      <c r="AH11035" s="10"/>
      <c r="AI11035" s="10"/>
      <c r="AJ11035" s="10"/>
      <c r="AK11035" s="10"/>
      <c r="AL11035" s="10"/>
      <c r="AM11035" s="10"/>
      <c r="AN11035" s="10"/>
      <c r="AO11035" s="10"/>
      <c r="AP11035" s="10"/>
      <c r="AQ11035" s="10"/>
      <c r="AR11035" s="10"/>
      <c r="AS11035" s="10"/>
      <c r="AT11035" s="10"/>
      <c r="AU11035" s="10"/>
      <c r="AV11035" s="10"/>
      <c r="AW11035" s="10"/>
      <c r="AX11035" s="10"/>
      <c r="AY11035" s="10"/>
      <c r="AZ11035" s="10"/>
    </row>
    <row r="11036" spans="31:52">
      <c r="AE11036" s="10"/>
      <c r="AF11036" s="10"/>
      <c r="AG11036" s="10"/>
      <c r="AH11036" s="10"/>
      <c r="AI11036" s="10"/>
      <c r="AJ11036" s="10"/>
      <c r="AK11036" s="10"/>
      <c r="AL11036" s="10"/>
      <c r="AM11036" s="10"/>
      <c r="AN11036" s="10"/>
      <c r="AO11036" s="10"/>
      <c r="AP11036" s="10"/>
      <c r="AQ11036" s="10"/>
      <c r="AR11036" s="10"/>
      <c r="AS11036" s="10"/>
      <c r="AT11036" s="10"/>
      <c r="AU11036" s="10"/>
      <c r="AV11036" s="10"/>
      <c r="AW11036" s="10"/>
      <c r="AX11036" s="10"/>
      <c r="AY11036" s="10"/>
      <c r="AZ11036" s="10"/>
    </row>
    <row r="11037" spans="31:52">
      <c r="AE11037" s="10"/>
      <c r="AF11037" s="10"/>
      <c r="AG11037" s="10"/>
      <c r="AH11037" s="10"/>
      <c r="AI11037" s="10"/>
      <c r="AJ11037" s="10"/>
      <c r="AK11037" s="10"/>
      <c r="AL11037" s="10"/>
      <c r="AM11037" s="10"/>
      <c r="AN11037" s="10"/>
      <c r="AO11037" s="10"/>
      <c r="AP11037" s="10"/>
      <c r="AQ11037" s="10"/>
      <c r="AR11037" s="10"/>
      <c r="AS11037" s="10"/>
      <c r="AT11037" s="10"/>
      <c r="AU11037" s="10"/>
      <c r="AV11037" s="10"/>
      <c r="AW11037" s="10"/>
      <c r="AX11037" s="10"/>
      <c r="AY11037" s="10"/>
      <c r="AZ11037" s="10"/>
    </row>
    <row r="11038" spans="31:52">
      <c r="AE11038" s="10"/>
      <c r="AF11038" s="10"/>
      <c r="AG11038" s="10"/>
      <c r="AH11038" s="10"/>
      <c r="AI11038" s="10"/>
      <c r="AJ11038" s="10"/>
      <c r="AK11038" s="10"/>
      <c r="AL11038" s="10"/>
      <c r="AM11038" s="10"/>
      <c r="AN11038" s="10"/>
      <c r="AO11038" s="10"/>
      <c r="AP11038" s="10"/>
      <c r="AQ11038" s="10"/>
      <c r="AR11038" s="10"/>
      <c r="AS11038" s="10"/>
      <c r="AT11038" s="10"/>
      <c r="AU11038" s="10"/>
      <c r="AV11038" s="10"/>
      <c r="AW11038" s="10"/>
      <c r="AX11038" s="10"/>
      <c r="AY11038" s="10"/>
      <c r="AZ11038" s="10"/>
    </row>
    <row r="11039" spans="31:52">
      <c r="AE11039" s="10"/>
      <c r="AF11039" s="10"/>
      <c r="AG11039" s="10"/>
      <c r="AH11039" s="10"/>
      <c r="AI11039" s="10"/>
      <c r="AJ11039" s="10"/>
      <c r="AK11039" s="10"/>
      <c r="AL11039" s="10"/>
      <c r="AM11039" s="10"/>
      <c r="AN11039" s="10"/>
      <c r="AO11039" s="10"/>
      <c r="AP11039" s="10"/>
      <c r="AQ11039" s="10"/>
      <c r="AR11039" s="10"/>
      <c r="AS11039" s="10"/>
      <c r="AT11039" s="10"/>
      <c r="AU11039" s="10"/>
      <c r="AV11039" s="10"/>
      <c r="AW11039" s="10"/>
      <c r="AX11039" s="10"/>
      <c r="AY11039" s="10"/>
      <c r="AZ11039" s="10"/>
    </row>
    <row r="11040" spans="31:52">
      <c r="AE11040" s="10"/>
      <c r="AF11040" s="10"/>
      <c r="AG11040" s="10"/>
      <c r="AH11040" s="10"/>
      <c r="AI11040" s="10"/>
      <c r="AJ11040" s="10"/>
      <c r="AK11040" s="10"/>
      <c r="AL11040" s="10"/>
      <c r="AM11040" s="10"/>
      <c r="AN11040" s="10"/>
      <c r="AO11040" s="10"/>
      <c r="AP11040" s="10"/>
      <c r="AQ11040" s="10"/>
      <c r="AR11040" s="10"/>
      <c r="AS11040" s="10"/>
      <c r="AT11040" s="10"/>
      <c r="AU11040" s="10"/>
      <c r="AV11040" s="10"/>
      <c r="AW11040" s="10"/>
      <c r="AX11040" s="10"/>
      <c r="AY11040" s="10"/>
      <c r="AZ11040" s="10"/>
    </row>
    <row r="11041" spans="31:52">
      <c r="AE11041" s="10"/>
      <c r="AF11041" s="10"/>
      <c r="AG11041" s="10"/>
      <c r="AH11041" s="10"/>
      <c r="AI11041" s="10"/>
      <c r="AJ11041" s="10"/>
      <c r="AK11041" s="10"/>
      <c r="AL11041" s="10"/>
      <c r="AM11041" s="10"/>
      <c r="AN11041" s="10"/>
      <c r="AO11041" s="10"/>
      <c r="AP11041" s="10"/>
      <c r="AQ11041" s="10"/>
      <c r="AR11041" s="10"/>
      <c r="AS11041" s="10"/>
      <c r="AT11041" s="10"/>
      <c r="AU11041" s="10"/>
      <c r="AV11041" s="10"/>
      <c r="AW11041" s="10"/>
      <c r="AX11041" s="10"/>
      <c r="AY11041" s="10"/>
      <c r="AZ11041" s="10"/>
    </row>
    <row r="11042" spans="31:52">
      <c r="AE11042" s="10"/>
      <c r="AF11042" s="10"/>
      <c r="AG11042" s="10"/>
      <c r="AH11042" s="10"/>
      <c r="AI11042" s="10"/>
      <c r="AJ11042" s="10"/>
      <c r="AK11042" s="10"/>
      <c r="AL11042" s="10"/>
      <c r="AM11042" s="10"/>
      <c r="AN11042" s="10"/>
      <c r="AO11042" s="10"/>
      <c r="AP11042" s="10"/>
      <c r="AQ11042" s="10"/>
      <c r="AR11042" s="10"/>
      <c r="AS11042" s="10"/>
      <c r="AT11042" s="10"/>
      <c r="AU11042" s="10"/>
      <c r="AV11042" s="10"/>
      <c r="AW11042" s="10"/>
      <c r="AX11042" s="10"/>
      <c r="AY11042" s="10"/>
      <c r="AZ11042" s="10"/>
    </row>
    <row r="11043" spans="31:52">
      <c r="AE11043" s="10"/>
      <c r="AF11043" s="10"/>
      <c r="AG11043" s="10"/>
      <c r="AH11043" s="10"/>
      <c r="AI11043" s="10"/>
      <c r="AJ11043" s="10"/>
      <c r="AK11043" s="10"/>
      <c r="AL11043" s="10"/>
      <c r="AM11043" s="10"/>
      <c r="AN11043" s="10"/>
      <c r="AO11043" s="10"/>
      <c r="AP11043" s="10"/>
      <c r="AQ11043" s="10"/>
      <c r="AR11043" s="10"/>
      <c r="AS11043" s="10"/>
      <c r="AT11043" s="10"/>
      <c r="AU11043" s="10"/>
      <c r="AV11043" s="10"/>
      <c r="AW11043" s="10"/>
      <c r="AX11043" s="10"/>
      <c r="AY11043" s="10"/>
      <c r="AZ11043" s="10"/>
    </row>
    <row r="11044" spans="31:52">
      <c r="AE11044" s="10"/>
      <c r="AF11044" s="10"/>
      <c r="AG11044" s="10"/>
      <c r="AH11044" s="10"/>
      <c r="AI11044" s="10"/>
      <c r="AJ11044" s="10"/>
      <c r="AK11044" s="10"/>
      <c r="AL11044" s="10"/>
      <c r="AM11044" s="10"/>
      <c r="AN11044" s="10"/>
      <c r="AO11044" s="10"/>
      <c r="AP11044" s="10"/>
      <c r="AQ11044" s="10"/>
      <c r="AR11044" s="10"/>
      <c r="AS11044" s="10"/>
      <c r="AT11044" s="10"/>
      <c r="AU11044" s="10"/>
      <c r="AV11044" s="10"/>
      <c r="AW11044" s="10"/>
      <c r="AX11044" s="10"/>
      <c r="AY11044" s="10"/>
      <c r="AZ11044" s="10"/>
    </row>
    <row r="11045" spans="31:52">
      <c r="AE11045" s="10"/>
      <c r="AF11045" s="10"/>
      <c r="AG11045" s="10"/>
      <c r="AH11045" s="10"/>
      <c r="AI11045" s="10"/>
      <c r="AJ11045" s="10"/>
      <c r="AK11045" s="10"/>
      <c r="AL11045" s="10"/>
      <c r="AM11045" s="10"/>
      <c r="AN11045" s="10"/>
      <c r="AO11045" s="10"/>
      <c r="AP11045" s="10"/>
      <c r="AQ11045" s="10"/>
      <c r="AR11045" s="10"/>
      <c r="AS11045" s="10"/>
      <c r="AT11045" s="10"/>
      <c r="AU11045" s="10"/>
      <c r="AV11045" s="10"/>
      <c r="AW11045" s="10"/>
      <c r="AX11045" s="10"/>
      <c r="AY11045" s="10"/>
      <c r="AZ11045" s="10"/>
    </row>
    <row r="11046" spans="31:52">
      <c r="AE11046" s="10"/>
      <c r="AF11046" s="10"/>
      <c r="AG11046" s="10"/>
      <c r="AH11046" s="10"/>
      <c r="AI11046" s="10"/>
      <c r="AJ11046" s="10"/>
      <c r="AK11046" s="10"/>
      <c r="AL11046" s="10"/>
      <c r="AM11046" s="10"/>
      <c r="AN11046" s="10"/>
      <c r="AO11046" s="10"/>
      <c r="AP11046" s="10"/>
      <c r="AQ11046" s="10"/>
      <c r="AR11046" s="10"/>
      <c r="AS11046" s="10"/>
      <c r="AT11046" s="10"/>
      <c r="AU11046" s="10"/>
      <c r="AV11046" s="10"/>
      <c r="AW11046" s="10"/>
      <c r="AX11046" s="10"/>
      <c r="AY11046" s="10"/>
      <c r="AZ11046" s="10"/>
    </row>
    <row r="11047" spans="31:52">
      <c r="AE11047" s="10"/>
      <c r="AF11047" s="10"/>
      <c r="AG11047" s="10"/>
      <c r="AH11047" s="10"/>
      <c r="AI11047" s="10"/>
      <c r="AJ11047" s="10"/>
      <c r="AK11047" s="10"/>
      <c r="AL11047" s="10"/>
      <c r="AM11047" s="10"/>
      <c r="AN11047" s="10"/>
      <c r="AO11047" s="10"/>
      <c r="AP11047" s="10"/>
      <c r="AQ11047" s="10"/>
      <c r="AR11047" s="10"/>
      <c r="AS11047" s="10"/>
      <c r="AT11047" s="10"/>
      <c r="AU11047" s="10"/>
      <c r="AV11047" s="10"/>
      <c r="AW11047" s="10"/>
      <c r="AX11047" s="10"/>
      <c r="AY11047" s="10"/>
      <c r="AZ11047" s="10"/>
    </row>
    <row r="11048" spans="31:52">
      <c r="AE11048" s="10"/>
      <c r="AF11048" s="10"/>
      <c r="AG11048" s="10"/>
      <c r="AH11048" s="10"/>
      <c r="AI11048" s="10"/>
      <c r="AJ11048" s="10"/>
      <c r="AK11048" s="10"/>
      <c r="AL11048" s="10"/>
      <c r="AM11048" s="10"/>
      <c r="AN11048" s="10"/>
      <c r="AO11048" s="10"/>
      <c r="AP11048" s="10"/>
      <c r="AQ11048" s="10"/>
      <c r="AR11048" s="10"/>
      <c r="AS11048" s="10"/>
      <c r="AT11048" s="10"/>
      <c r="AU11048" s="10"/>
      <c r="AV11048" s="10"/>
      <c r="AW11048" s="10"/>
      <c r="AX11048" s="10"/>
      <c r="AY11048" s="10"/>
      <c r="AZ11048" s="10"/>
    </row>
    <row r="11049" spans="31:52">
      <c r="AE11049" s="10"/>
      <c r="AF11049" s="10"/>
      <c r="AG11049" s="10"/>
      <c r="AH11049" s="10"/>
      <c r="AI11049" s="10"/>
      <c r="AJ11049" s="10"/>
      <c r="AK11049" s="10"/>
      <c r="AL11049" s="10"/>
      <c r="AM11049" s="10"/>
      <c r="AN11049" s="10"/>
      <c r="AO11049" s="10"/>
      <c r="AP11049" s="10"/>
      <c r="AQ11049" s="10"/>
      <c r="AR11049" s="10"/>
      <c r="AS11049" s="10"/>
      <c r="AT11049" s="10"/>
      <c r="AU11049" s="10"/>
      <c r="AV11049" s="10"/>
      <c r="AW11049" s="10"/>
      <c r="AX11049" s="10"/>
      <c r="AY11049" s="10"/>
      <c r="AZ11049" s="10"/>
    </row>
    <row r="11050" spans="31:52">
      <c r="AE11050" s="10"/>
      <c r="AF11050" s="10"/>
      <c r="AG11050" s="10"/>
      <c r="AH11050" s="10"/>
      <c r="AI11050" s="10"/>
      <c r="AJ11050" s="10"/>
      <c r="AK11050" s="10"/>
      <c r="AL11050" s="10"/>
      <c r="AM11050" s="10"/>
      <c r="AN11050" s="10"/>
      <c r="AO11050" s="10"/>
      <c r="AP11050" s="10"/>
      <c r="AQ11050" s="10"/>
      <c r="AR11050" s="10"/>
      <c r="AS11050" s="10"/>
      <c r="AT11050" s="10"/>
      <c r="AU11050" s="10"/>
      <c r="AV11050" s="10"/>
      <c r="AW11050" s="10"/>
      <c r="AX11050" s="10"/>
      <c r="AY11050" s="10"/>
      <c r="AZ11050" s="10"/>
    </row>
    <row r="11051" spans="31:52">
      <c r="AE11051" s="10"/>
      <c r="AF11051" s="10"/>
      <c r="AG11051" s="10"/>
      <c r="AH11051" s="10"/>
      <c r="AI11051" s="10"/>
      <c r="AJ11051" s="10"/>
      <c r="AK11051" s="10"/>
      <c r="AL11051" s="10"/>
      <c r="AM11051" s="10"/>
      <c r="AN11051" s="10"/>
      <c r="AO11051" s="10"/>
      <c r="AP11051" s="10"/>
      <c r="AQ11051" s="10"/>
      <c r="AR11051" s="10"/>
      <c r="AS11051" s="10"/>
      <c r="AT11051" s="10"/>
      <c r="AU11051" s="10"/>
      <c r="AV11051" s="10"/>
      <c r="AW11051" s="10"/>
      <c r="AX11051" s="10"/>
      <c r="AY11051" s="10"/>
      <c r="AZ11051" s="10"/>
    </row>
    <row r="11052" spans="31:52">
      <c r="AE11052" s="10"/>
      <c r="AF11052" s="10"/>
      <c r="AG11052" s="10"/>
      <c r="AH11052" s="10"/>
      <c r="AI11052" s="10"/>
      <c r="AJ11052" s="10"/>
      <c r="AK11052" s="10"/>
      <c r="AL11052" s="10"/>
      <c r="AM11052" s="10"/>
      <c r="AN11052" s="10"/>
      <c r="AO11052" s="10"/>
      <c r="AP11052" s="10"/>
      <c r="AQ11052" s="10"/>
      <c r="AR11052" s="10"/>
      <c r="AS11052" s="10"/>
      <c r="AT11052" s="10"/>
      <c r="AU11052" s="10"/>
      <c r="AV11052" s="10"/>
      <c r="AW11052" s="10"/>
      <c r="AX11052" s="10"/>
      <c r="AY11052" s="10"/>
      <c r="AZ11052" s="10"/>
    </row>
    <row r="11053" spans="31:52">
      <c r="AE11053" s="10"/>
      <c r="AF11053" s="10"/>
      <c r="AG11053" s="10"/>
      <c r="AH11053" s="10"/>
      <c r="AI11053" s="10"/>
      <c r="AJ11053" s="10"/>
      <c r="AK11053" s="10"/>
      <c r="AL11053" s="10"/>
      <c r="AM11053" s="10"/>
      <c r="AN11053" s="10"/>
      <c r="AO11053" s="10"/>
      <c r="AP11053" s="10"/>
      <c r="AQ11053" s="10"/>
      <c r="AR11053" s="10"/>
      <c r="AS11053" s="10"/>
      <c r="AT11053" s="10"/>
      <c r="AU11053" s="10"/>
      <c r="AV11053" s="10"/>
      <c r="AW11053" s="10"/>
      <c r="AX11053" s="10"/>
      <c r="AY11053" s="10"/>
      <c r="AZ11053" s="10"/>
    </row>
    <row r="11054" spans="31:52">
      <c r="AE11054" s="10"/>
      <c r="AF11054" s="10"/>
      <c r="AG11054" s="10"/>
      <c r="AH11054" s="10"/>
      <c r="AI11054" s="10"/>
      <c r="AJ11054" s="10"/>
      <c r="AK11054" s="10"/>
      <c r="AL11054" s="10"/>
      <c r="AM11054" s="10"/>
      <c r="AN11054" s="10"/>
      <c r="AO11054" s="10"/>
      <c r="AP11054" s="10"/>
      <c r="AQ11054" s="10"/>
      <c r="AR11054" s="10"/>
      <c r="AS11054" s="10"/>
      <c r="AT11054" s="10"/>
      <c r="AU11054" s="10"/>
      <c r="AV11054" s="10"/>
      <c r="AW11054" s="10"/>
      <c r="AX11054" s="10"/>
      <c r="AY11054" s="10"/>
      <c r="AZ11054" s="10"/>
    </row>
    <row r="11055" spans="31:52">
      <c r="AE11055" s="10"/>
      <c r="AF11055" s="10"/>
      <c r="AG11055" s="10"/>
      <c r="AH11055" s="10"/>
      <c r="AI11055" s="10"/>
      <c r="AJ11055" s="10"/>
      <c r="AK11055" s="10"/>
      <c r="AL11055" s="10"/>
      <c r="AM11055" s="10"/>
      <c r="AN11055" s="10"/>
      <c r="AO11055" s="10"/>
      <c r="AP11055" s="10"/>
      <c r="AQ11055" s="10"/>
      <c r="AR11055" s="10"/>
      <c r="AS11055" s="10"/>
      <c r="AT11055" s="10"/>
      <c r="AU11055" s="10"/>
      <c r="AV11055" s="10"/>
      <c r="AW11055" s="10"/>
      <c r="AX11055" s="10"/>
      <c r="AY11055" s="10"/>
      <c r="AZ11055" s="10"/>
    </row>
    <row r="11056" spans="31:52">
      <c r="AE11056" s="10"/>
      <c r="AF11056" s="10"/>
      <c r="AG11056" s="10"/>
      <c r="AH11056" s="10"/>
      <c r="AI11056" s="10"/>
      <c r="AJ11056" s="10"/>
      <c r="AK11056" s="10"/>
      <c r="AL11056" s="10"/>
      <c r="AM11056" s="10"/>
      <c r="AN11056" s="10"/>
      <c r="AO11056" s="10"/>
      <c r="AP11056" s="10"/>
      <c r="AQ11056" s="10"/>
      <c r="AR11056" s="10"/>
      <c r="AS11056" s="10"/>
      <c r="AT11056" s="10"/>
      <c r="AU11056" s="10"/>
      <c r="AV11056" s="10"/>
      <c r="AW11056" s="10"/>
      <c r="AX11056" s="10"/>
      <c r="AY11056" s="10"/>
      <c r="AZ11056" s="10"/>
    </row>
    <row r="11057" spans="31:52">
      <c r="AE11057" s="10"/>
      <c r="AF11057" s="10"/>
      <c r="AG11057" s="10"/>
      <c r="AH11057" s="10"/>
      <c r="AI11057" s="10"/>
      <c r="AJ11057" s="10"/>
      <c r="AK11057" s="10"/>
      <c r="AL11057" s="10"/>
      <c r="AM11057" s="10"/>
      <c r="AN11057" s="10"/>
      <c r="AO11057" s="10"/>
      <c r="AP11057" s="10"/>
      <c r="AQ11057" s="10"/>
      <c r="AR11057" s="10"/>
      <c r="AS11057" s="10"/>
      <c r="AT11057" s="10"/>
      <c r="AU11057" s="10"/>
      <c r="AV11057" s="10"/>
      <c r="AW11057" s="10"/>
      <c r="AX11057" s="10"/>
      <c r="AY11057" s="10"/>
      <c r="AZ11057" s="10"/>
    </row>
    <row r="11058" spans="31:52">
      <c r="AE11058" s="10"/>
      <c r="AF11058" s="10"/>
      <c r="AG11058" s="10"/>
      <c r="AH11058" s="10"/>
      <c r="AI11058" s="10"/>
      <c r="AJ11058" s="10"/>
      <c r="AK11058" s="10"/>
      <c r="AL11058" s="10"/>
      <c r="AM11058" s="10"/>
      <c r="AN11058" s="10"/>
      <c r="AO11058" s="10"/>
      <c r="AP11058" s="10"/>
      <c r="AQ11058" s="10"/>
      <c r="AR11058" s="10"/>
      <c r="AS11058" s="10"/>
      <c r="AT11058" s="10"/>
      <c r="AU11058" s="10"/>
      <c r="AV11058" s="10"/>
      <c r="AW11058" s="10"/>
      <c r="AX11058" s="10"/>
      <c r="AY11058" s="10"/>
      <c r="AZ11058" s="10"/>
    </row>
    <row r="11059" spans="31:52">
      <c r="AE11059" s="10"/>
      <c r="AF11059" s="10"/>
      <c r="AG11059" s="10"/>
      <c r="AH11059" s="10"/>
      <c r="AI11059" s="10"/>
      <c r="AJ11059" s="10"/>
      <c r="AK11059" s="10"/>
      <c r="AL11059" s="10"/>
      <c r="AM11059" s="10"/>
      <c r="AN11059" s="10"/>
      <c r="AO11059" s="10"/>
      <c r="AP11059" s="10"/>
      <c r="AQ11059" s="10"/>
      <c r="AR11059" s="10"/>
      <c r="AS11059" s="10"/>
      <c r="AT11059" s="10"/>
      <c r="AU11059" s="10"/>
      <c r="AV11059" s="10"/>
      <c r="AW11059" s="10"/>
      <c r="AX11059" s="10"/>
      <c r="AY11059" s="10"/>
      <c r="AZ11059" s="10"/>
    </row>
    <row r="11060" spans="31:52">
      <c r="AE11060" s="10"/>
      <c r="AF11060" s="10"/>
      <c r="AG11060" s="10"/>
      <c r="AH11060" s="10"/>
      <c r="AI11060" s="10"/>
      <c r="AJ11060" s="10"/>
      <c r="AK11060" s="10"/>
      <c r="AL11060" s="10"/>
      <c r="AM11060" s="10"/>
      <c r="AN11060" s="10"/>
      <c r="AO11060" s="10"/>
      <c r="AP11060" s="10"/>
      <c r="AQ11060" s="10"/>
      <c r="AR11060" s="10"/>
      <c r="AS11060" s="10"/>
      <c r="AT11060" s="10"/>
      <c r="AU11060" s="10"/>
      <c r="AV11060" s="10"/>
      <c r="AW11060" s="10"/>
      <c r="AX11060" s="10"/>
      <c r="AY11060" s="10"/>
      <c r="AZ11060" s="10"/>
    </row>
    <row r="11061" spans="31:52">
      <c r="AE11061" s="10"/>
      <c r="AF11061" s="10"/>
      <c r="AG11061" s="10"/>
      <c r="AH11061" s="10"/>
      <c r="AI11061" s="10"/>
      <c r="AJ11061" s="10"/>
      <c r="AK11061" s="10"/>
      <c r="AL11061" s="10"/>
      <c r="AM11061" s="10"/>
      <c r="AN11061" s="10"/>
      <c r="AO11061" s="10"/>
      <c r="AP11061" s="10"/>
      <c r="AQ11061" s="10"/>
      <c r="AR11061" s="10"/>
      <c r="AS11061" s="10"/>
      <c r="AT11061" s="10"/>
      <c r="AU11061" s="10"/>
      <c r="AV11061" s="10"/>
      <c r="AW11061" s="10"/>
      <c r="AX11061" s="10"/>
      <c r="AY11061" s="10"/>
      <c r="AZ11061" s="10"/>
    </row>
    <row r="11062" spans="31:52">
      <c r="AE11062" s="10"/>
      <c r="AF11062" s="10"/>
      <c r="AG11062" s="10"/>
      <c r="AH11062" s="10"/>
      <c r="AI11062" s="10"/>
      <c r="AJ11062" s="10"/>
      <c r="AK11062" s="10"/>
      <c r="AL11062" s="10"/>
      <c r="AM11062" s="10"/>
      <c r="AN11062" s="10"/>
      <c r="AO11062" s="10"/>
      <c r="AP11062" s="10"/>
      <c r="AQ11062" s="10"/>
      <c r="AR11062" s="10"/>
      <c r="AS11062" s="10"/>
      <c r="AT11062" s="10"/>
      <c r="AU11062" s="10"/>
      <c r="AV11062" s="10"/>
      <c r="AW11062" s="10"/>
      <c r="AX11062" s="10"/>
      <c r="AY11062" s="10"/>
      <c r="AZ11062" s="10"/>
    </row>
    <row r="11063" spans="31:52">
      <c r="AE11063" s="10"/>
      <c r="AF11063" s="10"/>
      <c r="AG11063" s="10"/>
      <c r="AH11063" s="10"/>
      <c r="AI11063" s="10"/>
      <c r="AJ11063" s="10"/>
      <c r="AK11063" s="10"/>
      <c r="AL11063" s="10"/>
      <c r="AM11063" s="10"/>
      <c r="AN11063" s="10"/>
      <c r="AO11063" s="10"/>
      <c r="AP11063" s="10"/>
      <c r="AQ11063" s="10"/>
      <c r="AR11063" s="10"/>
      <c r="AS11063" s="10"/>
      <c r="AT11063" s="10"/>
      <c r="AU11063" s="10"/>
      <c r="AV11063" s="10"/>
      <c r="AW11063" s="10"/>
      <c r="AX11063" s="10"/>
      <c r="AY11063" s="10"/>
      <c r="AZ11063" s="10"/>
    </row>
    <row r="11064" spans="31:52">
      <c r="AE11064" s="10"/>
      <c r="AF11064" s="10"/>
      <c r="AG11064" s="10"/>
      <c r="AH11064" s="10"/>
      <c r="AI11064" s="10"/>
      <c r="AJ11064" s="10"/>
      <c r="AK11064" s="10"/>
      <c r="AL11064" s="10"/>
      <c r="AM11064" s="10"/>
      <c r="AN11064" s="10"/>
      <c r="AO11064" s="10"/>
      <c r="AP11064" s="10"/>
      <c r="AQ11064" s="10"/>
      <c r="AR11064" s="10"/>
      <c r="AS11064" s="10"/>
      <c r="AT11064" s="10"/>
      <c r="AU11064" s="10"/>
      <c r="AV11064" s="10"/>
      <c r="AW11064" s="10"/>
      <c r="AX11064" s="10"/>
      <c r="AY11064" s="10"/>
      <c r="AZ11064" s="10"/>
    </row>
    <row r="11065" spans="31:52">
      <c r="AE11065" s="10"/>
      <c r="AF11065" s="10"/>
      <c r="AG11065" s="10"/>
      <c r="AH11065" s="10"/>
      <c r="AI11065" s="10"/>
      <c r="AJ11065" s="10"/>
      <c r="AK11065" s="10"/>
      <c r="AL11065" s="10"/>
      <c r="AM11065" s="10"/>
      <c r="AN11065" s="10"/>
      <c r="AO11065" s="10"/>
      <c r="AP11065" s="10"/>
      <c r="AQ11065" s="10"/>
      <c r="AR11065" s="10"/>
      <c r="AS11065" s="10"/>
      <c r="AT11065" s="10"/>
      <c r="AU11065" s="10"/>
      <c r="AV11065" s="10"/>
      <c r="AW11065" s="10"/>
      <c r="AX11065" s="10"/>
      <c r="AY11065" s="10"/>
      <c r="AZ11065" s="10"/>
    </row>
    <row r="11066" spans="31:52">
      <c r="AE11066" s="10"/>
      <c r="AF11066" s="10"/>
      <c r="AG11066" s="10"/>
      <c r="AH11066" s="10"/>
      <c r="AI11066" s="10"/>
      <c r="AJ11066" s="10"/>
      <c r="AK11066" s="10"/>
      <c r="AL11066" s="10"/>
      <c r="AM11066" s="10"/>
      <c r="AN11066" s="10"/>
      <c r="AO11066" s="10"/>
      <c r="AP11066" s="10"/>
      <c r="AQ11066" s="10"/>
      <c r="AR11066" s="10"/>
      <c r="AS11066" s="10"/>
      <c r="AT11066" s="10"/>
      <c r="AU11066" s="10"/>
      <c r="AV11066" s="10"/>
      <c r="AW11066" s="10"/>
      <c r="AX11066" s="10"/>
      <c r="AY11066" s="10"/>
      <c r="AZ11066" s="10"/>
    </row>
    <row r="11067" spans="31:52">
      <c r="AE11067" s="10"/>
      <c r="AF11067" s="10"/>
      <c r="AG11067" s="10"/>
      <c r="AH11067" s="10"/>
      <c r="AI11067" s="10"/>
      <c r="AJ11067" s="10"/>
      <c r="AK11067" s="10"/>
      <c r="AL11067" s="10"/>
      <c r="AM11067" s="10"/>
      <c r="AN11067" s="10"/>
      <c r="AO11067" s="10"/>
      <c r="AP11067" s="10"/>
      <c r="AQ11067" s="10"/>
      <c r="AR11067" s="10"/>
      <c r="AS11067" s="10"/>
      <c r="AT11067" s="10"/>
      <c r="AU11067" s="10"/>
      <c r="AV11067" s="10"/>
      <c r="AW11067" s="10"/>
      <c r="AX11067" s="10"/>
      <c r="AY11067" s="10"/>
      <c r="AZ11067" s="10"/>
    </row>
    <row r="11068" spans="31:52">
      <c r="AE11068" s="10"/>
      <c r="AF11068" s="10"/>
      <c r="AG11068" s="10"/>
      <c r="AH11068" s="10"/>
      <c r="AI11068" s="10"/>
      <c r="AJ11068" s="10"/>
      <c r="AK11068" s="10"/>
      <c r="AL11068" s="10"/>
      <c r="AM11068" s="10"/>
      <c r="AN11068" s="10"/>
      <c r="AO11068" s="10"/>
      <c r="AP11068" s="10"/>
      <c r="AQ11068" s="10"/>
      <c r="AR11068" s="10"/>
      <c r="AS11068" s="10"/>
      <c r="AT11068" s="10"/>
      <c r="AU11068" s="10"/>
      <c r="AV11068" s="10"/>
      <c r="AW11068" s="10"/>
      <c r="AX11068" s="10"/>
      <c r="AY11068" s="10"/>
      <c r="AZ11068" s="10"/>
    </row>
    <row r="11069" spans="31:52">
      <c r="AE11069" s="10"/>
      <c r="AF11069" s="10"/>
      <c r="AG11069" s="10"/>
      <c r="AH11069" s="10"/>
      <c r="AI11069" s="10"/>
      <c r="AJ11069" s="10"/>
      <c r="AK11069" s="10"/>
      <c r="AL11069" s="10"/>
      <c r="AM11069" s="10"/>
      <c r="AN11069" s="10"/>
      <c r="AO11069" s="10"/>
      <c r="AP11069" s="10"/>
      <c r="AQ11069" s="10"/>
      <c r="AR11069" s="10"/>
      <c r="AS11069" s="10"/>
      <c r="AT11069" s="10"/>
      <c r="AU11069" s="10"/>
      <c r="AV11069" s="10"/>
      <c r="AW11069" s="10"/>
      <c r="AX11069" s="10"/>
      <c r="AY11069" s="10"/>
      <c r="AZ11069" s="10"/>
    </row>
    <row r="11070" spans="31:52">
      <c r="AE11070" s="10"/>
      <c r="AF11070" s="10"/>
      <c r="AG11070" s="10"/>
      <c r="AH11070" s="10"/>
      <c r="AI11070" s="10"/>
      <c r="AJ11070" s="10"/>
      <c r="AK11070" s="10"/>
      <c r="AL11070" s="10"/>
      <c r="AM11070" s="10"/>
      <c r="AN11070" s="10"/>
      <c r="AO11070" s="10"/>
      <c r="AP11070" s="10"/>
      <c r="AQ11070" s="10"/>
      <c r="AR11070" s="10"/>
      <c r="AS11070" s="10"/>
      <c r="AT11070" s="10"/>
      <c r="AU11070" s="10"/>
      <c r="AV11070" s="10"/>
      <c r="AW11070" s="10"/>
      <c r="AX11070" s="10"/>
      <c r="AY11070" s="10"/>
      <c r="AZ11070" s="10"/>
    </row>
    <row r="11071" spans="31:52">
      <c r="AE11071" s="10"/>
      <c r="AF11071" s="10"/>
      <c r="AG11071" s="10"/>
      <c r="AH11071" s="10"/>
      <c r="AI11071" s="10"/>
      <c r="AJ11071" s="10"/>
      <c r="AK11071" s="10"/>
      <c r="AL11071" s="10"/>
      <c r="AM11071" s="10"/>
      <c r="AN11071" s="10"/>
      <c r="AO11071" s="10"/>
      <c r="AP11071" s="10"/>
      <c r="AQ11071" s="10"/>
      <c r="AR11071" s="10"/>
      <c r="AS11071" s="10"/>
      <c r="AT11071" s="10"/>
      <c r="AU11071" s="10"/>
      <c r="AV11071" s="10"/>
      <c r="AW11071" s="10"/>
      <c r="AX11071" s="10"/>
      <c r="AY11071" s="10"/>
      <c r="AZ11071" s="10"/>
    </row>
    <row r="11072" spans="31:52">
      <c r="AE11072" s="10"/>
      <c r="AF11072" s="10"/>
      <c r="AG11072" s="10"/>
      <c r="AH11072" s="10"/>
      <c r="AI11072" s="10"/>
      <c r="AJ11072" s="10"/>
      <c r="AK11072" s="10"/>
      <c r="AL11072" s="10"/>
      <c r="AM11072" s="10"/>
      <c r="AN11072" s="10"/>
      <c r="AO11072" s="10"/>
      <c r="AP11072" s="10"/>
      <c r="AQ11072" s="10"/>
      <c r="AR11072" s="10"/>
      <c r="AS11072" s="10"/>
      <c r="AT11072" s="10"/>
      <c r="AU11072" s="10"/>
      <c r="AV11072" s="10"/>
      <c r="AW11072" s="10"/>
      <c r="AX11072" s="10"/>
      <c r="AY11072" s="10"/>
      <c r="AZ11072" s="10"/>
    </row>
    <row r="11073" spans="31:52">
      <c r="AE11073" s="10"/>
      <c r="AF11073" s="10"/>
      <c r="AG11073" s="10"/>
      <c r="AH11073" s="10"/>
      <c r="AI11073" s="10"/>
      <c r="AJ11073" s="10"/>
      <c r="AK11073" s="10"/>
      <c r="AL11073" s="10"/>
      <c r="AM11073" s="10"/>
      <c r="AN11073" s="10"/>
      <c r="AO11073" s="10"/>
      <c r="AP11073" s="10"/>
      <c r="AQ11073" s="10"/>
      <c r="AR11073" s="10"/>
      <c r="AS11073" s="10"/>
      <c r="AT11073" s="10"/>
      <c r="AU11073" s="10"/>
      <c r="AV11073" s="10"/>
      <c r="AW11073" s="10"/>
      <c r="AX11073" s="10"/>
      <c r="AY11073" s="10"/>
      <c r="AZ11073" s="10"/>
    </row>
    <row r="11074" spans="31:52">
      <c r="AE11074" s="10"/>
      <c r="AF11074" s="10"/>
      <c r="AG11074" s="10"/>
      <c r="AH11074" s="10"/>
      <c r="AI11074" s="10"/>
      <c r="AJ11074" s="10"/>
      <c r="AK11074" s="10"/>
      <c r="AL11074" s="10"/>
      <c r="AM11074" s="10"/>
      <c r="AN11074" s="10"/>
      <c r="AO11074" s="10"/>
      <c r="AP11074" s="10"/>
      <c r="AQ11074" s="10"/>
      <c r="AR11074" s="10"/>
      <c r="AS11074" s="10"/>
      <c r="AT11074" s="10"/>
      <c r="AU11074" s="10"/>
      <c r="AV11074" s="10"/>
      <c r="AW11074" s="10"/>
      <c r="AX11074" s="10"/>
      <c r="AY11074" s="10"/>
      <c r="AZ11074" s="10"/>
    </row>
    <row r="11075" spans="31:52">
      <c r="AE11075" s="10"/>
      <c r="AF11075" s="10"/>
      <c r="AG11075" s="10"/>
      <c r="AH11075" s="10"/>
      <c r="AI11075" s="10"/>
      <c r="AJ11075" s="10"/>
      <c r="AK11075" s="10"/>
      <c r="AL11075" s="10"/>
      <c r="AM11075" s="10"/>
      <c r="AN11075" s="10"/>
      <c r="AO11075" s="10"/>
      <c r="AP11075" s="10"/>
      <c r="AQ11075" s="10"/>
      <c r="AR11075" s="10"/>
      <c r="AS11075" s="10"/>
      <c r="AT11075" s="10"/>
      <c r="AU11075" s="10"/>
      <c r="AV11075" s="10"/>
      <c r="AW11075" s="10"/>
      <c r="AX11075" s="10"/>
      <c r="AY11075" s="10"/>
      <c r="AZ11075" s="10"/>
    </row>
    <row r="11076" spans="31:52">
      <c r="AE11076" s="10"/>
      <c r="AF11076" s="10"/>
      <c r="AG11076" s="10"/>
      <c r="AH11076" s="10"/>
      <c r="AI11076" s="10"/>
      <c r="AJ11076" s="10"/>
      <c r="AK11076" s="10"/>
      <c r="AL11076" s="10"/>
      <c r="AM11076" s="10"/>
      <c r="AN11076" s="10"/>
      <c r="AO11076" s="10"/>
      <c r="AP11076" s="10"/>
      <c r="AQ11076" s="10"/>
      <c r="AR11076" s="10"/>
      <c r="AS11076" s="10"/>
      <c r="AT11076" s="10"/>
      <c r="AU11076" s="10"/>
      <c r="AV11076" s="10"/>
      <c r="AW11076" s="10"/>
      <c r="AX11076" s="10"/>
      <c r="AY11076" s="10"/>
      <c r="AZ11076" s="10"/>
    </row>
    <row r="11077" spans="31:52">
      <c r="AE11077" s="10"/>
      <c r="AF11077" s="10"/>
      <c r="AG11077" s="10"/>
      <c r="AH11077" s="10"/>
      <c r="AI11077" s="10"/>
      <c r="AJ11077" s="10"/>
      <c r="AK11077" s="10"/>
      <c r="AL11077" s="10"/>
      <c r="AM11077" s="10"/>
      <c r="AN11077" s="10"/>
      <c r="AO11077" s="10"/>
      <c r="AP11077" s="10"/>
      <c r="AQ11077" s="10"/>
      <c r="AR11077" s="10"/>
      <c r="AS11077" s="10"/>
      <c r="AT11077" s="10"/>
      <c r="AU11077" s="10"/>
      <c r="AV11077" s="10"/>
      <c r="AW11077" s="10"/>
      <c r="AX11077" s="10"/>
      <c r="AY11077" s="10"/>
      <c r="AZ11077" s="10"/>
    </row>
    <row r="11078" spans="31:52">
      <c r="AE11078" s="10"/>
      <c r="AF11078" s="10"/>
      <c r="AG11078" s="10"/>
      <c r="AH11078" s="10"/>
      <c r="AI11078" s="10"/>
      <c r="AJ11078" s="10"/>
      <c r="AK11078" s="10"/>
      <c r="AL11078" s="10"/>
      <c r="AM11078" s="10"/>
      <c r="AN11078" s="10"/>
      <c r="AO11078" s="10"/>
      <c r="AP11078" s="10"/>
      <c r="AQ11078" s="10"/>
      <c r="AR11078" s="10"/>
      <c r="AS11078" s="10"/>
      <c r="AT11078" s="10"/>
      <c r="AU11078" s="10"/>
      <c r="AV11078" s="10"/>
      <c r="AW11078" s="10"/>
      <c r="AX11078" s="10"/>
      <c r="AY11078" s="10"/>
      <c r="AZ11078" s="10"/>
    </row>
    <row r="11079" spans="31:52">
      <c r="AE11079" s="10"/>
      <c r="AF11079" s="10"/>
      <c r="AG11079" s="10"/>
      <c r="AH11079" s="10"/>
      <c r="AI11079" s="10"/>
      <c r="AJ11079" s="10"/>
      <c r="AK11079" s="10"/>
      <c r="AL11079" s="10"/>
      <c r="AM11079" s="10"/>
      <c r="AN11079" s="10"/>
      <c r="AO11079" s="10"/>
      <c r="AP11079" s="10"/>
      <c r="AQ11079" s="10"/>
      <c r="AR11079" s="10"/>
      <c r="AS11079" s="10"/>
      <c r="AT11079" s="10"/>
      <c r="AU11079" s="10"/>
      <c r="AV11079" s="10"/>
      <c r="AW11079" s="10"/>
      <c r="AX11079" s="10"/>
      <c r="AY11079" s="10"/>
      <c r="AZ11079" s="10"/>
    </row>
    <row r="11080" spans="31:52">
      <c r="AE11080" s="10"/>
      <c r="AF11080" s="10"/>
      <c r="AG11080" s="10"/>
      <c r="AH11080" s="10"/>
      <c r="AI11080" s="10"/>
      <c r="AJ11080" s="10"/>
      <c r="AK11080" s="10"/>
      <c r="AL11080" s="10"/>
      <c r="AM11080" s="10"/>
      <c r="AN11080" s="10"/>
      <c r="AO11080" s="10"/>
      <c r="AP11080" s="10"/>
      <c r="AQ11080" s="10"/>
      <c r="AR11080" s="10"/>
      <c r="AS11080" s="10"/>
      <c r="AT11080" s="10"/>
      <c r="AU11080" s="10"/>
      <c r="AV11080" s="10"/>
      <c r="AW11080" s="10"/>
      <c r="AX11080" s="10"/>
      <c r="AY11080" s="10"/>
      <c r="AZ11080" s="10"/>
    </row>
    <row r="11081" spans="31:52">
      <c r="AE11081" s="10"/>
      <c r="AF11081" s="10"/>
      <c r="AG11081" s="10"/>
      <c r="AH11081" s="10"/>
      <c r="AI11081" s="10"/>
      <c r="AJ11081" s="10"/>
      <c r="AK11081" s="10"/>
      <c r="AL11081" s="10"/>
      <c r="AM11081" s="10"/>
      <c r="AN11081" s="10"/>
      <c r="AO11081" s="10"/>
      <c r="AP11081" s="10"/>
      <c r="AQ11081" s="10"/>
      <c r="AR11081" s="10"/>
      <c r="AS11081" s="10"/>
      <c r="AT11081" s="10"/>
      <c r="AU11081" s="10"/>
      <c r="AV11081" s="10"/>
      <c r="AW11081" s="10"/>
      <c r="AX11081" s="10"/>
      <c r="AY11081" s="10"/>
      <c r="AZ11081" s="10"/>
    </row>
    <row r="11082" spans="31:52">
      <c r="AE11082" s="10"/>
      <c r="AF11082" s="10"/>
      <c r="AG11082" s="10"/>
      <c r="AH11082" s="10"/>
      <c r="AI11082" s="10"/>
      <c r="AJ11082" s="10"/>
      <c r="AK11082" s="10"/>
      <c r="AL11082" s="10"/>
      <c r="AM11082" s="10"/>
      <c r="AN11082" s="10"/>
      <c r="AO11082" s="10"/>
      <c r="AP11082" s="10"/>
      <c r="AQ11082" s="10"/>
      <c r="AR11082" s="10"/>
      <c r="AS11082" s="10"/>
      <c r="AT11082" s="10"/>
      <c r="AU11082" s="10"/>
      <c r="AV11082" s="10"/>
      <c r="AW11082" s="10"/>
      <c r="AX11082" s="10"/>
      <c r="AY11082" s="10"/>
      <c r="AZ11082" s="10"/>
    </row>
    <row r="11083" spans="31:52">
      <c r="AE11083" s="10"/>
      <c r="AF11083" s="10"/>
      <c r="AG11083" s="10"/>
      <c r="AH11083" s="10"/>
      <c r="AI11083" s="10"/>
      <c r="AJ11083" s="10"/>
      <c r="AK11083" s="10"/>
      <c r="AL11083" s="10"/>
      <c r="AM11083" s="10"/>
      <c r="AN11083" s="10"/>
      <c r="AO11083" s="10"/>
      <c r="AP11083" s="10"/>
      <c r="AQ11083" s="10"/>
      <c r="AR11083" s="10"/>
      <c r="AS11083" s="10"/>
      <c r="AT11083" s="10"/>
      <c r="AU11083" s="10"/>
      <c r="AV11083" s="10"/>
      <c r="AW11083" s="10"/>
      <c r="AX11083" s="10"/>
      <c r="AY11083" s="10"/>
      <c r="AZ11083" s="10"/>
    </row>
    <row r="11084" spans="31:52">
      <c r="AE11084" s="10"/>
      <c r="AF11084" s="10"/>
      <c r="AG11084" s="10"/>
      <c r="AH11084" s="10"/>
      <c r="AI11084" s="10"/>
      <c r="AJ11084" s="10"/>
      <c r="AK11084" s="10"/>
      <c r="AL11084" s="10"/>
      <c r="AM11084" s="10"/>
      <c r="AN11084" s="10"/>
      <c r="AO11084" s="10"/>
      <c r="AP11084" s="10"/>
      <c r="AQ11084" s="10"/>
      <c r="AR11084" s="10"/>
      <c r="AS11084" s="10"/>
      <c r="AT11084" s="10"/>
      <c r="AU11084" s="10"/>
      <c r="AV11084" s="10"/>
      <c r="AW11084" s="10"/>
      <c r="AX11084" s="10"/>
      <c r="AY11084" s="10"/>
      <c r="AZ11084" s="10"/>
    </row>
    <row r="11085" spans="31:52">
      <c r="AE11085" s="10"/>
      <c r="AF11085" s="10"/>
      <c r="AG11085" s="10"/>
      <c r="AH11085" s="10"/>
      <c r="AI11085" s="10"/>
      <c r="AJ11085" s="10"/>
      <c r="AK11085" s="10"/>
      <c r="AL11085" s="10"/>
      <c r="AM11085" s="10"/>
      <c r="AN11085" s="10"/>
      <c r="AO11085" s="10"/>
      <c r="AP11085" s="10"/>
      <c r="AQ11085" s="10"/>
      <c r="AR11085" s="10"/>
      <c r="AS11085" s="10"/>
      <c r="AT11085" s="10"/>
      <c r="AU11085" s="10"/>
      <c r="AV11085" s="10"/>
      <c r="AW11085" s="10"/>
      <c r="AX11085" s="10"/>
      <c r="AY11085" s="10"/>
      <c r="AZ11085" s="10"/>
    </row>
    <row r="11086" spans="31:52">
      <c r="AE11086" s="10"/>
      <c r="AF11086" s="10"/>
      <c r="AG11086" s="10"/>
      <c r="AH11086" s="10"/>
      <c r="AI11086" s="10"/>
      <c r="AJ11086" s="10"/>
      <c r="AK11086" s="10"/>
      <c r="AL11086" s="10"/>
      <c r="AM11086" s="10"/>
      <c r="AN11086" s="10"/>
      <c r="AO11086" s="10"/>
      <c r="AP11086" s="10"/>
      <c r="AQ11086" s="10"/>
      <c r="AR11086" s="10"/>
      <c r="AS11086" s="10"/>
      <c r="AT11086" s="10"/>
      <c r="AU11086" s="10"/>
      <c r="AV11086" s="10"/>
      <c r="AW11086" s="10"/>
      <c r="AX11086" s="10"/>
      <c r="AY11086" s="10"/>
      <c r="AZ11086" s="10"/>
    </row>
    <row r="11087" spans="31:52">
      <c r="AE11087" s="10"/>
      <c r="AF11087" s="10"/>
      <c r="AG11087" s="10"/>
      <c r="AH11087" s="10"/>
      <c r="AI11087" s="10"/>
      <c r="AJ11087" s="10"/>
      <c r="AK11087" s="10"/>
      <c r="AL11087" s="10"/>
      <c r="AM11087" s="10"/>
      <c r="AN11087" s="10"/>
      <c r="AO11087" s="10"/>
      <c r="AP11087" s="10"/>
      <c r="AQ11087" s="10"/>
      <c r="AR11087" s="10"/>
      <c r="AS11087" s="10"/>
      <c r="AT11087" s="10"/>
      <c r="AU11087" s="10"/>
      <c r="AV11087" s="10"/>
      <c r="AW11087" s="10"/>
      <c r="AX11087" s="10"/>
      <c r="AY11087" s="10"/>
      <c r="AZ11087" s="10"/>
    </row>
    <row r="11088" spans="31:52">
      <c r="AE11088" s="10"/>
      <c r="AF11088" s="10"/>
      <c r="AG11088" s="10"/>
      <c r="AH11088" s="10"/>
      <c r="AI11088" s="10"/>
      <c r="AJ11088" s="10"/>
      <c r="AK11088" s="10"/>
      <c r="AL11088" s="10"/>
      <c r="AM11088" s="10"/>
      <c r="AN11088" s="10"/>
      <c r="AO11088" s="10"/>
      <c r="AP11088" s="10"/>
      <c r="AQ11088" s="10"/>
      <c r="AR11088" s="10"/>
      <c r="AS11088" s="10"/>
      <c r="AT11088" s="10"/>
      <c r="AU11088" s="10"/>
      <c r="AV11088" s="10"/>
      <c r="AW11088" s="10"/>
      <c r="AX11088" s="10"/>
      <c r="AY11088" s="10"/>
      <c r="AZ11088" s="10"/>
    </row>
    <row r="11089" spans="31:52">
      <c r="AE11089" s="10"/>
      <c r="AF11089" s="10"/>
      <c r="AG11089" s="10"/>
      <c r="AH11089" s="10"/>
      <c r="AI11089" s="10"/>
      <c r="AJ11089" s="10"/>
      <c r="AK11089" s="10"/>
      <c r="AL11089" s="10"/>
      <c r="AM11089" s="10"/>
      <c r="AN11089" s="10"/>
      <c r="AO11089" s="10"/>
      <c r="AP11089" s="10"/>
      <c r="AQ11089" s="10"/>
      <c r="AR11089" s="10"/>
      <c r="AS11089" s="10"/>
      <c r="AT11089" s="10"/>
      <c r="AU11089" s="10"/>
      <c r="AV11089" s="10"/>
      <c r="AW11089" s="10"/>
      <c r="AX11089" s="10"/>
      <c r="AY11089" s="10"/>
      <c r="AZ11089" s="10"/>
    </row>
    <row r="11090" spans="31:52">
      <c r="AE11090" s="10"/>
      <c r="AF11090" s="10"/>
      <c r="AG11090" s="10"/>
      <c r="AH11090" s="10"/>
      <c r="AI11090" s="10"/>
      <c r="AJ11090" s="10"/>
      <c r="AK11090" s="10"/>
      <c r="AL11090" s="10"/>
      <c r="AM11090" s="10"/>
      <c r="AN11090" s="10"/>
      <c r="AO11090" s="10"/>
      <c r="AP11090" s="10"/>
      <c r="AQ11090" s="10"/>
      <c r="AR11090" s="10"/>
      <c r="AS11090" s="10"/>
      <c r="AT11090" s="10"/>
      <c r="AU11090" s="10"/>
      <c r="AV11090" s="10"/>
      <c r="AW11090" s="10"/>
      <c r="AX11090" s="10"/>
      <c r="AY11090" s="10"/>
      <c r="AZ11090" s="10"/>
    </row>
    <row r="11091" spans="31:52">
      <c r="AE11091" s="10"/>
      <c r="AF11091" s="10"/>
      <c r="AG11091" s="10"/>
      <c r="AH11091" s="10"/>
      <c r="AI11091" s="10"/>
      <c r="AJ11091" s="10"/>
      <c r="AK11091" s="10"/>
      <c r="AL11091" s="10"/>
      <c r="AM11091" s="10"/>
      <c r="AN11091" s="10"/>
      <c r="AO11091" s="10"/>
      <c r="AP11091" s="10"/>
      <c r="AQ11091" s="10"/>
      <c r="AR11091" s="10"/>
      <c r="AS11091" s="10"/>
      <c r="AT11091" s="10"/>
      <c r="AU11091" s="10"/>
      <c r="AV11091" s="10"/>
      <c r="AW11091" s="10"/>
      <c r="AX11091" s="10"/>
      <c r="AY11091" s="10"/>
      <c r="AZ11091" s="10"/>
    </row>
    <row r="11092" spans="31:52">
      <c r="AE11092" s="10"/>
      <c r="AF11092" s="10"/>
      <c r="AG11092" s="10"/>
      <c r="AH11092" s="10"/>
      <c r="AI11092" s="10"/>
      <c r="AJ11092" s="10"/>
      <c r="AK11092" s="10"/>
      <c r="AL11092" s="10"/>
      <c r="AM11092" s="10"/>
      <c r="AN11092" s="10"/>
      <c r="AO11092" s="10"/>
      <c r="AP11092" s="10"/>
      <c r="AQ11092" s="10"/>
      <c r="AR11092" s="10"/>
      <c r="AS11092" s="10"/>
      <c r="AT11092" s="10"/>
      <c r="AU11092" s="10"/>
      <c r="AV11092" s="10"/>
      <c r="AW11092" s="10"/>
      <c r="AX11092" s="10"/>
      <c r="AY11092" s="10"/>
      <c r="AZ11092" s="10"/>
    </row>
    <row r="11093" spans="31:52">
      <c r="AE11093" s="10"/>
      <c r="AF11093" s="10"/>
      <c r="AG11093" s="10"/>
      <c r="AH11093" s="10"/>
      <c r="AI11093" s="10"/>
      <c r="AJ11093" s="10"/>
      <c r="AK11093" s="10"/>
      <c r="AL11093" s="10"/>
      <c r="AM11093" s="10"/>
      <c r="AN11093" s="10"/>
      <c r="AO11093" s="10"/>
      <c r="AP11093" s="10"/>
      <c r="AQ11093" s="10"/>
      <c r="AR11093" s="10"/>
      <c r="AS11093" s="10"/>
      <c r="AT11093" s="10"/>
      <c r="AU11093" s="10"/>
      <c r="AV11093" s="10"/>
      <c r="AW11093" s="10"/>
      <c r="AX11093" s="10"/>
      <c r="AY11093" s="10"/>
      <c r="AZ11093" s="10"/>
    </row>
    <row r="11094" spans="31:52">
      <c r="AE11094" s="10"/>
      <c r="AF11094" s="10"/>
      <c r="AG11094" s="10"/>
      <c r="AH11094" s="10"/>
      <c r="AI11094" s="10"/>
      <c r="AJ11094" s="10"/>
      <c r="AK11094" s="10"/>
      <c r="AL11094" s="10"/>
      <c r="AM11094" s="10"/>
      <c r="AN11094" s="10"/>
      <c r="AO11094" s="10"/>
      <c r="AP11094" s="10"/>
      <c r="AQ11094" s="10"/>
      <c r="AR11094" s="10"/>
      <c r="AS11094" s="10"/>
      <c r="AT11094" s="10"/>
      <c r="AU11094" s="10"/>
      <c r="AV11094" s="10"/>
      <c r="AW11094" s="10"/>
      <c r="AX11094" s="10"/>
      <c r="AY11094" s="10"/>
      <c r="AZ11094" s="10"/>
    </row>
    <row r="11095" spans="31:52">
      <c r="AE11095" s="10"/>
      <c r="AF11095" s="10"/>
      <c r="AG11095" s="10"/>
      <c r="AH11095" s="10"/>
      <c r="AI11095" s="10"/>
      <c r="AJ11095" s="10"/>
      <c r="AK11095" s="10"/>
      <c r="AL11095" s="10"/>
      <c r="AM11095" s="10"/>
      <c r="AN11095" s="10"/>
      <c r="AO11095" s="10"/>
      <c r="AP11095" s="10"/>
      <c r="AQ11095" s="10"/>
      <c r="AR11095" s="10"/>
      <c r="AS11095" s="10"/>
      <c r="AT11095" s="10"/>
      <c r="AU11095" s="10"/>
      <c r="AV11095" s="10"/>
      <c r="AW11095" s="10"/>
      <c r="AX11095" s="10"/>
      <c r="AY11095" s="10"/>
      <c r="AZ11095" s="10"/>
    </row>
    <row r="11096" spans="31:52">
      <c r="AE11096" s="10"/>
      <c r="AF11096" s="10"/>
      <c r="AG11096" s="10"/>
      <c r="AH11096" s="10"/>
      <c r="AI11096" s="10"/>
      <c r="AJ11096" s="10"/>
      <c r="AK11096" s="10"/>
      <c r="AL11096" s="10"/>
      <c r="AM11096" s="10"/>
      <c r="AN11096" s="10"/>
      <c r="AO11096" s="10"/>
      <c r="AP11096" s="10"/>
      <c r="AQ11096" s="10"/>
      <c r="AR11096" s="10"/>
      <c r="AS11096" s="10"/>
      <c r="AT11096" s="10"/>
      <c r="AU11096" s="10"/>
      <c r="AV11096" s="10"/>
      <c r="AW11096" s="10"/>
      <c r="AX11096" s="10"/>
      <c r="AY11096" s="10"/>
      <c r="AZ11096" s="10"/>
    </row>
    <row r="11097" spans="31:52">
      <c r="AE11097" s="10"/>
      <c r="AF11097" s="10"/>
      <c r="AG11097" s="10"/>
      <c r="AH11097" s="10"/>
      <c r="AI11097" s="10"/>
      <c r="AJ11097" s="10"/>
      <c r="AK11097" s="10"/>
      <c r="AL11097" s="10"/>
      <c r="AM11097" s="10"/>
      <c r="AN11097" s="10"/>
      <c r="AO11097" s="10"/>
      <c r="AP11097" s="10"/>
      <c r="AQ11097" s="10"/>
      <c r="AR11097" s="10"/>
      <c r="AS11097" s="10"/>
      <c r="AT11097" s="10"/>
      <c r="AU11097" s="10"/>
      <c r="AV11097" s="10"/>
      <c r="AW11097" s="10"/>
      <c r="AX11097" s="10"/>
      <c r="AY11097" s="10"/>
      <c r="AZ11097" s="10"/>
    </row>
    <row r="11098" spans="31:52">
      <c r="AE11098" s="10"/>
      <c r="AF11098" s="10"/>
      <c r="AG11098" s="10"/>
      <c r="AH11098" s="10"/>
      <c r="AI11098" s="10"/>
      <c r="AJ11098" s="10"/>
      <c r="AK11098" s="10"/>
      <c r="AL11098" s="10"/>
      <c r="AM11098" s="10"/>
      <c r="AN11098" s="10"/>
      <c r="AO11098" s="10"/>
      <c r="AP11098" s="10"/>
      <c r="AQ11098" s="10"/>
      <c r="AR11098" s="10"/>
      <c r="AS11098" s="10"/>
      <c r="AT11098" s="10"/>
      <c r="AU11098" s="10"/>
      <c r="AV11098" s="10"/>
      <c r="AW11098" s="10"/>
      <c r="AX11098" s="10"/>
      <c r="AY11098" s="10"/>
      <c r="AZ11098" s="10"/>
    </row>
    <row r="11099" spans="31:52">
      <c r="AE11099" s="10"/>
      <c r="AF11099" s="10"/>
      <c r="AG11099" s="10"/>
      <c r="AH11099" s="10"/>
      <c r="AI11099" s="10"/>
      <c r="AJ11099" s="10"/>
      <c r="AK11099" s="10"/>
      <c r="AL11099" s="10"/>
      <c r="AM11099" s="10"/>
      <c r="AN11099" s="10"/>
      <c r="AO11099" s="10"/>
      <c r="AP11099" s="10"/>
      <c r="AQ11099" s="10"/>
      <c r="AR11099" s="10"/>
      <c r="AS11099" s="10"/>
      <c r="AT11099" s="10"/>
      <c r="AU11099" s="10"/>
      <c r="AV11099" s="10"/>
      <c r="AW11099" s="10"/>
      <c r="AX11099" s="10"/>
      <c r="AY11099" s="10"/>
      <c r="AZ11099" s="10"/>
    </row>
    <row r="11100" spans="31:52">
      <c r="AE11100" s="10"/>
      <c r="AF11100" s="10"/>
      <c r="AG11100" s="10"/>
      <c r="AH11100" s="10"/>
      <c r="AI11100" s="10"/>
      <c r="AJ11100" s="10"/>
      <c r="AK11100" s="10"/>
      <c r="AL11100" s="10"/>
      <c r="AM11100" s="10"/>
      <c r="AN11100" s="10"/>
      <c r="AO11100" s="10"/>
      <c r="AP11100" s="10"/>
      <c r="AQ11100" s="10"/>
      <c r="AR11100" s="10"/>
      <c r="AS11100" s="10"/>
      <c r="AT11100" s="10"/>
      <c r="AU11100" s="10"/>
      <c r="AV11100" s="10"/>
      <c r="AW11100" s="10"/>
      <c r="AX11100" s="10"/>
      <c r="AY11100" s="10"/>
      <c r="AZ11100" s="10"/>
    </row>
    <row r="11101" spans="31:52">
      <c r="AE11101" s="10"/>
      <c r="AF11101" s="10"/>
      <c r="AG11101" s="10"/>
      <c r="AH11101" s="10"/>
      <c r="AI11101" s="10"/>
      <c r="AJ11101" s="10"/>
      <c r="AK11101" s="10"/>
      <c r="AL11101" s="10"/>
      <c r="AM11101" s="10"/>
      <c r="AN11101" s="10"/>
      <c r="AO11101" s="10"/>
      <c r="AP11101" s="10"/>
      <c r="AQ11101" s="10"/>
      <c r="AR11101" s="10"/>
      <c r="AS11101" s="10"/>
      <c r="AT11101" s="10"/>
      <c r="AU11101" s="10"/>
      <c r="AV11101" s="10"/>
      <c r="AW11101" s="10"/>
      <c r="AX11101" s="10"/>
      <c r="AY11101" s="10"/>
      <c r="AZ11101" s="10"/>
    </row>
    <row r="11102" spans="31:52">
      <c r="AE11102" s="10"/>
      <c r="AF11102" s="10"/>
      <c r="AG11102" s="10"/>
      <c r="AH11102" s="10"/>
      <c r="AI11102" s="10"/>
      <c r="AJ11102" s="10"/>
      <c r="AK11102" s="10"/>
      <c r="AL11102" s="10"/>
      <c r="AM11102" s="10"/>
      <c r="AN11102" s="10"/>
      <c r="AO11102" s="10"/>
      <c r="AP11102" s="10"/>
      <c r="AQ11102" s="10"/>
      <c r="AR11102" s="10"/>
      <c r="AS11102" s="10"/>
      <c r="AT11102" s="10"/>
      <c r="AU11102" s="10"/>
      <c r="AV11102" s="10"/>
      <c r="AW11102" s="10"/>
      <c r="AX11102" s="10"/>
      <c r="AY11102" s="10"/>
      <c r="AZ11102" s="10"/>
    </row>
    <row r="11103" spans="31:52">
      <c r="AE11103" s="10"/>
      <c r="AF11103" s="10"/>
      <c r="AG11103" s="10"/>
      <c r="AH11103" s="10"/>
      <c r="AI11103" s="10"/>
      <c r="AJ11103" s="10"/>
      <c r="AK11103" s="10"/>
      <c r="AL11103" s="10"/>
      <c r="AM11103" s="10"/>
      <c r="AN11103" s="10"/>
      <c r="AO11103" s="10"/>
      <c r="AP11103" s="10"/>
      <c r="AQ11103" s="10"/>
      <c r="AR11103" s="10"/>
      <c r="AS11103" s="10"/>
      <c r="AT11103" s="10"/>
      <c r="AU11103" s="10"/>
      <c r="AV11103" s="10"/>
      <c r="AW11103" s="10"/>
      <c r="AX11103" s="10"/>
      <c r="AY11103" s="10"/>
      <c r="AZ11103" s="10"/>
    </row>
    <row r="11104" spans="31:52">
      <c r="AE11104" s="10"/>
      <c r="AF11104" s="10"/>
      <c r="AG11104" s="10"/>
      <c r="AH11104" s="10"/>
      <c r="AI11104" s="10"/>
      <c r="AJ11104" s="10"/>
      <c r="AK11104" s="10"/>
      <c r="AL11104" s="10"/>
      <c r="AM11104" s="10"/>
      <c r="AN11104" s="10"/>
      <c r="AO11104" s="10"/>
      <c r="AP11104" s="10"/>
      <c r="AQ11104" s="10"/>
      <c r="AR11104" s="10"/>
      <c r="AS11104" s="10"/>
      <c r="AT11104" s="10"/>
      <c r="AU11104" s="10"/>
      <c r="AV11104" s="10"/>
      <c r="AW11104" s="10"/>
      <c r="AX11104" s="10"/>
      <c r="AY11104" s="10"/>
      <c r="AZ11104" s="10"/>
    </row>
    <row r="11105" spans="31:52">
      <c r="AE11105" s="10"/>
      <c r="AF11105" s="10"/>
      <c r="AG11105" s="10"/>
      <c r="AH11105" s="10"/>
      <c r="AI11105" s="10"/>
      <c r="AJ11105" s="10"/>
      <c r="AK11105" s="10"/>
      <c r="AL11105" s="10"/>
      <c r="AM11105" s="10"/>
      <c r="AN11105" s="10"/>
      <c r="AO11105" s="10"/>
      <c r="AP11105" s="10"/>
      <c r="AQ11105" s="10"/>
      <c r="AR11105" s="10"/>
      <c r="AS11105" s="10"/>
      <c r="AT11105" s="10"/>
      <c r="AU11105" s="10"/>
      <c r="AV11105" s="10"/>
      <c r="AW11105" s="10"/>
      <c r="AX11105" s="10"/>
      <c r="AY11105" s="10"/>
      <c r="AZ11105" s="10"/>
    </row>
    <row r="11106" spans="31:52">
      <c r="AE11106" s="10"/>
      <c r="AF11106" s="10"/>
      <c r="AG11106" s="10"/>
      <c r="AH11106" s="10"/>
      <c r="AI11106" s="10"/>
      <c r="AJ11106" s="10"/>
      <c r="AK11106" s="10"/>
      <c r="AL11106" s="10"/>
      <c r="AM11106" s="10"/>
      <c r="AN11106" s="10"/>
      <c r="AO11106" s="10"/>
      <c r="AP11106" s="10"/>
      <c r="AQ11106" s="10"/>
      <c r="AR11106" s="10"/>
      <c r="AS11106" s="10"/>
      <c r="AT11106" s="10"/>
      <c r="AU11106" s="10"/>
      <c r="AV11106" s="10"/>
      <c r="AW11106" s="10"/>
      <c r="AX11106" s="10"/>
      <c r="AY11106" s="10"/>
      <c r="AZ11106" s="10"/>
    </row>
    <row r="11107" spans="31:52">
      <c r="AE11107" s="10"/>
      <c r="AF11107" s="10"/>
      <c r="AG11107" s="10"/>
      <c r="AH11107" s="10"/>
      <c r="AI11107" s="10"/>
      <c r="AJ11107" s="10"/>
      <c r="AK11107" s="10"/>
      <c r="AL11107" s="10"/>
      <c r="AM11107" s="10"/>
      <c r="AN11107" s="10"/>
      <c r="AO11107" s="10"/>
      <c r="AP11107" s="10"/>
      <c r="AQ11107" s="10"/>
      <c r="AR11107" s="10"/>
      <c r="AS11107" s="10"/>
      <c r="AT11107" s="10"/>
      <c r="AU11107" s="10"/>
      <c r="AV11107" s="10"/>
      <c r="AW11107" s="10"/>
      <c r="AX11107" s="10"/>
      <c r="AY11107" s="10"/>
      <c r="AZ11107" s="10"/>
    </row>
    <row r="11108" spans="31:52">
      <c r="AE11108" s="10"/>
      <c r="AF11108" s="10"/>
      <c r="AG11108" s="10"/>
      <c r="AH11108" s="10"/>
      <c r="AI11108" s="10"/>
      <c r="AJ11108" s="10"/>
      <c r="AK11108" s="10"/>
      <c r="AL11108" s="10"/>
      <c r="AM11108" s="10"/>
      <c r="AN11108" s="10"/>
      <c r="AO11108" s="10"/>
      <c r="AP11108" s="10"/>
      <c r="AQ11108" s="10"/>
      <c r="AR11108" s="10"/>
      <c r="AS11108" s="10"/>
      <c r="AT11108" s="10"/>
      <c r="AU11108" s="10"/>
      <c r="AV11108" s="10"/>
      <c r="AW11108" s="10"/>
      <c r="AX11108" s="10"/>
      <c r="AY11108" s="10"/>
      <c r="AZ11108" s="10"/>
    </row>
    <row r="11109" spans="31:52">
      <c r="AE11109" s="10"/>
      <c r="AF11109" s="10"/>
      <c r="AG11109" s="10"/>
      <c r="AH11109" s="10"/>
      <c r="AI11109" s="10"/>
      <c r="AJ11109" s="10"/>
      <c r="AK11109" s="10"/>
      <c r="AL11109" s="10"/>
      <c r="AM11109" s="10"/>
      <c r="AN11109" s="10"/>
      <c r="AO11109" s="10"/>
      <c r="AP11109" s="10"/>
      <c r="AQ11109" s="10"/>
      <c r="AR11109" s="10"/>
      <c r="AS11109" s="10"/>
      <c r="AT11109" s="10"/>
      <c r="AU11109" s="10"/>
      <c r="AV11109" s="10"/>
      <c r="AW11109" s="10"/>
      <c r="AX11109" s="10"/>
      <c r="AY11109" s="10"/>
      <c r="AZ11109" s="10"/>
    </row>
    <row r="11110" spans="31:52">
      <c r="AE11110" s="10"/>
      <c r="AF11110" s="10"/>
      <c r="AG11110" s="10"/>
      <c r="AH11110" s="10"/>
      <c r="AI11110" s="10"/>
      <c r="AJ11110" s="10"/>
      <c r="AK11110" s="10"/>
      <c r="AL11110" s="10"/>
      <c r="AM11110" s="10"/>
      <c r="AN11110" s="10"/>
      <c r="AO11110" s="10"/>
      <c r="AP11110" s="10"/>
      <c r="AQ11110" s="10"/>
      <c r="AR11110" s="10"/>
      <c r="AS11110" s="10"/>
      <c r="AT11110" s="10"/>
      <c r="AU11110" s="10"/>
      <c r="AV11110" s="10"/>
      <c r="AW11110" s="10"/>
      <c r="AX11110" s="10"/>
      <c r="AY11110" s="10"/>
      <c r="AZ11110" s="10"/>
    </row>
    <row r="11111" spans="31:52">
      <c r="AE11111" s="10"/>
      <c r="AF11111" s="10"/>
      <c r="AG11111" s="10"/>
      <c r="AH11111" s="10"/>
      <c r="AI11111" s="10"/>
      <c r="AJ11111" s="10"/>
      <c r="AK11111" s="10"/>
      <c r="AL11111" s="10"/>
      <c r="AM11111" s="10"/>
      <c r="AN11111" s="10"/>
      <c r="AO11111" s="10"/>
      <c r="AP11111" s="10"/>
      <c r="AQ11111" s="10"/>
      <c r="AR11111" s="10"/>
      <c r="AS11111" s="10"/>
      <c r="AT11111" s="10"/>
      <c r="AU11111" s="10"/>
      <c r="AV11111" s="10"/>
      <c r="AW11111" s="10"/>
      <c r="AX11111" s="10"/>
      <c r="AY11111" s="10"/>
      <c r="AZ11111" s="10"/>
    </row>
    <row r="11112" spans="31:52">
      <c r="AE11112" s="10"/>
      <c r="AF11112" s="10"/>
      <c r="AG11112" s="10"/>
      <c r="AH11112" s="10"/>
      <c r="AI11112" s="10"/>
      <c r="AJ11112" s="10"/>
      <c r="AK11112" s="10"/>
      <c r="AL11112" s="10"/>
      <c r="AM11112" s="10"/>
      <c r="AN11112" s="10"/>
      <c r="AO11112" s="10"/>
      <c r="AP11112" s="10"/>
      <c r="AQ11112" s="10"/>
      <c r="AR11112" s="10"/>
      <c r="AS11112" s="10"/>
      <c r="AT11112" s="10"/>
      <c r="AU11112" s="10"/>
      <c r="AV11112" s="10"/>
      <c r="AW11112" s="10"/>
      <c r="AX11112" s="10"/>
      <c r="AY11112" s="10"/>
      <c r="AZ11112" s="10"/>
    </row>
    <row r="11113" spans="31:52">
      <c r="AE11113" s="10"/>
      <c r="AF11113" s="10"/>
      <c r="AG11113" s="10"/>
      <c r="AH11113" s="10"/>
      <c r="AI11113" s="10"/>
      <c r="AJ11113" s="10"/>
      <c r="AK11113" s="10"/>
      <c r="AL11113" s="10"/>
      <c r="AM11113" s="10"/>
      <c r="AN11113" s="10"/>
      <c r="AO11113" s="10"/>
      <c r="AP11113" s="10"/>
      <c r="AQ11113" s="10"/>
      <c r="AR11113" s="10"/>
      <c r="AS11113" s="10"/>
      <c r="AT11113" s="10"/>
      <c r="AU11113" s="10"/>
      <c r="AV11113" s="10"/>
      <c r="AW11113" s="10"/>
      <c r="AX11113" s="10"/>
      <c r="AY11113" s="10"/>
      <c r="AZ11113" s="10"/>
    </row>
    <row r="11114" spans="31:52">
      <c r="AE11114" s="10"/>
      <c r="AF11114" s="10"/>
      <c r="AG11114" s="10"/>
      <c r="AH11114" s="10"/>
      <c r="AI11114" s="10"/>
      <c r="AJ11114" s="10"/>
      <c r="AK11114" s="10"/>
      <c r="AL11114" s="10"/>
      <c r="AM11114" s="10"/>
      <c r="AN11114" s="10"/>
      <c r="AO11114" s="10"/>
      <c r="AP11114" s="10"/>
      <c r="AQ11114" s="10"/>
      <c r="AR11114" s="10"/>
      <c r="AS11114" s="10"/>
      <c r="AT11114" s="10"/>
      <c r="AU11114" s="10"/>
      <c r="AV11114" s="10"/>
      <c r="AW11114" s="10"/>
      <c r="AX11114" s="10"/>
      <c r="AY11114" s="10"/>
      <c r="AZ11114" s="10"/>
    </row>
    <row r="11115" spans="31:52">
      <c r="AE11115" s="10"/>
      <c r="AF11115" s="10"/>
      <c r="AG11115" s="10"/>
      <c r="AH11115" s="10"/>
      <c r="AI11115" s="10"/>
      <c r="AJ11115" s="10"/>
      <c r="AK11115" s="10"/>
      <c r="AL11115" s="10"/>
      <c r="AM11115" s="10"/>
      <c r="AN11115" s="10"/>
      <c r="AO11115" s="10"/>
      <c r="AP11115" s="10"/>
      <c r="AQ11115" s="10"/>
      <c r="AR11115" s="10"/>
      <c r="AS11115" s="10"/>
      <c r="AT11115" s="10"/>
      <c r="AU11115" s="10"/>
      <c r="AV11115" s="10"/>
      <c r="AW11115" s="10"/>
      <c r="AX11115" s="10"/>
      <c r="AY11115" s="10"/>
      <c r="AZ11115" s="10"/>
    </row>
    <row r="11116" spans="31:52">
      <c r="AE11116" s="10"/>
      <c r="AF11116" s="10"/>
      <c r="AG11116" s="10"/>
      <c r="AH11116" s="10"/>
      <c r="AI11116" s="10"/>
      <c r="AJ11116" s="10"/>
      <c r="AK11116" s="10"/>
      <c r="AL11116" s="10"/>
      <c r="AM11116" s="10"/>
      <c r="AN11116" s="10"/>
      <c r="AO11116" s="10"/>
      <c r="AP11116" s="10"/>
      <c r="AQ11116" s="10"/>
      <c r="AR11116" s="10"/>
      <c r="AS11116" s="10"/>
      <c r="AT11116" s="10"/>
      <c r="AU11116" s="10"/>
      <c r="AV11116" s="10"/>
      <c r="AW11116" s="10"/>
      <c r="AX11116" s="10"/>
      <c r="AY11116" s="10"/>
      <c r="AZ11116" s="10"/>
    </row>
    <row r="11117" spans="31:52">
      <c r="AE11117" s="10"/>
      <c r="AF11117" s="10"/>
      <c r="AG11117" s="10"/>
      <c r="AH11117" s="10"/>
      <c r="AI11117" s="10"/>
      <c r="AJ11117" s="10"/>
      <c r="AK11117" s="10"/>
      <c r="AL11117" s="10"/>
      <c r="AM11117" s="10"/>
      <c r="AN11117" s="10"/>
      <c r="AO11117" s="10"/>
      <c r="AP11117" s="10"/>
      <c r="AQ11117" s="10"/>
      <c r="AR11117" s="10"/>
      <c r="AS11117" s="10"/>
      <c r="AT11117" s="10"/>
      <c r="AU11117" s="10"/>
      <c r="AV11117" s="10"/>
      <c r="AW11117" s="10"/>
      <c r="AX11117" s="10"/>
      <c r="AY11117" s="10"/>
      <c r="AZ11117" s="10"/>
    </row>
    <row r="11118" spans="31:52">
      <c r="AE11118" s="10"/>
      <c r="AF11118" s="10"/>
      <c r="AG11118" s="10"/>
      <c r="AH11118" s="10"/>
      <c r="AI11118" s="10"/>
      <c r="AJ11118" s="10"/>
      <c r="AK11118" s="10"/>
      <c r="AL11118" s="10"/>
      <c r="AM11118" s="10"/>
      <c r="AN11118" s="10"/>
      <c r="AO11118" s="10"/>
      <c r="AP11118" s="10"/>
      <c r="AQ11118" s="10"/>
      <c r="AR11118" s="10"/>
      <c r="AS11118" s="10"/>
      <c r="AT11118" s="10"/>
      <c r="AU11118" s="10"/>
      <c r="AV11118" s="10"/>
      <c r="AW11118" s="10"/>
      <c r="AX11118" s="10"/>
      <c r="AY11118" s="10"/>
      <c r="AZ11118" s="10"/>
    </row>
    <row r="11119" spans="31:52">
      <c r="AE11119" s="10"/>
      <c r="AF11119" s="10"/>
      <c r="AG11119" s="10"/>
      <c r="AH11119" s="10"/>
      <c r="AI11119" s="10"/>
      <c r="AJ11119" s="10"/>
      <c r="AK11119" s="10"/>
      <c r="AL11119" s="10"/>
      <c r="AM11119" s="10"/>
      <c r="AN11119" s="10"/>
      <c r="AO11119" s="10"/>
      <c r="AP11119" s="10"/>
      <c r="AQ11119" s="10"/>
      <c r="AR11119" s="10"/>
      <c r="AS11119" s="10"/>
      <c r="AT11119" s="10"/>
      <c r="AU11119" s="10"/>
      <c r="AV11119" s="10"/>
      <c r="AW11119" s="10"/>
      <c r="AX11119" s="10"/>
      <c r="AY11119" s="10"/>
      <c r="AZ11119" s="10"/>
    </row>
    <row r="11120" spans="31:52">
      <c r="AE11120" s="10"/>
      <c r="AF11120" s="10"/>
      <c r="AG11120" s="10"/>
      <c r="AH11120" s="10"/>
      <c r="AI11120" s="10"/>
      <c r="AJ11120" s="10"/>
      <c r="AK11120" s="10"/>
      <c r="AL11120" s="10"/>
      <c r="AM11120" s="10"/>
      <c r="AN11120" s="10"/>
      <c r="AO11120" s="10"/>
      <c r="AP11120" s="10"/>
      <c r="AQ11120" s="10"/>
      <c r="AR11120" s="10"/>
      <c r="AS11120" s="10"/>
      <c r="AT11120" s="10"/>
      <c r="AU11120" s="10"/>
      <c r="AV11120" s="10"/>
      <c r="AW11120" s="10"/>
      <c r="AX11120" s="10"/>
      <c r="AY11120" s="10"/>
      <c r="AZ11120" s="10"/>
    </row>
    <row r="11121" spans="31:52">
      <c r="AE11121" s="10"/>
      <c r="AF11121" s="10"/>
      <c r="AG11121" s="10"/>
      <c r="AH11121" s="10"/>
      <c r="AI11121" s="10"/>
      <c r="AJ11121" s="10"/>
      <c r="AK11121" s="10"/>
      <c r="AL11121" s="10"/>
      <c r="AM11121" s="10"/>
      <c r="AN11121" s="10"/>
      <c r="AO11121" s="10"/>
      <c r="AP11121" s="10"/>
      <c r="AQ11121" s="10"/>
      <c r="AR11121" s="10"/>
      <c r="AS11121" s="10"/>
      <c r="AT11121" s="10"/>
      <c r="AU11121" s="10"/>
      <c r="AV11121" s="10"/>
      <c r="AW11121" s="10"/>
      <c r="AX11121" s="10"/>
      <c r="AY11121" s="10"/>
      <c r="AZ11121" s="10"/>
    </row>
    <row r="11122" spans="31:52">
      <c r="AE11122" s="10"/>
      <c r="AF11122" s="10"/>
      <c r="AG11122" s="10"/>
      <c r="AH11122" s="10"/>
      <c r="AI11122" s="10"/>
      <c r="AJ11122" s="10"/>
      <c r="AK11122" s="10"/>
      <c r="AL11122" s="10"/>
      <c r="AM11122" s="10"/>
      <c r="AN11122" s="10"/>
      <c r="AO11122" s="10"/>
      <c r="AP11122" s="10"/>
      <c r="AQ11122" s="10"/>
      <c r="AR11122" s="10"/>
      <c r="AS11122" s="10"/>
      <c r="AT11122" s="10"/>
      <c r="AU11122" s="10"/>
      <c r="AV11122" s="10"/>
      <c r="AW11122" s="10"/>
      <c r="AX11122" s="10"/>
      <c r="AY11122" s="10"/>
      <c r="AZ11122" s="10"/>
    </row>
    <row r="11123" spans="31:52">
      <c r="AE11123" s="10"/>
      <c r="AF11123" s="10"/>
      <c r="AG11123" s="10"/>
      <c r="AH11123" s="10"/>
      <c r="AI11123" s="10"/>
      <c r="AJ11123" s="10"/>
      <c r="AK11123" s="10"/>
      <c r="AL11123" s="10"/>
      <c r="AM11123" s="10"/>
      <c r="AN11123" s="10"/>
      <c r="AO11123" s="10"/>
      <c r="AP11123" s="10"/>
      <c r="AQ11123" s="10"/>
      <c r="AR11123" s="10"/>
      <c r="AS11123" s="10"/>
      <c r="AT11123" s="10"/>
      <c r="AU11123" s="10"/>
      <c r="AV11123" s="10"/>
      <c r="AW11123" s="10"/>
      <c r="AX11123" s="10"/>
      <c r="AY11123" s="10"/>
      <c r="AZ11123" s="10"/>
    </row>
    <row r="11124" spans="31:52">
      <c r="AE11124" s="10"/>
      <c r="AF11124" s="10"/>
      <c r="AG11124" s="10"/>
      <c r="AH11124" s="10"/>
      <c r="AI11124" s="10"/>
      <c r="AJ11124" s="10"/>
      <c r="AK11124" s="10"/>
      <c r="AL11124" s="10"/>
      <c r="AM11124" s="10"/>
      <c r="AN11124" s="10"/>
      <c r="AO11124" s="10"/>
      <c r="AP11124" s="10"/>
      <c r="AQ11124" s="10"/>
      <c r="AR11124" s="10"/>
      <c r="AS11124" s="10"/>
      <c r="AT11124" s="10"/>
      <c r="AU11124" s="10"/>
      <c r="AV11124" s="10"/>
      <c r="AW11124" s="10"/>
      <c r="AX11124" s="10"/>
      <c r="AY11124" s="10"/>
      <c r="AZ11124" s="10"/>
    </row>
    <row r="11125" spans="31:52">
      <c r="AE11125" s="10"/>
      <c r="AF11125" s="10"/>
      <c r="AG11125" s="10"/>
      <c r="AH11125" s="10"/>
      <c r="AI11125" s="10"/>
      <c r="AJ11125" s="10"/>
      <c r="AK11125" s="10"/>
      <c r="AL11125" s="10"/>
      <c r="AM11125" s="10"/>
      <c r="AN11125" s="10"/>
      <c r="AO11125" s="10"/>
      <c r="AP11125" s="10"/>
      <c r="AQ11125" s="10"/>
      <c r="AR11125" s="10"/>
      <c r="AS11125" s="10"/>
      <c r="AT11125" s="10"/>
      <c r="AU11125" s="10"/>
      <c r="AV11125" s="10"/>
      <c r="AW11125" s="10"/>
      <c r="AX11125" s="10"/>
      <c r="AY11125" s="10"/>
      <c r="AZ11125" s="10"/>
    </row>
    <row r="11126" spans="31:52">
      <c r="AE11126" s="10"/>
      <c r="AF11126" s="10"/>
      <c r="AG11126" s="10"/>
      <c r="AH11126" s="10"/>
      <c r="AI11126" s="10"/>
      <c r="AJ11126" s="10"/>
      <c r="AK11126" s="10"/>
      <c r="AL11126" s="10"/>
      <c r="AM11126" s="10"/>
      <c r="AN11126" s="10"/>
      <c r="AO11126" s="10"/>
      <c r="AP11126" s="10"/>
      <c r="AQ11126" s="10"/>
      <c r="AR11126" s="10"/>
      <c r="AS11126" s="10"/>
      <c r="AT11126" s="10"/>
      <c r="AU11126" s="10"/>
      <c r="AV11126" s="10"/>
      <c r="AW11126" s="10"/>
      <c r="AX11126" s="10"/>
      <c r="AY11126" s="10"/>
      <c r="AZ11126" s="10"/>
    </row>
    <row r="11127" spans="31:52">
      <c r="AE11127" s="10"/>
      <c r="AF11127" s="10"/>
      <c r="AG11127" s="10"/>
      <c r="AH11127" s="10"/>
      <c r="AI11127" s="10"/>
      <c r="AJ11127" s="10"/>
      <c r="AK11127" s="10"/>
      <c r="AL11127" s="10"/>
      <c r="AM11127" s="10"/>
      <c r="AN11127" s="10"/>
      <c r="AO11127" s="10"/>
      <c r="AP11127" s="10"/>
      <c r="AQ11127" s="10"/>
      <c r="AR11127" s="10"/>
      <c r="AS11127" s="10"/>
      <c r="AT11127" s="10"/>
      <c r="AU11127" s="10"/>
      <c r="AV11127" s="10"/>
      <c r="AW11127" s="10"/>
      <c r="AX11127" s="10"/>
      <c r="AY11127" s="10"/>
      <c r="AZ11127" s="10"/>
    </row>
    <row r="11128" spans="31:52">
      <c r="AE11128" s="10"/>
      <c r="AF11128" s="10"/>
      <c r="AG11128" s="10"/>
      <c r="AH11128" s="10"/>
      <c r="AI11128" s="10"/>
      <c r="AJ11128" s="10"/>
      <c r="AK11128" s="10"/>
      <c r="AL11128" s="10"/>
      <c r="AM11128" s="10"/>
      <c r="AN11128" s="10"/>
      <c r="AO11128" s="10"/>
      <c r="AP11128" s="10"/>
      <c r="AQ11128" s="10"/>
      <c r="AR11128" s="10"/>
      <c r="AS11128" s="10"/>
      <c r="AT11128" s="10"/>
      <c r="AU11128" s="10"/>
      <c r="AV11128" s="10"/>
      <c r="AW11128" s="10"/>
      <c r="AX11128" s="10"/>
      <c r="AY11128" s="10"/>
      <c r="AZ11128" s="10"/>
    </row>
    <row r="11129" spans="31:52">
      <c r="AE11129" s="10"/>
      <c r="AF11129" s="10"/>
      <c r="AG11129" s="10"/>
      <c r="AH11129" s="10"/>
      <c r="AI11129" s="10"/>
      <c r="AJ11129" s="10"/>
      <c r="AK11129" s="10"/>
      <c r="AL11129" s="10"/>
      <c r="AM11129" s="10"/>
      <c r="AN11129" s="10"/>
      <c r="AO11129" s="10"/>
      <c r="AP11129" s="10"/>
      <c r="AQ11129" s="10"/>
      <c r="AR11129" s="10"/>
      <c r="AS11129" s="10"/>
      <c r="AT11129" s="10"/>
      <c r="AU11129" s="10"/>
      <c r="AV11129" s="10"/>
      <c r="AW11129" s="10"/>
      <c r="AX11129" s="10"/>
      <c r="AY11129" s="10"/>
      <c r="AZ11129" s="10"/>
    </row>
    <row r="11130" spans="31:52">
      <c r="AE11130" s="10"/>
      <c r="AF11130" s="10"/>
      <c r="AG11130" s="10"/>
      <c r="AH11130" s="10"/>
      <c r="AI11130" s="10"/>
      <c r="AJ11130" s="10"/>
      <c r="AK11130" s="10"/>
      <c r="AL11130" s="10"/>
      <c r="AM11130" s="10"/>
      <c r="AN11130" s="10"/>
      <c r="AO11130" s="10"/>
      <c r="AP11130" s="10"/>
      <c r="AQ11130" s="10"/>
      <c r="AR11130" s="10"/>
      <c r="AS11130" s="10"/>
      <c r="AT11130" s="10"/>
      <c r="AU11130" s="10"/>
      <c r="AV11130" s="10"/>
      <c r="AW11130" s="10"/>
      <c r="AX11130" s="10"/>
      <c r="AY11130" s="10"/>
      <c r="AZ11130" s="10"/>
    </row>
    <row r="11131" spans="31:52">
      <c r="AE11131" s="10"/>
      <c r="AF11131" s="10"/>
      <c r="AG11131" s="10"/>
      <c r="AH11131" s="10"/>
      <c r="AI11131" s="10"/>
      <c r="AJ11131" s="10"/>
      <c r="AK11131" s="10"/>
      <c r="AL11131" s="10"/>
      <c r="AM11131" s="10"/>
      <c r="AN11131" s="10"/>
      <c r="AO11131" s="10"/>
      <c r="AP11131" s="10"/>
      <c r="AQ11131" s="10"/>
      <c r="AR11131" s="10"/>
      <c r="AS11131" s="10"/>
      <c r="AT11131" s="10"/>
      <c r="AU11131" s="10"/>
      <c r="AV11131" s="10"/>
      <c r="AW11131" s="10"/>
      <c r="AX11131" s="10"/>
      <c r="AY11131" s="10"/>
      <c r="AZ11131" s="10"/>
    </row>
    <row r="11132" spans="31:52">
      <c r="AE11132" s="10"/>
      <c r="AF11132" s="10"/>
      <c r="AG11132" s="10"/>
      <c r="AH11132" s="10"/>
      <c r="AI11132" s="10"/>
      <c r="AJ11132" s="10"/>
      <c r="AK11132" s="10"/>
      <c r="AL11132" s="10"/>
      <c r="AM11132" s="10"/>
      <c r="AN11132" s="10"/>
      <c r="AO11132" s="10"/>
      <c r="AP11132" s="10"/>
      <c r="AQ11132" s="10"/>
      <c r="AR11132" s="10"/>
      <c r="AS11132" s="10"/>
      <c r="AT11132" s="10"/>
      <c r="AU11132" s="10"/>
      <c r="AV11132" s="10"/>
      <c r="AW11132" s="10"/>
      <c r="AX11132" s="10"/>
      <c r="AY11132" s="10"/>
      <c r="AZ11132" s="10"/>
    </row>
    <row r="11133" spans="31:52">
      <c r="AE11133" s="10"/>
      <c r="AF11133" s="10"/>
      <c r="AG11133" s="10"/>
      <c r="AH11133" s="10"/>
      <c r="AI11133" s="10"/>
      <c r="AJ11133" s="10"/>
      <c r="AK11133" s="10"/>
      <c r="AL11133" s="10"/>
      <c r="AM11133" s="10"/>
      <c r="AN11133" s="10"/>
      <c r="AO11133" s="10"/>
      <c r="AP11133" s="10"/>
      <c r="AQ11133" s="10"/>
      <c r="AR11133" s="10"/>
      <c r="AS11133" s="10"/>
      <c r="AT11133" s="10"/>
      <c r="AU11133" s="10"/>
      <c r="AV11133" s="10"/>
      <c r="AW11133" s="10"/>
      <c r="AX11133" s="10"/>
      <c r="AY11133" s="10"/>
      <c r="AZ11133" s="10"/>
    </row>
    <row r="11134" spans="31:52">
      <c r="AE11134" s="10"/>
      <c r="AF11134" s="10"/>
      <c r="AG11134" s="10"/>
      <c r="AH11134" s="10"/>
      <c r="AI11134" s="10"/>
      <c r="AJ11134" s="10"/>
      <c r="AK11134" s="10"/>
      <c r="AL11134" s="10"/>
      <c r="AM11134" s="10"/>
      <c r="AN11134" s="10"/>
      <c r="AO11134" s="10"/>
      <c r="AP11134" s="10"/>
      <c r="AQ11134" s="10"/>
      <c r="AR11134" s="10"/>
      <c r="AS11134" s="10"/>
      <c r="AT11134" s="10"/>
      <c r="AU11134" s="10"/>
      <c r="AV11134" s="10"/>
      <c r="AW11134" s="10"/>
      <c r="AX11134" s="10"/>
      <c r="AY11134" s="10"/>
      <c r="AZ11134" s="10"/>
    </row>
    <row r="11135" spans="31:52">
      <c r="AE11135" s="10"/>
      <c r="AF11135" s="10"/>
      <c r="AG11135" s="10"/>
      <c r="AH11135" s="10"/>
      <c r="AI11135" s="10"/>
      <c r="AJ11135" s="10"/>
      <c r="AK11135" s="10"/>
      <c r="AL11135" s="10"/>
      <c r="AM11135" s="10"/>
      <c r="AN11135" s="10"/>
      <c r="AO11135" s="10"/>
      <c r="AP11135" s="10"/>
      <c r="AQ11135" s="10"/>
      <c r="AR11135" s="10"/>
      <c r="AS11135" s="10"/>
      <c r="AT11135" s="10"/>
      <c r="AU11135" s="10"/>
      <c r="AV11135" s="10"/>
      <c r="AW11135" s="10"/>
      <c r="AX11135" s="10"/>
      <c r="AY11135" s="10"/>
      <c r="AZ11135" s="10"/>
    </row>
    <row r="11136" spans="31:52">
      <c r="AE11136" s="10"/>
      <c r="AF11136" s="10"/>
      <c r="AG11136" s="10"/>
      <c r="AH11136" s="10"/>
      <c r="AI11136" s="10"/>
      <c r="AJ11136" s="10"/>
      <c r="AK11136" s="10"/>
      <c r="AL11136" s="10"/>
      <c r="AM11136" s="10"/>
      <c r="AN11136" s="10"/>
      <c r="AO11136" s="10"/>
      <c r="AP11136" s="10"/>
      <c r="AQ11136" s="10"/>
      <c r="AR11136" s="10"/>
      <c r="AS11136" s="10"/>
      <c r="AT11136" s="10"/>
      <c r="AU11136" s="10"/>
      <c r="AV11136" s="10"/>
      <c r="AW11136" s="10"/>
      <c r="AX11136" s="10"/>
      <c r="AY11136" s="10"/>
      <c r="AZ11136" s="10"/>
    </row>
    <row r="11137" spans="31:52">
      <c r="AE11137" s="10"/>
      <c r="AF11137" s="10"/>
      <c r="AG11137" s="10"/>
      <c r="AH11137" s="10"/>
      <c r="AI11137" s="10"/>
      <c r="AJ11137" s="10"/>
      <c r="AK11137" s="10"/>
      <c r="AL11137" s="10"/>
      <c r="AM11137" s="10"/>
      <c r="AN11137" s="10"/>
      <c r="AO11137" s="10"/>
      <c r="AP11137" s="10"/>
      <c r="AQ11137" s="10"/>
      <c r="AR11137" s="10"/>
      <c r="AS11137" s="10"/>
      <c r="AT11137" s="10"/>
      <c r="AU11137" s="10"/>
      <c r="AV11137" s="10"/>
      <c r="AW11137" s="10"/>
      <c r="AX11137" s="10"/>
      <c r="AY11137" s="10"/>
      <c r="AZ11137" s="10"/>
    </row>
    <row r="11138" spans="31:52">
      <c r="AE11138" s="10"/>
      <c r="AF11138" s="10"/>
      <c r="AG11138" s="10"/>
      <c r="AH11138" s="10"/>
      <c r="AI11138" s="10"/>
      <c r="AJ11138" s="10"/>
      <c r="AK11138" s="10"/>
      <c r="AL11138" s="10"/>
      <c r="AM11138" s="10"/>
      <c r="AN11138" s="10"/>
      <c r="AO11138" s="10"/>
      <c r="AP11138" s="10"/>
      <c r="AQ11138" s="10"/>
      <c r="AR11138" s="10"/>
      <c r="AS11138" s="10"/>
      <c r="AT11138" s="10"/>
      <c r="AU11138" s="10"/>
      <c r="AV11138" s="10"/>
      <c r="AW11138" s="10"/>
      <c r="AX11138" s="10"/>
      <c r="AY11138" s="10"/>
      <c r="AZ11138" s="10"/>
    </row>
    <row r="11139" spans="31:52">
      <c r="AE11139" s="10"/>
      <c r="AF11139" s="10"/>
      <c r="AG11139" s="10"/>
      <c r="AH11139" s="10"/>
      <c r="AI11139" s="10"/>
      <c r="AJ11139" s="10"/>
      <c r="AK11139" s="10"/>
      <c r="AL11139" s="10"/>
      <c r="AM11139" s="10"/>
      <c r="AN11139" s="10"/>
      <c r="AO11139" s="10"/>
      <c r="AP11139" s="10"/>
      <c r="AQ11139" s="10"/>
      <c r="AR11139" s="10"/>
      <c r="AS11139" s="10"/>
      <c r="AT11139" s="10"/>
      <c r="AU11139" s="10"/>
      <c r="AV11139" s="10"/>
      <c r="AW11139" s="10"/>
      <c r="AX11139" s="10"/>
      <c r="AY11139" s="10"/>
      <c r="AZ11139" s="10"/>
    </row>
    <row r="11140" spans="31:52">
      <c r="AE11140" s="10"/>
      <c r="AF11140" s="10"/>
      <c r="AG11140" s="10"/>
      <c r="AH11140" s="10"/>
      <c r="AI11140" s="10"/>
      <c r="AJ11140" s="10"/>
      <c r="AK11140" s="10"/>
      <c r="AL11140" s="10"/>
      <c r="AM11140" s="10"/>
      <c r="AN11140" s="10"/>
      <c r="AO11140" s="10"/>
      <c r="AP11140" s="10"/>
      <c r="AQ11140" s="10"/>
      <c r="AR11140" s="10"/>
      <c r="AS11140" s="10"/>
      <c r="AT11140" s="10"/>
      <c r="AU11140" s="10"/>
      <c r="AV11140" s="10"/>
      <c r="AW11140" s="10"/>
      <c r="AX11140" s="10"/>
      <c r="AY11140" s="10"/>
      <c r="AZ11140" s="10"/>
    </row>
    <row r="11141" spans="31:52">
      <c r="AE11141" s="10"/>
      <c r="AF11141" s="10"/>
      <c r="AG11141" s="10"/>
      <c r="AH11141" s="10"/>
      <c r="AI11141" s="10"/>
      <c r="AJ11141" s="10"/>
      <c r="AK11141" s="10"/>
      <c r="AL11141" s="10"/>
      <c r="AM11141" s="10"/>
      <c r="AN11141" s="10"/>
      <c r="AO11141" s="10"/>
      <c r="AP11141" s="10"/>
      <c r="AQ11141" s="10"/>
      <c r="AR11141" s="10"/>
      <c r="AS11141" s="10"/>
      <c r="AT11141" s="10"/>
      <c r="AU11141" s="10"/>
      <c r="AV11141" s="10"/>
      <c r="AW11141" s="10"/>
      <c r="AX11141" s="10"/>
      <c r="AY11141" s="10"/>
      <c r="AZ11141" s="10"/>
    </row>
    <row r="11142" spans="31:52">
      <c r="AE11142" s="10"/>
      <c r="AF11142" s="10"/>
      <c r="AG11142" s="10"/>
      <c r="AH11142" s="10"/>
      <c r="AI11142" s="10"/>
      <c r="AJ11142" s="10"/>
      <c r="AK11142" s="10"/>
      <c r="AL11142" s="10"/>
      <c r="AM11142" s="10"/>
      <c r="AN11142" s="10"/>
      <c r="AO11142" s="10"/>
      <c r="AP11142" s="10"/>
      <c r="AQ11142" s="10"/>
      <c r="AR11142" s="10"/>
      <c r="AS11142" s="10"/>
      <c r="AT11142" s="10"/>
      <c r="AU11142" s="10"/>
      <c r="AV11142" s="10"/>
      <c r="AW11142" s="10"/>
      <c r="AX11142" s="10"/>
      <c r="AY11142" s="10"/>
      <c r="AZ11142" s="10"/>
    </row>
    <row r="11143" spans="31:52">
      <c r="AE11143" s="10"/>
      <c r="AF11143" s="10"/>
      <c r="AG11143" s="10"/>
      <c r="AH11143" s="10"/>
      <c r="AI11143" s="10"/>
      <c r="AJ11143" s="10"/>
      <c r="AK11143" s="10"/>
      <c r="AL11143" s="10"/>
      <c r="AM11143" s="10"/>
      <c r="AN11143" s="10"/>
      <c r="AO11143" s="10"/>
      <c r="AP11143" s="10"/>
      <c r="AQ11143" s="10"/>
      <c r="AR11143" s="10"/>
      <c r="AS11143" s="10"/>
      <c r="AT11143" s="10"/>
      <c r="AU11143" s="10"/>
      <c r="AV11143" s="10"/>
      <c r="AW11143" s="10"/>
      <c r="AX11143" s="10"/>
      <c r="AY11143" s="10"/>
      <c r="AZ11143" s="10"/>
    </row>
    <row r="11144" spans="31:52">
      <c r="AE11144" s="10"/>
      <c r="AF11144" s="10"/>
      <c r="AG11144" s="10"/>
      <c r="AH11144" s="10"/>
      <c r="AI11144" s="10"/>
      <c r="AJ11144" s="10"/>
      <c r="AK11144" s="10"/>
      <c r="AL11144" s="10"/>
      <c r="AM11144" s="10"/>
      <c r="AN11144" s="10"/>
      <c r="AO11144" s="10"/>
      <c r="AP11144" s="10"/>
      <c r="AQ11144" s="10"/>
      <c r="AR11144" s="10"/>
      <c r="AS11144" s="10"/>
      <c r="AT11144" s="10"/>
      <c r="AU11144" s="10"/>
      <c r="AV11144" s="10"/>
      <c r="AW11144" s="10"/>
      <c r="AX11144" s="10"/>
      <c r="AY11144" s="10"/>
      <c r="AZ11144" s="10"/>
    </row>
    <row r="11145" spans="31:52">
      <c r="AE11145" s="10"/>
      <c r="AF11145" s="10"/>
      <c r="AG11145" s="10"/>
      <c r="AH11145" s="10"/>
      <c r="AI11145" s="10"/>
      <c r="AJ11145" s="10"/>
      <c r="AK11145" s="10"/>
      <c r="AL11145" s="10"/>
      <c r="AM11145" s="10"/>
      <c r="AN11145" s="10"/>
      <c r="AO11145" s="10"/>
      <c r="AP11145" s="10"/>
      <c r="AQ11145" s="10"/>
      <c r="AR11145" s="10"/>
      <c r="AS11145" s="10"/>
      <c r="AT11145" s="10"/>
      <c r="AU11145" s="10"/>
      <c r="AV11145" s="10"/>
      <c r="AW11145" s="10"/>
      <c r="AX11145" s="10"/>
      <c r="AY11145" s="10"/>
      <c r="AZ11145" s="10"/>
    </row>
    <row r="11146" spans="31:52">
      <c r="AE11146" s="10"/>
      <c r="AF11146" s="10"/>
      <c r="AG11146" s="10"/>
      <c r="AH11146" s="10"/>
      <c r="AI11146" s="10"/>
      <c r="AJ11146" s="10"/>
      <c r="AK11146" s="10"/>
      <c r="AL11146" s="10"/>
      <c r="AM11146" s="10"/>
      <c r="AN11146" s="10"/>
      <c r="AO11146" s="10"/>
      <c r="AP11146" s="10"/>
      <c r="AQ11146" s="10"/>
      <c r="AR11146" s="10"/>
      <c r="AS11146" s="10"/>
      <c r="AT11146" s="10"/>
      <c r="AU11146" s="10"/>
      <c r="AV11146" s="10"/>
      <c r="AW11146" s="10"/>
      <c r="AX11146" s="10"/>
      <c r="AY11146" s="10"/>
      <c r="AZ11146" s="10"/>
    </row>
    <row r="11147" spans="31:52">
      <c r="AE11147" s="10"/>
      <c r="AF11147" s="10"/>
      <c r="AG11147" s="10"/>
      <c r="AH11147" s="10"/>
      <c r="AI11147" s="10"/>
      <c r="AJ11147" s="10"/>
      <c r="AK11147" s="10"/>
      <c r="AL11147" s="10"/>
      <c r="AM11147" s="10"/>
      <c r="AN11147" s="10"/>
      <c r="AO11147" s="10"/>
      <c r="AP11147" s="10"/>
      <c r="AQ11147" s="10"/>
      <c r="AR11147" s="10"/>
      <c r="AS11147" s="10"/>
      <c r="AT11147" s="10"/>
      <c r="AU11147" s="10"/>
      <c r="AV11147" s="10"/>
      <c r="AW11147" s="10"/>
      <c r="AX11147" s="10"/>
      <c r="AY11147" s="10"/>
      <c r="AZ11147" s="10"/>
    </row>
    <row r="11148" spans="31:52">
      <c r="AE11148" s="10"/>
      <c r="AF11148" s="10"/>
      <c r="AG11148" s="10"/>
      <c r="AH11148" s="10"/>
      <c r="AI11148" s="10"/>
      <c r="AJ11148" s="10"/>
      <c r="AK11148" s="10"/>
      <c r="AL11148" s="10"/>
      <c r="AM11148" s="10"/>
      <c r="AN11148" s="10"/>
      <c r="AO11148" s="10"/>
      <c r="AP11148" s="10"/>
      <c r="AQ11148" s="10"/>
      <c r="AR11148" s="10"/>
      <c r="AS11148" s="10"/>
      <c r="AT11148" s="10"/>
      <c r="AU11148" s="10"/>
      <c r="AV11148" s="10"/>
      <c r="AW11148" s="10"/>
      <c r="AX11148" s="10"/>
      <c r="AY11148" s="10"/>
      <c r="AZ11148" s="10"/>
    </row>
    <row r="11149" spans="31:52">
      <c r="AE11149" s="10"/>
      <c r="AF11149" s="10"/>
      <c r="AG11149" s="10"/>
      <c r="AH11149" s="10"/>
      <c r="AI11149" s="10"/>
      <c r="AJ11149" s="10"/>
      <c r="AK11149" s="10"/>
      <c r="AL11149" s="10"/>
      <c r="AM11149" s="10"/>
      <c r="AN11149" s="10"/>
      <c r="AO11149" s="10"/>
      <c r="AP11149" s="10"/>
      <c r="AQ11149" s="10"/>
      <c r="AR11149" s="10"/>
      <c r="AS11149" s="10"/>
      <c r="AT11149" s="10"/>
      <c r="AU11149" s="10"/>
      <c r="AV11149" s="10"/>
      <c r="AW11149" s="10"/>
      <c r="AX11149" s="10"/>
      <c r="AY11149" s="10"/>
      <c r="AZ11149" s="10"/>
    </row>
    <row r="11150" spans="31:52">
      <c r="AE11150" s="10"/>
      <c r="AF11150" s="10"/>
      <c r="AG11150" s="10"/>
      <c r="AH11150" s="10"/>
      <c r="AI11150" s="10"/>
      <c r="AJ11150" s="10"/>
      <c r="AK11150" s="10"/>
      <c r="AL11150" s="10"/>
      <c r="AM11150" s="10"/>
      <c r="AN11150" s="10"/>
      <c r="AO11150" s="10"/>
      <c r="AP11150" s="10"/>
      <c r="AQ11150" s="10"/>
      <c r="AR11150" s="10"/>
      <c r="AS11150" s="10"/>
      <c r="AT11150" s="10"/>
      <c r="AU11150" s="10"/>
      <c r="AV11150" s="10"/>
      <c r="AW11150" s="10"/>
      <c r="AX11150" s="10"/>
      <c r="AY11150" s="10"/>
      <c r="AZ11150" s="10"/>
    </row>
    <row r="11151" spans="31:52">
      <c r="AE11151" s="10"/>
      <c r="AF11151" s="10"/>
      <c r="AG11151" s="10"/>
      <c r="AH11151" s="10"/>
      <c r="AI11151" s="10"/>
      <c r="AJ11151" s="10"/>
      <c r="AK11151" s="10"/>
      <c r="AL11151" s="10"/>
      <c r="AM11151" s="10"/>
      <c r="AN11151" s="10"/>
      <c r="AO11151" s="10"/>
      <c r="AP11151" s="10"/>
      <c r="AQ11151" s="10"/>
      <c r="AR11151" s="10"/>
      <c r="AS11151" s="10"/>
      <c r="AT11151" s="10"/>
      <c r="AU11151" s="10"/>
      <c r="AV11151" s="10"/>
      <c r="AW11151" s="10"/>
      <c r="AX11151" s="10"/>
      <c r="AY11151" s="10"/>
      <c r="AZ11151" s="10"/>
    </row>
    <row r="11152" spans="31:52">
      <c r="AE11152" s="10"/>
      <c r="AF11152" s="10"/>
      <c r="AG11152" s="10"/>
      <c r="AH11152" s="10"/>
      <c r="AI11152" s="10"/>
      <c r="AJ11152" s="10"/>
      <c r="AK11152" s="10"/>
      <c r="AL11152" s="10"/>
      <c r="AM11152" s="10"/>
      <c r="AN11152" s="10"/>
      <c r="AO11152" s="10"/>
      <c r="AP11152" s="10"/>
      <c r="AQ11152" s="10"/>
      <c r="AR11152" s="10"/>
      <c r="AS11152" s="10"/>
      <c r="AT11152" s="10"/>
      <c r="AU11152" s="10"/>
      <c r="AV11152" s="10"/>
      <c r="AW11152" s="10"/>
      <c r="AX11152" s="10"/>
      <c r="AY11152" s="10"/>
      <c r="AZ11152" s="10"/>
    </row>
    <row r="11153" spans="31:52">
      <c r="AE11153" s="10"/>
      <c r="AF11153" s="10"/>
      <c r="AG11153" s="10"/>
      <c r="AH11153" s="10"/>
      <c r="AI11153" s="10"/>
      <c r="AJ11153" s="10"/>
      <c r="AK11153" s="10"/>
      <c r="AL11153" s="10"/>
      <c r="AM11153" s="10"/>
      <c r="AN11153" s="10"/>
      <c r="AO11153" s="10"/>
      <c r="AP11153" s="10"/>
      <c r="AQ11153" s="10"/>
      <c r="AR11153" s="10"/>
      <c r="AS11153" s="10"/>
      <c r="AT11153" s="10"/>
      <c r="AU11153" s="10"/>
      <c r="AV11153" s="10"/>
      <c r="AW11153" s="10"/>
      <c r="AX11153" s="10"/>
      <c r="AY11153" s="10"/>
      <c r="AZ11153" s="10"/>
    </row>
    <row r="11154" spans="31:52">
      <c r="AE11154" s="10"/>
      <c r="AF11154" s="10"/>
      <c r="AG11154" s="10"/>
      <c r="AH11154" s="10"/>
      <c r="AI11154" s="10"/>
      <c r="AJ11154" s="10"/>
      <c r="AK11154" s="10"/>
      <c r="AL11154" s="10"/>
      <c r="AM11154" s="10"/>
      <c r="AN11154" s="10"/>
      <c r="AO11154" s="10"/>
      <c r="AP11154" s="10"/>
      <c r="AQ11154" s="10"/>
      <c r="AR11154" s="10"/>
      <c r="AS11154" s="10"/>
      <c r="AT11154" s="10"/>
      <c r="AU11154" s="10"/>
      <c r="AV11154" s="10"/>
      <c r="AW11154" s="10"/>
      <c r="AX11154" s="10"/>
      <c r="AY11154" s="10"/>
      <c r="AZ11154" s="10"/>
    </row>
    <row r="11155" spans="31:52">
      <c r="AE11155" s="10"/>
      <c r="AF11155" s="10"/>
      <c r="AG11155" s="10"/>
      <c r="AH11155" s="10"/>
      <c r="AI11155" s="10"/>
      <c r="AJ11155" s="10"/>
      <c r="AK11155" s="10"/>
      <c r="AL11155" s="10"/>
      <c r="AM11155" s="10"/>
      <c r="AN11155" s="10"/>
      <c r="AO11155" s="10"/>
      <c r="AP11155" s="10"/>
      <c r="AQ11155" s="10"/>
      <c r="AR11155" s="10"/>
      <c r="AS11155" s="10"/>
      <c r="AT11155" s="10"/>
      <c r="AU11155" s="10"/>
      <c r="AV11155" s="10"/>
      <c r="AW11155" s="10"/>
      <c r="AX11155" s="10"/>
      <c r="AY11155" s="10"/>
      <c r="AZ11155" s="10"/>
    </row>
    <row r="11156" spans="31:52">
      <c r="AE11156" s="10"/>
      <c r="AF11156" s="10"/>
      <c r="AG11156" s="10"/>
      <c r="AH11156" s="10"/>
      <c r="AI11156" s="10"/>
      <c r="AJ11156" s="10"/>
      <c r="AK11156" s="10"/>
      <c r="AL11156" s="10"/>
      <c r="AM11156" s="10"/>
      <c r="AN11156" s="10"/>
      <c r="AO11156" s="10"/>
      <c r="AP11156" s="10"/>
      <c r="AQ11156" s="10"/>
      <c r="AR11156" s="10"/>
      <c r="AS11156" s="10"/>
      <c r="AT11156" s="10"/>
      <c r="AU11156" s="10"/>
      <c r="AV11156" s="10"/>
      <c r="AW11156" s="10"/>
      <c r="AX11156" s="10"/>
      <c r="AY11156" s="10"/>
      <c r="AZ11156" s="10"/>
    </row>
    <row r="11157" spans="31:52">
      <c r="AE11157" s="10"/>
      <c r="AF11157" s="10"/>
      <c r="AG11157" s="10"/>
      <c r="AH11157" s="10"/>
      <c r="AI11157" s="10"/>
      <c r="AJ11157" s="10"/>
      <c r="AK11157" s="10"/>
      <c r="AL11157" s="10"/>
      <c r="AM11157" s="10"/>
      <c r="AN11157" s="10"/>
      <c r="AO11157" s="10"/>
      <c r="AP11157" s="10"/>
      <c r="AQ11157" s="10"/>
      <c r="AR11157" s="10"/>
      <c r="AS11157" s="10"/>
      <c r="AT11157" s="10"/>
      <c r="AU11157" s="10"/>
      <c r="AV11157" s="10"/>
      <c r="AW11157" s="10"/>
      <c r="AX11157" s="10"/>
      <c r="AY11157" s="10"/>
      <c r="AZ11157" s="10"/>
    </row>
    <row r="11158" spans="31:52">
      <c r="AE11158" s="10"/>
      <c r="AF11158" s="10"/>
      <c r="AG11158" s="10"/>
      <c r="AH11158" s="10"/>
      <c r="AI11158" s="10"/>
      <c r="AJ11158" s="10"/>
      <c r="AK11158" s="10"/>
      <c r="AL11158" s="10"/>
      <c r="AM11158" s="10"/>
      <c r="AN11158" s="10"/>
      <c r="AO11158" s="10"/>
      <c r="AP11158" s="10"/>
      <c r="AQ11158" s="10"/>
      <c r="AR11158" s="10"/>
      <c r="AS11158" s="10"/>
      <c r="AT11158" s="10"/>
      <c r="AU11158" s="10"/>
      <c r="AV11158" s="10"/>
      <c r="AW11158" s="10"/>
      <c r="AX11158" s="10"/>
      <c r="AY11158" s="10"/>
      <c r="AZ11158" s="10"/>
    </row>
    <row r="11159" spans="31:52">
      <c r="AE11159" s="10"/>
      <c r="AF11159" s="10"/>
      <c r="AG11159" s="10"/>
      <c r="AH11159" s="10"/>
      <c r="AI11159" s="10"/>
      <c r="AJ11159" s="10"/>
      <c r="AK11159" s="10"/>
      <c r="AL11159" s="10"/>
      <c r="AM11159" s="10"/>
      <c r="AN11159" s="10"/>
      <c r="AO11159" s="10"/>
      <c r="AP11159" s="10"/>
      <c r="AQ11159" s="10"/>
      <c r="AR11159" s="10"/>
      <c r="AS11159" s="10"/>
      <c r="AT11159" s="10"/>
      <c r="AU11159" s="10"/>
      <c r="AV11159" s="10"/>
      <c r="AW11159" s="10"/>
      <c r="AX11159" s="10"/>
      <c r="AY11159" s="10"/>
      <c r="AZ11159" s="10"/>
    </row>
    <row r="11160" spans="31:52">
      <c r="AE11160" s="10"/>
      <c r="AF11160" s="10"/>
      <c r="AG11160" s="10"/>
      <c r="AH11160" s="10"/>
      <c r="AI11160" s="10"/>
      <c r="AJ11160" s="10"/>
      <c r="AK11160" s="10"/>
      <c r="AL11160" s="10"/>
      <c r="AM11160" s="10"/>
      <c r="AN11160" s="10"/>
      <c r="AO11160" s="10"/>
      <c r="AP11160" s="10"/>
      <c r="AQ11160" s="10"/>
      <c r="AR11160" s="10"/>
      <c r="AS11160" s="10"/>
      <c r="AT11160" s="10"/>
      <c r="AU11160" s="10"/>
      <c r="AV11160" s="10"/>
      <c r="AW11160" s="10"/>
      <c r="AX11160" s="10"/>
      <c r="AY11160" s="10"/>
      <c r="AZ11160" s="10"/>
    </row>
    <row r="11161" spans="31:52">
      <c r="AE11161" s="10"/>
      <c r="AF11161" s="10"/>
      <c r="AG11161" s="10"/>
      <c r="AH11161" s="10"/>
      <c r="AI11161" s="10"/>
      <c r="AJ11161" s="10"/>
      <c r="AK11161" s="10"/>
      <c r="AL11161" s="10"/>
      <c r="AM11161" s="10"/>
      <c r="AN11161" s="10"/>
      <c r="AO11161" s="10"/>
      <c r="AP11161" s="10"/>
      <c r="AQ11161" s="10"/>
      <c r="AR11161" s="10"/>
      <c r="AS11161" s="10"/>
      <c r="AT11161" s="10"/>
      <c r="AU11161" s="10"/>
      <c r="AV11161" s="10"/>
      <c r="AW11161" s="10"/>
      <c r="AX11161" s="10"/>
      <c r="AY11161" s="10"/>
      <c r="AZ11161" s="10"/>
    </row>
    <row r="11162" spans="31:52">
      <c r="AE11162" s="10"/>
      <c r="AF11162" s="10"/>
      <c r="AG11162" s="10"/>
      <c r="AH11162" s="10"/>
      <c r="AI11162" s="10"/>
      <c r="AJ11162" s="10"/>
      <c r="AK11162" s="10"/>
      <c r="AL11162" s="10"/>
      <c r="AM11162" s="10"/>
      <c r="AN11162" s="10"/>
      <c r="AO11162" s="10"/>
      <c r="AP11162" s="10"/>
      <c r="AQ11162" s="10"/>
      <c r="AR11162" s="10"/>
      <c r="AS11162" s="10"/>
      <c r="AT11162" s="10"/>
      <c r="AU11162" s="10"/>
      <c r="AV11162" s="10"/>
      <c r="AW11162" s="10"/>
      <c r="AX11162" s="10"/>
      <c r="AY11162" s="10"/>
      <c r="AZ11162" s="10"/>
    </row>
    <row r="11163" spans="31:52">
      <c r="AE11163" s="10"/>
      <c r="AF11163" s="10"/>
      <c r="AG11163" s="10"/>
      <c r="AH11163" s="10"/>
      <c r="AI11163" s="10"/>
      <c r="AJ11163" s="10"/>
      <c r="AK11163" s="10"/>
      <c r="AL11163" s="10"/>
      <c r="AM11163" s="10"/>
      <c r="AN11163" s="10"/>
      <c r="AO11163" s="10"/>
      <c r="AP11163" s="10"/>
      <c r="AQ11163" s="10"/>
      <c r="AR11163" s="10"/>
      <c r="AS11163" s="10"/>
      <c r="AT11163" s="10"/>
      <c r="AU11163" s="10"/>
      <c r="AV11163" s="10"/>
      <c r="AW11163" s="10"/>
      <c r="AX11163" s="10"/>
      <c r="AY11163" s="10"/>
      <c r="AZ11163" s="10"/>
    </row>
    <row r="11164" spans="31:52">
      <c r="AE11164" s="10"/>
      <c r="AF11164" s="10"/>
      <c r="AG11164" s="10"/>
      <c r="AH11164" s="10"/>
      <c r="AI11164" s="10"/>
      <c r="AJ11164" s="10"/>
      <c r="AK11164" s="10"/>
      <c r="AL11164" s="10"/>
      <c r="AM11164" s="10"/>
      <c r="AN11164" s="10"/>
      <c r="AO11164" s="10"/>
      <c r="AP11164" s="10"/>
      <c r="AQ11164" s="10"/>
      <c r="AR11164" s="10"/>
      <c r="AS11164" s="10"/>
      <c r="AT11164" s="10"/>
      <c r="AU11164" s="10"/>
      <c r="AV11164" s="10"/>
      <c r="AW11164" s="10"/>
      <c r="AX11164" s="10"/>
      <c r="AY11164" s="10"/>
      <c r="AZ11164" s="10"/>
    </row>
    <row r="11165" spans="31:52">
      <c r="AE11165" s="10"/>
      <c r="AF11165" s="10"/>
      <c r="AG11165" s="10"/>
      <c r="AH11165" s="10"/>
      <c r="AI11165" s="10"/>
      <c r="AJ11165" s="10"/>
      <c r="AK11165" s="10"/>
      <c r="AL11165" s="10"/>
      <c r="AM11165" s="10"/>
      <c r="AN11165" s="10"/>
      <c r="AO11165" s="10"/>
      <c r="AP11165" s="10"/>
      <c r="AQ11165" s="10"/>
      <c r="AR11165" s="10"/>
      <c r="AS11165" s="10"/>
      <c r="AT11165" s="10"/>
      <c r="AU11165" s="10"/>
      <c r="AV11165" s="10"/>
      <c r="AW11165" s="10"/>
      <c r="AX11165" s="10"/>
      <c r="AY11165" s="10"/>
      <c r="AZ11165" s="10"/>
    </row>
    <row r="11166" spans="31:52">
      <c r="AE11166" s="10"/>
      <c r="AF11166" s="10"/>
      <c r="AG11166" s="10"/>
      <c r="AH11166" s="10"/>
      <c r="AI11166" s="10"/>
      <c r="AJ11166" s="10"/>
      <c r="AK11166" s="10"/>
      <c r="AL11166" s="10"/>
      <c r="AM11166" s="10"/>
      <c r="AN11166" s="10"/>
      <c r="AO11166" s="10"/>
      <c r="AP11166" s="10"/>
      <c r="AQ11166" s="10"/>
      <c r="AR11166" s="10"/>
      <c r="AS11166" s="10"/>
      <c r="AT11166" s="10"/>
      <c r="AU11166" s="10"/>
      <c r="AV11166" s="10"/>
      <c r="AW11166" s="10"/>
      <c r="AX11166" s="10"/>
      <c r="AY11166" s="10"/>
      <c r="AZ11166" s="10"/>
    </row>
    <row r="11167" spans="31:52">
      <c r="AE11167" s="10"/>
      <c r="AF11167" s="10"/>
      <c r="AG11167" s="10"/>
      <c r="AH11167" s="10"/>
      <c r="AI11167" s="10"/>
      <c r="AJ11167" s="10"/>
      <c r="AK11167" s="10"/>
      <c r="AL11167" s="10"/>
      <c r="AM11167" s="10"/>
      <c r="AN11167" s="10"/>
      <c r="AO11167" s="10"/>
      <c r="AP11167" s="10"/>
      <c r="AQ11167" s="10"/>
      <c r="AR11167" s="10"/>
      <c r="AS11167" s="10"/>
      <c r="AT11167" s="10"/>
      <c r="AU11167" s="10"/>
      <c r="AV11167" s="10"/>
      <c r="AW11167" s="10"/>
      <c r="AX11167" s="10"/>
      <c r="AY11167" s="10"/>
      <c r="AZ11167" s="10"/>
    </row>
    <row r="11168" spans="31:52">
      <c r="AE11168" s="10"/>
      <c r="AF11168" s="10"/>
      <c r="AG11168" s="10"/>
      <c r="AH11168" s="10"/>
      <c r="AI11168" s="10"/>
      <c r="AJ11168" s="10"/>
      <c r="AK11168" s="10"/>
      <c r="AL11168" s="10"/>
      <c r="AM11168" s="10"/>
      <c r="AN11168" s="10"/>
      <c r="AO11168" s="10"/>
      <c r="AP11168" s="10"/>
      <c r="AQ11168" s="10"/>
      <c r="AR11168" s="10"/>
      <c r="AS11168" s="10"/>
      <c r="AT11168" s="10"/>
      <c r="AU11168" s="10"/>
      <c r="AV11168" s="10"/>
      <c r="AW11168" s="10"/>
      <c r="AX11168" s="10"/>
      <c r="AY11168" s="10"/>
      <c r="AZ11168" s="10"/>
    </row>
    <row r="11169" spans="31:52">
      <c r="AE11169" s="10"/>
      <c r="AF11169" s="10"/>
      <c r="AG11169" s="10"/>
      <c r="AH11169" s="10"/>
      <c r="AI11169" s="10"/>
      <c r="AJ11169" s="10"/>
      <c r="AK11169" s="10"/>
      <c r="AL11169" s="10"/>
      <c r="AM11169" s="10"/>
      <c r="AN11169" s="10"/>
      <c r="AO11169" s="10"/>
      <c r="AP11169" s="10"/>
      <c r="AQ11169" s="10"/>
      <c r="AR11169" s="10"/>
      <c r="AS11169" s="10"/>
      <c r="AT11169" s="10"/>
      <c r="AU11169" s="10"/>
      <c r="AV11169" s="10"/>
      <c r="AW11169" s="10"/>
      <c r="AX11169" s="10"/>
      <c r="AY11169" s="10"/>
      <c r="AZ11169" s="10"/>
    </row>
    <row r="11170" spans="31:52">
      <c r="AE11170" s="10"/>
      <c r="AF11170" s="10"/>
      <c r="AG11170" s="10"/>
      <c r="AH11170" s="10"/>
      <c r="AI11170" s="10"/>
      <c r="AJ11170" s="10"/>
      <c r="AK11170" s="10"/>
      <c r="AL11170" s="10"/>
      <c r="AM11170" s="10"/>
      <c r="AN11170" s="10"/>
      <c r="AO11170" s="10"/>
      <c r="AP11170" s="10"/>
      <c r="AQ11170" s="10"/>
      <c r="AR11170" s="10"/>
      <c r="AS11170" s="10"/>
      <c r="AT11170" s="10"/>
      <c r="AU11170" s="10"/>
      <c r="AV11170" s="10"/>
      <c r="AW11170" s="10"/>
      <c r="AX11170" s="10"/>
      <c r="AY11170" s="10"/>
      <c r="AZ11170" s="10"/>
    </row>
    <row r="11171" spans="31:52">
      <c r="AE11171" s="10"/>
      <c r="AF11171" s="10"/>
      <c r="AG11171" s="10"/>
      <c r="AH11171" s="10"/>
      <c r="AI11171" s="10"/>
      <c r="AJ11171" s="10"/>
      <c r="AK11171" s="10"/>
      <c r="AL11171" s="10"/>
      <c r="AM11171" s="10"/>
      <c r="AN11171" s="10"/>
      <c r="AO11171" s="10"/>
      <c r="AP11171" s="10"/>
      <c r="AQ11171" s="10"/>
      <c r="AR11171" s="10"/>
      <c r="AS11171" s="10"/>
      <c r="AT11171" s="10"/>
      <c r="AU11171" s="10"/>
      <c r="AV11171" s="10"/>
      <c r="AW11171" s="10"/>
      <c r="AX11171" s="10"/>
      <c r="AY11171" s="10"/>
      <c r="AZ11171" s="10"/>
    </row>
    <row r="11172" spans="31:52">
      <c r="AE11172" s="10"/>
      <c r="AF11172" s="10"/>
      <c r="AG11172" s="10"/>
      <c r="AH11172" s="10"/>
      <c r="AI11172" s="10"/>
      <c r="AJ11172" s="10"/>
      <c r="AK11172" s="10"/>
      <c r="AL11172" s="10"/>
      <c r="AM11172" s="10"/>
      <c r="AN11172" s="10"/>
      <c r="AO11172" s="10"/>
      <c r="AP11172" s="10"/>
      <c r="AQ11172" s="10"/>
      <c r="AR11172" s="10"/>
      <c r="AS11172" s="10"/>
      <c r="AT11172" s="10"/>
      <c r="AU11172" s="10"/>
      <c r="AV11172" s="10"/>
      <c r="AW11172" s="10"/>
      <c r="AX11172" s="10"/>
      <c r="AY11172" s="10"/>
      <c r="AZ11172" s="10"/>
    </row>
    <row r="11173" spans="31:52">
      <c r="AE11173" s="10"/>
      <c r="AF11173" s="10"/>
      <c r="AG11173" s="10"/>
      <c r="AH11173" s="10"/>
      <c r="AI11173" s="10"/>
      <c r="AJ11173" s="10"/>
      <c r="AK11173" s="10"/>
      <c r="AL11173" s="10"/>
      <c r="AM11173" s="10"/>
      <c r="AN11173" s="10"/>
      <c r="AO11173" s="10"/>
      <c r="AP11173" s="10"/>
      <c r="AQ11173" s="10"/>
      <c r="AR11173" s="10"/>
      <c r="AS11173" s="10"/>
      <c r="AT11173" s="10"/>
      <c r="AU11173" s="10"/>
      <c r="AV11173" s="10"/>
      <c r="AW11173" s="10"/>
      <c r="AX11173" s="10"/>
      <c r="AY11173" s="10"/>
      <c r="AZ11173" s="10"/>
    </row>
    <row r="11174" spans="31:52">
      <c r="AE11174" s="10"/>
      <c r="AF11174" s="10"/>
      <c r="AG11174" s="10"/>
      <c r="AH11174" s="10"/>
      <c r="AI11174" s="10"/>
      <c r="AJ11174" s="10"/>
      <c r="AK11174" s="10"/>
      <c r="AL11174" s="10"/>
      <c r="AM11174" s="10"/>
      <c r="AN11174" s="10"/>
      <c r="AO11174" s="10"/>
      <c r="AP11174" s="10"/>
      <c r="AQ11174" s="10"/>
      <c r="AR11174" s="10"/>
      <c r="AS11174" s="10"/>
      <c r="AT11174" s="10"/>
      <c r="AU11174" s="10"/>
      <c r="AV11174" s="10"/>
      <c r="AW11174" s="10"/>
      <c r="AX11174" s="10"/>
      <c r="AY11174" s="10"/>
      <c r="AZ11174" s="10"/>
    </row>
    <row r="11175" spans="31:52">
      <c r="AE11175" s="10"/>
      <c r="AF11175" s="10"/>
      <c r="AG11175" s="10"/>
      <c r="AH11175" s="10"/>
      <c r="AI11175" s="10"/>
      <c r="AJ11175" s="10"/>
      <c r="AK11175" s="10"/>
      <c r="AL11175" s="10"/>
      <c r="AM11175" s="10"/>
      <c r="AN11175" s="10"/>
      <c r="AO11175" s="10"/>
      <c r="AP11175" s="10"/>
      <c r="AQ11175" s="10"/>
      <c r="AR11175" s="10"/>
      <c r="AS11175" s="10"/>
      <c r="AT11175" s="10"/>
      <c r="AU11175" s="10"/>
      <c r="AV11175" s="10"/>
      <c r="AW11175" s="10"/>
      <c r="AX11175" s="10"/>
      <c r="AY11175" s="10"/>
      <c r="AZ11175" s="10"/>
    </row>
    <row r="11176" spans="31:52">
      <c r="AE11176" s="10"/>
      <c r="AF11176" s="10"/>
      <c r="AG11176" s="10"/>
      <c r="AH11176" s="10"/>
      <c r="AI11176" s="10"/>
      <c r="AJ11176" s="10"/>
      <c r="AK11176" s="10"/>
      <c r="AL11176" s="10"/>
      <c r="AM11176" s="10"/>
      <c r="AN11176" s="10"/>
      <c r="AO11176" s="10"/>
      <c r="AP11176" s="10"/>
      <c r="AQ11176" s="10"/>
      <c r="AR11176" s="10"/>
      <c r="AS11176" s="10"/>
      <c r="AT11176" s="10"/>
      <c r="AU11176" s="10"/>
      <c r="AV11176" s="10"/>
      <c r="AW11176" s="10"/>
      <c r="AX11176" s="10"/>
      <c r="AY11176" s="10"/>
      <c r="AZ11176" s="10"/>
    </row>
    <row r="11177" spans="31:52">
      <c r="AE11177" s="10"/>
      <c r="AF11177" s="10"/>
      <c r="AG11177" s="10"/>
      <c r="AH11177" s="10"/>
      <c r="AI11177" s="10"/>
      <c r="AJ11177" s="10"/>
      <c r="AK11177" s="10"/>
      <c r="AL11177" s="10"/>
      <c r="AM11177" s="10"/>
      <c r="AN11177" s="10"/>
      <c r="AO11177" s="10"/>
      <c r="AP11177" s="10"/>
      <c r="AQ11177" s="10"/>
      <c r="AR11177" s="10"/>
      <c r="AS11177" s="10"/>
      <c r="AT11177" s="10"/>
      <c r="AU11177" s="10"/>
      <c r="AV11177" s="10"/>
      <c r="AW11177" s="10"/>
      <c r="AX11177" s="10"/>
      <c r="AY11177" s="10"/>
      <c r="AZ11177" s="10"/>
    </row>
    <row r="11178" spans="31:52">
      <c r="AE11178" s="10"/>
      <c r="AF11178" s="10"/>
      <c r="AG11178" s="10"/>
      <c r="AH11178" s="10"/>
      <c r="AI11178" s="10"/>
      <c r="AJ11178" s="10"/>
      <c r="AK11178" s="10"/>
      <c r="AL11178" s="10"/>
      <c r="AM11178" s="10"/>
      <c r="AN11178" s="10"/>
      <c r="AO11178" s="10"/>
      <c r="AP11178" s="10"/>
      <c r="AQ11178" s="10"/>
      <c r="AR11178" s="10"/>
      <c r="AS11178" s="10"/>
      <c r="AT11178" s="10"/>
      <c r="AU11178" s="10"/>
      <c r="AV11178" s="10"/>
      <c r="AW11178" s="10"/>
      <c r="AX11178" s="10"/>
      <c r="AY11178" s="10"/>
      <c r="AZ11178" s="10"/>
    </row>
    <row r="11179" spans="31:52">
      <c r="AE11179" s="10"/>
      <c r="AF11179" s="10"/>
      <c r="AG11179" s="10"/>
      <c r="AH11179" s="10"/>
      <c r="AI11179" s="10"/>
      <c r="AJ11179" s="10"/>
      <c r="AK11179" s="10"/>
      <c r="AL11179" s="10"/>
      <c r="AM11179" s="10"/>
      <c r="AN11179" s="10"/>
      <c r="AO11179" s="10"/>
      <c r="AP11179" s="10"/>
      <c r="AQ11179" s="10"/>
      <c r="AR11179" s="10"/>
      <c r="AS11179" s="10"/>
      <c r="AT11179" s="10"/>
      <c r="AU11179" s="10"/>
      <c r="AV11179" s="10"/>
      <c r="AW11179" s="10"/>
      <c r="AX11179" s="10"/>
      <c r="AY11179" s="10"/>
      <c r="AZ11179" s="10"/>
    </row>
    <row r="11180" spans="31:52">
      <c r="AE11180" s="10"/>
      <c r="AF11180" s="10"/>
      <c r="AG11180" s="10"/>
      <c r="AH11180" s="10"/>
      <c r="AI11180" s="10"/>
      <c r="AJ11180" s="10"/>
      <c r="AK11180" s="10"/>
      <c r="AL11180" s="10"/>
      <c r="AM11180" s="10"/>
      <c r="AN11180" s="10"/>
      <c r="AO11180" s="10"/>
      <c r="AP11180" s="10"/>
      <c r="AQ11180" s="10"/>
      <c r="AR11180" s="10"/>
      <c r="AS11180" s="10"/>
      <c r="AT11180" s="10"/>
      <c r="AU11180" s="10"/>
      <c r="AV11180" s="10"/>
      <c r="AW11180" s="10"/>
      <c r="AX11180" s="10"/>
      <c r="AY11180" s="10"/>
      <c r="AZ11180" s="10"/>
    </row>
    <row r="11181" spans="31:52">
      <c r="AE11181" s="10"/>
      <c r="AF11181" s="10"/>
      <c r="AG11181" s="10"/>
      <c r="AH11181" s="10"/>
      <c r="AI11181" s="10"/>
      <c r="AJ11181" s="10"/>
      <c r="AK11181" s="10"/>
      <c r="AL11181" s="10"/>
      <c r="AM11181" s="10"/>
      <c r="AN11181" s="10"/>
      <c r="AO11181" s="10"/>
      <c r="AP11181" s="10"/>
      <c r="AQ11181" s="10"/>
      <c r="AR11181" s="10"/>
      <c r="AS11181" s="10"/>
      <c r="AT11181" s="10"/>
      <c r="AU11181" s="10"/>
      <c r="AV11181" s="10"/>
      <c r="AW11181" s="10"/>
      <c r="AX11181" s="10"/>
      <c r="AY11181" s="10"/>
      <c r="AZ11181" s="10"/>
    </row>
    <row r="11182" spans="31:52">
      <c r="AE11182" s="10"/>
      <c r="AF11182" s="10"/>
      <c r="AG11182" s="10"/>
      <c r="AH11182" s="10"/>
      <c r="AI11182" s="10"/>
      <c r="AJ11182" s="10"/>
      <c r="AK11182" s="10"/>
      <c r="AL11182" s="10"/>
      <c r="AM11182" s="10"/>
      <c r="AN11182" s="10"/>
      <c r="AO11182" s="10"/>
      <c r="AP11182" s="10"/>
      <c r="AQ11182" s="10"/>
      <c r="AR11182" s="10"/>
      <c r="AS11182" s="10"/>
      <c r="AT11182" s="10"/>
      <c r="AU11182" s="10"/>
      <c r="AV11182" s="10"/>
      <c r="AW11182" s="10"/>
      <c r="AX11182" s="10"/>
      <c r="AY11182" s="10"/>
      <c r="AZ11182" s="10"/>
    </row>
    <row r="11183" spans="31:52">
      <c r="AE11183" s="10"/>
      <c r="AF11183" s="10"/>
      <c r="AG11183" s="10"/>
      <c r="AH11183" s="10"/>
      <c r="AI11183" s="10"/>
      <c r="AJ11183" s="10"/>
      <c r="AK11183" s="10"/>
      <c r="AL11183" s="10"/>
      <c r="AM11183" s="10"/>
      <c r="AN11183" s="10"/>
      <c r="AO11183" s="10"/>
      <c r="AP11183" s="10"/>
      <c r="AQ11183" s="10"/>
      <c r="AR11183" s="10"/>
      <c r="AS11183" s="10"/>
      <c r="AT11183" s="10"/>
      <c r="AU11183" s="10"/>
      <c r="AV11183" s="10"/>
      <c r="AW11183" s="10"/>
      <c r="AX11183" s="10"/>
      <c r="AY11183" s="10"/>
      <c r="AZ11183" s="10"/>
    </row>
    <row r="11184" spans="31:52">
      <c r="AE11184" s="10"/>
      <c r="AF11184" s="10"/>
      <c r="AG11184" s="10"/>
      <c r="AH11184" s="10"/>
      <c r="AI11184" s="10"/>
      <c r="AJ11184" s="10"/>
      <c r="AK11184" s="10"/>
      <c r="AL11184" s="10"/>
      <c r="AM11184" s="10"/>
      <c r="AN11184" s="10"/>
      <c r="AO11184" s="10"/>
      <c r="AP11184" s="10"/>
      <c r="AQ11184" s="10"/>
      <c r="AR11184" s="10"/>
      <c r="AS11184" s="10"/>
      <c r="AT11184" s="10"/>
      <c r="AU11184" s="10"/>
      <c r="AV11184" s="10"/>
      <c r="AW11184" s="10"/>
      <c r="AX11184" s="10"/>
      <c r="AY11184" s="10"/>
      <c r="AZ11184" s="10"/>
    </row>
    <row r="11185" spans="31:52">
      <c r="AE11185" s="10"/>
      <c r="AF11185" s="10"/>
      <c r="AG11185" s="10"/>
      <c r="AH11185" s="10"/>
      <c r="AI11185" s="10"/>
      <c r="AJ11185" s="10"/>
      <c r="AK11185" s="10"/>
      <c r="AL11185" s="10"/>
      <c r="AM11185" s="10"/>
      <c r="AN11185" s="10"/>
      <c r="AO11185" s="10"/>
      <c r="AP11185" s="10"/>
      <c r="AQ11185" s="10"/>
      <c r="AR11185" s="10"/>
      <c r="AS11185" s="10"/>
      <c r="AT11185" s="10"/>
      <c r="AU11185" s="10"/>
      <c r="AV11185" s="10"/>
      <c r="AW11185" s="10"/>
      <c r="AX11185" s="10"/>
      <c r="AY11185" s="10"/>
      <c r="AZ11185" s="10"/>
    </row>
    <row r="11186" spans="31:52">
      <c r="AE11186" s="10"/>
      <c r="AF11186" s="10"/>
      <c r="AG11186" s="10"/>
      <c r="AH11186" s="10"/>
      <c r="AI11186" s="10"/>
      <c r="AJ11186" s="10"/>
      <c r="AK11186" s="10"/>
      <c r="AL11186" s="10"/>
      <c r="AM11186" s="10"/>
      <c r="AN11186" s="10"/>
      <c r="AO11186" s="10"/>
      <c r="AP11186" s="10"/>
      <c r="AQ11186" s="10"/>
      <c r="AR11186" s="10"/>
      <c r="AS11186" s="10"/>
      <c r="AT11186" s="10"/>
      <c r="AU11186" s="10"/>
      <c r="AV11186" s="10"/>
      <c r="AW11186" s="10"/>
      <c r="AX11186" s="10"/>
      <c r="AY11186" s="10"/>
      <c r="AZ11186" s="10"/>
    </row>
    <row r="11187" spans="31:52">
      <c r="AE11187" s="10"/>
      <c r="AF11187" s="10"/>
      <c r="AG11187" s="10"/>
      <c r="AH11187" s="10"/>
      <c r="AI11187" s="10"/>
      <c r="AJ11187" s="10"/>
      <c r="AK11187" s="10"/>
      <c r="AL11187" s="10"/>
      <c r="AM11187" s="10"/>
      <c r="AN11187" s="10"/>
      <c r="AO11187" s="10"/>
      <c r="AP11187" s="10"/>
      <c r="AQ11187" s="10"/>
      <c r="AR11187" s="10"/>
      <c r="AS11187" s="10"/>
      <c r="AT11187" s="10"/>
      <c r="AU11187" s="10"/>
      <c r="AV11187" s="10"/>
      <c r="AW11187" s="10"/>
      <c r="AX11187" s="10"/>
      <c r="AY11187" s="10"/>
      <c r="AZ11187" s="10"/>
    </row>
    <row r="11188" spans="31:52">
      <c r="AE11188" s="10"/>
      <c r="AF11188" s="10"/>
      <c r="AG11188" s="10"/>
      <c r="AH11188" s="10"/>
      <c r="AI11188" s="10"/>
      <c r="AJ11188" s="10"/>
      <c r="AK11188" s="10"/>
      <c r="AL11188" s="10"/>
      <c r="AM11188" s="10"/>
      <c r="AN11188" s="10"/>
      <c r="AO11188" s="10"/>
      <c r="AP11188" s="10"/>
      <c r="AQ11188" s="10"/>
      <c r="AR11188" s="10"/>
      <c r="AS11188" s="10"/>
      <c r="AT11188" s="10"/>
      <c r="AU11188" s="10"/>
      <c r="AV11188" s="10"/>
      <c r="AW11188" s="10"/>
      <c r="AX11188" s="10"/>
      <c r="AY11188" s="10"/>
      <c r="AZ11188" s="10"/>
    </row>
    <row r="11189" spans="31:52">
      <c r="AE11189" s="10"/>
      <c r="AF11189" s="10"/>
      <c r="AG11189" s="10"/>
      <c r="AH11189" s="10"/>
      <c r="AI11189" s="10"/>
      <c r="AJ11189" s="10"/>
      <c r="AK11189" s="10"/>
      <c r="AL11189" s="10"/>
      <c r="AM11189" s="10"/>
      <c r="AN11189" s="10"/>
      <c r="AO11189" s="10"/>
      <c r="AP11189" s="10"/>
      <c r="AQ11189" s="10"/>
      <c r="AR11189" s="10"/>
      <c r="AS11189" s="10"/>
      <c r="AT11189" s="10"/>
      <c r="AU11189" s="10"/>
      <c r="AV11189" s="10"/>
      <c r="AW11189" s="10"/>
      <c r="AX11189" s="10"/>
      <c r="AY11189" s="10"/>
      <c r="AZ11189" s="10"/>
    </row>
    <row r="11190" spans="31:52">
      <c r="AE11190" s="10"/>
      <c r="AF11190" s="10"/>
      <c r="AG11190" s="10"/>
      <c r="AH11190" s="10"/>
      <c r="AI11190" s="10"/>
      <c r="AJ11190" s="10"/>
      <c r="AK11190" s="10"/>
      <c r="AL11190" s="10"/>
      <c r="AM11190" s="10"/>
      <c r="AN11190" s="10"/>
      <c r="AO11190" s="10"/>
      <c r="AP11190" s="10"/>
      <c r="AQ11190" s="10"/>
      <c r="AR11190" s="10"/>
      <c r="AS11190" s="10"/>
      <c r="AT11190" s="10"/>
      <c r="AU11190" s="10"/>
      <c r="AV11190" s="10"/>
      <c r="AW11190" s="10"/>
      <c r="AX11190" s="10"/>
      <c r="AY11190" s="10"/>
      <c r="AZ11190" s="10"/>
    </row>
    <row r="11191" spans="31:52">
      <c r="AE11191" s="10"/>
      <c r="AF11191" s="10"/>
      <c r="AG11191" s="10"/>
      <c r="AH11191" s="10"/>
      <c r="AI11191" s="10"/>
      <c r="AJ11191" s="10"/>
      <c r="AK11191" s="10"/>
      <c r="AL11191" s="10"/>
      <c r="AM11191" s="10"/>
      <c r="AN11191" s="10"/>
      <c r="AO11191" s="10"/>
      <c r="AP11191" s="10"/>
      <c r="AQ11191" s="10"/>
      <c r="AR11191" s="10"/>
      <c r="AS11191" s="10"/>
      <c r="AT11191" s="10"/>
      <c r="AU11191" s="10"/>
      <c r="AV11191" s="10"/>
      <c r="AW11191" s="10"/>
      <c r="AX11191" s="10"/>
      <c r="AY11191" s="10"/>
      <c r="AZ11191" s="10"/>
    </row>
    <row r="11192" spans="31:52">
      <c r="AE11192" s="10"/>
      <c r="AF11192" s="10"/>
      <c r="AG11192" s="10"/>
      <c r="AH11192" s="10"/>
      <c r="AI11192" s="10"/>
      <c r="AJ11192" s="10"/>
      <c r="AK11192" s="10"/>
      <c r="AL11192" s="10"/>
      <c r="AM11192" s="10"/>
      <c r="AN11192" s="10"/>
      <c r="AO11192" s="10"/>
      <c r="AP11192" s="10"/>
      <c r="AQ11192" s="10"/>
      <c r="AR11192" s="10"/>
      <c r="AS11192" s="10"/>
      <c r="AT11192" s="10"/>
      <c r="AU11192" s="10"/>
      <c r="AV11192" s="10"/>
      <c r="AW11192" s="10"/>
      <c r="AX11192" s="10"/>
      <c r="AY11192" s="10"/>
      <c r="AZ11192" s="10"/>
    </row>
    <row r="11193" spans="31:52">
      <c r="AE11193" s="10"/>
      <c r="AF11193" s="10"/>
      <c r="AG11193" s="10"/>
      <c r="AH11193" s="10"/>
      <c r="AI11193" s="10"/>
      <c r="AJ11193" s="10"/>
      <c r="AK11193" s="10"/>
      <c r="AL11193" s="10"/>
      <c r="AM11193" s="10"/>
      <c r="AN11193" s="10"/>
      <c r="AO11193" s="10"/>
      <c r="AP11193" s="10"/>
      <c r="AQ11193" s="10"/>
      <c r="AR11193" s="10"/>
      <c r="AS11193" s="10"/>
      <c r="AT11193" s="10"/>
      <c r="AU11193" s="10"/>
      <c r="AV11193" s="10"/>
      <c r="AW11193" s="10"/>
      <c r="AX11193" s="10"/>
      <c r="AY11193" s="10"/>
      <c r="AZ11193" s="10"/>
    </row>
    <row r="11194" spans="31:52">
      <c r="AE11194" s="10"/>
      <c r="AF11194" s="10"/>
      <c r="AG11194" s="10"/>
      <c r="AH11194" s="10"/>
      <c r="AI11194" s="10"/>
      <c r="AJ11194" s="10"/>
      <c r="AK11194" s="10"/>
      <c r="AL11194" s="10"/>
      <c r="AM11194" s="10"/>
      <c r="AN11194" s="10"/>
      <c r="AO11194" s="10"/>
      <c r="AP11194" s="10"/>
      <c r="AQ11194" s="10"/>
      <c r="AR11194" s="10"/>
      <c r="AS11194" s="10"/>
      <c r="AT11194" s="10"/>
      <c r="AU11194" s="10"/>
      <c r="AV11194" s="10"/>
      <c r="AW11194" s="10"/>
      <c r="AX11194" s="10"/>
      <c r="AY11194" s="10"/>
      <c r="AZ11194" s="10"/>
    </row>
    <row r="11195" spans="31:52">
      <c r="AE11195" s="10"/>
      <c r="AF11195" s="10"/>
      <c r="AG11195" s="10"/>
      <c r="AH11195" s="10"/>
      <c r="AI11195" s="10"/>
      <c r="AJ11195" s="10"/>
      <c r="AK11195" s="10"/>
      <c r="AL11195" s="10"/>
      <c r="AM11195" s="10"/>
      <c r="AN11195" s="10"/>
      <c r="AO11195" s="10"/>
      <c r="AP11195" s="10"/>
      <c r="AQ11195" s="10"/>
      <c r="AR11195" s="10"/>
      <c r="AS11195" s="10"/>
      <c r="AT11195" s="10"/>
      <c r="AU11195" s="10"/>
      <c r="AV11195" s="10"/>
      <c r="AW11195" s="10"/>
      <c r="AX11195" s="10"/>
      <c r="AY11195" s="10"/>
      <c r="AZ11195" s="10"/>
    </row>
    <row r="11196" spans="31:52">
      <c r="AE11196" s="10"/>
      <c r="AF11196" s="10"/>
      <c r="AG11196" s="10"/>
      <c r="AH11196" s="10"/>
      <c r="AI11196" s="10"/>
      <c r="AJ11196" s="10"/>
      <c r="AK11196" s="10"/>
      <c r="AL11196" s="10"/>
      <c r="AM11196" s="10"/>
      <c r="AN11196" s="10"/>
      <c r="AO11196" s="10"/>
      <c r="AP11196" s="10"/>
      <c r="AQ11196" s="10"/>
      <c r="AR11196" s="10"/>
      <c r="AS11196" s="10"/>
      <c r="AT11196" s="10"/>
      <c r="AU11196" s="10"/>
      <c r="AV11196" s="10"/>
      <c r="AW11196" s="10"/>
      <c r="AX11196" s="10"/>
      <c r="AY11196" s="10"/>
      <c r="AZ11196" s="10"/>
    </row>
    <row r="11197" spans="31:52">
      <c r="AE11197" s="10"/>
      <c r="AF11197" s="10"/>
      <c r="AG11197" s="10"/>
      <c r="AH11197" s="10"/>
      <c r="AI11197" s="10"/>
      <c r="AJ11197" s="10"/>
      <c r="AK11197" s="10"/>
      <c r="AL11197" s="10"/>
      <c r="AM11197" s="10"/>
      <c r="AN11197" s="10"/>
      <c r="AO11197" s="10"/>
      <c r="AP11197" s="10"/>
      <c r="AQ11197" s="10"/>
      <c r="AR11197" s="10"/>
      <c r="AS11197" s="10"/>
      <c r="AT11197" s="10"/>
      <c r="AU11197" s="10"/>
      <c r="AV11197" s="10"/>
      <c r="AW11197" s="10"/>
      <c r="AX11197" s="10"/>
      <c r="AY11197" s="10"/>
      <c r="AZ11197" s="10"/>
    </row>
    <row r="11198" spans="31:52">
      <c r="AE11198" s="10"/>
      <c r="AF11198" s="10"/>
      <c r="AG11198" s="10"/>
      <c r="AH11198" s="10"/>
      <c r="AI11198" s="10"/>
      <c r="AJ11198" s="10"/>
      <c r="AK11198" s="10"/>
      <c r="AL11198" s="10"/>
      <c r="AM11198" s="10"/>
      <c r="AN11198" s="10"/>
      <c r="AO11198" s="10"/>
      <c r="AP11198" s="10"/>
      <c r="AQ11198" s="10"/>
      <c r="AR11198" s="10"/>
      <c r="AS11198" s="10"/>
      <c r="AT11198" s="10"/>
      <c r="AU11198" s="10"/>
      <c r="AV11198" s="10"/>
      <c r="AW11198" s="10"/>
      <c r="AX11198" s="10"/>
      <c r="AY11198" s="10"/>
      <c r="AZ11198" s="10"/>
    </row>
    <row r="11199" spans="31:52">
      <c r="AE11199" s="10"/>
      <c r="AF11199" s="10"/>
      <c r="AG11199" s="10"/>
      <c r="AH11199" s="10"/>
      <c r="AI11199" s="10"/>
      <c r="AJ11199" s="10"/>
      <c r="AK11199" s="10"/>
      <c r="AL11199" s="10"/>
      <c r="AM11199" s="10"/>
      <c r="AN11199" s="10"/>
      <c r="AO11199" s="10"/>
      <c r="AP11199" s="10"/>
      <c r="AQ11199" s="10"/>
      <c r="AR11199" s="10"/>
      <c r="AS11199" s="10"/>
      <c r="AT11199" s="10"/>
      <c r="AU11199" s="10"/>
      <c r="AV11199" s="10"/>
      <c r="AW11199" s="10"/>
      <c r="AX11199" s="10"/>
      <c r="AY11199" s="10"/>
      <c r="AZ11199" s="10"/>
    </row>
    <row r="11200" spans="31:52">
      <c r="AE11200" s="10"/>
      <c r="AF11200" s="10"/>
      <c r="AG11200" s="10"/>
      <c r="AH11200" s="10"/>
      <c r="AI11200" s="10"/>
      <c r="AJ11200" s="10"/>
      <c r="AK11200" s="10"/>
      <c r="AL11200" s="10"/>
      <c r="AM11200" s="10"/>
      <c r="AN11200" s="10"/>
      <c r="AO11200" s="10"/>
      <c r="AP11200" s="10"/>
      <c r="AQ11200" s="10"/>
      <c r="AR11200" s="10"/>
      <c r="AS11200" s="10"/>
      <c r="AT11200" s="10"/>
      <c r="AU11200" s="10"/>
      <c r="AV11200" s="10"/>
      <c r="AW11200" s="10"/>
      <c r="AX11200" s="10"/>
      <c r="AY11200" s="10"/>
      <c r="AZ11200" s="10"/>
    </row>
    <row r="11201" spans="31:52">
      <c r="AE11201" s="10"/>
      <c r="AF11201" s="10"/>
      <c r="AG11201" s="10"/>
      <c r="AH11201" s="10"/>
      <c r="AI11201" s="10"/>
      <c r="AJ11201" s="10"/>
      <c r="AK11201" s="10"/>
      <c r="AL11201" s="10"/>
      <c r="AM11201" s="10"/>
      <c r="AN11201" s="10"/>
      <c r="AO11201" s="10"/>
      <c r="AP11201" s="10"/>
      <c r="AQ11201" s="10"/>
      <c r="AR11201" s="10"/>
      <c r="AS11201" s="10"/>
      <c r="AT11201" s="10"/>
      <c r="AU11201" s="10"/>
      <c r="AV11201" s="10"/>
      <c r="AW11201" s="10"/>
      <c r="AX11201" s="10"/>
      <c r="AY11201" s="10"/>
      <c r="AZ11201" s="10"/>
    </row>
    <row r="11202" spans="31:52">
      <c r="AE11202" s="10"/>
      <c r="AF11202" s="10"/>
      <c r="AG11202" s="10"/>
      <c r="AH11202" s="10"/>
      <c r="AI11202" s="10"/>
      <c r="AJ11202" s="10"/>
      <c r="AK11202" s="10"/>
      <c r="AL11202" s="10"/>
      <c r="AM11202" s="10"/>
      <c r="AN11202" s="10"/>
      <c r="AO11202" s="10"/>
      <c r="AP11202" s="10"/>
      <c r="AQ11202" s="10"/>
      <c r="AR11202" s="10"/>
      <c r="AS11202" s="10"/>
      <c r="AT11202" s="10"/>
      <c r="AU11202" s="10"/>
      <c r="AV11202" s="10"/>
      <c r="AW11202" s="10"/>
      <c r="AX11202" s="10"/>
      <c r="AY11202" s="10"/>
      <c r="AZ11202" s="10"/>
    </row>
    <row r="11203" spans="31:52">
      <c r="AE11203" s="10"/>
      <c r="AF11203" s="10"/>
      <c r="AG11203" s="10"/>
      <c r="AH11203" s="10"/>
      <c r="AI11203" s="10"/>
      <c r="AJ11203" s="10"/>
      <c r="AK11203" s="10"/>
      <c r="AL11203" s="10"/>
      <c r="AM11203" s="10"/>
      <c r="AN11203" s="10"/>
      <c r="AO11203" s="10"/>
      <c r="AP11203" s="10"/>
      <c r="AQ11203" s="10"/>
      <c r="AR11203" s="10"/>
      <c r="AS11203" s="10"/>
      <c r="AT11203" s="10"/>
      <c r="AU11203" s="10"/>
      <c r="AV11203" s="10"/>
      <c r="AW11203" s="10"/>
      <c r="AX11203" s="10"/>
      <c r="AY11203" s="10"/>
      <c r="AZ11203" s="10"/>
    </row>
    <row r="11204" spans="31:52">
      <c r="AE11204" s="10"/>
      <c r="AF11204" s="10"/>
      <c r="AG11204" s="10"/>
      <c r="AH11204" s="10"/>
      <c r="AI11204" s="10"/>
      <c r="AJ11204" s="10"/>
      <c r="AK11204" s="10"/>
      <c r="AL11204" s="10"/>
      <c r="AM11204" s="10"/>
      <c r="AN11204" s="10"/>
      <c r="AO11204" s="10"/>
      <c r="AP11204" s="10"/>
      <c r="AQ11204" s="10"/>
      <c r="AR11204" s="10"/>
      <c r="AS11204" s="10"/>
      <c r="AT11204" s="10"/>
      <c r="AU11204" s="10"/>
      <c r="AV11204" s="10"/>
      <c r="AW11204" s="10"/>
      <c r="AX11204" s="10"/>
      <c r="AY11204" s="10"/>
      <c r="AZ11204" s="10"/>
    </row>
    <row r="11205" spans="31:52">
      <c r="AE11205" s="10"/>
      <c r="AF11205" s="10"/>
      <c r="AG11205" s="10"/>
      <c r="AH11205" s="10"/>
      <c r="AI11205" s="10"/>
      <c r="AJ11205" s="10"/>
      <c r="AK11205" s="10"/>
      <c r="AL11205" s="10"/>
      <c r="AM11205" s="10"/>
      <c r="AN11205" s="10"/>
      <c r="AO11205" s="10"/>
      <c r="AP11205" s="10"/>
      <c r="AQ11205" s="10"/>
      <c r="AR11205" s="10"/>
      <c r="AS11205" s="10"/>
      <c r="AT11205" s="10"/>
      <c r="AU11205" s="10"/>
      <c r="AV11205" s="10"/>
      <c r="AW11205" s="10"/>
      <c r="AX11205" s="10"/>
      <c r="AY11205" s="10"/>
      <c r="AZ11205" s="10"/>
    </row>
    <row r="11206" spans="31:52">
      <c r="AE11206" s="10"/>
      <c r="AF11206" s="10"/>
      <c r="AG11206" s="10"/>
      <c r="AH11206" s="10"/>
      <c r="AI11206" s="10"/>
      <c r="AJ11206" s="10"/>
      <c r="AK11206" s="10"/>
      <c r="AL11206" s="10"/>
      <c r="AM11206" s="10"/>
      <c r="AN11206" s="10"/>
      <c r="AO11206" s="10"/>
      <c r="AP11206" s="10"/>
      <c r="AQ11206" s="10"/>
      <c r="AR11206" s="10"/>
      <c r="AS11206" s="10"/>
      <c r="AT11206" s="10"/>
      <c r="AU11206" s="10"/>
      <c r="AV11206" s="10"/>
      <c r="AW11206" s="10"/>
      <c r="AX11206" s="10"/>
      <c r="AY11206" s="10"/>
      <c r="AZ11206" s="10"/>
    </row>
    <row r="11207" spans="31:52">
      <c r="AE11207" s="10"/>
      <c r="AF11207" s="10"/>
      <c r="AG11207" s="10"/>
      <c r="AH11207" s="10"/>
      <c r="AI11207" s="10"/>
      <c r="AJ11207" s="10"/>
      <c r="AK11207" s="10"/>
      <c r="AL11207" s="10"/>
      <c r="AM11207" s="10"/>
      <c r="AN11207" s="10"/>
      <c r="AO11207" s="10"/>
      <c r="AP11207" s="10"/>
      <c r="AQ11207" s="10"/>
      <c r="AR11207" s="10"/>
      <c r="AS11207" s="10"/>
      <c r="AT11207" s="10"/>
      <c r="AU11207" s="10"/>
      <c r="AV11207" s="10"/>
      <c r="AW11207" s="10"/>
      <c r="AX11207" s="10"/>
      <c r="AY11207" s="10"/>
      <c r="AZ11207" s="10"/>
    </row>
    <row r="11208" spans="31:52">
      <c r="AE11208" s="10"/>
      <c r="AF11208" s="10"/>
      <c r="AG11208" s="10"/>
      <c r="AH11208" s="10"/>
      <c r="AI11208" s="10"/>
      <c r="AJ11208" s="10"/>
      <c r="AK11208" s="10"/>
      <c r="AL11208" s="10"/>
      <c r="AM11208" s="10"/>
      <c r="AN11208" s="10"/>
      <c r="AO11208" s="10"/>
      <c r="AP11208" s="10"/>
      <c r="AQ11208" s="10"/>
      <c r="AR11208" s="10"/>
      <c r="AS11208" s="10"/>
      <c r="AT11208" s="10"/>
      <c r="AU11208" s="10"/>
      <c r="AV11208" s="10"/>
      <c r="AW11208" s="10"/>
      <c r="AX11208" s="10"/>
      <c r="AY11208" s="10"/>
      <c r="AZ11208" s="10"/>
    </row>
    <row r="11209" spans="31:52">
      <c r="AE11209" s="10"/>
      <c r="AF11209" s="10"/>
      <c r="AG11209" s="10"/>
      <c r="AH11209" s="10"/>
      <c r="AI11209" s="10"/>
      <c r="AJ11209" s="10"/>
      <c r="AK11209" s="10"/>
      <c r="AL11209" s="10"/>
      <c r="AM11209" s="10"/>
      <c r="AN11209" s="10"/>
      <c r="AO11209" s="10"/>
      <c r="AP11209" s="10"/>
      <c r="AQ11209" s="10"/>
      <c r="AR11209" s="10"/>
      <c r="AS11209" s="10"/>
      <c r="AT11209" s="10"/>
      <c r="AU11209" s="10"/>
      <c r="AV11209" s="10"/>
      <c r="AW11209" s="10"/>
      <c r="AX11209" s="10"/>
      <c r="AY11209" s="10"/>
      <c r="AZ11209" s="10"/>
    </row>
    <row r="11210" spans="31:52">
      <c r="AE11210" s="10"/>
      <c r="AF11210" s="10"/>
      <c r="AG11210" s="10"/>
      <c r="AH11210" s="10"/>
      <c r="AI11210" s="10"/>
      <c r="AJ11210" s="10"/>
      <c r="AK11210" s="10"/>
      <c r="AL11210" s="10"/>
      <c r="AM11210" s="10"/>
      <c r="AN11210" s="10"/>
      <c r="AO11210" s="10"/>
      <c r="AP11210" s="10"/>
      <c r="AQ11210" s="10"/>
      <c r="AR11210" s="10"/>
      <c r="AS11210" s="10"/>
      <c r="AT11210" s="10"/>
      <c r="AU11210" s="10"/>
      <c r="AV11210" s="10"/>
      <c r="AW11210" s="10"/>
      <c r="AX11210" s="10"/>
      <c r="AY11210" s="10"/>
      <c r="AZ11210" s="10"/>
    </row>
    <row r="11211" spans="31:52">
      <c r="AE11211" s="10"/>
      <c r="AF11211" s="10"/>
      <c r="AG11211" s="10"/>
      <c r="AH11211" s="10"/>
      <c r="AI11211" s="10"/>
      <c r="AJ11211" s="10"/>
      <c r="AK11211" s="10"/>
      <c r="AL11211" s="10"/>
      <c r="AM11211" s="10"/>
      <c r="AN11211" s="10"/>
      <c r="AO11211" s="10"/>
      <c r="AP11211" s="10"/>
      <c r="AQ11211" s="10"/>
      <c r="AR11211" s="10"/>
      <c r="AS11211" s="10"/>
      <c r="AT11211" s="10"/>
      <c r="AU11211" s="10"/>
      <c r="AV11211" s="10"/>
      <c r="AW11211" s="10"/>
      <c r="AX11211" s="10"/>
      <c r="AY11211" s="10"/>
      <c r="AZ11211" s="10"/>
    </row>
    <row r="11212" spans="31:52">
      <c r="AE11212" s="10"/>
      <c r="AF11212" s="10"/>
      <c r="AG11212" s="10"/>
      <c r="AH11212" s="10"/>
      <c r="AI11212" s="10"/>
      <c r="AJ11212" s="10"/>
      <c r="AK11212" s="10"/>
      <c r="AL11212" s="10"/>
      <c r="AM11212" s="10"/>
      <c r="AN11212" s="10"/>
      <c r="AO11212" s="10"/>
      <c r="AP11212" s="10"/>
      <c r="AQ11212" s="10"/>
      <c r="AR11212" s="10"/>
      <c r="AS11212" s="10"/>
      <c r="AT11212" s="10"/>
      <c r="AU11212" s="10"/>
      <c r="AV11212" s="10"/>
      <c r="AW11212" s="10"/>
      <c r="AX11212" s="10"/>
      <c r="AY11212" s="10"/>
      <c r="AZ11212" s="10"/>
    </row>
    <row r="11213" spans="31:52">
      <c r="AE11213" s="10"/>
      <c r="AF11213" s="10"/>
      <c r="AG11213" s="10"/>
      <c r="AH11213" s="10"/>
      <c r="AI11213" s="10"/>
      <c r="AJ11213" s="10"/>
      <c r="AK11213" s="10"/>
      <c r="AL11213" s="10"/>
      <c r="AM11213" s="10"/>
      <c r="AN11213" s="10"/>
      <c r="AO11213" s="10"/>
      <c r="AP11213" s="10"/>
      <c r="AQ11213" s="10"/>
      <c r="AR11213" s="10"/>
      <c r="AS11213" s="10"/>
      <c r="AT11213" s="10"/>
      <c r="AU11213" s="10"/>
      <c r="AV11213" s="10"/>
      <c r="AW11213" s="10"/>
      <c r="AX11213" s="10"/>
      <c r="AY11213" s="10"/>
      <c r="AZ11213" s="10"/>
    </row>
    <row r="11214" spans="31:52">
      <c r="AE11214" s="10"/>
      <c r="AF11214" s="10"/>
      <c r="AG11214" s="10"/>
      <c r="AH11214" s="10"/>
      <c r="AI11214" s="10"/>
      <c r="AJ11214" s="10"/>
      <c r="AK11214" s="10"/>
      <c r="AL11214" s="10"/>
      <c r="AM11214" s="10"/>
      <c r="AN11214" s="10"/>
      <c r="AO11214" s="10"/>
      <c r="AP11214" s="10"/>
      <c r="AQ11214" s="10"/>
      <c r="AR11214" s="10"/>
      <c r="AS11214" s="10"/>
      <c r="AT11214" s="10"/>
      <c r="AU11214" s="10"/>
      <c r="AV11214" s="10"/>
      <c r="AW11214" s="10"/>
      <c r="AX11214" s="10"/>
      <c r="AY11214" s="10"/>
      <c r="AZ11214" s="10"/>
    </row>
    <row r="11215" spans="31:52">
      <c r="AE11215" s="10"/>
      <c r="AF11215" s="10"/>
      <c r="AG11215" s="10"/>
      <c r="AH11215" s="10"/>
      <c r="AI11215" s="10"/>
      <c r="AJ11215" s="10"/>
      <c r="AK11215" s="10"/>
      <c r="AL11215" s="10"/>
      <c r="AM11215" s="10"/>
      <c r="AN11215" s="10"/>
      <c r="AO11215" s="10"/>
      <c r="AP11215" s="10"/>
      <c r="AQ11215" s="10"/>
      <c r="AR11215" s="10"/>
      <c r="AS11215" s="10"/>
      <c r="AT11215" s="10"/>
      <c r="AU11215" s="10"/>
      <c r="AV11215" s="10"/>
      <c r="AW11215" s="10"/>
      <c r="AX11215" s="10"/>
      <c r="AY11215" s="10"/>
      <c r="AZ11215" s="10"/>
    </row>
    <row r="11216" spans="31:52">
      <c r="AE11216" s="10"/>
      <c r="AF11216" s="10"/>
      <c r="AG11216" s="10"/>
      <c r="AH11216" s="10"/>
      <c r="AI11216" s="10"/>
      <c r="AJ11216" s="10"/>
      <c r="AK11216" s="10"/>
      <c r="AL11216" s="10"/>
      <c r="AM11216" s="10"/>
      <c r="AN11216" s="10"/>
      <c r="AO11216" s="10"/>
      <c r="AP11216" s="10"/>
      <c r="AQ11216" s="10"/>
      <c r="AR11216" s="10"/>
      <c r="AS11216" s="10"/>
      <c r="AT11216" s="10"/>
      <c r="AU11216" s="10"/>
      <c r="AV11216" s="10"/>
      <c r="AW11216" s="10"/>
      <c r="AX11216" s="10"/>
      <c r="AY11216" s="10"/>
      <c r="AZ11216" s="10"/>
    </row>
    <row r="11217" spans="31:52">
      <c r="AE11217" s="10"/>
      <c r="AF11217" s="10"/>
      <c r="AG11217" s="10"/>
      <c r="AH11217" s="10"/>
      <c r="AI11217" s="10"/>
      <c r="AJ11217" s="10"/>
      <c r="AK11217" s="10"/>
      <c r="AL11217" s="10"/>
      <c r="AM11217" s="10"/>
      <c r="AN11217" s="10"/>
      <c r="AO11217" s="10"/>
      <c r="AP11217" s="10"/>
      <c r="AQ11217" s="10"/>
      <c r="AR11217" s="10"/>
      <c r="AS11217" s="10"/>
      <c r="AT11217" s="10"/>
      <c r="AU11217" s="10"/>
      <c r="AV11217" s="10"/>
      <c r="AW11217" s="10"/>
      <c r="AX11217" s="10"/>
      <c r="AY11217" s="10"/>
      <c r="AZ11217" s="10"/>
    </row>
    <row r="11218" spans="31:52">
      <c r="AE11218" s="10"/>
      <c r="AF11218" s="10"/>
      <c r="AG11218" s="10"/>
      <c r="AH11218" s="10"/>
      <c r="AI11218" s="10"/>
      <c r="AJ11218" s="10"/>
      <c r="AK11218" s="10"/>
      <c r="AL11218" s="10"/>
      <c r="AM11218" s="10"/>
      <c r="AN11218" s="10"/>
      <c r="AO11218" s="10"/>
      <c r="AP11218" s="10"/>
      <c r="AQ11218" s="10"/>
      <c r="AR11218" s="10"/>
      <c r="AS11218" s="10"/>
      <c r="AT11218" s="10"/>
      <c r="AU11218" s="10"/>
      <c r="AV11218" s="10"/>
      <c r="AW11218" s="10"/>
      <c r="AX11218" s="10"/>
      <c r="AY11218" s="10"/>
      <c r="AZ11218" s="10"/>
    </row>
    <row r="11219" spans="31:52">
      <c r="AE11219" s="10"/>
      <c r="AF11219" s="10"/>
      <c r="AG11219" s="10"/>
      <c r="AH11219" s="10"/>
      <c r="AI11219" s="10"/>
      <c r="AJ11219" s="10"/>
      <c r="AK11219" s="10"/>
      <c r="AL11219" s="10"/>
      <c r="AM11219" s="10"/>
      <c r="AN11219" s="10"/>
      <c r="AO11219" s="10"/>
      <c r="AP11219" s="10"/>
      <c r="AQ11219" s="10"/>
      <c r="AR11219" s="10"/>
      <c r="AS11219" s="10"/>
      <c r="AT11219" s="10"/>
      <c r="AU11219" s="10"/>
      <c r="AV11219" s="10"/>
      <c r="AW11219" s="10"/>
      <c r="AX11219" s="10"/>
      <c r="AY11219" s="10"/>
      <c r="AZ11219" s="10"/>
    </row>
    <row r="11220" spans="31:52">
      <c r="AE11220" s="10"/>
      <c r="AF11220" s="10"/>
      <c r="AG11220" s="10"/>
      <c r="AH11220" s="10"/>
      <c r="AI11220" s="10"/>
      <c r="AJ11220" s="10"/>
      <c r="AK11220" s="10"/>
      <c r="AL11220" s="10"/>
      <c r="AM11220" s="10"/>
      <c r="AN11220" s="10"/>
      <c r="AO11220" s="10"/>
      <c r="AP11220" s="10"/>
      <c r="AQ11220" s="10"/>
      <c r="AR11220" s="10"/>
      <c r="AS11220" s="10"/>
      <c r="AT11220" s="10"/>
      <c r="AU11220" s="10"/>
      <c r="AV11220" s="10"/>
      <c r="AW11220" s="10"/>
      <c r="AX11220" s="10"/>
      <c r="AY11220" s="10"/>
      <c r="AZ11220" s="10"/>
    </row>
    <row r="11221" spans="31:52">
      <c r="AE11221" s="10"/>
      <c r="AF11221" s="10"/>
      <c r="AG11221" s="10"/>
      <c r="AH11221" s="10"/>
      <c r="AI11221" s="10"/>
      <c r="AJ11221" s="10"/>
      <c r="AK11221" s="10"/>
      <c r="AL11221" s="10"/>
      <c r="AM11221" s="10"/>
      <c r="AN11221" s="10"/>
      <c r="AO11221" s="10"/>
      <c r="AP11221" s="10"/>
      <c r="AQ11221" s="10"/>
      <c r="AR11221" s="10"/>
      <c r="AS11221" s="10"/>
      <c r="AT11221" s="10"/>
      <c r="AU11221" s="10"/>
      <c r="AV11221" s="10"/>
      <c r="AW11221" s="10"/>
      <c r="AX11221" s="10"/>
      <c r="AY11221" s="10"/>
      <c r="AZ11221" s="10"/>
    </row>
    <row r="11222" spans="31:52">
      <c r="AE11222" s="10"/>
      <c r="AF11222" s="10"/>
      <c r="AG11222" s="10"/>
      <c r="AH11222" s="10"/>
      <c r="AI11222" s="10"/>
      <c r="AJ11222" s="10"/>
      <c r="AK11222" s="10"/>
      <c r="AL11222" s="10"/>
      <c r="AM11222" s="10"/>
      <c r="AN11222" s="10"/>
      <c r="AO11222" s="10"/>
      <c r="AP11222" s="10"/>
      <c r="AQ11222" s="10"/>
      <c r="AR11222" s="10"/>
      <c r="AS11222" s="10"/>
      <c r="AT11222" s="10"/>
      <c r="AU11222" s="10"/>
      <c r="AV11222" s="10"/>
      <c r="AW11222" s="10"/>
      <c r="AX11222" s="10"/>
      <c r="AY11222" s="10"/>
      <c r="AZ11222" s="10"/>
    </row>
    <row r="11223" spans="31:52">
      <c r="AE11223" s="10"/>
      <c r="AF11223" s="10"/>
      <c r="AG11223" s="10"/>
      <c r="AH11223" s="10"/>
      <c r="AI11223" s="10"/>
      <c r="AJ11223" s="10"/>
      <c r="AK11223" s="10"/>
      <c r="AL11223" s="10"/>
      <c r="AM11223" s="10"/>
      <c r="AN11223" s="10"/>
      <c r="AO11223" s="10"/>
      <c r="AP11223" s="10"/>
      <c r="AQ11223" s="10"/>
      <c r="AR11223" s="10"/>
      <c r="AS11223" s="10"/>
      <c r="AT11223" s="10"/>
      <c r="AU11223" s="10"/>
      <c r="AV11223" s="10"/>
      <c r="AW11223" s="10"/>
      <c r="AX11223" s="10"/>
      <c r="AY11223" s="10"/>
      <c r="AZ11223" s="10"/>
    </row>
    <row r="11224" spans="31:52">
      <c r="AE11224" s="10"/>
      <c r="AF11224" s="10"/>
      <c r="AG11224" s="10"/>
      <c r="AH11224" s="10"/>
      <c r="AI11224" s="10"/>
      <c r="AJ11224" s="10"/>
      <c r="AK11224" s="10"/>
      <c r="AL11224" s="10"/>
      <c r="AM11224" s="10"/>
      <c r="AN11224" s="10"/>
      <c r="AO11224" s="10"/>
      <c r="AP11224" s="10"/>
      <c r="AQ11224" s="10"/>
      <c r="AR11224" s="10"/>
      <c r="AS11224" s="10"/>
      <c r="AT11224" s="10"/>
      <c r="AU11224" s="10"/>
      <c r="AV11224" s="10"/>
      <c r="AW11224" s="10"/>
      <c r="AX11224" s="10"/>
      <c r="AY11224" s="10"/>
      <c r="AZ11224" s="10"/>
    </row>
    <row r="11225" spans="31:52">
      <c r="AE11225" s="10"/>
      <c r="AF11225" s="10"/>
      <c r="AG11225" s="10"/>
      <c r="AH11225" s="10"/>
      <c r="AI11225" s="10"/>
      <c r="AJ11225" s="10"/>
      <c r="AK11225" s="10"/>
      <c r="AL11225" s="10"/>
      <c r="AM11225" s="10"/>
      <c r="AN11225" s="10"/>
      <c r="AO11225" s="10"/>
      <c r="AP11225" s="10"/>
      <c r="AQ11225" s="10"/>
      <c r="AR11225" s="10"/>
      <c r="AS11225" s="10"/>
      <c r="AT11225" s="10"/>
      <c r="AU11225" s="10"/>
      <c r="AV11225" s="10"/>
      <c r="AW11225" s="10"/>
      <c r="AX11225" s="10"/>
      <c r="AY11225" s="10"/>
      <c r="AZ11225" s="10"/>
    </row>
    <row r="11226" spans="31:52">
      <c r="AE11226" s="10"/>
      <c r="AF11226" s="10"/>
      <c r="AG11226" s="10"/>
      <c r="AH11226" s="10"/>
      <c r="AI11226" s="10"/>
      <c r="AJ11226" s="10"/>
      <c r="AK11226" s="10"/>
      <c r="AL11226" s="10"/>
      <c r="AM11226" s="10"/>
      <c r="AN11226" s="10"/>
      <c r="AO11226" s="10"/>
      <c r="AP11226" s="10"/>
      <c r="AQ11226" s="10"/>
      <c r="AR11226" s="10"/>
      <c r="AS11226" s="10"/>
      <c r="AT11226" s="10"/>
      <c r="AU11226" s="10"/>
      <c r="AV11226" s="10"/>
      <c r="AW11226" s="10"/>
      <c r="AX11226" s="10"/>
      <c r="AY11226" s="10"/>
      <c r="AZ11226" s="10"/>
    </row>
    <row r="11227" spans="31:52">
      <c r="AE11227" s="10"/>
      <c r="AF11227" s="10"/>
      <c r="AG11227" s="10"/>
      <c r="AH11227" s="10"/>
      <c r="AI11227" s="10"/>
      <c r="AJ11227" s="10"/>
      <c r="AK11227" s="10"/>
      <c r="AL11227" s="10"/>
      <c r="AM11227" s="10"/>
      <c r="AN11227" s="10"/>
      <c r="AO11227" s="10"/>
      <c r="AP11227" s="10"/>
      <c r="AQ11227" s="10"/>
      <c r="AR11227" s="10"/>
      <c r="AS11227" s="10"/>
      <c r="AT11227" s="10"/>
      <c r="AU11227" s="10"/>
      <c r="AV11227" s="10"/>
      <c r="AW11227" s="10"/>
      <c r="AX11227" s="10"/>
      <c r="AY11227" s="10"/>
      <c r="AZ11227" s="10"/>
    </row>
    <row r="11228" spans="31:52">
      <c r="AE11228" s="10"/>
      <c r="AF11228" s="10"/>
      <c r="AG11228" s="10"/>
      <c r="AH11228" s="10"/>
      <c r="AI11228" s="10"/>
      <c r="AJ11228" s="10"/>
      <c r="AK11228" s="10"/>
      <c r="AL11228" s="10"/>
      <c r="AM11228" s="10"/>
      <c r="AN11228" s="10"/>
      <c r="AO11228" s="10"/>
      <c r="AP11228" s="10"/>
      <c r="AQ11228" s="10"/>
      <c r="AR11228" s="10"/>
      <c r="AS11228" s="10"/>
      <c r="AT11228" s="10"/>
      <c r="AU11228" s="10"/>
      <c r="AV11228" s="10"/>
      <c r="AW11228" s="10"/>
      <c r="AX11228" s="10"/>
      <c r="AY11228" s="10"/>
      <c r="AZ11228" s="10"/>
    </row>
    <row r="11229" spans="31:52">
      <c r="AE11229" s="10"/>
      <c r="AF11229" s="10"/>
      <c r="AG11229" s="10"/>
      <c r="AH11229" s="10"/>
      <c r="AI11229" s="10"/>
      <c r="AJ11229" s="10"/>
      <c r="AK11229" s="10"/>
      <c r="AL11229" s="10"/>
      <c r="AM11229" s="10"/>
      <c r="AN11229" s="10"/>
      <c r="AO11229" s="10"/>
      <c r="AP11229" s="10"/>
      <c r="AQ11229" s="10"/>
      <c r="AR11229" s="10"/>
      <c r="AS11229" s="10"/>
      <c r="AT11229" s="10"/>
      <c r="AU11229" s="10"/>
      <c r="AV11229" s="10"/>
      <c r="AW11229" s="10"/>
      <c r="AX11229" s="10"/>
      <c r="AY11229" s="10"/>
      <c r="AZ11229" s="10"/>
    </row>
    <row r="11230" spans="31:52">
      <c r="AE11230" s="10"/>
      <c r="AF11230" s="10"/>
      <c r="AG11230" s="10"/>
      <c r="AH11230" s="10"/>
      <c r="AI11230" s="10"/>
      <c r="AJ11230" s="10"/>
      <c r="AK11230" s="10"/>
      <c r="AL11230" s="10"/>
      <c r="AM11230" s="10"/>
      <c r="AN11230" s="10"/>
      <c r="AO11230" s="10"/>
      <c r="AP11230" s="10"/>
      <c r="AQ11230" s="10"/>
      <c r="AR11230" s="10"/>
      <c r="AS11230" s="10"/>
      <c r="AT11230" s="10"/>
      <c r="AU11230" s="10"/>
      <c r="AV11230" s="10"/>
      <c r="AW11230" s="10"/>
      <c r="AX11230" s="10"/>
      <c r="AY11230" s="10"/>
      <c r="AZ11230" s="10"/>
    </row>
    <row r="11231" spans="31:52">
      <c r="AE11231" s="10"/>
      <c r="AF11231" s="10"/>
      <c r="AG11231" s="10"/>
      <c r="AH11231" s="10"/>
      <c r="AI11231" s="10"/>
      <c r="AJ11231" s="10"/>
      <c r="AK11231" s="10"/>
      <c r="AL11231" s="10"/>
      <c r="AM11231" s="10"/>
      <c r="AN11231" s="10"/>
      <c r="AO11231" s="10"/>
      <c r="AP11231" s="10"/>
      <c r="AQ11231" s="10"/>
      <c r="AR11231" s="10"/>
      <c r="AS11231" s="10"/>
      <c r="AT11231" s="10"/>
      <c r="AU11231" s="10"/>
      <c r="AV11231" s="10"/>
      <c r="AW11231" s="10"/>
      <c r="AX11231" s="10"/>
      <c r="AY11231" s="10"/>
      <c r="AZ11231" s="10"/>
    </row>
    <row r="11232" spans="31:52">
      <c r="AE11232" s="10"/>
      <c r="AF11232" s="10"/>
      <c r="AG11232" s="10"/>
      <c r="AH11232" s="10"/>
      <c r="AI11232" s="10"/>
      <c r="AJ11232" s="10"/>
      <c r="AK11232" s="10"/>
      <c r="AL11232" s="10"/>
      <c r="AM11232" s="10"/>
      <c r="AN11232" s="10"/>
      <c r="AO11232" s="10"/>
      <c r="AP11232" s="10"/>
      <c r="AQ11232" s="10"/>
      <c r="AR11232" s="10"/>
      <c r="AS11232" s="10"/>
      <c r="AT11232" s="10"/>
      <c r="AU11232" s="10"/>
      <c r="AV11232" s="10"/>
      <c r="AW11232" s="10"/>
      <c r="AX11232" s="10"/>
      <c r="AY11232" s="10"/>
      <c r="AZ11232" s="10"/>
    </row>
    <row r="11233" spans="31:52">
      <c r="AE11233" s="10"/>
      <c r="AF11233" s="10"/>
      <c r="AG11233" s="10"/>
      <c r="AH11233" s="10"/>
      <c r="AI11233" s="10"/>
      <c r="AJ11233" s="10"/>
      <c r="AK11233" s="10"/>
      <c r="AL11233" s="10"/>
      <c r="AM11233" s="10"/>
      <c r="AN11233" s="10"/>
      <c r="AO11233" s="10"/>
      <c r="AP11233" s="10"/>
      <c r="AQ11233" s="10"/>
      <c r="AR11233" s="10"/>
      <c r="AS11233" s="10"/>
      <c r="AT11233" s="10"/>
      <c r="AU11233" s="10"/>
      <c r="AV11233" s="10"/>
      <c r="AW11233" s="10"/>
      <c r="AX11233" s="10"/>
      <c r="AY11233" s="10"/>
      <c r="AZ11233" s="10"/>
    </row>
    <row r="11234" spans="31:52">
      <c r="AE11234" s="10"/>
      <c r="AF11234" s="10"/>
      <c r="AG11234" s="10"/>
      <c r="AH11234" s="10"/>
      <c r="AI11234" s="10"/>
      <c r="AJ11234" s="10"/>
      <c r="AK11234" s="10"/>
      <c r="AL11234" s="10"/>
      <c r="AM11234" s="10"/>
      <c r="AN11234" s="10"/>
      <c r="AO11234" s="10"/>
      <c r="AP11234" s="10"/>
      <c r="AQ11234" s="10"/>
      <c r="AR11234" s="10"/>
      <c r="AS11234" s="10"/>
      <c r="AT11234" s="10"/>
      <c r="AU11234" s="10"/>
      <c r="AV11234" s="10"/>
      <c r="AW11234" s="10"/>
      <c r="AX11234" s="10"/>
      <c r="AY11234" s="10"/>
      <c r="AZ11234" s="10"/>
    </row>
    <row r="11235" spans="31:52">
      <c r="AE11235" s="10"/>
      <c r="AF11235" s="10"/>
      <c r="AG11235" s="10"/>
      <c r="AH11235" s="10"/>
      <c r="AI11235" s="10"/>
      <c r="AJ11235" s="10"/>
      <c r="AK11235" s="10"/>
      <c r="AL11235" s="10"/>
      <c r="AM11235" s="10"/>
      <c r="AN11235" s="10"/>
      <c r="AO11235" s="10"/>
      <c r="AP11235" s="10"/>
      <c r="AQ11235" s="10"/>
      <c r="AR11235" s="10"/>
      <c r="AS11235" s="10"/>
      <c r="AT11235" s="10"/>
      <c r="AU11235" s="10"/>
      <c r="AV11235" s="10"/>
      <c r="AW11235" s="10"/>
      <c r="AX11235" s="10"/>
      <c r="AY11235" s="10"/>
      <c r="AZ11235" s="10"/>
    </row>
    <row r="11236" spans="31:52">
      <c r="AE11236" s="10"/>
      <c r="AF11236" s="10"/>
      <c r="AG11236" s="10"/>
      <c r="AH11236" s="10"/>
      <c r="AI11236" s="10"/>
      <c r="AJ11236" s="10"/>
      <c r="AK11236" s="10"/>
      <c r="AL11236" s="10"/>
      <c r="AM11236" s="10"/>
      <c r="AN11236" s="10"/>
      <c r="AO11236" s="10"/>
      <c r="AP11236" s="10"/>
      <c r="AQ11236" s="10"/>
      <c r="AR11236" s="10"/>
      <c r="AS11236" s="10"/>
      <c r="AT11236" s="10"/>
      <c r="AU11236" s="10"/>
      <c r="AV11236" s="10"/>
      <c r="AW11236" s="10"/>
      <c r="AX11236" s="10"/>
      <c r="AY11236" s="10"/>
      <c r="AZ11236" s="10"/>
    </row>
    <row r="11237" spans="31:52">
      <c r="AE11237" s="10"/>
      <c r="AF11237" s="10"/>
      <c r="AG11237" s="10"/>
      <c r="AH11237" s="10"/>
      <c r="AI11237" s="10"/>
      <c r="AJ11237" s="10"/>
      <c r="AK11237" s="10"/>
      <c r="AL11237" s="10"/>
      <c r="AM11237" s="10"/>
      <c r="AN11237" s="10"/>
      <c r="AO11237" s="10"/>
      <c r="AP11237" s="10"/>
      <c r="AQ11237" s="10"/>
      <c r="AR11237" s="10"/>
      <c r="AS11237" s="10"/>
      <c r="AT11237" s="10"/>
      <c r="AU11237" s="10"/>
      <c r="AV11237" s="10"/>
      <c r="AW11237" s="10"/>
      <c r="AX11237" s="10"/>
      <c r="AY11237" s="10"/>
      <c r="AZ11237" s="10"/>
    </row>
    <row r="11238" spans="31:52">
      <c r="AE11238" s="10"/>
      <c r="AF11238" s="10"/>
      <c r="AG11238" s="10"/>
      <c r="AH11238" s="10"/>
      <c r="AI11238" s="10"/>
      <c r="AJ11238" s="10"/>
      <c r="AK11238" s="10"/>
      <c r="AL11238" s="10"/>
      <c r="AM11238" s="10"/>
      <c r="AN11238" s="10"/>
      <c r="AO11238" s="10"/>
      <c r="AP11238" s="10"/>
      <c r="AQ11238" s="10"/>
      <c r="AR11238" s="10"/>
      <c r="AS11238" s="10"/>
      <c r="AT11238" s="10"/>
      <c r="AU11238" s="10"/>
      <c r="AV11238" s="10"/>
      <c r="AW11238" s="10"/>
      <c r="AX11238" s="10"/>
      <c r="AY11238" s="10"/>
      <c r="AZ11238" s="10"/>
    </row>
    <row r="11239" spans="31:52">
      <c r="AE11239" s="10"/>
      <c r="AF11239" s="10"/>
      <c r="AG11239" s="10"/>
      <c r="AH11239" s="10"/>
      <c r="AI11239" s="10"/>
      <c r="AJ11239" s="10"/>
      <c r="AK11239" s="10"/>
      <c r="AL11239" s="10"/>
      <c r="AM11239" s="10"/>
      <c r="AN11239" s="10"/>
      <c r="AO11239" s="10"/>
      <c r="AP11239" s="10"/>
      <c r="AQ11239" s="10"/>
      <c r="AR11239" s="10"/>
      <c r="AS11239" s="10"/>
      <c r="AT11239" s="10"/>
      <c r="AU11239" s="10"/>
      <c r="AV11239" s="10"/>
      <c r="AW11239" s="10"/>
      <c r="AX11239" s="10"/>
      <c r="AY11239" s="10"/>
      <c r="AZ11239" s="10"/>
    </row>
    <row r="11240" spans="31:52">
      <c r="AE11240" s="10"/>
      <c r="AF11240" s="10"/>
      <c r="AG11240" s="10"/>
      <c r="AH11240" s="10"/>
      <c r="AI11240" s="10"/>
      <c r="AJ11240" s="10"/>
      <c r="AK11240" s="10"/>
      <c r="AL11240" s="10"/>
      <c r="AM11240" s="10"/>
      <c r="AN11240" s="10"/>
      <c r="AO11240" s="10"/>
      <c r="AP11240" s="10"/>
      <c r="AQ11240" s="10"/>
      <c r="AR11240" s="10"/>
      <c r="AS11240" s="10"/>
      <c r="AT11240" s="10"/>
      <c r="AU11240" s="10"/>
      <c r="AV11240" s="10"/>
      <c r="AW11240" s="10"/>
      <c r="AX11240" s="10"/>
      <c r="AY11240" s="10"/>
      <c r="AZ11240" s="10"/>
    </row>
    <row r="11241" spans="31:52">
      <c r="AE11241" s="10"/>
      <c r="AF11241" s="10"/>
      <c r="AG11241" s="10"/>
      <c r="AH11241" s="10"/>
      <c r="AI11241" s="10"/>
      <c r="AJ11241" s="10"/>
      <c r="AK11241" s="10"/>
      <c r="AL11241" s="10"/>
      <c r="AM11241" s="10"/>
      <c r="AN11241" s="10"/>
      <c r="AO11241" s="10"/>
      <c r="AP11241" s="10"/>
      <c r="AQ11241" s="10"/>
      <c r="AR11241" s="10"/>
      <c r="AS11241" s="10"/>
      <c r="AT11241" s="10"/>
      <c r="AU11241" s="10"/>
      <c r="AV11241" s="10"/>
      <c r="AW11241" s="10"/>
      <c r="AX11241" s="10"/>
      <c r="AY11241" s="10"/>
      <c r="AZ11241" s="10"/>
    </row>
    <row r="11242" spans="31:52">
      <c r="AE11242" s="10"/>
      <c r="AF11242" s="10"/>
      <c r="AG11242" s="10"/>
      <c r="AH11242" s="10"/>
      <c r="AI11242" s="10"/>
      <c r="AJ11242" s="10"/>
      <c r="AK11242" s="10"/>
      <c r="AL11242" s="10"/>
      <c r="AM11242" s="10"/>
      <c r="AN11242" s="10"/>
      <c r="AO11242" s="10"/>
      <c r="AP11242" s="10"/>
      <c r="AQ11242" s="10"/>
      <c r="AR11242" s="10"/>
      <c r="AS11242" s="10"/>
      <c r="AT11242" s="10"/>
      <c r="AU11242" s="10"/>
      <c r="AV11242" s="10"/>
      <c r="AW11242" s="10"/>
      <c r="AX11242" s="10"/>
      <c r="AY11242" s="10"/>
      <c r="AZ11242" s="10"/>
    </row>
    <row r="11243" spans="31:52">
      <c r="AE11243" s="10"/>
      <c r="AF11243" s="10"/>
      <c r="AG11243" s="10"/>
      <c r="AH11243" s="10"/>
      <c r="AI11243" s="10"/>
      <c r="AJ11243" s="10"/>
      <c r="AK11243" s="10"/>
      <c r="AL11243" s="10"/>
      <c r="AM11243" s="10"/>
      <c r="AN11243" s="10"/>
      <c r="AO11243" s="10"/>
      <c r="AP11243" s="10"/>
      <c r="AQ11243" s="10"/>
      <c r="AR11243" s="10"/>
      <c r="AS11243" s="10"/>
      <c r="AT11243" s="10"/>
      <c r="AU11243" s="10"/>
      <c r="AV11243" s="10"/>
      <c r="AW11243" s="10"/>
      <c r="AX11243" s="10"/>
      <c r="AY11243" s="10"/>
      <c r="AZ11243" s="10"/>
    </row>
    <row r="11244" spans="31:52">
      <c r="AE11244" s="10"/>
      <c r="AF11244" s="10"/>
      <c r="AG11244" s="10"/>
      <c r="AH11244" s="10"/>
      <c r="AI11244" s="10"/>
      <c r="AJ11244" s="10"/>
      <c r="AK11244" s="10"/>
      <c r="AL11244" s="10"/>
      <c r="AM11244" s="10"/>
      <c r="AN11244" s="10"/>
      <c r="AO11244" s="10"/>
      <c r="AP11244" s="10"/>
      <c r="AQ11244" s="10"/>
      <c r="AR11244" s="10"/>
      <c r="AS11244" s="10"/>
      <c r="AT11244" s="10"/>
      <c r="AU11244" s="10"/>
      <c r="AV11244" s="10"/>
      <c r="AW11244" s="10"/>
      <c r="AX11244" s="10"/>
      <c r="AY11244" s="10"/>
      <c r="AZ11244" s="10"/>
    </row>
    <row r="11245" spans="31:52">
      <c r="AE11245" s="10"/>
      <c r="AF11245" s="10"/>
      <c r="AG11245" s="10"/>
      <c r="AH11245" s="10"/>
      <c r="AI11245" s="10"/>
      <c r="AJ11245" s="10"/>
      <c r="AK11245" s="10"/>
      <c r="AL11245" s="10"/>
      <c r="AM11245" s="10"/>
      <c r="AN11245" s="10"/>
      <c r="AO11245" s="10"/>
      <c r="AP11245" s="10"/>
      <c r="AQ11245" s="10"/>
      <c r="AR11245" s="10"/>
      <c r="AS11245" s="10"/>
      <c r="AT11245" s="10"/>
      <c r="AU11245" s="10"/>
      <c r="AV11245" s="10"/>
      <c r="AW11245" s="10"/>
      <c r="AX11245" s="10"/>
      <c r="AY11245" s="10"/>
      <c r="AZ11245" s="10"/>
    </row>
    <row r="11246" spans="31:52">
      <c r="AE11246" s="10"/>
      <c r="AF11246" s="10"/>
      <c r="AG11246" s="10"/>
      <c r="AH11246" s="10"/>
      <c r="AI11246" s="10"/>
      <c r="AJ11246" s="10"/>
      <c r="AK11246" s="10"/>
      <c r="AL11246" s="10"/>
      <c r="AM11246" s="10"/>
      <c r="AN11246" s="10"/>
      <c r="AO11246" s="10"/>
      <c r="AP11246" s="10"/>
      <c r="AQ11246" s="10"/>
      <c r="AR11246" s="10"/>
      <c r="AS11246" s="10"/>
      <c r="AT11246" s="10"/>
      <c r="AU11246" s="10"/>
      <c r="AV11246" s="10"/>
      <c r="AW11246" s="10"/>
      <c r="AX11246" s="10"/>
      <c r="AY11246" s="10"/>
      <c r="AZ11246" s="10"/>
    </row>
    <row r="11247" spans="31:52">
      <c r="AE11247" s="10"/>
      <c r="AF11247" s="10"/>
      <c r="AG11247" s="10"/>
      <c r="AH11247" s="10"/>
      <c r="AI11247" s="10"/>
      <c r="AJ11247" s="10"/>
      <c r="AK11247" s="10"/>
      <c r="AL11247" s="10"/>
      <c r="AM11247" s="10"/>
      <c r="AN11247" s="10"/>
      <c r="AO11247" s="10"/>
      <c r="AP11247" s="10"/>
      <c r="AQ11247" s="10"/>
      <c r="AR11247" s="10"/>
      <c r="AS11247" s="10"/>
      <c r="AT11247" s="10"/>
      <c r="AU11247" s="10"/>
      <c r="AV11247" s="10"/>
      <c r="AW11247" s="10"/>
      <c r="AX11247" s="10"/>
      <c r="AY11247" s="10"/>
      <c r="AZ11247" s="10"/>
    </row>
    <row r="11248" spans="31:52">
      <c r="AE11248" s="10"/>
      <c r="AF11248" s="10"/>
      <c r="AG11248" s="10"/>
      <c r="AH11248" s="10"/>
      <c r="AI11248" s="10"/>
      <c r="AJ11248" s="10"/>
      <c r="AK11248" s="10"/>
      <c r="AL11248" s="10"/>
      <c r="AM11248" s="10"/>
      <c r="AN11248" s="10"/>
      <c r="AO11248" s="10"/>
      <c r="AP11248" s="10"/>
      <c r="AQ11248" s="10"/>
      <c r="AR11248" s="10"/>
      <c r="AS11248" s="10"/>
      <c r="AT11248" s="10"/>
      <c r="AU11248" s="10"/>
      <c r="AV11248" s="10"/>
      <c r="AW11248" s="10"/>
      <c r="AX11248" s="10"/>
      <c r="AY11248" s="10"/>
      <c r="AZ11248" s="10"/>
    </row>
    <row r="11249" spans="31:52">
      <c r="AE11249" s="10"/>
      <c r="AF11249" s="10"/>
      <c r="AG11249" s="10"/>
      <c r="AH11249" s="10"/>
      <c r="AI11249" s="10"/>
      <c r="AJ11249" s="10"/>
      <c r="AK11249" s="10"/>
      <c r="AL11249" s="10"/>
      <c r="AM11249" s="10"/>
      <c r="AN11249" s="10"/>
      <c r="AO11249" s="10"/>
      <c r="AP11249" s="10"/>
      <c r="AQ11249" s="10"/>
      <c r="AR11249" s="10"/>
      <c r="AS11249" s="10"/>
      <c r="AT11249" s="10"/>
      <c r="AU11249" s="10"/>
      <c r="AV11249" s="10"/>
      <c r="AW11249" s="10"/>
      <c r="AX11249" s="10"/>
      <c r="AY11249" s="10"/>
      <c r="AZ11249" s="10"/>
    </row>
    <row r="11250" spans="31:52">
      <c r="AE11250" s="10"/>
      <c r="AF11250" s="10"/>
      <c r="AG11250" s="10"/>
      <c r="AH11250" s="10"/>
      <c r="AI11250" s="10"/>
      <c r="AJ11250" s="10"/>
      <c r="AK11250" s="10"/>
      <c r="AL11250" s="10"/>
      <c r="AM11250" s="10"/>
      <c r="AN11250" s="10"/>
      <c r="AO11250" s="10"/>
      <c r="AP11250" s="10"/>
      <c r="AQ11250" s="10"/>
      <c r="AR11250" s="10"/>
      <c r="AS11250" s="10"/>
      <c r="AT11250" s="10"/>
      <c r="AU11250" s="10"/>
      <c r="AV11250" s="10"/>
      <c r="AW11250" s="10"/>
      <c r="AX11250" s="10"/>
      <c r="AY11250" s="10"/>
      <c r="AZ11250" s="10"/>
    </row>
    <row r="11251" spans="31:52">
      <c r="AE11251" s="10"/>
      <c r="AF11251" s="10"/>
      <c r="AG11251" s="10"/>
      <c r="AH11251" s="10"/>
      <c r="AI11251" s="10"/>
      <c r="AJ11251" s="10"/>
      <c r="AK11251" s="10"/>
      <c r="AL11251" s="10"/>
      <c r="AM11251" s="10"/>
      <c r="AN11251" s="10"/>
      <c r="AO11251" s="10"/>
      <c r="AP11251" s="10"/>
      <c r="AQ11251" s="10"/>
      <c r="AR11251" s="10"/>
      <c r="AS11251" s="10"/>
      <c r="AT11251" s="10"/>
      <c r="AU11251" s="10"/>
      <c r="AV11251" s="10"/>
      <c r="AW11251" s="10"/>
      <c r="AX11251" s="10"/>
      <c r="AY11251" s="10"/>
      <c r="AZ11251" s="10"/>
    </row>
    <row r="11252" spans="31:52">
      <c r="AE11252" s="10"/>
      <c r="AF11252" s="10"/>
      <c r="AG11252" s="10"/>
      <c r="AH11252" s="10"/>
      <c r="AI11252" s="10"/>
      <c r="AJ11252" s="10"/>
      <c r="AK11252" s="10"/>
      <c r="AL11252" s="10"/>
      <c r="AM11252" s="10"/>
      <c r="AN11252" s="10"/>
      <c r="AO11252" s="10"/>
      <c r="AP11252" s="10"/>
      <c r="AQ11252" s="10"/>
      <c r="AR11252" s="10"/>
      <c r="AS11252" s="10"/>
      <c r="AT11252" s="10"/>
      <c r="AU11252" s="10"/>
      <c r="AV11252" s="10"/>
      <c r="AW11252" s="10"/>
      <c r="AX11252" s="10"/>
      <c r="AY11252" s="10"/>
      <c r="AZ11252" s="10"/>
    </row>
    <row r="11253" spans="31:52">
      <c r="AE11253" s="10"/>
      <c r="AF11253" s="10"/>
      <c r="AG11253" s="10"/>
      <c r="AH11253" s="10"/>
      <c r="AI11253" s="10"/>
      <c r="AJ11253" s="10"/>
      <c r="AK11253" s="10"/>
      <c r="AL11253" s="10"/>
      <c r="AM11253" s="10"/>
      <c r="AN11253" s="10"/>
      <c r="AO11253" s="10"/>
      <c r="AP11253" s="10"/>
      <c r="AQ11253" s="10"/>
      <c r="AR11253" s="10"/>
      <c r="AS11253" s="10"/>
      <c r="AT11253" s="10"/>
      <c r="AU11253" s="10"/>
      <c r="AV11253" s="10"/>
      <c r="AW11253" s="10"/>
      <c r="AX11253" s="10"/>
      <c r="AY11253" s="10"/>
      <c r="AZ11253" s="10"/>
    </row>
    <row r="11254" spans="31:52">
      <c r="AE11254" s="10"/>
      <c r="AF11254" s="10"/>
      <c r="AG11254" s="10"/>
      <c r="AH11254" s="10"/>
      <c r="AI11254" s="10"/>
      <c r="AJ11254" s="10"/>
      <c r="AK11254" s="10"/>
      <c r="AL11254" s="10"/>
      <c r="AM11254" s="10"/>
      <c r="AN11254" s="10"/>
      <c r="AO11254" s="10"/>
      <c r="AP11254" s="10"/>
      <c r="AQ11254" s="10"/>
      <c r="AR11254" s="10"/>
      <c r="AS11254" s="10"/>
      <c r="AT11254" s="10"/>
      <c r="AU11254" s="10"/>
      <c r="AV11254" s="10"/>
      <c r="AW11254" s="10"/>
      <c r="AX11254" s="10"/>
      <c r="AY11254" s="10"/>
      <c r="AZ11254" s="10"/>
    </row>
    <row r="11255" spans="31:52">
      <c r="AE11255" s="10"/>
      <c r="AF11255" s="10"/>
      <c r="AG11255" s="10"/>
      <c r="AH11255" s="10"/>
      <c r="AI11255" s="10"/>
      <c r="AJ11255" s="10"/>
      <c r="AK11255" s="10"/>
      <c r="AL11255" s="10"/>
      <c r="AM11255" s="10"/>
      <c r="AN11255" s="10"/>
      <c r="AO11255" s="10"/>
      <c r="AP11255" s="10"/>
      <c r="AQ11255" s="10"/>
      <c r="AR11255" s="10"/>
      <c r="AS11255" s="10"/>
      <c r="AT11255" s="10"/>
      <c r="AU11255" s="10"/>
      <c r="AV11255" s="10"/>
      <c r="AW11255" s="10"/>
      <c r="AX11255" s="10"/>
      <c r="AY11255" s="10"/>
      <c r="AZ11255" s="10"/>
    </row>
    <row r="11256" spans="31:52">
      <c r="AE11256" s="10"/>
      <c r="AF11256" s="10"/>
      <c r="AG11256" s="10"/>
      <c r="AH11256" s="10"/>
      <c r="AI11256" s="10"/>
      <c r="AJ11256" s="10"/>
      <c r="AK11256" s="10"/>
      <c r="AL11256" s="10"/>
      <c r="AM11256" s="10"/>
      <c r="AN11256" s="10"/>
      <c r="AO11256" s="10"/>
      <c r="AP11256" s="10"/>
      <c r="AQ11256" s="10"/>
      <c r="AR11256" s="10"/>
      <c r="AS11256" s="10"/>
      <c r="AT11256" s="10"/>
      <c r="AU11256" s="10"/>
      <c r="AV11256" s="10"/>
      <c r="AW11256" s="10"/>
      <c r="AX11256" s="10"/>
      <c r="AY11256" s="10"/>
      <c r="AZ11256" s="10"/>
    </row>
    <row r="11257" spans="31:52">
      <c r="AE11257" s="10"/>
      <c r="AF11257" s="10"/>
      <c r="AG11257" s="10"/>
      <c r="AH11257" s="10"/>
      <c r="AI11257" s="10"/>
      <c r="AJ11257" s="10"/>
      <c r="AK11257" s="10"/>
      <c r="AL11257" s="10"/>
      <c r="AM11257" s="10"/>
      <c r="AN11257" s="10"/>
      <c r="AO11257" s="10"/>
      <c r="AP11257" s="10"/>
      <c r="AQ11257" s="10"/>
      <c r="AR11257" s="10"/>
      <c r="AS11257" s="10"/>
      <c r="AT11257" s="10"/>
      <c r="AU11257" s="10"/>
      <c r="AV11257" s="10"/>
      <c r="AW11257" s="10"/>
      <c r="AX11257" s="10"/>
      <c r="AY11257" s="10"/>
      <c r="AZ11257" s="10"/>
    </row>
    <row r="11258" spans="31:52">
      <c r="AE11258" s="10"/>
      <c r="AF11258" s="10"/>
      <c r="AG11258" s="10"/>
      <c r="AH11258" s="10"/>
      <c r="AI11258" s="10"/>
      <c r="AJ11258" s="10"/>
      <c r="AK11258" s="10"/>
      <c r="AL11258" s="10"/>
      <c r="AM11258" s="10"/>
      <c r="AN11258" s="10"/>
      <c r="AO11258" s="10"/>
      <c r="AP11258" s="10"/>
      <c r="AQ11258" s="10"/>
      <c r="AR11258" s="10"/>
      <c r="AS11258" s="10"/>
      <c r="AT11258" s="10"/>
      <c r="AU11258" s="10"/>
      <c r="AV11258" s="10"/>
      <c r="AW11258" s="10"/>
      <c r="AX11258" s="10"/>
      <c r="AY11258" s="10"/>
      <c r="AZ11258" s="10"/>
    </row>
    <row r="11259" spans="31:52">
      <c r="AE11259" s="10"/>
      <c r="AF11259" s="10"/>
      <c r="AG11259" s="10"/>
      <c r="AH11259" s="10"/>
      <c r="AI11259" s="10"/>
      <c r="AJ11259" s="10"/>
      <c r="AK11259" s="10"/>
      <c r="AL11259" s="10"/>
      <c r="AM11259" s="10"/>
      <c r="AN11259" s="10"/>
      <c r="AO11259" s="10"/>
      <c r="AP11259" s="10"/>
      <c r="AQ11259" s="10"/>
      <c r="AR11259" s="10"/>
      <c r="AS11259" s="10"/>
      <c r="AT11259" s="10"/>
      <c r="AU11259" s="10"/>
      <c r="AV11259" s="10"/>
      <c r="AW11259" s="10"/>
      <c r="AX11259" s="10"/>
      <c r="AY11259" s="10"/>
      <c r="AZ11259" s="10"/>
    </row>
    <row r="11260" spans="31:52">
      <c r="AE11260" s="10"/>
      <c r="AF11260" s="10"/>
      <c r="AG11260" s="10"/>
      <c r="AH11260" s="10"/>
      <c r="AI11260" s="10"/>
      <c r="AJ11260" s="10"/>
      <c r="AK11260" s="10"/>
      <c r="AL11260" s="10"/>
      <c r="AM11260" s="10"/>
      <c r="AN11260" s="10"/>
      <c r="AO11260" s="10"/>
      <c r="AP11260" s="10"/>
      <c r="AQ11260" s="10"/>
      <c r="AR11260" s="10"/>
      <c r="AS11260" s="10"/>
      <c r="AT11260" s="10"/>
      <c r="AU11260" s="10"/>
      <c r="AV11260" s="10"/>
      <c r="AW11260" s="10"/>
      <c r="AX11260" s="10"/>
      <c r="AY11260" s="10"/>
      <c r="AZ11260" s="10"/>
    </row>
    <row r="11261" spans="31:52">
      <c r="AE11261" s="10"/>
      <c r="AF11261" s="10"/>
      <c r="AG11261" s="10"/>
      <c r="AH11261" s="10"/>
      <c r="AI11261" s="10"/>
      <c r="AJ11261" s="10"/>
      <c r="AK11261" s="10"/>
      <c r="AL11261" s="10"/>
      <c r="AM11261" s="10"/>
      <c r="AN11261" s="10"/>
      <c r="AO11261" s="10"/>
      <c r="AP11261" s="10"/>
      <c r="AQ11261" s="10"/>
      <c r="AR11261" s="10"/>
      <c r="AS11261" s="10"/>
      <c r="AT11261" s="10"/>
      <c r="AU11261" s="10"/>
      <c r="AV11261" s="10"/>
      <c r="AW11261" s="10"/>
      <c r="AX11261" s="10"/>
      <c r="AY11261" s="10"/>
      <c r="AZ11261" s="10"/>
    </row>
    <row r="11262" spans="31:52">
      <c r="AE11262" s="10"/>
      <c r="AF11262" s="10"/>
      <c r="AG11262" s="10"/>
      <c r="AH11262" s="10"/>
      <c r="AI11262" s="10"/>
      <c r="AJ11262" s="10"/>
      <c r="AK11262" s="10"/>
      <c r="AL11262" s="10"/>
      <c r="AM11262" s="10"/>
      <c r="AN11262" s="10"/>
      <c r="AO11262" s="10"/>
      <c r="AP11262" s="10"/>
      <c r="AQ11262" s="10"/>
      <c r="AR11262" s="10"/>
      <c r="AS11262" s="10"/>
      <c r="AT11262" s="10"/>
      <c r="AU11262" s="10"/>
      <c r="AV11262" s="10"/>
      <c r="AW11262" s="10"/>
      <c r="AX11262" s="10"/>
      <c r="AY11262" s="10"/>
      <c r="AZ11262" s="10"/>
    </row>
    <row r="11263" spans="31:52">
      <c r="AE11263" s="10"/>
      <c r="AF11263" s="10"/>
      <c r="AG11263" s="10"/>
      <c r="AH11263" s="10"/>
      <c r="AI11263" s="10"/>
      <c r="AJ11263" s="10"/>
      <c r="AK11263" s="10"/>
      <c r="AL11263" s="10"/>
      <c r="AM11263" s="10"/>
      <c r="AN11263" s="10"/>
      <c r="AO11263" s="10"/>
      <c r="AP11263" s="10"/>
      <c r="AQ11263" s="10"/>
      <c r="AR11263" s="10"/>
      <c r="AS11263" s="10"/>
      <c r="AT11263" s="10"/>
      <c r="AU11263" s="10"/>
      <c r="AV11263" s="10"/>
      <c r="AW11263" s="10"/>
      <c r="AX11263" s="10"/>
      <c r="AY11263" s="10"/>
      <c r="AZ11263" s="10"/>
    </row>
    <row r="11264" spans="31:52">
      <c r="AE11264" s="10"/>
      <c r="AF11264" s="10"/>
      <c r="AG11264" s="10"/>
      <c r="AH11264" s="10"/>
      <c r="AI11264" s="10"/>
      <c r="AJ11264" s="10"/>
      <c r="AK11264" s="10"/>
      <c r="AL11264" s="10"/>
      <c r="AM11264" s="10"/>
      <c r="AN11264" s="10"/>
      <c r="AO11264" s="10"/>
      <c r="AP11264" s="10"/>
      <c r="AQ11264" s="10"/>
      <c r="AR11264" s="10"/>
      <c r="AS11264" s="10"/>
      <c r="AT11264" s="10"/>
      <c r="AU11264" s="10"/>
      <c r="AV11264" s="10"/>
      <c r="AW11264" s="10"/>
      <c r="AX11264" s="10"/>
      <c r="AY11264" s="10"/>
      <c r="AZ11264" s="10"/>
    </row>
    <row r="11265" spans="31:52">
      <c r="AE11265" s="10"/>
      <c r="AF11265" s="10"/>
      <c r="AG11265" s="10"/>
      <c r="AH11265" s="10"/>
      <c r="AI11265" s="10"/>
      <c r="AJ11265" s="10"/>
      <c r="AK11265" s="10"/>
      <c r="AL11265" s="10"/>
      <c r="AM11265" s="10"/>
      <c r="AN11265" s="10"/>
      <c r="AO11265" s="10"/>
      <c r="AP11265" s="10"/>
      <c r="AQ11265" s="10"/>
      <c r="AR11265" s="10"/>
      <c r="AS11265" s="10"/>
      <c r="AT11265" s="10"/>
      <c r="AU11265" s="10"/>
      <c r="AV11265" s="10"/>
      <c r="AW11265" s="10"/>
      <c r="AX11265" s="10"/>
      <c r="AY11265" s="10"/>
      <c r="AZ11265" s="10"/>
    </row>
    <row r="11266" spans="31:52">
      <c r="AE11266" s="10"/>
      <c r="AF11266" s="10"/>
      <c r="AG11266" s="10"/>
      <c r="AH11266" s="10"/>
      <c r="AI11266" s="10"/>
      <c r="AJ11266" s="10"/>
      <c r="AK11266" s="10"/>
      <c r="AL11266" s="10"/>
      <c r="AM11266" s="10"/>
      <c r="AN11266" s="10"/>
      <c r="AO11266" s="10"/>
      <c r="AP11266" s="10"/>
      <c r="AQ11266" s="10"/>
      <c r="AR11266" s="10"/>
      <c r="AS11266" s="10"/>
      <c r="AT11266" s="10"/>
      <c r="AU11266" s="10"/>
      <c r="AV11266" s="10"/>
      <c r="AW11266" s="10"/>
      <c r="AX11266" s="10"/>
      <c r="AY11266" s="10"/>
      <c r="AZ11266" s="10"/>
    </row>
    <row r="11267" spans="31:52">
      <c r="AE11267" s="10"/>
      <c r="AF11267" s="10"/>
      <c r="AG11267" s="10"/>
      <c r="AH11267" s="10"/>
      <c r="AI11267" s="10"/>
      <c r="AJ11267" s="10"/>
      <c r="AK11267" s="10"/>
      <c r="AL11267" s="10"/>
      <c r="AM11267" s="10"/>
      <c r="AN11267" s="10"/>
      <c r="AO11267" s="10"/>
      <c r="AP11267" s="10"/>
      <c r="AQ11267" s="10"/>
      <c r="AR11267" s="10"/>
      <c r="AS11267" s="10"/>
      <c r="AT11267" s="10"/>
      <c r="AU11267" s="10"/>
      <c r="AV11267" s="10"/>
      <c r="AW11267" s="10"/>
      <c r="AX11267" s="10"/>
      <c r="AY11267" s="10"/>
      <c r="AZ11267" s="10"/>
    </row>
    <row r="11268" spans="31:52">
      <c r="AE11268" s="10"/>
      <c r="AF11268" s="10"/>
      <c r="AG11268" s="10"/>
      <c r="AH11268" s="10"/>
      <c r="AI11268" s="10"/>
      <c r="AJ11268" s="10"/>
      <c r="AK11268" s="10"/>
      <c r="AL11268" s="10"/>
      <c r="AM11268" s="10"/>
      <c r="AN11268" s="10"/>
      <c r="AO11268" s="10"/>
      <c r="AP11268" s="10"/>
      <c r="AQ11268" s="10"/>
      <c r="AR11268" s="10"/>
      <c r="AS11268" s="10"/>
      <c r="AT11268" s="10"/>
      <c r="AU11268" s="10"/>
      <c r="AV11268" s="10"/>
      <c r="AW11268" s="10"/>
      <c r="AX11268" s="10"/>
      <c r="AY11268" s="10"/>
      <c r="AZ11268" s="10"/>
    </row>
    <row r="11269" spans="31:52">
      <c r="AE11269" s="10"/>
      <c r="AF11269" s="10"/>
      <c r="AG11269" s="10"/>
      <c r="AH11269" s="10"/>
      <c r="AI11269" s="10"/>
      <c r="AJ11269" s="10"/>
      <c r="AK11269" s="10"/>
      <c r="AL11269" s="10"/>
      <c r="AM11269" s="10"/>
      <c r="AN11269" s="10"/>
      <c r="AO11269" s="10"/>
      <c r="AP11269" s="10"/>
      <c r="AQ11269" s="10"/>
      <c r="AR11269" s="10"/>
      <c r="AS11269" s="10"/>
      <c r="AT11269" s="10"/>
      <c r="AU11269" s="10"/>
      <c r="AV11269" s="10"/>
      <c r="AW11269" s="10"/>
      <c r="AX11269" s="10"/>
      <c r="AY11269" s="10"/>
      <c r="AZ11269" s="10"/>
    </row>
    <row r="11270" spans="31:52">
      <c r="AE11270" s="10"/>
      <c r="AF11270" s="10"/>
      <c r="AG11270" s="10"/>
      <c r="AH11270" s="10"/>
      <c r="AI11270" s="10"/>
      <c r="AJ11270" s="10"/>
      <c r="AK11270" s="10"/>
      <c r="AL11270" s="10"/>
      <c r="AM11270" s="10"/>
      <c r="AN11270" s="10"/>
      <c r="AO11270" s="10"/>
      <c r="AP11270" s="10"/>
      <c r="AQ11270" s="10"/>
      <c r="AR11270" s="10"/>
      <c r="AS11270" s="10"/>
      <c r="AT11270" s="10"/>
      <c r="AU11270" s="10"/>
      <c r="AV11270" s="10"/>
      <c r="AW11270" s="10"/>
      <c r="AX11270" s="10"/>
      <c r="AY11270" s="10"/>
      <c r="AZ11270" s="10"/>
    </row>
    <row r="11271" spans="31:52">
      <c r="AE11271" s="10"/>
      <c r="AF11271" s="10"/>
      <c r="AG11271" s="10"/>
      <c r="AH11271" s="10"/>
      <c r="AI11271" s="10"/>
      <c r="AJ11271" s="10"/>
      <c r="AK11271" s="10"/>
      <c r="AL11271" s="10"/>
      <c r="AM11271" s="10"/>
      <c r="AN11271" s="10"/>
      <c r="AO11271" s="10"/>
      <c r="AP11271" s="10"/>
      <c r="AQ11271" s="10"/>
      <c r="AR11271" s="10"/>
      <c r="AS11271" s="10"/>
      <c r="AT11271" s="10"/>
      <c r="AU11271" s="10"/>
      <c r="AV11271" s="10"/>
      <c r="AW11271" s="10"/>
      <c r="AX11271" s="10"/>
      <c r="AY11271" s="10"/>
      <c r="AZ11271" s="10"/>
    </row>
    <row r="11272" spans="31:52">
      <c r="AE11272" s="10"/>
      <c r="AF11272" s="10"/>
      <c r="AG11272" s="10"/>
      <c r="AH11272" s="10"/>
      <c r="AI11272" s="10"/>
      <c r="AJ11272" s="10"/>
      <c r="AK11272" s="10"/>
      <c r="AL11272" s="10"/>
      <c r="AM11272" s="10"/>
      <c r="AN11272" s="10"/>
      <c r="AO11272" s="10"/>
      <c r="AP11272" s="10"/>
      <c r="AQ11272" s="10"/>
      <c r="AR11272" s="10"/>
      <c r="AS11272" s="10"/>
      <c r="AT11272" s="10"/>
      <c r="AU11272" s="10"/>
      <c r="AV11272" s="10"/>
      <c r="AW11272" s="10"/>
      <c r="AX11272" s="10"/>
      <c r="AY11272" s="10"/>
      <c r="AZ11272" s="10"/>
    </row>
    <row r="11273" spans="31:52">
      <c r="AE11273" s="10"/>
      <c r="AF11273" s="10"/>
      <c r="AG11273" s="10"/>
      <c r="AH11273" s="10"/>
      <c r="AI11273" s="10"/>
      <c r="AJ11273" s="10"/>
      <c r="AK11273" s="10"/>
      <c r="AL11273" s="10"/>
      <c r="AM11273" s="10"/>
      <c r="AN11273" s="10"/>
      <c r="AO11273" s="10"/>
      <c r="AP11273" s="10"/>
      <c r="AQ11273" s="10"/>
      <c r="AR11273" s="10"/>
      <c r="AS11273" s="10"/>
      <c r="AT11273" s="10"/>
      <c r="AU11273" s="10"/>
      <c r="AV11273" s="10"/>
      <c r="AW11273" s="10"/>
      <c r="AX11273" s="10"/>
      <c r="AY11273" s="10"/>
      <c r="AZ11273" s="10"/>
    </row>
    <row r="11274" spans="31:52">
      <c r="AE11274" s="10"/>
      <c r="AF11274" s="10"/>
      <c r="AG11274" s="10"/>
      <c r="AH11274" s="10"/>
      <c r="AI11274" s="10"/>
      <c r="AJ11274" s="10"/>
      <c r="AK11274" s="10"/>
      <c r="AL11274" s="10"/>
      <c r="AM11274" s="10"/>
      <c r="AN11274" s="10"/>
      <c r="AO11274" s="10"/>
      <c r="AP11274" s="10"/>
      <c r="AQ11274" s="10"/>
      <c r="AR11274" s="10"/>
      <c r="AS11274" s="10"/>
      <c r="AT11274" s="10"/>
      <c r="AU11274" s="10"/>
      <c r="AV11274" s="10"/>
      <c r="AW11274" s="10"/>
      <c r="AX11274" s="10"/>
      <c r="AY11274" s="10"/>
      <c r="AZ11274" s="10"/>
    </row>
    <row r="11275" spans="31:52">
      <c r="AE11275" s="10"/>
      <c r="AF11275" s="10"/>
      <c r="AG11275" s="10"/>
      <c r="AH11275" s="10"/>
      <c r="AI11275" s="10"/>
      <c r="AJ11275" s="10"/>
      <c r="AK11275" s="10"/>
      <c r="AL11275" s="10"/>
      <c r="AM11275" s="10"/>
      <c r="AN11275" s="10"/>
      <c r="AO11275" s="10"/>
      <c r="AP11275" s="10"/>
      <c r="AQ11275" s="10"/>
      <c r="AR11275" s="10"/>
      <c r="AS11275" s="10"/>
      <c r="AT11275" s="10"/>
      <c r="AU11275" s="10"/>
      <c r="AV11275" s="10"/>
      <c r="AW11275" s="10"/>
      <c r="AX11275" s="10"/>
      <c r="AY11275" s="10"/>
      <c r="AZ11275" s="10"/>
    </row>
    <row r="11276" spans="31:52">
      <c r="AE11276" s="10"/>
      <c r="AF11276" s="10"/>
      <c r="AG11276" s="10"/>
      <c r="AH11276" s="10"/>
      <c r="AI11276" s="10"/>
      <c r="AJ11276" s="10"/>
      <c r="AK11276" s="10"/>
      <c r="AL11276" s="10"/>
      <c r="AM11276" s="10"/>
      <c r="AN11276" s="10"/>
      <c r="AO11276" s="10"/>
      <c r="AP11276" s="10"/>
      <c r="AQ11276" s="10"/>
      <c r="AR11276" s="10"/>
      <c r="AS11276" s="10"/>
      <c r="AT11276" s="10"/>
      <c r="AU11276" s="10"/>
      <c r="AV11276" s="10"/>
      <c r="AW11276" s="10"/>
      <c r="AX11276" s="10"/>
      <c r="AY11276" s="10"/>
      <c r="AZ11276" s="10"/>
    </row>
    <row r="11277" spans="31:52">
      <c r="AE11277" s="10"/>
      <c r="AF11277" s="10"/>
      <c r="AG11277" s="10"/>
      <c r="AH11277" s="10"/>
      <c r="AI11277" s="10"/>
      <c r="AJ11277" s="10"/>
      <c r="AK11277" s="10"/>
      <c r="AL11277" s="10"/>
      <c r="AM11277" s="10"/>
      <c r="AN11277" s="10"/>
      <c r="AO11277" s="10"/>
      <c r="AP11277" s="10"/>
      <c r="AQ11277" s="10"/>
      <c r="AR11277" s="10"/>
      <c r="AS11277" s="10"/>
      <c r="AT11277" s="10"/>
      <c r="AU11277" s="10"/>
      <c r="AV11277" s="10"/>
      <c r="AW11277" s="10"/>
      <c r="AX11277" s="10"/>
      <c r="AY11277" s="10"/>
      <c r="AZ11277" s="10"/>
    </row>
    <row r="11278" spans="31:52">
      <c r="AE11278" s="10"/>
      <c r="AF11278" s="10"/>
      <c r="AG11278" s="10"/>
      <c r="AH11278" s="10"/>
      <c r="AI11278" s="10"/>
      <c r="AJ11278" s="10"/>
      <c r="AK11278" s="10"/>
      <c r="AL11278" s="10"/>
      <c r="AM11278" s="10"/>
      <c r="AN11278" s="10"/>
      <c r="AO11278" s="10"/>
      <c r="AP11278" s="10"/>
      <c r="AQ11278" s="10"/>
      <c r="AR11278" s="10"/>
      <c r="AS11278" s="10"/>
      <c r="AT11278" s="10"/>
      <c r="AU11278" s="10"/>
      <c r="AV11278" s="10"/>
      <c r="AW11278" s="10"/>
      <c r="AX11278" s="10"/>
      <c r="AY11278" s="10"/>
      <c r="AZ11278" s="10"/>
    </row>
    <row r="11279" spans="31:52">
      <c r="AE11279" s="10"/>
      <c r="AF11279" s="10"/>
      <c r="AG11279" s="10"/>
      <c r="AH11279" s="10"/>
      <c r="AI11279" s="10"/>
      <c r="AJ11279" s="10"/>
      <c r="AK11279" s="10"/>
      <c r="AL11279" s="10"/>
      <c r="AM11279" s="10"/>
      <c r="AN11279" s="10"/>
      <c r="AO11279" s="10"/>
      <c r="AP11279" s="10"/>
      <c r="AQ11279" s="10"/>
      <c r="AR11279" s="10"/>
      <c r="AS11279" s="10"/>
      <c r="AT11279" s="10"/>
      <c r="AU11279" s="10"/>
      <c r="AV11279" s="10"/>
      <c r="AW11279" s="10"/>
      <c r="AX11279" s="10"/>
      <c r="AY11279" s="10"/>
      <c r="AZ11279" s="10"/>
    </row>
    <row r="11280" spans="31:52">
      <c r="AE11280" s="10"/>
      <c r="AF11280" s="10"/>
      <c r="AG11280" s="10"/>
      <c r="AH11280" s="10"/>
      <c r="AI11280" s="10"/>
      <c r="AJ11280" s="10"/>
      <c r="AK11280" s="10"/>
      <c r="AL11280" s="10"/>
      <c r="AM11280" s="10"/>
      <c r="AN11280" s="10"/>
      <c r="AO11280" s="10"/>
      <c r="AP11280" s="10"/>
      <c r="AQ11280" s="10"/>
      <c r="AR11280" s="10"/>
      <c r="AS11280" s="10"/>
      <c r="AT11280" s="10"/>
      <c r="AU11280" s="10"/>
      <c r="AV11280" s="10"/>
      <c r="AW11280" s="10"/>
      <c r="AX11280" s="10"/>
      <c r="AY11280" s="10"/>
      <c r="AZ11280" s="10"/>
    </row>
    <row r="11281" spans="31:52">
      <c r="AE11281" s="10"/>
      <c r="AF11281" s="10"/>
      <c r="AG11281" s="10"/>
      <c r="AH11281" s="10"/>
      <c r="AI11281" s="10"/>
      <c r="AJ11281" s="10"/>
      <c r="AK11281" s="10"/>
      <c r="AL11281" s="10"/>
      <c r="AM11281" s="10"/>
      <c r="AN11281" s="10"/>
      <c r="AO11281" s="10"/>
      <c r="AP11281" s="10"/>
      <c r="AQ11281" s="10"/>
      <c r="AR11281" s="10"/>
      <c r="AS11281" s="10"/>
      <c r="AT11281" s="10"/>
      <c r="AU11281" s="10"/>
      <c r="AV11281" s="10"/>
      <c r="AW11281" s="10"/>
      <c r="AX11281" s="10"/>
      <c r="AY11281" s="10"/>
      <c r="AZ11281" s="10"/>
    </row>
    <row r="11282" spans="31:52">
      <c r="AE11282" s="10"/>
      <c r="AF11282" s="10"/>
      <c r="AG11282" s="10"/>
      <c r="AH11282" s="10"/>
      <c r="AI11282" s="10"/>
      <c r="AJ11282" s="10"/>
      <c r="AK11282" s="10"/>
      <c r="AL11282" s="10"/>
      <c r="AM11282" s="10"/>
      <c r="AN11282" s="10"/>
      <c r="AO11282" s="10"/>
      <c r="AP11282" s="10"/>
      <c r="AQ11282" s="10"/>
      <c r="AR11282" s="10"/>
      <c r="AS11282" s="10"/>
      <c r="AT11282" s="10"/>
      <c r="AU11282" s="10"/>
      <c r="AV11282" s="10"/>
      <c r="AW11282" s="10"/>
      <c r="AX11282" s="10"/>
      <c r="AY11282" s="10"/>
      <c r="AZ11282" s="10"/>
    </row>
    <row r="11283" spans="31:52">
      <c r="AE11283" s="10"/>
      <c r="AF11283" s="10"/>
      <c r="AG11283" s="10"/>
      <c r="AH11283" s="10"/>
      <c r="AI11283" s="10"/>
      <c r="AJ11283" s="10"/>
      <c r="AK11283" s="10"/>
      <c r="AL11283" s="10"/>
      <c r="AM11283" s="10"/>
      <c r="AN11283" s="10"/>
      <c r="AO11283" s="10"/>
      <c r="AP11283" s="10"/>
      <c r="AQ11283" s="10"/>
      <c r="AR11283" s="10"/>
      <c r="AS11283" s="10"/>
      <c r="AT11283" s="10"/>
      <c r="AU11283" s="10"/>
      <c r="AV11283" s="10"/>
      <c r="AW11283" s="10"/>
      <c r="AX11283" s="10"/>
      <c r="AY11283" s="10"/>
      <c r="AZ11283" s="10"/>
    </row>
    <row r="11284" spans="31:52">
      <c r="AE11284" s="10"/>
      <c r="AF11284" s="10"/>
      <c r="AG11284" s="10"/>
      <c r="AH11284" s="10"/>
      <c r="AI11284" s="10"/>
      <c r="AJ11284" s="10"/>
      <c r="AK11284" s="10"/>
      <c r="AL11284" s="10"/>
      <c r="AM11284" s="10"/>
      <c r="AN11284" s="10"/>
      <c r="AO11284" s="10"/>
      <c r="AP11284" s="10"/>
      <c r="AQ11284" s="10"/>
      <c r="AR11284" s="10"/>
      <c r="AS11284" s="10"/>
      <c r="AT11284" s="10"/>
      <c r="AU11284" s="10"/>
      <c r="AV11284" s="10"/>
      <c r="AW11284" s="10"/>
      <c r="AX11284" s="10"/>
      <c r="AY11284" s="10"/>
      <c r="AZ11284" s="10"/>
    </row>
    <row r="11285" spans="31:52">
      <c r="AE11285" s="10"/>
      <c r="AF11285" s="10"/>
      <c r="AG11285" s="10"/>
      <c r="AH11285" s="10"/>
      <c r="AI11285" s="10"/>
      <c r="AJ11285" s="10"/>
      <c r="AK11285" s="10"/>
      <c r="AL11285" s="10"/>
      <c r="AM11285" s="10"/>
      <c r="AN11285" s="10"/>
      <c r="AO11285" s="10"/>
      <c r="AP11285" s="10"/>
      <c r="AQ11285" s="10"/>
      <c r="AR11285" s="10"/>
      <c r="AS11285" s="10"/>
      <c r="AT11285" s="10"/>
      <c r="AU11285" s="10"/>
      <c r="AV11285" s="10"/>
      <c r="AW11285" s="10"/>
      <c r="AX11285" s="10"/>
      <c r="AY11285" s="10"/>
      <c r="AZ11285" s="10"/>
    </row>
    <row r="11286" spans="31:52">
      <c r="AE11286" s="10"/>
      <c r="AF11286" s="10"/>
      <c r="AG11286" s="10"/>
      <c r="AH11286" s="10"/>
      <c r="AI11286" s="10"/>
      <c r="AJ11286" s="10"/>
      <c r="AK11286" s="10"/>
      <c r="AL11286" s="10"/>
      <c r="AM11286" s="10"/>
      <c r="AN11286" s="10"/>
      <c r="AO11286" s="10"/>
      <c r="AP11286" s="10"/>
      <c r="AQ11286" s="10"/>
      <c r="AR11286" s="10"/>
      <c r="AS11286" s="10"/>
      <c r="AT11286" s="10"/>
      <c r="AU11286" s="10"/>
      <c r="AV11286" s="10"/>
      <c r="AW11286" s="10"/>
      <c r="AX11286" s="10"/>
      <c r="AY11286" s="10"/>
      <c r="AZ11286" s="10"/>
    </row>
    <row r="11287" spans="31:52">
      <c r="AE11287" s="10"/>
      <c r="AF11287" s="10"/>
      <c r="AG11287" s="10"/>
      <c r="AH11287" s="10"/>
      <c r="AI11287" s="10"/>
      <c r="AJ11287" s="10"/>
      <c r="AK11287" s="10"/>
      <c r="AL11287" s="10"/>
      <c r="AM11287" s="10"/>
      <c r="AN11287" s="10"/>
      <c r="AO11287" s="10"/>
      <c r="AP11287" s="10"/>
      <c r="AQ11287" s="10"/>
      <c r="AR11287" s="10"/>
      <c r="AS11287" s="10"/>
      <c r="AT11287" s="10"/>
      <c r="AU11287" s="10"/>
      <c r="AV11287" s="10"/>
      <c r="AW11287" s="10"/>
      <c r="AX11287" s="10"/>
      <c r="AY11287" s="10"/>
      <c r="AZ11287" s="10"/>
    </row>
    <row r="11288" spans="31:52">
      <c r="AE11288" s="10"/>
      <c r="AF11288" s="10"/>
      <c r="AG11288" s="10"/>
      <c r="AH11288" s="10"/>
      <c r="AI11288" s="10"/>
      <c r="AJ11288" s="10"/>
      <c r="AK11288" s="10"/>
      <c r="AL11288" s="10"/>
      <c r="AM11288" s="10"/>
      <c r="AN11288" s="10"/>
      <c r="AO11288" s="10"/>
      <c r="AP11288" s="10"/>
      <c r="AQ11288" s="10"/>
      <c r="AR11288" s="10"/>
      <c r="AS11288" s="10"/>
      <c r="AT11288" s="10"/>
      <c r="AU11288" s="10"/>
      <c r="AV11288" s="10"/>
      <c r="AW11288" s="10"/>
      <c r="AX11288" s="10"/>
      <c r="AY11288" s="10"/>
      <c r="AZ11288" s="10"/>
    </row>
    <row r="11289" spans="31:52">
      <c r="AE11289" s="10"/>
      <c r="AF11289" s="10"/>
      <c r="AG11289" s="10"/>
      <c r="AH11289" s="10"/>
      <c r="AI11289" s="10"/>
      <c r="AJ11289" s="10"/>
      <c r="AK11289" s="10"/>
      <c r="AL11289" s="10"/>
      <c r="AM11289" s="10"/>
      <c r="AN11289" s="10"/>
      <c r="AO11289" s="10"/>
      <c r="AP11289" s="10"/>
      <c r="AQ11289" s="10"/>
      <c r="AR11289" s="10"/>
      <c r="AS11289" s="10"/>
      <c r="AT11289" s="10"/>
      <c r="AU11289" s="10"/>
      <c r="AV11289" s="10"/>
      <c r="AW11289" s="10"/>
      <c r="AX11289" s="10"/>
      <c r="AY11289" s="10"/>
      <c r="AZ11289" s="10"/>
    </row>
    <row r="11290" spans="31:52">
      <c r="AE11290" s="10"/>
      <c r="AF11290" s="10"/>
      <c r="AG11290" s="10"/>
      <c r="AH11290" s="10"/>
      <c r="AI11290" s="10"/>
      <c r="AJ11290" s="10"/>
      <c r="AK11290" s="10"/>
      <c r="AL11290" s="10"/>
      <c r="AM11290" s="10"/>
      <c r="AN11290" s="10"/>
      <c r="AO11290" s="10"/>
      <c r="AP11290" s="10"/>
      <c r="AQ11290" s="10"/>
      <c r="AR11290" s="10"/>
      <c r="AS11290" s="10"/>
      <c r="AT11290" s="10"/>
      <c r="AU11290" s="10"/>
      <c r="AV11290" s="10"/>
      <c r="AW11290" s="10"/>
      <c r="AX11290" s="10"/>
      <c r="AY11290" s="10"/>
      <c r="AZ11290" s="10"/>
    </row>
    <row r="11291" spans="31:52">
      <c r="AE11291" s="10"/>
      <c r="AF11291" s="10"/>
      <c r="AG11291" s="10"/>
      <c r="AH11291" s="10"/>
      <c r="AI11291" s="10"/>
      <c r="AJ11291" s="10"/>
      <c r="AK11291" s="10"/>
      <c r="AL11291" s="10"/>
      <c r="AM11291" s="10"/>
      <c r="AN11291" s="10"/>
      <c r="AO11291" s="10"/>
      <c r="AP11291" s="10"/>
      <c r="AQ11291" s="10"/>
      <c r="AR11291" s="10"/>
      <c r="AS11291" s="10"/>
      <c r="AT11291" s="10"/>
      <c r="AU11291" s="10"/>
      <c r="AV11291" s="10"/>
      <c r="AW11291" s="10"/>
      <c r="AX11291" s="10"/>
      <c r="AY11291" s="10"/>
      <c r="AZ11291" s="10"/>
    </row>
    <row r="11292" spans="31:52">
      <c r="AE11292" s="10"/>
      <c r="AF11292" s="10"/>
      <c r="AG11292" s="10"/>
      <c r="AH11292" s="10"/>
      <c r="AI11292" s="10"/>
      <c r="AJ11292" s="10"/>
      <c r="AK11292" s="10"/>
      <c r="AL11292" s="10"/>
      <c r="AM11292" s="10"/>
      <c r="AN11292" s="10"/>
      <c r="AO11292" s="10"/>
      <c r="AP11292" s="10"/>
      <c r="AQ11292" s="10"/>
      <c r="AR11292" s="10"/>
      <c r="AS11292" s="10"/>
      <c r="AT11292" s="10"/>
      <c r="AU11292" s="10"/>
      <c r="AV11292" s="10"/>
      <c r="AW11292" s="10"/>
      <c r="AX11292" s="10"/>
      <c r="AY11292" s="10"/>
      <c r="AZ11292" s="10"/>
    </row>
    <row r="11293" spans="31:52">
      <c r="AE11293" s="10"/>
      <c r="AF11293" s="10"/>
      <c r="AG11293" s="10"/>
      <c r="AH11293" s="10"/>
      <c r="AI11293" s="10"/>
      <c r="AJ11293" s="10"/>
      <c r="AK11293" s="10"/>
      <c r="AL11293" s="10"/>
      <c r="AM11293" s="10"/>
      <c r="AN11293" s="10"/>
      <c r="AO11293" s="10"/>
      <c r="AP11293" s="10"/>
      <c r="AQ11293" s="10"/>
      <c r="AR11293" s="10"/>
      <c r="AS11293" s="10"/>
      <c r="AT11293" s="10"/>
      <c r="AU11293" s="10"/>
      <c r="AV11293" s="10"/>
      <c r="AW11293" s="10"/>
      <c r="AX11293" s="10"/>
      <c r="AY11293" s="10"/>
      <c r="AZ11293" s="10"/>
    </row>
    <row r="11294" spans="31:52">
      <c r="AE11294" s="10"/>
      <c r="AF11294" s="10"/>
      <c r="AG11294" s="10"/>
      <c r="AH11294" s="10"/>
      <c r="AI11294" s="10"/>
      <c r="AJ11294" s="10"/>
      <c r="AK11294" s="10"/>
      <c r="AL11294" s="10"/>
      <c r="AM11294" s="10"/>
      <c r="AN11294" s="10"/>
      <c r="AO11294" s="10"/>
      <c r="AP11294" s="10"/>
      <c r="AQ11294" s="10"/>
      <c r="AR11294" s="10"/>
      <c r="AS11294" s="10"/>
      <c r="AT11294" s="10"/>
      <c r="AU11294" s="10"/>
      <c r="AV11294" s="10"/>
      <c r="AW11294" s="10"/>
      <c r="AX11294" s="10"/>
      <c r="AY11294" s="10"/>
      <c r="AZ11294" s="10"/>
    </row>
    <row r="11295" spans="31:52">
      <c r="AE11295" s="10"/>
      <c r="AF11295" s="10"/>
      <c r="AG11295" s="10"/>
      <c r="AH11295" s="10"/>
      <c r="AI11295" s="10"/>
      <c r="AJ11295" s="10"/>
      <c r="AK11295" s="10"/>
      <c r="AL11295" s="10"/>
      <c r="AM11295" s="10"/>
      <c r="AN11295" s="10"/>
      <c r="AO11295" s="10"/>
      <c r="AP11295" s="10"/>
      <c r="AQ11295" s="10"/>
      <c r="AR11295" s="10"/>
      <c r="AS11295" s="10"/>
      <c r="AT11295" s="10"/>
      <c r="AU11295" s="10"/>
      <c r="AV11295" s="10"/>
      <c r="AW11295" s="10"/>
      <c r="AX11295" s="10"/>
      <c r="AY11295" s="10"/>
      <c r="AZ11295" s="10"/>
    </row>
    <row r="11296" spans="31:52">
      <c r="AE11296" s="10"/>
      <c r="AF11296" s="10"/>
      <c r="AG11296" s="10"/>
      <c r="AH11296" s="10"/>
      <c r="AI11296" s="10"/>
      <c r="AJ11296" s="10"/>
      <c r="AK11296" s="10"/>
      <c r="AL11296" s="10"/>
      <c r="AM11296" s="10"/>
      <c r="AN11296" s="10"/>
      <c r="AO11296" s="10"/>
      <c r="AP11296" s="10"/>
      <c r="AQ11296" s="10"/>
      <c r="AR11296" s="10"/>
      <c r="AS11296" s="10"/>
      <c r="AT11296" s="10"/>
      <c r="AU11296" s="10"/>
      <c r="AV11296" s="10"/>
      <c r="AW11296" s="10"/>
      <c r="AX11296" s="10"/>
      <c r="AY11296" s="10"/>
      <c r="AZ11296" s="10"/>
    </row>
    <row r="11297" spans="31:52">
      <c r="AE11297" s="10"/>
      <c r="AF11297" s="10"/>
      <c r="AG11297" s="10"/>
      <c r="AH11297" s="10"/>
      <c r="AI11297" s="10"/>
      <c r="AJ11297" s="10"/>
      <c r="AK11297" s="10"/>
      <c r="AL11297" s="10"/>
      <c r="AM11297" s="10"/>
      <c r="AN11297" s="10"/>
      <c r="AO11297" s="10"/>
      <c r="AP11297" s="10"/>
      <c r="AQ11297" s="10"/>
      <c r="AR11297" s="10"/>
      <c r="AS11297" s="10"/>
      <c r="AT11297" s="10"/>
      <c r="AU11297" s="10"/>
      <c r="AV11297" s="10"/>
      <c r="AW11297" s="10"/>
      <c r="AX11297" s="10"/>
      <c r="AY11297" s="10"/>
      <c r="AZ11297" s="10"/>
    </row>
    <row r="11298" spans="31:52">
      <c r="AE11298" s="10"/>
      <c r="AF11298" s="10"/>
      <c r="AG11298" s="10"/>
      <c r="AH11298" s="10"/>
      <c r="AI11298" s="10"/>
      <c r="AJ11298" s="10"/>
      <c r="AK11298" s="10"/>
      <c r="AL11298" s="10"/>
      <c r="AM11298" s="10"/>
      <c r="AN11298" s="10"/>
      <c r="AO11298" s="10"/>
      <c r="AP11298" s="10"/>
      <c r="AQ11298" s="10"/>
      <c r="AR11298" s="10"/>
      <c r="AS11298" s="10"/>
      <c r="AT11298" s="10"/>
      <c r="AU11298" s="10"/>
      <c r="AV11298" s="10"/>
      <c r="AW11298" s="10"/>
      <c r="AX11298" s="10"/>
      <c r="AY11298" s="10"/>
      <c r="AZ11298" s="10"/>
    </row>
    <row r="11299" spans="31:52">
      <c r="AE11299" s="10"/>
      <c r="AF11299" s="10"/>
      <c r="AG11299" s="10"/>
      <c r="AH11299" s="10"/>
      <c r="AI11299" s="10"/>
      <c r="AJ11299" s="10"/>
      <c r="AK11299" s="10"/>
      <c r="AL11299" s="10"/>
      <c r="AM11299" s="10"/>
      <c r="AN11299" s="10"/>
      <c r="AO11299" s="10"/>
      <c r="AP11299" s="10"/>
      <c r="AQ11299" s="10"/>
      <c r="AR11299" s="10"/>
      <c r="AS11299" s="10"/>
      <c r="AT11299" s="10"/>
      <c r="AU11299" s="10"/>
      <c r="AV11299" s="10"/>
      <c r="AW11299" s="10"/>
      <c r="AX11299" s="10"/>
      <c r="AY11299" s="10"/>
      <c r="AZ11299" s="10"/>
    </row>
    <row r="11300" spans="31:52">
      <c r="AE11300" s="10"/>
      <c r="AF11300" s="10"/>
      <c r="AG11300" s="10"/>
      <c r="AH11300" s="10"/>
      <c r="AI11300" s="10"/>
      <c r="AJ11300" s="10"/>
      <c r="AK11300" s="10"/>
      <c r="AL11300" s="10"/>
      <c r="AM11300" s="10"/>
      <c r="AN11300" s="10"/>
      <c r="AO11300" s="10"/>
      <c r="AP11300" s="10"/>
      <c r="AQ11300" s="10"/>
      <c r="AR11300" s="10"/>
      <c r="AS11300" s="10"/>
      <c r="AT11300" s="10"/>
      <c r="AU11300" s="10"/>
      <c r="AV11300" s="10"/>
      <c r="AW11300" s="10"/>
      <c r="AX11300" s="10"/>
      <c r="AY11300" s="10"/>
      <c r="AZ11300" s="10"/>
    </row>
    <row r="11301" spans="31:52">
      <c r="AE11301" s="10"/>
      <c r="AF11301" s="10"/>
      <c r="AG11301" s="10"/>
      <c r="AH11301" s="10"/>
      <c r="AI11301" s="10"/>
      <c r="AJ11301" s="10"/>
      <c r="AK11301" s="10"/>
      <c r="AL11301" s="10"/>
      <c r="AM11301" s="10"/>
      <c r="AN11301" s="10"/>
      <c r="AO11301" s="10"/>
      <c r="AP11301" s="10"/>
      <c r="AQ11301" s="10"/>
      <c r="AR11301" s="10"/>
      <c r="AS11301" s="10"/>
      <c r="AT11301" s="10"/>
      <c r="AU11301" s="10"/>
      <c r="AV11301" s="10"/>
      <c r="AW11301" s="10"/>
      <c r="AX11301" s="10"/>
      <c r="AY11301" s="10"/>
      <c r="AZ11301" s="10"/>
    </row>
    <row r="11302" spans="31:52">
      <c r="AE11302" s="10"/>
      <c r="AF11302" s="10"/>
      <c r="AG11302" s="10"/>
      <c r="AH11302" s="10"/>
      <c r="AI11302" s="10"/>
      <c r="AJ11302" s="10"/>
      <c r="AK11302" s="10"/>
      <c r="AL11302" s="10"/>
      <c r="AM11302" s="10"/>
      <c r="AN11302" s="10"/>
      <c r="AO11302" s="10"/>
      <c r="AP11302" s="10"/>
      <c r="AQ11302" s="10"/>
      <c r="AR11302" s="10"/>
      <c r="AS11302" s="10"/>
      <c r="AT11302" s="10"/>
      <c r="AU11302" s="10"/>
      <c r="AV11302" s="10"/>
      <c r="AW11302" s="10"/>
      <c r="AX11302" s="10"/>
      <c r="AY11302" s="10"/>
      <c r="AZ11302" s="10"/>
    </row>
    <row r="11303" spans="31:52">
      <c r="AE11303" s="10"/>
      <c r="AF11303" s="10"/>
      <c r="AG11303" s="10"/>
      <c r="AH11303" s="10"/>
      <c r="AI11303" s="10"/>
      <c r="AJ11303" s="10"/>
      <c r="AK11303" s="10"/>
      <c r="AL11303" s="10"/>
      <c r="AM11303" s="10"/>
      <c r="AN11303" s="10"/>
      <c r="AO11303" s="10"/>
      <c r="AP11303" s="10"/>
      <c r="AQ11303" s="10"/>
      <c r="AR11303" s="10"/>
      <c r="AS11303" s="10"/>
      <c r="AT11303" s="10"/>
      <c r="AU11303" s="10"/>
      <c r="AV11303" s="10"/>
      <c r="AW11303" s="10"/>
      <c r="AX11303" s="10"/>
      <c r="AY11303" s="10"/>
      <c r="AZ11303" s="10"/>
    </row>
    <row r="11304" spans="31:52">
      <c r="AE11304" s="10"/>
      <c r="AF11304" s="10"/>
      <c r="AG11304" s="10"/>
      <c r="AH11304" s="10"/>
      <c r="AI11304" s="10"/>
      <c r="AJ11304" s="10"/>
      <c r="AK11304" s="10"/>
      <c r="AL11304" s="10"/>
      <c r="AM11304" s="10"/>
      <c r="AN11304" s="10"/>
      <c r="AO11304" s="10"/>
      <c r="AP11304" s="10"/>
      <c r="AQ11304" s="10"/>
      <c r="AR11304" s="10"/>
      <c r="AS11304" s="10"/>
      <c r="AT11304" s="10"/>
      <c r="AU11304" s="10"/>
      <c r="AV11304" s="10"/>
      <c r="AW11304" s="10"/>
      <c r="AX11304" s="10"/>
      <c r="AY11304" s="10"/>
      <c r="AZ11304" s="10"/>
    </row>
    <row r="11305" spans="31:52">
      <c r="AE11305" s="10"/>
      <c r="AF11305" s="10"/>
      <c r="AG11305" s="10"/>
      <c r="AH11305" s="10"/>
      <c r="AI11305" s="10"/>
      <c r="AJ11305" s="10"/>
      <c r="AK11305" s="10"/>
      <c r="AL11305" s="10"/>
      <c r="AM11305" s="10"/>
      <c r="AN11305" s="10"/>
      <c r="AO11305" s="10"/>
      <c r="AP11305" s="10"/>
      <c r="AQ11305" s="10"/>
      <c r="AR11305" s="10"/>
      <c r="AS11305" s="10"/>
      <c r="AT11305" s="10"/>
      <c r="AU11305" s="10"/>
      <c r="AV11305" s="10"/>
      <c r="AW11305" s="10"/>
      <c r="AX11305" s="10"/>
      <c r="AY11305" s="10"/>
      <c r="AZ11305" s="10"/>
    </row>
    <row r="11306" spans="31:52">
      <c r="AE11306" s="10"/>
      <c r="AF11306" s="10"/>
      <c r="AG11306" s="10"/>
      <c r="AH11306" s="10"/>
      <c r="AI11306" s="10"/>
      <c r="AJ11306" s="10"/>
      <c r="AK11306" s="10"/>
      <c r="AL11306" s="10"/>
      <c r="AM11306" s="10"/>
      <c r="AN11306" s="10"/>
      <c r="AO11306" s="10"/>
      <c r="AP11306" s="10"/>
      <c r="AQ11306" s="10"/>
      <c r="AR11306" s="10"/>
      <c r="AS11306" s="10"/>
      <c r="AT11306" s="10"/>
      <c r="AU11306" s="10"/>
      <c r="AV11306" s="10"/>
      <c r="AW11306" s="10"/>
      <c r="AX11306" s="10"/>
      <c r="AY11306" s="10"/>
      <c r="AZ11306" s="10"/>
    </row>
    <row r="11307" spans="31:52">
      <c r="AE11307" s="10"/>
      <c r="AF11307" s="10"/>
      <c r="AG11307" s="10"/>
      <c r="AH11307" s="10"/>
      <c r="AI11307" s="10"/>
      <c r="AJ11307" s="10"/>
      <c r="AK11307" s="10"/>
      <c r="AL11307" s="10"/>
      <c r="AM11307" s="10"/>
      <c r="AN11307" s="10"/>
      <c r="AO11307" s="10"/>
      <c r="AP11307" s="10"/>
      <c r="AQ11307" s="10"/>
      <c r="AR11307" s="10"/>
      <c r="AS11307" s="10"/>
      <c r="AT11307" s="10"/>
      <c r="AU11307" s="10"/>
      <c r="AV11307" s="10"/>
      <c r="AW11307" s="10"/>
      <c r="AX11307" s="10"/>
      <c r="AY11307" s="10"/>
      <c r="AZ11307" s="10"/>
    </row>
    <row r="11308" spans="31:52">
      <c r="AE11308" s="10"/>
      <c r="AF11308" s="10"/>
      <c r="AG11308" s="10"/>
      <c r="AH11308" s="10"/>
      <c r="AI11308" s="10"/>
      <c r="AJ11308" s="10"/>
      <c r="AK11308" s="10"/>
      <c r="AL11308" s="10"/>
      <c r="AM11308" s="10"/>
      <c r="AN11308" s="10"/>
      <c r="AO11308" s="10"/>
      <c r="AP11308" s="10"/>
      <c r="AQ11308" s="10"/>
      <c r="AR11308" s="10"/>
      <c r="AS11308" s="10"/>
      <c r="AT11308" s="10"/>
      <c r="AU11308" s="10"/>
      <c r="AV11308" s="10"/>
      <c r="AW11308" s="10"/>
      <c r="AX11308" s="10"/>
      <c r="AY11308" s="10"/>
      <c r="AZ11308" s="10"/>
    </row>
    <row r="11309" spans="31:52">
      <c r="AE11309" s="10"/>
      <c r="AF11309" s="10"/>
      <c r="AG11309" s="10"/>
      <c r="AH11309" s="10"/>
      <c r="AI11309" s="10"/>
      <c r="AJ11309" s="10"/>
      <c r="AK11309" s="10"/>
      <c r="AL11309" s="10"/>
      <c r="AM11309" s="10"/>
      <c r="AN11309" s="10"/>
      <c r="AO11309" s="10"/>
      <c r="AP11309" s="10"/>
      <c r="AQ11309" s="10"/>
      <c r="AR11309" s="10"/>
      <c r="AS11309" s="10"/>
      <c r="AT11309" s="10"/>
      <c r="AU11309" s="10"/>
      <c r="AV11309" s="10"/>
      <c r="AW11309" s="10"/>
      <c r="AX11309" s="10"/>
      <c r="AY11309" s="10"/>
      <c r="AZ11309" s="10"/>
    </row>
    <row r="11310" spans="31:52">
      <c r="AE11310" s="10"/>
      <c r="AF11310" s="10"/>
      <c r="AG11310" s="10"/>
      <c r="AH11310" s="10"/>
      <c r="AI11310" s="10"/>
      <c r="AJ11310" s="10"/>
      <c r="AK11310" s="10"/>
      <c r="AL11310" s="10"/>
      <c r="AM11310" s="10"/>
      <c r="AN11310" s="10"/>
      <c r="AO11310" s="10"/>
      <c r="AP11310" s="10"/>
      <c r="AQ11310" s="10"/>
      <c r="AR11310" s="10"/>
      <c r="AS11310" s="10"/>
      <c r="AT11310" s="10"/>
      <c r="AU11310" s="10"/>
      <c r="AV11310" s="10"/>
      <c r="AW11310" s="10"/>
      <c r="AX11310" s="10"/>
      <c r="AY11310" s="10"/>
      <c r="AZ11310" s="10"/>
    </row>
    <row r="11311" spans="31:52">
      <c r="AE11311" s="10"/>
      <c r="AF11311" s="10"/>
      <c r="AG11311" s="10"/>
      <c r="AH11311" s="10"/>
      <c r="AI11311" s="10"/>
      <c r="AJ11311" s="10"/>
      <c r="AK11311" s="10"/>
      <c r="AL11311" s="10"/>
      <c r="AM11311" s="10"/>
      <c r="AN11311" s="10"/>
      <c r="AO11311" s="10"/>
      <c r="AP11311" s="10"/>
      <c r="AQ11311" s="10"/>
      <c r="AR11311" s="10"/>
      <c r="AS11311" s="10"/>
      <c r="AT11311" s="10"/>
      <c r="AU11311" s="10"/>
      <c r="AV11311" s="10"/>
      <c r="AW11311" s="10"/>
      <c r="AX11311" s="10"/>
      <c r="AY11311" s="10"/>
      <c r="AZ11311" s="10"/>
    </row>
    <row r="11312" spans="31:52">
      <c r="AE11312" s="10"/>
      <c r="AF11312" s="10"/>
      <c r="AG11312" s="10"/>
      <c r="AH11312" s="10"/>
      <c r="AI11312" s="10"/>
      <c r="AJ11312" s="10"/>
      <c r="AK11312" s="10"/>
      <c r="AL11312" s="10"/>
      <c r="AM11312" s="10"/>
      <c r="AN11312" s="10"/>
      <c r="AO11312" s="10"/>
      <c r="AP11312" s="10"/>
      <c r="AQ11312" s="10"/>
      <c r="AR11312" s="10"/>
      <c r="AS11312" s="10"/>
      <c r="AT11312" s="10"/>
      <c r="AU11312" s="10"/>
      <c r="AV11312" s="10"/>
      <c r="AW11312" s="10"/>
      <c r="AX11312" s="10"/>
      <c r="AY11312" s="10"/>
      <c r="AZ11312" s="10"/>
    </row>
    <row r="11313" spans="31:52">
      <c r="AE11313" s="10"/>
      <c r="AF11313" s="10"/>
      <c r="AG11313" s="10"/>
      <c r="AH11313" s="10"/>
      <c r="AI11313" s="10"/>
      <c r="AJ11313" s="10"/>
      <c r="AK11313" s="10"/>
      <c r="AL11313" s="10"/>
      <c r="AM11313" s="10"/>
      <c r="AN11313" s="10"/>
      <c r="AO11313" s="10"/>
      <c r="AP11313" s="10"/>
      <c r="AQ11313" s="10"/>
      <c r="AR11313" s="10"/>
      <c r="AS11313" s="10"/>
      <c r="AT11313" s="10"/>
      <c r="AU11313" s="10"/>
      <c r="AV11313" s="10"/>
      <c r="AW11313" s="10"/>
      <c r="AX11313" s="10"/>
      <c r="AY11313" s="10"/>
      <c r="AZ11313" s="10"/>
    </row>
    <row r="11314" spans="31:52">
      <c r="AE11314" s="10"/>
      <c r="AF11314" s="10"/>
      <c r="AG11314" s="10"/>
      <c r="AH11314" s="10"/>
      <c r="AI11314" s="10"/>
      <c r="AJ11314" s="10"/>
      <c r="AK11314" s="10"/>
      <c r="AL11314" s="10"/>
      <c r="AM11314" s="10"/>
      <c r="AN11314" s="10"/>
      <c r="AO11314" s="10"/>
      <c r="AP11314" s="10"/>
      <c r="AQ11314" s="10"/>
      <c r="AR11314" s="10"/>
      <c r="AS11314" s="10"/>
      <c r="AT11314" s="10"/>
      <c r="AU11314" s="10"/>
      <c r="AV11314" s="10"/>
      <c r="AW11314" s="10"/>
      <c r="AX11314" s="10"/>
      <c r="AY11314" s="10"/>
      <c r="AZ11314" s="10"/>
    </row>
    <row r="11315" spans="31:52">
      <c r="AE11315" s="10"/>
      <c r="AF11315" s="10"/>
      <c r="AG11315" s="10"/>
      <c r="AH11315" s="10"/>
      <c r="AI11315" s="10"/>
      <c r="AJ11315" s="10"/>
      <c r="AK11315" s="10"/>
      <c r="AL11315" s="10"/>
      <c r="AM11315" s="10"/>
      <c r="AN11315" s="10"/>
      <c r="AO11315" s="10"/>
      <c r="AP11315" s="10"/>
      <c r="AQ11315" s="10"/>
      <c r="AR11315" s="10"/>
      <c r="AS11315" s="10"/>
      <c r="AT11315" s="10"/>
      <c r="AU11315" s="10"/>
      <c r="AV11315" s="10"/>
      <c r="AW11315" s="10"/>
      <c r="AX11315" s="10"/>
      <c r="AY11315" s="10"/>
      <c r="AZ11315" s="10"/>
    </row>
    <row r="11316" spans="31:52">
      <c r="AE11316" s="10"/>
      <c r="AF11316" s="10"/>
      <c r="AG11316" s="10"/>
      <c r="AH11316" s="10"/>
      <c r="AI11316" s="10"/>
      <c r="AJ11316" s="10"/>
      <c r="AK11316" s="10"/>
      <c r="AL11316" s="10"/>
      <c r="AM11316" s="10"/>
      <c r="AN11316" s="10"/>
      <c r="AO11316" s="10"/>
      <c r="AP11316" s="10"/>
      <c r="AQ11316" s="10"/>
      <c r="AR11316" s="10"/>
      <c r="AS11316" s="10"/>
      <c r="AT11316" s="10"/>
      <c r="AU11316" s="10"/>
      <c r="AV11316" s="10"/>
      <c r="AW11316" s="10"/>
      <c r="AX11316" s="10"/>
      <c r="AY11316" s="10"/>
      <c r="AZ11316" s="10"/>
    </row>
    <row r="11317" spans="31:52">
      <c r="AE11317" s="10"/>
      <c r="AF11317" s="10"/>
      <c r="AG11317" s="10"/>
      <c r="AH11317" s="10"/>
      <c r="AI11317" s="10"/>
      <c r="AJ11317" s="10"/>
      <c r="AK11317" s="10"/>
      <c r="AL11317" s="10"/>
      <c r="AM11317" s="10"/>
      <c r="AN11317" s="10"/>
      <c r="AO11317" s="10"/>
      <c r="AP11317" s="10"/>
      <c r="AQ11317" s="10"/>
      <c r="AR11317" s="10"/>
      <c r="AS11317" s="10"/>
      <c r="AT11317" s="10"/>
      <c r="AU11317" s="10"/>
      <c r="AV11317" s="10"/>
      <c r="AW11317" s="10"/>
      <c r="AX11317" s="10"/>
      <c r="AY11317" s="10"/>
      <c r="AZ11317" s="10"/>
    </row>
    <row r="11318" spans="31:52">
      <c r="AE11318" s="10"/>
      <c r="AF11318" s="10"/>
      <c r="AG11318" s="10"/>
      <c r="AH11318" s="10"/>
      <c r="AI11318" s="10"/>
      <c r="AJ11318" s="10"/>
      <c r="AK11318" s="10"/>
      <c r="AL11318" s="10"/>
      <c r="AM11318" s="10"/>
      <c r="AN11318" s="10"/>
      <c r="AO11318" s="10"/>
      <c r="AP11318" s="10"/>
      <c r="AQ11318" s="10"/>
      <c r="AR11318" s="10"/>
      <c r="AS11318" s="10"/>
      <c r="AT11318" s="10"/>
      <c r="AU11318" s="10"/>
      <c r="AV11318" s="10"/>
      <c r="AW11318" s="10"/>
      <c r="AX11318" s="10"/>
      <c r="AY11318" s="10"/>
      <c r="AZ11318" s="10"/>
    </row>
    <row r="11319" spans="31:52">
      <c r="AE11319" s="10"/>
      <c r="AF11319" s="10"/>
      <c r="AG11319" s="10"/>
      <c r="AH11319" s="10"/>
      <c r="AI11319" s="10"/>
      <c r="AJ11319" s="10"/>
      <c r="AK11319" s="10"/>
      <c r="AL11319" s="10"/>
      <c r="AM11319" s="10"/>
      <c r="AN11319" s="10"/>
      <c r="AO11319" s="10"/>
      <c r="AP11319" s="10"/>
      <c r="AQ11319" s="10"/>
      <c r="AR11319" s="10"/>
      <c r="AS11319" s="10"/>
      <c r="AT11319" s="10"/>
      <c r="AU11319" s="10"/>
      <c r="AV11319" s="10"/>
      <c r="AW11319" s="10"/>
      <c r="AX11319" s="10"/>
      <c r="AY11319" s="10"/>
      <c r="AZ11319" s="10"/>
    </row>
    <row r="11320" spans="31:52">
      <c r="AE11320" s="10"/>
      <c r="AF11320" s="10"/>
      <c r="AG11320" s="10"/>
      <c r="AH11320" s="10"/>
      <c r="AI11320" s="10"/>
      <c r="AJ11320" s="10"/>
      <c r="AK11320" s="10"/>
      <c r="AL11320" s="10"/>
      <c r="AM11320" s="10"/>
      <c r="AN11320" s="10"/>
      <c r="AO11320" s="10"/>
      <c r="AP11320" s="10"/>
      <c r="AQ11320" s="10"/>
      <c r="AR11320" s="10"/>
      <c r="AS11320" s="10"/>
      <c r="AT11320" s="10"/>
      <c r="AU11320" s="10"/>
      <c r="AV11320" s="10"/>
      <c r="AW11320" s="10"/>
      <c r="AX11320" s="10"/>
      <c r="AY11320" s="10"/>
      <c r="AZ11320" s="10"/>
    </row>
    <row r="11321" spans="31:52">
      <c r="AE11321" s="10"/>
      <c r="AF11321" s="10"/>
      <c r="AG11321" s="10"/>
      <c r="AH11321" s="10"/>
      <c r="AI11321" s="10"/>
      <c r="AJ11321" s="10"/>
      <c r="AK11321" s="10"/>
      <c r="AL11321" s="10"/>
      <c r="AM11321" s="10"/>
      <c r="AN11321" s="10"/>
      <c r="AO11321" s="10"/>
      <c r="AP11321" s="10"/>
      <c r="AQ11321" s="10"/>
      <c r="AR11321" s="10"/>
      <c r="AS11321" s="10"/>
      <c r="AT11321" s="10"/>
      <c r="AU11321" s="10"/>
      <c r="AV11321" s="10"/>
      <c r="AW11321" s="10"/>
      <c r="AX11321" s="10"/>
      <c r="AY11321" s="10"/>
      <c r="AZ11321" s="10"/>
    </row>
    <row r="11322" spans="31:52">
      <c r="AE11322" s="10"/>
      <c r="AF11322" s="10"/>
      <c r="AG11322" s="10"/>
      <c r="AH11322" s="10"/>
      <c r="AI11322" s="10"/>
      <c r="AJ11322" s="10"/>
      <c r="AK11322" s="10"/>
      <c r="AL11322" s="10"/>
      <c r="AM11322" s="10"/>
      <c r="AN11322" s="10"/>
      <c r="AO11322" s="10"/>
      <c r="AP11322" s="10"/>
      <c r="AQ11322" s="10"/>
      <c r="AR11322" s="10"/>
      <c r="AS11322" s="10"/>
      <c r="AT11322" s="10"/>
      <c r="AU11322" s="10"/>
      <c r="AV11322" s="10"/>
      <c r="AW11322" s="10"/>
      <c r="AX11322" s="10"/>
      <c r="AY11322" s="10"/>
      <c r="AZ11322" s="10"/>
    </row>
    <row r="11323" spans="31:52">
      <c r="AE11323" s="10"/>
      <c r="AF11323" s="10"/>
      <c r="AG11323" s="10"/>
      <c r="AH11323" s="10"/>
      <c r="AI11323" s="10"/>
      <c r="AJ11323" s="10"/>
      <c r="AK11323" s="10"/>
      <c r="AL11323" s="10"/>
      <c r="AM11323" s="10"/>
      <c r="AN11323" s="10"/>
      <c r="AO11323" s="10"/>
      <c r="AP11323" s="10"/>
      <c r="AQ11323" s="10"/>
      <c r="AR11323" s="10"/>
      <c r="AS11323" s="10"/>
      <c r="AT11323" s="10"/>
      <c r="AU11323" s="10"/>
      <c r="AV11323" s="10"/>
      <c r="AW11323" s="10"/>
      <c r="AX11323" s="10"/>
      <c r="AY11323" s="10"/>
      <c r="AZ11323" s="10"/>
    </row>
    <row r="11324" spans="31:52">
      <c r="AE11324" s="10"/>
      <c r="AF11324" s="10"/>
      <c r="AG11324" s="10"/>
      <c r="AH11324" s="10"/>
      <c r="AI11324" s="10"/>
      <c r="AJ11324" s="10"/>
      <c r="AK11324" s="10"/>
      <c r="AL11324" s="10"/>
      <c r="AM11324" s="10"/>
      <c r="AN11324" s="10"/>
      <c r="AO11324" s="10"/>
      <c r="AP11324" s="10"/>
      <c r="AQ11324" s="10"/>
      <c r="AR11324" s="10"/>
      <c r="AS11324" s="10"/>
      <c r="AT11324" s="10"/>
      <c r="AU11324" s="10"/>
      <c r="AV11324" s="10"/>
      <c r="AW11324" s="10"/>
      <c r="AX11324" s="10"/>
      <c r="AY11324" s="10"/>
      <c r="AZ11324" s="10"/>
    </row>
    <row r="11325" spans="31:52">
      <c r="AE11325" s="10"/>
      <c r="AF11325" s="10"/>
      <c r="AG11325" s="10"/>
      <c r="AH11325" s="10"/>
      <c r="AI11325" s="10"/>
      <c r="AJ11325" s="10"/>
      <c r="AK11325" s="10"/>
      <c r="AL11325" s="10"/>
      <c r="AM11325" s="10"/>
      <c r="AN11325" s="10"/>
      <c r="AO11325" s="10"/>
      <c r="AP11325" s="10"/>
      <c r="AQ11325" s="10"/>
      <c r="AR11325" s="10"/>
      <c r="AS11325" s="10"/>
      <c r="AT11325" s="10"/>
      <c r="AU11325" s="10"/>
      <c r="AV11325" s="10"/>
      <c r="AW11325" s="10"/>
      <c r="AX11325" s="10"/>
      <c r="AY11325" s="10"/>
      <c r="AZ11325" s="10"/>
    </row>
    <row r="11326" spans="31:52">
      <c r="AE11326" s="10"/>
      <c r="AF11326" s="10"/>
      <c r="AG11326" s="10"/>
      <c r="AH11326" s="10"/>
      <c r="AI11326" s="10"/>
      <c r="AJ11326" s="10"/>
      <c r="AK11326" s="10"/>
      <c r="AL11326" s="10"/>
      <c r="AM11326" s="10"/>
      <c r="AN11326" s="10"/>
      <c r="AO11326" s="10"/>
      <c r="AP11326" s="10"/>
      <c r="AQ11326" s="10"/>
      <c r="AR11326" s="10"/>
      <c r="AS11326" s="10"/>
      <c r="AT11326" s="10"/>
      <c r="AU11326" s="10"/>
      <c r="AV11326" s="10"/>
      <c r="AW11326" s="10"/>
      <c r="AX11326" s="10"/>
      <c r="AY11326" s="10"/>
      <c r="AZ11326" s="10"/>
    </row>
    <row r="11327" spans="31:52">
      <c r="AE11327" s="10"/>
      <c r="AF11327" s="10"/>
      <c r="AG11327" s="10"/>
      <c r="AH11327" s="10"/>
      <c r="AI11327" s="10"/>
      <c r="AJ11327" s="10"/>
      <c r="AK11327" s="10"/>
      <c r="AL11327" s="10"/>
      <c r="AM11327" s="10"/>
      <c r="AN11327" s="10"/>
      <c r="AO11327" s="10"/>
      <c r="AP11327" s="10"/>
      <c r="AQ11327" s="10"/>
      <c r="AR11327" s="10"/>
      <c r="AS11327" s="10"/>
      <c r="AT11327" s="10"/>
      <c r="AU11327" s="10"/>
      <c r="AV11327" s="10"/>
      <c r="AW11327" s="10"/>
      <c r="AX11327" s="10"/>
      <c r="AY11327" s="10"/>
      <c r="AZ11327" s="10"/>
    </row>
    <row r="11328" spans="31:52">
      <c r="AE11328" s="10"/>
      <c r="AF11328" s="10"/>
      <c r="AG11328" s="10"/>
      <c r="AH11328" s="10"/>
      <c r="AI11328" s="10"/>
      <c r="AJ11328" s="10"/>
      <c r="AK11328" s="10"/>
      <c r="AL11328" s="10"/>
      <c r="AM11328" s="10"/>
      <c r="AN11328" s="10"/>
      <c r="AO11328" s="10"/>
      <c r="AP11328" s="10"/>
      <c r="AQ11328" s="10"/>
      <c r="AR11328" s="10"/>
      <c r="AS11328" s="10"/>
      <c r="AT11328" s="10"/>
      <c r="AU11328" s="10"/>
      <c r="AV11328" s="10"/>
      <c r="AW11328" s="10"/>
      <c r="AX11328" s="10"/>
      <c r="AY11328" s="10"/>
      <c r="AZ11328" s="10"/>
    </row>
    <row r="11329" spans="31:52">
      <c r="AE11329" s="10"/>
      <c r="AF11329" s="10"/>
      <c r="AG11329" s="10"/>
      <c r="AH11329" s="10"/>
      <c r="AI11329" s="10"/>
      <c r="AJ11329" s="10"/>
      <c r="AK11329" s="10"/>
      <c r="AL11329" s="10"/>
      <c r="AM11329" s="10"/>
      <c r="AN11329" s="10"/>
      <c r="AO11329" s="10"/>
      <c r="AP11329" s="10"/>
      <c r="AQ11329" s="10"/>
      <c r="AR11329" s="10"/>
      <c r="AS11329" s="10"/>
      <c r="AT11329" s="10"/>
      <c r="AU11329" s="10"/>
      <c r="AV11329" s="10"/>
      <c r="AW11329" s="10"/>
      <c r="AX11329" s="10"/>
      <c r="AY11329" s="10"/>
      <c r="AZ11329" s="10"/>
    </row>
    <row r="11330" spans="31:52">
      <c r="AE11330" s="10"/>
      <c r="AF11330" s="10"/>
      <c r="AG11330" s="10"/>
      <c r="AH11330" s="10"/>
      <c r="AI11330" s="10"/>
      <c r="AJ11330" s="10"/>
      <c r="AK11330" s="10"/>
      <c r="AL11330" s="10"/>
      <c r="AM11330" s="10"/>
      <c r="AN11330" s="10"/>
      <c r="AO11330" s="10"/>
      <c r="AP11330" s="10"/>
      <c r="AQ11330" s="10"/>
      <c r="AR11330" s="10"/>
      <c r="AS11330" s="10"/>
      <c r="AT11330" s="10"/>
      <c r="AU11330" s="10"/>
      <c r="AV11330" s="10"/>
      <c r="AW11330" s="10"/>
      <c r="AX11330" s="10"/>
      <c r="AY11330" s="10"/>
      <c r="AZ11330" s="10"/>
    </row>
    <row r="11331" spans="31:52">
      <c r="AE11331" s="10"/>
      <c r="AF11331" s="10"/>
      <c r="AG11331" s="10"/>
      <c r="AH11331" s="10"/>
      <c r="AI11331" s="10"/>
      <c r="AJ11331" s="10"/>
      <c r="AK11331" s="10"/>
      <c r="AL11331" s="10"/>
      <c r="AM11331" s="10"/>
      <c r="AN11331" s="10"/>
      <c r="AO11331" s="10"/>
      <c r="AP11331" s="10"/>
      <c r="AQ11331" s="10"/>
      <c r="AR11331" s="10"/>
      <c r="AS11331" s="10"/>
      <c r="AT11331" s="10"/>
      <c r="AU11331" s="10"/>
      <c r="AV11331" s="10"/>
      <c r="AW11331" s="10"/>
      <c r="AX11331" s="10"/>
      <c r="AY11331" s="10"/>
      <c r="AZ11331" s="10"/>
    </row>
    <row r="11332" spans="31:52">
      <c r="AE11332" s="10"/>
      <c r="AF11332" s="10"/>
      <c r="AG11332" s="10"/>
      <c r="AH11332" s="10"/>
      <c r="AI11332" s="10"/>
      <c r="AJ11332" s="10"/>
      <c r="AK11332" s="10"/>
      <c r="AL11332" s="10"/>
      <c r="AM11332" s="10"/>
      <c r="AN11332" s="10"/>
      <c r="AO11332" s="10"/>
      <c r="AP11332" s="10"/>
      <c r="AQ11332" s="10"/>
      <c r="AR11332" s="10"/>
      <c r="AS11332" s="10"/>
      <c r="AT11332" s="10"/>
      <c r="AU11332" s="10"/>
      <c r="AV11332" s="10"/>
      <c r="AW11332" s="10"/>
      <c r="AX11332" s="10"/>
      <c r="AY11332" s="10"/>
      <c r="AZ11332" s="10"/>
    </row>
    <row r="11333" spans="31:52">
      <c r="AE11333" s="10"/>
      <c r="AF11333" s="10"/>
      <c r="AG11333" s="10"/>
      <c r="AH11333" s="10"/>
      <c r="AI11333" s="10"/>
      <c r="AJ11333" s="10"/>
      <c r="AK11333" s="10"/>
      <c r="AL11333" s="10"/>
      <c r="AM11333" s="10"/>
      <c r="AN11333" s="10"/>
      <c r="AO11333" s="10"/>
      <c r="AP11333" s="10"/>
      <c r="AQ11333" s="10"/>
      <c r="AR11333" s="10"/>
      <c r="AS11333" s="10"/>
      <c r="AT11333" s="10"/>
      <c r="AU11333" s="10"/>
      <c r="AV11333" s="10"/>
      <c r="AW11333" s="10"/>
      <c r="AX11333" s="10"/>
      <c r="AY11333" s="10"/>
      <c r="AZ11333" s="10"/>
    </row>
    <row r="11334" spans="31:52">
      <c r="AE11334" s="10"/>
      <c r="AF11334" s="10"/>
      <c r="AG11334" s="10"/>
      <c r="AH11334" s="10"/>
      <c r="AI11334" s="10"/>
      <c r="AJ11334" s="10"/>
      <c r="AK11334" s="10"/>
      <c r="AL11334" s="10"/>
      <c r="AM11334" s="10"/>
      <c r="AN11334" s="10"/>
      <c r="AO11334" s="10"/>
      <c r="AP11334" s="10"/>
      <c r="AQ11334" s="10"/>
      <c r="AR11334" s="10"/>
      <c r="AS11334" s="10"/>
      <c r="AT11334" s="10"/>
      <c r="AU11334" s="10"/>
      <c r="AV11334" s="10"/>
      <c r="AW11334" s="10"/>
      <c r="AX11334" s="10"/>
      <c r="AY11334" s="10"/>
      <c r="AZ11334" s="10"/>
    </row>
    <row r="11335" spans="31:52">
      <c r="AE11335" s="10"/>
      <c r="AF11335" s="10"/>
      <c r="AG11335" s="10"/>
      <c r="AH11335" s="10"/>
      <c r="AI11335" s="10"/>
      <c r="AJ11335" s="10"/>
      <c r="AK11335" s="10"/>
      <c r="AL11335" s="10"/>
      <c r="AM11335" s="10"/>
      <c r="AN11335" s="10"/>
      <c r="AO11335" s="10"/>
      <c r="AP11335" s="10"/>
      <c r="AQ11335" s="10"/>
      <c r="AR11335" s="10"/>
      <c r="AS11335" s="10"/>
      <c r="AT11335" s="10"/>
      <c r="AU11335" s="10"/>
      <c r="AV11335" s="10"/>
      <c r="AW11335" s="10"/>
      <c r="AX11335" s="10"/>
      <c r="AY11335" s="10"/>
      <c r="AZ11335" s="10"/>
    </row>
    <row r="11336" spans="31:52">
      <c r="AE11336" s="10"/>
      <c r="AF11336" s="10"/>
      <c r="AG11336" s="10"/>
      <c r="AH11336" s="10"/>
      <c r="AI11336" s="10"/>
      <c r="AJ11336" s="10"/>
      <c r="AK11336" s="10"/>
      <c r="AL11336" s="10"/>
      <c r="AM11336" s="10"/>
      <c r="AN11336" s="10"/>
      <c r="AO11336" s="10"/>
      <c r="AP11336" s="10"/>
      <c r="AQ11336" s="10"/>
      <c r="AR11336" s="10"/>
      <c r="AS11336" s="10"/>
      <c r="AT11336" s="10"/>
      <c r="AU11336" s="10"/>
      <c r="AV11336" s="10"/>
      <c r="AW11336" s="10"/>
      <c r="AX11336" s="10"/>
      <c r="AY11336" s="10"/>
      <c r="AZ11336" s="10"/>
    </row>
    <row r="11337" spans="31:52">
      <c r="AE11337" s="10"/>
      <c r="AF11337" s="10"/>
      <c r="AG11337" s="10"/>
      <c r="AH11337" s="10"/>
      <c r="AI11337" s="10"/>
      <c r="AJ11337" s="10"/>
      <c r="AK11337" s="10"/>
      <c r="AL11337" s="10"/>
      <c r="AM11337" s="10"/>
      <c r="AN11337" s="10"/>
      <c r="AO11337" s="10"/>
      <c r="AP11337" s="10"/>
      <c r="AQ11337" s="10"/>
      <c r="AR11337" s="10"/>
      <c r="AS11337" s="10"/>
      <c r="AT11337" s="10"/>
      <c r="AU11337" s="10"/>
      <c r="AV11337" s="10"/>
      <c r="AW11337" s="10"/>
      <c r="AX11337" s="10"/>
      <c r="AY11337" s="10"/>
      <c r="AZ11337" s="10"/>
    </row>
    <row r="11338" spans="31:52">
      <c r="AE11338" s="10"/>
      <c r="AF11338" s="10"/>
      <c r="AG11338" s="10"/>
      <c r="AH11338" s="10"/>
      <c r="AI11338" s="10"/>
      <c r="AJ11338" s="10"/>
      <c r="AK11338" s="10"/>
      <c r="AL11338" s="10"/>
      <c r="AM11338" s="10"/>
      <c r="AN11338" s="10"/>
      <c r="AO11338" s="10"/>
      <c r="AP11338" s="10"/>
      <c r="AQ11338" s="10"/>
      <c r="AR11338" s="10"/>
      <c r="AS11338" s="10"/>
      <c r="AT11338" s="10"/>
      <c r="AU11338" s="10"/>
      <c r="AV11338" s="10"/>
      <c r="AW11338" s="10"/>
      <c r="AX11338" s="10"/>
      <c r="AY11338" s="10"/>
      <c r="AZ11338" s="10"/>
    </row>
    <row r="11339" spans="31:52">
      <c r="AE11339" s="10"/>
      <c r="AF11339" s="10"/>
      <c r="AG11339" s="10"/>
      <c r="AH11339" s="10"/>
      <c r="AI11339" s="10"/>
      <c r="AJ11339" s="10"/>
      <c r="AK11339" s="10"/>
      <c r="AL11339" s="10"/>
      <c r="AM11339" s="10"/>
      <c r="AN11339" s="10"/>
      <c r="AO11339" s="10"/>
      <c r="AP11339" s="10"/>
      <c r="AQ11339" s="10"/>
      <c r="AR11339" s="10"/>
      <c r="AS11339" s="10"/>
      <c r="AT11339" s="10"/>
      <c r="AU11339" s="10"/>
      <c r="AV11339" s="10"/>
      <c r="AW11339" s="10"/>
      <c r="AX11339" s="10"/>
      <c r="AY11339" s="10"/>
      <c r="AZ11339" s="10"/>
    </row>
    <row r="11340" spans="31:52">
      <c r="AE11340" s="10"/>
      <c r="AF11340" s="10"/>
      <c r="AG11340" s="10"/>
      <c r="AH11340" s="10"/>
      <c r="AI11340" s="10"/>
      <c r="AJ11340" s="10"/>
      <c r="AK11340" s="10"/>
      <c r="AL11340" s="10"/>
      <c r="AM11340" s="10"/>
      <c r="AN11340" s="10"/>
      <c r="AO11340" s="10"/>
      <c r="AP11340" s="10"/>
      <c r="AQ11340" s="10"/>
      <c r="AR11340" s="10"/>
      <c r="AS11340" s="10"/>
      <c r="AT11340" s="10"/>
      <c r="AU11340" s="10"/>
      <c r="AV11340" s="10"/>
      <c r="AW11340" s="10"/>
      <c r="AX11340" s="10"/>
      <c r="AY11340" s="10"/>
      <c r="AZ11340" s="10"/>
    </row>
    <row r="11341" spans="31:52">
      <c r="AE11341" s="10"/>
      <c r="AF11341" s="10"/>
      <c r="AG11341" s="10"/>
      <c r="AH11341" s="10"/>
      <c r="AI11341" s="10"/>
      <c r="AJ11341" s="10"/>
      <c r="AK11341" s="10"/>
      <c r="AL11341" s="10"/>
      <c r="AM11341" s="10"/>
      <c r="AN11341" s="10"/>
      <c r="AO11341" s="10"/>
      <c r="AP11341" s="10"/>
      <c r="AQ11341" s="10"/>
      <c r="AR11341" s="10"/>
      <c r="AS11341" s="10"/>
      <c r="AT11341" s="10"/>
      <c r="AU11341" s="10"/>
      <c r="AV11341" s="10"/>
      <c r="AW11341" s="10"/>
      <c r="AX11341" s="10"/>
      <c r="AY11341" s="10"/>
      <c r="AZ11341" s="10"/>
    </row>
    <row r="11342" spans="31:52">
      <c r="AE11342" s="10"/>
      <c r="AF11342" s="10"/>
      <c r="AG11342" s="10"/>
      <c r="AH11342" s="10"/>
      <c r="AI11342" s="10"/>
      <c r="AJ11342" s="10"/>
      <c r="AK11342" s="10"/>
      <c r="AL11342" s="10"/>
      <c r="AM11342" s="10"/>
      <c r="AN11342" s="10"/>
      <c r="AO11342" s="10"/>
      <c r="AP11342" s="10"/>
      <c r="AQ11342" s="10"/>
      <c r="AR11342" s="10"/>
      <c r="AS11342" s="10"/>
      <c r="AT11342" s="10"/>
      <c r="AU11342" s="10"/>
      <c r="AV11342" s="10"/>
      <c r="AW11342" s="10"/>
      <c r="AX11342" s="10"/>
      <c r="AY11342" s="10"/>
      <c r="AZ11342" s="10"/>
    </row>
    <row r="11343" spans="31:52">
      <c r="AE11343" s="10"/>
      <c r="AF11343" s="10"/>
      <c r="AG11343" s="10"/>
      <c r="AH11343" s="10"/>
      <c r="AI11343" s="10"/>
      <c r="AJ11343" s="10"/>
      <c r="AK11343" s="10"/>
      <c r="AL11343" s="10"/>
      <c r="AM11343" s="10"/>
      <c r="AN11343" s="10"/>
      <c r="AO11343" s="10"/>
      <c r="AP11343" s="10"/>
      <c r="AQ11343" s="10"/>
      <c r="AR11343" s="10"/>
      <c r="AS11343" s="10"/>
      <c r="AT11343" s="10"/>
      <c r="AU11343" s="10"/>
      <c r="AV11343" s="10"/>
      <c r="AW11343" s="10"/>
      <c r="AX11343" s="10"/>
      <c r="AY11343" s="10"/>
      <c r="AZ11343" s="10"/>
    </row>
    <row r="11344" spans="31:52">
      <c r="AE11344" s="10"/>
      <c r="AF11344" s="10"/>
      <c r="AG11344" s="10"/>
      <c r="AH11344" s="10"/>
      <c r="AI11344" s="10"/>
      <c r="AJ11344" s="10"/>
      <c r="AK11344" s="10"/>
      <c r="AL11344" s="10"/>
      <c r="AM11344" s="10"/>
      <c r="AN11344" s="10"/>
      <c r="AO11344" s="10"/>
      <c r="AP11344" s="10"/>
      <c r="AQ11344" s="10"/>
      <c r="AR11344" s="10"/>
      <c r="AS11344" s="10"/>
      <c r="AT11344" s="10"/>
      <c r="AU11344" s="10"/>
      <c r="AV11344" s="10"/>
      <c r="AW11344" s="10"/>
      <c r="AX11344" s="10"/>
      <c r="AY11344" s="10"/>
      <c r="AZ11344" s="10"/>
    </row>
    <row r="11345" spans="31:52">
      <c r="AE11345" s="10"/>
      <c r="AF11345" s="10"/>
      <c r="AG11345" s="10"/>
      <c r="AH11345" s="10"/>
      <c r="AI11345" s="10"/>
      <c r="AJ11345" s="10"/>
      <c r="AK11345" s="10"/>
      <c r="AL11345" s="10"/>
      <c r="AM11345" s="10"/>
      <c r="AN11345" s="10"/>
      <c r="AO11345" s="10"/>
      <c r="AP11345" s="10"/>
      <c r="AQ11345" s="10"/>
      <c r="AR11345" s="10"/>
      <c r="AS11345" s="10"/>
      <c r="AT11345" s="10"/>
      <c r="AU11345" s="10"/>
      <c r="AV11345" s="10"/>
      <c r="AW11345" s="10"/>
      <c r="AX11345" s="10"/>
      <c r="AY11345" s="10"/>
      <c r="AZ11345" s="10"/>
    </row>
    <row r="11346" spans="31:52">
      <c r="AE11346" s="10"/>
      <c r="AF11346" s="10"/>
      <c r="AG11346" s="10"/>
      <c r="AH11346" s="10"/>
      <c r="AI11346" s="10"/>
      <c r="AJ11346" s="10"/>
      <c r="AK11346" s="10"/>
      <c r="AL11346" s="10"/>
      <c r="AM11346" s="10"/>
      <c r="AN11346" s="10"/>
      <c r="AO11346" s="10"/>
      <c r="AP11346" s="10"/>
      <c r="AQ11346" s="10"/>
      <c r="AR11346" s="10"/>
      <c r="AS11346" s="10"/>
      <c r="AT11346" s="10"/>
      <c r="AU11346" s="10"/>
      <c r="AV11346" s="10"/>
      <c r="AW11346" s="10"/>
      <c r="AX11346" s="10"/>
      <c r="AY11346" s="10"/>
      <c r="AZ11346" s="10"/>
    </row>
    <row r="11347" spans="31:52">
      <c r="AE11347" s="10"/>
      <c r="AF11347" s="10"/>
      <c r="AG11347" s="10"/>
      <c r="AH11347" s="10"/>
      <c r="AI11347" s="10"/>
      <c r="AJ11347" s="10"/>
      <c r="AK11347" s="10"/>
      <c r="AL11347" s="10"/>
      <c r="AM11347" s="10"/>
      <c r="AN11347" s="10"/>
      <c r="AO11347" s="10"/>
      <c r="AP11347" s="10"/>
      <c r="AQ11347" s="10"/>
      <c r="AR11347" s="10"/>
      <c r="AS11347" s="10"/>
      <c r="AT11347" s="10"/>
      <c r="AU11347" s="10"/>
      <c r="AV11347" s="10"/>
      <c r="AW11347" s="10"/>
      <c r="AX11347" s="10"/>
      <c r="AY11347" s="10"/>
      <c r="AZ11347" s="10"/>
    </row>
    <row r="11348" spans="31:52">
      <c r="AE11348" s="10"/>
      <c r="AF11348" s="10"/>
      <c r="AG11348" s="10"/>
      <c r="AH11348" s="10"/>
      <c r="AI11348" s="10"/>
      <c r="AJ11348" s="10"/>
      <c r="AK11348" s="10"/>
      <c r="AL11348" s="10"/>
      <c r="AM11348" s="10"/>
      <c r="AN11348" s="10"/>
      <c r="AO11348" s="10"/>
      <c r="AP11348" s="10"/>
      <c r="AQ11348" s="10"/>
      <c r="AR11348" s="10"/>
      <c r="AS11348" s="10"/>
      <c r="AT11348" s="10"/>
      <c r="AU11348" s="10"/>
      <c r="AV11348" s="10"/>
      <c r="AW11348" s="10"/>
      <c r="AX11348" s="10"/>
      <c r="AY11348" s="10"/>
      <c r="AZ11348" s="10"/>
    </row>
    <row r="11349" spans="31:52">
      <c r="AE11349" s="10"/>
      <c r="AF11349" s="10"/>
      <c r="AG11349" s="10"/>
      <c r="AH11349" s="10"/>
      <c r="AI11349" s="10"/>
      <c r="AJ11349" s="10"/>
      <c r="AK11349" s="10"/>
      <c r="AL11349" s="10"/>
      <c r="AM11349" s="10"/>
      <c r="AN11349" s="10"/>
      <c r="AO11349" s="10"/>
      <c r="AP11349" s="10"/>
      <c r="AQ11349" s="10"/>
      <c r="AR11349" s="10"/>
      <c r="AS11349" s="10"/>
      <c r="AT11349" s="10"/>
      <c r="AU11349" s="10"/>
      <c r="AV11349" s="10"/>
      <c r="AW11349" s="10"/>
      <c r="AX11349" s="10"/>
      <c r="AY11349" s="10"/>
      <c r="AZ11349" s="10"/>
    </row>
    <row r="11350" spans="31:52">
      <c r="AE11350" s="10"/>
      <c r="AF11350" s="10"/>
      <c r="AG11350" s="10"/>
      <c r="AH11350" s="10"/>
      <c r="AI11350" s="10"/>
      <c r="AJ11350" s="10"/>
      <c r="AK11350" s="10"/>
      <c r="AL11350" s="10"/>
      <c r="AM11350" s="10"/>
      <c r="AN11350" s="10"/>
      <c r="AO11350" s="10"/>
      <c r="AP11350" s="10"/>
      <c r="AQ11350" s="10"/>
      <c r="AR11350" s="10"/>
      <c r="AS11350" s="10"/>
      <c r="AT11350" s="10"/>
      <c r="AU11350" s="10"/>
      <c r="AV11350" s="10"/>
      <c r="AW11350" s="10"/>
      <c r="AX11350" s="10"/>
      <c r="AY11350" s="10"/>
      <c r="AZ11350" s="10"/>
    </row>
    <row r="11351" spans="31:52">
      <c r="AE11351" s="10"/>
      <c r="AF11351" s="10"/>
      <c r="AG11351" s="10"/>
      <c r="AH11351" s="10"/>
      <c r="AI11351" s="10"/>
      <c r="AJ11351" s="10"/>
      <c r="AK11351" s="10"/>
      <c r="AL11351" s="10"/>
      <c r="AM11351" s="10"/>
      <c r="AN11351" s="10"/>
      <c r="AO11351" s="10"/>
      <c r="AP11351" s="10"/>
      <c r="AQ11351" s="10"/>
      <c r="AR11351" s="10"/>
      <c r="AS11351" s="10"/>
      <c r="AT11351" s="10"/>
      <c r="AU11351" s="10"/>
      <c r="AV11351" s="10"/>
      <c r="AW11351" s="10"/>
      <c r="AX11351" s="10"/>
      <c r="AY11351" s="10"/>
      <c r="AZ11351" s="10"/>
    </row>
    <row r="11352" spans="31:52">
      <c r="AE11352" s="10"/>
      <c r="AF11352" s="10"/>
      <c r="AG11352" s="10"/>
      <c r="AH11352" s="10"/>
      <c r="AI11352" s="10"/>
      <c r="AJ11352" s="10"/>
      <c r="AK11352" s="10"/>
      <c r="AL11352" s="10"/>
      <c r="AM11352" s="10"/>
      <c r="AN11352" s="10"/>
      <c r="AO11352" s="10"/>
      <c r="AP11352" s="10"/>
      <c r="AQ11352" s="10"/>
      <c r="AR11352" s="10"/>
      <c r="AS11352" s="10"/>
      <c r="AT11352" s="10"/>
      <c r="AU11352" s="10"/>
      <c r="AV11352" s="10"/>
      <c r="AW11352" s="10"/>
      <c r="AX11352" s="10"/>
      <c r="AY11352" s="10"/>
      <c r="AZ11352" s="10"/>
    </row>
    <row r="11353" spans="31:52">
      <c r="AE11353" s="10"/>
      <c r="AF11353" s="10"/>
      <c r="AG11353" s="10"/>
      <c r="AH11353" s="10"/>
      <c r="AI11353" s="10"/>
      <c r="AJ11353" s="10"/>
      <c r="AK11353" s="10"/>
      <c r="AL11353" s="10"/>
      <c r="AM11353" s="10"/>
      <c r="AN11353" s="10"/>
      <c r="AO11353" s="10"/>
      <c r="AP11353" s="10"/>
      <c r="AQ11353" s="10"/>
      <c r="AR11353" s="10"/>
      <c r="AS11353" s="10"/>
      <c r="AT11353" s="10"/>
      <c r="AU11353" s="10"/>
      <c r="AV11353" s="10"/>
      <c r="AW11353" s="10"/>
      <c r="AX11353" s="10"/>
      <c r="AY11353" s="10"/>
      <c r="AZ11353" s="10"/>
    </row>
    <row r="11354" spans="31:52">
      <c r="AE11354" s="10"/>
      <c r="AF11354" s="10"/>
      <c r="AG11354" s="10"/>
      <c r="AH11354" s="10"/>
      <c r="AI11354" s="10"/>
      <c r="AJ11354" s="10"/>
      <c r="AK11354" s="10"/>
      <c r="AL11354" s="10"/>
      <c r="AM11354" s="10"/>
      <c r="AN11354" s="10"/>
      <c r="AO11354" s="10"/>
      <c r="AP11354" s="10"/>
      <c r="AQ11354" s="10"/>
      <c r="AR11354" s="10"/>
      <c r="AS11354" s="10"/>
      <c r="AT11354" s="10"/>
      <c r="AU11354" s="10"/>
      <c r="AV11354" s="10"/>
      <c r="AW11354" s="10"/>
      <c r="AX11354" s="10"/>
      <c r="AY11354" s="10"/>
      <c r="AZ11354" s="10"/>
    </row>
    <row r="11355" spans="31:52">
      <c r="AE11355" s="10"/>
      <c r="AF11355" s="10"/>
      <c r="AG11355" s="10"/>
      <c r="AH11355" s="10"/>
      <c r="AI11355" s="10"/>
      <c r="AJ11355" s="10"/>
      <c r="AK11355" s="10"/>
      <c r="AL11355" s="10"/>
      <c r="AM11355" s="10"/>
      <c r="AN11355" s="10"/>
      <c r="AO11355" s="10"/>
      <c r="AP11355" s="10"/>
      <c r="AQ11355" s="10"/>
      <c r="AR11355" s="10"/>
      <c r="AS11355" s="10"/>
      <c r="AT11355" s="10"/>
      <c r="AU11355" s="10"/>
      <c r="AV11355" s="10"/>
      <c r="AW11355" s="10"/>
      <c r="AX11355" s="10"/>
      <c r="AY11355" s="10"/>
      <c r="AZ11355" s="10"/>
    </row>
    <row r="11356" spans="31:52">
      <c r="AE11356" s="10"/>
      <c r="AF11356" s="10"/>
      <c r="AG11356" s="10"/>
      <c r="AH11356" s="10"/>
      <c r="AI11356" s="10"/>
      <c r="AJ11356" s="10"/>
      <c r="AK11356" s="10"/>
      <c r="AL11356" s="10"/>
      <c r="AM11356" s="10"/>
      <c r="AN11356" s="10"/>
      <c r="AO11356" s="10"/>
      <c r="AP11356" s="10"/>
      <c r="AQ11356" s="10"/>
      <c r="AR11356" s="10"/>
      <c r="AS11356" s="10"/>
      <c r="AT11356" s="10"/>
      <c r="AU11356" s="10"/>
      <c r="AV11356" s="10"/>
      <c r="AW11356" s="10"/>
      <c r="AX11356" s="10"/>
      <c r="AY11356" s="10"/>
      <c r="AZ11356" s="10"/>
    </row>
    <row r="11357" spans="31:52">
      <c r="AE11357" s="10"/>
      <c r="AF11357" s="10"/>
      <c r="AG11357" s="10"/>
      <c r="AH11357" s="10"/>
      <c r="AI11357" s="10"/>
      <c r="AJ11357" s="10"/>
      <c r="AK11357" s="10"/>
      <c r="AL11357" s="10"/>
      <c r="AM11357" s="10"/>
      <c r="AN11357" s="10"/>
      <c r="AO11357" s="10"/>
      <c r="AP11357" s="10"/>
      <c r="AQ11357" s="10"/>
      <c r="AR11357" s="10"/>
      <c r="AS11357" s="10"/>
      <c r="AT11357" s="10"/>
      <c r="AU11357" s="10"/>
      <c r="AV11357" s="10"/>
      <c r="AW11357" s="10"/>
      <c r="AX11357" s="10"/>
      <c r="AY11357" s="10"/>
      <c r="AZ11357" s="10"/>
    </row>
    <row r="11358" spans="31:52">
      <c r="AE11358" s="10"/>
      <c r="AF11358" s="10"/>
      <c r="AG11358" s="10"/>
      <c r="AH11358" s="10"/>
      <c r="AI11358" s="10"/>
      <c r="AJ11358" s="10"/>
      <c r="AK11358" s="10"/>
      <c r="AL11358" s="10"/>
      <c r="AM11358" s="10"/>
      <c r="AN11358" s="10"/>
      <c r="AO11358" s="10"/>
      <c r="AP11358" s="10"/>
      <c r="AQ11358" s="10"/>
      <c r="AR11358" s="10"/>
      <c r="AS11358" s="10"/>
      <c r="AT11358" s="10"/>
      <c r="AU11358" s="10"/>
      <c r="AV11358" s="10"/>
      <c r="AW11358" s="10"/>
      <c r="AX11358" s="10"/>
      <c r="AY11358" s="10"/>
      <c r="AZ11358" s="10"/>
    </row>
    <row r="11359" spans="31:52">
      <c r="AE11359" s="10"/>
      <c r="AF11359" s="10"/>
      <c r="AG11359" s="10"/>
      <c r="AH11359" s="10"/>
      <c r="AI11359" s="10"/>
      <c r="AJ11359" s="10"/>
      <c r="AK11359" s="10"/>
      <c r="AL11359" s="10"/>
      <c r="AM11359" s="10"/>
      <c r="AN11359" s="10"/>
      <c r="AO11359" s="10"/>
      <c r="AP11359" s="10"/>
      <c r="AQ11359" s="10"/>
      <c r="AR11359" s="10"/>
      <c r="AS11359" s="10"/>
      <c r="AT11359" s="10"/>
      <c r="AU11359" s="10"/>
      <c r="AV11359" s="10"/>
      <c r="AW11359" s="10"/>
      <c r="AX11359" s="10"/>
      <c r="AY11359" s="10"/>
      <c r="AZ11359" s="10"/>
    </row>
    <row r="11360" spans="31:52">
      <c r="AE11360" s="10"/>
      <c r="AF11360" s="10"/>
      <c r="AG11360" s="10"/>
      <c r="AH11360" s="10"/>
      <c r="AI11360" s="10"/>
      <c r="AJ11360" s="10"/>
      <c r="AK11360" s="10"/>
      <c r="AL11360" s="10"/>
      <c r="AM11360" s="10"/>
      <c r="AN11360" s="10"/>
      <c r="AO11360" s="10"/>
      <c r="AP11360" s="10"/>
      <c r="AQ11360" s="10"/>
      <c r="AR11360" s="10"/>
      <c r="AS11360" s="10"/>
      <c r="AT11360" s="10"/>
      <c r="AU11360" s="10"/>
      <c r="AV11360" s="10"/>
      <c r="AW11360" s="10"/>
      <c r="AX11360" s="10"/>
      <c r="AY11360" s="10"/>
      <c r="AZ11360" s="10"/>
    </row>
    <row r="11361" spans="31:52">
      <c r="AE11361" s="10"/>
      <c r="AF11361" s="10"/>
      <c r="AG11361" s="10"/>
      <c r="AH11361" s="10"/>
      <c r="AI11361" s="10"/>
      <c r="AJ11361" s="10"/>
      <c r="AK11361" s="10"/>
      <c r="AL11361" s="10"/>
      <c r="AM11361" s="10"/>
      <c r="AN11361" s="10"/>
      <c r="AO11361" s="10"/>
      <c r="AP11361" s="10"/>
      <c r="AQ11361" s="10"/>
      <c r="AR11361" s="10"/>
      <c r="AS11361" s="10"/>
      <c r="AT11361" s="10"/>
      <c r="AU11361" s="10"/>
      <c r="AV11361" s="10"/>
      <c r="AW11361" s="10"/>
      <c r="AX11361" s="10"/>
      <c r="AY11361" s="10"/>
      <c r="AZ11361" s="10"/>
    </row>
    <row r="11362" spans="31:52">
      <c r="AE11362" s="10"/>
      <c r="AF11362" s="10"/>
      <c r="AG11362" s="10"/>
      <c r="AH11362" s="10"/>
      <c r="AI11362" s="10"/>
      <c r="AJ11362" s="10"/>
      <c r="AK11362" s="10"/>
      <c r="AL11362" s="10"/>
      <c r="AM11362" s="10"/>
      <c r="AN11362" s="10"/>
      <c r="AO11362" s="10"/>
      <c r="AP11362" s="10"/>
      <c r="AQ11362" s="10"/>
      <c r="AR11362" s="10"/>
      <c r="AS11362" s="10"/>
      <c r="AT11362" s="10"/>
      <c r="AU11362" s="10"/>
      <c r="AV11362" s="10"/>
      <c r="AW11362" s="10"/>
      <c r="AX11362" s="10"/>
      <c r="AY11362" s="10"/>
      <c r="AZ11362" s="10"/>
    </row>
    <row r="11363" spans="31:52">
      <c r="AE11363" s="10"/>
      <c r="AF11363" s="10"/>
      <c r="AG11363" s="10"/>
      <c r="AH11363" s="10"/>
      <c r="AI11363" s="10"/>
      <c r="AJ11363" s="10"/>
      <c r="AK11363" s="10"/>
      <c r="AL11363" s="10"/>
      <c r="AM11363" s="10"/>
      <c r="AN11363" s="10"/>
      <c r="AO11363" s="10"/>
      <c r="AP11363" s="10"/>
      <c r="AQ11363" s="10"/>
      <c r="AR11363" s="10"/>
      <c r="AS11363" s="10"/>
      <c r="AT11363" s="10"/>
      <c r="AU11363" s="10"/>
      <c r="AV11363" s="10"/>
      <c r="AW11363" s="10"/>
      <c r="AX11363" s="10"/>
      <c r="AY11363" s="10"/>
      <c r="AZ11363" s="10"/>
    </row>
    <row r="11364" spans="31:52">
      <c r="AE11364" s="10"/>
      <c r="AF11364" s="10"/>
      <c r="AG11364" s="10"/>
      <c r="AH11364" s="10"/>
      <c r="AI11364" s="10"/>
      <c r="AJ11364" s="10"/>
      <c r="AK11364" s="10"/>
      <c r="AL11364" s="10"/>
      <c r="AM11364" s="10"/>
      <c r="AN11364" s="10"/>
      <c r="AO11364" s="10"/>
      <c r="AP11364" s="10"/>
      <c r="AQ11364" s="10"/>
      <c r="AR11364" s="10"/>
      <c r="AS11364" s="10"/>
      <c r="AT11364" s="10"/>
      <c r="AU11364" s="10"/>
      <c r="AV11364" s="10"/>
      <c r="AW11364" s="10"/>
      <c r="AX11364" s="10"/>
      <c r="AY11364" s="10"/>
      <c r="AZ11364" s="10"/>
    </row>
    <row r="11365" spans="31:52">
      <c r="AE11365" s="10"/>
      <c r="AF11365" s="10"/>
      <c r="AG11365" s="10"/>
      <c r="AH11365" s="10"/>
      <c r="AI11365" s="10"/>
      <c r="AJ11365" s="10"/>
      <c r="AK11365" s="10"/>
      <c r="AL11365" s="10"/>
      <c r="AM11365" s="10"/>
      <c r="AN11365" s="10"/>
      <c r="AO11365" s="10"/>
      <c r="AP11365" s="10"/>
      <c r="AQ11365" s="10"/>
      <c r="AR11365" s="10"/>
      <c r="AS11365" s="10"/>
      <c r="AT11365" s="10"/>
      <c r="AU11365" s="10"/>
      <c r="AV11365" s="10"/>
      <c r="AW11365" s="10"/>
      <c r="AX11365" s="10"/>
      <c r="AY11365" s="10"/>
      <c r="AZ11365" s="10"/>
    </row>
    <row r="11366" spans="31:52">
      <c r="AE11366" s="10"/>
      <c r="AF11366" s="10"/>
      <c r="AG11366" s="10"/>
      <c r="AH11366" s="10"/>
      <c r="AI11366" s="10"/>
      <c r="AJ11366" s="10"/>
      <c r="AK11366" s="10"/>
      <c r="AL11366" s="10"/>
      <c r="AM11366" s="10"/>
      <c r="AN11366" s="10"/>
      <c r="AO11366" s="10"/>
      <c r="AP11366" s="10"/>
      <c r="AQ11366" s="10"/>
      <c r="AR11366" s="10"/>
      <c r="AS11366" s="10"/>
      <c r="AT11366" s="10"/>
      <c r="AU11366" s="10"/>
      <c r="AV11366" s="10"/>
      <c r="AW11366" s="10"/>
      <c r="AX11366" s="10"/>
      <c r="AY11366" s="10"/>
      <c r="AZ11366" s="10"/>
    </row>
    <row r="11367" spans="31:52">
      <c r="AE11367" s="10"/>
      <c r="AF11367" s="10"/>
      <c r="AG11367" s="10"/>
      <c r="AH11367" s="10"/>
      <c r="AI11367" s="10"/>
      <c r="AJ11367" s="10"/>
      <c r="AK11367" s="10"/>
      <c r="AL11367" s="10"/>
      <c r="AM11367" s="10"/>
      <c r="AN11367" s="10"/>
      <c r="AO11367" s="10"/>
      <c r="AP11367" s="10"/>
      <c r="AQ11367" s="10"/>
      <c r="AR11367" s="10"/>
      <c r="AS11367" s="10"/>
      <c r="AT11367" s="10"/>
      <c r="AU11367" s="10"/>
      <c r="AV11367" s="10"/>
      <c r="AW11367" s="10"/>
      <c r="AX11367" s="10"/>
      <c r="AY11367" s="10"/>
      <c r="AZ11367" s="10"/>
    </row>
    <row r="11368" spans="31:52">
      <c r="AE11368" s="10"/>
      <c r="AF11368" s="10"/>
      <c r="AG11368" s="10"/>
      <c r="AH11368" s="10"/>
      <c r="AI11368" s="10"/>
      <c r="AJ11368" s="10"/>
      <c r="AK11368" s="10"/>
      <c r="AL11368" s="10"/>
      <c r="AM11368" s="10"/>
      <c r="AN11368" s="10"/>
      <c r="AO11368" s="10"/>
      <c r="AP11368" s="10"/>
      <c r="AQ11368" s="10"/>
      <c r="AR11368" s="10"/>
      <c r="AS11368" s="10"/>
      <c r="AT11368" s="10"/>
      <c r="AU11368" s="10"/>
      <c r="AV11368" s="10"/>
      <c r="AW11368" s="10"/>
      <c r="AX11368" s="10"/>
      <c r="AY11368" s="10"/>
      <c r="AZ11368" s="10"/>
    </row>
    <row r="11369" spans="31:52">
      <c r="AE11369" s="10"/>
      <c r="AF11369" s="10"/>
      <c r="AG11369" s="10"/>
      <c r="AH11369" s="10"/>
      <c r="AI11369" s="10"/>
      <c r="AJ11369" s="10"/>
      <c r="AK11369" s="10"/>
      <c r="AL11369" s="10"/>
      <c r="AM11369" s="10"/>
      <c r="AN11369" s="10"/>
      <c r="AO11369" s="10"/>
      <c r="AP11369" s="10"/>
      <c r="AQ11369" s="10"/>
      <c r="AR11369" s="10"/>
      <c r="AS11369" s="10"/>
      <c r="AT11369" s="10"/>
      <c r="AU11369" s="10"/>
      <c r="AV11369" s="10"/>
      <c r="AW11369" s="10"/>
      <c r="AX11369" s="10"/>
      <c r="AY11369" s="10"/>
      <c r="AZ11369" s="10"/>
    </row>
    <row r="11370" spans="31:52">
      <c r="AE11370" s="10"/>
      <c r="AF11370" s="10"/>
      <c r="AG11370" s="10"/>
      <c r="AH11370" s="10"/>
      <c r="AI11370" s="10"/>
      <c r="AJ11370" s="10"/>
      <c r="AK11370" s="10"/>
      <c r="AL11370" s="10"/>
      <c r="AM11370" s="10"/>
      <c r="AN11370" s="10"/>
      <c r="AO11370" s="10"/>
      <c r="AP11370" s="10"/>
      <c r="AQ11370" s="10"/>
      <c r="AR11370" s="10"/>
      <c r="AS11370" s="10"/>
      <c r="AT11370" s="10"/>
      <c r="AU11370" s="10"/>
      <c r="AV11370" s="10"/>
      <c r="AW11370" s="10"/>
      <c r="AX11370" s="10"/>
      <c r="AY11370" s="10"/>
      <c r="AZ11370" s="10"/>
    </row>
    <row r="11371" spans="31:52">
      <c r="AE11371" s="10"/>
      <c r="AF11371" s="10"/>
      <c r="AG11371" s="10"/>
      <c r="AH11371" s="10"/>
      <c r="AI11371" s="10"/>
      <c r="AJ11371" s="10"/>
      <c r="AK11371" s="10"/>
      <c r="AL11371" s="10"/>
      <c r="AM11371" s="10"/>
      <c r="AN11371" s="10"/>
      <c r="AO11371" s="10"/>
      <c r="AP11371" s="10"/>
      <c r="AQ11371" s="10"/>
      <c r="AR11371" s="10"/>
      <c r="AS11371" s="10"/>
      <c r="AT11371" s="10"/>
      <c r="AU11371" s="10"/>
      <c r="AV11371" s="10"/>
      <c r="AW11371" s="10"/>
      <c r="AX11371" s="10"/>
      <c r="AY11371" s="10"/>
      <c r="AZ11371" s="10"/>
    </row>
    <row r="11372" spans="31:52">
      <c r="AE11372" s="10"/>
      <c r="AF11372" s="10"/>
      <c r="AG11372" s="10"/>
      <c r="AH11372" s="10"/>
      <c r="AI11372" s="10"/>
      <c r="AJ11372" s="10"/>
      <c r="AK11372" s="10"/>
      <c r="AL11372" s="10"/>
      <c r="AM11372" s="10"/>
      <c r="AN11372" s="10"/>
      <c r="AO11372" s="10"/>
      <c r="AP11372" s="10"/>
      <c r="AQ11372" s="10"/>
      <c r="AR11372" s="10"/>
      <c r="AS11372" s="10"/>
      <c r="AT11372" s="10"/>
      <c r="AU11372" s="10"/>
      <c r="AV11372" s="10"/>
      <c r="AW11372" s="10"/>
      <c r="AX11372" s="10"/>
      <c r="AY11372" s="10"/>
      <c r="AZ11372" s="10"/>
    </row>
    <row r="11373" spans="31:52">
      <c r="AE11373" s="10"/>
      <c r="AF11373" s="10"/>
      <c r="AG11373" s="10"/>
      <c r="AH11373" s="10"/>
      <c r="AI11373" s="10"/>
      <c r="AJ11373" s="10"/>
      <c r="AK11373" s="10"/>
      <c r="AL11373" s="10"/>
      <c r="AM11373" s="10"/>
      <c r="AN11373" s="10"/>
      <c r="AO11373" s="10"/>
      <c r="AP11373" s="10"/>
      <c r="AQ11373" s="10"/>
      <c r="AR11373" s="10"/>
      <c r="AS11373" s="10"/>
      <c r="AT11373" s="10"/>
      <c r="AU11373" s="10"/>
      <c r="AV11373" s="10"/>
      <c r="AW11373" s="10"/>
      <c r="AX11373" s="10"/>
      <c r="AY11373" s="10"/>
      <c r="AZ11373" s="10"/>
    </row>
    <row r="11374" spans="31:52">
      <c r="AE11374" s="10"/>
      <c r="AF11374" s="10"/>
      <c r="AG11374" s="10"/>
      <c r="AH11374" s="10"/>
      <c r="AI11374" s="10"/>
      <c r="AJ11374" s="10"/>
      <c r="AK11374" s="10"/>
      <c r="AL11374" s="10"/>
      <c r="AM11374" s="10"/>
      <c r="AN11374" s="10"/>
      <c r="AO11374" s="10"/>
      <c r="AP11374" s="10"/>
      <c r="AQ11374" s="10"/>
      <c r="AR11374" s="10"/>
      <c r="AS11374" s="10"/>
      <c r="AT11374" s="10"/>
      <c r="AU11374" s="10"/>
      <c r="AV11374" s="10"/>
      <c r="AW11374" s="10"/>
      <c r="AX11374" s="10"/>
      <c r="AY11374" s="10"/>
      <c r="AZ11374" s="10"/>
    </row>
    <row r="11375" spans="31:52">
      <c r="AE11375" s="10"/>
      <c r="AF11375" s="10"/>
      <c r="AG11375" s="10"/>
      <c r="AH11375" s="10"/>
      <c r="AI11375" s="10"/>
      <c r="AJ11375" s="10"/>
      <c r="AK11375" s="10"/>
      <c r="AL11375" s="10"/>
      <c r="AM11375" s="10"/>
      <c r="AN11375" s="10"/>
      <c r="AO11375" s="10"/>
      <c r="AP11375" s="10"/>
      <c r="AQ11375" s="10"/>
      <c r="AR11375" s="10"/>
      <c r="AS11375" s="10"/>
      <c r="AT11375" s="10"/>
      <c r="AU11375" s="10"/>
      <c r="AV11375" s="10"/>
      <c r="AW11375" s="10"/>
      <c r="AX11375" s="10"/>
      <c r="AY11375" s="10"/>
      <c r="AZ11375" s="10"/>
    </row>
    <row r="11376" spans="31:52">
      <c r="AE11376" s="10"/>
      <c r="AF11376" s="10"/>
      <c r="AG11376" s="10"/>
      <c r="AH11376" s="10"/>
      <c r="AI11376" s="10"/>
      <c r="AJ11376" s="10"/>
      <c r="AK11376" s="10"/>
      <c r="AL11376" s="10"/>
      <c r="AM11376" s="10"/>
      <c r="AN11376" s="10"/>
      <c r="AO11376" s="10"/>
      <c r="AP11376" s="10"/>
      <c r="AQ11376" s="10"/>
      <c r="AR11376" s="10"/>
      <c r="AS11376" s="10"/>
      <c r="AT11376" s="10"/>
      <c r="AU11376" s="10"/>
      <c r="AV11376" s="10"/>
      <c r="AW11376" s="10"/>
      <c r="AX11376" s="10"/>
      <c r="AY11376" s="10"/>
      <c r="AZ11376" s="10"/>
    </row>
    <row r="11377" spans="31:52">
      <c r="AE11377" s="10"/>
      <c r="AF11377" s="10"/>
      <c r="AG11377" s="10"/>
      <c r="AH11377" s="10"/>
      <c r="AI11377" s="10"/>
      <c r="AJ11377" s="10"/>
      <c r="AK11377" s="10"/>
      <c r="AL11377" s="10"/>
      <c r="AM11377" s="10"/>
      <c r="AN11377" s="10"/>
      <c r="AO11377" s="10"/>
      <c r="AP11377" s="10"/>
      <c r="AQ11377" s="10"/>
      <c r="AR11377" s="10"/>
      <c r="AS11377" s="10"/>
      <c r="AT11377" s="10"/>
      <c r="AU11377" s="10"/>
      <c r="AV11377" s="10"/>
      <c r="AW11377" s="10"/>
      <c r="AX11377" s="10"/>
      <c r="AY11377" s="10"/>
      <c r="AZ11377" s="10"/>
    </row>
    <row r="11378" spans="31:52">
      <c r="AE11378" s="10"/>
      <c r="AF11378" s="10"/>
      <c r="AG11378" s="10"/>
      <c r="AH11378" s="10"/>
      <c r="AI11378" s="10"/>
      <c r="AJ11378" s="10"/>
      <c r="AK11378" s="10"/>
      <c r="AL11378" s="10"/>
      <c r="AM11378" s="10"/>
      <c r="AN11378" s="10"/>
      <c r="AO11378" s="10"/>
      <c r="AP11378" s="10"/>
      <c r="AQ11378" s="10"/>
      <c r="AR11378" s="10"/>
      <c r="AS11378" s="10"/>
      <c r="AT11378" s="10"/>
      <c r="AU11378" s="10"/>
      <c r="AV11378" s="10"/>
      <c r="AW11378" s="10"/>
      <c r="AX11378" s="10"/>
      <c r="AY11378" s="10"/>
      <c r="AZ11378" s="10"/>
    </row>
    <row r="11379" spans="31:52">
      <c r="AE11379" s="10"/>
      <c r="AF11379" s="10"/>
      <c r="AG11379" s="10"/>
      <c r="AH11379" s="10"/>
      <c r="AI11379" s="10"/>
      <c r="AJ11379" s="10"/>
      <c r="AK11379" s="10"/>
      <c r="AL11379" s="10"/>
      <c r="AM11379" s="10"/>
      <c r="AN11379" s="10"/>
      <c r="AO11379" s="10"/>
      <c r="AP11379" s="10"/>
      <c r="AQ11379" s="10"/>
      <c r="AR11379" s="10"/>
      <c r="AS11379" s="10"/>
      <c r="AT11379" s="10"/>
      <c r="AU11379" s="10"/>
      <c r="AV11379" s="10"/>
      <c r="AW11379" s="10"/>
      <c r="AX11379" s="10"/>
      <c r="AY11379" s="10"/>
      <c r="AZ11379" s="10"/>
    </row>
    <row r="11380" spans="31:52">
      <c r="AE11380" s="10"/>
      <c r="AF11380" s="10"/>
      <c r="AG11380" s="10"/>
      <c r="AH11380" s="10"/>
      <c r="AI11380" s="10"/>
      <c r="AJ11380" s="10"/>
      <c r="AK11380" s="10"/>
      <c r="AL11380" s="10"/>
      <c r="AM11380" s="10"/>
      <c r="AN11380" s="10"/>
      <c r="AO11380" s="10"/>
      <c r="AP11380" s="10"/>
      <c r="AQ11380" s="10"/>
      <c r="AR11380" s="10"/>
      <c r="AS11380" s="10"/>
      <c r="AT11380" s="10"/>
      <c r="AU11380" s="10"/>
      <c r="AV11380" s="10"/>
      <c r="AW11380" s="10"/>
      <c r="AX11380" s="10"/>
      <c r="AY11380" s="10"/>
      <c r="AZ11380" s="10"/>
    </row>
    <row r="11381" spans="31:52">
      <c r="AE11381" s="10"/>
      <c r="AF11381" s="10"/>
      <c r="AG11381" s="10"/>
      <c r="AH11381" s="10"/>
      <c r="AI11381" s="10"/>
      <c r="AJ11381" s="10"/>
      <c r="AK11381" s="10"/>
      <c r="AL11381" s="10"/>
      <c r="AM11381" s="10"/>
      <c r="AN11381" s="10"/>
      <c r="AO11381" s="10"/>
      <c r="AP11381" s="10"/>
      <c r="AQ11381" s="10"/>
      <c r="AR11381" s="10"/>
      <c r="AS11381" s="10"/>
      <c r="AT11381" s="10"/>
      <c r="AU11381" s="10"/>
      <c r="AV11381" s="10"/>
      <c r="AW11381" s="10"/>
      <c r="AX11381" s="10"/>
      <c r="AY11381" s="10"/>
      <c r="AZ11381" s="10"/>
    </row>
    <row r="11382" spans="31:52">
      <c r="AE11382" s="10"/>
      <c r="AF11382" s="10"/>
      <c r="AG11382" s="10"/>
      <c r="AH11382" s="10"/>
      <c r="AI11382" s="10"/>
      <c r="AJ11382" s="10"/>
      <c r="AK11382" s="10"/>
      <c r="AL11382" s="10"/>
      <c r="AM11382" s="10"/>
      <c r="AN11382" s="10"/>
      <c r="AO11382" s="10"/>
      <c r="AP11382" s="10"/>
      <c r="AQ11382" s="10"/>
      <c r="AR11382" s="10"/>
      <c r="AS11382" s="10"/>
      <c r="AT11382" s="10"/>
      <c r="AU11382" s="10"/>
      <c r="AV11382" s="10"/>
      <c r="AW11382" s="10"/>
      <c r="AX11382" s="10"/>
      <c r="AY11382" s="10"/>
      <c r="AZ11382" s="10"/>
    </row>
    <row r="11383" spans="31:52">
      <c r="AE11383" s="10"/>
      <c r="AF11383" s="10"/>
      <c r="AG11383" s="10"/>
      <c r="AH11383" s="10"/>
      <c r="AI11383" s="10"/>
      <c r="AJ11383" s="10"/>
      <c r="AK11383" s="10"/>
      <c r="AL11383" s="10"/>
      <c r="AM11383" s="10"/>
      <c r="AN11383" s="10"/>
      <c r="AO11383" s="10"/>
      <c r="AP11383" s="10"/>
      <c r="AQ11383" s="10"/>
      <c r="AR11383" s="10"/>
      <c r="AS11383" s="10"/>
      <c r="AT11383" s="10"/>
      <c r="AU11383" s="10"/>
      <c r="AV11383" s="10"/>
      <c r="AW11383" s="10"/>
      <c r="AX11383" s="10"/>
      <c r="AY11383" s="10"/>
      <c r="AZ11383" s="10"/>
    </row>
    <row r="11384" spans="31:52">
      <c r="AE11384" s="10"/>
      <c r="AF11384" s="10"/>
      <c r="AG11384" s="10"/>
      <c r="AH11384" s="10"/>
      <c r="AI11384" s="10"/>
      <c r="AJ11384" s="10"/>
      <c r="AK11384" s="10"/>
      <c r="AL11384" s="10"/>
      <c r="AM11384" s="10"/>
      <c r="AN11384" s="10"/>
      <c r="AO11384" s="10"/>
      <c r="AP11384" s="10"/>
      <c r="AQ11384" s="10"/>
      <c r="AR11384" s="10"/>
      <c r="AS11384" s="10"/>
      <c r="AT11384" s="10"/>
      <c r="AU11384" s="10"/>
      <c r="AV11384" s="10"/>
      <c r="AW11384" s="10"/>
      <c r="AX11384" s="10"/>
      <c r="AY11384" s="10"/>
      <c r="AZ11384" s="10"/>
    </row>
    <row r="11385" spans="31:52">
      <c r="AE11385" s="10"/>
      <c r="AF11385" s="10"/>
      <c r="AG11385" s="10"/>
      <c r="AH11385" s="10"/>
      <c r="AI11385" s="10"/>
      <c r="AJ11385" s="10"/>
      <c r="AK11385" s="10"/>
      <c r="AL11385" s="10"/>
      <c r="AM11385" s="10"/>
      <c r="AN11385" s="10"/>
      <c r="AO11385" s="10"/>
      <c r="AP11385" s="10"/>
      <c r="AQ11385" s="10"/>
      <c r="AR11385" s="10"/>
      <c r="AS11385" s="10"/>
      <c r="AT11385" s="10"/>
      <c r="AU11385" s="10"/>
      <c r="AV11385" s="10"/>
      <c r="AW11385" s="10"/>
      <c r="AX11385" s="10"/>
      <c r="AY11385" s="10"/>
      <c r="AZ11385" s="10"/>
    </row>
    <row r="11386" spans="31:52">
      <c r="AE11386" s="10"/>
      <c r="AF11386" s="10"/>
      <c r="AG11386" s="10"/>
      <c r="AH11386" s="10"/>
      <c r="AI11386" s="10"/>
      <c r="AJ11386" s="10"/>
      <c r="AK11386" s="10"/>
      <c r="AL11386" s="10"/>
      <c r="AM11386" s="10"/>
      <c r="AN11386" s="10"/>
      <c r="AO11386" s="10"/>
      <c r="AP11386" s="10"/>
      <c r="AQ11386" s="10"/>
      <c r="AR11386" s="10"/>
      <c r="AS11386" s="10"/>
      <c r="AT11386" s="10"/>
      <c r="AU11386" s="10"/>
      <c r="AV11386" s="10"/>
      <c r="AW11386" s="10"/>
      <c r="AX11386" s="10"/>
      <c r="AY11386" s="10"/>
      <c r="AZ11386" s="10"/>
    </row>
    <row r="11387" spans="31:52">
      <c r="AE11387" s="10"/>
      <c r="AF11387" s="10"/>
      <c r="AG11387" s="10"/>
      <c r="AH11387" s="10"/>
      <c r="AI11387" s="10"/>
      <c r="AJ11387" s="10"/>
      <c r="AK11387" s="10"/>
      <c r="AL11387" s="10"/>
      <c r="AM11387" s="10"/>
      <c r="AN11387" s="10"/>
      <c r="AO11387" s="10"/>
      <c r="AP11387" s="10"/>
      <c r="AQ11387" s="10"/>
      <c r="AR11387" s="10"/>
      <c r="AS11387" s="10"/>
      <c r="AT11387" s="10"/>
      <c r="AU11387" s="10"/>
      <c r="AV11387" s="10"/>
      <c r="AW11387" s="10"/>
      <c r="AX11387" s="10"/>
      <c r="AY11387" s="10"/>
      <c r="AZ11387" s="10"/>
    </row>
    <row r="11388" spans="31:52">
      <c r="AE11388" s="10"/>
      <c r="AF11388" s="10"/>
      <c r="AG11388" s="10"/>
      <c r="AH11388" s="10"/>
      <c r="AI11388" s="10"/>
      <c r="AJ11388" s="10"/>
      <c r="AK11388" s="10"/>
      <c r="AL11388" s="10"/>
      <c r="AM11388" s="10"/>
      <c r="AN11388" s="10"/>
      <c r="AO11388" s="10"/>
      <c r="AP11388" s="10"/>
      <c r="AQ11388" s="10"/>
      <c r="AR11388" s="10"/>
      <c r="AS11388" s="10"/>
      <c r="AT11388" s="10"/>
      <c r="AU11388" s="10"/>
      <c r="AV11388" s="10"/>
      <c r="AW11388" s="10"/>
      <c r="AX11388" s="10"/>
      <c r="AY11388" s="10"/>
      <c r="AZ11388" s="10"/>
    </row>
    <row r="11389" spans="31:52">
      <c r="AE11389" s="10"/>
      <c r="AF11389" s="10"/>
      <c r="AG11389" s="10"/>
      <c r="AH11389" s="10"/>
      <c r="AI11389" s="10"/>
      <c r="AJ11389" s="10"/>
      <c r="AK11389" s="10"/>
      <c r="AL11389" s="10"/>
      <c r="AM11389" s="10"/>
      <c r="AN11389" s="10"/>
      <c r="AO11389" s="10"/>
      <c r="AP11389" s="10"/>
      <c r="AQ11389" s="10"/>
      <c r="AR11389" s="10"/>
      <c r="AS11389" s="10"/>
      <c r="AT11389" s="10"/>
      <c r="AU11389" s="10"/>
      <c r="AV11389" s="10"/>
      <c r="AW11389" s="10"/>
      <c r="AX11389" s="10"/>
      <c r="AY11389" s="10"/>
      <c r="AZ11389" s="10"/>
    </row>
    <row r="11390" spans="31:52">
      <c r="AE11390" s="10"/>
      <c r="AF11390" s="10"/>
      <c r="AG11390" s="10"/>
      <c r="AH11390" s="10"/>
      <c r="AI11390" s="10"/>
      <c r="AJ11390" s="10"/>
      <c r="AK11390" s="10"/>
      <c r="AL11390" s="10"/>
      <c r="AM11390" s="10"/>
      <c r="AN11390" s="10"/>
      <c r="AO11390" s="10"/>
      <c r="AP11390" s="10"/>
      <c r="AQ11390" s="10"/>
      <c r="AR11390" s="10"/>
      <c r="AS11390" s="10"/>
      <c r="AT11390" s="10"/>
      <c r="AU11390" s="10"/>
      <c r="AV11390" s="10"/>
      <c r="AW11390" s="10"/>
      <c r="AX11390" s="10"/>
      <c r="AY11390" s="10"/>
      <c r="AZ11390" s="10"/>
    </row>
    <row r="11391" spans="31:52">
      <c r="AE11391" s="10"/>
      <c r="AF11391" s="10"/>
      <c r="AG11391" s="10"/>
      <c r="AH11391" s="10"/>
      <c r="AI11391" s="10"/>
      <c r="AJ11391" s="10"/>
      <c r="AK11391" s="10"/>
      <c r="AL11391" s="10"/>
      <c r="AM11391" s="10"/>
      <c r="AN11391" s="10"/>
      <c r="AO11391" s="10"/>
      <c r="AP11391" s="10"/>
      <c r="AQ11391" s="10"/>
      <c r="AR11391" s="10"/>
      <c r="AS11391" s="10"/>
      <c r="AT11391" s="10"/>
      <c r="AU11391" s="10"/>
      <c r="AV11391" s="10"/>
      <c r="AW11391" s="10"/>
      <c r="AX11391" s="10"/>
      <c r="AY11391" s="10"/>
      <c r="AZ11391" s="10"/>
    </row>
    <row r="11392" spans="31:52">
      <c r="AE11392" s="10"/>
      <c r="AF11392" s="10"/>
      <c r="AG11392" s="10"/>
      <c r="AH11392" s="10"/>
      <c r="AI11392" s="10"/>
      <c r="AJ11392" s="10"/>
      <c r="AK11392" s="10"/>
      <c r="AL11392" s="10"/>
      <c r="AM11392" s="10"/>
      <c r="AN11392" s="10"/>
      <c r="AO11392" s="10"/>
      <c r="AP11392" s="10"/>
      <c r="AQ11392" s="10"/>
      <c r="AR11392" s="10"/>
      <c r="AS11392" s="10"/>
      <c r="AT11392" s="10"/>
      <c r="AU11392" s="10"/>
      <c r="AV11392" s="10"/>
      <c r="AW11392" s="10"/>
      <c r="AX11392" s="10"/>
      <c r="AY11392" s="10"/>
      <c r="AZ11392" s="10"/>
    </row>
    <row r="11393" spans="31:52">
      <c r="AE11393" s="10"/>
      <c r="AF11393" s="10"/>
      <c r="AG11393" s="10"/>
      <c r="AH11393" s="10"/>
      <c r="AI11393" s="10"/>
      <c r="AJ11393" s="10"/>
      <c r="AK11393" s="10"/>
      <c r="AL11393" s="10"/>
      <c r="AM11393" s="10"/>
      <c r="AN11393" s="10"/>
      <c r="AO11393" s="10"/>
      <c r="AP11393" s="10"/>
      <c r="AQ11393" s="10"/>
      <c r="AR11393" s="10"/>
      <c r="AS11393" s="10"/>
      <c r="AT11393" s="10"/>
      <c r="AU11393" s="10"/>
      <c r="AV11393" s="10"/>
      <c r="AW11393" s="10"/>
      <c r="AX11393" s="10"/>
      <c r="AY11393" s="10"/>
      <c r="AZ11393" s="10"/>
    </row>
    <row r="11394" spans="31:52">
      <c r="AE11394" s="10"/>
      <c r="AF11394" s="10"/>
      <c r="AG11394" s="10"/>
      <c r="AH11394" s="10"/>
      <c r="AI11394" s="10"/>
      <c r="AJ11394" s="10"/>
      <c r="AK11394" s="10"/>
      <c r="AL11394" s="10"/>
      <c r="AM11394" s="10"/>
      <c r="AN11394" s="10"/>
      <c r="AO11394" s="10"/>
      <c r="AP11394" s="10"/>
      <c r="AQ11394" s="10"/>
      <c r="AR11394" s="10"/>
      <c r="AS11394" s="10"/>
      <c r="AT11394" s="10"/>
      <c r="AU11394" s="10"/>
      <c r="AV11394" s="10"/>
      <c r="AW11394" s="10"/>
      <c r="AX11394" s="10"/>
      <c r="AY11394" s="10"/>
      <c r="AZ11394" s="10"/>
    </row>
    <row r="11395" spans="31:52">
      <c r="AE11395" s="10"/>
      <c r="AF11395" s="10"/>
      <c r="AG11395" s="10"/>
      <c r="AH11395" s="10"/>
      <c r="AI11395" s="10"/>
      <c r="AJ11395" s="10"/>
      <c r="AK11395" s="10"/>
      <c r="AL11395" s="10"/>
      <c r="AM11395" s="10"/>
      <c r="AN11395" s="10"/>
      <c r="AO11395" s="10"/>
      <c r="AP11395" s="10"/>
      <c r="AQ11395" s="10"/>
      <c r="AR11395" s="10"/>
      <c r="AS11395" s="10"/>
      <c r="AT11395" s="10"/>
      <c r="AU11395" s="10"/>
      <c r="AV11395" s="10"/>
      <c r="AW11395" s="10"/>
      <c r="AX11395" s="10"/>
      <c r="AY11395" s="10"/>
      <c r="AZ11395" s="10"/>
    </row>
    <row r="11396" spans="31:52">
      <c r="AE11396" s="10"/>
      <c r="AF11396" s="10"/>
      <c r="AG11396" s="10"/>
      <c r="AH11396" s="10"/>
      <c r="AI11396" s="10"/>
      <c r="AJ11396" s="10"/>
      <c r="AK11396" s="10"/>
      <c r="AL11396" s="10"/>
      <c r="AM11396" s="10"/>
      <c r="AN11396" s="10"/>
      <c r="AO11396" s="10"/>
      <c r="AP11396" s="10"/>
      <c r="AQ11396" s="10"/>
      <c r="AR11396" s="10"/>
      <c r="AS11396" s="10"/>
      <c r="AT11396" s="10"/>
      <c r="AU11396" s="10"/>
      <c r="AV11396" s="10"/>
      <c r="AW11396" s="10"/>
      <c r="AX11396" s="10"/>
      <c r="AY11396" s="10"/>
      <c r="AZ11396" s="10"/>
    </row>
    <row r="11397" spans="31:52">
      <c r="AE11397" s="10"/>
      <c r="AF11397" s="10"/>
      <c r="AG11397" s="10"/>
      <c r="AH11397" s="10"/>
      <c r="AI11397" s="10"/>
      <c r="AJ11397" s="10"/>
      <c r="AK11397" s="10"/>
      <c r="AL11397" s="10"/>
      <c r="AM11397" s="10"/>
      <c r="AN11397" s="10"/>
      <c r="AO11397" s="10"/>
      <c r="AP11397" s="10"/>
      <c r="AQ11397" s="10"/>
      <c r="AR11397" s="10"/>
      <c r="AS11397" s="10"/>
      <c r="AT11397" s="10"/>
      <c r="AU11397" s="10"/>
      <c r="AV11397" s="10"/>
      <c r="AW11397" s="10"/>
      <c r="AX11397" s="10"/>
      <c r="AY11397" s="10"/>
      <c r="AZ11397" s="10"/>
    </row>
    <row r="11398" spans="31:52">
      <c r="AE11398" s="10"/>
      <c r="AF11398" s="10"/>
      <c r="AG11398" s="10"/>
      <c r="AH11398" s="10"/>
      <c r="AI11398" s="10"/>
      <c r="AJ11398" s="10"/>
      <c r="AK11398" s="10"/>
      <c r="AL11398" s="10"/>
      <c r="AM11398" s="10"/>
      <c r="AN11398" s="10"/>
      <c r="AO11398" s="10"/>
      <c r="AP11398" s="10"/>
      <c r="AQ11398" s="10"/>
      <c r="AR11398" s="10"/>
      <c r="AS11398" s="10"/>
      <c r="AT11398" s="10"/>
      <c r="AU11398" s="10"/>
      <c r="AV11398" s="10"/>
      <c r="AW11398" s="10"/>
      <c r="AX11398" s="10"/>
      <c r="AY11398" s="10"/>
      <c r="AZ11398" s="10"/>
    </row>
    <row r="11399" spans="31:52">
      <c r="AE11399" s="10"/>
      <c r="AF11399" s="10"/>
      <c r="AG11399" s="10"/>
      <c r="AH11399" s="10"/>
      <c r="AI11399" s="10"/>
      <c r="AJ11399" s="10"/>
      <c r="AK11399" s="10"/>
      <c r="AL11399" s="10"/>
      <c r="AM11399" s="10"/>
      <c r="AN11399" s="10"/>
      <c r="AO11399" s="10"/>
      <c r="AP11399" s="10"/>
      <c r="AQ11399" s="10"/>
      <c r="AR11399" s="10"/>
      <c r="AS11399" s="10"/>
      <c r="AT11399" s="10"/>
      <c r="AU11399" s="10"/>
      <c r="AV11399" s="10"/>
      <c r="AW11399" s="10"/>
      <c r="AX11399" s="10"/>
      <c r="AY11399" s="10"/>
      <c r="AZ11399" s="10"/>
    </row>
    <row r="11400" spans="31:52">
      <c r="AE11400" s="10"/>
      <c r="AF11400" s="10"/>
      <c r="AG11400" s="10"/>
      <c r="AH11400" s="10"/>
      <c r="AI11400" s="10"/>
      <c r="AJ11400" s="10"/>
      <c r="AK11400" s="10"/>
      <c r="AL11400" s="10"/>
      <c r="AM11400" s="10"/>
      <c r="AN11400" s="10"/>
      <c r="AO11400" s="10"/>
      <c r="AP11400" s="10"/>
      <c r="AQ11400" s="10"/>
      <c r="AR11400" s="10"/>
      <c r="AS11400" s="10"/>
      <c r="AT11400" s="10"/>
      <c r="AU11400" s="10"/>
      <c r="AV11400" s="10"/>
      <c r="AW11400" s="10"/>
      <c r="AX11400" s="10"/>
      <c r="AY11400" s="10"/>
      <c r="AZ11400" s="10"/>
    </row>
    <row r="11401" spans="31:52">
      <c r="AE11401" s="10"/>
      <c r="AF11401" s="10"/>
      <c r="AG11401" s="10"/>
      <c r="AH11401" s="10"/>
      <c r="AI11401" s="10"/>
      <c r="AJ11401" s="10"/>
      <c r="AK11401" s="10"/>
      <c r="AL11401" s="10"/>
      <c r="AM11401" s="10"/>
      <c r="AN11401" s="10"/>
      <c r="AO11401" s="10"/>
      <c r="AP11401" s="10"/>
      <c r="AQ11401" s="10"/>
      <c r="AR11401" s="10"/>
      <c r="AS11401" s="10"/>
      <c r="AT11401" s="10"/>
      <c r="AU11401" s="10"/>
      <c r="AV11401" s="10"/>
      <c r="AW11401" s="10"/>
      <c r="AX11401" s="10"/>
      <c r="AY11401" s="10"/>
      <c r="AZ11401" s="10"/>
    </row>
    <row r="11402" spans="31:52">
      <c r="AE11402" s="10"/>
      <c r="AF11402" s="10"/>
      <c r="AG11402" s="10"/>
      <c r="AH11402" s="10"/>
      <c r="AI11402" s="10"/>
      <c r="AJ11402" s="10"/>
      <c r="AK11402" s="10"/>
      <c r="AL11402" s="10"/>
      <c r="AM11402" s="10"/>
      <c r="AN11402" s="10"/>
      <c r="AO11402" s="10"/>
      <c r="AP11402" s="10"/>
      <c r="AQ11402" s="10"/>
      <c r="AR11402" s="10"/>
      <c r="AS11402" s="10"/>
      <c r="AT11402" s="10"/>
      <c r="AU11402" s="10"/>
      <c r="AV11402" s="10"/>
      <c r="AW11402" s="10"/>
      <c r="AX11402" s="10"/>
      <c r="AY11402" s="10"/>
      <c r="AZ11402" s="10"/>
    </row>
    <row r="11403" spans="31:52">
      <c r="AE11403" s="10"/>
      <c r="AF11403" s="10"/>
      <c r="AG11403" s="10"/>
      <c r="AH11403" s="10"/>
      <c r="AI11403" s="10"/>
      <c r="AJ11403" s="10"/>
      <c r="AK11403" s="10"/>
      <c r="AL11403" s="10"/>
      <c r="AM11403" s="10"/>
      <c r="AN11403" s="10"/>
      <c r="AO11403" s="10"/>
      <c r="AP11403" s="10"/>
      <c r="AQ11403" s="10"/>
      <c r="AR11403" s="10"/>
      <c r="AS11403" s="10"/>
      <c r="AT11403" s="10"/>
      <c r="AU11403" s="10"/>
      <c r="AV11403" s="10"/>
      <c r="AW11403" s="10"/>
      <c r="AX11403" s="10"/>
      <c r="AY11403" s="10"/>
      <c r="AZ11403" s="10"/>
    </row>
    <row r="11404" spans="31:52">
      <c r="AE11404" s="10"/>
      <c r="AF11404" s="10"/>
      <c r="AG11404" s="10"/>
      <c r="AH11404" s="10"/>
      <c r="AI11404" s="10"/>
      <c r="AJ11404" s="10"/>
      <c r="AK11404" s="10"/>
      <c r="AL11404" s="10"/>
      <c r="AM11404" s="10"/>
      <c r="AN11404" s="10"/>
      <c r="AO11404" s="10"/>
      <c r="AP11404" s="10"/>
      <c r="AQ11404" s="10"/>
      <c r="AR11404" s="10"/>
      <c r="AS11404" s="10"/>
      <c r="AT11404" s="10"/>
      <c r="AU11404" s="10"/>
      <c r="AV11404" s="10"/>
      <c r="AW11404" s="10"/>
      <c r="AX11404" s="10"/>
      <c r="AY11404" s="10"/>
      <c r="AZ11404" s="10"/>
    </row>
    <row r="11405" spans="31:52">
      <c r="AE11405" s="10"/>
      <c r="AF11405" s="10"/>
      <c r="AG11405" s="10"/>
      <c r="AH11405" s="10"/>
      <c r="AI11405" s="10"/>
      <c r="AJ11405" s="10"/>
      <c r="AK11405" s="10"/>
      <c r="AL11405" s="10"/>
      <c r="AM11405" s="10"/>
      <c r="AN11405" s="10"/>
      <c r="AO11405" s="10"/>
      <c r="AP11405" s="10"/>
      <c r="AQ11405" s="10"/>
      <c r="AR11405" s="10"/>
      <c r="AS11405" s="10"/>
      <c r="AT11405" s="10"/>
      <c r="AU11405" s="10"/>
      <c r="AV11405" s="10"/>
      <c r="AW11405" s="10"/>
      <c r="AX11405" s="10"/>
      <c r="AY11405" s="10"/>
      <c r="AZ11405" s="10"/>
    </row>
    <row r="11406" spans="31:52">
      <c r="AE11406" s="10"/>
      <c r="AF11406" s="10"/>
      <c r="AG11406" s="10"/>
      <c r="AH11406" s="10"/>
      <c r="AI11406" s="10"/>
      <c r="AJ11406" s="10"/>
      <c r="AK11406" s="10"/>
      <c r="AL11406" s="10"/>
      <c r="AM11406" s="10"/>
      <c r="AN11406" s="10"/>
      <c r="AO11406" s="10"/>
      <c r="AP11406" s="10"/>
      <c r="AQ11406" s="10"/>
      <c r="AR11406" s="10"/>
      <c r="AS11406" s="10"/>
      <c r="AT11406" s="10"/>
      <c r="AU11406" s="10"/>
      <c r="AV11406" s="10"/>
      <c r="AW11406" s="10"/>
      <c r="AX11406" s="10"/>
      <c r="AY11406" s="10"/>
      <c r="AZ11406" s="10"/>
    </row>
    <row r="11407" spans="31:52">
      <c r="AE11407" s="10"/>
      <c r="AF11407" s="10"/>
      <c r="AG11407" s="10"/>
      <c r="AH11407" s="10"/>
      <c r="AI11407" s="10"/>
      <c r="AJ11407" s="10"/>
      <c r="AK11407" s="10"/>
      <c r="AL11407" s="10"/>
      <c r="AM11407" s="10"/>
      <c r="AN11407" s="10"/>
      <c r="AO11407" s="10"/>
      <c r="AP11407" s="10"/>
      <c r="AQ11407" s="10"/>
      <c r="AR11407" s="10"/>
      <c r="AS11407" s="10"/>
      <c r="AT11407" s="10"/>
      <c r="AU11407" s="10"/>
      <c r="AV11407" s="10"/>
      <c r="AW11407" s="10"/>
      <c r="AX11407" s="10"/>
      <c r="AY11407" s="10"/>
      <c r="AZ11407" s="10"/>
    </row>
    <row r="11408" spans="31:52">
      <c r="AE11408" s="10"/>
      <c r="AF11408" s="10"/>
      <c r="AG11408" s="10"/>
      <c r="AH11408" s="10"/>
      <c r="AI11408" s="10"/>
      <c r="AJ11408" s="10"/>
      <c r="AK11408" s="10"/>
      <c r="AL11408" s="10"/>
      <c r="AM11408" s="10"/>
      <c r="AN11408" s="10"/>
      <c r="AO11408" s="10"/>
      <c r="AP11408" s="10"/>
      <c r="AQ11408" s="10"/>
      <c r="AR11408" s="10"/>
      <c r="AS11408" s="10"/>
      <c r="AT11408" s="10"/>
      <c r="AU11408" s="10"/>
      <c r="AV11408" s="10"/>
      <c r="AW11408" s="10"/>
      <c r="AX11408" s="10"/>
      <c r="AY11408" s="10"/>
      <c r="AZ11408" s="10"/>
    </row>
    <row r="11409" spans="31:52">
      <c r="AE11409" s="10"/>
      <c r="AF11409" s="10"/>
      <c r="AG11409" s="10"/>
      <c r="AH11409" s="10"/>
      <c r="AI11409" s="10"/>
      <c r="AJ11409" s="10"/>
      <c r="AK11409" s="10"/>
      <c r="AL11409" s="10"/>
      <c r="AM11409" s="10"/>
      <c r="AN11409" s="10"/>
      <c r="AO11409" s="10"/>
      <c r="AP11409" s="10"/>
      <c r="AQ11409" s="10"/>
      <c r="AR11409" s="10"/>
      <c r="AS11409" s="10"/>
      <c r="AT11409" s="10"/>
      <c r="AU11409" s="10"/>
      <c r="AV11409" s="10"/>
      <c r="AW11409" s="10"/>
      <c r="AX11409" s="10"/>
      <c r="AY11409" s="10"/>
      <c r="AZ11409" s="10"/>
    </row>
    <row r="11410" spans="31:52">
      <c r="AE11410" s="10"/>
      <c r="AF11410" s="10"/>
      <c r="AG11410" s="10"/>
      <c r="AH11410" s="10"/>
      <c r="AI11410" s="10"/>
      <c r="AJ11410" s="10"/>
      <c r="AK11410" s="10"/>
      <c r="AL11410" s="10"/>
      <c r="AM11410" s="10"/>
      <c r="AN11410" s="10"/>
      <c r="AO11410" s="10"/>
      <c r="AP11410" s="10"/>
      <c r="AQ11410" s="10"/>
      <c r="AR11410" s="10"/>
      <c r="AS11410" s="10"/>
      <c r="AT11410" s="10"/>
      <c r="AU11410" s="10"/>
      <c r="AV11410" s="10"/>
      <c r="AW11410" s="10"/>
      <c r="AX11410" s="10"/>
      <c r="AY11410" s="10"/>
      <c r="AZ11410" s="10"/>
    </row>
    <row r="11411" spans="31:52">
      <c r="AE11411" s="10"/>
      <c r="AF11411" s="10"/>
      <c r="AG11411" s="10"/>
      <c r="AH11411" s="10"/>
      <c r="AI11411" s="10"/>
      <c r="AJ11411" s="10"/>
      <c r="AK11411" s="10"/>
      <c r="AL11411" s="10"/>
      <c r="AM11411" s="10"/>
      <c r="AN11411" s="10"/>
      <c r="AO11411" s="10"/>
      <c r="AP11411" s="10"/>
      <c r="AQ11411" s="10"/>
      <c r="AR11411" s="10"/>
      <c r="AS11411" s="10"/>
      <c r="AT11411" s="10"/>
      <c r="AU11411" s="10"/>
      <c r="AV11411" s="10"/>
      <c r="AW11411" s="10"/>
      <c r="AX11411" s="10"/>
      <c r="AY11411" s="10"/>
      <c r="AZ11411" s="10"/>
    </row>
    <row r="11412" spans="31:52">
      <c r="AE11412" s="10"/>
      <c r="AF11412" s="10"/>
      <c r="AG11412" s="10"/>
      <c r="AH11412" s="10"/>
      <c r="AI11412" s="10"/>
      <c r="AJ11412" s="10"/>
      <c r="AK11412" s="10"/>
      <c r="AL11412" s="10"/>
      <c r="AM11412" s="10"/>
      <c r="AN11412" s="10"/>
      <c r="AO11412" s="10"/>
      <c r="AP11412" s="10"/>
      <c r="AQ11412" s="10"/>
      <c r="AR11412" s="10"/>
      <c r="AS11412" s="10"/>
      <c r="AT11412" s="10"/>
      <c r="AU11412" s="10"/>
      <c r="AV11412" s="10"/>
      <c r="AW11412" s="10"/>
      <c r="AX11412" s="10"/>
      <c r="AY11412" s="10"/>
      <c r="AZ11412" s="10"/>
    </row>
    <row r="11413" spans="31:52">
      <c r="AE11413" s="10"/>
      <c r="AF11413" s="10"/>
      <c r="AG11413" s="10"/>
      <c r="AH11413" s="10"/>
      <c r="AI11413" s="10"/>
      <c r="AJ11413" s="10"/>
      <c r="AK11413" s="10"/>
      <c r="AL11413" s="10"/>
      <c r="AM11413" s="10"/>
      <c r="AN11413" s="10"/>
      <c r="AO11413" s="10"/>
      <c r="AP11413" s="10"/>
      <c r="AQ11413" s="10"/>
      <c r="AR11413" s="10"/>
      <c r="AS11413" s="10"/>
      <c r="AT11413" s="10"/>
      <c r="AU11413" s="10"/>
      <c r="AV11413" s="10"/>
      <c r="AW11413" s="10"/>
      <c r="AX11413" s="10"/>
      <c r="AY11413" s="10"/>
      <c r="AZ11413" s="10"/>
    </row>
    <row r="11414" spans="31:52">
      <c r="AE11414" s="10"/>
      <c r="AF11414" s="10"/>
      <c r="AG11414" s="10"/>
      <c r="AH11414" s="10"/>
      <c r="AI11414" s="10"/>
      <c r="AJ11414" s="10"/>
      <c r="AK11414" s="10"/>
      <c r="AL11414" s="10"/>
      <c r="AM11414" s="10"/>
      <c r="AN11414" s="10"/>
      <c r="AO11414" s="10"/>
      <c r="AP11414" s="10"/>
      <c r="AQ11414" s="10"/>
      <c r="AR11414" s="10"/>
      <c r="AS11414" s="10"/>
      <c r="AT11414" s="10"/>
      <c r="AU11414" s="10"/>
      <c r="AV11414" s="10"/>
      <c r="AW11414" s="10"/>
      <c r="AX11414" s="10"/>
      <c r="AY11414" s="10"/>
      <c r="AZ11414" s="10"/>
    </row>
    <row r="11415" spans="31:52">
      <c r="AE11415" s="10"/>
      <c r="AF11415" s="10"/>
      <c r="AG11415" s="10"/>
      <c r="AH11415" s="10"/>
      <c r="AI11415" s="10"/>
      <c r="AJ11415" s="10"/>
      <c r="AK11415" s="10"/>
      <c r="AL11415" s="10"/>
      <c r="AM11415" s="10"/>
      <c r="AN11415" s="10"/>
      <c r="AO11415" s="10"/>
      <c r="AP11415" s="10"/>
      <c r="AQ11415" s="10"/>
      <c r="AR11415" s="10"/>
      <c r="AS11415" s="10"/>
      <c r="AT11415" s="10"/>
      <c r="AU11415" s="10"/>
      <c r="AV11415" s="10"/>
      <c r="AW11415" s="10"/>
      <c r="AX11415" s="10"/>
      <c r="AY11415" s="10"/>
      <c r="AZ11415" s="10"/>
    </row>
    <row r="11416" spans="31:52">
      <c r="AE11416" s="10"/>
      <c r="AF11416" s="10"/>
      <c r="AG11416" s="10"/>
      <c r="AH11416" s="10"/>
      <c r="AI11416" s="10"/>
      <c r="AJ11416" s="10"/>
      <c r="AK11416" s="10"/>
      <c r="AL11416" s="10"/>
      <c r="AM11416" s="10"/>
      <c r="AN11416" s="10"/>
      <c r="AO11416" s="10"/>
      <c r="AP11416" s="10"/>
      <c r="AQ11416" s="10"/>
      <c r="AR11416" s="10"/>
      <c r="AS11416" s="10"/>
      <c r="AT11416" s="10"/>
      <c r="AU11416" s="10"/>
      <c r="AV11416" s="10"/>
      <c r="AW11416" s="10"/>
      <c r="AX11416" s="10"/>
      <c r="AY11416" s="10"/>
      <c r="AZ11416" s="10"/>
    </row>
    <row r="11417" spans="31:52">
      <c r="AE11417" s="10"/>
      <c r="AF11417" s="10"/>
      <c r="AG11417" s="10"/>
      <c r="AH11417" s="10"/>
      <c r="AI11417" s="10"/>
      <c r="AJ11417" s="10"/>
      <c r="AK11417" s="10"/>
      <c r="AL11417" s="10"/>
      <c r="AM11417" s="10"/>
      <c r="AN11417" s="10"/>
      <c r="AO11417" s="10"/>
      <c r="AP11417" s="10"/>
      <c r="AQ11417" s="10"/>
      <c r="AR11417" s="10"/>
      <c r="AS11417" s="10"/>
      <c r="AT11417" s="10"/>
      <c r="AU11417" s="10"/>
      <c r="AV11417" s="10"/>
      <c r="AW11417" s="10"/>
      <c r="AX11417" s="10"/>
      <c r="AY11417" s="10"/>
      <c r="AZ11417" s="10"/>
    </row>
    <row r="11418" spans="31:52">
      <c r="AE11418" s="10"/>
      <c r="AF11418" s="10"/>
      <c r="AG11418" s="10"/>
      <c r="AH11418" s="10"/>
      <c r="AI11418" s="10"/>
      <c r="AJ11418" s="10"/>
      <c r="AK11418" s="10"/>
      <c r="AL11418" s="10"/>
      <c r="AM11418" s="10"/>
      <c r="AN11418" s="10"/>
      <c r="AO11418" s="10"/>
      <c r="AP11418" s="10"/>
      <c r="AQ11418" s="10"/>
      <c r="AR11418" s="10"/>
      <c r="AS11418" s="10"/>
      <c r="AT11418" s="10"/>
      <c r="AU11418" s="10"/>
      <c r="AV11418" s="10"/>
      <c r="AW11418" s="10"/>
      <c r="AX11418" s="10"/>
      <c r="AY11418" s="10"/>
      <c r="AZ11418" s="10"/>
    </row>
    <row r="11419" spans="31:52">
      <c r="AE11419" s="10"/>
      <c r="AF11419" s="10"/>
      <c r="AG11419" s="10"/>
      <c r="AH11419" s="10"/>
      <c r="AI11419" s="10"/>
      <c r="AJ11419" s="10"/>
      <c r="AK11419" s="10"/>
      <c r="AL11419" s="10"/>
      <c r="AM11419" s="10"/>
      <c r="AN11419" s="10"/>
      <c r="AO11419" s="10"/>
      <c r="AP11419" s="10"/>
      <c r="AQ11419" s="10"/>
      <c r="AR11419" s="10"/>
      <c r="AS11419" s="10"/>
      <c r="AT11419" s="10"/>
      <c r="AU11419" s="10"/>
      <c r="AV11419" s="10"/>
      <c r="AW11419" s="10"/>
      <c r="AX11419" s="10"/>
      <c r="AY11419" s="10"/>
      <c r="AZ11419" s="10"/>
    </row>
    <row r="11420" spans="31:52">
      <c r="AE11420" s="10"/>
      <c r="AF11420" s="10"/>
      <c r="AG11420" s="10"/>
      <c r="AH11420" s="10"/>
      <c r="AI11420" s="10"/>
      <c r="AJ11420" s="10"/>
      <c r="AK11420" s="10"/>
      <c r="AL11420" s="10"/>
      <c r="AM11420" s="10"/>
      <c r="AN11420" s="10"/>
      <c r="AO11420" s="10"/>
      <c r="AP11420" s="10"/>
      <c r="AQ11420" s="10"/>
      <c r="AR11420" s="10"/>
      <c r="AS11420" s="10"/>
      <c r="AT11420" s="10"/>
      <c r="AU11420" s="10"/>
      <c r="AV11420" s="10"/>
      <c r="AW11420" s="10"/>
      <c r="AX11420" s="10"/>
      <c r="AY11420" s="10"/>
      <c r="AZ11420" s="10"/>
    </row>
    <row r="11421" spans="31:52">
      <c r="AE11421" s="10"/>
      <c r="AF11421" s="10"/>
      <c r="AG11421" s="10"/>
      <c r="AH11421" s="10"/>
      <c r="AI11421" s="10"/>
      <c r="AJ11421" s="10"/>
      <c r="AK11421" s="10"/>
      <c r="AL11421" s="10"/>
      <c r="AM11421" s="10"/>
      <c r="AN11421" s="10"/>
      <c r="AO11421" s="10"/>
      <c r="AP11421" s="10"/>
      <c r="AQ11421" s="10"/>
      <c r="AR11421" s="10"/>
      <c r="AS11421" s="10"/>
      <c r="AT11421" s="10"/>
      <c r="AU11421" s="10"/>
      <c r="AV11421" s="10"/>
      <c r="AW11421" s="10"/>
      <c r="AX11421" s="10"/>
      <c r="AY11421" s="10"/>
      <c r="AZ11421" s="10"/>
    </row>
    <row r="11422" spans="31:52">
      <c r="AE11422" s="10"/>
      <c r="AF11422" s="10"/>
      <c r="AG11422" s="10"/>
      <c r="AH11422" s="10"/>
      <c r="AI11422" s="10"/>
      <c r="AJ11422" s="10"/>
      <c r="AK11422" s="10"/>
      <c r="AL11422" s="10"/>
      <c r="AM11422" s="10"/>
      <c r="AN11422" s="10"/>
      <c r="AO11422" s="10"/>
      <c r="AP11422" s="10"/>
      <c r="AQ11422" s="10"/>
      <c r="AR11422" s="10"/>
      <c r="AS11422" s="10"/>
      <c r="AT11422" s="10"/>
      <c r="AU11422" s="10"/>
      <c r="AV11422" s="10"/>
      <c r="AW11422" s="10"/>
      <c r="AX11422" s="10"/>
      <c r="AY11422" s="10"/>
      <c r="AZ11422" s="10"/>
    </row>
    <row r="11423" spans="31:52">
      <c r="AE11423" s="10"/>
      <c r="AF11423" s="10"/>
      <c r="AG11423" s="10"/>
      <c r="AH11423" s="10"/>
      <c r="AI11423" s="10"/>
      <c r="AJ11423" s="10"/>
      <c r="AK11423" s="10"/>
      <c r="AL11423" s="10"/>
      <c r="AM11423" s="10"/>
      <c r="AN11423" s="10"/>
      <c r="AO11423" s="10"/>
      <c r="AP11423" s="10"/>
      <c r="AQ11423" s="10"/>
      <c r="AR11423" s="10"/>
      <c r="AS11423" s="10"/>
      <c r="AT11423" s="10"/>
      <c r="AU11423" s="10"/>
      <c r="AV11423" s="10"/>
      <c r="AW11423" s="10"/>
      <c r="AX11423" s="10"/>
      <c r="AY11423" s="10"/>
      <c r="AZ11423" s="10"/>
    </row>
    <row r="11424" spans="31:52">
      <c r="AE11424" s="10"/>
      <c r="AF11424" s="10"/>
      <c r="AG11424" s="10"/>
      <c r="AH11424" s="10"/>
      <c r="AI11424" s="10"/>
      <c r="AJ11424" s="10"/>
      <c r="AK11424" s="10"/>
      <c r="AL11424" s="10"/>
      <c r="AM11424" s="10"/>
      <c r="AN11424" s="10"/>
      <c r="AO11424" s="10"/>
      <c r="AP11424" s="10"/>
      <c r="AQ11424" s="10"/>
      <c r="AR11424" s="10"/>
      <c r="AS11424" s="10"/>
      <c r="AT11424" s="10"/>
      <c r="AU11424" s="10"/>
      <c r="AV11424" s="10"/>
      <c r="AW11424" s="10"/>
      <c r="AX11424" s="10"/>
      <c r="AY11424" s="10"/>
      <c r="AZ11424" s="10"/>
    </row>
    <row r="11425" spans="31:52">
      <c r="AE11425" s="10"/>
      <c r="AF11425" s="10"/>
      <c r="AG11425" s="10"/>
      <c r="AH11425" s="10"/>
      <c r="AI11425" s="10"/>
      <c r="AJ11425" s="10"/>
      <c r="AK11425" s="10"/>
      <c r="AL11425" s="10"/>
      <c r="AM11425" s="10"/>
      <c r="AN11425" s="10"/>
      <c r="AO11425" s="10"/>
      <c r="AP11425" s="10"/>
      <c r="AQ11425" s="10"/>
      <c r="AR11425" s="10"/>
      <c r="AS11425" s="10"/>
      <c r="AT11425" s="10"/>
      <c r="AU11425" s="10"/>
      <c r="AV11425" s="10"/>
      <c r="AW11425" s="10"/>
      <c r="AX11425" s="10"/>
      <c r="AY11425" s="10"/>
      <c r="AZ11425" s="10"/>
    </row>
    <row r="11426" spans="31:52">
      <c r="AE11426" s="10"/>
      <c r="AF11426" s="10"/>
      <c r="AG11426" s="10"/>
      <c r="AH11426" s="10"/>
      <c r="AI11426" s="10"/>
      <c r="AJ11426" s="10"/>
      <c r="AK11426" s="10"/>
      <c r="AL11426" s="10"/>
      <c r="AM11426" s="10"/>
      <c r="AN11426" s="10"/>
      <c r="AO11426" s="10"/>
      <c r="AP11426" s="10"/>
      <c r="AQ11426" s="10"/>
      <c r="AR11426" s="10"/>
      <c r="AS11426" s="10"/>
      <c r="AT11426" s="10"/>
      <c r="AU11426" s="10"/>
      <c r="AV11426" s="10"/>
      <c r="AW11426" s="10"/>
      <c r="AX11426" s="10"/>
      <c r="AY11426" s="10"/>
      <c r="AZ11426" s="10"/>
    </row>
    <row r="11427" spans="31:52">
      <c r="AE11427" s="10"/>
      <c r="AF11427" s="10"/>
      <c r="AG11427" s="10"/>
      <c r="AH11427" s="10"/>
      <c r="AI11427" s="10"/>
      <c r="AJ11427" s="10"/>
      <c r="AK11427" s="10"/>
      <c r="AL11427" s="10"/>
      <c r="AM11427" s="10"/>
      <c r="AN11427" s="10"/>
      <c r="AO11427" s="10"/>
      <c r="AP11427" s="10"/>
      <c r="AQ11427" s="10"/>
      <c r="AR11427" s="10"/>
      <c r="AS11427" s="10"/>
      <c r="AT11427" s="10"/>
      <c r="AU11427" s="10"/>
      <c r="AV11427" s="10"/>
      <c r="AW11427" s="10"/>
      <c r="AX11427" s="10"/>
      <c r="AY11427" s="10"/>
      <c r="AZ11427" s="10"/>
    </row>
    <row r="11428" spans="31:52">
      <c r="AE11428" s="10"/>
      <c r="AF11428" s="10"/>
      <c r="AG11428" s="10"/>
      <c r="AH11428" s="10"/>
      <c r="AI11428" s="10"/>
      <c r="AJ11428" s="10"/>
      <c r="AK11428" s="10"/>
      <c r="AL11428" s="10"/>
      <c r="AM11428" s="10"/>
      <c r="AN11428" s="10"/>
      <c r="AO11428" s="10"/>
      <c r="AP11428" s="10"/>
      <c r="AQ11428" s="10"/>
      <c r="AR11428" s="10"/>
      <c r="AS11428" s="10"/>
      <c r="AT11428" s="10"/>
      <c r="AU11428" s="10"/>
      <c r="AV11428" s="10"/>
      <c r="AW11428" s="10"/>
      <c r="AX11428" s="10"/>
      <c r="AY11428" s="10"/>
      <c r="AZ11428" s="10"/>
    </row>
    <row r="11429" spans="31:52">
      <c r="AE11429" s="10"/>
      <c r="AF11429" s="10"/>
      <c r="AG11429" s="10"/>
      <c r="AH11429" s="10"/>
      <c r="AI11429" s="10"/>
      <c r="AJ11429" s="10"/>
      <c r="AK11429" s="10"/>
      <c r="AL11429" s="10"/>
      <c r="AM11429" s="10"/>
      <c r="AN11429" s="10"/>
      <c r="AO11429" s="10"/>
      <c r="AP11429" s="10"/>
      <c r="AQ11429" s="10"/>
      <c r="AR11429" s="10"/>
      <c r="AS11429" s="10"/>
      <c r="AT11429" s="10"/>
      <c r="AU11429" s="10"/>
      <c r="AV11429" s="10"/>
      <c r="AW11429" s="10"/>
      <c r="AX11429" s="10"/>
      <c r="AY11429" s="10"/>
      <c r="AZ11429" s="10"/>
    </row>
    <row r="11430" spans="31:52">
      <c r="AE11430" s="10"/>
      <c r="AF11430" s="10"/>
      <c r="AG11430" s="10"/>
      <c r="AH11430" s="10"/>
      <c r="AI11430" s="10"/>
      <c r="AJ11430" s="10"/>
      <c r="AK11430" s="10"/>
      <c r="AL11430" s="10"/>
      <c r="AM11430" s="10"/>
      <c r="AN11430" s="10"/>
      <c r="AO11430" s="10"/>
      <c r="AP11430" s="10"/>
      <c r="AQ11430" s="10"/>
      <c r="AR11430" s="10"/>
      <c r="AS11430" s="10"/>
      <c r="AT11430" s="10"/>
      <c r="AU11430" s="10"/>
      <c r="AV11430" s="10"/>
      <c r="AW11430" s="10"/>
      <c r="AX11430" s="10"/>
      <c r="AY11430" s="10"/>
      <c r="AZ11430" s="10"/>
    </row>
    <row r="11431" spans="31:52">
      <c r="AE11431" s="10"/>
      <c r="AF11431" s="10"/>
      <c r="AG11431" s="10"/>
      <c r="AH11431" s="10"/>
      <c r="AI11431" s="10"/>
      <c r="AJ11431" s="10"/>
      <c r="AK11431" s="10"/>
      <c r="AL11431" s="10"/>
      <c r="AM11431" s="10"/>
      <c r="AN11431" s="10"/>
      <c r="AO11431" s="10"/>
      <c r="AP11431" s="10"/>
      <c r="AQ11431" s="10"/>
      <c r="AR11431" s="10"/>
      <c r="AS11431" s="10"/>
      <c r="AT11431" s="10"/>
      <c r="AU11431" s="10"/>
      <c r="AV11431" s="10"/>
      <c r="AW11431" s="10"/>
      <c r="AX11431" s="10"/>
      <c r="AY11431" s="10"/>
      <c r="AZ11431" s="10"/>
    </row>
    <row r="11432" spans="31:52">
      <c r="AE11432" s="10"/>
      <c r="AF11432" s="10"/>
      <c r="AG11432" s="10"/>
      <c r="AH11432" s="10"/>
      <c r="AI11432" s="10"/>
      <c r="AJ11432" s="10"/>
      <c r="AK11432" s="10"/>
      <c r="AL11432" s="10"/>
      <c r="AM11432" s="10"/>
      <c r="AN11432" s="10"/>
      <c r="AO11432" s="10"/>
      <c r="AP11432" s="10"/>
      <c r="AQ11432" s="10"/>
      <c r="AR11432" s="10"/>
      <c r="AS11432" s="10"/>
      <c r="AT11432" s="10"/>
      <c r="AU11432" s="10"/>
      <c r="AV11432" s="10"/>
      <c r="AW11432" s="10"/>
      <c r="AX11432" s="10"/>
      <c r="AY11432" s="10"/>
      <c r="AZ11432" s="10"/>
    </row>
    <row r="11433" spans="31:52">
      <c r="AE11433" s="10"/>
      <c r="AF11433" s="10"/>
      <c r="AG11433" s="10"/>
      <c r="AH11433" s="10"/>
      <c r="AI11433" s="10"/>
      <c r="AJ11433" s="10"/>
      <c r="AK11433" s="10"/>
      <c r="AL11433" s="10"/>
      <c r="AM11433" s="10"/>
      <c r="AN11433" s="10"/>
      <c r="AO11433" s="10"/>
      <c r="AP11433" s="10"/>
      <c r="AQ11433" s="10"/>
      <c r="AR11433" s="10"/>
      <c r="AS11433" s="10"/>
      <c r="AT11433" s="10"/>
      <c r="AU11433" s="10"/>
      <c r="AV11433" s="10"/>
      <c r="AW11433" s="10"/>
      <c r="AX11433" s="10"/>
      <c r="AY11433" s="10"/>
      <c r="AZ11433" s="10"/>
    </row>
    <row r="11434" spans="31:52">
      <c r="AE11434" s="10"/>
      <c r="AF11434" s="10"/>
      <c r="AG11434" s="10"/>
      <c r="AH11434" s="10"/>
      <c r="AI11434" s="10"/>
      <c r="AJ11434" s="10"/>
      <c r="AK11434" s="10"/>
      <c r="AL11434" s="10"/>
      <c r="AM11434" s="10"/>
      <c r="AN11434" s="10"/>
      <c r="AO11434" s="10"/>
      <c r="AP11434" s="10"/>
      <c r="AQ11434" s="10"/>
      <c r="AR11434" s="10"/>
      <c r="AS11434" s="10"/>
      <c r="AT11434" s="10"/>
      <c r="AU11434" s="10"/>
      <c r="AV11434" s="10"/>
      <c r="AW11434" s="10"/>
      <c r="AX11434" s="10"/>
      <c r="AY11434" s="10"/>
      <c r="AZ11434" s="10"/>
    </row>
    <row r="11435" spans="31:52">
      <c r="AE11435" s="10"/>
      <c r="AF11435" s="10"/>
      <c r="AG11435" s="10"/>
      <c r="AH11435" s="10"/>
      <c r="AI11435" s="10"/>
      <c r="AJ11435" s="10"/>
      <c r="AK11435" s="10"/>
      <c r="AL11435" s="10"/>
      <c r="AM11435" s="10"/>
      <c r="AN11435" s="10"/>
      <c r="AO11435" s="10"/>
      <c r="AP11435" s="10"/>
      <c r="AQ11435" s="10"/>
      <c r="AR11435" s="10"/>
      <c r="AS11435" s="10"/>
      <c r="AT11435" s="10"/>
      <c r="AU11435" s="10"/>
      <c r="AV11435" s="10"/>
      <c r="AW11435" s="10"/>
      <c r="AX11435" s="10"/>
      <c r="AY11435" s="10"/>
      <c r="AZ11435" s="10"/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無限使用</dc:creator>
  <cp:lastModifiedBy>user</cp:lastModifiedBy>
  <dcterms:created xsi:type="dcterms:W3CDTF">2009-06-26T15:14:33Z</dcterms:created>
  <dcterms:modified xsi:type="dcterms:W3CDTF">2017-09-29T14:22:35Z</dcterms:modified>
</cp:coreProperties>
</file>