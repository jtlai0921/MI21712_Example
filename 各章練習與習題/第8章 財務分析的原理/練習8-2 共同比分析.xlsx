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各章練習與習題\第8章 財務分析的原理\"/>
    </mc:Choice>
  </mc:AlternateContent>
  <bookViews>
    <workbookView xWindow="0" yWindow="0" windowWidth="17460" windowHeight="7248"/>
  </bookViews>
  <sheets>
    <sheet name="共同比分析" sheetId="6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6" l="1"/>
  <c r="C15" i="6" s="1"/>
  <c r="J7" i="6"/>
  <c r="J10" i="6" s="1"/>
  <c r="J5" i="6"/>
  <c r="F13" i="6"/>
  <c r="F7" i="6"/>
  <c r="F15" i="6" s="1"/>
  <c r="K4" i="6" l="1"/>
  <c r="K5" i="6"/>
  <c r="K6" i="6"/>
  <c r="K7" i="6"/>
  <c r="K8" i="6"/>
  <c r="K9" i="6"/>
  <c r="K10" i="6"/>
  <c r="K11" i="6"/>
  <c r="K12" i="6"/>
  <c r="K3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D4" i="6"/>
  <c r="D5" i="6"/>
  <c r="D6" i="6"/>
  <c r="D7" i="6"/>
  <c r="D8" i="6"/>
  <c r="D9" i="6"/>
  <c r="D10" i="6"/>
  <c r="D11" i="6"/>
  <c r="D12" i="6"/>
  <c r="D13" i="6"/>
  <c r="D14" i="6"/>
  <c r="D15" i="6"/>
  <c r="D3" i="6"/>
</calcChain>
</file>

<file path=xl/sharedStrings.xml><?xml version="1.0" encoding="utf-8"?>
<sst xmlns="http://schemas.openxmlformats.org/spreadsheetml/2006/main" count="42" uniqueCount="38">
  <si>
    <t>會計科目</t>
  </si>
  <si>
    <t>金額</t>
  </si>
  <si>
    <t>負債總計</t>
  </si>
  <si>
    <t>股東權益總計</t>
  </si>
  <si>
    <t>資產總計</t>
  </si>
  <si>
    <t>營業收入淨額</t>
  </si>
  <si>
    <t>營業成本</t>
  </si>
  <si>
    <t>營業毛利</t>
  </si>
  <si>
    <t>營業費用</t>
  </si>
  <si>
    <t>營業外收入</t>
  </si>
  <si>
    <t>營業外支出</t>
  </si>
  <si>
    <t>稅前淨利</t>
  </si>
  <si>
    <t>所得稅費用</t>
  </si>
  <si>
    <t>稅後淨利</t>
  </si>
  <si>
    <t>流動資產</t>
  </si>
  <si>
    <t>流動負債</t>
  </si>
  <si>
    <t>長期負債</t>
  </si>
  <si>
    <t>各項準備</t>
  </si>
  <si>
    <t>其他負債</t>
  </si>
  <si>
    <t>股本</t>
  </si>
  <si>
    <t>資本公積</t>
  </si>
  <si>
    <t>長期股權投資</t>
  </si>
  <si>
    <t>保留盈餘</t>
  </si>
  <si>
    <t>固定資產淨額</t>
  </si>
  <si>
    <t>累積換算調整數</t>
  </si>
  <si>
    <t>無形資產</t>
  </si>
  <si>
    <t>其他資產</t>
  </si>
  <si>
    <t>負債及股東權益</t>
  </si>
  <si>
    <t>營業利益 (EBIT)</t>
    <phoneticPr fontId="1" type="noConversion"/>
  </si>
  <si>
    <t xml:space="preserve">    現金及約當現金</t>
  </si>
  <si>
    <t xml:space="preserve">    短期投資</t>
  </si>
  <si>
    <t xml:space="preserve">    應收票據淨額</t>
  </si>
  <si>
    <t xml:space="preserve">    應收帳款淨額</t>
  </si>
  <si>
    <t xml:space="preserve">    其他應收款-關係人</t>
  </si>
  <si>
    <t xml:space="preserve">    存貨</t>
  </si>
  <si>
    <t xml:space="preserve">    其他流動資產</t>
  </si>
  <si>
    <t>資產負債表</t>
    <phoneticPr fontId="1" type="noConversion"/>
  </si>
  <si>
    <t>損益表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</si>
</sst>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%"/>
  </numFmts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000000"/>
      <name val="新細明體"/>
      <family val="1"/>
      <charset val="136"/>
    </font>
    <font>
      <sz val="12"/>
      <color rgb="FF000000"/>
      <name val="Times New Roman"/>
      <family val="1"/>
    </font>
    <font>
      <b/>
      <sz val="12"/>
      <color rgb="FF000000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b/>
      <sz val="16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9" fontId="5" fillId="0" borderId="0" applyFon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3" fontId="0" fillId="0" borderId="0" xfId="0" applyNumberForma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3" fontId="3" fillId="0" borderId="4" xfId="0" applyNumberFormat="1" applyFont="1" applyBorder="1" applyAlignment="1">
      <alignment horizontal="right" vertical="center" wrapText="1"/>
    </xf>
    <xf numFmtId="0" fontId="0" fillId="0" borderId="0" xfId="0" applyFont="1">
      <alignment vertical="center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right" vertical="center" wrapText="1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right" vertical="center" wrapText="1"/>
    </xf>
    <xf numFmtId="0" fontId="4" fillId="0" borderId="3" xfId="0" applyFont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3" fontId="0" fillId="0" borderId="0" xfId="0" applyNumberFormat="1" applyFont="1">
      <alignment vertical="center"/>
    </xf>
    <xf numFmtId="176" fontId="3" fillId="0" borderId="4" xfId="1" applyNumberFormat="1" applyFont="1" applyBorder="1" applyAlignment="1">
      <alignment horizontal="right" vertical="center" wrapText="1"/>
    </xf>
    <xf numFmtId="3" fontId="3" fillId="2" borderId="4" xfId="0" applyNumberFormat="1" applyFont="1" applyFill="1" applyBorder="1" applyAlignment="1">
      <alignment horizontal="right" vertical="center" wrapText="1"/>
    </xf>
    <xf numFmtId="0" fontId="3" fillId="2" borderId="4" xfId="0" applyFont="1" applyFill="1" applyBorder="1" applyAlignment="1">
      <alignment horizontal="right" vertical="center" wrapText="1"/>
    </xf>
    <xf numFmtId="0" fontId="6" fillId="0" borderId="0" xfId="0" applyFont="1">
      <alignment vertical="center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65748</xdr:colOff>
      <xdr:row>16</xdr:row>
      <xdr:rowOff>30587</xdr:rowOff>
    </xdr:from>
    <xdr:to>
      <xdr:col>3</xdr:col>
      <xdr:colOff>1287780</xdr:colOff>
      <xdr:row>20</xdr:row>
      <xdr:rowOff>152400</xdr:rowOff>
    </xdr:to>
    <xdr:sp macro="" textlink="">
      <xdr:nvSpPr>
        <xdr:cNvPr id="2" name="文字方塊 1"/>
        <xdr:cNvSpPr txBox="1"/>
      </xdr:nvSpPr>
      <xdr:spPr>
        <a:xfrm>
          <a:off x="675348" y="4008227"/>
          <a:ext cx="4056672" cy="944773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200"/>
            <a:t>例題：共同比分析</a:t>
          </a:r>
          <a:r>
            <a:rPr lang="en-US" altLang="zh-TW" sz="1200"/>
            <a:t>(</a:t>
          </a:r>
          <a:r>
            <a:rPr lang="zh-TW" altLang="en-US" sz="1200"/>
            <a:t>例題</a:t>
          </a:r>
          <a:r>
            <a:rPr lang="en-US" altLang="zh-TW" sz="1200"/>
            <a:t>3-2)</a:t>
          </a:r>
        </a:p>
        <a:p>
          <a:r>
            <a:rPr lang="zh-TW" altLang="en-US" sz="1200"/>
            <a:t>使用：黃色部分為輸入，其它數字由系統計算得到。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tabSelected="1" zoomScaleNormal="100" workbookViewId="0">
      <selection activeCell="H20" sqref="H20"/>
    </sheetView>
  </sheetViews>
  <sheetFormatPr defaultRowHeight="16.2" x14ac:dyDescent="0.3"/>
  <cols>
    <col min="2" max="6" width="20.6640625" customWidth="1"/>
    <col min="7" max="7" width="8.6640625" customWidth="1"/>
    <col min="8" max="10" width="20.6640625" customWidth="1"/>
  </cols>
  <sheetData>
    <row r="1" spans="1:11" ht="20.100000000000001" customHeight="1" thickBot="1" x14ac:dyDescent="0.35">
      <c r="B1" s="21" t="s">
        <v>36</v>
      </c>
      <c r="H1" s="8"/>
      <c r="I1" s="21" t="s">
        <v>37</v>
      </c>
    </row>
    <row r="2" spans="1:11" ht="20.100000000000001" customHeight="1" thickBot="1" x14ac:dyDescent="0.35">
      <c r="B2" s="1" t="s">
        <v>0</v>
      </c>
      <c r="C2" s="2" t="s">
        <v>1</v>
      </c>
      <c r="D2" s="2"/>
      <c r="E2" s="2" t="s">
        <v>0</v>
      </c>
      <c r="F2" s="2" t="s">
        <v>1</v>
      </c>
      <c r="G2" s="2"/>
      <c r="H2" s="8"/>
      <c r="I2" s="4" t="s">
        <v>0</v>
      </c>
      <c r="J2" s="5" t="s">
        <v>1</v>
      </c>
      <c r="K2" s="5"/>
    </row>
    <row r="3" spans="1:11" ht="20.100000000000001" customHeight="1" thickBot="1" x14ac:dyDescent="0.35">
      <c r="B3" s="9" t="s">
        <v>14</v>
      </c>
      <c r="C3" s="7">
        <f>SUM(C4:C10)</f>
        <v>395713</v>
      </c>
      <c r="D3" s="18">
        <f>C3/$C$15</f>
        <v>0.52634918270247555</v>
      </c>
      <c r="E3" s="10" t="s">
        <v>15</v>
      </c>
      <c r="F3" s="19">
        <v>98143</v>
      </c>
      <c r="G3" s="18">
        <f>F3/$C$15</f>
        <v>0.13054281218451011</v>
      </c>
      <c r="H3" s="8"/>
      <c r="I3" s="6" t="s">
        <v>5</v>
      </c>
      <c r="J3" s="19">
        <v>607017</v>
      </c>
      <c r="K3" s="18">
        <f>J3/$J$3</f>
        <v>1</v>
      </c>
    </row>
    <row r="4" spans="1:11" ht="20.100000000000001" customHeight="1" thickBot="1" x14ac:dyDescent="0.35">
      <c r="B4" s="9" t="s">
        <v>29</v>
      </c>
      <c r="C4" s="19">
        <v>55598</v>
      </c>
      <c r="D4" s="18">
        <f t="shared" ref="D4:D15" si="0">C4/$C$15</f>
        <v>7.3952490466303186E-2</v>
      </c>
      <c r="E4" s="10" t="s">
        <v>16</v>
      </c>
      <c r="F4" s="19">
        <v>23910</v>
      </c>
      <c r="G4" s="18">
        <f t="shared" ref="G4:G15" si="1">F4/$C$15</f>
        <v>3.180337506833536E-2</v>
      </c>
      <c r="H4" s="8"/>
      <c r="I4" s="6" t="s">
        <v>6</v>
      </c>
      <c r="J4" s="19">
        <v>-396804</v>
      </c>
      <c r="K4" s="18">
        <f t="shared" ref="K4:K12" si="2">J4/$J$3</f>
        <v>-0.6536950365475761</v>
      </c>
    </row>
    <row r="5" spans="1:11" ht="20.100000000000001" customHeight="1" thickBot="1" x14ac:dyDescent="0.35">
      <c r="B5" s="9" t="s">
        <v>30</v>
      </c>
      <c r="C5" s="19">
        <v>34070</v>
      </c>
      <c r="D5" s="18">
        <f t="shared" si="0"/>
        <v>4.5317481747310144E-2</v>
      </c>
      <c r="E5" s="10" t="s">
        <v>17</v>
      </c>
      <c r="F5" s="19">
        <v>4792</v>
      </c>
      <c r="G5" s="18">
        <f t="shared" si="1"/>
        <v>6.3739762997684244E-3</v>
      </c>
      <c r="H5" s="8"/>
      <c r="I5" s="6" t="s">
        <v>7</v>
      </c>
      <c r="J5" s="7">
        <f>J3+J4</f>
        <v>210213</v>
      </c>
      <c r="K5" s="18">
        <f t="shared" si="2"/>
        <v>0.3463049634524239</v>
      </c>
    </row>
    <row r="6" spans="1:11" ht="20.100000000000001" customHeight="1" thickBot="1" x14ac:dyDescent="0.35">
      <c r="B6" s="9" t="s">
        <v>31</v>
      </c>
      <c r="C6" s="19">
        <v>4383</v>
      </c>
      <c r="D6" s="18">
        <f t="shared" si="0"/>
        <v>5.8299536982230815E-3</v>
      </c>
      <c r="E6" s="10" t="s">
        <v>18</v>
      </c>
      <c r="F6" s="19">
        <v>5200</v>
      </c>
      <c r="G6" s="18">
        <f t="shared" si="1"/>
        <v>6.9166687727036328E-3</v>
      </c>
      <c r="H6" s="8"/>
      <c r="I6" s="6" t="s">
        <v>8</v>
      </c>
      <c r="J6" s="19">
        <v>-110384</v>
      </c>
      <c r="K6" s="18">
        <f t="shared" si="2"/>
        <v>-0.18184663691461689</v>
      </c>
    </row>
    <row r="7" spans="1:11" ht="20.100000000000001" customHeight="1" thickBot="1" x14ac:dyDescent="0.35">
      <c r="A7" s="3"/>
      <c r="B7" s="9" t="s">
        <v>32</v>
      </c>
      <c r="C7" s="19">
        <v>94082</v>
      </c>
      <c r="D7" s="18">
        <f t="shared" si="0"/>
        <v>0.1251411598987506</v>
      </c>
      <c r="E7" s="11" t="s">
        <v>2</v>
      </c>
      <c r="F7" s="7">
        <f>SUM(F3:F6)</f>
        <v>132045</v>
      </c>
      <c r="G7" s="18">
        <f t="shared" si="1"/>
        <v>0.17563683232531754</v>
      </c>
      <c r="H7" s="8"/>
      <c r="I7" s="6" t="s">
        <v>28</v>
      </c>
      <c r="J7" s="7">
        <f>J5+J6</f>
        <v>99829</v>
      </c>
      <c r="K7" s="18">
        <f t="shared" si="2"/>
        <v>0.16445832653780701</v>
      </c>
    </row>
    <row r="8" spans="1:11" ht="20.100000000000001" customHeight="1" thickBot="1" x14ac:dyDescent="0.35">
      <c r="B8" s="9" t="s">
        <v>33</v>
      </c>
      <c r="C8" s="20">
        <v>945</v>
      </c>
      <c r="D8" s="18">
        <f t="shared" si="0"/>
        <v>1.2569715365778717E-3</v>
      </c>
      <c r="E8" s="13"/>
      <c r="F8" s="12"/>
      <c r="G8" s="18">
        <f t="shared" si="1"/>
        <v>0</v>
      </c>
      <c r="H8" s="8"/>
      <c r="I8" s="6" t="s">
        <v>9</v>
      </c>
      <c r="J8" s="19">
        <v>38233</v>
      </c>
      <c r="K8" s="18">
        <f t="shared" si="2"/>
        <v>6.2985056431697953E-2</v>
      </c>
    </row>
    <row r="9" spans="1:11" ht="20.100000000000001" customHeight="1" thickBot="1" x14ac:dyDescent="0.35">
      <c r="B9" s="9" t="s">
        <v>34</v>
      </c>
      <c r="C9" s="19">
        <v>182946</v>
      </c>
      <c r="D9" s="18">
        <f t="shared" si="0"/>
        <v>0.24334170870981514</v>
      </c>
      <c r="E9" s="10" t="s">
        <v>19</v>
      </c>
      <c r="F9" s="19">
        <v>476157</v>
      </c>
      <c r="G9" s="18">
        <f t="shared" si="1"/>
        <v>0.6333500486162007</v>
      </c>
      <c r="H9" s="8"/>
      <c r="I9" s="6" t="s">
        <v>10</v>
      </c>
      <c r="J9" s="19">
        <v>-7378</v>
      </c>
      <c r="K9" s="18">
        <f t="shared" si="2"/>
        <v>-1.2154519560407698E-2</v>
      </c>
    </row>
    <row r="10" spans="1:11" ht="20.100000000000001" customHeight="1" thickBot="1" x14ac:dyDescent="0.35">
      <c r="B10" s="9" t="s">
        <v>35</v>
      </c>
      <c r="C10" s="19">
        <v>23689</v>
      </c>
      <c r="D10" s="18">
        <f t="shared" si="0"/>
        <v>3.1509416645495454E-2</v>
      </c>
      <c r="E10" s="10" t="s">
        <v>20</v>
      </c>
      <c r="F10" s="19">
        <v>1542</v>
      </c>
      <c r="G10" s="18">
        <f t="shared" si="1"/>
        <v>2.0510583168286542E-3</v>
      </c>
      <c r="H10" s="8"/>
      <c r="I10" s="6" t="s">
        <v>11</v>
      </c>
      <c r="J10" s="7">
        <f>J7+J8+J9</f>
        <v>130684</v>
      </c>
      <c r="K10" s="18">
        <f t="shared" si="2"/>
        <v>0.21528886340909728</v>
      </c>
    </row>
    <row r="11" spans="1:11" ht="20.100000000000001" customHeight="1" thickBot="1" x14ac:dyDescent="0.35">
      <c r="B11" s="9" t="s">
        <v>21</v>
      </c>
      <c r="C11" s="19">
        <v>165541</v>
      </c>
      <c r="D11" s="18">
        <f t="shared" si="0"/>
        <v>0.22019082025041001</v>
      </c>
      <c r="E11" s="10" t="s">
        <v>22</v>
      </c>
      <c r="F11" s="19">
        <v>122665</v>
      </c>
      <c r="G11" s="18">
        <f t="shared" si="1"/>
        <v>0.1631602259622483</v>
      </c>
      <c r="H11" s="8"/>
      <c r="I11" s="6" t="s">
        <v>12</v>
      </c>
      <c r="J11" s="19">
        <v>-29941</v>
      </c>
      <c r="K11" s="18">
        <f t="shared" si="2"/>
        <v>-4.9324812978878682E-2</v>
      </c>
    </row>
    <row r="12" spans="1:11" ht="20.100000000000001" customHeight="1" thickBot="1" x14ac:dyDescent="0.35">
      <c r="B12" s="9" t="s">
        <v>23</v>
      </c>
      <c r="C12" s="19">
        <v>155787</v>
      </c>
      <c r="D12" s="18">
        <f t="shared" si="0"/>
        <v>0.20721674578715016</v>
      </c>
      <c r="E12" s="10" t="s">
        <v>24</v>
      </c>
      <c r="F12" s="19">
        <v>19398</v>
      </c>
      <c r="G12" s="18">
        <f t="shared" si="1"/>
        <v>2.5801834779404821E-2</v>
      </c>
      <c r="H12" s="8"/>
      <c r="I12" s="6" t="s">
        <v>13</v>
      </c>
      <c r="J12" s="7">
        <v>100743</v>
      </c>
      <c r="K12" s="18">
        <f t="shared" si="2"/>
        <v>0.16596405043021858</v>
      </c>
    </row>
    <row r="13" spans="1:11" ht="20.100000000000001" customHeight="1" thickBot="1" x14ac:dyDescent="0.35">
      <c r="B13" s="9" t="s">
        <v>25</v>
      </c>
      <c r="C13" s="20">
        <v>0</v>
      </c>
      <c r="D13" s="18">
        <f t="shared" si="0"/>
        <v>0</v>
      </c>
      <c r="E13" s="11" t="s">
        <v>3</v>
      </c>
      <c r="F13" s="7">
        <f>SUM(F9:F12)</f>
        <v>619762</v>
      </c>
      <c r="G13" s="18">
        <f t="shared" si="1"/>
        <v>0.82436316767468243</v>
      </c>
      <c r="H13" s="8"/>
      <c r="I13" s="8"/>
      <c r="J13" s="8"/>
    </row>
    <row r="14" spans="1:11" ht="20.100000000000001" customHeight="1" thickBot="1" x14ac:dyDescent="0.35">
      <c r="B14" s="9" t="s">
        <v>26</v>
      </c>
      <c r="C14" s="19">
        <v>34766</v>
      </c>
      <c r="D14" s="18">
        <f t="shared" si="0"/>
        <v>4.6243251259964327E-2</v>
      </c>
      <c r="E14" s="11"/>
      <c r="F14" s="14"/>
      <c r="G14" s="18">
        <f t="shared" si="1"/>
        <v>0</v>
      </c>
      <c r="H14" s="8"/>
      <c r="I14" s="16"/>
      <c r="J14" s="17"/>
    </row>
    <row r="15" spans="1:11" ht="20.100000000000001" customHeight="1" thickBot="1" x14ac:dyDescent="0.35">
      <c r="B15" s="15" t="s">
        <v>4</v>
      </c>
      <c r="C15" s="7">
        <f>SUM(C3,C11:C14)</f>
        <v>751807</v>
      </c>
      <c r="D15" s="18">
        <f t="shared" si="0"/>
        <v>1</v>
      </c>
      <c r="E15" s="11" t="s">
        <v>27</v>
      </c>
      <c r="F15" s="7">
        <f>SUM(F7,F13)</f>
        <v>751807</v>
      </c>
      <c r="G15" s="18">
        <f t="shared" si="1"/>
        <v>1</v>
      </c>
      <c r="H15" s="8"/>
      <c r="I15" s="8"/>
      <c r="J15" s="8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共同比分析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2013-09-13T01:48:22Z</dcterms:created>
  <dcterms:modified xsi:type="dcterms:W3CDTF">2017-10-04T08:43:54Z</dcterms:modified>
</cp:coreProperties>
</file>