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葉怡成\0 My Documents\book\31-2 證券投資分析─使用Excel實作\各章練習與習題\第8章 財務分析的原理\"/>
    </mc:Choice>
  </mc:AlternateContent>
  <bookViews>
    <workbookView xWindow="0" yWindow="0" windowWidth="17460" windowHeight="7248"/>
  </bookViews>
  <sheets>
    <sheet name="比率分析" sheetId="5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" i="5" l="1"/>
  <c r="H7" i="5" s="1"/>
  <c r="H10" i="5" s="1"/>
  <c r="E13" i="5"/>
  <c r="E7" i="5"/>
  <c r="E15" i="5" s="1"/>
  <c r="C3" i="5"/>
  <c r="C15" i="5" s="1"/>
  <c r="F26" i="5" l="1"/>
  <c r="F37" i="5"/>
  <c r="G37" i="5" s="1"/>
  <c r="F36" i="5"/>
  <c r="G36" i="5" s="1"/>
  <c r="F35" i="5"/>
  <c r="G35" i="5" s="1"/>
  <c r="F34" i="5"/>
  <c r="E30" i="5"/>
  <c r="F25" i="5"/>
  <c r="F24" i="5"/>
  <c r="E24" i="5"/>
  <c r="G24" i="5" s="1"/>
  <c r="E23" i="5"/>
  <c r="F33" i="5"/>
  <c r="F32" i="5"/>
  <c r="F31" i="5"/>
  <c r="F30" i="5"/>
  <c r="F29" i="5"/>
  <c r="F28" i="5"/>
  <c r="F27" i="5"/>
  <c r="F23" i="5"/>
  <c r="F22" i="5"/>
  <c r="F21" i="5"/>
  <c r="F20" i="5"/>
  <c r="E34" i="5"/>
  <c r="E33" i="5"/>
  <c r="G33" i="5" s="1"/>
  <c r="E32" i="5"/>
  <c r="G32" i="5" s="1"/>
  <c r="E41" i="5" s="1"/>
  <c r="E31" i="5"/>
  <c r="E29" i="5"/>
  <c r="G29" i="5" s="1"/>
  <c r="E28" i="5"/>
  <c r="E27" i="5"/>
  <c r="E25" i="5"/>
  <c r="E26" i="5" s="1"/>
  <c r="G26" i="5" s="1"/>
  <c r="E22" i="5"/>
  <c r="E21" i="5"/>
  <c r="E20" i="5"/>
  <c r="G20" i="5" s="1"/>
  <c r="F19" i="5"/>
  <c r="E19" i="5"/>
  <c r="G19" i="5" s="1"/>
  <c r="G28" i="5" l="1"/>
  <c r="G22" i="5"/>
  <c r="C41" i="5" s="1"/>
  <c r="G23" i="5"/>
  <c r="G27" i="5"/>
  <c r="D41" i="5" s="1"/>
  <c r="F41" i="5" s="1"/>
  <c r="G31" i="5"/>
  <c r="G25" i="5"/>
  <c r="G34" i="5"/>
  <c r="G21" i="5"/>
  <c r="G30" i="5"/>
</calcChain>
</file>

<file path=xl/sharedStrings.xml><?xml version="1.0" encoding="utf-8"?>
<sst xmlns="http://schemas.openxmlformats.org/spreadsheetml/2006/main" count="112" uniqueCount="82">
  <si>
    <t>會計科目</t>
  </si>
  <si>
    <t>金額</t>
  </si>
  <si>
    <t>負債總計</t>
  </si>
  <si>
    <t>股東權益總計</t>
  </si>
  <si>
    <t>資產總計</t>
  </si>
  <si>
    <t>營業收入淨額</t>
  </si>
  <si>
    <t>營業成本</t>
  </si>
  <si>
    <t>營業毛利</t>
  </si>
  <si>
    <t>營業費用</t>
  </si>
  <si>
    <t>營業外收入</t>
  </si>
  <si>
    <t>營業外支出</t>
  </si>
  <si>
    <t>稅前淨利</t>
  </si>
  <si>
    <t>所得稅費用</t>
  </si>
  <si>
    <t>稅後淨利</t>
  </si>
  <si>
    <t>流動資產</t>
  </si>
  <si>
    <t>流動負債</t>
  </si>
  <si>
    <t>長期負債</t>
  </si>
  <si>
    <t>各項準備</t>
  </si>
  <si>
    <t>其他負債</t>
  </si>
  <si>
    <t>存貨</t>
  </si>
  <si>
    <t>股本</t>
  </si>
  <si>
    <t>資本公積</t>
  </si>
  <si>
    <t>長期股權投資</t>
  </si>
  <si>
    <t>保留盈餘</t>
  </si>
  <si>
    <t>固定資產淨額</t>
  </si>
  <si>
    <t>累積換算調整數</t>
  </si>
  <si>
    <t>無形資產</t>
  </si>
  <si>
    <t>其他資產</t>
  </si>
  <si>
    <t>負債及股東權益</t>
  </si>
  <si>
    <t>流動比率</t>
  </si>
  <si>
    <t>速動比率</t>
  </si>
  <si>
    <r>
      <t>(</t>
    </r>
    <r>
      <rPr>
        <sz val="11"/>
        <color theme="1"/>
        <rFont val="新細明體"/>
        <family val="1"/>
        <charset val="136"/>
      </rPr>
      <t>流動資產</t>
    </r>
    <r>
      <rPr>
        <sz val="11"/>
        <color theme="1"/>
        <rFont val="Times New Roman"/>
        <family val="1"/>
      </rPr>
      <t>-</t>
    </r>
    <r>
      <rPr>
        <sz val="11"/>
        <color theme="1"/>
        <rFont val="新細明體"/>
        <family val="1"/>
        <charset val="136"/>
      </rPr>
      <t>存貨</t>
    </r>
    <r>
      <rPr>
        <sz val="11"/>
        <color theme="1"/>
        <rFont val="Times New Roman"/>
        <family val="1"/>
      </rPr>
      <t>)</t>
    </r>
  </si>
  <si>
    <t>現金比率</t>
  </si>
  <si>
    <t>現金</t>
  </si>
  <si>
    <t>權益乘數</t>
  </si>
  <si>
    <t>總資產</t>
  </si>
  <si>
    <t>股東權益</t>
  </si>
  <si>
    <t>負債資產比</t>
  </si>
  <si>
    <t>總負債</t>
  </si>
  <si>
    <t>負債股東權益比</t>
  </si>
  <si>
    <t>利息保障倍數</t>
  </si>
  <si>
    <t>EBIT</t>
  </si>
  <si>
    <t>利息</t>
  </si>
  <si>
    <t>現金涵蓋比率</t>
  </si>
  <si>
    <r>
      <t>EBIT+</t>
    </r>
    <r>
      <rPr>
        <sz val="11"/>
        <color theme="1"/>
        <rFont val="新細明體"/>
        <family val="1"/>
        <charset val="136"/>
      </rPr>
      <t>折舊</t>
    </r>
  </si>
  <si>
    <t>總資產周轉率</t>
  </si>
  <si>
    <t>銷貨收入</t>
  </si>
  <si>
    <t>固定資產周轉率</t>
  </si>
  <si>
    <t>固定資產</t>
  </si>
  <si>
    <t>股東權益周轉率</t>
  </si>
  <si>
    <t>存貨周轉率</t>
  </si>
  <si>
    <t>銷貨成本</t>
  </si>
  <si>
    <t>應收帳款周轉率</t>
  </si>
  <si>
    <t>應收帳款</t>
  </si>
  <si>
    <t>銷貨利潤率</t>
  </si>
  <si>
    <t>淨利</t>
  </si>
  <si>
    <t>總資產報酬率</t>
  </si>
  <si>
    <t>股東權益報酬率</t>
  </si>
  <si>
    <r>
      <t>本益比</t>
    </r>
    <r>
      <rPr>
        <sz val="11"/>
        <color theme="1"/>
        <rFont val="Times New Roman"/>
        <family val="1"/>
      </rPr>
      <t xml:space="preserve"> </t>
    </r>
  </si>
  <si>
    <t>每股股價</t>
  </si>
  <si>
    <t>每股盈餘</t>
  </si>
  <si>
    <t>股價淨值比</t>
  </si>
  <si>
    <t>每股淨值</t>
  </si>
  <si>
    <r>
      <t>股價營收比</t>
    </r>
    <r>
      <rPr>
        <sz val="11"/>
        <color theme="1"/>
        <rFont val="Times New Roman"/>
        <family val="1"/>
      </rPr>
      <t xml:space="preserve"> </t>
    </r>
  </si>
  <si>
    <t>每股銷貨收入</t>
  </si>
  <si>
    <t>營業利益 (EBIT)</t>
    <phoneticPr fontId="1" type="noConversion"/>
  </si>
  <si>
    <t xml:space="preserve">    現金及約當現金</t>
  </si>
  <si>
    <t xml:space="preserve">    短期投資</t>
  </si>
  <si>
    <t xml:space="preserve">    應收票據淨額</t>
  </si>
  <si>
    <t xml:space="preserve">    應收帳款淨額</t>
  </si>
  <si>
    <t xml:space="preserve">    其他應收款-關係人</t>
  </si>
  <si>
    <t xml:space="preserve">    存貨</t>
  </si>
  <si>
    <t xml:space="preserve">    其他流動資產</t>
  </si>
  <si>
    <t>比率</t>
  </si>
  <si>
    <t>分子</t>
  </si>
  <si>
    <t>分母</t>
  </si>
  <si>
    <t>折舊</t>
    <phoneticPr fontId="1" type="noConversion"/>
  </si>
  <si>
    <t>資產負債表</t>
    <phoneticPr fontId="1" type="noConversion"/>
  </si>
  <si>
    <t>損益表</t>
    <phoneticPr fontId="1" type="noConversion"/>
  </si>
  <si>
    <t>股東權益報酬率</t>
    <phoneticPr fontId="1" type="noConversion"/>
  </si>
  <si>
    <r>
      <t>比率分析</t>
    </r>
    <r>
      <rPr>
        <sz val="12"/>
        <color rgb="FF000000"/>
        <rFont val="新細明體"/>
        <family val="1"/>
        <charset val="136"/>
        <scheme val="minor"/>
      </rPr>
      <t/>
    </r>
    <phoneticPr fontId="1" type="noConversion"/>
  </si>
  <si>
    <t>杜邦分析：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</si>
</sst>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0"/>
    <numFmt numFmtId="177" formatCode="0.0%"/>
  </numFmts>
  <fonts count="11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</font>
    <font>
      <sz val="12"/>
      <color rgb="FF000000"/>
      <name val="新細明體"/>
      <family val="1"/>
      <charset val="136"/>
    </font>
    <font>
      <sz val="12"/>
      <color rgb="FF000000"/>
      <name val="Times New Roman"/>
      <family val="1"/>
    </font>
    <font>
      <b/>
      <sz val="12"/>
      <color rgb="FF000000"/>
      <name val="新細明體"/>
      <family val="1"/>
      <charset val="136"/>
    </font>
    <font>
      <sz val="11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12"/>
      <color theme="1"/>
      <name val="新細明體"/>
      <family val="2"/>
      <charset val="136"/>
      <scheme val="minor"/>
    </font>
    <font>
      <b/>
      <sz val="16"/>
      <color theme="1"/>
      <name val="新細明體"/>
      <family val="1"/>
      <charset val="136"/>
      <scheme val="minor"/>
    </font>
    <font>
      <sz val="12"/>
      <color rgb="FF000000"/>
      <name val="新細明體"/>
      <family val="1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9" fontId="8" fillId="0" borderId="0" applyFont="0" applyFill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3" fontId="0" fillId="0" borderId="0" xfId="0" applyNumberForma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3" fontId="4" fillId="0" borderId="4" xfId="0" applyNumberFormat="1" applyFont="1" applyBorder="1" applyAlignment="1">
      <alignment horizontal="right" vertical="center" wrapText="1"/>
    </xf>
    <xf numFmtId="0" fontId="0" fillId="0" borderId="0" xfId="0" applyFont="1">
      <alignment vertical="center"/>
    </xf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4" fillId="0" borderId="4" xfId="0" applyFont="1" applyBorder="1" applyAlignment="1">
      <alignment horizontal="right" vertical="center" wrapText="1"/>
    </xf>
    <xf numFmtId="0" fontId="3" fillId="0" borderId="4" xfId="0" applyFont="1" applyBorder="1" applyAlignment="1">
      <alignment vertical="center" wrapText="1"/>
    </xf>
    <xf numFmtId="0" fontId="3" fillId="0" borderId="4" xfId="0" applyFont="1" applyBorder="1" applyAlignment="1">
      <alignment horizontal="right" vertical="center" wrapText="1"/>
    </xf>
    <xf numFmtId="0" fontId="5" fillId="0" borderId="3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2" fontId="0" fillId="0" borderId="0" xfId="0" applyNumberFormat="1" applyFill="1" applyBorder="1">
      <alignment vertical="center"/>
    </xf>
    <xf numFmtId="3" fontId="0" fillId="0" borderId="1" xfId="0" applyNumberFormat="1" applyBorder="1">
      <alignment vertical="center"/>
    </xf>
    <xf numFmtId="2" fontId="0" fillId="0" borderId="1" xfId="0" applyNumberFormat="1" applyBorder="1">
      <alignment vertical="center"/>
    </xf>
    <xf numFmtId="176" fontId="0" fillId="0" borderId="1" xfId="0" applyNumberFormat="1" applyBorder="1">
      <alignment vertical="center"/>
    </xf>
    <xf numFmtId="0" fontId="0" fillId="0" borderId="1" xfId="0" applyBorder="1">
      <alignment vertical="center"/>
    </xf>
    <xf numFmtId="0" fontId="3" fillId="0" borderId="0" xfId="0" applyFont="1" applyFill="1" applyBorder="1" applyAlignment="1">
      <alignment vertical="center" wrapText="1"/>
    </xf>
    <xf numFmtId="3" fontId="4" fillId="2" borderId="4" xfId="0" applyNumberFormat="1" applyFont="1" applyFill="1" applyBorder="1" applyAlignment="1">
      <alignment horizontal="right" vertical="center" wrapText="1"/>
    </xf>
    <xf numFmtId="0" fontId="4" fillId="2" borderId="4" xfId="0" applyFont="1" applyFill="1" applyBorder="1" applyAlignment="1">
      <alignment horizontal="right" vertical="center" wrapText="1"/>
    </xf>
    <xf numFmtId="3" fontId="0" fillId="2" borderId="0" xfId="0" applyNumberFormat="1" applyFont="1" applyFill="1">
      <alignment vertical="center"/>
    </xf>
    <xf numFmtId="0" fontId="0" fillId="3" borderId="1" xfId="0" applyFill="1" applyBorder="1">
      <alignment vertical="center"/>
    </xf>
    <xf numFmtId="0" fontId="9" fillId="0" borderId="0" xfId="0" applyFont="1">
      <alignment vertical="center"/>
    </xf>
    <xf numFmtId="0" fontId="6" fillId="0" borderId="5" xfId="0" applyFont="1" applyBorder="1" applyAlignment="1">
      <alignment vertical="center" wrapText="1"/>
    </xf>
    <xf numFmtId="2" fontId="0" fillId="2" borderId="5" xfId="0" applyNumberFormat="1" applyFill="1" applyBorder="1">
      <alignment vertical="center"/>
    </xf>
    <xf numFmtId="176" fontId="0" fillId="2" borderId="5" xfId="0" applyNumberFormat="1" applyFill="1" applyBorder="1">
      <alignment vertical="center"/>
    </xf>
    <xf numFmtId="177" fontId="0" fillId="2" borderId="5" xfId="1" applyNumberFormat="1" applyFont="1" applyFill="1" applyBorder="1">
      <alignment vertical="center"/>
    </xf>
  </cellXfs>
  <cellStyles count="2">
    <cellStyle name="一般" xfId="0" builtinId="0"/>
    <cellStyle name="百分比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42</xdr:row>
      <xdr:rowOff>0</xdr:rowOff>
    </xdr:from>
    <xdr:to>
      <xdr:col>4</xdr:col>
      <xdr:colOff>177552</xdr:colOff>
      <xdr:row>45</xdr:row>
      <xdr:rowOff>194931</xdr:rowOff>
    </xdr:to>
    <xdr:sp macro="" textlink="">
      <xdr:nvSpPr>
        <xdr:cNvPr id="4" name="文字方塊 3"/>
        <xdr:cNvSpPr txBox="1"/>
      </xdr:nvSpPr>
      <xdr:spPr>
        <a:xfrm>
          <a:off x="841744" y="9604744"/>
          <a:ext cx="4147041" cy="806303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TW" altLang="en-US" sz="1200"/>
            <a:t>例題：比率分析</a:t>
          </a:r>
          <a:r>
            <a:rPr lang="en-US" altLang="zh-TW" sz="1200"/>
            <a:t>(</a:t>
          </a:r>
          <a:r>
            <a:rPr lang="zh-TW" altLang="en-US" sz="1200"/>
            <a:t>例題</a:t>
          </a:r>
          <a:r>
            <a:rPr lang="en-US" altLang="zh-TW" sz="1200"/>
            <a:t>3-3)</a:t>
          </a:r>
          <a:r>
            <a:rPr lang="zh-TW" altLang="en-US" sz="1200"/>
            <a:t> 與 杜邦分析 </a:t>
          </a:r>
          <a:r>
            <a:rPr lang="en-US" altLang="zh-TW" sz="1200"/>
            <a:t>(</a:t>
          </a:r>
          <a:r>
            <a:rPr lang="zh-TW" altLang="en-US" sz="1200"/>
            <a:t>例題</a:t>
          </a:r>
          <a:r>
            <a:rPr lang="en-US" altLang="zh-TW" sz="1200"/>
            <a:t>3-4)</a:t>
          </a:r>
          <a:r>
            <a:rPr lang="zh-TW" altLang="en-US" sz="1200"/>
            <a:t>  </a:t>
          </a:r>
          <a:endParaRPr lang="en-US" altLang="zh-TW" sz="1200"/>
        </a:p>
        <a:p>
          <a:r>
            <a:rPr lang="zh-TW" altLang="en-US" sz="1200"/>
            <a:t>使用：黃色部分為輸入，其它數字由系統計算得到。</a:t>
          </a:r>
          <a:endParaRPr lang="en-US" altLang="zh-TW" sz="1200"/>
        </a:p>
        <a:p>
          <a:r>
            <a:rPr lang="zh-TW" altLang="en-US" sz="1200"/>
            <a:t>             </a:t>
          </a:r>
          <a:r>
            <a:rPr lang="en-US" altLang="zh-TW" sz="1200"/>
            <a:t>B40</a:t>
          </a:r>
          <a:r>
            <a:rPr lang="zh-TW" altLang="en-US" sz="1200"/>
            <a:t>處有</a:t>
          </a:r>
          <a:r>
            <a:rPr lang="zh-TW" altLang="zh-TW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杜邦分析 </a:t>
          </a:r>
          <a:r>
            <a:rPr lang="en-US" altLang="zh-TW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zh-TW" altLang="zh-TW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例題</a:t>
          </a:r>
          <a:r>
            <a:rPr lang="en-US" altLang="zh-TW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3-4)</a:t>
          </a:r>
          <a:r>
            <a:rPr lang="zh-TW" altLang="zh-TW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zh-TW" altLang="en-US" sz="1200"/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"/>
  <sheetViews>
    <sheetView tabSelected="1" topLeftCell="A13" zoomScale="86" zoomScaleNormal="86" workbookViewId="0">
      <selection activeCell="J26" sqref="J26"/>
    </sheetView>
  </sheetViews>
  <sheetFormatPr defaultRowHeight="16.2" x14ac:dyDescent="0.3"/>
  <cols>
    <col min="1" max="1" width="12.33203125" customWidth="1"/>
    <col min="2" max="2" width="20.6640625" customWidth="1"/>
    <col min="3" max="8" width="18.6640625" customWidth="1"/>
    <col min="9" max="10" width="15.6640625" customWidth="1"/>
  </cols>
  <sheetData>
    <row r="1" spans="1:8" ht="20.100000000000001" customHeight="1" thickBot="1" x14ac:dyDescent="0.35">
      <c r="B1" s="32" t="s">
        <v>77</v>
      </c>
      <c r="G1" s="32" t="s">
        <v>78</v>
      </c>
    </row>
    <row r="2" spans="1:8" ht="20.100000000000001" customHeight="1" thickBot="1" x14ac:dyDescent="0.35">
      <c r="B2" s="1" t="s">
        <v>0</v>
      </c>
      <c r="C2" s="2" t="s">
        <v>1</v>
      </c>
      <c r="D2" s="2" t="s">
        <v>0</v>
      </c>
      <c r="E2" s="2" t="s">
        <v>1</v>
      </c>
      <c r="F2" s="8"/>
      <c r="G2" s="4" t="s">
        <v>0</v>
      </c>
      <c r="H2" s="5" t="s">
        <v>1</v>
      </c>
    </row>
    <row r="3" spans="1:8" ht="20.100000000000001" customHeight="1" thickBot="1" x14ac:dyDescent="0.35">
      <c r="B3" s="9" t="s">
        <v>14</v>
      </c>
      <c r="C3" s="7">
        <f>SUM(C4:C10)</f>
        <v>395713</v>
      </c>
      <c r="D3" s="10" t="s">
        <v>15</v>
      </c>
      <c r="E3" s="28">
        <v>98143</v>
      </c>
      <c r="F3" s="8"/>
      <c r="G3" s="6" t="s">
        <v>5</v>
      </c>
      <c r="H3" s="28">
        <v>607017</v>
      </c>
    </row>
    <row r="4" spans="1:8" ht="20.100000000000001" customHeight="1" thickBot="1" x14ac:dyDescent="0.35">
      <c r="B4" s="9" t="s">
        <v>66</v>
      </c>
      <c r="C4" s="28">
        <v>55598</v>
      </c>
      <c r="D4" s="10" t="s">
        <v>16</v>
      </c>
      <c r="E4" s="28">
        <v>23910</v>
      </c>
      <c r="F4" s="8"/>
      <c r="G4" s="6" t="s">
        <v>6</v>
      </c>
      <c r="H4" s="28">
        <v>-396804</v>
      </c>
    </row>
    <row r="5" spans="1:8" ht="20.100000000000001" customHeight="1" thickBot="1" x14ac:dyDescent="0.35">
      <c r="B5" s="9" t="s">
        <v>67</v>
      </c>
      <c r="C5" s="28">
        <v>34070</v>
      </c>
      <c r="D5" s="10" t="s">
        <v>17</v>
      </c>
      <c r="E5" s="28">
        <v>4792</v>
      </c>
      <c r="F5" s="8"/>
      <c r="G5" s="6" t="s">
        <v>7</v>
      </c>
      <c r="H5" s="7">
        <f>H3+H4</f>
        <v>210213</v>
      </c>
    </row>
    <row r="6" spans="1:8" ht="20.100000000000001" customHeight="1" thickBot="1" x14ac:dyDescent="0.35">
      <c r="B6" s="9" t="s">
        <v>68</v>
      </c>
      <c r="C6" s="28">
        <v>4383</v>
      </c>
      <c r="D6" s="10" t="s">
        <v>18</v>
      </c>
      <c r="E6" s="28">
        <v>5200</v>
      </c>
      <c r="F6" s="8"/>
      <c r="G6" s="6" t="s">
        <v>8</v>
      </c>
      <c r="H6" s="28">
        <v>-110384</v>
      </c>
    </row>
    <row r="7" spans="1:8" ht="20.100000000000001" customHeight="1" thickBot="1" x14ac:dyDescent="0.35">
      <c r="A7" s="3"/>
      <c r="B7" s="9" t="s">
        <v>69</v>
      </c>
      <c r="C7" s="28">
        <v>94082</v>
      </c>
      <c r="D7" s="11" t="s">
        <v>2</v>
      </c>
      <c r="E7" s="7">
        <f>SUM(E3:E6)</f>
        <v>132045</v>
      </c>
      <c r="F7" s="8"/>
      <c r="G7" s="6" t="s">
        <v>65</v>
      </c>
      <c r="H7" s="7">
        <f>H5+H6</f>
        <v>99829</v>
      </c>
    </row>
    <row r="8" spans="1:8" ht="20.100000000000001" customHeight="1" thickBot="1" x14ac:dyDescent="0.35">
      <c r="B8" s="9" t="s">
        <v>70</v>
      </c>
      <c r="C8" s="29">
        <v>945</v>
      </c>
      <c r="D8" s="13"/>
      <c r="E8" s="12"/>
      <c r="F8" s="8"/>
      <c r="G8" s="6" t="s">
        <v>9</v>
      </c>
      <c r="H8" s="28">
        <v>38233</v>
      </c>
    </row>
    <row r="9" spans="1:8" ht="20.100000000000001" customHeight="1" thickBot="1" x14ac:dyDescent="0.35">
      <c r="B9" s="9" t="s">
        <v>71</v>
      </c>
      <c r="C9" s="28">
        <v>182946</v>
      </c>
      <c r="D9" s="10" t="s">
        <v>20</v>
      </c>
      <c r="E9" s="28">
        <v>476157</v>
      </c>
      <c r="F9" s="8"/>
      <c r="G9" s="6" t="s">
        <v>10</v>
      </c>
      <c r="H9" s="28">
        <v>-7378</v>
      </c>
    </row>
    <row r="10" spans="1:8" ht="20.100000000000001" customHeight="1" thickBot="1" x14ac:dyDescent="0.35">
      <c r="B10" s="9" t="s">
        <v>72</v>
      </c>
      <c r="C10" s="28">
        <v>23689</v>
      </c>
      <c r="D10" s="10" t="s">
        <v>21</v>
      </c>
      <c r="E10" s="28">
        <v>1542</v>
      </c>
      <c r="F10" s="8"/>
      <c r="G10" s="6" t="s">
        <v>11</v>
      </c>
      <c r="H10" s="7">
        <f>H7+H8+H9</f>
        <v>130684</v>
      </c>
    </row>
    <row r="11" spans="1:8" ht="20.100000000000001" customHeight="1" thickBot="1" x14ac:dyDescent="0.35">
      <c r="B11" s="9" t="s">
        <v>22</v>
      </c>
      <c r="C11" s="28">
        <v>165541</v>
      </c>
      <c r="D11" s="10" t="s">
        <v>23</v>
      </c>
      <c r="E11" s="28">
        <v>122665</v>
      </c>
      <c r="F11" s="8"/>
      <c r="G11" s="6" t="s">
        <v>12</v>
      </c>
      <c r="H11" s="28">
        <v>-29941</v>
      </c>
    </row>
    <row r="12" spans="1:8" ht="20.100000000000001" customHeight="1" thickBot="1" x14ac:dyDescent="0.35">
      <c r="B12" s="9" t="s">
        <v>24</v>
      </c>
      <c r="C12" s="28">
        <v>155787</v>
      </c>
      <c r="D12" s="10" t="s">
        <v>25</v>
      </c>
      <c r="E12" s="28">
        <v>19398</v>
      </c>
      <c r="F12" s="8"/>
      <c r="G12" s="6" t="s">
        <v>13</v>
      </c>
      <c r="H12" s="7">
        <v>100743</v>
      </c>
    </row>
    <row r="13" spans="1:8" ht="20.100000000000001" customHeight="1" thickBot="1" x14ac:dyDescent="0.35">
      <c r="B13" s="9" t="s">
        <v>26</v>
      </c>
      <c r="C13" s="29">
        <v>0</v>
      </c>
      <c r="D13" s="11" t="s">
        <v>3</v>
      </c>
      <c r="E13" s="7">
        <f>SUM(E9:E12)</f>
        <v>619762</v>
      </c>
      <c r="F13" s="8"/>
      <c r="G13" s="8"/>
      <c r="H13" s="8"/>
    </row>
    <row r="14" spans="1:8" ht="20.100000000000001" customHeight="1" thickBot="1" x14ac:dyDescent="0.35">
      <c r="B14" s="9" t="s">
        <v>27</v>
      </c>
      <c r="C14" s="28">
        <v>34766</v>
      </c>
      <c r="D14" s="11"/>
      <c r="E14" s="14"/>
      <c r="F14" s="8"/>
      <c r="G14" s="27" t="s">
        <v>76</v>
      </c>
      <c r="H14" s="30">
        <v>20000</v>
      </c>
    </row>
    <row r="15" spans="1:8" ht="20.100000000000001" customHeight="1" thickBot="1" x14ac:dyDescent="0.35">
      <c r="B15" s="15" t="s">
        <v>4</v>
      </c>
      <c r="C15" s="7">
        <f>SUM(C3,C11:C14)</f>
        <v>751807</v>
      </c>
      <c r="D15" s="11" t="s">
        <v>28</v>
      </c>
      <c r="E15" s="7">
        <f>SUM(E7,E13)</f>
        <v>751807</v>
      </c>
      <c r="F15" s="8"/>
      <c r="G15" s="8"/>
      <c r="H15" s="8"/>
    </row>
    <row r="16" spans="1:8" ht="19.5" customHeight="1" x14ac:dyDescent="0.3"/>
    <row r="17" spans="2:7" ht="19.5" customHeight="1" thickBot="1" x14ac:dyDescent="0.35">
      <c r="B17" s="32" t="s">
        <v>80</v>
      </c>
    </row>
    <row r="18" spans="2:7" ht="19.5" customHeight="1" thickBot="1" x14ac:dyDescent="0.35">
      <c r="B18" s="31" t="s">
        <v>73</v>
      </c>
      <c r="C18" s="31" t="s">
        <v>74</v>
      </c>
      <c r="D18" s="31" t="s">
        <v>75</v>
      </c>
      <c r="E18" s="31" t="s">
        <v>74</v>
      </c>
      <c r="F18" s="31" t="s">
        <v>75</v>
      </c>
      <c r="G18" s="31" t="s">
        <v>73</v>
      </c>
    </row>
    <row r="19" spans="2:7" ht="16.8" thickBot="1" x14ac:dyDescent="0.35">
      <c r="B19" s="16" t="s">
        <v>29</v>
      </c>
      <c r="C19" s="17" t="s">
        <v>14</v>
      </c>
      <c r="D19" s="17" t="s">
        <v>15</v>
      </c>
      <c r="E19" s="23">
        <f>C3</f>
        <v>395713</v>
      </c>
      <c r="F19" s="23">
        <f>E3</f>
        <v>98143</v>
      </c>
      <c r="G19" s="24">
        <f>E19/F19</f>
        <v>4.0320043202266085</v>
      </c>
    </row>
    <row r="20" spans="2:7" ht="16.8" thickBot="1" x14ac:dyDescent="0.35">
      <c r="B20" s="18" t="s">
        <v>30</v>
      </c>
      <c r="C20" s="19" t="s">
        <v>31</v>
      </c>
      <c r="D20" s="20" t="s">
        <v>15</v>
      </c>
      <c r="E20" s="23">
        <f>C3-C9</f>
        <v>212767</v>
      </c>
      <c r="F20" s="23">
        <f>E3</f>
        <v>98143</v>
      </c>
      <c r="G20" s="24">
        <f t="shared" ref="G20:G34" si="0">E20/F20</f>
        <v>2.1679284309629825</v>
      </c>
    </row>
    <row r="21" spans="2:7" ht="16.8" thickBot="1" x14ac:dyDescent="0.35">
      <c r="B21" s="18" t="s">
        <v>32</v>
      </c>
      <c r="C21" s="20" t="s">
        <v>33</v>
      </c>
      <c r="D21" s="20" t="s">
        <v>15</v>
      </c>
      <c r="E21" s="23">
        <f>C4</f>
        <v>55598</v>
      </c>
      <c r="F21" s="23">
        <f>E3</f>
        <v>98143</v>
      </c>
      <c r="G21" s="24">
        <f t="shared" si="0"/>
        <v>0.5664999032024699</v>
      </c>
    </row>
    <row r="22" spans="2:7" ht="16.8" thickBot="1" x14ac:dyDescent="0.35">
      <c r="B22" s="21" t="s">
        <v>34</v>
      </c>
      <c r="C22" s="20" t="s">
        <v>35</v>
      </c>
      <c r="D22" s="20" t="s">
        <v>36</v>
      </c>
      <c r="E22" s="23">
        <f>C15</f>
        <v>751807</v>
      </c>
      <c r="F22" s="23">
        <f>E13</f>
        <v>619762</v>
      </c>
      <c r="G22" s="24">
        <f t="shared" si="0"/>
        <v>1.2130575930760519</v>
      </c>
    </row>
    <row r="23" spans="2:7" ht="16.8" thickBot="1" x14ac:dyDescent="0.35">
      <c r="B23" s="21" t="s">
        <v>37</v>
      </c>
      <c r="C23" s="20" t="s">
        <v>38</v>
      </c>
      <c r="D23" s="20" t="s">
        <v>35</v>
      </c>
      <c r="E23" s="23">
        <f>E7</f>
        <v>132045</v>
      </c>
      <c r="F23" s="23">
        <f>C15</f>
        <v>751807</v>
      </c>
      <c r="G23" s="25">
        <f t="shared" si="0"/>
        <v>0.17563683232531754</v>
      </c>
    </row>
    <row r="24" spans="2:7" ht="16.8" thickBot="1" x14ac:dyDescent="0.35">
      <c r="B24" s="18" t="s">
        <v>39</v>
      </c>
      <c r="C24" s="20" t="s">
        <v>38</v>
      </c>
      <c r="D24" s="20" t="s">
        <v>36</v>
      </c>
      <c r="E24" s="23">
        <f>E7</f>
        <v>132045</v>
      </c>
      <c r="F24" s="23">
        <f>E13</f>
        <v>619762</v>
      </c>
      <c r="G24" s="25">
        <f t="shared" si="0"/>
        <v>0.21305759307605177</v>
      </c>
    </row>
    <row r="25" spans="2:7" ht="16.8" thickBot="1" x14ac:dyDescent="0.35">
      <c r="B25" s="18" t="s">
        <v>40</v>
      </c>
      <c r="C25" s="19" t="s">
        <v>41</v>
      </c>
      <c r="D25" s="20" t="s">
        <v>42</v>
      </c>
      <c r="E25" s="23">
        <f>H7</f>
        <v>99829</v>
      </c>
      <c r="F25" s="23">
        <f>-H9</f>
        <v>7378</v>
      </c>
      <c r="G25" s="24">
        <f t="shared" si="0"/>
        <v>13.530631607481702</v>
      </c>
    </row>
    <row r="26" spans="2:7" ht="16.8" thickBot="1" x14ac:dyDescent="0.35">
      <c r="B26" s="18" t="s">
        <v>43</v>
      </c>
      <c r="C26" s="19" t="s">
        <v>44</v>
      </c>
      <c r="D26" s="20" t="s">
        <v>42</v>
      </c>
      <c r="E26" s="23">
        <f>E25+H14</f>
        <v>119829</v>
      </c>
      <c r="F26" s="23">
        <f>-H9</f>
        <v>7378</v>
      </c>
      <c r="G26" s="24">
        <f t="shared" si="0"/>
        <v>16.241393331526158</v>
      </c>
    </row>
    <row r="27" spans="2:7" ht="16.8" thickBot="1" x14ac:dyDescent="0.35">
      <c r="B27" s="18" t="s">
        <v>45</v>
      </c>
      <c r="C27" s="20" t="s">
        <v>46</v>
      </c>
      <c r="D27" s="20" t="s">
        <v>35</v>
      </c>
      <c r="E27" s="23">
        <f>H3</f>
        <v>607017</v>
      </c>
      <c r="F27" s="23">
        <f>C15</f>
        <v>751807</v>
      </c>
      <c r="G27" s="25">
        <f t="shared" si="0"/>
        <v>0.8074106785385079</v>
      </c>
    </row>
    <row r="28" spans="2:7" ht="16.8" thickBot="1" x14ac:dyDescent="0.35">
      <c r="B28" s="18" t="s">
        <v>47</v>
      </c>
      <c r="C28" s="20" t="s">
        <v>46</v>
      </c>
      <c r="D28" s="20" t="s">
        <v>48</v>
      </c>
      <c r="E28" s="23">
        <f>H3</f>
        <v>607017</v>
      </c>
      <c r="F28" s="23">
        <f>C12</f>
        <v>155787</v>
      </c>
      <c r="G28" s="24">
        <f t="shared" si="0"/>
        <v>3.8964547747886535</v>
      </c>
    </row>
    <row r="29" spans="2:7" ht="16.8" thickBot="1" x14ac:dyDescent="0.35">
      <c r="B29" s="18" t="s">
        <v>49</v>
      </c>
      <c r="C29" s="20" t="s">
        <v>46</v>
      </c>
      <c r="D29" s="20" t="s">
        <v>36</v>
      </c>
      <c r="E29" s="23">
        <f>H3</f>
        <v>607017</v>
      </c>
      <c r="F29" s="23">
        <f>E13</f>
        <v>619762</v>
      </c>
      <c r="G29" s="25">
        <f t="shared" si="0"/>
        <v>0.97943565433182411</v>
      </c>
    </row>
    <row r="30" spans="2:7" ht="16.8" thickBot="1" x14ac:dyDescent="0.35">
      <c r="B30" s="18" t="s">
        <v>50</v>
      </c>
      <c r="C30" s="20" t="s">
        <v>51</v>
      </c>
      <c r="D30" s="20" t="s">
        <v>19</v>
      </c>
      <c r="E30" s="23">
        <f>-H4</f>
        <v>396804</v>
      </c>
      <c r="F30" s="23">
        <f>C9</f>
        <v>182946</v>
      </c>
      <c r="G30" s="24">
        <f t="shared" si="0"/>
        <v>2.1689678921649009</v>
      </c>
    </row>
    <row r="31" spans="2:7" ht="16.8" thickBot="1" x14ac:dyDescent="0.35">
      <c r="B31" s="18" t="s">
        <v>52</v>
      </c>
      <c r="C31" s="20" t="s">
        <v>46</v>
      </c>
      <c r="D31" s="20" t="s">
        <v>53</v>
      </c>
      <c r="E31" s="23">
        <f>H3</f>
        <v>607017</v>
      </c>
      <c r="F31" s="23">
        <f>C7</f>
        <v>94082</v>
      </c>
      <c r="G31" s="24">
        <f t="shared" si="0"/>
        <v>6.4519993197423524</v>
      </c>
    </row>
    <row r="32" spans="2:7" ht="16.8" thickBot="1" x14ac:dyDescent="0.35">
      <c r="B32" s="18" t="s">
        <v>54</v>
      </c>
      <c r="C32" s="20" t="s">
        <v>55</v>
      </c>
      <c r="D32" s="20" t="s">
        <v>46</v>
      </c>
      <c r="E32" s="23">
        <f>H12</f>
        <v>100743</v>
      </c>
      <c r="F32" s="23">
        <f>H3</f>
        <v>607017</v>
      </c>
      <c r="G32" s="25">
        <f t="shared" si="0"/>
        <v>0.16596405043021858</v>
      </c>
    </row>
    <row r="33" spans="2:7" ht="16.8" thickBot="1" x14ac:dyDescent="0.35">
      <c r="B33" s="18" t="s">
        <v>56</v>
      </c>
      <c r="C33" s="20" t="s">
        <v>55</v>
      </c>
      <c r="D33" s="20" t="s">
        <v>35</v>
      </c>
      <c r="E33" s="23">
        <f>H12</f>
        <v>100743</v>
      </c>
      <c r="F33" s="23">
        <f>C15</f>
        <v>751807</v>
      </c>
      <c r="G33" s="25">
        <f t="shared" si="0"/>
        <v>0.13400114657086193</v>
      </c>
    </row>
    <row r="34" spans="2:7" ht="16.8" thickBot="1" x14ac:dyDescent="0.35">
      <c r="B34" s="18" t="s">
        <v>57</v>
      </c>
      <c r="C34" s="20" t="s">
        <v>55</v>
      </c>
      <c r="D34" s="20" t="s">
        <v>36</v>
      </c>
      <c r="E34" s="23">
        <f>H12</f>
        <v>100743</v>
      </c>
      <c r="F34" s="23">
        <f>E13</f>
        <v>619762</v>
      </c>
      <c r="G34" s="25">
        <f t="shared" si="0"/>
        <v>0.162551108328681</v>
      </c>
    </row>
    <row r="35" spans="2:7" ht="16.8" thickBot="1" x14ac:dyDescent="0.35">
      <c r="B35" s="18" t="s">
        <v>58</v>
      </c>
      <c r="C35" s="20" t="s">
        <v>59</v>
      </c>
      <c r="D35" s="20" t="s">
        <v>60</v>
      </c>
      <c r="E35" s="26">
        <v>30</v>
      </c>
      <c r="F35" s="24">
        <f>H12/(E9/10)</f>
        <v>2.1157517373471357</v>
      </c>
      <c r="G35" s="24">
        <f>E35/F35</f>
        <v>14.179357374705933</v>
      </c>
    </row>
    <row r="36" spans="2:7" ht="16.8" thickBot="1" x14ac:dyDescent="0.35">
      <c r="B36" s="18" t="s">
        <v>61</v>
      </c>
      <c r="C36" s="20" t="s">
        <v>59</v>
      </c>
      <c r="D36" s="20" t="s">
        <v>62</v>
      </c>
      <c r="E36" s="26">
        <v>30</v>
      </c>
      <c r="F36" s="24">
        <f>E13/(E9/10)</f>
        <v>13.015917018966434</v>
      </c>
      <c r="G36" s="24">
        <f t="shared" ref="G36:G37" si="1">E36/F36</f>
        <v>2.3048702566469061</v>
      </c>
    </row>
    <row r="37" spans="2:7" ht="16.8" thickBot="1" x14ac:dyDescent="0.35">
      <c r="B37" s="18" t="s">
        <v>63</v>
      </c>
      <c r="C37" s="20" t="s">
        <v>59</v>
      </c>
      <c r="D37" s="20" t="s">
        <v>64</v>
      </c>
      <c r="E37" s="26">
        <v>30</v>
      </c>
      <c r="F37" s="24">
        <f>H3/(E9/10)</f>
        <v>12.748253202200116</v>
      </c>
      <c r="G37" s="24">
        <f t="shared" si="1"/>
        <v>2.3532635824037875</v>
      </c>
    </row>
    <row r="39" spans="2:7" x14ac:dyDescent="0.3">
      <c r="G39" s="22"/>
    </row>
    <row r="40" spans="2:7" ht="22.2" x14ac:dyDescent="0.3">
      <c r="B40" s="32" t="s">
        <v>81</v>
      </c>
      <c r="C40" s="33" t="s">
        <v>34</v>
      </c>
      <c r="D40" s="33" t="s">
        <v>45</v>
      </c>
      <c r="E40" s="33" t="s">
        <v>54</v>
      </c>
      <c r="F40" s="33" t="s">
        <v>79</v>
      </c>
    </row>
    <row r="41" spans="2:7" x14ac:dyDescent="0.3">
      <c r="C41" s="34">
        <f>G22</f>
        <v>1.2130575930760519</v>
      </c>
      <c r="D41" s="35">
        <f>G27</f>
        <v>0.8074106785385079</v>
      </c>
      <c r="E41" s="35">
        <f>G32</f>
        <v>0.16596405043021858</v>
      </c>
      <c r="F41" s="36">
        <f>C41*D41*E41</f>
        <v>0.16255110832868103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比率分析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2013-09-13T01:48:22Z</dcterms:created>
  <dcterms:modified xsi:type="dcterms:W3CDTF">2017-10-04T08:43:49Z</dcterms:modified>
</cp:coreProperties>
</file>