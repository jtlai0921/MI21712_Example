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葉怡成\0 My Documents\book\31-2 證券投資分析─使用Excel實作\各章練習與習題\第15章 網路上的證券投資分析資源\"/>
    </mc:Choice>
  </mc:AlternateContent>
  <bookViews>
    <workbookView xWindow="0" yWindow="0" windowWidth="15348" windowHeight="3888" activeTab="1"/>
  </bookViews>
  <sheets>
    <sheet name="每日收盤行情(2013-7-1)" sheetId="1" r:id="rId1"/>
    <sheet name="工作表1" sheetId="2" r:id="rId2"/>
  </sheets>
  <calcPr calcId="162913"/>
</workbook>
</file>

<file path=xl/calcChain.xml><?xml version="1.0" encoding="utf-8"?>
<calcChain xmlns="http://schemas.openxmlformats.org/spreadsheetml/2006/main">
  <c r="A112" i="1" l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</calcChain>
</file>

<file path=xl/sharedStrings.xml><?xml version="1.0" encoding="utf-8"?>
<sst xmlns="http://schemas.openxmlformats.org/spreadsheetml/2006/main" count="1983" uniqueCount="1033">
  <si>
    <t>102年07月01日大盤統計資訊</t>
  </si>
  <si>
    <t>指數</t>
  </si>
  <si>
    <t>收盤指數</t>
  </si>
  <si>
    <t>漲跌(+/-)</t>
  </si>
  <si>
    <t>漲跌點數</t>
  </si>
  <si>
    <t>漲跌百分比(%)</t>
  </si>
  <si>
    <t>發行量加權股價指數</t>
  </si>
  <si>
    <t>－</t>
  </si>
  <si>
    <t>臺灣50指數</t>
  </si>
  <si>
    <t>臺灣中型100指數</t>
  </si>
  <si>
    <t>＋</t>
  </si>
  <si>
    <t>臺灣資訊科技指數</t>
  </si>
  <si>
    <t>臺灣發達指數</t>
  </si>
  <si>
    <t>臺灣高股息指數</t>
  </si>
  <si>
    <t>臺灣就業99指數</t>
  </si>
  <si>
    <t>臺灣企業經營101指數</t>
  </si>
  <si>
    <t>未含金融保險股指數</t>
  </si>
  <si>
    <t>未含電子股指數</t>
  </si>
  <si>
    <t>未含金融電子股指數</t>
  </si>
  <si>
    <t>水泥窯製類指數</t>
  </si>
  <si>
    <t>塑膠化工類指數</t>
  </si>
  <si>
    <t>機電類指數</t>
  </si>
  <si>
    <t>水泥類指數</t>
  </si>
  <si>
    <t>食品類指數</t>
  </si>
  <si>
    <t>塑膠類指數</t>
  </si>
  <si>
    <t>紡織纖維類指數</t>
  </si>
  <si>
    <t>電機機械類指數</t>
  </si>
  <si>
    <t>電器電纜類指數</t>
  </si>
  <si>
    <t>化學生技醫療類指數</t>
  </si>
  <si>
    <t>化學類指數</t>
  </si>
  <si>
    <t>生技醫療類指數</t>
  </si>
  <si>
    <t>玻璃陶瓷類指數</t>
  </si>
  <si>
    <t>造紙類指數</t>
  </si>
  <si>
    <t>鋼鐵類指數</t>
  </si>
  <si>
    <t>橡膠類指數</t>
  </si>
  <si>
    <t>汽車類指數</t>
  </si>
  <si>
    <t>電子類指數</t>
  </si>
  <si>
    <t>半導體類指數</t>
  </si>
  <si>
    <t>電腦及週邊設備類指數</t>
  </si>
  <si>
    <t>光電類指數</t>
  </si>
  <si>
    <t>通信網路類指數</t>
  </si>
  <si>
    <t>電子零組件類指數</t>
  </si>
  <si>
    <t>電子通路類指數</t>
  </si>
  <si>
    <t>資訊服務類指數</t>
  </si>
  <si>
    <t>其他電子類指數</t>
  </si>
  <si>
    <t>建材營造類指數</t>
  </si>
  <si>
    <t>航運類指數</t>
  </si>
  <si>
    <t>觀光類指數</t>
  </si>
  <si>
    <t>金融保險類指數</t>
  </si>
  <si>
    <t>貿易百貨類指數</t>
  </si>
  <si>
    <t>油電燃氣類指數</t>
  </si>
  <si>
    <t>其他類指數</t>
  </si>
  <si>
    <t>報酬指數系列</t>
  </si>
  <si>
    <t>發行量加權股價報酬指數</t>
  </si>
  <si>
    <t>臺灣50報酬指數</t>
  </si>
  <si>
    <t>臺灣中型100報酬指數</t>
  </si>
  <si>
    <t>臺灣資訊科技報酬指數</t>
  </si>
  <si>
    <t>臺灣發達報酬指數</t>
  </si>
  <si>
    <t>臺灣高股息報酬指數</t>
  </si>
  <si>
    <t>臺灣就業99報酬指數</t>
  </si>
  <si>
    <t>臺灣企業經營101報酬指數</t>
  </si>
  <si>
    <t>未含金融電子股報酬指數</t>
  </si>
  <si>
    <t>水泥類報酬指數</t>
  </si>
  <si>
    <t>食品類報酬指數</t>
  </si>
  <si>
    <t>塑膠類報酬指數</t>
  </si>
  <si>
    <t>紡織纖維類報酬指數</t>
  </si>
  <si>
    <t>電機機械類報酬指數</t>
  </si>
  <si>
    <t>電器電纜類報酬指數</t>
  </si>
  <si>
    <t>化學生技醫療類報酬指數</t>
  </si>
  <si>
    <t>化學類報酬指數</t>
  </si>
  <si>
    <t>生技醫療類報酬指數</t>
  </si>
  <si>
    <t>玻璃陶瓷類報酬指數</t>
  </si>
  <si>
    <t>造紙類報酬指數</t>
  </si>
  <si>
    <t>鋼鐵類報酬指數</t>
  </si>
  <si>
    <t>橡膠類報酬指數</t>
  </si>
  <si>
    <t>汽車類報酬指數</t>
  </si>
  <si>
    <t>電子類報酬指數</t>
  </si>
  <si>
    <t>半導體類報酬指數</t>
  </si>
  <si>
    <t>電腦及週邊設備類報酬指數</t>
  </si>
  <si>
    <t>光電類報酬指數</t>
  </si>
  <si>
    <t>通信網路類報酬指數</t>
  </si>
  <si>
    <t>電子零組件類報酬指數</t>
  </si>
  <si>
    <t>電子通路類報酬指數</t>
  </si>
  <si>
    <t>資訊服務類報酬指數</t>
  </si>
  <si>
    <t>其他電子類報酬指數</t>
  </si>
  <si>
    <t>建材營造類報酬指數</t>
  </si>
  <si>
    <t>航運類報酬指數</t>
  </si>
  <si>
    <t>觀光類報酬指數</t>
  </si>
  <si>
    <t>金融保險類報酬指數</t>
  </si>
  <si>
    <t>貿易百貨類報酬指數</t>
  </si>
  <si>
    <t>油電燃氣類報酬指數</t>
  </si>
  <si>
    <t>其他類報酬指數</t>
  </si>
  <si>
    <t>成交統計</t>
  </si>
  <si>
    <t>成交金額(元)</t>
  </si>
  <si>
    <t>成交股數(股)</t>
  </si>
  <si>
    <t>成交筆數</t>
  </si>
  <si>
    <t>1.一般股票</t>
  </si>
  <si>
    <t>2.台灣存託憑證</t>
  </si>
  <si>
    <t>3.受益憑證</t>
  </si>
  <si>
    <t>4.ETF</t>
  </si>
  <si>
    <t>5.受益證券</t>
  </si>
  <si>
    <t>6.變更交易股票</t>
  </si>
  <si>
    <t>7.認購(售)權證</t>
  </si>
  <si>
    <t>8.轉換公司債</t>
  </si>
  <si>
    <t>9.附認股權特別股</t>
  </si>
  <si>
    <t>10.附認股權公司債</t>
  </si>
  <si>
    <t>11.認股權憑證</t>
  </si>
  <si>
    <t>12.公司債</t>
  </si>
  <si>
    <t>證券合計(1+6)</t>
  </si>
  <si>
    <t>總計(1~12)</t>
  </si>
  <si>
    <t>漲跌證券數合計</t>
  </si>
  <si>
    <t>類型</t>
  </si>
  <si>
    <t>整體市場</t>
  </si>
  <si>
    <t>股票</t>
  </si>
  <si>
    <t>上漲(漲停)</t>
  </si>
  <si>
    <t>2,817(36)</t>
  </si>
  <si>
    <t>582(22)</t>
  </si>
  <si>
    <t>下跌(跌停)</t>
  </si>
  <si>
    <t>1,479(31)</t>
  </si>
  <si>
    <t>156(1)</t>
  </si>
  <si>
    <t>持平</t>
  </si>
  <si>
    <t>未成交</t>
  </si>
  <si>
    <t>無比價</t>
  </si>
  <si>
    <t>說明：</t>
  </si>
  <si>
    <t>1. &amp;quot;漲跌價差&amp;quot;為當日收盤價與前一日收盤價比較。2. &amp;quot;無比價家數&amp;quot;含當日除權、除息、新上市、恢復交易者。</t>
  </si>
  <si>
    <t>102年07月01日每日收盤行情(全部(不含權證、牛熊證))(元,股)</t>
  </si>
  <si>
    <t>(元,交易單位)</t>
  </si>
  <si>
    <t>證券代號</t>
  </si>
  <si>
    <t>證券名稱</t>
  </si>
  <si>
    <t>成交股數</t>
  </si>
  <si>
    <t>成交金額</t>
  </si>
  <si>
    <t>開盤價</t>
  </si>
  <si>
    <t>最高價</t>
  </si>
  <si>
    <t>最低價</t>
  </si>
  <si>
    <t>收盤價</t>
  </si>
  <si>
    <t>漲跌價差</t>
  </si>
  <si>
    <t>最後揭示買價</t>
  </si>
  <si>
    <t>最後揭示買量</t>
  </si>
  <si>
    <t>最後揭示賣價</t>
  </si>
  <si>
    <t>最後揭示賣量</t>
  </si>
  <si>
    <t>本益比</t>
  </si>
  <si>
    <t>富邦</t>
  </si>
  <si>
    <t>台灣50</t>
  </si>
  <si>
    <t>中100</t>
  </si>
  <si>
    <t>FB科技</t>
  </si>
  <si>
    <t>X</t>
  </si>
  <si>
    <t>寶電子</t>
  </si>
  <si>
    <t>台商50</t>
  </si>
  <si>
    <t>寶金融</t>
  </si>
  <si>
    <t>高股息</t>
  </si>
  <si>
    <t>FB摩台</t>
  </si>
  <si>
    <t>FB發達</t>
  </si>
  <si>
    <t>--</t>
  </si>
  <si>
    <t>FB金融</t>
  </si>
  <si>
    <t>新台灣</t>
  </si>
  <si>
    <t>寶滬深</t>
  </si>
  <si>
    <t>寶摩臺</t>
  </si>
  <si>
    <t>豐臺灣</t>
  </si>
  <si>
    <t>FB上証</t>
  </si>
  <si>
    <t>元上證</t>
  </si>
  <si>
    <t>FH滬深</t>
  </si>
  <si>
    <t>FB台50</t>
  </si>
  <si>
    <t>恒中國</t>
  </si>
  <si>
    <t>恒香港</t>
  </si>
  <si>
    <t>上證50</t>
  </si>
  <si>
    <t>01001T</t>
  </si>
  <si>
    <t>富邦R1</t>
  </si>
  <si>
    <t>01002T</t>
  </si>
  <si>
    <t>國泰R1</t>
  </si>
  <si>
    <t>01003T</t>
  </si>
  <si>
    <t>新光R1</t>
  </si>
  <si>
    <t>01004T</t>
  </si>
  <si>
    <t>富邦R2</t>
  </si>
  <si>
    <t>01007T</t>
  </si>
  <si>
    <t>國泰R2</t>
  </si>
  <si>
    <t>01008T</t>
  </si>
  <si>
    <t>駿馬R1</t>
  </si>
  <si>
    <t>台泥</t>
  </si>
  <si>
    <t>亞泥</t>
  </si>
  <si>
    <t>嘉泥</t>
  </si>
  <si>
    <t>環泥</t>
  </si>
  <si>
    <t>幸福</t>
  </si>
  <si>
    <t>信大</t>
  </si>
  <si>
    <t>東泥</t>
  </si>
  <si>
    <t>味全</t>
  </si>
  <si>
    <t>味王</t>
  </si>
  <si>
    <t>大成</t>
  </si>
  <si>
    <t>大飲</t>
  </si>
  <si>
    <t>卜蜂</t>
  </si>
  <si>
    <t>統一</t>
  </si>
  <si>
    <t>愛之味</t>
  </si>
  <si>
    <t>泰山</t>
  </si>
  <si>
    <t>福壽</t>
  </si>
  <si>
    <t>台榮</t>
  </si>
  <si>
    <t>福懋油</t>
  </si>
  <si>
    <t>佳格</t>
  </si>
  <si>
    <t>聯華</t>
  </si>
  <si>
    <t>聯華食</t>
  </si>
  <si>
    <t>大統益</t>
  </si>
  <si>
    <t>天仁</t>
  </si>
  <si>
    <t>黑松</t>
  </si>
  <si>
    <t>興泰</t>
  </si>
  <si>
    <t>宏亞</t>
  </si>
  <si>
    <t>台塑</t>
  </si>
  <si>
    <t>南亞</t>
  </si>
  <si>
    <t>台聚</t>
  </si>
  <si>
    <t>華夏</t>
  </si>
  <si>
    <t>三芳</t>
  </si>
  <si>
    <t>亞聚</t>
  </si>
  <si>
    <t>台達化</t>
  </si>
  <si>
    <t>台苯</t>
  </si>
  <si>
    <t>國喬</t>
  </si>
  <si>
    <t>1312A</t>
  </si>
  <si>
    <t>國喬特</t>
  </si>
  <si>
    <t>聯成</t>
  </si>
  <si>
    <t>中石化</t>
  </si>
  <si>
    <t>達新</t>
  </si>
  <si>
    <t>上曜</t>
  </si>
  <si>
    <t>東陽</t>
  </si>
  <si>
    <t>大洋</t>
  </si>
  <si>
    <t>永裕</t>
  </si>
  <si>
    <t>地球</t>
  </si>
  <si>
    <t>恆大</t>
  </si>
  <si>
    <t>台化</t>
  </si>
  <si>
    <t>F-再生</t>
  </si>
  <si>
    <t>F-廣華</t>
  </si>
  <si>
    <t>昭輝</t>
  </si>
  <si>
    <t>遠東新</t>
  </si>
  <si>
    <t>新纖</t>
  </si>
  <si>
    <t>南染</t>
  </si>
  <si>
    <t>宏洲</t>
  </si>
  <si>
    <t>東和</t>
  </si>
  <si>
    <t>廣豐</t>
  </si>
  <si>
    <t>嘉裕</t>
  </si>
  <si>
    <t>東華</t>
  </si>
  <si>
    <t>新紡</t>
  </si>
  <si>
    <t>利華</t>
  </si>
  <si>
    <t>大魯閣</t>
  </si>
  <si>
    <t>福懋</t>
  </si>
  <si>
    <t>中福</t>
  </si>
  <si>
    <t>福益</t>
  </si>
  <si>
    <t>勤益</t>
  </si>
  <si>
    <t>裕豐</t>
  </si>
  <si>
    <t>中和</t>
  </si>
  <si>
    <t>南紡</t>
  </si>
  <si>
    <t>大東</t>
  </si>
  <si>
    <t>名軒</t>
  </si>
  <si>
    <t>立益</t>
  </si>
  <si>
    <t>力麗</t>
  </si>
  <si>
    <t>大宇</t>
  </si>
  <si>
    <t>宏和</t>
  </si>
  <si>
    <t>力鵬</t>
  </si>
  <si>
    <t>佳和</t>
  </si>
  <si>
    <t>年興</t>
  </si>
  <si>
    <t>宏益</t>
  </si>
  <si>
    <t>大將</t>
  </si>
  <si>
    <t>台富</t>
  </si>
  <si>
    <t>集盛</t>
  </si>
  <si>
    <t>怡華</t>
  </si>
  <si>
    <t>宜進</t>
  </si>
  <si>
    <t>聯發</t>
  </si>
  <si>
    <t>宏遠</t>
  </si>
  <si>
    <t>強盛</t>
  </si>
  <si>
    <t>得力</t>
  </si>
  <si>
    <t>偉全</t>
  </si>
  <si>
    <t>聚隆</t>
  </si>
  <si>
    <t>南緯</t>
  </si>
  <si>
    <t>昶和</t>
  </si>
  <si>
    <t>理隆</t>
  </si>
  <si>
    <t>大統染</t>
  </si>
  <si>
    <t>首利</t>
  </si>
  <si>
    <t>三洋紡</t>
  </si>
  <si>
    <t>台南</t>
  </si>
  <si>
    <t>弘裕</t>
  </si>
  <si>
    <t>本盟</t>
  </si>
  <si>
    <t>儒鴻</t>
  </si>
  <si>
    <t>聚陽</t>
  </si>
  <si>
    <t>士電</t>
  </si>
  <si>
    <t>東元</t>
  </si>
  <si>
    <t>正道</t>
  </si>
  <si>
    <t>永大</t>
  </si>
  <si>
    <t>瑞利</t>
  </si>
  <si>
    <t>中興電</t>
  </si>
  <si>
    <t>亞力</t>
  </si>
  <si>
    <t>力山</t>
  </si>
  <si>
    <t>川飛</t>
  </si>
  <si>
    <t>利奇</t>
  </si>
  <si>
    <t>華城</t>
  </si>
  <si>
    <t>大億</t>
  </si>
  <si>
    <t>堤維西</t>
  </si>
  <si>
    <t>耿鼎</t>
  </si>
  <si>
    <t>江申</t>
  </si>
  <si>
    <t>日馳</t>
  </si>
  <si>
    <t>鑽全</t>
  </si>
  <si>
    <t>恩德</t>
  </si>
  <si>
    <t>樂士</t>
  </si>
  <si>
    <t>亞崴</t>
  </si>
  <si>
    <t>高林股</t>
  </si>
  <si>
    <t>勤美</t>
  </si>
  <si>
    <t>車王電</t>
  </si>
  <si>
    <t>中宇</t>
  </si>
  <si>
    <t>和大</t>
  </si>
  <si>
    <t>廣隆</t>
  </si>
  <si>
    <t>正峰新</t>
  </si>
  <si>
    <t>巨庭</t>
  </si>
  <si>
    <t>喬福</t>
  </si>
  <si>
    <t>錩泰</t>
  </si>
  <si>
    <t>中砂</t>
  </si>
  <si>
    <t>信錦</t>
  </si>
  <si>
    <t>程泰</t>
  </si>
  <si>
    <t>F-永冠</t>
  </si>
  <si>
    <t>F-亞德</t>
  </si>
  <si>
    <t>華電</t>
  </si>
  <si>
    <t>聲寶</t>
  </si>
  <si>
    <t>華新</t>
  </si>
  <si>
    <t>華榮</t>
  </si>
  <si>
    <t>大亞</t>
  </si>
  <si>
    <t>中電</t>
  </si>
  <si>
    <t>宏泰</t>
  </si>
  <si>
    <t>台一</t>
  </si>
  <si>
    <t>三洋電</t>
  </si>
  <si>
    <t>大山</t>
  </si>
  <si>
    <t>億泰</t>
  </si>
  <si>
    <t>榮星</t>
  </si>
  <si>
    <t>合機</t>
  </si>
  <si>
    <t>F-艾美</t>
  </si>
  <si>
    <t>中化</t>
  </si>
  <si>
    <t>南僑</t>
  </si>
  <si>
    <t>榮化</t>
  </si>
  <si>
    <t>葡萄王</t>
  </si>
  <si>
    <t>東鹼</t>
  </si>
  <si>
    <t>和益</t>
  </si>
  <si>
    <t>東聯</t>
  </si>
  <si>
    <t>永光</t>
  </si>
  <si>
    <t>興農</t>
  </si>
  <si>
    <t>國化</t>
  </si>
  <si>
    <t>和桐</t>
  </si>
  <si>
    <t>亞化</t>
  </si>
  <si>
    <t>長興</t>
  </si>
  <si>
    <t>中纖</t>
  </si>
  <si>
    <t>生達</t>
  </si>
  <si>
    <t>三晃</t>
  </si>
  <si>
    <t>台肥</t>
  </si>
  <si>
    <t>中碳</t>
  </si>
  <si>
    <t>台硝</t>
  </si>
  <si>
    <t>元禎</t>
  </si>
  <si>
    <t>永記</t>
  </si>
  <si>
    <t>中華化</t>
  </si>
  <si>
    <t>必翔</t>
  </si>
  <si>
    <t>花仙子</t>
  </si>
  <si>
    <t>美吾華</t>
  </si>
  <si>
    <t>毛寶</t>
  </si>
  <si>
    <t>五鼎</t>
  </si>
  <si>
    <t>杏輝</t>
  </si>
  <si>
    <t>日勝化</t>
  </si>
  <si>
    <t>喬山</t>
  </si>
  <si>
    <t>臺鹽</t>
  </si>
  <si>
    <t>中化生</t>
  </si>
  <si>
    <t>勝一</t>
  </si>
  <si>
    <t>神隆</t>
  </si>
  <si>
    <t>台玻</t>
  </si>
  <si>
    <t>寶徠</t>
  </si>
  <si>
    <t>冠軍</t>
  </si>
  <si>
    <t>潤隆</t>
  </si>
  <si>
    <t>中釉</t>
  </si>
  <si>
    <t>和成</t>
  </si>
  <si>
    <t>台紙</t>
  </si>
  <si>
    <t>士紙</t>
  </si>
  <si>
    <t>正隆</t>
  </si>
  <si>
    <t>華紙</t>
  </si>
  <si>
    <t>寶隆</t>
  </si>
  <si>
    <t>永豐餘</t>
  </si>
  <si>
    <t>榮成</t>
  </si>
  <si>
    <t>中鋼</t>
  </si>
  <si>
    <t>2002A</t>
  </si>
  <si>
    <t>中鋼特</t>
  </si>
  <si>
    <t>東鋼</t>
  </si>
  <si>
    <t>燁興</t>
  </si>
  <si>
    <t>高興昌</t>
  </si>
  <si>
    <t>第一銅</t>
  </si>
  <si>
    <t>春源</t>
  </si>
  <si>
    <t>春雨</t>
  </si>
  <si>
    <t>中鋼構</t>
  </si>
  <si>
    <t>中鴻</t>
  </si>
  <si>
    <t>豐興</t>
  </si>
  <si>
    <t>官田鋼</t>
  </si>
  <si>
    <t>美亞</t>
  </si>
  <si>
    <t>聚亨</t>
  </si>
  <si>
    <t>燁輝</t>
  </si>
  <si>
    <t>志聯</t>
  </si>
  <si>
    <t>千興</t>
  </si>
  <si>
    <t>大成鋼</t>
  </si>
  <si>
    <t>威致</t>
  </si>
  <si>
    <t>盛餘</t>
  </si>
  <si>
    <t>彰源</t>
  </si>
  <si>
    <t>新光鋼</t>
  </si>
  <si>
    <t>新鋼</t>
  </si>
  <si>
    <t>佳大</t>
  </si>
  <si>
    <t>允強</t>
  </si>
  <si>
    <t>海光</t>
  </si>
  <si>
    <t>上銀</t>
  </si>
  <si>
    <t>川湖</t>
  </si>
  <si>
    <t>橋椿</t>
  </si>
  <si>
    <t>南港</t>
  </si>
  <si>
    <t>泰豐</t>
  </si>
  <si>
    <t>台橡</t>
  </si>
  <si>
    <t>中橡</t>
  </si>
  <si>
    <t>正新</t>
  </si>
  <si>
    <t>建大</t>
  </si>
  <si>
    <t>厚生</t>
  </si>
  <si>
    <t>南帝</t>
  </si>
  <si>
    <t>華豐</t>
  </si>
  <si>
    <t>鑫永銓</t>
  </si>
  <si>
    <t>裕隆</t>
  </si>
  <si>
    <t>中華</t>
  </si>
  <si>
    <t>三陽</t>
  </si>
  <si>
    <t>和泰車</t>
  </si>
  <si>
    <t>台船</t>
  </si>
  <si>
    <t>裕日車</t>
  </si>
  <si>
    <t>為升</t>
  </si>
  <si>
    <t>光寶科</t>
  </si>
  <si>
    <t>麗正</t>
  </si>
  <si>
    <t>聯電</t>
  </si>
  <si>
    <t>全友</t>
  </si>
  <si>
    <t>台達電</t>
  </si>
  <si>
    <t>日月光</t>
  </si>
  <si>
    <t>金寶</t>
  </si>
  <si>
    <t>華通</t>
  </si>
  <si>
    <t>台揚</t>
  </si>
  <si>
    <t>神達</t>
  </si>
  <si>
    <t>楠梓電</t>
  </si>
  <si>
    <t>鴻海</t>
  </si>
  <si>
    <t>東訊</t>
  </si>
  <si>
    <t>中環</t>
  </si>
  <si>
    <t>仁寶</t>
  </si>
  <si>
    <t>矽品</t>
  </si>
  <si>
    <t>國巨</t>
  </si>
  <si>
    <t>廣宇</t>
  </si>
  <si>
    <t>華泰</t>
  </si>
  <si>
    <t>台積電</t>
  </si>
  <si>
    <t>精英</t>
  </si>
  <si>
    <t>友訊</t>
  </si>
  <si>
    <t>旺宏</t>
  </si>
  <si>
    <t>光罩</t>
  </si>
  <si>
    <t>光磊</t>
  </si>
  <si>
    <t>茂矽</t>
  </si>
  <si>
    <t>華邦電</t>
  </si>
  <si>
    <t>智邦</t>
  </si>
  <si>
    <t>聯強</t>
  </si>
  <si>
    <t>海悅</t>
  </si>
  <si>
    <t>錸德</t>
  </si>
  <si>
    <t>順德</t>
  </si>
  <si>
    <t>佳世達</t>
  </si>
  <si>
    <t>宏碁</t>
  </si>
  <si>
    <t>鴻準</t>
  </si>
  <si>
    <t>敬鵬</t>
  </si>
  <si>
    <t>英業達</t>
  </si>
  <si>
    <t>華碩</t>
  </si>
  <si>
    <t>美格</t>
  </si>
  <si>
    <t>所羅門</t>
  </si>
  <si>
    <t>致茂</t>
  </si>
  <si>
    <t>鴻友</t>
  </si>
  <si>
    <t>藍天</t>
  </si>
  <si>
    <t>矽統</t>
  </si>
  <si>
    <t>倫飛</t>
  </si>
  <si>
    <t>昆盈</t>
  </si>
  <si>
    <t>燿華</t>
  </si>
  <si>
    <t>金像電</t>
  </si>
  <si>
    <t>菱生</t>
  </si>
  <si>
    <t>大同</t>
  </si>
  <si>
    <t>震旦行</t>
  </si>
  <si>
    <t>佳能</t>
  </si>
  <si>
    <t>智寶</t>
  </si>
  <si>
    <t>技嘉</t>
  </si>
  <si>
    <t>微星</t>
  </si>
  <si>
    <t>瑞昱</t>
  </si>
  <si>
    <t>虹光</t>
  </si>
  <si>
    <t>廣達</t>
  </si>
  <si>
    <t>台光電</t>
  </si>
  <si>
    <t>勝華</t>
  </si>
  <si>
    <t>群光</t>
  </si>
  <si>
    <t>精元</t>
  </si>
  <si>
    <t>威盛</t>
  </si>
  <si>
    <t>云辰</t>
  </si>
  <si>
    <t>正崴</t>
  </si>
  <si>
    <t>億光</t>
  </si>
  <si>
    <t>研華</t>
  </si>
  <si>
    <t>友通</t>
  </si>
  <si>
    <t>映泰</t>
  </si>
  <si>
    <t>凌陽</t>
  </si>
  <si>
    <t>毅嘉</t>
  </si>
  <si>
    <t>漢唐</t>
  </si>
  <si>
    <t>浩鑫</t>
  </si>
  <si>
    <t>國碩</t>
  </si>
  <si>
    <t>南科</t>
  </si>
  <si>
    <t>友達</t>
  </si>
  <si>
    <t>中華電</t>
  </si>
  <si>
    <t>環科</t>
  </si>
  <si>
    <t>精技</t>
  </si>
  <si>
    <t>錩新</t>
  </si>
  <si>
    <t>圓剛</t>
  </si>
  <si>
    <t>仲琦</t>
  </si>
  <si>
    <t>新巨</t>
  </si>
  <si>
    <t>建準</t>
  </si>
  <si>
    <t>固緯</t>
  </si>
  <si>
    <t>隴華</t>
  </si>
  <si>
    <t>承啟</t>
  </si>
  <si>
    <t>鼎元</t>
  </si>
  <si>
    <t>三商電</t>
  </si>
  <si>
    <t>興勤</t>
  </si>
  <si>
    <t>銘旺科</t>
  </si>
  <si>
    <t>燦坤</t>
  </si>
  <si>
    <t>聯昌</t>
  </si>
  <si>
    <t>互盛電</t>
  </si>
  <si>
    <t>統懋</t>
  </si>
  <si>
    <t>偉詮電</t>
  </si>
  <si>
    <t>旺詮</t>
  </si>
  <si>
    <t>英誌</t>
  </si>
  <si>
    <t>美律</t>
  </si>
  <si>
    <t>太空梭</t>
  </si>
  <si>
    <t>超豐</t>
  </si>
  <si>
    <t>新美齊</t>
  </si>
  <si>
    <t>新利虹</t>
  </si>
  <si>
    <t>友旺</t>
  </si>
  <si>
    <t>晶電</t>
  </si>
  <si>
    <t>京元電</t>
  </si>
  <si>
    <t>神腦</t>
  </si>
  <si>
    <t>創見</t>
  </si>
  <si>
    <t>凌群</t>
  </si>
  <si>
    <t>聯發科</t>
  </si>
  <si>
    <t>全新</t>
  </si>
  <si>
    <t>奇力新</t>
  </si>
  <si>
    <t>飛宏</t>
  </si>
  <si>
    <t>義隆</t>
  </si>
  <si>
    <t>敦吉</t>
  </si>
  <si>
    <t>建通</t>
  </si>
  <si>
    <t>光群雷</t>
  </si>
  <si>
    <t>良得電</t>
  </si>
  <si>
    <t>盟立</t>
  </si>
  <si>
    <t>麗臺</t>
  </si>
  <si>
    <t>冠西電</t>
  </si>
  <si>
    <t>志聖</t>
  </si>
  <si>
    <t>華經</t>
  </si>
  <si>
    <t>資通</t>
  </si>
  <si>
    <t>立隆電</t>
  </si>
  <si>
    <t>可成</t>
  </si>
  <si>
    <t>華映</t>
  </si>
  <si>
    <t>鉅祥</t>
  </si>
  <si>
    <t>美隆電</t>
  </si>
  <si>
    <t>大毅</t>
  </si>
  <si>
    <t>敦陽科</t>
  </si>
  <si>
    <t>強茂</t>
  </si>
  <si>
    <t>連宇</t>
  </si>
  <si>
    <t>百容</t>
  </si>
  <si>
    <t>希華</t>
  </si>
  <si>
    <t>兆赫</t>
  </si>
  <si>
    <t>一詮</t>
  </si>
  <si>
    <t>漢平</t>
  </si>
  <si>
    <t>瑞軒</t>
  </si>
  <si>
    <t>吉祥全</t>
  </si>
  <si>
    <t>華新科</t>
  </si>
  <si>
    <t>揚博</t>
  </si>
  <si>
    <t>普安</t>
  </si>
  <si>
    <t>卓越</t>
  </si>
  <si>
    <t>怡利電</t>
  </si>
  <si>
    <t>宏達電</t>
  </si>
  <si>
    <t>東貝</t>
  </si>
  <si>
    <t>國建</t>
  </si>
  <si>
    <t>國產</t>
  </si>
  <si>
    <t>國揚</t>
  </si>
  <si>
    <t>太設</t>
  </si>
  <si>
    <t>全坤建</t>
  </si>
  <si>
    <t>太子</t>
  </si>
  <si>
    <t>龍邦</t>
  </si>
  <si>
    <t>中工</t>
  </si>
  <si>
    <t>新建</t>
  </si>
  <si>
    <t>冠德</t>
  </si>
  <si>
    <t>京城</t>
  </si>
  <si>
    <t>宏璟</t>
  </si>
  <si>
    <t>皇普</t>
  </si>
  <si>
    <t>華建</t>
  </si>
  <si>
    <t>宏盛</t>
  </si>
  <si>
    <t>達欣工</t>
  </si>
  <si>
    <t>宏普</t>
  </si>
  <si>
    <t>聯上發</t>
  </si>
  <si>
    <t>基泰</t>
  </si>
  <si>
    <t>櫻花建</t>
  </si>
  <si>
    <t>金尚昌</t>
  </si>
  <si>
    <t>興富發</t>
  </si>
  <si>
    <t>皇昌</t>
  </si>
  <si>
    <t>皇翔</t>
  </si>
  <si>
    <t>根基</t>
  </si>
  <si>
    <t>日勝生</t>
  </si>
  <si>
    <t>華固</t>
  </si>
  <si>
    <t>潤弘</t>
  </si>
  <si>
    <t>益航</t>
  </si>
  <si>
    <t>長榮</t>
  </si>
  <si>
    <t>新興</t>
  </si>
  <si>
    <t>裕民</t>
  </si>
  <si>
    <t>榮運</t>
  </si>
  <si>
    <t>大榮</t>
  </si>
  <si>
    <t>陽明</t>
  </si>
  <si>
    <t>華航</t>
  </si>
  <si>
    <t>志信</t>
  </si>
  <si>
    <t>中航</t>
  </si>
  <si>
    <t>中櫃</t>
  </si>
  <si>
    <t>東森</t>
  </si>
  <si>
    <t>萬海</t>
  </si>
  <si>
    <t>山隆</t>
  </si>
  <si>
    <t>台航</t>
  </si>
  <si>
    <t>長榮航</t>
  </si>
  <si>
    <t>F-慧洋</t>
  </si>
  <si>
    <t>萬企</t>
  </si>
  <si>
    <t>華園</t>
  </si>
  <si>
    <t>國賓</t>
  </si>
  <si>
    <t>六福</t>
  </si>
  <si>
    <t>第一店</t>
  </si>
  <si>
    <t>晶華</t>
  </si>
  <si>
    <t>夏都</t>
  </si>
  <si>
    <t>F-美食</t>
  </si>
  <si>
    <t>王品</t>
  </si>
  <si>
    <t>彰銀</t>
  </si>
  <si>
    <t>京城銀</t>
  </si>
  <si>
    <t>台中銀</t>
  </si>
  <si>
    <t>旺旺保</t>
  </si>
  <si>
    <t>華票</t>
  </si>
  <si>
    <t>中壽</t>
  </si>
  <si>
    <t>台產</t>
  </si>
  <si>
    <t>台壽保</t>
  </si>
  <si>
    <t>2833A</t>
  </si>
  <si>
    <t>台壽甲</t>
  </si>
  <si>
    <t>臺企銀</t>
  </si>
  <si>
    <t>高雄銀</t>
  </si>
  <si>
    <t>萬泰銀</t>
  </si>
  <si>
    <t>聯邦銀</t>
  </si>
  <si>
    <t>台開</t>
  </si>
  <si>
    <t>遠東銀</t>
  </si>
  <si>
    <t>大眾銀</t>
  </si>
  <si>
    <t>安泰銀</t>
  </si>
  <si>
    <t>新產</t>
  </si>
  <si>
    <t>中再保</t>
  </si>
  <si>
    <t>第一保</t>
  </si>
  <si>
    <t>統一證</t>
  </si>
  <si>
    <t>元富證</t>
  </si>
  <si>
    <t>三商壽</t>
  </si>
  <si>
    <t>華南金</t>
  </si>
  <si>
    <t>富邦金</t>
  </si>
  <si>
    <t>國泰金</t>
  </si>
  <si>
    <t>開發金</t>
  </si>
  <si>
    <t>玉山金</t>
  </si>
  <si>
    <t>元大金</t>
  </si>
  <si>
    <t>兆豐金</t>
  </si>
  <si>
    <t>台新金</t>
  </si>
  <si>
    <t>新光金</t>
  </si>
  <si>
    <t>國票金</t>
  </si>
  <si>
    <t>永豐金</t>
  </si>
  <si>
    <t>中信金</t>
  </si>
  <si>
    <t>第一金</t>
  </si>
  <si>
    <t>欣欣</t>
  </si>
  <si>
    <t>遠百</t>
  </si>
  <si>
    <t>匯僑</t>
  </si>
  <si>
    <t>三商行</t>
  </si>
  <si>
    <t>高林</t>
  </si>
  <si>
    <t>特力</t>
  </si>
  <si>
    <t>統領</t>
  </si>
  <si>
    <t>麗嬰房</t>
  </si>
  <si>
    <t>統一超</t>
  </si>
  <si>
    <t>農林</t>
  </si>
  <si>
    <t>潤泰全</t>
  </si>
  <si>
    <t>F-鼎固</t>
  </si>
  <si>
    <t>歐格</t>
  </si>
  <si>
    <t>健和興</t>
  </si>
  <si>
    <t>豐達科</t>
  </si>
  <si>
    <t>神基</t>
  </si>
  <si>
    <t>晶豪科</t>
  </si>
  <si>
    <t>大立光</t>
  </si>
  <si>
    <t>華立</t>
  </si>
  <si>
    <t>今皓</t>
  </si>
  <si>
    <t>晟銘電</t>
  </si>
  <si>
    <t>聯陽</t>
  </si>
  <si>
    <t>全漢</t>
  </si>
  <si>
    <t>嘉晶</t>
  </si>
  <si>
    <t>奇鋐</t>
  </si>
  <si>
    <t>同開</t>
  </si>
  <si>
    <t>亞光</t>
  </si>
  <si>
    <t>衛展</t>
  </si>
  <si>
    <t>威達電</t>
  </si>
  <si>
    <t>信邦</t>
  </si>
  <si>
    <t>憶聲</t>
  </si>
  <si>
    <t>星通</t>
  </si>
  <si>
    <t>禾伸堂</t>
  </si>
  <si>
    <t>盛達</t>
  </si>
  <si>
    <t>增你強</t>
  </si>
  <si>
    <t>零壹</t>
  </si>
  <si>
    <t>德律</t>
  </si>
  <si>
    <t>佰鴻</t>
  </si>
  <si>
    <t>偉訓</t>
  </si>
  <si>
    <t>威健</t>
  </si>
  <si>
    <t>聯詠</t>
  </si>
  <si>
    <t>智原</t>
  </si>
  <si>
    <t>文曄</t>
  </si>
  <si>
    <t>欣興</t>
  </si>
  <si>
    <t>全台</t>
  </si>
  <si>
    <t>遠見</t>
  </si>
  <si>
    <t>揚智</t>
  </si>
  <si>
    <t>晶技</t>
  </si>
  <si>
    <t>科風</t>
  </si>
  <si>
    <t>健鼎</t>
  </si>
  <si>
    <t>台灣大</t>
  </si>
  <si>
    <t>建碁</t>
  </si>
  <si>
    <t>訊舟</t>
  </si>
  <si>
    <t>益登</t>
  </si>
  <si>
    <t>和鑫</t>
  </si>
  <si>
    <t>鈺德</t>
  </si>
  <si>
    <t>力特</t>
  </si>
  <si>
    <t>夆典</t>
  </si>
  <si>
    <t>萬國</t>
  </si>
  <si>
    <t>蔚華科</t>
  </si>
  <si>
    <t>總太</t>
  </si>
  <si>
    <t>喬鼎</t>
  </si>
  <si>
    <t>立德</t>
  </si>
  <si>
    <t>華晶科</t>
  </si>
  <si>
    <t>銘異</t>
  </si>
  <si>
    <t>璨圓</t>
  </si>
  <si>
    <t>建漢</t>
  </si>
  <si>
    <t>日電貿</t>
  </si>
  <si>
    <t>聯傑</t>
  </si>
  <si>
    <t>一零四</t>
  </si>
  <si>
    <t>正達</t>
  </si>
  <si>
    <t>景岳</t>
  </si>
  <si>
    <t>景碩</t>
  </si>
  <si>
    <t>全科</t>
  </si>
  <si>
    <t>晟鈦</t>
  </si>
  <si>
    <t>緯創</t>
  </si>
  <si>
    <t>虹冠電</t>
  </si>
  <si>
    <t>勝德</t>
  </si>
  <si>
    <t>昇貿</t>
  </si>
  <si>
    <t>聯德</t>
  </si>
  <si>
    <t>閎暉</t>
  </si>
  <si>
    <t>弘憶股</t>
  </si>
  <si>
    <t>宣昶</t>
  </si>
  <si>
    <t>奇偶</t>
  </si>
  <si>
    <t>新日興</t>
  </si>
  <si>
    <t>明泰</t>
  </si>
  <si>
    <t>新世紀</t>
  </si>
  <si>
    <t>玉晶光</t>
  </si>
  <si>
    <t>譁裕</t>
  </si>
  <si>
    <t>台端</t>
  </si>
  <si>
    <t>創意</t>
  </si>
  <si>
    <t>聯鈞</t>
  </si>
  <si>
    <t>晶睿</t>
  </si>
  <si>
    <t>華亞科</t>
  </si>
  <si>
    <t>群創</t>
  </si>
  <si>
    <t>誠研</t>
  </si>
  <si>
    <t>維熹</t>
  </si>
  <si>
    <t>揚明光</t>
  </si>
  <si>
    <t>昱晶</t>
  </si>
  <si>
    <t>華擎</t>
  </si>
  <si>
    <t>柏騰</t>
  </si>
  <si>
    <t>綠能</t>
  </si>
  <si>
    <t>台勝科</t>
  </si>
  <si>
    <t>嘉澤</t>
  </si>
  <si>
    <t>晶彩科</t>
  </si>
  <si>
    <t>誠創</t>
  </si>
  <si>
    <t>旭曜</t>
  </si>
  <si>
    <t>聯穎</t>
  </si>
  <si>
    <t>嘉威</t>
  </si>
  <si>
    <t>全智科</t>
  </si>
  <si>
    <t>昇陽科</t>
  </si>
  <si>
    <t>穎台</t>
  </si>
  <si>
    <t>新日光</t>
  </si>
  <si>
    <t>尚志</t>
  </si>
  <si>
    <t>辛耘</t>
  </si>
  <si>
    <t>介面</t>
  </si>
  <si>
    <t>通嘉</t>
  </si>
  <si>
    <t>艾笛森</t>
  </si>
  <si>
    <t>力銘</t>
  </si>
  <si>
    <t>智易</t>
  </si>
  <si>
    <t>奕力</t>
  </si>
  <si>
    <t>宏致</t>
  </si>
  <si>
    <t>谷崧</t>
  </si>
  <si>
    <t>碩天</t>
  </si>
  <si>
    <t>洋華</t>
  </si>
  <si>
    <t>F-IML</t>
  </si>
  <si>
    <t>達邁</t>
  </si>
  <si>
    <t>健策</t>
  </si>
  <si>
    <t>F-貿聯</t>
  </si>
  <si>
    <t>圓展</t>
  </si>
  <si>
    <t>F-TPK</t>
  </si>
  <si>
    <t>新至陞</t>
  </si>
  <si>
    <t>達能</t>
  </si>
  <si>
    <t>海華</t>
  </si>
  <si>
    <t>F-晨星</t>
  </si>
  <si>
    <t>隆達</t>
  </si>
  <si>
    <t>大眾控</t>
  </si>
  <si>
    <t>大聯大</t>
  </si>
  <si>
    <t>欣陸</t>
  </si>
  <si>
    <t>合勤控</t>
  </si>
  <si>
    <t>永信</t>
  </si>
  <si>
    <t>佳醫</t>
  </si>
  <si>
    <t>雃博</t>
  </si>
  <si>
    <t>懷特</t>
  </si>
  <si>
    <t>旭富</t>
  </si>
  <si>
    <t>亞諾法</t>
  </si>
  <si>
    <t>F-龍燈</t>
  </si>
  <si>
    <t>國光生</t>
  </si>
  <si>
    <t>F-康聯</t>
  </si>
  <si>
    <t>承業醫</t>
  </si>
  <si>
    <t>炎洲</t>
  </si>
  <si>
    <t>如興</t>
  </si>
  <si>
    <t>利勤</t>
  </si>
  <si>
    <t>東台</t>
  </si>
  <si>
    <t>瑞智</t>
  </si>
  <si>
    <t>國精化</t>
  </si>
  <si>
    <t>信昌化</t>
  </si>
  <si>
    <t>上緯</t>
  </si>
  <si>
    <t>華廣</t>
  </si>
  <si>
    <t>台耀</t>
  </si>
  <si>
    <t>遠傳</t>
  </si>
  <si>
    <t>正文</t>
  </si>
  <si>
    <t>致伸</t>
  </si>
  <si>
    <t>新唐</t>
  </si>
  <si>
    <t>燦星網</t>
  </si>
  <si>
    <t>太極</t>
  </si>
  <si>
    <t>F-茂林</t>
  </si>
  <si>
    <t>和碩</t>
  </si>
  <si>
    <t>嘉彰</t>
  </si>
  <si>
    <t>凌通</t>
  </si>
  <si>
    <t>光鋐</t>
  </si>
  <si>
    <t>F-臻鼎</t>
  </si>
  <si>
    <t>奇美材</t>
  </si>
  <si>
    <t>佳凌</t>
  </si>
  <si>
    <t>F-科納</t>
  </si>
  <si>
    <t>鑫禾</t>
  </si>
  <si>
    <t>三星</t>
  </si>
  <si>
    <t>訊連</t>
  </si>
  <si>
    <t>F-科嘉</t>
  </si>
  <si>
    <t>F-東科</t>
  </si>
  <si>
    <t>達興</t>
  </si>
  <si>
    <t>F-鎧勝</t>
  </si>
  <si>
    <t>祥碩</t>
  </si>
  <si>
    <t>敦南</t>
  </si>
  <si>
    <t>中磊</t>
  </si>
  <si>
    <t>崇越</t>
  </si>
  <si>
    <t>瀚宇博</t>
  </si>
  <si>
    <t>松翰</t>
  </si>
  <si>
    <t>慧友</t>
  </si>
  <si>
    <t>建國</t>
  </si>
  <si>
    <t>工信</t>
  </si>
  <si>
    <t>遠雄</t>
  </si>
  <si>
    <t>順天</t>
  </si>
  <si>
    <t>鄉林</t>
  </si>
  <si>
    <t>皇鼎</t>
  </si>
  <si>
    <t>長虹</t>
  </si>
  <si>
    <t>遠雄港</t>
  </si>
  <si>
    <t>四維航</t>
  </si>
  <si>
    <t>鳳凰</t>
  </si>
  <si>
    <t>F-中租</t>
  </si>
  <si>
    <t>合庫金</t>
  </si>
  <si>
    <t>F-台南</t>
  </si>
  <si>
    <t>F-大洋</t>
  </si>
  <si>
    <t>群益證</t>
  </si>
  <si>
    <t>競國</t>
  </si>
  <si>
    <t>聚碩</t>
  </si>
  <si>
    <t>鎰勝</t>
  </si>
  <si>
    <t>彩晶</t>
  </si>
  <si>
    <t>迎廣</t>
  </si>
  <si>
    <t>輔祥</t>
  </si>
  <si>
    <t>上福</t>
  </si>
  <si>
    <t>悠克</t>
  </si>
  <si>
    <t>金橋</t>
  </si>
  <si>
    <t>富爾特</t>
  </si>
  <si>
    <t>亞翔</t>
  </si>
  <si>
    <t>柏承</t>
  </si>
  <si>
    <t>友勁</t>
  </si>
  <si>
    <t>勁永</t>
  </si>
  <si>
    <t>百一</t>
  </si>
  <si>
    <t>嘉聯益</t>
  </si>
  <si>
    <t>鈞寶</t>
  </si>
  <si>
    <t>華興</t>
  </si>
  <si>
    <t>捷泰</t>
  </si>
  <si>
    <t>凌華</t>
  </si>
  <si>
    <t>宏齊</t>
  </si>
  <si>
    <t>互億</t>
  </si>
  <si>
    <t>瑞儀</t>
  </si>
  <si>
    <t>關貿</t>
  </si>
  <si>
    <t>大豐電</t>
  </si>
  <si>
    <t>豐藝</t>
  </si>
  <si>
    <t>精成科</t>
  </si>
  <si>
    <t>巨路</t>
  </si>
  <si>
    <t>帆宣</t>
  </si>
  <si>
    <t>佳必琪</t>
  </si>
  <si>
    <t>亞弘電</t>
  </si>
  <si>
    <t>盛群</t>
  </si>
  <si>
    <t>詮欣</t>
  </si>
  <si>
    <t>飛捷</t>
  </si>
  <si>
    <t>今國光</t>
  </si>
  <si>
    <t>聯茂</t>
  </si>
  <si>
    <t>精誠</t>
  </si>
  <si>
    <t>和椿</t>
  </si>
  <si>
    <t>居易</t>
  </si>
  <si>
    <t>聚鼎</t>
  </si>
  <si>
    <t>天瀚</t>
  </si>
  <si>
    <t>光鼎</t>
  </si>
  <si>
    <t>超眾</t>
  </si>
  <si>
    <t>華孚</t>
  </si>
  <si>
    <t>力成</t>
  </si>
  <si>
    <t>迅杰</t>
  </si>
  <si>
    <t>定穎</t>
  </si>
  <si>
    <t>矽格</t>
  </si>
  <si>
    <t>台郡</t>
  </si>
  <si>
    <t>同欣電</t>
  </si>
  <si>
    <t>宏正</t>
  </si>
  <si>
    <t>台表科</t>
  </si>
  <si>
    <t>全國電</t>
  </si>
  <si>
    <t>康舒</t>
  </si>
  <si>
    <t>淳安</t>
  </si>
  <si>
    <t>啟碁</t>
  </si>
  <si>
    <t>立錡</t>
  </si>
  <si>
    <t>華上</t>
  </si>
  <si>
    <t>南六</t>
  </si>
  <si>
    <t>台塑化</t>
  </si>
  <si>
    <t>帝寶</t>
  </si>
  <si>
    <t>復航</t>
  </si>
  <si>
    <t>建興電</t>
  </si>
  <si>
    <t>台通</t>
  </si>
  <si>
    <t>矽創</t>
  </si>
  <si>
    <t>尖點</t>
  </si>
  <si>
    <t>雷虎</t>
  </si>
  <si>
    <t>台虹</t>
  </si>
  <si>
    <t>南電</t>
  </si>
  <si>
    <t>長華</t>
  </si>
  <si>
    <t>陞泰</t>
  </si>
  <si>
    <t>華寶</t>
  </si>
  <si>
    <t>致新</t>
  </si>
  <si>
    <t>華冠</t>
  </si>
  <si>
    <t>瀚荃</t>
  </si>
  <si>
    <t>凌巨</t>
  </si>
  <si>
    <t>華東</t>
  </si>
  <si>
    <t>至上</t>
  </si>
  <si>
    <t>振樺電</t>
  </si>
  <si>
    <t>福懋科</t>
  </si>
  <si>
    <t>達方</t>
  </si>
  <si>
    <t>無敵</t>
  </si>
  <si>
    <t>勤誠</t>
  </si>
  <si>
    <t>志超</t>
  </si>
  <si>
    <t>明基材</t>
  </si>
  <si>
    <t>菱光</t>
  </si>
  <si>
    <t>富鼎</t>
  </si>
  <si>
    <t>宇瞻</t>
  </si>
  <si>
    <t>羅昇</t>
  </si>
  <si>
    <t>F-百和</t>
  </si>
  <si>
    <t>F-福貞</t>
  </si>
  <si>
    <t>可寧衛</t>
  </si>
  <si>
    <t>F-基勝</t>
  </si>
  <si>
    <t>F-金麗</t>
  </si>
  <si>
    <t>台汽電</t>
  </si>
  <si>
    <t>新天地</t>
  </si>
  <si>
    <t>新曄</t>
  </si>
  <si>
    <t>美德醫</t>
  </si>
  <si>
    <t>康師傅</t>
  </si>
  <si>
    <t>聖馬丁</t>
  </si>
  <si>
    <t>泰金寶</t>
  </si>
  <si>
    <t>歐聖</t>
  </si>
  <si>
    <t>新焦點</t>
  </si>
  <si>
    <t>新傳媒</t>
  </si>
  <si>
    <t>金衛</t>
  </si>
  <si>
    <t>神州</t>
  </si>
  <si>
    <t>Z-OBEE</t>
  </si>
  <si>
    <t>越南控</t>
  </si>
  <si>
    <t>僑威控</t>
  </si>
  <si>
    <t>華豐泰</t>
  </si>
  <si>
    <t>明輝</t>
  </si>
  <si>
    <t>揚子江</t>
  </si>
  <si>
    <t>聯環</t>
  </si>
  <si>
    <t>中泰山</t>
  </si>
  <si>
    <t>滬安</t>
  </si>
  <si>
    <t>杜康</t>
  </si>
  <si>
    <t>HISAKA</t>
  </si>
  <si>
    <t>泰聚亨</t>
  </si>
  <si>
    <t>MSH</t>
  </si>
  <si>
    <t>真明麗</t>
  </si>
  <si>
    <t>晨訊科</t>
  </si>
  <si>
    <t>友佳</t>
  </si>
  <si>
    <t>巨騰</t>
  </si>
  <si>
    <t>大成糖</t>
  </si>
  <si>
    <t>旺旺</t>
  </si>
  <si>
    <t>陽光能</t>
  </si>
  <si>
    <t>精熙</t>
  </si>
  <si>
    <t>F-鈺齊</t>
  </si>
  <si>
    <t>台火</t>
  </si>
  <si>
    <t>寶成</t>
  </si>
  <si>
    <t>大華</t>
  </si>
  <si>
    <t>興達</t>
  </si>
  <si>
    <t>統一實</t>
  </si>
  <si>
    <t>大台北</t>
  </si>
  <si>
    <t>豐泰</t>
  </si>
  <si>
    <t>櫻花</t>
  </si>
  <si>
    <t>偉聯</t>
  </si>
  <si>
    <t>美利達</t>
  </si>
  <si>
    <t>中保</t>
  </si>
  <si>
    <t>欣天然</t>
  </si>
  <si>
    <t>康那香</t>
  </si>
  <si>
    <t>巨大</t>
  </si>
  <si>
    <t>福興</t>
  </si>
  <si>
    <t>新保</t>
  </si>
  <si>
    <t>新海</t>
  </si>
  <si>
    <t>泰銘</t>
  </si>
  <si>
    <t>中視</t>
  </si>
  <si>
    <t>秋雨</t>
  </si>
  <si>
    <t>中聯資</t>
  </si>
  <si>
    <t>欣高</t>
  </si>
  <si>
    <t>中鼎</t>
  </si>
  <si>
    <t>成霖</t>
  </si>
  <si>
    <t>慶豐富</t>
  </si>
  <si>
    <t>全國</t>
  </si>
  <si>
    <t>百和</t>
  </si>
  <si>
    <t>宏全</t>
  </si>
  <si>
    <t>信義</t>
  </si>
  <si>
    <t>裕融</t>
  </si>
  <si>
    <t>茂順</t>
  </si>
  <si>
    <t>好樂迪</t>
  </si>
  <si>
    <t>新麗</t>
  </si>
  <si>
    <t>潤泰新</t>
  </si>
  <si>
    <t>佳龍</t>
  </si>
  <si>
    <t>世紀鋼</t>
  </si>
  <si>
    <t>漲跌符號說明:[+ -&gt;漲][- -&gt;跌][X -&gt;不比價]</t>
  </si>
  <si>
    <t>說明一:當證券代號為認購權證時本益比欄位置為結算價</t>
  </si>
  <si>
    <t>說明二:當證券代號為外國股票時本益比欄位置為每交易單位所含股數</t>
  </si>
  <si>
    <t>說明三:以上成交資料不含拍賣、標購資料</t>
  </si>
  <si>
    <t>組界</t>
  </si>
  <si>
    <t>其他</t>
  </si>
  <si>
    <t>頻率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</si>
</sst>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4" fontId="0" fillId="0" borderId="0" xfId="0" applyNumberFormat="1">
      <alignment vertical="center"/>
    </xf>
    <xf numFmtId="3" fontId="0" fillId="0" borderId="0" xfId="0" applyNumberFormat="1">
      <alignment vertical="center"/>
    </xf>
    <xf numFmtId="0" fontId="0" fillId="0" borderId="0" xfId="0" applyNumberForma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10" xfId="0" applyFill="1" applyBorder="1" applyAlignment="1">
      <alignment vertical="center"/>
    </xf>
    <xf numFmtId="0" fontId="0" fillId="0" borderId="11" xfId="0" applyFont="1" applyFill="1" applyBorder="1" applyAlignment="1">
      <alignment horizontal="center"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頻率</c:v>
          </c:tx>
          <c:invertIfNegative val="0"/>
          <c:cat>
            <c:strRef>
              <c:f>工作表1!$H$2:$H$43</c:f>
              <c:strCache>
                <c:ptCount val="42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其他</c:v>
                </c:pt>
              </c:strCache>
            </c:strRef>
          </c:cat>
          <c:val>
            <c:numRef>
              <c:f>工作表1!$I$2:$I$43</c:f>
              <c:numCache>
                <c:formatCode>General</c:formatCode>
                <c:ptCount val="42"/>
                <c:pt idx="0">
                  <c:v>0</c:v>
                </c:pt>
                <c:pt idx="1">
                  <c:v>34</c:v>
                </c:pt>
                <c:pt idx="2">
                  <c:v>107</c:v>
                </c:pt>
                <c:pt idx="3">
                  <c:v>158</c:v>
                </c:pt>
                <c:pt idx="4">
                  <c:v>108</c:v>
                </c:pt>
                <c:pt idx="5">
                  <c:v>74</c:v>
                </c:pt>
                <c:pt idx="6">
                  <c:v>69</c:v>
                </c:pt>
                <c:pt idx="7">
                  <c:v>49</c:v>
                </c:pt>
                <c:pt idx="8">
                  <c:v>45</c:v>
                </c:pt>
                <c:pt idx="9">
                  <c:v>26</c:v>
                </c:pt>
                <c:pt idx="10">
                  <c:v>17</c:v>
                </c:pt>
                <c:pt idx="11">
                  <c:v>20</c:v>
                </c:pt>
                <c:pt idx="12">
                  <c:v>17</c:v>
                </c:pt>
                <c:pt idx="13">
                  <c:v>14</c:v>
                </c:pt>
                <c:pt idx="14">
                  <c:v>7</c:v>
                </c:pt>
                <c:pt idx="15">
                  <c:v>24</c:v>
                </c:pt>
                <c:pt idx="16">
                  <c:v>7</c:v>
                </c:pt>
                <c:pt idx="17">
                  <c:v>10</c:v>
                </c:pt>
                <c:pt idx="18">
                  <c:v>1</c:v>
                </c:pt>
                <c:pt idx="19">
                  <c:v>5</c:v>
                </c:pt>
                <c:pt idx="20">
                  <c:v>6</c:v>
                </c:pt>
                <c:pt idx="21">
                  <c:v>5</c:v>
                </c:pt>
                <c:pt idx="22">
                  <c:v>2</c:v>
                </c:pt>
                <c:pt idx="23">
                  <c:v>1</c:v>
                </c:pt>
                <c:pt idx="24">
                  <c:v>2</c:v>
                </c:pt>
                <c:pt idx="25">
                  <c:v>0</c:v>
                </c:pt>
                <c:pt idx="26">
                  <c:v>1</c:v>
                </c:pt>
                <c:pt idx="27">
                  <c:v>1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3</c:v>
                </c:pt>
                <c:pt idx="32">
                  <c:v>2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1</c:v>
                </c:pt>
                <c:pt idx="37">
                  <c:v>2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2B-40CA-A8F4-E4D2B68517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0390520"/>
        <c:axId val="440390912"/>
      </c:barChart>
      <c:catAx>
        <c:axId val="440390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TW"/>
                  <a:t>股價</a:t>
                </a:r>
                <a:r>
                  <a:rPr lang="en-US"/>
                  <a:t>(</a:t>
                </a:r>
                <a:r>
                  <a:rPr lang="zh-TW"/>
                  <a:t>元</a:t>
                </a:r>
                <a:r>
                  <a:rPr lang="en-US"/>
                  <a:t>)</a:t>
                </a:r>
                <a:endParaRPr lang="zh-TW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440390912"/>
        <c:crosses val="autoZero"/>
        <c:auto val="1"/>
        <c:lblAlgn val="ctr"/>
        <c:lblOffset val="100"/>
        <c:noMultiLvlLbl val="0"/>
      </c:catAx>
      <c:valAx>
        <c:axId val="4403909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zh-TW"/>
                  <a:t>頻率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440390520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200"/>
      </a:pPr>
      <a:endParaRPr lang="zh-TW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609600</xdr:colOff>
      <xdr:row>0</xdr:row>
      <xdr:rowOff>200025</xdr:rowOff>
    </xdr:from>
    <xdr:to>
      <xdr:col>17</xdr:col>
      <xdr:colOff>533399</xdr:colOff>
      <xdr:row>15</xdr:row>
      <xdr:rowOff>142875</xdr:rowOff>
    </xdr:to>
    <xdr:graphicFrame macro="">
      <xdr:nvGraphicFramePr>
        <xdr:cNvPr id="2" name="圖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89"/>
  <sheetViews>
    <sheetView workbookViewId="0">
      <selection activeCell="I140" sqref="I140:I985"/>
    </sheetView>
  </sheetViews>
  <sheetFormatPr defaultRowHeight="16.2" x14ac:dyDescent="0.3"/>
  <sheetData>
    <row r="1" spans="1:5" x14ac:dyDescent="0.3">
      <c r="A1" t="s">
        <v>0</v>
      </c>
    </row>
    <row r="2" spans="1:5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3">
      <c r="A3" t="s">
        <v>6</v>
      </c>
      <c r="B3" s="1">
        <v>8036</v>
      </c>
      <c r="C3" t="s">
        <v>7</v>
      </c>
      <c r="D3">
        <v>26.21</v>
      </c>
      <c r="E3">
        <v>-0.33</v>
      </c>
    </row>
    <row r="4" spans="1:5" x14ac:dyDescent="0.3">
      <c r="A4" t="s">
        <v>8</v>
      </c>
      <c r="B4" s="1">
        <v>5561.45</v>
      </c>
      <c r="C4" t="s">
        <v>7</v>
      </c>
      <c r="D4">
        <v>52.49</v>
      </c>
      <c r="E4">
        <v>-0.93</v>
      </c>
    </row>
    <row r="5" spans="1:5" x14ac:dyDescent="0.3">
      <c r="A5" t="s">
        <v>9</v>
      </c>
      <c r="B5" s="1">
        <v>6883.55</v>
      </c>
      <c r="C5" t="s">
        <v>10</v>
      </c>
      <c r="D5">
        <v>63.4</v>
      </c>
      <c r="E5">
        <v>0.93</v>
      </c>
    </row>
    <row r="6" spans="1:5" x14ac:dyDescent="0.3">
      <c r="A6" t="s">
        <v>11</v>
      </c>
      <c r="B6" s="1">
        <v>6503</v>
      </c>
      <c r="C6" t="s">
        <v>7</v>
      </c>
      <c r="D6">
        <v>43.48</v>
      </c>
      <c r="E6">
        <v>-0.66</v>
      </c>
    </row>
    <row r="7" spans="1:5" x14ac:dyDescent="0.3">
      <c r="A7" t="s">
        <v>12</v>
      </c>
      <c r="B7" s="1">
        <v>6970.92</v>
      </c>
      <c r="C7" t="s">
        <v>7</v>
      </c>
      <c r="D7">
        <v>43.89</v>
      </c>
      <c r="E7">
        <v>-0.63</v>
      </c>
    </row>
    <row r="8" spans="1:5" x14ac:dyDescent="0.3">
      <c r="A8" t="s">
        <v>13</v>
      </c>
      <c r="B8" s="1">
        <v>5728.9</v>
      </c>
      <c r="C8" t="s">
        <v>7</v>
      </c>
      <c r="D8">
        <v>16.73</v>
      </c>
      <c r="E8">
        <v>-0.28999999999999998</v>
      </c>
    </row>
    <row r="9" spans="1:5" x14ac:dyDescent="0.3">
      <c r="A9" t="s">
        <v>14</v>
      </c>
      <c r="B9" s="1">
        <v>4752.0200000000004</v>
      </c>
      <c r="C9" t="s">
        <v>7</v>
      </c>
      <c r="D9">
        <v>2.2200000000000002</v>
      </c>
      <c r="E9">
        <v>-0.05</v>
      </c>
    </row>
    <row r="10" spans="1:5" x14ac:dyDescent="0.3">
      <c r="A10" t="s">
        <v>15</v>
      </c>
      <c r="B10" s="1">
        <v>5302.37</v>
      </c>
      <c r="C10" t="s">
        <v>7</v>
      </c>
      <c r="D10">
        <v>43.69</v>
      </c>
      <c r="E10">
        <v>-0.82</v>
      </c>
    </row>
    <row r="11" spans="1:5" x14ac:dyDescent="0.3">
      <c r="A11" t="s">
        <v>16</v>
      </c>
      <c r="B11" s="1">
        <v>6790.3</v>
      </c>
      <c r="C11" t="s">
        <v>7</v>
      </c>
      <c r="D11">
        <v>24.21</v>
      </c>
      <c r="E11">
        <v>-0.36</v>
      </c>
    </row>
    <row r="12" spans="1:5" x14ac:dyDescent="0.3">
      <c r="A12" t="s">
        <v>17</v>
      </c>
      <c r="B12" s="1">
        <v>12185.98</v>
      </c>
      <c r="C12" t="s">
        <v>7</v>
      </c>
      <c r="D12">
        <v>45.55</v>
      </c>
      <c r="E12">
        <v>-0.37</v>
      </c>
    </row>
    <row r="13" spans="1:5" x14ac:dyDescent="0.3">
      <c r="A13" t="s">
        <v>18</v>
      </c>
      <c r="B13" s="1">
        <v>10781.18</v>
      </c>
      <c r="C13" t="s">
        <v>7</v>
      </c>
      <c r="D13">
        <v>50.13</v>
      </c>
      <c r="E13">
        <v>-0.46</v>
      </c>
    </row>
    <row r="14" spans="1:5" x14ac:dyDescent="0.3">
      <c r="A14" t="s">
        <v>19</v>
      </c>
      <c r="B14">
        <v>521.98</v>
      </c>
      <c r="C14" t="s">
        <v>7</v>
      </c>
      <c r="D14">
        <v>3.17</v>
      </c>
      <c r="E14">
        <v>-0.6</v>
      </c>
    </row>
    <row r="15" spans="1:5" x14ac:dyDescent="0.3">
      <c r="A15" t="s">
        <v>20</v>
      </c>
      <c r="B15">
        <v>789.57</v>
      </c>
      <c r="C15" t="s">
        <v>7</v>
      </c>
      <c r="D15">
        <v>14.08</v>
      </c>
      <c r="E15">
        <v>-1.75</v>
      </c>
    </row>
    <row r="16" spans="1:5" x14ac:dyDescent="0.3">
      <c r="A16" t="s">
        <v>21</v>
      </c>
      <c r="B16" s="1">
        <v>1700.4</v>
      </c>
      <c r="C16" t="s">
        <v>7</v>
      </c>
      <c r="D16">
        <v>4.05</v>
      </c>
      <c r="E16">
        <v>-0.24</v>
      </c>
    </row>
    <row r="17" spans="1:5" x14ac:dyDescent="0.3">
      <c r="A17" t="s">
        <v>22</v>
      </c>
      <c r="B17">
        <v>126.7</v>
      </c>
      <c r="C17" t="s">
        <v>7</v>
      </c>
      <c r="D17">
        <v>0.61</v>
      </c>
      <c r="E17">
        <v>-0.48</v>
      </c>
    </row>
    <row r="18" spans="1:5" x14ac:dyDescent="0.3">
      <c r="A18" t="s">
        <v>23</v>
      </c>
      <c r="B18" s="1">
        <v>1240.17</v>
      </c>
      <c r="C18" t="s">
        <v>10</v>
      </c>
      <c r="D18">
        <v>1.52</v>
      </c>
      <c r="E18">
        <v>0.12</v>
      </c>
    </row>
    <row r="19" spans="1:5" x14ac:dyDescent="0.3">
      <c r="A19" t="s">
        <v>24</v>
      </c>
      <c r="B19">
        <v>209.15</v>
      </c>
      <c r="C19" t="s">
        <v>7</v>
      </c>
      <c r="D19">
        <v>6.11</v>
      </c>
      <c r="E19">
        <v>-2.84</v>
      </c>
    </row>
    <row r="20" spans="1:5" x14ac:dyDescent="0.3">
      <c r="A20" t="s">
        <v>25</v>
      </c>
      <c r="B20">
        <v>472.88</v>
      </c>
      <c r="C20" t="s">
        <v>10</v>
      </c>
      <c r="D20">
        <v>6.49</v>
      </c>
      <c r="E20">
        <v>1.39</v>
      </c>
    </row>
    <row r="21" spans="1:5" x14ac:dyDescent="0.3">
      <c r="A21" t="s">
        <v>26</v>
      </c>
      <c r="B21">
        <v>115.29</v>
      </c>
      <c r="C21" t="s">
        <v>10</v>
      </c>
      <c r="D21">
        <v>1.07</v>
      </c>
      <c r="E21">
        <v>0.94</v>
      </c>
    </row>
    <row r="22" spans="1:5" x14ac:dyDescent="0.3">
      <c r="A22" t="s">
        <v>27</v>
      </c>
      <c r="B22">
        <v>39.04</v>
      </c>
      <c r="C22" t="s">
        <v>10</v>
      </c>
      <c r="D22">
        <v>0.35</v>
      </c>
      <c r="E22">
        <v>0.9</v>
      </c>
    </row>
    <row r="23" spans="1:5" x14ac:dyDescent="0.3">
      <c r="A23" t="s">
        <v>28</v>
      </c>
      <c r="B23">
        <v>108.61</v>
      </c>
      <c r="C23" t="s">
        <v>10</v>
      </c>
      <c r="D23">
        <v>1.05</v>
      </c>
      <c r="E23">
        <v>0.98</v>
      </c>
    </row>
    <row r="24" spans="1:5" x14ac:dyDescent="0.3">
      <c r="A24" t="s">
        <v>29</v>
      </c>
      <c r="B24">
        <v>107.29</v>
      </c>
      <c r="C24" t="s">
        <v>10</v>
      </c>
      <c r="D24">
        <v>0.54</v>
      </c>
      <c r="E24">
        <v>0.51</v>
      </c>
    </row>
    <row r="25" spans="1:5" x14ac:dyDescent="0.3">
      <c r="A25" t="s">
        <v>30</v>
      </c>
      <c r="B25">
        <v>77.05</v>
      </c>
      <c r="C25" t="s">
        <v>10</v>
      </c>
      <c r="D25">
        <v>1.31</v>
      </c>
      <c r="E25">
        <v>1.73</v>
      </c>
    </row>
    <row r="26" spans="1:5" x14ac:dyDescent="0.3">
      <c r="A26" t="s">
        <v>31</v>
      </c>
      <c r="B26">
        <v>63.88</v>
      </c>
      <c r="C26" t="s">
        <v>7</v>
      </c>
      <c r="D26">
        <v>0.72</v>
      </c>
      <c r="E26">
        <v>-1.1100000000000001</v>
      </c>
    </row>
    <row r="27" spans="1:5" x14ac:dyDescent="0.3">
      <c r="A27" t="s">
        <v>32</v>
      </c>
      <c r="B27">
        <v>171.87</v>
      </c>
      <c r="C27" t="s">
        <v>10</v>
      </c>
      <c r="D27">
        <v>1.37</v>
      </c>
      <c r="E27">
        <v>0.8</v>
      </c>
    </row>
    <row r="28" spans="1:5" x14ac:dyDescent="0.3">
      <c r="A28" t="s">
        <v>33</v>
      </c>
      <c r="B28">
        <v>92.43</v>
      </c>
      <c r="C28" t="s">
        <v>7</v>
      </c>
      <c r="D28">
        <v>1.59</v>
      </c>
      <c r="E28">
        <v>-1.69</v>
      </c>
    </row>
    <row r="29" spans="1:5" x14ac:dyDescent="0.3">
      <c r="A29" t="s">
        <v>34</v>
      </c>
      <c r="B29">
        <v>402.04</v>
      </c>
      <c r="C29" t="s">
        <v>7</v>
      </c>
      <c r="D29">
        <v>3.34</v>
      </c>
      <c r="E29">
        <v>-0.82</v>
      </c>
    </row>
    <row r="30" spans="1:5" x14ac:dyDescent="0.3">
      <c r="A30" t="s">
        <v>35</v>
      </c>
      <c r="B30">
        <v>278.89999999999998</v>
      </c>
      <c r="C30" t="s">
        <v>10</v>
      </c>
      <c r="D30">
        <v>5.74</v>
      </c>
      <c r="E30">
        <v>2.1</v>
      </c>
    </row>
    <row r="31" spans="1:5" x14ac:dyDescent="0.3">
      <c r="A31" t="s">
        <v>36</v>
      </c>
      <c r="B31">
        <v>302.61</v>
      </c>
      <c r="C31" t="s">
        <v>7</v>
      </c>
      <c r="D31">
        <v>0.85</v>
      </c>
      <c r="E31">
        <v>-0.28000000000000003</v>
      </c>
    </row>
    <row r="32" spans="1:5" x14ac:dyDescent="0.3">
      <c r="A32" t="s">
        <v>37</v>
      </c>
      <c r="B32">
        <v>93.11</v>
      </c>
      <c r="C32" t="s">
        <v>7</v>
      </c>
      <c r="D32">
        <v>1.03</v>
      </c>
      <c r="E32">
        <v>-1.0900000000000001</v>
      </c>
    </row>
    <row r="33" spans="1:5" x14ac:dyDescent="0.3">
      <c r="A33" t="s">
        <v>38</v>
      </c>
      <c r="B33">
        <v>84.14</v>
      </c>
      <c r="C33" t="s">
        <v>10</v>
      </c>
      <c r="D33">
        <v>1.2</v>
      </c>
      <c r="E33">
        <v>1.45</v>
      </c>
    </row>
    <row r="34" spans="1:5" x14ac:dyDescent="0.3">
      <c r="A34" t="s">
        <v>39</v>
      </c>
      <c r="B34">
        <v>37.18</v>
      </c>
      <c r="C34" t="s">
        <v>10</v>
      </c>
      <c r="D34">
        <v>0.94</v>
      </c>
      <c r="E34">
        <v>2.59</v>
      </c>
    </row>
    <row r="35" spans="1:5" x14ac:dyDescent="0.3">
      <c r="A35" t="s">
        <v>40</v>
      </c>
      <c r="B35">
        <v>127.67</v>
      </c>
      <c r="C35" t="s">
        <v>7</v>
      </c>
      <c r="D35">
        <v>4.0999999999999996</v>
      </c>
      <c r="E35">
        <v>-3.11</v>
      </c>
    </row>
    <row r="36" spans="1:5" x14ac:dyDescent="0.3">
      <c r="A36" t="s">
        <v>41</v>
      </c>
      <c r="B36">
        <v>70.849999999999994</v>
      </c>
      <c r="C36" t="s">
        <v>10</v>
      </c>
      <c r="D36">
        <v>1.52</v>
      </c>
      <c r="E36">
        <v>2.19</v>
      </c>
    </row>
    <row r="37" spans="1:5" x14ac:dyDescent="0.3">
      <c r="A37" t="s">
        <v>42</v>
      </c>
      <c r="B37">
        <v>102.05</v>
      </c>
      <c r="C37" t="s">
        <v>10</v>
      </c>
      <c r="D37">
        <v>0.7</v>
      </c>
      <c r="E37">
        <v>0.69</v>
      </c>
    </row>
    <row r="38" spans="1:5" x14ac:dyDescent="0.3">
      <c r="A38" t="s">
        <v>43</v>
      </c>
      <c r="B38">
        <v>74.61</v>
      </c>
      <c r="C38" t="s">
        <v>10</v>
      </c>
      <c r="D38">
        <v>0.14000000000000001</v>
      </c>
      <c r="E38">
        <v>0.19</v>
      </c>
    </row>
    <row r="39" spans="1:5" x14ac:dyDescent="0.3">
      <c r="A39" t="s">
        <v>44</v>
      </c>
      <c r="B39">
        <v>56.18</v>
      </c>
      <c r="C39" t="s">
        <v>10</v>
      </c>
      <c r="D39">
        <v>0.38</v>
      </c>
      <c r="E39">
        <v>0.68</v>
      </c>
    </row>
    <row r="40" spans="1:5" x14ac:dyDescent="0.3">
      <c r="A40" t="s">
        <v>45</v>
      </c>
      <c r="B40">
        <v>313.45</v>
      </c>
      <c r="C40" t="s">
        <v>10</v>
      </c>
      <c r="D40">
        <v>0.73</v>
      </c>
      <c r="E40">
        <v>0.23</v>
      </c>
    </row>
    <row r="41" spans="1:5" x14ac:dyDescent="0.3">
      <c r="A41" t="s">
        <v>46</v>
      </c>
      <c r="B41">
        <v>74.84</v>
      </c>
      <c r="C41" t="s">
        <v>10</v>
      </c>
      <c r="D41">
        <v>0.18</v>
      </c>
      <c r="E41">
        <v>0.24</v>
      </c>
    </row>
    <row r="42" spans="1:5" x14ac:dyDescent="0.3">
      <c r="A42" t="s">
        <v>47</v>
      </c>
      <c r="B42">
        <v>127.01</v>
      </c>
      <c r="C42" t="s">
        <v>10</v>
      </c>
      <c r="D42">
        <v>0.39</v>
      </c>
      <c r="E42">
        <v>0.31</v>
      </c>
    </row>
    <row r="43" spans="1:5" x14ac:dyDescent="0.3">
      <c r="A43" t="s">
        <v>48</v>
      </c>
      <c r="B43">
        <v>926.87</v>
      </c>
      <c r="C43" t="s">
        <v>7</v>
      </c>
      <c r="D43">
        <v>1.21</v>
      </c>
      <c r="E43">
        <v>-0.13</v>
      </c>
    </row>
    <row r="44" spans="1:5" x14ac:dyDescent="0.3">
      <c r="A44" t="s">
        <v>49</v>
      </c>
      <c r="B44">
        <v>220.8</v>
      </c>
      <c r="C44" t="s">
        <v>10</v>
      </c>
      <c r="D44">
        <v>0.62</v>
      </c>
      <c r="E44">
        <v>0.28000000000000003</v>
      </c>
    </row>
    <row r="45" spans="1:5" x14ac:dyDescent="0.3">
      <c r="A45" t="s">
        <v>50</v>
      </c>
      <c r="B45">
        <v>96.2</v>
      </c>
      <c r="C45" t="s">
        <v>7</v>
      </c>
      <c r="D45">
        <v>1.55</v>
      </c>
      <c r="E45">
        <v>-1.59</v>
      </c>
    </row>
    <row r="46" spans="1:5" x14ac:dyDescent="0.3">
      <c r="A46" t="s">
        <v>51</v>
      </c>
      <c r="B46">
        <v>218.96</v>
      </c>
      <c r="C46" t="s">
        <v>10</v>
      </c>
      <c r="D46">
        <v>2.16</v>
      </c>
      <c r="E46">
        <v>1</v>
      </c>
    </row>
    <row r="47" spans="1:5" x14ac:dyDescent="0.3">
      <c r="A47" t="s">
        <v>52</v>
      </c>
      <c r="B47" t="s">
        <v>2</v>
      </c>
      <c r="C47" t="s">
        <v>3</v>
      </c>
      <c r="D47" t="s">
        <v>4</v>
      </c>
      <c r="E47" t="s">
        <v>5</v>
      </c>
    </row>
    <row r="48" spans="1:5" x14ac:dyDescent="0.3">
      <c r="A48" t="s">
        <v>53</v>
      </c>
      <c r="B48" s="1">
        <v>11553.25</v>
      </c>
      <c r="C48" t="s">
        <v>7</v>
      </c>
      <c r="D48">
        <v>30.77</v>
      </c>
      <c r="E48">
        <v>-0.27</v>
      </c>
    </row>
    <row r="49" spans="1:5" x14ac:dyDescent="0.3">
      <c r="A49" t="s">
        <v>54</v>
      </c>
      <c r="B49" s="1">
        <v>8122.5</v>
      </c>
      <c r="C49" t="s">
        <v>7</v>
      </c>
      <c r="D49">
        <v>71.66</v>
      </c>
      <c r="E49">
        <v>-0.87</v>
      </c>
    </row>
    <row r="50" spans="1:5" x14ac:dyDescent="0.3">
      <c r="A50" t="s">
        <v>55</v>
      </c>
      <c r="B50" s="1">
        <v>9305.7199999999993</v>
      </c>
      <c r="C50" t="s">
        <v>10</v>
      </c>
      <c r="D50">
        <v>89.78</v>
      </c>
      <c r="E50">
        <v>0.97</v>
      </c>
    </row>
    <row r="51" spans="1:5" x14ac:dyDescent="0.3">
      <c r="A51" t="s">
        <v>56</v>
      </c>
      <c r="B51" s="1">
        <v>8979.51</v>
      </c>
      <c r="C51" t="s">
        <v>7</v>
      </c>
      <c r="D51">
        <v>57.86</v>
      </c>
      <c r="E51">
        <v>-0.64</v>
      </c>
    </row>
    <row r="52" spans="1:5" x14ac:dyDescent="0.3">
      <c r="A52" t="s">
        <v>57</v>
      </c>
      <c r="B52" s="1">
        <v>9214.68</v>
      </c>
      <c r="C52" t="s">
        <v>7</v>
      </c>
      <c r="D52">
        <v>58.01</v>
      </c>
      <c r="E52">
        <v>-0.63</v>
      </c>
    </row>
    <row r="53" spans="1:5" x14ac:dyDescent="0.3">
      <c r="A53" t="s">
        <v>58</v>
      </c>
      <c r="B53" s="1">
        <v>8679.6200000000008</v>
      </c>
      <c r="C53" t="s">
        <v>7</v>
      </c>
      <c r="D53">
        <v>25.35</v>
      </c>
      <c r="E53">
        <v>-0.28999999999999998</v>
      </c>
    </row>
    <row r="54" spans="1:5" x14ac:dyDescent="0.3">
      <c r="A54" t="s">
        <v>59</v>
      </c>
      <c r="B54" s="1">
        <v>5104.87</v>
      </c>
      <c r="C54" t="s">
        <v>10</v>
      </c>
      <c r="D54">
        <v>5.0199999999999996</v>
      </c>
      <c r="E54">
        <v>0.1</v>
      </c>
    </row>
    <row r="55" spans="1:5" x14ac:dyDescent="0.3">
      <c r="A55" t="s">
        <v>60</v>
      </c>
      <c r="B55" s="1">
        <v>5310.45</v>
      </c>
      <c r="C55" t="s">
        <v>7</v>
      </c>
      <c r="D55">
        <v>38.76</v>
      </c>
      <c r="E55">
        <v>-0.72</v>
      </c>
    </row>
    <row r="56" spans="1:5" x14ac:dyDescent="0.3">
      <c r="A56" t="s">
        <v>61</v>
      </c>
      <c r="B56" s="1">
        <v>15717.62</v>
      </c>
      <c r="C56" t="s">
        <v>7</v>
      </c>
      <c r="D56">
        <v>72.22</v>
      </c>
      <c r="E56">
        <v>-0.46</v>
      </c>
    </row>
    <row r="57" spans="1:5" x14ac:dyDescent="0.3">
      <c r="A57" t="s">
        <v>62</v>
      </c>
      <c r="B57">
        <v>153.13</v>
      </c>
      <c r="C57" t="s">
        <v>7</v>
      </c>
      <c r="D57">
        <v>0.73</v>
      </c>
      <c r="E57">
        <v>-0.47</v>
      </c>
    </row>
    <row r="58" spans="1:5" x14ac:dyDescent="0.3">
      <c r="A58" t="s">
        <v>63</v>
      </c>
      <c r="B58" s="1">
        <v>1360.73</v>
      </c>
      <c r="C58" t="s">
        <v>10</v>
      </c>
      <c r="D58">
        <v>1.67</v>
      </c>
      <c r="E58">
        <v>0.12</v>
      </c>
    </row>
    <row r="59" spans="1:5" x14ac:dyDescent="0.3">
      <c r="A59" t="s">
        <v>64</v>
      </c>
      <c r="B59">
        <v>249.87</v>
      </c>
      <c r="C59" t="s">
        <v>7</v>
      </c>
      <c r="D59">
        <v>7.3</v>
      </c>
      <c r="E59">
        <v>-2.84</v>
      </c>
    </row>
    <row r="60" spans="1:5" x14ac:dyDescent="0.3">
      <c r="A60" t="s">
        <v>65</v>
      </c>
      <c r="B60">
        <v>543.99</v>
      </c>
      <c r="C60" t="s">
        <v>10</v>
      </c>
      <c r="D60">
        <v>7.47</v>
      </c>
      <c r="E60">
        <v>1.39</v>
      </c>
    </row>
    <row r="61" spans="1:5" x14ac:dyDescent="0.3">
      <c r="A61" t="s">
        <v>66</v>
      </c>
      <c r="B61">
        <v>131.35</v>
      </c>
      <c r="C61" t="s">
        <v>10</v>
      </c>
      <c r="D61">
        <v>1.38</v>
      </c>
      <c r="E61">
        <v>1.06</v>
      </c>
    </row>
    <row r="62" spans="1:5" x14ac:dyDescent="0.3">
      <c r="A62" t="s">
        <v>67</v>
      </c>
      <c r="B62">
        <v>42.09</v>
      </c>
      <c r="C62" t="s">
        <v>10</v>
      </c>
      <c r="D62">
        <v>0.37</v>
      </c>
      <c r="E62">
        <v>0.89</v>
      </c>
    </row>
    <row r="63" spans="1:5" x14ac:dyDescent="0.3">
      <c r="A63" t="s">
        <v>68</v>
      </c>
      <c r="B63">
        <v>125.08</v>
      </c>
      <c r="C63" t="s">
        <v>10</v>
      </c>
      <c r="D63">
        <v>1.23</v>
      </c>
      <c r="E63">
        <v>0.99</v>
      </c>
    </row>
    <row r="64" spans="1:5" x14ac:dyDescent="0.3">
      <c r="A64" t="s">
        <v>69</v>
      </c>
      <c r="B64">
        <v>125.25</v>
      </c>
      <c r="C64" t="s">
        <v>10</v>
      </c>
      <c r="D64">
        <v>0.65</v>
      </c>
      <c r="E64">
        <v>0.52</v>
      </c>
    </row>
    <row r="65" spans="1:5" x14ac:dyDescent="0.3">
      <c r="A65" t="s">
        <v>70</v>
      </c>
      <c r="B65">
        <v>85.68</v>
      </c>
      <c r="C65" t="s">
        <v>10</v>
      </c>
      <c r="D65">
        <v>1.47</v>
      </c>
      <c r="E65">
        <v>1.75</v>
      </c>
    </row>
    <row r="66" spans="1:5" x14ac:dyDescent="0.3">
      <c r="A66" t="s">
        <v>71</v>
      </c>
      <c r="B66">
        <v>67.52</v>
      </c>
      <c r="C66" t="s">
        <v>7</v>
      </c>
      <c r="D66">
        <v>0.75</v>
      </c>
      <c r="E66">
        <v>-1.1000000000000001</v>
      </c>
    </row>
    <row r="67" spans="1:5" x14ac:dyDescent="0.3">
      <c r="A67" t="s">
        <v>72</v>
      </c>
      <c r="B67">
        <v>190.4</v>
      </c>
      <c r="C67" t="s">
        <v>10</v>
      </c>
      <c r="D67">
        <v>1.52</v>
      </c>
      <c r="E67">
        <v>0.8</v>
      </c>
    </row>
    <row r="68" spans="1:5" x14ac:dyDescent="0.3">
      <c r="A68" t="s">
        <v>73</v>
      </c>
      <c r="B68">
        <v>108.57</v>
      </c>
      <c r="C68" t="s">
        <v>7</v>
      </c>
      <c r="D68">
        <v>1.87</v>
      </c>
      <c r="E68">
        <v>-1.69</v>
      </c>
    </row>
    <row r="69" spans="1:5" x14ac:dyDescent="0.3">
      <c r="A69" t="s">
        <v>74</v>
      </c>
      <c r="B69">
        <v>449.45</v>
      </c>
      <c r="C69" t="s">
        <v>7</v>
      </c>
      <c r="D69">
        <v>3.72</v>
      </c>
      <c r="E69">
        <v>-0.82</v>
      </c>
    </row>
    <row r="70" spans="1:5" x14ac:dyDescent="0.3">
      <c r="A70" t="s">
        <v>75</v>
      </c>
      <c r="B70">
        <v>305.7</v>
      </c>
      <c r="C70" t="s">
        <v>10</v>
      </c>
      <c r="D70">
        <v>6.3</v>
      </c>
      <c r="E70">
        <v>2.1</v>
      </c>
    </row>
    <row r="71" spans="1:5" x14ac:dyDescent="0.3">
      <c r="A71" t="s">
        <v>76</v>
      </c>
      <c r="B71">
        <v>395.97</v>
      </c>
      <c r="C71" t="s">
        <v>7</v>
      </c>
      <c r="D71">
        <v>0.99</v>
      </c>
      <c r="E71">
        <v>-0.25</v>
      </c>
    </row>
    <row r="72" spans="1:5" x14ac:dyDescent="0.3">
      <c r="A72" t="s">
        <v>77</v>
      </c>
      <c r="B72">
        <v>117.97</v>
      </c>
      <c r="C72" t="s">
        <v>7</v>
      </c>
      <c r="D72">
        <v>1.3</v>
      </c>
      <c r="E72">
        <v>-1.0900000000000001</v>
      </c>
    </row>
    <row r="73" spans="1:5" x14ac:dyDescent="0.3">
      <c r="A73" t="s">
        <v>78</v>
      </c>
      <c r="B73">
        <v>110.4</v>
      </c>
      <c r="C73" t="s">
        <v>10</v>
      </c>
      <c r="D73">
        <v>1.67</v>
      </c>
      <c r="E73">
        <v>1.54</v>
      </c>
    </row>
    <row r="74" spans="1:5" x14ac:dyDescent="0.3">
      <c r="A74" t="s">
        <v>79</v>
      </c>
      <c r="B74">
        <v>42.15</v>
      </c>
      <c r="C74" t="s">
        <v>10</v>
      </c>
      <c r="D74">
        <v>1.08</v>
      </c>
      <c r="E74">
        <v>2.63</v>
      </c>
    </row>
    <row r="75" spans="1:5" x14ac:dyDescent="0.3">
      <c r="A75" t="s">
        <v>80</v>
      </c>
      <c r="B75">
        <v>179.31</v>
      </c>
      <c r="C75" t="s">
        <v>7</v>
      </c>
      <c r="D75">
        <v>5.76</v>
      </c>
      <c r="E75">
        <v>-3.11</v>
      </c>
    </row>
    <row r="76" spans="1:5" x14ac:dyDescent="0.3">
      <c r="A76" t="s">
        <v>81</v>
      </c>
      <c r="B76">
        <v>90.89</v>
      </c>
      <c r="C76" t="s">
        <v>10</v>
      </c>
      <c r="D76">
        <v>2.06</v>
      </c>
      <c r="E76">
        <v>2.3199999999999998</v>
      </c>
    </row>
    <row r="77" spans="1:5" x14ac:dyDescent="0.3">
      <c r="A77" t="s">
        <v>82</v>
      </c>
      <c r="B77">
        <v>134.33000000000001</v>
      </c>
      <c r="C77" t="s">
        <v>10</v>
      </c>
      <c r="D77">
        <v>0.92</v>
      </c>
      <c r="E77">
        <v>0.69</v>
      </c>
    </row>
    <row r="78" spans="1:5" x14ac:dyDescent="0.3">
      <c r="A78" t="s">
        <v>83</v>
      </c>
      <c r="B78">
        <v>102.41</v>
      </c>
      <c r="C78" t="s">
        <v>10</v>
      </c>
      <c r="D78">
        <v>0.4</v>
      </c>
      <c r="E78">
        <v>0.39</v>
      </c>
    </row>
    <row r="79" spans="1:5" x14ac:dyDescent="0.3">
      <c r="A79" t="s">
        <v>84</v>
      </c>
      <c r="B79">
        <v>62.59</v>
      </c>
      <c r="C79" t="s">
        <v>10</v>
      </c>
      <c r="D79">
        <v>0.43</v>
      </c>
      <c r="E79">
        <v>0.69</v>
      </c>
    </row>
    <row r="80" spans="1:5" x14ac:dyDescent="0.3">
      <c r="A80" t="s">
        <v>85</v>
      </c>
      <c r="B80">
        <v>378.84</v>
      </c>
      <c r="C80" t="s">
        <v>10</v>
      </c>
      <c r="D80">
        <v>0.88</v>
      </c>
      <c r="E80">
        <v>0.23</v>
      </c>
    </row>
    <row r="81" spans="1:5" x14ac:dyDescent="0.3">
      <c r="A81" t="s">
        <v>86</v>
      </c>
      <c r="B81">
        <v>84.6</v>
      </c>
      <c r="C81" t="s">
        <v>10</v>
      </c>
      <c r="D81">
        <v>0.21</v>
      </c>
      <c r="E81">
        <v>0.25</v>
      </c>
    </row>
    <row r="82" spans="1:5" x14ac:dyDescent="0.3">
      <c r="A82" t="s">
        <v>87</v>
      </c>
      <c r="B82">
        <v>136.37</v>
      </c>
      <c r="C82" t="s">
        <v>10</v>
      </c>
      <c r="D82">
        <v>0.42</v>
      </c>
      <c r="E82">
        <v>0.31</v>
      </c>
    </row>
    <row r="83" spans="1:5" x14ac:dyDescent="0.3">
      <c r="A83" t="s">
        <v>88</v>
      </c>
      <c r="B83" s="1">
        <v>1099.1099999999999</v>
      </c>
      <c r="C83" t="s">
        <v>10</v>
      </c>
      <c r="D83">
        <v>2.04</v>
      </c>
      <c r="E83">
        <v>0.19</v>
      </c>
    </row>
    <row r="84" spans="1:5" x14ac:dyDescent="0.3">
      <c r="A84" t="s">
        <v>89</v>
      </c>
      <c r="B84">
        <v>241.33</v>
      </c>
      <c r="C84" t="s">
        <v>10</v>
      </c>
      <c r="D84">
        <v>0.69</v>
      </c>
      <c r="E84">
        <v>0.28999999999999998</v>
      </c>
    </row>
    <row r="85" spans="1:5" x14ac:dyDescent="0.3">
      <c r="A85" t="s">
        <v>90</v>
      </c>
      <c r="B85">
        <v>109.73</v>
      </c>
      <c r="C85" t="s">
        <v>7</v>
      </c>
      <c r="D85">
        <v>1.77</v>
      </c>
      <c r="E85">
        <v>-1.59</v>
      </c>
    </row>
    <row r="86" spans="1:5" x14ac:dyDescent="0.3">
      <c r="A86" t="s">
        <v>91</v>
      </c>
      <c r="B86">
        <v>261.08</v>
      </c>
      <c r="C86" t="s">
        <v>10</v>
      </c>
      <c r="D86">
        <v>2.58</v>
      </c>
      <c r="E86">
        <v>1</v>
      </c>
    </row>
    <row r="87" spans="1:5" x14ac:dyDescent="0.3">
      <c r="A87" t="s">
        <v>92</v>
      </c>
      <c r="B87" t="s">
        <v>93</v>
      </c>
      <c r="C87" t="s">
        <v>94</v>
      </c>
      <c r="D87" t="s">
        <v>95</v>
      </c>
    </row>
    <row r="88" spans="1:5" x14ac:dyDescent="0.3">
      <c r="A88" t="s">
        <v>96</v>
      </c>
      <c r="B88" s="2">
        <v>76528909530</v>
      </c>
      <c r="C88" s="2">
        <v>2110965979</v>
      </c>
      <c r="D88" s="2">
        <v>638769</v>
      </c>
    </row>
    <row r="89" spans="1:5" x14ac:dyDescent="0.3">
      <c r="A89" t="s">
        <v>97</v>
      </c>
      <c r="B89" s="2">
        <v>71660988</v>
      </c>
      <c r="C89" s="2">
        <v>14787857</v>
      </c>
      <c r="D89" s="2">
        <v>2325</v>
      </c>
    </row>
    <row r="90" spans="1:5" x14ac:dyDescent="0.3">
      <c r="A90" t="s">
        <v>98</v>
      </c>
      <c r="B90" s="2">
        <v>185640</v>
      </c>
      <c r="C90" s="2">
        <v>23000</v>
      </c>
      <c r="D90">
        <v>6</v>
      </c>
    </row>
    <row r="91" spans="1:5" x14ac:dyDescent="0.3">
      <c r="A91" t="s">
        <v>99</v>
      </c>
      <c r="B91" s="2">
        <v>1306898226</v>
      </c>
      <c r="C91" s="2">
        <v>45104744</v>
      </c>
      <c r="D91" s="2">
        <v>7833</v>
      </c>
    </row>
    <row r="92" spans="1:5" x14ac:dyDescent="0.3">
      <c r="A92" t="s">
        <v>100</v>
      </c>
      <c r="B92" s="2">
        <v>115878300</v>
      </c>
      <c r="C92" s="2">
        <v>7102000</v>
      </c>
      <c r="D92">
        <v>330</v>
      </c>
    </row>
    <row r="93" spans="1:5" x14ac:dyDescent="0.3">
      <c r="A93" t="s">
        <v>101</v>
      </c>
      <c r="B93" s="2">
        <v>404754929</v>
      </c>
      <c r="C93" s="2">
        <v>39147855</v>
      </c>
      <c r="D93" s="2">
        <v>4534</v>
      </c>
    </row>
    <row r="94" spans="1:5" x14ac:dyDescent="0.3">
      <c r="A94" t="s">
        <v>102</v>
      </c>
      <c r="B94" s="2">
        <v>1352194110</v>
      </c>
      <c r="C94" s="2">
        <v>1578879000</v>
      </c>
      <c r="D94" s="2">
        <v>45291</v>
      </c>
    </row>
    <row r="95" spans="1:5" x14ac:dyDescent="0.3">
      <c r="A95" t="s">
        <v>103</v>
      </c>
      <c r="B95">
        <v>0</v>
      </c>
      <c r="C95">
        <v>0</v>
      </c>
      <c r="D95">
        <v>0</v>
      </c>
    </row>
    <row r="96" spans="1:5" x14ac:dyDescent="0.3">
      <c r="A96" t="s">
        <v>104</v>
      </c>
      <c r="B96">
        <v>0</v>
      </c>
      <c r="C96">
        <v>0</v>
      </c>
      <c r="D96">
        <v>0</v>
      </c>
    </row>
    <row r="97" spans="1:16" x14ac:dyDescent="0.3">
      <c r="A97" t="s">
        <v>105</v>
      </c>
      <c r="B97">
        <v>0</v>
      </c>
      <c r="C97">
        <v>0</v>
      </c>
      <c r="D97">
        <v>0</v>
      </c>
    </row>
    <row r="98" spans="1:16" x14ac:dyDescent="0.3">
      <c r="A98" t="s">
        <v>106</v>
      </c>
      <c r="B98">
        <v>0</v>
      </c>
      <c r="C98">
        <v>0</v>
      </c>
      <c r="D98">
        <v>0</v>
      </c>
    </row>
    <row r="99" spans="1:16" x14ac:dyDescent="0.3">
      <c r="A99" t="s">
        <v>107</v>
      </c>
      <c r="B99">
        <v>0</v>
      </c>
      <c r="C99">
        <v>0</v>
      </c>
      <c r="D99">
        <v>0</v>
      </c>
    </row>
    <row r="100" spans="1:16" x14ac:dyDescent="0.3">
      <c r="A100" t="s">
        <v>108</v>
      </c>
      <c r="B100" s="2">
        <v>76933664459</v>
      </c>
      <c r="C100" s="2">
        <v>2150113834</v>
      </c>
      <c r="D100" s="2">
        <v>643303</v>
      </c>
    </row>
    <row r="101" spans="1:16" x14ac:dyDescent="0.3">
      <c r="A101" t="s">
        <v>109</v>
      </c>
      <c r="B101" s="2">
        <v>79780481723</v>
      </c>
      <c r="C101" s="2">
        <v>3796010435</v>
      </c>
      <c r="D101" s="2">
        <v>699088</v>
      </c>
    </row>
    <row r="102" spans="1:16" x14ac:dyDescent="0.3">
      <c r="A102" t="s">
        <v>110</v>
      </c>
    </row>
    <row r="103" spans="1:16" x14ac:dyDescent="0.3">
      <c r="A103" t="s">
        <v>111</v>
      </c>
      <c r="B103" t="s">
        <v>112</v>
      </c>
      <c r="C103" t="s">
        <v>113</v>
      </c>
    </row>
    <row r="104" spans="1:16" x14ac:dyDescent="0.3">
      <c r="A104" t="s">
        <v>114</v>
      </c>
      <c r="B104" t="s">
        <v>115</v>
      </c>
      <c r="C104" t="s">
        <v>116</v>
      </c>
    </row>
    <row r="105" spans="1:16" x14ac:dyDescent="0.3">
      <c r="A105" t="s">
        <v>117</v>
      </c>
      <c r="B105" t="s">
        <v>118</v>
      </c>
      <c r="C105" t="s">
        <v>119</v>
      </c>
    </row>
    <row r="106" spans="1:16" x14ac:dyDescent="0.3">
      <c r="A106" t="s">
        <v>120</v>
      </c>
      <c r="B106">
        <v>268</v>
      </c>
      <c r="C106">
        <v>60</v>
      </c>
    </row>
    <row r="107" spans="1:16" x14ac:dyDescent="0.3">
      <c r="A107" t="s">
        <v>121</v>
      </c>
      <c r="B107" s="2">
        <v>3494</v>
      </c>
      <c r="C107">
        <v>2</v>
      </c>
    </row>
    <row r="108" spans="1:16" x14ac:dyDescent="0.3">
      <c r="A108" t="s">
        <v>122</v>
      </c>
      <c r="B108">
        <v>864</v>
      </c>
      <c r="C108">
        <v>12</v>
      </c>
    </row>
    <row r="109" spans="1:16" x14ac:dyDescent="0.3">
      <c r="A109" t="s">
        <v>123</v>
      </c>
      <c r="B109" t="s">
        <v>124</v>
      </c>
    </row>
    <row r="110" spans="1:16" x14ac:dyDescent="0.3">
      <c r="A110" t="s">
        <v>125</v>
      </c>
      <c r="B110" t="s">
        <v>126</v>
      </c>
    </row>
    <row r="111" spans="1:16" x14ac:dyDescent="0.3">
      <c r="A111" t="s">
        <v>127</v>
      </c>
      <c r="B111" t="s">
        <v>128</v>
      </c>
      <c r="C111" t="s">
        <v>129</v>
      </c>
      <c r="D111" t="s">
        <v>95</v>
      </c>
      <c r="E111" t="s">
        <v>130</v>
      </c>
      <c r="F111" t="s">
        <v>131</v>
      </c>
      <c r="G111" t="s">
        <v>132</v>
      </c>
      <c r="H111" t="s">
        <v>133</v>
      </c>
      <c r="I111" t="s">
        <v>134</v>
      </c>
      <c r="J111" t="s">
        <v>3</v>
      </c>
      <c r="K111" t="s">
        <v>135</v>
      </c>
      <c r="L111" t="s">
        <v>136</v>
      </c>
      <c r="M111" t="s">
        <v>137</v>
      </c>
      <c r="N111" t="s">
        <v>138</v>
      </c>
      <c r="O111" t="s">
        <v>139</v>
      </c>
      <c r="P111" t="s">
        <v>140</v>
      </c>
    </row>
    <row r="112" spans="1:16" x14ac:dyDescent="0.3">
      <c r="A112" t="str">
        <f>"0015"</f>
        <v>0015</v>
      </c>
      <c r="B112" t="s">
        <v>141</v>
      </c>
      <c r="C112" s="2">
        <v>23000</v>
      </c>
      <c r="D112">
        <v>6</v>
      </c>
      <c r="E112" s="2">
        <v>185640</v>
      </c>
      <c r="F112">
        <v>8.07</v>
      </c>
      <c r="G112">
        <v>8.1</v>
      </c>
      <c r="H112">
        <v>8.07</v>
      </c>
      <c r="I112">
        <v>8.1</v>
      </c>
      <c r="J112" t="s">
        <v>10</v>
      </c>
      <c r="K112">
        <v>0.04</v>
      </c>
      <c r="L112">
        <v>8.07</v>
      </c>
      <c r="M112">
        <v>18</v>
      </c>
      <c r="N112">
        <v>8.1</v>
      </c>
      <c r="O112">
        <v>29</v>
      </c>
      <c r="P112">
        <v>0</v>
      </c>
    </row>
    <row r="113" spans="1:16" x14ac:dyDescent="0.3">
      <c r="A113" t="str">
        <f>"0050"</f>
        <v>0050</v>
      </c>
      <c r="B113" t="s">
        <v>142</v>
      </c>
      <c r="C113" s="2">
        <v>13788335</v>
      </c>
      <c r="D113" s="2">
        <v>3037</v>
      </c>
      <c r="E113" s="2">
        <v>763383444</v>
      </c>
      <c r="F113">
        <v>54.8</v>
      </c>
      <c r="G113">
        <v>55.7</v>
      </c>
      <c r="H113">
        <v>54.8</v>
      </c>
      <c r="I113">
        <v>55.6</v>
      </c>
      <c r="J113" t="s">
        <v>10</v>
      </c>
      <c r="K113">
        <v>0.5</v>
      </c>
      <c r="L113">
        <v>55.6</v>
      </c>
      <c r="M113">
        <v>449</v>
      </c>
      <c r="N113">
        <v>55.65</v>
      </c>
      <c r="O113">
        <v>103</v>
      </c>
      <c r="P113">
        <v>0</v>
      </c>
    </row>
    <row r="114" spans="1:16" x14ac:dyDescent="0.3">
      <c r="A114" t="str">
        <f>"0051"</f>
        <v>0051</v>
      </c>
      <c r="B114" t="s">
        <v>143</v>
      </c>
      <c r="C114" s="2">
        <v>20000</v>
      </c>
      <c r="D114">
        <v>18</v>
      </c>
      <c r="E114" s="2">
        <v>548200</v>
      </c>
      <c r="F114">
        <v>27.27</v>
      </c>
      <c r="G114">
        <v>27.5</v>
      </c>
      <c r="H114">
        <v>27.25</v>
      </c>
      <c r="I114">
        <v>27.49</v>
      </c>
      <c r="J114" t="s">
        <v>10</v>
      </c>
      <c r="K114">
        <v>0.22</v>
      </c>
      <c r="L114">
        <v>27.49</v>
      </c>
      <c r="M114">
        <v>48</v>
      </c>
      <c r="N114">
        <v>27.5</v>
      </c>
      <c r="O114">
        <v>1</v>
      </c>
      <c r="P114">
        <v>0</v>
      </c>
    </row>
    <row r="115" spans="1:16" x14ac:dyDescent="0.3">
      <c r="A115" t="str">
        <f>"0052"</f>
        <v>0052</v>
      </c>
      <c r="B115" t="s">
        <v>144</v>
      </c>
      <c r="C115" s="2">
        <v>8000</v>
      </c>
      <c r="D115">
        <v>2</v>
      </c>
      <c r="E115" s="2">
        <v>270360</v>
      </c>
      <c r="F115">
        <v>33.78</v>
      </c>
      <c r="G115">
        <v>33.81</v>
      </c>
      <c r="H115">
        <v>33.78</v>
      </c>
      <c r="I115">
        <v>33.81</v>
      </c>
      <c r="J115" t="s">
        <v>145</v>
      </c>
      <c r="K115">
        <v>0</v>
      </c>
      <c r="L115">
        <v>33.979999999999997</v>
      </c>
      <c r="M115">
        <v>13</v>
      </c>
      <c r="N115">
        <v>35.770000000000003</v>
      </c>
      <c r="O115">
        <v>2</v>
      </c>
      <c r="P115">
        <v>0</v>
      </c>
    </row>
    <row r="116" spans="1:16" x14ac:dyDescent="0.3">
      <c r="A116" t="str">
        <f>"0053"</f>
        <v>0053</v>
      </c>
      <c r="B116" t="s">
        <v>146</v>
      </c>
      <c r="C116" s="2">
        <v>15000</v>
      </c>
      <c r="D116">
        <v>13</v>
      </c>
      <c r="E116" s="2">
        <v>353620</v>
      </c>
      <c r="F116">
        <v>23.45</v>
      </c>
      <c r="G116">
        <v>23.73</v>
      </c>
      <c r="H116">
        <v>23.45</v>
      </c>
      <c r="I116">
        <v>23.73</v>
      </c>
      <c r="J116" t="s">
        <v>10</v>
      </c>
      <c r="K116">
        <v>0.28000000000000003</v>
      </c>
      <c r="L116">
        <v>23.61</v>
      </c>
      <c r="M116">
        <v>51</v>
      </c>
      <c r="N116">
        <v>23.73</v>
      </c>
      <c r="O116">
        <v>2</v>
      </c>
      <c r="P116">
        <v>0</v>
      </c>
    </row>
    <row r="117" spans="1:16" x14ac:dyDescent="0.3">
      <c r="A117" t="str">
        <f>"0054"</f>
        <v>0054</v>
      </c>
      <c r="B117" t="s">
        <v>147</v>
      </c>
      <c r="C117" s="2">
        <v>9000</v>
      </c>
      <c r="D117">
        <v>8</v>
      </c>
      <c r="E117" s="2">
        <v>171700</v>
      </c>
      <c r="F117">
        <v>19.079999999999998</v>
      </c>
      <c r="G117">
        <v>19.23</v>
      </c>
      <c r="H117">
        <v>18.91</v>
      </c>
      <c r="I117">
        <v>19.23</v>
      </c>
      <c r="J117" t="s">
        <v>10</v>
      </c>
      <c r="K117">
        <v>0.15</v>
      </c>
      <c r="L117">
        <v>19.21</v>
      </c>
      <c r="M117">
        <v>71</v>
      </c>
      <c r="N117">
        <v>19.25</v>
      </c>
      <c r="O117">
        <v>2</v>
      </c>
      <c r="P117">
        <v>0</v>
      </c>
    </row>
    <row r="118" spans="1:16" x14ac:dyDescent="0.3">
      <c r="A118" t="str">
        <f>"0055"</f>
        <v>0055</v>
      </c>
      <c r="B118" t="s">
        <v>148</v>
      </c>
      <c r="C118" s="2">
        <v>1491567</v>
      </c>
      <c r="D118">
        <v>292</v>
      </c>
      <c r="E118" s="2">
        <v>18654593</v>
      </c>
      <c r="F118">
        <v>12.37</v>
      </c>
      <c r="G118">
        <v>12.56</v>
      </c>
      <c r="H118">
        <v>12.37</v>
      </c>
      <c r="I118">
        <v>12.56</v>
      </c>
      <c r="J118" t="s">
        <v>10</v>
      </c>
      <c r="K118">
        <v>0.13</v>
      </c>
      <c r="L118">
        <v>12.54</v>
      </c>
      <c r="M118">
        <v>12</v>
      </c>
      <c r="N118">
        <v>12.56</v>
      </c>
      <c r="O118">
        <v>14</v>
      </c>
      <c r="P118">
        <v>0</v>
      </c>
    </row>
    <row r="119" spans="1:16" x14ac:dyDescent="0.3">
      <c r="A119" t="str">
        <f>"0056"</f>
        <v>0056</v>
      </c>
      <c r="B119" t="s">
        <v>149</v>
      </c>
      <c r="C119" s="2">
        <v>5514579</v>
      </c>
      <c r="D119">
        <v>574</v>
      </c>
      <c r="E119" s="2">
        <v>129963696</v>
      </c>
      <c r="F119">
        <v>23.41</v>
      </c>
      <c r="G119">
        <v>23.7</v>
      </c>
      <c r="H119">
        <v>23.41</v>
      </c>
      <c r="I119">
        <v>23.69</v>
      </c>
      <c r="J119" t="s">
        <v>10</v>
      </c>
      <c r="K119">
        <v>0.28000000000000003</v>
      </c>
      <c r="L119">
        <v>23.68</v>
      </c>
      <c r="M119">
        <v>100</v>
      </c>
      <c r="N119">
        <v>23.69</v>
      </c>
      <c r="O119">
        <v>92</v>
      </c>
      <c r="P119">
        <v>0</v>
      </c>
    </row>
    <row r="120" spans="1:16" x14ac:dyDescent="0.3">
      <c r="A120" t="str">
        <f>"0057"</f>
        <v>0057</v>
      </c>
      <c r="B120" t="s">
        <v>150</v>
      </c>
      <c r="C120" s="2">
        <v>13000</v>
      </c>
      <c r="D120">
        <v>4</v>
      </c>
      <c r="E120" s="2">
        <v>425090</v>
      </c>
      <c r="F120">
        <v>32.61</v>
      </c>
      <c r="G120">
        <v>32.76</v>
      </c>
      <c r="H120">
        <v>32.61</v>
      </c>
      <c r="I120">
        <v>32.74</v>
      </c>
      <c r="J120" t="s">
        <v>7</v>
      </c>
      <c r="K120">
        <v>1.06</v>
      </c>
      <c r="L120">
        <v>32.75</v>
      </c>
      <c r="M120">
        <v>19</v>
      </c>
      <c r="N120">
        <v>34</v>
      </c>
      <c r="O120">
        <v>1</v>
      </c>
      <c r="P120">
        <v>0</v>
      </c>
    </row>
    <row r="121" spans="1:16" x14ac:dyDescent="0.3">
      <c r="A121" t="str">
        <f>"0058"</f>
        <v>0058</v>
      </c>
      <c r="B121" t="s">
        <v>151</v>
      </c>
      <c r="C121">
        <v>0</v>
      </c>
      <c r="D121">
        <v>0</v>
      </c>
      <c r="E121">
        <v>0</v>
      </c>
      <c r="F121" t="s">
        <v>152</v>
      </c>
      <c r="G121" t="s">
        <v>152</v>
      </c>
      <c r="H121" t="s">
        <v>152</v>
      </c>
      <c r="I121" t="s">
        <v>152</v>
      </c>
      <c r="K121">
        <v>0</v>
      </c>
      <c r="L121">
        <v>31.6</v>
      </c>
      <c r="M121">
        <v>1</v>
      </c>
      <c r="N121" t="s">
        <v>152</v>
      </c>
      <c r="O121">
        <v>0</v>
      </c>
      <c r="P121">
        <v>0</v>
      </c>
    </row>
    <row r="122" spans="1:16" x14ac:dyDescent="0.3">
      <c r="A122" t="str">
        <f>"0059"</f>
        <v>0059</v>
      </c>
      <c r="B122" t="s">
        <v>153</v>
      </c>
      <c r="C122" s="2">
        <v>2000</v>
      </c>
      <c r="D122">
        <v>2</v>
      </c>
      <c r="E122" s="2">
        <v>54050</v>
      </c>
      <c r="F122">
        <v>27.03</v>
      </c>
      <c r="G122">
        <v>27.03</v>
      </c>
      <c r="H122">
        <v>27.02</v>
      </c>
      <c r="I122">
        <v>27.02</v>
      </c>
      <c r="J122" t="s">
        <v>10</v>
      </c>
      <c r="K122">
        <v>0.26</v>
      </c>
      <c r="L122">
        <v>26.35</v>
      </c>
      <c r="M122">
        <v>3</v>
      </c>
      <c r="N122">
        <v>27.8</v>
      </c>
      <c r="O122">
        <v>1</v>
      </c>
      <c r="P122">
        <v>0</v>
      </c>
    </row>
    <row r="123" spans="1:16" x14ac:dyDescent="0.3">
      <c r="A123" t="str">
        <f>"0060"</f>
        <v>0060</v>
      </c>
      <c r="B123" t="s">
        <v>154</v>
      </c>
      <c r="C123" s="2">
        <v>3000</v>
      </c>
      <c r="D123">
        <v>2</v>
      </c>
      <c r="E123" s="2">
        <v>84250</v>
      </c>
      <c r="F123">
        <v>28.02</v>
      </c>
      <c r="G123">
        <v>28.21</v>
      </c>
      <c r="H123">
        <v>28.02</v>
      </c>
      <c r="I123">
        <v>28.21</v>
      </c>
      <c r="J123" t="s">
        <v>145</v>
      </c>
      <c r="K123">
        <v>0</v>
      </c>
      <c r="L123">
        <v>28.21</v>
      </c>
      <c r="M123">
        <v>61</v>
      </c>
      <c r="N123">
        <v>28.8</v>
      </c>
      <c r="O123">
        <v>1</v>
      </c>
      <c r="P123">
        <v>0</v>
      </c>
    </row>
    <row r="124" spans="1:16" x14ac:dyDescent="0.3">
      <c r="A124" t="str">
        <f>"0061"</f>
        <v>0061</v>
      </c>
      <c r="B124" t="s">
        <v>155</v>
      </c>
      <c r="C124" s="2">
        <v>10998766</v>
      </c>
      <c r="D124" s="2">
        <v>1954</v>
      </c>
      <c r="E124" s="2">
        <v>135793307</v>
      </c>
      <c r="F124">
        <v>12.41</v>
      </c>
      <c r="G124">
        <v>12.42</v>
      </c>
      <c r="H124">
        <v>12.23</v>
      </c>
      <c r="I124">
        <v>12.33</v>
      </c>
      <c r="J124" t="s">
        <v>7</v>
      </c>
      <c r="K124">
        <v>0.06</v>
      </c>
      <c r="L124">
        <v>12.32</v>
      </c>
      <c r="M124">
        <v>73</v>
      </c>
      <c r="N124">
        <v>12.33</v>
      </c>
      <c r="O124">
        <v>358</v>
      </c>
      <c r="P124">
        <v>0</v>
      </c>
    </row>
    <row r="125" spans="1:16" x14ac:dyDescent="0.3">
      <c r="A125" t="str">
        <f>"006203"</f>
        <v>006203</v>
      </c>
      <c r="B125" t="s">
        <v>156</v>
      </c>
      <c r="C125">
        <v>0</v>
      </c>
      <c r="D125">
        <v>0</v>
      </c>
      <c r="E125">
        <v>0</v>
      </c>
      <c r="F125" t="s">
        <v>152</v>
      </c>
      <c r="G125" t="s">
        <v>152</v>
      </c>
      <c r="H125" t="s">
        <v>152</v>
      </c>
      <c r="I125" t="s">
        <v>152</v>
      </c>
      <c r="K125">
        <v>0</v>
      </c>
      <c r="L125">
        <v>26.65</v>
      </c>
      <c r="M125">
        <v>2</v>
      </c>
      <c r="N125">
        <v>27.2</v>
      </c>
      <c r="O125">
        <v>1</v>
      </c>
      <c r="P125">
        <v>0</v>
      </c>
    </row>
    <row r="126" spans="1:16" x14ac:dyDescent="0.3">
      <c r="A126" t="str">
        <f>"006204"</f>
        <v>006204</v>
      </c>
      <c r="B126" t="s">
        <v>157</v>
      </c>
      <c r="C126" s="2">
        <v>1053297</v>
      </c>
      <c r="D126">
        <v>427</v>
      </c>
      <c r="E126" s="2">
        <v>41997976</v>
      </c>
      <c r="F126">
        <v>39.799999999999997</v>
      </c>
      <c r="G126">
        <v>40.11</v>
      </c>
      <c r="H126">
        <v>39.64</v>
      </c>
      <c r="I126">
        <v>39.97</v>
      </c>
      <c r="J126" t="s">
        <v>7</v>
      </c>
      <c r="K126">
        <v>0.02</v>
      </c>
      <c r="L126">
        <v>39.950000000000003</v>
      </c>
      <c r="M126">
        <v>204</v>
      </c>
      <c r="N126">
        <v>39.97</v>
      </c>
      <c r="O126">
        <v>180</v>
      </c>
      <c r="P126">
        <v>0</v>
      </c>
    </row>
    <row r="127" spans="1:16" x14ac:dyDescent="0.3">
      <c r="A127" t="str">
        <f>"006205"</f>
        <v>006205</v>
      </c>
      <c r="B127" t="s">
        <v>158</v>
      </c>
      <c r="C127" s="2">
        <v>4995000</v>
      </c>
      <c r="D127">
        <v>575</v>
      </c>
      <c r="E127" s="2">
        <v>94608440</v>
      </c>
      <c r="F127">
        <v>19.2</v>
      </c>
      <c r="G127">
        <v>19.2</v>
      </c>
      <c r="H127">
        <v>18.84</v>
      </c>
      <c r="I127">
        <v>18.96</v>
      </c>
      <c r="K127">
        <v>0</v>
      </c>
      <c r="L127">
        <v>18.96</v>
      </c>
      <c r="M127">
        <v>56</v>
      </c>
      <c r="N127">
        <v>18.97</v>
      </c>
      <c r="O127">
        <v>75</v>
      </c>
      <c r="P127">
        <v>0</v>
      </c>
    </row>
    <row r="128" spans="1:16" x14ac:dyDescent="0.3">
      <c r="A128" t="str">
        <f>"006206"</f>
        <v>006206</v>
      </c>
      <c r="B128" t="s">
        <v>159</v>
      </c>
      <c r="C128" s="2">
        <v>5606000</v>
      </c>
      <c r="D128">
        <v>672</v>
      </c>
      <c r="E128" s="2">
        <v>98974550</v>
      </c>
      <c r="F128">
        <v>17.8</v>
      </c>
      <c r="G128">
        <v>17.829999999999998</v>
      </c>
      <c r="H128">
        <v>17.46</v>
      </c>
      <c r="I128">
        <v>17.63</v>
      </c>
      <c r="J128" t="s">
        <v>7</v>
      </c>
      <c r="K128">
        <v>7.0000000000000007E-2</v>
      </c>
      <c r="L128">
        <v>17.63</v>
      </c>
      <c r="M128">
        <v>13</v>
      </c>
      <c r="N128">
        <v>17.64</v>
      </c>
      <c r="O128">
        <v>10</v>
      </c>
      <c r="P128">
        <v>0</v>
      </c>
    </row>
    <row r="129" spans="1:16" x14ac:dyDescent="0.3">
      <c r="A129" t="str">
        <f>"006207"</f>
        <v>006207</v>
      </c>
      <c r="B129" t="s">
        <v>160</v>
      </c>
      <c r="C129" s="2">
        <v>1573000</v>
      </c>
      <c r="D129">
        <v>240</v>
      </c>
      <c r="E129" s="2">
        <v>20956550</v>
      </c>
      <c r="F129">
        <v>13.4</v>
      </c>
      <c r="G129">
        <v>13.41</v>
      </c>
      <c r="H129">
        <v>13.21</v>
      </c>
      <c r="I129">
        <v>13.32</v>
      </c>
      <c r="J129" t="s">
        <v>7</v>
      </c>
      <c r="K129">
        <v>0.01</v>
      </c>
      <c r="L129">
        <v>13.32</v>
      </c>
      <c r="M129">
        <v>20</v>
      </c>
      <c r="N129">
        <v>13.33</v>
      </c>
      <c r="O129">
        <v>312</v>
      </c>
      <c r="P129">
        <v>0</v>
      </c>
    </row>
    <row r="130" spans="1:16" x14ac:dyDescent="0.3">
      <c r="A130" t="str">
        <f>"006208"</f>
        <v>006208</v>
      </c>
      <c r="B130" t="s">
        <v>161</v>
      </c>
      <c r="C130" s="2">
        <v>13000</v>
      </c>
      <c r="D130">
        <v>6</v>
      </c>
      <c r="E130" s="2">
        <v>412060</v>
      </c>
      <c r="F130">
        <v>31.57</v>
      </c>
      <c r="G130">
        <v>31.75</v>
      </c>
      <c r="H130">
        <v>31.57</v>
      </c>
      <c r="I130">
        <v>31.75</v>
      </c>
      <c r="J130" t="s">
        <v>10</v>
      </c>
      <c r="K130">
        <v>0.46</v>
      </c>
      <c r="L130">
        <v>31.3</v>
      </c>
      <c r="M130">
        <v>5</v>
      </c>
      <c r="N130">
        <v>31.95</v>
      </c>
      <c r="O130">
        <v>1</v>
      </c>
      <c r="P130">
        <v>0</v>
      </c>
    </row>
    <row r="131" spans="1:16" x14ac:dyDescent="0.3">
      <c r="A131" t="str">
        <f>"0080"</f>
        <v>0080</v>
      </c>
      <c r="B131" t="s">
        <v>162</v>
      </c>
      <c r="C131">
        <v>600</v>
      </c>
      <c r="D131">
        <v>3</v>
      </c>
      <c r="E131" s="2">
        <v>211800</v>
      </c>
      <c r="F131">
        <v>353</v>
      </c>
      <c r="G131">
        <v>353</v>
      </c>
      <c r="H131">
        <v>353</v>
      </c>
      <c r="I131">
        <v>353</v>
      </c>
      <c r="J131" t="s">
        <v>145</v>
      </c>
      <c r="K131">
        <v>0</v>
      </c>
      <c r="L131">
        <v>353</v>
      </c>
      <c r="M131">
        <v>3</v>
      </c>
      <c r="N131">
        <v>369</v>
      </c>
      <c r="O131">
        <v>1</v>
      </c>
      <c r="P131">
        <v>0</v>
      </c>
    </row>
    <row r="132" spans="1:16" x14ac:dyDescent="0.3">
      <c r="A132" t="str">
        <f>"0081"</f>
        <v>0081</v>
      </c>
      <c r="B132" t="s">
        <v>163</v>
      </c>
      <c r="C132">
        <v>0</v>
      </c>
      <c r="D132">
        <v>0</v>
      </c>
      <c r="E132">
        <v>0</v>
      </c>
      <c r="F132" t="s">
        <v>152</v>
      </c>
      <c r="G132" t="s">
        <v>152</v>
      </c>
      <c r="H132" t="s">
        <v>152</v>
      </c>
      <c r="I132" t="s">
        <v>152</v>
      </c>
      <c r="K132">
        <v>0</v>
      </c>
      <c r="L132">
        <v>761.3</v>
      </c>
      <c r="M132">
        <v>2</v>
      </c>
      <c r="N132">
        <v>800</v>
      </c>
      <c r="O132">
        <v>1</v>
      </c>
      <c r="P132">
        <v>0</v>
      </c>
    </row>
    <row r="133" spans="1:16" x14ac:dyDescent="0.3">
      <c r="A133" t="str">
        <f>"008201"</f>
        <v>008201</v>
      </c>
      <c r="B133" t="s">
        <v>164</v>
      </c>
      <c r="C133">
        <v>600</v>
      </c>
      <c r="D133">
        <v>4</v>
      </c>
      <c r="E133" s="2">
        <v>34540</v>
      </c>
      <c r="F133">
        <v>57.6</v>
      </c>
      <c r="G133">
        <v>57.6</v>
      </c>
      <c r="H133">
        <v>57.5</v>
      </c>
      <c r="I133">
        <v>57.5</v>
      </c>
      <c r="J133" t="s">
        <v>7</v>
      </c>
      <c r="K133">
        <v>0.1</v>
      </c>
      <c r="L133">
        <v>56.3</v>
      </c>
      <c r="M133">
        <v>6</v>
      </c>
      <c r="N133">
        <v>57.65</v>
      </c>
      <c r="O133">
        <v>2</v>
      </c>
      <c r="P133">
        <v>0</v>
      </c>
    </row>
    <row r="134" spans="1:16" x14ac:dyDescent="0.3">
      <c r="A134" t="s">
        <v>165</v>
      </c>
      <c r="B134" t="s">
        <v>166</v>
      </c>
      <c r="C134" s="2">
        <v>53000</v>
      </c>
      <c r="D134">
        <v>8</v>
      </c>
      <c r="E134" s="2">
        <v>954860</v>
      </c>
      <c r="F134">
        <v>18.02</v>
      </c>
      <c r="G134">
        <v>18.03</v>
      </c>
      <c r="H134">
        <v>17.91</v>
      </c>
      <c r="I134">
        <v>18</v>
      </c>
      <c r="J134" t="s">
        <v>7</v>
      </c>
      <c r="K134">
        <v>0.05</v>
      </c>
      <c r="L134">
        <v>18</v>
      </c>
      <c r="M134">
        <v>15</v>
      </c>
      <c r="N134">
        <v>18.03</v>
      </c>
      <c r="O134">
        <v>28</v>
      </c>
      <c r="P134">
        <v>0</v>
      </c>
    </row>
    <row r="135" spans="1:16" x14ac:dyDescent="0.3">
      <c r="A135" t="s">
        <v>167</v>
      </c>
      <c r="B135" t="s">
        <v>168</v>
      </c>
      <c r="C135" s="2">
        <v>1640000</v>
      </c>
      <c r="D135">
        <v>107</v>
      </c>
      <c r="E135" s="2">
        <v>32692080</v>
      </c>
      <c r="F135">
        <v>20.5</v>
      </c>
      <c r="G135">
        <v>20.5</v>
      </c>
      <c r="H135">
        <v>19.8</v>
      </c>
      <c r="I135">
        <v>19.850000000000001</v>
      </c>
      <c r="J135" t="s">
        <v>7</v>
      </c>
      <c r="K135">
        <v>1.44</v>
      </c>
      <c r="L135">
        <v>19.850000000000001</v>
      </c>
      <c r="M135">
        <v>4</v>
      </c>
      <c r="N135">
        <v>19.899999999999999</v>
      </c>
      <c r="O135">
        <v>241</v>
      </c>
      <c r="P135">
        <v>0</v>
      </c>
    </row>
    <row r="136" spans="1:16" x14ac:dyDescent="0.3">
      <c r="A136" t="s">
        <v>169</v>
      </c>
      <c r="B136" t="s">
        <v>170</v>
      </c>
      <c r="C136" s="2">
        <v>4203000</v>
      </c>
      <c r="D136">
        <v>90</v>
      </c>
      <c r="E136" s="2">
        <v>63050290</v>
      </c>
      <c r="F136">
        <v>15.55</v>
      </c>
      <c r="G136">
        <v>15.55</v>
      </c>
      <c r="H136">
        <v>15</v>
      </c>
      <c r="I136">
        <v>15</v>
      </c>
      <c r="J136" t="s">
        <v>7</v>
      </c>
      <c r="K136">
        <v>1</v>
      </c>
      <c r="L136">
        <v>14.98</v>
      </c>
      <c r="M136">
        <v>60</v>
      </c>
      <c r="N136">
        <v>15</v>
      </c>
      <c r="O136">
        <v>12</v>
      </c>
      <c r="P136">
        <v>0</v>
      </c>
    </row>
    <row r="137" spans="1:16" x14ac:dyDescent="0.3">
      <c r="A137" t="s">
        <v>171</v>
      </c>
      <c r="B137" t="s">
        <v>172</v>
      </c>
      <c r="C137" s="2">
        <v>232000</v>
      </c>
      <c r="D137">
        <v>12</v>
      </c>
      <c r="E137" s="2">
        <v>3373700</v>
      </c>
      <c r="F137">
        <v>14.5</v>
      </c>
      <c r="G137">
        <v>14.6</v>
      </c>
      <c r="H137">
        <v>14.5</v>
      </c>
      <c r="I137">
        <v>14.6</v>
      </c>
      <c r="K137">
        <v>0</v>
      </c>
      <c r="L137">
        <v>14.5</v>
      </c>
      <c r="M137">
        <v>130</v>
      </c>
      <c r="N137">
        <v>14.6</v>
      </c>
      <c r="O137">
        <v>33</v>
      </c>
      <c r="P137">
        <v>0</v>
      </c>
    </row>
    <row r="138" spans="1:16" x14ac:dyDescent="0.3">
      <c r="A138" t="s">
        <v>173</v>
      </c>
      <c r="B138" t="s">
        <v>174</v>
      </c>
      <c r="C138" s="2">
        <v>42000</v>
      </c>
      <c r="D138">
        <v>2</v>
      </c>
      <c r="E138" s="2">
        <v>746350</v>
      </c>
      <c r="F138">
        <v>17.78</v>
      </c>
      <c r="G138">
        <v>17.78</v>
      </c>
      <c r="H138">
        <v>17.77</v>
      </c>
      <c r="I138">
        <v>17.77</v>
      </c>
      <c r="J138" t="s">
        <v>10</v>
      </c>
      <c r="K138">
        <v>0.37</v>
      </c>
      <c r="L138">
        <v>17.45</v>
      </c>
      <c r="M138">
        <v>23</v>
      </c>
      <c r="N138">
        <v>17.77</v>
      </c>
      <c r="O138">
        <v>3</v>
      </c>
      <c r="P138">
        <v>0</v>
      </c>
    </row>
    <row r="139" spans="1:16" x14ac:dyDescent="0.3">
      <c r="A139" t="s">
        <v>175</v>
      </c>
      <c r="B139" t="s">
        <v>176</v>
      </c>
      <c r="C139" s="2">
        <v>932000</v>
      </c>
      <c r="D139">
        <v>111</v>
      </c>
      <c r="E139" s="2">
        <v>15061020</v>
      </c>
      <c r="F139">
        <v>16.079999999999998</v>
      </c>
      <c r="G139">
        <v>16.25</v>
      </c>
      <c r="H139">
        <v>16.07</v>
      </c>
      <c r="I139">
        <v>16.25</v>
      </c>
      <c r="J139" t="s">
        <v>10</v>
      </c>
      <c r="K139">
        <v>0.13</v>
      </c>
      <c r="L139">
        <v>16.190000000000001</v>
      </c>
      <c r="M139">
        <v>10</v>
      </c>
      <c r="N139">
        <v>16.25</v>
      </c>
      <c r="O139">
        <v>3</v>
      </c>
      <c r="P139">
        <v>0</v>
      </c>
    </row>
    <row r="140" spans="1:16" x14ac:dyDescent="0.3">
      <c r="A140">
        <v>1101</v>
      </c>
      <c r="B140" t="s">
        <v>177</v>
      </c>
      <c r="C140" s="2">
        <v>7705426</v>
      </c>
      <c r="D140" s="2">
        <v>3114</v>
      </c>
      <c r="E140" s="2">
        <v>284081784</v>
      </c>
      <c r="F140">
        <v>36.799999999999997</v>
      </c>
      <c r="G140">
        <v>37.200000000000003</v>
      </c>
      <c r="H140">
        <v>36.299999999999997</v>
      </c>
      <c r="I140">
        <v>37</v>
      </c>
      <c r="J140" t="s">
        <v>10</v>
      </c>
      <c r="K140">
        <v>0.1</v>
      </c>
      <c r="L140">
        <v>37</v>
      </c>
      <c r="M140">
        <v>725</v>
      </c>
      <c r="N140">
        <v>37.1</v>
      </c>
      <c r="O140">
        <v>15</v>
      </c>
      <c r="P140">
        <v>17.79</v>
      </c>
    </row>
    <row r="141" spans="1:16" x14ac:dyDescent="0.3">
      <c r="A141">
        <v>1102</v>
      </c>
      <c r="B141" t="s">
        <v>178</v>
      </c>
      <c r="C141" s="2">
        <v>4957411</v>
      </c>
      <c r="D141" s="2">
        <v>1359</v>
      </c>
      <c r="E141" s="2">
        <v>180832073</v>
      </c>
      <c r="F141">
        <v>36.799999999999997</v>
      </c>
      <c r="G141">
        <v>36.799999999999997</v>
      </c>
      <c r="H141">
        <v>36.299999999999997</v>
      </c>
      <c r="I141">
        <v>36.35</v>
      </c>
      <c r="J141" t="s">
        <v>7</v>
      </c>
      <c r="K141">
        <v>0.55000000000000004</v>
      </c>
      <c r="L141">
        <v>36.35</v>
      </c>
      <c r="M141">
        <v>7</v>
      </c>
      <c r="N141">
        <v>36.450000000000003</v>
      </c>
      <c r="O141">
        <v>40</v>
      </c>
      <c r="P141">
        <v>20.309999999999999</v>
      </c>
    </row>
    <row r="142" spans="1:16" x14ac:dyDescent="0.3">
      <c r="A142">
        <v>1103</v>
      </c>
      <c r="B142" t="s">
        <v>179</v>
      </c>
      <c r="C142" s="2">
        <v>589327</v>
      </c>
      <c r="D142">
        <v>116</v>
      </c>
      <c r="E142" s="2">
        <v>8293878</v>
      </c>
      <c r="F142">
        <v>14.1</v>
      </c>
      <c r="G142">
        <v>14.2</v>
      </c>
      <c r="H142">
        <v>14</v>
      </c>
      <c r="I142">
        <v>14.05</v>
      </c>
      <c r="J142" t="s">
        <v>7</v>
      </c>
      <c r="K142">
        <v>0.2</v>
      </c>
      <c r="L142">
        <v>14.05</v>
      </c>
      <c r="M142">
        <v>82</v>
      </c>
      <c r="N142">
        <v>14.2</v>
      </c>
      <c r="O142">
        <v>14</v>
      </c>
      <c r="P142">
        <v>0</v>
      </c>
    </row>
    <row r="143" spans="1:16" x14ac:dyDescent="0.3">
      <c r="A143">
        <v>1104</v>
      </c>
      <c r="B143" t="s">
        <v>180</v>
      </c>
      <c r="C143" s="2">
        <v>493509</v>
      </c>
      <c r="D143">
        <v>176</v>
      </c>
      <c r="E143" s="2">
        <v>8398403</v>
      </c>
      <c r="F143">
        <v>17</v>
      </c>
      <c r="G143">
        <v>17.100000000000001</v>
      </c>
      <c r="H143">
        <v>16.899999999999999</v>
      </c>
      <c r="I143">
        <v>17.100000000000001</v>
      </c>
      <c r="J143" t="s">
        <v>10</v>
      </c>
      <c r="K143">
        <v>0.05</v>
      </c>
      <c r="L143">
        <v>17.05</v>
      </c>
      <c r="M143">
        <v>1</v>
      </c>
      <c r="N143">
        <v>17.100000000000001</v>
      </c>
      <c r="O143">
        <v>64</v>
      </c>
      <c r="P143">
        <v>13.79</v>
      </c>
    </row>
    <row r="144" spans="1:16" x14ac:dyDescent="0.3">
      <c r="A144">
        <v>1108</v>
      </c>
      <c r="B144" t="s">
        <v>181</v>
      </c>
      <c r="C144" s="2">
        <v>238860</v>
      </c>
      <c r="D144">
        <v>70</v>
      </c>
      <c r="E144" s="2">
        <v>1726151</v>
      </c>
      <c r="F144">
        <v>7.21</v>
      </c>
      <c r="G144">
        <v>7.28</v>
      </c>
      <c r="H144">
        <v>7.2</v>
      </c>
      <c r="I144">
        <v>7.26</v>
      </c>
      <c r="J144" t="s">
        <v>10</v>
      </c>
      <c r="K144">
        <v>0.06</v>
      </c>
      <c r="L144">
        <v>7.21</v>
      </c>
      <c r="M144">
        <v>25</v>
      </c>
      <c r="N144">
        <v>7.26</v>
      </c>
      <c r="O144">
        <v>7</v>
      </c>
      <c r="P144">
        <v>23.42</v>
      </c>
    </row>
    <row r="145" spans="1:16" x14ac:dyDescent="0.3">
      <c r="A145">
        <v>1109</v>
      </c>
      <c r="B145" t="s">
        <v>182</v>
      </c>
      <c r="C145" s="2">
        <v>26319</v>
      </c>
      <c r="D145">
        <v>14</v>
      </c>
      <c r="E145" s="2">
        <v>277815</v>
      </c>
      <c r="F145">
        <v>10.6</v>
      </c>
      <c r="G145">
        <v>10.6</v>
      </c>
      <c r="H145">
        <v>10.5</v>
      </c>
      <c r="I145">
        <v>10.6</v>
      </c>
      <c r="K145">
        <v>0</v>
      </c>
      <c r="L145">
        <v>10.5</v>
      </c>
      <c r="M145">
        <v>15</v>
      </c>
      <c r="N145">
        <v>10.6</v>
      </c>
      <c r="O145">
        <v>6</v>
      </c>
      <c r="P145">
        <v>40.770000000000003</v>
      </c>
    </row>
    <row r="146" spans="1:16" x14ac:dyDescent="0.3">
      <c r="A146">
        <v>1110</v>
      </c>
      <c r="B146" t="s">
        <v>183</v>
      </c>
      <c r="C146" s="2">
        <v>187025</v>
      </c>
      <c r="D146">
        <v>106</v>
      </c>
      <c r="E146" s="2">
        <v>2862031</v>
      </c>
      <c r="F146">
        <v>15.05</v>
      </c>
      <c r="G146">
        <v>15.55</v>
      </c>
      <c r="H146">
        <v>14.95</v>
      </c>
      <c r="I146">
        <v>15.55</v>
      </c>
      <c r="J146" t="s">
        <v>10</v>
      </c>
      <c r="K146">
        <v>0.2</v>
      </c>
      <c r="L146">
        <v>15.3</v>
      </c>
      <c r="M146">
        <v>8</v>
      </c>
      <c r="N146">
        <v>15.55</v>
      </c>
      <c r="O146">
        <v>2</v>
      </c>
      <c r="P146">
        <v>222.14</v>
      </c>
    </row>
    <row r="147" spans="1:16" x14ac:dyDescent="0.3">
      <c r="A147">
        <v>1201</v>
      </c>
      <c r="B147" t="s">
        <v>184</v>
      </c>
      <c r="C147" s="2">
        <v>1396530</v>
      </c>
      <c r="D147">
        <v>581</v>
      </c>
      <c r="E147" s="2">
        <v>71655231</v>
      </c>
      <c r="F147">
        <v>50.9</v>
      </c>
      <c r="G147">
        <v>51.9</v>
      </c>
      <c r="H147">
        <v>50.9</v>
      </c>
      <c r="I147">
        <v>51.5</v>
      </c>
      <c r="J147" t="s">
        <v>10</v>
      </c>
      <c r="K147">
        <v>0.6</v>
      </c>
      <c r="L147">
        <v>51.5</v>
      </c>
      <c r="M147">
        <v>56</v>
      </c>
      <c r="N147">
        <v>51.6</v>
      </c>
      <c r="O147">
        <v>1</v>
      </c>
      <c r="P147">
        <v>32.39</v>
      </c>
    </row>
    <row r="148" spans="1:16" x14ac:dyDescent="0.3">
      <c r="A148">
        <v>1203</v>
      </c>
      <c r="B148" t="s">
        <v>185</v>
      </c>
      <c r="C148" s="2">
        <v>109768</v>
      </c>
      <c r="D148">
        <v>62</v>
      </c>
      <c r="E148" s="2">
        <v>2374045</v>
      </c>
      <c r="F148">
        <v>21.6</v>
      </c>
      <c r="G148">
        <v>21.7</v>
      </c>
      <c r="H148">
        <v>21.55</v>
      </c>
      <c r="I148">
        <v>21.7</v>
      </c>
      <c r="J148" t="s">
        <v>10</v>
      </c>
      <c r="K148">
        <v>0.2</v>
      </c>
      <c r="L148">
        <v>21.7</v>
      </c>
      <c r="M148">
        <v>8</v>
      </c>
      <c r="N148">
        <v>21.8</v>
      </c>
      <c r="O148">
        <v>10</v>
      </c>
      <c r="P148">
        <v>25.83</v>
      </c>
    </row>
    <row r="149" spans="1:16" x14ac:dyDescent="0.3">
      <c r="A149">
        <v>1210</v>
      </c>
      <c r="B149" t="s">
        <v>186</v>
      </c>
      <c r="C149" s="2">
        <v>632205</v>
      </c>
      <c r="D149">
        <v>150</v>
      </c>
      <c r="E149" s="2">
        <v>16281594</v>
      </c>
      <c r="F149">
        <v>25.75</v>
      </c>
      <c r="G149">
        <v>25.8</v>
      </c>
      <c r="H149">
        <v>25.6</v>
      </c>
      <c r="I149">
        <v>25.8</v>
      </c>
      <c r="J149" t="s">
        <v>10</v>
      </c>
      <c r="K149">
        <v>0.15</v>
      </c>
      <c r="L149">
        <v>25.75</v>
      </c>
      <c r="M149">
        <v>1</v>
      </c>
      <c r="N149">
        <v>25.8</v>
      </c>
      <c r="O149">
        <v>32</v>
      </c>
      <c r="P149">
        <v>18.559999999999999</v>
      </c>
    </row>
    <row r="150" spans="1:16" x14ac:dyDescent="0.3">
      <c r="A150">
        <v>1213</v>
      </c>
      <c r="B150" t="s">
        <v>187</v>
      </c>
      <c r="C150" s="2">
        <v>89528</v>
      </c>
      <c r="D150">
        <v>58</v>
      </c>
      <c r="E150" s="2">
        <v>2034735</v>
      </c>
      <c r="F150">
        <v>22.45</v>
      </c>
      <c r="G150">
        <v>22.9</v>
      </c>
      <c r="H150">
        <v>22.2</v>
      </c>
      <c r="I150">
        <v>22.9</v>
      </c>
      <c r="J150" t="s">
        <v>10</v>
      </c>
      <c r="K150">
        <v>0.45</v>
      </c>
      <c r="L150">
        <v>22.55</v>
      </c>
      <c r="M150">
        <v>2</v>
      </c>
      <c r="N150">
        <v>22.95</v>
      </c>
      <c r="O150">
        <v>1</v>
      </c>
      <c r="P150">
        <v>91.6</v>
      </c>
    </row>
    <row r="151" spans="1:16" x14ac:dyDescent="0.3">
      <c r="A151">
        <v>1215</v>
      </c>
      <c r="B151" t="s">
        <v>188</v>
      </c>
      <c r="C151" s="2">
        <v>498962</v>
      </c>
      <c r="D151">
        <v>138</v>
      </c>
      <c r="E151" s="2">
        <v>7938647</v>
      </c>
      <c r="F151">
        <v>15.85</v>
      </c>
      <c r="G151">
        <v>16</v>
      </c>
      <c r="H151">
        <v>15.85</v>
      </c>
      <c r="I151">
        <v>15.85</v>
      </c>
      <c r="K151">
        <v>0</v>
      </c>
      <c r="L151">
        <v>15.85</v>
      </c>
      <c r="M151">
        <v>119</v>
      </c>
      <c r="N151">
        <v>15.95</v>
      </c>
      <c r="O151">
        <v>13</v>
      </c>
      <c r="P151">
        <v>9.91</v>
      </c>
    </row>
    <row r="152" spans="1:16" x14ac:dyDescent="0.3">
      <c r="A152">
        <v>1216</v>
      </c>
      <c r="B152" t="s">
        <v>189</v>
      </c>
      <c r="C152" s="2">
        <v>14974066</v>
      </c>
      <c r="D152" s="2">
        <v>4345</v>
      </c>
      <c r="E152" s="2">
        <v>875814624</v>
      </c>
      <c r="F152">
        <v>58.6</v>
      </c>
      <c r="G152">
        <v>58.8</v>
      </c>
      <c r="H152">
        <v>58.3</v>
      </c>
      <c r="I152">
        <v>58.3</v>
      </c>
      <c r="J152" t="s">
        <v>7</v>
      </c>
      <c r="K152">
        <v>0.1</v>
      </c>
      <c r="L152">
        <v>58.3</v>
      </c>
      <c r="M152">
        <v>14</v>
      </c>
      <c r="N152">
        <v>58.4</v>
      </c>
      <c r="O152">
        <v>335</v>
      </c>
      <c r="P152">
        <v>21.75</v>
      </c>
    </row>
    <row r="153" spans="1:16" x14ac:dyDescent="0.3">
      <c r="A153">
        <v>1217</v>
      </c>
      <c r="B153" t="s">
        <v>190</v>
      </c>
      <c r="C153" s="2">
        <v>2817363</v>
      </c>
      <c r="D153">
        <v>461</v>
      </c>
      <c r="E153" s="2">
        <v>28124037</v>
      </c>
      <c r="F153">
        <v>9.9499999999999993</v>
      </c>
      <c r="G153">
        <v>10.050000000000001</v>
      </c>
      <c r="H153">
        <v>9.92</v>
      </c>
      <c r="I153">
        <v>10</v>
      </c>
      <c r="J153" t="s">
        <v>10</v>
      </c>
      <c r="K153">
        <v>0.13</v>
      </c>
      <c r="L153">
        <v>9.9700000000000006</v>
      </c>
      <c r="M153">
        <v>110</v>
      </c>
      <c r="N153">
        <v>10</v>
      </c>
      <c r="O153">
        <v>57</v>
      </c>
      <c r="P153">
        <v>71.430000000000007</v>
      </c>
    </row>
    <row r="154" spans="1:16" x14ac:dyDescent="0.3">
      <c r="A154">
        <v>1218</v>
      </c>
      <c r="B154" t="s">
        <v>191</v>
      </c>
      <c r="C154" s="2">
        <v>669115</v>
      </c>
      <c r="D154">
        <v>331</v>
      </c>
      <c r="E154" s="2">
        <v>9620897</v>
      </c>
      <c r="F154">
        <v>14.2</v>
      </c>
      <c r="G154">
        <v>14.45</v>
      </c>
      <c r="H154">
        <v>14.2</v>
      </c>
      <c r="I154">
        <v>14.45</v>
      </c>
      <c r="J154" t="s">
        <v>10</v>
      </c>
      <c r="K154">
        <v>0.3</v>
      </c>
      <c r="L154">
        <v>14.45</v>
      </c>
      <c r="M154">
        <v>19</v>
      </c>
      <c r="N154">
        <v>14.5</v>
      </c>
      <c r="O154">
        <v>75</v>
      </c>
      <c r="P154">
        <v>0</v>
      </c>
    </row>
    <row r="155" spans="1:16" x14ac:dyDescent="0.3">
      <c r="A155">
        <v>1219</v>
      </c>
      <c r="B155" t="s">
        <v>192</v>
      </c>
      <c r="C155" s="2">
        <v>38455</v>
      </c>
      <c r="D155">
        <v>28</v>
      </c>
      <c r="E155" s="2">
        <v>576077</v>
      </c>
      <c r="F155">
        <v>14.9</v>
      </c>
      <c r="G155">
        <v>15.05</v>
      </c>
      <c r="H155">
        <v>14.85</v>
      </c>
      <c r="I155">
        <v>15.05</v>
      </c>
      <c r="J155" t="s">
        <v>10</v>
      </c>
      <c r="K155">
        <v>0.05</v>
      </c>
      <c r="L155">
        <v>15</v>
      </c>
      <c r="M155">
        <v>3</v>
      </c>
      <c r="N155">
        <v>15.05</v>
      </c>
      <c r="O155">
        <v>6</v>
      </c>
      <c r="P155">
        <v>0</v>
      </c>
    </row>
    <row r="156" spans="1:16" x14ac:dyDescent="0.3">
      <c r="A156">
        <v>1220</v>
      </c>
      <c r="B156" t="s">
        <v>193</v>
      </c>
      <c r="C156" s="2">
        <v>19130</v>
      </c>
      <c r="D156">
        <v>15</v>
      </c>
      <c r="E156" s="2">
        <v>207080</v>
      </c>
      <c r="F156">
        <v>10.8</v>
      </c>
      <c r="G156">
        <v>10.9</v>
      </c>
      <c r="H156">
        <v>10.8</v>
      </c>
      <c r="I156">
        <v>10.9</v>
      </c>
      <c r="J156" t="s">
        <v>10</v>
      </c>
      <c r="K156">
        <v>0.05</v>
      </c>
      <c r="L156">
        <v>10.85</v>
      </c>
      <c r="M156">
        <v>2</v>
      </c>
      <c r="N156">
        <v>10.9</v>
      </c>
      <c r="O156">
        <v>19</v>
      </c>
      <c r="P156">
        <v>14.34</v>
      </c>
    </row>
    <row r="157" spans="1:16" x14ac:dyDescent="0.3">
      <c r="A157">
        <v>1225</v>
      </c>
      <c r="B157" t="s">
        <v>194</v>
      </c>
      <c r="C157" s="2">
        <v>294598</v>
      </c>
      <c r="D157">
        <v>46</v>
      </c>
      <c r="E157" s="2">
        <v>3853974</v>
      </c>
      <c r="F157">
        <v>13</v>
      </c>
      <c r="G157">
        <v>13.15</v>
      </c>
      <c r="H157">
        <v>12.95</v>
      </c>
      <c r="I157">
        <v>13.15</v>
      </c>
      <c r="J157" t="s">
        <v>10</v>
      </c>
      <c r="K157">
        <v>0.1</v>
      </c>
      <c r="L157">
        <v>13.1</v>
      </c>
      <c r="M157">
        <v>9</v>
      </c>
      <c r="N157">
        <v>13.15</v>
      </c>
      <c r="O157">
        <v>13</v>
      </c>
      <c r="P157">
        <v>32.880000000000003</v>
      </c>
    </row>
    <row r="158" spans="1:16" x14ac:dyDescent="0.3">
      <c r="A158">
        <v>1227</v>
      </c>
      <c r="B158" t="s">
        <v>195</v>
      </c>
      <c r="C158" s="2">
        <v>843670</v>
      </c>
      <c r="D158">
        <v>668</v>
      </c>
      <c r="E158" s="2">
        <v>80135250</v>
      </c>
      <c r="F158">
        <v>94.9</v>
      </c>
      <c r="G158">
        <v>95.5</v>
      </c>
      <c r="H158">
        <v>93.4</v>
      </c>
      <c r="I158">
        <v>95</v>
      </c>
      <c r="J158" t="s">
        <v>10</v>
      </c>
      <c r="K158">
        <v>0.2</v>
      </c>
      <c r="L158">
        <v>95</v>
      </c>
      <c r="M158">
        <v>33</v>
      </c>
      <c r="N158">
        <v>95.3</v>
      </c>
      <c r="O158">
        <v>13</v>
      </c>
      <c r="P158">
        <v>23.4</v>
      </c>
    </row>
    <row r="159" spans="1:16" x14ac:dyDescent="0.3">
      <c r="A159">
        <v>1229</v>
      </c>
      <c r="B159" t="s">
        <v>196</v>
      </c>
      <c r="C159" s="2">
        <v>485007</v>
      </c>
      <c r="D159">
        <v>226</v>
      </c>
      <c r="E159" s="2">
        <v>9504430</v>
      </c>
      <c r="F159">
        <v>19.55</v>
      </c>
      <c r="G159">
        <v>19.7</v>
      </c>
      <c r="H159">
        <v>19.399999999999999</v>
      </c>
      <c r="I159">
        <v>19.600000000000001</v>
      </c>
      <c r="J159" t="s">
        <v>10</v>
      </c>
      <c r="K159">
        <v>0.05</v>
      </c>
      <c r="L159">
        <v>19.600000000000001</v>
      </c>
      <c r="M159">
        <v>61</v>
      </c>
      <c r="N159">
        <v>19.649999999999999</v>
      </c>
      <c r="O159">
        <v>11</v>
      </c>
      <c r="P159">
        <v>10.48</v>
      </c>
    </row>
    <row r="160" spans="1:16" x14ac:dyDescent="0.3">
      <c r="A160">
        <v>1231</v>
      </c>
      <c r="B160" t="s">
        <v>197</v>
      </c>
      <c r="C160" s="2">
        <v>326728</v>
      </c>
      <c r="D160">
        <v>189</v>
      </c>
      <c r="E160" s="2">
        <v>13778490</v>
      </c>
      <c r="F160">
        <v>41.65</v>
      </c>
      <c r="G160">
        <v>42.5</v>
      </c>
      <c r="H160">
        <v>41.65</v>
      </c>
      <c r="I160">
        <v>42.5</v>
      </c>
      <c r="J160" t="s">
        <v>10</v>
      </c>
      <c r="K160">
        <v>0.85</v>
      </c>
      <c r="L160">
        <v>42.3</v>
      </c>
      <c r="M160">
        <v>1</v>
      </c>
      <c r="N160">
        <v>42.5</v>
      </c>
      <c r="O160">
        <v>8</v>
      </c>
      <c r="P160">
        <v>13</v>
      </c>
    </row>
    <row r="161" spans="1:16" x14ac:dyDescent="0.3">
      <c r="A161">
        <v>1232</v>
      </c>
      <c r="B161" t="s">
        <v>198</v>
      </c>
      <c r="C161" s="2">
        <v>502260</v>
      </c>
      <c r="D161">
        <v>290</v>
      </c>
      <c r="E161" s="2">
        <v>29193808</v>
      </c>
      <c r="F161">
        <v>57.3</v>
      </c>
      <c r="G161">
        <v>58.5</v>
      </c>
      <c r="H161">
        <v>57.3</v>
      </c>
      <c r="I161">
        <v>58.5</v>
      </c>
      <c r="J161" t="s">
        <v>10</v>
      </c>
      <c r="K161">
        <v>0.9</v>
      </c>
      <c r="L161">
        <v>58.4</v>
      </c>
      <c r="M161">
        <v>10</v>
      </c>
      <c r="N161">
        <v>58.5</v>
      </c>
      <c r="O161">
        <v>32</v>
      </c>
      <c r="P161">
        <v>17.510000000000002</v>
      </c>
    </row>
    <row r="162" spans="1:16" x14ac:dyDescent="0.3">
      <c r="A162">
        <v>1233</v>
      </c>
      <c r="B162" t="s">
        <v>199</v>
      </c>
      <c r="C162" s="2">
        <v>49595</v>
      </c>
      <c r="D162">
        <v>44</v>
      </c>
      <c r="E162" s="2">
        <v>2399094</v>
      </c>
      <c r="F162">
        <v>48.4</v>
      </c>
      <c r="G162">
        <v>48.5</v>
      </c>
      <c r="H162">
        <v>48.15</v>
      </c>
      <c r="I162">
        <v>48.35</v>
      </c>
      <c r="J162" t="s">
        <v>7</v>
      </c>
      <c r="K162">
        <v>0.05</v>
      </c>
      <c r="L162">
        <v>48.3</v>
      </c>
      <c r="M162">
        <v>7</v>
      </c>
      <c r="N162">
        <v>48.35</v>
      </c>
      <c r="O162">
        <v>2</v>
      </c>
      <c r="P162">
        <v>18.739999999999998</v>
      </c>
    </row>
    <row r="163" spans="1:16" x14ac:dyDescent="0.3">
      <c r="A163">
        <v>1234</v>
      </c>
      <c r="B163" t="s">
        <v>200</v>
      </c>
      <c r="C163" s="2">
        <v>778101</v>
      </c>
      <c r="D163">
        <v>348</v>
      </c>
      <c r="E163" s="2">
        <v>29856894</v>
      </c>
      <c r="F163">
        <v>38.6</v>
      </c>
      <c r="G163">
        <v>38.75</v>
      </c>
      <c r="H163">
        <v>38.25</v>
      </c>
      <c r="I163">
        <v>38.25</v>
      </c>
      <c r="J163" t="s">
        <v>7</v>
      </c>
      <c r="K163">
        <v>0.55000000000000004</v>
      </c>
      <c r="L163">
        <v>38.25</v>
      </c>
      <c r="M163">
        <v>18</v>
      </c>
      <c r="N163">
        <v>38.5</v>
      </c>
      <c r="O163">
        <v>37</v>
      </c>
      <c r="P163">
        <v>2.5099999999999998</v>
      </c>
    </row>
    <row r="164" spans="1:16" x14ac:dyDescent="0.3">
      <c r="A164">
        <v>1235</v>
      </c>
      <c r="B164" t="s">
        <v>201</v>
      </c>
      <c r="C164" s="2">
        <v>184000</v>
      </c>
      <c r="D164">
        <v>9</v>
      </c>
      <c r="E164" s="2">
        <v>4613050</v>
      </c>
      <c r="F164">
        <v>25.1</v>
      </c>
      <c r="G164">
        <v>25.1</v>
      </c>
      <c r="H164">
        <v>24.95</v>
      </c>
      <c r="I164">
        <v>25.05</v>
      </c>
      <c r="J164" t="s">
        <v>10</v>
      </c>
      <c r="K164">
        <v>0.05</v>
      </c>
      <c r="L164">
        <v>24.9</v>
      </c>
      <c r="M164">
        <v>3</v>
      </c>
      <c r="N164">
        <v>25.05</v>
      </c>
      <c r="O164">
        <v>2</v>
      </c>
      <c r="P164">
        <v>0</v>
      </c>
    </row>
    <row r="165" spans="1:16" x14ac:dyDescent="0.3">
      <c r="A165">
        <v>1236</v>
      </c>
      <c r="B165" t="s">
        <v>202</v>
      </c>
      <c r="C165" s="2">
        <v>9020</v>
      </c>
      <c r="D165">
        <v>16</v>
      </c>
      <c r="E165" s="2">
        <v>226552</v>
      </c>
      <c r="F165">
        <v>25.3</v>
      </c>
      <c r="G165">
        <v>25.3</v>
      </c>
      <c r="H165">
        <v>25</v>
      </c>
      <c r="I165">
        <v>25.25</v>
      </c>
      <c r="J165" t="s">
        <v>10</v>
      </c>
      <c r="K165">
        <v>0.25</v>
      </c>
      <c r="L165">
        <v>24.8</v>
      </c>
      <c r="M165">
        <v>1</v>
      </c>
      <c r="N165">
        <v>25.3</v>
      </c>
      <c r="O165">
        <v>15</v>
      </c>
      <c r="P165">
        <v>13.29</v>
      </c>
    </row>
    <row r="166" spans="1:16" x14ac:dyDescent="0.3">
      <c r="A166">
        <v>1301</v>
      </c>
      <c r="B166" t="s">
        <v>203</v>
      </c>
      <c r="C166" s="2">
        <v>5293076</v>
      </c>
      <c r="D166" s="2">
        <v>2283</v>
      </c>
      <c r="E166" s="2">
        <v>377246596</v>
      </c>
      <c r="F166">
        <v>71.8</v>
      </c>
      <c r="G166">
        <v>71.900000000000006</v>
      </c>
      <c r="H166">
        <v>70.7</v>
      </c>
      <c r="I166">
        <v>71</v>
      </c>
      <c r="J166" t="s">
        <v>7</v>
      </c>
      <c r="K166">
        <v>1.5</v>
      </c>
      <c r="L166">
        <v>71</v>
      </c>
      <c r="M166">
        <v>253</v>
      </c>
      <c r="N166">
        <v>71.2</v>
      </c>
      <c r="O166">
        <v>1</v>
      </c>
      <c r="P166">
        <v>28.4</v>
      </c>
    </row>
    <row r="167" spans="1:16" x14ac:dyDescent="0.3">
      <c r="A167">
        <v>1303</v>
      </c>
      <c r="B167" t="s">
        <v>204</v>
      </c>
      <c r="C167" s="2">
        <v>9271110</v>
      </c>
      <c r="D167" s="2">
        <v>3389</v>
      </c>
      <c r="E167" s="2">
        <v>566456862</v>
      </c>
      <c r="F167">
        <v>62</v>
      </c>
      <c r="G167">
        <v>62</v>
      </c>
      <c r="H167">
        <v>60.6</v>
      </c>
      <c r="I167">
        <v>60.7</v>
      </c>
      <c r="J167" t="s">
        <v>7</v>
      </c>
      <c r="K167">
        <v>2.5</v>
      </c>
      <c r="L167">
        <v>60.7</v>
      </c>
      <c r="M167">
        <v>194</v>
      </c>
      <c r="N167">
        <v>61</v>
      </c>
      <c r="O167">
        <v>9</v>
      </c>
      <c r="P167">
        <v>46.69</v>
      </c>
    </row>
    <row r="168" spans="1:16" x14ac:dyDescent="0.3">
      <c r="A168">
        <v>1304</v>
      </c>
      <c r="B168" t="s">
        <v>205</v>
      </c>
      <c r="C168" s="2">
        <v>2000693</v>
      </c>
      <c r="D168" s="2">
        <v>1000</v>
      </c>
      <c r="E168" s="2">
        <v>43010868</v>
      </c>
      <c r="F168">
        <v>21.3</v>
      </c>
      <c r="G168">
        <v>21.65</v>
      </c>
      <c r="H168">
        <v>21.3</v>
      </c>
      <c r="I168">
        <v>21.6</v>
      </c>
      <c r="J168" t="s">
        <v>10</v>
      </c>
      <c r="K168">
        <v>0.3</v>
      </c>
      <c r="L168">
        <v>21.55</v>
      </c>
      <c r="M168">
        <v>189</v>
      </c>
      <c r="N168">
        <v>21.6</v>
      </c>
      <c r="O168">
        <v>26</v>
      </c>
      <c r="P168">
        <v>16.739999999999998</v>
      </c>
    </row>
    <row r="169" spans="1:16" x14ac:dyDescent="0.3">
      <c r="A169">
        <v>1305</v>
      </c>
      <c r="B169" t="s">
        <v>206</v>
      </c>
      <c r="C169" s="2">
        <v>6708601</v>
      </c>
      <c r="D169" s="2">
        <v>1723</v>
      </c>
      <c r="E169" s="2">
        <v>122574285</v>
      </c>
      <c r="F169">
        <v>17.8</v>
      </c>
      <c r="G169">
        <v>18.600000000000001</v>
      </c>
      <c r="H169">
        <v>17.8</v>
      </c>
      <c r="I169">
        <v>18.45</v>
      </c>
      <c r="J169" t="s">
        <v>10</v>
      </c>
      <c r="K169">
        <v>0.75</v>
      </c>
      <c r="L169">
        <v>18.45</v>
      </c>
      <c r="M169">
        <v>53</v>
      </c>
      <c r="N169">
        <v>18.5</v>
      </c>
      <c r="O169">
        <v>66</v>
      </c>
      <c r="P169">
        <v>9.66</v>
      </c>
    </row>
    <row r="170" spans="1:16" x14ac:dyDescent="0.3">
      <c r="A170">
        <v>1307</v>
      </c>
      <c r="B170" t="s">
        <v>207</v>
      </c>
      <c r="C170" s="2">
        <v>40568</v>
      </c>
      <c r="D170">
        <v>37</v>
      </c>
      <c r="E170" s="2">
        <v>1088290</v>
      </c>
      <c r="F170">
        <v>26.7</v>
      </c>
      <c r="G170">
        <v>27</v>
      </c>
      <c r="H170">
        <v>26.7</v>
      </c>
      <c r="I170">
        <v>26.95</v>
      </c>
      <c r="J170" t="s">
        <v>10</v>
      </c>
      <c r="K170">
        <v>0.2</v>
      </c>
      <c r="L170">
        <v>26.9</v>
      </c>
      <c r="M170">
        <v>11</v>
      </c>
      <c r="N170">
        <v>27</v>
      </c>
      <c r="O170">
        <v>5</v>
      </c>
      <c r="P170">
        <v>12.65</v>
      </c>
    </row>
    <row r="171" spans="1:16" x14ac:dyDescent="0.3">
      <c r="A171">
        <v>1308</v>
      </c>
      <c r="B171" t="s">
        <v>208</v>
      </c>
      <c r="C171" s="2">
        <v>491719</v>
      </c>
      <c r="D171">
        <v>268</v>
      </c>
      <c r="E171" s="2">
        <v>11091897</v>
      </c>
      <c r="F171">
        <v>22.45</v>
      </c>
      <c r="G171">
        <v>22.75</v>
      </c>
      <c r="H171">
        <v>22.4</v>
      </c>
      <c r="I171">
        <v>22.6</v>
      </c>
      <c r="J171" t="s">
        <v>10</v>
      </c>
      <c r="K171">
        <v>0.2</v>
      </c>
      <c r="L171">
        <v>22.55</v>
      </c>
      <c r="M171">
        <v>28</v>
      </c>
      <c r="N171">
        <v>22.75</v>
      </c>
      <c r="O171">
        <v>66</v>
      </c>
      <c r="P171">
        <v>21.12</v>
      </c>
    </row>
    <row r="172" spans="1:16" x14ac:dyDescent="0.3">
      <c r="A172">
        <v>1309</v>
      </c>
      <c r="B172" t="s">
        <v>209</v>
      </c>
      <c r="C172" s="2">
        <v>3212140</v>
      </c>
      <c r="D172">
        <v>907</v>
      </c>
      <c r="E172" s="2">
        <v>36565025</v>
      </c>
      <c r="F172">
        <v>11.25</v>
      </c>
      <c r="G172">
        <v>11.55</v>
      </c>
      <c r="H172">
        <v>11.15</v>
      </c>
      <c r="I172">
        <v>11.4</v>
      </c>
      <c r="J172" t="s">
        <v>10</v>
      </c>
      <c r="K172">
        <v>0.15</v>
      </c>
      <c r="L172">
        <v>11.4</v>
      </c>
      <c r="M172">
        <v>13</v>
      </c>
      <c r="N172">
        <v>11.45</v>
      </c>
      <c r="O172">
        <v>7</v>
      </c>
      <c r="P172">
        <v>0</v>
      </c>
    </row>
    <row r="173" spans="1:16" x14ac:dyDescent="0.3">
      <c r="A173">
        <v>1310</v>
      </c>
      <c r="B173" t="s">
        <v>210</v>
      </c>
      <c r="C173" s="2">
        <v>4049845</v>
      </c>
      <c r="D173" s="2">
        <v>1042</v>
      </c>
      <c r="E173" s="2">
        <v>55343270</v>
      </c>
      <c r="F173">
        <v>13.3</v>
      </c>
      <c r="G173">
        <v>13.8</v>
      </c>
      <c r="H173">
        <v>13.2</v>
      </c>
      <c r="I173">
        <v>13.6</v>
      </c>
      <c r="J173" t="s">
        <v>10</v>
      </c>
      <c r="K173">
        <v>0.3</v>
      </c>
      <c r="L173">
        <v>13.6</v>
      </c>
      <c r="M173">
        <v>112</v>
      </c>
      <c r="N173">
        <v>13.65</v>
      </c>
      <c r="O173">
        <v>14</v>
      </c>
      <c r="P173">
        <v>0</v>
      </c>
    </row>
    <row r="174" spans="1:16" x14ac:dyDescent="0.3">
      <c r="A174">
        <v>1312</v>
      </c>
      <c r="B174" t="s">
        <v>211</v>
      </c>
      <c r="C174" s="2">
        <v>3540244</v>
      </c>
      <c r="D174" s="2">
        <v>2117</v>
      </c>
      <c r="E174" s="2">
        <v>62712976</v>
      </c>
      <c r="F174">
        <v>17.5</v>
      </c>
      <c r="G174">
        <v>17.850000000000001</v>
      </c>
      <c r="H174">
        <v>17.5</v>
      </c>
      <c r="I174">
        <v>17.850000000000001</v>
      </c>
      <c r="J174" t="s">
        <v>10</v>
      </c>
      <c r="K174">
        <v>0.35</v>
      </c>
      <c r="L174">
        <v>17.8</v>
      </c>
      <c r="M174">
        <v>46</v>
      </c>
      <c r="N174">
        <v>17.850000000000001</v>
      </c>
      <c r="O174">
        <v>66</v>
      </c>
      <c r="P174">
        <v>9.35</v>
      </c>
    </row>
    <row r="175" spans="1:16" x14ac:dyDescent="0.3">
      <c r="A175" t="s">
        <v>212</v>
      </c>
      <c r="B175" t="s">
        <v>213</v>
      </c>
      <c r="C175">
        <v>0</v>
      </c>
      <c r="D175">
        <v>0</v>
      </c>
      <c r="E175">
        <v>0</v>
      </c>
      <c r="F175" t="s">
        <v>152</v>
      </c>
      <c r="G175" t="s">
        <v>152</v>
      </c>
      <c r="H175" t="s">
        <v>152</v>
      </c>
      <c r="I175" t="s">
        <v>152</v>
      </c>
      <c r="K175">
        <v>0</v>
      </c>
      <c r="L175">
        <v>21.65</v>
      </c>
      <c r="M175">
        <v>1</v>
      </c>
      <c r="N175">
        <v>22.1</v>
      </c>
      <c r="O175">
        <v>10</v>
      </c>
      <c r="P175">
        <v>0</v>
      </c>
    </row>
    <row r="176" spans="1:16" x14ac:dyDescent="0.3">
      <c r="A176">
        <v>1313</v>
      </c>
      <c r="B176" t="s">
        <v>214</v>
      </c>
      <c r="C176" s="2">
        <v>1320170</v>
      </c>
      <c r="D176">
        <v>492</v>
      </c>
      <c r="E176" s="2">
        <v>19703534</v>
      </c>
      <c r="F176">
        <v>15</v>
      </c>
      <c r="G176">
        <v>15.05</v>
      </c>
      <c r="H176">
        <v>14.85</v>
      </c>
      <c r="I176">
        <v>15</v>
      </c>
      <c r="J176" t="s">
        <v>10</v>
      </c>
      <c r="K176">
        <v>0.05</v>
      </c>
      <c r="L176">
        <v>14.95</v>
      </c>
      <c r="M176">
        <v>19</v>
      </c>
      <c r="N176">
        <v>15</v>
      </c>
      <c r="O176">
        <v>23</v>
      </c>
      <c r="P176">
        <v>17.86</v>
      </c>
    </row>
    <row r="177" spans="1:16" x14ac:dyDescent="0.3">
      <c r="A177">
        <v>1314</v>
      </c>
      <c r="B177" t="s">
        <v>215</v>
      </c>
      <c r="C177" s="2">
        <v>13407805</v>
      </c>
      <c r="D177" s="2">
        <v>3467</v>
      </c>
      <c r="E177" s="2">
        <v>204404111</v>
      </c>
      <c r="F177">
        <v>15.3</v>
      </c>
      <c r="G177">
        <v>15.35</v>
      </c>
      <c r="H177">
        <v>15.1</v>
      </c>
      <c r="I177">
        <v>15.25</v>
      </c>
      <c r="K177">
        <v>0</v>
      </c>
      <c r="L177">
        <v>15.25</v>
      </c>
      <c r="M177">
        <v>117</v>
      </c>
      <c r="N177">
        <v>15.3</v>
      </c>
      <c r="O177">
        <v>166</v>
      </c>
      <c r="P177">
        <v>0</v>
      </c>
    </row>
    <row r="178" spans="1:16" x14ac:dyDescent="0.3">
      <c r="A178">
        <v>1315</v>
      </c>
      <c r="B178" t="s">
        <v>216</v>
      </c>
      <c r="C178" s="2">
        <v>695436</v>
      </c>
      <c r="D178">
        <v>48</v>
      </c>
      <c r="E178" s="2">
        <v>19663248</v>
      </c>
      <c r="F178">
        <v>28.85</v>
      </c>
      <c r="G178">
        <v>29.1</v>
      </c>
      <c r="H178">
        <v>28.7</v>
      </c>
      <c r="I178">
        <v>29.1</v>
      </c>
      <c r="J178" t="s">
        <v>10</v>
      </c>
      <c r="K178">
        <v>0.2</v>
      </c>
      <c r="L178">
        <v>29</v>
      </c>
      <c r="M178">
        <v>3</v>
      </c>
      <c r="N178">
        <v>29.1</v>
      </c>
      <c r="O178">
        <v>2</v>
      </c>
      <c r="P178">
        <v>39.32</v>
      </c>
    </row>
    <row r="179" spans="1:16" x14ac:dyDescent="0.3">
      <c r="A179">
        <v>1316</v>
      </c>
      <c r="B179" t="s">
        <v>217</v>
      </c>
      <c r="C179" s="2">
        <v>1068462</v>
      </c>
      <c r="D179">
        <v>347</v>
      </c>
      <c r="E179" s="2">
        <v>13828881</v>
      </c>
      <c r="F179">
        <v>12.5</v>
      </c>
      <c r="G179">
        <v>13.3</v>
      </c>
      <c r="H179">
        <v>12.5</v>
      </c>
      <c r="I179">
        <v>13.05</v>
      </c>
      <c r="J179" t="s">
        <v>10</v>
      </c>
      <c r="K179">
        <v>0.55000000000000004</v>
      </c>
      <c r="L179">
        <v>13</v>
      </c>
      <c r="M179">
        <v>3</v>
      </c>
      <c r="N179">
        <v>13.05</v>
      </c>
      <c r="O179">
        <v>5</v>
      </c>
      <c r="P179">
        <v>0</v>
      </c>
    </row>
    <row r="180" spans="1:16" x14ac:dyDescent="0.3">
      <c r="A180">
        <v>1319</v>
      </c>
      <c r="B180" t="s">
        <v>218</v>
      </c>
      <c r="C180" s="2">
        <v>3235787</v>
      </c>
      <c r="D180" s="2">
        <v>1410</v>
      </c>
      <c r="E180" s="2">
        <v>117839927</v>
      </c>
      <c r="F180">
        <v>35.799999999999997</v>
      </c>
      <c r="G180">
        <v>36.700000000000003</v>
      </c>
      <c r="H180">
        <v>35.799999999999997</v>
      </c>
      <c r="I180">
        <v>36.299999999999997</v>
      </c>
      <c r="J180" t="s">
        <v>10</v>
      </c>
      <c r="K180">
        <v>0.65</v>
      </c>
      <c r="L180">
        <v>36.299999999999997</v>
      </c>
      <c r="M180">
        <v>22</v>
      </c>
      <c r="N180">
        <v>36.5</v>
      </c>
      <c r="O180">
        <v>8</v>
      </c>
      <c r="P180">
        <v>24.36</v>
      </c>
    </row>
    <row r="181" spans="1:16" x14ac:dyDescent="0.3">
      <c r="A181">
        <v>1321</v>
      </c>
      <c r="B181" t="s">
        <v>219</v>
      </c>
      <c r="C181" s="2">
        <v>1541129</v>
      </c>
      <c r="D181">
        <v>766</v>
      </c>
      <c r="E181" s="2">
        <v>59716916</v>
      </c>
      <c r="F181">
        <v>38.6</v>
      </c>
      <c r="G181">
        <v>39.35</v>
      </c>
      <c r="H181">
        <v>38.35</v>
      </c>
      <c r="I181">
        <v>38.5</v>
      </c>
      <c r="J181" t="s">
        <v>7</v>
      </c>
      <c r="K181">
        <v>0.4</v>
      </c>
      <c r="L181">
        <v>38.5</v>
      </c>
      <c r="M181">
        <v>1</v>
      </c>
      <c r="N181">
        <v>38.549999999999997</v>
      </c>
      <c r="O181">
        <v>5</v>
      </c>
      <c r="P181">
        <v>0</v>
      </c>
    </row>
    <row r="182" spans="1:16" x14ac:dyDescent="0.3">
      <c r="A182">
        <v>1323</v>
      </c>
      <c r="B182" t="s">
        <v>220</v>
      </c>
      <c r="C182" s="2">
        <v>1084195</v>
      </c>
      <c r="D182">
        <v>434</v>
      </c>
      <c r="E182" s="2">
        <v>28780242</v>
      </c>
      <c r="F182">
        <v>25.15</v>
      </c>
      <c r="G182">
        <v>26.9</v>
      </c>
      <c r="H182">
        <v>25.15</v>
      </c>
      <c r="I182">
        <v>26.9</v>
      </c>
      <c r="J182" t="s">
        <v>10</v>
      </c>
      <c r="K182">
        <v>1.75</v>
      </c>
      <c r="L182">
        <v>26.9</v>
      </c>
      <c r="M182">
        <v>429</v>
      </c>
      <c r="N182" t="s">
        <v>152</v>
      </c>
      <c r="O182">
        <v>0</v>
      </c>
      <c r="P182">
        <v>11.5</v>
      </c>
    </row>
    <row r="183" spans="1:16" x14ac:dyDescent="0.3">
      <c r="A183">
        <v>1324</v>
      </c>
      <c r="B183" t="s">
        <v>221</v>
      </c>
      <c r="C183" s="2">
        <v>37222</v>
      </c>
      <c r="D183">
        <v>18</v>
      </c>
      <c r="E183" s="2">
        <v>499363</v>
      </c>
      <c r="F183">
        <v>13.5</v>
      </c>
      <c r="G183">
        <v>13.5</v>
      </c>
      <c r="H183">
        <v>13.4</v>
      </c>
      <c r="I183">
        <v>13.5</v>
      </c>
      <c r="K183">
        <v>0</v>
      </c>
      <c r="L183">
        <v>13.4</v>
      </c>
      <c r="M183">
        <v>1</v>
      </c>
      <c r="N183">
        <v>13.5</v>
      </c>
      <c r="O183">
        <v>16</v>
      </c>
      <c r="P183">
        <v>21.43</v>
      </c>
    </row>
    <row r="184" spans="1:16" x14ac:dyDescent="0.3">
      <c r="A184">
        <v>1325</v>
      </c>
      <c r="B184" t="s">
        <v>222</v>
      </c>
      <c r="C184" s="2">
        <v>101500</v>
      </c>
      <c r="D184">
        <v>71</v>
      </c>
      <c r="E184" s="2">
        <v>1804125</v>
      </c>
      <c r="F184">
        <v>17.7</v>
      </c>
      <c r="G184">
        <v>17.899999999999999</v>
      </c>
      <c r="H184">
        <v>17.649999999999999</v>
      </c>
      <c r="I184">
        <v>17.8</v>
      </c>
      <c r="J184" t="s">
        <v>10</v>
      </c>
      <c r="K184">
        <v>0.15</v>
      </c>
      <c r="L184">
        <v>17.8</v>
      </c>
      <c r="M184">
        <v>2</v>
      </c>
      <c r="N184">
        <v>17.850000000000001</v>
      </c>
      <c r="O184">
        <v>6</v>
      </c>
      <c r="P184">
        <v>23.12</v>
      </c>
    </row>
    <row r="185" spans="1:16" x14ac:dyDescent="0.3">
      <c r="A185">
        <v>1326</v>
      </c>
      <c r="B185" t="s">
        <v>223</v>
      </c>
      <c r="C185" s="2">
        <v>5879664</v>
      </c>
      <c r="D185" s="2">
        <v>2867</v>
      </c>
      <c r="E185" s="2">
        <v>416038727</v>
      </c>
      <c r="F185">
        <v>72</v>
      </c>
      <c r="G185">
        <v>72</v>
      </c>
      <c r="H185">
        <v>70.2</v>
      </c>
      <c r="I185">
        <v>70.400000000000006</v>
      </c>
      <c r="J185" t="s">
        <v>7</v>
      </c>
      <c r="K185">
        <v>3.1</v>
      </c>
      <c r="L185">
        <v>70.400000000000006</v>
      </c>
      <c r="M185">
        <v>307</v>
      </c>
      <c r="N185">
        <v>70.5</v>
      </c>
      <c r="O185">
        <v>2</v>
      </c>
      <c r="P185">
        <v>33.68</v>
      </c>
    </row>
    <row r="186" spans="1:16" x14ac:dyDescent="0.3">
      <c r="A186">
        <v>1337</v>
      </c>
      <c r="B186" t="s">
        <v>224</v>
      </c>
      <c r="C186" s="2">
        <v>173633</v>
      </c>
      <c r="D186">
        <v>112</v>
      </c>
      <c r="E186" s="2">
        <v>13916622</v>
      </c>
      <c r="F186">
        <v>79.599999999999994</v>
      </c>
      <c r="G186">
        <v>80.599999999999994</v>
      </c>
      <c r="H186">
        <v>79.3</v>
      </c>
      <c r="I186">
        <v>80.400000000000006</v>
      </c>
      <c r="J186" t="s">
        <v>10</v>
      </c>
      <c r="K186">
        <v>1.1000000000000001</v>
      </c>
      <c r="L186">
        <v>80.3</v>
      </c>
      <c r="M186">
        <v>2</v>
      </c>
      <c r="N186">
        <v>80.5</v>
      </c>
      <c r="O186">
        <v>11</v>
      </c>
      <c r="P186">
        <v>9.9600000000000009</v>
      </c>
    </row>
    <row r="187" spans="1:16" x14ac:dyDescent="0.3">
      <c r="A187">
        <v>1338</v>
      </c>
      <c r="B187" t="s">
        <v>225</v>
      </c>
      <c r="C187" s="2">
        <v>41000</v>
      </c>
      <c r="D187">
        <v>29</v>
      </c>
      <c r="E187" s="2">
        <v>3051600</v>
      </c>
      <c r="F187">
        <v>74</v>
      </c>
      <c r="G187">
        <v>74.8</v>
      </c>
      <c r="H187">
        <v>74</v>
      </c>
      <c r="I187">
        <v>74.400000000000006</v>
      </c>
      <c r="J187" t="s">
        <v>10</v>
      </c>
      <c r="K187">
        <v>0.6</v>
      </c>
      <c r="L187">
        <v>74.599999999999994</v>
      </c>
      <c r="M187">
        <v>1</v>
      </c>
      <c r="N187">
        <v>75</v>
      </c>
      <c r="O187">
        <v>17</v>
      </c>
      <c r="P187">
        <v>16.79</v>
      </c>
    </row>
    <row r="188" spans="1:16" x14ac:dyDescent="0.3">
      <c r="A188">
        <v>1339</v>
      </c>
      <c r="B188" t="s">
        <v>226</v>
      </c>
      <c r="C188" s="2">
        <v>40072</v>
      </c>
      <c r="D188">
        <v>22</v>
      </c>
      <c r="E188" s="2">
        <v>1528982</v>
      </c>
      <c r="F188">
        <v>38.4</v>
      </c>
      <c r="G188">
        <v>38.4</v>
      </c>
      <c r="H188">
        <v>38</v>
      </c>
      <c r="I188">
        <v>38.299999999999997</v>
      </c>
      <c r="K188">
        <v>0</v>
      </c>
      <c r="L188">
        <v>38.299999999999997</v>
      </c>
      <c r="M188">
        <v>2</v>
      </c>
      <c r="N188">
        <v>38.4</v>
      </c>
      <c r="O188">
        <v>2</v>
      </c>
      <c r="P188">
        <v>12.56</v>
      </c>
    </row>
    <row r="189" spans="1:16" x14ac:dyDescent="0.3">
      <c r="A189">
        <v>1402</v>
      </c>
      <c r="B189" t="s">
        <v>227</v>
      </c>
      <c r="C189" s="2">
        <v>5165487</v>
      </c>
      <c r="D189" s="2">
        <v>1908</v>
      </c>
      <c r="E189" s="2">
        <v>167173646</v>
      </c>
      <c r="F189">
        <v>32.15</v>
      </c>
      <c r="G189">
        <v>32.65</v>
      </c>
      <c r="H189">
        <v>32</v>
      </c>
      <c r="I189">
        <v>32.4</v>
      </c>
      <c r="K189">
        <v>0</v>
      </c>
      <c r="L189">
        <v>32.4</v>
      </c>
      <c r="M189">
        <v>540</v>
      </c>
      <c r="N189">
        <v>32.450000000000003</v>
      </c>
      <c r="O189">
        <v>5</v>
      </c>
      <c r="P189">
        <v>21.46</v>
      </c>
    </row>
    <row r="190" spans="1:16" x14ac:dyDescent="0.3">
      <c r="A190">
        <v>1409</v>
      </c>
      <c r="B190" t="s">
        <v>228</v>
      </c>
      <c r="C190" s="2">
        <v>2996753</v>
      </c>
      <c r="D190">
        <v>756</v>
      </c>
      <c r="E190" s="2">
        <v>28603044</v>
      </c>
      <c r="F190">
        <v>9.5500000000000007</v>
      </c>
      <c r="G190">
        <v>9.57</v>
      </c>
      <c r="H190">
        <v>9.5</v>
      </c>
      <c r="I190">
        <v>9.57</v>
      </c>
      <c r="J190" t="s">
        <v>10</v>
      </c>
      <c r="K190">
        <v>0.03</v>
      </c>
      <c r="L190">
        <v>9.56</v>
      </c>
      <c r="M190">
        <v>177</v>
      </c>
      <c r="N190">
        <v>9.57</v>
      </c>
      <c r="O190">
        <v>7</v>
      </c>
      <c r="P190">
        <v>19.53</v>
      </c>
    </row>
    <row r="191" spans="1:16" x14ac:dyDescent="0.3">
      <c r="A191">
        <v>1410</v>
      </c>
      <c r="B191" t="s">
        <v>229</v>
      </c>
      <c r="C191" s="2">
        <v>283110</v>
      </c>
      <c r="D191">
        <v>182</v>
      </c>
      <c r="E191" s="2">
        <v>6265148</v>
      </c>
      <c r="F191">
        <v>21.9</v>
      </c>
      <c r="G191">
        <v>22.5</v>
      </c>
      <c r="H191">
        <v>21.7</v>
      </c>
      <c r="I191">
        <v>22.5</v>
      </c>
      <c r="J191" t="s">
        <v>10</v>
      </c>
      <c r="K191">
        <v>0.8</v>
      </c>
      <c r="L191">
        <v>22.3</v>
      </c>
      <c r="M191">
        <v>17</v>
      </c>
      <c r="N191">
        <v>22.5</v>
      </c>
      <c r="O191">
        <v>11</v>
      </c>
      <c r="P191">
        <v>16.920000000000002</v>
      </c>
    </row>
    <row r="192" spans="1:16" x14ac:dyDescent="0.3">
      <c r="A192">
        <v>1413</v>
      </c>
      <c r="B192" t="s">
        <v>230</v>
      </c>
      <c r="C192" s="2">
        <v>133096</v>
      </c>
      <c r="D192">
        <v>37</v>
      </c>
      <c r="E192" s="2">
        <v>539635</v>
      </c>
      <c r="F192">
        <v>4.05</v>
      </c>
      <c r="G192">
        <v>4.1500000000000004</v>
      </c>
      <c r="H192">
        <v>4.05</v>
      </c>
      <c r="I192">
        <v>4.05</v>
      </c>
      <c r="J192" t="s">
        <v>7</v>
      </c>
      <c r="K192">
        <v>0.03</v>
      </c>
      <c r="L192">
        <v>4.05</v>
      </c>
      <c r="M192">
        <v>14</v>
      </c>
      <c r="N192">
        <v>4.09</v>
      </c>
      <c r="O192">
        <v>1</v>
      </c>
      <c r="P192">
        <v>0</v>
      </c>
    </row>
    <row r="193" spans="1:16" x14ac:dyDescent="0.3">
      <c r="A193">
        <v>1414</v>
      </c>
      <c r="B193" t="s">
        <v>231</v>
      </c>
      <c r="C193" s="2">
        <v>724613</v>
      </c>
      <c r="D193">
        <v>62</v>
      </c>
      <c r="E193" s="2">
        <v>6119270</v>
      </c>
      <c r="F193">
        <v>8.9</v>
      </c>
      <c r="G193">
        <v>8.92</v>
      </c>
      <c r="H193">
        <v>8.85</v>
      </c>
      <c r="I193">
        <v>8.92</v>
      </c>
      <c r="J193" t="s">
        <v>10</v>
      </c>
      <c r="K193">
        <v>7.0000000000000007E-2</v>
      </c>
      <c r="L193">
        <v>8.92</v>
      </c>
      <c r="M193">
        <v>4</v>
      </c>
      <c r="N193">
        <v>8.93</v>
      </c>
      <c r="O193">
        <v>10</v>
      </c>
      <c r="P193">
        <v>20.27</v>
      </c>
    </row>
    <row r="194" spans="1:16" x14ac:dyDescent="0.3">
      <c r="A194">
        <v>1416</v>
      </c>
      <c r="B194" t="s">
        <v>232</v>
      </c>
      <c r="C194" s="2">
        <v>246210</v>
      </c>
      <c r="D194">
        <v>131</v>
      </c>
      <c r="E194" s="2">
        <v>4079072</v>
      </c>
      <c r="F194">
        <v>16.5</v>
      </c>
      <c r="G194">
        <v>16.649999999999999</v>
      </c>
      <c r="H194">
        <v>16.5</v>
      </c>
      <c r="I194">
        <v>16.600000000000001</v>
      </c>
      <c r="J194" t="s">
        <v>10</v>
      </c>
      <c r="K194">
        <v>0.1</v>
      </c>
      <c r="L194">
        <v>16.600000000000001</v>
      </c>
      <c r="M194">
        <v>1</v>
      </c>
      <c r="N194">
        <v>16.649999999999999</v>
      </c>
      <c r="O194">
        <v>24</v>
      </c>
      <c r="P194">
        <v>5.42</v>
      </c>
    </row>
    <row r="195" spans="1:16" x14ac:dyDescent="0.3">
      <c r="A195">
        <v>1417</v>
      </c>
      <c r="B195" t="s">
        <v>233</v>
      </c>
      <c r="C195" s="2">
        <v>447873</v>
      </c>
      <c r="D195">
        <v>178</v>
      </c>
      <c r="E195" s="2">
        <v>4150611</v>
      </c>
      <c r="F195">
        <v>9.2100000000000009</v>
      </c>
      <c r="G195">
        <v>9.34</v>
      </c>
      <c r="H195">
        <v>9.18</v>
      </c>
      <c r="I195">
        <v>9.3000000000000007</v>
      </c>
      <c r="J195" t="s">
        <v>10</v>
      </c>
      <c r="K195">
        <v>0.05</v>
      </c>
      <c r="L195">
        <v>9.2899999999999991</v>
      </c>
      <c r="M195">
        <v>8</v>
      </c>
      <c r="N195">
        <v>9.32</v>
      </c>
      <c r="O195">
        <v>4</v>
      </c>
      <c r="P195">
        <v>71.540000000000006</v>
      </c>
    </row>
    <row r="196" spans="1:16" x14ac:dyDescent="0.3">
      <c r="A196">
        <v>1418</v>
      </c>
      <c r="B196" t="s">
        <v>234</v>
      </c>
      <c r="C196" s="2">
        <v>122392</v>
      </c>
      <c r="D196">
        <v>51</v>
      </c>
      <c r="E196" s="2">
        <v>678105</v>
      </c>
      <c r="F196">
        <v>5.42</v>
      </c>
      <c r="G196">
        <v>5.64</v>
      </c>
      <c r="H196">
        <v>5.42</v>
      </c>
      <c r="I196">
        <v>5.54</v>
      </c>
      <c r="J196" t="s">
        <v>10</v>
      </c>
      <c r="K196">
        <v>0.13</v>
      </c>
      <c r="L196">
        <v>5.54</v>
      </c>
      <c r="M196">
        <v>27</v>
      </c>
      <c r="N196">
        <v>5.62</v>
      </c>
      <c r="O196">
        <v>12</v>
      </c>
      <c r="P196">
        <v>0</v>
      </c>
    </row>
    <row r="197" spans="1:16" x14ac:dyDescent="0.3">
      <c r="A197">
        <v>1419</v>
      </c>
      <c r="B197" t="s">
        <v>235</v>
      </c>
      <c r="C197" s="2">
        <v>162559</v>
      </c>
      <c r="D197">
        <v>129</v>
      </c>
      <c r="E197" s="2">
        <v>6471829</v>
      </c>
      <c r="F197">
        <v>40.5</v>
      </c>
      <c r="G197">
        <v>40.5</v>
      </c>
      <c r="H197">
        <v>39.6</v>
      </c>
      <c r="I197">
        <v>39.700000000000003</v>
      </c>
      <c r="J197" t="s">
        <v>7</v>
      </c>
      <c r="K197">
        <v>0.9</v>
      </c>
      <c r="L197">
        <v>39.700000000000003</v>
      </c>
      <c r="M197">
        <v>44</v>
      </c>
      <c r="N197">
        <v>39.799999999999997</v>
      </c>
      <c r="O197">
        <v>4</v>
      </c>
      <c r="P197">
        <v>77.84</v>
      </c>
    </row>
    <row r="198" spans="1:16" x14ac:dyDescent="0.3">
      <c r="A198">
        <v>1423</v>
      </c>
      <c r="B198" t="s">
        <v>236</v>
      </c>
      <c r="C198" s="2">
        <v>97150</v>
      </c>
      <c r="D198">
        <v>16</v>
      </c>
      <c r="E198" s="2">
        <v>683859</v>
      </c>
      <c r="F198">
        <v>7.01</v>
      </c>
      <c r="G198">
        <v>7.08</v>
      </c>
      <c r="H198">
        <v>7.01</v>
      </c>
      <c r="I198">
        <v>7.07</v>
      </c>
      <c r="J198" t="s">
        <v>10</v>
      </c>
      <c r="K198">
        <v>0.01</v>
      </c>
      <c r="L198">
        <v>7.07</v>
      </c>
      <c r="M198">
        <v>2</v>
      </c>
      <c r="N198">
        <v>7.08</v>
      </c>
      <c r="O198">
        <v>57</v>
      </c>
      <c r="P198">
        <v>0</v>
      </c>
    </row>
    <row r="199" spans="1:16" x14ac:dyDescent="0.3">
      <c r="A199">
        <v>1432</v>
      </c>
      <c r="B199" t="s">
        <v>237</v>
      </c>
      <c r="C199" s="2">
        <v>764164</v>
      </c>
      <c r="D199">
        <v>455</v>
      </c>
      <c r="E199" s="2">
        <v>26647439</v>
      </c>
      <c r="F199">
        <v>34.299999999999997</v>
      </c>
      <c r="G199">
        <v>35.25</v>
      </c>
      <c r="H199">
        <v>34.299999999999997</v>
      </c>
      <c r="I199">
        <v>34.9</v>
      </c>
      <c r="J199" t="s">
        <v>10</v>
      </c>
      <c r="K199">
        <v>0.6</v>
      </c>
      <c r="L199">
        <v>34.9</v>
      </c>
      <c r="M199">
        <v>3</v>
      </c>
      <c r="N199">
        <v>34.950000000000003</v>
      </c>
      <c r="O199">
        <v>2</v>
      </c>
      <c r="P199">
        <v>5.44</v>
      </c>
    </row>
    <row r="200" spans="1:16" x14ac:dyDescent="0.3">
      <c r="A200">
        <v>1434</v>
      </c>
      <c r="B200" t="s">
        <v>238</v>
      </c>
      <c r="C200" s="2">
        <v>841659</v>
      </c>
      <c r="D200">
        <v>401</v>
      </c>
      <c r="E200" s="2">
        <v>23945077</v>
      </c>
      <c r="F200">
        <v>28.4</v>
      </c>
      <c r="G200">
        <v>28.7</v>
      </c>
      <c r="H200">
        <v>28</v>
      </c>
      <c r="I200">
        <v>28.45</v>
      </c>
      <c r="J200" t="s">
        <v>7</v>
      </c>
      <c r="K200">
        <v>0.05</v>
      </c>
      <c r="L200">
        <v>28.45</v>
      </c>
      <c r="M200">
        <v>57</v>
      </c>
      <c r="N200">
        <v>28.5</v>
      </c>
      <c r="O200">
        <v>14</v>
      </c>
      <c r="P200">
        <v>19.489999999999998</v>
      </c>
    </row>
    <row r="201" spans="1:16" x14ac:dyDescent="0.3">
      <c r="A201">
        <v>1435</v>
      </c>
      <c r="B201" t="s">
        <v>239</v>
      </c>
      <c r="C201" s="2">
        <v>57000</v>
      </c>
      <c r="D201">
        <v>24</v>
      </c>
      <c r="E201" s="2">
        <v>340710</v>
      </c>
      <c r="F201">
        <v>5.95</v>
      </c>
      <c r="G201">
        <v>6.06</v>
      </c>
      <c r="H201">
        <v>5.9</v>
      </c>
      <c r="I201">
        <v>6.06</v>
      </c>
      <c r="J201" t="s">
        <v>10</v>
      </c>
      <c r="K201">
        <v>0.06</v>
      </c>
      <c r="L201">
        <v>6.01</v>
      </c>
      <c r="M201">
        <v>31</v>
      </c>
      <c r="N201">
        <v>6.02</v>
      </c>
      <c r="O201">
        <v>1</v>
      </c>
      <c r="P201">
        <v>606</v>
      </c>
    </row>
    <row r="202" spans="1:16" x14ac:dyDescent="0.3">
      <c r="A202">
        <v>1436</v>
      </c>
      <c r="B202" t="s">
        <v>240</v>
      </c>
      <c r="C202" s="2">
        <v>20070</v>
      </c>
      <c r="D202">
        <v>12</v>
      </c>
      <c r="E202" s="2">
        <v>1043503</v>
      </c>
      <c r="F202">
        <v>51.5</v>
      </c>
      <c r="G202">
        <v>52.5</v>
      </c>
      <c r="H202">
        <v>51.5</v>
      </c>
      <c r="I202">
        <v>52.5</v>
      </c>
      <c r="J202" t="s">
        <v>10</v>
      </c>
      <c r="K202">
        <v>0.7</v>
      </c>
      <c r="L202">
        <v>52.1</v>
      </c>
      <c r="M202">
        <v>12</v>
      </c>
      <c r="N202">
        <v>52.5</v>
      </c>
      <c r="O202">
        <v>5</v>
      </c>
      <c r="P202">
        <v>0</v>
      </c>
    </row>
    <row r="203" spans="1:16" x14ac:dyDescent="0.3">
      <c r="A203">
        <v>1437</v>
      </c>
      <c r="B203" t="s">
        <v>241</v>
      </c>
      <c r="C203" s="2">
        <v>822000</v>
      </c>
      <c r="D203">
        <v>254</v>
      </c>
      <c r="E203" s="2">
        <v>12807450</v>
      </c>
      <c r="F203">
        <v>15.8</v>
      </c>
      <c r="G203">
        <v>15.95</v>
      </c>
      <c r="H203">
        <v>15.5</v>
      </c>
      <c r="I203">
        <v>15.75</v>
      </c>
      <c r="K203">
        <v>0</v>
      </c>
      <c r="L203">
        <v>15.7</v>
      </c>
      <c r="M203">
        <v>1</v>
      </c>
      <c r="N203">
        <v>15.75</v>
      </c>
      <c r="O203">
        <v>30</v>
      </c>
      <c r="P203">
        <v>0</v>
      </c>
    </row>
    <row r="204" spans="1:16" x14ac:dyDescent="0.3">
      <c r="A204">
        <v>1438</v>
      </c>
      <c r="B204" t="s">
        <v>242</v>
      </c>
      <c r="C204" s="2">
        <v>81264</v>
      </c>
      <c r="D204">
        <v>10</v>
      </c>
      <c r="E204" s="2">
        <v>405104</v>
      </c>
      <c r="F204">
        <v>4.9000000000000004</v>
      </c>
      <c r="G204">
        <v>5</v>
      </c>
      <c r="H204">
        <v>4.9000000000000004</v>
      </c>
      <c r="I204">
        <v>4.93</v>
      </c>
      <c r="J204" t="s">
        <v>7</v>
      </c>
      <c r="K204">
        <v>7.0000000000000007E-2</v>
      </c>
      <c r="L204">
        <v>4.93</v>
      </c>
      <c r="M204">
        <v>1</v>
      </c>
      <c r="N204">
        <v>5.04</v>
      </c>
      <c r="O204">
        <v>5</v>
      </c>
      <c r="P204">
        <v>29</v>
      </c>
    </row>
    <row r="205" spans="1:16" x14ac:dyDescent="0.3">
      <c r="A205">
        <v>1439</v>
      </c>
      <c r="B205" t="s">
        <v>243</v>
      </c>
      <c r="C205" s="2">
        <v>117000</v>
      </c>
      <c r="D205">
        <v>64</v>
      </c>
      <c r="E205" s="2">
        <v>1744150</v>
      </c>
      <c r="F205">
        <v>14.85</v>
      </c>
      <c r="G205">
        <v>15</v>
      </c>
      <c r="H205">
        <v>14.8</v>
      </c>
      <c r="I205">
        <v>14.85</v>
      </c>
      <c r="K205">
        <v>0</v>
      </c>
      <c r="L205">
        <v>14.85</v>
      </c>
      <c r="M205">
        <v>32</v>
      </c>
      <c r="N205">
        <v>15</v>
      </c>
      <c r="O205">
        <v>3</v>
      </c>
      <c r="P205">
        <v>0</v>
      </c>
    </row>
    <row r="206" spans="1:16" x14ac:dyDescent="0.3">
      <c r="A206">
        <v>1440</v>
      </c>
      <c r="B206" t="s">
        <v>244</v>
      </c>
      <c r="C206" s="2">
        <v>693718</v>
      </c>
      <c r="D206">
        <v>281</v>
      </c>
      <c r="E206" s="2">
        <v>9858194</v>
      </c>
      <c r="F206">
        <v>14.2</v>
      </c>
      <c r="G206">
        <v>14.3</v>
      </c>
      <c r="H206">
        <v>14.15</v>
      </c>
      <c r="I206">
        <v>14.3</v>
      </c>
      <c r="J206" t="s">
        <v>10</v>
      </c>
      <c r="K206">
        <v>0.2</v>
      </c>
      <c r="L206">
        <v>14.2</v>
      </c>
      <c r="M206">
        <v>72</v>
      </c>
      <c r="N206">
        <v>14.3</v>
      </c>
      <c r="O206">
        <v>149</v>
      </c>
      <c r="P206">
        <v>21.03</v>
      </c>
    </row>
    <row r="207" spans="1:16" x14ac:dyDescent="0.3">
      <c r="A207">
        <v>1441</v>
      </c>
      <c r="B207" t="s">
        <v>245</v>
      </c>
      <c r="C207" s="2">
        <v>66119</v>
      </c>
      <c r="D207">
        <v>37</v>
      </c>
      <c r="E207" s="2">
        <v>621991</v>
      </c>
      <c r="F207">
        <v>9.39</v>
      </c>
      <c r="G207">
        <v>9.44</v>
      </c>
      <c r="H207">
        <v>9.35</v>
      </c>
      <c r="I207">
        <v>9.43</v>
      </c>
      <c r="J207" t="s">
        <v>10</v>
      </c>
      <c r="K207">
        <v>0.08</v>
      </c>
      <c r="L207">
        <v>9.3800000000000008</v>
      </c>
      <c r="M207">
        <v>2</v>
      </c>
      <c r="N207">
        <v>9.43</v>
      </c>
      <c r="O207">
        <v>35</v>
      </c>
      <c r="P207">
        <v>26.94</v>
      </c>
    </row>
    <row r="208" spans="1:16" x14ac:dyDescent="0.3">
      <c r="A208">
        <v>1442</v>
      </c>
      <c r="B208" t="s">
        <v>246</v>
      </c>
      <c r="C208" s="2">
        <v>563517</v>
      </c>
      <c r="D208">
        <v>275</v>
      </c>
      <c r="E208" s="2">
        <v>18971560</v>
      </c>
      <c r="F208">
        <v>33.75</v>
      </c>
      <c r="G208">
        <v>33.950000000000003</v>
      </c>
      <c r="H208">
        <v>33.200000000000003</v>
      </c>
      <c r="I208">
        <v>33.950000000000003</v>
      </c>
      <c r="J208" t="s">
        <v>10</v>
      </c>
      <c r="K208">
        <v>0.2</v>
      </c>
      <c r="L208">
        <v>33.85</v>
      </c>
      <c r="M208">
        <v>10</v>
      </c>
      <c r="N208">
        <v>33.950000000000003</v>
      </c>
      <c r="O208">
        <v>46</v>
      </c>
      <c r="P208">
        <v>14.21</v>
      </c>
    </row>
    <row r="209" spans="1:16" x14ac:dyDescent="0.3">
      <c r="A209">
        <v>1443</v>
      </c>
      <c r="B209" t="s">
        <v>247</v>
      </c>
      <c r="C209" s="2">
        <v>114189</v>
      </c>
      <c r="D209">
        <v>66</v>
      </c>
      <c r="E209" s="2">
        <v>627155</v>
      </c>
      <c r="F209">
        <v>5.28</v>
      </c>
      <c r="G209">
        <v>5.6</v>
      </c>
      <c r="H209">
        <v>5.28</v>
      </c>
      <c r="I209">
        <v>5.5</v>
      </c>
      <c r="J209" t="s">
        <v>10</v>
      </c>
      <c r="K209">
        <v>0.16</v>
      </c>
      <c r="L209">
        <v>5.46</v>
      </c>
      <c r="M209">
        <v>6</v>
      </c>
      <c r="N209">
        <v>5.5</v>
      </c>
      <c r="O209">
        <v>85</v>
      </c>
      <c r="P209">
        <v>0</v>
      </c>
    </row>
    <row r="210" spans="1:16" x14ac:dyDescent="0.3">
      <c r="A210">
        <v>1444</v>
      </c>
      <c r="B210" t="s">
        <v>248</v>
      </c>
      <c r="C210" s="2">
        <v>1067436</v>
      </c>
      <c r="D210" s="2">
        <v>1393</v>
      </c>
      <c r="E210" s="2">
        <v>11526500</v>
      </c>
      <c r="F210">
        <v>10.8</v>
      </c>
      <c r="G210">
        <v>10.9</v>
      </c>
      <c r="H210">
        <v>10.7</v>
      </c>
      <c r="I210">
        <v>10.85</v>
      </c>
      <c r="J210" t="s">
        <v>10</v>
      </c>
      <c r="K210">
        <v>0.1</v>
      </c>
      <c r="L210">
        <v>10.85</v>
      </c>
      <c r="M210">
        <v>166</v>
      </c>
      <c r="N210">
        <v>10.9</v>
      </c>
      <c r="O210">
        <v>135</v>
      </c>
      <c r="P210">
        <v>20.09</v>
      </c>
    </row>
    <row r="211" spans="1:16" x14ac:dyDescent="0.3">
      <c r="A211">
        <v>1445</v>
      </c>
      <c r="B211" t="s">
        <v>249</v>
      </c>
      <c r="C211" s="2">
        <v>125003</v>
      </c>
      <c r="D211">
        <v>43</v>
      </c>
      <c r="E211" s="2">
        <v>924841</v>
      </c>
      <c r="F211">
        <v>7.38</v>
      </c>
      <c r="G211">
        <v>7.44</v>
      </c>
      <c r="H211">
        <v>7.38</v>
      </c>
      <c r="I211">
        <v>7.44</v>
      </c>
      <c r="J211" t="s">
        <v>10</v>
      </c>
      <c r="K211">
        <v>0.02</v>
      </c>
      <c r="L211">
        <v>7.44</v>
      </c>
      <c r="M211">
        <v>14</v>
      </c>
      <c r="N211">
        <v>7.45</v>
      </c>
      <c r="O211">
        <v>2</v>
      </c>
      <c r="P211">
        <v>32.35</v>
      </c>
    </row>
    <row r="212" spans="1:16" x14ac:dyDescent="0.3">
      <c r="A212">
        <v>1446</v>
      </c>
      <c r="B212" t="s">
        <v>250</v>
      </c>
      <c r="C212" s="2">
        <v>375400</v>
      </c>
      <c r="D212">
        <v>111</v>
      </c>
      <c r="E212" s="2">
        <v>10757550</v>
      </c>
      <c r="F212">
        <v>28.7</v>
      </c>
      <c r="G212">
        <v>28.95</v>
      </c>
      <c r="H212">
        <v>28.4</v>
      </c>
      <c r="I212">
        <v>28.5</v>
      </c>
      <c r="J212" t="s">
        <v>7</v>
      </c>
      <c r="K212">
        <v>0.1</v>
      </c>
      <c r="L212">
        <v>28.5</v>
      </c>
      <c r="M212">
        <v>1</v>
      </c>
      <c r="N212">
        <v>28.6</v>
      </c>
      <c r="O212">
        <v>18</v>
      </c>
      <c r="P212">
        <v>0</v>
      </c>
    </row>
    <row r="213" spans="1:16" x14ac:dyDescent="0.3">
      <c r="A213">
        <v>1447</v>
      </c>
      <c r="B213" t="s">
        <v>251</v>
      </c>
      <c r="C213" s="2">
        <v>2190894</v>
      </c>
      <c r="D213">
        <v>730</v>
      </c>
      <c r="E213" s="2">
        <v>27965428</v>
      </c>
      <c r="F213">
        <v>12.45</v>
      </c>
      <c r="G213">
        <v>13</v>
      </c>
      <c r="H213">
        <v>12.45</v>
      </c>
      <c r="I213">
        <v>12.9</v>
      </c>
      <c r="J213" t="s">
        <v>10</v>
      </c>
      <c r="K213">
        <v>0.45</v>
      </c>
      <c r="L213">
        <v>12.9</v>
      </c>
      <c r="M213">
        <v>43</v>
      </c>
      <c r="N213">
        <v>12.95</v>
      </c>
      <c r="O213">
        <v>78</v>
      </c>
      <c r="P213">
        <v>56.09</v>
      </c>
    </row>
    <row r="214" spans="1:16" x14ac:dyDescent="0.3">
      <c r="A214">
        <v>1449</v>
      </c>
      <c r="B214" t="s">
        <v>252</v>
      </c>
      <c r="C214" s="2">
        <v>165500</v>
      </c>
      <c r="D214">
        <v>22</v>
      </c>
      <c r="E214" s="2">
        <v>295409</v>
      </c>
      <c r="F214">
        <v>1.8</v>
      </c>
      <c r="G214">
        <v>1.8</v>
      </c>
      <c r="H214">
        <v>1.73</v>
      </c>
      <c r="I214">
        <v>1.8</v>
      </c>
      <c r="K214">
        <v>0</v>
      </c>
      <c r="L214">
        <v>1.74</v>
      </c>
      <c r="M214">
        <v>20</v>
      </c>
      <c r="N214">
        <v>1.8</v>
      </c>
      <c r="O214">
        <v>16</v>
      </c>
      <c r="P214">
        <v>0</v>
      </c>
    </row>
    <row r="215" spans="1:16" x14ac:dyDescent="0.3">
      <c r="A215">
        <v>1451</v>
      </c>
      <c r="B215" t="s">
        <v>253</v>
      </c>
      <c r="C215" s="2">
        <v>3136272</v>
      </c>
      <c r="D215" s="2">
        <v>1253</v>
      </c>
      <c r="E215" s="2">
        <v>88821762</v>
      </c>
      <c r="F215">
        <v>28.2</v>
      </c>
      <c r="G215">
        <v>28.55</v>
      </c>
      <c r="H215">
        <v>27.9</v>
      </c>
      <c r="I215">
        <v>28.4</v>
      </c>
      <c r="J215" t="s">
        <v>7</v>
      </c>
      <c r="K215">
        <v>0.1</v>
      </c>
      <c r="L215">
        <v>28.4</v>
      </c>
      <c r="M215">
        <v>17</v>
      </c>
      <c r="N215">
        <v>28.45</v>
      </c>
      <c r="O215">
        <v>18</v>
      </c>
      <c r="P215">
        <v>20.73</v>
      </c>
    </row>
    <row r="216" spans="1:16" x14ac:dyDescent="0.3">
      <c r="A216">
        <v>1452</v>
      </c>
      <c r="B216" t="s">
        <v>254</v>
      </c>
      <c r="C216" s="2">
        <v>134200</v>
      </c>
      <c r="D216">
        <v>31</v>
      </c>
      <c r="E216" s="2">
        <v>1373390</v>
      </c>
      <c r="F216">
        <v>10.199999999999999</v>
      </c>
      <c r="G216">
        <v>10.25</v>
      </c>
      <c r="H216">
        <v>10.199999999999999</v>
      </c>
      <c r="I216">
        <v>10.25</v>
      </c>
      <c r="J216" t="s">
        <v>10</v>
      </c>
      <c r="K216">
        <v>0.05</v>
      </c>
      <c r="L216">
        <v>10.25</v>
      </c>
      <c r="M216">
        <v>27</v>
      </c>
      <c r="N216">
        <v>10.3</v>
      </c>
      <c r="O216">
        <v>40</v>
      </c>
      <c r="P216">
        <v>16.02</v>
      </c>
    </row>
    <row r="217" spans="1:16" x14ac:dyDescent="0.3">
      <c r="A217">
        <v>1453</v>
      </c>
      <c r="B217" t="s">
        <v>255</v>
      </c>
      <c r="C217" s="2">
        <v>393000</v>
      </c>
      <c r="D217">
        <v>136</v>
      </c>
      <c r="E217" s="2">
        <v>4373500</v>
      </c>
      <c r="F217">
        <v>11.1</v>
      </c>
      <c r="G217">
        <v>11.45</v>
      </c>
      <c r="H217">
        <v>10.85</v>
      </c>
      <c r="I217">
        <v>11.25</v>
      </c>
      <c r="J217" t="s">
        <v>10</v>
      </c>
      <c r="K217">
        <v>0.15</v>
      </c>
      <c r="L217">
        <v>11.25</v>
      </c>
      <c r="M217">
        <v>7</v>
      </c>
      <c r="N217">
        <v>11.3</v>
      </c>
      <c r="O217">
        <v>5</v>
      </c>
      <c r="P217">
        <v>6.5</v>
      </c>
    </row>
    <row r="218" spans="1:16" x14ac:dyDescent="0.3">
      <c r="A218">
        <v>1454</v>
      </c>
      <c r="B218" t="s">
        <v>256</v>
      </c>
      <c r="C218" s="2">
        <v>72100</v>
      </c>
      <c r="D218">
        <v>25</v>
      </c>
      <c r="E218" s="2">
        <v>515050</v>
      </c>
      <c r="F218">
        <v>7.14</v>
      </c>
      <c r="G218">
        <v>7.16</v>
      </c>
      <c r="H218">
        <v>7.12</v>
      </c>
      <c r="I218">
        <v>7.16</v>
      </c>
      <c r="J218" t="s">
        <v>7</v>
      </c>
      <c r="K218">
        <v>0.01</v>
      </c>
      <c r="L218">
        <v>7.13</v>
      </c>
      <c r="M218">
        <v>8</v>
      </c>
      <c r="N218">
        <v>7.16</v>
      </c>
      <c r="O218">
        <v>7</v>
      </c>
      <c r="P218">
        <v>0</v>
      </c>
    </row>
    <row r="219" spans="1:16" x14ac:dyDescent="0.3">
      <c r="A219">
        <v>1455</v>
      </c>
      <c r="B219" t="s">
        <v>257</v>
      </c>
      <c r="C219" s="2">
        <v>1024169</v>
      </c>
      <c r="D219">
        <v>336</v>
      </c>
      <c r="E219" s="2">
        <v>9597246</v>
      </c>
      <c r="F219">
        <v>9.26</v>
      </c>
      <c r="G219">
        <v>9.4600000000000009</v>
      </c>
      <c r="H219">
        <v>9.26</v>
      </c>
      <c r="I219">
        <v>9.41</v>
      </c>
      <c r="J219" t="s">
        <v>10</v>
      </c>
      <c r="K219">
        <v>0.15</v>
      </c>
      <c r="L219">
        <v>9.41</v>
      </c>
      <c r="M219">
        <v>32</v>
      </c>
      <c r="N219">
        <v>9.44</v>
      </c>
      <c r="O219">
        <v>1</v>
      </c>
      <c r="P219">
        <v>0</v>
      </c>
    </row>
    <row r="220" spans="1:16" x14ac:dyDescent="0.3">
      <c r="A220">
        <v>1456</v>
      </c>
      <c r="B220" t="s">
        <v>258</v>
      </c>
      <c r="C220" s="2">
        <v>78490</v>
      </c>
      <c r="D220">
        <v>20</v>
      </c>
      <c r="E220" s="2">
        <v>283024</v>
      </c>
      <c r="F220">
        <v>3.43</v>
      </c>
      <c r="G220">
        <v>3.68</v>
      </c>
      <c r="H220">
        <v>3.43</v>
      </c>
      <c r="I220">
        <v>3.6</v>
      </c>
      <c r="J220" t="s">
        <v>7</v>
      </c>
      <c r="K220">
        <v>0.08</v>
      </c>
      <c r="L220">
        <v>3.6</v>
      </c>
      <c r="M220">
        <v>49</v>
      </c>
      <c r="N220">
        <v>3.7</v>
      </c>
      <c r="O220">
        <v>10</v>
      </c>
      <c r="P220">
        <v>0</v>
      </c>
    </row>
    <row r="221" spans="1:16" x14ac:dyDescent="0.3">
      <c r="A221">
        <v>1457</v>
      </c>
      <c r="B221" t="s">
        <v>259</v>
      </c>
      <c r="C221" s="2">
        <v>107480</v>
      </c>
      <c r="D221">
        <v>43</v>
      </c>
      <c r="E221" s="2">
        <v>775843</v>
      </c>
      <c r="F221">
        <v>7.2</v>
      </c>
      <c r="G221">
        <v>7.26</v>
      </c>
      <c r="H221">
        <v>7.2</v>
      </c>
      <c r="I221">
        <v>7.22</v>
      </c>
      <c r="J221" t="s">
        <v>10</v>
      </c>
      <c r="K221">
        <v>0.02</v>
      </c>
      <c r="L221">
        <v>7.21</v>
      </c>
      <c r="M221">
        <v>1</v>
      </c>
      <c r="N221">
        <v>7.25</v>
      </c>
      <c r="O221">
        <v>1</v>
      </c>
      <c r="P221">
        <v>0</v>
      </c>
    </row>
    <row r="222" spans="1:16" x14ac:dyDescent="0.3">
      <c r="A222">
        <v>1459</v>
      </c>
      <c r="B222" t="s">
        <v>260</v>
      </c>
      <c r="C222" s="2">
        <v>38187</v>
      </c>
      <c r="D222">
        <v>22</v>
      </c>
      <c r="E222" s="2">
        <v>307946</v>
      </c>
      <c r="F222">
        <v>8.06</v>
      </c>
      <c r="G222">
        <v>8.09</v>
      </c>
      <c r="H222">
        <v>8.0500000000000007</v>
      </c>
      <c r="I222">
        <v>8.08</v>
      </c>
      <c r="J222" t="s">
        <v>10</v>
      </c>
      <c r="K222">
        <v>0.08</v>
      </c>
      <c r="L222">
        <v>8.0500000000000007</v>
      </c>
      <c r="M222">
        <v>89</v>
      </c>
      <c r="N222">
        <v>8.09</v>
      </c>
      <c r="O222">
        <v>11</v>
      </c>
      <c r="P222">
        <v>0</v>
      </c>
    </row>
    <row r="223" spans="1:16" x14ac:dyDescent="0.3">
      <c r="A223">
        <v>1460</v>
      </c>
      <c r="B223" t="s">
        <v>261</v>
      </c>
      <c r="C223" s="2">
        <v>459159</v>
      </c>
      <c r="D223">
        <v>175</v>
      </c>
      <c r="E223" s="2">
        <v>3721655</v>
      </c>
      <c r="F223">
        <v>8.15</v>
      </c>
      <c r="G223">
        <v>8.15</v>
      </c>
      <c r="H223">
        <v>8.07</v>
      </c>
      <c r="I223">
        <v>8.14</v>
      </c>
      <c r="J223" t="s">
        <v>7</v>
      </c>
      <c r="K223">
        <v>0.01</v>
      </c>
      <c r="L223">
        <v>8.11</v>
      </c>
      <c r="M223">
        <v>5</v>
      </c>
      <c r="N223">
        <v>8.14</v>
      </c>
      <c r="O223">
        <v>6</v>
      </c>
      <c r="P223">
        <v>31.31</v>
      </c>
    </row>
    <row r="224" spans="1:16" x14ac:dyDescent="0.3">
      <c r="A224">
        <v>1463</v>
      </c>
      <c r="B224" t="s">
        <v>262</v>
      </c>
      <c r="C224" s="2">
        <v>764100</v>
      </c>
      <c r="D224">
        <v>249</v>
      </c>
      <c r="E224" s="2">
        <v>10154245</v>
      </c>
      <c r="F224">
        <v>13.4</v>
      </c>
      <c r="G224">
        <v>13.4</v>
      </c>
      <c r="H224">
        <v>13.2</v>
      </c>
      <c r="I224">
        <v>13.35</v>
      </c>
      <c r="J224" t="s">
        <v>7</v>
      </c>
      <c r="K224">
        <v>0.1</v>
      </c>
      <c r="L224">
        <v>13.35</v>
      </c>
      <c r="M224">
        <v>18</v>
      </c>
      <c r="N224">
        <v>13.4</v>
      </c>
      <c r="O224">
        <v>76</v>
      </c>
      <c r="P224">
        <v>0</v>
      </c>
    </row>
    <row r="225" spans="1:16" x14ac:dyDescent="0.3">
      <c r="A225">
        <v>1464</v>
      </c>
      <c r="B225" t="s">
        <v>263</v>
      </c>
      <c r="C225" s="2">
        <v>240000</v>
      </c>
      <c r="D225">
        <v>83</v>
      </c>
      <c r="E225" s="2">
        <v>2355210</v>
      </c>
      <c r="F225">
        <v>9.76</v>
      </c>
      <c r="G225">
        <v>9.9499999999999993</v>
      </c>
      <c r="H225">
        <v>9.61</v>
      </c>
      <c r="I225">
        <v>9.94</v>
      </c>
      <c r="J225" t="s">
        <v>10</v>
      </c>
      <c r="K225">
        <v>0.15</v>
      </c>
      <c r="L225">
        <v>9.94</v>
      </c>
      <c r="M225">
        <v>2</v>
      </c>
      <c r="N225">
        <v>9.9499999999999993</v>
      </c>
      <c r="O225">
        <v>12</v>
      </c>
      <c r="P225">
        <v>34.28</v>
      </c>
    </row>
    <row r="226" spans="1:16" x14ac:dyDescent="0.3">
      <c r="A226">
        <v>1465</v>
      </c>
      <c r="B226" t="s">
        <v>264</v>
      </c>
      <c r="C226" s="2">
        <v>274044</v>
      </c>
      <c r="D226">
        <v>75</v>
      </c>
      <c r="E226" s="2">
        <v>3853590</v>
      </c>
      <c r="F226">
        <v>14</v>
      </c>
      <c r="G226">
        <v>14.2</v>
      </c>
      <c r="H226">
        <v>13.9</v>
      </c>
      <c r="I226">
        <v>14.05</v>
      </c>
      <c r="J226" t="s">
        <v>10</v>
      </c>
      <c r="K226">
        <v>0.15</v>
      </c>
      <c r="L226">
        <v>14.05</v>
      </c>
      <c r="M226">
        <v>11</v>
      </c>
      <c r="N226">
        <v>14.15</v>
      </c>
      <c r="O226">
        <v>3</v>
      </c>
      <c r="P226">
        <v>15.97</v>
      </c>
    </row>
    <row r="227" spans="1:16" x14ac:dyDescent="0.3">
      <c r="A227">
        <v>1466</v>
      </c>
      <c r="B227" t="s">
        <v>265</v>
      </c>
      <c r="C227" s="2">
        <v>225000</v>
      </c>
      <c r="D227">
        <v>95</v>
      </c>
      <c r="E227" s="2">
        <v>4081499</v>
      </c>
      <c r="F227">
        <v>17.8</v>
      </c>
      <c r="G227">
        <v>18.600000000000001</v>
      </c>
      <c r="H227">
        <v>17.8</v>
      </c>
      <c r="I227">
        <v>18.399999999999999</v>
      </c>
      <c r="J227" t="s">
        <v>10</v>
      </c>
      <c r="K227">
        <v>0.6</v>
      </c>
      <c r="L227">
        <v>18.25</v>
      </c>
      <c r="M227">
        <v>8</v>
      </c>
      <c r="N227">
        <v>18.399999999999999</v>
      </c>
      <c r="O227">
        <v>3</v>
      </c>
      <c r="P227">
        <v>18.22</v>
      </c>
    </row>
    <row r="228" spans="1:16" x14ac:dyDescent="0.3">
      <c r="A228">
        <v>1467</v>
      </c>
      <c r="B228" t="s">
        <v>266</v>
      </c>
      <c r="C228" s="2">
        <v>253032</v>
      </c>
      <c r="D228">
        <v>80</v>
      </c>
      <c r="E228" s="2">
        <v>3066337</v>
      </c>
      <c r="F228">
        <v>12.25</v>
      </c>
      <c r="G228">
        <v>12.25</v>
      </c>
      <c r="H228">
        <v>12.1</v>
      </c>
      <c r="I228">
        <v>12.1</v>
      </c>
      <c r="K228">
        <v>0</v>
      </c>
      <c r="L228">
        <v>12.05</v>
      </c>
      <c r="M228">
        <v>35</v>
      </c>
      <c r="N228">
        <v>12.1</v>
      </c>
      <c r="O228">
        <v>217</v>
      </c>
      <c r="P228">
        <v>10.71</v>
      </c>
    </row>
    <row r="229" spans="1:16" x14ac:dyDescent="0.3">
      <c r="A229">
        <v>1468</v>
      </c>
      <c r="B229" t="s">
        <v>267</v>
      </c>
      <c r="C229" s="2">
        <v>20000</v>
      </c>
      <c r="D229">
        <v>12</v>
      </c>
      <c r="E229" s="2">
        <v>200360</v>
      </c>
      <c r="F229">
        <v>10</v>
      </c>
      <c r="G229">
        <v>10.1</v>
      </c>
      <c r="H229">
        <v>9.9700000000000006</v>
      </c>
      <c r="I229">
        <v>10.050000000000001</v>
      </c>
      <c r="J229" t="s">
        <v>10</v>
      </c>
      <c r="K229">
        <v>0.05</v>
      </c>
      <c r="L229">
        <v>9.9700000000000006</v>
      </c>
      <c r="M229">
        <v>1</v>
      </c>
      <c r="N229">
        <v>10.050000000000001</v>
      </c>
      <c r="O229">
        <v>2</v>
      </c>
      <c r="P229">
        <v>0</v>
      </c>
    </row>
    <row r="230" spans="1:16" x14ac:dyDescent="0.3">
      <c r="A230">
        <v>1469</v>
      </c>
      <c r="B230" t="s">
        <v>268</v>
      </c>
      <c r="C230" s="2">
        <v>8000</v>
      </c>
      <c r="D230">
        <v>6</v>
      </c>
      <c r="E230" s="2">
        <v>75820</v>
      </c>
      <c r="F230">
        <v>9.43</v>
      </c>
      <c r="G230">
        <v>9.6300000000000008</v>
      </c>
      <c r="H230">
        <v>9.43</v>
      </c>
      <c r="I230">
        <v>9.52</v>
      </c>
      <c r="J230" t="s">
        <v>7</v>
      </c>
      <c r="K230">
        <v>0.06</v>
      </c>
      <c r="L230">
        <v>9.44</v>
      </c>
      <c r="M230">
        <v>2</v>
      </c>
      <c r="N230">
        <v>9.5299999999999994</v>
      </c>
      <c r="O230">
        <v>1</v>
      </c>
      <c r="P230">
        <v>36.619999999999997</v>
      </c>
    </row>
    <row r="231" spans="1:16" x14ac:dyDescent="0.3">
      <c r="A231">
        <v>1470</v>
      </c>
      <c r="B231" t="s">
        <v>269</v>
      </c>
      <c r="C231" s="2">
        <v>5000</v>
      </c>
      <c r="D231">
        <v>4</v>
      </c>
      <c r="E231" s="2">
        <v>73250</v>
      </c>
      <c r="F231">
        <v>14.65</v>
      </c>
      <c r="G231">
        <v>14.65</v>
      </c>
      <c r="H231">
        <v>14.65</v>
      </c>
      <c r="I231">
        <v>14.65</v>
      </c>
      <c r="J231" t="s">
        <v>10</v>
      </c>
      <c r="K231">
        <v>0.65</v>
      </c>
      <c r="L231">
        <v>13.65</v>
      </c>
      <c r="M231">
        <v>1</v>
      </c>
      <c r="N231">
        <v>14.55</v>
      </c>
      <c r="O231">
        <v>1</v>
      </c>
      <c r="P231">
        <v>97.67</v>
      </c>
    </row>
    <row r="232" spans="1:16" x14ac:dyDescent="0.3">
      <c r="A232">
        <v>1471</v>
      </c>
      <c r="B232" t="s">
        <v>270</v>
      </c>
      <c r="C232" s="2">
        <v>348343</v>
      </c>
      <c r="D232">
        <v>162</v>
      </c>
      <c r="E232" s="2">
        <v>3402305</v>
      </c>
      <c r="F232">
        <v>9.6999999999999993</v>
      </c>
      <c r="G232">
        <v>9.84</v>
      </c>
      <c r="H232">
        <v>9.61</v>
      </c>
      <c r="I232">
        <v>9.81</v>
      </c>
      <c r="J232" t="s">
        <v>10</v>
      </c>
      <c r="K232">
        <v>0.06</v>
      </c>
      <c r="L232">
        <v>9.81</v>
      </c>
      <c r="M232">
        <v>6</v>
      </c>
      <c r="N232">
        <v>9.82</v>
      </c>
      <c r="O232">
        <v>4</v>
      </c>
      <c r="P232">
        <v>0</v>
      </c>
    </row>
    <row r="233" spans="1:16" x14ac:dyDescent="0.3">
      <c r="A233">
        <v>1472</v>
      </c>
      <c r="B233" t="s">
        <v>271</v>
      </c>
      <c r="C233" s="2">
        <v>138000</v>
      </c>
      <c r="D233">
        <v>77</v>
      </c>
      <c r="E233" s="2">
        <v>2097550</v>
      </c>
      <c r="F233">
        <v>15.6</v>
      </c>
      <c r="G233">
        <v>15.6</v>
      </c>
      <c r="H233">
        <v>14.8</v>
      </c>
      <c r="I233">
        <v>15.35</v>
      </c>
      <c r="J233" t="s">
        <v>7</v>
      </c>
      <c r="K233">
        <v>0.25</v>
      </c>
      <c r="L233">
        <v>15.25</v>
      </c>
      <c r="M233">
        <v>12</v>
      </c>
      <c r="N233">
        <v>15.35</v>
      </c>
      <c r="O233">
        <v>1</v>
      </c>
      <c r="P233">
        <v>0</v>
      </c>
    </row>
    <row r="234" spans="1:16" x14ac:dyDescent="0.3">
      <c r="A234">
        <v>1473</v>
      </c>
      <c r="B234" t="s">
        <v>272</v>
      </c>
      <c r="C234" s="2">
        <v>410009</v>
      </c>
      <c r="D234">
        <v>226</v>
      </c>
      <c r="E234" s="2">
        <v>13357247</v>
      </c>
      <c r="F234">
        <v>32.35</v>
      </c>
      <c r="G234">
        <v>32.75</v>
      </c>
      <c r="H234">
        <v>32.25</v>
      </c>
      <c r="I234">
        <v>32.65</v>
      </c>
      <c r="J234" t="s">
        <v>10</v>
      </c>
      <c r="K234">
        <v>0.6</v>
      </c>
      <c r="L234">
        <v>32.6</v>
      </c>
      <c r="M234">
        <v>7</v>
      </c>
      <c r="N234">
        <v>32.65</v>
      </c>
      <c r="O234">
        <v>9</v>
      </c>
      <c r="P234">
        <v>17.55</v>
      </c>
    </row>
    <row r="235" spans="1:16" x14ac:dyDescent="0.3">
      <c r="A235">
        <v>1474</v>
      </c>
      <c r="B235" t="s">
        <v>273</v>
      </c>
      <c r="C235" s="2">
        <v>106002</v>
      </c>
      <c r="D235">
        <v>21</v>
      </c>
      <c r="E235" s="2">
        <v>766984</v>
      </c>
      <c r="F235">
        <v>7.22</v>
      </c>
      <c r="G235">
        <v>7.26</v>
      </c>
      <c r="H235">
        <v>7.22</v>
      </c>
      <c r="I235">
        <v>7.26</v>
      </c>
      <c r="J235" t="s">
        <v>10</v>
      </c>
      <c r="K235">
        <v>0.02</v>
      </c>
      <c r="L235">
        <v>7.24</v>
      </c>
      <c r="M235">
        <v>11</v>
      </c>
      <c r="N235">
        <v>7.26</v>
      </c>
      <c r="O235">
        <v>13</v>
      </c>
      <c r="P235">
        <v>0</v>
      </c>
    </row>
    <row r="236" spans="1:16" x14ac:dyDescent="0.3">
      <c r="A236">
        <v>1475</v>
      </c>
      <c r="B236" t="s">
        <v>274</v>
      </c>
      <c r="C236" s="2">
        <v>1000</v>
      </c>
      <c r="D236">
        <v>1</v>
      </c>
      <c r="E236" s="2">
        <v>5500</v>
      </c>
      <c r="F236">
        <v>5.5</v>
      </c>
      <c r="G236">
        <v>5.5</v>
      </c>
      <c r="H236">
        <v>5.5</v>
      </c>
      <c r="I236">
        <v>5.5</v>
      </c>
      <c r="J236" t="s">
        <v>7</v>
      </c>
      <c r="K236">
        <v>0.32</v>
      </c>
      <c r="L236" t="s">
        <v>152</v>
      </c>
      <c r="M236">
        <v>0</v>
      </c>
      <c r="N236">
        <v>6.2</v>
      </c>
      <c r="O236">
        <v>1</v>
      </c>
      <c r="P236">
        <v>0</v>
      </c>
    </row>
    <row r="237" spans="1:16" x14ac:dyDescent="0.3">
      <c r="A237">
        <v>1476</v>
      </c>
      <c r="B237" t="s">
        <v>275</v>
      </c>
      <c r="C237" s="2">
        <v>2315393</v>
      </c>
      <c r="D237" s="2">
        <v>1802</v>
      </c>
      <c r="E237" s="2">
        <v>538365141</v>
      </c>
      <c r="F237">
        <v>225</v>
      </c>
      <c r="G237">
        <v>237</v>
      </c>
      <c r="H237">
        <v>222</v>
      </c>
      <c r="I237">
        <v>237</v>
      </c>
      <c r="J237" t="s">
        <v>10</v>
      </c>
      <c r="K237">
        <v>15.5</v>
      </c>
      <c r="L237">
        <v>237</v>
      </c>
      <c r="M237">
        <v>93</v>
      </c>
      <c r="N237" t="s">
        <v>152</v>
      </c>
      <c r="O237">
        <v>0</v>
      </c>
      <c r="P237">
        <v>29.19</v>
      </c>
    </row>
    <row r="238" spans="1:16" x14ac:dyDescent="0.3">
      <c r="A238">
        <v>1477</v>
      </c>
      <c r="B238" t="s">
        <v>276</v>
      </c>
      <c r="C238" s="2">
        <v>1312801</v>
      </c>
      <c r="D238">
        <v>938</v>
      </c>
      <c r="E238" s="2">
        <v>194807044</v>
      </c>
      <c r="F238">
        <v>145</v>
      </c>
      <c r="G238">
        <v>150.5</v>
      </c>
      <c r="H238">
        <v>145</v>
      </c>
      <c r="I238">
        <v>150.5</v>
      </c>
      <c r="J238" t="s">
        <v>10</v>
      </c>
      <c r="K238">
        <v>7.5</v>
      </c>
      <c r="L238">
        <v>150.5</v>
      </c>
      <c r="M238">
        <v>3</v>
      </c>
      <c r="N238">
        <v>151</v>
      </c>
      <c r="O238">
        <v>54</v>
      </c>
      <c r="P238">
        <v>20.9</v>
      </c>
    </row>
    <row r="239" spans="1:16" x14ac:dyDescent="0.3">
      <c r="A239">
        <v>1503</v>
      </c>
      <c r="B239" t="s">
        <v>277</v>
      </c>
      <c r="C239" s="2">
        <v>96654</v>
      </c>
      <c r="D239">
        <v>64</v>
      </c>
      <c r="E239" s="2">
        <v>3389740</v>
      </c>
      <c r="F239">
        <v>35</v>
      </c>
      <c r="G239">
        <v>35.15</v>
      </c>
      <c r="H239">
        <v>35</v>
      </c>
      <c r="I239">
        <v>35.15</v>
      </c>
      <c r="J239" t="s">
        <v>7</v>
      </c>
      <c r="K239">
        <v>0.2</v>
      </c>
      <c r="L239">
        <v>35.15</v>
      </c>
      <c r="M239">
        <v>3</v>
      </c>
      <c r="N239">
        <v>35.200000000000003</v>
      </c>
      <c r="O239">
        <v>15</v>
      </c>
      <c r="P239">
        <v>20.09</v>
      </c>
    </row>
    <row r="240" spans="1:16" x14ac:dyDescent="0.3">
      <c r="A240">
        <v>1504</v>
      </c>
      <c r="B240" t="s">
        <v>278</v>
      </c>
      <c r="C240" s="2">
        <v>3895001</v>
      </c>
      <c r="D240" s="2">
        <v>1804</v>
      </c>
      <c r="E240" s="2">
        <v>115398766</v>
      </c>
      <c r="F240">
        <v>29.9</v>
      </c>
      <c r="G240">
        <v>29.9</v>
      </c>
      <c r="H240">
        <v>29.5</v>
      </c>
      <c r="I240">
        <v>29.6</v>
      </c>
      <c r="J240" t="s">
        <v>7</v>
      </c>
      <c r="K240">
        <v>0.4</v>
      </c>
      <c r="L240">
        <v>29.6</v>
      </c>
      <c r="M240">
        <v>165</v>
      </c>
      <c r="N240">
        <v>29.65</v>
      </c>
      <c r="O240">
        <v>5</v>
      </c>
      <c r="P240">
        <v>17.010000000000002</v>
      </c>
    </row>
    <row r="241" spans="1:16" x14ac:dyDescent="0.3">
      <c r="A241">
        <v>1506</v>
      </c>
      <c r="B241" t="s">
        <v>279</v>
      </c>
      <c r="C241" s="2">
        <v>279434</v>
      </c>
      <c r="D241">
        <v>150</v>
      </c>
      <c r="E241" s="2">
        <v>3747192</v>
      </c>
      <c r="F241">
        <v>13.5</v>
      </c>
      <c r="G241">
        <v>13.6</v>
      </c>
      <c r="H241">
        <v>13.25</v>
      </c>
      <c r="I241">
        <v>13.35</v>
      </c>
      <c r="J241" t="s">
        <v>7</v>
      </c>
      <c r="K241">
        <v>0.15</v>
      </c>
      <c r="L241">
        <v>13.35</v>
      </c>
      <c r="M241">
        <v>5</v>
      </c>
      <c r="N241">
        <v>13.4</v>
      </c>
      <c r="O241">
        <v>5</v>
      </c>
      <c r="P241">
        <v>0</v>
      </c>
    </row>
    <row r="242" spans="1:16" x14ac:dyDescent="0.3">
      <c r="A242">
        <v>1507</v>
      </c>
      <c r="B242" t="s">
        <v>280</v>
      </c>
      <c r="C242" s="2">
        <v>1506112</v>
      </c>
      <c r="D242">
        <v>790</v>
      </c>
      <c r="E242" s="2">
        <v>91343591</v>
      </c>
      <c r="F242">
        <v>59.8</v>
      </c>
      <c r="G242">
        <v>61.3</v>
      </c>
      <c r="H242">
        <v>59.8</v>
      </c>
      <c r="I242">
        <v>60.7</v>
      </c>
      <c r="J242" t="s">
        <v>10</v>
      </c>
      <c r="K242">
        <v>0.9</v>
      </c>
      <c r="L242">
        <v>60.7</v>
      </c>
      <c r="M242">
        <v>2</v>
      </c>
      <c r="N242">
        <v>60.8</v>
      </c>
      <c r="O242">
        <v>9</v>
      </c>
      <c r="P242">
        <v>15.33</v>
      </c>
    </row>
    <row r="243" spans="1:16" x14ac:dyDescent="0.3">
      <c r="A243">
        <v>1512</v>
      </c>
      <c r="B243" t="s">
        <v>281</v>
      </c>
      <c r="C243" s="2">
        <v>204000</v>
      </c>
      <c r="D243">
        <v>38</v>
      </c>
      <c r="E243" s="2">
        <v>1459260</v>
      </c>
      <c r="F243">
        <v>7.15</v>
      </c>
      <c r="G243">
        <v>7.19</v>
      </c>
      <c r="H243">
        <v>7.13</v>
      </c>
      <c r="I243">
        <v>7.19</v>
      </c>
      <c r="J243" t="s">
        <v>7</v>
      </c>
      <c r="K243">
        <v>0.02</v>
      </c>
      <c r="L243">
        <v>7.15</v>
      </c>
      <c r="M243">
        <v>7</v>
      </c>
      <c r="N243">
        <v>7.19</v>
      </c>
      <c r="O243">
        <v>19</v>
      </c>
      <c r="P243">
        <v>27.65</v>
      </c>
    </row>
    <row r="244" spans="1:16" x14ac:dyDescent="0.3">
      <c r="A244">
        <v>1513</v>
      </c>
      <c r="B244" t="s">
        <v>282</v>
      </c>
      <c r="C244" s="2">
        <v>388801</v>
      </c>
      <c r="D244">
        <v>185</v>
      </c>
      <c r="E244" s="2">
        <v>6543256</v>
      </c>
      <c r="F244">
        <v>16.8</v>
      </c>
      <c r="G244">
        <v>16.899999999999999</v>
      </c>
      <c r="H244">
        <v>16.8</v>
      </c>
      <c r="I244">
        <v>16.850000000000001</v>
      </c>
      <c r="K244">
        <v>0</v>
      </c>
      <c r="L244">
        <v>16.850000000000001</v>
      </c>
      <c r="M244">
        <v>13</v>
      </c>
      <c r="N244">
        <v>16.899999999999999</v>
      </c>
      <c r="O244">
        <v>85</v>
      </c>
      <c r="P244">
        <v>15.18</v>
      </c>
    </row>
    <row r="245" spans="1:16" x14ac:dyDescent="0.3">
      <c r="A245">
        <v>1514</v>
      </c>
      <c r="B245" t="s">
        <v>283</v>
      </c>
      <c r="C245" s="2">
        <v>129001</v>
      </c>
      <c r="D245">
        <v>36</v>
      </c>
      <c r="E245" s="2">
        <v>1255529</v>
      </c>
      <c r="F245">
        <v>9.6999999999999993</v>
      </c>
      <c r="G245">
        <v>9.7799999999999994</v>
      </c>
      <c r="H245">
        <v>9.65</v>
      </c>
      <c r="I245">
        <v>9.76</v>
      </c>
      <c r="J245" t="s">
        <v>10</v>
      </c>
      <c r="K245">
        <v>0.01</v>
      </c>
      <c r="L245">
        <v>9.75</v>
      </c>
      <c r="M245">
        <v>2</v>
      </c>
      <c r="N245">
        <v>9.7799999999999994</v>
      </c>
      <c r="O245">
        <v>18</v>
      </c>
      <c r="P245">
        <v>18.07</v>
      </c>
    </row>
    <row r="246" spans="1:16" x14ac:dyDescent="0.3">
      <c r="A246">
        <v>1515</v>
      </c>
      <c r="B246" t="s">
        <v>284</v>
      </c>
      <c r="C246" s="2">
        <v>52314</v>
      </c>
      <c r="D246">
        <v>23</v>
      </c>
      <c r="E246" s="2">
        <v>462183</v>
      </c>
      <c r="F246">
        <v>8.8800000000000008</v>
      </c>
      <c r="G246">
        <v>8.8800000000000008</v>
      </c>
      <c r="H246">
        <v>8.75</v>
      </c>
      <c r="I246">
        <v>8.8699999999999992</v>
      </c>
      <c r="J246" t="s">
        <v>7</v>
      </c>
      <c r="K246">
        <v>0.01</v>
      </c>
      <c r="L246">
        <v>8.81</v>
      </c>
      <c r="M246">
        <v>2</v>
      </c>
      <c r="N246">
        <v>8.8699999999999992</v>
      </c>
      <c r="O246">
        <v>3</v>
      </c>
      <c r="P246">
        <v>22.18</v>
      </c>
    </row>
    <row r="247" spans="1:16" x14ac:dyDescent="0.3">
      <c r="A247">
        <v>1516</v>
      </c>
      <c r="B247" t="s">
        <v>285</v>
      </c>
      <c r="C247" s="2">
        <v>3229</v>
      </c>
      <c r="D247">
        <v>4</v>
      </c>
      <c r="E247" s="2">
        <v>41838</v>
      </c>
      <c r="F247">
        <v>12.95</v>
      </c>
      <c r="G247">
        <v>12.95</v>
      </c>
      <c r="H247">
        <v>12.95</v>
      </c>
      <c r="I247">
        <v>12.95</v>
      </c>
      <c r="J247" t="s">
        <v>7</v>
      </c>
      <c r="K247">
        <v>0.05</v>
      </c>
      <c r="L247">
        <v>12.5</v>
      </c>
      <c r="M247">
        <v>2</v>
      </c>
      <c r="N247">
        <v>12.95</v>
      </c>
      <c r="O247">
        <v>1</v>
      </c>
      <c r="P247">
        <v>0</v>
      </c>
    </row>
    <row r="248" spans="1:16" x14ac:dyDescent="0.3">
      <c r="A248">
        <v>1517</v>
      </c>
      <c r="B248" t="s">
        <v>286</v>
      </c>
      <c r="C248" s="2">
        <v>362000</v>
      </c>
      <c r="D248">
        <v>170</v>
      </c>
      <c r="E248" s="2">
        <v>5061900</v>
      </c>
      <c r="F248">
        <v>13.9</v>
      </c>
      <c r="G248">
        <v>14.05</v>
      </c>
      <c r="H248">
        <v>13.9</v>
      </c>
      <c r="I248">
        <v>13.95</v>
      </c>
      <c r="J248" t="s">
        <v>10</v>
      </c>
      <c r="K248">
        <v>0.05</v>
      </c>
      <c r="L248">
        <v>13.95</v>
      </c>
      <c r="M248">
        <v>78</v>
      </c>
      <c r="N248">
        <v>14.05</v>
      </c>
      <c r="O248">
        <v>5</v>
      </c>
      <c r="P248">
        <v>11.07</v>
      </c>
    </row>
    <row r="249" spans="1:16" x14ac:dyDescent="0.3">
      <c r="A249">
        <v>1519</v>
      </c>
      <c r="B249" t="s">
        <v>287</v>
      </c>
      <c r="C249" s="2">
        <v>196450</v>
      </c>
      <c r="D249">
        <v>97</v>
      </c>
      <c r="E249" s="2">
        <v>2701515</v>
      </c>
      <c r="F249">
        <v>13.65</v>
      </c>
      <c r="G249">
        <v>13.95</v>
      </c>
      <c r="H249">
        <v>13.55</v>
      </c>
      <c r="I249">
        <v>13.8</v>
      </c>
      <c r="J249" t="s">
        <v>10</v>
      </c>
      <c r="K249">
        <v>0.25</v>
      </c>
      <c r="L249">
        <v>13.8</v>
      </c>
      <c r="M249">
        <v>1</v>
      </c>
      <c r="N249">
        <v>13.85</v>
      </c>
      <c r="O249">
        <v>4</v>
      </c>
      <c r="P249">
        <v>24.64</v>
      </c>
    </row>
    <row r="250" spans="1:16" x14ac:dyDescent="0.3">
      <c r="A250">
        <v>1521</v>
      </c>
      <c r="B250" t="s">
        <v>288</v>
      </c>
      <c r="C250" s="2">
        <v>163010</v>
      </c>
      <c r="D250">
        <v>131</v>
      </c>
      <c r="E250" s="2">
        <v>7729095</v>
      </c>
      <c r="F250">
        <v>46.8</v>
      </c>
      <c r="G250">
        <v>48</v>
      </c>
      <c r="H250">
        <v>46.8</v>
      </c>
      <c r="I250">
        <v>48</v>
      </c>
      <c r="J250" t="s">
        <v>10</v>
      </c>
      <c r="K250">
        <v>1.7</v>
      </c>
      <c r="L250">
        <v>47.9</v>
      </c>
      <c r="M250">
        <v>13</v>
      </c>
      <c r="N250">
        <v>48</v>
      </c>
      <c r="O250">
        <v>3</v>
      </c>
      <c r="P250">
        <v>13.99</v>
      </c>
    </row>
    <row r="251" spans="1:16" x14ac:dyDescent="0.3">
      <c r="A251">
        <v>1522</v>
      </c>
      <c r="B251" t="s">
        <v>289</v>
      </c>
      <c r="C251" s="2">
        <v>289001</v>
      </c>
      <c r="D251">
        <v>122</v>
      </c>
      <c r="E251" s="2">
        <v>3573557</v>
      </c>
      <c r="F251">
        <v>12.2</v>
      </c>
      <c r="G251">
        <v>12.45</v>
      </c>
      <c r="H251">
        <v>12.2</v>
      </c>
      <c r="I251">
        <v>12.45</v>
      </c>
      <c r="J251" t="s">
        <v>10</v>
      </c>
      <c r="K251">
        <v>0.25</v>
      </c>
      <c r="L251">
        <v>12.4</v>
      </c>
      <c r="M251">
        <v>2</v>
      </c>
      <c r="N251">
        <v>12.45</v>
      </c>
      <c r="O251">
        <v>9</v>
      </c>
      <c r="P251">
        <v>0</v>
      </c>
    </row>
    <row r="252" spans="1:16" x14ac:dyDescent="0.3">
      <c r="A252">
        <v>1524</v>
      </c>
      <c r="B252" t="s">
        <v>290</v>
      </c>
      <c r="C252" s="2">
        <v>61794</v>
      </c>
      <c r="D252">
        <v>25</v>
      </c>
      <c r="E252" s="2">
        <v>458778</v>
      </c>
      <c r="F252">
        <v>7.41</v>
      </c>
      <c r="G252">
        <v>7.46</v>
      </c>
      <c r="H252">
        <v>7.41</v>
      </c>
      <c r="I252">
        <v>7.43</v>
      </c>
      <c r="J252" t="s">
        <v>10</v>
      </c>
      <c r="K252">
        <v>0.03</v>
      </c>
      <c r="L252">
        <v>7.42</v>
      </c>
      <c r="M252">
        <v>1</v>
      </c>
      <c r="N252">
        <v>7.47</v>
      </c>
      <c r="O252">
        <v>10</v>
      </c>
      <c r="P252">
        <v>0</v>
      </c>
    </row>
    <row r="253" spans="1:16" x14ac:dyDescent="0.3">
      <c r="A253">
        <v>1525</v>
      </c>
      <c r="B253" t="s">
        <v>291</v>
      </c>
      <c r="C253" s="2">
        <v>87300</v>
      </c>
      <c r="D253">
        <v>31</v>
      </c>
      <c r="E253" s="2">
        <v>3325520</v>
      </c>
      <c r="F253">
        <v>38.049999999999997</v>
      </c>
      <c r="G253">
        <v>38.200000000000003</v>
      </c>
      <c r="H253">
        <v>37.9</v>
      </c>
      <c r="I253">
        <v>38.200000000000003</v>
      </c>
      <c r="J253" t="s">
        <v>7</v>
      </c>
      <c r="K253">
        <v>0.05</v>
      </c>
      <c r="L253">
        <v>38.1</v>
      </c>
      <c r="M253">
        <v>8</v>
      </c>
      <c r="N253">
        <v>38.200000000000003</v>
      </c>
      <c r="O253">
        <v>17</v>
      </c>
      <c r="P253">
        <v>9.74</v>
      </c>
    </row>
    <row r="254" spans="1:16" x14ac:dyDescent="0.3">
      <c r="A254">
        <v>1526</v>
      </c>
      <c r="B254" t="s">
        <v>292</v>
      </c>
      <c r="C254" s="2">
        <v>23000</v>
      </c>
      <c r="D254">
        <v>11</v>
      </c>
      <c r="E254" s="2">
        <v>174340</v>
      </c>
      <c r="F254">
        <v>7.51</v>
      </c>
      <c r="G254">
        <v>7.65</v>
      </c>
      <c r="H254">
        <v>7.51</v>
      </c>
      <c r="I254">
        <v>7.6</v>
      </c>
      <c r="J254" t="s">
        <v>7</v>
      </c>
      <c r="K254">
        <v>0.05</v>
      </c>
      <c r="L254">
        <v>7.6</v>
      </c>
      <c r="M254">
        <v>9</v>
      </c>
      <c r="N254">
        <v>7.62</v>
      </c>
      <c r="O254">
        <v>5</v>
      </c>
      <c r="P254">
        <v>16.52</v>
      </c>
    </row>
    <row r="255" spans="1:16" x14ac:dyDescent="0.3">
      <c r="A255">
        <v>1527</v>
      </c>
      <c r="B255" t="s">
        <v>293</v>
      </c>
      <c r="C255" s="2">
        <v>2136522</v>
      </c>
      <c r="D255">
        <v>889</v>
      </c>
      <c r="E255" s="2">
        <v>54486516</v>
      </c>
      <c r="F255">
        <v>25</v>
      </c>
      <c r="G255">
        <v>26</v>
      </c>
      <c r="H255">
        <v>24.65</v>
      </c>
      <c r="I255">
        <v>25.9</v>
      </c>
      <c r="J255" t="s">
        <v>10</v>
      </c>
      <c r="K255">
        <v>0.95</v>
      </c>
      <c r="L255">
        <v>25.9</v>
      </c>
      <c r="M255">
        <v>13</v>
      </c>
      <c r="N255">
        <v>25.95</v>
      </c>
      <c r="O255">
        <v>23</v>
      </c>
      <c r="P255">
        <v>11.77</v>
      </c>
    </row>
    <row r="256" spans="1:16" x14ac:dyDescent="0.3">
      <c r="A256">
        <v>1528</v>
      </c>
      <c r="B256" t="s">
        <v>294</v>
      </c>
      <c r="C256" s="2">
        <v>783977</v>
      </c>
      <c r="D256">
        <v>180</v>
      </c>
      <c r="E256" s="2">
        <v>11789449</v>
      </c>
      <c r="F256">
        <v>14.65</v>
      </c>
      <c r="G256">
        <v>15.3</v>
      </c>
      <c r="H256">
        <v>14.65</v>
      </c>
      <c r="I256">
        <v>15.2</v>
      </c>
      <c r="J256" t="s">
        <v>10</v>
      </c>
      <c r="K256">
        <v>0.55000000000000004</v>
      </c>
      <c r="L256">
        <v>15.2</v>
      </c>
      <c r="M256">
        <v>10</v>
      </c>
      <c r="N256">
        <v>15.25</v>
      </c>
      <c r="O256">
        <v>3</v>
      </c>
      <c r="P256">
        <v>20.54</v>
      </c>
    </row>
    <row r="257" spans="1:16" x14ac:dyDescent="0.3">
      <c r="A257">
        <v>1529</v>
      </c>
      <c r="B257" t="s">
        <v>295</v>
      </c>
      <c r="C257" s="2">
        <v>93000</v>
      </c>
      <c r="D257">
        <v>10</v>
      </c>
      <c r="E257" s="2">
        <v>222910</v>
      </c>
      <c r="F257">
        <v>2.39</v>
      </c>
      <c r="G257">
        <v>2.4</v>
      </c>
      <c r="H257">
        <v>2.39</v>
      </c>
      <c r="I257">
        <v>2.4</v>
      </c>
      <c r="J257" t="s">
        <v>10</v>
      </c>
      <c r="K257">
        <v>0.02</v>
      </c>
      <c r="L257">
        <v>2.35</v>
      </c>
      <c r="M257">
        <v>30</v>
      </c>
      <c r="N257">
        <v>2.4</v>
      </c>
      <c r="O257">
        <v>87</v>
      </c>
      <c r="P257">
        <v>0</v>
      </c>
    </row>
    <row r="258" spans="1:16" x14ac:dyDescent="0.3">
      <c r="A258">
        <v>1530</v>
      </c>
      <c r="B258" t="s">
        <v>296</v>
      </c>
      <c r="C258" s="2">
        <v>5525</v>
      </c>
      <c r="D258">
        <v>7</v>
      </c>
      <c r="E258" s="2">
        <v>168760</v>
      </c>
      <c r="F258">
        <v>30.15</v>
      </c>
      <c r="G258">
        <v>30.7</v>
      </c>
      <c r="H258">
        <v>30.15</v>
      </c>
      <c r="I258">
        <v>30.7</v>
      </c>
      <c r="J258" t="s">
        <v>10</v>
      </c>
      <c r="K258">
        <v>0.55000000000000004</v>
      </c>
      <c r="L258">
        <v>30.45</v>
      </c>
      <c r="M258">
        <v>1</v>
      </c>
      <c r="N258">
        <v>30.7</v>
      </c>
      <c r="O258">
        <v>2</v>
      </c>
      <c r="P258">
        <v>10.44</v>
      </c>
    </row>
    <row r="259" spans="1:16" x14ac:dyDescent="0.3">
      <c r="A259">
        <v>1531</v>
      </c>
      <c r="B259" t="s">
        <v>297</v>
      </c>
      <c r="C259" s="2">
        <v>775270</v>
      </c>
      <c r="D259">
        <v>376</v>
      </c>
      <c r="E259" s="2">
        <v>17403770</v>
      </c>
      <c r="F259">
        <v>23</v>
      </c>
      <c r="G259">
        <v>23</v>
      </c>
      <c r="H259">
        <v>22</v>
      </c>
      <c r="I259">
        <v>22.45</v>
      </c>
      <c r="J259" t="s">
        <v>10</v>
      </c>
      <c r="K259">
        <v>0.9</v>
      </c>
      <c r="L259">
        <v>22.4</v>
      </c>
      <c r="M259">
        <v>7</v>
      </c>
      <c r="N259">
        <v>22.45</v>
      </c>
      <c r="O259">
        <v>15</v>
      </c>
      <c r="P259">
        <v>12.27</v>
      </c>
    </row>
    <row r="260" spans="1:16" x14ac:dyDescent="0.3">
      <c r="A260">
        <v>1532</v>
      </c>
      <c r="B260" t="s">
        <v>298</v>
      </c>
      <c r="C260" s="2">
        <v>1308635</v>
      </c>
      <c r="D260">
        <v>602</v>
      </c>
      <c r="E260" s="2">
        <v>50022367</v>
      </c>
      <c r="F260">
        <v>37.450000000000003</v>
      </c>
      <c r="G260">
        <v>38.5</v>
      </c>
      <c r="H260">
        <v>37.4</v>
      </c>
      <c r="I260">
        <v>38.5</v>
      </c>
      <c r="J260" t="s">
        <v>10</v>
      </c>
      <c r="K260">
        <v>1.1000000000000001</v>
      </c>
      <c r="L260">
        <v>38.4</v>
      </c>
      <c r="M260">
        <v>1</v>
      </c>
      <c r="N260">
        <v>38.5</v>
      </c>
      <c r="O260">
        <v>10</v>
      </c>
      <c r="P260">
        <v>19.95</v>
      </c>
    </row>
    <row r="261" spans="1:16" x14ac:dyDescent="0.3">
      <c r="A261">
        <v>1533</v>
      </c>
      <c r="B261" t="s">
        <v>299</v>
      </c>
      <c r="C261" s="2">
        <v>37558</v>
      </c>
      <c r="D261">
        <v>23</v>
      </c>
      <c r="E261" s="2">
        <v>614461</v>
      </c>
      <c r="F261">
        <v>16.45</v>
      </c>
      <c r="G261">
        <v>16.5</v>
      </c>
      <c r="H261">
        <v>16.3</v>
      </c>
      <c r="I261">
        <v>16.350000000000001</v>
      </c>
      <c r="J261" t="s">
        <v>10</v>
      </c>
      <c r="K261">
        <v>0.05</v>
      </c>
      <c r="L261">
        <v>16.350000000000001</v>
      </c>
      <c r="M261">
        <v>1</v>
      </c>
      <c r="N261">
        <v>16.5</v>
      </c>
      <c r="O261">
        <v>11</v>
      </c>
      <c r="P261">
        <v>16.190000000000001</v>
      </c>
    </row>
    <row r="262" spans="1:16" x14ac:dyDescent="0.3">
      <c r="A262">
        <v>1535</v>
      </c>
      <c r="B262" t="s">
        <v>300</v>
      </c>
      <c r="C262" s="2">
        <v>534582</v>
      </c>
      <c r="D262">
        <v>361</v>
      </c>
      <c r="E262" s="2">
        <v>44136269</v>
      </c>
      <c r="F262">
        <v>80.5</v>
      </c>
      <c r="G262">
        <v>83</v>
      </c>
      <c r="H262">
        <v>80.5</v>
      </c>
      <c r="I262">
        <v>82.9</v>
      </c>
      <c r="J262" t="s">
        <v>10</v>
      </c>
      <c r="K262">
        <v>2.4</v>
      </c>
      <c r="L262">
        <v>82.9</v>
      </c>
      <c r="M262">
        <v>15</v>
      </c>
      <c r="N262">
        <v>83</v>
      </c>
      <c r="O262">
        <v>23</v>
      </c>
      <c r="P262">
        <v>15.55</v>
      </c>
    </row>
    <row r="263" spans="1:16" x14ac:dyDescent="0.3">
      <c r="A263">
        <v>1536</v>
      </c>
      <c r="B263" t="s">
        <v>301</v>
      </c>
      <c r="C263" s="2">
        <v>3211951</v>
      </c>
      <c r="D263" s="2">
        <v>1316</v>
      </c>
      <c r="E263" s="2">
        <v>83471327</v>
      </c>
      <c r="F263">
        <v>25.6</v>
      </c>
      <c r="G263">
        <v>26.75</v>
      </c>
      <c r="H263">
        <v>25.3</v>
      </c>
      <c r="I263">
        <v>26.6</v>
      </c>
      <c r="J263" t="s">
        <v>10</v>
      </c>
      <c r="K263">
        <v>1.35</v>
      </c>
      <c r="L263">
        <v>26.6</v>
      </c>
      <c r="M263">
        <v>29</v>
      </c>
      <c r="N263">
        <v>26.65</v>
      </c>
      <c r="O263">
        <v>53</v>
      </c>
      <c r="P263">
        <v>17.16</v>
      </c>
    </row>
    <row r="264" spans="1:16" x14ac:dyDescent="0.3">
      <c r="A264">
        <v>1537</v>
      </c>
      <c r="B264" t="s">
        <v>302</v>
      </c>
      <c r="C264" s="2">
        <v>651726</v>
      </c>
      <c r="D264">
        <v>372</v>
      </c>
      <c r="E264" s="2">
        <v>49648346</v>
      </c>
      <c r="F264">
        <v>75.099999999999994</v>
      </c>
      <c r="G264">
        <v>76.5</v>
      </c>
      <c r="H264">
        <v>74.8</v>
      </c>
      <c r="I264">
        <v>76.5</v>
      </c>
      <c r="J264" t="s">
        <v>10</v>
      </c>
      <c r="K264">
        <v>1.4</v>
      </c>
      <c r="L264">
        <v>76.400000000000006</v>
      </c>
      <c r="M264">
        <v>2</v>
      </c>
      <c r="N264">
        <v>76.5</v>
      </c>
      <c r="O264">
        <v>1</v>
      </c>
      <c r="P264">
        <v>8.76</v>
      </c>
    </row>
    <row r="265" spans="1:16" x14ac:dyDescent="0.3">
      <c r="A265">
        <v>1538</v>
      </c>
      <c r="B265" t="s">
        <v>303</v>
      </c>
      <c r="C265" s="2">
        <v>144000</v>
      </c>
      <c r="D265">
        <v>72</v>
      </c>
      <c r="E265" s="2">
        <v>1838650</v>
      </c>
      <c r="F265">
        <v>12.4</v>
      </c>
      <c r="G265">
        <v>12.95</v>
      </c>
      <c r="H265">
        <v>12.4</v>
      </c>
      <c r="I265">
        <v>12.75</v>
      </c>
      <c r="J265" t="s">
        <v>10</v>
      </c>
      <c r="K265">
        <v>0.1</v>
      </c>
      <c r="L265">
        <v>12.75</v>
      </c>
      <c r="M265">
        <v>8</v>
      </c>
      <c r="N265">
        <v>12.8</v>
      </c>
      <c r="O265">
        <v>10</v>
      </c>
      <c r="P265">
        <v>0</v>
      </c>
    </row>
    <row r="266" spans="1:16" x14ac:dyDescent="0.3">
      <c r="A266">
        <v>1539</v>
      </c>
      <c r="B266" t="s">
        <v>304</v>
      </c>
      <c r="C266" s="2">
        <v>140030</v>
      </c>
      <c r="D266">
        <v>53</v>
      </c>
      <c r="E266" s="2">
        <v>1458461</v>
      </c>
      <c r="F266">
        <v>10.1</v>
      </c>
      <c r="G266">
        <v>10.65</v>
      </c>
      <c r="H266">
        <v>10.050000000000001</v>
      </c>
      <c r="I266">
        <v>10.5</v>
      </c>
      <c r="J266" t="s">
        <v>10</v>
      </c>
      <c r="K266">
        <v>0.51</v>
      </c>
      <c r="L266">
        <v>10.3</v>
      </c>
      <c r="M266">
        <v>1</v>
      </c>
      <c r="N266">
        <v>10.5</v>
      </c>
      <c r="O266">
        <v>4</v>
      </c>
      <c r="P266">
        <v>22.83</v>
      </c>
    </row>
    <row r="267" spans="1:16" x14ac:dyDescent="0.3">
      <c r="A267">
        <v>1540</v>
      </c>
      <c r="B267" t="s">
        <v>305</v>
      </c>
      <c r="C267" s="2">
        <v>21820</v>
      </c>
      <c r="D267">
        <v>23</v>
      </c>
      <c r="E267" s="2">
        <v>383417</v>
      </c>
      <c r="F267">
        <v>17.600000000000001</v>
      </c>
      <c r="G267">
        <v>17.7</v>
      </c>
      <c r="H267">
        <v>17.5</v>
      </c>
      <c r="I267">
        <v>17.55</v>
      </c>
      <c r="J267" t="s">
        <v>7</v>
      </c>
      <c r="K267">
        <v>0.05</v>
      </c>
      <c r="L267">
        <v>17.55</v>
      </c>
      <c r="M267">
        <v>5</v>
      </c>
      <c r="N267">
        <v>17.7</v>
      </c>
      <c r="O267">
        <v>1</v>
      </c>
      <c r="P267">
        <v>15.81</v>
      </c>
    </row>
    <row r="268" spans="1:16" x14ac:dyDescent="0.3">
      <c r="A268">
        <v>1541</v>
      </c>
      <c r="B268" t="s">
        <v>306</v>
      </c>
      <c r="C268" s="2">
        <v>108000</v>
      </c>
      <c r="D268">
        <v>74</v>
      </c>
      <c r="E268" s="2">
        <v>1129400</v>
      </c>
      <c r="F268">
        <v>10.5</v>
      </c>
      <c r="G268">
        <v>10.6</v>
      </c>
      <c r="H268">
        <v>10.4</v>
      </c>
      <c r="I268">
        <v>10.55</v>
      </c>
      <c r="K268">
        <v>0</v>
      </c>
      <c r="L268">
        <v>10.55</v>
      </c>
      <c r="M268">
        <v>2</v>
      </c>
      <c r="N268">
        <v>10.65</v>
      </c>
      <c r="O268">
        <v>6</v>
      </c>
      <c r="P268">
        <v>0</v>
      </c>
    </row>
    <row r="269" spans="1:16" x14ac:dyDescent="0.3">
      <c r="A269">
        <v>1560</v>
      </c>
      <c r="B269" t="s">
        <v>307</v>
      </c>
      <c r="C269" s="2">
        <v>749216</v>
      </c>
      <c r="D269">
        <v>433</v>
      </c>
      <c r="E269" s="2">
        <v>36980985</v>
      </c>
      <c r="F269">
        <v>49.1</v>
      </c>
      <c r="G269">
        <v>49.6</v>
      </c>
      <c r="H269">
        <v>49.1</v>
      </c>
      <c r="I269">
        <v>49.25</v>
      </c>
      <c r="J269" t="s">
        <v>145</v>
      </c>
      <c r="K269">
        <v>0</v>
      </c>
      <c r="L269">
        <v>49.25</v>
      </c>
      <c r="M269">
        <v>10</v>
      </c>
      <c r="N269">
        <v>49.3</v>
      </c>
      <c r="O269">
        <v>174</v>
      </c>
      <c r="P269">
        <v>14.83</v>
      </c>
    </row>
    <row r="270" spans="1:16" x14ac:dyDescent="0.3">
      <c r="A270">
        <v>1582</v>
      </c>
      <c r="B270" t="s">
        <v>308</v>
      </c>
      <c r="C270" s="2">
        <v>336151</v>
      </c>
      <c r="D270">
        <v>220</v>
      </c>
      <c r="E270" s="2">
        <v>17574118</v>
      </c>
      <c r="F270">
        <v>52</v>
      </c>
      <c r="G270">
        <v>52.8</v>
      </c>
      <c r="H270">
        <v>51.8</v>
      </c>
      <c r="I270">
        <v>52.6</v>
      </c>
      <c r="J270" t="s">
        <v>10</v>
      </c>
      <c r="K270">
        <v>0.7</v>
      </c>
      <c r="L270">
        <v>52.6</v>
      </c>
      <c r="M270">
        <v>8</v>
      </c>
      <c r="N270">
        <v>52.7</v>
      </c>
      <c r="O270">
        <v>37</v>
      </c>
      <c r="P270">
        <v>11.17</v>
      </c>
    </row>
    <row r="271" spans="1:16" x14ac:dyDescent="0.3">
      <c r="A271">
        <v>1583</v>
      </c>
      <c r="B271" t="s">
        <v>309</v>
      </c>
      <c r="C271" s="2">
        <v>16000</v>
      </c>
      <c r="D271">
        <v>10</v>
      </c>
      <c r="E271" s="2">
        <v>642200</v>
      </c>
      <c r="F271">
        <v>40.5</v>
      </c>
      <c r="G271">
        <v>40.5</v>
      </c>
      <c r="H271">
        <v>40</v>
      </c>
      <c r="I271">
        <v>40.1</v>
      </c>
      <c r="K271">
        <v>0</v>
      </c>
      <c r="L271">
        <v>40.1</v>
      </c>
      <c r="M271">
        <v>3</v>
      </c>
      <c r="N271">
        <v>40.450000000000003</v>
      </c>
      <c r="O271">
        <v>2</v>
      </c>
      <c r="P271">
        <v>9.93</v>
      </c>
    </row>
    <row r="272" spans="1:16" x14ac:dyDescent="0.3">
      <c r="A272">
        <v>1589</v>
      </c>
      <c r="B272" t="s">
        <v>310</v>
      </c>
      <c r="C272" s="2">
        <v>920188</v>
      </c>
      <c r="D272">
        <v>187</v>
      </c>
      <c r="E272" s="2">
        <v>35305387</v>
      </c>
      <c r="F272">
        <v>39.4</v>
      </c>
      <c r="G272">
        <v>39.450000000000003</v>
      </c>
      <c r="H272">
        <v>39</v>
      </c>
      <c r="I272">
        <v>39</v>
      </c>
      <c r="J272" t="s">
        <v>7</v>
      </c>
      <c r="K272">
        <v>0.4</v>
      </c>
      <c r="L272">
        <v>38.950000000000003</v>
      </c>
      <c r="M272">
        <v>23</v>
      </c>
      <c r="N272">
        <v>39.15</v>
      </c>
      <c r="O272">
        <v>5</v>
      </c>
      <c r="P272">
        <v>10.74</v>
      </c>
    </row>
    <row r="273" spans="1:16" x14ac:dyDescent="0.3">
      <c r="A273">
        <v>1590</v>
      </c>
      <c r="B273" t="s">
        <v>311</v>
      </c>
      <c r="C273" s="2">
        <v>205130</v>
      </c>
      <c r="D273">
        <v>193</v>
      </c>
      <c r="E273" s="2">
        <v>29923980</v>
      </c>
      <c r="F273">
        <v>143</v>
      </c>
      <c r="G273">
        <v>147.5</v>
      </c>
      <c r="H273">
        <v>143</v>
      </c>
      <c r="I273">
        <v>147</v>
      </c>
      <c r="J273" t="s">
        <v>10</v>
      </c>
      <c r="K273">
        <v>4</v>
      </c>
      <c r="L273">
        <v>146.5</v>
      </c>
      <c r="M273">
        <v>2</v>
      </c>
      <c r="N273">
        <v>147</v>
      </c>
      <c r="O273">
        <v>2</v>
      </c>
      <c r="P273">
        <v>19.5</v>
      </c>
    </row>
    <row r="274" spans="1:16" x14ac:dyDescent="0.3">
      <c r="A274">
        <v>1603</v>
      </c>
      <c r="B274" t="s">
        <v>312</v>
      </c>
      <c r="C274" s="2">
        <v>381800</v>
      </c>
      <c r="D274">
        <v>122</v>
      </c>
      <c r="E274" s="2">
        <v>4873268</v>
      </c>
      <c r="F274">
        <v>12.7</v>
      </c>
      <c r="G274">
        <v>12.9</v>
      </c>
      <c r="H274">
        <v>12.7</v>
      </c>
      <c r="I274">
        <v>12.75</v>
      </c>
      <c r="J274" t="s">
        <v>7</v>
      </c>
      <c r="K274">
        <v>0.05</v>
      </c>
      <c r="L274">
        <v>12.75</v>
      </c>
      <c r="M274">
        <v>2</v>
      </c>
      <c r="N274">
        <v>12.8</v>
      </c>
      <c r="O274">
        <v>29</v>
      </c>
      <c r="P274">
        <v>11.09</v>
      </c>
    </row>
    <row r="275" spans="1:16" x14ac:dyDescent="0.3">
      <c r="A275">
        <v>1604</v>
      </c>
      <c r="B275" t="s">
        <v>313</v>
      </c>
      <c r="C275" s="2">
        <v>776113</v>
      </c>
      <c r="D275">
        <v>217</v>
      </c>
      <c r="E275" s="2">
        <v>7908589</v>
      </c>
      <c r="F275">
        <v>10.199999999999999</v>
      </c>
      <c r="G275">
        <v>10.25</v>
      </c>
      <c r="H275">
        <v>10.15</v>
      </c>
      <c r="I275">
        <v>10.25</v>
      </c>
      <c r="J275" t="s">
        <v>10</v>
      </c>
      <c r="K275">
        <v>0.1</v>
      </c>
      <c r="L275">
        <v>10.199999999999999</v>
      </c>
      <c r="M275">
        <v>102</v>
      </c>
      <c r="N275">
        <v>10.25</v>
      </c>
      <c r="O275">
        <v>367</v>
      </c>
      <c r="P275">
        <v>12.35</v>
      </c>
    </row>
    <row r="276" spans="1:16" x14ac:dyDescent="0.3">
      <c r="A276">
        <v>1605</v>
      </c>
      <c r="B276" t="s">
        <v>314</v>
      </c>
      <c r="C276" s="2">
        <v>25280715</v>
      </c>
      <c r="D276" s="2">
        <v>4183</v>
      </c>
      <c r="E276" s="2">
        <v>221104030</v>
      </c>
      <c r="F276">
        <v>8.51</v>
      </c>
      <c r="G276">
        <v>8.84</v>
      </c>
      <c r="H276">
        <v>8.4600000000000009</v>
      </c>
      <c r="I276">
        <v>8.74</v>
      </c>
      <c r="J276" t="s">
        <v>10</v>
      </c>
      <c r="K276">
        <v>0.23</v>
      </c>
      <c r="L276">
        <v>8.74</v>
      </c>
      <c r="M276">
        <v>52</v>
      </c>
      <c r="N276">
        <v>8.75</v>
      </c>
      <c r="O276">
        <v>11</v>
      </c>
      <c r="P276">
        <v>0</v>
      </c>
    </row>
    <row r="277" spans="1:16" x14ac:dyDescent="0.3">
      <c r="A277">
        <v>1608</v>
      </c>
      <c r="B277" t="s">
        <v>315</v>
      </c>
      <c r="C277" s="2">
        <v>1279733</v>
      </c>
      <c r="D277">
        <v>287</v>
      </c>
      <c r="E277" s="2">
        <v>14654451</v>
      </c>
      <c r="F277">
        <v>11.4</v>
      </c>
      <c r="G277">
        <v>11.6</v>
      </c>
      <c r="H277">
        <v>11.35</v>
      </c>
      <c r="I277">
        <v>11.5</v>
      </c>
      <c r="J277" t="s">
        <v>10</v>
      </c>
      <c r="K277">
        <v>0.1</v>
      </c>
      <c r="L277">
        <v>11.5</v>
      </c>
      <c r="M277">
        <v>3</v>
      </c>
      <c r="N277">
        <v>11.55</v>
      </c>
      <c r="O277">
        <v>48</v>
      </c>
      <c r="P277">
        <v>9.75</v>
      </c>
    </row>
    <row r="278" spans="1:16" x14ac:dyDescent="0.3">
      <c r="A278">
        <v>1609</v>
      </c>
      <c r="B278" t="s">
        <v>316</v>
      </c>
      <c r="C278" s="2">
        <v>461413</v>
      </c>
      <c r="D278">
        <v>131</v>
      </c>
      <c r="E278" s="2">
        <v>3199433</v>
      </c>
      <c r="F278">
        <v>6.91</v>
      </c>
      <c r="G278">
        <v>6.96</v>
      </c>
      <c r="H278">
        <v>6.87</v>
      </c>
      <c r="I278">
        <v>6.95</v>
      </c>
      <c r="J278" t="s">
        <v>10</v>
      </c>
      <c r="K278">
        <v>0.08</v>
      </c>
      <c r="L278">
        <v>6.93</v>
      </c>
      <c r="M278">
        <v>20</v>
      </c>
      <c r="N278">
        <v>6.95</v>
      </c>
      <c r="O278">
        <v>5</v>
      </c>
      <c r="P278">
        <v>99.29</v>
      </c>
    </row>
    <row r="279" spans="1:16" x14ac:dyDescent="0.3">
      <c r="A279">
        <v>1611</v>
      </c>
      <c r="B279" t="s">
        <v>317</v>
      </c>
      <c r="C279" s="2">
        <v>160266</v>
      </c>
      <c r="D279">
        <v>56</v>
      </c>
      <c r="E279" s="2">
        <v>2390025</v>
      </c>
      <c r="F279">
        <v>15</v>
      </c>
      <c r="G279">
        <v>15</v>
      </c>
      <c r="H279">
        <v>14.85</v>
      </c>
      <c r="I279">
        <v>14.95</v>
      </c>
      <c r="J279" t="s">
        <v>7</v>
      </c>
      <c r="K279">
        <v>0.05</v>
      </c>
      <c r="L279">
        <v>14.9</v>
      </c>
      <c r="M279">
        <v>25</v>
      </c>
      <c r="N279">
        <v>14.95</v>
      </c>
      <c r="O279">
        <v>8</v>
      </c>
      <c r="P279">
        <v>149.5</v>
      </c>
    </row>
    <row r="280" spans="1:16" x14ac:dyDescent="0.3">
      <c r="A280">
        <v>1612</v>
      </c>
      <c r="B280" t="s">
        <v>318</v>
      </c>
      <c r="C280" s="2">
        <v>54000</v>
      </c>
      <c r="D280">
        <v>37</v>
      </c>
      <c r="E280" s="2">
        <v>513500</v>
      </c>
      <c r="F280">
        <v>9.4600000000000009</v>
      </c>
      <c r="G280">
        <v>9.59</v>
      </c>
      <c r="H280">
        <v>9.4600000000000009</v>
      </c>
      <c r="I280">
        <v>9.5500000000000007</v>
      </c>
      <c r="J280" t="s">
        <v>10</v>
      </c>
      <c r="K280">
        <v>0.09</v>
      </c>
      <c r="L280">
        <v>9.51</v>
      </c>
      <c r="M280">
        <v>15</v>
      </c>
      <c r="N280">
        <v>9.5500000000000007</v>
      </c>
      <c r="O280">
        <v>2</v>
      </c>
      <c r="P280">
        <v>0</v>
      </c>
    </row>
    <row r="281" spans="1:16" x14ac:dyDescent="0.3">
      <c r="A281">
        <v>1613</v>
      </c>
      <c r="B281" t="s">
        <v>319</v>
      </c>
      <c r="C281" s="2">
        <v>358392</v>
      </c>
      <c r="D281">
        <v>115</v>
      </c>
      <c r="E281" s="2">
        <v>1829686</v>
      </c>
      <c r="F281">
        <v>5</v>
      </c>
      <c r="G281">
        <v>5.18</v>
      </c>
      <c r="H281">
        <v>5</v>
      </c>
      <c r="I281">
        <v>5.12</v>
      </c>
      <c r="J281" t="s">
        <v>10</v>
      </c>
      <c r="K281">
        <v>0.12</v>
      </c>
      <c r="L281">
        <v>5.12</v>
      </c>
      <c r="M281">
        <v>2</v>
      </c>
      <c r="N281">
        <v>5.14</v>
      </c>
      <c r="O281">
        <v>2</v>
      </c>
      <c r="P281">
        <v>0</v>
      </c>
    </row>
    <row r="282" spans="1:16" x14ac:dyDescent="0.3">
      <c r="A282">
        <v>1614</v>
      </c>
      <c r="B282" t="s">
        <v>320</v>
      </c>
      <c r="C282" s="2">
        <v>1068000</v>
      </c>
      <c r="D282">
        <v>255</v>
      </c>
      <c r="E282" s="2">
        <v>38185850</v>
      </c>
      <c r="F282">
        <v>36.5</v>
      </c>
      <c r="G282">
        <v>36.5</v>
      </c>
      <c r="H282">
        <v>35.6</v>
      </c>
      <c r="I282">
        <v>35.65</v>
      </c>
      <c r="J282" t="s">
        <v>7</v>
      </c>
      <c r="K282">
        <v>0.7</v>
      </c>
      <c r="L282">
        <v>35.65</v>
      </c>
      <c r="M282">
        <v>1</v>
      </c>
      <c r="N282">
        <v>35.700000000000003</v>
      </c>
      <c r="O282">
        <v>15</v>
      </c>
      <c r="P282">
        <v>46.3</v>
      </c>
    </row>
    <row r="283" spans="1:16" x14ac:dyDescent="0.3">
      <c r="A283">
        <v>1615</v>
      </c>
      <c r="B283" t="s">
        <v>321</v>
      </c>
      <c r="C283" s="2">
        <v>22000</v>
      </c>
      <c r="D283">
        <v>11</v>
      </c>
      <c r="E283" s="2">
        <v>227200</v>
      </c>
      <c r="F283">
        <v>10.25</v>
      </c>
      <c r="G283">
        <v>10.35</v>
      </c>
      <c r="H283">
        <v>10.199999999999999</v>
      </c>
      <c r="I283">
        <v>10.35</v>
      </c>
      <c r="J283" t="s">
        <v>10</v>
      </c>
      <c r="K283">
        <v>0.15</v>
      </c>
      <c r="L283">
        <v>10.35</v>
      </c>
      <c r="M283">
        <v>1</v>
      </c>
      <c r="N283">
        <v>10.4</v>
      </c>
      <c r="O283">
        <v>4</v>
      </c>
      <c r="P283">
        <v>18.48</v>
      </c>
    </row>
    <row r="284" spans="1:16" x14ac:dyDescent="0.3">
      <c r="A284">
        <v>1616</v>
      </c>
      <c r="B284" t="s">
        <v>322</v>
      </c>
      <c r="C284" s="2">
        <v>202876</v>
      </c>
      <c r="D284">
        <v>33</v>
      </c>
      <c r="E284" s="2">
        <v>1143313</v>
      </c>
      <c r="F284">
        <v>5.66</v>
      </c>
      <c r="G284">
        <v>5.66</v>
      </c>
      <c r="H284">
        <v>5.61</v>
      </c>
      <c r="I284">
        <v>5.65</v>
      </c>
      <c r="J284" t="s">
        <v>7</v>
      </c>
      <c r="K284">
        <v>0.02</v>
      </c>
      <c r="L284">
        <v>5.64</v>
      </c>
      <c r="M284">
        <v>1</v>
      </c>
      <c r="N284">
        <v>5.65</v>
      </c>
      <c r="O284">
        <v>20</v>
      </c>
      <c r="P284">
        <v>18.829999999999998</v>
      </c>
    </row>
    <row r="285" spans="1:16" x14ac:dyDescent="0.3">
      <c r="A285">
        <v>1617</v>
      </c>
      <c r="B285" t="s">
        <v>323</v>
      </c>
      <c r="C285" s="2">
        <v>8000</v>
      </c>
      <c r="D285">
        <v>6</v>
      </c>
      <c r="E285" s="2">
        <v>78320</v>
      </c>
      <c r="F285">
        <v>9.8000000000000007</v>
      </c>
      <c r="G285">
        <v>9.8000000000000007</v>
      </c>
      <c r="H285">
        <v>9.7200000000000006</v>
      </c>
      <c r="I285">
        <v>9.7200000000000006</v>
      </c>
      <c r="J285" t="s">
        <v>7</v>
      </c>
      <c r="K285">
        <v>0.13</v>
      </c>
      <c r="L285">
        <v>9.7200000000000006</v>
      </c>
      <c r="M285">
        <v>2</v>
      </c>
      <c r="N285">
        <v>9.8000000000000007</v>
      </c>
      <c r="O285">
        <v>2</v>
      </c>
      <c r="P285">
        <v>0</v>
      </c>
    </row>
    <row r="286" spans="1:16" x14ac:dyDescent="0.3">
      <c r="A286">
        <v>1618</v>
      </c>
      <c r="B286" t="s">
        <v>324</v>
      </c>
      <c r="C286" s="2">
        <v>236930</v>
      </c>
      <c r="D286">
        <v>91</v>
      </c>
      <c r="E286" s="2">
        <v>2540844</v>
      </c>
      <c r="F286">
        <v>10.75</v>
      </c>
      <c r="G286">
        <v>10.8</v>
      </c>
      <c r="H286">
        <v>10.7</v>
      </c>
      <c r="I286">
        <v>10.8</v>
      </c>
      <c r="K286">
        <v>0</v>
      </c>
      <c r="L286">
        <v>10.75</v>
      </c>
      <c r="M286">
        <v>17</v>
      </c>
      <c r="N286">
        <v>10.8</v>
      </c>
      <c r="O286">
        <v>24</v>
      </c>
      <c r="P286">
        <v>8.7100000000000009</v>
      </c>
    </row>
    <row r="287" spans="1:16" x14ac:dyDescent="0.3">
      <c r="A287">
        <v>1626</v>
      </c>
      <c r="B287" t="s">
        <v>325</v>
      </c>
      <c r="C287" s="2">
        <v>51000</v>
      </c>
      <c r="D287">
        <v>35</v>
      </c>
      <c r="E287" s="2">
        <v>3581100</v>
      </c>
      <c r="F287">
        <v>70.2</v>
      </c>
      <c r="G287">
        <v>70.400000000000006</v>
      </c>
      <c r="H287">
        <v>70</v>
      </c>
      <c r="I287">
        <v>70.2</v>
      </c>
      <c r="J287" t="s">
        <v>10</v>
      </c>
      <c r="K287">
        <v>0.2</v>
      </c>
      <c r="L287">
        <v>70</v>
      </c>
      <c r="M287">
        <v>11</v>
      </c>
      <c r="N287">
        <v>70.2</v>
      </c>
      <c r="O287">
        <v>2</v>
      </c>
      <c r="P287">
        <v>17.329999999999998</v>
      </c>
    </row>
    <row r="288" spans="1:16" x14ac:dyDescent="0.3">
      <c r="A288">
        <v>1701</v>
      </c>
      <c r="B288" t="s">
        <v>326</v>
      </c>
      <c r="C288" s="2">
        <v>943268</v>
      </c>
      <c r="D288">
        <v>444</v>
      </c>
      <c r="E288" s="2">
        <v>19069962</v>
      </c>
      <c r="F288">
        <v>20</v>
      </c>
      <c r="G288">
        <v>20.3</v>
      </c>
      <c r="H288">
        <v>20</v>
      </c>
      <c r="I288">
        <v>20.3</v>
      </c>
      <c r="J288" t="s">
        <v>10</v>
      </c>
      <c r="K288">
        <v>0.4</v>
      </c>
      <c r="L288">
        <v>20.25</v>
      </c>
      <c r="M288">
        <v>66</v>
      </c>
      <c r="N288">
        <v>20.3</v>
      </c>
      <c r="O288">
        <v>12</v>
      </c>
      <c r="P288">
        <v>23.07</v>
      </c>
    </row>
    <row r="289" spans="1:16" x14ac:dyDescent="0.3">
      <c r="A289">
        <v>1702</v>
      </c>
      <c r="B289" t="s">
        <v>327</v>
      </c>
      <c r="C289" s="2">
        <v>2441099</v>
      </c>
      <c r="D289" s="2">
        <v>1094</v>
      </c>
      <c r="E289" s="2">
        <v>84758415</v>
      </c>
      <c r="F289">
        <v>34.4</v>
      </c>
      <c r="G289">
        <v>35.299999999999997</v>
      </c>
      <c r="H289">
        <v>34</v>
      </c>
      <c r="I289">
        <v>35</v>
      </c>
      <c r="J289" t="s">
        <v>10</v>
      </c>
      <c r="K289">
        <v>0.9</v>
      </c>
      <c r="L289">
        <v>35</v>
      </c>
      <c r="M289">
        <v>23</v>
      </c>
      <c r="N289">
        <v>35.049999999999997</v>
      </c>
      <c r="O289">
        <v>16</v>
      </c>
      <c r="P289">
        <v>16.75</v>
      </c>
    </row>
    <row r="290" spans="1:16" x14ac:dyDescent="0.3">
      <c r="A290">
        <v>1704</v>
      </c>
      <c r="B290" t="s">
        <v>328</v>
      </c>
      <c r="C290" s="2">
        <v>784659</v>
      </c>
      <c r="D290">
        <v>524</v>
      </c>
      <c r="E290" s="2">
        <v>29540608</v>
      </c>
      <c r="F290">
        <v>38</v>
      </c>
      <c r="G290">
        <v>38</v>
      </c>
      <c r="H290">
        <v>37.4</v>
      </c>
      <c r="I290">
        <v>37.4</v>
      </c>
      <c r="J290" t="s">
        <v>7</v>
      </c>
      <c r="K290">
        <v>0.1</v>
      </c>
      <c r="L290">
        <v>37.4</v>
      </c>
      <c r="M290">
        <v>31</v>
      </c>
      <c r="N290">
        <v>37.6</v>
      </c>
      <c r="O290">
        <v>6</v>
      </c>
      <c r="P290">
        <v>42.99</v>
      </c>
    </row>
    <row r="291" spans="1:16" x14ac:dyDescent="0.3">
      <c r="A291">
        <v>1707</v>
      </c>
      <c r="B291" t="s">
        <v>329</v>
      </c>
      <c r="C291" s="2">
        <v>1698891</v>
      </c>
      <c r="D291">
        <v>858</v>
      </c>
      <c r="E291" s="2">
        <v>195885856</v>
      </c>
      <c r="F291">
        <v>111</v>
      </c>
      <c r="G291">
        <v>117</v>
      </c>
      <c r="H291">
        <v>111</v>
      </c>
      <c r="I291">
        <v>116.5</v>
      </c>
      <c r="J291" t="s">
        <v>10</v>
      </c>
      <c r="K291">
        <v>3.5</v>
      </c>
      <c r="L291">
        <v>116.5</v>
      </c>
      <c r="M291">
        <v>3</v>
      </c>
      <c r="N291">
        <v>117</v>
      </c>
      <c r="O291">
        <v>54</v>
      </c>
      <c r="P291">
        <v>23.68</v>
      </c>
    </row>
    <row r="292" spans="1:16" x14ac:dyDescent="0.3">
      <c r="A292">
        <v>1708</v>
      </c>
      <c r="B292" t="s">
        <v>330</v>
      </c>
      <c r="C292" s="2">
        <v>135200</v>
      </c>
      <c r="D292">
        <v>75</v>
      </c>
      <c r="E292" s="2">
        <v>4346639</v>
      </c>
      <c r="F292">
        <v>32.200000000000003</v>
      </c>
      <c r="G292">
        <v>32.299999999999997</v>
      </c>
      <c r="H292">
        <v>32</v>
      </c>
      <c r="I292">
        <v>32.15</v>
      </c>
      <c r="J292" t="s">
        <v>10</v>
      </c>
      <c r="K292">
        <v>0.05</v>
      </c>
      <c r="L292">
        <v>32.15</v>
      </c>
      <c r="M292">
        <v>7</v>
      </c>
      <c r="N292">
        <v>32.299999999999997</v>
      </c>
      <c r="O292">
        <v>11</v>
      </c>
      <c r="P292">
        <v>11.12</v>
      </c>
    </row>
    <row r="293" spans="1:16" x14ac:dyDescent="0.3">
      <c r="A293">
        <v>1709</v>
      </c>
      <c r="B293" t="s">
        <v>331</v>
      </c>
      <c r="C293" s="2">
        <v>120775</v>
      </c>
      <c r="D293">
        <v>58</v>
      </c>
      <c r="E293" s="2">
        <v>1706385</v>
      </c>
      <c r="F293">
        <v>14.05</v>
      </c>
      <c r="G293">
        <v>14.2</v>
      </c>
      <c r="H293">
        <v>14.05</v>
      </c>
      <c r="I293">
        <v>14.15</v>
      </c>
      <c r="J293" t="s">
        <v>10</v>
      </c>
      <c r="K293">
        <v>0.1</v>
      </c>
      <c r="L293">
        <v>14.15</v>
      </c>
      <c r="M293">
        <v>35</v>
      </c>
      <c r="N293">
        <v>14.2</v>
      </c>
      <c r="O293">
        <v>3</v>
      </c>
      <c r="P293">
        <v>15.72</v>
      </c>
    </row>
    <row r="294" spans="1:16" x14ac:dyDescent="0.3">
      <c r="A294">
        <v>1710</v>
      </c>
      <c r="B294" t="s">
        <v>332</v>
      </c>
      <c r="C294" s="2">
        <v>1691266</v>
      </c>
      <c r="D294">
        <v>880</v>
      </c>
      <c r="E294" s="2">
        <v>46678985</v>
      </c>
      <c r="F294">
        <v>27.7</v>
      </c>
      <c r="G294">
        <v>27.7</v>
      </c>
      <c r="H294">
        <v>27.45</v>
      </c>
      <c r="I294">
        <v>27.55</v>
      </c>
      <c r="J294" t="s">
        <v>7</v>
      </c>
      <c r="K294">
        <v>0.2</v>
      </c>
      <c r="L294">
        <v>27.55</v>
      </c>
      <c r="M294">
        <v>130</v>
      </c>
      <c r="N294">
        <v>27.6</v>
      </c>
      <c r="O294">
        <v>82</v>
      </c>
      <c r="P294">
        <v>27.55</v>
      </c>
    </row>
    <row r="295" spans="1:16" x14ac:dyDescent="0.3">
      <c r="A295">
        <v>1711</v>
      </c>
      <c r="B295" t="s">
        <v>333</v>
      </c>
      <c r="C295" s="2">
        <v>440898</v>
      </c>
      <c r="D295">
        <v>239</v>
      </c>
      <c r="E295" s="2">
        <v>9244273</v>
      </c>
      <c r="F295">
        <v>20.8</v>
      </c>
      <c r="G295">
        <v>21.15</v>
      </c>
      <c r="H295">
        <v>20.8</v>
      </c>
      <c r="I295">
        <v>20.9</v>
      </c>
      <c r="J295" t="s">
        <v>10</v>
      </c>
      <c r="K295">
        <v>0.2</v>
      </c>
      <c r="L295">
        <v>20.9</v>
      </c>
      <c r="M295">
        <v>51</v>
      </c>
      <c r="N295">
        <v>21.05</v>
      </c>
      <c r="O295">
        <v>16</v>
      </c>
      <c r="P295">
        <v>19.170000000000002</v>
      </c>
    </row>
    <row r="296" spans="1:16" x14ac:dyDescent="0.3">
      <c r="A296">
        <v>1712</v>
      </c>
      <c r="B296" t="s">
        <v>334</v>
      </c>
      <c r="C296" s="2">
        <v>1448667</v>
      </c>
      <c r="D296">
        <v>509</v>
      </c>
      <c r="E296" s="2">
        <v>21794735</v>
      </c>
      <c r="F296">
        <v>14.85</v>
      </c>
      <c r="G296">
        <v>15.2</v>
      </c>
      <c r="H296">
        <v>14.85</v>
      </c>
      <c r="I296">
        <v>15.15</v>
      </c>
      <c r="J296" t="s">
        <v>10</v>
      </c>
      <c r="K296">
        <v>0.3</v>
      </c>
      <c r="L296">
        <v>15.15</v>
      </c>
      <c r="M296">
        <v>28</v>
      </c>
      <c r="N296">
        <v>15.2</v>
      </c>
      <c r="O296">
        <v>228</v>
      </c>
      <c r="P296">
        <v>11.39</v>
      </c>
    </row>
    <row r="297" spans="1:16" x14ac:dyDescent="0.3">
      <c r="A297">
        <v>1713</v>
      </c>
      <c r="B297" t="s">
        <v>335</v>
      </c>
      <c r="C297" s="2">
        <v>830321</v>
      </c>
      <c r="D297">
        <v>256</v>
      </c>
      <c r="E297" s="2">
        <v>13030037</v>
      </c>
      <c r="F297">
        <v>15.3</v>
      </c>
      <c r="G297">
        <v>15.85</v>
      </c>
      <c r="H297">
        <v>15.3</v>
      </c>
      <c r="I297">
        <v>15.8</v>
      </c>
      <c r="J297" t="s">
        <v>10</v>
      </c>
      <c r="K297">
        <v>0.45</v>
      </c>
      <c r="L297">
        <v>15.75</v>
      </c>
      <c r="M297">
        <v>10</v>
      </c>
      <c r="N297">
        <v>15.8</v>
      </c>
      <c r="O297">
        <v>26</v>
      </c>
      <c r="P297">
        <v>29.26</v>
      </c>
    </row>
    <row r="298" spans="1:16" x14ac:dyDescent="0.3">
      <c r="A298">
        <v>1714</v>
      </c>
      <c r="B298" t="s">
        <v>336</v>
      </c>
      <c r="C298" s="2">
        <v>819265</v>
      </c>
      <c r="D298">
        <v>285</v>
      </c>
      <c r="E298" s="2">
        <v>10689000</v>
      </c>
      <c r="F298">
        <v>13.05</v>
      </c>
      <c r="G298">
        <v>13.1</v>
      </c>
      <c r="H298">
        <v>13</v>
      </c>
      <c r="I298">
        <v>13.1</v>
      </c>
      <c r="J298" t="s">
        <v>10</v>
      </c>
      <c r="K298">
        <v>0.1</v>
      </c>
      <c r="L298">
        <v>13.1</v>
      </c>
      <c r="M298">
        <v>70</v>
      </c>
      <c r="N298">
        <v>13.15</v>
      </c>
      <c r="O298">
        <v>35</v>
      </c>
      <c r="P298">
        <v>23.82</v>
      </c>
    </row>
    <row r="299" spans="1:16" x14ac:dyDescent="0.3">
      <c r="A299">
        <v>1715</v>
      </c>
      <c r="B299" t="s">
        <v>337</v>
      </c>
      <c r="C299" s="2">
        <v>524016</v>
      </c>
      <c r="D299">
        <v>141</v>
      </c>
      <c r="E299" s="2">
        <v>7780684</v>
      </c>
      <c r="F299">
        <v>14.95</v>
      </c>
      <c r="G299">
        <v>14.95</v>
      </c>
      <c r="H299">
        <v>14.7</v>
      </c>
      <c r="I299">
        <v>14.95</v>
      </c>
      <c r="K299">
        <v>0</v>
      </c>
      <c r="L299">
        <v>14.9</v>
      </c>
      <c r="M299">
        <v>1</v>
      </c>
      <c r="N299">
        <v>14.95</v>
      </c>
      <c r="O299">
        <v>150</v>
      </c>
      <c r="P299">
        <v>16.25</v>
      </c>
    </row>
    <row r="300" spans="1:16" x14ac:dyDescent="0.3">
      <c r="A300">
        <v>1717</v>
      </c>
      <c r="B300" t="s">
        <v>338</v>
      </c>
      <c r="C300" s="2">
        <v>1366423</v>
      </c>
      <c r="D300">
        <v>691</v>
      </c>
      <c r="E300" s="2">
        <v>34672333</v>
      </c>
      <c r="F300">
        <v>25.4</v>
      </c>
      <c r="G300">
        <v>25.6</v>
      </c>
      <c r="H300">
        <v>25</v>
      </c>
      <c r="I300">
        <v>25.6</v>
      </c>
      <c r="J300" t="s">
        <v>10</v>
      </c>
      <c r="K300">
        <v>0.15</v>
      </c>
      <c r="L300">
        <v>25.6</v>
      </c>
      <c r="M300">
        <v>7</v>
      </c>
      <c r="N300">
        <v>25.65</v>
      </c>
      <c r="O300">
        <v>57</v>
      </c>
      <c r="P300">
        <v>19.54</v>
      </c>
    </row>
    <row r="301" spans="1:16" x14ac:dyDescent="0.3">
      <c r="A301">
        <v>1718</v>
      </c>
      <c r="B301" t="s">
        <v>339</v>
      </c>
      <c r="C301" s="2">
        <v>1994679</v>
      </c>
      <c r="D301">
        <v>452</v>
      </c>
      <c r="E301" s="2">
        <v>22397287</v>
      </c>
      <c r="F301">
        <v>11.15</v>
      </c>
      <c r="G301">
        <v>11.3</v>
      </c>
      <c r="H301">
        <v>11.15</v>
      </c>
      <c r="I301">
        <v>11.3</v>
      </c>
      <c r="J301" t="s">
        <v>10</v>
      </c>
      <c r="K301">
        <v>0.15</v>
      </c>
      <c r="L301">
        <v>11.25</v>
      </c>
      <c r="M301">
        <v>94</v>
      </c>
      <c r="N301">
        <v>11.3</v>
      </c>
      <c r="O301">
        <v>227</v>
      </c>
      <c r="P301">
        <v>17.940000000000001</v>
      </c>
    </row>
    <row r="302" spans="1:16" x14ac:dyDescent="0.3">
      <c r="A302">
        <v>1720</v>
      </c>
      <c r="B302" t="s">
        <v>340</v>
      </c>
      <c r="C302" s="2">
        <v>7507495</v>
      </c>
      <c r="D302" s="2">
        <v>3019</v>
      </c>
      <c r="E302" s="2">
        <v>263537400</v>
      </c>
      <c r="F302">
        <v>33.799999999999997</v>
      </c>
      <c r="G302">
        <v>35.799999999999997</v>
      </c>
      <c r="H302">
        <v>33.799999999999997</v>
      </c>
      <c r="I302">
        <v>35.6</v>
      </c>
      <c r="J302" t="s">
        <v>10</v>
      </c>
      <c r="K302">
        <v>1.8</v>
      </c>
      <c r="L302">
        <v>35.5</v>
      </c>
      <c r="M302">
        <v>5</v>
      </c>
      <c r="N302">
        <v>35.6</v>
      </c>
      <c r="O302">
        <v>23</v>
      </c>
      <c r="P302">
        <v>19.89</v>
      </c>
    </row>
    <row r="303" spans="1:16" x14ac:dyDescent="0.3">
      <c r="A303">
        <v>1721</v>
      </c>
      <c r="B303" t="s">
        <v>341</v>
      </c>
      <c r="C303" s="2">
        <v>57449</v>
      </c>
      <c r="D303">
        <v>22</v>
      </c>
      <c r="E303" s="2">
        <v>460355</v>
      </c>
      <c r="F303">
        <v>7.98</v>
      </c>
      <c r="G303">
        <v>8.1199999999999992</v>
      </c>
      <c r="H303">
        <v>7.98</v>
      </c>
      <c r="I303">
        <v>8</v>
      </c>
      <c r="J303" t="s">
        <v>10</v>
      </c>
      <c r="K303">
        <v>0.1</v>
      </c>
      <c r="L303">
        <v>8</v>
      </c>
      <c r="M303">
        <v>11</v>
      </c>
      <c r="N303">
        <v>8.08</v>
      </c>
      <c r="O303">
        <v>2</v>
      </c>
      <c r="P303">
        <v>0</v>
      </c>
    </row>
    <row r="304" spans="1:16" x14ac:dyDescent="0.3">
      <c r="A304">
        <v>1722</v>
      </c>
      <c r="B304" t="s">
        <v>342</v>
      </c>
      <c r="C304" s="2">
        <v>2302266</v>
      </c>
      <c r="D304" s="2">
        <v>1130</v>
      </c>
      <c r="E304" s="2">
        <v>166423655</v>
      </c>
      <c r="F304">
        <v>72.400000000000006</v>
      </c>
      <c r="G304">
        <v>72.599999999999994</v>
      </c>
      <c r="H304">
        <v>71.7</v>
      </c>
      <c r="I304">
        <v>72.400000000000006</v>
      </c>
      <c r="K304">
        <v>0</v>
      </c>
      <c r="L304">
        <v>72.400000000000006</v>
      </c>
      <c r="M304">
        <v>87</v>
      </c>
      <c r="N304">
        <v>72.599999999999994</v>
      </c>
      <c r="O304">
        <v>17</v>
      </c>
      <c r="P304">
        <v>13.98</v>
      </c>
    </row>
    <row r="305" spans="1:16" x14ac:dyDescent="0.3">
      <c r="A305">
        <v>1723</v>
      </c>
      <c r="B305" t="s">
        <v>343</v>
      </c>
      <c r="C305" s="2">
        <v>475121</v>
      </c>
      <c r="D305">
        <v>438</v>
      </c>
      <c r="E305" s="2">
        <v>71667824</v>
      </c>
      <c r="F305">
        <v>150</v>
      </c>
      <c r="G305">
        <v>152</v>
      </c>
      <c r="H305">
        <v>149.5</v>
      </c>
      <c r="I305">
        <v>152</v>
      </c>
      <c r="J305" t="s">
        <v>10</v>
      </c>
      <c r="K305">
        <v>3</v>
      </c>
      <c r="L305">
        <v>151.5</v>
      </c>
      <c r="M305">
        <v>1</v>
      </c>
      <c r="N305">
        <v>152</v>
      </c>
      <c r="O305">
        <v>75</v>
      </c>
      <c r="P305">
        <v>17.78</v>
      </c>
    </row>
    <row r="306" spans="1:16" x14ac:dyDescent="0.3">
      <c r="A306">
        <v>1724</v>
      </c>
      <c r="B306" t="s">
        <v>344</v>
      </c>
      <c r="C306" s="2">
        <v>52527</v>
      </c>
      <c r="D306">
        <v>37</v>
      </c>
      <c r="E306" s="2">
        <v>958840</v>
      </c>
      <c r="F306">
        <v>18.25</v>
      </c>
      <c r="G306">
        <v>18.399999999999999</v>
      </c>
      <c r="H306">
        <v>18.149999999999999</v>
      </c>
      <c r="I306">
        <v>18.350000000000001</v>
      </c>
      <c r="J306" t="s">
        <v>10</v>
      </c>
      <c r="K306">
        <v>0.1</v>
      </c>
      <c r="L306">
        <v>18.3</v>
      </c>
      <c r="M306">
        <v>1</v>
      </c>
      <c r="N306">
        <v>18.399999999999999</v>
      </c>
      <c r="O306">
        <v>10</v>
      </c>
      <c r="P306">
        <v>10.55</v>
      </c>
    </row>
    <row r="307" spans="1:16" x14ac:dyDescent="0.3">
      <c r="A307">
        <v>1725</v>
      </c>
      <c r="B307" t="s">
        <v>345</v>
      </c>
      <c r="C307" s="2">
        <v>16000</v>
      </c>
      <c r="D307">
        <v>11</v>
      </c>
      <c r="E307" s="2">
        <v>217900</v>
      </c>
      <c r="F307">
        <v>13.7</v>
      </c>
      <c r="G307">
        <v>13.75</v>
      </c>
      <c r="H307">
        <v>13.55</v>
      </c>
      <c r="I307">
        <v>13.75</v>
      </c>
      <c r="J307" t="s">
        <v>10</v>
      </c>
      <c r="K307">
        <v>0.05</v>
      </c>
      <c r="L307">
        <v>13.65</v>
      </c>
      <c r="M307">
        <v>1</v>
      </c>
      <c r="N307">
        <v>13.75</v>
      </c>
      <c r="O307">
        <v>1</v>
      </c>
      <c r="P307">
        <v>0</v>
      </c>
    </row>
    <row r="308" spans="1:16" x14ac:dyDescent="0.3">
      <c r="A308">
        <v>1726</v>
      </c>
      <c r="B308" t="s">
        <v>346</v>
      </c>
      <c r="C308" s="2">
        <v>145143</v>
      </c>
      <c r="D308">
        <v>100</v>
      </c>
      <c r="E308" s="2">
        <v>10595109</v>
      </c>
      <c r="F308">
        <v>73</v>
      </c>
      <c r="G308">
        <v>73.5</v>
      </c>
      <c r="H308">
        <v>72</v>
      </c>
      <c r="I308">
        <v>72.900000000000006</v>
      </c>
      <c r="J308" t="s">
        <v>7</v>
      </c>
      <c r="K308">
        <v>0.1</v>
      </c>
      <c r="L308">
        <v>72.8</v>
      </c>
      <c r="M308">
        <v>1</v>
      </c>
      <c r="N308">
        <v>72.900000000000006</v>
      </c>
      <c r="O308">
        <v>13</v>
      </c>
      <c r="P308">
        <v>13.25</v>
      </c>
    </row>
    <row r="309" spans="1:16" x14ac:dyDescent="0.3">
      <c r="A309">
        <v>1727</v>
      </c>
      <c r="B309" t="s">
        <v>347</v>
      </c>
      <c r="C309" s="2">
        <v>240679</v>
      </c>
      <c r="D309">
        <v>97</v>
      </c>
      <c r="E309" s="2">
        <v>4432556</v>
      </c>
      <c r="F309">
        <v>18.45</v>
      </c>
      <c r="G309">
        <v>18.5</v>
      </c>
      <c r="H309">
        <v>18.3</v>
      </c>
      <c r="I309">
        <v>18.45</v>
      </c>
      <c r="J309" t="s">
        <v>10</v>
      </c>
      <c r="K309">
        <v>0.1</v>
      </c>
      <c r="L309">
        <v>18.399999999999999</v>
      </c>
      <c r="M309">
        <v>6</v>
      </c>
      <c r="N309">
        <v>18.45</v>
      </c>
      <c r="O309">
        <v>1</v>
      </c>
      <c r="P309">
        <v>15.64</v>
      </c>
    </row>
    <row r="310" spans="1:16" x14ac:dyDescent="0.3">
      <c r="A310">
        <v>1729</v>
      </c>
      <c r="B310" t="s">
        <v>348</v>
      </c>
      <c r="C310" s="2">
        <v>665000</v>
      </c>
      <c r="D310">
        <v>144</v>
      </c>
      <c r="E310" s="2">
        <v>19941050</v>
      </c>
      <c r="F310">
        <v>30</v>
      </c>
      <c r="G310">
        <v>30.2</v>
      </c>
      <c r="H310">
        <v>29.75</v>
      </c>
      <c r="I310">
        <v>30.15</v>
      </c>
      <c r="J310" t="s">
        <v>10</v>
      </c>
      <c r="K310">
        <v>0.15</v>
      </c>
      <c r="L310">
        <v>30.1</v>
      </c>
      <c r="M310">
        <v>20</v>
      </c>
      <c r="N310">
        <v>30.15</v>
      </c>
      <c r="O310">
        <v>24</v>
      </c>
      <c r="P310">
        <v>0</v>
      </c>
    </row>
    <row r="311" spans="1:16" x14ac:dyDescent="0.3">
      <c r="A311">
        <v>1730</v>
      </c>
      <c r="B311" t="s">
        <v>349</v>
      </c>
      <c r="C311" s="2">
        <v>144000</v>
      </c>
      <c r="D311">
        <v>78</v>
      </c>
      <c r="E311" s="2">
        <v>2740700</v>
      </c>
      <c r="F311">
        <v>19</v>
      </c>
      <c r="G311">
        <v>19.149999999999999</v>
      </c>
      <c r="H311">
        <v>18.899999999999999</v>
      </c>
      <c r="I311">
        <v>19.149999999999999</v>
      </c>
      <c r="J311" t="s">
        <v>10</v>
      </c>
      <c r="K311">
        <v>0.2</v>
      </c>
      <c r="L311">
        <v>19.100000000000001</v>
      </c>
      <c r="M311">
        <v>2</v>
      </c>
      <c r="N311">
        <v>19.149999999999999</v>
      </c>
      <c r="O311">
        <v>16</v>
      </c>
      <c r="P311">
        <v>11.97</v>
      </c>
    </row>
    <row r="312" spans="1:16" x14ac:dyDescent="0.3">
      <c r="A312">
        <v>1731</v>
      </c>
      <c r="B312" t="s">
        <v>350</v>
      </c>
      <c r="C312" s="2">
        <v>895440</v>
      </c>
      <c r="D312">
        <v>357</v>
      </c>
      <c r="E312" s="2">
        <v>14336166</v>
      </c>
      <c r="F312">
        <v>15.8</v>
      </c>
      <c r="G312">
        <v>16.149999999999999</v>
      </c>
      <c r="H312">
        <v>15.8</v>
      </c>
      <c r="I312">
        <v>16.05</v>
      </c>
      <c r="J312" t="s">
        <v>10</v>
      </c>
      <c r="K312">
        <v>0.2</v>
      </c>
      <c r="L312">
        <v>16</v>
      </c>
      <c r="M312">
        <v>17</v>
      </c>
      <c r="N312">
        <v>16.05</v>
      </c>
      <c r="O312">
        <v>74</v>
      </c>
      <c r="P312">
        <v>35.67</v>
      </c>
    </row>
    <row r="313" spans="1:16" x14ac:dyDescent="0.3">
      <c r="A313">
        <v>1732</v>
      </c>
      <c r="B313" t="s">
        <v>351</v>
      </c>
      <c r="C313" s="2">
        <v>83000</v>
      </c>
      <c r="D313">
        <v>36</v>
      </c>
      <c r="E313" s="2">
        <v>1014700</v>
      </c>
      <c r="F313">
        <v>12.25</v>
      </c>
      <c r="G313">
        <v>12.3</v>
      </c>
      <c r="H313">
        <v>12.15</v>
      </c>
      <c r="I313">
        <v>12.3</v>
      </c>
      <c r="J313" t="s">
        <v>10</v>
      </c>
      <c r="K313">
        <v>0.05</v>
      </c>
      <c r="L313">
        <v>12.2</v>
      </c>
      <c r="M313">
        <v>25</v>
      </c>
      <c r="N313">
        <v>12.3</v>
      </c>
      <c r="O313">
        <v>10</v>
      </c>
      <c r="P313">
        <v>123</v>
      </c>
    </row>
    <row r="314" spans="1:16" x14ac:dyDescent="0.3">
      <c r="A314">
        <v>1733</v>
      </c>
      <c r="B314" t="s">
        <v>352</v>
      </c>
      <c r="C314" s="2">
        <v>131851</v>
      </c>
      <c r="D314">
        <v>110</v>
      </c>
      <c r="E314" s="2">
        <v>9653847</v>
      </c>
      <c r="F314">
        <v>73</v>
      </c>
      <c r="G314">
        <v>73.5</v>
      </c>
      <c r="H314">
        <v>72.7</v>
      </c>
      <c r="I314">
        <v>73.3</v>
      </c>
      <c r="J314" t="s">
        <v>10</v>
      </c>
      <c r="K314">
        <v>0.6</v>
      </c>
      <c r="L314">
        <v>73.3</v>
      </c>
      <c r="M314">
        <v>4</v>
      </c>
      <c r="N314">
        <v>73.400000000000006</v>
      </c>
      <c r="O314">
        <v>9</v>
      </c>
      <c r="P314">
        <v>14.34</v>
      </c>
    </row>
    <row r="315" spans="1:16" x14ac:dyDescent="0.3">
      <c r="A315">
        <v>1734</v>
      </c>
      <c r="B315" t="s">
        <v>353</v>
      </c>
      <c r="C315" s="2">
        <v>1363599</v>
      </c>
      <c r="D315">
        <v>874</v>
      </c>
      <c r="E315" s="2">
        <v>48423764</v>
      </c>
      <c r="F315">
        <v>34.700000000000003</v>
      </c>
      <c r="G315">
        <v>35.75</v>
      </c>
      <c r="H315">
        <v>34.700000000000003</v>
      </c>
      <c r="I315">
        <v>35.700000000000003</v>
      </c>
      <c r="J315" t="s">
        <v>10</v>
      </c>
      <c r="K315">
        <v>1</v>
      </c>
      <c r="L315">
        <v>35.700000000000003</v>
      </c>
      <c r="M315">
        <v>4</v>
      </c>
      <c r="N315">
        <v>35.75</v>
      </c>
      <c r="O315">
        <v>17</v>
      </c>
      <c r="P315">
        <v>24.29</v>
      </c>
    </row>
    <row r="316" spans="1:16" x14ac:dyDescent="0.3">
      <c r="A316">
        <v>1735</v>
      </c>
      <c r="B316" t="s">
        <v>354</v>
      </c>
      <c r="C316" s="2">
        <v>249100</v>
      </c>
      <c r="D316">
        <v>108</v>
      </c>
      <c r="E316" s="2">
        <v>3018700</v>
      </c>
      <c r="F316">
        <v>12.25</v>
      </c>
      <c r="G316">
        <v>12.25</v>
      </c>
      <c r="H316">
        <v>12</v>
      </c>
      <c r="I316">
        <v>12.05</v>
      </c>
      <c r="J316" t="s">
        <v>145</v>
      </c>
      <c r="K316">
        <v>0</v>
      </c>
      <c r="L316">
        <v>12.05</v>
      </c>
      <c r="M316">
        <v>10</v>
      </c>
      <c r="N316">
        <v>12.1</v>
      </c>
      <c r="O316">
        <v>1</v>
      </c>
      <c r="P316">
        <v>14.01</v>
      </c>
    </row>
    <row r="317" spans="1:16" x14ac:dyDescent="0.3">
      <c r="A317">
        <v>1736</v>
      </c>
      <c r="B317" t="s">
        <v>355</v>
      </c>
      <c r="C317" s="2">
        <v>84150</v>
      </c>
      <c r="D317">
        <v>82</v>
      </c>
      <c r="E317" s="2">
        <v>6923300</v>
      </c>
      <c r="F317">
        <v>82.4</v>
      </c>
      <c r="G317">
        <v>83.2</v>
      </c>
      <c r="H317">
        <v>81.8</v>
      </c>
      <c r="I317">
        <v>82.4</v>
      </c>
      <c r="J317" t="s">
        <v>10</v>
      </c>
      <c r="K317">
        <v>0.1</v>
      </c>
      <c r="L317">
        <v>82.4</v>
      </c>
      <c r="M317">
        <v>1</v>
      </c>
      <c r="N317">
        <v>82.8</v>
      </c>
      <c r="O317">
        <v>1</v>
      </c>
      <c r="P317">
        <v>19.760000000000002</v>
      </c>
    </row>
    <row r="318" spans="1:16" x14ac:dyDescent="0.3">
      <c r="A318">
        <v>1737</v>
      </c>
      <c r="B318" t="s">
        <v>356</v>
      </c>
      <c r="C318" s="2">
        <v>1841346</v>
      </c>
      <c r="D318">
        <v>734</v>
      </c>
      <c r="E318" s="2">
        <v>43974531</v>
      </c>
      <c r="F318">
        <v>23.4</v>
      </c>
      <c r="G318">
        <v>24.15</v>
      </c>
      <c r="H318">
        <v>23.2</v>
      </c>
      <c r="I318">
        <v>23.9</v>
      </c>
      <c r="J318" t="s">
        <v>10</v>
      </c>
      <c r="K318">
        <v>0.45</v>
      </c>
      <c r="L318">
        <v>23.9</v>
      </c>
      <c r="M318">
        <v>5</v>
      </c>
      <c r="N318">
        <v>23.95</v>
      </c>
      <c r="O318">
        <v>32</v>
      </c>
      <c r="P318">
        <v>64.59</v>
      </c>
    </row>
    <row r="319" spans="1:16" x14ac:dyDescent="0.3">
      <c r="A319">
        <v>1762</v>
      </c>
      <c r="B319" t="s">
        <v>357</v>
      </c>
      <c r="C319" s="2">
        <v>232003</v>
      </c>
      <c r="D319">
        <v>161</v>
      </c>
      <c r="E319" s="2">
        <v>10647944</v>
      </c>
      <c r="F319">
        <v>45.5</v>
      </c>
      <c r="G319">
        <v>46.4</v>
      </c>
      <c r="H319">
        <v>45.5</v>
      </c>
      <c r="I319">
        <v>45.95</v>
      </c>
      <c r="J319" t="s">
        <v>10</v>
      </c>
      <c r="K319">
        <v>0.65</v>
      </c>
      <c r="L319">
        <v>45.95</v>
      </c>
      <c r="M319">
        <v>1</v>
      </c>
      <c r="N319">
        <v>46.1</v>
      </c>
      <c r="O319">
        <v>1</v>
      </c>
      <c r="P319">
        <v>19.64</v>
      </c>
    </row>
    <row r="320" spans="1:16" x14ac:dyDescent="0.3">
      <c r="A320">
        <v>1773</v>
      </c>
      <c r="B320" t="s">
        <v>358</v>
      </c>
      <c r="C320" s="2">
        <v>179500</v>
      </c>
      <c r="D320">
        <v>79</v>
      </c>
      <c r="E320" s="2">
        <v>7574649</v>
      </c>
      <c r="F320">
        <v>42.2</v>
      </c>
      <c r="G320">
        <v>42.45</v>
      </c>
      <c r="H320">
        <v>42.1</v>
      </c>
      <c r="I320">
        <v>42.2</v>
      </c>
      <c r="J320" t="s">
        <v>10</v>
      </c>
      <c r="K320">
        <v>0.2</v>
      </c>
      <c r="L320">
        <v>42.2</v>
      </c>
      <c r="M320">
        <v>9</v>
      </c>
      <c r="N320">
        <v>42.3</v>
      </c>
      <c r="O320">
        <v>11</v>
      </c>
      <c r="P320">
        <v>10.37</v>
      </c>
    </row>
    <row r="321" spans="1:16" x14ac:dyDescent="0.3">
      <c r="A321">
        <v>1789</v>
      </c>
      <c r="B321" t="s">
        <v>359</v>
      </c>
      <c r="C321" s="2">
        <v>1589785</v>
      </c>
      <c r="D321" s="2">
        <v>1048</v>
      </c>
      <c r="E321" s="2">
        <v>111007841</v>
      </c>
      <c r="F321">
        <v>69.599999999999994</v>
      </c>
      <c r="G321">
        <v>70.7</v>
      </c>
      <c r="H321">
        <v>68.7</v>
      </c>
      <c r="I321">
        <v>70.3</v>
      </c>
      <c r="J321" t="s">
        <v>10</v>
      </c>
      <c r="K321">
        <v>1.2</v>
      </c>
      <c r="L321">
        <v>70.2</v>
      </c>
      <c r="M321">
        <v>20</v>
      </c>
      <c r="N321">
        <v>70.3</v>
      </c>
      <c r="O321">
        <v>13</v>
      </c>
      <c r="P321">
        <v>35.869999999999997</v>
      </c>
    </row>
    <row r="322" spans="1:16" x14ac:dyDescent="0.3">
      <c r="A322">
        <v>1802</v>
      </c>
      <c r="B322" t="s">
        <v>360</v>
      </c>
      <c r="C322" s="2">
        <v>821814</v>
      </c>
      <c r="D322">
        <v>468</v>
      </c>
      <c r="E322" s="2">
        <v>22022227</v>
      </c>
      <c r="F322">
        <v>26.9</v>
      </c>
      <c r="G322">
        <v>27.15</v>
      </c>
      <c r="H322">
        <v>26.6</v>
      </c>
      <c r="I322">
        <v>26.7</v>
      </c>
      <c r="J322" t="s">
        <v>7</v>
      </c>
      <c r="K322">
        <v>0.4</v>
      </c>
      <c r="L322">
        <v>26.65</v>
      </c>
      <c r="M322">
        <v>25</v>
      </c>
      <c r="N322">
        <v>26.8</v>
      </c>
      <c r="O322">
        <v>27</v>
      </c>
      <c r="P322">
        <v>0</v>
      </c>
    </row>
    <row r="323" spans="1:16" x14ac:dyDescent="0.3">
      <c r="A323">
        <v>1805</v>
      </c>
      <c r="B323" t="s">
        <v>361</v>
      </c>
      <c r="C323" s="2">
        <v>192054</v>
      </c>
      <c r="D323">
        <v>36</v>
      </c>
      <c r="E323" s="2">
        <v>2652197</v>
      </c>
      <c r="F323">
        <v>13.8</v>
      </c>
      <c r="G323">
        <v>14</v>
      </c>
      <c r="H323">
        <v>13.7</v>
      </c>
      <c r="I323">
        <v>13.85</v>
      </c>
      <c r="J323" t="s">
        <v>7</v>
      </c>
      <c r="K323">
        <v>0.15</v>
      </c>
      <c r="L323">
        <v>13.85</v>
      </c>
      <c r="M323">
        <v>52</v>
      </c>
      <c r="N323">
        <v>14</v>
      </c>
      <c r="O323">
        <v>10</v>
      </c>
      <c r="P323">
        <v>47.76</v>
      </c>
    </row>
    <row r="324" spans="1:16" x14ac:dyDescent="0.3">
      <c r="A324">
        <v>1806</v>
      </c>
      <c r="B324" t="s">
        <v>362</v>
      </c>
      <c r="C324" s="2">
        <v>369973</v>
      </c>
      <c r="D324">
        <v>131</v>
      </c>
      <c r="E324" s="2">
        <v>3612681</v>
      </c>
      <c r="F324">
        <v>9.56</v>
      </c>
      <c r="G324">
        <v>9.91</v>
      </c>
      <c r="H324">
        <v>9.56</v>
      </c>
      <c r="I324">
        <v>9.85</v>
      </c>
      <c r="J324" t="s">
        <v>10</v>
      </c>
      <c r="K324">
        <v>0.15</v>
      </c>
      <c r="L324">
        <v>9.85</v>
      </c>
      <c r="M324">
        <v>33</v>
      </c>
      <c r="N324">
        <v>9.8800000000000008</v>
      </c>
      <c r="O324">
        <v>1</v>
      </c>
      <c r="P324">
        <v>0</v>
      </c>
    </row>
    <row r="325" spans="1:16" x14ac:dyDescent="0.3">
      <c r="A325">
        <v>1808</v>
      </c>
      <c r="B325" t="s">
        <v>363</v>
      </c>
      <c r="C325" s="2">
        <v>170300</v>
      </c>
      <c r="D325">
        <v>90</v>
      </c>
      <c r="E325" s="2">
        <v>5879210</v>
      </c>
      <c r="F325">
        <v>34.5</v>
      </c>
      <c r="G325">
        <v>34.700000000000003</v>
      </c>
      <c r="H325">
        <v>34.4</v>
      </c>
      <c r="I325">
        <v>34.700000000000003</v>
      </c>
      <c r="J325" t="s">
        <v>10</v>
      </c>
      <c r="K325">
        <v>0.2</v>
      </c>
      <c r="L325">
        <v>34.549999999999997</v>
      </c>
      <c r="M325">
        <v>4</v>
      </c>
      <c r="N325">
        <v>34.65</v>
      </c>
      <c r="O325">
        <v>1</v>
      </c>
      <c r="P325">
        <v>11.68</v>
      </c>
    </row>
    <row r="326" spans="1:16" x14ac:dyDescent="0.3">
      <c r="A326">
        <v>1809</v>
      </c>
      <c r="B326" t="s">
        <v>364</v>
      </c>
      <c r="C326" s="2">
        <v>171058</v>
      </c>
      <c r="D326">
        <v>86</v>
      </c>
      <c r="E326" s="2">
        <v>2233808</v>
      </c>
      <c r="F326">
        <v>13</v>
      </c>
      <c r="G326">
        <v>13.2</v>
      </c>
      <c r="H326">
        <v>12.9</v>
      </c>
      <c r="I326">
        <v>13.2</v>
      </c>
      <c r="J326" t="s">
        <v>10</v>
      </c>
      <c r="K326">
        <v>0.15</v>
      </c>
      <c r="L326">
        <v>13.15</v>
      </c>
      <c r="M326">
        <v>28</v>
      </c>
      <c r="N326">
        <v>13.2</v>
      </c>
      <c r="O326">
        <v>32</v>
      </c>
      <c r="P326">
        <v>25.88</v>
      </c>
    </row>
    <row r="327" spans="1:16" x14ac:dyDescent="0.3">
      <c r="A327">
        <v>1810</v>
      </c>
      <c r="B327" t="s">
        <v>365</v>
      </c>
      <c r="C327" s="2">
        <v>1084500</v>
      </c>
      <c r="D327">
        <v>250</v>
      </c>
      <c r="E327" s="2">
        <v>10576919</v>
      </c>
      <c r="F327">
        <v>9.77</v>
      </c>
      <c r="G327">
        <v>9.83</v>
      </c>
      <c r="H327">
        <v>9.67</v>
      </c>
      <c r="I327">
        <v>9.76</v>
      </c>
      <c r="J327" t="s">
        <v>10</v>
      </c>
      <c r="K327">
        <v>0.09</v>
      </c>
      <c r="L327">
        <v>9.75</v>
      </c>
      <c r="M327">
        <v>5</v>
      </c>
      <c r="N327">
        <v>9.77</v>
      </c>
      <c r="O327">
        <v>2</v>
      </c>
      <c r="P327">
        <v>54.22</v>
      </c>
    </row>
    <row r="328" spans="1:16" x14ac:dyDescent="0.3">
      <c r="A328">
        <v>1902</v>
      </c>
      <c r="B328" t="s">
        <v>366</v>
      </c>
      <c r="C328" s="2">
        <v>294275</v>
      </c>
      <c r="D328">
        <v>145</v>
      </c>
      <c r="E328" s="2">
        <v>3009999</v>
      </c>
      <c r="F328">
        <v>10.050000000000001</v>
      </c>
      <c r="G328">
        <v>10.3</v>
      </c>
      <c r="H328">
        <v>10.050000000000001</v>
      </c>
      <c r="I328">
        <v>10.3</v>
      </c>
      <c r="J328" t="s">
        <v>10</v>
      </c>
      <c r="K328">
        <v>0.2</v>
      </c>
      <c r="L328">
        <v>10.25</v>
      </c>
      <c r="M328">
        <v>29</v>
      </c>
      <c r="N328">
        <v>10.3</v>
      </c>
      <c r="O328">
        <v>5</v>
      </c>
      <c r="P328">
        <v>0</v>
      </c>
    </row>
    <row r="329" spans="1:16" x14ac:dyDescent="0.3">
      <c r="A329">
        <v>1903</v>
      </c>
      <c r="B329" t="s">
        <v>367</v>
      </c>
      <c r="C329" s="2">
        <v>54820</v>
      </c>
      <c r="D329">
        <v>48</v>
      </c>
      <c r="E329" s="2">
        <v>2436547</v>
      </c>
      <c r="F329">
        <v>44.3</v>
      </c>
      <c r="G329">
        <v>44.7</v>
      </c>
      <c r="H329">
        <v>44.05</v>
      </c>
      <c r="I329">
        <v>44.35</v>
      </c>
      <c r="J329" t="s">
        <v>10</v>
      </c>
      <c r="K329">
        <v>0.1</v>
      </c>
      <c r="L329">
        <v>44.35</v>
      </c>
      <c r="M329">
        <v>2</v>
      </c>
      <c r="N329">
        <v>44.5</v>
      </c>
      <c r="O329">
        <v>3</v>
      </c>
      <c r="P329">
        <v>0</v>
      </c>
    </row>
    <row r="330" spans="1:16" x14ac:dyDescent="0.3">
      <c r="A330">
        <v>1904</v>
      </c>
      <c r="B330" t="s">
        <v>368</v>
      </c>
      <c r="C330" s="2">
        <v>938837</v>
      </c>
      <c r="D330">
        <v>443</v>
      </c>
      <c r="E330" s="2">
        <v>12465467</v>
      </c>
      <c r="F330">
        <v>13.25</v>
      </c>
      <c r="G330">
        <v>13.4</v>
      </c>
      <c r="H330">
        <v>13.25</v>
      </c>
      <c r="I330">
        <v>13.4</v>
      </c>
      <c r="J330" t="s">
        <v>10</v>
      </c>
      <c r="K330">
        <v>0.15</v>
      </c>
      <c r="L330">
        <v>13.25</v>
      </c>
      <c r="M330">
        <v>203</v>
      </c>
      <c r="N330">
        <v>13.4</v>
      </c>
      <c r="O330">
        <v>22</v>
      </c>
      <c r="P330">
        <v>10.72</v>
      </c>
    </row>
    <row r="331" spans="1:16" x14ac:dyDescent="0.3">
      <c r="A331">
        <v>1905</v>
      </c>
      <c r="B331" t="s">
        <v>369</v>
      </c>
      <c r="C331" s="2">
        <v>491122</v>
      </c>
      <c r="D331">
        <v>204</v>
      </c>
      <c r="E331" s="2">
        <v>4493385</v>
      </c>
      <c r="F331">
        <v>9.19</v>
      </c>
      <c r="G331">
        <v>9.19</v>
      </c>
      <c r="H331">
        <v>9.11</v>
      </c>
      <c r="I331">
        <v>9.15</v>
      </c>
      <c r="J331" t="s">
        <v>7</v>
      </c>
      <c r="K331">
        <v>0.01</v>
      </c>
      <c r="L331">
        <v>9.15</v>
      </c>
      <c r="M331">
        <v>37</v>
      </c>
      <c r="N331">
        <v>9.16</v>
      </c>
      <c r="O331">
        <v>22</v>
      </c>
      <c r="P331">
        <v>0</v>
      </c>
    </row>
    <row r="332" spans="1:16" x14ac:dyDescent="0.3">
      <c r="A332">
        <v>1906</v>
      </c>
      <c r="B332" t="s">
        <v>370</v>
      </c>
      <c r="C332" s="2">
        <v>24217</v>
      </c>
      <c r="D332">
        <v>7</v>
      </c>
      <c r="E332" s="2">
        <v>172840</v>
      </c>
      <c r="F332">
        <v>7.15</v>
      </c>
      <c r="G332">
        <v>7.15</v>
      </c>
      <c r="H332">
        <v>7.1</v>
      </c>
      <c r="I332">
        <v>7.15</v>
      </c>
      <c r="J332" t="s">
        <v>10</v>
      </c>
      <c r="K332">
        <v>0.05</v>
      </c>
      <c r="L332">
        <v>7.15</v>
      </c>
      <c r="M332">
        <v>2</v>
      </c>
      <c r="N332">
        <v>7.16</v>
      </c>
      <c r="O332">
        <v>11</v>
      </c>
      <c r="P332">
        <v>0</v>
      </c>
    </row>
    <row r="333" spans="1:16" x14ac:dyDescent="0.3">
      <c r="A333">
        <v>1907</v>
      </c>
      <c r="B333" t="s">
        <v>371</v>
      </c>
      <c r="C333" s="2">
        <v>1210367</v>
      </c>
      <c r="D333" s="2">
        <v>1503</v>
      </c>
      <c r="E333" s="2">
        <v>16701044</v>
      </c>
      <c r="F333">
        <v>13.6</v>
      </c>
      <c r="G333">
        <v>13.9</v>
      </c>
      <c r="H333">
        <v>13.6</v>
      </c>
      <c r="I333">
        <v>13.85</v>
      </c>
      <c r="J333" t="s">
        <v>10</v>
      </c>
      <c r="K333">
        <v>0.15</v>
      </c>
      <c r="L333">
        <v>13.8</v>
      </c>
      <c r="M333">
        <v>50</v>
      </c>
      <c r="N333">
        <v>13.85</v>
      </c>
      <c r="O333">
        <v>9</v>
      </c>
      <c r="P333">
        <v>21.98</v>
      </c>
    </row>
    <row r="334" spans="1:16" x14ac:dyDescent="0.3">
      <c r="A334">
        <v>1909</v>
      </c>
      <c r="B334" t="s">
        <v>372</v>
      </c>
      <c r="C334" s="2">
        <v>1401054</v>
      </c>
      <c r="D334">
        <v>200</v>
      </c>
      <c r="E334" s="2">
        <v>14435453</v>
      </c>
      <c r="F334">
        <v>10.25</v>
      </c>
      <c r="G334">
        <v>10.4</v>
      </c>
      <c r="H334">
        <v>10.25</v>
      </c>
      <c r="I334">
        <v>10.35</v>
      </c>
      <c r="J334" t="s">
        <v>10</v>
      </c>
      <c r="K334">
        <v>0.1</v>
      </c>
      <c r="L334">
        <v>10.35</v>
      </c>
      <c r="M334">
        <v>6</v>
      </c>
      <c r="N334">
        <v>10.4</v>
      </c>
      <c r="O334">
        <v>89</v>
      </c>
      <c r="P334">
        <v>11.13</v>
      </c>
    </row>
    <row r="335" spans="1:16" x14ac:dyDescent="0.3">
      <c r="A335">
        <v>2002</v>
      </c>
      <c r="B335" t="s">
        <v>373</v>
      </c>
      <c r="C335" s="2">
        <v>19535663</v>
      </c>
      <c r="D335" s="2">
        <v>5970</v>
      </c>
      <c r="E335" s="2">
        <v>470946501</v>
      </c>
      <c r="F335">
        <v>24.3</v>
      </c>
      <c r="G335">
        <v>24.3</v>
      </c>
      <c r="H335">
        <v>24</v>
      </c>
      <c r="I335">
        <v>24</v>
      </c>
      <c r="J335" t="s">
        <v>7</v>
      </c>
      <c r="K335">
        <v>0.55000000000000004</v>
      </c>
      <c r="L335">
        <v>24</v>
      </c>
      <c r="M335">
        <v>480</v>
      </c>
      <c r="N335">
        <v>24.05</v>
      </c>
      <c r="O335">
        <v>13</v>
      </c>
      <c r="P335">
        <v>34.78</v>
      </c>
    </row>
    <row r="336" spans="1:16" x14ac:dyDescent="0.3">
      <c r="A336" t="s">
        <v>374</v>
      </c>
      <c r="B336" t="s">
        <v>375</v>
      </c>
      <c r="C336" s="2">
        <v>12000</v>
      </c>
      <c r="D336">
        <v>7</v>
      </c>
      <c r="E336" s="2">
        <v>486700</v>
      </c>
      <c r="F336">
        <v>40.4</v>
      </c>
      <c r="G336">
        <v>40.75</v>
      </c>
      <c r="H336">
        <v>40.4</v>
      </c>
      <c r="I336">
        <v>40.75</v>
      </c>
      <c r="J336" t="s">
        <v>10</v>
      </c>
      <c r="K336">
        <v>0.25</v>
      </c>
      <c r="L336">
        <v>40.5</v>
      </c>
      <c r="M336">
        <v>2</v>
      </c>
      <c r="N336">
        <v>40.799999999999997</v>
      </c>
      <c r="O336">
        <v>6</v>
      </c>
      <c r="P336">
        <v>0</v>
      </c>
    </row>
    <row r="337" spans="1:16" x14ac:dyDescent="0.3">
      <c r="A337">
        <v>2006</v>
      </c>
      <c r="B337" t="s">
        <v>376</v>
      </c>
      <c r="C337" s="2">
        <v>1582578</v>
      </c>
      <c r="D337">
        <v>874</v>
      </c>
      <c r="E337" s="2">
        <v>42166226</v>
      </c>
      <c r="F337">
        <v>27.05</v>
      </c>
      <c r="G337">
        <v>27.05</v>
      </c>
      <c r="H337">
        <v>26.5</v>
      </c>
      <c r="I337">
        <v>26.7</v>
      </c>
      <c r="J337" t="s">
        <v>7</v>
      </c>
      <c r="K337">
        <v>0.6</v>
      </c>
      <c r="L337">
        <v>26.7</v>
      </c>
      <c r="M337">
        <v>79</v>
      </c>
      <c r="N337">
        <v>26.75</v>
      </c>
      <c r="O337">
        <v>2</v>
      </c>
      <c r="P337">
        <v>15</v>
      </c>
    </row>
    <row r="338" spans="1:16" x14ac:dyDescent="0.3">
      <c r="A338">
        <v>2007</v>
      </c>
      <c r="B338" t="s">
        <v>377</v>
      </c>
      <c r="C338" s="2">
        <v>402224</v>
      </c>
      <c r="D338">
        <v>176</v>
      </c>
      <c r="E338" s="2">
        <v>2962195</v>
      </c>
      <c r="F338">
        <v>7.4</v>
      </c>
      <c r="G338">
        <v>7.43</v>
      </c>
      <c r="H338">
        <v>7.33</v>
      </c>
      <c r="I338">
        <v>7.36</v>
      </c>
      <c r="J338" t="s">
        <v>7</v>
      </c>
      <c r="K338">
        <v>0.04</v>
      </c>
      <c r="L338">
        <v>7.36</v>
      </c>
      <c r="M338">
        <v>6</v>
      </c>
      <c r="N338">
        <v>7.39</v>
      </c>
      <c r="O338">
        <v>10</v>
      </c>
      <c r="P338">
        <v>0</v>
      </c>
    </row>
    <row r="339" spans="1:16" x14ac:dyDescent="0.3">
      <c r="A339">
        <v>2008</v>
      </c>
      <c r="B339" t="s">
        <v>378</v>
      </c>
      <c r="C339" s="2">
        <v>150432</v>
      </c>
      <c r="D339">
        <v>29</v>
      </c>
      <c r="E339" s="2">
        <v>1381202</v>
      </c>
      <c r="F339">
        <v>9.3000000000000007</v>
      </c>
      <c r="G339">
        <v>9.3000000000000007</v>
      </c>
      <c r="H339">
        <v>9.17</v>
      </c>
      <c r="I339">
        <v>9.1999999999999993</v>
      </c>
      <c r="J339" t="s">
        <v>7</v>
      </c>
      <c r="K339">
        <v>0.18</v>
      </c>
      <c r="L339">
        <v>9.1999999999999993</v>
      </c>
      <c r="M339">
        <v>48</v>
      </c>
      <c r="N339">
        <v>9.2899999999999991</v>
      </c>
      <c r="O339">
        <v>3</v>
      </c>
      <c r="P339">
        <v>0</v>
      </c>
    </row>
    <row r="340" spans="1:16" x14ac:dyDescent="0.3">
      <c r="A340">
        <v>2009</v>
      </c>
      <c r="B340" t="s">
        <v>379</v>
      </c>
      <c r="C340" s="2">
        <v>474561</v>
      </c>
      <c r="D340">
        <v>152</v>
      </c>
      <c r="E340" s="2">
        <v>4616364</v>
      </c>
      <c r="F340">
        <v>9.74</v>
      </c>
      <c r="G340">
        <v>9.84</v>
      </c>
      <c r="H340">
        <v>9.6199999999999992</v>
      </c>
      <c r="I340">
        <v>9.67</v>
      </c>
      <c r="J340" t="s">
        <v>7</v>
      </c>
      <c r="K340">
        <v>7.0000000000000007E-2</v>
      </c>
      <c r="L340">
        <v>9.66</v>
      </c>
      <c r="M340">
        <v>13</v>
      </c>
      <c r="N340">
        <v>9.74</v>
      </c>
      <c r="O340">
        <v>2</v>
      </c>
      <c r="P340">
        <v>0</v>
      </c>
    </row>
    <row r="341" spans="1:16" x14ac:dyDescent="0.3">
      <c r="A341">
        <v>2010</v>
      </c>
      <c r="B341" t="s">
        <v>380</v>
      </c>
      <c r="C341" s="2">
        <v>578011</v>
      </c>
      <c r="D341">
        <v>147</v>
      </c>
      <c r="E341" s="2">
        <v>6607923</v>
      </c>
      <c r="F341">
        <v>11.45</v>
      </c>
      <c r="G341">
        <v>11.45</v>
      </c>
      <c r="H341">
        <v>11.4</v>
      </c>
      <c r="I341">
        <v>11.45</v>
      </c>
      <c r="K341">
        <v>0</v>
      </c>
      <c r="L341">
        <v>11.4</v>
      </c>
      <c r="M341">
        <v>144</v>
      </c>
      <c r="N341">
        <v>11.45</v>
      </c>
      <c r="O341">
        <v>55</v>
      </c>
      <c r="P341">
        <v>22.45</v>
      </c>
    </row>
    <row r="342" spans="1:16" x14ac:dyDescent="0.3">
      <c r="A342">
        <v>2012</v>
      </c>
      <c r="B342" t="s">
        <v>381</v>
      </c>
      <c r="C342" s="2">
        <v>224526</v>
      </c>
      <c r="D342">
        <v>55</v>
      </c>
      <c r="E342" s="2">
        <v>2492238</v>
      </c>
      <c r="F342">
        <v>11</v>
      </c>
      <c r="G342">
        <v>11.35</v>
      </c>
      <c r="H342">
        <v>10.95</v>
      </c>
      <c r="I342">
        <v>11.2</v>
      </c>
      <c r="J342" t="s">
        <v>10</v>
      </c>
      <c r="K342">
        <v>0.2</v>
      </c>
      <c r="L342">
        <v>11.15</v>
      </c>
      <c r="M342">
        <v>8</v>
      </c>
      <c r="N342">
        <v>11.2</v>
      </c>
      <c r="O342">
        <v>11</v>
      </c>
      <c r="P342">
        <v>0</v>
      </c>
    </row>
    <row r="343" spans="1:16" x14ac:dyDescent="0.3">
      <c r="A343">
        <v>2013</v>
      </c>
      <c r="B343" t="s">
        <v>382</v>
      </c>
      <c r="C343" s="2">
        <v>493760</v>
      </c>
      <c r="D343">
        <v>302</v>
      </c>
      <c r="E343" s="2">
        <v>19698243</v>
      </c>
      <c r="F343">
        <v>40</v>
      </c>
      <c r="G343">
        <v>40</v>
      </c>
      <c r="H343">
        <v>39.700000000000003</v>
      </c>
      <c r="I343">
        <v>39.75</v>
      </c>
      <c r="J343" t="s">
        <v>7</v>
      </c>
      <c r="K343">
        <v>0.25</v>
      </c>
      <c r="L343">
        <v>39.75</v>
      </c>
      <c r="M343">
        <v>27</v>
      </c>
      <c r="N343">
        <v>39.799999999999997</v>
      </c>
      <c r="O343">
        <v>37</v>
      </c>
      <c r="P343">
        <v>12.91</v>
      </c>
    </row>
    <row r="344" spans="1:16" x14ac:dyDescent="0.3">
      <c r="A344">
        <v>2014</v>
      </c>
      <c r="B344" t="s">
        <v>383</v>
      </c>
      <c r="C344" s="2">
        <v>2082305</v>
      </c>
      <c r="D344">
        <v>625</v>
      </c>
      <c r="E344" s="2">
        <v>16808394</v>
      </c>
      <c r="F344">
        <v>8.25</v>
      </c>
      <c r="G344">
        <v>8.25</v>
      </c>
      <c r="H344">
        <v>8.02</v>
      </c>
      <c r="I344">
        <v>8.1</v>
      </c>
      <c r="J344" t="s">
        <v>7</v>
      </c>
      <c r="K344">
        <v>0.12</v>
      </c>
      <c r="L344">
        <v>8.1</v>
      </c>
      <c r="M344">
        <v>49</v>
      </c>
      <c r="N344">
        <v>8.11</v>
      </c>
      <c r="O344">
        <v>12</v>
      </c>
      <c r="P344">
        <v>0</v>
      </c>
    </row>
    <row r="345" spans="1:16" x14ac:dyDescent="0.3">
      <c r="A345">
        <v>2015</v>
      </c>
      <c r="B345" t="s">
        <v>384</v>
      </c>
      <c r="C345" s="2">
        <v>703524</v>
      </c>
      <c r="D345">
        <v>315</v>
      </c>
      <c r="E345" s="2">
        <v>36901448</v>
      </c>
      <c r="F345">
        <v>52</v>
      </c>
      <c r="G345">
        <v>53</v>
      </c>
      <c r="H345">
        <v>51.9</v>
      </c>
      <c r="I345">
        <v>52</v>
      </c>
      <c r="J345" t="s">
        <v>7</v>
      </c>
      <c r="K345">
        <v>1</v>
      </c>
      <c r="L345">
        <v>52</v>
      </c>
      <c r="M345">
        <v>200</v>
      </c>
      <c r="N345">
        <v>52.3</v>
      </c>
      <c r="O345">
        <v>10</v>
      </c>
      <c r="P345">
        <v>17.809999999999999</v>
      </c>
    </row>
    <row r="346" spans="1:16" x14ac:dyDescent="0.3">
      <c r="A346">
        <v>2017</v>
      </c>
      <c r="B346" t="s">
        <v>385</v>
      </c>
      <c r="C346" s="2">
        <v>304319</v>
      </c>
      <c r="D346">
        <v>127</v>
      </c>
      <c r="E346" s="2">
        <v>2048121</v>
      </c>
      <c r="F346">
        <v>6.7</v>
      </c>
      <c r="G346">
        <v>6.77</v>
      </c>
      <c r="H346">
        <v>6.68</v>
      </c>
      <c r="I346">
        <v>6.77</v>
      </c>
      <c r="J346" t="s">
        <v>10</v>
      </c>
      <c r="K346">
        <v>0.05</v>
      </c>
      <c r="L346">
        <v>6.77</v>
      </c>
      <c r="M346">
        <v>4</v>
      </c>
      <c r="N346">
        <v>6.78</v>
      </c>
      <c r="O346">
        <v>9</v>
      </c>
      <c r="P346">
        <v>0</v>
      </c>
    </row>
    <row r="347" spans="1:16" x14ac:dyDescent="0.3">
      <c r="A347">
        <v>2020</v>
      </c>
      <c r="B347" t="s">
        <v>386</v>
      </c>
      <c r="C347" s="2">
        <v>208175</v>
      </c>
      <c r="D347">
        <v>50</v>
      </c>
      <c r="E347" s="2">
        <v>2681338</v>
      </c>
      <c r="F347">
        <v>12.85</v>
      </c>
      <c r="G347">
        <v>12.9</v>
      </c>
      <c r="H347">
        <v>12.85</v>
      </c>
      <c r="I347">
        <v>12.9</v>
      </c>
      <c r="J347" t="s">
        <v>7</v>
      </c>
      <c r="K347">
        <v>0.05</v>
      </c>
      <c r="L347">
        <v>12.9</v>
      </c>
      <c r="M347">
        <v>13</v>
      </c>
      <c r="N347">
        <v>12.95</v>
      </c>
      <c r="O347">
        <v>47</v>
      </c>
      <c r="P347">
        <v>23.04</v>
      </c>
    </row>
    <row r="348" spans="1:16" x14ac:dyDescent="0.3">
      <c r="A348">
        <v>2022</v>
      </c>
      <c r="B348" t="s">
        <v>387</v>
      </c>
      <c r="C348" s="2">
        <v>1020095</v>
      </c>
      <c r="D348">
        <v>229</v>
      </c>
      <c r="E348" s="2">
        <v>6027987</v>
      </c>
      <c r="F348">
        <v>5.9</v>
      </c>
      <c r="G348">
        <v>5.95</v>
      </c>
      <c r="H348">
        <v>5.85</v>
      </c>
      <c r="I348">
        <v>5.92</v>
      </c>
      <c r="K348">
        <v>0</v>
      </c>
      <c r="L348">
        <v>5.92</v>
      </c>
      <c r="M348">
        <v>12</v>
      </c>
      <c r="N348">
        <v>5.94</v>
      </c>
      <c r="O348">
        <v>12</v>
      </c>
      <c r="P348">
        <v>0</v>
      </c>
    </row>
    <row r="349" spans="1:16" x14ac:dyDescent="0.3">
      <c r="A349">
        <v>2023</v>
      </c>
      <c r="B349" t="s">
        <v>388</v>
      </c>
      <c r="C349" s="2">
        <v>681150</v>
      </c>
      <c r="D349">
        <v>281</v>
      </c>
      <c r="E349" s="2">
        <v>5618879</v>
      </c>
      <c r="F349">
        <v>8.25</v>
      </c>
      <c r="G349">
        <v>8.3000000000000007</v>
      </c>
      <c r="H349">
        <v>8.15</v>
      </c>
      <c r="I349">
        <v>8.2799999999999994</v>
      </c>
      <c r="J349" t="s">
        <v>7</v>
      </c>
      <c r="K349">
        <v>0.04</v>
      </c>
      <c r="L349">
        <v>8.27</v>
      </c>
      <c r="M349">
        <v>5</v>
      </c>
      <c r="N349">
        <v>8.2799999999999994</v>
      </c>
      <c r="O349">
        <v>6</v>
      </c>
      <c r="P349">
        <v>0</v>
      </c>
    </row>
    <row r="350" spans="1:16" x14ac:dyDescent="0.3">
      <c r="A350">
        <v>2024</v>
      </c>
      <c r="B350" t="s">
        <v>389</v>
      </c>
      <c r="C350" s="2">
        <v>71628</v>
      </c>
      <c r="D350">
        <v>27</v>
      </c>
      <c r="E350" s="2">
        <v>410887</v>
      </c>
      <c r="F350">
        <v>5.7</v>
      </c>
      <c r="G350">
        <v>5.8</v>
      </c>
      <c r="H350">
        <v>5.7</v>
      </c>
      <c r="I350">
        <v>5.72</v>
      </c>
      <c r="J350" t="s">
        <v>7</v>
      </c>
      <c r="K350">
        <v>7.0000000000000007E-2</v>
      </c>
      <c r="L350">
        <v>5.72</v>
      </c>
      <c r="M350">
        <v>1</v>
      </c>
      <c r="N350">
        <v>5.76</v>
      </c>
      <c r="O350">
        <v>12</v>
      </c>
      <c r="P350">
        <v>0</v>
      </c>
    </row>
    <row r="351" spans="1:16" x14ac:dyDescent="0.3">
      <c r="A351">
        <v>2025</v>
      </c>
      <c r="B351" t="s">
        <v>390</v>
      </c>
      <c r="C351" s="2">
        <v>419000</v>
      </c>
      <c r="D351">
        <v>114</v>
      </c>
      <c r="E351" s="2">
        <v>1603880</v>
      </c>
      <c r="F351">
        <v>3.8</v>
      </c>
      <c r="G351">
        <v>3.86</v>
      </c>
      <c r="H351">
        <v>3.8</v>
      </c>
      <c r="I351">
        <v>3.85</v>
      </c>
      <c r="J351" t="s">
        <v>10</v>
      </c>
      <c r="K351">
        <v>0.01</v>
      </c>
      <c r="L351">
        <v>3.84</v>
      </c>
      <c r="M351">
        <v>2</v>
      </c>
      <c r="N351">
        <v>3.85</v>
      </c>
      <c r="O351">
        <v>41</v>
      </c>
      <c r="P351">
        <v>0</v>
      </c>
    </row>
    <row r="352" spans="1:16" x14ac:dyDescent="0.3">
      <c r="A352">
        <v>2027</v>
      </c>
      <c r="B352" t="s">
        <v>391</v>
      </c>
      <c r="C352" s="2">
        <v>412710</v>
      </c>
      <c r="D352">
        <v>181</v>
      </c>
      <c r="E352" s="2">
        <v>6204350</v>
      </c>
      <c r="F352">
        <v>15</v>
      </c>
      <c r="G352">
        <v>15.15</v>
      </c>
      <c r="H352">
        <v>14.9</v>
      </c>
      <c r="I352">
        <v>15.1</v>
      </c>
      <c r="J352" t="s">
        <v>10</v>
      </c>
      <c r="K352">
        <v>0.1</v>
      </c>
      <c r="L352">
        <v>15.1</v>
      </c>
      <c r="M352">
        <v>3</v>
      </c>
      <c r="N352">
        <v>15.15</v>
      </c>
      <c r="O352">
        <v>41</v>
      </c>
      <c r="P352">
        <v>100.67</v>
      </c>
    </row>
    <row r="353" spans="1:16" x14ac:dyDescent="0.3">
      <c r="A353">
        <v>2028</v>
      </c>
      <c r="B353" t="s">
        <v>392</v>
      </c>
      <c r="C353" s="2">
        <v>122004</v>
      </c>
      <c r="D353">
        <v>41</v>
      </c>
      <c r="E353" s="2">
        <v>614210</v>
      </c>
      <c r="F353">
        <v>5.01</v>
      </c>
      <c r="G353">
        <v>5.08</v>
      </c>
      <c r="H353">
        <v>5.01</v>
      </c>
      <c r="I353">
        <v>5.05</v>
      </c>
      <c r="J353" t="s">
        <v>10</v>
      </c>
      <c r="K353">
        <v>0.01</v>
      </c>
      <c r="L353">
        <v>5.04</v>
      </c>
      <c r="M353">
        <v>4</v>
      </c>
      <c r="N353">
        <v>5.08</v>
      </c>
      <c r="O353">
        <v>4</v>
      </c>
      <c r="P353">
        <v>0</v>
      </c>
    </row>
    <row r="354" spans="1:16" x14ac:dyDescent="0.3">
      <c r="A354">
        <v>2029</v>
      </c>
      <c r="B354" t="s">
        <v>393</v>
      </c>
      <c r="C354" s="2">
        <v>53000</v>
      </c>
      <c r="D354">
        <v>19</v>
      </c>
      <c r="E354" s="2">
        <v>983050</v>
      </c>
      <c r="F354">
        <v>18.649999999999999</v>
      </c>
      <c r="G354">
        <v>18.649999999999999</v>
      </c>
      <c r="H354">
        <v>18.5</v>
      </c>
      <c r="I354">
        <v>18.5</v>
      </c>
      <c r="J354" t="s">
        <v>7</v>
      </c>
      <c r="K354">
        <v>0.15</v>
      </c>
      <c r="L354">
        <v>18.45</v>
      </c>
      <c r="M354">
        <v>15</v>
      </c>
      <c r="N354">
        <v>18.600000000000001</v>
      </c>
      <c r="O354">
        <v>1</v>
      </c>
      <c r="P354">
        <v>23.42</v>
      </c>
    </row>
    <row r="355" spans="1:16" x14ac:dyDescent="0.3">
      <c r="A355">
        <v>2030</v>
      </c>
      <c r="B355" t="s">
        <v>394</v>
      </c>
      <c r="C355" s="2">
        <v>140803</v>
      </c>
      <c r="D355">
        <v>68</v>
      </c>
      <c r="E355" s="2">
        <v>1265127</v>
      </c>
      <c r="F355">
        <v>9</v>
      </c>
      <c r="G355">
        <v>9.0500000000000007</v>
      </c>
      <c r="H355">
        <v>8.9499999999999993</v>
      </c>
      <c r="I355">
        <v>9.0500000000000007</v>
      </c>
      <c r="J355" t="s">
        <v>7</v>
      </c>
      <c r="K355">
        <v>0.01</v>
      </c>
      <c r="L355">
        <v>9</v>
      </c>
      <c r="M355">
        <v>9</v>
      </c>
      <c r="N355">
        <v>9.0500000000000007</v>
      </c>
      <c r="O355">
        <v>2</v>
      </c>
      <c r="P355">
        <v>0</v>
      </c>
    </row>
    <row r="356" spans="1:16" x14ac:dyDescent="0.3">
      <c r="A356">
        <v>2031</v>
      </c>
      <c r="B356" t="s">
        <v>395</v>
      </c>
      <c r="C356" s="2">
        <v>1453647</v>
      </c>
      <c r="D356">
        <v>497</v>
      </c>
      <c r="E356" s="2">
        <v>27702335</v>
      </c>
      <c r="F356">
        <v>19.05</v>
      </c>
      <c r="G356">
        <v>19.2</v>
      </c>
      <c r="H356">
        <v>18.95</v>
      </c>
      <c r="I356">
        <v>19.149999999999999</v>
      </c>
      <c r="J356" t="s">
        <v>10</v>
      </c>
      <c r="K356">
        <v>0.05</v>
      </c>
      <c r="L356">
        <v>19.100000000000001</v>
      </c>
      <c r="M356">
        <v>46</v>
      </c>
      <c r="N356">
        <v>19.149999999999999</v>
      </c>
      <c r="O356">
        <v>7</v>
      </c>
      <c r="P356">
        <v>0</v>
      </c>
    </row>
    <row r="357" spans="1:16" x14ac:dyDescent="0.3">
      <c r="A357">
        <v>2032</v>
      </c>
      <c r="B357" t="s">
        <v>396</v>
      </c>
      <c r="C357" s="2">
        <v>125695</v>
      </c>
      <c r="D357">
        <v>39</v>
      </c>
      <c r="E357" s="2">
        <v>1267650</v>
      </c>
      <c r="F357">
        <v>10.050000000000001</v>
      </c>
      <c r="G357">
        <v>10.15</v>
      </c>
      <c r="H357">
        <v>10</v>
      </c>
      <c r="I357">
        <v>10.1</v>
      </c>
      <c r="J357" t="s">
        <v>10</v>
      </c>
      <c r="K357">
        <v>0.1</v>
      </c>
      <c r="L357">
        <v>10.1</v>
      </c>
      <c r="M357">
        <v>4</v>
      </c>
      <c r="N357">
        <v>10.199999999999999</v>
      </c>
      <c r="O357">
        <v>3</v>
      </c>
      <c r="P357">
        <v>63.13</v>
      </c>
    </row>
    <row r="358" spans="1:16" x14ac:dyDescent="0.3">
      <c r="A358">
        <v>2033</v>
      </c>
      <c r="B358" t="s">
        <v>397</v>
      </c>
      <c r="C358" s="2">
        <v>159000</v>
      </c>
      <c r="D358">
        <v>45</v>
      </c>
      <c r="E358" s="2">
        <v>1833500</v>
      </c>
      <c r="F358">
        <v>11.45</v>
      </c>
      <c r="G358">
        <v>11.7</v>
      </c>
      <c r="H358">
        <v>11.35</v>
      </c>
      <c r="I358">
        <v>11.55</v>
      </c>
      <c r="J358" t="s">
        <v>10</v>
      </c>
      <c r="K358">
        <v>0.1</v>
      </c>
      <c r="L358">
        <v>11.55</v>
      </c>
      <c r="M358">
        <v>2</v>
      </c>
      <c r="N358">
        <v>11.6</v>
      </c>
      <c r="O358">
        <v>4</v>
      </c>
      <c r="P358">
        <v>39.83</v>
      </c>
    </row>
    <row r="359" spans="1:16" x14ac:dyDescent="0.3">
      <c r="A359">
        <v>2034</v>
      </c>
      <c r="B359" t="s">
        <v>398</v>
      </c>
      <c r="C359" s="2">
        <v>263112</v>
      </c>
      <c r="D359">
        <v>111</v>
      </c>
      <c r="E359" s="2">
        <v>4335741</v>
      </c>
      <c r="F359">
        <v>16.45</v>
      </c>
      <c r="G359">
        <v>16.55</v>
      </c>
      <c r="H359">
        <v>16.399999999999999</v>
      </c>
      <c r="I359">
        <v>16.5</v>
      </c>
      <c r="J359" t="s">
        <v>7</v>
      </c>
      <c r="K359">
        <v>0.05</v>
      </c>
      <c r="L359">
        <v>16.5</v>
      </c>
      <c r="M359">
        <v>9</v>
      </c>
      <c r="N359">
        <v>16.55</v>
      </c>
      <c r="O359">
        <v>32</v>
      </c>
      <c r="P359">
        <v>12.5</v>
      </c>
    </row>
    <row r="360" spans="1:16" x14ac:dyDescent="0.3">
      <c r="A360">
        <v>2038</v>
      </c>
      <c r="B360" t="s">
        <v>399</v>
      </c>
      <c r="C360" s="2">
        <v>37000</v>
      </c>
      <c r="D360">
        <v>18</v>
      </c>
      <c r="E360" s="2">
        <v>370150</v>
      </c>
      <c r="F360">
        <v>10</v>
      </c>
      <c r="G360">
        <v>10.050000000000001</v>
      </c>
      <c r="H360">
        <v>10</v>
      </c>
      <c r="I360">
        <v>10.050000000000001</v>
      </c>
      <c r="J360" t="s">
        <v>10</v>
      </c>
      <c r="K360">
        <v>0.05</v>
      </c>
      <c r="L360">
        <v>10</v>
      </c>
      <c r="M360">
        <v>30</v>
      </c>
      <c r="N360">
        <v>10.050000000000001</v>
      </c>
      <c r="O360">
        <v>7</v>
      </c>
      <c r="P360">
        <v>30.45</v>
      </c>
    </row>
    <row r="361" spans="1:16" x14ac:dyDescent="0.3">
      <c r="A361">
        <v>2049</v>
      </c>
      <c r="B361" t="s">
        <v>400</v>
      </c>
      <c r="C361" s="2">
        <v>2815015</v>
      </c>
      <c r="D361" s="2">
        <v>2089</v>
      </c>
      <c r="E361" s="2">
        <v>515592750</v>
      </c>
      <c r="F361">
        <v>179</v>
      </c>
      <c r="G361">
        <v>185</v>
      </c>
      <c r="H361">
        <v>177.5</v>
      </c>
      <c r="I361">
        <v>183</v>
      </c>
      <c r="J361" t="s">
        <v>10</v>
      </c>
      <c r="K361">
        <v>4</v>
      </c>
      <c r="L361">
        <v>183</v>
      </c>
      <c r="M361">
        <v>2</v>
      </c>
      <c r="N361">
        <v>183.5</v>
      </c>
      <c r="O361">
        <v>2</v>
      </c>
      <c r="P361">
        <v>27.44</v>
      </c>
    </row>
    <row r="362" spans="1:16" x14ac:dyDescent="0.3">
      <c r="A362">
        <v>2059</v>
      </c>
      <c r="B362" t="s">
        <v>401</v>
      </c>
      <c r="C362" s="2">
        <v>894922</v>
      </c>
      <c r="D362">
        <v>714</v>
      </c>
      <c r="E362" s="2">
        <v>204465904</v>
      </c>
      <c r="F362">
        <v>222</v>
      </c>
      <c r="G362">
        <v>233</v>
      </c>
      <c r="H362">
        <v>220.5</v>
      </c>
      <c r="I362">
        <v>233</v>
      </c>
      <c r="J362" t="s">
        <v>10</v>
      </c>
      <c r="K362">
        <v>13</v>
      </c>
      <c r="L362">
        <v>232.5</v>
      </c>
      <c r="M362">
        <v>2</v>
      </c>
      <c r="N362">
        <v>233</v>
      </c>
      <c r="O362">
        <v>4</v>
      </c>
      <c r="P362">
        <v>17.13</v>
      </c>
    </row>
    <row r="363" spans="1:16" x14ac:dyDescent="0.3">
      <c r="A363">
        <v>2062</v>
      </c>
      <c r="B363" t="s">
        <v>402</v>
      </c>
      <c r="C363" s="2">
        <v>3394065</v>
      </c>
      <c r="D363" s="2">
        <v>1944</v>
      </c>
      <c r="E363" s="2">
        <v>206058297</v>
      </c>
      <c r="F363">
        <v>61.5</v>
      </c>
      <c r="G363">
        <v>62.3</v>
      </c>
      <c r="H363">
        <v>59.5</v>
      </c>
      <c r="I363">
        <v>60.6</v>
      </c>
      <c r="J363" t="s">
        <v>7</v>
      </c>
      <c r="K363">
        <v>0.9</v>
      </c>
      <c r="L363">
        <v>60.6</v>
      </c>
      <c r="M363">
        <v>16</v>
      </c>
      <c r="N363">
        <v>60.7</v>
      </c>
      <c r="O363">
        <v>10</v>
      </c>
      <c r="P363">
        <v>23.22</v>
      </c>
    </row>
    <row r="364" spans="1:16" x14ac:dyDescent="0.3">
      <c r="A364">
        <v>2101</v>
      </c>
      <c r="B364" t="s">
        <v>403</v>
      </c>
      <c r="C364" s="2">
        <v>1102721</v>
      </c>
      <c r="D364">
        <v>692</v>
      </c>
      <c r="E364" s="2">
        <v>38112952</v>
      </c>
      <c r="F364">
        <v>34.75</v>
      </c>
      <c r="G364">
        <v>34.75</v>
      </c>
      <c r="H364">
        <v>34.25</v>
      </c>
      <c r="I364">
        <v>34.549999999999997</v>
      </c>
      <c r="J364" t="s">
        <v>7</v>
      </c>
      <c r="K364">
        <v>0.2</v>
      </c>
      <c r="L364">
        <v>34.549999999999997</v>
      </c>
      <c r="M364">
        <v>41</v>
      </c>
      <c r="N364">
        <v>34.700000000000003</v>
      </c>
      <c r="O364">
        <v>1</v>
      </c>
      <c r="P364">
        <v>265.77</v>
      </c>
    </row>
    <row r="365" spans="1:16" x14ac:dyDescent="0.3">
      <c r="A365">
        <v>2102</v>
      </c>
      <c r="B365" t="s">
        <v>404</v>
      </c>
      <c r="C365" s="2">
        <v>2171292</v>
      </c>
      <c r="D365">
        <v>745</v>
      </c>
      <c r="E365" s="2">
        <v>47765799</v>
      </c>
      <c r="F365">
        <v>21.75</v>
      </c>
      <c r="G365">
        <v>22.25</v>
      </c>
      <c r="H365">
        <v>21.7</v>
      </c>
      <c r="I365">
        <v>21.9</v>
      </c>
      <c r="J365" t="s">
        <v>10</v>
      </c>
      <c r="K365">
        <v>0.3</v>
      </c>
      <c r="L365">
        <v>21.9</v>
      </c>
      <c r="M365">
        <v>67</v>
      </c>
      <c r="N365">
        <v>21.95</v>
      </c>
      <c r="O365">
        <v>5</v>
      </c>
      <c r="P365">
        <v>16.59</v>
      </c>
    </row>
    <row r="366" spans="1:16" x14ac:dyDescent="0.3">
      <c r="A366">
        <v>2103</v>
      </c>
      <c r="B366" t="s">
        <v>405</v>
      </c>
      <c r="C366" s="2">
        <v>780303</v>
      </c>
      <c r="D366">
        <v>556</v>
      </c>
      <c r="E366" s="2">
        <v>44834318</v>
      </c>
      <c r="F366">
        <v>57.1</v>
      </c>
      <c r="G366">
        <v>58</v>
      </c>
      <c r="H366">
        <v>56.6</v>
      </c>
      <c r="I366">
        <v>57.5</v>
      </c>
      <c r="K366">
        <v>0</v>
      </c>
      <c r="L366">
        <v>57.5</v>
      </c>
      <c r="M366">
        <v>273</v>
      </c>
      <c r="N366">
        <v>57.8</v>
      </c>
      <c r="O366">
        <v>8</v>
      </c>
      <c r="P366">
        <v>19.43</v>
      </c>
    </row>
    <row r="367" spans="1:16" x14ac:dyDescent="0.3">
      <c r="A367">
        <v>2104</v>
      </c>
      <c r="B367" t="s">
        <v>406</v>
      </c>
      <c r="C367" s="2">
        <v>1321349</v>
      </c>
      <c r="D367">
        <v>472</v>
      </c>
      <c r="E367" s="2">
        <v>41901824</v>
      </c>
      <c r="F367">
        <v>31.7</v>
      </c>
      <c r="G367">
        <v>31.85</v>
      </c>
      <c r="H367">
        <v>31.55</v>
      </c>
      <c r="I367">
        <v>31.75</v>
      </c>
      <c r="J367" t="s">
        <v>10</v>
      </c>
      <c r="K367">
        <v>0.3</v>
      </c>
      <c r="L367">
        <v>31.7</v>
      </c>
      <c r="M367">
        <v>13</v>
      </c>
      <c r="N367">
        <v>31.75</v>
      </c>
      <c r="O367">
        <v>53</v>
      </c>
      <c r="P367">
        <v>12.96</v>
      </c>
    </row>
    <row r="368" spans="1:16" x14ac:dyDescent="0.3">
      <c r="A368">
        <v>2105</v>
      </c>
      <c r="B368" t="s">
        <v>407</v>
      </c>
      <c r="C368" s="2">
        <v>3813118</v>
      </c>
      <c r="D368" s="2">
        <v>1956</v>
      </c>
      <c r="E368" s="2">
        <v>356391971</v>
      </c>
      <c r="F368">
        <v>93.8</v>
      </c>
      <c r="G368">
        <v>94.2</v>
      </c>
      <c r="H368">
        <v>93</v>
      </c>
      <c r="I368">
        <v>93.1</v>
      </c>
      <c r="J368" t="s">
        <v>7</v>
      </c>
      <c r="K368">
        <v>1.5</v>
      </c>
      <c r="L368">
        <v>93.1</v>
      </c>
      <c r="M368">
        <v>19</v>
      </c>
      <c r="N368">
        <v>93.2</v>
      </c>
      <c r="O368">
        <v>11</v>
      </c>
      <c r="P368">
        <v>15.57</v>
      </c>
    </row>
    <row r="369" spans="1:16" x14ac:dyDescent="0.3">
      <c r="A369">
        <v>2106</v>
      </c>
      <c r="B369" t="s">
        <v>408</v>
      </c>
      <c r="C369" s="2">
        <v>2302371</v>
      </c>
      <c r="D369" s="2">
        <v>1335</v>
      </c>
      <c r="E369" s="2">
        <v>153818001</v>
      </c>
      <c r="F369">
        <v>66.2</v>
      </c>
      <c r="G369">
        <v>67.3</v>
      </c>
      <c r="H369">
        <v>66</v>
      </c>
      <c r="I369">
        <v>66.7</v>
      </c>
      <c r="J369" t="s">
        <v>10</v>
      </c>
      <c r="K369">
        <v>0.5</v>
      </c>
      <c r="L369">
        <v>66.7</v>
      </c>
      <c r="M369">
        <v>25</v>
      </c>
      <c r="N369">
        <v>66.8</v>
      </c>
      <c r="O369">
        <v>2</v>
      </c>
      <c r="P369">
        <v>16.760000000000002</v>
      </c>
    </row>
    <row r="370" spans="1:16" x14ac:dyDescent="0.3">
      <c r="A370">
        <v>2107</v>
      </c>
      <c r="B370" t="s">
        <v>409</v>
      </c>
      <c r="C370" s="2">
        <v>1837570</v>
      </c>
      <c r="D370">
        <v>589</v>
      </c>
      <c r="E370" s="2">
        <v>45411648</v>
      </c>
      <c r="F370">
        <v>24.8</v>
      </c>
      <c r="G370">
        <v>24.85</v>
      </c>
      <c r="H370">
        <v>24.6</v>
      </c>
      <c r="I370">
        <v>24.7</v>
      </c>
      <c r="J370" t="s">
        <v>10</v>
      </c>
      <c r="K370">
        <v>0.05</v>
      </c>
      <c r="L370">
        <v>24.65</v>
      </c>
      <c r="M370">
        <v>148</v>
      </c>
      <c r="N370">
        <v>24.7</v>
      </c>
      <c r="O370">
        <v>7</v>
      </c>
      <c r="P370">
        <v>7.94</v>
      </c>
    </row>
    <row r="371" spans="1:16" x14ac:dyDescent="0.3">
      <c r="A371">
        <v>2108</v>
      </c>
      <c r="B371" t="s">
        <v>410</v>
      </c>
      <c r="C371" s="2">
        <v>195527</v>
      </c>
      <c r="D371">
        <v>103</v>
      </c>
      <c r="E371" s="2">
        <v>3791774</v>
      </c>
      <c r="F371">
        <v>19.3</v>
      </c>
      <c r="G371">
        <v>19.55</v>
      </c>
      <c r="H371">
        <v>19.2</v>
      </c>
      <c r="I371">
        <v>19.55</v>
      </c>
      <c r="J371" t="s">
        <v>10</v>
      </c>
      <c r="K371">
        <v>0.05</v>
      </c>
      <c r="L371">
        <v>19.5</v>
      </c>
      <c r="M371">
        <v>16</v>
      </c>
      <c r="N371">
        <v>19.600000000000001</v>
      </c>
      <c r="O371">
        <v>17</v>
      </c>
      <c r="P371">
        <v>20.8</v>
      </c>
    </row>
    <row r="372" spans="1:16" x14ac:dyDescent="0.3">
      <c r="A372">
        <v>2109</v>
      </c>
      <c r="B372" t="s">
        <v>411</v>
      </c>
      <c r="C372" s="2">
        <v>5906199</v>
      </c>
      <c r="D372">
        <v>595</v>
      </c>
      <c r="E372" s="2">
        <v>54052370</v>
      </c>
      <c r="F372">
        <v>9.1300000000000008</v>
      </c>
      <c r="G372">
        <v>9.35</v>
      </c>
      <c r="H372">
        <v>9.0500000000000007</v>
      </c>
      <c r="I372">
        <v>9.25</v>
      </c>
      <c r="J372" t="s">
        <v>10</v>
      </c>
      <c r="K372">
        <v>0.09</v>
      </c>
      <c r="L372">
        <v>9.23</v>
      </c>
      <c r="M372">
        <v>23</v>
      </c>
      <c r="N372">
        <v>9.25</v>
      </c>
      <c r="O372">
        <v>158</v>
      </c>
      <c r="P372">
        <v>0</v>
      </c>
    </row>
    <row r="373" spans="1:16" x14ac:dyDescent="0.3">
      <c r="A373">
        <v>2114</v>
      </c>
      <c r="B373" t="s">
        <v>412</v>
      </c>
      <c r="C373" s="2">
        <v>60036</v>
      </c>
      <c r="D373">
        <v>47</v>
      </c>
      <c r="E373" s="2">
        <v>4915755</v>
      </c>
      <c r="F373">
        <v>82</v>
      </c>
      <c r="G373">
        <v>82.2</v>
      </c>
      <c r="H373">
        <v>81.5</v>
      </c>
      <c r="I373">
        <v>82</v>
      </c>
      <c r="J373" t="s">
        <v>10</v>
      </c>
      <c r="K373">
        <v>0.4</v>
      </c>
      <c r="L373">
        <v>82</v>
      </c>
      <c r="M373">
        <v>6</v>
      </c>
      <c r="N373">
        <v>82.1</v>
      </c>
      <c r="O373">
        <v>1</v>
      </c>
      <c r="P373">
        <v>10.29</v>
      </c>
    </row>
    <row r="374" spans="1:16" x14ac:dyDescent="0.3">
      <c r="A374">
        <v>2201</v>
      </c>
      <c r="B374" t="s">
        <v>413</v>
      </c>
      <c r="C374" s="2">
        <v>1942456</v>
      </c>
      <c r="D374" s="2">
        <v>1118</v>
      </c>
      <c r="E374" s="2">
        <v>94235546</v>
      </c>
      <c r="F374">
        <v>47.55</v>
      </c>
      <c r="G374">
        <v>49.1</v>
      </c>
      <c r="H374">
        <v>47.4</v>
      </c>
      <c r="I374">
        <v>49</v>
      </c>
      <c r="J374" t="s">
        <v>10</v>
      </c>
      <c r="K374">
        <v>1</v>
      </c>
      <c r="L374">
        <v>48.95</v>
      </c>
      <c r="M374">
        <v>48</v>
      </c>
      <c r="N374">
        <v>49</v>
      </c>
      <c r="O374">
        <v>5</v>
      </c>
      <c r="P374">
        <v>26.34</v>
      </c>
    </row>
    <row r="375" spans="1:16" x14ac:dyDescent="0.3">
      <c r="A375">
        <v>2204</v>
      </c>
      <c r="B375" t="s">
        <v>414</v>
      </c>
      <c r="C375" s="2">
        <v>1892032</v>
      </c>
      <c r="D375">
        <v>866</v>
      </c>
      <c r="E375" s="2">
        <v>49413787</v>
      </c>
      <c r="F375">
        <v>26.2</v>
      </c>
      <c r="G375">
        <v>26.35</v>
      </c>
      <c r="H375">
        <v>25.85</v>
      </c>
      <c r="I375">
        <v>26.1</v>
      </c>
      <c r="J375" t="s">
        <v>7</v>
      </c>
      <c r="K375">
        <v>0.35</v>
      </c>
      <c r="L375">
        <v>26.1</v>
      </c>
      <c r="M375">
        <v>70</v>
      </c>
      <c r="N375">
        <v>26.15</v>
      </c>
      <c r="O375">
        <v>1</v>
      </c>
      <c r="P375">
        <v>16.95</v>
      </c>
    </row>
    <row r="376" spans="1:16" x14ac:dyDescent="0.3">
      <c r="A376">
        <v>2206</v>
      </c>
      <c r="B376" t="s">
        <v>415</v>
      </c>
      <c r="C376" s="2">
        <v>954940</v>
      </c>
      <c r="D376">
        <v>483</v>
      </c>
      <c r="E376" s="2">
        <v>26718010</v>
      </c>
      <c r="F376">
        <v>27.75</v>
      </c>
      <c r="G376">
        <v>28.25</v>
      </c>
      <c r="H376">
        <v>27.65</v>
      </c>
      <c r="I376">
        <v>28.25</v>
      </c>
      <c r="J376" t="s">
        <v>10</v>
      </c>
      <c r="K376">
        <v>0.45</v>
      </c>
      <c r="L376">
        <v>28.05</v>
      </c>
      <c r="M376">
        <v>4</v>
      </c>
      <c r="N376">
        <v>28.25</v>
      </c>
      <c r="O376">
        <v>18</v>
      </c>
      <c r="P376">
        <v>148.68</v>
      </c>
    </row>
    <row r="377" spans="1:16" x14ac:dyDescent="0.3">
      <c r="A377">
        <v>2207</v>
      </c>
      <c r="B377" t="s">
        <v>416</v>
      </c>
      <c r="C377" s="2">
        <v>718784</v>
      </c>
      <c r="D377">
        <v>579</v>
      </c>
      <c r="E377" s="2">
        <v>235312720</v>
      </c>
      <c r="F377">
        <v>324.5</v>
      </c>
      <c r="G377">
        <v>335</v>
      </c>
      <c r="H377">
        <v>318</v>
      </c>
      <c r="I377">
        <v>327</v>
      </c>
      <c r="J377" t="s">
        <v>10</v>
      </c>
      <c r="K377">
        <v>4</v>
      </c>
      <c r="L377">
        <v>327</v>
      </c>
      <c r="M377">
        <v>41</v>
      </c>
      <c r="N377">
        <v>330</v>
      </c>
      <c r="O377">
        <v>11</v>
      </c>
      <c r="P377">
        <v>23.53</v>
      </c>
    </row>
    <row r="378" spans="1:16" x14ac:dyDescent="0.3">
      <c r="A378">
        <v>2208</v>
      </c>
      <c r="B378" t="s">
        <v>417</v>
      </c>
      <c r="C378" s="2">
        <v>535590</v>
      </c>
      <c r="D378">
        <v>215</v>
      </c>
      <c r="E378" s="2">
        <v>10518121</v>
      </c>
      <c r="F378">
        <v>19.5</v>
      </c>
      <c r="G378">
        <v>19.8</v>
      </c>
      <c r="H378">
        <v>19.5</v>
      </c>
      <c r="I378">
        <v>19.55</v>
      </c>
      <c r="J378" t="s">
        <v>10</v>
      </c>
      <c r="K378">
        <v>0.05</v>
      </c>
      <c r="L378">
        <v>19.55</v>
      </c>
      <c r="M378">
        <v>11</v>
      </c>
      <c r="N378">
        <v>19.600000000000001</v>
      </c>
      <c r="O378">
        <v>4</v>
      </c>
      <c r="P378">
        <v>21.02</v>
      </c>
    </row>
    <row r="379" spans="1:16" x14ac:dyDescent="0.3">
      <c r="A379">
        <v>2227</v>
      </c>
      <c r="B379" t="s">
        <v>418</v>
      </c>
      <c r="C379" s="2">
        <v>321356</v>
      </c>
      <c r="D379">
        <v>260</v>
      </c>
      <c r="E379" s="2">
        <v>88635180</v>
      </c>
      <c r="F379">
        <v>269</v>
      </c>
      <c r="G379">
        <v>280</v>
      </c>
      <c r="H379">
        <v>266</v>
      </c>
      <c r="I379">
        <v>280</v>
      </c>
      <c r="J379" t="s">
        <v>10</v>
      </c>
      <c r="K379">
        <v>15.5</v>
      </c>
      <c r="L379">
        <v>279</v>
      </c>
      <c r="M379">
        <v>2</v>
      </c>
      <c r="N379">
        <v>280</v>
      </c>
      <c r="O379">
        <v>31</v>
      </c>
      <c r="P379">
        <v>16.170000000000002</v>
      </c>
    </row>
    <row r="380" spans="1:16" x14ac:dyDescent="0.3">
      <c r="A380">
        <v>2231</v>
      </c>
      <c r="B380" t="s">
        <v>419</v>
      </c>
      <c r="C380" s="2">
        <v>64250</v>
      </c>
      <c r="D380">
        <v>49</v>
      </c>
      <c r="E380" s="2">
        <v>4986448</v>
      </c>
      <c r="F380">
        <v>76.8</v>
      </c>
      <c r="G380">
        <v>78</v>
      </c>
      <c r="H380">
        <v>76.8</v>
      </c>
      <c r="I380">
        <v>78</v>
      </c>
      <c r="J380" t="s">
        <v>10</v>
      </c>
      <c r="K380">
        <v>1.3</v>
      </c>
      <c r="L380">
        <v>77.8</v>
      </c>
      <c r="M380">
        <v>3</v>
      </c>
      <c r="N380">
        <v>78</v>
      </c>
      <c r="O380">
        <v>12</v>
      </c>
      <c r="P380">
        <v>16.739999999999998</v>
      </c>
    </row>
    <row r="381" spans="1:16" x14ac:dyDescent="0.3">
      <c r="A381">
        <v>2301</v>
      </c>
      <c r="B381" t="s">
        <v>420</v>
      </c>
      <c r="C381" s="2">
        <v>5247001</v>
      </c>
      <c r="D381" s="2">
        <v>2560</v>
      </c>
      <c r="E381" s="2">
        <v>277341824</v>
      </c>
      <c r="F381">
        <v>52.8</v>
      </c>
      <c r="G381">
        <v>53.6</v>
      </c>
      <c r="H381">
        <v>51.8</v>
      </c>
      <c r="I381">
        <v>52.7</v>
      </c>
      <c r="J381" t="s">
        <v>10</v>
      </c>
      <c r="K381">
        <v>0.1</v>
      </c>
      <c r="L381">
        <v>52.7</v>
      </c>
      <c r="M381">
        <v>10</v>
      </c>
      <c r="N381">
        <v>52.8</v>
      </c>
      <c r="O381">
        <v>1</v>
      </c>
      <c r="P381">
        <v>15.45</v>
      </c>
    </row>
    <row r="382" spans="1:16" x14ac:dyDescent="0.3">
      <c r="A382">
        <v>2302</v>
      </c>
      <c r="B382" t="s">
        <v>421</v>
      </c>
      <c r="C382" s="2">
        <v>111577</v>
      </c>
      <c r="D382">
        <v>31</v>
      </c>
      <c r="E382" s="2">
        <v>478819</v>
      </c>
      <c r="F382">
        <v>4.2699999999999996</v>
      </c>
      <c r="G382">
        <v>4.3499999999999996</v>
      </c>
      <c r="H382">
        <v>4.22</v>
      </c>
      <c r="I382">
        <v>4.33</v>
      </c>
      <c r="J382" t="s">
        <v>10</v>
      </c>
      <c r="K382">
        <v>7.0000000000000007E-2</v>
      </c>
      <c r="L382">
        <v>4.33</v>
      </c>
      <c r="M382">
        <v>28</v>
      </c>
      <c r="N382">
        <v>4.3499999999999996</v>
      </c>
      <c r="O382">
        <v>2</v>
      </c>
      <c r="P382">
        <v>0</v>
      </c>
    </row>
    <row r="383" spans="1:16" x14ac:dyDescent="0.3">
      <c r="A383">
        <v>2303</v>
      </c>
      <c r="B383" t="s">
        <v>422</v>
      </c>
      <c r="C383" s="2">
        <v>157630239</v>
      </c>
      <c r="D383" s="2">
        <v>20899</v>
      </c>
      <c r="E383" s="2">
        <v>2378862385</v>
      </c>
      <c r="F383">
        <v>14.5</v>
      </c>
      <c r="G383">
        <v>15.4</v>
      </c>
      <c r="H383">
        <v>14.5</v>
      </c>
      <c r="I383">
        <v>15.05</v>
      </c>
      <c r="J383" t="s">
        <v>10</v>
      </c>
      <c r="K383">
        <v>0.55000000000000004</v>
      </c>
      <c r="L383">
        <v>15.05</v>
      </c>
      <c r="M383">
        <v>1679</v>
      </c>
      <c r="N383">
        <v>15.1</v>
      </c>
      <c r="O383">
        <v>268</v>
      </c>
      <c r="P383">
        <v>14.47</v>
      </c>
    </row>
    <row r="384" spans="1:16" x14ac:dyDescent="0.3">
      <c r="A384">
        <v>2305</v>
      </c>
      <c r="B384" t="s">
        <v>423</v>
      </c>
      <c r="C384" s="2">
        <v>369211</v>
      </c>
      <c r="D384">
        <v>100</v>
      </c>
      <c r="E384" s="2">
        <v>1291817</v>
      </c>
      <c r="F384">
        <v>3.36</v>
      </c>
      <c r="G384">
        <v>3.55</v>
      </c>
      <c r="H384">
        <v>3.36</v>
      </c>
      <c r="I384">
        <v>3.5</v>
      </c>
      <c r="J384" t="s">
        <v>10</v>
      </c>
      <c r="K384">
        <v>0.18</v>
      </c>
      <c r="L384">
        <v>3.5</v>
      </c>
      <c r="M384">
        <v>1</v>
      </c>
      <c r="N384">
        <v>3.52</v>
      </c>
      <c r="O384">
        <v>2</v>
      </c>
      <c r="P384">
        <v>0</v>
      </c>
    </row>
    <row r="385" spans="1:16" x14ac:dyDescent="0.3">
      <c r="A385">
        <v>2308</v>
      </c>
      <c r="B385" t="s">
        <v>424</v>
      </c>
      <c r="C385" s="2">
        <v>5370096</v>
      </c>
      <c r="D385" s="2">
        <v>2377</v>
      </c>
      <c r="E385" s="2">
        <v>752694076</v>
      </c>
      <c r="F385">
        <v>139</v>
      </c>
      <c r="G385">
        <v>142.5</v>
      </c>
      <c r="H385">
        <v>137</v>
      </c>
      <c r="I385">
        <v>142</v>
      </c>
      <c r="J385" t="s">
        <v>10</v>
      </c>
      <c r="K385">
        <v>5.5</v>
      </c>
      <c r="L385">
        <v>141.5</v>
      </c>
      <c r="M385">
        <v>5</v>
      </c>
      <c r="N385">
        <v>142</v>
      </c>
      <c r="O385">
        <v>47</v>
      </c>
      <c r="P385">
        <v>20.7</v>
      </c>
    </row>
    <row r="386" spans="1:16" x14ac:dyDescent="0.3">
      <c r="A386">
        <v>2311</v>
      </c>
      <c r="B386" t="s">
        <v>425</v>
      </c>
      <c r="C386" s="2">
        <v>24919629</v>
      </c>
      <c r="D386" s="2">
        <v>4397</v>
      </c>
      <c r="E386" s="2">
        <v>630954959</v>
      </c>
      <c r="F386">
        <v>25</v>
      </c>
      <c r="G386">
        <v>25.6</v>
      </c>
      <c r="H386">
        <v>25</v>
      </c>
      <c r="I386">
        <v>25.4</v>
      </c>
      <c r="J386" t="s">
        <v>10</v>
      </c>
      <c r="K386">
        <v>0.25</v>
      </c>
      <c r="L386">
        <v>25.4</v>
      </c>
      <c r="M386">
        <v>652</v>
      </c>
      <c r="N386">
        <v>25.45</v>
      </c>
      <c r="O386">
        <v>159</v>
      </c>
      <c r="P386">
        <v>14.27</v>
      </c>
    </row>
    <row r="387" spans="1:16" x14ac:dyDescent="0.3">
      <c r="A387">
        <v>2312</v>
      </c>
      <c r="B387" t="s">
        <v>426</v>
      </c>
      <c r="C387" s="2">
        <v>15494756</v>
      </c>
      <c r="D387" s="2">
        <v>2642</v>
      </c>
      <c r="E387" s="2">
        <v>140450292</v>
      </c>
      <c r="F387">
        <v>8.85</v>
      </c>
      <c r="G387">
        <v>9.25</v>
      </c>
      <c r="H387">
        <v>8.6999999999999993</v>
      </c>
      <c r="I387">
        <v>9.25</v>
      </c>
      <c r="J387" t="s">
        <v>10</v>
      </c>
      <c r="K387">
        <v>0.6</v>
      </c>
      <c r="L387">
        <v>9.25</v>
      </c>
      <c r="M387">
        <v>22630</v>
      </c>
      <c r="N387" t="s">
        <v>152</v>
      </c>
      <c r="O387">
        <v>0</v>
      </c>
      <c r="P387">
        <v>31.9</v>
      </c>
    </row>
    <row r="388" spans="1:16" x14ac:dyDescent="0.3">
      <c r="A388">
        <v>2313</v>
      </c>
      <c r="B388" t="s">
        <v>427</v>
      </c>
      <c r="C388" s="2">
        <v>16014267</v>
      </c>
      <c r="D388" s="2">
        <v>2878</v>
      </c>
      <c r="E388" s="2">
        <v>212922953</v>
      </c>
      <c r="F388">
        <v>13.2</v>
      </c>
      <c r="G388">
        <v>13.45</v>
      </c>
      <c r="H388">
        <v>13.05</v>
      </c>
      <c r="I388">
        <v>13.3</v>
      </c>
      <c r="J388" t="s">
        <v>10</v>
      </c>
      <c r="K388">
        <v>0.1</v>
      </c>
      <c r="L388">
        <v>13.3</v>
      </c>
      <c r="M388">
        <v>277</v>
      </c>
      <c r="N388">
        <v>13.35</v>
      </c>
      <c r="O388">
        <v>247</v>
      </c>
      <c r="P388">
        <v>15.47</v>
      </c>
    </row>
    <row r="389" spans="1:16" x14ac:dyDescent="0.3">
      <c r="A389">
        <v>2314</v>
      </c>
      <c r="B389" t="s">
        <v>428</v>
      </c>
      <c r="C389" s="2">
        <v>2836654</v>
      </c>
      <c r="D389">
        <v>962</v>
      </c>
      <c r="E389" s="2">
        <v>52074089</v>
      </c>
      <c r="F389">
        <v>18</v>
      </c>
      <c r="G389">
        <v>18.600000000000001</v>
      </c>
      <c r="H389">
        <v>17.95</v>
      </c>
      <c r="I389">
        <v>18.3</v>
      </c>
      <c r="J389" t="s">
        <v>10</v>
      </c>
      <c r="K389">
        <v>0.15</v>
      </c>
      <c r="L389">
        <v>18.25</v>
      </c>
      <c r="M389">
        <v>78</v>
      </c>
      <c r="N389">
        <v>18.3</v>
      </c>
      <c r="O389">
        <v>22</v>
      </c>
      <c r="P389">
        <v>0</v>
      </c>
    </row>
    <row r="390" spans="1:16" x14ac:dyDescent="0.3">
      <c r="A390">
        <v>2315</v>
      </c>
      <c r="B390" t="s">
        <v>429</v>
      </c>
      <c r="C390" s="2">
        <v>5105152</v>
      </c>
      <c r="D390" s="2">
        <v>2451</v>
      </c>
      <c r="E390" s="2">
        <v>55354390</v>
      </c>
      <c r="F390">
        <v>10.75</v>
      </c>
      <c r="G390">
        <v>10.95</v>
      </c>
      <c r="H390">
        <v>10.65</v>
      </c>
      <c r="I390">
        <v>10.85</v>
      </c>
      <c r="J390" t="s">
        <v>10</v>
      </c>
      <c r="K390">
        <v>0.1</v>
      </c>
      <c r="L390">
        <v>10.85</v>
      </c>
      <c r="M390">
        <v>361</v>
      </c>
      <c r="N390">
        <v>10.9</v>
      </c>
      <c r="O390">
        <v>221</v>
      </c>
      <c r="P390">
        <v>25.83</v>
      </c>
    </row>
    <row r="391" spans="1:16" x14ac:dyDescent="0.3">
      <c r="A391">
        <v>2316</v>
      </c>
      <c r="B391" t="s">
        <v>430</v>
      </c>
      <c r="C391" s="2">
        <v>447494</v>
      </c>
      <c r="D391">
        <v>167</v>
      </c>
      <c r="E391" s="2">
        <v>5436150</v>
      </c>
      <c r="F391">
        <v>12.15</v>
      </c>
      <c r="G391">
        <v>12.3</v>
      </c>
      <c r="H391">
        <v>12.05</v>
      </c>
      <c r="I391">
        <v>12.2</v>
      </c>
      <c r="J391" t="s">
        <v>10</v>
      </c>
      <c r="K391">
        <v>0.05</v>
      </c>
      <c r="L391">
        <v>12.2</v>
      </c>
      <c r="M391">
        <v>9</v>
      </c>
      <c r="N391">
        <v>12.25</v>
      </c>
      <c r="O391">
        <v>64</v>
      </c>
      <c r="P391">
        <v>10.61</v>
      </c>
    </row>
    <row r="392" spans="1:16" x14ac:dyDescent="0.3">
      <c r="A392">
        <v>2317</v>
      </c>
      <c r="B392" t="s">
        <v>431</v>
      </c>
      <c r="C392" s="2">
        <v>28664968</v>
      </c>
      <c r="D392" s="2">
        <v>11687</v>
      </c>
      <c r="E392" s="2">
        <v>2124797941</v>
      </c>
      <c r="F392">
        <v>74</v>
      </c>
      <c r="G392">
        <v>74.5</v>
      </c>
      <c r="H392">
        <v>73.5</v>
      </c>
      <c r="I392">
        <v>74.099999999999994</v>
      </c>
      <c r="J392" t="s">
        <v>10</v>
      </c>
      <c r="K392">
        <v>0.1</v>
      </c>
      <c r="L392">
        <v>74.099999999999994</v>
      </c>
      <c r="M392">
        <v>99</v>
      </c>
      <c r="N392">
        <v>74.2</v>
      </c>
      <c r="O392">
        <v>76</v>
      </c>
      <c r="P392">
        <v>9.11</v>
      </c>
    </row>
    <row r="393" spans="1:16" x14ac:dyDescent="0.3">
      <c r="A393">
        <v>2321</v>
      </c>
      <c r="B393" t="s">
        <v>432</v>
      </c>
      <c r="C393" s="2">
        <v>150141</v>
      </c>
      <c r="D393">
        <v>37</v>
      </c>
      <c r="E393" s="2">
        <v>394371</v>
      </c>
      <c r="F393">
        <v>2.61</v>
      </c>
      <c r="G393">
        <v>2.63</v>
      </c>
      <c r="H393">
        <v>2.61</v>
      </c>
      <c r="I393">
        <v>2.61</v>
      </c>
      <c r="J393" t="s">
        <v>7</v>
      </c>
      <c r="K393">
        <v>0.15</v>
      </c>
      <c r="L393" t="s">
        <v>152</v>
      </c>
      <c r="M393">
        <v>0</v>
      </c>
      <c r="N393">
        <v>2.61</v>
      </c>
      <c r="O393">
        <v>14</v>
      </c>
      <c r="P393">
        <v>0</v>
      </c>
    </row>
    <row r="394" spans="1:16" x14ac:dyDescent="0.3">
      <c r="A394">
        <v>2323</v>
      </c>
      <c r="B394" t="s">
        <v>433</v>
      </c>
      <c r="C394" s="2">
        <v>7519425</v>
      </c>
      <c r="D394" s="2">
        <v>1262</v>
      </c>
      <c r="E394" s="2">
        <v>41313559</v>
      </c>
      <c r="F394">
        <v>5.46</v>
      </c>
      <c r="G394">
        <v>5.54</v>
      </c>
      <c r="H394">
        <v>5.43</v>
      </c>
      <c r="I394">
        <v>5.51</v>
      </c>
      <c r="J394" t="s">
        <v>10</v>
      </c>
      <c r="K394">
        <v>0.04</v>
      </c>
      <c r="L394">
        <v>5.51</v>
      </c>
      <c r="M394">
        <v>6</v>
      </c>
      <c r="N394">
        <v>5.52</v>
      </c>
      <c r="O394">
        <v>182</v>
      </c>
      <c r="P394">
        <v>0</v>
      </c>
    </row>
    <row r="395" spans="1:16" x14ac:dyDescent="0.3">
      <c r="A395">
        <v>2324</v>
      </c>
      <c r="B395" t="s">
        <v>434</v>
      </c>
      <c r="C395" s="2">
        <v>32917639</v>
      </c>
      <c r="D395" s="2">
        <v>8526</v>
      </c>
      <c r="E395" s="2">
        <v>573982139</v>
      </c>
      <c r="F395">
        <v>16.850000000000001</v>
      </c>
      <c r="G395">
        <v>17.95</v>
      </c>
      <c r="H395">
        <v>16.7</v>
      </c>
      <c r="I395">
        <v>17.7</v>
      </c>
      <c r="J395" t="s">
        <v>10</v>
      </c>
      <c r="K395">
        <v>0.85</v>
      </c>
      <c r="L395">
        <v>17.7</v>
      </c>
      <c r="M395">
        <v>69</v>
      </c>
      <c r="N395">
        <v>17.75</v>
      </c>
      <c r="O395">
        <v>65</v>
      </c>
      <c r="P395">
        <v>13.11</v>
      </c>
    </row>
    <row r="396" spans="1:16" x14ac:dyDescent="0.3">
      <c r="A396">
        <v>2325</v>
      </c>
      <c r="B396" t="s">
        <v>435</v>
      </c>
      <c r="C396" s="2">
        <v>21377564</v>
      </c>
      <c r="D396" s="2">
        <v>5374</v>
      </c>
      <c r="E396" s="2">
        <v>829919323</v>
      </c>
      <c r="F396">
        <v>38</v>
      </c>
      <c r="G396">
        <v>39.5</v>
      </c>
      <c r="H396">
        <v>37.799999999999997</v>
      </c>
      <c r="I396">
        <v>39</v>
      </c>
      <c r="J396" t="s">
        <v>10</v>
      </c>
      <c r="K396">
        <v>1.3</v>
      </c>
      <c r="L396">
        <v>39</v>
      </c>
      <c r="M396">
        <v>566</v>
      </c>
      <c r="N396">
        <v>39.15</v>
      </c>
      <c r="O396">
        <v>119</v>
      </c>
      <c r="P396">
        <v>27.08</v>
      </c>
    </row>
    <row r="397" spans="1:16" x14ac:dyDescent="0.3">
      <c r="A397">
        <v>2327</v>
      </c>
      <c r="B397" t="s">
        <v>436</v>
      </c>
      <c r="C397" s="2">
        <v>1800375</v>
      </c>
      <c r="D397">
        <v>433</v>
      </c>
      <c r="E397" s="2">
        <v>18423018</v>
      </c>
      <c r="F397">
        <v>10.199999999999999</v>
      </c>
      <c r="G397">
        <v>10.3</v>
      </c>
      <c r="H397">
        <v>10.15</v>
      </c>
      <c r="I397">
        <v>10.25</v>
      </c>
      <c r="J397" t="s">
        <v>10</v>
      </c>
      <c r="K397">
        <v>0.1</v>
      </c>
      <c r="L397">
        <v>10.25</v>
      </c>
      <c r="M397">
        <v>57</v>
      </c>
      <c r="N397">
        <v>10.3</v>
      </c>
      <c r="O397">
        <v>151</v>
      </c>
      <c r="P397">
        <v>21.81</v>
      </c>
    </row>
    <row r="398" spans="1:16" x14ac:dyDescent="0.3">
      <c r="A398">
        <v>2328</v>
      </c>
      <c r="B398" t="s">
        <v>437</v>
      </c>
      <c r="C398" s="2">
        <v>676799</v>
      </c>
      <c r="D398">
        <v>360</v>
      </c>
      <c r="E398" s="2">
        <v>15889021</v>
      </c>
      <c r="F398">
        <v>23.35</v>
      </c>
      <c r="G398">
        <v>23.65</v>
      </c>
      <c r="H398">
        <v>23.35</v>
      </c>
      <c r="I398">
        <v>23.5</v>
      </c>
      <c r="J398" t="s">
        <v>10</v>
      </c>
      <c r="K398">
        <v>0.2</v>
      </c>
      <c r="L398">
        <v>23.5</v>
      </c>
      <c r="M398">
        <v>18</v>
      </c>
      <c r="N398">
        <v>23.6</v>
      </c>
      <c r="O398">
        <v>13</v>
      </c>
      <c r="P398">
        <v>28.66</v>
      </c>
    </row>
    <row r="399" spans="1:16" x14ac:dyDescent="0.3">
      <c r="A399">
        <v>2329</v>
      </c>
      <c r="B399" t="s">
        <v>438</v>
      </c>
      <c r="C399" s="2">
        <v>754478</v>
      </c>
      <c r="D399">
        <v>226</v>
      </c>
      <c r="E399" s="2">
        <v>3788133</v>
      </c>
      <c r="F399">
        <v>4.96</v>
      </c>
      <c r="G399">
        <v>5.07</v>
      </c>
      <c r="H399">
        <v>4.96</v>
      </c>
      <c r="I399">
        <v>5.04</v>
      </c>
      <c r="J399" t="s">
        <v>10</v>
      </c>
      <c r="K399">
        <v>7.0000000000000007E-2</v>
      </c>
      <c r="L399">
        <v>5.0199999999999996</v>
      </c>
      <c r="M399">
        <v>50</v>
      </c>
      <c r="N399">
        <v>5.04</v>
      </c>
      <c r="O399">
        <v>23</v>
      </c>
      <c r="P399">
        <v>0</v>
      </c>
    </row>
    <row r="400" spans="1:16" x14ac:dyDescent="0.3">
      <c r="A400">
        <v>2330</v>
      </c>
      <c r="B400" t="s">
        <v>439</v>
      </c>
      <c r="C400" s="2">
        <v>51935015</v>
      </c>
      <c r="D400" s="2">
        <v>14947</v>
      </c>
      <c r="E400" s="2">
        <v>5643988850</v>
      </c>
      <c r="F400">
        <v>109</v>
      </c>
      <c r="G400">
        <v>109.5</v>
      </c>
      <c r="H400">
        <v>108</v>
      </c>
      <c r="I400">
        <v>108</v>
      </c>
      <c r="J400" t="s">
        <v>7</v>
      </c>
      <c r="K400">
        <v>3</v>
      </c>
      <c r="L400">
        <v>108</v>
      </c>
      <c r="M400">
        <v>974</v>
      </c>
      <c r="N400">
        <v>108.5</v>
      </c>
      <c r="O400">
        <v>962</v>
      </c>
      <c r="P400">
        <v>16.27</v>
      </c>
    </row>
    <row r="401" spans="1:16" x14ac:dyDescent="0.3">
      <c r="A401">
        <v>2331</v>
      </c>
      <c r="B401" t="s">
        <v>440</v>
      </c>
      <c r="C401" s="2">
        <v>5683329</v>
      </c>
      <c r="D401" s="2">
        <v>1461</v>
      </c>
      <c r="E401" s="2">
        <v>67833798</v>
      </c>
      <c r="F401">
        <v>11.85</v>
      </c>
      <c r="G401">
        <v>12.1</v>
      </c>
      <c r="H401">
        <v>11.75</v>
      </c>
      <c r="I401">
        <v>11.95</v>
      </c>
      <c r="J401" t="s">
        <v>10</v>
      </c>
      <c r="K401">
        <v>0.1</v>
      </c>
      <c r="L401">
        <v>11.95</v>
      </c>
      <c r="M401">
        <v>97</v>
      </c>
      <c r="N401">
        <v>12</v>
      </c>
      <c r="O401">
        <v>28</v>
      </c>
      <c r="P401">
        <v>23.9</v>
      </c>
    </row>
    <row r="402" spans="1:16" x14ac:dyDescent="0.3">
      <c r="A402">
        <v>2332</v>
      </c>
      <c r="B402" t="s">
        <v>441</v>
      </c>
      <c r="C402" s="2">
        <v>2156480</v>
      </c>
      <c r="D402">
        <v>991</v>
      </c>
      <c r="E402" s="2">
        <v>40090644</v>
      </c>
      <c r="F402">
        <v>18.25</v>
      </c>
      <c r="G402">
        <v>18.7</v>
      </c>
      <c r="H402">
        <v>18.25</v>
      </c>
      <c r="I402">
        <v>18.649999999999999</v>
      </c>
      <c r="J402" t="s">
        <v>10</v>
      </c>
      <c r="K402">
        <v>0.3</v>
      </c>
      <c r="L402">
        <v>18.600000000000001</v>
      </c>
      <c r="M402">
        <v>35</v>
      </c>
      <c r="N402">
        <v>18.649999999999999</v>
      </c>
      <c r="O402">
        <v>13</v>
      </c>
      <c r="P402">
        <v>17.11</v>
      </c>
    </row>
    <row r="403" spans="1:16" x14ac:dyDescent="0.3">
      <c r="A403">
        <v>2337</v>
      </c>
      <c r="B403" t="s">
        <v>442</v>
      </c>
      <c r="C403" s="2">
        <v>29035272</v>
      </c>
      <c r="D403" s="2">
        <v>6458</v>
      </c>
      <c r="E403" s="2">
        <v>207288344</v>
      </c>
      <c r="F403">
        <v>6.95</v>
      </c>
      <c r="G403">
        <v>7.28</v>
      </c>
      <c r="H403">
        <v>6.89</v>
      </c>
      <c r="I403">
        <v>7.26</v>
      </c>
      <c r="J403" t="s">
        <v>10</v>
      </c>
      <c r="K403">
        <v>0.31</v>
      </c>
      <c r="L403">
        <v>7.25</v>
      </c>
      <c r="M403">
        <v>67</v>
      </c>
      <c r="N403">
        <v>7.26</v>
      </c>
      <c r="O403">
        <v>223</v>
      </c>
      <c r="P403">
        <v>0</v>
      </c>
    </row>
    <row r="404" spans="1:16" x14ac:dyDescent="0.3">
      <c r="A404">
        <v>2338</v>
      </c>
      <c r="B404" t="s">
        <v>443</v>
      </c>
      <c r="C404" s="2">
        <v>573947</v>
      </c>
      <c r="D404">
        <v>177</v>
      </c>
      <c r="E404" s="2">
        <v>5782440</v>
      </c>
      <c r="F404">
        <v>10</v>
      </c>
      <c r="G404">
        <v>10.199999999999999</v>
      </c>
      <c r="H404">
        <v>9.9700000000000006</v>
      </c>
      <c r="I404">
        <v>10.1</v>
      </c>
      <c r="J404" t="s">
        <v>10</v>
      </c>
      <c r="K404">
        <v>0.12</v>
      </c>
      <c r="L404">
        <v>10.050000000000001</v>
      </c>
      <c r="M404">
        <v>46</v>
      </c>
      <c r="N404">
        <v>10.1</v>
      </c>
      <c r="O404">
        <v>115</v>
      </c>
      <c r="P404">
        <v>27.3</v>
      </c>
    </row>
    <row r="405" spans="1:16" x14ac:dyDescent="0.3">
      <c r="A405">
        <v>2340</v>
      </c>
      <c r="B405" t="s">
        <v>444</v>
      </c>
      <c r="C405" s="2">
        <v>1363334</v>
      </c>
      <c r="D405">
        <v>507</v>
      </c>
      <c r="E405" s="2">
        <v>15659988</v>
      </c>
      <c r="F405">
        <v>11.3</v>
      </c>
      <c r="G405">
        <v>11.6</v>
      </c>
      <c r="H405">
        <v>11.3</v>
      </c>
      <c r="I405">
        <v>11.6</v>
      </c>
      <c r="J405" t="s">
        <v>10</v>
      </c>
      <c r="K405">
        <v>0.3</v>
      </c>
      <c r="L405">
        <v>11.55</v>
      </c>
      <c r="M405">
        <v>33</v>
      </c>
      <c r="N405">
        <v>11.6</v>
      </c>
      <c r="O405">
        <v>63</v>
      </c>
      <c r="P405">
        <v>17.059999999999999</v>
      </c>
    </row>
    <row r="406" spans="1:16" x14ac:dyDescent="0.3">
      <c r="A406">
        <v>2342</v>
      </c>
      <c r="B406" t="s">
        <v>445</v>
      </c>
      <c r="C406" s="2">
        <v>1950208</v>
      </c>
      <c r="D406">
        <v>305</v>
      </c>
      <c r="E406" s="2">
        <v>13007851</v>
      </c>
      <c r="F406">
        <v>6.67</v>
      </c>
      <c r="G406">
        <v>6.67</v>
      </c>
      <c r="H406">
        <v>6.67</v>
      </c>
      <c r="I406">
        <v>6.67</v>
      </c>
      <c r="J406" t="s">
        <v>10</v>
      </c>
      <c r="K406">
        <v>0.43</v>
      </c>
      <c r="L406">
        <v>6.67</v>
      </c>
      <c r="M406">
        <v>4343</v>
      </c>
      <c r="N406" t="s">
        <v>152</v>
      </c>
      <c r="O406">
        <v>0</v>
      </c>
      <c r="P406">
        <v>0</v>
      </c>
    </row>
    <row r="407" spans="1:16" x14ac:dyDescent="0.3">
      <c r="A407">
        <v>2344</v>
      </c>
      <c r="B407" t="s">
        <v>446</v>
      </c>
      <c r="C407" s="2">
        <v>25328623</v>
      </c>
      <c r="D407" s="2">
        <v>4765</v>
      </c>
      <c r="E407" s="2">
        <v>222730712</v>
      </c>
      <c r="F407">
        <v>8.56</v>
      </c>
      <c r="G407">
        <v>8.9</v>
      </c>
      <c r="H407">
        <v>8.5299999999999994</v>
      </c>
      <c r="I407">
        <v>8.83</v>
      </c>
      <c r="J407" t="s">
        <v>10</v>
      </c>
      <c r="K407">
        <v>0.35</v>
      </c>
      <c r="L407">
        <v>8.82</v>
      </c>
      <c r="M407">
        <v>223</v>
      </c>
      <c r="N407">
        <v>8.83</v>
      </c>
      <c r="O407">
        <v>75</v>
      </c>
      <c r="P407">
        <v>0</v>
      </c>
    </row>
    <row r="408" spans="1:16" x14ac:dyDescent="0.3">
      <c r="A408">
        <v>2345</v>
      </c>
      <c r="B408" t="s">
        <v>447</v>
      </c>
      <c r="C408" s="2">
        <v>5299441</v>
      </c>
      <c r="D408" s="2">
        <v>1805</v>
      </c>
      <c r="E408" s="2">
        <v>100887179</v>
      </c>
      <c r="F408">
        <v>18.600000000000001</v>
      </c>
      <c r="G408">
        <v>19.2</v>
      </c>
      <c r="H408">
        <v>18.600000000000001</v>
      </c>
      <c r="I408">
        <v>19.100000000000001</v>
      </c>
      <c r="J408" t="s">
        <v>10</v>
      </c>
      <c r="K408">
        <v>0.5</v>
      </c>
      <c r="L408">
        <v>19.05</v>
      </c>
      <c r="M408">
        <v>16</v>
      </c>
      <c r="N408">
        <v>19.100000000000001</v>
      </c>
      <c r="O408">
        <v>11</v>
      </c>
      <c r="P408">
        <v>12.4</v>
      </c>
    </row>
    <row r="409" spans="1:16" x14ac:dyDescent="0.3">
      <c r="A409">
        <v>2347</v>
      </c>
      <c r="B409" t="s">
        <v>448</v>
      </c>
      <c r="C409" s="2">
        <v>5860374</v>
      </c>
      <c r="D409" s="2">
        <v>2590</v>
      </c>
      <c r="E409" s="2">
        <v>231205884</v>
      </c>
      <c r="F409">
        <v>39</v>
      </c>
      <c r="G409">
        <v>39.799999999999997</v>
      </c>
      <c r="H409">
        <v>38.75</v>
      </c>
      <c r="I409">
        <v>39.549999999999997</v>
      </c>
      <c r="J409" t="s">
        <v>10</v>
      </c>
      <c r="K409">
        <v>0.4</v>
      </c>
      <c r="L409">
        <v>39.5</v>
      </c>
      <c r="M409">
        <v>111</v>
      </c>
      <c r="N409">
        <v>39.549999999999997</v>
      </c>
      <c r="O409">
        <v>28</v>
      </c>
      <c r="P409">
        <v>12.52</v>
      </c>
    </row>
    <row r="410" spans="1:16" x14ac:dyDescent="0.3">
      <c r="A410">
        <v>2348</v>
      </c>
      <c r="B410" t="s">
        <v>449</v>
      </c>
      <c r="C410" s="2">
        <v>1024</v>
      </c>
      <c r="D410">
        <v>5</v>
      </c>
      <c r="E410" s="2">
        <v>58996</v>
      </c>
      <c r="F410">
        <v>57.7</v>
      </c>
      <c r="G410">
        <v>57.7</v>
      </c>
      <c r="H410">
        <v>57.7</v>
      </c>
      <c r="I410">
        <v>57.7</v>
      </c>
      <c r="J410" t="s">
        <v>10</v>
      </c>
      <c r="K410">
        <v>3.7</v>
      </c>
      <c r="L410" t="s">
        <v>152</v>
      </c>
      <c r="M410">
        <v>0</v>
      </c>
      <c r="N410" t="s">
        <v>152</v>
      </c>
      <c r="O410">
        <v>0</v>
      </c>
      <c r="P410">
        <v>0</v>
      </c>
    </row>
    <row r="411" spans="1:16" x14ac:dyDescent="0.3">
      <c r="A411">
        <v>2349</v>
      </c>
      <c r="B411" t="s">
        <v>450</v>
      </c>
      <c r="C411" s="2">
        <v>15840450</v>
      </c>
      <c r="D411" s="2">
        <v>2551</v>
      </c>
      <c r="E411" s="2">
        <v>90170473</v>
      </c>
      <c r="F411">
        <v>5.6</v>
      </c>
      <c r="G411">
        <v>5.77</v>
      </c>
      <c r="H411">
        <v>5.51</v>
      </c>
      <c r="I411">
        <v>5.74</v>
      </c>
      <c r="J411" t="s">
        <v>10</v>
      </c>
      <c r="K411">
        <v>0.08</v>
      </c>
      <c r="L411">
        <v>5.73</v>
      </c>
      <c r="M411">
        <v>277</v>
      </c>
      <c r="N411">
        <v>5.74</v>
      </c>
      <c r="O411">
        <v>8</v>
      </c>
      <c r="P411">
        <v>0</v>
      </c>
    </row>
    <row r="412" spans="1:16" x14ac:dyDescent="0.3">
      <c r="A412">
        <v>2351</v>
      </c>
      <c r="B412" t="s">
        <v>451</v>
      </c>
      <c r="C412" s="2">
        <v>1807129</v>
      </c>
      <c r="D412">
        <v>764</v>
      </c>
      <c r="E412" s="2">
        <v>55846649</v>
      </c>
      <c r="F412">
        <v>30.35</v>
      </c>
      <c r="G412">
        <v>31.45</v>
      </c>
      <c r="H412">
        <v>30.35</v>
      </c>
      <c r="I412">
        <v>31.15</v>
      </c>
      <c r="J412" t="s">
        <v>10</v>
      </c>
      <c r="K412">
        <v>1.4</v>
      </c>
      <c r="L412">
        <v>31.1</v>
      </c>
      <c r="M412">
        <v>21</v>
      </c>
      <c r="N412">
        <v>31.15</v>
      </c>
      <c r="O412">
        <v>14</v>
      </c>
      <c r="P412">
        <v>19.11</v>
      </c>
    </row>
    <row r="413" spans="1:16" x14ac:dyDescent="0.3">
      <c r="A413">
        <v>2352</v>
      </c>
      <c r="B413" t="s">
        <v>452</v>
      </c>
      <c r="C413" s="2">
        <v>2960480</v>
      </c>
      <c r="D413" s="2">
        <v>1320</v>
      </c>
      <c r="E413" s="2">
        <v>20273579</v>
      </c>
      <c r="F413">
        <v>6.77</v>
      </c>
      <c r="G413">
        <v>6.94</v>
      </c>
      <c r="H413">
        <v>6.71</v>
      </c>
      <c r="I413">
        <v>6.86</v>
      </c>
      <c r="J413" t="s">
        <v>10</v>
      </c>
      <c r="K413">
        <v>0.11</v>
      </c>
      <c r="L413">
        <v>6.86</v>
      </c>
      <c r="M413">
        <v>4</v>
      </c>
      <c r="N413">
        <v>6.87</v>
      </c>
      <c r="O413">
        <v>45</v>
      </c>
      <c r="P413">
        <v>0</v>
      </c>
    </row>
    <row r="414" spans="1:16" x14ac:dyDescent="0.3">
      <c r="A414">
        <v>2353</v>
      </c>
      <c r="B414" t="s">
        <v>453</v>
      </c>
      <c r="C414" s="2">
        <v>25911750</v>
      </c>
      <c r="D414" s="2">
        <v>7725</v>
      </c>
      <c r="E414" s="2">
        <v>578946950</v>
      </c>
      <c r="F414">
        <v>21.55</v>
      </c>
      <c r="G414">
        <v>23</v>
      </c>
      <c r="H414">
        <v>21.25</v>
      </c>
      <c r="I414">
        <v>23</v>
      </c>
      <c r="J414" t="s">
        <v>10</v>
      </c>
      <c r="K414">
        <v>1.5</v>
      </c>
      <c r="L414">
        <v>23</v>
      </c>
      <c r="M414">
        <v>13068</v>
      </c>
      <c r="N414" t="s">
        <v>152</v>
      </c>
      <c r="O414">
        <v>0</v>
      </c>
      <c r="P414">
        <v>0</v>
      </c>
    </row>
    <row r="415" spans="1:16" x14ac:dyDescent="0.3">
      <c r="A415">
        <v>2354</v>
      </c>
      <c r="B415" t="s">
        <v>454</v>
      </c>
      <c r="C415" s="2">
        <v>2343023</v>
      </c>
      <c r="D415" s="2">
        <v>1490</v>
      </c>
      <c r="E415" s="2">
        <v>171807784</v>
      </c>
      <c r="F415">
        <v>72.8</v>
      </c>
      <c r="G415">
        <v>73.900000000000006</v>
      </c>
      <c r="H415">
        <v>72.5</v>
      </c>
      <c r="I415">
        <v>73.5</v>
      </c>
      <c r="J415" t="s">
        <v>10</v>
      </c>
      <c r="K415">
        <v>0.7</v>
      </c>
      <c r="L415">
        <v>73.400000000000006</v>
      </c>
      <c r="M415">
        <v>9</v>
      </c>
      <c r="N415">
        <v>73.5</v>
      </c>
      <c r="O415">
        <v>26</v>
      </c>
      <c r="P415">
        <v>11.4</v>
      </c>
    </row>
    <row r="416" spans="1:16" x14ac:dyDescent="0.3">
      <c r="A416">
        <v>2355</v>
      </c>
      <c r="B416" t="s">
        <v>455</v>
      </c>
      <c r="C416" s="2">
        <v>4309564</v>
      </c>
      <c r="D416" s="2">
        <v>2031</v>
      </c>
      <c r="E416" s="2">
        <v>191173429</v>
      </c>
      <c r="F416">
        <v>44.2</v>
      </c>
      <c r="G416">
        <v>45.5</v>
      </c>
      <c r="H416">
        <v>43.1</v>
      </c>
      <c r="I416">
        <v>44.4</v>
      </c>
      <c r="J416" t="s">
        <v>10</v>
      </c>
      <c r="K416">
        <v>0.4</v>
      </c>
      <c r="L416">
        <v>44.3</v>
      </c>
      <c r="M416">
        <v>14</v>
      </c>
      <c r="N416">
        <v>44.45</v>
      </c>
      <c r="O416">
        <v>9</v>
      </c>
      <c r="P416">
        <v>10.7</v>
      </c>
    </row>
    <row r="417" spans="1:16" x14ac:dyDescent="0.3">
      <c r="A417">
        <v>2356</v>
      </c>
      <c r="B417" t="s">
        <v>456</v>
      </c>
      <c r="C417" s="2">
        <v>24499091</v>
      </c>
      <c r="D417" s="2">
        <v>6976</v>
      </c>
      <c r="E417" s="2">
        <v>423314911</v>
      </c>
      <c r="F417">
        <v>16.95</v>
      </c>
      <c r="G417">
        <v>17.55</v>
      </c>
      <c r="H417">
        <v>16.8</v>
      </c>
      <c r="I417">
        <v>17.5</v>
      </c>
      <c r="J417" t="s">
        <v>10</v>
      </c>
      <c r="K417">
        <v>0.8</v>
      </c>
      <c r="L417">
        <v>17.45</v>
      </c>
      <c r="M417">
        <v>55</v>
      </c>
      <c r="N417">
        <v>17.5</v>
      </c>
      <c r="O417">
        <v>54</v>
      </c>
      <c r="P417">
        <v>13.67</v>
      </c>
    </row>
    <row r="418" spans="1:16" x14ac:dyDescent="0.3">
      <c r="A418">
        <v>2357</v>
      </c>
      <c r="B418" t="s">
        <v>457</v>
      </c>
      <c r="C418" s="2">
        <v>16436841</v>
      </c>
      <c r="D418" s="2">
        <v>8056</v>
      </c>
      <c r="E418" s="2">
        <v>4339051888</v>
      </c>
      <c r="F418">
        <v>259</v>
      </c>
      <c r="G418">
        <v>269</v>
      </c>
      <c r="H418">
        <v>257.5</v>
      </c>
      <c r="I418">
        <v>266</v>
      </c>
      <c r="J418" t="s">
        <v>10</v>
      </c>
      <c r="K418">
        <v>8</v>
      </c>
      <c r="L418">
        <v>266</v>
      </c>
      <c r="M418">
        <v>53</v>
      </c>
      <c r="N418">
        <v>266.5</v>
      </c>
      <c r="O418">
        <v>13</v>
      </c>
      <c r="P418">
        <v>8.5299999999999994</v>
      </c>
    </row>
    <row r="419" spans="1:16" x14ac:dyDescent="0.3">
      <c r="A419">
        <v>2358</v>
      </c>
      <c r="B419" t="s">
        <v>458</v>
      </c>
      <c r="C419" s="2">
        <v>90908</v>
      </c>
      <c r="D419">
        <v>48</v>
      </c>
      <c r="E419" s="2">
        <v>1039650</v>
      </c>
      <c r="F419">
        <v>11.45</v>
      </c>
      <c r="G419">
        <v>11.55</v>
      </c>
      <c r="H419">
        <v>11.4</v>
      </c>
      <c r="I419">
        <v>11.55</v>
      </c>
      <c r="J419" t="s">
        <v>10</v>
      </c>
      <c r="K419">
        <v>0.1</v>
      </c>
      <c r="L419">
        <v>11.45</v>
      </c>
      <c r="M419">
        <v>11</v>
      </c>
      <c r="N419">
        <v>11.55</v>
      </c>
      <c r="O419">
        <v>3</v>
      </c>
      <c r="P419">
        <v>0</v>
      </c>
    </row>
    <row r="420" spans="1:16" x14ac:dyDescent="0.3">
      <c r="A420">
        <v>2359</v>
      </c>
      <c r="B420" t="s">
        <v>459</v>
      </c>
      <c r="C420" s="2">
        <v>131704</v>
      </c>
      <c r="D420">
        <v>52</v>
      </c>
      <c r="E420" s="2">
        <v>1733768</v>
      </c>
      <c r="F420">
        <v>13.2</v>
      </c>
      <c r="G420">
        <v>13.2</v>
      </c>
      <c r="H420">
        <v>13.15</v>
      </c>
      <c r="I420">
        <v>13.15</v>
      </c>
      <c r="K420">
        <v>0</v>
      </c>
      <c r="L420">
        <v>13.15</v>
      </c>
      <c r="M420">
        <v>14</v>
      </c>
      <c r="N420">
        <v>13.2</v>
      </c>
      <c r="O420">
        <v>5</v>
      </c>
      <c r="P420">
        <v>164.38</v>
      </c>
    </row>
    <row r="421" spans="1:16" x14ac:dyDescent="0.3">
      <c r="A421">
        <v>2360</v>
      </c>
      <c r="B421" t="s">
        <v>460</v>
      </c>
      <c r="C421" s="2">
        <v>5015516</v>
      </c>
      <c r="D421" s="2">
        <v>1008</v>
      </c>
      <c r="E421" s="2">
        <v>265517960</v>
      </c>
      <c r="F421">
        <v>51</v>
      </c>
      <c r="G421">
        <v>54.4</v>
      </c>
      <c r="H421">
        <v>51</v>
      </c>
      <c r="I421">
        <v>54</v>
      </c>
      <c r="J421" t="s">
        <v>10</v>
      </c>
      <c r="K421">
        <v>3</v>
      </c>
      <c r="L421">
        <v>53.9</v>
      </c>
      <c r="M421">
        <v>4</v>
      </c>
      <c r="N421">
        <v>54</v>
      </c>
      <c r="O421">
        <v>92</v>
      </c>
      <c r="P421">
        <v>20.22</v>
      </c>
    </row>
    <row r="422" spans="1:16" x14ac:dyDescent="0.3">
      <c r="A422">
        <v>2361</v>
      </c>
      <c r="B422" t="s">
        <v>461</v>
      </c>
      <c r="C422" s="2">
        <v>45365</v>
      </c>
      <c r="D422">
        <v>16</v>
      </c>
      <c r="E422" s="2">
        <v>99299</v>
      </c>
      <c r="F422">
        <v>2.2000000000000002</v>
      </c>
      <c r="G422">
        <v>2.2000000000000002</v>
      </c>
      <c r="H422">
        <v>2.1</v>
      </c>
      <c r="I422">
        <v>2.2000000000000002</v>
      </c>
      <c r="K422">
        <v>0</v>
      </c>
      <c r="L422">
        <v>2.11</v>
      </c>
      <c r="M422">
        <v>8</v>
      </c>
      <c r="N422">
        <v>2.2000000000000002</v>
      </c>
      <c r="O422">
        <v>19</v>
      </c>
      <c r="P422">
        <v>7.33</v>
      </c>
    </row>
    <row r="423" spans="1:16" x14ac:dyDescent="0.3">
      <c r="A423">
        <v>2362</v>
      </c>
      <c r="B423" t="s">
        <v>462</v>
      </c>
      <c r="C423" s="2">
        <v>2425238</v>
      </c>
      <c r="D423" s="2">
        <v>1075</v>
      </c>
      <c r="E423" s="2">
        <v>118134522</v>
      </c>
      <c r="F423">
        <v>49</v>
      </c>
      <c r="G423">
        <v>49.2</v>
      </c>
      <c r="H423">
        <v>48.15</v>
      </c>
      <c r="I423">
        <v>48.85</v>
      </c>
      <c r="J423" t="s">
        <v>145</v>
      </c>
      <c r="K423">
        <v>0</v>
      </c>
      <c r="L423">
        <v>48.85</v>
      </c>
      <c r="M423">
        <v>5</v>
      </c>
      <c r="N423">
        <v>48.95</v>
      </c>
      <c r="O423">
        <v>7</v>
      </c>
      <c r="P423">
        <v>11.74</v>
      </c>
    </row>
    <row r="424" spans="1:16" x14ac:dyDescent="0.3">
      <c r="A424">
        <v>2363</v>
      </c>
      <c r="B424" t="s">
        <v>463</v>
      </c>
      <c r="C424" s="2">
        <v>3978725</v>
      </c>
      <c r="D424" s="2">
        <v>1299</v>
      </c>
      <c r="E424" s="2">
        <v>42922586</v>
      </c>
      <c r="F424">
        <v>10.4</v>
      </c>
      <c r="G424">
        <v>10.95</v>
      </c>
      <c r="H424">
        <v>10.4</v>
      </c>
      <c r="I424">
        <v>10.8</v>
      </c>
      <c r="J424" t="s">
        <v>10</v>
      </c>
      <c r="K424">
        <v>0.4</v>
      </c>
      <c r="L424">
        <v>10.8</v>
      </c>
      <c r="M424">
        <v>10</v>
      </c>
      <c r="N424">
        <v>10.85</v>
      </c>
      <c r="O424">
        <v>54</v>
      </c>
      <c r="P424">
        <v>0</v>
      </c>
    </row>
    <row r="425" spans="1:16" x14ac:dyDescent="0.3">
      <c r="A425">
        <v>2364</v>
      </c>
      <c r="B425" t="s">
        <v>464</v>
      </c>
      <c r="C425" s="2">
        <v>333453</v>
      </c>
      <c r="D425">
        <v>96</v>
      </c>
      <c r="E425" s="2">
        <v>1029640</v>
      </c>
      <c r="F425">
        <v>3.04</v>
      </c>
      <c r="G425">
        <v>3.14</v>
      </c>
      <c r="H425">
        <v>3.04</v>
      </c>
      <c r="I425">
        <v>3.14</v>
      </c>
      <c r="J425" t="s">
        <v>10</v>
      </c>
      <c r="K425">
        <v>0.12</v>
      </c>
      <c r="L425">
        <v>3.08</v>
      </c>
      <c r="M425">
        <v>41</v>
      </c>
      <c r="N425">
        <v>3.14</v>
      </c>
      <c r="O425">
        <v>8</v>
      </c>
      <c r="P425">
        <v>0</v>
      </c>
    </row>
    <row r="426" spans="1:16" x14ac:dyDescent="0.3">
      <c r="A426">
        <v>2365</v>
      </c>
      <c r="B426" t="s">
        <v>465</v>
      </c>
      <c r="C426" s="2">
        <v>1256941</v>
      </c>
      <c r="D426">
        <v>475</v>
      </c>
      <c r="E426" s="2">
        <v>14264375</v>
      </c>
      <c r="F426">
        <v>11.2</v>
      </c>
      <c r="G426">
        <v>11.55</v>
      </c>
      <c r="H426">
        <v>11.15</v>
      </c>
      <c r="I426">
        <v>11.45</v>
      </c>
      <c r="J426" t="s">
        <v>10</v>
      </c>
      <c r="K426">
        <v>0.35</v>
      </c>
      <c r="L426">
        <v>11.45</v>
      </c>
      <c r="M426">
        <v>16</v>
      </c>
      <c r="N426">
        <v>11.5</v>
      </c>
      <c r="O426">
        <v>41</v>
      </c>
      <c r="P426">
        <v>54.52</v>
      </c>
    </row>
    <row r="427" spans="1:16" x14ac:dyDescent="0.3">
      <c r="A427">
        <v>2367</v>
      </c>
      <c r="B427" t="s">
        <v>466</v>
      </c>
      <c r="C427" s="2">
        <v>10837496</v>
      </c>
      <c r="D427" s="2">
        <v>2662</v>
      </c>
      <c r="E427" s="2">
        <v>128548320</v>
      </c>
      <c r="F427">
        <v>11.7</v>
      </c>
      <c r="G427">
        <v>12.1</v>
      </c>
      <c r="H427">
        <v>11.6</v>
      </c>
      <c r="I427">
        <v>11.95</v>
      </c>
      <c r="J427" t="s">
        <v>10</v>
      </c>
      <c r="K427">
        <v>0.25</v>
      </c>
      <c r="L427">
        <v>11.95</v>
      </c>
      <c r="M427">
        <v>124</v>
      </c>
      <c r="N427">
        <v>12</v>
      </c>
      <c r="O427">
        <v>169</v>
      </c>
      <c r="P427">
        <v>0</v>
      </c>
    </row>
    <row r="428" spans="1:16" x14ac:dyDescent="0.3">
      <c r="A428">
        <v>2368</v>
      </c>
      <c r="B428" t="s">
        <v>467</v>
      </c>
      <c r="C428" s="2">
        <v>3583273</v>
      </c>
      <c r="D428">
        <v>754</v>
      </c>
      <c r="E428" s="2">
        <v>26083241</v>
      </c>
      <c r="F428">
        <v>7.25</v>
      </c>
      <c r="G428">
        <v>7.36</v>
      </c>
      <c r="H428">
        <v>7.15</v>
      </c>
      <c r="I428">
        <v>7.36</v>
      </c>
      <c r="J428" t="s">
        <v>10</v>
      </c>
      <c r="K428">
        <v>0.11</v>
      </c>
      <c r="L428">
        <v>7.35</v>
      </c>
      <c r="M428">
        <v>7</v>
      </c>
      <c r="N428">
        <v>7.36</v>
      </c>
      <c r="O428">
        <v>49</v>
      </c>
      <c r="P428">
        <v>0</v>
      </c>
    </row>
    <row r="429" spans="1:16" x14ac:dyDescent="0.3">
      <c r="A429">
        <v>2369</v>
      </c>
      <c r="B429" t="s">
        <v>468</v>
      </c>
      <c r="C429" s="2">
        <v>2779398</v>
      </c>
      <c r="D429">
        <v>913</v>
      </c>
      <c r="E429" s="2">
        <v>45432785</v>
      </c>
      <c r="F429">
        <v>16.100000000000001</v>
      </c>
      <c r="G429">
        <v>16.55</v>
      </c>
      <c r="H429">
        <v>16</v>
      </c>
      <c r="I429">
        <v>16.55</v>
      </c>
      <c r="J429" t="s">
        <v>10</v>
      </c>
      <c r="K429">
        <v>0.55000000000000004</v>
      </c>
      <c r="L429">
        <v>16.5</v>
      </c>
      <c r="M429">
        <v>228</v>
      </c>
      <c r="N429">
        <v>16.55</v>
      </c>
      <c r="O429">
        <v>13</v>
      </c>
      <c r="P429">
        <v>14.91</v>
      </c>
    </row>
    <row r="430" spans="1:16" x14ac:dyDescent="0.3">
      <c r="A430">
        <v>2371</v>
      </c>
      <c r="B430" t="s">
        <v>469</v>
      </c>
      <c r="C430" s="2">
        <v>5862418</v>
      </c>
      <c r="D430" s="2">
        <v>1369</v>
      </c>
      <c r="E430" s="2">
        <v>44558120</v>
      </c>
      <c r="F430">
        <v>7.47</v>
      </c>
      <c r="G430">
        <v>7.68</v>
      </c>
      <c r="H430">
        <v>7.47</v>
      </c>
      <c r="I430">
        <v>7.67</v>
      </c>
      <c r="J430" t="s">
        <v>10</v>
      </c>
      <c r="K430">
        <v>0.12</v>
      </c>
      <c r="L430">
        <v>7.67</v>
      </c>
      <c r="M430">
        <v>53</v>
      </c>
      <c r="N430">
        <v>7.68</v>
      </c>
      <c r="O430">
        <v>67</v>
      </c>
      <c r="P430">
        <v>0</v>
      </c>
    </row>
    <row r="431" spans="1:16" x14ac:dyDescent="0.3">
      <c r="A431">
        <v>2373</v>
      </c>
      <c r="B431" t="s">
        <v>470</v>
      </c>
      <c r="C431" s="2">
        <v>357790</v>
      </c>
      <c r="D431">
        <v>156</v>
      </c>
      <c r="E431" s="2">
        <v>20207252</v>
      </c>
      <c r="F431">
        <v>56.6</v>
      </c>
      <c r="G431">
        <v>56.9</v>
      </c>
      <c r="H431">
        <v>55.9</v>
      </c>
      <c r="I431">
        <v>56.7</v>
      </c>
      <c r="J431" t="s">
        <v>10</v>
      </c>
      <c r="K431">
        <v>0.1</v>
      </c>
      <c r="L431">
        <v>56.7</v>
      </c>
      <c r="M431">
        <v>10</v>
      </c>
      <c r="N431">
        <v>56.9</v>
      </c>
      <c r="O431">
        <v>1</v>
      </c>
      <c r="P431">
        <v>15.28</v>
      </c>
    </row>
    <row r="432" spans="1:16" x14ac:dyDescent="0.3">
      <c r="A432">
        <v>2374</v>
      </c>
      <c r="B432" t="s">
        <v>471</v>
      </c>
      <c r="C432" s="2">
        <v>566091</v>
      </c>
      <c r="D432">
        <v>257</v>
      </c>
      <c r="E432" s="2">
        <v>15149231</v>
      </c>
      <c r="F432">
        <v>26.9</v>
      </c>
      <c r="G432">
        <v>26.9</v>
      </c>
      <c r="H432">
        <v>26.65</v>
      </c>
      <c r="I432">
        <v>26.75</v>
      </c>
      <c r="J432" t="s">
        <v>7</v>
      </c>
      <c r="K432">
        <v>0.15</v>
      </c>
      <c r="L432">
        <v>26.75</v>
      </c>
      <c r="M432">
        <v>11</v>
      </c>
      <c r="N432">
        <v>26.8</v>
      </c>
      <c r="O432">
        <v>12</v>
      </c>
      <c r="P432">
        <v>10.66</v>
      </c>
    </row>
    <row r="433" spans="1:16" x14ac:dyDescent="0.3">
      <c r="A433">
        <v>2375</v>
      </c>
      <c r="B433" t="s">
        <v>472</v>
      </c>
      <c r="C433" s="2">
        <v>387865</v>
      </c>
      <c r="D433">
        <v>125</v>
      </c>
      <c r="E433" s="2">
        <v>2441463</v>
      </c>
      <c r="F433">
        <v>6.15</v>
      </c>
      <c r="G433">
        <v>6.4</v>
      </c>
      <c r="H433">
        <v>6.15</v>
      </c>
      <c r="I433">
        <v>6.27</v>
      </c>
      <c r="J433" t="s">
        <v>10</v>
      </c>
      <c r="K433">
        <v>0.03</v>
      </c>
      <c r="L433">
        <v>6.27</v>
      </c>
      <c r="M433">
        <v>1</v>
      </c>
      <c r="N433">
        <v>6.37</v>
      </c>
      <c r="O433">
        <v>4</v>
      </c>
      <c r="P433">
        <v>0</v>
      </c>
    </row>
    <row r="434" spans="1:16" x14ac:dyDescent="0.3">
      <c r="A434">
        <v>2376</v>
      </c>
      <c r="B434" t="s">
        <v>473</v>
      </c>
      <c r="C434" s="2">
        <v>621231</v>
      </c>
      <c r="D434">
        <v>411</v>
      </c>
      <c r="E434" s="2">
        <v>17539551</v>
      </c>
      <c r="F434">
        <v>28</v>
      </c>
      <c r="G434">
        <v>28.35</v>
      </c>
      <c r="H434">
        <v>28</v>
      </c>
      <c r="I434">
        <v>28.25</v>
      </c>
      <c r="J434" t="s">
        <v>10</v>
      </c>
      <c r="K434">
        <v>0.25</v>
      </c>
      <c r="L434">
        <v>28.25</v>
      </c>
      <c r="M434">
        <v>13</v>
      </c>
      <c r="N434">
        <v>28.3</v>
      </c>
      <c r="O434">
        <v>8</v>
      </c>
      <c r="P434">
        <v>9.39</v>
      </c>
    </row>
    <row r="435" spans="1:16" x14ac:dyDescent="0.3">
      <c r="A435">
        <v>2377</v>
      </c>
      <c r="B435" t="s">
        <v>474</v>
      </c>
      <c r="C435" s="2">
        <v>2408526</v>
      </c>
      <c r="D435">
        <v>733</v>
      </c>
      <c r="E435" s="2">
        <v>38118801</v>
      </c>
      <c r="F435">
        <v>15.6</v>
      </c>
      <c r="G435">
        <v>15.9</v>
      </c>
      <c r="H435">
        <v>15.6</v>
      </c>
      <c r="I435">
        <v>15.9</v>
      </c>
      <c r="J435" t="s">
        <v>10</v>
      </c>
      <c r="K435">
        <v>0.2</v>
      </c>
      <c r="L435">
        <v>15.85</v>
      </c>
      <c r="M435">
        <v>100</v>
      </c>
      <c r="N435">
        <v>15.9</v>
      </c>
      <c r="O435">
        <v>196</v>
      </c>
      <c r="P435">
        <v>11.04</v>
      </c>
    </row>
    <row r="436" spans="1:16" x14ac:dyDescent="0.3">
      <c r="A436">
        <v>2379</v>
      </c>
      <c r="B436" t="s">
        <v>475</v>
      </c>
      <c r="C436" s="2">
        <v>3356266</v>
      </c>
      <c r="D436" s="2">
        <v>1989</v>
      </c>
      <c r="E436" s="2">
        <v>238111325</v>
      </c>
      <c r="F436">
        <v>70.8</v>
      </c>
      <c r="G436">
        <v>71.7</v>
      </c>
      <c r="H436">
        <v>70.099999999999994</v>
      </c>
      <c r="I436">
        <v>70.8</v>
      </c>
      <c r="J436" t="s">
        <v>7</v>
      </c>
      <c r="K436">
        <v>0.2</v>
      </c>
      <c r="L436">
        <v>70.8</v>
      </c>
      <c r="M436">
        <v>36</v>
      </c>
      <c r="N436">
        <v>70.900000000000006</v>
      </c>
      <c r="O436">
        <v>1</v>
      </c>
      <c r="P436">
        <v>14.57</v>
      </c>
    </row>
    <row r="437" spans="1:16" x14ac:dyDescent="0.3">
      <c r="A437">
        <v>2380</v>
      </c>
      <c r="B437" t="s">
        <v>476</v>
      </c>
      <c r="C437" s="2">
        <v>192058</v>
      </c>
      <c r="D437">
        <v>69</v>
      </c>
      <c r="E437" s="2">
        <v>1588259</v>
      </c>
      <c r="F437">
        <v>8.2200000000000006</v>
      </c>
      <c r="G437">
        <v>8.32</v>
      </c>
      <c r="H437">
        <v>8.2200000000000006</v>
      </c>
      <c r="I437">
        <v>8.3000000000000007</v>
      </c>
      <c r="J437" t="s">
        <v>10</v>
      </c>
      <c r="K437">
        <v>0.08</v>
      </c>
      <c r="L437">
        <v>8.3000000000000007</v>
      </c>
      <c r="M437">
        <v>10</v>
      </c>
      <c r="N437">
        <v>8.31</v>
      </c>
      <c r="O437">
        <v>1</v>
      </c>
      <c r="P437">
        <v>0</v>
      </c>
    </row>
    <row r="438" spans="1:16" x14ac:dyDescent="0.3">
      <c r="A438">
        <v>2382</v>
      </c>
      <c r="B438" t="s">
        <v>477</v>
      </c>
      <c r="C438" s="2">
        <v>5093430</v>
      </c>
      <c r="D438" s="2">
        <v>2251</v>
      </c>
      <c r="E438" s="2">
        <v>328259530</v>
      </c>
      <c r="F438">
        <v>64.8</v>
      </c>
      <c r="G438">
        <v>65</v>
      </c>
      <c r="H438">
        <v>63.7</v>
      </c>
      <c r="I438">
        <v>64.599999999999994</v>
      </c>
      <c r="J438" t="s">
        <v>7</v>
      </c>
      <c r="K438">
        <v>0.4</v>
      </c>
      <c r="L438">
        <v>64.599999999999994</v>
      </c>
      <c r="M438">
        <v>81</v>
      </c>
      <c r="N438">
        <v>64.8</v>
      </c>
      <c r="O438">
        <v>5</v>
      </c>
      <c r="P438">
        <v>11.12</v>
      </c>
    </row>
    <row r="439" spans="1:16" x14ac:dyDescent="0.3">
      <c r="A439">
        <v>2383</v>
      </c>
      <c r="B439" t="s">
        <v>478</v>
      </c>
      <c r="C439" s="2">
        <v>882452</v>
      </c>
      <c r="D439">
        <v>428</v>
      </c>
      <c r="E439" s="2">
        <v>23609856</v>
      </c>
      <c r="F439">
        <v>26.4</v>
      </c>
      <c r="G439">
        <v>26.95</v>
      </c>
      <c r="H439">
        <v>26.4</v>
      </c>
      <c r="I439">
        <v>26.9</v>
      </c>
      <c r="J439" t="s">
        <v>10</v>
      </c>
      <c r="K439">
        <v>0.5</v>
      </c>
      <c r="L439">
        <v>26.85</v>
      </c>
      <c r="M439">
        <v>57</v>
      </c>
      <c r="N439">
        <v>26.9</v>
      </c>
      <c r="O439">
        <v>7</v>
      </c>
      <c r="P439">
        <v>8.18</v>
      </c>
    </row>
    <row r="440" spans="1:16" x14ac:dyDescent="0.3">
      <c r="A440">
        <v>2384</v>
      </c>
      <c r="B440" t="s">
        <v>479</v>
      </c>
      <c r="C440" s="2">
        <v>27823559</v>
      </c>
      <c r="D440" s="2">
        <v>5234</v>
      </c>
      <c r="E440" s="2">
        <v>374830289</v>
      </c>
      <c r="F440">
        <v>13.35</v>
      </c>
      <c r="G440">
        <v>13.7</v>
      </c>
      <c r="H440">
        <v>13.25</v>
      </c>
      <c r="I440">
        <v>13.7</v>
      </c>
      <c r="J440" t="s">
        <v>10</v>
      </c>
      <c r="K440">
        <v>0.55000000000000004</v>
      </c>
      <c r="L440">
        <v>13.65</v>
      </c>
      <c r="M440">
        <v>25</v>
      </c>
      <c r="N440">
        <v>13.7</v>
      </c>
      <c r="O440">
        <v>597</v>
      </c>
      <c r="P440">
        <v>0</v>
      </c>
    </row>
    <row r="441" spans="1:16" x14ac:dyDescent="0.3">
      <c r="A441">
        <v>2385</v>
      </c>
      <c r="B441" t="s">
        <v>480</v>
      </c>
      <c r="C441" s="2">
        <v>2563182</v>
      </c>
      <c r="D441" s="2">
        <v>1150</v>
      </c>
      <c r="E441" s="2">
        <v>200057296</v>
      </c>
      <c r="F441">
        <v>78.2</v>
      </c>
      <c r="G441">
        <v>79</v>
      </c>
      <c r="H441">
        <v>77.5</v>
      </c>
      <c r="I441">
        <v>77.900000000000006</v>
      </c>
      <c r="J441" t="s">
        <v>7</v>
      </c>
      <c r="K441">
        <v>0.1</v>
      </c>
      <c r="L441">
        <v>77.8</v>
      </c>
      <c r="M441">
        <v>38</v>
      </c>
      <c r="N441">
        <v>77.900000000000006</v>
      </c>
      <c r="O441">
        <v>89</v>
      </c>
      <c r="P441">
        <v>12.25</v>
      </c>
    </row>
    <row r="442" spans="1:16" x14ac:dyDescent="0.3">
      <c r="A442">
        <v>2387</v>
      </c>
      <c r="B442" t="s">
        <v>481</v>
      </c>
      <c r="C442" s="2">
        <v>138500</v>
      </c>
      <c r="D442">
        <v>75</v>
      </c>
      <c r="E442" s="2">
        <v>1821649</v>
      </c>
      <c r="F442">
        <v>13.15</v>
      </c>
      <c r="G442">
        <v>13.4</v>
      </c>
      <c r="H442">
        <v>12.9</v>
      </c>
      <c r="I442">
        <v>13.4</v>
      </c>
      <c r="J442" t="s">
        <v>10</v>
      </c>
      <c r="K442">
        <v>0.35</v>
      </c>
      <c r="L442">
        <v>13.3</v>
      </c>
      <c r="M442">
        <v>5</v>
      </c>
      <c r="N442">
        <v>13.4</v>
      </c>
      <c r="O442">
        <v>12</v>
      </c>
      <c r="P442">
        <v>63.81</v>
      </c>
    </row>
    <row r="443" spans="1:16" x14ac:dyDescent="0.3">
      <c r="A443">
        <v>2388</v>
      </c>
      <c r="B443" t="s">
        <v>482</v>
      </c>
      <c r="C443" s="2">
        <v>1689476</v>
      </c>
      <c r="D443">
        <v>601</v>
      </c>
      <c r="E443" s="2">
        <v>31701894</v>
      </c>
      <c r="F443">
        <v>17.95</v>
      </c>
      <c r="G443">
        <v>19</v>
      </c>
      <c r="H443">
        <v>17.8</v>
      </c>
      <c r="I443">
        <v>19</v>
      </c>
      <c r="J443" t="s">
        <v>10</v>
      </c>
      <c r="K443">
        <v>1.2</v>
      </c>
      <c r="L443">
        <v>19</v>
      </c>
      <c r="M443">
        <v>2670</v>
      </c>
      <c r="N443" t="s">
        <v>152</v>
      </c>
      <c r="O443">
        <v>0</v>
      </c>
      <c r="P443">
        <v>0</v>
      </c>
    </row>
    <row r="444" spans="1:16" x14ac:dyDescent="0.3">
      <c r="A444">
        <v>2390</v>
      </c>
      <c r="B444" t="s">
        <v>483</v>
      </c>
      <c r="C444" s="2">
        <v>1075019</v>
      </c>
      <c r="D444">
        <v>480</v>
      </c>
      <c r="E444" s="2">
        <v>20402156</v>
      </c>
      <c r="F444">
        <v>18.55</v>
      </c>
      <c r="G444">
        <v>19.399999999999999</v>
      </c>
      <c r="H444">
        <v>18.55</v>
      </c>
      <c r="I444">
        <v>18.95</v>
      </c>
      <c r="J444" t="s">
        <v>10</v>
      </c>
      <c r="K444">
        <v>0.4</v>
      </c>
      <c r="L444">
        <v>18.95</v>
      </c>
      <c r="M444">
        <v>20</v>
      </c>
      <c r="N444">
        <v>19</v>
      </c>
      <c r="O444">
        <v>23</v>
      </c>
      <c r="P444">
        <v>55.74</v>
      </c>
    </row>
    <row r="445" spans="1:16" x14ac:dyDescent="0.3">
      <c r="A445">
        <v>2392</v>
      </c>
      <c r="B445" t="s">
        <v>484</v>
      </c>
      <c r="C445" s="2">
        <v>1575780</v>
      </c>
      <c r="D445" s="2">
        <v>1028</v>
      </c>
      <c r="E445" s="2">
        <v>94081502</v>
      </c>
      <c r="F445">
        <v>59.5</v>
      </c>
      <c r="G445">
        <v>60</v>
      </c>
      <c r="H445">
        <v>59.3</v>
      </c>
      <c r="I445">
        <v>59.7</v>
      </c>
      <c r="J445" t="s">
        <v>10</v>
      </c>
      <c r="K445">
        <v>0.4</v>
      </c>
      <c r="L445">
        <v>59.6</v>
      </c>
      <c r="M445">
        <v>66</v>
      </c>
      <c r="N445">
        <v>59.7</v>
      </c>
      <c r="O445">
        <v>13</v>
      </c>
      <c r="P445">
        <v>12.06</v>
      </c>
    </row>
    <row r="446" spans="1:16" x14ac:dyDescent="0.3">
      <c r="A446">
        <v>2393</v>
      </c>
      <c r="B446" t="s">
        <v>485</v>
      </c>
      <c r="C446" s="2">
        <v>4886847</v>
      </c>
      <c r="D446" s="2">
        <v>2648</v>
      </c>
      <c r="E446" s="2">
        <v>248234644</v>
      </c>
      <c r="F446">
        <v>49.6</v>
      </c>
      <c r="G446">
        <v>51.6</v>
      </c>
      <c r="H446">
        <v>49.5</v>
      </c>
      <c r="I446">
        <v>51.6</v>
      </c>
      <c r="J446" t="s">
        <v>10</v>
      </c>
      <c r="K446">
        <v>2.2999999999999998</v>
      </c>
      <c r="L446">
        <v>51.5</v>
      </c>
      <c r="M446">
        <v>27</v>
      </c>
      <c r="N446">
        <v>51.6</v>
      </c>
      <c r="O446">
        <v>51</v>
      </c>
      <c r="P446">
        <v>31.66</v>
      </c>
    </row>
    <row r="447" spans="1:16" x14ac:dyDescent="0.3">
      <c r="A447">
        <v>2395</v>
      </c>
      <c r="B447" t="s">
        <v>486</v>
      </c>
      <c r="C447" s="2">
        <v>696958</v>
      </c>
      <c r="D447">
        <v>601</v>
      </c>
      <c r="E447" s="2">
        <v>101992804</v>
      </c>
      <c r="F447">
        <v>144</v>
      </c>
      <c r="G447">
        <v>148</v>
      </c>
      <c r="H447">
        <v>142</v>
      </c>
      <c r="I447">
        <v>147.5</v>
      </c>
      <c r="J447" t="s">
        <v>10</v>
      </c>
      <c r="K447">
        <v>4.5</v>
      </c>
      <c r="L447">
        <v>147.5</v>
      </c>
      <c r="M447">
        <v>14</v>
      </c>
      <c r="N447">
        <v>148</v>
      </c>
      <c r="O447">
        <v>34</v>
      </c>
      <c r="P447">
        <v>23.34</v>
      </c>
    </row>
    <row r="448" spans="1:16" x14ac:dyDescent="0.3">
      <c r="A448">
        <v>2397</v>
      </c>
      <c r="B448" t="s">
        <v>487</v>
      </c>
      <c r="C448" s="2">
        <v>291031</v>
      </c>
      <c r="D448">
        <v>113</v>
      </c>
      <c r="E448" s="2">
        <v>8622769</v>
      </c>
      <c r="F448">
        <v>29.7</v>
      </c>
      <c r="G448">
        <v>29.7</v>
      </c>
      <c r="H448">
        <v>29.55</v>
      </c>
      <c r="I448">
        <v>29.55</v>
      </c>
      <c r="J448" t="s">
        <v>7</v>
      </c>
      <c r="K448">
        <v>0.15</v>
      </c>
      <c r="L448">
        <v>29.55</v>
      </c>
      <c r="M448">
        <v>16</v>
      </c>
      <c r="N448">
        <v>29.7</v>
      </c>
      <c r="O448">
        <v>24</v>
      </c>
      <c r="P448">
        <v>15.31</v>
      </c>
    </row>
    <row r="449" spans="1:16" x14ac:dyDescent="0.3">
      <c r="A449">
        <v>2399</v>
      </c>
      <c r="B449" t="s">
        <v>488</v>
      </c>
      <c r="C449" s="2">
        <v>456994</v>
      </c>
      <c r="D449">
        <v>166</v>
      </c>
      <c r="E449" s="2">
        <v>5208431</v>
      </c>
      <c r="F449">
        <v>11.4</v>
      </c>
      <c r="G449">
        <v>11.5</v>
      </c>
      <c r="H449">
        <v>11.25</v>
      </c>
      <c r="I449">
        <v>11.5</v>
      </c>
      <c r="J449" t="s">
        <v>10</v>
      </c>
      <c r="K449">
        <v>0.1</v>
      </c>
      <c r="L449">
        <v>11.4</v>
      </c>
      <c r="M449">
        <v>17</v>
      </c>
      <c r="N449">
        <v>11.5</v>
      </c>
      <c r="O449">
        <v>74</v>
      </c>
      <c r="P449">
        <v>17.690000000000001</v>
      </c>
    </row>
    <row r="450" spans="1:16" x14ac:dyDescent="0.3">
      <c r="A450">
        <v>2401</v>
      </c>
      <c r="B450" t="s">
        <v>489</v>
      </c>
      <c r="C450" s="2">
        <v>5958843</v>
      </c>
      <c r="D450" s="2">
        <v>1601</v>
      </c>
      <c r="E450" s="2">
        <v>64935895</v>
      </c>
      <c r="F450">
        <v>10.5</v>
      </c>
      <c r="G450">
        <v>11.1</v>
      </c>
      <c r="H450">
        <v>10.5</v>
      </c>
      <c r="I450">
        <v>11.1</v>
      </c>
      <c r="J450" t="s">
        <v>10</v>
      </c>
      <c r="K450">
        <v>0.7</v>
      </c>
      <c r="L450">
        <v>11.1</v>
      </c>
      <c r="M450">
        <v>1963</v>
      </c>
      <c r="N450" t="s">
        <v>152</v>
      </c>
      <c r="O450">
        <v>0</v>
      </c>
      <c r="P450">
        <v>0</v>
      </c>
    </row>
    <row r="451" spans="1:16" x14ac:dyDescent="0.3">
      <c r="A451">
        <v>2402</v>
      </c>
      <c r="B451" t="s">
        <v>490</v>
      </c>
      <c r="C451" s="2">
        <v>1650861</v>
      </c>
      <c r="D451">
        <v>539</v>
      </c>
      <c r="E451" s="2">
        <v>24320084</v>
      </c>
      <c r="F451">
        <v>14.2</v>
      </c>
      <c r="G451">
        <v>15.05</v>
      </c>
      <c r="H451">
        <v>14.2</v>
      </c>
      <c r="I451">
        <v>14.9</v>
      </c>
      <c r="J451" t="s">
        <v>7</v>
      </c>
      <c r="K451">
        <v>0.2</v>
      </c>
      <c r="L451">
        <v>14.9</v>
      </c>
      <c r="M451">
        <v>7</v>
      </c>
      <c r="N451">
        <v>14.95</v>
      </c>
      <c r="O451">
        <v>49</v>
      </c>
      <c r="P451">
        <v>53.21</v>
      </c>
    </row>
    <row r="452" spans="1:16" x14ac:dyDescent="0.3">
      <c r="A452">
        <v>2404</v>
      </c>
      <c r="B452" t="s">
        <v>491</v>
      </c>
      <c r="C452" s="2">
        <v>1197120</v>
      </c>
      <c r="D452">
        <v>554</v>
      </c>
      <c r="E452" s="2">
        <v>35588360</v>
      </c>
      <c r="F452">
        <v>29.5</v>
      </c>
      <c r="G452">
        <v>29.85</v>
      </c>
      <c r="H452">
        <v>29.45</v>
      </c>
      <c r="I452">
        <v>29.85</v>
      </c>
      <c r="J452" t="s">
        <v>10</v>
      </c>
      <c r="K452">
        <v>0.55000000000000004</v>
      </c>
      <c r="L452">
        <v>29.8</v>
      </c>
      <c r="M452">
        <v>11</v>
      </c>
      <c r="N452">
        <v>29.85</v>
      </c>
      <c r="O452">
        <v>6</v>
      </c>
      <c r="P452">
        <v>10.82</v>
      </c>
    </row>
    <row r="453" spans="1:16" x14ac:dyDescent="0.3">
      <c r="A453">
        <v>2405</v>
      </c>
      <c r="B453" t="s">
        <v>492</v>
      </c>
      <c r="C453" s="2">
        <v>7013883</v>
      </c>
      <c r="D453" s="2">
        <v>1350</v>
      </c>
      <c r="E453" s="2">
        <v>98741469</v>
      </c>
      <c r="F453">
        <v>13.85</v>
      </c>
      <c r="G453">
        <v>14.35</v>
      </c>
      <c r="H453">
        <v>13.7</v>
      </c>
      <c r="I453">
        <v>14.35</v>
      </c>
      <c r="J453" t="s">
        <v>10</v>
      </c>
      <c r="K453">
        <v>0.9</v>
      </c>
      <c r="L453">
        <v>14.35</v>
      </c>
      <c r="M453">
        <v>17165</v>
      </c>
      <c r="N453" t="s">
        <v>152</v>
      </c>
      <c r="O453">
        <v>0</v>
      </c>
      <c r="P453">
        <v>15.77</v>
      </c>
    </row>
    <row r="454" spans="1:16" x14ac:dyDescent="0.3">
      <c r="A454">
        <v>2406</v>
      </c>
      <c r="B454" t="s">
        <v>493</v>
      </c>
      <c r="C454" s="2">
        <v>1510565</v>
      </c>
      <c r="D454">
        <v>594</v>
      </c>
      <c r="E454" s="2">
        <v>31093465</v>
      </c>
      <c r="F454">
        <v>20.399999999999999</v>
      </c>
      <c r="G454">
        <v>20.8</v>
      </c>
      <c r="H454">
        <v>20.3</v>
      </c>
      <c r="I454">
        <v>20.75</v>
      </c>
      <c r="J454" t="s">
        <v>10</v>
      </c>
      <c r="K454">
        <v>0.35</v>
      </c>
      <c r="L454">
        <v>20.75</v>
      </c>
      <c r="M454">
        <v>12</v>
      </c>
      <c r="N454">
        <v>20.8</v>
      </c>
      <c r="O454">
        <v>93</v>
      </c>
      <c r="P454">
        <v>0</v>
      </c>
    </row>
    <row r="455" spans="1:16" x14ac:dyDescent="0.3">
      <c r="A455">
        <v>2408</v>
      </c>
      <c r="B455" t="s">
        <v>494</v>
      </c>
      <c r="C455" s="2">
        <v>5122602</v>
      </c>
      <c r="D455">
        <v>354</v>
      </c>
      <c r="E455" s="2">
        <v>31394791</v>
      </c>
      <c r="F455">
        <v>5.96</v>
      </c>
      <c r="G455">
        <v>6.2</v>
      </c>
      <c r="H455">
        <v>5.96</v>
      </c>
      <c r="I455">
        <v>6.18</v>
      </c>
      <c r="J455" t="s">
        <v>10</v>
      </c>
      <c r="K455">
        <v>0.32</v>
      </c>
      <c r="L455">
        <v>6.16</v>
      </c>
      <c r="M455">
        <v>5</v>
      </c>
      <c r="N455">
        <v>6.18</v>
      </c>
      <c r="O455">
        <v>12</v>
      </c>
      <c r="P455">
        <v>0</v>
      </c>
    </row>
    <row r="456" spans="1:16" x14ac:dyDescent="0.3">
      <c r="A456">
        <v>2409</v>
      </c>
      <c r="B456" t="s">
        <v>495</v>
      </c>
      <c r="C456" s="2">
        <v>116042159</v>
      </c>
      <c r="D456" s="2">
        <v>17787</v>
      </c>
      <c r="E456" s="2">
        <v>1295306493</v>
      </c>
      <c r="F456">
        <v>10.9</v>
      </c>
      <c r="G456">
        <v>11.4</v>
      </c>
      <c r="H456">
        <v>10.75</v>
      </c>
      <c r="I456">
        <v>11.15</v>
      </c>
      <c r="J456" t="s">
        <v>10</v>
      </c>
      <c r="K456">
        <v>0.25</v>
      </c>
      <c r="L456">
        <v>11.15</v>
      </c>
      <c r="M456">
        <v>1304</v>
      </c>
      <c r="N456">
        <v>11.2</v>
      </c>
      <c r="O456">
        <v>587</v>
      </c>
      <c r="P456">
        <v>0</v>
      </c>
    </row>
    <row r="457" spans="1:16" x14ac:dyDescent="0.3">
      <c r="A457">
        <v>2412</v>
      </c>
      <c r="B457" t="s">
        <v>496</v>
      </c>
      <c r="C457" s="2">
        <v>15019855</v>
      </c>
      <c r="D457" s="2">
        <v>6655</v>
      </c>
      <c r="E457" s="2">
        <v>1465803490</v>
      </c>
      <c r="F457">
        <v>97.1</v>
      </c>
      <c r="G457">
        <v>98.5</v>
      </c>
      <c r="H457">
        <v>96.8</v>
      </c>
      <c r="I457">
        <v>98</v>
      </c>
      <c r="J457" t="s">
        <v>7</v>
      </c>
      <c r="K457">
        <v>4</v>
      </c>
      <c r="L457">
        <v>98</v>
      </c>
      <c r="M457">
        <v>112</v>
      </c>
      <c r="N457">
        <v>98.1</v>
      </c>
      <c r="O457">
        <v>10</v>
      </c>
      <c r="P457">
        <v>19.18</v>
      </c>
    </row>
    <row r="458" spans="1:16" x14ac:dyDescent="0.3">
      <c r="A458">
        <v>2413</v>
      </c>
      <c r="B458" t="s">
        <v>497</v>
      </c>
      <c r="C458" s="2">
        <v>74263</v>
      </c>
      <c r="D458">
        <v>30</v>
      </c>
      <c r="E458" s="2">
        <v>597714</v>
      </c>
      <c r="F458">
        <v>8.0500000000000007</v>
      </c>
      <c r="G458">
        <v>8.1</v>
      </c>
      <c r="H458">
        <v>8</v>
      </c>
      <c r="I458">
        <v>8.09</v>
      </c>
      <c r="J458" t="s">
        <v>10</v>
      </c>
      <c r="K458">
        <v>7.0000000000000007E-2</v>
      </c>
      <c r="L458">
        <v>8.09</v>
      </c>
      <c r="M458">
        <v>1</v>
      </c>
      <c r="N458">
        <v>8.11</v>
      </c>
      <c r="O458">
        <v>2</v>
      </c>
      <c r="P458">
        <v>0</v>
      </c>
    </row>
    <row r="459" spans="1:16" x14ac:dyDescent="0.3">
      <c r="A459">
        <v>2414</v>
      </c>
      <c r="B459" t="s">
        <v>498</v>
      </c>
      <c r="C459" s="2">
        <v>111035</v>
      </c>
      <c r="D459">
        <v>37</v>
      </c>
      <c r="E459" s="2">
        <v>1655725</v>
      </c>
      <c r="F459">
        <v>14.9</v>
      </c>
      <c r="G459">
        <v>14.95</v>
      </c>
      <c r="H459">
        <v>14.9</v>
      </c>
      <c r="I459">
        <v>14.95</v>
      </c>
      <c r="K459">
        <v>0</v>
      </c>
      <c r="L459">
        <v>14.9</v>
      </c>
      <c r="M459">
        <v>47</v>
      </c>
      <c r="N459">
        <v>14.95</v>
      </c>
      <c r="O459">
        <v>27</v>
      </c>
      <c r="P459">
        <v>11.59</v>
      </c>
    </row>
    <row r="460" spans="1:16" x14ac:dyDescent="0.3">
      <c r="A460">
        <v>2415</v>
      </c>
      <c r="B460" t="s">
        <v>499</v>
      </c>
      <c r="C460" s="2">
        <v>124000</v>
      </c>
      <c r="D460">
        <v>44</v>
      </c>
      <c r="E460" s="2">
        <v>1690100</v>
      </c>
      <c r="F460">
        <v>13.55</v>
      </c>
      <c r="G460">
        <v>13.75</v>
      </c>
      <c r="H460">
        <v>13.55</v>
      </c>
      <c r="I460">
        <v>13.7</v>
      </c>
      <c r="J460" t="s">
        <v>10</v>
      </c>
      <c r="K460">
        <v>0.05</v>
      </c>
      <c r="L460">
        <v>13.7</v>
      </c>
      <c r="M460">
        <v>5</v>
      </c>
      <c r="N460">
        <v>13.8</v>
      </c>
      <c r="O460">
        <v>4</v>
      </c>
      <c r="P460">
        <v>6.43</v>
      </c>
    </row>
    <row r="461" spans="1:16" x14ac:dyDescent="0.3">
      <c r="A461">
        <v>2417</v>
      </c>
      <c r="B461" t="s">
        <v>500</v>
      </c>
      <c r="C461" s="2">
        <v>302013</v>
      </c>
      <c r="D461">
        <v>119</v>
      </c>
      <c r="E461" s="2">
        <v>4026422</v>
      </c>
      <c r="F461">
        <v>13.3</v>
      </c>
      <c r="G461">
        <v>13.4</v>
      </c>
      <c r="H461">
        <v>13.2</v>
      </c>
      <c r="I461">
        <v>13.4</v>
      </c>
      <c r="J461" t="s">
        <v>10</v>
      </c>
      <c r="K461">
        <v>0.15</v>
      </c>
      <c r="L461">
        <v>13.35</v>
      </c>
      <c r="M461">
        <v>29</v>
      </c>
      <c r="N461">
        <v>13.4</v>
      </c>
      <c r="O461">
        <v>21</v>
      </c>
      <c r="P461">
        <v>0</v>
      </c>
    </row>
    <row r="462" spans="1:16" x14ac:dyDescent="0.3">
      <c r="A462">
        <v>2419</v>
      </c>
      <c r="B462" t="s">
        <v>501</v>
      </c>
      <c r="C462" s="2">
        <v>4164104</v>
      </c>
      <c r="D462" s="2">
        <v>1232</v>
      </c>
      <c r="E462" s="2">
        <v>71199617</v>
      </c>
      <c r="F462">
        <v>16.899999999999999</v>
      </c>
      <c r="G462">
        <v>17.3</v>
      </c>
      <c r="H462">
        <v>16.7</v>
      </c>
      <c r="I462">
        <v>17.149999999999999</v>
      </c>
      <c r="J462" t="s">
        <v>10</v>
      </c>
      <c r="K462">
        <v>0.45</v>
      </c>
      <c r="L462">
        <v>17.149999999999999</v>
      </c>
      <c r="M462">
        <v>24</v>
      </c>
      <c r="N462">
        <v>17.2</v>
      </c>
      <c r="O462">
        <v>261</v>
      </c>
      <c r="P462">
        <v>15.18</v>
      </c>
    </row>
    <row r="463" spans="1:16" x14ac:dyDescent="0.3">
      <c r="A463">
        <v>2420</v>
      </c>
      <c r="B463" t="s">
        <v>502</v>
      </c>
      <c r="C463" s="2">
        <v>1684216</v>
      </c>
      <c r="D463">
        <v>726</v>
      </c>
      <c r="E463" s="2">
        <v>53309392</v>
      </c>
      <c r="F463">
        <v>31.2</v>
      </c>
      <c r="G463">
        <v>32.25</v>
      </c>
      <c r="H463">
        <v>31.2</v>
      </c>
      <c r="I463">
        <v>31.85</v>
      </c>
      <c r="J463" t="s">
        <v>10</v>
      </c>
      <c r="K463">
        <v>0.85</v>
      </c>
      <c r="L463">
        <v>31.8</v>
      </c>
      <c r="M463">
        <v>46</v>
      </c>
      <c r="N463">
        <v>31.9</v>
      </c>
      <c r="O463">
        <v>14</v>
      </c>
      <c r="P463">
        <v>12.84</v>
      </c>
    </row>
    <row r="464" spans="1:16" x14ac:dyDescent="0.3">
      <c r="A464">
        <v>2421</v>
      </c>
      <c r="B464" t="s">
        <v>503</v>
      </c>
      <c r="C464" s="2">
        <v>39230</v>
      </c>
      <c r="D464">
        <v>36</v>
      </c>
      <c r="E464" s="2">
        <v>685812</v>
      </c>
      <c r="F464">
        <v>17.7</v>
      </c>
      <c r="G464">
        <v>17.7</v>
      </c>
      <c r="H464">
        <v>17.399999999999999</v>
      </c>
      <c r="I464">
        <v>17.5</v>
      </c>
      <c r="K464">
        <v>0</v>
      </c>
      <c r="L464">
        <v>17.5</v>
      </c>
      <c r="M464">
        <v>7</v>
      </c>
      <c r="N464">
        <v>17.55</v>
      </c>
      <c r="O464">
        <v>7</v>
      </c>
      <c r="P464">
        <v>21.08</v>
      </c>
    </row>
    <row r="465" spans="1:16" x14ac:dyDescent="0.3">
      <c r="A465">
        <v>2423</v>
      </c>
      <c r="B465" t="s">
        <v>504</v>
      </c>
      <c r="C465" s="2">
        <v>22000</v>
      </c>
      <c r="D465">
        <v>9</v>
      </c>
      <c r="E465" s="2">
        <v>387300</v>
      </c>
      <c r="F465">
        <v>17.649999999999999</v>
      </c>
      <c r="G465">
        <v>17.649999999999999</v>
      </c>
      <c r="H465">
        <v>17.55</v>
      </c>
      <c r="I465">
        <v>17.649999999999999</v>
      </c>
      <c r="J465" t="s">
        <v>10</v>
      </c>
      <c r="K465">
        <v>0.15</v>
      </c>
      <c r="L465">
        <v>17.55</v>
      </c>
      <c r="M465">
        <v>3</v>
      </c>
      <c r="N465">
        <v>17.649999999999999</v>
      </c>
      <c r="O465">
        <v>12</v>
      </c>
      <c r="P465">
        <v>15.48</v>
      </c>
    </row>
    <row r="466" spans="1:16" x14ac:dyDescent="0.3">
      <c r="A466">
        <v>2424</v>
      </c>
      <c r="B466" t="s">
        <v>505</v>
      </c>
      <c r="C466" s="2">
        <v>41087</v>
      </c>
      <c r="D466">
        <v>28</v>
      </c>
      <c r="E466" s="2">
        <v>1309534</v>
      </c>
      <c r="F466">
        <v>31.5</v>
      </c>
      <c r="G466">
        <v>33.4</v>
      </c>
      <c r="H466">
        <v>31</v>
      </c>
      <c r="I466">
        <v>32.4</v>
      </c>
      <c r="K466">
        <v>0</v>
      </c>
      <c r="L466">
        <v>32.15</v>
      </c>
      <c r="M466">
        <v>3</v>
      </c>
      <c r="N466">
        <v>32.700000000000003</v>
      </c>
      <c r="O466">
        <v>1</v>
      </c>
      <c r="P466">
        <v>0</v>
      </c>
    </row>
    <row r="467" spans="1:16" x14ac:dyDescent="0.3">
      <c r="A467">
        <v>2425</v>
      </c>
      <c r="B467" t="s">
        <v>506</v>
      </c>
      <c r="C467" s="2">
        <v>36766</v>
      </c>
      <c r="D467">
        <v>27</v>
      </c>
      <c r="E467" s="2">
        <v>1539812</v>
      </c>
      <c r="F467">
        <v>41.2</v>
      </c>
      <c r="G467">
        <v>42.75</v>
      </c>
      <c r="H467">
        <v>41.2</v>
      </c>
      <c r="I467">
        <v>42.5</v>
      </c>
      <c r="J467" t="s">
        <v>7</v>
      </c>
      <c r="K467">
        <v>0.25</v>
      </c>
      <c r="L467">
        <v>42.25</v>
      </c>
      <c r="M467">
        <v>1</v>
      </c>
      <c r="N467">
        <v>42.6</v>
      </c>
      <c r="O467">
        <v>1</v>
      </c>
      <c r="P467">
        <v>23.88</v>
      </c>
    </row>
    <row r="468" spans="1:16" x14ac:dyDescent="0.3">
      <c r="A468">
        <v>2426</v>
      </c>
      <c r="B468" t="s">
        <v>507</v>
      </c>
      <c r="C468" s="2">
        <v>317388</v>
      </c>
      <c r="D468">
        <v>156</v>
      </c>
      <c r="E468" s="2">
        <v>2190232</v>
      </c>
      <c r="F468">
        <v>6.9</v>
      </c>
      <c r="G468">
        <v>7</v>
      </c>
      <c r="H468">
        <v>6.76</v>
      </c>
      <c r="I468">
        <v>6.96</v>
      </c>
      <c r="J468" t="s">
        <v>10</v>
      </c>
      <c r="K468">
        <v>0.15</v>
      </c>
      <c r="L468">
        <v>6.95</v>
      </c>
      <c r="M468">
        <v>2</v>
      </c>
      <c r="N468">
        <v>6.96</v>
      </c>
      <c r="O468">
        <v>5</v>
      </c>
      <c r="P468">
        <v>0</v>
      </c>
    </row>
    <row r="469" spans="1:16" x14ac:dyDescent="0.3">
      <c r="A469">
        <v>2427</v>
      </c>
      <c r="B469" t="s">
        <v>508</v>
      </c>
      <c r="C469" s="2">
        <v>325151</v>
      </c>
      <c r="D469">
        <v>135</v>
      </c>
      <c r="E469" s="2">
        <v>2857317</v>
      </c>
      <c r="F469">
        <v>8.86</v>
      </c>
      <c r="G469">
        <v>8.86</v>
      </c>
      <c r="H469">
        <v>8.75</v>
      </c>
      <c r="I469">
        <v>8.82</v>
      </c>
      <c r="J469" t="s">
        <v>10</v>
      </c>
      <c r="K469">
        <v>0.06</v>
      </c>
      <c r="L469">
        <v>8.8000000000000007</v>
      </c>
      <c r="M469">
        <v>6</v>
      </c>
      <c r="N469">
        <v>8.82</v>
      </c>
      <c r="O469">
        <v>16</v>
      </c>
      <c r="P469">
        <v>0</v>
      </c>
    </row>
    <row r="470" spans="1:16" x14ac:dyDescent="0.3">
      <c r="A470">
        <v>2428</v>
      </c>
      <c r="B470" t="s">
        <v>509</v>
      </c>
      <c r="C470" s="2">
        <v>60000</v>
      </c>
      <c r="D470">
        <v>42</v>
      </c>
      <c r="E470" s="2">
        <v>1852300</v>
      </c>
      <c r="F470">
        <v>30.8</v>
      </c>
      <c r="G470">
        <v>30.95</v>
      </c>
      <c r="H470">
        <v>30.65</v>
      </c>
      <c r="I470">
        <v>30.95</v>
      </c>
      <c r="J470" t="s">
        <v>10</v>
      </c>
      <c r="K470">
        <v>0.15</v>
      </c>
      <c r="L470">
        <v>30.95</v>
      </c>
      <c r="M470">
        <v>10</v>
      </c>
      <c r="N470">
        <v>31</v>
      </c>
      <c r="O470">
        <v>9</v>
      </c>
      <c r="P470">
        <v>9.18</v>
      </c>
    </row>
    <row r="471" spans="1:16" x14ac:dyDescent="0.3">
      <c r="A471">
        <v>2429</v>
      </c>
      <c r="B471" t="s">
        <v>510</v>
      </c>
      <c r="C471">
        <v>100</v>
      </c>
      <c r="D471">
        <v>1</v>
      </c>
      <c r="E471" s="2">
        <v>3635</v>
      </c>
      <c r="F471" t="s">
        <v>152</v>
      </c>
      <c r="G471" t="s">
        <v>152</v>
      </c>
      <c r="H471" t="s">
        <v>152</v>
      </c>
      <c r="I471" t="s">
        <v>152</v>
      </c>
      <c r="K471">
        <v>0</v>
      </c>
      <c r="L471">
        <v>36.299999999999997</v>
      </c>
      <c r="M471">
        <v>2</v>
      </c>
      <c r="N471">
        <v>38.75</v>
      </c>
      <c r="O471">
        <v>1</v>
      </c>
      <c r="P471">
        <v>5.2</v>
      </c>
    </row>
    <row r="472" spans="1:16" x14ac:dyDescent="0.3">
      <c r="A472">
        <v>2430</v>
      </c>
      <c r="B472" t="s">
        <v>511</v>
      </c>
      <c r="C472" s="2">
        <v>93544</v>
      </c>
      <c r="D472">
        <v>62</v>
      </c>
      <c r="E472" s="2">
        <v>4037466</v>
      </c>
      <c r="F472">
        <v>43.1</v>
      </c>
      <c r="G472">
        <v>43.4</v>
      </c>
      <c r="H472">
        <v>43</v>
      </c>
      <c r="I472">
        <v>43.15</v>
      </c>
      <c r="J472" t="s">
        <v>10</v>
      </c>
      <c r="K472">
        <v>0.2</v>
      </c>
      <c r="L472">
        <v>43.15</v>
      </c>
      <c r="M472">
        <v>3</v>
      </c>
      <c r="N472">
        <v>43.2</v>
      </c>
      <c r="O472">
        <v>5</v>
      </c>
      <c r="P472">
        <v>11.27</v>
      </c>
    </row>
    <row r="473" spans="1:16" x14ac:dyDescent="0.3">
      <c r="A473">
        <v>2431</v>
      </c>
      <c r="B473" t="s">
        <v>512</v>
      </c>
      <c r="C473" s="2">
        <v>207738</v>
      </c>
      <c r="D473">
        <v>93</v>
      </c>
      <c r="E473" s="2">
        <v>1960699</v>
      </c>
      <c r="F473">
        <v>9.4</v>
      </c>
      <c r="G473">
        <v>9.5500000000000007</v>
      </c>
      <c r="H473">
        <v>9.36</v>
      </c>
      <c r="I473">
        <v>9.41</v>
      </c>
      <c r="J473" t="s">
        <v>10</v>
      </c>
      <c r="K473">
        <v>0.05</v>
      </c>
      <c r="L473">
        <v>9.41</v>
      </c>
      <c r="M473">
        <v>6</v>
      </c>
      <c r="N473">
        <v>9.4700000000000006</v>
      </c>
      <c r="O473">
        <v>2</v>
      </c>
      <c r="P473">
        <v>0</v>
      </c>
    </row>
    <row r="474" spans="1:16" x14ac:dyDescent="0.3">
      <c r="A474">
        <v>2433</v>
      </c>
      <c r="B474" t="s">
        <v>513</v>
      </c>
      <c r="C474" s="2">
        <v>194350</v>
      </c>
      <c r="D474">
        <v>105</v>
      </c>
      <c r="E474" s="2">
        <v>6676175</v>
      </c>
      <c r="F474">
        <v>33.799999999999997</v>
      </c>
      <c r="G474">
        <v>34.75</v>
      </c>
      <c r="H474">
        <v>33.799999999999997</v>
      </c>
      <c r="I474">
        <v>34.75</v>
      </c>
      <c r="J474" t="s">
        <v>10</v>
      </c>
      <c r="K474">
        <v>0.95</v>
      </c>
      <c r="L474">
        <v>34.450000000000003</v>
      </c>
      <c r="M474">
        <v>6</v>
      </c>
      <c r="N474">
        <v>34.75</v>
      </c>
      <c r="O474">
        <v>3</v>
      </c>
      <c r="P474">
        <v>9.1199999999999992</v>
      </c>
    </row>
    <row r="475" spans="1:16" x14ac:dyDescent="0.3">
      <c r="A475">
        <v>2434</v>
      </c>
      <c r="B475" t="s">
        <v>514</v>
      </c>
      <c r="C475" s="2">
        <v>59000</v>
      </c>
      <c r="D475">
        <v>28</v>
      </c>
      <c r="E475" s="2">
        <v>357000</v>
      </c>
      <c r="F475">
        <v>6.01</v>
      </c>
      <c r="G475">
        <v>6.1</v>
      </c>
      <c r="H475">
        <v>6.01</v>
      </c>
      <c r="I475">
        <v>6.03</v>
      </c>
      <c r="J475" t="s">
        <v>7</v>
      </c>
      <c r="K475">
        <v>0.05</v>
      </c>
      <c r="L475">
        <v>6.03</v>
      </c>
      <c r="M475">
        <v>19</v>
      </c>
      <c r="N475">
        <v>6.08</v>
      </c>
      <c r="O475">
        <v>1</v>
      </c>
      <c r="P475">
        <v>0</v>
      </c>
    </row>
    <row r="476" spans="1:16" x14ac:dyDescent="0.3">
      <c r="A476">
        <v>2436</v>
      </c>
      <c r="B476" t="s">
        <v>515</v>
      </c>
      <c r="C476" s="2">
        <v>1310182</v>
      </c>
      <c r="D476">
        <v>551</v>
      </c>
      <c r="E476" s="2">
        <v>21090012</v>
      </c>
      <c r="F476">
        <v>16</v>
      </c>
      <c r="G476">
        <v>16.2</v>
      </c>
      <c r="H476">
        <v>15.9</v>
      </c>
      <c r="I476">
        <v>16.100000000000001</v>
      </c>
      <c r="K476">
        <v>0</v>
      </c>
      <c r="L476">
        <v>16.100000000000001</v>
      </c>
      <c r="M476">
        <v>34</v>
      </c>
      <c r="N476">
        <v>16.149999999999999</v>
      </c>
      <c r="O476">
        <v>136</v>
      </c>
      <c r="P476">
        <v>53.67</v>
      </c>
    </row>
    <row r="477" spans="1:16" x14ac:dyDescent="0.3">
      <c r="A477">
        <v>2437</v>
      </c>
      <c r="B477" t="s">
        <v>516</v>
      </c>
      <c r="C477" s="2">
        <v>38403</v>
      </c>
      <c r="D477">
        <v>29</v>
      </c>
      <c r="E477" s="2">
        <v>1224404</v>
      </c>
      <c r="F477">
        <v>31.75</v>
      </c>
      <c r="G477">
        <v>32.1</v>
      </c>
      <c r="H477">
        <v>31.65</v>
      </c>
      <c r="I477">
        <v>31.8</v>
      </c>
      <c r="J477" t="s">
        <v>10</v>
      </c>
      <c r="K477">
        <v>0.05</v>
      </c>
      <c r="L477">
        <v>31.8</v>
      </c>
      <c r="M477">
        <v>7</v>
      </c>
      <c r="N477">
        <v>32</v>
      </c>
      <c r="O477">
        <v>3</v>
      </c>
      <c r="P477">
        <v>9.06</v>
      </c>
    </row>
    <row r="478" spans="1:16" x14ac:dyDescent="0.3">
      <c r="A478">
        <v>2438</v>
      </c>
      <c r="B478" t="s">
        <v>517</v>
      </c>
      <c r="C478" s="2">
        <v>7500</v>
      </c>
      <c r="D478">
        <v>7</v>
      </c>
      <c r="E478" s="2">
        <v>26129</v>
      </c>
      <c r="F478">
        <v>3.62</v>
      </c>
      <c r="G478">
        <v>3.62</v>
      </c>
      <c r="H478">
        <v>3.32</v>
      </c>
      <c r="I478">
        <v>3.34</v>
      </c>
      <c r="J478" t="s">
        <v>7</v>
      </c>
      <c r="K478">
        <v>0.06</v>
      </c>
      <c r="L478">
        <v>3.34</v>
      </c>
      <c r="M478">
        <v>5</v>
      </c>
      <c r="N478">
        <v>3.58</v>
      </c>
      <c r="O478">
        <v>5</v>
      </c>
      <c r="P478">
        <v>0</v>
      </c>
    </row>
    <row r="479" spans="1:16" x14ac:dyDescent="0.3">
      <c r="A479">
        <v>2439</v>
      </c>
      <c r="B479" t="s">
        <v>518</v>
      </c>
      <c r="C479" s="2">
        <v>1908006</v>
      </c>
      <c r="D479" s="2">
        <v>1145</v>
      </c>
      <c r="E479" s="2">
        <v>122250281</v>
      </c>
      <c r="F479">
        <v>61.9</v>
      </c>
      <c r="G479">
        <v>65.099999999999994</v>
      </c>
      <c r="H479">
        <v>61.8</v>
      </c>
      <c r="I479">
        <v>64.2</v>
      </c>
      <c r="J479" t="s">
        <v>10</v>
      </c>
      <c r="K479">
        <v>2.1</v>
      </c>
      <c r="L479">
        <v>64.2</v>
      </c>
      <c r="M479">
        <v>31</v>
      </c>
      <c r="N479">
        <v>64.400000000000006</v>
      </c>
      <c r="O479">
        <v>5</v>
      </c>
      <c r="P479">
        <v>21.91</v>
      </c>
    </row>
    <row r="480" spans="1:16" x14ac:dyDescent="0.3">
      <c r="A480">
        <v>2440</v>
      </c>
      <c r="B480" t="s">
        <v>519</v>
      </c>
      <c r="C480" s="2">
        <v>9365</v>
      </c>
      <c r="D480">
        <v>11</v>
      </c>
      <c r="E480" s="2">
        <v>67648</v>
      </c>
      <c r="F480">
        <v>7.28</v>
      </c>
      <c r="G480">
        <v>7.29</v>
      </c>
      <c r="H480">
        <v>7.16</v>
      </c>
      <c r="I480">
        <v>7.16</v>
      </c>
      <c r="J480" t="s">
        <v>7</v>
      </c>
      <c r="K480">
        <v>0.24</v>
      </c>
      <c r="L480">
        <v>7.16</v>
      </c>
      <c r="M480">
        <v>50</v>
      </c>
      <c r="N480">
        <v>7.27</v>
      </c>
      <c r="O480">
        <v>6</v>
      </c>
      <c r="P480">
        <v>0</v>
      </c>
    </row>
    <row r="481" spans="1:16" x14ac:dyDescent="0.3">
      <c r="A481">
        <v>2441</v>
      </c>
      <c r="B481" t="s">
        <v>520</v>
      </c>
      <c r="C481" s="2">
        <v>286906</v>
      </c>
      <c r="D481">
        <v>161</v>
      </c>
      <c r="E481" s="2">
        <v>7230125</v>
      </c>
      <c r="F481">
        <v>25.25</v>
      </c>
      <c r="G481">
        <v>25.4</v>
      </c>
      <c r="H481">
        <v>25.05</v>
      </c>
      <c r="I481">
        <v>25.3</v>
      </c>
      <c r="J481" t="s">
        <v>10</v>
      </c>
      <c r="K481">
        <v>0.2</v>
      </c>
      <c r="L481">
        <v>25.3</v>
      </c>
      <c r="M481">
        <v>4</v>
      </c>
      <c r="N481">
        <v>25.35</v>
      </c>
      <c r="O481">
        <v>11</v>
      </c>
      <c r="P481">
        <v>10.24</v>
      </c>
    </row>
    <row r="482" spans="1:16" x14ac:dyDescent="0.3">
      <c r="A482">
        <v>2442</v>
      </c>
      <c r="B482" t="s">
        <v>521</v>
      </c>
      <c r="C482" s="2">
        <v>460000</v>
      </c>
      <c r="D482">
        <v>147</v>
      </c>
      <c r="E482" s="2">
        <v>4301460</v>
      </c>
      <c r="F482">
        <v>9.36</v>
      </c>
      <c r="G482">
        <v>9.4</v>
      </c>
      <c r="H482">
        <v>9.32</v>
      </c>
      <c r="I482">
        <v>9.32</v>
      </c>
      <c r="J482" t="s">
        <v>7</v>
      </c>
      <c r="K482">
        <v>0.04</v>
      </c>
      <c r="L482">
        <v>9.32</v>
      </c>
      <c r="M482">
        <v>19</v>
      </c>
      <c r="N482">
        <v>9.39</v>
      </c>
      <c r="O482">
        <v>2</v>
      </c>
      <c r="P482">
        <v>17.579999999999998</v>
      </c>
    </row>
    <row r="483" spans="1:16" x14ac:dyDescent="0.3">
      <c r="A483">
        <v>2443</v>
      </c>
      <c r="B483" t="s">
        <v>522</v>
      </c>
      <c r="C483" s="2">
        <v>175151</v>
      </c>
      <c r="D483">
        <v>20</v>
      </c>
      <c r="E483" s="2">
        <v>303964</v>
      </c>
      <c r="F483">
        <v>1.74</v>
      </c>
      <c r="G483">
        <v>1.74</v>
      </c>
      <c r="H483">
        <v>1.69</v>
      </c>
      <c r="I483">
        <v>1.74</v>
      </c>
      <c r="K483">
        <v>0</v>
      </c>
      <c r="L483">
        <v>1.73</v>
      </c>
      <c r="M483">
        <v>10</v>
      </c>
      <c r="N483">
        <v>1.74</v>
      </c>
      <c r="O483">
        <v>85</v>
      </c>
      <c r="P483">
        <v>0</v>
      </c>
    </row>
    <row r="484" spans="1:16" x14ac:dyDescent="0.3">
      <c r="A484">
        <v>2444</v>
      </c>
      <c r="B484" t="s">
        <v>523</v>
      </c>
      <c r="C484" s="2">
        <v>196284</v>
      </c>
      <c r="D484">
        <v>95</v>
      </c>
      <c r="E484" s="2">
        <v>1320251</v>
      </c>
      <c r="F484">
        <v>6.61</v>
      </c>
      <c r="G484">
        <v>6.8</v>
      </c>
      <c r="H484">
        <v>6.61</v>
      </c>
      <c r="I484">
        <v>6.64</v>
      </c>
      <c r="J484" t="s">
        <v>10</v>
      </c>
      <c r="K484">
        <v>0.03</v>
      </c>
      <c r="L484">
        <v>6.64</v>
      </c>
      <c r="M484">
        <v>2</v>
      </c>
      <c r="N484">
        <v>6.73</v>
      </c>
      <c r="O484">
        <v>7</v>
      </c>
      <c r="P484">
        <v>221.33</v>
      </c>
    </row>
    <row r="485" spans="1:16" x14ac:dyDescent="0.3">
      <c r="A485">
        <v>2448</v>
      </c>
      <c r="B485" t="s">
        <v>524</v>
      </c>
      <c r="C485" s="2">
        <v>12324259</v>
      </c>
      <c r="D485" s="2">
        <v>5443</v>
      </c>
      <c r="E485" s="2">
        <v>666010907</v>
      </c>
      <c r="F485">
        <v>52.6</v>
      </c>
      <c r="G485">
        <v>55.4</v>
      </c>
      <c r="H485">
        <v>52.4</v>
      </c>
      <c r="I485">
        <v>54.6</v>
      </c>
      <c r="J485" t="s">
        <v>10</v>
      </c>
      <c r="K485">
        <v>1.8</v>
      </c>
      <c r="L485">
        <v>54.6</v>
      </c>
      <c r="M485">
        <v>10</v>
      </c>
      <c r="N485">
        <v>54.7</v>
      </c>
      <c r="O485">
        <v>2</v>
      </c>
      <c r="P485">
        <v>0</v>
      </c>
    </row>
    <row r="486" spans="1:16" x14ac:dyDescent="0.3">
      <c r="A486">
        <v>2449</v>
      </c>
      <c r="B486" t="s">
        <v>525</v>
      </c>
      <c r="C486" s="2">
        <v>3764385</v>
      </c>
      <c r="D486" s="2">
        <v>1859</v>
      </c>
      <c r="E486" s="2">
        <v>85241061</v>
      </c>
      <c r="F486">
        <v>22.5</v>
      </c>
      <c r="G486">
        <v>22.95</v>
      </c>
      <c r="H486">
        <v>22.3</v>
      </c>
      <c r="I486">
        <v>22.9</v>
      </c>
      <c r="J486" t="s">
        <v>10</v>
      </c>
      <c r="K486">
        <v>0.8</v>
      </c>
      <c r="L486">
        <v>22.85</v>
      </c>
      <c r="M486">
        <v>2</v>
      </c>
      <c r="N486">
        <v>22.9</v>
      </c>
      <c r="O486">
        <v>223</v>
      </c>
      <c r="P486">
        <v>15.37</v>
      </c>
    </row>
    <row r="487" spans="1:16" x14ac:dyDescent="0.3">
      <c r="A487">
        <v>2450</v>
      </c>
      <c r="B487" t="s">
        <v>526</v>
      </c>
      <c r="C487" s="2">
        <v>211055</v>
      </c>
      <c r="D487">
        <v>183</v>
      </c>
      <c r="E487" s="2">
        <v>20683045</v>
      </c>
      <c r="F487">
        <v>98.9</v>
      </c>
      <c r="G487">
        <v>98.9</v>
      </c>
      <c r="H487">
        <v>97.6</v>
      </c>
      <c r="I487">
        <v>98.2</v>
      </c>
      <c r="J487" t="s">
        <v>7</v>
      </c>
      <c r="K487">
        <v>0.1</v>
      </c>
      <c r="L487">
        <v>98.1</v>
      </c>
      <c r="M487">
        <v>1</v>
      </c>
      <c r="N487">
        <v>98.2</v>
      </c>
      <c r="O487">
        <v>1</v>
      </c>
      <c r="P487">
        <v>16.64</v>
      </c>
    </row>
    <row r="488" spans="1:16" x14ac:dyDescent="0.3">
      <c r="A488">
        <v>2451</v>
      </c>
      <c r="B488" t="s">
        <v>527</v>
      </c>
      <c r="C488" s="2">
        <v>1052748</v>
      </c>
      <c r="D488">
        <v>774</v>
      </c>
      <c r="E488" s="2">
        <v>99996408</v>
      </c>
      <c r="F488">
        <v>93</v>
      </c>
      <c r="G488">
        <v>96.2</v>
      </c>
      <c r="H488">
        <v>93</v>
      </c>
      <c r="I488">
        <v>96</v>
      </c>
      <c r="J488" t="s">
        <v>10</v>
      </c>
      <c r="K488">
        <v>3</v>
      </c>
      <c r="L488">
        <v>95.9</v>
      </c>
      <c r="M488">
        <v>17</v>
      </c>
      <c r="N488">
        <v>96.1</v>
      </c>
      <c r="O488">
        <v>7</v>
      </c>
      <c r="P488">
        <v>13.35</v>
      </c>
    </row>
    <row r="489" spans="1:16" x14ac:dyDescent="0.3">
      <c r="A489">
        <v>2453</v>
      </c>
      <c r="B489" t="s">
        <v>528</v>
      </c>
      <c r="C489" s="2">
        <v>71171</v>
      </c>
      <c r="D489">
        <v>35</v>
      </c>
      <c r="E489" s="2">
        <v>811182</v>
      </c>
      <c r="F489">
        <v>11.4</v>
      </c>
      <c r="G489">
        <v>11.45</v>
      </c>
      <c r="H489">
        <v>11.35</v>
      </c>
      <c r="I489">
        <v>11.45</v>
      </c>
      <c r="J489" t="s">
        <v>10</v>
      </c>
      <c r="K489">
        <v>0.15</v>
      </c>
      <c r="L489">
        <v>11.4</v>
      </c>
      <c r="M489">
        <v>9</v>
      </c>
      <c r="N489">
        <v>11.45</v>
      </c>
      <c r="O489">
        <v>19</v>
      </c>
      <c r="P489">
        <v>13.16</v>
      </c>
    </row>
    <row r="490" spans="1:16" x14ac:dyDescent="0.3">
      <c r="A490">
        <v>2454</v>
      </c>
      <c r="B490" t="s">
        <v>529</v>
      </c>
      <c r="C490" s="2">
        <v>8137034</v>
      </c>
      <c r="D490" s="2">
        <v>4940</v>
      </c>
      <c r="E490" s="2">
        <v>2785554730</v>
      </c>
      <c r="F490">
        <v>342</v>
      </c>
      <c r="G490">
        <v>346.5</v>
      </c>
      <c r="H490">
        <v>339.5</v>
      </c>
      <c r="I490">
        <v>345</v>
      </c>
      <c r="J490" t="s">
        <v>7</v>
      </c>
      <c r="K490">
        <v>3.5</v>
      </c>
      <c r="L490">
        <v>344.5</v>
      </c>
      <c r="M490">
        <v>15</v>
      </c>
      <c r="N490">
        <v>345</v>
      </c>
      <c r="O490">
        <v>34</v>
      </c>
      <c r="P490">
        <v>27.34</v>
      </c>
    </row>
    <row r="491" spans="1:16" x14ac:dyDescent="0.3">
      <c r="A491">
        <v>2455</v>
      </c>
      <c r="B491" t="s">
        <v>530</v>
      </c>
      <c r="C491" s="2">
        <v>1363529</v>
      </c>
      <c r="D491">
        <v>741</v>
      </c>
      <c r="E491" s="2">
        <v>46248752</v>
      </c>
      <c r="F491">
        <v>33.5</v>
      </c>
      <c r="G491">
        <v>34.200000000000003</v>
      </c>
      <c r="H491">
        <v>33.299999999999997</v>
      </c>
      <c r="I491">
        <v>33.950000000000003</v>
      </c>
      <c r="J491" t="s">
        <v>10</v>
      </c>
      <c r="K491">
        <v>0.65</v>
      </c>
      <c r="L491">
        <v>33.950000000000003</v>
      </c>
      <c r="M491">
        <v>3</v>
      </c>
      <c r="N491">
        <v>34</v>
      </c>
      <c r="O491">
        <v>6</v>
      </c>
      <c r="P491">
        <v>19.399999999999999</v>
      </c>
    </row>
    <row r="492" spans="1:16" x14ac:dyDescent="0.3">
      <c r="A492">
        <v>2456</v>
      </c>
      <c r="B492" t="s">
        <v>531</v>
      </c>
      <c r="C492" s="2">
        <v>398149</v>
      </c>
      <c r="D492">
        <v>153</v>
      </c>
      <c r="E492" s="2">
        <v>6588271</v>
      </c>
      <c r="F492">
        <v>16.45</v>
      </c>
      <c r="G492">
        <v>16.7</v>
      </c>
      <c r="H492">
        <v>16.45</v>
      </c>
      <c r="I492">
        <v>16.649999999999999</v>
      </c>
      <c r="J492" t="s">
        <v>10</v>
      </c>
      <c r="K492">
        <v>0.2</v>
      </c>
      <c r="L492">
        <v>16.600000000000001</v>
      </c>
      <c r="M492">
        <v>1</v>
      </c>
      <c r="N492">
        <v>16.649999999999999</v>
      </c>
      <c r="O492">
        <v>9</v>
      </c>
      <c r="P492">
        <v>8.67</v>
      </c>
    </row>
    <row r="493" spans="1:16" x14ac:dyDescent="0.3">
      <c r="A493">
        <v>2457</v>
      </c>
      <c r="B493" t="s">
        <v>532</v>
      </c>
      <c r="C493" s="2">
        <v>289521</v>
      </c>
      <c r="D493">
        <v>183</v>
      </c>
      <c r="E493" s="2">
        <v>5974482</v>
      </c>
      <c r="F493">
        <v>20.6</v>
      </c>
      <c r="G493">
        <v>20.75</v>
      </c>
      <c r="H493">
        <v>20.5</v>
      </c>
      <c r="I493">
        <v>20.7</v>
      </c>
      <c r="J493" t="s">
        <v>10</v>
      </c>
      <c r="K493">
        <v>0.2</v>
      </c>
      <c r="L493">
        <v>20.7</v>
      </c>
      <c r="M493">
        <v>3</v>
      </c>
      <c r="N493">
        <v>20.75</v>
      </c>
      <c r="O493">
        <v>30</v>
      </c>
      <c r="P493">
        <v>18.48</v>
      </c>
    </row>
    <row r="494" spans="1:16" x14ac:dyDescent="0.3">
      <c r="A494">
        <v>2458</v>
      </c>
      <c r="B494" t="s">
        <v>533</v>
      </c>
      <c r="C494" s="2">
        <v>7791632</v>
      </c>
      <c r="D494" s="2">
        <v>4448</v>
      </c>
      <c r="E494" s="2">
        <v>536073073</v>
      </c>
      <c r="F494">
        <v>67.400000000000006</v>
      </c>
      <c r="G494">
        <v>69.900000000000006</v>
      </c>
      <c r="H494">
        <v>67</v>
      </c>
      <c r="I494">
        <v>69.7</v>
      </c>
      <c r="J494" t="s">
        <v>10</v>
      </c>
      <c r="K494">
        <v>2.2000000000000002</v>
      </c>
      <c r="L494">
        <v>69.599999999999994</v>
      </c>
      <c r="M494">
        <v>40</v>
      </c>
      <c r="N494">
        <v>69.7</v>
      </c>
      <c r="O494">
        <v>62</v>
      </c>
      <c r="P494">
        <v>20.87</v>
      </c>
    </row>
    <row r="495" spans="1:16" x14ac:dyDescent="0.3">
      <c r="A495">
        <v>2459</v>
      </c>
      <c r="B495" t="s">
        <v>534</v>
      </c>
      <c r="C495" s="2">
        <v>63263</v>
      </c>
      <c r="D495">
        <v>48</v>
      </c>
      <c r="E495" s="2">
        <v>1720715</v>
      </c>
      <c r="F495">
        <v>27.2</v>
      </c>
      <c r="G495">
        <v>27.25</v>
      </c>
      <c r="H495">
        <v>27</v>
      </c>
      <c r="I495">
        <v>27.25</v>
      </c>
      <c r="J495" t="s">
        <v>10</v>
      </c>
      <c r="K495">
        <v>0.2</v>
      </c>
      <c r="L495">
        <v>27.2</v>
      </c>
      <c r="M495">
        <v>5</v>
      </c>
      <c r="N495">
        <v>27.3</v>
      </c>
      <c r="O495">
        <v>6</v>
      </c>
      <c r="P495">
        <v>8.31</v>
      </c>
    </row>
    <row r="496" spans="1:16" x14ac:dyDescent="0.3">
      <c r="A496">
        <v>2460</v>
      </c>
      <c r="B496" t="s">
        <v>535</v>
      </c>
      <c r="C496" s="2">
        <v>50513</v>
      </c>
      <c r="D496">
        <v>24</v>
      </c>
      <c r="E496" s="2">
        <v>567346</v>
      </c>
      <c r="F496">
        <v>11.1</v>
      </c>
      <c r="G496">
        <v>11.3</v>
      </c>
      <c r="H496">
        <v>11.1</v>
      </c>
      <c r="I496">
        <v>11.3</v>
      </c>
      <c r="J496" t="s">
        <v>10</v>
      </c>
      <c r="K496">
        <v>0.3</v>
      </c>
      <c r="L496">
        <v>11.2</v>
      </c>
      <c r="M496">
        <v>3</v>
      </c>
      <c r="N496">
        <v>11.3</v>
      </c>
      <c r="O496">
        <v>13</v>
      </c>
      <c r="P496">
        <v>41.85</v>
      </c>
    </row>
    <row r="497" spans="1:16" x14ac:dyDescent="0.3">
      <c r="A497">
        <v>2461</v>
      </c>
      <c r="B497" t="s">
        <v>536</v>
      </c>
      <c r="C497" s="2">
        <v>1842366</v>
      </c>
      <c r="D497">
        <v>676</v>
      </c>
      <c r="E497" s="2">
        <v>33403800</v>
      </c>
      <c r="F497">
        <v>17.8</v>
      </c>
      <c r="G497">
        <v>18.399999999999999</v>
      </c>
      <c r="H497">
        <v>17.8</v>
      </c>
      <c r="I497">
        <v>18.3</v>
      </c>
      <c r="J497" t="s">
        <v>10</v>
      </c>
      <c r="K497">
        <v>0.5</v>
      </c>
      <c r="L497">
        <v>18.25</v>
      </c>
      <c r="M497">
        <v>9</v>
      </c>
      <c r="N497">
        <v>18.3</v>
      </c>
      <c r="O497">
        <v>34</v>
      </c>
      <c r="P497">
        <v>13.46</v>
      </c>
    </row>
    <row r="498" spans="1:16" x14ac:dyDescent="0.3">
      <c r="A498">
        <v>2462</v>
      </c>
      <c r="B498" t="s">
        <v>537</v>
      </c>
      <c r="C498" s="2">
        <v>181533</v>
      </c>
      <c r="D498">
        <v>134</v>
      </c>
      <c r="E498" s="2">
        <v>5228551</v>
      </c>
      <c r="F498">
        <v>28.45</v>
      </c>
      <c r="G498">
        <v>28.95</v>
      </c>
      <c r="H498">
        <v>28.45</v>
      </c>
      <c r="I498">
        <v>28.95</v>
      </c>
      <c r="J498" t="s">
        <v>10</v>
      </c>
      <c r="K498">
        <v>0.5</v>
      </c>
      <c r="L498">
        <v>28.9</v>
      </c>
      <c r="M498">
        <v>17</v>
      </c>
      <c r="N498">
        <v>28.95</v>
      </c>
      <c r="O498">
        <v>20</v>
      </c>
      <c r="P498">
        <v>9.68</v>
      </c>
    </row>
    <row r="499" spans="1:16" x14ac:dyDescent="0.3">
      <c r="A499">
        <v>2464</v>
      </c>
      <c r="B499" t="s">
        <v>538</v>
      </c>
      <c r="C499" s="2">
        <v>384929</v>
      </c>
      <c r="D499">
        <v>148</v>
      </c>
      <c r="E499" s="2">
        <v>8546806</v>
      </c>
      <c r="F499">
        <v>21.95</v>
      </c>
      <c r="G499">
        <v>22.45</v>
      </c>
      <c r="H499">
        <v>21.95</v>
      </c>
      <c r="I499">
        <v>22.4</v>
      </c>
      <c r="J499" t="s">
        <v>10</v>
      </c>
      <c r="K499">
        <v>0.55000000000000004</v>
      </c>
      <c r="L499">
        <v>22.35</v>
      </c>
      <c r="M499">
        <v>8</v>
      </c>
      <c r="N499">
        <v>22.4</v>
      </c>
      <c r="O499">
        <v>6</v>
      </c>
      <c r="P499">
        <v>14.64</v>
      </c>
    </row>
    <row r="500" spans="1:16" x14ac:dyDescent="0.3">
      <c r="A500">
        <v>2465</v>
      </c>
      <c r="B500" t="s">
        <v>539</v>
      </c>
      <c r="C500" s="2">
        <v>192204</v>
      </c>
      <c r="D500">
        <v>91</v>
      </c>
      <c r="E500" s="2">
        <v>1005087</v>
      </c>
      <c r="F500">
        <v>5.2</v>
      </c>
      <c r="G500">
        <v>5.27</v>
      </c>
      <c r="H500">
        <v>5.2</v>
      </c>
      <c r="I500">
        <v>5.25</v>
      </c>
      <c r="J500" t="s">
        <v>10</v>
      </c>
      <c r="K500">
        <v>7.0000000000000007E-2</v>
      </c>
      <c r="L500">
        <v>5.22</v>
      </c>
      <c r="M500">
        <v>3</v>
      </c>
      <c r="N500">
        <v>5.25</v>
      </c>
      <c r="O500">
        <v>50</v>
      </c>
      <c r="P500">
        <v>0</v>
      </c>
    </row>
    <row r="501" spans="1:16" x14ac:dyDescent="0.3">
      <c r="A501">
        <v>2466</v>
      </c>
      <c r="B501" t="s">
        <v>540</v>
      </c>
      <c r="C501" s="2">
        <v>93124</v>
      </c>
      <c r="D501">
        <v>65</v>
      </c>
      <c r="E501" s="2">
        <v>2814725</v>
      </c>
      <c r="F501">
        <v>30.2</v>
      </c>
      <c r="G501">
        <v>30.35</v>
      </c>
      <c r="H501">
        <v>30</v>
      </c>
      <c r="I501">
        <v>30.25</v>
      </c>
      <c r="J501" t="s">
        <v>10</v>
      </c>
      <c r="K501">
        <v>0.05</v>
      </c>
      <c r="L501">
        <v>30.2</v>
      </c>
      <c r="M501">
        <v>5</v>
      </c>
      <c r="N501">
        <v>30.25</v>
      </c>
      <c r="O501">
        <v>1</v>
      </c>
      <c r="P501">
        <v>0</v>
      </c>
    </row>
    <row r="502" spans="1:16" x14ac:dyDescent="0.3">
      <c r="A502">
        <v>2467</v>
      </c>
      <c r="B502" t="s">
        <v>541</v>
      </c>
      <c r="C502" s="2">
        <v>658698</v>
      </c>
      <c r="D502">
        <v>305</v>
      </c>
      <c r="E502" s="2">
        <v>14246190</v>
      </c>
      <c r="F502">
        <v>21.5</v>
      </c>
      <c r="G502">
        <v>21.8</v>
      </c>
      <c r="H502">
        <v>21.35</v>
      </c>
      <c r="I502">
        <v>21.7</v>
      </c>
      <c r="J502" t="s">
        <v>10</v>
      </c>
      <c r="K502">
        <v>0.35</v>
      </c>
      <c r="L502">
        <v>21.7</v>
      </c>
      <c r="M502">
        <v>3</v>
      </c>
      <c r="N502">
        <v>21.75</v>
      </c>
      <c r="O502">
        <v>103</v>
      </c>
      <c r="P502">
        <v>10.28</v>
      </c>
    </row>
    <row r="503" spans="1:16" x14ac:dyDescent="0.3">
      <c r="A503">
        <v>2468</v>
      </c>
      <c r="B503" t="s">
        <v>542</v>
      </c>
      <c r="C503" s="2">
        <v>96000</v>
      </c>
      <c r="D503">
        <v>51</v>
      </c>
      <c r="E503" s="2">
        <v>936000</v>
      </c>
      <c r="F503">
        <v>9.69</v>
      </c>
      <c r="G503">
        <v>9.9499999999999993</v>
      </c>
      <c r="H503">
        <v>9.69</v>
      </c>
      <c r="I503">
        <v>9.82</v>
      </c>
      <c r="J503" t="s">
        <v>7</v>
      </c>
      <c r="K503">
        <v>0.11</v>
      </c>
      <c r="L503">
        <v>9.7799999999999994</v>
      </c>
      <c r="M503">
        <v>5</v>
      </c>
      <c r="N503">
        <v>9.91</v>
      </c>
      <c r="O503">
        <v>4</v>
      </c>
      <c r="P503">
        <v>37.770000000000003</v>
      </c>
    </row>
    <row r="504" spans="1:16" x14ac:dyDescent="0.3">
      <c r="A504">
        <v>2471</v>
      </c>
      <c r="B504" t="s">
        <v>543</v>
      </c>
      <c r="C504" s="2">
        <v>144522</v>
      </c>
      <c r="D504">
        <v>83</v>
      </c>
      <c r="E504" s="2">
        <v>2717207</v>
      </c>
      <c r="F504">
        <v>18.7</v>
      </c>
      <c r="G504">
        <v>18.899999999999999</v>
      </c>
      <c r="H504">
        <v>18.600000000000001</v>
      </c>
      <c r="I504">
        <v>18.75</v>
      </c>
      <c r="J504" t="s">
        <v>10</v>
      </c>
      <c r="K504">
        <v>0.15</v>
      </c>
      <c r="L504">
        <v>18.75</v>
      </c>
      <c r="M504">
        <v>4</v>
      </c>
      <c r="N504">
        <v>18.850000000000001</v>
      </c>
      <c r="O504">
        <v>1</v>
      </c>
      <c r="P504">
        <v>10.96</v>
      </c>
    </row>
    <row r="505" spans="1:16" x14ac:dyDescent="0.3">
      <c r="A505">
        <v>2472</v>
      </c>
      <c r="B505" t="s">
        <v>544</v>
      </c>
      <c r="C505" s="2">
        <v>240087</v>
      </c>
      <c r="D505">
        <v>85</v>
      </c>
      <c r="E505" s="2">
        <v>3690498</v>
      </c>
      <c r="F505">
        <v>15.4</v>
      </c>
      <c r="G505">
        <v>15.6</v>
      </c>
      <c r="H505">
        <v>15.3</v>
      </c>
      <c r="I505">
        <v>15.6</v>
      </c>
      <c r="J505" t="s">
        <v>10</v>
      </c>
      <c r="K505">
        <v>0.15</v>
      </c>
      <c r="L505">
        <v>15.45</v>
      </c>
      <c r="M505">
        <v>3</v>
      </c>
      <c r="N505">
        <v>15.6</v>
      </c>
      <c r="O505">
        <v>11</v>
      </c>
      <c r="P505">
        <v>11.39</v>
      </c>
    </row>
    <row r="506" spans="1:16" x14ac:dyDescent="0.3">
      <c r="A506">
        <v>2474</v>
      </c>
      <c r="B506" t="s">
        <v>545</v>
      </c>
      <c r="C506" s="2">
        <v>5771988</v>
      </c>
      <c r="D506" s="2">
        <v>3500</v>
      </c>
      <c r="E506" s="2">
        <v>906757080</v>
      </c>
      <c r="F506">
        <v>157</v>
      </c>
      <c r="G506">
        <v>160</v>
      </c>
      <c r="H506">
        <v>155</v>
      </c>
      <c r="I506">
        <v>160</v>
      </c>
      <c r="J506" t="s">
        <v>10</v>
      </c>
      <c r="K506">
        <v>4</v>
      </c>
      <c r="L506">
        <v>159.5</v>
      </c>
      <c r="M506">
        <v>2</v>
      </c>
      <c r="N506">
        <v>160</v>
      </c>
      <c r="O506">
        <v>616</v>
      </c>
      <c r="P506">
        <v>9.99</v>
      </c>
    </row>
    <row r="507" spans="1:16" x14ac:dyDescent="0.3">
      <c r="A507">
        <v>2475</v>
      </c>
      <c r="B507" t="s">
        <v>546</v>
      </c>
      <c r="C507" s="2">
        <v>7444462</v>
      </c>
      <c r="D507">
        <v>368</v>
      </c>
      <c r="E507" s="2">
        <v>13977457</v>
      </c>
      <c r="F507">
        <v>1.8</v>
      </c>
      <c r="G507">
        <v>1.89</v>
      </c>
      <c r="H507">
        <v>1.8</v>
      </c>
      <c r="I507">
        <v>1.89</v>
      </c>
      <c r="J507" t="s">
        <v>10</v>
      </c>
      <c r="K507">
        <v>0.12</v>
      </c>
      <c r="L507">
        <v>1.89</v>
      </c>
      <c r="M507">
        <v>4963</v>
      </c>
      <c r="N507" t="s">
        <v>152</v>
      </c>
      <c r="O507">
        <v>0</v>
      </c>
      <c r="P507">
        <v>0</v>
      </c>
    </row>
    <row r="508" spans="1:16" x14ac:dyDescent="0.3">
      <c r="A508">
        <v>2476</v>
      </c>
      <c r="B508" t="s">
        <v>547</v>
      </c>
      <c r="C508" s="2">
        <v>242998</v>
      </c>
      <c r="D508">
        <v>106</v>
      </c>
      <c r="E508" s="2">
        <v>3997266</v>
      </c>
      <c r="F508">
        <v>16.399999999999999</v>
      </c>
      <c r="G508">
        <v>16.55</v>
      </c>
      <c r="H508">
        <v>16.350000000000001</v>
      </c>
      <c r="I508">
        <v>16.55</v>
      </c>
      <c r="J508" t="s">
        <v>10</v>
      </c>
      <c r="K508">
        <v>0.2</v>
      </c>
      <c r="L508">
        <v>16.5</v>
      </c>
      <c r="M508">
        <v>5</v>
      </c>
      <c r="N508">
        <v>16.55</v>
      </c>
      <c r="O508">
        <v>13</v>
      </c>
      <c r="P508">
        <v>10.28</v>
      </c>
    </row>
    <row r="509" spans="1:16" x14ac:dyDescent="0.3">
      <c r="A509">
        <v>2477</v>
      </c>
      <c r="B509" t="s">
        <v>548</v>
      </c>
      <c r="C509" s="2">
        <v>22579</v>
      </c>
      <c r="D509">
        <v>12</v>
      </c>
      <c r="E509" s="2">
        <v>282907</v>
      </c>
      <c r="F509">
        <v>12.7</v>
      </c>
      <c r="G509">
        <v>12.7</v>
      </c>
      <c r="H509">
        <v>12.4</v>
      </c>
      <c r="I509">
        <v>12.5</v>
      </c>
      <c r="J509" t="s">
        <v>7</v>
      </c>
      <c r="K509">
        <v>0.1</v>
      </c>
      <c r="L509">
        <v>12.55</v>
      </c>
      <c r="M509">
        <v>9</v>
      </c>
      <c r="N509">
        <v>12.6</v>
      </c>
      <c r="O509">
        <v>4</v>
      </c>
      <c r="P509">
        <v>13.44</v>
      </c>
    </row>
    <row r="510" spans="1:16" x14ac:dyDescent="0.3">
      <c r="A510">
        <v>2478</v>
      </c>
      <c r="B510" t="s">
        <v>549</v>
      </c>
      <c r="C510" s="2">
        <v>80534</v>
      </c>
      <c r="D510">
        <v>38</v>
      </c>
      <c r="E510" s="2">
        <v>1284911</v>
      </c>
      <c r="F510">
        <v>15.95</v>
      </c>
      <c r="G510">
        <v>16.05</v>
      </c>
      <c r="H510">
        <v>15.9</v>
      </c>
      <c r="I510">
        <v>15.95</v>
      </c>
      <c r="J510" t="s">
        <v>10</v>
      </c>
      <c r="K510">
        <v>0.05</v>
      </c>
      <c r="L510">
        <v>15.95</v>
      </c>
      <c r="M510">
        <v>22</v>
      </c>
      <c r="N510">
        <v>16</v>
      </c>
      <c r="O510">
        <v>1</v>
      </c>
      <c r="P510">
        <v>34.67</v>
      </c>
    </row>
    <row r="511" spans="1:16" x14ac:dyDescent="0.3">
      <c r="A511">
        <v>2480</v>
      </c>
      <c r="B511" t="s">
        <v>550</v>
      </c>
      <c r="C511" s="2">
        <v>754700</v>
      </c>
      <c r="D511">
        <v>334</v>
      </c>
      <c r="E511" s="2">
        <v>19765383</v>
      </c>
      <c r="F511">
        <v>25.9</v>
      </c>
      <c r="G511">
        <v>26.3</v>
      </c>
      <c r="H511">
        <v>25.9</v>
      </c>
      <c r="I511">
        <v>26.2</v>
      </c>
      <c r="J511" t="s">
        <v>10</v>
      </c>
      <c r="K511">
        <v>0.4</v>
      </c>
      <c r="L511">
        <v>26.2</v>
      </c>
      <c r="M511">
        <v>10</v>
      </c>
      <c r="N511">
        <v>26.25</v>
      </c>
      <c r="O511">
        <v>23</v>
      </c>
      <c r="P511">
        <v>13.86</v>
      </c>
    </row>
    <row r="512" spans="1:16" x14ac:dyDescent="0.3">
      <c r="A512">
        <v>2481</v>
      </c>
      <c r="B512" t="s">
        <v>551</v>
      </c>
      <c r="C512" s="2">
        <v>1197501</v>
      </c>
      <c r="D512">
        <v>499</v>
      </c>
      <c r="E512" s="2">
        <v>13737510</v>
      </c>
      <c r="F512">
        <v>11.45</v>
      </c>
      <c r="G512">
        <v>11.6</v>
      </c>
      <c r="H512">
        <v>11.3</v>
      </c>
      <c r="I512">
        <v>11.5</v>
      </c>
      <c r="J512" t="s">
        <v>10</v>
      </c>
      <c r="K512">
        <v>0.1</v>
      </c>
      <c r="L512">
        <v>11.5</v>
      </c>
      <c r="M512">
        <v>151</v>
      </c>
      <c r="N512">
        <v>11.55</v>
      </c>
      <c r="O512">
        <v>62</v>
      </c>
      <c r="P512">
        <v>0</v>
      </c>
    </row>
    <row r="513" spans="1:16" x14ac:dyDescent="0.3">
      <c r="A513">
        <v>2482</v>
      </c>
      <c r="B513" t="s">
        <v>552</v>
      </c>
      <c r="C513" s="2">
        <v>295131</v>
      </c>
      <c r="D513">
        <v>69</v>
      </c>
      <c r="E513" s="2">
        <v>3515258</v>
      </c>
      <c r="F513">
        <v>11.85</v>
      </c>
      <c r="G513">
        <v>12</v>
      </c>
      <c r="H513">
        <v>11.8</v>
      </c>
      <c r="I513">
        <v>12</v>
      </c>
      <c r="J513" t="s">
        <v>10</v>
      </c>
      <c r="K513">
        <v>0.1</v>
      </c>
      <c r="L513">
        <v>11.9</v>
      </c>
      <c r="M513">
        <v>6</v>
      </c>
      <c r="N513">
        <v>12</v>
      </c>
      <c r="O513">
        <v>19</v>
      </c>
      <c r="P513">
        <v>120</v>
      </c>
    </row>
    <row r="514" spans="1:16" x14ac:dyDescent="0.3">
      <c r="A514">
        <v>2483</v>
      </c>
      <c r="B514" t="s">
        <v>553</v>
      </c>
      <c r="C514" s="2">
        <v>35000</v>
      </c>
      <c r="D514">
        <v>17</v>
      </c>
      <c r="E514" s="2">
        <v>442650</v>
      </c>
      <c r="F514">
        <v>12.6</v>
      </c>
      <c r="G514">
        <v>12.75</v>
      </c>
      <c r="H514">
        <v>12.6</v>
      </c>
      <c r="I514">
        <v>12.75</v>
      </c>
      <c r="J514" t="s">
        <v>10</v>
      </c>
      <c r="K514">
        <v>0.2</v>
      </c>
      <c r="L514">
        <v>12.65</v>
      </c>
      <c r="M514">
        <v>26</v>
      </c>
      <c r="N514">
        <v>12.75</v>
      </c>
      <c r="O514">
        <v>1</v>
      </c>
      <c r="P514">
        <v>41.13</v>
      </c>
    </row>
    <row r="515" spans="1:16" x14ac:dyDescent="0.3">
      <c r="A515">
        <v>2484</v>
      </c>
      <c r="B515" t="s">
        <v>554</v>
      </c>
      <c r="C515" s="2">
        <v>5013434</v>
      </c>
      <c r="D515" s="2">
        <v>1384</v>
      </c>
      <c r="E515" s="2">
        <v>59464413</v>
      </c>
      <c r="F515">
        <v>11.6</v>
      </c>
      <c r="G515">
        <v>12.1</v>
      </c>
      <c r="H515">
        <v>11.55</v>
      </c>
      <c r="I515">
        <v>11.95</v>
      </c>
      <c r="J515" t="s">
        <v>10</v>
      </c>
      <c r="K515">
        <v>0.4</v>
      </c>
      <c r="L515">
        <v>11.9</v>
      </c>
      <c r="M515">
        <v>57</v>
      </c>
      <c r="N515">
        <v>11.95</v>
      </c>
      <c r="O515">
        <v>7</v>
      </c>
      <c r="P515">
        <v>0</v>
      </c>
    </row>
    <row r="516" spans="1:16" x14ac:dyDescent="0.3">
      <c r="A516">
        <v>2485</v>
      </c>
      <c r="B516" t="s">
        <v>555</v>
      </c>
      <c r="C516" s="2">
        <v>852206</v>
      </c>
      <c r="D516">
        <v>414</v>
      </c>
      <c r="E516" s="2">
        <v>21109079</v>
      </c>
      <c r="F516">
        <v>24.55</v>
      </c>
      <c r="G516">
        <v>25.05</v>
      </c>
      <c r="H516">
        <v>24.5</v>
      </c>
      <c r="I516">
        <v>25</v>
      </c>
      <c r="J516" t="s">
        <v>10</v>
      </c>
      <c r="K516">
        <v>0.55000000000000004</v>
      </c>
      <c r="L516">
        <v>25</v>
      </c>
      <c r="M516">
        <v>16</v>
      </c>
      <c r="N516">
        <v>25.05</v>
      </c>
      <c r="O516">
        <v>8</v>
      </c>
      <c r="P516">
        <v>14.79</v>
      </c>
    </row>
    <row r="517" spans="1:16" x14ac:dyDescent="0.3">
      <c r="A517">
        <v>2486</v>
      </c>
      <c r="B517" t="s">
        <v>556</v>
      </c>
      <c r="C517" s="2">
        <v>414152</v>
      </c>
      <c r="D517">
        <v>218</v>
      </c>
      <c r="E517" s="2">
        <v>7921137</v>
      </c>
      <c r="F517">
        <v>19.05</v>
      </c>
      <c r="G517">
        <v>19.2</v>
      </c>
      <c r="H517">
        <v>18.95</v>
      </c>
      <c r="I517">
        <v>19.2</v>
      </c>
      <c r="J517" t="s">
        <v>10</v>
      </c>
      <c r="K517">
        <v>0.15</v>
      </c>
      <c r="L517">
        <v>19.149999999999999</v>
      </c>
      <c r="M517">
        <v>1</v>
      </c>
      <c r="N517">
        <v>19.2</v>
      </c>
      <c r="O517">
        <v>37</v>
      </c>
      <c r="P517">
        <v>56.47</v>
      </c>
    </row>
    <row r="518" spans="1:16" x14ac:dyDescent="0.3">
      <c r="A518">
        <v>2488</v>
      </c>
      <c r="B518" t="s">
        <v>557</v>
      </c>
      <c r="C518" s="2">
        <v>1176828</v>
      </c>
      <c r="D518">
        <v>470</v>
      </c>
      <c r="E518" s="2">
        <v>21458742</v>
      </c>
      <c r="F518">
        <v>18</v>
      </c>
      <c r="G518">
        <v>18.45</v>
      </c>
      <c r="H518">
        <v>17.75</v>
      </c>
      <c r="I518">
        <v>18.45</v>
      </c>
      <c r="J518" t="s">
        <v>10</v>
      </c>
      <c r="K518">
        <v>0.85</v>
      </c>
      <c r="L518">
        <v>18.399999999999999</v>
      </c>
      <c r="M518">
        <v>7</v>
      </c>
      <c r="N518">
        <v>18.45</v>
      </c>
      <c r="O518">
        <v>11</v>
      </c>
      <c r="P518">
        <v>14.53</v>
      </c>
    </row>
    <row r="519" spans="1:16" x14ac:dyDescent="0.3">
      <c r="A519">
        <v>2489</v>
      </c>
      <c r="B519" t="s">
        <v>558</v>
      </c>
      <c r="C519" s="2">
        <v>1908895</v>
      </c>
      <c r="D519">
        <v>902</v>
      </c>
      <c r="E519" s="2">
        <v>47072897</v>
      </c>
      <c r="F519">
        <v>24.5</v>
      </c>
      <c r="G519">
        <v>24.8</v>
      </c>
      <c r="H519">
        <v>24.4</v>
      </c>
      <c r="I519">
        <v>24.75</v>
      </c>
      <c r="J519" t="s">
        <v>10</v>
      </c>
      <c r="K519">
        <v>0.25</v>
      </c>
      <c r="L519">
        <v>24.75</v>
      </c>
      <c r="M519">
        <v>23</v>
      </c>
      <c r="N519">
        <v>24.8</v>
      </c>
      <c r="O519">
        <v>263</v>
      </c>
      <c r="P519">
        <v>12.63</v>
      </c>
    </row>
    <row r="520" spans="1:16" x14ac:dyDescent="0.3">
      <c r="A520">
        <v>2491</v>
      </c>
      <c r="B520" t="s">
        <v>559</v>
      </c>
      <c r="C520" s="2">
        <v>26000</v>
      </c>
      <c r="D520">
        <v>14</v>
      </c>
      <c r="E520" s="2">
        <v>69210</v>
      </c>
      <c r="F520">
        <v>2.7</v>
      </c>
      <c r="G520">
        <v>2.81</v>
      </c>
      <c r="H520">
        <v>2.64</v>
      </c>
      <c r="I520">
        <v>2.64</v>
      </c>
      <c r="J520" t="s">
        <v>145</v>
      </c>
      <c r="K520">
        <v>0</v>
      </c>
      <c r="L520" t="s">
        <v>152</v>
      </c>
      <c r="M520">
        <v>0</v>
      </c>
      <c r="N520">
        <v>2.75</v>
      </c>
      <c r="O520">
        <v>3</v>
      </c>
      <c r="P520">
        <v>0</v>
      </c>
    </row>
    <row r="521" spans="1:16" x14ac:dyDescent="0.3">
      <c r="A521">
        <v>2492</v>
      </c>
      <c r="B521" t="s">
        <v>560</v>
      </c>
      <c r="C521" s="2">
        <v>1724380</v>
      </c>
      <c r="D521">
        <v>436</v>
      </c>
      <c r="E521" s="2">
        <v>13187451</v>
      </c>
      <c r="F521">
        <v>7.6</v>
      </c>
      <c r="G521">
        <v>7.75</v>
      </c>
      <c r="H521">
        <v>7.53</v>
      </c>
      <c r="I521">
        <v>7.65</v>
      </c>
      <c r="J521" t="s">
        <v>10</v>
      </c>
      <c r="K521">
        <v>0.15</v>
      </c>
      <c r="L521">
        <v>7.65</v>
      </c>
      <c r="M521">
        <v>5</v>
      </c>
      <c r="N521">
        <v>7.69</v>
      </c>
      <c r="O521">
        <v>20</v>
      </c>
      <c r="P521">
        <v>0</v>
      </c>
    </row>
    <row r="522" spans="1:16" x14ac:dyDescent="0.3">
      <c r="A522">
        <v>2493</v>
      </c>
      <c r="B522" t="s">
        <v>561</v>
      </c>
      <c r="C522" s="2">
        <v>627445</v>
      </c>
      <c r="D522">
        <v>335</v>
      </c>
      <c r="E522" s="2">
        <v>17418892</v>
      </c>
      <c r="F522">
        <v>27.5</v>
      </c>
      <c r="G522">
        <v>27.9</v>
      </c>
      <c r="H522">
        <v>27.45</v>
      </c>
      <c r="I522">
        <v>27.85</v>
      </c>
      <c r="J522" t="s">
        <v>10</v>
      </c>
      <c r="K522">
        <v>0.55000000000000004</v>
      </c>
      <c r="L522">
        <v>27.85</v>
      </c>
      <c r="M522">
        <v>6</v>
      </c>
      <c r="N522">
        <v>27.9</v>
      </c>
      <c r="O522">
        <v>13</v>
      </c>
      <c r="P522">
        <v>8.93</v>
      </c>
    </row>
    <row r="523" spans="1:16" x14ac:dyDescent="0.3">
      <c r="A523">
        <v>2495</v>
      </c>
      <c r="B523" t="s">
        <v>562</v>
      </c>
      <c r="C523" s="2">
        <v>172966</v>
      </c>
      <c r="D523">
        <v>99</v>
      </c>
      <c r="E523" s="2">
        <v>2599290</v>
      </c>
      <c r="F523">
        <v>15</v>
      </c>
      <c r="G523">
        <v>15.1</v>
      </c>
      <c r="H523">
        <v>14.95</v>
      </c>
      <c r="I523">
        <v>15.05</v>
      </c>
      <c r="J523" t="s">
        <v>10</v>
      </c>
      <c r="K523">
        <v>0.05</v>
      </c>
      <c r="L523">
        <v>15.05</v>
      </c>
      <c r="M523">
        <v>4</v>
      </c>
      <c r="N523">
        <v>15.1</v>
      </c>
      <c r="O523">
        <v>8</v>
      </c>
      <c r="P523">
        <v>50.17</v>
      </c>
    </row>
    <row r="524" spans="1:16" x14ac:dyDescent="0.3">
      <c r="A524">
        <v>2496</v>
      </c>
      <c r="B524" t="s">
        <v>563</v>
      </c>
      <c r="C524" s="2">
        <v>2039</v>
      </c>
      <c r="D524">
        <v>3</v>
      </c>
      <c r="E524" s="2">
        <v>18758</v>
      </c>
      <c r="F524">
        <v>9.1999999999999993</v>
      </c>
      <c r="G524">
        <v>9.1999999999999993</v>
      </c>
      <c r="H524">
        <v>9.1999999999999993</v>
      </c>
      <c r="I524">
        <v>9.1999999999999993</v>
      </c>
      <c r="J524" t="s">
        <v>7</v>
      </c>
      <c r="K524">
        <v>0.4</v>
      </c>
      <c r="L524" t="s">
        <v>152</v>
      </c>
      <c r="M524">
        <v>0</v>
      </c>
      <c r="N524">
        <v>9.6999999999999993</v>
      </c>
      <c r="O524">
        <v>43</v>
      </c>
      <c r="P524">
        <v>10.95</v>
      </c>
    </row>
    <row r="525" spans="1:16" x14ac:dyDescent="0.3">
      <c r="A525">
        <v>2497</v>
      </c>
      <c r="B525" t="s">
        <v>564</v>
      </c>
      <c r="C525" s="2">
        <v>351008</v>
      </c>
      <c r="D525">
        <v>230</v>
      </c>
      <c r="E525" s="2">
        <v>10497138</v>
      </c>
      <c r="F525">
        <v>29.7</v>
      </c>
      <c r="G525">
        <v>30.25</v>
      </c>
      <c r="H525">
        <v>29.7</v>
      </c>
      <c r="I525">
        <v>30.1</v>
      </c>
      <c r="J525" t="s">
        <v>10</v>
      </c>
      <c r="K525">
        <v>0.4</v>
      </c>
      <c r="L525">
        <v>30.1</v>
      </c>
      <c r="M525">
        <v>5</v>
      </c>
      <c r="N525">
        <v>30.15</v>
      </c>
      <c r="O525">
        <v>1</v>
      </c>
      <c r="P525">
        <v>19.170000000000002</v>
      </c>
    </row>
    <row r="526" spans="1:16" x14ac:dyDescent="0.3">
      <c r="A526">
        <v>2498</v>
      </c>
      <c r="B526" t="s">
        <v>565</v>
      </c>
      <c r="C526" s="2">
        <v>23019177</v>
      </c>
      <c r="D526" s="2">
        <v>15684</v>
      </c>
      <c r="E526" s="2">
        <v>5344795741</v>
      </c>
      <c r="F526">
        <v>238</v>
      </c>
      <c r="G526">
        <v>238</v>
      </c>
      <c r="H526">
        <v>229</v>
      </c>
      <c r="I526">
        <v>231</v>
      </c>
      <c r="J526" t="s">
        <v>7</v>
      </c>
      <c r="K526">
        <v>8</v>
      </c>
      <c r="L526">
        <v>231</v>
      </c>
      <c r="M526">
        <v>332</v>
      </c>
      <c r="N526">
        <v>231.5</v>
      </c>
      <c r="O526">
        <v>13</v>
      </c>
      <c r="P526">
        <v>15.48</v>
      </c>
    </row>
    <row r="527" spans="1:16" x14ac:dyDescent="0.3">
      <c r="A527">
        <v>2499</v>
      </c>
      <c r="B527" t="s">
        <v>566</v>
      </c>
      <c r="C527" s="2">
        <v>1103709</v>
      </c>
      <c r="D527">
        <v>468</v>
      </c>
      <c r="E527" s="2">
        <v>29354921</v>
      </c>
      <c r="F527">
        <v>26.3</v>
      </c>
      <c r="G527">
        <v>26.9</v>
      </c>
      <c r="H527">
        <v>26.3</v>
      </c>
      <c r="I527">
        <v>26.7</v>
      </c>
      <c r="J527" t="s">
        <v>10</v>
      </c>
      <c r="K527">
        <v>0.45</v>
      </c>
      <c r="L527">
        <v>26.7</v>
      </c>
      <c r="M527">
        <v>22</v>
      </c>
      <c r="N527">
        <v>26.75</v>
      </c>
      <c r="O527">
        <v>1</v>
      </c>
      <c r="P527">
        <v>72.16</v>
      </c>
    </row>
    <row r="528" spans="1:16" x14ac:dyDescent="0.3">
      <c r="A528">
        <v>2501</v>
      </c>
      <c r="B528" t="s">
        <v>567</v>
      </c>
      <c r="C528" s="2">
        <v>5655760</v>
      </c>
      <c r="D528" s="2">
        <v>1186</v>
      </c>
      <c r="E528" s="2">
        <v>107427248</v>
      </c>
      <c r="F528">
        <v>19.100000000000001</v>
      </c>
      <c r="G528">
        <v>19.100000000000001</v>
      </c>
      <c r="H528">
        <v>18.899999999999999</v>
      </c>
      <c r="I528">
        <v>19</v>
      </c>
      <c r="J528" t="s">
        <v>7</v>
      </c>
      <c r="K528">
        <v>0.05</v>
      </c>
      <c r="L528">
        <v>18.95</v>
      </c>
      <c r="M528">
        <v>550</v>
      </c>
      <c r="N528">
        <v>19</v>
      </c>
      <c r="O528">
        <v>213</v>
      </c>
      <c r="P528">
        <v>17.59</v>
      </c>
    </row>
    <row r="529" spans="1:16" x14ac:dyDescent="0.3">
      <c r="A529">
        <v>2504</v>
      </c>
      <c r="B529" t="s">
        <v>568</v>
      </c>
      <c r="C529" s="2">
        <v>2048937</v>
      </c>
      <c r="D529">
        <v>653</v>
      </c>
      <c r="E529" s="2">
        <v>24359739</v>
      </c>
      <c r="F529">
        <v>11.9</v>
      </c>
      <c r="G529">
        <v>11.95</v>
      </c>
      <c r="H529">
        <v>11.8</v>
      </c>
      <c r="I529">
        <v>11.95</v>
      </c>
      <c r="J529" t="s">
        <v>10</v>
      </c>
      <c r="K529">
        <v>0.05</v>
      </c>
      <c r="L529">
        <v>11.95</v>
      </c>
      <c r="M529">
        <v>89</v>
      </c>
      <c r="N529">
        <v>12</v>
      </c>
      <c r="O529">
        <v>191</v>
      </c>
      <c r="P529">
        <v>54.32</v>
      </c>
    </row>
    <row r="530" spans="1:16" x14ac:dyDescent="0.3">
      <c r="A530">
        <v>2505</v>
      </c>
      <c r="B530" t="s">
        <v>569</v>
      </c>
      <c r="C530" s="2">
        <v>3831163</v>
      </c>
      <c r="D530" s="2">
        <v>1299</v>
      </c>
      <c r="E530" s="2">
        <v>80094402</v>
      </c>
      <c r="F530">
        <v>20.55</v>
      </c>
      <c r="G530">
        <v>21.2</v>
      </c>
      <c r="H530">
        <v>20.5</v>
      </c>
      <c r="I530">
        <v>20.9</v>
      </c>
      <c r="J530" t="s">
        <v>10</v>
      </c>
      <c r="K530">
        <v>0.5</v>
      </c>
      <c r="L530">
        <v>20.9</v>
      </c>
      <c r="M530">
        <v>6</v>
      </c>
      <c r="N530">
        <v>20.95</v>
      </c>
      <c r="O530">
        <v>5</v>
      </c>
      <c r="P530">
        <v>6.33</v>
      </c>
    </row>
    <row r="531" spans="1:16" x14ac:dyDescent="0.3">
      <c r="A531">
        <v>2506</v>
      </c>
      <c r="B531" t="s">
        <v>570</v>
      </c>
      <c r="C531" s="2">
        <v>245357</v>
      </c>
      <c r="D531">
        <v>89</v>
      </c>
      <c r="E531" s="2">
        <v>2263584</v>
      </c>
      <c r="F531">
        <v>9.3000000000000007</v>
      </c>
      <c r="G531">
        <v>9.3000000000000007</v>
      </c>
      <c r="H531">
        <v>9.1199999999999992</v>
      </c>
      <c r="I531">
        <v>9.25</v>
      </c>
      <c r="J531" t="s">
        <v>10</v>
      </c>
      <c r="K531">
        <v>0.13</v>
      </c>
      <c r="L531">
        <v>9.1999999999999993</v>
      </c>
      <c r="M531">
        <v>1</v>
      </c>
      <c r="N531">
        <v>9.25</v>
      </c>
      <c r="O531">
        <v>10</v>
      </c>
      <c r="P531">
        <v>16.23</v>
      </c>
    </row>
    <row r="532" spans="1:16" x14ac:dyDescent="0.3">
      <c r="A532">
        <v>2509</v>
      </c>
      <c r="B532" t="s">
        <v>571</v>
      </c>
      <c r="C532" s="2">
        <v>173750</v>
      </c>
      <c r="D532">
        <v>87</v>
      </c>
      <c r="E532" s="2">
        <v>3835573</v>
      </c>
      <c r="F532">
        <v>22</v>
      </c>
      <c r="G532">
        <v>22.2</v>
      </c>
      <c r="H532">
        <v>21.9</v>
      </c>
      <c r="I532">
        <v>22.05</v>
      </c>
      <c r="J532" t="s">
        <v>10</v>
      </c>
      <c r="K532">
        <v>0.05</v>
      </c>
      <c r="L532">
        <v>22.05</v>
      </c>
      <c r="M532">
        <v>17</v>
      </c>
      <c r="N532">
        <v>22.25</v>
      </c>
      <c r="O532">
        <v>19</v>
      </c>
      <c r="P532">
        <v>78.75</v>
      </c>
    </row>
    <row r="533" spans="1:16" x14ac:dyDescent="0.3">
      <c r="A533">
        <v>2511</v>
      </c>
      <c r="B533" t="s">
        <v>572</v>
      </c>
      <c r="C533" s="2">
        <v>1786221</v>
      </c>
      <c r="D533">
        <v>704</v>
      </c>
      <c r="E533" s="2">
        <v>36114373</v>
      </c>
      <c r="F533">
        <v>20.2</v>
      </c>
      <c r="G533">
        <v>20.350000000000001</v>
      </c>
      <c r="H533">
        <v>20.100000000000001</v>
      </c>
      <c r="I533">
        <v>20.100000000000001</v>
      </c>
      <c r="J533" t="s">
        <v>10</v>
      </c>
      <c r="K533">
        <v>0.05</v>
      </c>
      <c r="L533">
        <v>20.100000000000001</v>
      </c>
      <c r="M533">
        <v>337</v>
      </c>
      <c r="N533">
        <v>20.25</v>
      </c>
      <c r="O533">
        <v>5</v>
      </c>
      <c r="P533">
        <v>17.18</v>
      </c>
    </row>
    <row r="534" spans="1:16" x14ac:dyDescent="0.3">
      <c r="A534">
        <v>2514</v>
      </c>
      <c r="B534" t="s">
        <v>573</v>
      </c>
      <c r="C534" s="2">
        <v>395032</v>
      </c>
      <c r="D534">
        <v>223</v>
      </c>
      <c r="E534" s="2">
        <v>7988456</v>
      </c>
      <c r="F534">
        <v>20.25</v>
      </c>
      <c r="G534">
        <v>20.3</v>
      </c>
      <c r="H534">
        <v>20.100000000000001</v>
      </c>
      <c r="I534">
        <v>20.25</v>
      </c>
      <c r="K534">
        <v>0</v>
      </c>
      <c r="L534">
        <v>20.2</v>
      </c>
      <c r="M534">
        <v>8</v>
      </c>
      <c r="N534">
        <v>20.25</v>
      </c>
      <c r="O534">
        <v>4</v>
      </c>
      <c r="P534">
        <v>11.84</v>
      </c>
    </row>
    <row r="535" spans="1:16" x14ac:dyDescent="0.3">
      <c r="A535">
        <v>2515</v>
      </c>
      <c r="B535" t="s">
        <v>574</v>
      </c>
      <c r="C535" s="2">
        <v>2675892</v>
      </c>
      <c r="D535">
        <v>734</v>
      </c>
      <c r="E535" s="2">
        <v>21927803</v>
      </c>
      <c r="F535">
        <v>8.18</v>
      </c>
      <c r="G535">
        <v>8.24</v>
      </c>
      <c r="H535">
        <v>8.1300000000000008</v>
      </c>
      <c r="I535">
        <v>8.19</v>
      </c>
      <c r="J535" t="s">
        <v>10</v>
      </c>
      <c r="K535">
        <v>0.01</v>
      </c>
      <c r="L535">
        <v>8.19</v>
      </c>
      <c r="M535">
        <v>25</v>
      </c>
      <c r="N535">
        <v>8.1999999999999993</v>
      </c>
      <c r="O535">
        <v>293</v>
      </c>
      <c r="P535">
        <v>35.61</v>
      </c>
    </row>
    <row r="536" spans="1:16" x14ac:dyDescent="0.3">
      <c r="A536">
        <v>2516</v>
      </c>
      <c r="B536" t="s">
        <v>575</v>
      </c>
      <c r="C536" s="2">
        <v>296750</v>
      </c>
      <c r="D536">
        <v>99</v>
      </c>
      <c r="E536" s="2">
        <v>2637861</v>
      </c>
      <c r="F536">
        <v>8.85</v>
      </c>
      <c r="G536">
        <v>8.93</v>
      </c>
      <c r="H536">
        <v>8.85</v>
      </c>
      <c r="I536">
        <v>8.93</v>
      </c>
      <c r="J536" t="s">
        <v>10</v>
      </c>
      <c r="K536">
        <v>0.08</v>
      </c>
      <c r="L536">
        <v>8.93</v>
      </c>
      <c r="M536">
        <v>2</v>
      </c>
      <c r="N536">
        <v>8.94</v>
      </c>
      <c r="O536">
        <v>5</v>
      </c>
      <c r="P536">
        <v>11.75</v>
      </c>
    </row>
    <row r="537" spans="1:16" x14ac:dyDescent="0.3">
      <c r="A537">
        <v>2520</v>
      </c>
      <c r="B537" t="s">
        <v>576</v>
      </c>
      <c r="C537" s="2">
        <v>2458600</v>
      </c>
      <c r="D537" s="2">
        <v>1120</v>
      </c>
      <c r="E537" s="2">
        <v>93606810</v>
      </c>
      <c r="F537">
        <v>38.1</v>
      </c>
      <c r="G537">
        <v>38.4</v>
      </c>
      <c r="H537">
        <v>37.75</v>
      </c>
      <c r="I537">
        <v>38</v>
      </c>
      <c r="K537">
        <v>0</v>
      </c>
      <c r="L537">
        <v>38</v>
      </c>
      <c r="M537">
        <v>19</v>
      </c>
      <c r="N537">
        <v>38.200000000000003</v>
      </c>
      <c r="O537">
        <v>13</v>
      </c>
      <c r="P537">
        <v>16.100000000000001</v>
      </c>
    </row>
    <row r="538" spans="1:16" x14ac:dyDescent="0.3">
      <c r="A538">
        <v>2524</v>
      </c>
      <c r="B538" t="s">
        <v>577</v>
      </c>
      <c r="C538" s="2">
        <v>240599</v>
      </c>
      <c r="D538">
        <v>90</v>
      </c>
      <c r="E538" s="2">
        <v>6899799</v>
      </c>
      <c r="F538">
        <v>28.5</v>
      </c>
      <c r="G538">
        <v>28.85</v>
      </c>
      <c r="H538">
        <v>28.35</v>
      </c>
      <c r="I538">
        <v>28.75</v>
      </c>
      <c r="J538" t="s">
        <v>10</v>
      </c>
      <c r="K538">
        <v>0.4</v>
      </c>
      <c r="L538">
        <v>28.75</v>
      </c>
      <c r="M538">
        <v>2</v>
      </c>
      <c r="N538">
        <v>28.8</v>
      </c>
      <c r="O538">
        <v>1</v>
      </c>
      <c r="P538">
        <v>7.15</v>
      </c>
    </row>
    <row r="539" spans="1:16" x14ac:dyDescent="0.3">
      <c r="A539">
        <v>2527</v>
      </c>
      <c r="B539" t="s">
        <v>578</v>
      </c>
      <c r="C539" s="2">
        <v>94413</v>
      </c>
      <c r="D539">
        <v>47</v>
      </c>
      <c r="E539" s="2">
        <v>1268942</v>
      </c>
      <c r="F539">
        <v>13.5</v>
      </c>
      <c r="G539">
        <v>13.55</v>
      </c>
      <c r="H539">
        <v>13.4</v>
      </c>
      <c r="I539">
        <v>13.4</v>
      </c>
      <c r="K539">
        <v>0</v>
      </c>
      <c r="L539">
        <v>13.4</v>
      </c>
      <c r="M539">
        <v>19</v>
      </c>
      <c r="N539">
        <v>13.5</v>
      </c>
      <c r="O539">
        <v>5</v>
      </c>
      <c r="P539">
        <v>15.4</v>
      </c>
    </row>
    <row r="540" spans="1:16" x14ac:dyDescent="0.3">
      <c r="A540">
        <v>2528</v>
      </c>
      <c r="B540" t="s">
        <v>579</v>
      </c>
      <c r="C540" s="2">
        <v>121117</v>
      </c>
      <c r="D540">
        <v>56</v>
      </c>
      <c r="E540" s="2">
        <v>1392645</v>
      </c>
      <c r="F540">
        <v>11.5</v>
      </c>
      <c r="G540">
        <v>11.5</v>
      </c>
      <c r="H540">
        <v>11.4</v>
      </c>
      <c r="I540">
        <v>11.5</v>
      </c>
      <c r="J540" t="s">
        <v>10</v>
      </c>
      <c r="K540">
        <v>0.75</v>
      </c>
      <c r="L540">
        <v>11.5</v>
      </c>
      <c r="M540">
        <v>115</v>
      </c>
      <c r="N540" t="s">
        <v>152</v>
      </c>
      <c r="O540">
        <v>0</v>
      </c>
      <c r="P540">
        <v>287.5</v>
      </c>
    </row>
    <row r="541" spans="1:16" x14ac:dyDescent="0.3">
      <c r="A541">
        <v>2530</v>
      </c>
      <c r="B541" t="s">
        <v>580</v>
      </c>
      <c r="C541" s="2">
        <v>301422</v>
      </c>
      <c r="D541">
        <v>117</v>
      </c>
      <c r="E541" s="2">
        <v>3419808</v>
      </c>
      <c r="F541">
        <v>11.35</v>
      </c>
      <c r="G541">
        <v>11.5</v>
      </c>
      <c r="H541">
        <v>11.25</v>
      </c>
      <c r="I541">
        <v>11.5</v>
      </c>
      <c r="J541" t="s">
        <v>10</v>
      </c>
      <c r="K541">
        <v>0.15</v>
      </c>
      <c r="L541">
        <v>11.45</v>
      </c>
      <c r="M541">
        <v>30</v>
      </c>
      <c r="N541">
        <v>11.5</v>
      </c>
      <c r="O541">
        <v>27</v>
      </c>
      <c r="P541">
        <v>39.659999999999997</v>
      </c>
    </row>
    <row r="542" spans="1:16" x14ac:dyDescent="0.3">
      <c r="A542">
        <v>2534</v>
      </c>
      <c r="B542" t="s">
        <v>581</v>
      </c>
      <c r="C542" s="2">
        <v>4223250</v>
      </c>
      <c r="D542" s="2">
        <v>1362</v>
      </c>
      <c r="E542" s="2">
        <v>104657047</v>
      </c>
      <c r="F542">
        <v>24.4</v>
      </c>
      <c r="G542">
        <v>25.1</v>
      </c>
      <c r="H542">
        <v>24.35</v>
      </c>
      <c r="I542">
        <v>24.8</v>
      </c>
      <c r="J542" t="s">
        <v>10</v>
      </c>
      <c r="K542">
        <v>0.4</v>
      </c>
      <c r="L542">
        <v>24.8</v>
      </c>
      <c r="M542">
        <v>84</v>
      </c>
      <c r="N542">
        <v>24.9</v>
      </c>
      <c r="O542">
        <v>1</v>
      </c>
      <c r="P542">
        <v>67.03</v>
      </c>
    </row>
    <row r="543" spans="1:16" x14ac:dyDescent="0.3">
      <c r="A543">
        <v>2535</v>
      </c>
      <c r="B543" t="s">
        <v>582</v>
      </c>
      <c r="C543" s="2">
        <v>1195385</v>
      </c>
      <c r="D543">
        <v>532</v>
      </c>
      <c r="E543" s="2">
        <v>32558941</v>
      </c>
      <c r="F543">
        <v>27.3</v>
      </c>
      <c r="G543">
        <v>27.6</v>
      </c>
      <c r="H543">
        <v>27.05</v>
      </c>
      <c r="I543">
        <v>27.6</v>
      </c>
      <c r="J543" t="s">
        <v>10</v>
      </c>
      <c r="K543">
        <v>0.3</v>
      </c>
      <c r="L543">
        <v>27.6</v>
      </c>
      <c r="M543">
        <v>4</v>
      </c>
      <c r="N543">
        <v>27.65</v>
      </c>
      <c r="O543">
        <v>46</v>
      </c>
      <c r="P543">
        <v>7.46</v>
      </c>
    </row>
    <row r="544" spans="1:16" x14ac:dyDescent="0.3">
      <c r="A544">
        <v>2536</v>
      </c>
      <c r="B544" t="s">
        <v>583</v>
      </c>
      <c r="C544" s="2">
        <v>476823</v>
      </c>
      <c r="D544">
        <v>263</v>
      </c>
      <c r="E544" s="2">
        <v>14160819</v>
      </c>
      <c r="F544">
        <v>29.3</v>
      </c>
      <c r="G544">
        <v>29.95</v>
      </c>
      <c r="H544">
        <v>29.3</v>
      </c>
      <c r="I544">
        <v>29.7</v>
      </c>
      <c r="J544" t="s">
        <v>10</v>
      </c>
      <c r="K544">
        <v>0.15</v>
      </c>
      <c r="L544">
        <v>29.7</v>
      </c>
      <c r="M544">
        <v>13</v>
      </c>
      <c r="N544">
        <v>29.85</v>
      </c>
      <c r="O544">
        <v>16</v>
      </c>
      <c r="P544">
        <v>13.32</v>
      </c>
    </row>
    <row r="545" spans="1:16" x14ac:dyDescent="0.3">
      <c r="A545">
        <v>2537</v>
      </c>
      <c r="B545" t="s">
        <v>584</v>
      </c>
      <c r="C545" s="2">
        <v>276424</v>
      </c>
      <c r="D545">
        <v>108</v>
      </c>
      <c r="E545" s="2">
        <v>4885611</v>
      </c>
      <c r="F545">
        <v>17.600000000000001</v>
      </c>
      <c r="G545">
        <v>17.8</v>
      </c>
      <c r="H545">
        <v>17.55</v>
      </c>
      <c r="I545">
        <v>17.75</v>
      </c>
      <c r="J545" t="s">
        <v>10</v>
      </c>
      <c r="K545">
        <v>0.25</v>
      </c>
      <c r="L545">
        <v>17.75</v>
      </c>
      <c r="M545">
        <v>17</v>
      </c>
      <c r="N545">
        <v>17.8</v>
      </c>
      <c r="O545">
        <v>15</v>
      </c>
      <c r="P545">
        <v>6.5</v>
      </c>
    </row>
    <row r="546" spans="1:16" x14ac:dyDescent="0.3">
      <c r="A546">
        <v>2538</v>
      </c>
      <c r="B546" t="s">
        <v>585</v>
      </c>
      <c r="C546" s="2">
        <v>1326648</v>
      </c>
      <c r="D546">
        <v>511</v>
      </c>
      <c r="E546" s="2">
        <v>28982736</v>
      </c>
      <c r="F546">
        <v>21.8</v>
      </c>
      <c r="G546">
        <v>22</v>
      </c>
      <c r="H546">
        <v>21.75</v>
      </c>
      <c r="I546">
        <v>21.85</v>
      </c>
      <c r="J546" t="s">
        <v>10</v>
      </c>
      <c r="K546">
        <v>0.05</v>
      </c>
      <c r="L546">
        <v>21.85</v>
      </c>
      <c r="M546">
        <v>10</v>
      </c>
      <c r="N546">
        <v>21.9</v>
      </c>
      <c r="O546">
        <v>5</v>
      </c>
      <c r="P546">
        <v>11.88</v>
      </c>
    </row>
    <row r="547" spans="1:16" x14ac:dyDescent="0.3">
      <c r="A547">
        <v>2539</v>
      </c>
      <c r="B547" t="s">
        <v>586</v>
      </c>
      <c r="C547" s="2">
        <v>43426</v>
      </c>
      <c r="D547">
        <v>23</v>
      </c>
      <c r="E547" s="2">
        <v>1263338</v>
      </c>
      <c r="F547">
        <v>29.4</v>
      </c>
      <c r="G547">
        <v>29.4</v>
      </c>
      <c r="H547">
        <v>28.85</v>
      </c>
      <c r="I547">
        <v>29.2</v>
      </c>
      <c r="J547" t="s">
        <v>7</v>
      </c>
      <c r="K547">
        <v>0.2</v>
      </c>
      <c r="L547">
        <v>28.95</v>
      </c>
      <c r="M547">
        <v>4</v>
      </c>
      <c r="N547">
        <v>29.2</v>
      </c>
      <c r="O547">
        <v>4</v>
      </c>
      <c r="P547">
        <v>60.83</v>
      </c>
    </row>
    <row r="548" spans="1:16" x14ac:dyDescent="0.3">
      <c r="A548">
        <v>2540</v>
      </c>
      <c r="B548" t="s">
        <v>587</v>
      </c>
      <c r="C548" s="2">
        <v>5681</v>
      </c>
      <c r="D548">
        <v>5</v>
      </c>
      <c r="E548" s="2">
        <v>171842</v>
      </c>
      <c r="F548">
        <v>28.65</v>
      </c>
      <c r="G548">
        <v>32.85</v>
      </c>
      <c r="H548">
        <v>28.65</v>
      </c>
      <c r="I548">
        <v>32.85</v>
      </c>
      <c r="J548" t="s">
        <v>145</v>
      </c>
      <c r="K548">
        <v>0</v>
      </c>
      <c r="L548">
        <v>32</v>
      </c>
      <c r="M548">
        <v>1</v>
      </c>
      <c r="N548">
        <v>32.9</v>
      </c>
      <c r="O548">
        <v>1</v>
      </c>
      <c r="P548">
        <v>0</v>
      </c>
    </row>
    <row r="549" spans="1:16" x14ac:dyDescent="0.3">
      <c r="A549">
        <v>2542</v>
      </c>
      <c r="B549" t="s">
        <v>588</v>
      </c>
      <c r="C549" s="2">
        <v>1103183</v>
      </c>
      <c r="D549">
        <v>722</v>
      </c>
      <c r="E549" s="2">
        <v>68318837</v>
      </c>
      <c r="F549">
        <v>62</v>
      </c>
      <c r="G549">
        <v>62.8</v>
      </c>
      <c r="H549">
        <v>61.4</v>
      </c>
      <c r="I549">
        <v>62.5</v>
      </c>
      <c r="J549" t="s">
        <v>7</v>
      </c>
      <c r="K549">
        <v>0.5</v>
      </c>
      <c r="L549">
        <v>62.5</v>
      </c>
      <c r="M549">
        <v>12</v>
      </c>
      <c r="N549">
        <v>62.6</v>
      </c>
      <c r="O549">
        <v>6</v>
      </c>
      <c r="P549">
        <v>4.59</v>
      </c>
    </row>
    <row r="550" spans="1:16" x14ac:dyDescent="0.3">
      <c r="A550">
        <v>2543</v>
      </c>
      <c r="B550" t="s">
        <v>589</v>
      </c>
      <c r="C550" s="2">
        <v>47394</v>
      </c>
      <c r="D550">
        <v>21</v>
      </c>
      <c r="E550" s="2">
        <v>380049</v>
      </c>
      <c r="F550">
        <v>7.91</v>
      </c>
      <c r="G550">
        <v>8.1</v>
      </c>
      <c r="H550">
        <v>7.91</v>
      </c>
      <c r="I550">
        <v>8.0500000000000007</v>
      </c>
      <c r="J550" t="s">
        <v>10</v>
      </c>
      <c r="K550">
        <v>0.14000000000000001</v>
      </c>
      <c r="L550">
        <v>8.0500000000000007</v>
      </c>
      <c r="M550">
        <v>2</v>
      </c>
      <c r="N550">
        <v>8.11</v>
      </c>
      <c r="O550">
        <v>1</v>
      </c>
      <c r="P550">
        <v>0</v>
      </c>
    </row>
    <row r="551" spans="1:16" x14ac:dyDescent="0.3">
      <c r="A551">
        <v>2545</v>
      </c>
      <c r="B551" t="s">
        <v>590</v>
      </c>
      <c r="C551" s="2">
        <v>704300</v>
      </c>
      <c r="D551">
        <v>397</v>
      </c>
      <c r="E551" s="2">
        <v>49396309</v>
      </c>
      <c r="F551">
        <v>70.099999999999994</v>
      </c>
      <c r="G551">
        <v>70.5</v>
      </c>
      <c r="H551">
        <v>69.7</v>
      </c>
      <c r="I551">
        <v>70.3</v>
      </c>
      <c r="K551">
        <v>0</v>
      </c>
      <c r="L551">
        <v>70.3</v>
      </c>
      <c r="M551">
        <v>43</v>
      </c>
      <c r="N551">
        <v>70.400000000000006</v>
      </c>
      <c r="O551">
        <v>15</v>
      </c>
      <c r="P551">
        <v>4.87</v>
      </c>
    </row>
    <row r="552" spans="1:16" x14ac:dyDescent="0.3">
      <c r="A552">
        <v>2546</v>
      </c>
      <c r="B552" t="s">
        <v>591</v>
      </c>
      <c r="C552" s="2">
        <v>81263</v>
      </c>
      <c r="D552">
        <v>39</v>
      </c>
      <c r="E552" s="2">
        <v>1325489</v>
      </c>
      <c r="F552">
        <v>16.2</v>
      </c>
      <c r="G552">
        <v>16.45</v>
      </c>
      <c r="H552">
        <v>16.2</v>
      </c>
      <c r="I552">
        <v>16.45</v>
      </c>
      <c r="J552" t="s">
        <v>10</v>
      </c>
      <c r="K552">
        <v>0.25</v>
      </c>
      <c r="L552">
        <v>16.399999999999999</v>
      </c>
      <c r="M552">
        <v>12</v>
      </c>
      <c r="N552">
        <v>16.45</v>
      </c>
      <c r="O552">
        <v>3</v>
      </c>
      <c r="P552">
        <v>16.13</v>
      </c>
    </row>
    <row r="553" spans="1:16" x14ac:dyDescent="0.3">
      <c r="A553">
        <v>2547</v>
      </c>
      <c r="B553" t="s">
        <v>592</v>
      </c>
      <c r="C553" s="2">
        <v>2304539</v>
      </c>
      <c r="D553">
        <v>780</v>
      </c>
      <c r="E553" s="2">
        <v>49768456</v>
      </c>
      <c r="F553">
        <v>21.2</v>
      </c>
      <c r="G553">
        <v>21.75</v>
      </c>
      <c r="H553">
        <v>21.2</v>
      </c>
      <c r="I553">
        <v>21.7</v>
      </c>
      <c r="J553" t="s">
        <v>10</v>
      </c>
      <c r="K553">
        <v>0.5</v>
      </c>
      <c r="L553">
        <v>21.65</v>
      </c>
      <c r="M553">
        <v>11</v>
      </c>
      <c r="N553">
        <v>21.7</v>
      </c>
      <c r="O553">
        <v>82</v>
      </c>
      <c r="P553">
        <v>22.84</v>
      </c>
    </row>
    <row r="554" spans="1:16" x14ac:dyDescent="0.3">
      <c r="A554">
        <v>2548</v>
      </c>
      <c r="B554" t="s">
        <v>593</v>
      </c>
      <c r="C554" s="2">
        <v>1673941</v>
      </c>
      <c r="D554">
        <v>940</v>
      </c>
      <c r="E554" s="2">
        <v>145385067</v>
      </c>
      <c r="F554">
        <v>86.5</v>
      </c>
      <c r="G554">
        <v>87.2</v>
      </c>
      <c r="H554">
        <v>86.5</v>
      </c>
      <c r="I554">
        <v>86.5</v>
      </c>
      <c r="K554">
        <v>0</v>
      </c>
      <c r="L554">
        <v>86.5</v>
      </c>
      <c r="M554">
        <v>68</v>
      </c>
      <c r="N554">
        <v>87</v>
      </c>
      <c r="O554">
        <v>123</v>
      </c>
      <c r="P554">
        <v>5.15</v>
      </c>
    </row>
    <row r="555" spans="1:16" x14ac:dyDescent="0.3">
      <c r="A555">
        <v>2597</v>
      </c>
      <c r="B555" t="s">
        <v>594</v>
      </c>
      <c r="C555" s="2">
        <v>166898</v>
      </c>
      <c r="D555">
        <v>96</v>
      </c>
      <c r="E555" s="2">
        <v>7887245</v>
      </c>
      <c r="F555">
        <v>47.2</v>
      </c>
      <c r="G555">
        <v>47.5</v>
      </c>
      <c r="H555">
        <v>46.8</v>
      </c>
      <c r="I555">
        <v>47.5</v>
      </c>
      <c r="J555" t="s">
        <v>10</v>
      </c>
      <c r="K555">
        <v>0.3</v>
      </c>
      <c r="L555">
        <v>47.4</v>
      </c>
      <c r="M555">
        <v>3</v>
      </c>
      <c r="N555">
        <v>47.5</v>
      </c>
      <c r="O555">
        <v>24</v>
      </c>
      <c r="P555">
        <v>14.39</v>
      </c>
    </row>
    <row r="556" spans="1:16" x14ac:dyDescent="0.3">
      <c r="A556">
        <v>2601</v>
      </c>
      <c r="B556" t="s">
        <v>595</v>
      </c>
      <c r="C556" s="2">
        <v>730797</v>
      </c>
      <c r="D556">
        <v>324</v>
      </c>
      <c r="E556" s="2">
        <v>15106299</v>
      </c>
      <c r="F556">
        <v>20.5</v>
      </c>
      <c r="G556">
        <v>20.8</v>
      </c>
      <c r="H556">
        <v>20.5</v>
      </c>
      <c r="I556">
        <v>20.75</v>
      </c>
      <c r="J556" t="s">
        <v>10</v>
      </c>
      <c r="K556">
        <v>0.2</v>
      </c>
      <c r="L556">
        <v>20.7</v>
      </c>
      <c r="M556">
        <v>17</v>
      </c>
      <c r="N556">
        <v>20.75</v>
      </c>
      <c r="O556">
        <v>39</v>
      </c>
      <c r="P556" s="1">
        <v>1037.5</v>
      </c>
    </row>
    <row r="557" spans="1:16" x14ac:dyDescent="0.3">
      <c r="A557">
        <v>2603</v>
      </c>
      <c r="B557" t="s">
        <v>596</v>
      </c>
      <c r="C557" s="2">
        <v>4310146</v>
      </c>
      <c r="D557" s="2">
        <v>1105</v>
      </c>
      <c r="E557" s="2">
        <v>70367599</v>
      </c>
      <c r="F557">
        <v>16.3</v>
      </c>
      <c r="G557">
        <v>16.45</v>
      </c>
      <c r="H557">
        <v>16.25</v>
      </c>
      <c r="I557">
        <v>16.3</v>
      </c>
      <c r="J557" t="s">
        <v>7</v>
      </c>
      <c r="K557">
        <v>0.1</v>
      </c>
      <c r="L557">
        <v>16.3</v>
      </c>
      <c r="M557">
        <v>294</v>
      </c>
      <c r="N557">
        <v>16.350000000000001</v>
      </c>
      <c r="O557">
        <v>2</v>
      </c>
      <c r="P557">
        <v>36.22</v>
      </c>
    </row>
    <row r="558" spans="1:16" x14ac:dyDescent="0.3">
      <c r="A558">
        <v>2605</v>
      </c>
      <c r="B558" t="s">
        <v>597</v>
      </c>
      <c r="C558" s="2">
        <v>259684</v>
      </c>
      <c r="D558">
        <v>130</v>
      </c>
      <c r="E558" s="2">
        <v>6920261</v>
      </c>
      <c r="F558">
        <v>26.55</v>
      </c>
      <c r="G558">
        <v>26.85</v>
      </c>
      <c r="H558">
        <v>26.35</v>
      </c>
      <c r="I558">
        <v>26.85</v>
      </c>
      <c r="J558" t="s">
        <v>10</v>
      </c>
      <c r="K558">
        <v>0.3</v>
      </c>
      <c r="L558">
        <v>26.75</v>
      </c>
      <c r="M558">
        <v>4</v>
      </c>
      <c r="N558">
        <v>26.85</v>
      </c>
      <c r="O558">
        <v>9</v>
      </c>
      <c r="P558">
        <v>10.61</v>
      </c>
    </row>
    <row r="559" spans="1:16" x14ac:dyDescent="0.3">
      <c r="A559">
        <v>2606</v>
      </c>
      <c r="B559" t="s">
        <v>598</v>
      </c>
      <c r="C559" s="2">
        <v>606672</v>
      </c>
      <c r="D559">
        <v>419</v>
      </c>
      <c r="E559" s="2">
        <v>28269544</v>
      </c>
      <c r="F559">
        <v>46.7</v>
      </c>
      <c r="G559">
        <v>47</v>
      </c>
      <c r="H559">
        <v>46.2</v>
      </c>
      <c r="I559">
        <v>46.95</v>
      </c>
      <c r="J559" t="s">
        <v>7</v>
      </c>
      <c r="K559">
        <v>0.05</v>
      </c>
      <c r="L559">
        <v>46.75</v>
      </c>
      <c r="M559">
        <v>18</v>
      </c>
      <c r="N559">
        <v>47</v>
      </c>
      <c r="O559">
        <v>137</v>
      </c>
      <c r="P559">
        <v>28.28</v>
      </c>
    </row>
    <row r="560" spans="1:16" x14ac:dyDescent="0.3">
      <c r="A560">
        <v>2607</v>
      </c>
      <c r="B560" t="s">
        <v>599</v>
      </c>
      <c r="C560" s="2">
        <v>1068994</v>
      </c>
      <c r="D560" s="2">
        <v>1340</v>
      </c>
      <c r="E560" s="2">
        <v>20005492</v>
      </c>
      <c r="F560">
        <v>18.600000000000001</v>
      </c>
      <c r="G560">
        <v>18.8</v>
      </c>
      <c r="H560">
        <v>18.600000000000001</v>
      </c>
      <c r="I560">
        <v>18.8</v>
      </c>
      <c r="J560" t="s">
        <v>10</v>
      </c>
      <c r="K560">
        <v>0.2</v>
      </c>
      <c r="L560">
        <v>18.7</v>
      </c>
      <c r="M560">
        <v>371</v>
      </c>
      <c r="N560">
        <v>18.8</v>
      </c>
      <c r="O560">
        <v>76</v>
      </c>
      <c r="P560">
        <v>40</v>
      </c>
    </row>
    <row r="561" spans="1:16" x14ac:dyDescent="0.3">
      <c r="A561">
        <v>2608</v>
      </c>
      <c r="B561" t="s">
        <v>600</v>
      </c>
      <c r="C561" s="2">
        <v>153620</v>
      </c>
      <c r="D561">
        <v>60</v>
      </c>
      <c r="E561" s="2">
        <v>5537749</v>
      </c>
      <c r="F561">
        <v>36.200000000000003</v>
      </c>
      <c r="G561">
        <v>36.200000000000003</v>
      </c>
      <c r="H561">
        <v>35.85</v>
      </c>
      <c r="I561">
        <v>36.15</v>
      </c>
      <c r="J561" t="s">
        <v>10</v>
      </c>
      <c r="K561">
        <v>0.05</v>
      </c>
      <c r="L561">
        <v>36.049999999999997</v>
      </c>
      <c r="M561">
        <v>21</v>
      </c>
      <c r="N561">
        <v>36.200000000000003</v>
      </c>
      <c r="O561">
        <v>8</v>
      </c>
      <c r="P561">
        <v>21.02</v>
      </c>
    </row>
    <row r="562" spans="1:16" x14ac:dyDescent="0.3">
      <c r="A562">
        <v>2609</v>
      </c>
      <c r="B562" t="s">
        <v>601</v>
      </c>
      <c r="C562" s="2">
        <v>3604829</v>
      </c>
      <c r="D562">
        <v>882</v>
      </c>
      <c r="E562" s="2">
        <v>44699379</v>
      </c>
      <c r="F562">
        <v>12.5</v>
      </c>
      <c r="G562">
        <v>12.5</v>
      </c>
      <c r="H562">
        <v>12.35</v>
      </c>
      <c r="I562">
        <v>12.4</v>
      </c>
      <c r="J562" t="s">
        <v>7</v>
      </c>
      <c r="K562">
        <v>0.05</v>
      </c>
      <c r="L562">
        <v>12.4</v>
      </c>
      <c r="M562">
        <v>43</v>
      </c>
      <c r="N562">
        <v>12.45</v>
      </c>
      <c r="O562">
        <v>192</v>
      </c>
      <c r="P562">
        <v>12.65</v>
      </c>
    </row>
    <row r="563" spans="1:16" x14ac:dyDescent="0.3">
      <c r="A563">
        <v>2610</v>
      </c>
      <c r="B563" t="s">
        <v>602</v>
      </c>
      <c r="C563" s="2">
        <v>7578641</v>
      </c>
      <c r="D563" s="2">
        <v>1496</v>
      </c>
      <c r="E563" s="2">
        <v>86243560</v>
      </c>
      <c r="F563">
        <v>11.3</v>
      </c>
      <c r="G563">
        <v>11.45</v>
      </c>
      <c r="H563">
        <v>11.3</v>
      </c>
      <c r="I563">
        <v>11.4</v>
      </c>
      <c r="J563" t="s">
        <v>10</v>
      </c>
      <c r="K563">
        <v>0.1</v>
      </c>
      <c r="L563">
        <v>11.35</v>
      </c>
      <c r="M563">
        <v>1224</v>
      </c>
      <c r="N563">
        <v>11.4</v>
      </c>
      <c r="O563">
        <v>703</v>
      </c>
      <c r="P563">
        <v>0</v>
      </c>
    </row>
    <row r="564" spans="1:16" x14ac:dyDescent="0.3">
      <c r="A564">
        <v>2611</v>
      </c>
      <c r="B564" t="s">
        <v>603</v>
      </c>
      <c r="C564" s="2">
        <v>940480</v>
      </c>
      <c r="D564">
        <v>42</v>
      </c>
      <c r="E564" s="2">
        <v>13564933</v>
      </c>
      <c r="F564">
        <v>14.5</v>
      </c>
      <c r="G564">
        <v>14.5</v>
      </c>
      <c r="H564">
        <v>14.4</v>
      </c>
      <c r="I564">
        <v>14.45</v>
      </c>
      <c r="J564" t="s">
        <v>7</v>
      </c>
      <c r="K564">
        <v>0.05</v>
      </c>
      <c r="L564">
        <v>14.45</v>
      </c>
      <c r="M564">
        <v>7</v>
      </c>
      <c r="N564">
        <v>14.5</v>
      </c>
      <c r="O564">
        <v>20</v>
      </c>
      <c r="P564">
        <v>2.71</v>
      </c>
    </row>
    <row r="565" spans="1:16" x14ac:dyDescent="0.3">
      <c r="A565">
        <v>2612</v>
      </c>
      <c r="B565" t="s">
        <v>604</v>
      </c>
      <c r="C565" s="2">
        <v>105022</v>
      </c>
      <c r="D565">
        <v>66</v>
      </c>
      <c r="E565" s="2">
        <v>3400776</v>
      </c>
      <c r="F565">
        <v>32.200000000000003</v>
      </c>
      <c r="G565">
        <v>32.549999999999997</v>
      </c>
      <c r="H565">
        <v>32.15</v>
      </c>
      <c r="I565">
        <v>32.549999999999997</v>
      </c>
      <c r="K565">
        <v>0</v>
      </c>
      <c r="L565">
        <v>32.549999999999997</v>
      </c>
      <c r="M565">
        <v>14</v>
      </c>
      <c r="N565">
        <v>32.6</v>
      </c>
      <c r="O565">
        <v>10</v>
      </c>
      <c r="P565">
        <v>17.04</v>
      </c>
    </row>
    <row r="566" spans="1:16" x14ac:dyDescent="0.3">
      <c r="A566">
        <v>2613</v>
      </c>
      <c r="B566" t="s">
        <v>605</v>
      </c>
      <c r="C566" s="2">
        <v>157006</v>
      </c>
      <c r="D566">
        <v>57</v>
      </c>
      <c r="E566" s="2">
        <v>2736403</v>
      </c>
      <c r="F566">
        <v>17.100000000000001</v>
      </c>
      <c r="G566">
        <v>17.5</v>
      </c>
      <c r="H566">
        <v>17.100000000000001</v>
      </c>
      <c r="I566">
        <v>17.45</v>
      </c>
      <c r="J566" t="s">
        <v>10</v>
      </c>
      <c r="K566">
        <v>0.15</v>
      </c>
      <c r="L566">
        <v>17.350000000000001</v>
      </c>
      <c r="M566">
        <v>1</v>
      </c>
      <c r="N566">
        <v>17.45</v>
      </c>
      <c r="O566">
        <v>33</v>
      </c>
      <c r="P566">
        <v>18.559999999999999</v>
      </c>
    </row>
    <row r="567" spans="1:16" x14ac:dyDescent="0.3">
      <c r="A567">
        <v>2614</v>
      </c>
      <c r="B567" t="s">
        <v>606</v>
      </c>
      <c r="C567" s="2">
        <v>1924846</v>
      </c>
      <c r="D567">
        <v>405</v>
      </c>
      <c r="E567" s="2">
        <v>7456151</v>
      </c>
      <c r="F567">
        <v>3.88</v>
      </c>
      <c r="G567">
        <v>3.92</v>
      </c>
      <c r="H567">
        <v>3.83</v>
      </c>
      <c r="I567">
        <v>3.86</v>
      </c>
      <c r="J567" t="s">
        <v>7</v>
      </c>
      <c r="K567">
        <v>0.02</v>
      </c>
      <c r="L567">
        <v>3.86</v>
      </c>
      <c r="M567">
        <v>27</v>
      </c>
      <c r="N567">
        <v>3.88</v>
      </c>
      <c r="O567">
        <v>27</v>
      </c>
      <c r="P567">
        <v>0</v>
      </c>
    </row>
    <row r="568" spans="1:16" x14ac:dyDescent="0.3">
      <c r="A568">
        <v>2615</v>
      </c>
      <c r="B568" t="s">
        <v>607</v>
      </c>
      <c r="C568" s="2">
        <v>1265370</v>
      </c>
      <c r="D568">
        <v>515</v>
      </c>
      <c r="E568" s="2">
        <v>19770036</v>
      </c>
      <c r="F568">
        <v>15.55</v>
      </c>
      <c r="G568">
        <v>15.8</v>
      </c>
      <c r="H568">
        <v>15.3</v>
      </c>
      <c r="I568">
        <v>15.75</v>
      </c>
      <c r="J568" t="s">
        <v>10</v>
      </c>
      <c r="K568">
        <v>0.3</v>
      </c>
      <c r="L568">
        <v>15.7</v>
      </c>
      <c r="M568">
        <v>5</v>
      </c>
      <c r="N568">
        <v>15.75</v>
      </c>
      <c r="O568">
        <v>5</v>
      </c>
      <c r="P568">
        <v>15</v>
      </c>
    </row>
    <row r="569" spans="1:16" x14ac:dyDescent="0.3">
      <c r="A569">
        <v>2616</v>
      </c>
      <c r="B569" t="s">
        <v>608</v>
      </c>
      <c r="C569" s="2">
        <v>168133</v>
      </c>
      <c r="D569">
        <v>58</v>
      </c>
      <c r="E569" s="2">
        <v>4061188</v>
      </c>
      <c r="F569">
        <v>24</v>
      </c>
      <c r="G569">
        <v>24.25</v>
      </c>
      <c r="H569">
        <v>24</v>
      </c>
      <c r="I569">
        <v>24.2</v>
      </c>
      <c r="K569">
        <v>0</v>
      </c>
      <c r="L569">
        <v>24.2</v>
      </c>
      <c r="M569">
        <v>15</v>
      </c>
      <c r="N569">
        <v>24.3</v>
      </c>
      <c r="O569">
        <v>16</v>
      </c>
      <c r="P569">
        <v>9.57</v>
      </c>
    </row>
    <row r="570" spans="1:16" x14ac:dyDescent="0.3">
      <c r="A570">
        <v>2617</v>
      </c>
      <c r="B570" t="s">
        <v>609</v>
      </c>
      <c r="C570" s="2">
        <v>270044</v>
      </c>
      <c r="D570">
        <v>141</v>
      </c>
      <c r="E570" s="2">
        <v>5885485</v>
      </c>
      <c r="F570">
        <v>21.5</v>
      </c>
      <c r="G570">
        <v>22.1</v>
      </c>
      <c r="H570">
        <v>21.3</v>
      </c>
      <c r="I570">
        <v>22.05</v>
      </c>
      <c r="J570" t="s">
        <v>10</v>
      </c>
      <c r="K570">
        <v>0.55000000000000004</v>
      </c>
      <c r="L570">
        <v>21.95</v>
      </c>
      <c r="M570">
        <v>4</v>
      </c>
      <c r="N570">
        <v>22.1</v>
      </c>
      <c r="O570">
        <v>26</v>
      </c>
      <c r="P570">
        <v>14.8</v>
      </c>
    </row>
    <row r="571" spans="1:16" x14ac:dyDescent="0.3">
      <c r="A571">
        <v>2618</v>
      </c>
      <c r="B571" t="s">
        <v>610</v>
      </c>
      <c r="C571" s="2">
        <v>3737283</v>
      </c>
      <c r="D571" s="2">
        <v>1134</v>
      </c>
      <c r="E571" s="2">
        <v>63820961</v>
      </c>
      <c r="F571">
        <v>17.100000000000001</v>
      </c>
      <c r="G571">
        <v>17.149999999999999</v>
      </c>
      <c r="H571">
        <v>17</v>
      </c>
      <c r="I571">
        <v>17.05</v>
      </c>
      <c r="J571" t="s">
        <v>7</v>
      </c>
      <c r="K571">
        <v>0.1</v>
      </c>
      <c r="L571">
        <v>17.05</v>
      </c>
      <c r="M571">
        <v>355</v>
      </c>
      <c r="N571">
        <v>17.100000000000001</v>
      </c>
      <c r="O571">
        <v>11</v>
      </c>
      <c r="P571">
        <v>85.25</v>
      </c>
    </row>
    <row r="572" spans="1:16" x14ac:dyDescent="0.3">
      <c r="A572">
        <v>2637</v>
      </c>
      <c r="B572" t="s">
        <v>611</v>
      </c>
      <c r="C572" s="2">
        <v>273800</v>
      </c>
      <c r="D572">
        <v>138</v>
      </c>
      <c r="E572" s="2">
        <v>10583730</v>
      </c>
      <c r="F572">
        <v>38.799999999999997</v>
      </c>
      <c r="G572">
        <v>39</v>
      </c>
      <c r="H572">
        <v>38.5</v>
      </c>
      <c r="I572">
        <v>38.700000000000003</v>
      </c>
      <c r="J572" t="s">
        <v>7</v>
      </c>
      <c r="K572">
        <v>0.1</v>
      </c>
      <c r="L572">
        <v>38.6</v>
      </c>
      <c r="M572">
        <v>17</v>
      </c>
      <c r="N572">
        <v>38.75</v>
      </c>
      <c r="O572">
        <v>2</v>
      </c>
      <c r="P572">
        <v>8.8000000000000007</v>
      </c>
    </row>
    <row r="573" spans="1:16" x14ac:dyDescent="0.3">
      <c r="A573">
        <v>2701</v>
      </c>
      <c r="B573" t="s">
        <v>612</v>
      </c>
      <c r="C573" s="2">
        <v>24298</v>
      </c>
      <c r="D573">
        <v>25</v>
      </c>
      <c r="E573" s="2">
        <v>337104</v>
      </c>
      <c r="F573">
        <v>13.75</v>
      </c>
      <c r="G573">
        <v>14.05</v>
      </c>
      <c r="H573">
        <v>13.75</v>
      </c>
      <c r="I573">
        <v>14</v>
      </c>
      <c r="J573" t="s">
        <v>10</v>
      </c>
      <c r="K573">
        <v>0.1</v>
      </c>
      <c r="L573">
        <v>14</v>
      </c>
      <c r="M573">
        <v>6</v>
      </c>
      <c r="N573">
        <v>14.05</v>
      </c>
      <c r="O573">
        <v>3</v>
      </c>
      <c r="P573">
        <v>24.56</v>
      </c>
    </row>
    <row r="574" spans="1:16" x14ac:dyDescent="0.3">
      <c r="A574">
        <v>2702</v>
      </c>
      <c r="B574" t="s">
        <v>613</v>
      </c>
      <c r="C574" s="2">
        <v>18000</v>
      </c>
      <c r="D574">
        <v>10</v>
      </c>
      <c r="E574" s="2">
        <v>346050</v>
      </c>
      <c r="F574">
        <v>19.149999999999999</v>
      </c>
      <c r="G574">
        <v>19.3</v>
      </c>
      <c r="H574">
        <v>19.149999999999999</v>
      </c>
      <c r="I574">
        <v>19.3</v>
      </c>
      <c r="K574">
        <v>0</v>
      </c>
      <c r="L574">
        <v>19.149999999999999</v>
      </c>
      <c r="M574">
        <v>10</v>
      </c>
      <c r="N574">
        <v>19.25</v>
      </c>
      <c r="O574">
        <v>2</v>
      </c>
      <c r="P574">
        <v>20.53</v>
      </c>
    </row>
    <row r="575" spans="1:16" x14ac:dyDescent="0.3">
      <c r="A575">
        <v>2704</v>
      </c>
      <c r="B575" t="s">
        <v>614</v>
      </c>
      <c r="C575" s="2">
        <v>584257</v>
      </c>
      <c r="D575">
        <v>226</v>
      </c>
      <c r="E575" s="2">
        <v>17354216</v>
      </c>
      <c r="F575">
        <v>29.95</v>
      </c>
      <c r="G575">
        <v>29.95</v>
      </c>
      <c r="H575">
        <v>29.5</v>
      </c>
      <c r="I575">
        <v>29.65</v>
      </c>
      <c r="J575" t="s">
        <v>7</v>
      </c>
      <c r="K575">
        <v>0.45</v>
      </c>
      <c r="L575">
        <v>29.6</v>
      </c>
      <c r="M575">
        <v>16</v>
      </c>
      <c r="N575">
        <v>29.65</v>
      </c>
      <c r="O575">
        <v>6</v>
      </c>
      <c r="P575">
        <v>35.72</v>
      </c>
    </row>
    <row r="576" spans="1:16" x14ac:dyDescent="0.3">
      <c r="A576">
        <v>2705</v>
      </c>
      <c r="B576" t="s">
        <v>615</v>
      </c>
      <c r="C576" s="2">
        <v>855835</v>
      </c>
      <c r="D576">
        <v>455</v>
      </c>
      <c r="E576" s="2">
        <v>12073196</v>
      </c>
      <c r="F576">
        <v>14</v>
      </c>
      <c r="G576">
        <v>14.3</v>
      </c>
      <c r="H576">
        <v>13.95</v>
      </c>
      <c r="I576">
        <v>14.25</v>
      </c>
      <c r="J576" t="s">
        <v>10</v>
      </c>
      <c r="K576">
        <v>0.35</v>
      </c>
      <c r="L576">
        <v>14.2</v>
      </c>
      <c r="M576">
        <v>54</v>
      </c>
      <c r="N576">
        <v>14.25</v>
      </c>
      <c r="O576">
        <v>3</v>
      </c>
      <c r="P576">
        <v>0</v>
      </c>
    </row>
    <row r="577" spans="1:16" x14ac:dyDescent="0.3">
      <c r="A577">
        <v>2706</v>
      </c>
      <c r="B577" t="s">
        <v>616</v>
      </c>
      <c r="C577" s="2">
        <v>174112</v>
      </c>
      <c r="D577">
        <v>73</v>
      </c>
      <c r="E577" s="2">
        <v>3359641</v>
      </c>
      <c r="F577">
        <v>19.399999999999999</v>
      </c>
      <c r="G577">
        <v>19.399999999999999</v>
      </c>
      <c r="H577">
        <v>19.149999999999999</v>
      </c>
      <c r="I577">
        <v>19.350000000000001</v>
      </c>
      <c r="J577" t="s">
        <v>10</v>
      </c>
      <c r="K577">
        <v>0.05</v>
      </c>
      <c r="L577">
        <v>19.25</v>
      </c>
      <c r="M577">
        <v>7</v>
      </c>
      <c r="N577">
        <v>19.350000000000001</v>
      </c>
      <c r="O577">
        <v>21</v>
      </c>
      <c r="P577">
        <v>23.89</v>
      </c>
    </row>
    <row r="578" spans="1:16" x14ac:dyDescent="0.3">
      <c r="A578">
        <v>2707</v>
      </c>
      <c r="B578" t="s">
        <v>617</v>
      </c>
      <c r="C578" s="2">
        <v>259795</v>
      </c>
      <c r="D578">
        <v>267</v>
      </c>
      <c r="E578" s="2">
        <v>93446495</v>
      </c>
      <c r="F578">
        <v>355</v>
      </c>
      <c r="G578">
        <v>363</v>
      </c>
      <c r="H578">
        <v>354.5</v>
      </c>
      <c r="I578">
        <v>363</v>
      </c>
      <c r="J578" t="s">
        <v>10</v>
      </c>
      <c r="K578">
        <v>10</v>
      </c>
      <c r="L578">
        <v>361</v>
      </c>
      <c r="M578">
        <v>1</v>
      </c>
      <c r="N578">
        <v>363</v>
      </c>
      <c r="O578">
        <v>15</v>
      </c>
      <c r="P578">
        <v>31.87</v>
      </c>
    </row>
    <row r="579" spans="1:16" x14ac:dyDescent="0.3">
      <c r="A579">
        <v>2722</v>
      </c>
      <c r="B579" t="s">
        <v>618</v>
      </c>
      <c r="C579" s="2">
        <v>42200</v>
      </c>
      <c r="D579">
        <v>36</v>
      </c>
      <c r="E579" s="2">
        <v>1793410</v>
      </c>
      <c r="F579">
        <v>43</v>
      </c>
      <c r="G579">
        <v>43</v>
      </c>
      <c r="H579">
        <v>42.2</v>
      </c>
      <c r="I579">
        <v>42.25</v>
      </c>
      <c r="J579" t="s">
        <v>7</v>
      </c>
      <c r="K579">
        <v>0.35</v>
      </c>
      <c r="L579">
        <v>42.3</v>
      </c>
      <c r="M579">
        <v>2</v>
      </c>
      <c r="N579">
        <v>42.5</v>
      </c>
      <c r="O579">
        <v>5</v>
      </c>
      <c r="P579">
        <v>24.28</v>
      </c>
    </row>
    <row r="580" spans="1:16" x14ac:dyDescent="0.3">
      <c r="A580">
        <v>2723</v>
      </c>
      <c r="B580" t="s">
        <v>619</v>
      </c>
      <c r="C580" s="2">
        <v>367044</v>
      </c>
      <c r="D580">
        <v>165</v>
      </c>
      <c r="E580" s="2">
        <v>61325436</v>
      </c>
      <c r="F580">
        <v>172.5</v>
      </c>
      <c r="G580">
        <v>172.5</v>
      </c>
      <c r="H580">
        <v>166.5</v>
      </c>
      <c r="I580">
        <v>167.5</v>
      </c>
      <c r="J580" t="s">
        <v>7</v>
      </c>
      <c r="K580">
        <v>5.5</v>
      </c>
      <c r="L580">
        <v>167</v>
      </c>
      <c r="M580">
        <v>4</v>
      </c>
      <c r="N580">
        <v>167.5</v>
      </c>
      <c r="O580">
        <v>3</v>
      </c>
      <c r="P580">
        <v>28.2</v>
      </c>
    </row>
    <row r="581" spans="1:16" x14ac:dyDescent="0.3">
      <c r="A581">
        <v>2727</v>
      </c>
      <c r="B581" t="s">
        <v>620</v>
      </c>
      <c r="C581" s="2">
        <v>182579</v>
      </c>
      <c r="D581">
        <v>165</v>
      </c>
      <c r="E581" s="2">
        <v>73810695</v>
      </c>
      <c r="F581">
        <v>405</v>
      </c>
      <c r="G581">
        <v>406</v>
      </c>
      <c r="H581">
        <v>403.5</v>
      </c>
      <c r="I581">
        <v>406</v>
      </c>
      <c r="J581" t="s">
        <v>10</v>
      </c>
      <c r="K581">
        <v>2.5</v>
      </c>
      <c r="L581">
        <v>405</v>
      </c>
      <c r="M581">
        <v>1</v>
      </c>
      <c r="N581">
        <v>406</v>
      </c>
      <c r="O581">
        <v>8</v>
      </c>
      <c r="P581">
        <v>25.34</v>
      </c>
    </row>
    <row r="582" spans="1:16" x14ac:dyDescent="0.3">
      <c r="A582">
        <v>2801</v>
      </c>
      <c r="B582" t="s">
        <v>621</v>
      </c>
      <c r="C582" s="2">
        <v>9046803</v>
      </c>
      <c r="D582" s="2">
        <v>2417</v>
      </c>
      <c r="E582" s="2">
        <v>150397564</v>
      </c>
      <c r="F582">
        <v>16.55</v>
      </c>
      <c r="G582">
        <v>16.75</v>
      </c>
      <c r="H582">
        <v>16.45</v>
      </c>
      <c r="I582">
        <v>16.600000000000001</v>
      </c>
      <c r="J582" t="s">
        <v>10</v>
      </c>
      <c r="K582">
        <v>0.05</v>
      </c>
      <c r="L582">
        <v>16.600000000000001</v>
      </c>
      <c r="M582">
        <v>968</v>
      </c>
      <c r="N582">
        <v>16.649999999999999</v>
      </c>
      <c r="O582">
        <v>21</v>
      </c>
      <c r="P582">
        <v>14.07</v>
      </c>
    </row>
    <row r="583" spans="1:16" x14ac:dyDescent="0.3">
      <c r="A583">
        <v>2809</v>
      </c>
      <c r="B583" t="s">
        <v>622</v>
      </c>
      <c r="C583" s="2">
        <v>3478640</v>
      </c>
      <c r="D583" s="2">
        <v>1516</v>
      </c>
      <c r="E583" s="2">
        <v>90675741</v>
      </c>
      <c r="F583">
        <v>25.75</v>
      </c>
      <c r="G583">
        <v>26.45</v>
      </c>
      <c r="H583">
        <v>25.6</v>
      </c>
      <c r="I583">
        <v>26.4</v>
      </c>
      <c r="J583" t="s">
        <v>10</v>
      </c>
      <c r="K583">
        <v>0.9</v>
      </c>
      <c r="L583">
        <v>26.35</v>
      </c>
      <c r="M583">
        <v>30</v>
      </c>
      <c r="N583">
        <v>26.4</v>
      </c>
      <c r="O583">
        <v>173</v>
      </c>
      <c r="P583">
        <v>8.35</v>
      </c>
    </row>
    <row r="584" spans="1:16" x14ac:dyDescent="0.3">
      <c r="A584">
        <v>2812</v>
      </c>
      <c r="B584" t="s">
        <v>623</v>
      </c>
      <c r="C584" s="2">
        <v>1757535</v>
      </c>
      <c r="D584" s="2">
        <v>1344</v>
      </c>
      <c r="E584" s="2">
        <v>19156592</v>
      </c>
      <c r="F584">
        <v>10.85</v>
      </c>
      <c r="G584">
        <v>10.95</v>
      </c>
      <c r="H584">
        <v>10.85</v>
      </c>
      <c r="I584">
        <v>10.9</v>
      </c>
      <c r="J584" t="s">
        <v>10</v>
      </c>
      <c r="K584">
        <v>0.05</v>
      </c>
      <c r="L584">
        <v>10.9</v>
      </c>
      <c r="M584">
        <v>157</v>
      </c>
      <c r="N584">
        <v>10.95</v>
      </c>
      <c r="O584">
        <v>602</v>
      </c>
      <c r="P584">
        <v>8.65</v>
      </c>
    </row>
    <row r="585" spans="1:16" x14ac:dyDescent="0.3">
      <c r="A585">
        <v>2816</v>
      </c>
      <c r="B585" t="s">
        <v>624</v>
      </c>
      <c r="C585" s="2">
        <v>97768</v>
      </c>
      <c r="D585">
        <v>76</v>
      </c>
      <c r="E585" s="2">
        <v>1536392</v>
      </c>
      <c r="F585">
        <v>15.4</v>
      </c>
      <c r="G585">
        <v>16.149999999999999</v>
      </c>
      <c r="H585">
        <v>15.4</v>
      </c>
      <c r="I585">
        <v>15.85</v>
      </c>
      <c r="J585" t="s">
        <v>10</v>
      </c>
      <c r="K585">
        <v>0.05</v>
      </c>
      <c r="L585">
        <v>15.85</v>
      </c>
      <c r="M585">
        <v>1</v>
      </c>
      <c r="N585">
        <v>15.9</v>
      </c>
      <c r="O585">
        <v>2</v>
      </c>
      <c r="P585">
        <v>10.57</v>
      </c>
    </row>
    <row r="586" spans="1:16" x14ac:dyDescent="0.3">
      <c r="A586">
        <v>2820</v>
      </c>
      <c r="B586" t="s">
        <v>625</v>
      </c>
      <c r="C586" s="2">
        <v>2214218</v>
      </c>
      <c r="D586">
        <v>485</v>
      </c>
      <c r="E586" s="2">
        <v>24509918</v>
      </c>
      <c r="F586">
        <v>11.05</v>
      </c>
      <c r="G586">
        <v>11.1</v>
      </c>
      <c r="H586">
        <v>11</v>
      </c>
      <c r="I586">
        <v>11.1</v>
      </c>
      <c r="J586" t="s">
        <v>10</v>
      </c>
      <c r="K586">
        <v>0.05</v>
      </c>
      <c r="L586">
        <v>11.05</v>
      </c>
      <c r="M586">
        <v>109</v>
      </c>
      <c r="N586">
        <v>11.1</v>
      </c>
      <c r="O586">
        <v>235</v>
      </c>
      <c r="P586">
        <v>9.1</v>
      </c>
    </row>
    <row r="587" spans="1:16" x14ac:dyDescent="0.3">
      <c r="A587">
        <v>2823</v>
      </c>
      <c r="B587" t="s">
        <v>626</v>
      </c>
      <c r="C587" s="2">
        <v>6756396</v>
      </c>
      <c r="D587" s="2">
        <v>2876</v>
      </c>
      <c r="E587" s="2">
        <v>200134414</v>
      </c>
      <c r="F587">
        <v>29.6</v>
      </c>
      <c r="G587">
        <v>29.75</v>
      </c>
      <c r="H587">
        <v>29.3</v>
      </c>
      <c r="I587">
        <v>29.65</v>
      </c>
      <c r="K587">
        <v>0</v>
      </c>
      <c r="L587">
        <v>29.65</v>
      </c>
      <c r="M587">
        <v>70</v>
      </c>
      <c r="N587">
        <v>29.7</v>
      </c>
      <c r="O587">
        <v>49</v>
      </c>
      <c r="P587">
        <v>12.1</v>
      </c>
    </row>
    <row r="588" spans="1:16" x14ac:dyDescent="0.3">
      <c r="A588">
        <v>2832</v>
      </c>
      <c r="B588" t="s">
        <v>627</v>
      </c>
      <c r="C588" s="2">
        <v>206104</v>
      </c>
      <c r="D588">
        <v>108</v>
      </c>
      <c r="E588" s="2">
        <v>4514118</v>
      </c>
      <c r="F588">
        <v>21.95</v>
      </c>
      <c r="G588">
        <v>22.05</v>
      </c>
      <c r="H588">
        <v>21.8</v>
      </c>
      <c r="I588">
        <v>22.05</v>
      </c>
      <c r="J588" t="s">
        <v>10</v>
      </c>
      <c r="K588">
        <v>0.1</v>
      </c>
      <c r="L588">
        <v>22</v>
      </c>
      <c r="M588">
        <v>18</v>
      </c>
      <c r="N588">
        <v>22.05</v>
      </c>
      <c r="O588">
        <v>19</v>
      </c>
      <c r="P588">
        <v>12.05</v>
      </c>
    </row>
    <row r="589" spans="1:16" x14ac:dyDescent="0.3">
      <c r="A589">
        <v>2833</v>
      </c>
      <c r="B589" t="s">
        <v>628</v>
      </c>
      <c r="C589" s="2">
        <v>654710</v>
      </c>
      <c r="D589">
        <v>314</v>
      </c>
      <c r="E589" s="2">
        <v>15088045</v>
      </c>
      <c r="F589">
        <v>23</v>
      </c>
      <c r="G589">
        <v>23.2</v>
      </c>
      <c r="H589">
        <v>22.8</v>
      </c>
      <c r="I589">
        <v>23</v>
      </c>
      <c r="K589">
        <v>0</v>
      </c>
      <c r="L589">
        <v>23</v>
      </c>
      <c r="M589">
        <v>57</v>
      </c>
      <c r="N589">
        <v>23.1</v>
      </c>
      <c r="O589">
        <v>17</v>
      </c>
      <c r="P589">
        <v>9.58</v>
      </c>
    </row>
    <row r="590" spans="1:16" x14ac:dyDescent="0.3">
      <c r="A590" t="s">
        <v>629</v>
      </c>
      <c r="B590" t="s">
        <v>630</v>
      </c>
      <c r="C590" s="2">
        <v>1182</v>
      </c>
      <c r="D590">
        <v>2</v>
      </c>
      <c r="E590" s="2">
        <v>45152</v>
      </c>
      <c r="F590">
        <v>38</v>
      </c>
      <c r="G590">
        <v>38</v>
      </c>
      <c r="H590">
        <v>38</v>
      </c>
      <c r="I590">
        <v>38</v>
      </c>
      <c r="J590" t="s">
        <v>145</v>
      </c>
      <c r="K590">
        <v>0</v>
      </c>
      <c r="L590">
        <v>37.799999999999997</v>
      </c>
      <c r="M590">
        <v>3</v>
      </c>
      <c r="N590">
        <v>38</v>
      </c>
      <c r="O590">
        <v>3</v>
      </c>
      <c r="P590">
        <v>0</v>
      </c>
    </row>
    <row r="591" spans="1:16" x14ac:dyDescent="0.3">
      <c r="A591">
        <v>2834</v>
      </c>
      <c r="B591" t="s">
        <v>631</v>
      </c>
      <c r="C591" s="2">
        <v>5676650</v>
      </c>
      <c r="D591" s="2">
        <v>3122</v>
      </c>
      <c r="E591" s="2">
        <v>50798991</v>
      </c>
      <c r="F591">
        <v>8.98</v>
      </c>
      <c r="G591">
        <v>8.99</v>
      </c>
      <c r="H591">
        <v>8.8800000000000008</v>
      </c>
      <c r="I591">
        <v>8.94</v>
      </c>
      <c r="K591">
        <v>0</v>
      </c>
      <c r="L591">
        <v>8.94</v>
      </c>
      <c r="M591">
        <v>58</v>
      </c>
      <c r="N591">
        <v>8.9600000000000009</v>
      </c>
      <c r="O591">
        <v>3</v>
      </c>
      <c r="P591">
        <v>12.96</v>
      </c>
    </row>
    <row r="592" spans="1:16" x14ac:dyDescent="0.3">
      <c r="A592">
        <v>2836</v>
      </c>
      <c r="B592" t="s">
        <v>632</v>
      </c>
      <c r="C592" s="2">
        <v>276807</v>
      </c>
      <c r="D592">
        <v>120</v>
      </c>
      <c r="E592" s="2">
        <v>2622802</v>
      </c>
      <c r="F592">
        <v>9.4499999999999993</v>
      </c>
      <c r="G592">
        <v>9.5</v>
      </c>
      <c r="H592">
        <v>9.39</v>
      </c>
      <c r="I592">
        <v>9.5</v>
      </c>
      <c r="K592">
        <v>0</v>
      </c>
      <c r="L592">
        <v>9.5</v>
      </c>
      <c r="M592">
        <v>18</v>
      </c>
      <c r="N592">
        <v>9.52</v>
      </c>
      <c r="O592">
        <v>23</v>
      </c>
      <c r="P592">
        <v>17.920000000000002</v>
      </c>
    </row>
    <row r="593" spans="1:16" x14ac:dyDescent="0.3">
      <c r="A593">
        <v>2837</v>
      </c>
      <c r="B593" t="s">
        <v>633</v>
      </c>
      <c r="C593" s="2">
        <v>551630</v>
      </c>
      <c r="D593">
        <v>283</v>
      </c>
      <c r="E593" s="2">
        <v>8345052</v>
      </c>
      <c r="F593">
        <v>14.9</v>
      </c>
      <c r="G593">
        <v>15.35</v>
      </c>
      <c r="H593">
        <v>14.9</v>
      </c>
      <c r="I593">
        <v>15.35</v>
      </c>
      <c r="J593" t="s">
        <v>10</v>
      </c>
      <c r="K593">
        <v>0.4</v>
      </c>
      <c r="L593">
        <v>15.3</v>
      </c>
      <c r="M593">
        <v>124</v>
      </c>
      <c r="N593">
        <v>15.35</v>
      </c>
      <c r="O593">
        <v>10</v>
      </c>
      <c r="P593">
        <v>8.08</v>
      </c>
    </row>
    <row r="594" spans="1:16" x14ac:dyDescent="0.3">
      <c r="A594">
        <v>2838</v>
      </c>
      <c r="B594" t="s">
        <v>634</v>
      </c>
      <c r="C594" s="2">
        <v>940806</v>
      </c>
      <c r="D594">
        <v>370</v>
      </c>
      <c r="E594" s="2">
        <v>10533373</v>
      </c>
      <c r="F594">
        <v>11.15</v>
      </c>
      <c r="G594">
        <v>11.25</v>
      </c>
      <c r="H594">
        <v>11.15</v>
      </c>
      <c r="I594">
        <v>11.25</v>
      </c>
      <c r="J594" t="s">
        <v>10</v>
      </c>
      <c r="K594">
        <v>0.05</v>
      </c>
      <c r="L594">
        <v>11.2</v>
      </c>
      <c r="M594">
        <v>90</v>
      </c>
      <c r="N594">
        <v>11.25</v>
      </c>
      <c r="O594">
        <v>27</v>
      </c>
      <c r="P594">
        <v>8.7200000000000006</v>
      </c>
    </row>
    <row r="595" spans="1:16" x14ac:dyDescent="0.3">
      <c r="A595">
        <v>2841</v>
      </c>
      <c r="B595" t="s">
        <v>635</v>
      </c>
      <c r="C595" s="2">
        <v>757916</v>
      </c>
      <c r="D595">
        <v>200</v>
      </c>
      <c r="E595" s="2">
        <v>8168835</v>
      </c>
      <c r="F595">
        <v>10.7</v>
      </c>
      <c r="G595">
        <v>10.85</v>
      </c>
      <c r="H595">
        <v>10.7</v>
      </c>
      <c r="I595">
        <v>10.85</v>
      </c>
      <c r="J595" t="s">
        <v>10</v>
      </c>
      <c r="K595">
        <v>0.1</v>
      </c>
      <c r="L595">
        <v>10.8</v>
      </c>
      <c r="M595">
        <v>84</v>
      </c>
      <c r="N595">
        <v>10.85</v>
      </c>
      <c r="O595">
        <v>107</v>
      </c>
      <c r="P595">
        <v>43.4</v>
      </c>
    </row>
    <row r="596" spans="1:16" x14ac:dyDescent="0.3">
      <c r="A596">
        <v>2845</v>
      </c>
      <c r="B596" t="s">
        <v>636</v>
      </c>
      <c r="C596" s="2">
        <v>1184480</v>
      </c>
      <c r="D596">
        <v>375</v>
      </c>
      <c r="E596" s="2">
        <v>14408621</v>
      </c>
      <c r="F596">
        <v>12.2</v>
      </c>
      <c r="G596">
        <v>12.25</v>
      </c>
      <c r="H596">
        <v>12.05</v>
      </c>
      <c r="I596">
        <v>12.2</v>
      </c>
      <c r="J596" t="s">
        <v>10</v>
      </c>
      <c r="K596">
        <v>0.05</v>
      </c>
      <c r="L596">
        <v>12.2</v>
      </c>
      <c r="M596">
        <v>14</v>
      </c>
      <c r="N596">
        <v>12.25</v>
      </c>
      <c r="O596">
        <v>128</v>
      </c>
      <c r="P596">
        <v>10.43</v>
      </c>
    </row>
    <row r="597" spans="1:16" x14ac:dyDescent="0.3">
      <c r="A597">
        <v>2847</v>
      </c>
      <c r="B597" t="s">
        <v>637</v>
      </c>
      <c r="C597" s="2">
        <v>2413604</v>
      </c>
      <c r="D597">
        <v>775</v>
      </c>
      <c r="E597" s="2">
        <v>24049902</v>
      </c>
      <c r="F597">
        <v>9.85</v>
      </c>
      <c r="G597">
        <v>10.1</v>
      </c>
      <c r="H597">
        <v>9.83</v>
      </c>
      <c r="I597">
        <v>10</v>
      </c>
      <c r="J597" t="s">
        <v>10</v>
      </c>
      <c r="K597">
        <v>0.15</v>
      </c>
      <c r="L597">
        <v>10</v>
      </c>
      <c r="M597">
        <v>134</v>
      </c>
      <c r="N597">
        <v>10.050000000000001</v>
      </c>
      <c r="O597">
        <v>68</v>
      </c>
      <c r="P597">
        <v>12.5</v>
      </c>
    </row>
    <row r="598" spans="1:16" x14ac:dyDescent="0.3">
      <c r="A598">
        <v>2849</v>
      </c>
      <c r="B598" t="s">
        <v>638</v>
      </c>
      <c r="C598" s="2">
        <v>320213</v>
      </c>
      <c r="D598">
        <v>168</v>
      </c>
      <c r="E598" s="2">
        <v>4912247</v>
      </c>
      <c r="F598">
        <v>15.5</v>
      </c>
      <c r="G598">
        <v>15.6</v>
      </c>
      <c r="H598">
        <v>15.25</v>
      </c>
      <c r="I598">
        <v>15.35</v>
      </c>
      <c r="J598" t="s">
        <v>7</v>
      </c>
      <c r="K598">
        <v>0.1</v>
      </c>
      <c r="L598">
        <v>15.35</v>
      </c>
      <c r="M598">
        <v>31</v>
      </c>
      <c r="N598">
        <v>15.4</v>
      </c>
      <c r="O598">
        <v>1</v>
      </c>
      <c r="P598">
        <v>6.16</v>
      </c>
    </row>
    <row r="599" spans="1:16" x14ac:dyDescent="0.3">
      <c r="A599">
        <v>2850</v>
      </c>
      <c r="B599" t="s">
        <v>639</v>
      </c>
      <c r="C599" s="2">
        <v>381000</v>
      </c>
      <c r="D599">
        <v>188</v>
      </c>
      <c r="E599" s="2">
        <v>8568696</v>
      </c>
      <c r="F599">
        <v>22.35</v>
      </c>
      <c r="G599">
        <v>22.75</v>
      </c>
      <c r="H599">
        <v>22.25</v>
      </c>
      <c r="I599">
        <v>22.7</v>
      </c>
      <c r="J599" t="s">
        <v>10</v>
      </c>
      <c r="K599">
        <v>0.35</v>
      </c>
      <c r="L599">
        <v>22.55</v>
      </c>
      <c r="M599">
        <v>27</v>
      </c>
      <c r="N599">
        <v>22.7</v>
      </c>
      <c r="O599">
        <v>1</v>
      </c>
      <c r="P599">
        <v>9.6199999999999992</v>
      </c>
    </row>
    <row r="600" spans="1:16" x14ac:dyDescent="0.3">
      <c r="A600">
        <v>2851</v>
      </c>
      <c r="B600" t="s">
        <v>640</v>
      </c>
      <c r="C600" s="2">
        <v>102000</v>
      </c>
      <c r="D600">
        <v>73</v>
      </c>
      <c r="E600" s="2">
        <v>1361750</v>
      </c>
      <c r="F600">
        <v>13.4</v>
      </c>
      <c r="G600">
        <v>13.45</v>
      </c>
      <c r="H600">
        <v>13.2</v>
      </c>
      <c r="I600">
        <v>13.3</v>
      </c>
      <c r="J600" t="s">
        <v>7</v>
      </c>
      <c r="K600">
        <v>0.1</v>
      </c>
      <c r="L600">
        <v>13.3</v>
      </c>
      <c r="M600">
        <v>11</v>
      </c>
      <c r="N600">
        <v>13.4</v>
      </c>
      <c r="O600">
        <v>1</v>
      </c>
      <c r="P600">
        <v>17.27</v>
      </c>
    </row>
    <row r="601" spans="1:16" x14ac:dyDescent="0.3">
      <c r="A601">
        <v>2852</v>
      </c>
      <c r="B601" t="s">
        <v>641</v>
      </c>
      <c r="C601" s="2">
        <v>613775</v>
      </c>
      <c r="D601">
        <v>259</v>
      </c>
      <c r="E601" s="2">
        <v>12262985</v>
      </c>
      <c r="F601">
        <v>19.899999999999999</v>
      </c>
      <c r="G601">
        <v>20.05</v>
      </c>
      <c r="H601">
        <v>19.850000000000001</v>
      </c>
      <c r="I601">
        <v>20.05</v>
      </c>
      <c r="J601" t="s">
        <v>10</v>
      </c>
      <c r="K601">
        <v>0.15</v>
      </c>
      <c r="L601">
        <v>20</v>
      </c>
      <c r="M601">
        <v>50</v>
      </c>
      <c r="N601">
        <v>20.05</v>
      </c>
      <c r="O601">
        <v>30</v>
      </c>
      <c r="P601">
        <v>7.08</v>
      </c>
    </row>
    <row r="602" spans="1:16" x14ac:dyDescent="0.3">
      <c r="A602">
        <v>2855</v>
      </c>
      <c r="B602" t="s">
        <v>642</v>
      </c>
      <c r="C602" s="2">
        <v>335277</v>
      </c>
      <c r="D602">
        <v>194</v>
      </c>
      <c r="E602" s="2">
        <v>5861112</v>
      </c>
      <c r="F602">
        <v>17.5</v>
      </c>
      <c r="G602">
        <v>17.600000000000001</v>
      </c>
      <c r="H602">
        <v>17.3</v>
      </c>
      <c r="I602">
        <v>17.5</v>
      </c>
      <c r="J602" t="s">
        <v>7</v>
      </c>
      <c r="K602">
        <v>0.05</v>
      </c>
      <c r="L602">
        <v>17.5</v>
      </c>
      <c r="M602">
        <v>277</v>
      </c>
      <c r="N602">
        <v>17.600000000000001</v>
      </c>
      <c r="O602">
        <v>5</v>
      </c>
      <c r="P602">
        <v>30.7</v>
      </c>
    </row>
    <row r="603" spans="1:16" x14ac:dyDescent="0.3">
      <c r="A603">
        <v>2856</v>
      </c>
      <c r="B603" t="s">
        <v>643</v>
      </c>
      <c r="C603" s="2">
        <v>2132717</v>
      </c>
      <c r="D603">
        <v>333</v>
      </c>
      <c r="E603" s="2">
        <v>21368470</v>
      </c>
      <c r="F603">
        <v>10.050000000000001</v>
      </c>
      <c r="G603">
        <v>10.1</v>
      </c>
      <c r="H603">
        <v>9.9700000000000006</v>
      </c>
      <c r="I603">
        <v>10</v>
      </c>
      <c r="J603" t="s">
        <v>7</v>
      </c>
      <c r="K603">
        <v>0.05</v>
      </c>
      <c r="L603">
        <v>10</v>
      </c>
      <c r="M603">
        <v>211</v>
      </c>
      <c r="N603">
        <v>10.050000000000001</v>
      </c>
      <c r="O603">
        <v>219</v>
      </c>
      <c r="P603">
        <v>20.83</v>
      </c>
    </row>
    <row r="604" spans="1:16" x14ac:dyDescent="0.3">
      <c r="A604">
        <v>2867</v>
      </c>
      <c r="B604" t="s">
        <v>644</v>
      </c>
      <c r="C604" s="2">
        <v>1044300</v>
      </c>
      <c r="D604">
        <v>334</v>
      </c>
      <c r="E604" s="2">
        <v>16544284</v>
      </c>
      <c r="F604">
        <v>15.9</v>
      </c>
      <c r="G604">
        <v>15.9</v>
      </c>
      <c r="H604">
        <v>15.8</v>
      </c>
      <c r="I604">
        <v>15.85</v>
      </c>
      <c r="J604" t="s">
        <v>10</v>
      </c>
      <c r="K604">
        <v>0.05</v>
      </c>
      <c r="L604">
        <v>15.8</v>
      </c>
      <c r="M604">
        <v>173</v>
      </c>
      <c r="N604">
        <v>15.85</v>
      </c>
      <c r="O604">
        <v>25</v>
      </c>
      <c r="P604">
        <v>9.49</v>
      </c>
    </row>
    <row r="605" spans="1:16" x14ac:dyDescent="0.3">
      <c r="A605">
        <v>2880</v>
      </c>
      <c r="B605" t="s">
        <v>645</v>
      </c>
      <c r="C605" s="2">
        <v>5563847</v>
      </c>
      <c r="D605" s="2">
        <v>1277</v>
      </c>
      <c r="E605" s="2">
        <v>93128179</v>
      </c>
      <c r="F605">
        <v>16.899999999999999</v>
      </c>
      <c r="G605">
        <v>16.899999999999999</v>
      </c>
      <c r="H605">
        <v>16.600000000000001</v>
      </c>
      <c r="I605">
        <v>16.7</v>
      </c>
      <c r="J605" t="s">
        <v>7</v>
      </c>
      <c r="K605">
        <v>0.1</v>
      </c>
      <c r="L605">
        <v>16.7</v>
      </c>
      <c r="M605">
        <v>1159</v>
      </c>
      <c r="N605">
        <v>16.8</v>
      </c>
      <c r="O605">
        <v>36</v>
      </c>
      <c r="P605">
        <v>16.37</v>
      </c>
    </row>
    <row r="606" spans="1:16" x14ac:dyDescent="0.3">
      <c r="A606">
        <v>2881</v>
      </c>
      <c r="B606" t="s">
        <v>646</v>
      </c>
      <c r="C606" s="2">
        <v>20556347</v>
      </c>
      <c r="D606" s="2">
        <v>4654</v>
      </c>
      <c r="E606" s="2">
        <v>820563098</v>
      </c>
      <c r="F606">
        <v>40.200000000000003</v>
      </c>
      <c r="G606">
        <v>40.299999999999997</v>
      </c>
      <c r="H606">
        <v>39.65</v>
      </c>
      <c r="I606">
        <v>39.75</v>
      </c>
      <c r="J606" t="s">
        <v>145</v>
      </c>
      <c r="K606">
        <v>0</v>
      </c>
      <c r="L606">
        <v>39.75</v>
      </c>
      <c r="M606">
        <v>23</v>
      </c>
      <c r="N606">
        <v>39.799999999999997</v>
      </c>
      <c r="O606">
        <v>3</v>
      </c>
      <c r="P606">
        <v>11.76</v>
      </c>
    </row>
    <row r="607" spans="1:16" x14ac:dyDescent="0.3">
      <c r="A607">
        <v>2882</v>
      </c>
      <c r="B607" t="s">
        <v>647</v>
      </c>
      <c r="C607" s="2">
        <v>12442716</v>
      </c>
      <c r="D607" s="2">
        <v>3373</v>
      </c>
      <c r="E607" s="2">
        <v>508319078</v>
      </c>
      <c r="F607">
        <v>41</v>
      </c>
      <c r="G607">
        <v>41.05</v>
      </c>
      <c r="H607">
        <v>40.65</v>
      </c>
      <c r="I607">
        <v>40.65</v>
      </c>
      <c r="J607" t="s">
        <v>7</v>
      </c>
      <c r="K607">
        <v>0.25</v>
      </c>
      <c r="L607">
        <v>40.65</v>
      </c>
      <c r="M607">
        <v>148</v>
      </c>
      <c r="N607">
        <v>40.700000000000003</v>
      </c>
      <c r="O607">
        <v>6</v>
      </c>
      <c r="P607">
        <v>19.73</v>
      </c>
    </row>
    <row r="608" spans="1:16" x14ac:dyDescent="0.3">
      <c r="A608">
        <v>2883</v>
      </c>
      <c r="B608" t="s">
        <v>648</v>
      </c>
      <c r="C608" s="2">
        <v>82099574</v>
      </c>
      <c r="D608" s="2">
        <v>12008</v>
      </c>
      <c r="E608" s="2">
        <v>707043157</v>
      </c>
      <c r="F608">
        <v>8.5</v>
      </c>
      <c r="G608">
        <v>8.69</v>
      </c>
      <c r="H608">
        <v>8.4499999999999993</v>
      </c>
      <c r="I608">
        <v>8.68</v>
      </c>
      <c r="J608" t="s">
        <v>10</v>
      </c>
      <c r="K608">
        <v>0.26</v>
      </c>
      <c r="L608">
        <v>8.67</v>
      </c>
      <c r="M608">
        <v>270</v>
      </c>
      <c r="N608">
        <v>8.68</v>
      </c>
      <c r="O608">
        <v>391</v>
      </c>
      <c r="P608">
        <v>27.13</v>
      </c>
    </row>
    <row r="609" spans="1:16" x14ac:dyDescent="0.3">
      <c r="A609">
        <v>2884</v>
      </c>
      <c r="B609" t="s">
        <v>649</v>
      </c>
      <c r="C609" s="2">
        <v>8950865</v>
      </c>
      <c r="D609" s="2">
        <v>1973</v>
      </c>
      <c r="E609" s="2">
        <v>163672675</v>
      </c>
      <c r="F609">
        <v>18.3</v>
      </c>
      <c r="G609">
        <v>18.399999999999999</v>
      </c>
      <c r="H609">
        <v>18.100000000000001</v>
      </c>
      <c r="I609">
        <v>18.3</v>
      </c>
      <c r="K609">
        <v>0</v>
      </c>
      <c r="L609">
        <v>18.3</v>
      </c>
      <c r="M609">
        <v>8</v>
      </c>
      <c r="N609">
        <v>18.350000000000001</v>
      </c>
      <c r="O609">
        <v>564</v>
      </c>
      <c r="P609">
        <v>12.62</v>
      </c>
    </row>
    <row r="610" spans="1:16" x14ac:dyDescent="0.3">
      <c r="A610">
        <v>2885</v>
      </c>
      <c r="B610" t="s">
        <v>650</v>
      </c>
      <c r="C610" s="2">
        <v>17533881</v>
      </c>
      <c r="D610" s="2">
        <v>4738</v>
      </c>
      <c r="E610" s="2">
        <v>274661770</v>
      </c>
      <c r="F610">
        <v>15.6</v>
      </c>
      <c r="G610">
        <v>15.75</v>
      </c>
      <c r="H610">
        <v>15.45</v>
      </c>
      <c r="I610">
        <v>15.65</v>
      </c>
      <c r="J610" t="s">
        <v>10</v>
      </c>
      <c r="K610">
        <v>0.05</v>
      </c>
      <c r="L610">
        <v>15.65</v>
      </c>
      <c r="M610">
        <v>392</v>
      </c>
      <c r="N610">
        <v>15.7</v>
      </c>
      <c r="O610">
        <v>260</v>
      </c>
      <c r="P610">
        <v>29.53</v>
      </c>
    </row>
    <row r="611" spans="1:16" x14ac:dyDescent="0.3">
      <c r="A611">
        <v>2886</v>
      </c>
      <c r="B611" t="s">
        <v>651</v>
      </c>
      <c r="C611" s="2">
        <v>14621390</v>
      </c>
      <c r="D611" s="2">
        <v>3368</v>
      </c>
      <c r="E611" s="2">
        <v>335300255</v>
      </c>
      <c r="F611">
        <v>22.75</v>
      </c>
      <c r="G611">
        <v>23.1</v>
      </c>
      <c r="H611">
        <v>22.55</v>
      </c>
      <c r="I611">
        <v>23</v>
      </c>
      <c r="J611" t="s">
        <v>10</v>
      </c>
      <c r="K611">
        <v>0.25</v>
      </c>
      <c r="L611">
        <v>23</v>
      </c>
      <c r="M611">
        <v>2766</v>
      </c>
      <c r="N611">
        <v>23.05</v>
      </c>
      <c r="O611">
        <v>186</v>
      </c>
      <c r="P611">
        <v>12.5</v>
      </c>
    </row>
    <row r="612" spans="1:16" x14ac:dyDescent="0.3">
      <c r="A612">
        <v>2887</v>
      </c>
      <c r="B612" t="s">
        <v>652</v>
      </c>
      <c r="C612" s="2">
        <v>19637379</v>
      </c>
      <c r="D612" s="2">
        <v>3820</v>
      </c>
      <c r="E612" s="2">
        <v>261469706</v>
      </c>
      <c r="F612">
        <v>13.3</v>
      </c>
      <c r="G612">
        <v>13.4</v>
      </c>
      <c r="H612">
        <v>13.2</v>
      </c>
      <c r="I612">
        <v>13.35</v>
      </c>
      <c r="J612" t="s">
        <v>10</v>
      </c>
      <c r="K612">
        <v>0.15</v>
      </c>
      <c r="L612">
        <v>13.3</v>
      </c>
      <c r="M612">
        <v>301</v>
      </c>
      <c r="N612">
        <v>13.35</v>
      </c>
      <c r="O612">
        <v>1</v>
      </c>
      <c r="P612">
        <v>8.84</v>
      </c>
    </row>
    <row r="613" spans="1:16" x14ac:dyDescent="0.3">
      <c r="A613">
        <v>2888</v>
      </c>
      <c r="B613" t="s">
        <v>653</v>
      </c>
      <c r="C613" s="2">
        <v>42851165</v>
      </c>
      <c r="D613" s="2">
        <v>2901</v>
      </c>
      <c r="E613" s="2">
        <v>429406530</v>
      </c>
      <c r="F613">
        <v>10.050000000000001</v>
      </c>
      <c r="G613">
        <v>10.050000000000001</v>
      </c>
      <c r="H613">
        <v>9.99</v>
      </c>
      <c r="I613">
        <v>10.050000000000001</v>
      </c>
      <c r="J613" t="s">
        <v>7</v>
      </c>
      <c r="K613">
        <v>0.05</v>
      </c>
      <c r="L613">
        <v>10.050000000000001</v>
      </c>
      <c r="M613">
        <v>13863</v>
      </c>
      <c r="N613">
        <v>10.1</v>
      </c>
      <c r="O613">
        <v>7153</v>
      </c>
      <c r="P613">
        <v>5.91</v>
      </c>
    </row>
    <row r="614" spans="1:16" x14ac:dyDescent="0.3">
      <c r="A614">
        <v>2889</v>
      </c>
      <c r="B614" t="s">
        <v>654</v>
      </c>
      <c r="C614" s="2">
        <v>1461285</v>
      </c>
      <c r="D614">
        <v>529</v>
      </c>
      <c r="E614" s="2">
        <v>14679600</v>
      </c>
      <c r="F614">
        <v>10.050000000000001</v>
      </c>
      <c r="G614">
        <v>10.1</v>
      </c>
      <c r="H614">
        <v>9.9600000000000009</v>
      </c>
      <c r="I614">
        <v>10.1</v>
      </c>
      <c r="J614" t="s">
        <v>10</v>
      </c>
      <c r="K614">
        <v>0.1</v>
      </c>
      <c r="L614">
        <v>10.050000000000001</v>
      </c>
      <c r="M614">
        <v>18</v>
      </c>
      <c r="N614">
        <v>10.1</v>
      </c>
      <c r="O614">
        <v>9</v>
      </c>
      <c r="P614">
        <v>19.059999999999999</v>
      </c>
    </row>
    <row r="615" spans="1:16" x14ac:dyDescent="0.3">
      <c r="A615">
        <v>2890</v>
      </c>
      <c r="B615" t="s">
        <v>655</v>
      </c>
      <c r="C615" s="2">
        <v>10352246</v>
      </c>
      <c r="D615" s="2">
        <v>2195</v>
      </c>
      <c r="E615" s="2">
        <v>146821445</v>
      </c>
      <c r="F615">
        <v>14.25</v>
      </c>
      <c r="G615">
        <v>14.25</v>
      </c>
      <c r="H615">
        <v>14.1</v>
      </c>
      <c r="I615">
        <v>14.2</v>
      </c>
      <c r="J615" t="s">
        <v>7</v>
      </c>
      <c r="K615">
        <v>0.05</v>
      </c>
      <c r="L615">
        <v>14.2</v>
      </c>
      <c r="M615">
        <v>54</v>
      </c>
      <c r="N615">
        <v>14.25</v>
      </c>
      <c r="O615">
        <v>2041</v>
      </c>
      <c r="P615">
        <v>11.09</v>
      </c>
    </row>
    <row r="616" spans="1:16" x14ac:dyDescent="0.3">
      <c r="A616">
        <v>2891</v>
      </c>
      <c r="B616" t="s">
        <v>656</v>
      </c>
      <c r="C616" s="2">
        <v>25192494</v>
      </c>
      <c r="D616" s="2">
        <v>3453</v>
      </c>
      <c r="E616" s="2">
        <v>465781749</v>
      </c>
      <c r="F616">
        <v>18.5</v>
      </c>
      <c r="G616">
        <v>18.600000000000001</v>
      </c>
      <c r="H616">
        <v>18.3</v>
      </c>
      <c r="I616">
        <v>18.600000000000001</v>
      </c>
      <c r="J616" t="s">
        <v>10</v>
      </c>
      <c r="K616">
        <v>0.05</v>
      </c>
      <c r="L616">
        <v>18.55</v>
      </c>
      <c r="M616">
        <v>318</v>
      </c>
      <c r="N616">
        <v>18.600000000000001</v>
      </c>
      <c r="O616">
        <v>1251</v>
      </c>
      <c r="P616">
        <v>10.28</v>
      </c>
    </row>
    <row r="617" spans="1:16" x14ac:dyDescent="0.3">
      <c r="A617">
        <v>2892</v>
      </c>
      <c r="B617" t="s">
        <v>657</v>
      </c>
      <c r="C617" s="2">
        <v>9108230</v>
      </c>
      <c r="D617" s="2">
        <v>1716</v>
      </c>
      <c r="E617" s="2">
        <v>161016323</v>
      </c>
      <c r="F617">
        <v>17.7</v>
      </c>
      <c r="G617">
        <v>17.8</v>
      </c>
      <c r="H617">
        <v>17.5</v>
      </c>
      <c r="I617">
        <v>17.649999999999999</v>
      </c>
      <c r="J617" t="s">
        <v>7</v>
      </c>
      <c r="K617">
        <v>0.1</v>
      </c>
      <c r="L617">
        <v>17.649999999999999</v>
      </c>
      <c r="M617">
        <v>1307</v>
      </c>
      <c r="N617">
        <v>17.7</v>
      </c>
      <c r="O617">
        <v>2</v>
      </c>
      <c r="P617">
        <v>14.12</v>
      </c>
    </row>
    <row r="618" spans="1:16" x14ac:dyDescent="0.3">
      <c r="A618">
        <v>2901</v>
      </c>
      <c r="B618" t="s">
        <v>658</v>
      </c>
      <c r="C618" s="2">
        <v>24052</v>
      </c>
      <c r="D618">
        <v>21</v>
      </c>
      <c r="E618" s="2">
        <v>943783</v>
      </c>
      <c r="F618">
        <v>40</v>
      </c>
      <c r="G618">
        <v>40</v>
      </c>
      <c r="H618">
        <v>38.65</v>
      </c>
      <c r="I618">
        <v>39.1</v>
      </c>
      <c r="J618" t="s">
        <v>7</v>
      </c>
      <c r="K618">
        <v>0.4</v>
      </c>
      <c r="L618">
        <v>39.1</v>
      </c>
      <c r="M618">
        <v>4</v>
      </c>
      <c r="N618">
        <v>39.5</v>
      </c>
      <c r="O618">
        <v>5</v>
      </c>
      <c r="P618">
        <v>79.8</v>
      </c>
    </row>
    <row r="619" spans="1:16" x14ac:dyDescent="0.3">
      <c r="A619">
        <v>2903</v>
      </c>
      <c r="B619" t="s">
        <v>659</v>
      </c>
      <c r="C619" s="2">
        <v>2073605</v>
      </c>
      <c r="D619" s="2">
        <v>1074</v>
      </c>
      <c r="E619" s="2">
        <v>58511839</v>
      </c>
      <c r="F619">
        <v>28.4</v>
      </c>
      <c r="G619">
        <v>28.4</v>
      </c>
      <c r="H619">
        <v>28.1</v>
      </c>
      <c r="I619">
        <v>28.1</v>
      </c>
      <c r="J619" t="s">
        <v>7</v>
      </c>
      <c r="K619">
        <v>0.45</v>
      </c>
      <c r="L619">
        <v>28.1</v>
      </c>
      <c r="M619">
        <v>128</v>
      </c>
      <c r="N619">
        <v>28.2</v>
      </c>
      <c r="O619">
        <v>16</v>
      </c>
      <c r="P619">
        <v>20.97</v>
      </c>
    </row>
    <row r="620" spans="1:16" x14ac:dyDescent="0.3">
      <c r="A620">
        <v>2904</v>
      </c>
      <c r="B620" t="s">
        <v>660</v>
      </c>
      <c r="C620" s="2">
        <v>132356</v>
      </c>
      <c r="D620">
        <v>72</v>
      </c>
      <c r="E620" s="2">
        <v>3748837</v>
      </c>
      <c r="F620">
        <v>28.3</v>
      </c>
      <c r="G620">
        <v>28.4</v>
      </c>
      <c r="H620">
        <v>28.25</v>
      </c>
      <c r="I620">
        <v>28.35</v>
      </c>
      <c r="J620" t="s">
        <v>10</v>
      </c>
      <c r="K620">
        <v>0.2</v>
      </c>
      <c r="L620">
        <v>28.25</v>
      </c>
      <c r="M620">
        <v>9</v>
      </c>
      <c r="N620">
        <v>28.35</v>
      </c>
      <c r="O620">
        <v>6</v>
      </c>
      <c r="P620">
        <v>9.81</v>
      </c>
    </row>
    <row r="621" spans="1:16" x14ac:dyDescent="0.3">
      <c r="A621">
        <v>2905</v>
      </c>
      <c r="B621" t="s">
        <v>661</v>
      </c>
      <c r="C621" s="2">
        <v>276800</v>
      </c>
      <c r="D621">
        <v>173</v>
      </c>
      <c r="E621" s="2">
        <v>6544136</v>
      </c>
      <c r="F621">
        <v>23.7</v>
      </c>
      <c r="G621">
        <v>23.8</v>
      </c>
      <c r="H621">
        <v>23.5</v>
      </c>
      <c r="I621">
        <v>23.65</v>
      </c>
      <c r="J621" t="s">
        <v>10</v>
      </c>
      <c r="K621">
        <v>0.05</v>
      </c>
      <c r="L621">
        <v>23.65</v>
      </c>
      <c r="M621">
        <v>27</v>
      </c>
      <c r="N621">
        <v>23.75</v>
      </c>
      <c r="O621">
        <v>2</v>
      </c>
      <c r="P621">
        <v>14.6</v>
      </c>
    </row>
    <row r="622" spans="1:16" x14ac:dyDescent="0.3">
      <c r="A622">
        <v>2906</v>
      </c>
      <c r="B622" t="s">
        <v>662</v>
      </c>
      <c r="C622" s="2">
        <v>732765</v>
      </c>
      <c r="D622">
        <v>185</v>
      </c>
      <c r="E622" s="2">
        <v>8582776</v>
      </c>
      <c r="F622">
        <v>11.6</v>
      </c>
      <c r="G622">
        <v>11.8</v>
      </c>
      <c r="H622">
        <v>11.6</v>
      </c>
      <c r="I622">
        <v>11.8</v>
      </c>
      <c r="J622" t="s">
        <v>10</v>
      </c>
      <c r="K622">
        <v>0.25</v>
      </c>
      <c r="L622">
        <v>11.75</v>
      </c>
      <c r="M622">
        <v>52</v>
      </c>
      <c r="N622">
        <v>11.8</v>
      </c>
      <c r="O622">
        <v>91</v>
      </c>
      <c r="P622">
        <v>34.71</v>
      </c>
    </row>
    <row r="623" spans="1:16" x14ac:dyDescent="0.3">
      <c r="A623">
        <v>2908</v>
      </c>
      <c r="B623" t="s">
        <v>663</v>
      </c>
      <c r="C623" s="2">
        <v>424991</v>
      </c>
      <c r="D623">
        <v>163</v>
      </c>
      <c r="E623" s="2">
        <v>10054185</v>
      </c>
      <c r="F623">
        <v>23.8</v>
      </c>
      <c r="G623">
        <v>23.8</v>
      </c>
      <c r="H623">
        <v>23.5</v>
      </c>
      <c r="I623">
        <v>23.55</v>
      </c>
      <c r="J623" t="s">
        <v>7</v>
      </c>
      <c r="K623">
        <v>0.1</v>
      </c>
      <c r="L623">
        <v>23.55</v>
      </c>
      <c r="M623">
        <v>12</v>
      </c>
      <c r="N623">
        <v>23.6</v>
      </c>
      <c r="O623">
        <v>1</v>
      </c>
      <c r="P623">
        <v>17.190000000000001</v>
      </c>
    </row>
    <row r="624" spans="1:16" x14ac:dyDescent="0.3">
      <c r="A624">
        <v>2910</v>
      </c>
      <c r="B624" t="s">
        <v>664</v>
      </c>
      <c r="C624">
        <v>791</v>
      </c>
      <c r="D624">
        <v>2</v>
      </c>
      <c r="E624" s="2">
        <v>22306</v>
      </c>
      <c r="F624" t="s">
        <v>152</v>
      </c>
      <c r="G624" t="s">
        <v>152</v>
      </c>
      <c r="H624" t="s">
        <v>152</v>
      </c>
      <c r="I624" t="s">
        <v>152</v>
      </c>
      <c r="K624">
        <v>0</v>
      </c>
      <c r="L624">
        <v>28.8</v>
      </c>
      <c r="M624">
        <v>2</v>
      </c>
      <c r="N624">
        <v>29.7</v>
      </c>
      <c r="O624">
        <v>1</v>
      </c>
      <c r="P624">
        <v>42.99</v>
      </c>
    </row>
    <row r="625" spans="1:16" x14ac:dyDescent="0.3">
      <c r="A625">
        <v>2911</v>
      </c>
      <c r="B625" t="s">
        <v>665</v>
      </c>
      <c r="C625" s="2">
        <v>332008</v>
      </c>
      <c r="D625">
        <v>154</v>
      </c>
      <c r="E625" s="2">
        <v>5965087</v>
      </c>
      <c r="F625">
        <v>18</v>
      </c>
      <c r="G625">
        <v>18</v>
      </c>
      <c r="H625">
        <v>17.899999999999999</v>
      </c>
      <c r="I625">
        <v>18</v>
      </c>
      <c r="J625" t="s">
        <v>10</v>
      </c>
      <c r="K625">
        <v>0.1</v>
      </c>
      <c r="L625">
        <v>18</v>
      </c>
      <c r="M625">
        <v>3</v>
      </c>
      <c r="N625">
        <v>18.05</v>
      </c>
      <c r="O625">
        <v>2</v>
      </c>
      <c r="P625">
        <v>32.14</v>
      </c>
    </row>
    <row r="626" spans="1:16" x14ac:dyDescent="0.3">
      <c r="A626">
        <v>2912</v>
      </c>
      <c r="B626" t="s">
        <v>666</v>
      </c>
      <c r="C626" s="2">
        <v>2282404</v>
      </c>
      <c r="D626">
        <v>832</v>
      </c>
      <c r="E626" s="2">
        <v>452081624</v>
      </c>
      <c r="F626">
        <v>197</v>
      </c>
      <c r="G626">
        <v>199</v>
      </c>
      <c r="H626">
        <v>196.5</v>
      </c>
      <c r="I626">
        <v>197</v>
      </c>
      <c r="J626" t="s">
        <v>10</v>
      </c>
      <c r="K626">
        <v>0.5</v>
      </c>
      <c r="L626">
        <v>197</v>
      </c>
      <c r="M626">
        <v>26</v>
      </c>
      <c r="N626">
        <v>197.5</v>
      </c>
      <c r="O626">
        <v>2</v>
      </c>
      <c r="P626">
        <v>28.89</v>
      </c>
    </row>
    <row r="627" spans="1:16" x14ac:dyDescent="0.3">
      <c r="A627">
        <v>2913</v>
      </c>
      <c r="B627" t="s">
        <v>667</v>
      </c>
      <c r="C627" s="2">
        <v>742444</v>
      </c>
      <c r="D627">
        <v>329</v>
      </c>
      <c r="E627" s="2">
        <v>12937540</v>
      </c>
      <c r="F627">
        <v>17.399999999999999</v>
      </c>
      <c r="G627">
        <v>17.5</v>
      </c>
      <c r="H627">
        <v>17.350000000000001</v>
      </c>
      <c r="I627">
        <v>17.45</v>
      </c>
      <c r="K627">
        <v>0</v>
      </c>
      <c r="L627">
        <v>17.45</v>
      </c>
      <c r="M627">
        <v>8</v>
      </c>
      <c r="N627">
        <v>17.5</v>
      </c>
      <c r="O627">
        <v>16</v>
      </c>
      <c r="P627">
        <v>9.75</v>
      </c>
    </row>
    <row r="628" spans="1:16" x14ac:dyDescent="0.3">
      <c r="A628">
        <v>2915</v>
      </c>
      <c r="B628" t="s">
        <v>668</v>
      </c>
      <c r="C628" s="2">
        <v>1368259</v>
      </c>
      <c r="D628">
        <v>880</v>
      </c>
      <c r="E628" s="2">
        <v>91376880</v>
      </c>
      <c r="F628">
        <v>66.2</v>
      </c>
      <c r="G628">
        <v>67.5</v>
      </c>
      <c r="H628">
        <v>65.2</v>
      </c>
      <c r="I628">
        <v>67.5</v>
      </c>
      <c r="J628" t="s">
        <v>10</v>
      </c>
      <c r="K628">
        <v>1.3</v>
      </c>
      <c r="L628">
        <v>67.3</v>
      </c>
      <c r="M628">
        <v>8</v>
      </c>
      <c r="N628">
        <v>67.5</v>
      </c>
      <c r="O628">
        <v>14</v>
      </c>
      <c r="P628">
        <v>12.18</v>
      </c>
    </row>
    <row r="629" spans="1:16" x14ac:dyDescent="0.3">
      <c r="A629">
        <v>2923</v>
      </c>
      <c r="B629" t="s">
        <v>669</v>
      </c>
      <c r="C629" s="2">
        <v>721000</v>
      </c>
      <c r="D629">
        <v>384</v>
      </c>
      <c r="E629" s="2">
        <v>16933850</v>
      </c>
      <c r="F629">
        <v>23.9</v>
      </c>
      <c r="G629">
        <v>23.9</v>
      </c>
      <c r="H629">
        <v>23.25</v>
      </c>
      <c r="I629">
        <v>23.8</v>
      </c>
      <c r="J629" t="s">
        <v>7</v>
      </c>
      <c r="K629">
        <v>0.45</v>
      </c>
      <c r="L629">
        <v>23.8</v>
      </c>
      <c r="M629">
        <v>7</v>
      </c>
      <c r="N629">
        <v>23.85</v>
      </c>
      <c r="O629">
        <v>14</v>
      </c>
      <c r="P629">
        <v>28</v>
      </c>
    </row>
    <row r="630" spans="1:16" x14ac:dyDescent="0.3">
      <c r="A630">
        <v>3002</v>
      </c>
      <c r="B630" t="s">
        <v>670</v>
      </c>
      <c r="C630" s="2">
        <v>9210</v>
      </c>
      <c r="D630">
        <v>8</v>
      </c>
      <c r="E630" s="2">
        <v>93621</v>
      </c>
      <c r="F630">
        <v>10.15</v>
      </c>
      <c r="G630">
        <v>10.199999999999999</v>
      </c>
      <c r="H630">
        <v>10.15</v>
      </c>
      <c r="I630">
        <v>10.199999999999999</v>
      </c>
      <c r="J630" t="s">
        <v>10</v>
      </c>
      <c r="K630">
        <v>0.1</v>
      </c>
      <c r="L630">
        <v>10.15</v>
      </c>
      <c r="M630">
        <v>11</v>
      </c>
      <c r="N630">
        <v>10.199999999999999</v>
      </c>
      <c r="O630">
        <v>8</v>
      </c>
      <c r="P630">
        <v>20.82</v>
      </c>
    </row>
    <row r="631" spans="1:16" x14ac:dyDescent="0.3">
      <c r="A631">
        <v>3003</v>
      </c>
      <c r="B631" t="s">
        <v>671</v>
      </c>
      <c r="C631" s="2">
        <v>78140</v>
      </c>
      <c r="D631">
        <v>47</v>
      </c>
      <c r="E631" s="2">
        <v>1587342</v>
      </c>
      <c r="F631">
        <v>20.350000000000001</v>
      </c>
      <c r="G631">
        <v>20.399999999999999</v>
      </c>
      <c r="H631">
        <v>20.25</v>
      </c>
      <c r="I631">
        <v>20.3</v>
      </c>
      <c r="J631" t="s">
        <v>7</v>
      </c>
      <c r="K631">
        <v>0.05</v>
      </c>
      <c r="L631">
        <v>20.3</v>
      </c>
      <c r="M631">
        <v>1</v>
      </c>
      <c r="N631">
        <v>20.350000000000001</v>
      </c>
      <c r="O631">
        <v>15</v>
      </c>
      <c r="P631">
        <v>8.19</v>
      </c>
    </row>
    <row r="632" spans="1:16" x14ac:dyDescent="0.3">
      <c r="A632">
        <v>3004</v>
      </c>
      <c r="B632" t="s">
        <v>672</v>
      </c>
      <c r="C632" s="2">
        <v>24201</v>
      </c>
      <c r="D632">
        <v>13</v>
      </c>
      <c r="E632" s="2">
        <v>959049</v>
      </c>
      <c r="F632">
        <v>39.6</v>
      </c>
      <c r="G632">
        <v>39.799999999999997</v>
      </c>
      <c r="H632">
        <v>39.6</v>
      </c>
      <c r="I632">
        <v>39.799999999999997</v>
      </c>
      <c r="J632" t="s">
        <v>10</v>
      </c>
      <c r="K632">
        <v>0.2</v>
      </c>
      <c r="L632">
        <v>39.6</v>
      </c>
      <c r="M632">
        <v>8</v>
      </c>
      <c r="N632">
        <v>39.9</v>
      </c>
      <c r="O632">
        <v>2</v>
      </c>
      <c r="P632">
        <v>8.98</v>
      </c>
    </row>
    <row r="633" spans="1:16" x14ac:dyDescent="0.3">
      <c r="A633">
        <v>3005</v>
      </c>
      <c r="B633" t="s">
        <v>673</v>
      </c>
      <c r="C633" s="2">
        <v>2183713</v>
      </c>
      <c r="D633">
        <v>812</v>
      </c>
      <c r="E633" s="2">
        <v>33582015</v>
      </c>
      <c r="F633">
        <v>15.25</v>
      </c>
      <c r="G633">
        <v>15.5</v>
      </c>
      <c r="H633">
        <v>15.15</v>
      </c>
      <c r="I633">
        <v>15.45</v>
      </c>
      <c r="J633" t="s">
        <v>10</v>
      </c>
      <c r="K633">
        <v>0.2</v>
      </c>
      <c r="L633">
        <v>15.45</v>
      </c>
      <c r="M633">
        <v>34</v>
      </c>
      <c r="N633">
        <v>15.5</v>
      </c>
      <c r="O633">
        <v>167</v>
      </c>
      <c r="P633">
        <v>23.77</v>
      </c>
    </row>
    <row r="634" spans="1:16" x14ac:dyDescent="0.3">
      <c r="A634">
        <v>3006</v>
      </c>
      <c r="B634" t="s">
        <v>674</v>
      </c>
      <c r="C634" s="2">
        <v>4513001</v>
      </c>
      <c r="D634" s="2">
        <v>2232</v>
      </c>
      <c r="E634" s="2">
        <v>195043343</v>
      </c>
      <c r="F634">
        <v>42.4</v>
      </c>
      <c r="G634">
        <v>43.8</v>
      </c>
      <c r="H634">
        <v>42.4</v>
      </c>
      <c r="I634">
        <v>43.8</v>
      </c>
      <c r="J634" t="s">
        <v>10</v>
      </c>
      <c r="K634">
        <v>1.4</v>
      </c>
      <c r="L634">
        <v>43.75</v>
      </c>
      <c r="M634">
        <v>2</v>
      </c>
      <c r="N634">
        <v>43.8</v>
      </c>
      <c r="O634">
        <v>83</v>
      </c>
      <c r="P634">
        <v>312.86</v>
      </c>
    </row>
    <row r="635" spans="1:16" x14ac:dyDescent="0.3">
      <c r="A635">
        <v>3008</v>
      </c>
      <c r="B635" t="s">
        <v>675</v>
      </c>
      <c r="C635" s="2">
        <v>1498212</v>
      </c>
      <c r="D635" s="2">
        <v>1363</v>
      </c>
      <c r="E635" s="2">
        <v>1459166608</v>
      </c>
      <c r="F635">
        <v>960</v>
      </c>
      <c r="G635">
        <v>992</v>
      </c>
      <c r="H635">
        <v>950</v>
      </c>
      <c r="I635">
        <v>984</v>
      </c>
      <c r="J635" t="s">
        <v>10</v>
      </c>
      <c r="K635">
        <v>24</v>
      </c>
      <c r="L635">
        <v>984</v>
      </c>
      <c r="M635">
        <v>17</v>
      </c>
      <c r="N635">
        <v>985</v>
      </c>
      <c r="O635">
        <v>6</v>
      </c>
      <c r="P635">
        <v>20.170000000000002</v>
      </c>
    </row>
    <row r="636" spans="1:16" x14ac:dyDescent="0.3">
      <c r="A636">
        <v>3010</v>
      </c>
      <c r="B636" t="s">
        <v>676</v>
      </c>
      <c r="C636" s="2">
        <v>261290</v>
      </c>
      <c r="D636">
        <v>183</v>
      </c>
      <c r="E636" s="2">
        <v>10852613</v>
      </c>
      <c r="F636">
        <v>41.25</v>
      </c>
      <c r="G636">
        <v>41.8</v>
      </c>
      <c r="H636">
        <v>41.25</v>
      </c>
      <c r="I636">
        <v>41.8</v>
      </c>
      <c r="J636" t="s">
        <v>10</v>
      </c>
      <c r="K636">
        <v>0.55000000000000004</v>
      </c>
      <c r="L636">
        <v>41.6</v>
      </c>
      <c r="M636">
        <v>13</v>
      </c>
      <c r="N636">
        <v>41.8</v>
      </c>
      <c r="O636">
        <v>1</v>
      </c>
      <c r="P636">
        <v>9.41</v>
      </c>
    </row>
    <row r="637" spans="1:16" x14ac:dyDescent="0.3">
      <c r="A637">
        <v>3011</v>
      </c>
      <c r="B637" t="s">
        <v>677</v>
      </c>
      <c r="C637" s="2">
        <v>250000</v>
      </c>
      <c r="D637">
        <v>92</v>
      </c>
      <c r="E637" s="2">
        <v>1930500</v>
      </c>
      <c r="F637">
        <v>7.79</v>
      </c>
      <c r="G637">
        <v>7.8</v>
      </c>
      <c r="H637">
        <v>7.69</v>
      </c>
      <c r="I637">
        <v>7.7</v>
      </c>
      <c r="J637" t="s">
        <v>7</v>
      </c>
      <c r="K637">
        <v>0.02</v>
      </c>
      <c r="L637">
        <v>7.7</v>
      </c>
      <c r="M637">
        <v>12</v>
      </c>
      <c r="N637">
        <v>7.76</v>
      </c>
      <c r="O637">
        <v>15</v>
      </c>
      <c r="P637">
        <v>0</v>
      </c>
    </row>
    <row r="638" spans="1:16" x14ac:dyDescent="0.3">
      <c r="A638">
        <v>3013</v>
      </c>
      <c r="B638" t="s">
        <v>678</v>
      </c>
      <c r="C638" s="2">
        <v>655252</v>
      </c>
      <c r="D638">
        <v>237</v>
      </c>
      <c r="E638" s="2">
        <v>13896303</v>
      </c>
      <c r="F638">
        <v>21</v>
      </c>
      <c r="G638">
        <v>21.55</v>
      </c>
      <c r="H638">
        <v>21</v>
      </c>
      <c r="I638">
        <v>21.4</v>
      </c>
      <c r="J638" t="s">
        <v>10</v>
      </c>
      <c r="K638">
        <v>0.3</v>
      </c>
      <c r="L638">
        <v>21.4</v>
      </c>
      <c r="M638">
        <v>14</v>
      </c>
      <c r="N638">
        <v>21.5</v>
      </c>
      <c r="O638">
        <v>4</v>
      </c>
      <c r="P638">
        <v>125.88</v>
      </c>
    </row>
    <row r="639" spans="1:16" x14ac:dyDescent="0.3">
      <c r="A639">
        <v>3014</v>
      </c>
      <c r="B639" t="s">
        <v>679</v>
      </c>
      <c r="C639" s="2">
        <v>613375</v>
      </c>
      <c r="D639">
        <v>359</v>
      </c>
      <c r="E639" s="2">
        <v>14879643</v>
      </c>
      <c r="F639">
        <v>24.15</v>
      </c>
      <c r="G639">
        <v>24.4</v>
      </c>
      <c r="H639">
        <v>24.05</v>
      </c>
      <c r="I639">
        <v>24.4</v>
      </c>
      <c r="J639" t="s">
        <v>10</v>
      </c>
      <c r="K639">
        <v>0.3</v>
      </c>
      <c r="L639">
        <v>24.4</v>
      </c>
      <c r="M639">
        <v>17</v>
      </c>
      <c r="N639">
        <v>24.45</v>
      </c>
      <c r="O639">
        <v>11</v>
      </c>
      <c r="P639">
        <v>25.68</v>
      </c>
    </row>
    <row r="640" spans="1:16" x14ac:dyDescent="0.3">
      <c r="A640">
        <v>3015</v>
      </c>
      <c r="B640" t="s">
        <v>680</v>
      </c>
      <c r="C640" s="2">
        <v>1746208</v>
      </c>
      <c r="D640">
        <v>570</v>
      </c>
      <c r="E640" s="2">
        <v>48527988</v>
      </c>
      <c r="F640">
        <v>27.55</v>
      </c>
      <c r="G640">
        <v>27.9</v>
      </c>
      <c r="H640">
        <v>27.55</v>
      </c>
      <c r="I640">
        <v>27.8</v>
      </c>
      <c r="J640" t="s">
        <v>10</v>
      </c>
      <c r="K640">
        <v>0.25</v>
      </c>
      <c r="L640">
        <v>27.8</v>
      </c>
      <c r="M640">
        <v>24</v>
      </c>
      <c r="N640">
        <v>27.85</v>
      </c>
      <c r="O640">
        <v>92</v>
      </c>
      <c r="P640">
        <v>12.14</v>
      </c>
    </row>
    <row r="641" spans="1:16" x14ac:dyDescent="0.3">
      <c r="A641">
        <v>3016</v>
      </c>
      <c r="B641" t="s">
        <v>681</v>
      </c>
      <c r="C641" s="2">
        <v>425282</v>
      </c>
      <c r="D641">
        <v>172</v>
      </c>
      <c r="E641" s="2">
        <v>5217781</v>
      </c>
      <c r="F641">
        <v>12.15</v>
      </c>
      <c r="G641">
        <v>12.4</v>
      </c>
      <c r="H641">
        <v>12.1</v>
      </c>
      <c r="I641">
        <v>12.35</v>
      </c>
      <c r="J641" t="s">
        <v>10</v>
      </c>
      <c r="K641">
        <v>0.25</v>
      </c>
      <c r="L641">
        <v>12.3</v>
      </c>
      <c r="M641">
        <v>1</v>
      </c>
      <c r="N641">
        <v>12.35</v>
      </c>
      <c r="O641">
        <v>8</v>
      </c>
      <c r="P641">
        <v>0</v>
      </c>
    </row>
    <row r="642" spans="1:16" x14ac:dyDescent="0.3">
      <c r="A642">
        <v>3017</v>
      </c>
      <c r="B642" t="s">
        <v>682</v>
      </c>
      <c r="C642" s="2">
        <v>2312144</v>
      </c>
      <c r="D642">
        <v>862</v>
      </c>
      <c r="E642" s="2">
        <v>34420331</v>
      </c>
      <c r="F642">
        <v>14.6</v>
      </c>
      <c r="G642">
        <v>15</v>
      </c>
      <c r="H642">
        <v>14.6</v>
      </c>
      <c r="I642">
        <v>14.85</v>
      </c>
      <c r="J642" t="s">
        <v>10</v>
      </c>
      <c r="K642">
        <v>0.45</v>
      </c>
      <c r="L642">
        <v>14.8</v>
      </c>
      <c r="M642">
        <v>58</v>
      </c>
      <c r="N642">
        <v>14.85</v>
      </c>
      <c r="O642">
        <v>8</v>
      </c>
      <c r="P642">
        <v>92.81</v>
      </c>
    </row>
    <row r="643" spans="1:16" x14ac:dyDescent="0.3">
      <c r="A643">
        <v>3018</v>
      </c>
      <c r="B643" t="s">
        <v>683</v>
      </c>
      <c r="C643" s="2">
        <v>83325</v>
      </c>
      <c r="D643">
        <v>12</v>
      </c>
      <c r="E643" s="2">
        <v>1206713</v>
      </c>
      <c r="F643">
        <v>14.5</v>
      </c>
      <c r="G643">
        <v>14.5</v>
      </c>
      <c r="H643">
        <v>14.1</v>
      </c>
      <c r="I643">
        <v>14.1</v>
      </c>
      <c r="J643" t="s">
        <v>10</v>
      </c>
      <c r="K643">
        <v>0.1</v>
      </c>
      <c r="L643">
        <v>14</v>
      </c>
      <c r="M643">
        <v>3</v>
      </c>
      <c r="N643">
        <v>14.25</v>
      </c>
      <c r="O643">
        <v>1</v>
      </c>
      <c r="P643">
        <v>0</v>
      </c>
    </row>
    <row r="644" spans="1:16" x14ac:dyDescent="0.3">
      <c r="A644">
        <v>3019</v>
      </c>
      <c r="B644" t="s">
        <v>684</v>
      </c>
      <c r="C644" s="2">
        <v>1525146</v>
      </c>
      <c r="D644">
        <v>765</v>
      </c>
      <c r="E644" s="2">
        <v>48700251</v>
      </c>
      <c r="F644">
        <v>31.5</v>
      </c>
      <c r="G644">
        <v>32.200000000000003</v>
      </c>
      <c r="H644">
        <v>31.4</v>
      </c>
      <c r="I644">
        <v>32.15</v>
      </c>
      <c r="J644" t="s">
        <v>10</v>
      </c>
      <c r="K644">
        <v>0.65</v>
      </c>
      <c r="L644">
        <v>32.15</v>
      </c>
      <c r="M644">
        <v>9</v>
      </c>
      <c r="N644">
        <v>32.200000000000003</v>
      </c>
      <c r="O644">
        <v>22</v>
      </c>
      <c r="P644">
        <v>0</v>
      </c>
    </row>
    <row r="645" spans="1:16" x14ac:dyDescent="0.3">
      <c r="A645">
        <v>3021</v>
      </c>
      <c r="B645" t="s">
        <v>685</v>
      </c>
      <c r="C645" s="2">
        <v>231991</v>
      </c>
      <c r="D645">
        <v>67</v>
      </c>
      <c r="E645" s="2">
        <v>2532250</v>
      </c>
      <c r="F645">
        <v>10.85</v>
      </c>
      <c r="G645">
        <v>11</v>
      </c>
      <c r="H645">
        <v>10.8</v>
      </c>
      <c r="I645">
        <v>11</v>
      </c>
      <c r="J645" t="s">
        <v>10</v>
      </c>
      <c r="K645">
        <v>0.05</v>
      </c>
      <c r="L645">
        <v>10.95</v>
      </c>
      <c r="M645">
        <v>5</v>
      </c>
      <c r="N645">
        <v>11</v>
      </c>
      <c r="O645">
        <v>67</v>
      </c>
      <c r="P645">
        <v>22.92</v>
      </c>
    </row>
    <row r="646" spans="1:16" x14ac:dyDescent="0.3">
      <c r="A646">
        <v>3022</v>
      </c>
      <c r="B646" t="s">
        <v>686</v>
      </c>
      <c r="C646" s="2">
        <v>558921</v>
      </c>
      <c r="D646">
        <v>328</v>
      </c>
      <c r="E646" s="2">
        <v>19374550</v>
      </c>
      <c r="F646">
        <v>34.25</v>
      </c>
      <c r="G646">
        <v>35</v>
      </c>
      <c r="H646">
        <v>34.15</v>
      </c>
      <c r="I646">
        <v>35</v>
      </c>
      <c r="J646" t="s">
        <v>10</v>
      </c>
      <c r="K646">
        <v>0.75</v>
      </c>
      <c r="L646">
        <v>34.9</v>
      </c>
      <c r="M646">
        <v>3</v>
      </c>
      <c r="N646">
        <v>35</v>
      </c>
      <c r="O646">
        <v>30</v>
      </c>
      <c r="P646">
        <v>9.86</v>
      </c>
    </row>
    <row r="647" spans="1:16" x14ac:dyDescent="0.3">
      <c r="A647">
        <v>3023</v>
      </c>
      <c r="B647" t="s">
        <v>687</v>
      </c>
      <c r="C647" s="2">
        <v>392233</v>
      </c>
      <c r="D647">
        <v>202</v>
      </c>
      <c r="E647" s="2">
        <v>10767886</v>
      </c>
      <c r="F647">
        <v>27.25</v>
      </c>
      <c r="G647">
        <v>27.55</v>
      </c>
      <c r="H647">
        <v>27.25</v>
      </c>
      <c r="I647">
        <v>27.45</v>
      </c>
      <c r="J647" t="s">
        <v>10</v>
      </c>
      <c r="K647">
        <v>0.2</v>
      </c>
      <c r="L647">
        <v>27.45</v>
      </c>
      <c r="M647">
        <v>18</v>
      </c>
      <c r="N647">
        <v>27.5</v>
      </c>
      <c r="O647">
        <v>3</v>
      </c>
      <c r="P647">
        <v>10.52</v>
      </c>
    </row>
    <row r="648" spans="1:16" x14ac:dyDescent="0.3">
      <c r="A648">
        <v>3024</v>
      </c>
      <c r="B648" t="s">
        <v>688</v>
      </c>
      <c r="C648" s="2">
        <v>562746</v>
      </c>
      <c r="D648">
        <v>119</v>
      </c>
      <c r="E648" s="2">
        <v>3773241</v>
      </c>
      <c r="F648">
        <v>6.68</v>
      </c>
      <c r="G648">
        <v>6.75</v>
      </c>
      <c r="H648">
        <v>6.67</v>
      </c>
      <c r="I648">
        <v>6.74</v>
      </c>
      <c r="J648" t="s">
        <v>10</v>
      </c>
      <c r="K648">
        <v>0.09</v>
      </c>
      <c r="L648">
        <v>6.74</v>
      </c>
      <c r="M648">
        <v>2</v>
      </c>
      <c r="N648">
        <v>6.75</v>
      </c>
      <c r="O648">
        <v>2</v>
      </c>
      <c r="P648">
        <v>0</v>
      </c>
    </row>
    <row r="649" spans="1:16" x14ac:dyDescent="0.3">
      <c r="A649">
        <v>3025</v>
      </c>
      <c r="B649" t="s">
        <v>689</v>
      </c>
      <c r="C649" s="2">
        <v>119001</v>
      </c>
      <c r="D649">
        <v>64</v>
      </c>
      <c r="E649" s="2">
        <v>1293310</v>
      </c>
      <c r="F649">
        <v>10.75</v>
      </c>
      <c r="G649">
        <v>10.95</v>
      </c>
      <c r="H649">
        <v>10.7</v>
      </c>
      <c r="I649">
        <v>10.95</v>
      </c>
      <c r="J649" t="s">
        <v>10</v>
      </c>
      <c r="K649">
        <v>0.2</v>
      </c>
      <c r="L649">
        <v>10.9</v>
      </c>
      <c r="M649">
        <v>14</v>
      </c>
      <c r="N649">
        <v>10.95</v>
      </c>
      <c r="O649">
        <v>5</v>
      </c>
      <c r="P649">
        <v>17.38</v>
      </c>
    </row>
    <row r="650" spans="1:16" x14ac:dyDescent="0.3">
      <c r="A650">
        <v>3026</v>
      </c>
      <c r="B650" t="s">
        <v>690</v>
      </c>
      <c r="C650" s="2">
        <v>180511</v>
      </c>
      <c r="D650">
        <v>121</v>
      </c>
      <c r="E650" s="2">
        <v>5371124</v>
      </c>
      <c r="F650">
        <v>29.6</v>
      </c>
      <c r="G650">
        <v>30</v>
      </c>
      <c r="H650">
        <v>29.6</v>
      </c>
      <c r="I650">
        <v>29.9</v>
      </c>
      <c r="J650" t="s">
        <v>10</v>
      </c>
      <c r="K650">
        <v>0.15</v>
      </c>
      <c r="L650">
        <v>29.8</v>
      </c>
      <c r="M650">
        <v>13</v>
      </c>
      <c r="N650">
        <v>29.9</v>
      </c>
      <c r="O650">
        <v>7</v>
      </c>
      <c r="P650">
        <v>14.38</v>
      </c>
    </row>
    <row r="651" spans="1:16" x14ac:dyDescent="0.3">
      <c r="A651">
        <v>3027</v>
      </c>
      <c r="B651" t="s">
        <v>691</v>
      </c>
      <c r="C651" s="2">
        <v>311000</v>
      </c>
      <c r="D651">
        <v>142</v>
      </c>
      <c r="E651" s="2">
        <v>3920700</v>
      </c>
      <c r="F651">
        <v>12.6</v>
      </c>
      <c r="G651">
        <v>12.8</v>
      </c>
      <c r="H651">
        <v>12.45</v>
      </c>
      <c r="I651">
        <v>12.6</v>
      </c>
      <c r="K651">
        <v>0</v>
      </c>
      <c r="L651">
        <v>12.6</v>
      </c>
      <c r="M651">
        <v>15</v>
      </c>
      <c r="N651">
        <v>12.7</v>
      </c>
      <c r="O651">
        <v>1</v>
      </c>
      <c r="P651">
        <v>25.71</v>
      </c>
    </row>
    <row r="652" spans="1:16" x14ac:dyDescent="0.3">
      <c r="A652">
        <v>3028</v>
      </c>
      <c r="B652" t="s">
        <v>692</v>
      </c>
      <c r="C652" s="2">
        <v>222448</v>
      </c>
      <c r="D652">
        <v>98</v>
      </c>
      <c r="E652" s="2">
        <v>4392074</v>
      </c>
      <c r="F652">
        <v>19.649999999999999</v>
      </c>
      <c r="G652">
        <v>19.8</v>
      </c>
      <c r="H652">
        <v>19.649999999999999</v>
      </c>
      <c r="I652">
        <v>19.7</v>
      </c>
      <c r="J652" t="s">
        <v>10</v>
      </c>
      <c r="K652">
        <v>0.05</v>
      </c>
      <c r="L652">
        <v>19.7</v>
      </c>
      <c r="M652">
        <v>82</v>
      </c>
      <c r="N652">
        <v>19.75</v>
      </c>
      <c r="O652">
        <v>12</v>
      </c>
      <c r="P652">
        <v>12.79</v>
      </c>
    </row>
    <row r="653" spans="1:16" x14ac:dyDescent="0.3">
      <c r="A653">
        <v>3029</v>
      </c>
      <c r="B653" t="s">
        <v>693</v>
      </c>
      <c r="C653" s="2">
        <v>370100</v>
      </c>
      <c r="D653">
        <v>189</v>
      </c>
      <c r="E653" s="2">
        <v>4883435</v>
      </c>
      <c r="F653">
        <v>13.15</v>
      </c>
      <c r="G653">
        <v>13.3</v>
      </c>
      <c r="H653">
        <v>13.1</v>
      </c>
      <c r="I653">
        <v>13.3</v>
      </c>
      <c r="J653" t="s">
        <v>145</v>
      </c>
      <c r="K653">
        <v>0</v>
      </c>
      <c r="L653">
        <v>13.25</v>
      </c>
      <c r="M653">
        <v>7</v>
      </c>
      <c r="N653">
        <v>13.4</v>
      </c>
      <c r="O653">
        <v>15</v>
      </c>
      <c r="P653">
        <v>23.33</v>
      </c>
    </row>
    <row r="654" spans="1:16" x14ac:dyDescent="0.3">
      <c r="A654">
        <v>3030</v>
      </c>
      <c r="B654" t="s">
        <v>694</v>
      </c>
      <c r="C654" s="2">
        <v>504865</v>
      </c>
      <c r="D654">
        <v>349</v>
      </c>
      <c r="E654" s="2">
        <v>21540008</v>
      </c>
      <c r="F654">
        <v>42</v>
      </c>
      <c r="G654">
        <v>42.95</v>
      </c>
      <c r="H654">
        <v>42</v>
      </c>
      <c r="I654">
        <v>42.85</v>
      </c>
      <c r="J654" t="s">
        <v>10</v>
      </c>
      <c r="K654">
        <v>0.65</v>
      </c>
      <c r="L654">
        <v>42.85</v>
      </c>
      <c r="M654">
        <v>32</v>
      </c>
      <c r="N654">
        <v>42.9</v>
      </c>
      <c r="O654">
        <v>1</v>
      </c>
      <c r="P654">
        <v>7.32</v>
      </c>
    </row>
    <row r="655" spans="1:16" x14ac:dyDescent="0.3">
      <c r="A655">
        <v>3031</v>
      </c>
      <c r="B655" t="s">
        <v>695</v>
      </c>
      <c r="C655" s="2">
        <v>267472</v>
      </c>
      <c r="D655">
        <v>136</v>
      </c>
      <c r="E655" s="2">
        <v>3893239</v>
      </c>
      <c r="F655">
        <v>14.3</v>
      </c>
      <c r="G655">
        <v>14.75</v>
      </c>
      <c r="H655">
        <v>14.3</v>
      </c>
      <c r="I655">
        <v>14.65</v>
      </c>
      <c r="J655" t="s">
        <v>10</v>
      </c>
      <c r="K655">
        <v>0.25</v>
      </c>
      <c r="L655">
        <v>14.65</v>
      </c>
      <c r="M655">
        <v>13</v>
      </c>
      <c r="N655">
        <v>14.75</v>
      </c>
      <c r="O655">
        <v>9</v>
      </c>
      <c r="P655">
        <v>0</v>
      </c>
    </row>
    <row r="656" spans="1:16" x14ac:dyDescent="0.3">
      <c r="A656">
        <v>3032</v>
      </c>
      <c r="B656" t="s">
        <v>696</v>
      </c>
      <c r="C656" s="2">
        <v>1776054</v>
      </c>
      <c r="D656">
        <v>603</v>
      </c>
      <c r="E656" s="2">
        <v>25718490</v>
      </c>
      <c r="F656">
        <v>14.4</v>
      </c>
      <c r="G656">
        <v>14.75</v>
      </c>
      <c r="H656">
        <v>13.85</v>
      </c>
      <c r="I656">
        <v>14.75</v>
      </c>
      <c r="J656" t="s">
        <v>10</v>
      </c>
      <c r="K656">
        <v>0.95</v>
      </c>
      <c r="L656">
        <v>14.75</v>
      </c>
      <c r="M656">
        <v>664</v>
      </c>
      <c r="N656" t="s">
        <v>152</v>
      </c>
      <c r="O656">
        <v>0</v>
      </c>
      <c r="P656">
        <v>122.92</v>
      </c>
    </row>
    <row r="657" spans="1:16" x14ac:dyDescent="0.3">
      <c r="A657">
        <v>3033</v>
      </c>
      <c r="B657" t="s">
        <v>697</v>
      </c>
      <c r="C657" s="2">
        <v>746104</v>
      </c>
      <c r="D657">
        <v>149</v>
      </c>
      <c r="E657" s="2">
        <v>15863793</v>
      </c>
      <c r="F657">
        <v>21.2</v>
      </c>
      <c r="G657">
        <v>21.5</v>
      </c>
      <c r="H657">
        <v>21.1</v>
      </c>
      <c r="I657">
        <v>21.4</v>
      </c>
      <c r="J657" t="s">
        <v>10</v>
      </c>
      <c r="K657">
        <v>0.2</v>
      </c>
      <c r="L657">
        <v>21.35</v>
      </c>
      <c r="M657">
        <v>8</v>
      </c>
      <c r="N657">
        <v>21.4</v>
      </c>
      <c r="O657">
        <v>7</v>
      </c>
      <c r="P657">
        <v>13.54</v>
      </c>
    </row>
    <row r="658" spans="1:16" x14ac:dyDescent="0.3">
      <c r="A658">
        <v>3034</v>
      </c>
      <c r="B658" t="s">
        <v>698</v>
      </c>
      <c r="C658" s="2">
        <v>3818202</v>
      </c>
      <c r="D658" s="2">
        <v>2150</v>
      </c>
      <c r="E658" s="2">
        <v>553519790</v>
      </c>
      <c r="F658">
        <v>145</v>
      </c>
      <c r="G658">
        <v>147.5</v>
      </c>
      <c r="H658">
        <v>142</v>
      </c>
      <c r="I658">
        <v>145</v>
      </c>
      <c r="J658" t="s">
        <v>7</v>
      </c>
      <c r="K658">
        <v>0.5</v>
      </c>
      <c r="L658">
        <v>145</v>
      </c>
      <c r="M658">
        <v>286</v>
      </c>
      <c r="N658">
        <v>145.5</v>
      </c>
      <c r="O658">
        <v>2</v>
      </c>
      <c r="P658">
        <v>18.64</v>
      </c>
    </row>
    <row r="659" spans="1:16" x14ac:dyDescent="0.3">
      <c r="A659">
        <v>3035</v>
      </c>
      <c r="B659" t="s">
        <v>699</v>
      </c>
      <c r="C659" s="2">
        <v>2576263</v>
      </c>
      <c r="D659" s="2">
        <v>1387</v>
      </c>
      <c r="E659" s="2">
        <v>81023594</v>
      </c>
      <c r="F659">
        <v>31</v>
      </c>
      <c r="G659">
        <v>32.1</v>
      </c>
      <c r="H659">
        <v>30.7</v>
      </c>
      <c r="I659">
        <v>32.1</v>
      </c>
      <c r="J659" t="s">
        <v>10</v>
      </c>
      <c r="K659">
        <v>1.25</v>
      </c>
      <c r="L659">
        <v>32.049999999999997</v>
      </c>
      <c r="M659">
        <v>4</v>
      </c>
      <c r="N659">
        <v>32.1</v>
      </c>
      <c r="O659">
        <v>42</v>
      </c>
      <c r="P659">
        <v>12.74</v>
      </c>
    </row>
    <row r="660" spans="1:16" x14ac:dyDescent="0.3">
      <c r="A660">
        <v>3036</v>
      </c>
      <c r="B660" t="s">
        <v>700</v>
      </c>
      <c r="C660" s="2">
        <v>301248</v>
      </c>
      <c r="D660">
        <v>208</v>
      </c>
      <c r="E660" s="2">
        <v>10386640</v>
      </c>
      <c r="F660">
        <v>34.549999999999997</v>
      </c>
      <c r="G660">
        <v>34.6</v>
      </c>
      <c r="H660">
        <v>34.4</v>
      </c>
      <c r="I660">
        <v>34.450000000000003</v>
      </c>
      <c r="J660" t="s">
        <v>7</v>
      </c>
      <c r="K660">
        <v>0.1</v>
      </c>
      <c r="L660">
        <v>34.450000000000003</v>
      </c>
      <c r="M660">
        <v>18</v>
      </c>
      <c r="N660">
        <v>34.549999999999997</v>
      </c>
      <c r="O660">
        <v>9</v>
      </c>
      <c r="P660">
        <v>10.19</v>
      </c>
    </row>
    <row r="661" spans="1:16" x14ac:dyDescent="0.3">
      <c r="A661">
        <v>3037</v>
      </c>
      <c r="B661" t="s">
        <v>701</v>
      </c>
      <c r="C661" s="2">
        <v>2924756</v>
      </c>
      <c r="D661" s="2">
        <v>1299</v>
      </c>
      <c r="E661" s="2">
        <v>85286019</v>
      </c>
      <c r="F661">
        <v>28.75</v>
      </c>
      <c r="G661">
        <v>29.4</v>
      </c>
      <c r="H661">
        <v>28.6</v>
      </c>
      <c r="I661">
        <v>29.2</v>
      </c>
      <c r="J661" t="s">
        <v>10</v>
      </c>
      <c r="K661">
        <v>0.5</v>
      </c>
      <c r="L661">
        <v>29.15</v>
      </c>
      <c r="M661">
        <v>34</v>
      </c>
      <c r="N661">
        <v>29.2</v>
      </c>
      <c r="O661">
        <v>1</v>
      </c>
      <c r="P661">
        <v>12.98</v>
      </c>
    </row>
    <row r="662" spans="1:16" x14ac:dyDescent="0.3">
      <c r="A662">
        <v>3038</v>
      </c>
      <c r="B662" t="s">
        <v>702</v>
      </c>
      <c r="C662" s="2">
        <v>366512</v>
      </c>
      <c r="D662">
        <v>100</v>
      </c>
      <c r="E662" s="2">
        <v>2083265</v>
      </c>
      <c r="F662">
        <v>5.61</v>
      </c>
      <c r="G662">
        <v>5.73</v>
      </c>
      <c r="H662">
        <v>5.61</v>
      </c>
      <c r="I662">
        <v>5.72</v>
      </c>
      <c r="J662" t="s">
        <v>10</v>
      </c>
      <c r="K662">
        <v>0.11</v>
      </c>
      <c r="L662">
        <v>5.69</v>
      </c>
      <c r="M662">
        <v>1</v>
      </c>
      <c r="N662">
        <v>5.72</v>
      </c>
      <c r="O662">
        <v>3</v>
      </c>
      <c r="P662">
        <v>0</v>
      </c>
    </row>
    <row r="663" spans="1:16" x14ac:dyDescent="0.3">
      <c r="A663">
        <v>3040</v>
      </c>
      <c r="B663" t="s">
        <v>703</v>
      </c>
      <c r="C663" s="2">
        <v>203004</v>
      </c>
      <c r="D663">
        <v>102</v>
      </c>
      <c r="E663" s="2">
        <v>3304914</v>
      </c>
      <c r="F663">
        <v>16.399999999999999</v>
      </c>
      <c r="G663">
        <v>16.45</v>
      </c>
      <c r="H663">
        <v>16.100000000000001</v>
      </c>
      <c r="I663">
        <v>16.25</v>
      </c>
      <c r="J663" t="s">
        <v>7</v>
      </c>
      <c r="K663">
        <v>0.2</v>
      </c>
      <c r="L663">
        <v>16.25</v>
      </c>
      <c r="M663">
        <v>8</v>
      </c>
      <c r="N663">
        <v>16.350000000000001</v>
      </c>
      <c r="O663">
        <v>1</v>
      </c>
      <c r="P663">
        <v>28.02</v>
      </c>
    </row>
    <row r="664" spans="1:16" x14ac:dyDescent="0.3">
      <c r="A664">
        <v>3041</v>
      </c>
      <c r="B664" t="s">
        <v>704</v>
      </c>
      <c r="C664" s="2">
        <v>806545</v>
      </c>
      <c r="D664">
        <v>458</v>
      </c>
      <c r="E664" s="2">
        <v>24733926</v>
      </c>
      <c r="F664">
        <v>30.7</v>
      </c>
      <c r="G664">
        <v>30.9</v>
      </c>
      <c r="H664">
        <v>30.45</v>
      </c>
      <c r="I664">
        <v>30.8</v>
      </c>
      <c r="J664" t="s">
        <v>10</v>
      </c>
      <c r="K664">
        <v>0.3</v>
      </c>
      <c r="L664">
        <v>30.75</v>
      </c>
      <c r="M664">
        <v>9</v>
      </c>
      <c r="N664">
        <v>30.8</v>
      </c>
      <c r="O664">
        <v>51</v>
      </c>
      <c r="P664">
        <v>20.13</v>
      </c>
    </row>
    <row r="665" spans="1:16" x14ac:dyDescent="0.3">
      <c r="A665">
        <v>3042</v>
      </c>
      <c r="B665" t="s">
        <v>705</v>
      </c>
      <c r="C665" s="2">
        <v>701234</v>
      </c>
      <c r="D665">
        <v>507</v>
      </c>
      <c r="E665" s="2">
        <v>29204359</v>
      </c>
      <c r="F665">
        <v>41</v>
      </c>
      <c r="G665">
        <v>42.2</v>
      </c>
      <c r="H665">
        <v>40.85</v>
      </c>
      <c r="I665">
        <v>41.7</v>
      </c>
      <c r="J665" t="s">
        <v>10</v>
      </c>
      <c r="K665">
        <v>0.7</v>
      </c>
      <c r="L665">
        <v>41.65</v>
      </c>
      <c r="M665">
        <v>50</v>
      </c>
      <c r="N665">
        <v>41.7</v>
      </c>
      <c r="O665">
        <v>1</v>
      </c>
      <c r="P665">
        <v>11.15</v>
      </c>
    </row>
    <row r="666" spans="1:16" x14ac:dyDescent="0.3">
      <c r="A666">
        <v>3043</v>
      </c>
      <c r="B666" t="s">
        <v>706</v>
      </c>
      <c r="C666" s="2">
        <v>95506</v>
      </c>
      <c r="D666">
        <v>60</v>
      </c>
      <c r="E666" s="2">
        <v>491857</v>
      </c>
      <c r="F666">
        <v>5.2</v>
      </c>
      <c r="G666">
        <v>5.21</v>
      </c>
      <c r="H666">
        <v>5.0999999999999996</v>
      </c>
      <c r="I666">
        <v>5.2</v>
      </c>
      <c r="K666">
        <v>0</v>
      </c>
      <c r="L666">
        <v>5.2</v>
      </c>
      <c r="M666">
        <v>8</v>
      </c>
      <c r="N666">
        <v>5.22</v>
      </c>
      <c r="O666">
        <v>1</v>
      </c>
      <c r="P666">
        <v>0</v>
      </c>
    </row>
    <row r="667" spans="1:16" x14ac:dyDescent="0.3">
      <c r="A667">
        <v>3044</v>
      </c>
      <c r="B667" t="s">
        <v>707</v>
      </c>
      <c r="C667" s="2">
        <v>926485</v>
      </c>
      <c r="D667">
        <v>635</v>
      </c>
      <c r="E667" s="2">
        <v>60050828</v>
      </c>
      <c r="F667">
        <v>64.7</v>
      </c>
      <c r="G667">
        <v>65.2</v>
      </c>
      <c r="H667">
        <v>63.8</v>
      </c>
      <c r="I667">
        <v>64.8</v>
      </c>
      <c r="J667" t="s">
        <v>10</v>
      </c>
      <c r="K667">
        <v>0.1</v>
      </c>
      <c r="L667">
        <v>64.8</v>
      </c>
      <c r="M667">
        <v>31</v>
      </c>
      <c r="N667">
        <v>64.900000000000006</v>
      </c>
      <c r="O667">
        <v>4</v>
      </c>
      <c r="P667">
        <v>12.44</v>
      </c>
    </row>
    <row r="668" spans="1:16" x14ac:dyDescent="0.3">
      <c r="A668">
        <v>3045</v>
      </c>
      <c r="B668" t="s">
        <v>708</v>
      </c>
      <c r="C668" s="2">
        <v>4529023</v>
      </c>
      <c r="D668" s="2">
        <v>1604</v>
      </c>
      <c r="E668" s="2">
        <v>515661099</v>
      </c>
      <c r="F668">
        <v>116</v>
      </c>
      <c r="G668">
        <v>116</v>
      </c>
      <c r="H668">
        <v>113</v>
      </c>
      <c r="I668">
        <v>113.5</v>
      </c>
      <c r="J668" t="s">
        <v>7</v>
      </c>
      <c r="K668">
        <v>5</v>
      </c>
      <c r="L668">
        <v>113.5</v>
      </c>
      <c r="M668">
        <v>100</v>
      </c>
      <c r="N668">
        <v>114</v>
      </c>
      <c r="O668">
        <v>709</v>
      </c>
      <c r="P668">
        <v>20.16</v>
      </c>
    </row>
    <row r="669" spans="1:16" x14ac:dyDescent="0.3">
      <c r="A669">
        <v>3046</v>
      </c>
      <c r="B669" t="s">
        <v>709</v>
      </c>
      <c r="C669" s="2">
        <v>97390</v>
      </c>
      <c r="D669">
        <v>44</v>
      </c>
      <c r="E669" s="2">
        <v>592323</v>
      </c>
      <c r="F669">
        <v>5.98</v>
      </c>
      <c r="G669">
        <v>6.2</v>
      </c>
      <c r="H669">
        <v>5.95</v>
      </c>
      <c r="I669">
        <v>6.08</v>
      </c>
      <c r="J669" t="s">
        <v>10</v>
      </c>
      <c r="K669">
        <v>0.2</v>
      </c>
      <c r="L669">
        <v>6.03</v>
      </c>
      <c r="M669">
        <v>1</v>
      </c>
      <c r="N669">
        <v>6.08</v>
      </c>
      <c r="O669">
        <v>1</v>
      </c>
      <c r="P669">
        <v>0</v>
      </c>
    </row>
    <row r="670" spans="1:16" x14ac:dyDescent="0.3">
      <c r="A670">
        <v>3047</v>
      </c>
      <c r="B670" t="s">
        <v>710</v>
      </c>
      <c r="C670" s="2">
        <v>749878</v>
      </c>
      <c r="D670">
        <v>294</v>
      </c>
      <c r="E670" s="2">
        <v>9776726</v>
      </c>
      <c r="F670">
        <v>12.9</v>
      </c>
      <c r="G670">
        <v>13.1</v>
      </c>
      <c r="H670">
        <v>12.9</v>
      </c>
      <c r="I670">
        <v>13.05</v>
      </c>
      <c r="J670" t="s">
        <v>10</v>
      </c>
      <c r="K670">
        <v>0.15</v>
      </c>
      <c r="L670">
        <v>13.05</v>
      </c>
      <c r="M670">
        <v>59</v>
      </c>
      <c r="N670">
        <v>13.1</v>
      </c>
      <c r="O670">
        <v>144</v>
      </c>
      <c r="P670">
        <v>11.06</v>
      </c>
    </row>
    <row r="671" spans="1:16" x14ac:dyDescent="0.3">
      <c r="A671">
        <v>3048</v>
      </c>
      <c r="B671" t="s">
        <v>711</v>
      </c>
      <c r="C671" s="2">
        <v>130596</v>
      </c>
      <c r="D671">
        <v>56</v>
      </c>
      <c r="E671" s="2">
        <v>1525222</v>
      </c>
      <c r="F671">
        <v>11.55</v>
      </c>
      <c r="G671">
        <v>11.8</v>
      </c>
      <c r="H671">
        <v>11.55</v>
      </c>
      <c r="I671">
        <v>11.75</v>
      </c>
      <c r="J671" t="s">
        <v>10</v>
      </c>
      <c r="K671">
        <v>0.25</v>
      </c>
      <c r="L671">
        <v>11.7</v>
      </c>
      <c r="M671">
        <v>32</v>
      </c>
      <c r="N671">
        <v>11.75</v>
      </c>
      <c r="O671">
        <v>1</v>
      </c>
      <c r="P671">
        <v>10.59</v>
      </c>
    </row>
    <row r="672" spans="1:16" x14ac:dyDescent="0.3">
      <c r="A672">
        <v>3049</v>
      </c>
      <c r="B672" t="s">
        <v>712</v>
      </c>
      <c r="C672" s="2">
        <v>9331738</v>
      </c>
      <c r="D672" s="2">
        <v>2470</v>
      </c>
      <c r="E672" s="2">
        <v>106851739</v>
      </c>
      <c r="F672">
        <v>10.9</v>
      </c>
      <c r="G672">
        <v>11.65</v>
      </c>
      <c r="H672">
        <v>10.85</v>
      </c>
      <c r="I672">
        <v>11.65</v>
      </c>
      <c r="J672" t="s">
        <v>10</v>
      </c>
      <c r="K672">
        <v>0.75</v>
      </c>
      <c r="L672">
        <v>11.65</v>
      </c>
      <c r="M672">
        <v>3919</v>
      </c>
      <c r="N672" t="s">
        <v>152</v>
      </c>
      <c r="O672">
        <v>0</v>
      </c>
      <c r="P672">
        <v>0</v>
      </c>
    </row>
    <row r="673" spans="1:16" x14ac:dyDescent="0.3">
      <c r="A673">
        <v>3050</v>
      </c>
      <c r="B673" t="s">
        <v>713</v>
      </c>
      <c r="C673" s="2">
        <v>1080927</v>
      </c>
      <c r="D673">
        <v>285</v>
      </c>
      <c r="E673" s="2">
        <v>7300144</v>
      </c>
      <c r="F673">
        <v>6.76</v>
      </c>
      <c r="G673">
        <v>6.82</v>
      </c>
      <c r="H673">
        <v>6.7</v>
      </c>
      <c r="I673">
        <v>6.79</v>
      </c>
      <c r="J673" t="s">
        <v>10</v>
      </c>
      <c r="K673">
        <v>0.04</v>
      </c>
      <c r="L673">
        <v>6.79</v>
      </c>
      <c r="M673">
        <v>8</v>
      </c>
      <c r="N673">
        <v>6.8</v>
      </c>
      <c r="O673">
        <v>3</v>
      </c>
      <c r="P673">
        <v>37.72</v>
      </c>
    </row>
    <row r="674" spans="1:16" x14ac:dyDescent="0.3">
      <c r="A674">
        <v>3051</v>
      </c>
      <c r="B674" t="s">
        <v>714</v>
      </c>
      <c r="C674" s="2">
        <v>430155</v>
      </c>
      <c r="D674">
        <v>96</v>
      </c>
      <c r="E674" s="2">
        <v>3008572</v>
      </c>
      <c r="F674">
        <v>6.91</v>
      </c>
      <c r="G674">
        <v>7.18</v>
      </c>
      <c r="H674">
        <v>6.91</v>
      </c>
      <c r="I674">
        <v>7.18</v>
      </c>
      <c r="J674" t="s">
        <v>10</v>
      </c>
      <c r="K674">
        <v>0.41</v>
      </c>
      <c r="L674">
        <v>7</v>
      </c>
      <c r="M674">
        <v>30</v>
      </c>
      <c r="N674">
        <v>7.18</v>
      </c>
      <c r="O674">
        <v>5</v>
      </c>
      <c r="P674">
        <v>7.4</v>
      </c>
    </row>
    <row r="675" spans="1:16" x14ac:dyDescent="0.3">
      <c r="A675">
        <v>3052</v>
      </c>
      <c r="B675" t="s">
        <v>715</v>
      </c>
      <c r="C675" s="2">
        <v>2793085</v>
      </c>
      <c r="D675">
        <v>722</v>
      </c>
      <c r="E675" s="2">
        <v>39452009</v>
      </c>
      <c r="F675">
        <v>13.45</v>
      </c>
      <c r="G675">
        <v>14.35</v>
      </c>
      <c r="H675">
        <v>13.45</v>
      </c>
      <c r="I675">
        <v>14.35</v>
      </c>
      <c r="J675" t="s">
        <v>10</v>
      </c>
      <c r="K675">
        <v>0.9</v>
      </c>
      <c r="L675">
        <v>14.35</v>
      </c>
      <c r="M675">
        <v>437</v>
      </c>
      <c r="N675" t="s">
        <v>152</v>
      </c>
      <c r="O675">
        <v>0</v>
      </c>
      <c r="P675">
        <v>26.57</v>
      </c>
    </row>
    <row r="676" spans="1:16" x14ac:dyDescent="0.3">
      <c r="A676">
        <v>3054</v>
      </c>
      <c r="B676" t="s">
        <v>716</v>
      </c>
      <c r="C676" s="2">
        <v>3082526</v>
      </c>
      <c r="D676" s="2">
        <v>1063</v>
      </c>
      <c r="E676" s="2">
        <v>65816561</v>
      </c>
      <c r="F676">
        <v>20.3</v>
      </c>
      <c r="G676">
        <v>21.7</v>
      </c>
      <c r="H676">
        <v>20.3</v>
      </c>
      <c r="I676">
        <v>21.5</v>
      </c>
      <c r="J676" t="s">
        <v>10</v>
      </c>
      <c r="K676">
        <v>1.2</v>
      </c>
      <c r="L676">
        <v>21.45</v>
      </c>
      <c r="M676">
        <v>19</v>
      </c>
      <c r="N676">
        <v>21.5</v>
      </c>
      <c r="O676">
        <v>71</v>
      </c>
      <c r="P676">
        <v>86</v>
      </c>
    </row>
    <row r="677" spans="1:16" x14ac:dyDescent="0.3">
      <c r="A677">
        <v>3055</v>
      </c>
      <c r="B677" t="s">
        <v>717</v>
      </c>
      <c r="C677" s="2">
        <v>92000</v>
      </c>
      <c r="D677">
        <v>31</v>
      </c>
      <c r="E677" s="2">
        <v>1103900</v>
      </c>
      <c r="F677">
        <v>12</v>
      </c>
      <c r="G677">
        <v>12</v>
      </c>
      <c r="H677">
        <v>11.9</v>
      </c>
      <c r="I677">
        <v>12</v>
      </c>
      <c r="K677">
        <v>0</v>
      </c>
      <c r="L677">
        <v>11.95</v>
      </c>
      <c r="M677">
        <v>1</v>
      </c>
      <c r="N677">
        <v>12</v>
      </c>
      <c r="O677">
        <v>17</v>
      </c>
      <c r="P677">
        <v>13.64</v>
      </c>
    </row>
    <row r="678" spans="1:16" x14ac:dyDescent="0.3">
      <c r="A678">
        <v>3056</v>
      </c>
      <c r="B678" t="s">
        <v>718</v>
      </c>
      <c r="C678" s="2">
        <v>1047550</v>
      </c>
      <c r="D678">
        <v>447</v>
      </c>
      <c r="E678" s="2">
        <v>30532809</v>
      </c>
      <c r="F678">
        <v>28.7</v>
      </c>
      <c r="G678">
        <v>29.35</v>
      </c>
      <c r="H678">
        <v>28.7</v>
      </c>
      <c r="I678">
        <v>29.35</v>
      </c>
      <c r="J678" t="s">
        <v>10</v>
      </c>
      <c r="K678">
        <v>0.65</v>
      </c>
      <c r="L678">
        <v>29.3</v>
      </c>
      <c r="M678">
        <v>12</v>
      </c>
      <c r="N678">
        <v>29.35</v>
      </c>
      <c r="O678">
        <v>2</v>
      </c>
      <c r="P678">
        <v>5.03</v>
      </c>
    </row>
    <row r="679" spans="1:16" x14ac:dyDescent="0.3">
      <c r="A679">
        <v>3057</v>
      </c>
      <c r="B679" t="s">
        <v>719</v>
      </c>
      <c r="C679" s="2">
        <v>1093002</v>
      </c>
      <c r="D679">
        <v>478</v>
      </c>
      <c r="E679" s="2">
        <v>20176484</v>
      </c>
      <c r="F679">
        <v>18.2</v>
      </c>
      <c r="G679">
        <v>18.7</v>
      </c>
      <c r="H679">
        <v>18.2</v>
      </c>
      <c r="I679">
        <v>18.55</v>
      </c>
      <c r="J679" t="s">
        <v>10</v>
      </c>
      <c r="K679">
        <v>0.5</v>
      </c>
      <c r="L679">
        <v>18.55</v>
      </c>
      <c r="M679">
        <v>3</v>
      </c>
      <c r="N679">
        <v>18.600000000000001</v>
      </c>
      <c r="O679">
        <v>3</v>
      </c>
      <c r="P679">
        <v>17.670000000000002</v>
      </c>
    </row>
    <row r="680" spans="1:16" x14ac:dyDescent="0.3">
      <c r="A680">
        <v>3058</v>
      </c>
      <c r="B680" t="s">
        <v>720</v>
      </c>
      <c r="C680" s="2">
        <v>944584</v>
      </c>
      <c r="D680">
        <v>426</v>
      </c>
      <c r="E680" s="2">
        <v>16691533</v>
      </c>
      <c r="F680">
        <v>17.5</v>
      </c>
      <c r="G680">
        <v>17.8</v>
      </c>
      <c r="H680">
        <v>17.5</v>
      </c>
      <c r="I680">
        <v>17.7</v>
      </c>
      <c r="J680" t="s">
        <v>10</v>
      </c>
      <c r="K680">
        <v>0.35</v>
      </c>
      <c r="L680">
        <v>17.7</v>
      </c>
      <c r="M680">
        <v>111</v>
      </c>
      <c r="N680">
        <v>17.75</v>
      </c>
      <c r="O680">
        <v>23</v>
      </c>
      <c r="P680">
        <v>8.68</v>
      </c>
    </row>
    <row r="681" spans="1:16" x14ac:dyDescent="0.3">
      <c r="A681">
        <v>3059</v>
      </c>
      <c r="B681" t="s">
        <v>721</v>
      </c>
      <c r="C681" s="2">
        <v>424192</v>
      </c>
      <c r="D681">
        <v>221</v>
      </c>
      <c r="E681" s="2">
        <v>7444235</v>
      </c>
      <c r="F681">
        <v>17.55</v>
      </c>
      <c r="G681">
        <v>17.649999999999999</v>
      </c>
      <c r="H681">
        <v>17.399999999999999</v>
      </c>
      <c r="I681">
        <v>17.55</v>
      </c>
      <c r="K681">
        <v>0</v>
      </c>
      <c r="L681">
        <v>17.55</v>
      </c>
      <c r="M681">
        <v>20</v>
      </c>
      <c r="N681">
        <v>17.600000000000001</v>
      </c>
      <c r="O681">
        <v>70</v>
      </c>
      <c r="P681">
        <v>38.15</v>
      </c>
    </row>
    <row r="682" spans="1:16" x14ac:dyDescent="0.3">
      <c r="A682">
        <v>3060</v>
      </c>
      <c r="B682" t="s">
        <v>722</v>
      </c>
      <c r="C682" s="2">
        <v>706586</v>
      </c>
      <c r="D682">
        <v>471</v>
      </c>
      <c r="E682" s="2">
        <v>58865143</v>
      </c>
      <c r="F682">
        <v>83.3</v>
      </c>
      <c r="G682">
        <v>83.7</v>
      </c>
      <c r="H682">
        <v>82.7</v>
      </c>
      <c r="I682">
        <v>83.4</v>
      </c>
      <c r="J682" t="s">
        <v>10</v>
      </c>
      <c r="K682">
        <v>0.3</v>
      </c>
      <c r="L682">
        <v>83.4</v>
      </c>
      <c r="M682">
        <v>4</v>
      </c>
      <c r="N682">
        <v>83.5</v>
      </c>
      <c r="O682">
        <v>1</v>
      </c>
      <c r="P682">
        <v>16.32</v>
      </c>
    </row>
    <row r="683" spans="1:16" x14ac:dyDescent="0.3">
      <c r="A683">
        <v>3061</v>
      </c>
      <c r="B683" t="s">
        <v>723</v>
      </c>
      <c r="C683" s="2">
        <v>1724685</v>
      </c>
      <c r="D683">
        <v>721</v>
      </c>
      <c r="E683" s="2">
        <v>34054342</v>
      </c>
      <c r="F683">
        <v>19.649999999999999</v>
      </c>
      <c r="G683">
        <v>19.899999999999999</v>
      </c>
      <c r="H683">
        <v>19.5</v>
      </c>
      <c r="I683">
        <v>19.75</v>
      </c>
      <c r="J683" t="s">
        <v>10</v>
      </c>
      <c r="K683">
        <v>0.15</v>
      </c>
      <c r="L683">
        <v>19.75</v>
      </c>
      <c r="M683">
        <v>62</v>
      </c>
      <c r="N683">
        <v>19.8</v>
      </c>
      <c r="O683">
        <v>4</v>
      </c>
      <c r="P683">
        <v>0</v>
      </c>
    </row>
    <row r="684" spans="1:16" x14ac:dyDescent="0.3">
      <c r="A684">
        <v>3062</v>
      </c>
      <c r="B684" t="s">
        <v>724</v>
      </c>
      <c r="C684" s="2">
        <v>4694355</v>
      </c>
      <c r="D684" s="2">
        <v>1220</v>
      </c>
      <c r="E684" s="2">
        <v>116706645</v>
      </c>
      <c r="F684">
        <v>24.95</v>
      </c>
      <c r="G684">
        <v>25</v>
      </c>
      <c r="H684">
        <v>24.55</v>
      </c>
      <c r="I684">
        <v>24.6</v>
      </c>
      <c r="J684" t="s">
        <v>7</v>
      </c>
      <c r="K684">
        <v>0.2</v>
      </c>
      <c r="L684">
        <v>24.6</v>
      </c>
      <c r="M684">
        <v>13</v>
      </c>
      <c r="N684">
        <v>24.65</v>
      </c>
      <c r="O684">
        <v>5</v>
      </c>
      <c r="P684">
        <v>76.88</v>
      </c>
    </row>
    <row r="685" spans="1:16" x14ac:dyDescent="0.3">
      <c r="A685">
        <v>3090</v>
      </c>
      <c r="B685" t="s">
        <v>725</v>
      </c>
      <c r="C685" s="2">
        <v>73091</v>
      </c>
      <c r="D685">
        <v>46</v>
      </c>
      <c r="E685" s="2">
        <v>1815650</v>
      </c>
      <c r="F685">
        <v>24.8</v>
      </c>
      <c r="G685">
        <v>24.95</v>
      </c>
      <c r="H685">
        <v>24.7</v>
      </c>
      <c r="I685">
        <v>24.85</v>
      </c>
      <c r="J685" t="s">
        <v>10</v>
      </c>
      <c r="K685">
        <v>0.05</v>
      </c>
      <c r="L685">
        <v>24.85</v>
      </c>
      <c r="M685">
        <v>4</v>
      </c>
      <c r="N685">
        <v>24.9</v>
      </c>
      <c r="O685">
        <v>1</v>
      </c>
      <c r="P685">
        <v>14.04</v>
      </c>
    </row>
    <row r="686" spans="1:16" x14ac:dyDescent="0.3">
      <c r="A686">
        <v>3094</v>
      </c>
      <c r="B686" t="s">
        <v>726</v>
      </c>
      <c r="C686" s="2">
        <v>155145</v>
      </c>
      <c r="D686">
        <v>120</v>
      </c>
      <c r="E686" s="2">
        <v>2880092</v>
      </c>
      <c r="F686">
        <v>18.55</v>
      </c>
      <c r="G686">
        <v>18.649999999999999</v>
      </c>
      <c r="H686">
        <v>18.399999999999999</v>
      </c>
      <c r="I686">
        <v>18.600000000000001</v>
      </c>
      <c r="J686" t="s">
        <v>10</v>
      </c>
      <c r="K686">
        <v>0.05</v>
      </c>
      <c r="L686">
        <v>18.55</v>
      </c>
      <c r="M686">
        <v>8</v>
      </c>
      <c r="N686">
        <v>18.649999999999999</v>
      </c>
      <c r="O686">
        <v>20</v>
      </c>
      <c r="P686">
        <v>24.47</v>
      </c>
    </row>
    <row r="687" spans="1:16" x14ac:dyDescent="0.3">
      <c r="A687">
        <v>3130</v>
      </c>
      <c r="B687" t="s">
        <v>727</v>
      </c>
      <c r="C687" s="2">
        <v>6039</v>
      </c>
      <c r="D687">
        <v>7</v>
      </c>
      <c r="E687" s="2">
        <v>501398</v>
      </c>
      <c r="F687">
        <v>82</v>
      </c>
      <c r="G687">
        <v>83.5</v>
      </c>
      <c r="H687">
        <v>82</v>
      </c>
      <c r="I687">
        <v>83.5</v>
      </c>
      <c r="J687" t="s">
        <v>10</v>
      </c>
      <c r="K687">
        <v>3.3</v>
      </c>
      <c r="L687">
        <v>83.5</v>
      </c>
      <c r="M687">
        <v>5</v>
      </c>
      <c r="N687">
        <v>84</v>
      </c>
      <c r="O687">
        <v>2</v>
      </c>
      <c r="P687">
        <v>13.56</v>
      </c>
    </row>
    <row r="688" spans="1:16" x14ac:dyDescent="0.3">
      <c r="A688">
        <v>3149</v>
      </c>
      <c r="B688" t="s">
        <v>728</v>
      </c>
      <c r="C688" s="2">
        <v>2424759</v>
      </c>
      <c r="D688" s="2">
        <v>1410</v>
      </c>
      <c r="E688" s="2">
        <v>126510216</v>
      </c>
      <c r="F688">
        <v>53</v>
      </c>
      <c r="G688">
        <v>53.2</v>
      </c>
      <c r="H688">
        <v>51.5</v>
      </c>
      <c r="I688">
        <v>52.2</v>
      </c>
      <c r="J688" t="s">
        <v>145</v>
      </c>
      <c r="K688">
        <v>0</v>
      </c>
      <c r="L688">
        <v>52.1</v>
      </c>
      <c r="M688">
        <v>36</v>
      </c>
      <c r="N688">
        <v>52.2</v>
      </c>
      <c r="O688">
        <v>18</v>
      </c>
      <c r="P688">
        <v>26.63</v>
      </c>
    </row>
    <row r="689" spans="1:16" x14ac:dyDescent="0.3">
      <c r="A689">
        <v>3164</v>
      </c>
      <c r="B689" t="s">
        <v>729</v>
      </c>
      <c r="C689" s="2">
        <v>465111</v>
      </c>
      <c r="D689">
        <v>316</v>
      </c>
      <c r="E689" s="2">
        <v>21611239</v>
      </c>
      <c r="F689">
        <v>46</v>
      </c>
      <c r="G689">
        <v>47</v>
      </c>
      <c r="H689">
        <v>46</v>
      </c>
      <c r="I689">
        <v>46.3</v>
      </c>
      <c r="J689" t="s">
        <v>10</v>
      </c>
      <c r="K689">
        <v>0.3</v>
      </c>
      <c r="L689">
        <v>46.3</v>
      </c>
      <c r="M689">
        <v>8</v>
      </c>
      <c r="N689">
        <v>46.35</v>
      </c>
      <c r="O689">
        <v>3</v>
      </c>
      <c r="P689">
        <v>49.78</v>
      </c>
    </row>
    <row r="690" spans="1:16" x14ac:dyDescent="0.3">
      <c r="A690">
        <v>3189</v>
      </c>
      <c r="B690" t="s">
        <v>730</v>
      </c>
      <c r="C690" s="2">
        <v>2774322</v>
      </c>
      <c r="D690" s="2">
        <v>1625</v>
      </c>
      <c r="E690" s="2">
        <v>321654352</v>
      </c>
      <c r="F690">
        <v>115.5</v>
      </c>
      <c r="G690">
        <v>117</v>
      </c>
      <c r="H690">
        <v>114.5</v>
      </c>
      <c r="I690">
        <v>116</v>
      </c>
      <c r="J690" t="s">
        <v>10</v>
      </c>
      <c r="K690">
        <v>2</v>
      </c>
      <c r="L690">
        <v>116</v>
      </c>
      <c r="M690">
        <v>93</v>
      </c>
      <c r="N690">
        <v>116.5</v>
      </c>
      <c r="O690">
        <v>22</v>
      </c>
      <c r="P690">
        <v>17.579999999999998</v>
      </c>
    </row>
    <row r="691" spans="1:16" x14ac:dyDescent="0.3">
      <c r="A691">
        <v>3209</v>
      </c>
      <c r="B691" t="s">
        <v>731</v>
      </c>
      <c r="C691" s="2">
        <v>806272</v>
      </c>
      <c r="D691">
        <v>368</v>
      </c>
      <c r="E691" s="2">
        <v>18095670</v>
      </c>
      <c r="F691">
        <v>22</v>
      </c>
      <c r="G691">
        <v>22.8</v>
      </c>
      <c r="H691">
        <v>22</v>
      </c>
      <c r="I691">
        <v>22.6</v>
      </c>
      <c r="J691" t="s">
        <v>10</v>
      </c>
      <c r="K691">
        <v>0.6</v>
      </c>
      <c r="L691">
        <v>22.6</v>
      </c>
      <c r="M691">
        <v>10</v>
      </c>
      <c r="N691">
        <v>22.7</v>
      </c>
      <c r="O691">
        <v>14</v>
      </c>
      <c r="P691">
        <v>16.87</v>
      </c>
    </row>
    <row r="692" spans="1:16" x14ac:dyDescent="0.3">
      <c r="A692">
        <v>3229</v>
      </c>
      <c r="B692" t="s">
        <v>732</v>
      </c>
      <c r="C692" s="2">
        <v>2767074</v>
      </c>
      <c r="D692">
        <v>952</v>
      </c>
      <c r="E692" s="2">
        <v>48270852</v>
      </c>
      <c r="F692">
        <v>16.75</v>
      </c>
      <c r="G692">
        <v>17.8</v>
      </c>
      <c r="H692">
        <v>16.05</v>
      </c>
      <c r="I692">
        <v>17.8</v>
      </c>
      <c r="J692" t="s">
        <v>10</v>
      </c>
      <c r="K692">
        <v>1.1499999999999999</v>
      </c>
      <c r="L692">
        <v>17.8</v>
      </c>
      <c r="M692">
        <v>110</v>
      </c>
      <c r="N692" t="s">
        <v>152</v>
      </c>
      <c r="O692">
        <v>0</v>
      </c>
      <c r="P692">
        <v>0</v>
      </c>
    </row>
    <row r="693" spans="1:16" x14ac:dyDescent="0.3">
      <c r="A693">
        <v>3231</v>
      </c>
      <c r="B693" t="s">
        <v>733</v>
      </c>
      <c r="C693" s="2">
        <v>13771178</v>
      </c>
      <c r="D693" s="2">
        <v>4729</v>
      </c>
      <c r="E693" s="2">
        <v>404808344</v>
      </c>
      <c r="F693">
        <v>30</v>
      </c>
      <c r="G693">
        <v>30</v>
      </c>
      <c r="H693">
        <v>29.1</v>
      </c>
      <c r="I693">
        <v>29.45</v>
      </c>
      <c r="J693" t="s">
        <v>7</v>
      </c>
      <c r="K693">
        <v>0.8</v>
      </c>
      <c r="L693">
        <v>29.45</v>
      </c>
      <c r="M693">
        <v>122</v>
      </c>
      <c r="N693">
        <v>29.5</v>
      </c>
      <c r="O693">
        <v>40</v>
      </c>
      <c r="P693">
        <v>10.02</v>
      </c>
    </row>
    <row r="694" spans="1:16" x14ac:dyDescent="0.3">
      <c r="A694">
        <v>3257</v>
      </c>
      <c r="B694" t="s">
        <v>734</v>
      </c>
      <c r="C694" s="2">
        <v>2929302</v>
      </c>
      <c r="D694" s="2">
        <v>1580</v>
      </c>
      <c r="E694" s="2">
        <v>136954664</v>
      </c>
      <c r="F694">
        <v>45.9</v>
      </c>
      <c r="G694">
        <v>48</v>
      </c>
      <c r="H694">
        <v>45.15</v>
      </c>
      <c r="I694">
        <v>47.2</v>
      </c>
      <c r="J694" t="s">
        <v>10</v>
      </c>
      <c r="K694">
        <v>1.6</v>
      </c>
      <c r="L694">
        <v>47.15</v>
      </c>
      <c r="M694">
        <v>15</v>
      </c>
      <c r="N694">
        <v>47.2</v>
      </c>
      <c r="O694">
        <v>36</v>
      </c>
      <c r="P694">
        <v>13.76</v>
      </c>
    </row>
    <row r="695" spans="1:16" x14ac:dyDescent="0.3">
      <c r="A695">
        <v>3296</v>
      </c>
      <c r="B695" t="s">
        <v>735</v>
      </c>
      <c r="C695" s="2">
        <v>1640410</v>
      </c>
      <c r="D695">
        <v>508</v>
      </c>
      <c r="E695" s="2">
        <v>37886980</v>
      </c>
      <c r="F695">
        <v>23</v>
      </c>
      <c r="G695">
        <v>23.4</v>
      </c>
      <c r="H695">
        <v>22.9</v>
      </c>
      <c r="I695">
        <v>23.1</v>
      </c>
      <c r="J695" t="s">
        <v>7</v>
      </c>
      <c r="K695">
        <v>0.5</v>
      </c>
      <c r="L695">
        <v>23.1</v>
      </c>
      <c r="M695">
        <v>441</v>
      </c>
      <c r="N695">
        <v>23.2</v>
      </c>
      <c r="O695">
        <v>57</v>
      </c>
      <c r="P695">
        <v>110</v>
      </c>
    </row>
    <row r="696" spans="1:16" x14ac:dyDescent="0.3">
      <c r="A696">
        <v>3305</v>
      </c>
      <c r="B696" t="s">
        <v>736</v>
      </c>
      <c r="C696" s="2">
        <v>167718</v>
      </c>
      <c r="D696">
        <v>111</v>
      </c>
      <c r="E696" s="2">
        <v>5561387</v>
      </c>
      <c r="F696">
        <v>33</v>
      </c>
      <c r="G696">
        <v>33.5</v>
      </c>
      <c r="H696">
        <v>32.700000000000003</v>
      </c>
      <c r="I696">
        <v>33.299999999999997</v>
      </c>
      <c r="J696" t="s">
        <v>10</v>
      </c>
      <c r="K696">
        <v>0.35</v>
      </c>
      <c r="L696">
        <v>33.200000000000003</v>
      </c>
      <c r="M696">
        <v>14</v>
      </c>
      <c r="N696">
        <v>33.4</v>
      </c>
      <c r="O696">
        <v>26</v>
      </c>
      <c r="P696">
        <v>9.91</v>
      </c>
    </row>
    <row r="697" spans="1:16" x14ac:dyDescent="0.3">
      <c r="A697">
        <v>3308</v>
      </c>
      <c r="B697" t="s">
        <v>737</v>
      </c>
      <c r="C697" s="2">
        <v>21000</v>
      </c>
      <c r="D697">
        <v>16</v>
      </c>
      <c r="E697" s="2">
        <v>166630</v>
      </c>
      <c r="F697">
        <v>8.1</v>
      </c>
      <c r="G697">
        <v>8.1</v>
      </c>
      <c r="H697">
        <v>7.86</v>
      </c>
      <c r="I697">
        <v>7.86</v>
      </c>
      <c r="J697" t="s">
        <v>7</v>
      </c>
      <c r="K697">
        <v>0.17</v>
      </c>
      <c r="L697">
        <v>7.86</v>
      </c>
      <c r="M697">
        <v>2</v>
      </c>
      <c r="N697">
        <v>7.98</v>
      </c>
      <c r="O697">
        <v>1</v>
      </c>
      <c r="P697">
        <v>0</v>
      </c>
    </row>
    <row r="698" spans="1:16" x14ac:dyDescent="0.3">
      <c r="A698">
        <v>3311</v>
      </c>
      <c r="B698" t="s">
        <v>738</v>
      </c>
      <c r="C698" s="2">
        <v>305861</v>
      </c>
      <c r="D698">
        <v>221</v>
      </c>
      <c r="E698" s="2">
        <v>15410692</v>
      </c>
      <c r="F698">
        <v>49.8</v>
      </c>
      <c r="G698">
        <v>50.8</v>
      </c>
      <c r="H698">
        <v>49.8</v>
      </c>
      <c r="I698">
        <v>50.4</v>
      </c>
      <c r="J698" t="s">
        <v>10</v>
      </c>
      <c r="K698">
        <v>0.4</v>
      </c>
      <c r="L698">
        <v>50.4</v>
      </c>
      <c r="M698">
        <v>6</v>
      </c>
      <c r="N698">
        <v>50.6</v>
      </c>
      <c r="O698">
        <v>21</v>
      </c>
      <c r="P698">
        <v>12.41</v>
      </c>
    </row>
    <row r="699" spans="1:16" x14ac:dyDescent="0.3">
      <c r="A699">
        <v>3312</v>
      </c>
      <c r="B699" t="s">
        <v>739</v>
      </c>
      <c r="C699" s="2">
        <v>200000</v>
      </c>
      <c r="D699">
        <v>78</v>
      </c>
      <c r="E699" s="2">
        <v>2428050</v>
      </c>
      <c r="F699">
        <v>12.25</v>
      </c>
      <c r="G699">
        <v>12.25</v>
      </c>
      <c r="H699">
        <v>12</v>
      </c>
      <c r="I699">
        <v>12.2</v>
      </c>
      <c r="J699" t="s">
        <v>10</v>
      </c>
      <c r="K699">
        <v>0.05</v>
      </c>
      <c r="L699">
        <v>12.15</v>
      </c>
      <c r="M699">
        <v>3</v>
      </c>
      <c r="N699">
        <v>12.2</v>
      </c>
      <c r="O699">
        <v>43</v>
      </c>
      <c r="P699">
        <v>14.19</v>
      </c>
    </row>
    <row r="700" spans="1:16" x14ac:dyDescent="0.3">
      <c r="A700">
        <v>3315</v>
      </c>
      <c r="B700" t="s">
        <v>740</v>
      </c>
      <c r="C700" s="2">
        <v>66090</v>
      </c>
      <c r="D700">
        <v>28</v>
      </c>
      <c r="E700" s="2">
        <v>1325076</v>
      </c>
      <c r="F700">
        <v>20</v>
      </c>
      <c r="G700">
        <v>20.100000000000001</v>
      </c>
      <c r="H700">
        <v>20</v>
      </c>
      <c r="I700">
        <v>20.05</v>
      </c>
      <c r="J700" t="s">
        <v>10</v>
      </c>
      <c r="K700">
        <v>0.05</v>
      </c>
      <c r="L700">
        <v>20.05</v>
      </c>
      <c r="M700">
        <v>3</v>
      </c>
      <c r="N700">
        <v>20.100000000000001</v>
      </c>
      <c r="O700">
        <v>3</v>
      </c>
      <c r="P700">
        <v>27.85</v>
      </c>
    </row>
    <row r="701" spans="1:16" x14ac:dyDescent="0.3">
      <c r="A701">
        <v>3356</v>
      </c>
      <c r="B701" t="s">
        <v>741</v>
      </c>
      <c r="C701" s="2">
        <v>424141</v>
      </c>
      <c r="D701">
        <v>379</v>
      </c>
      <c r="E701" s="2">
        <v>58644019</v>
      </c>
      <c r="F701">
        <v>136</v>
      </c>
      <c r="G701">
        <v>139</v>
      </c>
      <c r="H701">
        <v>135.5</v>
      </c>
      <c r="I701">
        <v>139</v>
      </c>
      <c r="J701" t="s">
        <v>10</v>
      </c>
      <c r="K701">
        <v>3.5</v>
      </c>
      <c r="L701">
        <v>138.5</v>
      </c>
      <c r="M701">
        <v>23</v>
      </c>
      <c r="N701">
        <v>139</v>
      </c>
      <c r="O701">
        <v>2</v>
      </c>
      <c r="P701">
        <v>14.71</v>
      </c>
    </row>
    <row r="702" spans="1:16" x14ac:dyDescent="0.3">
      <c r="A702">
        <v>3376</v>
      </c>
      <c r="B702" t="s">
        <v>742</v>
      </c>
      <c r="C702" s="2">
        <v>1983901</v>
      </c>
      <c r="D702" s="2">
        <v>1307</v>
      </c>
      <c r="E702" s="2">
        <v>142180940</v>
      </c>
      <c r="F702">
        <v>71.3</v>
      </c>
      <c r="G702">
        <v>72.400000000000006</v>
      </c>
      <c r="H702">
        <v>71</v>
      </c>
      <c r="I702">
        <v>71.8</v>
      </c>
      <c r="J702" t="s">
        <v>10</v>
      </c>
      <c r="K702">
        <v>1</v>
      </c>
      <c r="L702">
        <v>71.8</v>
      </c>
      <c r="M702">
        <v>43</v>
      </c>
      <c r="N702">
        <v>72</v>
      </c>
      <c r="O702">
        <v>5</v>
      </c>
      <c r="P702">
        <v>11.1</v>
      </c>
    </row>
    <row r="703" spans="1:16" x14ac:dyDescent="0.3">
      <c r="A703">
        <v>3380</v>
      </c>
      <c r="B703" t="s">
        <v>743</v>
      </c>
      <c r="C703" s="2">
        <v>1010000</v>
      </c>
      <c r="D703">
        <v>337</v>
      </c>
      <c r="E703" s="2">
        <v>19669896</v>
      </c>
      <c r="F703">
        <v>19.2</v>
      </c>
      <c r="G703">
        <v>19.7</v>
      </c>
      <c r="H703">
        <v>19.2</v>
      </c>
      <c r="I703">
        <v>19.7</v>
      </c>
      <c r="J703" t="s">
        <v>10</v>
      </c>
      <c r="K703">
        <v>0.3</v>
      </c>
      <c r="L703">
        <v>19.600000000000001</v>
      </c>
      <c r="M703">
        <v>52</v>
      </c>
      <c r="N703">
        <v>19.7</v>
      </c>
      <c r="O703">
        <v>6</v>
      </c>
      <c r="P703">
        <v>15.39</v>
      </c>
    </row>
    <row r="704" spans="1:16" x14ac:dyDescent="0.3">
      <c r="A704">
        <v>3383</v>
      </c>
      <c r="B704" t="s">
        <v>744</v>
      </c>
      <c r="C704" s="2">
        <v>916355</v>
      </c>
      <c r="D704">
        <v>430</v>
      </c>
      <c r="E704" s="2">
        <v>17685020</v>
      </c>
      <c r="F704">
        <v>19.25</v>
      </c>
      <c r="G704">
        <v>19.399999999999999</v>
      </c>
      <c r="H704">
        <v>19.100000000000001</v>
      </c>
      <c r="I704">
        <v>19.399999999999999</v>
      </c>
      <c r="J704" t="s">
        <v>10</v>
      </c>
      <c r="K704">
        <v>0.1</v>
      </c>
      <c r="L704">
        <v>19.350000000000001</v>
      </c>
      <c r="M704">
        <v>24</v>
      </c>
      <c r="N704">
        <v>19.399999999999999</v>
      </c>
      <c r="O704">
        <v>9</v>
      </c>
      <c r="P704">
        <v>0</v>
      </c>
    </row>
    <row r="705" spans="1:16" x14ac:dyDescent="0.3">
      <c r="A705">
        <v>3406</v>
      </c>
      <c r="B705" t="s">
        <v>745</v>
      </c>
      <c r="C705" s="2">
        <v>1081152</v>
      </c>
      <c r="D705">
        <v>946</v>
      </c>
      <c r="E705" s="2">
        <v>189677904</v>
      </c>
      <c r="F705">
        <v>172.5</v>
      </c>
      <c r="G705">
        <v>177.5</v>
      </c>
      <c r="H705">
        <v>171</v>
      </c>
      <c r="I705">
        <v>176.5</v>
      </c>
      <c r="J705" t="s">
        <v>10</v>
      </c>
      <c r="K705">
        <v>5.5</v>
      </c>
      <c r="L705">
        <v>176</v>
      </c>
      <c r="M705">
        <v>4</v>
      </c>
      <c r="N705">
        <v>176.5</v>
      </c>
      <c r="O705">
        <v>17</v>
      </c>
      <c r="P705">
        <v>33.880000000000003</v>
      </c>
    </row>
    <row r="706" spans="1:16" x14ac:dyDescent="0.3">
      <c r="A706">
        <v>3419</v>
      </c>
      <c r="B706" t="s">
        <v>746</v>
      </c>
      <c r="C706" s="2">
        <v>1220885</v>
      </c>
      <c r="D706">
        <v>589</v>
      </c>
      <c r="E706" s="2">
        <v>22848621</v>
      </c>
      <c r="F706">
        <v>18.899999999999999</v>
      </c>
      <c r="G706">
        <v>18.899999999999999</v>
      </c>
      <c r="H706">
        <v>18.600000000000001</v>
      </c>
      <c r="I706">
        <v>18.649999999999999</v>
      </c>
      <c r="J706" t="s">
        <v>7</v>
      </c>
      <c r="K706">
        <v>0.25</v>
      </c>
      <c r="L706">
        <v>18.649999999999999</v>
      </c>
      <c r="M706">
        <v>65</v>
      </c>
      <c r="N706">
        <v>18.8</v>
      </c>
      <c r="O706">
        <v>43</v>
      </c>
      <c r="P706">
        <v>25.2</v>
      </c>
    </row>
    <row r="707" spans="1:16" x14ac:dyDescent="0.3">
      <c r="A707">
        <v>3432</v>
      </c>
      <c r="B707" t="s">
        <v>747</v>
      </c>
      <c r="C707" s="2">
        <v>156000</v>
      </c>
      <c r="D707">
        <v>64</v>
      </c>
      <c r="E707" s="2">
        <v>1916500</v>
      </c>
      <c r="F707">
        <v>12.25</v>
      </c>
      <c r="G707">
        <v>12.45</v>
      </c>
      <c r="H707">
        <v>12.1</v>
      </c>
      <c r="I707">
        <v>12.15</v>
      </c>
      <c r="J707" t="s">
        <v>7</v>
      </c>
      <c r="K707">
        <v>0.1</v>
      </c>
      <c r="L707">
        <v>12.15</v>
      </c>
      <c r="M707">
        <v>2</v>
      </c>
      <c r="N707">
        <v>12.2</v>
      </c>
      <c r="O707">
        <v>7</v>
      </c>
      <c r="P707">
        <v>0</v>
      </c>
    </row>
    <row r="708" spans="1:16" x14ac:dyDescent="0.3">
      <c r="A708">
        <v>3443</v>
      </c>
      <c r="B708" t="s">
        <v>748</v>
      </c>
      <c r="C708" s="2">
        <v>948729</v>
      </c>
      <c r="D708">
        <v>624</v>
      </c>
      <c r="E708" s="2">
        <v>93707941</v>
      </c>
      <c r="F708">
        <v>97.1</v>
      </c>
      <c r="G708">
        <v>100.5</v>
      </c>
      <c r="H708">
        <v>97.1</v>
      </c>
      <c r="I708">
        <v>99.6</v>
      </c>
      <c r="J708" t="s">
        <v>10</v>
      </c>
      <c r="K708">
        <v>2.5</v>
      </c>
      <c r="L708">
        <v>99.5</v>
      </c>
      <c r="M708">
        <v>53</v>
      </c>
      <c r="N708">
        <v>99.7</v>
      </c>
      <c r="O708">
        <v>42</v>
      </c>
      <c r="P708">
        <v>22.13</v>
      </c>
    </row>
    <row r="709" spans="1:16" x14ac:dyDescent="0.3">
      <c r="A709">
        <v>3450</v>
      </c>
      <c r="B709" t="s">
        <v>749</v>
      </c>
      <c r="C709" s="2">
        <v>1088140</v>
      </c>
      <c r="D709">
        <v>701</v>
      </c>
      <c r="E709" s="2">
        <v>78881040</v>
      </c>
      <c r="F709">
        <v>72</v>
      </c>
      <c r="G709">
        <v>73</v>
      </c>
      <c r="H709">
        <v>72</v>
      </c>
      <c r="I709">
        <v>72.7</v>
      </c>
      <c r="J709" t="s">
        <v>10</v>
      </c>
      <c r="K709">
        <v>0.4</v>
      </c>
      <c r="L709">
        <v>72.599999999999994</v>
      </c>
      <c r="M709">
        <v>11</v>
      </c>
      <c r="N709">
        <v>72.7</v>
      </c>
      <c r="O709">
        <v>3</v>
      </c>
      <c r="P709">
        <v>21.96</v>
      </c>
    </row>
    <row r="710" spans="1:16" x14ac:dyDescent="0.3">
      <c r="A710">
        <v>3454</v>
      </c>
      <c r="B710" t="s">
        <v>750</v>
      </c>
      <c r="C710" s="2">
        <v>2266526</v>
      </c>
      <c r="D710" s="2">
        <v>1476</v>
      </c>
      <c r="E710" s="2">
        <v>301791216</v>
      </c>
      <c r="F710">
        <v>129</v>
      </c>
      <c r="G710">
        <v>135</v>
      </c>
      <c r="H710">
        <v>128</v>
      </c>
      <c r="I710">
        <v>134</v>
      </c>
      <c r="J710" t="s">
        <v>10</v>
      </c>
      <c r="K710">
        <v>7</v>
      </c>
      <c r="L710">
        <v>133.5</v>
      </c>
      <c r="M710">
        <v>8</v>
      </c>
      <c r="N710">
        <v>134</v>
      </c>
      <c r="O710">
        <v>28</v>
      </c>
      <c r="P710">
        <v>13.74</v>
      </c>
    </row>
    <row r="711" spans="1:16" x14ac:dyDescent="0.3">
      <c r="A711">
        <v>3474</v>
      </c>
      <c r="B711" t="s">
        <v>751</v>
      </c>
      <c r="C711" s="2">
        <v>21389117</v>
      </c>
      <c r="D711" s="2">
        <v>3098</v>
      </c>
      <c r="E711" s="2">
        <v>348965385</v>
      </c>
      <c r="F711">
        <v>15.65</v>
      </c>
      <c r="G711">
        <v>16.7</v>
      </c>
      <c r="H711">
        <v>15.5</v>
      </c>
      <c r="I711">
        <v>16.55</v>
      </c>
      <c r="J711" t="s">
        <v>10</v>
      </c>
      <c r="K711">
        <v>0.9</v>
      </c>
      <c r="L711">
        <v>16.5</v>
      </c>
      <c r="M711">
        <v>250</v>
      </c>
      <c r="N711">
        <v>16.55</v>
      </c>
      <c r="O711">
        <v>81</v>
      </c>
      <c r="P711">
        <v>0</v>
      </c>
    </row>
    <row r="712" spans="1:16" x14ac:dyDescent="0.3">
      <c r="A712">
        <v>3481</v>
      </c>
      <c r="B712" t="s">
        <v>752</v>
      </c>
      <c r="C712" s="2">
        <v>83596904</v>
      </c>
      <c r="D712" s="2">
        <v>15025</v>
      </c>
      <c r="E712" s="2">
        <v>1298635060</v>
      </c>
      <c r="F712">
        <v>15.05</v>
      </c>
      <c r="G712">
        <v>15.9</v>
      </c>
      <c r="H712">
        <v>14.85</v>
      </c>
      <c r="I712">
        <v>15.8</v>
      </c>
      <c r="J712" t="s">
        <v>10</v>
      </c>
      <c r="K712">
        <v>0.85</v>
      </c>
      <c r="L712">
        <v>15.8</v>
      </c>
      <c r="M712">
        <v>81</v>
      </c>
      <c r="N712">
        <v>15.85</v>
      </c>
      <c r="O712">
        <v>740</v>
      </c>
      <c r="P712">
        <v>0</v>
      </c>
    </row>
    <row r="713" spans="1:16" x14ac:dyDescent="0.3">
      <c r="A713">
        <v>3494</v>
      </c>
      <c r="B713" t="s">
        <v>753</v>
      </c>
      <c r="C713" s="2">
        <v>669341</v>
      </c>
      <c r="D713">
        <v>291</v>
      </c>
      <c r="E713" s="2">
        <v>12885564</v>
      </c>
      <c r="F713">
        <v>19.45</v>
      </c>
      <c r="G713">
        <v>19.45</v>
      </c>
      <c r="H713">
        <v>19.149999999999999</v>
      </c>
      <c r="I713">
        <v>19.3</v>
      </c>
      <c r="J713" t="s">
        <v>10</v>
      </c>
      <c r="K713">
        <v>0.1</v>
      </c>
      <c r="L713">
        <v>19.3</v>
      </c>
      <c r="M713">
        <v>14</v>
      </c>
      <c r="N713">
        <v>19.399999999999999</v>
      </c>
      <c r="O713">
        <v>21</v>
      </c>
      <c r="P713">
        <v>0</v>
      </c>
    </row>
    <row r="714" spans="1:16" x14ac:dyDescent="0.3">
      <c r="A714">
        <v>3501</v>
      </c>
      <c r="B714" t="s">
        <v>754</v>
      </c>
      <c r="C714" s="2">
        <v>692270</v>
      </c>
      <c r="D714">
        <v>495</v>
      </c>
      <c r="E714" s="2">
        <v>37047311</v>
      </c>
      <c r="F714">
        <v>52.5</v>
      </c>
      <c r="G714">
        <v>54.2</v>
      </c>
      <c r="H714">
        <v>52.2</v>
      </c>
      <c r="I714">
        <v>53.7</v>
      </c>
      <c r="J714" t="s">
        <v>10</v>
      </c>
      <c r="K714">
        <v>1.6</v>
      </c>
      <c r="L714">
        <v>53.7</v>
      </c>
      <c r="M714">
        <v>10</v>
      </c>
      <c r="N714">
        <v>53.8</v>
      </c>
      <c r="O714">
        <v>3</v>
      </c>
      <c r="P714">
        <v>11.38</v>
      </c>
    </row>
    <row r="715" spans="1:16" x14ac:dyDescent="0.3">
      <c r="A715">
        <v>3504</v>
      </c>
      <c r="B715" t="s">
        <v>755</v>
      </c>
      <c r="C715" s="2">
        <v>511300</v>
      </c>
      <c r="D715">
        <v>402</v>
      </c>
      <c r="E715" s="2">
        <v>40916490</v>
      </c>
      <c r="F715">
        <v>79</v>
      </c>
      <c r="G715">
        <v>80.8</v>
      </c>
      <c r="H715">
        <v>78.900000000000006</v>
      </c>
      <c r="I715">
        <v>80.7</v>
      </c>
      <c r="J715" t="s">
        <v>10</v>
      </c>
      <c r="K715">
        <v>1.8</v>
      </c>
      <c r="L715">
        <v>80.7</v>
      </c>
      <c r="M715">
        <v>29</v>
      </c>
      <c r="N715">
        <v>80.8</v>
      </c>
      <c r="O715">
        <v>9</v>
      </c>
      <c r="P715">
        <v>22.86</v>
      </c>
    </row>
    <row r="716" spans="1:16" x14ac:dyDescent="0.3">
      <c r="A716">
        <v>3514</v>
      </c>
      <c r="B716" t="s">
        <v>756</v>
      </c>
      <c r="C716" s="2">
        <v>2239223</v>
      </c>
      <c r="D716" s="2">
        <v>1324</v>
      </c>
      <c r="E716" s="2">
        <v>64733971</v>
      </c>
      <c r="F716">
        <v>28.2</v>
      </c>
      <c r="G716">
        <v>29.3</v>
      </c>
      <c r="H716">
        <v>28.2</v>
      </c>
      <c r="I716">
        <v>29.3</v>
      </c>
      <c r="J716" t="s">
        <v>10</v>
      </c>
      <c r="K716">
        <v>1.25</v>
      </c>
      <c r="L716">
        <v>29.25</v>
      </c>
      <c r="M716">
        <v>10</v>
      </c>
      <c r="N716">
        <v>29.3</v>
      </c>
      <c r="O716">
        <v>33</v>
      </c>
      <c r="P716">
        <v>0</v>
      </c>
    </row>
    <row r="717" spans="1:16" x14ac:dyDescent="0.3">
      <c r="A717">
        <v>3515</v>
      </c>
      <c r="B717" t="s">
        <v>757</v>
      </c>
      <c r="C717" s="2">
        <v>35206</v>
      </c>
      <c r="D717">
        <v>31</v>
      </c>
      <c r="E717" s="2">
        <v>3658924</v>
      </c>
      <c r="F717">
        <v>103.5</v>
      </c>
      <c r="G717">
        <v>104.5</v>
      </c>
      <c r="H717">
        <v>103.5</v>
      </c>
      <c r="I717">
        <v>104</v>
      </c>
      <c r="J717" t="s">
        <v>10</v>
      </c>
      <c r="K717">
        <v>0.5</v>
      </c>
      <c r="L717">
        <v>104</v>
      </c>
      <c r="M717">
        <v>1</v>
      </c>
      <c r="N717">
        <v>104.5</v>
      </c>
      <c r="O717">
        <v>12</v>
      </c>
      <c r="P717">
        <v>11.59</v>
      </c>
    </row>
    <row r="718" spans="1:16" x14ac:dyDescent="0.3">
      <c r="A718">
        <v>3518</v>
      </c>
      <c r="B718" t="s">
        <v>758</v>
      </c>
      <c r="C718" s="2">
        <v>1324330</v>
      </c>
      <c r="D718">
        <v>150</v>
      </c>
      <c r="E718" s="2">
        <v>51790430</v>
      </c>
      <c r="F718">
        <v>38.799999999999997</v>
      </c>
      <c r="G718">
        <v>40.299999999999997</v>
      </c>
      <c r="H718">
        <v>38.799999999999997</v>
      </c>
      <c r="I718">
        <v>40</v>
      </c>
      <c r="J718" t="s">
        <v>10</v>
      </c>
      <c r="K718">
        <v>1.7</v>
      </c>
      <c r="L718">
        <v>39.9</v>
      </c>
      <c r="M718">
        <v>19</v>
      </c>
      <c r="N718">
        <v>40</v>
      </c>
      <c r="O718">
        <v>17</v>
      </c>
      <c r="P718">
        <v>0</v>
      </c>
    </row>
    <row r="719" spans="1:16" x14ac:dyDescent="0.3">
      <c r="A719">
        <v>3519</v>
      </c>
      <c r="B719" t="s">
        <v>759</v>
      </c>
      <c r="C719" s="2">
        <v>1986881</v>
      </c>
      <c r="D719">
        <v>959</v>
      </c>
      <c r="E719" s="2">
        <v>42445737</v>
      </c>
      <c r="F719">
        <v>21.1</v>
      </c>
      <c r="G719">
        <v>21.6</v>
      </c>
      <c r="H719">
        <v>21.1</v>
      </c>
      <c r="I719">
        <v>21.6</v>
      </c>
      <c r="J719" t="s">
        <v>10</v>
      </c>
      <c r="K719">
        <v>0.55000000000000004</v>
      </c>
      <c r="L719">
        <v>21.6</v>
      </c>
      <c r="M719">
        <v>5</v>
      </c>
      <c r="N719">
        <v>21.65</v>
      </c>
      <c r="O719">
        <v>10</v>
      </c>
      <c r="P719">
        <v>0</v>
      </c>
    </row>
    <row r="720" spans="1:16" x14ac:dyDescent="0.3">
      <c r="A720">
        <v>3532</v>
      </c>
      <c r="B720" t="s">
        <v>760</v>
      </c>
      <c r="C720" s="2">
        <v>174300</v>
      </c>
      <c r="D720">
        <v>120</v>
      </c>
      <c r="E720" s="2">
        <v>5273150</v>
      </c>
      <c r="F720">
        <v>30.2</v>
      </c>
      <c r="G720">
        <v>30.7</v>
      </c>
      <c r="H720">
        <v>30</v>
      </c>
      <c r="I720">
        <v>30.7</v>
      </c>
      <c r="J720" t="s">
        <v>10</v>
      </c>
      <c r="K720">
        <v>0.5</v>
      </c>
      <c r="L720">
        <v>30.5</v>
      </c>
      <c r="M720">
        <v>2</v>
      </c>
      <c r="N720">
        <v>30.7</v>
      </c>
      <c r="O720">
        <v>4</v>
      </c>
      <c r="P720">
        <v>99.03</v>
      </c>
    </row>
    <row r="721" spans="1:16" x14ac:dyDescent="0.3">
      <c r="A721">
        <v>3533</v>
      </c>
      <c r="B721" t="s">
        <v>761</v>
      </c>
      <c r="C721" s="2">
        <v>149000</v>
      </c>
      <c r="D721">
        <v>133</v>
      </c>
      <c r="E721" s="2">
        <v>11118300</v>
      </c>
      <c r="F721">
        <v>74</v>
      </c>
      <c r="G721">
        <v>75.099999999999994</v>
      </c>
      <c r="H721">
        <v>73.900000000000006</v>
      </c>
      <c r="I721">
        <v>74.599999999999994</v>
      </c>
      <c r="J721" t="s">
        <v>10</v>
      </c>
      <c r="K721">
        <v>0.8</v>
      </c>
      <c r="L721">
        <v>74.599999999999994</v>
      </c>
      <c r="M721">
        <v>2</v>
      </c>
      <c r="N721">
        <v>74.900000000000006</v>
      </c>
      <c r="O721">
        <v>5</v>
      </c>
      <c r="P721">
        <v>7.23</v>
      </c>
    </row>
    <row r="722" spans="1:16" x14ac:dyDescent="0.3">
      <c r="A722">
        <v>3535</v>
      </c>
      <c r="B722" t="s">
        <v>762</v>
      </c>
      <c r="C722" s="2">
        <v>504585</v>
      </c>
      <c r="D722">
        <v>181</v>
      </c>
      <c r="E722" s="2">
        <v>5370492</v>
      </c>
      <c r="F722">
        <v>10.6</v>
      </c>
      <c r="G722">
        <v>10.7</v>
      </c>
      <c r="H722">
        <v>10.5</v>
      </c>
      <c r="I722">
        <v>10.55</v>
      </c>
      <c r="K722">
        <v>0</v>
      </c>
      <c r="L722">
        <v>10.55</v>
      </c>
      <c r="M722">
        <v>31</v>
      </c>
      <c r="N722">
        <v>10.65</v>
      </c>
      <c r="O722">
        <v>16</v>
      </c>
      <c r="P722">
        <v>0</v>
      </c>
    </row>
    <row r="723" spans="1:16" x14ac:dyDescent="0.3">
      <c r="A723">
        <v>3536</v>
      </c>
      <c r="B723" t="s">
        <v>763</v>
      </c>
      <c r="C723" s="2">
        <v>57000</v>
      </c>
      <c r="D723">
        <v>21</v>
      </c>
      <c r="E723" s="2">
        <v>485300</v>
      </c>
      <c r="F723">
        <v>8.5</v>
      </c>
      <c r="G723">
        <v>8.5500000000000007</v>
      </c>
      <c r="H723">
        <v>8.4499999999999993</v>
      </c>
      <c r="I723">
        <v>8.4499999999999993</v>
      </c>
      <c r="J723" t="s">
        <v>7</v>
      </c>
      <c r="K723">
        <v>0.05</v>
      </c>
      <c r="L723">
        <v>8.43</v>
      </c>
      <c r="M723">
        <v>7</v>
      </c>
      <c r="N723">
        <v>8.4499999999999993</v>
      </c>
      <c r="O723">
        <v>3</v>
      </c>
      <c r="P723">
        <v>0</v>
      </c>
    </row>
    <row r="724" spans="1:16" x14ac:dyDescent="0.3">
      <c r="A724">
        <v>3545</v>
      </c>
      <c r="B724" t="s">
        <v>764</v>
      </c>
      <c r="C724" s="2">
        <v>5840342</v>
      </c>
      <c r="D724" s="2">
        <v>2758</v>
      </c>
      <c r="E724" s="2">
        <v>378530330</v>
      </c>
      <c r="F724">
        <v>62.1</v>
      </c>
      <c r="G724">
        <v>65.8</v>
      </c>
      <c r="H724">
        <v>61.9</v>
      </c>
      <c r="I724">
        <v>65</v>
      </c>
      <c r="J724" t="s">
        <v>10</v>
      </c>
      <c r="K724">
        <v>3.5</v>
      </c>
      <c r="L724">
        <v>64.900000000000006</v>
      </c>
      <c r="M724">
        <v>19</v>
      </c>
      <c r="N724">
        <v>65</v>
      </c>
      <c r="O724">
        <v>22</v>
      </c>
      <c r="P724">
        <v>46.76</v>
      </c>
    </row>
    <row r="725" spans="1:16" x14ac:dyDescent="0.3">
      <c r="A725">
        <v>3550</v>
      </c>
      <c r="B725" t="s">
        <v>765</v>
      </c>
      <c r="C725" s="2">
        <v>24000</v>
      </c>
      <c r="D725">
        <v>11</v>
      </c>
      <c r="E725" s="2">
        <v>317550</v>
      </c>
      <c r="F725">
        <v>13.25</v>
      </c>
      <c r="G725">
        <v>13.4</v>
      </c>
      <c r="H725">
        <v>13.2</v>
      </c>
      <c r="I725">
        <v>13.2</v>
      </c>
      <c r="K725">
        <v>0</v>
      </c>
      <c r="L725">
        <v>13.2</v>
      </c>
      <c r="M725">
        <v>4</v>
      </c>
      <c r="N725">
        <v>13.35</v>
      </c>
      <c r="O725">
        <v>3</v>
      </c>
      <c r="P725">
        <v>50.77</v>
      </c>
    </row>
    <row r="726" spans="1:16" x14ac:dyDescent="0.3">
      <c r="A726">
        <v>3557</v>
      </c>
      <c r="B726" t="s">
        <v>766</v>
      </c>
      <c r="C726" s="2">
        <v>889375</v>
      </c>
      <c r="D726">
        <v>351</v>
      </c>
      <c r="E726" s="2">
        <v>9944885</v>
      </c>
      <c r="F726">
        <v>11</v>
      </c>
      <c r="G726">
        <v>11.3</v>
      </c>
      <c r="H726">
        <v>11</v>
      </c>
      <c r="I726">
        <v>11.3</v>
      </c>
      <c r="J726" t="s">
        <v>10</v>
      </c>
      <c r="K726">
        <v>0.3</v>
      </c>
      <c r="L726">
        <v>11.3</v>
      </c>
      <c r="M726">
        <v>7</v>
      </c>
      <c r="N726">
        <v>11.35</v>
      </c>
      <c r="O726">
        <v>65</v>
      </c>
      <c r="P726">
        <v>0</v>
      </c>
    </row>
    <row r="727" spans="1:16" x14ac:dyDescent="0.3">
      <c r="A727">
        <v>3559</v>
      </c>
      <c r="B727" t="s">
        <v>767</v>
      </c>
      <c r="C727" s="2">
        <v>341990</v>
      </c>
      <c r="D727">
        <v>170</v>
      </c>
      <c r="E727" s="2">
        <v>5793530</v>
      </c>
      <c r="F727">
        <v>16.7</v>
      </c>
      <c r="G727">
        <v>17.149999999999999</v>
      </c>
      <c r="H727">
        <v>16.649999999999999</v>
      </c>
      <c r="I727">
        <v>17.100000000000001</v>
      </c>
      <c r="J727" t="s">
        <v>10</v>
      </c>
      <c r="K727">
        <v>0.45</v>
      </c>
      <c r="L727">
        <v>17.100000000000001</v>
      </c>
      <c r="M727">
        <v>1</v>
      </c>
      <c r="N727">
        <v>17.149999999999999</v>
      </c>
      <c r="O727">
        <v>13</v>
      </c>
      <c r="P727">
        <v>14.74</v>
      </c>
    </row>
    <row r="728" spans="1:16" x14ac:dyDescent="0.3">
      <c r="A728">
        <v>3561</v>
      </c>
      <c r="B728" t="s">
        <v>768</v>
      </c>
      <c r="C728" s="2">
        <v>4354669</v>
      </c>
      <c r="D728" s="2">
        <v>1701</v>
      </c>
      <c r="E728" s="2">
        <v>85035923</v>
      </c>
      <c r="F728">
        <v>19.3</v>
      </c>
      <c r="G728">
        <v>19.95</v>
      </c>
      <c r="H728">
        <v>19.149999999999999</v>
      </c>
      <c r="I728">
        <v>19.850000000000001</v>
      </c>
      <c r="J728" t="s">
        <v>10</v>
      </c>
      <c r="K728">
        <v>1.05</v>
      </c>
      <c r="L728">
        <v>19.8</v>
      </c>
      <c r="M728">
        <v>5</v>
      </c>
      <c r="N728">
        <v>19.850000000000001</v>
      </c>
      <c r="O728">
        <v>65</v>
      </c>
      <c r="P728">
        <v>0</v>
      </c>
    </row>
    <row r="729" spans="1:16" x14ac:dyDescent="0.3">
      <c r="A729">
        <v>3573</v>
      </c>
      <c r="B729" t="s">
        <v>769</v>
      </c>
      <c r="C729" s="2">
        <v>190614</v>
      </c>
      <c r="D729">
        <v>143</v>
      </c>
      <c r="E729" s="2">
        <v>5898838</v>
      </c>
      <c r="F729">
        <v>31.2</v>
      </c>
      <c r="G729">
        <v>31.25</v>
      </c>
      <c r="H729">
        <v>30.7</v>
      </c>
      <c r="I729">
        <v>30.85</v>
      </c>
      <c r="J729" t="s">
        <v>7</v>
      </c>
      <c r="K729">
        <v>0.25</v>
      </c>
      <c r="L729">
        <v>30.85</v>
      </c>
      <c r="M729">
        <v>33</v>
      </c>
      <c r="N729">
        <v>30.9</v>
      </c>
      <c r="O729">
        <v>1</v>
      </c>
      <c r="P729">
        <v>0</v>
      </c>
    </row>
    <row r="730" spans="1:16" x14ac:dyDescent="0.3">
      <c r="A730">
        <v>3576</v>
      </c>
      <c r="B730" t="s">
        <v>770</v>
      </c>
      <c r="C730" s="2">
        <v>8359361</v>
      </c>
      <c r="D730" s="2">
        <v>3509</v>
      </c>
      <c r="E730" s="2">
        <v>192297481</v>
      </c>
      <c r="F730">
        <v>22.5</v>
      </c>
      <c r="G730">
        <v>23.35</v>
      </c>
      <c r="H730">
        <v>22.5</v>
      </c>
      <c r="I730">
        <v>23.2</v>
      </c>
      <c r="J730" t="s">
        <v>10</v>
      </c>
      <c r="K730">
        <v>0.7</v>
      </c>
      <c r="L730">
        <v>23.2</v>
      </c>
      <c r="M730">
        <v>61</v>
      </c>
      <c r="N730">
        <v>23.25</v>
      </c>
      <c r="O730">
        <v>28</v>
      </c>
      <c r="P730">
        <v>0</v>
      </c>
    </row>
    <row r="731" spans="1:16" x14ac:dyDescent="0.3">
      <c r="A731">
        <v>3579</v>
      </c>
      <c r="B731" t="s">
        <v>771</v>
      </c>
      <c r="C731" s="2">
        <v>260478</v>
      </c>
      <c r="D731">
        <v>170</v>
      </c>
      <c r="E731" s="2">
        <v>5802759</v>
      </c>
      <c r="F731">
        <v>22.1</v>
      </c>
      <c r="G731">
        <v>22.5</v>
      </c>
      <c r="H731">
        <v>22</v>
      </c>
      <c r="I731">
        <v>22.5</v>
      </c>
      <c r="J731" t="s">
        <v>10</v>
      </c>
      <c r="K731">
        <v>0.7</v>
      </c>
      <c r="L731">
        <v>22.5</v>
      </c>
      <c r="M731">
        <v>3</v>
      </c>
      <c r="N731">
        <v>22.55</v>
      </c>
      <c r="O731">
        <v>2</v>
      </c>
      <c r="P731">
        <v>0</v>
      </c>
    </row>
    <row r="732" spans="1:16" x14ac:dyDescent="0.3">
      <c r="A732">
        <v>3583</v>
      </c>
      <c r="B732" t="s">
        <v>772</v>
      </c>
      <c r="C732" s="2">
        <v>245000</v>
      </c>
      <c r="D732">
        <v>186</v>
      </c>
      <c r="E732" s="2">
        <v>11060100</v>
      </c>
      <c r="F732">
        <v>44</v>
      </c>
      <c r="G732">
        <v>45.6</v>
      </c>
      <c r="H732">
        <v>44</v>
      </c>
      <c r="I732">
        <v>45.1</v>
      </c>
      <c r="J732" t="s">
        <v>7</v>
      </c>
      <c r="K732">
        <v>0.3</v>
      </c>
      <c r="L732">
        <v>45.05</v>
      </c>
      <c r="M732">
        <v>4</v>
      </c>
      <c r="N732">
        <v>45.45</v>
      </c>
      <c r="O732">
        <v>2</v>
      </c>
      <c r="P732">
        <v>20.78</v>
      </c>
    </row>
    <row r="733" spans="1:16" x14ac:dyDescent="0.3">
      <c r="A733">
        <v>3584</v>
      </c>
      <c r="B733" t="s">
        <v>773</v>
      </c>
      <c r="C733" s="2">
        <v>4839783</v>
      </c>
      <c r="D733" s="2">
        <v>2403</v>
      </c>
      <c r="E733" s="2">
        <v>165784468</v>
      </c>
      <c r="F733">
        <v>33</v>
      </c>
      <c r="G733">
        <v>34.799999999999997</v>
      </c>
      <c r="H733">
        <v>33</v>
      </c>
      <c r="I733">
        <v>34.5</v>
      </c>
      <c r="J733" t="s">
        <v>10</v>
      </c>
      <c r="K733">
        <v>1.65</v>
      </c>
      <c r="L733">
        <v>34.5</v>
      </c>
      <c r="M733">
        <v>32</v>
      </c>
      <c r="N733">
        <v>34.549999999999997</v>
      </c>
      <c r="O733">
        <v>2</v>
      </c>
      <c r="P733">
        <v>0</v>
      </c>
    </row>
    <row r="734" spans="1:16" x14ac:dyDescent="0.3">
      <c r="A734">
        <v>3588</v>
      </c>
      <c r="B734" t="s">
        <v>774</v>
      </c>
      <c r="C734" s="2">
        <v>22358</v>
      </c>
      <c r="D734">
        <v>27</v>
      </c>
      <c r="E734" s="2">
        <v>1000157</v>
      </c>
      <c r="F734">
        <v>44.9</v>
      </c>
      <c r="G734">
        <v>45.3</v>
      </c>
      <c r="H734">
        <v>44.25</v>
      </c>
      <c r="I734">
        <v>44.3</v>
      </c>
      <c r="J734" t="s">
        <v>10</v>
      </c>
      <c r="K734">
        <v>0.05</v>
      </c>
      <c r="L734">
        <v>44.35</v>
      </c>
      <c r="M734">
        <v>3</v>
      </c>
      <c r="N734">
        <v>44.7</v>
      </c>
      <c r="O734">
        <v>2</v>
      </c>
      <c r="P734">
        <v>15.77</v>
      </c>
    </row>
    <row r="735" spans="1:16" x14ac:dyDescent="0.3">
      <c r="A735">
        <v>3591</v>
      </c>
      <c r="B735" t="s">
        <v>775</v>
      </c>
      <c r="C735" s="2">
        <v>160560</v>
      </c>
      <c r="D735">
        <v>107</v>
      </c>
      <c r="E735" s="2">
        <v>5750500</v>
      </c>
      <c r="F735">
        <v>35.6</v>
      </c>
      <c r="G735">
        <v>36.049999999999997</v>
      </c>
      <c r="H735">
        <v>35.6</v>
      </c>
      <c r="I735">
        <v>35.950000000000003</v>
      </c>
      <c r="J735" t="s">
        <v>10</v>
      </c>
      <c r="K735">
        <v>0.55000000000000004</v>
      </c>
      <c r="L735">
        <v>35.9</v>
      </c>
      <c r="M735">
        <v>1</v>
      </c>
      <c r="N735">
        <v>35.950000000000003</v>
      </c>
      <c r="O735">
        <v>21</v>
      </c>
      <c r="P735">
        <v>0</v>
      </c>
    </row>
    <row r="736" spans="1:16" x14ac:dyDescent="0.3">
      <c r="A736">
        <v>3593</v>
      </c>
      <c r="B736" t="s">
        <v>776</v>
      </c>
      <c r="C736" s="2">
        <v>528400</v>
      </c>
      <c r="D736">
        <v>179</v>
      </c>
      <c r="E736" s="2">
        <v>6293590</v>
      </c>
      <c r="F736">
        <v>11.9</v>
      </c>
      <c r="G736">
        <v>12.05</v>
      </c>
      <c r="H736">
        <v>11.8</v>
      </c>
      <c r="I736">
        <v>11.95</v>
      </c>
      <c r="J736" t="s">
        <v>10</v>
      </c>
      <c r="K736">
        <v>0.05</v>
      </c>
      <c r="L736">
        <v>11.9</v>
      </c>
      <c r="M736">
        <v>1</v>
      </c>
      <c r="N736">
        <v>11.95</v>
      </c>
      <c r="O736">
        <v>3</v>
      </c>
      <c r="P736">
        <v>0</v>
      </c>
    </row>
    <row r="737" spans="1:16" x14ac:dyDescent="0.3">
      <c r="A737">
        <v>3596</v>
      </c>
      <c r="B737" t="s">
        <v>777</v>
      </c>
      <c r="C737" s="2">
        <v>1488879</v>
      </c>
      <c r="D737">
        <v>839</v>
      </c>
      <c r="E737" s="2">
        <v>65988858</v>
      </c>
      <c r="F737">
        <v>44.5</v>
      </c>
      <c r="G737">
        <v>44.65</v>
      </c>
      <c r="H737">
        <v>43.5</v>
      </c>
      <c r="I737">
        <v>44.3</v>
      </c>
      <c r="J737" t="s">
        <v>10</v>
      </c>
      <c r="K737">
        <v>0.3</v>
      </c>
      <c r="L737">
        <v>44.3</v>
      </c>
      <c r="M737">
        <v>6</v>
      </c>
      <c r="N737">
        <v>44.35</v>
      </c>
      <c r="O737">
        <v>15</v>
      </c>
      <c r="P737">
        <v>14.52</v>
      </c>
    </row>
    <row r="738" spans="1:16" x14ac:dyDescent="0.3">
      <c r="A738">
        <v>3598</v>
      </c>
      <c r="B738" t="s">
        <v>778</v>
      </c>
      <c r="C738" s="2">
        <v>915700</v>
      </c>
      <c r="D738">
        <v>700</v>
      </c>
      <c r="E738" s="2">
        <v>73643140</v>
      </c>
      <c r="F738">
        <v>79.099999999999994</v>
      </c>
      <c r="G738">
        <v>81</v>
      </c>
      <c r="H738">
        <v>79.099999999999994</v>
      </c>
      <c r="I738">
        <v>80.900000000000006</v>
      </c>
      <c r="J738" t="s">
        <v>10</v>
      </c>
      <c r="K738">
        <v>1.8</v>
      </c>
      <c r="L738">
        <v>80.900000000000006</v>
      </c>
      <c r="M738">
        <v>3</v>
      </c>
      <c r="N738">
        <v>81</v>
      </c>
      <c r="O738">
        <v>24</v>
      </c>
      <c r="P738">
        <v>9.85</v>
      </c>
    </row>
    <row r="739" spans="1:16" x14ac:dyDescent="0.3">
      <c r="A739">
        <v>3605</v>
      </c>
      <c r="B739" t="s">
        <v>779</v>
      </c>
      <c r="C739" s="2">
        <v>121350</v>
      </c>
      <c r="D739">
        <v>79</v>
      </c>
      <c r="E739" s="2">
        <v>3023966</v>
      </c>
      <c r="F739">
        <v>24.9</v>
      </c>
      <c r="G739">
        <v>25.2</v>
      </c>
      <c r="H739">
        <v>24.5</v>
      </c>
      <c r="I739">
        <v>25.1</v>
      </c>
      <c r="J739" t="s">
        <v>10</v>
      </c>
      <c r="K739">
        <v>0.2</v>
      </c>
      <c r="L739">
        <v>25.1</v>
      </c>
      <c r="M739">
        <v>13</v>
      </c>
      <c r="N739">
        <v>25.15</v>
      </c>
      <c r="O739">
        <v>4</v>
      </c>
      <c r="P739">
        <v>16.190000000000001</v>
      </c>
    </row>
    <row r="740" spans="1:16" x14ac:dyDescent="0.3">
      <c r="A740">
        <v>3607</v>
      </c>
      <c r="B740" t="s">
        <v>780</v>
      </c>
      <c r="C740" s="2">
        <v>670000</v>
      </c>
      <c r="D740">
        <v>400</v>
      </c>
      <c r="E740" s="2">
        <v>44587800</v>
      </c>
      <c r="F740">
        <v>66.3</v>
      </c>
      <c r="G740">
        <v>67</v>
      </c>
      <c r="H740">
        <v>65.5</v>
      </c>
      <c r="I740">
        <v>67</v>
      </c>
      <c r="J740" t="s">
        <v>10</v>
      </c>
      <c r="K740">
        <v>0.7</v>
      </c>
      <c r="L740">
        <v>66.8</v>
      </c>
      <c r="M740">
        <v>5</v>
      </c>
      <c r="N740">
        <v>67</v>
      </c>
      <c r="O740">
        <v>24</v>
      </c>
      <c r="P740">
        <v>14.11</v>
      </c>
    </row>
    <row r="741" spans="1:16" x14ac:dyDescent="0.3">
      <c r="A741">
        <v>3617</v>
      </c>
      <c r="B741" t="s">
        <v>781</v>
      </c>
      <c r="C741" s="2">
        <v>126085</v>
      </c>
      <c r="D741">
        <v>87</v>
      </c>
      <c r="E741" s="2">
        <v>7295281</v>
      </c>
      <c r="F741">
        <v>57.5</v>
      </c>
      <c r="G741">
        <v>58.6</v>
      </c>
      <c r="H741">
        <v>57.4</v>
      </c>
      <c r="I741">
        <v>58.5</v>
      </c>
      <c r="J741" t="s">
        <v>10</v>
      </c>
      <c r="K741">
        <v>1.6</v>
      </c>
      <c r="L741">
        <v>58.5</v>
      </c>
      <c r="M741">
        <v>1</v>
      </c>
      <c r="N741">
        <v>58.6</v>
      </c>
      <c r="O741">
        <v>1</v>
      </c>
      <c r="P741">
        <v>10.91</v>
      </c>
    </row>
    <row r="742" spans="1:16" x14ac:dyDescent="0.3">
      <c r="A742">
        <v>3622</v>
      </c>
      <c r="B742" t="s">
        <v>782</v>
      </c>
      <c r="C742" s="2">
        <v>461674</v>
      </c>
      <c r="D742">
        <v>350</v>
      </c>
      <c r="E742" s="2">
        <v>23423602</v>
      </c>
      <c r="F742">
        <v>50.6</v>
      </c>
      <c r="G742">
        <v>51.1</v>
      </c>
      <c r="H742">
        <v>50.3</v>
      </c>
      <c r="I742">
        <v>50.9</v>
      </c>
      <c r="J742" t="s">
        <v>10</v>
      </c>
      <c r="K742">
        <v>0.8</v>
      </c>
      <c r="L742">
        <v>50.8</v>
      </c>
      <c r="M742">
        <v>18</v>
      </c>
      <c r="N742">
        <v>50.9</v>
      </c>
      <c r="O742">
        <v>12</v>
      </c>
      <c r="P742">
        <v>0</v>
      </c>
    </row>
    <row r="743" spans="1:16" x14ac:dyDescent="0.3">
      <c r="A743">
        <v>3638</v>
      </c>
      <c r="B743" t="s">
        <v>783</v>
      </c>
      <c r="C743" s="2">
        <v>525086</v>
      </c>
      <c r="D743">
        <v>364</v>
      </c>
      <c r="E743" s="2">
        <v>38613536</v>
      </c>
      <c r="F743">
        <v>71.8</v>
      </c>
      <c r="G743">
        <v>74.2</v>
      </c>
      <c r="H743">
        <v>71.8</v>
      </c>
      <c r="I743">
        <v>74.099999999999994</v>
      </c>
      <c r="J743" t="s">
        <v>10</v>
      </c>
      <c r="K743">
        <v>1.4</v>
      </c>
      <c r="L743">
        <v>74</v>
      </c>
      <c r="M743">
        <v>5</v>
      </c>
      <c r="N743">
        <v>74.099999999999994</v>
      </c>
      <c r="O743">
        <v>2</v>
      </c>
      <c r="P743">
        <v>7.5</v>
      </c>
    </row>
    <row r="744" spans="1:16" x14ac:dyDescent="0.3">
      <c r="A744">
        <v>3645</v>
      </c>
      <c r="B744" t="s">
        <v>784</v>
      </c>
      <c r="C744" s="2">
        <v>55400</v>
      </c>
      <c r="D744">
        <v>37</v>
      </c>
      <c r="E744" s="2">
        <v>1629129</v>
      </c>
      <c r="F744">
        <v>29.2</v>
      </c>
      <c r="G744">
        <v>29.6</v>
      </c>
      <c r="H744">
        <v>29</v>
      </c>
      <c r="I744">
        <v>29.45</v>
      </c>
      <c r="J744" t="s">
        <v>10</v>
      </c>
      <c r="K744">
        <v>0.25</v>
      </c>
      <c r="L744">
        <v>29.4</v>
      </c>
      <c r="M744">
        <v>9</v>
      </c>
      <c r="N744">
        <v>29.45</v>
      </c>
      <c r="O744">
        <v>14</v>
      </c>
      <c r="P744">
        <v>35.06</v>
      </c>
    </row>
    <row r="745" spans="1:16" x14ac:dyDescent="0.3">
      <c r="A745">
        <v>3653</v>
      </c>
      <c r="B745" t="s">
        <v>785</v>
      </c>
      <c r="C745" s="2">
        <v>121915</v>
      </c>
      <c r="D745">
        <v>118</v>
      </c>
      <c r="E745" s="2">
        <v>7363543</v>
      </c>
      <c r="F745">
        <v>60.4</v>
      </c>
      <c r="G745">
        <v>61.1</v>
      </c>
      <c r="H745">
        <v>60</v>
      </c>
      <c r="I745">
        <v>60.6</v>
      </c>
      <c r="J745" t="s">
        <v>10</v>
      </c>
      <c r="K745">
        <v>0.2</v>
      </c>
      <c r="L745">
        <v>60.6</v>
      </c>
      <c r="M745">
        <v>1</v>
      </c>
      <c r="N745">
        <v>60.7</v>
      </c>
      <c r="O745">
        <v>2</v>
      </c>
      <c r="P745">
        <v>41.22</v>
      </c>
    </row>
    <row r="746" spans="1:16" x14ac:dyDescent="0.3">
      <c r="A746">
        <v>3665</v>
      </c>
      <c r="B746" t="s">
        <v>786</v>
      </c>
      <c r="C746" s="2">
        <v>911186</v>
      </c>
      <c r="D746">
        <v>471</v>
      </c>
      <c r="E746" s="2">
        <v>53588236</v>
      </c>
      <c r="F746">
        <v>57.7</v>
      </c>
      <c r="G746">
        <v>59.4</v>
      </c>
      <c r="H746">
        <v>57.3</v>
      </c>
      <c r="I746">
        <v>58.8</v>
      </c>
      <c r="J746" t="s">
        <v>10</v>
      </c>
      <c r="K746">
        <v>0.9</v>
      </c>
      <c r="L746">
        <v>58.7</v>
      </c>
      <c r="M746">
        <v>18</v>
      </c>
      <c r="N746">
        <v>58.8</v>
      </c>
      <c r="O746">
        <v>13</v>
      </c>
      <c r="P746">
        <v>12.62</v>
      </c>
    </row>
    <row r="747" spans="1:16" x14ac:dyDescent="0.3">
      <c r="A747">
        <v>3669</v>
      </c>
      <c r="B747" t="s">
        <v>787</v>
      </c>
      <c r="C747" s="2">
        <v>98000</v>
      </c>
      <c r="D747">
        <v>25</v>
      </c>
      <c r="E747" s="2">
        <v>1986150</v>
      </c>
      <c r="F747">
        <v>20.5</v>
      </c>
      <c r="G747">
        <v>20.55</v>
      </c>
      <c r="H747">
        <v>20.149999999999999</v>
      </c>
      <c r="I747">
        <v>20.45</v>
      </c>
      <c r="J747" t="s">
        <v>7</v>
      </c>
      <c r="K747">
        <v>0.1</v>
      </c>
      <c r="L747">
        <v>20.399999999999999</v>
      </c>
      <c r="M747">
        <v>1</v>
      </c>
      <c r="N747">
        <v>20.45</v>
      </c>
      <c r="O747">
        <v>1</v>
      </c>
      <c r="P747">
        <v>47.56</v>
      </c>
    </row>
    <row r="748" spans="1:16" x14ac:dyDescent="0.3">
      <c r="A748">
        <v>3673</v>
      </c>
      <c r="B748" t="s">
        <v>788</v>
      </c>
      <c r="C748" s="2">
        <v>2079702</v>
      </c>
      <c r="D748" s="2">
        <v>1663</v>
      </c>
      <c r="E748" s="2">
        <v>998980108</v>
      </c>
      <c r="F748">
        <v>476</v>
      </c>
      <c r="G748">
        <v>487.5</v>
      </c>
      <c r="H748">
        <v>472</v>
      </c>
      <c r="I748">
        <v>483</v>
      </c>
      <c r="J748" t="s">
        <v>10</v>
      </c>
      <c r="K748">
        <v>3</v>
      </c>
      <c r="L748">
        <v>483</v>
      </c>
      <c r="M748">
        <v>14</v>
      </c>
      <c r="N748">
        <v>484</v>
      </c>
      <c r="O748">
        <v>4</v>
      </c>
      <c r="P748">
        <v>9.98</v>
      </c>
    </row>
    <row r="749" spans="1:16" x14ac:dyDescent="0.3">
      <c r="A749">
        <v>3679</v>
      </c>
      <c r="B749" t="s">
        <v>789</v>
      </c>
      <c r="C749" s="2">
        <v>25500</v>
      </c>
      <c r="D749">
        <v>25</v>
      </c>
      <c r="E749" s="2">
        <v>1244700</v>
      </c>
      <c r="F749">
        <v>49</v>
      </c>
      <c r="G749">
        <v>49.5</v>
      </c>
      <c r="H749">
        <v>48</v>
      </c>
      <c r="I749">
        <v>49.2</v>
      </c>
      <c r="J749" t="s">
        <v>10</v>
      </c>
      <c r="K749">
        <v>1</v>
      </c>
      <c r="L749">
        <v>49.3</v>
      </c>
      <c r="M749">
        <v>1</v>
      </c>
      <c r="N749">
        <v>49.4</v>
      </c>
      <c r="O749">
        <v>5</v>
      </c>
      <c r="P749">
        <v>10.86</v>
      </c>
    </row>
    <row r="750" spans="1:16" x14ac:dyDescent="0.3">
      <c r="A750">
        <v>3686</v>
      </c>
      <c r="B750" t="s">
        <v>790</v>
      </c>
      <c r="C750" s="2">
        <v>2197335</v>
      </c>
      <c r="D750">
        <v>809</v>
      </c>
      <c r="E750" s="2">
        <v>24946699</v>
      </c>
      <c r="F750">
        <v>11.2</v>
      </c>
      <c r="G750">
        <v>11.45</v>
      </c>
      <c r="H750">
        <v>11.15</v>
      </c>
      <c r="I750">
        <v>11.45</v>
      </c>
      <c r="J750" t="s">
        <v>10</v>
      </c>
      <c r="K750">
        <v>0.35</v>
      </c>
      <c r="L750">
        <v>11.4</v>
      </c>
      <c r="M750">
        <v>87</v>
      </c>
      <c r="N750">
        <v>11.45</v>
      </c>
      <c r="O750">
        <v>21</v>
      </c>
      <c r="P750">
        <v>0</v>
      </c>
    </row>
    <row r="751" spans="1:16" x14ac:dyDescent="0.3">
      <c r="A751">
        <v>3694</v>
      </c>
      <c r="B751" t="s">
        <v>791</v>
      </c>
      <c r="C751" s="2">
        <v>142000</v>
      </c>
      <c r="D751">
        <v>72</v>
      </c>
      <c r="E751" s="2">
        <v>2565150</v>
      </c>
      <c r="F751">
        <v>18.100000000000001</v>
      </c>
      <c r="G751">
        <v>18.149999999999999</v>
      </c>
      <c r="H751">
        <v>18</v>
      </c>
      <c r="I751">
        <v>18.149999999999999</v>
      </c>
      <c r="J751" t="s">
        <v>10</v>
      </c>
      <c r="K751">
        <v>0.05</v>
      </c>
      <c r="L751">
        <v>18.100000000000001</v>
      </c>
      <c r="M751">
        <v>16</v>
      </c>
      <c r="N751">
        <v>18.149999999999999</v>
      </c>
      <c r="O751">
        <v>3</v>
      </c>
      <c r="P751">
        <v>0</v>
      </c>
    </row>
    <row r="752" spans="1:16" x14ac:dyDescent="0.3">
      <c r="A752">
        <v>3697</v>
      </c>
      <c r="B752" t="s">
        <v>792</v>
      </c>
      <c r="C752" s="2">
        <v>1115424</v>
      </c>
      <c r="D752">
        <v>846</v>
      </c>
      <c r="E752" s="2">
        <v>244153139</v>
      </c>
      <c r="F752">
        <v>218.5</v>
      </c>
      <c r="G752">
        <v>220</v>
      </c>
      <c r="H752">
        <v>217</v>
      </c>
      <c r="I752">
        <v>218.5</v>
      </c>
      <c r="J752" t="s">
        <v>10</v>
      </c>
      <c r="K752">
        <v>2.5</v>
      </c>
      <c r="L752">
        <v>218.5</v>
      </c>
      <c r="M752">
        <v>25</v>
      </c>
      <c r="N752">
        <v>219</v>
      </c>
      <c r="O752">
        <v>5</v>
      </c>
      <c r="P752">
        <v>28.67</v>
      </c>
    </row>
    <row r="753" spans="1:16" x14ac:dyDescent="0.3">
      <c r="A753">
        <v>3698</v>
      </c>
      <c r="B753" t="s">
        <v>793</v>
      </c>
      <c r="C753" s="2">
        <v>3056294</v>
      </c>
      <c r="D753" s="2">
        <v>1398</v>
      </c>
      <c r="E753" s="2">
        <v>83992828</v>
      </c>
      <c r="F753">
        <v>27.1</v>
      </c>
      <c r="G753">
        <v>27.75</v>
      </c>
      <c r="H753">
        <v>27.1</v>
      </c>
      <c r="I753">
        <v>27.65</v>
      </c>
      <c r="J753" t="s">
        <v>10</v>
      </c>
      <c r="K753">
        <v>0.65</v>
      </c>
      <c r="L753">
        <v>27.65</v>
      </c>
      <c r="M753">
        <v>7</v>
      </c>
      <c r="N753">
        <v>27.7</v>
      </c>
      <c r="O753">
        <v>49</v>
      </c>
      <c r="P753">
        <v>19.75</v>
      </c>
    </row>
    <row r="754" spans="1:16" x14ac:dyDescent="0.3">
      <c r="A754">
        <v>3701</v>
      </c>
      <c r="B754" t="s">
        <v>794</v>
      </c>
      <c r="C754" s="2">
        <v>4757</v>
      </c>
      <c r="D754">
        <v>10</v>
      </c>
      <c r="E754" s="2">
        <v>36635</v>
      </c>
      <c r="F754">
        <v>7.83</v>
      </c>
      <c r="G754">
        <v>7.83</v>
      </c>
      <c r="H754">
        <v>7.51</v>
      </c>
      <c r="I754">
        <v>7.77</v>
      </c>
      <c r="J754" t="s">
        <v>7</v>
      </c>
      <c r="K754">
        <v>0.06</v>
      </c>
      <c r="L754">
        <v>7.59</v>
      </c>
      <c r="M754">
        <v>1</v>
      </c>
      <c r="N754">
        <v>7.83</v>
      </c>
      <c r="O754">
        <v>6</v>
      </c>
      <c r="P754">
        <v>0</v>
      </c>
    </row>
    <row r="755" spans="1:16" x14ac:dyDescent="0.3">
      <c r="A755">
        <v>3702</v>
      </c>
      <c r="B755" t="s">
        <v>795</v>
      </c>
      <c r="C755" s="2">
        <v>2779937</v>
      </c>
      <c r="D755" s="2">
        <v>1234</v>
      </c>
      <c r="E755" s="2">
        <v>98661611</v>
      </c>
      <c r="F755">
        <v>35.299999999999997</v>
      </c>
      <c r="G755">
        <v>35.700000000000003</v>
      </c>
      <c r="H755">
        <v>35.1</v>
      </c>
      <c r="I755">
        <v>35.5</v>
      </c>
      <c r="K755">
        <v>0</v>
      </c>
      <c r="L755">
        <v>35.5</v>
      </c>
      <c r="M755">
        <v>46</v>
      </c>
      <c r="N755">
        <v>35.6</v>
      </c>
      <c r="O755">
        <v>42</v>
      </c>
      <c r="P755">
        <v>12.86</v>
      </c>
    </row>
    <row r="756" spans="1:16" x14ac:dyDescent="0.3">
      <c r="A756">
        <v>3703</v>
      </c>
      <c r="B756" t="s">
        <v>796</v>
      </c>
      <c r="C756" s="2">
        <v>580502</v>
      </c>
      <c r="D756">
        <v>150</v>
      </c>
      <c r="E756" s="2">
        <v>6391272</v>
      </c>
      <c r="F756">
        <v>11</v>
      </c>
      <c r="G756">
        <v>11.05</v>
      </c>
      <c r="H756">
        <v>10.95</v>
      </c>
      <c r="I756">
        <v>11</v>
      </c>
      <c r="K756">
        <v>0</v>
      </c>
      <c r="L756">
        <v>11</v>
      </c>
      <c r="M756">
        <v>180</v>
      </c>
      <c r="N756">
        <v>11.05</v>
      </c>
      <c r="O756">
        <v>33</v>
      </c>
      <c r="P756">
        <v>13.41</v>
      </c>
    </row>
    <row r="757" spans="1:16" x14ac:dyDescent="0.3">
      <c r="A757">
        <v>3704</v>
      </c>
      <c r="B757" t="s">
        <v>797</v>
      </c>
      <c r="C757" s="2">
        <v>195900</v>
      </c>
      <c r="D757">
        <v>114</v>
      </c>
      <c r="E757" s="2">
        <v>2634955</v>
      </c>
      <c r="F757">
        <v>13.55</v>
      </c>
      <c r="G757">
        <v>13.55</v>
      </c>
      <c r="H757">
        <v>13.35</v>
      </c>
      <c r="I757">
        <v>13.5</v>
      </c>
      <c r="J757" t="s">
        <v>10</v>
      </c>
      <c r="K757">
        <v>0.2</v>
      </c>
      <c r="L757">
        <v>13.45</v>
      </c>
      <c r="M757">
        <v>15</v>
      </c>
      <c r="N757">
        <v>13.5</v>
      </c>
      <c r="O757">
        <v>28</v>
      </c>
      <c r="P757">
        <v>0</v>
      </c>
    </row>
    <row r="758" spans="1:16" x14ac:dyDescent="0.3">
      <c r="A758">
        <v>3705</v>
      </c>
      <c r="B758" t="s">
        <v>798</v>
      </c>
      <c r="C758" s="2">
        <v>210002</v>
      </c>
      <c r="D758">
        <v>120</v>
      </c>
      <c r="E758" s="2">
        <v>8911988</v>
      </c>
      <c r="F758">
        <v>42</v>
      </c>
      <c r="G758">
        <v>42.7</v>
      </c>
      <c r="H758">
        <v>42</v>
      </c>
      <c r="I758">
        <v>42.5</v>
      </c>
      <c r="J758" t="s">
        <v>10</v>
      </c>
      <c r="K758">
        <v>0.5</v>
      </c>
      <c r="L758">
        <v>42.5</v>
      </c>
      <c r="M758">
        <v>5</v>
      </c>
      <c r="N758">
        <v>42.55</v>
      </c>
      <c r="O758">
        <v>2</v>
      </c>
      <c r="P758">
        <v>22.97</v>
      </c>
    </row>
    <row r="759" spans="1:16" x14ac:dyDescent="0.3">
      <c r="A759">
        <v>4104</v>
      </c>
      <c r="B759" t="s">
        <v>799</v>
      </c>
      <c r="C759" s="2">
        <v>185292</v>
      </c>
      <c r="D759">
        <v>161</v>
      </c>
      <c r="E759" s="2">
        <v>9592804</v>
      </c>
      <c r="F759">
        <v>51</v>
      </c>
      <c r="G759">
        <v>52.3</v>
      </c>
      <c r="H759">
        <v>51</v>
      </c>
      <c r="I759">
        <v>51.8</v>
      </c>
      <c r="J759" t="s">
        <v>10</v>
      </c>
      <c r="K759">
        <v>0.8</v>
      </c>
      <c r="L759">
        <v>51.8</v>
      </c>
      <c r="M759">
        <v>1</v>
      </c>
      <c r="N759">
        <v>52</v>
      </c>
      <c r="O759">
        <v>2</v>
      </c>
      <c r="P759">
        <v>22.23</v>
      </c>
    </row>
    <row r="760" spans="1:16" x14ac:dyDescent="0.3">
      <c r="A760">
        <v>4106</v>
      </c>
      <c r="B760" t="s">
        <v>800</v>
      </c>
      <c r="C760" s="2">
        <v>2093928</v>
      </c>
      <c r="D760" s="2">
        <v>1208</v>
      </c>
      <c r="E760" s="2">
        <v>71321569</v>
      </c>
      <c r="F760">
        <v>33.1</v>
      </c>
      <c r="G760">
        <v>34.4</v>
      </c>
      <c r="H760">
        <v>33.1</v>
      </c>
      <c r="I760">
        <v>34.4</v>
      </c>
      <c r="J760" t="s">
        <v>10</v>
      </c>
      <c r="K760">
        <v>1.65</v>
      </c>
      <c r="L760">
        <v>34.299999999999997</v>
      </c>
      <c r="M760">
        <v>4</v>
      </c>
      <c r="N760">
        <v>34.4</v>
      </c>
      <c r="O760">
        <v>15</v>
      </c>
      <c r="P760">
        <v>15.78</v>
      </c>
    </row>
    <row r="761" spans="1:16" x14ac:dyDescent="0.3">
      <c r="A761">
        <v>4108</v>
      </c>
      <c r="B761" t="s">
        <v>801</v>
      </c>
      <c r="C761" s="2">
        <v>631076</v>
      </c>
      <c r="D761">
        <v>418</v>
      </c>
      <c r="E761" s="2">
        <v>26173642</v>
      </c>
      <c r="F761">
        <v>40.35</v>
      </c>
      <c r="G761">
        <v>42</v>
      </c>
      <c r="H761">
        <v>40.35</v>
      </c>
      <c r="I761">
        <v>42</v>
      </c>
      <c r="J761" t="s">
        <v>10</v>
      </c>
      <c r="K761">
        <v>1.65</v>
      </c>
      <c r="L761">
        <v>41.9</v>
      </c>
      <c r="M761">
        <v>1</v>
      </c>
      <c r="N761">
        <v>42</v>
      </c>
      <c r="O761">
        <v>26</v>
      </c>
      <c r="P761">
        <v>0</v>
      </c>
    </row>
    <row r="762" spans="1:16" x14ac:dyDescent="0.3">
      <c r="A762">
        <v>4119</v>
      </c>
      <c r="B762" t="s">
        <v>802</v>
      </c>
      <c r="C762" s="2">
        <v>116580</v>
      </c>
      <c r="D762">
        <v>109</v>
      </c>
      <c r="E762" s="2">
        <v>8146863</v>
      </c>
      <c r="F762">
        <v>69.2</v>
      </c>
      <c r="G762">
        <v>70.8</v>
      </c>
      <c r="H762">
        <v>69.2</v>
      </c>
      <c r="I762">
        <v>70.8</v>
      </c>
      <c r="J762" t="s">
        <v>10</v>
      </c>
      <c r="K762">
        <v>2.2999999999999998</v>
      </c>
      <c r="L762">
        <v>70.099999999999994</v>
      </c>
      <c r="M762">
        <v>2</v>
      </c>
      <c r="N762">
        <v>70.8</v>
      </c>
      <c r="O762">
        <v>1</v>
      </c>
      <c r="P762">
        <v>18.25</v>
      </c>
    </row>
    <row r="763" spans="1:16" x14ac:dyDescent="0.3">
      <c r="A763">
        <v>4133</v>
      </c>
      <c r="B763" t="s">
        <v>803</v>
      </c>
      <c r="C763" s="2">
        <v>176064</v>
      </c>
      <c r="D763">
        <v>131</v>
      </c>
      <c r="E763" s="2">
        <v>8210316</v>
      </c>
      <c r="F763">
        <v>46.2</v>
      </c>
      <c r="G763">
        <v>46.8</v>
      </c>
      <c r="H763">
        <v>46.2</v>
      </c>
      <c r="I763">
        <v>46.8</v>
      </c>
      <c r="J763" t="s">
        <v>10</v>
      </c>
      <c r="K763">
        <v>0.8</v>
      </c>
      <c r="L763">
        <v>46.7</v>
      </c>
      <c r="M763">
        <v>2</v>
      </c>
      <c r="N763">
        <v>46.8</v>
      </c>
      <c r="O763">
        <v>16</v>
      </c>
      <c r="P763">
        <v>37.44</v>
      </c>
    </row>
    <row r="764" spans="1:16" x14ac:dyDescent="0.3">
      <c r="A764">
        <v>4141</v>
      </c>
      <c r="B764" t="s">
        <v>804</v>
      </c>
      <c r="C764" s="2">
        <v>196142</v>
      </c>
      <c r="D764">
        <v>116</v>
      </c>
      <c r="E764" s="2">
        <v>11351865</v>
      </c>
      <c r="F764">
        <v>58</v>
      </c>
      <c r="G764">
        <v>58.3</v>
      </c>
      <c r="H764">
        <v>57.5</v>
      </c>
      <c r="I764">
        <v>57.8</v>
      </c>
      <c r="J764" t="s">
        <v>7</v>
      </c>
      <c r="K764">
        <v>0.2</v>
      </c>
      <c r="L764">
        <v>57.7</v>
      </c>
      <c r="M764">
        <v>12</v>
      </c>
      <c r="N764">
        <v>58</v>
      </c>
      <c r="O764">
        <v>8</v>
      </c>
      <c r="P764">
        <v>20.64</v>
      </c>
    </row>
    <row r="765" spans="1:16" x14ac:dyDescent="0.3">
      <c r="A765">
        <v>4142</v>
      </c>
      <c r="B765" t="s">
        <v>805</v>
      </c>
      <c r="C765" s="2">
        <v>910000</v>
      </c>
      <c r="D765">
        <v>483</v>
      </c>
      <c r="E765" s="2">
        <v>34842000</v>
      </c>
      <c r="F765">
        <v>37.799999999999997</v>
      </c>
      <c r="G765">
        <v>38.6</v>
      </c>
      <c r="H765">
        <v>37.799999999999997</v>
      </c>
      <c r="I765">
        <v>38.200000000000003</v>
      </c>
      <c r="J765" t="s">
        <v>10</v>
      </c>
      <c r="K765">
        <v>0.6</v>
      </c>
      <c r="L765">
        <v>38.15</v>
      </c>
      <c r="M765">
        <v>14</v>
      </c>
      <c r="N765">
        <v>38.200000000000003</v>
      </c>
      <c r="O765">
        <v>4</v>
      </c>
      <c r="P765">
        <v>0</v>
      </c>
    </row>
    <row r="766" spans="1:16" x14ac:dyDescent="0.3">
      <c r="A766">
        <v>4144</v>
      </c>
      <c r="B766" t="s">
        <v>806</v>
      </c>
      <c r="C766" s="2">
        <v>220100</v>
      </c>
      <c r="D766">
        <v>185</v>
      </c>
      <c r="E766" s="2">
        <v>15534900</v>
      </c>
      <c r="F766">
        <v>69.8</v>
      </c>
      <c r="G766">
        <v>71.099999999999994</v>
      </c>
      <c r="H766">
        <v>69.599999999999994</v>
      </c>
      <c r="I766">
        <v>70.900000000000006</v>
      </c>
      <c r="J766" t="s">
        <v>10</v>
      </c>
      <c r="K766">
        <v>1.3</v>
      </c>
      <c r="L766">
        <v>70.8</v>
      </c>
      <c r="M766">
        <v>26</v>
      </c>
      <c r="N766">
        <v>70.900000000000006</v>
      </c>
      <c r="O766">
        <v>1</v>
      </c>
      <c r="P766">
        <v>14.12</v>
      </c>
    </row>
    <row r="767" spans="1:16" x14ac:dyDescent="0.3">
      <c r="A767">
        <v>4164</v>
      </c>
      <c r="B767" t="s">
        <v>807</v>
      </c>
      <c r="C767" s="2">
        <v>391185</v>
      </c>
      <c r="D767">
        <v>337</v>
      </c>
      <c r="E767" s="2">
        <v>31484898</v>
      </c>
      <c r="F767">
        <v>80.400000000000006</v>
      </c>
      <c r="G767">
        <v>81</v>
      </c>
      <c r="H767">
        <v>79.900000000000006</v>
      </c>
      <c r="I767">
        <v>80.8</v>
      </c>
      <c r="J767" t="s">
        <v>10</v>
      </c>
      <c r="K767">
        <v>1.1000000000000001</v>
      </c>
      <c r="L767">
        <v>80.8</v>
      </c>
      <c r="M767">
        <v>4</v>
      </c>
      <c r="N767">
        <v>80.900000000000006</v>
      </c>
      <c r="O767">
        <v>7</v>
      </c>
      <c r="P767">
        <v>22.51</v>
      </c>
    </row>
    <row r="768" spans="1:16" x14ac:dyDescent="0.3">
      <c r="A768">
        <v>4306</v>
      </c>
      <c r="B768" t="s">
        <v>808</v>
      </c>
      <c r="C768" s="2">
        <v>664057</v>
      </c>
      <c r="D768">
        <v>230</v>
      </c>
      <c r="E768" s="2">
        <v>13777470</v>
      </c>
      <c r="F768">
        <v>20.75</v>
      </c>
      <c r="G768">
        <v>20.85</v>
      </c>
      <c r="H768">
        <v>20.7</v>
      </c>
      <c r="I768">
        <v>20.8</v>
      </c>
      <c r="J768" t="s">
        <v>10</v>
      </c>
      <c r="K768">
        <v>0.05</v>
      </c>
      <c r="L768">
        <v>20.75</v>
      </c>
      <c r="M768">
        <v>14</v>
      </c>
      <c r="N768">
        <v>20.8</v>
      </c>
      <c r="O768">
        <v>39</v>
      </c>
      <c r="P768">
        <v>18.09</v>
      </c>
    </row>
    <row r="769" spans="1:16" x14ac:dyDescent="0.3">
      <c r="A769">
        <v>4414</v>
      </c>
      <c r="B769" t="s">
        <v>809</v>
      </c>
      <c r="C769" s="2">
        <v>918000</v>
      </c>
      <c r="D769">
        <v>239</v>
      </c>
      <c r="E769" s="2">
        <v>11097100</v>
      </c>
      <c r="F769">
        <v>12.05</v>
      </c>
      <c r="G769">
        <v>12.25</v>
      </c>
      <c r="H769">
        <v>11.9</v>
      </c>
      <c r="I769">
        <v>12</v>
      </c>
      <c r="J769" t="s">
        <v>10</v>
      </c>
      <c r="K769">
        <v>0.15</v>
      </c>
      <c r="L769">
        <v>12</v>
      </c>
      <c r="M769">
        <v>27</v>
      </c>
      <c r="N769">
        <v>12.05</v>
      </c>
      <c r="O769">
        <v>1</v>
      </c>
      <c r="P769">
        <v>10.17</v>
      </c>
    </row>
    <row r="770" spans="1:16" x14ac:dyDescent="0.3">
      <c r="A770">
        <v>4426</v>
      </c>
      <c r="B770" t="s">
        <v>810</v>
      </c>
      <c r="C770" s="2">
        <v>134626</v>
      </c>
      <c r="D770">
        <v>93</v>
      </c>
      <c r="E770" s="2">
        <v>4330386</v>
      </c>
      <c r="F770">
        <v>31.2</v>
      </c>
      <c r="G770">
        <v>32.700000000000003</v>
      </c>
      <c r="H770">
        <v>31.15</v>
      </c>
      <c r="I770">
        <v>32.5</v>
      </c>
      <c r="J770" t="s">
        <v>10</v>
      </c>
      <c r="K770">
        <v>1.2</v>
      </c>
      <c r="L770">
        <v>32.35</v>
      </c>
      <c r="M770">
        <v>7</v>
      </c>
      <c r="N770">
        <v>32.5</v>
      </c>
      <c r="O770">
        <v>2</v>
      </c>
      <c r="P770">
        <v>11.82</v>
      </c>
    </row>
    <row r="771" spans="1:16" x14ac:dyDescent="0.3">
      <c r="A771">
        <v>4526</v>
      </c>
      <c r="B771" t="s">
        <v>811</v>
      </c>
      <c r="C771" s="2">
        <v>248003</v>
      </c>
      <c r="D771">
        <v>119</v>
      </c>
      <c r="E771" s="2">
        <v>5768617</v>
      </c>
      <c r="F771">
        <v>23.1</v>
      </c>
      <c r="G771">
        <v>23.55</v>
      </c>
      <c r="H771">
        <v>23.1</v>
      </c>
      <c r="I771">
        <v>23.5</v>
      </c>
      <c r="J771" t="s">
        <v>10</v>
      </c>
      <c r="K771">
        <v>0.4</v>
      </c>
      <c r="L771">
        <v>23.5</v>
      </c>
      <c r="M771">
        <v>2</v>
      </c>
      <c r="N771">
        <v>23.55</v>
      </c>
      <c r="O771">
        <v>1</v>
      </c>
      <c r="P771">
        <v>27.65</v>
      </c>
    </row>
    <row r="772" spans="1:16" x14ac:dyDescent="0.3">
      <c r="A772">
        <v>4532</v>
      </c>
      <c r="B772" t="s">
        <v>812</v>
      </c>
      <c r="C772" s="2">
        <v>2014631</v>
      </c>
      <c r="D772">
        <v>802</v>
      </c>
      <c r="E772" s="2">
        <v>52968510</v>
      </c>
      <c r="F772">
        <v>26.45</v>
      </c>
      <c r="G772">
        <v>26.85</v>
      </c>
      <c r="H772">
        <v>26.05</v>
      </c>
      <c r="I772">
        <v>26.8</v>
      </c>
      <c r="J772" t="s">
        <v>10</v>
      </c>
      <c r="K772">
        <v>0.35</v>
      </c>
      <c r="L772">
        <v>26.8</v>
      </c>
      <c r="M772">
        <v>12</v>
      </c>
      <c r="N772">
        <v>26.85</v>
      </c>
      <c r="O772">
        <v>17</v>
      </c>
      <c r="P772">
        <v>13.27</v>
      </c>
    </row>
    <row r="773" spans="1:16" x14ac:dyDescent="0.3">
      <c r="A773">
        <v>4722</v>
      </c>
      <c r="B773" t="s">
        <v>813</v>
      </c>
      <c r="C773" s="2">
        <v>4737650</v>
      </c>
      <c r="D773" s="2">
        <v>2742</v>
      </c>
      <c r="E773" s="2">
        <v>144549686</v>
      </c>
      <c r="F773">
        <v>30.15</v>
      </c>
      <c r="G773">
        <v>31.25</v>
      </c>
      <c r="H773">
        <v>29.5</v>
      </c>
      <c r="I773">
        <v>30.7</v>
      </c>
      <c r="J773" t="s">
        <v>10</v>
      </c>
      <c r="K773">
        <v>0.15</v>
      </c>
      <c r="L773">
        <v>30.7</v>
      </c>
      <c r="M773">
        <v>53</v>
      </c>
      <c r="N773">
        <v>30.75</v>
      </c>
      <c r="O773">
        <v>8</v>
      </c>
      <c r="P773">
        <v>13.89</v>
      </c>
    </row>
    <row r="774" spans="1:16" x14ac:dyDescent="0.3">
      <c r="A774">
        <v>4725</v>
      </c>
      <c r="B774" t="s">
        <v>814</v>
      </c>
      <c r="C774" s="2">
        <v>733105</v>
      </c>
      <c r="D774">
        <v>408</v>
      </c>
      <c r="E774" s="2">
        <v>20851279</v>
      </c>
      <c r="F774">
        <v>28.1</v>
      </c>
      <c r="G774">
        <v>28.85</v>
      </c>
      <c r="H774">
        <v>28.1</v>
      </c>
      <c r="I774">
        <v>28.55</v>
      </c>
      <c r="J774" t="s">
        <v>10</v>
      </c>
      <c r="K774">
        <v>0.5</v>
      </c>
      <c r="L774">
        <v>28.55</v>
      </c>
      <c r="M774">
        <v>51</v>
      </c>
      <c r="N774">
        <v>28.6</v>
      </c>
      <c r="O774">
        <v>2</v>
      </c>
      <c r="P774">
        <v>0</v>
      </c>
    </row>
    <row r="775" spans="1:16" x14ac:dyDescent="0.3">
      <c r="A775">
        <v>4733</v>
      </c>
      <c r="B775" t="s">
        <v>815</v>
      </c>
      <c r="C775" s="2">
        <v>44799</v>
      </c>
      <c r="D775">
        <v>40</v>
      </c>
      <c r="E775" s="2">
        <v>1973925</v>
      </c>
      <c r="F775">
        <v>43.6</v>
      </c>
      <c r="G775">
        <v>44.95</v>
      </c>
      <c r="H775">
        <v>43.6</v>
      </c>
      <c r="I775">
        <v>44</v>
      </c>
      <c r="K775">
        <v>0</v>
      </c>
      <c r="L775">
        <v>43.9</v>
      </c>
      <c r="M775">
        <v>1</v>
      </c>
      <c r="N775">
        <v>44</v>
      </c>
      <c r="O775">
        <v>15</v>
      </c>
      <c r="P775">
        <v>14.43</v>
      </c>
    </row>
    <row r="776" spans="1:16" x14ac:dyDescent="0.3">
      <c r="A776">
        <v>4737</v>
      </c>
      <c r="B776" t="s">
        <v>816</v>
      </c>
      <c r="C776" s="2">
        <v>20000</v>
      </c>
      <c r="D776">
        <v>15</v>
      </c>
      <c r="E776" s="2">
        <v>1156500</v>
      </c>
      <c r="F776">
        <v>57.8</v>
      </c>
      <c r="G776">
        <v>58.2</v>
      </c>
      <c r="H776">
        <v>57.7</v>
      </c>
      <c r="I776">
        <v>58.2</v>
      </c>
      <c r="J776" t="s">
        <v>10</v>
      </c>
      <c r="K776">
        <v>0.3</v>
      </c>
      <c r="L776">
        <v>57.9</v>
      </c>
      <c r="M776">
        <v>2</v>
      </c>
      <c r="N776">
        <v>58.3</v>
      </c>
      <c r="O776">
        <v>1</v>
      </c>
      <c r="P776">
        <v>47.32</v>
      </c>
    </row>
    <row r="777" spans="1:16" x14ac:dyDescent="0.3">
      <c r="A777">
        <v>4746</v>
      </c>
      <c r="B777" t="s">
        <v>817</v>
      </c>
      <c r="C777" s="2">
        <v>160000</v>
      </c>
      <c r="D777">
        <v>101</v>
      </c>
      <c r="E777" s="2">
        <v>7362600</v>
      </c>
      <c r="F777">
        <v>45.9</v>
      </c>
      <c r="G777">
        <v>46.45</v>
      </c>
      <c r="H777">
        <v>45.9</v>
      </c>
      <c r="I777">
        <v>46.2</v>
      </c>
      <c r="J777" t="s">
        <v>10</v>
      </c>
      <c r="K777">
        <v>0.3</v>
      </c>
      <c r="L777">
        <v>46.1</v>
      </c>
      <c r="M777">
        <v>2</v>
      </c>
      <c r="N777">
        <v>46.35</v>
      </c>
      <c r="O777">
        <v>3</v>
      </c>
      <c r="P777">
        <v>0</v>
      </c>
    </row>
    <row r="778" spans="1:16" x14ac:dyDescent="0.3">
      <c r="A778">
        <v>4904</v>
      </c>
      <c r="B778" t="s">
        <v>818</v>
      </c>
      <c r="C778" s="2">
        <v>4726373</v>
      </c>
      <c r="D778" s="2">
        <v>1710</v>
      </c>
      <c r="E778" s="2">
        <v>371718796</v>
      </c>
      <c r="F778">
        <v>79.5</v>
      </c>
      <c r="G778">
        <v>79.5</v>
      </c>
      <c r="H778">
        <v>78.099999999999994</v>
      </c>
      <c r="I778">
        <v>78.599999999999994</v>
      </c>
      <c r="J778" t="s">
        <v>7</v>
      </c>
      <c r="K778">
        <v>1.9</v>
      </c>
      <c r="L778">
        <v>78.599999999999994</v>
      </c>
      <c r="M778">
        <v>181</v>
      </c>
      <c r="N778">
        <v>79</v>
      </c>
      <c r="O778">
        <v>241</v>
      </c>
      <c r="P778">
        <v>23.32</v>
      </c>
    </row>
    <row r="779" spans="1:16" x14ac:dyDescent="0.3">
      <c r="A779">
        <v>4906</v>
      </c>
      <c r="B779" t="s">
        <v>819</v>
      </c>
      <c r="C779" s="2">
        <v>1166726</v>
      </c>
      <c r="D779">
        <v>700</v>
      </c>
      <c r="E779" s="2">
        <v>37878831</v>
      </c>
      <c r="F779">
        <v>32.1</v>
      </c>
      <c r="G779">
        <v>32.85</v>
      </c>
      <c r="H779">
        <v>32.1</v>
      </c>
      <c r="I779">
        <v>32.85</v>
      </c>
      <c r="J779" t="s">
        <v>10</v>
      </c>
      <c r="K779">
        <v>0.95</v>
      </c>
      <c r="L779">
        <v>32.799999999999997</v>
      </c>
      <c r="M779">
        <v>1</v>
      </c>
      <c r="N779">
        <v>32.85</v>
      </c>
      <c r="O779">
        <v>55</v>
      </c>
      <c r="P779">
        <v>9.84</v>
      </c>
    </row>
    <row r="780" spans="1:16" x14ac:dyDescent="0.3">
      <c r="A780">
        <v>4915</v>
      </c>
      <c r="B780" t="s">
        <v>820</v>
      </c>
      <c r="C780" s="2">
        <v>448000</v>
      </c>
      <c r="D780">
        <v>248</v>
      </c>
      <c r="E780" s="2">
        <v>11538350</v>
      </c>
      <c r="F780">
        <v>25.6</v>
      </c>
      <c r="G780">
        <v>25.85</v>
      </c>
      <c r="H780">
        <v>25.6</v>
      </c>
      <c r="I780">
        <v>25.8</v>
      </c>
      <c r="J780" t="s">
        <v>10</v>
      </c>
      <c r="K780">
        <v>0.25</v>
      </c>
      <c r="L780">
        <v>25.75</v>
      </c>
      <c r="M780">
        <v>7</v>
      </c>
      <c r="N780">
        <v>25.8</v>
      </c>
      <c r="O780">
        <v>34</v>
      </c>
      <c r="P780">
        <v>9.49</v>
      </c>
    </row>
    <row r="781" spans="1:16" x14ac:dyDescent="0.3">
      <c r="A781">
        <v>4919</v>
      </c>
      <c r="B781" t="s">
        <v>821</v>
      </c>
      <c r="C781" s="2">
        <v>1848250</v>
      </c>
      <c r="D781">
        <v>910</v>
      </c>
      <c r="E781" s="2">
        <v>58213762</v>
      </c>
      <c r="F781">
        <v>31.15</v>
      </c>
      <c r="G781">
        <v>31.85</v>
      </c>
      <c r="H781">
        <v>30.65</v>
      </c>
      <c r="I781">
        <v>31.85</v>
      </c>
      <c r="J781" t="s">
        <v>10</v>
      </c>
      <c r="K781">
        <v>2.0499999999999998</v>
      </c>
      <c r="L781">
        <v>31.85</v>
      </c>
      <c r="M781">
        <v>2668</v>
      </c>
      <c r="N781" t="s">
        <v>152</v>
      </c>
      <c r="O781">
        <v>0</v>
      </c>
      <c r="P781">
        <v>11.14</v>
      </c>
    </row>
    <row r="782" spans="1:16" x14ac:dyDescent="0.3">
      <c r="A782">
        <v>4930</v>
      </c>
      <c r="B782" t="s">
        <v>822</v>
      </c>
      <c r="C782" s="2">
        <v>1023834</v>
      </c>
      <c r="D782">
        <v>268</v>
      </c>
      <c r="E782" s="2">
        <v>12307280</v>
      </c>
      <c r="F782">
        <v>11.85</v>
      </c>
      <c r="G782">
        <v>12.15</v>
      </c>
      <c r="H782">
        <v>11.85</v>
      </c>
      <c r="I782">
        <v>11.9</v>
      </c>
      <c r="J782" t="s">
        <v>10</v>
      </c>
      <c r="K782">
        <v>0.05</v>
      </c>
      <c r="L782">
        <v>11.9</v>
      </c>
      <c r="M782">
        <v>32</v>
      </c>
      <c r="N782">
        <v>12</v>
      </c>
      <c r="O782">
        <v>1</v>
      </c>
      <c r="P782">
        <v>0</v>
      </c>
    </row>
    <row r="783" spans="1:16" x14ac:dyDescent="0.3">
      <c r="A783">
        <v>4934</v>
      </c>
      <c r="B783" t="s">
        <v>823</v>
      </c>
      <c r="C783" s="2">
        <v>1483000</v>
      </c>
      <c r="D783">
        <v>535</v>
      </c>
      <c r="E783" s="2">
        <v>20430050</v>
      </c>
      <c r="F783">
        <v>13.6</v>
      </c>
      <c r="G783">
        <v>13.9</v>
      </c>
      <c r="H783">
        <v>13.55</v>
      </c>
      <c r="I783">
        <v>13.9</v>
      </c>
      <c r="J783" t="s">
        <v>10</v>
      </c>
      <c r="K783">
        <v>0.45</v>
      </c>
      <c r="L783">
        <v>13.9</v>
      </c>
      <c r="M783">
        <v>26</v>
      </c>
      <c r="N783">
        <v>13.95</v>
      </c>
      <c r="O783">
        <v>10</v>
      </c>
      <c r="P783">
        <v>0</v>
      </c>
    </row>
    <row r="784" spans="1:16" x14ac:dyDescent="0.3">
      <c r="A784">
        <v>4935</v>
      </c>
      <c r="B784" t="s">
        <v>824</v>
      </c>
      <c r="C784" s="2">
        <v>535000</v>
      </c>
      <c r="D784">
        <v>236</v>
      </c>
      <c r="E784" s="2">
        <v>18051350</v>
      </c>
      <c r="F784">
        <v>33.950000000000003</v>
      </c>
      <c r="G784">
        <v>34</v>
      </c>
      <c r="H784">
        <v>33.5</v>
      </c>
      <c r="I784">
        <v>33.6</v>
      </c>
      <c r="J784" t="s">
        <v>7</v>
      </c>
      <c r="K784">
        <v>0.15</v>
      </c>
      <c r="L784">
        <v>33.6</v>
      </c>
      <c r="M784">
        <v>6</v>
      </c>
      <c r="N784">
        <v>33.65</v>
      </c>
      <c r="O784">
        <v>43</v>
      </c>
      <c r="P784">
        <v>13.6</v>
      </c>
    </row>
    <row r="785" spans="1:16" x14ac:dyDescent="0.3">
      <c r="A785">
        <v>4938</v>
      </c>
      <c r="B785" t="s">
        <v>825</v>
      </c>
      <c r="C785" s="2">
        <v>5511818</v>
      </c>
      <c r="D785" s="2">
        <v>2816</v>
      </c>
      <c r="E785" s="2">
        <v>277513766</v>
      </c>
      <c r="F785">
        <v>49.5</v>
      </c>
      <c r="G785">
        <v>51</v>
      </c>
      <c r="H785">
        <v>49.25</v>
      </c>
      <c r="I785">
        <v>50.6</v>
      </c>
      <c r="J785" t="s">
        <v>10</v>
      </c>
      <c r="K785">
        <v>1.1000000000000001</v>
      </c>
      <c r="L785">
        <v>50.6</v>
      </c>
      <c r="M785">
        <v>196</v>
      </c>
      <c r="N785">
        <v>50.7</v>
      </c>
      <c r="O785">
        <v>2</v>
      </c>
      <c r="P785">
        <v>16.22</v>
      </c>
    </row>
    <row r="786" spans="1:16" x14ac:dyDescent="0.3">
      <c r="A786">
        <v>4942</v>
      </c>
      <c r="B786" t="s">
        <v>826</v>
      </c>
      <c r="C786" s="2">
        <v>415500</v>
      </c>
      <c r="D786">
        <v>233</v>
      </c>
      <c r="E786" s="2">
        <v>15336600</v>
      </c>
      <c r="F786">
        <v>37</v>
      </c>
      <c r="G786">
        <v>37.25</v>
      </c>
      <c r="H786">
        <v>36.75</v>
      </c>
      <c r="I786">
        <v>36.799999999999997</v>
      </c>
      <c r="J786" t="s">
        <v>7</v>
      </c>
      <c r="K786">
        <v>0.2</v>
      </c>
      <c r="L786">
        <v>36.799999999999997</v>
      </c>
      <c r="M786">
        <v>1</v>
      </c>
      <c r="N786">
        <v>36.85</v>
      </c>
      <c r="O786">
        <v>30</v>
      </c>
      <c r="P786">
        <v>8.8699999999999992</v>
      </c>
    </row>
    <row r="787" spans="1:16" x14ac:dyDescent="0.3">
      <c r="A787">
        <v>4952</v>
      </c>
      <c r="B787" t="s">
        <v>827</v>
      </c>
      <c r="C787" s="2">
        <v>5327160</v>
      </c>
      <c r="D787" s="2">
        <v>2202</v>
      </c>
      <c r="E787" s="2">
        <v>165140499</v>
      </c>
      <c r="F787">
        <v>31.2</v>
      </c>
      <c r="G787">
        <v>31.6</v>
      </c>
      <c r="H787">
        <v>30.4</v>
      </c>
      <c r="I787">
        <v>31.3</v>
      </c>
      <c r="J787" t="s">
        <v>10</v>
      </c>
      <c r="K787">
        <v>0.8</v>
      </c>
      <c r="L787">
        <v>31.25</v>
      </c>
      <c r="M787">
        <v>14</v>
      </c>
      <c r="N787">
        <v>31.3</v>
      </c>
      <c r="O787">
        <v>45</v>
      </c>
      <c r="P787">
        <v>24.84</v>
      </c>
    </row>
    <row r="788" spans="1:16" x14ac:dyDescent="0.3">
      <c r="A788">
        <v>4956</v>
      </c>
      <c r="B788" t="s">
        <v>828</v>
      </c>
      <c r="C788" s="2">
        <v>197000</v>
      </c>
      <c r="D788">
        <v>125</v>
      </c>
      <c r="E788" s="2">
        <v>4442150</v>
      </c>
      <c r="F788">
        <v>22.3</v>
      </c>
      <c r="G788">
        <v>22.75</v>
      </c>
      <c r="H788">
        <v>22.3</v>
      </c>
      <c r="I788">
        <v>22.5</v>
      </c>
      <c r="J788" t="s">
        <v>10</v>
      </c>
      <c r="K788">
        <v>0.2</v>
      </c>
      <c r="L788">
        <v>22.5</v>
      </c>
      <c r="M788">
        <v>7</v>
      </c>
      <c r="N788">
        <v>22.65</v>
      </c>
      <c r="O788">
        <v>5</v>
      </c>
      <c r="P788">
        <v>29.61</v>
      </c>
    </row>
    <row r="789" spans="1:16" x14ac:dyDescent="0.3">
      <c r="A789">
        <v>4958</v>
      </c>
      <c r="B789" t="s">
        <v>829</v>
      </c>
      <c r="C789" s="2">
        <v>1214235</v>
      </c>
      <c r="D789">
        <v>820</v>
      </c>
      <c r="E789" s="2">
        <v>83983750</v>
      </c>
      <c r="F789">
        <v>68.900000000000006</v>
      </c>
      <c r="G789">
        <v>69.5</v>
      </c>
      <c r="H789">
        <v>68.400000000000006</v>
      </c>
      <c r="I789">
        <v>69.400000000000006</v>
      </c>
      <c r="J789" t="s">
        <v>10</v>
      </c>
      <c r="K789">
        <v>1</v>
      </c>
      <c r="L789">
        <v>69.3</v>
      </c>
      <c r="M789">
        <v>45</v>
      </c>
      <c r="N789">
        <v>69.400000000000006</v>
      </c>
      <c r="O789">
        <v>6</v>
      </c>
      <c r="P789">
        <v>11.61</v>
      </c>
    </row>
    <row r="790" spans="1:16" x14ac:dyDescent="0.3">
      <c r="A790">
        <v>4960</v>
      </c>
      <c r="B790" t="s">
        <v>830</v>
      </c>
      <c r="C790" s="2">
        <v>2682656</v>
      </c>
      <c r="D790" s="2">
        <v>1518</v>
      </c>
      <c r="E790" s="2">
        <v>90967232</v>
      </c>
      <c r="F790">
        <v>33.549999999999997</v>
      </c>
      <c r="G790">
        <v>34.299999999999997</v>
      </c>
      <c r="H790">
        <v>33.200000000000003</v>
      </c>
      <c r="I790">
        <v>34.200000000000003</v>
      </c>
      <c r="J790" t="s">
        <v>10</v>
      </c>
      <c r="K790">
        <v>0.9</v>
      </c>
      <c r="L790">
        <v>34.200000000000003</v>
      </c>
      <c r="M790">
        <v>36</v>
      </c>
      <c r="N790">
        <v>34.25</v>
      </c>
      <c r="O790">
        <v>50</v>
      </c>
      <c r="P790">
        <v>10.52</v>
      </c>
    </row>
    <row r="791" spans="1:16" x14ac:dyDescent="0.3">
      <c r="A791">
        <v>4976</v>
      </c>
      <c r="B791" t="s">
        <v>831</v>
      </c>
      <c r="C791" s="2">
        <v>43000</v>
      </c>
      <c r="D791">
        <v>34</v>
      </c>
      <c r="E791" s="2">
        <v>1499400</v>
      </c>
      <c r="F791">
        <v>34.700000000000003</v>
      </c>
      <c r="G791">
        <v>35.049999999999997</v>
      </c>
      <c r="H791">
        <v>34.65</v>
      </c>
      <c r="I791">
        <v>35.049999999999997</v>
      </c>
      <c r="J791" t="s">
        <v>10</v>
      </c>
      <c r="K791">
        <v>0.35</v>
      </c>
      <c r="L791">
        <v>35.049999999999997</v>
      </c>
      <c r="M791">
        <v>4</v>
      </c>
      <c r="N791">
        <v>35.1</v>
      </c>
      <c r="O791">
        <v>1</v>
      </c>
      <c r="P791">
        <v>16.23</v>
      </c>
    </row>
    <row r="792" spans="1:16" x14ac:dyDescent="0.3">
      <c r="A792">
        <v>4984</v>
      </c>
      <c r="B792" t="s">
        <v>832</v>
      </c>
      <c r="C792" s="2">
        <v>129000</v>
      </c>
      <c r="D792">
        <v>90</v>
      </c>
      <c r="E792" s="2">
        <v>4683800</v>
      </c>
      <c r="F792">
        <v>35.9</v>
      </c>
      <c r="G792">
        <v>36.799999999999997</v>
      </c>
      <c r="H792">
        <v>35.9</v>
      </c>
      <c r="I792">
        <v>36.799999999999997</v>
      </c>
      <c r="J792" t="s">
        <v>10</v>
      </c>
      <c r="K792">
        <v>0.9</v>
      </c>
      <c r="L792">
        <v>36.5</v>
      </c>
      <c r="M792">
        <v>9</v>
      </c>
      <c r="N792">
        <v>36.799999999999997</v>
      </c>
      <c r="O792">
        <v>1</v>
      </c>
      <c r="P792">
        <v>0</v>
      </c>
    </row>
    <row r="793" spans="1:16" x14ac:dyDescent="0.3">
      <c r="A793">
        <v>4999</v>
      </c>
      <c r="B793" t="s">
        <v>833</v>
      </c>
      <c r="C793" s="2">
        <v>101550</v>
      </c>
      <c r="D793">
        <v>91</v>
      </c>
      <c r="E793" s="2">
        <v>6600250</v>
      </c>
      <c r="F793">
        <v>64.5</v>
      </c>
      <c r="G793">
        <v>65.5</v>
      </c>
      <c r="H793">
        <v>64.5</v>
      </c>
      <c r="I793">
        <v>65.3</v>
      </c>
      <c r="J793" t="s">
        <v>10</v>
      </c>
      <c r="K793">
        <v>0.8</v>
      </c>
      <c r="L793">
        <v>65.3</v>
      </c>
      <c r="M793">
        <v>1</v>
      </c>
      <c r="N793">
        <v>65.400000000000006</v>
      </c>
      <c r="O793">
        <v>2</v>
      </c>
      <c r="P793">
        <v>10.52</v>
      </c>
    </row>
    <row r="794" spans="1:16" x14ac:dyDescent="0.3">
      <c r="A794">
        <v>5007</v>
      </c>
      <c r="B794" t="s">
        <v>834</v>
      </c>
      <c r="C794" s="2">
        <v>425086</v>
      </c>
      <c r="D794">
        <v>183</v>
      </c>
      <c r="E794" s="2">
        <v>24471896</v>
      </c>
      <c r="F794">
        <v>58.3</v>
      </c>
      <c r="G794">
        <v>58.4</v>
      </c>
      <c r="H794">
        <v>57</v>
      </c>
      <c r="I794">
        <v>57.6</v>
      </c>
      <c r="J794" t="s">
        <v>7</v>
      </c>
      <c r="K794">
        <v>0.5</v>
      </c>
      <c r="L794">
        <v>57.6</v>
      </c>
      <c r="M794">
        <v>16</v>
      </c>
      <c r="N794">
        <v>57.8</v>
      </c>
      <c r="O794">
        <v>3</v>
      </c>
      <c r="P794">
        <v>22.41</v>
      </c>
    </row>
    <row r="795" spans="1:16" x14ac:dyDescent="0.3">
      <c r="A795">
        <v>5203</v>
      </c>
      <c r="B795" t="s">
        <v>835</v>
      </c>
      <c r="C795" s="2">
        <v>211150</v>
      </c>
      <c r="D795">
        <v>196</v>
      </c>
      <c r="E795" s="2">
        <v>20767150</v>
      </c>
      <c r="F795">
        <v>99</v>
      </c>
      <c r="G795">
        <v>99</v>
      </c>
      <c r="H795">
        <v>97.9</v>
      </c>
      <c r="I795">
        <v>98.9</v>
      </c>
      <c r="J795" t="s">
        <v>7</v>
      </c>
      <c r="K795">
        <v>1.1000000000000001</v>
      </c>
      <c r="L795">
        <v>98.9</v>
      </c>
      <c r="M795">
        <v>2</v>
      </c>
      <c r="N795">
        <v>99</v>
      </c>
      <c r="O795">
        <v>62</v>
      </c>
      <c r="P795">
        <v>13.87</v>
      </c>
    </row>
    <row r="796" spans="1:16" x14ac:dyDescent="0.3">
      <c r="A796">
        <v>5215</v>
      </c>
      <c r="B796" t="s">
        <v>836</v>
      </c>
      <c r="C796" s="2">
        <v>604367</v>
      </c>
      <c r="D796">
        <v>379</v>
      </c>
      <c r="E796" s="2">
        <v>23011292</v>
      </c>
      <c r="F796">
        <v>37.5</v>
      </c>
      <c r="G796">
        <v>38.549999999999997</v>
      </c>
      <c r="H796">
        <v>37.5</v>
      </c>
      <c r="I796">
        <v>38.15</v>
      </c>
      <c r="J796" t="s">
        <v>10</v>
      </c>
      <c r="K796">
        <v>0.85</v>
      </c>
      <c r="L796">
        <v>38.15</v>
      </c>
      <c r="M796">
        <v>9</v>
      </c>
      <c r="N796">
        <v>38.200000000000003</v>
      </c>
      <c r="O796">
        <v>9</v>
      </c>
      <c r="P796">
        <v>9.9600000000000009</v>
      </c>
    </row>
    <row r="797" spans="1:16" x14ac:dyDescent="0.3">
      <c r="A797">
        <v>5225</v>
      </c>
      <c r="B797" t="s">
        <v>837</v>
      </c>
      <c r="C797" s="2">
        <v>748000</v>
      </c>
      <c r="D797">
        <v>424</v>
      </c>
      <c r="E797" s="2">
        <v>59291800</v>
      </c>
      <c r="F797">
        <v>81.2</v>
      </c>
      <c r="G797">
        <v>81.2</v>
      </c>
      <c r="H797">
        <v>78.3</v>
      </c>
      <c r="I797">
        <v>80</v>
      </c>
      <c r="J797" t="s">
        <v>7</v>
      </c>
      <c r="K797">
        <v>1</v>
      </c>
      <c r="L797">
        <v>79.599999999999994</v>
      </c>
      <c r="M797">
        <v>1</v>
      </c>
      <c r="N797">
        <v>80</v>
      </c>
      <c r="O797">
        <v>1</v>
      </c>
      <c r="P797">
        <v>16.43</v>
      </c>
    </row>
    <row r="798" spans="1:16" x14ac:dyDescent="0.3">
      <c r="A798">
        <v>5234</v>
      </c>
      <c r="B798" t="s">
        <v>838</v>
      </c>
      <c r="C798" s="2">
        <v>914600</v>
      </c>
      <c r="D798">
        <v>629</v>
      </c>
      <c r="E798" s="2">
        <v>51394300</v>
      </c>
      <c r="F798">
        <v>55.7</v>
      </c>
      <c r="G798">
        <v>57.6</v>
      </c>
      <c r="H798">
        <v>55.4</v>
      </c>
      <c r="I798">
        <v>57</v>
      </c>
      <c r="J798" t="s">
        <v>145</v>
      </c>
      <c r="K798">
        <v>0</v>
      </c>
      <c r="L798">
        <v>56.9</v>
      </c>
      <c r="M798">
        <v>2</v>
      </c>
      <c r="N798">
        <v>57</v>
      </c>
      <c r="O798">
        <v>1</v>
      </c>
      <c r="P798">
        <v>12.98</v>
      </c>
    </row>
    <row r="799" spans="1:16" x14ac:dyDescent="0.3">
      <c r="A799">
        <v>5264</v>
      </c>
      <c r="B799" t="s">
        <v>839</v>
      </c>
      <c r="C799" s="2">
        <v>270150</v>
      </c>
      <c r="D799">
        <v>214</v>
      </c>
      <c r="E799" s="2">
        <v>41996325</v>
      </c>
      <c r="F799">
        <v>155</v>
      </c>
      <c r="G799">
        <v>157</v>
      </c>
      <c r="H799">
        <v>153.5</v>
      </c>
      <c r="I799">
        <v>155.5</v>
      </c>
      <c r="J799" t="s">
        <v>10</v>
      </c>
      <c r="K799">
        <v>0.5</v>
      </c>
      <c r="L799">
        <v>155.5</v>
      </c>
      <c r="M799">
        <v>3</v>
      </c>
      <c r="N799">
        <v>156</v>
      </c>
      <c r="O799">
        <v>70</v>
      </c>
      <c r="P799">
        <v>16.149999999999999</v>
      </c>
    </row>
    <row r="800" spans="1:16" x14ac:dyDescent="0.3">
      <c r="A800">
        <v>5269</v>
      </c>
      <c r="B800" t="s">
        <v>840</v>
      </c>
      <c r="C800" s="2">
        <v>68000</v>
      </c>
      <c r="D800">
        <v>54</v>
      </c>
      <c r="E800" s="2">
        <v>3200650</v>
      </c>
      <c r="F800">
        <v>47</v>
      </c>
      <c r="G800">
        <v>47.25</v>
      </c>
      <c r="H800">
        <v>46.7</v>
      </c>
      <c r="I800">
        <v>47</v>
      </c>
      <c r="J800" t="s">
        <v>10</v>
      </c>
      <c r="K800">
        <v>0.15</v>
      </c>
      <c r="L800">
        <v>46.95</v>
      </c>
      <c r="M800">
        <v>1</v>
      </c>
      <c r="N800">
        <v>47</v>
      </c>
      <c r="O800">
        <v>1</v>
      </c>
      <c r="P800">
        <v>12.14</v>
      </c>
    </row>
    <row r="801" spans="1:16" x14ac:dyDescent="0.3">
      <c r="A801">
        <v>5305</v>
      </c>
      <c r="B801" t="s">
        <v>841</v>
      </c>
      <c r="C801" s="2">
        <v>751503</v>
      </c>
      <c r="D801">
        <v>198</v>
      </c>
      <c r="E801" s="2">
        <v>12290273</v>
      </c>
      <c r="F801">
        <v>16.100000000000001</v>
      </c>
      <c r="G801">
        <v>16.5</v>
      </c>
      <c r="H801">
        <v>16.100000000000001</v>
      </c>
      <c r="I801">
        <v>16.350000000000001</v>
      </c>
      <c r="J801" t="s">
        <v>10</v>
      </c>
      <c r="K801">
        <v>0.05</v>
      </c>
      <c r="L801">
        <v>16.350000000000001</v>
      </c>
      <c r="M801">
        <v>43</v>
      </c>
      <c r="N801">
        <v>16.399999999999999</v>
      </c>
      <c r="O801">
        <v>3</v>
      </c>
      <c r="P801">
        <v>33.369999999999997</v>
      </c>
    </row>
    <row r="802" spans="1:16" x14ac:dyDescent="0.3">
      <c r="A802">
        <v>5388</v>
      </c>
      <c r="B802" t="s">
        <v>842</v>
      </c>
      <c r="C802" s="2">
        <v>1067000</v>
      </c>
      <c r="D802">
        <v>562</v>
      </c>
      <c r="E802" s="2">
        <v>42329899</v>
      </c>
      <c r="F802">
        <v>39.450000000000003</v>
      </c>
      <c r="G802">
        <v>39.85</v>
      </c>
      <c r="H802">
        <v>39.35</v>
      </c>
      <c r="I802">
        <v>39.700000000000003</v>
      </c>
      <c r="J802" t="s">
        <v>10</v>
      </c>
      <c r="K802">
        <v>0.25</v>
      </c>
      <c r="L802">
        <v>39.700000000000003</v>
      </c>
      <c r="M802">
        <v>23</v>
      </c>
      <c r="N802">
        <v>39.75</v>
      </c>
      <c r="O802">
        <v>3</v>
      </c>
      <c r="P802">
        <v>11.09</v>
      </c>
    </row>
    <row r="803" spans="1:16" x14ac:dyDescent="0.3">
      <c r="A803">
        <v>5434</v>
      </c>
      <c r="B803" t="s">
        <v>843</v>
      </c>
      <c r="C803" s="2">
        <v>286287</v>
      </c>
      <c r="D803">
        <v>178</v>
      </c>
      <c r="E803" s="2">
        <v>15373954</v>
      </c>
      <c r="F803">
        <v>53</v>
      </c>
      <c r="G803">
        <v>53.9</v>
      </c>
      <c r="H803">
        <v>53</v>
      </c>
      <c r="I803">
        <v>53.8</v>
      </c>
      <c r="J803" t="s">
        <v>10</v>
      </c>
      <c r="K803">
        <v>0.8</v>
      </c>
      <c r="L803">
        <v>53.8</v>
      </c>
      <c r="M803">
        <v>5</v>
      </c>
      <c r="N803">
        <v>53.9</v>
      </c>
      <c r="O803">
        <v>9</v>
      </c>
      <c r="P803">
        <v>10</v>
      </c>
    </row>
    <row r="804" spans="1:16" x14ac:dyDescent="0.3">
      <c r="A804">
        <v>5469</v>
      </c>
      <c r="B804" t="s">
        <v>844</v>
      </c>
      <c r="C804" s="2">
        <v>495722</v>
      </c>
      <c r="D804">
        <v>223</v>
      </c>
      <c r="E804" s="2">
        <v>6786235</v>
      </c>
      <c r="F804">
        <v>13.65</v>
      </c>
      <c r="G804">
        <v>13.8</v>
      </c>
      <c r="H804">
        <v>13.6</v>
      </c>
      <c r="I804">
        <v>13.7</v>
      </c>
      <c r="J804" t="s">
        <v>10</v>
      </c>
      <c r="K804">
        <v>0.1</v>
      </c>
      <c r="L804">
        <v>13.7</v>
      </c>
      <c r="M804">
        <v>28</v>
      </c>
      <c r="N804">
        <v>13.75</v>
      </c>
      <c r="O804">
        <v>6</v>
      </c>
      <c r="P804">
        <v>14.73</v>
      </c>
    </row>
    <row r="805" spans="1:16" x14ac:dyDescent="0.3">
      <c r="A805">
        <v>5471</v>
      </c>
      <c r="B805" t="s">
        <v>845</v>
      </c>
      <c r="C805" s="2">
        <v>199822</v>
      </c>
      <c r="D805">
        <v>145</v>
      </c>
      <c r="E805" s="2">
        <v>8629999</v>
      </c>
      <c r="F805">
        <v>43.4</v>
      </c>
      <c r="G805">
        <v>43.4</v>
      </c>
      <c r="H805">
        <v>43</v>
      </c>
      <c r="I805">
        <v>43.1</v>
      </c>
      <c r="J805" t="s">
        <v>10</v>
      </c>
      <c r="K805">
        <v>0.05</v>
      </c>
      <c r="L805">
        <v>43.05</v>
      </c>
      <c r="M805">
        <v>30</v>
      </c>
      <c r="N805">
        <v>43.1</v>
      </c>
      <c r="O805">
        <v>147</v>
      </c>
      <c r="P805">
        <v>13.73</v>
      </c>
    </row>
    <row r="806" spans="1:16" x14ac:dyDescent="0.3">
      <c r="A806">
        <v>5484</v>
      </c>
      <c r="B806" t="s">
        <v>846</v>
      </c>
      <c r="C806" s="2">
        <v>1410883</v>
      </c>
      <c r="D806">
        <v>273</v>
      </c>
      <c r="E806" s="2">
        <v>16916948</v>
      </c>
      <c r="F806">
        <v>12</v>
      </c>
      <c r="G806">
        <v>12.1</v>
      </c>
      <c r="H806">
        <v>11.8</v>
      </c>
      <c r="I806">
        <v>12.05</v>
      </c>
      <c r="J806" t="s">
        <v>10</v>
      </c>
      <c r="K806">
        <v>0.05</v>
      </c>
      <c r="L806">
        <v>12.05</v>
      </c>
      <c r="M806">
        <v>4</v>
      </c>
      <c r="N806">
        <v>12.1</v>
      </c>
      <c r="O806">
        <v>32</v>
      </c>
      <c r="P806">
        <v>80.33</v>
      </c>
    </row>
    <row r="807" spans="1:16" x14ac:dyDescent="0.3">
      <c r="A807">
        <v>5515</v>
      </c>
      <c r="B807" t="s">
        <v>847</v>
      </c>
      <c r="C807" s="2">
        <v>449971</v>
      </c>
      <c r="D807">
        <v>182</v>
      </c>
      <c r="E807" s="2">
        <v>6622669</v>
      </c>
      <c r="F807">
        <v>14.65</v>
      </c>
      <c r="G807">
        <v>14.8</v>
      </c>
      <c r="H807">
        <v>14.6</v>
      </c>
      <c r="I807">
        <v>14.8</v>
      </c>
      <c r="J807" t="s">
        <v>10</v>
      </c>
      <c r="K807">
        <v>0.15</v>
      </c>
      <c r="L807">
        <v>14.75</v>
      </c>
      <c r="M807">
        <v>26</v>
      </c>
      <c r="N807">
        <v>14.8</v>
      </c>
      <c r="O807">
        <v>328</v>
      </c>
      <c r="P807">
        <v>6.85</v>
      </c>
    </row>
    <row r="808" spans="1:16" x14ac:dyDescent="0.3">
      <c r="A808">
        <v>5521</v>
      </c>
      <c r="B808" t="s">
        <v>848</v>
      </c>
      <c r="C808" s="2">
        <v>2343638</v>
      </c>
      <c r="D808">
        <v>464</v>
      </c>
      <c r="E808" s="2">
        <v>33102924</v>
      </c>
      <c r="F808">
        <v>13.8</v>
      </c>
      <c r="G808">
        <v>14.3</v>
      </c>
      <c r="H808">
        <v>13.8</v>
      </c>
      <c r="I808">
        <v>14.25</v>
      </c>
      <c r="J808" t="s">
        <v>10</v>
      </c>
      <c r="K808">
        <v>0.5</v>
      </c>
      <c r="L808">
        <v>14.15</v>
      </c>
      <c r="M808">
        <v>8</v>
      </c>
      <c r="N808">
        <v>14.25</v>
      </c>
      <c r="O808">
        <v>27</v>
      </c>
      <c r="P808">
        <v>36.54</v>
      </c>
    </row>
    <row r="809" spans="1:16" x14ac:dyDescent="0.3">
      <c r="A809">
        <v>5522</v>
      </c>
      <c r="B809" t="s">
        <v>849</v>
      </c>
      <c r="C809" s="2">
        <v>996750</v>
      </c>
      <c r="D809">
        <v>619</v>
      </c>
      <c r="E809" s="2">
        <v>54325022</v>
      </c>
      <c r="F809">
        <v>54.4</v>
      </c>
      <c r="G809">
        <v>55.1</v>
      </c>
      <c r="H809">
        <v>54.1</v>
      </c>
      <c r="I809">
        <v>55.1</v>
      </c>
      <c r="J809" t="s">
        <v>10</v>
      </c>
      <c r="K809">
        <v>0.1</v>
      </c>
      <c r="L809">
        <v>55</v>
      </c>
      <c r="M809">
        <v>25</v>
      </c>
      <c r="N809">
        <v>55.1</v>
      </c>
      <c r="O809">
        <v>34</v>
      </c>
      <c r="P809">
        <v>7.89</v>
      </c>
    </row>
    <row r="810" spans="1:16" x14ac:dyDescent="0.3">
      <c r="A810">
        <v>5525</v>
      </c>
      <c r="B810" t="s">
        <v>850</v>
      </c>
      <c r="C810" s="2">
        <v>73060</v>
      </c>
      <c r="D810">
        <v>31</v>
      </c>
      <c r="E810" s="2">
        <v>1483356</v>
      </c>
      <c r="F810">
        <v>20.350000000000001</v>
      </c>
      <c r="G810">
        <v>20.399999999999999</v>
      </c>
      <c r="H810">
        <v>20.25</v>
      </c>
      <c r="I810">
        <v>20.25</v>
      </c>
      <c r="J810" t="s">
        <v>7</v>
      </c>
      <c r="K810">
        <v>0.1</v>
      </c>
      <c r="L810">
        <v>20.25</v>
      </c>
      <c r="M810">
        <v>60</v>
      </c>
      <c r="N810">
        <v>20.399999999999999</v>
      </c>
      <c r="O810">
        <v>7</v>
      </c>
      <c r="P810">
        <v>11.25</v>
      </c>
    </row>
    <row r="811" spans="1:16" x14ac:dyDescent="0.3">
      <c r="A811">
        <v>5531</v>
      </c>
      <c r="B811" t="s">
        <v>851</v>
      </c>
      <c r="C811" s="2">
        <v>254684</v>
      </c>
      <c r="D811">
        <v>135</v>
      </c>
      <c r="E811" s="2">
        <v>6132896</v>
      </c>
      <c r="F811">
        <v>24.3</v>
      </c>
      <c r="G811">
        <v>24.3</v>
      </c>
      <c r="H811">
        <v>24</v>
      </c>
      <c r="I811">
        <v>24</v>
      </c>
      <c r="J811" t="s">
        <v>7</v>
      </c>
      <c r="K811">
        <v>0.3</v>
      </c>
      <c r="L811">
        <v>23.95</v>
      </c>
      <c r="M811">
        <v>17</v>
      </c>
      <c r="N811">
        <v>24.25</v>
      </c>
      <c r="O811">
        <v>19</v>
      </c>
      <c r="P811">
        <v>33.33</v>
      </c>
    </row>
    <row r="812" spans="1:16" x14ac:dyDescent="0.3">
      <c r="A812">
        <v>5533</v>
      </c>
      <c r="B812" t="s">
        <v>852</v>
      </c>
      <c r="C812" s="2">
        <v>363070</v>
      </c>
      <c r="D812">
        <v>81</v>
      </c>
      <c r="E812" s="2">
        <v>7601020</v>
      </c>
      <c r="F812">
        <v>20.95</v>
      </c>
      <c r="G812">
        <v>21.15</v>
      </c>
      <c r="H812">
        <v>20.8</v>
      </c>
      <c r="I812">
        <v>21</v>
      </c>
      <c r="J812" t="s">
        <v>10</v>
      </c>
      <c r="K812">
        <v>0.1</v>
      </c>
      <c r="L812">
        <v>21</v>
      </c>
      <c r="M812">
        <v>17</v>
      </c>
      <c r="N812">
        <v>21.1</v>
      </c>
      <c r="O812">
        <v>2</v>
      </c>
      <c r="P812">
        <v>5.71</v>
      </c>
    </row>
    <row r="813" spans="1:16" x14ac:dyDescent="0.3">
      <c r="A813">
        <v>5534</v>
      </c>
      <c r="B813" t="s">
        <v>853</v>
      </c>
      <c r="C813" s="2">
        <v>634435</v>
      </c>
      <c r="D813">
        <v>542</v>
      </c>
      <c r="E813" s="2">
        <v>69382631</v>
      </c>
      <c r="F813">
        <v>108.5</v>
      </c>
      <c r="G813">
        <v>110</v>
      </c>
      <c r="H813">
        <v>107.5</v>
      </c>
      <c r="I813">
        <v>108.5</v>
      </c>
      <c r="J813" t="s">
        <v>10</v>
      </c>
      <c r="K813">
        <v>0.5</v>
      </c>
      <c r="L813">
        <v>108.5</v>
      </c>
      <c r="M813">
        <v>32</v>
      </c>
      <c r="N813">
        <v>109</v>
      </c>
      <c r="O813">
        <v>2</v>
      </c>
      <c r="P813">
        <v>2.71</v>
      </c>
    </row>
    <row r="814" spans="1:16" x14ac:dyDescent="0.3">
      <c r="A814">
        <v>5607</v>
      </c>
      <c r="B814" t="s">
        <v>854</v>
      </c>
      <c r="C814" s="2">
        <v>258000</v>
      </c>
      <c r="D814">
        <v>143</v>
      </c>
      <c r="E814" s="2">
        <v>5229000</v>
      </c>
      <c r="F814">
        <v>20.3</v>
      </c>
      <c r="G814">
        <v>20.399999999999999</v>
      </c>
      <c r="H814">
        <v>20.100000000000001</v>
      </c>
      <c r="I814">
        <v>20.25</v>
      </c>
      <c r="J814" t="s">
        <v>10</v>
      </c>
      <c r="K814">
        <v>0.05</v>
      </c>
      <c r="L814">
        <v>20.25</v>
      </c>
      <c r="M814">
        <v>39</v>
      </c>
      <c r="N814">
        <v>20.350000000000001</v>
      </c>
      <c r="O814">
        <v>2</v>
      </c>
      <c r="P814">
        <v>25.96</v>
      </c>
    </row>
    <row r="815" spans="1:16" x14ac:dyDescent="0.3">
      <c r="A815">
        <v>5608</v>
      </c>
      <c r="B815" t="s">
        <v>855</v>
      </c>
      <c r="C815" s="2">
        <v>327342</v>
      </c>
      <c r="D815">
        <v>140</v>
      </c>
      <c r="E815" s="2">
        <v>6695341</v>
      </c>
      <c r="F815">
        <v>20.5</v>
      </c>
      <c r="G815">
        <v>20.6</v>
      </c>
      <c r="H815">
        <v>20.350000000000001</v>
      </c>
      <c r="I815">
        <v>20.45</v>
      </c>
      <c r="J815" t="s">
        <v>7</v>
      </c>
      <c r="K815">
        <v>0.15</v>
      </c>
      <c r="L815">
        <v>20.45</v>
      </c>
      <c r="M815">
        <v>32</v>
      </c>
      <c r="N815">
        <v>20.55</v>
      </c>
      <c r="O815">
        <v>2</v>
      </c>
      <c r="P815">
        <v>29.64</v>
      </c>
    </row>
    <row r="816" spans="1:16" x14ac:dyDescent="0.3">
      <c r="A816">
        <v>5706</v>
      </c>
      <c r="B816" t="s">
        <v>856</v>
      </c>
      <c r="C816" s="2">
        <v>257053</v>
      </c>
      <c r="D816">
        <v>188</v>
      </c>
      <c r="E816" s="2">
        <v>15714705</v>
      </c>
      <c r="F816">
        <v>60.3</v>
      </c>
      <c r="G816">
        <v>61.9</v>
      </c>
      <c r="H816">
        <v>60</v>
      </c>
      <c r="I816">
        <v>60.9</v>
      </c>
      <c r="J816" t="s">
        <v>10</v>
      </c>
      <c r="K816">
        <v>0.6</v>
      </c>
      <c r="L816">
        <v>60.9</v>
      </c>
      <c r="M816">
        <v>5</v>
      </c>
      <c r="N816">
        <v>61</v>
      </c>
      <c r="O816">
        <v>21</v>
      </c>
      <c r="P816">
        <v>15.07</v>
      </c>
    </row>
    <row r="817" spans="1:16" x14ac:dyDescent="0.3">
      <c r="A817">
        <v>5871</v>
      </c>
      <c r="B817" t="s">
        <v>857</v>
      </c>
      <c r="C817" s="2">
        <v>15888921</v>
      </c>
      <c r="D817" s="2">
        <v>7311</v>
      </c>
      <c r="E817" s="2">
        <v>1107779105</v>
      </c>
      <c r="F817">
        <v>70.5</v>
      </c>
      <c r="G817">
        <v>71.5</v>
      </c>
      <c r="H817">
        <v>68</v>
      </c>
      <c r="I817">
        <v>70.599999999999994</v>
      </c>
      <c r="J817" t="s">
        <v>7</v>
      </c>
      <c r="K817">
        <v>0.2</v>
      </c>
      <c r="L817">
        <v>70.599999999999994</v>
      </c>
      <c r="M817">
        <v>118</v>
      </c>
      <c r="N817">
        <v>70.8</v>
      </c>
      <c r="O817">
        <v>2</v>
      </c>
      <c r="P817">
        <v>13.5</v>
      </c>
    </row>
    <row r="818" spans="1:16" x14ac:dyDescent="0.3">
      <c r="A818">
        <v>5880</v>
      </c>
      <c r="B818" t="s">
        <v>858</v>
      </c>
      <c r="C818" s="2">
        <v>7946803</v>
      </c>
      <c r="D818" s="2">
        <v>1396</v>
      </c>
      <c r="E818" s="2">
        <v>131555041</v>
      </c>
      <c r="F818">
        <v>16.600000000000001</v>
      </c>
      <c r="G818">
        <v>16.649999999999999</v>
      </c>
      <c r="H818">
        <v>16.45</v>
      </c>
      <c r="I818">
        <v>16.55</v>
      </c>
      <c r="J818" t="s">
        <v>7</v>
      </c>
      <c r="K818">
        <v>0.05</v>
      </c>
      <c r="L818">
        <v>16.5</v>
      </c>
      <c r="M818">
        <v>1316</v>
      </c>
      <c r="N818">
        <v>16.55</v>
      </c>
      <c r="O818">
        <v>191</v>
      </c>
      <c r="P818">
        <v>16.89</v>
      </c>
    </row>
    <row r="819" spans="1:16" x14ac:dyDescent="0.3">
      <c r="A819">
        <v>5906</v>
      </c>
      <c r="B819" t="s">
        <v>859</v>
      </c>
      <c r="C819" s="2">
        <v>132018</v>
      </c>
      <c r="D819">
        <v>53</v>
      </c>
      <c r="E819" s="2">
        <v>1249949</v>
      </c>
      <c r="F819">
        <v>9.52</v>
      </c>
      <c r="G819">
        <v>9.5399999999999991</v>
      </c>
      <c r="H819">
        <v>9.4499999999999993</v>
      </c>
      <c r="I819">
        <v>9.4600000000000009</v>
      </c>
      <c r="J819" t="s">
        <v>7</v>
      </c>
      <c r="K819">
        <v>0.08</v>
      </c>
      <c r="L819">
        <v>9.4600000000000009</v>
      </c>
      <c r="M819">
        <v>12</v>
      </c>
      <c r="N819">
        <v>9.4700000000000006</v>
      </c>
      <c r="O819">
        <v>4</v>
      </c>
      <c r="P819">
        <v>0</v>
      </c>
    </row>
    <row r="820" spans="1:16" x14ac:dyDescent="0.3">
      <c r="A820">
        <v>5907</v>
      </c>
      <c r="B820" t="s">
        <v>860</v>
      </c>
      <c r="C820" s="2">
        <v>39000</v>
      </c>
      <c r="D820">
        <v>34</v>
      </c>
      <c r="E820" s="2">
        <v>2304700</v>
      </c>
      <c r="F820">
        <v>59.7</v>
      </c>
      <c r="G820">
        <v>59.7</v>
      </c>
      <c r="H820">
        <v>59</v>
      </c>
      <c r="I820">
        <v>59</v>
      </c>
      <c r="J820" t="s">
        <v>7</v>
      </c>
      <c r="K820">
        <v>0.1</v>
      </c>
      <c r="L820">
        <v>59</v>
      </c>
      <c r="M820">
        <v>1</v>
      </c>
      <c r="N820">
        <v>59.3</v>
      </c>
      <c r="O820">
        <v>1</v>
      </c>
      <c r="P820">
        <v>13.56</v>
      </c>
    </row>
    <row r="821" spans="1:16" x14ac:dyDescent="0.3">
      <c r="A821">
        <v>6005</v>
      </c>
      <c r="B821" t="s">
        <v>861</v>
      </c>
      <c r="C821" s="2">
        <v>3974205</v>
      </c>
      <c r="D821">
        <v>882</v>
      </c>
      <c r="E821" s="2">
        <v>40866405</v>
      </c>
      <c r="F821">
        <v>10.25</v>
      </c>
      <c r="G821">
        <v>10.35</v>
      </c>
      <c r="H821">
        <v>10.15</v>
      </c>
      <c r="I821">
        <v>10.35</v>
      </c>
      <c r="J821" t="s">
        <v>10</v>
      </c>
      <c r="K821">
        <v>0.15</v>
      </c>
      <c r="L821">
        <v>10.3</v>
      </c>
      <c r="M821">
        <v>284</v>
      </c>
      <c r="N821">
        <v>10.35</v>
      </c>
      <c r="O821">
        <v>387</v>
      </c>
      <c r="P821">
        <v>27.24</v>
      </c>
    </row>
    <row r="822" spans="1:16" x14ac:dyDescent="0.3">
      <c r="A822">
        <v>6108</v>
      </c>
      <c r="B822" t="s">
        <v>862</v>
      </c>
      <c r="C822" s="2">
        <v>2606626</v>
      </c>
      <c r="D822">
        <v>527</v>
      </c>
      <c r="E822" s="2">
        <v>55952282</v>
      </c>
      <c r="F822">
        <v>20.8</v>
      </c>
      <c r="G822">
        <v>21.85</v>
      </c>
      <c r="H822">
        <v>20.8</v>
      </c>
      <c r="I822">
        <v>21.8</v>
      </c>
      <c r="J822" t="s">
        <v>10</v>
      </c>
      <c r="K822">
        <v>0.9</v>
      </c>
      <c r="L822">
        <v>21.8</v>
      </c>
      <c r="M822">
        <v>42</v>
      </c>
      <c r="N822">
        <v>21.85</v>
      </c>
      <c r="O822">
        <v>134</v>
      </c>
      <c r="P822">
        <v>9.73</v>
      </c>
    </row>
    <row r="823" spans="1:16" x14ac:dyDescent="0.3">
      <c r="A823">
        <v>6112</v>
      </c>
      <c r="B823" t="s">
        <v>863</v>
      </c>
      <c r="C823" s="2">
        <v>221806</v>
      </c>
      <c r="D823">
        <v>115</v>
      </c>
      <c r="E823" s="2">
        <v>7111431</v>
      </c>
      <c r="F823">
        <v>32.049999999999997</v>
      </c>
      <c r="G823">
        <v>32.15</v>
      </c>
      <c r="H823">
        <v>32</v>
      </c>
      <c r="I823">
        <v>32.1</v>
      </c>
      <c r="J823" t="s">
        <v>10</v>
      </c>
      <c r="K823">
        <v>0.1</v>
      </c>
      <c r="L823">
        <v>32.049999999999997</v>
      </c>
      <c r="M823">
        <v>11</v>
      </c>
      <c r="N823">
        <v>32.1</v>
      </c>
      <c r="O823">
        <v>6</v>
      </c>
      <c r="P823">
        <v>13.16</v>
      </c>
    </row>
    <row r="824" spans="1:16" x14ac:dyDescent="0.3">
      <c r="A824">
        <v>6115</v>
      </c>
      <c r="B824" t="s">
        <v>864</v>
      </c>
      <c r="C824" s="2">
        <v>208000</v>
      </c>
      <c r="D824">
        <v>111</v>
      </c>
      <c r="E824" s="2">
        <v>9255750</v>
      </c>
      <c r="F824">
        <v>44.65</v>
      </c>
      <c r="G824">
        <v>44.65</v>
      </c>
      <c r="H824">
        <v>44.25</v>
      </c>
      <c r="I824">
        <v>44.6</v>
      </c>
      <c r="J824" t="s">
        <v>10</v>
      </c>
      <c r="K824">
        <v>0.1</v>
      </c>
      <c r="L824">
        <v>44.5</v>
      </c>
      <c r="M824">
        <v>1</v>
      </c>
      <c r="N824">
        <v>44.6</v>
      </c>
      <c r="O824">
        <v>1</v>
      </c>
      <c r="P824">
        <v>10.28</v>
      </c>
    </row>
    <row r="825" spans="1:16" x14ac:dyDescent="0.3">
      <c r="A825">
        <v>6116</v>
      </c>
      <c r="B825" t="s">
        <v>865</v>
      </c>
      <c r="C825" s="2">
        <v>76237727</v>
      </c>
      <c r="D825" s="2">
        <v>9129</v>
      </c>
      <c r="E825" s="2">
        <v>1026833853</v>
      </c>
      <c r="F825">
        <v>12.95</v>
      </c>
      <c r="G825">
        <v>13.7</v>
      </c>
      <c r="H825">
        <v>12.85</v>
      </c>
      <c r="I825">
        <v>13.7</v>
      </c>
      <c r="J825" t="s">
        <v>10</v>
      </c>
      <c r="K825">
        <v>0.85</v>
      </c>
      <c r="L825">
        <v>13.7</v>
      </c>
      <c r="M825">
        <v>63159</v>
      </c>
      <c r="N825" t="s">
        <v>152</v>
      </c>
      <c r="O825">
        <v>0</v>
      </c>
      <c r="P825">
        <v>0</v>
      </c>
    </row>
    <row r="826" spans="1:16" x14ac:dyDescent="0.3">
      <c r="A826">
        <v>6117</v>
      </c>
      <c r="B826" t="s">
        <v>866</v>
      </c>
      <c r="C826" s="2">
        <v>73000</v>
      </c>
      <c r="D826">
        <v>45</v>
      </c>
      <c r="E826" s="2">
        <v>1092350</v>
      </c>
      <c r="F826">
        <v>15</v>
      </c>
      <c r="G826">
        <v>15.2</v>
      </c>
      <c r="H826">
        <v>14.5</v>
      </c>
      <c r="I826">
        <v>15</v>
      </c>
      <c r="K826">
        <v>0</v>
      </c>
      <c r="L826">
        <v>15</v>
      </c>
      <c r="M826">
        <v>2</v>
      </c>
      <c r="N826">
        <v>15.1</v>
      </c>
      <c r="O826">
        <v>5</v>
      </c>
      <c r="P826">
        <v>0</v>
      </c>
    </row>
    <row r="827" spans="1:16" x14ac:dyDescent="0.3">
      <c r="A827">
        <v>6120</v>
      </c>
      <c r="B827" t="s">
        <v>867</v>
      </c>
      <c r="C827" s="2">
        <v>1164275</v>
      </c>
      <c r="D827">
        <v>421</v>
      </c>
      <c r="E827" s="2">
        <v>15410338</v>
      </c>
      <c r="F827">
        <v>13</v>
      </c>
      <c r="G827">
        <v>13.4</v>
      </c>
      <c r="H827">
        <v>13</v>
      </c>
      <c r="I827">
        <v>13.35</v>
      </c>
      <c r="J827" t="s">
        <v>10</v>
      </c>
      <c r="K827">
        <v>0.35</v>
      </c>
      <c r="L827">
        <v>13.3</v>
      </c>
      <c r="M827">
        <v>23</v>
      </c>
      <c r="N827">
        <v>13.35</v>
      </c>
      <c r="O827">
        <v>17</v>
      </c>
      <c r="P827">
        <v>0</v>
      </c>
    </row>
    <row r="828" spans="1:16" x14ac:dyDescent="0.3">
      <c r="A828">
        <v>6128</v>
      </c>
      <c r="B828" t="s">
        <v>868</v>
      </c>
      <c r="C828" s="2">
        <v>253818</v>
      </c>
      <c r="D828">
        <v>171</v>
      </c>
      <c r="E828" s="2">
        <v>7369472</v>
      </c>
      <c r="F828">
        <v>29.1</v>
      </c>
      <c r="G828">
        <v>29.25</v>
      </c>
      <c r="H828">
        <v>28.85</v>
      </c>
      <c r="I828">
        <v>28.85</v>
      </c>
      <c r="J828" t="s">
        <v>7</v>
      </c>
      <c r="K828">
        <v>0.15</v>
      </c>
      <c r="L828">
        <v>28.85</v>
      </c>
      <c r="M828">
        <v>1</v>
      </c>
      <c r="N828">
        <v>28.9</v>
      </c>
      <c r="O828">
        <v>12</v>
      </c>
      <c r="P828">
        <v>11.59</v>
      </c>
    </row>
    <row r="829" spans="1:16" x14ac:dyDescent="0.3">
      <c r="A829">
        <v>6131</v>
      </c>
      <c r="B829" t="s">
        <v>869</v>
      </c>
      <c r="C829" s="2">
        <v>37371</v>
      </c>
      <c r="D829">
        <v>21</v>
      </c>
      <c r="E829" s="2">
        <v>424542</v>
      </c>
      <c r="F829">
        <v>11.3</v>
      </c>
      <c r="G829">
        <v>11.4</v>
      </c>
      <c r="H829">
        <v>11.3</v>
      </c>
      <c r="I829">
        <v>11.35</v>
      </c>
      <c r="J829" t="s">
        <v>10</v>
      </c>
      <c r="K829">
        <v>0.05</v>
      </c>
      <c r="L829">
        <v>11.35</v>
      </c>
      <c r="M829">
        <v>3</v>
      </c>
      <c r="N829">
        <v>11.4</v>
      </c>
      <c r="O829">
        <v>4</v>
      </c>
      <c r="P829">
        <v>0</v>
      </c>
    </row>
    <row r="830" spans="1:16" x14ac:dyDescent="0.3">
      <c r="A830">
        <v>6133</v>
      </c>
      <c r="B830" t="s">
        <v>870</v>
      </c>
      <c r="C830" s="2">
        <v>102004</v>
      </c>
      <c r="D830">
        <v>44</v>
      </c>
      <c r="E830" s="2">
        <v>892632</v>
      </c>
      <c r="F830">
        <v>8.7200000000000006</v>
      </c>
      <c r="G830">
        <v>8.81</v>
      </c>
      <c r="H830">
        <v>8.64</v>
      </c>
      <c r="I830">
        <v>8.7899999999999991</v>
      </c>
      <c r="J830" t="s">
        <v>10</v>
      </c>
      <c r="K830">
        <v>0.19</v>
      </c>
      <c r="L830">
        <v>8.75</v>
      </c>
      <c r="M830">
        <v>3</v>
      </c>
      <c r="N830">
        <v>8.7899999999999991</v>
      </c>
      <c r="O830">
        <v>5</v>
      </c>
      <c r="P830">
        <v>97.67</v>
      </c>
    </row>
    <row r="831" spans="1:16" x14ac:dyDescent="0.3">
      <c r="A831">
        <v>6136</v>
      </c>
      <c r="B831" t="s">
        <v>871</v>
      </c>
      <c r="C831" s="2">
        <v>292234</v>
      </c>
      <c r="D831">
        <v>180</v>
      </c>
      <c r="E831" s="2">
        <v>7269934</v>
      </c>
      <c r="F831">
        <v>25</v>
      </c>
      <c r="G831">
        <v>25</v>
      </c>
      <c r="H831">
        <v>24.8</v>
      </c>
      <c r="I831">
        <v>24.8</v>
      </c>
      <c r="J831" t="s">
        <v>7</v>
      </c>
      <c r="K831">
        <v>0.2</v>
      </c>
      <c r="L831">
        <v>24.75</v>
      </c>
      <c r="M831">
        <v>14</v>
      </c>
      <c r="N831">
        <v>24.8</v>
      </c>
      <c r="O831">
        <v>2</v>
      </c>
      <c r="P831">
        <v>10.93</v>
      </c>
    </row>
    <row r="832" spans="1:16" x14ac:dyDescent="0.3">
      <c r="A832">
        <v>6139</v>
      </c>
      <c r="B832" t="s">
        <v>872</v>
      </c>
      <c r="C832" s="2">
        <v>74337</v>
      </c>
      <c r="D832">
        <v>43</v>
      </c>
      <c r="E832" s="2">
        <v>2132254</v>
      </c>
      <c r="F832">
        <v>28.6</v>
      </c>
      <c r="G832">
        <v>28.8</v>
      </c>
      <c r="H832">
        <v>28.6</v>
      </c>
      <c r="I832">
        <v>28.7</v>
      </c>
      <c r="J832" t="s">
        <v>10</v>
      </c>
      <c r="K832">
        <v>0.1</v>
      </c>
      <c r="L832">
        <v>28.65</v>
      </c>
      <c r="M832">
        <v>1</v>
      </c>
      <c r="N832">
        <v>28.7</v>
      </c>
      <c r="O832">
        <v>7</v>
      </c>
      <c r="P832">
        <v>11.12</v>
      </c>
    </row>
    <row r="833" spans="1:16" x14ac:dyDescent="0.3">
      <c r="A833">
        <v>6141</v>
      </c>
      <c r="B833" t="s">
        <v>873</v>
      </c>
      <c r="C833" s="2">
        <v>161023</v>
      </c>
      <c r="D833">
        <v>76</v>
      </c>
      <c r="E833" s="2">
        <v>1756099</v>
      </c>
      <c r="F833">
        <v>10.85</v>
      </c>
      <c r="G833">
        <v>11.05</v>
      </c>
      <c r="H833">
        <v>10.75</v>
      </c>
      <c r="I833">
        <v>11.05</v>
      </c>
      <c r="J833" t="s">
        <v>10</v>
      </c>
      <c r="K833">
        <v>0.25</v>
      </c>
      <c r="L833">
        <v>11.05</v>
      </c>
      <c r="M833">
        <v>11</v>
      </c>
      <c r="N833">
        <v>11.1</v>
      </c>
      <c r="O833">
        <v>19</v>
      </c>
      <c r="P833">
        <v>0</v>
      </c>
    </row>
    <row r="834" spans="1:16" x14ac:dyDescent="0.3">
      <c r="A834">
        <v>6142</v>
      </c>
      <c r="B834" t="s">
        <v>874</v>
      </c>
      <c r="C834" s="2">
        <v>397871</v>
      </c>
      <c r="D834">
        <v>121</v>
      </c>
      <c r="E834" s="2">
        <v>3896054</v>
      </c>
      <c r="F834">
        <v>9.75</v>
      </c>
      <c r="G834">
        <v>9.84</v>
      </c>
      <c r="H834">
        <v>9.75</v>
      </c>
      <c r="I834">
        <v>9.8000000000000007</v>
      </c>
      <c r="J834" t="s">
        <v>10</v>
      </c>
      <c r="K834">
        <v>0.02</v>
      </c>
      <c r="L834">
        <v>9.7899999999999991</v>
      </c>
      <c r="M834">
        <v>6</v>
      </c>
      <c r="N834">
        <v>9.8000000000000007</v>
      </c>
      <c r="O834">
        <v>5</v>
      </c>
      <c r="P834">
        <v>10.54</v>
      </c>
    </row>
    <row r="835" spans="1:16" x14ac:dyDescent="0.3">
      <c r="A835">
        <v>6145</v>
      </c>
      <c r="B835" t="s">
        <v>875</v>
      </c>
      <c r="C835" s="2">
        <v>940130</v>
      </c>
      <c r="D835">
        <v>470</v>
      </c>
      <c r="E835" s="2">
        <v>20109458</v>
      </c>
      <c r="F835">
        <v>21.45</v>
      </c>
      <c r="G835">
        <v>21.75</v>
      </c>
      <c r="H835">
        <v>21.05</v>
      </c>
      <c r="I835">
        <v>21.6</v>
      </c>
      <c r="J835" t="s">
        <v>10</v>
      </c>
      <c r="K835">
        <v>0.9</v>
      </c>
      <c r="L835">
        <v>21.6</v>
      </c>
      <c r="M835">
        <v>39</v>
      </c>
      <c r="N835">
        <v>21.65</v>
      </c>
      <c r="O835">
        <v>19</v>
      </c>
      <c r="P835">
        <v>15.21</v>
      </c>
    </row>
    <row r="836" spans="1:16" x14ac:dyDescent="0.3">
      <c r="A836">
        <v>6152</v>
      </c>
      <c r="B836" t="s">
        <v>876</v>
      </c>
      <c r="C836" s="2">
        <v>1586962</v>
      </c>
      <c r="D836">
        <v>652</v>
      </c>
      <c r="E836" s="2">
        <v>44734986</v>
      </c>
      <c r="F836">
        <v>27.85</v>
      </c>
      <c r="G836">
        <v>28.45</v>
      </c>
      <c r="H836">
        <v>27.85</v>
      </c>
      <c r="I836">
        <v>28.15</v>
      </c>
      <c r="J836" t="s">
        <v>10</v>
      </c>
      <c r="K836">
        <v>0.35</v>
      </c>
      <c r="L836">
        <v>28.15</v>
      </c>
      <c r="M836">
        <v>50</v>
      </c>
      <c r="N836">
        <v>28.2</v>
      </c>
      <c r="O836">
        <v>21</v>
      </c>
      <c r="P836">
        <v>9.14</v>
      </c>
    </row>
    <row r="837" spans="1:16" x14ac:dyDescent="0.3">
      <c r="A837">
        <v>6153</v>
      </c>
      <c r="B837" t="s">
        <v>877</v>
      </c>
      <c r="C837" s="2">
        <v>1813069</v>
      </c>
      <c r="D837">
        <v>830</v>
      </c>
      <c r="E837" s="2">
        <v>51297116</v>
      </c>
      <c r="F837">
        <v>28.2</v>
      </c>
      <c r="G837">
        <v>28.65</v>
      </c>
      <c r="H837">
        <v>28</v>
      </c>
      <c r="I837">
        <v>28.45</v>
      </c>
      <c r="J837" t="s">
        <v>10</v>
      </c>
      <c r="K837">
        <v>0.25</v>
      </c>
      <c r="L837">
        <v>28.45</v>
      </c>
      <c r="M837">
        <v>24</v>
      </c>
      <c r="N837">
        <v>28.5</v>
      </c>
      <c r="O837">
        <v>21</v>
      </c>
      <c r="P837">
        <v>10.35</v>
      </c>
    </row>
    <row r="838" spans="1:16" x14ac:dyDescent="0.3">
      <c r="A838">
        <v>6155</v>
      </c>
      <c r="B838" t="s">
        <v>878</v>
      </c>
      <c r="C838" s="2">
        <v>1184</v>
      </c>
      <c r="D838">
        <v>3</v>
      </c>
      <c r="E838" s="2">
        <v>24786</v>
      </c>
      <c r="F838">
        <v>20.95</v>
      </c>
      <c r="G838">
        <v>20.95</v>
      </c>
      <c r="H838">
        <v>20.95</v>
      </c>
      <c r="I838">
        <v>20.95</v>
      </c>
      <c r="J838" t="s">
        <v>7</v>
      </c>
      <c r="K838">
        <v>0.35</v>
      </c>
      <c r="L838">
        <v>20.8</v>
      </c>
      <c r="M838">
        <v>2</v>
      </c>
      <c r="N838">
        <v>20.95</v>
      </c>
      <c r="O838">
        <v>1</v>
      </c>
      <c r="P838">
        <v>13.34</v>
      </c>
    </row>
    <row r="839" spans="1:16" x14ac:dyDescent="0.3">
      <c r="A839">
        <v>6164</v>
      </c>
      <c r="B839" t="s">
        <v>879</v>
      </c>
      <c r="C839" s="2">
        <v>951285</v>
      </c>
      <c r="D839">
        <v>461</v>
      </c>
      <c r="E839" s="2">
        <v>16192642</v>
      </c>
      <c r="F839">
        <v>16.649999999999999</v>
      </c>
      <c r="G839">
        <v>17.45</v>
      </c>
      <c r="H839">
        <v>16.5</v>
      </c>
      <c r="I839">
        <v>17.45</v>
      </c>
      <c r="J839" t="s">
        <v>10</v>
      </c>
      <c r="K839">
        <v>0.8</v>
      </c>
      <c r="L839">
        <v>17.399999999999999</v>
      </c>
      <c r="M839">
        <v>10</v>
      </c>
      <c r="N839">
        <v>17.45</v>
      </c>
      <c r="O839">
        <v>9</v>
      </c>
      <c r="P839">
        <v>33.56</v>
      </c>
    </row>
    <row r="840" spans="1:16" x14ac:dyDescent="0.3">
      <c r="A840">
        <v>6165</v>
      </c>
      <c r="B840" t="s">
        <v>880</v>
      </c>
      <c r="C840" s="2">
        <v>64099</v>
      </c>
      <c r="D840">
        <v>25</v>
      </c>
      <c r="E840" s="2">
        <v>415214</v>
      </c>
      <c r="F840">
        <v>6.45</v>
      </c>
      <c r="G840">
        <v>6.5</v>
      </c>
      <c r="H840">
        <v>6.45</v>
      </c>
      <c r="I840">
        <v>6.46</v>
      </c>
      <c r="J840" t="s">
        <v>10</v>
      </c>
      <c r="K840">
        <v>0.01</v>
      </c>
      <c r="L840">
        <v>6.46</v>
      </c>
      <c r="M840">
        <v>1</v>
      </c>
      <c r="N840">
        <v>6.5</v>
      </c>
      <c r="O840">
        <v>5</v>
      </c>
      <c r="P840">
        <v>0</v>
      </c>
    </row>
    <row r="841" spans="1:16" x14ac:dyDescent="0.3">
      <c r="A841">
        <v>6166</v>
      </c>
      <c r="B841" t="s">
        <v>881</v>
      </c>
      <c r="C841" s="2">
        <v>1557776</v>
      </c>
      <c r="D841">
        <v>734</v>
      </c>
      <c r="E841" s="2">
        <v>65023434</v>
      </c>
      <c r="F841">
        <v>40</v>
      </c>
      <c r="G841">
        <v>42.15</v>
      </c>
      <c r="H841">
        <v>39.799999999999997</v>
      </c>
      <c r="I841">
        <v>42.15</v>
      </c>
      <c r="J841" t="s">
        <v>10</v>
      </c>
      <c r="K841">
        <v>2.75</v>
      </c>
      <c r="L841">
        <v>42.15</v>
      </c>
      <c r="M841">
        <v>834</v>
      </c>
      <c r="N841" t="s">
        <v>152</v>
      </c>
      <c r="O841">
        <v>0</v>
      </c>
      <c r="P841">
        <v>36.65</v>
      </c>
    </row>
    <row r="842" spans="1:16" x14ac:dyDescent="0.3">
      <c r="A842">
        <v>6168</v>
      </c>
      <c r="B842" t="s">
        <v>882</v>
      </c>
      <c r="C842" s="2">
        <v>385023</v>
      </c>
      <c r="D842">
        <v>136</v>
      </c>
      <c r="E842" s="2">
        <v>4507663</v>
      </c>
      <c r="F842">
        <v>11.65</v>
      </c>
      <c r="G842">
        <v>11.8</v>
      </c>
      <c r="H842">
        <v>11.65</v>
      </c>
      <c r="I842">
        <v>11.8</v>
      </c>
      <c r="J842" t="s">
        <v>10</v>
      </c>
      <c r="K842">
        <v>0.2</v>
      </c>
      <c r="L842">
        <v>11.8</v>
      </c>
      <c r="M842">
        <v>6</v>
      </c>
      <c r="N842">
        <v>11.85</v>
      </c>
      <c r="O842">
        <v>21</v>
      </c>
      <c r="P842">
        <v>0</v>
      </c>
    </row>
    <row r="843" spans="1:16" x14ac:dyDescent="0.3">
      <c r="A843">
        <v>6172</v>
      </c>
      <c r="B843" t="s">
        <v>883</v>
      </c>
      <c r="C843" s="2">
        <v>39096</v>
      </c>
      <c r="D843">
        <v>28</v>
      </c>
      <c r="E843" s="2">
        <v>246960</v>
      </c>
      <c r="F843">
        <v>5.94</v>
      </c>
      <c r="G843">
        <v>6.52</v>
      </c>
      <c r="H843">
        <v>5.94</v>
      </c>
      <c r="I843">
        <v>6.21</v>
      </c>
      <c r="J843" t="s">
        <v>10</v>
      </c>
      <c r="K843">
        <v>0.11</v>
      </c>
      <c r="L843">
        <v>6.21</v>
      </c>
      <c r="M843">
        <v>1</v>
      </c>
      <c r="N843">
        <v>6.3</v>
      </c>
      <c r="O843">
        <v>15</v>
      </c>
      <c r="P843">
        <v>0</v>
      </c>
    </row>
    <row r="844" spans="1:16" x14ac:dyDescent="0.3">
      <c r="A844">
        <v>6176</v>
      </c>
      <c r="B844" t="s">
        <v>884</v>
      </c>
      <c r="C844" s="2">
        <v>4875671</v>
      </c>
      <c r="D844" s="2">
        <v>3040</v>
      </c>
      <c r="E844" s="2">
        <v>480581917</v>
      </c>
      <c r="F844">
        <v>97.7</v>
      </c>
      <c r="G844">
        <v>99.7</v>
      </c>
      <c r="H844">
        <v>96.3</v>
      </c>
      <c r="I844">
        <v>98.9</v>
      </c>
      <c r="J844" t="s">
        <v>10</v>
      </c>
      <c r="K844">
        <v>0.6</v>
      </c>
      <c r="L844">
        <v>98.9</v>
      </c>
      <c r="M844">
        <v>25</v>
      </c>
      <c r="N844">
        <v>99</v>
      </c>
      <c r="O844">
        <v>10</v>
      </c>
      <c r="P844">
        <v>8.07</v>
      </c>
    </row>
    <row r="845" spans="1:16" x14ac:dyDescent="0.3">
      <c r="A845">
        <v>6183</v>
      </c>
      <c r="B845" t="s">
        <v>885</v>
      </c>
      <c r="C845" s="2">
        <v>201093</v>
      </c>
      <c r="D845">
        <v>47</v>
      </c>
      <c r="E845" s="2">
        <v>4626769</v>
      </c>
      <c r="F845">
        <v>23</v>
      </c>
      <c r="G845">
        <v>23.05</v>
      </c>
      <c r="H845">
        <v>22.85</v>
      </c>
      <c r="I845">
        <v>23.05</v>
      </c>
      <c r="J845" t="s">
        <v>10</v>
      </c>
      <c r="K845">
        <v>0.1</v>
      </c>
      <c r="L845">
        <v>22.9</v>
      </c>
      <c r="M845">
        <v>1</v>
      </c>
      <c r="N845">
        <v>23.05</v>
      </c>
      <c r="O845">
        <v>2</v>
      </c>
      <c r="P845">
        <v>17.600000000000001</v>
      </c>
    </row>
    <row r="846" spans="1:16" x14ac:dyDescent="0.3">
      <c r="A846">
        <v>6184</v>
      </c>
      <c r="B846" t="s">
        <v>886</v>
      </c>
      <c r="C846" s="2">
        <v>94330</v>
      </c>
      <c r="D846">
        <v>67</v>
      </c>
      <c r="E846" s="2">
        <v>5656694</v>
      </c>
      <c r="F846">
        <v>60.2</v>
      </c>
      <c r="G846">
        <v>60.2</v>
      </c>
      <c r="H846">
        <v>59.5</v>
      </c>
      <c r="I846">
        <v>60.2</v>
      </c>
      <c r="J846" t="s">
        <v>10</v>
      </c>
      <c r="K846">
        <v>0.1</v>
      </c>
      <c r="L846">
        <v>60</v>
      </c>
      <c r="M846">
        <v>7</v>
      </c>
      <c r="N846">
        <v>60.2</v>
      </c>
      <c r="O846">
        <v>4</v>
      </c>
      <c r="P846">
        <v>15.56</v>
      </c>
    </row>
    <row r="847" spans="1:16" x14ac:dyDescent="0.3">
      <c r="A847">
        <v>6189</v>
      </c>
      <c r="B847" t="s">
        <v>887</v>
      </c>
      <c r="C847" s="2">
        <v>520205</v>
      </c>
      <c r="D847">
        <v>183</v>
      </c>
      <c r="E847" s="2">
        <v>15089013</v>
      </c>
      <c r="F847">
        <v>28.85</v>
      </c>
      <c r="G847">
        <v>29.1</v>
      </c>
      <c r="H847">
        <v>28.8</v>
      </c>
      <c r="I847">
        <v>29.1</v>
      </c>
      <c r="J847" t="s">
        <v>10</v>
      </c>
      <c r="K847">
        <v>0.25</v>
      </c>
      <c r="L847">
        <v>29.05</v>
      </c>
      <c r="M847">
        <v>11</v>
      </c>
      <c r="N847">
        <v>29.1</v>
      </c>
      <c r="O847">
        <v>41</v>
      </c>
      <c r="P847">
        <v>10</v>
      </c>
    </row>
    <row r="848" spans="1:16" x14ac:dyDescent="0.3">
      <c r="A848">
        <v>6191</v>
      </c>
      <c r="B848" t="s">
        <v>888</v>
      </c>
      <c r="C848" s="2">
        <v>453316</v>
      </c>
      <c r="D848">
        <v>140</v>
      </c>
      <c r="E848" s="2">
        <v>4674237</v>
      </c>
      <c r="F848">
        <v>10.199999999999999</v>
      </c>
      <c r="G848">
        <v>10.35</v>
      </c>
      <c r="H848">
        <v>10.199999999999999</v>
      </c>
      <c r="I848">
        <v>10.35</v>
      </c>
      <c r="J848" t="s">
        <v>10</v>
      </c>
      <c r="K848">
        <v>0.1</v>
      </c>
      <c r="L848">
        <v>10.35</v>
      </c>
      <c r="M848">
        <v>23</v>
      </c>
      <c r="N848">
        <v>10.4</v>
      </c>
      <c r="O848">
        <v>57</v>
      </c>
      <c r="P848">
        <v>258.75</v>
      </c>
    </row>
    <row r="849" spans="1:16" x14ac:dyDescent="0.3">
      <c r="A849">
        <v>6192</v>
      </c>
      <c r="B849" t="s">
        <v>889</v>
      </c>
      <c r="C849" s="2">
        <v>171585</v>
      </c>
      <c r="D849">
        <v>115</v>
      </c>
      <c r="E849" s="2">
        <v>11320427</v>
      </c>
      <c r="F849">
        <v>65.7</v>
      </c>
      <c r="G849">
        <v>66.3</v>
      </c>
      <c r="H849">
        <v>65.7</v>
      </c>
      <c r="I849">
        <v>66.2</v>
      </c>
      <c r="J849" t="s">
        <v>10</v>
      </c>
      <c r="K849">
        <v>0.5</v>
      </c>
      <c r="L849">
        <v>66.099999999999994</v>
      </c>
      <c r="M849">
        <v>2</v>
      </c>
      <c r="N849">
        <v>66.2</v>
      </c>
      <c r="O849">
        <v>1</v>
      </c>
      <c r="P849">
        <v>12.17</v>
      </c>
    </row>
    <row r="850" spans="1:16" x14ac:dyDescent="0.3">
      <c r="A850">
        <v>6196</v>
      </c>
      <c r="B850" t="s">
        <v>890</v>
      </c>
      <c r="C850" s="2">
        <v>356290</v>
      </c>
      <c r="D850">
        <v>223</v>
      </c>
      <c r="E850" s="2">
        <v>6657648</v>
      </c>
      <c r="F850">
        <v>18.600000000000001</v>
      </c>
      <c r="G850">
        <v>18.8</v>
      </c>
      <c r="H850">
        <v>18.45</v>
      </c>
      <c r="I850">
        <v>18.8</v>
      </c>
      <c r="J850" t="s">
        <v>10</v>
      </c>
      <c r="K850">
        <v>0.4</v>
      </c>
      <c r="L850">
        <v>18.75</v>
      </c>
      <c r="M850">
        <v>27</v>
      </c>
      <c r="N850">
        <v>18.8</v>
      </c>
      <c r="O850">
        <v>7</v>
      </c>
      <c r="P850">
        <v>17.09</v>
      </c>
    </row>
    <row r="851" spans="1:16" x14ac:dyDescent="0.3">
      <c r="A851">
        <v>6197</v>
      </c>
      <c r="B851" t="s">
        <v>891</v>
      </c>
      <c r="C851" s="2">
        <v>1061041</v>
      </c>
      <c r="D851">
        <v>478</v>
      </c>
      <c r="E851" s="2">
        <v>26555179</v>
      </c>
      <c r="F851">
        <v>24.7</v>
      </c>
      <c r="G851">
        <v>25.5</v>
      </c>
      <c r="H851">
        <v>24.55</v>
      </c>
      <c r="I851">
        <v>25.05</v>
      </c>
      <c r="J851" t="s">
        <v>10</v>
      </c>
      <c r="K851">
        <v>0.2</v>
      </c>
      <c r="L851">
        <v>25.05</v>
      </c>
      <c r="M851">
        <v>20</v>
      </c>
      <c r="N851">
        <v>25.1</v>
      </c>
      <c r="O851">
        <v>13</v>
      </c>
      <c r="P851">
        <v>41.75</v>
      </c>
    </row>
    <row r="852" spans="1:16" x14ac:dyDescent="0.3">
      <c r="A852">
        <v>6201</v>
      </c>
      <c r="B852" t="s">
        <v>892</v>
      </c>
      <c r="C852" s="2">
        <v>20052</v>
      </c>
      <c r="D852">
        <v>14</v>
      </c>
      <c r="E852" s="2">
        <v>563512</v>
      </c>
      <c r="F852">
        <v>28.1</v>
      </c>
      <c r="G852">
        <v>28.3</v>
      </c>
      <c r="H852">
        <v>28.05</v>
      </c>
      <c r="I852">
        <v>28.3</v>
      </c>
      <c r="J852" t="s">
        <v>10</v>
      </c>
      <c r="K852">
        <v>0.2</v>
      </c>
      <c r="L852">
        <v>28.1</v>
      </c>
      <c r="M852">
        <v>4</v>
      </c>
      <c r="N852">
        <v>28.3</v>
      </c>
      <c r="O852">
        <v>5</v>
      </c>
      <c r="P852">
        <v>14.51</v>
      </c>
    </row>
    <row r="853" spans="1:16" x14ac:dyDescent="0.3">
      <c r="A853">
        <v>6202</v>
      </c>
      <c r="B853" t="s">
        <v>893</v>
      </c>
      <c r="C853" s="2">
        <v>444300</v>
      </c>
      <c r="D853">
        <v>266</v>
      </c>
      <c r="E853" s="2">
        <v>16950556</v>
      </c>
      <c r="F853">
        <v>37.9</v>
      </c>
      <c r="G853">
        <v>38.5</v>
      </c>
      <c r="H853">
        <v>37.799999999999997</v>
      </c>
      <c r="I853">
        <v>38.15</v>
      </c>
      <c r="J853" t="s">
        <v>10</v>
      </c>
      <c r="K853">
        <v>0.25</v>
      </c>
      <c r="L853">
        <v>38.15</v>
      </c>
      <c r="M853">
        <v>1</v>
      </c>
      <c r="N853">
        <v>38.200000000000003</v>
      </c>
      <c r="O853">
        <v>14</v>
      </c>
      <c r="P853">
        <v>13.87</v>
      </c>
    </row>
    <row r="854" spans="1:16" x14ac:dyDescent="0.3">
      <c r="A854">
        <v>6205</v>
      </c>
      <c r="B854" t="s">
        <v>894</v>
      </c>
      <c r="C854" s="2">
        <v>72000</v>
      </c>
      <c r="D854">
        <v>28</v>
      </c>
      <c r="E854" s="2">
        <v>1429500</v>
      </c>
      <c r="F854">
        <v>19.75</v>
      </c>
      <c r="G854">
        <v>19.95</v>
      </c>
      <c r="H854">
        <v>19.75</v>
      </c>
      <c r="I854">
        <v>19.95</v>
      </c>
      <c r="J854" t="s">
        <v>10</v>
      </c>
      <c r="K854">
        <v>0.2</v>
      </c>
      <c r="L854">
        <v>19.899999999999999</v>
      </c>
      <c r="M854">
        <v>22</v>
      </c>
      <c r="N854">
        <v>20</v>
      </c>
      <c r="O854">
        <v>23</v>
      </c>
      <c r="P854">
        <v>10.18</v>
      </c>
    </row>
    <row r="855" spans="1:16" x14ac:dyDescent="0.3">
      <c r="A855">
        <v>6206</v>
      </c>
      <c r="B855" t="s">
        <v>895</v>
      </c>
      <c r="C855" s="2">
        <v>422922</v>
      </c>
      <c r="D855">
        <v>318</v>
      </c>
      <c r="E855" s="2">
        <v>39899252</v>
      </c>
      <c r="F855">
        <v>94.1</v>
      </c>
      <c r="G855">
        <v>94.9</v>
      </c>
      <c r="H855">
        <v>93.5</v>
      </c>
      <c r="I855">
        <v>94.1</v>
      </c>
      <c r="J855" t="s">
        <v>7</v>
      </c>
      <c r="K855">
        <v>0.1</v>
      </c>
      <c r="L855">
        <v>94.1</v>
      </c>
      <c r="M855">
        <v>5</v>
      </c>
      <c r="N855">
        <v>94.2</v>
      </c>
      <c r="O855">
        <v>6</v>
      </c>
      <c r="P855">
        <v>13.78</v>
      </c>
    </row>
    <row r="856" spans="1:16" x14ac:dyDescent="0.3">
      <c r="A856">
        <v>6209</v>
      </c>
      <c r="B856" t="s">
        <v>896</v>
      </c>
      <c r="C856" s="2">
        <v>1492010</v>
      </c>
      <c r="D856">
        <v>644</v>
      </c>
      <c r="E856" s="2">
        <v>48153624</v>
      </c>
      <c r="F856">
        <v>32</v>
      </c>
      <c r="G856">
        <v>32.6</v>
      </c>
      <c r="H856">
        <v>32</v>
      </c>
      <c r="I856">
        <v>32.299999999999997</v>
      </c>
      <c r="J856" t="s">
        <v>10</v>
      </c>
      <c r="K856">
        <v>0.3</v>
      </c>
      <c r="L856">
        <v>32.25</v>
      </c>
      <c r="M856">
        <v>19</v>
      </c>
      <c r="N856">
        <v>32.299999999999997</v>
      </c>
      <c r="O856">
        <v>26</v>
      </c>
      <c r="P856">
        <v>16.559999999999999</v>
      </c>
    </row>
    <row r="857" spans="1:16" x14ac:dyDescent="0.3">
      <c r="A857">
        <v>6213</v>
      </c>
      <c r="B857" t="s">
        <v>897</v>
      </c>
      <c r="C857" s="2">
        <v>1943135</v>
      </c>
      <c r="D857">
        <v>544</v>
      </c>
      <c r="E857" s="2">
        <v>61042728</v>
      </c>
      <c r="F857">
        <v>31.2</v>
      </c>
      <c r="G857">
        <v>31.65</v>
      </c>
      <c r="H857">
        <v>31.2</v>
      </c>
      <c r="I857">
        <v>31.35</v>
      </c>
      <c r="J857" t="s">
        <v>145</v>
      </c>
      <c r="K857">
        <v>0</v>
      </c>
      <c r="L857">
        <v>31.35</v>
      </c>
      <c r="M857">
        <v>25</v>
      </c>
      <c r="N857">
        <v>31.5</v>
      </c>
      <c r="O857">
        <v>9</v>
      </c>
      <c r="P857">
        <v>9.5299999999999994</v>
      </c>
    </row>
    <row r="858" spans="1:16" x14ac:dyDescent="0.3">
      <c r="A858">
        <v>6214</v>
      </c>
      <c r="B858" t="s">
        <v>898</v>
      </c>
      <c r="C858" s="2">
        <v>410595</v>
      </c>
      <c r="D858">
        <v>236</v>
      </c>
      <c r="E858" s="2">
        <v>15145032</v>
      </c>
      <c r="F858">
        <v>36.6</v>
      </c>
      <c r="G858">
        <v>37.35</v>
      </c>
      <c r="H858">
        <v>36.6</v>
      </c>
      <c r="I858">
        <v>36.950000000000003</v>
      </c>
      <c r="J858" t="s">
        <v>10</v>
      </c>
      <c r="K858">
        <v>0.05</v>
      </c>
      <c r="L858">
        <v>36.9</v>
      </c>
      <c r="M858">
        <v>42</v>
      </c>
      <c r="N858">
        <v>37</v>
      </c>
      <c r="O858">
        <v>7</v>
      </c>
      <c r="P858">
        <v>24.63</v>
      </c>
    </row>
    <row r="859" spans="1:16" x14ac:dyDescent="0.3">
      <c r="A859">
        <v>6215</v>
      </c>
      <c r="B859" t="s">
        <v>899</v>
      </c>
      <c r="C859" s="2">
        <v>498000</v>
      </c>
      <c r="D859">
        <v>77</v>
      </c>
      <c r="E859" s="2">
        <v>5891700</v>
      </c>
      <c r="F859">
        <v>11.9</v>
      </c>
      <c r="G859">
        <v>12</v>
      </c>
      <c r="H859">
        <v>11.8</v>
      </c>
      <c r="I859">
        <v>12</v>
      </c>
      <c r="J859" t="s">
        <v>10</v>
      </c>
      <c r="K859">
        <v>0.2</v>
      </c>
      <c r="L859">
        <v>11.95</v>
      </c>
      <c r="M859">
        <v>10</v>
      </c>
      <c r="N859">
        <v>12</v>
      </c>
      <c r="O859">
        <v>4</v>
      </c>
      <c r="P859">
        <v>70.59</v>
      </c>
    </row>
    <row r="860" spans="1:16" x14ac:dyDescent="0.3">
      <c r="A860">
        <v>6216</v>
      </c>
      <c r="B860" t="s">
        <v>900</v>
      </c>
      <c r="C860" s="2">
        <v>136336</v>
      </c>
      <c r="D860">
        <v>73</v>
      </c>
      <c r="E860" s="2">
        <v>2777120</v>
      </c>
      <c r="F860">
        <v>20.3</v>
      </c>
      <c r="G860">
        <v>20.55</v>
      </c>
      <c r="H860">
        <v>20.3</v>
      </c>
      <c r="I860">
        <v>20.45</v>
      </c>
      <c r="J860" t="s">
        <v>10</v>
      </c>
      <c r="K860">
        <v>0.15</v>
      </c>
      <c r="L860">
        <v>20.399999999999999</v>
      </c>
      <c r="M860">
        <v>1</v>
      </c>
      <c r="N860">
        <v>20.45</v>
      </c>
      <c r="O860">
        <v>3</v>
      </c>
      <c r="P860">
        <v>12.32</v>
      </c>
    </row>
    <row r="861" spans="1:16" x14ac:dyDescent="0.3">
      <c r="A861">
        <v>6224</v>
      </c>
      <c r="B861" t="s">
        <v>901</v>
      </c>
      <c r="C861" s="2">
        <v>415250</v>
      </c>
      <c r="D861">
        <v>296</v>
      </c>
      <c r="E861" s="2">
        <v>22999849</v>
      </c>
      <c r="F861">
        <v>54.9</v>
      </c>
      <c r="G861">
        <v>55.8</v>
      </c>
      <c r="H861">
        <v>54.9</v>
      </c>
      <c r="I861">
        <v>55.6</v>
      </c>
      <c r="J861" t="s">
        <v>145</v>
      </c>
      <c r="K861">
        <v>0</v>
      </c>
      <c r="L861">
        <v>55.6</v>
      </c>
      <c r="M861">
        <v>4</v>
      </c>
      <c r="N861">
        <v>55.7</v>
      </c>
      <c r="O861">
        <v>4</v>
      </c>
      <c r="P861">
        <v>10.82</v>
      </c>
    </row>
    <row r="862" spans="1:16" x14ac:dyDescent="0.3">
      <c r="A862">
        <v>6225</v>
      </c>
      <c r="B862" t="s">
        <v>902</v>
      </c>
      <c r="C862" s="2">
        <v>18101</v>
      </c>
      <c r="D862">
        <v>11</v>
      </c>
      <c r="E862" s="2">
        <v>84101</v>
      </c>
      <c r="F862">
        <v>4.97</v>
      </c>
      <c r="G862">
        <v>4.97</v>
      </c>
      <c r="H862">
        <v>4.62</v>
      </c>
      <c r="I862">
        <v>4.7</v>
      </c>
      <c r="J862" t="s">
        <v>7</v>
      </c>
      <c r="K862">
        <v>0.05</v>
      </c>
      <c r="L862">
        <v>4.67</v>
      </c>
      <c r="M862">
        <v>1</v>
      </c>
      <c r="N862">
        <v>4.84</v>
      </c>
      <c r="O862">
        <v>1</v>
      </c>
      <c r="P862">
        <v>0</v>
      </c>
    </row>
    <row r="863" spans="1:16" x14ac:dyDescent="0.3">
      <c r="A863">
        <v>6226</v>
      </c>
      <c r="B863" t="s">
        <v>903</v>
      </c>
      <c r="C863" s="2">
        <v>443752</v>
      </c>
      <c r="D863">
        <v>137</v>
      </c>
      <c r="E863" s="2">
        <v>2295205</v>
      </c>
      <c r="F863">
        <v>5.21</v>
      </c>
      <c r="G863">
        <v>5.25</v>
      </c>
      <c r="H863">
        <v>5.1100000000000003</v>
      </c>
      <c r="I863">
        <v>5.22</v>
      </c>
      <c r="K863">
        <v>0</v>
      </c>
      <c r="L863">
        <v>5.2</v>
      </c>
      <c r="M863">
        <v>15</v>
      </c>
      <c r="N863">
        <v>5.22</v>
      </c>
      <c r="O863">
        <v>3</v>
      </c>
      <c r="P863">
        <v>0</v>
      </c>
    </row>
    <row r="864" spans="1:16" x14ac:dyDescent="0.3">
      <c r="A864">
        <v>6230</v>
      </c>
      <c r="B864" t="s">
        <v>904</v>
      </c>
      <c r="C864" s="2">
        <v>959068</v>
      </c>
      <c r="D864">
        <v>598</v>
      </c>
      <c r="E864" s="2">
        <v>72457581</v>
      </c>
      <c r="F864">
        <v>76</v>
      </c>
      <c r="G864">
        <v>76.5</v>
      </c>
      <c r="H864">
        <v>74.8</v>
      </c>
      <c r="I864">
        <v>75</v>
      </c>
      <c r="J864" t="s">
        <v>10</v>
      </c>
      <c r="K864">
        <v>0.1</v>
      </c>
      <c r="L864">
        <v>75</v>
      </c>
      <c r="M864">
        <v>5</v>
      </c>
      <c r="N864">
        <v>75.3</v>
      </c>
      <c r="O864">
        <v>3</v>
      </c>
      <c r="P864">
        <v>12.1</v>
      </c>
    </row>
    <row r="865" spans="1:16" x14ac:dyDescent="0.3">
      <c r="A865">
        <v>6235</v>
      </c>
      <c r="B865" t="s">
        <v>905</v>
      </c>
      <c r="C865" s="2">
        <v>168359</v>
      </c>
      <c r="D865">
        <v>62</v>
      </c>
      <c r="E865" s="2">
        <v>1727028</v>
      </c>
      <c r="F865">
        <v>10.199999999999999</v>
      </c>
      <c r="G865">
        <v>10.35</v>
      </c>
      <c r="H865">
        <v>10.15</v>
      </c>
      <c r="I865">
        <v>10.3</v>
      </c>
      <c r="J865" t="s">
        <v>10</v>
      </c>
      <c r="K865">
        <v>0.1</v>
      </c>
      <c r="L865">
        <v>10.3</v>
      </c>
      <c r="M865">
        <v>12</v>
      </c>
      <c r="N865">
        <v>10.35</v>
      </c>
      <c r="O865">
        <v>17</v>
      </c>
      <c r="P865">
        <v>0</v>
      </c>
    </row>
    <row r="866" spans="1:16" x14ac:dyDescent="0.3">
      <c r="A866">
        <v>6239</v>
      </c>
      <c r="B866" t="s">
        <v>906</v>
      </c>
      <c r="C866" s="2">
        <v>12012524</v>
      </c>
      <c r="D866" s="2">
        <v>5719</v>
      </c>
      <c r="E866" s="2">
        <v>697386646</v>
      </c>
      <c r="F866">
        <v>57</v>
      </c>
      <c r="G866">
        <v>58.9</v>
      </c>
      <c r="H866">
        <v>56.6</v>
      </c>
      <c r="I866">
        <v>58.9</v>
      </c>
      <c r="J866" t="s">
        <v>10</v>
      </c>
      <c r="K866">
        <v>2.6</v>
      </c>
      <c r="L866">
        <v>58.9</v>
      </c>
      <c r="M866">
        <v>212</v>
      </c>
      <c r="N866">
        <v>59</v>
      </c>
      <c r="O866">
        <v>285</v>
      </c>
      <c r="P866">
        <v>14.51</v>
      </c>
    </row>
    <row r="867" spans="1:16" x14ac:dyDescent="0.3">
      <c r="A867">
        <v>6243</v>
      </c>
      <c r="B867" t="s">
        <v>907</v>
      </c>
      <c r="C867" s="2">
        <v>150193</v>
      </c>
      <c r="D867">
        <v>86</v>
      </c>
      <c r="E867" s="2">
        <v>2056089</v>
      </c>
      <c r="F867">
        <v>13.5</v>
      </c>
      <c r="G867">
        <v>13.8</v>
      </c>
      <c r="H867">
        <v>13.45</v>
      </c>
      <c r="I867">
        <v>13.8</v>
      </c>
      <c r="J867" t="s">
        <v>10</v>
      </c>
      <c r="K867">
        <v>0.3</v>
      </c>
      <c r="L867">
        <v>13.8</v>
      </c>
      <c r="M867">
        <v>1</v>
      </c>
      <c r="N867">
        <v>13.9</v>
      </c>
      <c r="O867">
        <v>8</v>
      </c>
      <c r="P867">
        <v>0</v>
      </c>
    </row>
    <row r="868" spans="1:16" x14ac:dyDescent="0.3">
      <c r="A868">
        <v>6251</v>
      </c>
      <c r="B868" t="s">
        <v>908</v>
      </c>
      <c r="C868" s="2">
        <v>394000</v>
      </c>
      <c r="D868">
        <v>88</v>
      </c>
      <c r="E868" s="2">
        <v>3936320</v>
      </c>
      <c r="F868">
        <v>9.9600000000000009</v>
      </c>
      <c r="G868">
        <v>10.1</v>
      </c>
      <c r="H868">
        <v>9.9600000000000009</v>
      </c>
      <c r="I868">
        <v>9.9700000000000006</v>
      </c>
      <c r="J868" t="s">
        <v>10</v>
      </c>
      <c r="K868">
        <v>0.01</v>
      </c>
      <c r="L868">
        <v>9.9700000000000006</v>
      </c>
      <c r="M868">
        <v>20</v>
      </c>
      <c r="N868">
        <v>9.99</v>
      </c>
      <c r="O868">
        <v>14</v>
      </c>
      <c r="P868">
        <v>0</v>
      </c>
    </row>
    <row r="869" spans="1:16" x14ac:dyDescent="0.3">
      <c r="A869">
        <v>6257</v>
      </c>
      <c r="B869" t="s">
        <v>909</v>
      </c>
      <c r="C869" s="2">
        <v>3753537</v>
      </c>
      <c r="D869" s="2">
        <v>1711</v>
      </c>
      <c r="E869" s="2">
        <v>93972662</v>
      </c>
      <c r="F869">
        <v>24.4</v>
      </c>
      <c r="G869">
        <v>25.5</v>
      </c>
      <c r="H869">
        <v>24.4</v>
      </c>
      <c r="I869">
        <v>25.4</v>
      </c>
      <c r="J869" t="s">
        <v>10</v>
      </c>
      <c r="K869">
        <v>1</v>
      </c>
      <c r="L869">
        <v>25.35</v>
      </c>
      <c r="M869">
        <v>39</v>
      </c>
      <c r="N869">
        <v>25.4</v>
      </c>
      <c r="O869">
        <v>14</v>
      </c>
      <c r="P869">
        <v>9.3000000000000007</v>
      </c>
    </row>
    <row r="870" spans="1:16" x14ac:dyDescent="0.3">
      <c r="A870">
        <v>6269</v>
      </c>
      <c r="B870" t="s">
        <v>910</v>
      </c>
      <c r="C870" s="2">
        <v>4030531</v>
      </c>
      <c r="D870" s="2">
        <v>2475</v>
      </c>
      <c r="E870" s="2">
        <v>420533755</v>
      </c>
      <c r="F870">
        <v>102</v>
      </c>
      <c r="G870">
        <v>106</v>
      </c>
      <c r="H870">
        <v>101.5</v>
      </c>
      <c r="I870">
        <v>104.5</v>
      </c>
      <c r="J870" t="s">
        <v>10</v>
      </c>
      <c r="K870">
        <v>1.5</v>
      </c>
      <c r="L870">
        <v>104.5</v>
      </c>
      <c r="M870">
        <v>42</v>
      </c>
      <c r="N870">
        <v>105</v>
      </c>
      <c r="O870">
        <v>65</v>
      </c>
      <c r="P870">
        <v>11.73</v>
      </c>
    </row>
    <row r="871" spans="1:16" x14ac:dyDescent="0.3">
      <c r="A871">
        <v>6271</v>
      </c>
      <c r="B871" t="s">
        <v>911</v>
      </c>
      <c r="C871" s="2">
        <v>4177024</v>
      </c>
      <c r="D871" s="2">
        <v>2105</v>
      </c>
      <c r="E871" s="2">
        <v>631241196</v>
      </c>
      <c r="F871">
        <v>144</v>
      </c>
      <c r="G871">
        <v>154</v>
      </c>
      <c r="H871">
        <v>144</v>
      </c>
      <c r="I871">
        <v>154</v>
      </c>
      <c r="J871" t="s">
        <v>10</v>
      </c>
      <c r="K871">
        <v>10</v>
      </c>
      <c r="L871">
        <v>153.5</v>
      </c>
      <c r="M871">
        <v>5</v>
      </c>
      <c r="N871">
        <v>154</v>
      </c>
      <c r="O871">
        <v>55</v>
      </c>
      <c r="P871">
        <v>17.07</v>
      </c>
    </row>
    <row r="872" spans="1:16" x14ac:dyDescent="0.3">
      <c r="A872">
        <v>6277</v>
      </c>
      <c r="B872" t="s">
        <v>912</v>
      </c>
      <c r="C872" s="2">
        <v>272863</v>
      </c>
      <c r="D872">
        <v>221</v>
      </c>
      <c r="E872" s="2">
        <v>15011675</v>
      </c>
      <c r="F872">
        <v>54.1</v>
      </c>
      <c r="G872">
        <v>55.5</v>
      </c>
      <c r="H872">
        <v>54.1</v>
      </c>
      <c r="I872">
        <v>55.1</v>
      </c>
      <c r="J872" t="s">
        <v>10</v>
      </c>
      <c r="K872">
        <v>1</v>
      </c>
      <c r="L872">
        <v>55</v>
      </c>
      <c r="M872">
        <v>8</v>
      </c>
      <c r="N872">
        <v>55.1</v>
      </c>
      <c r="O872">
        <v>3</v>
      </c>
      <c r="P872">
        <v>13</v>
      </c>
    </row>
    <row r="873" spans="1:16" x14ac:dyDescent="0.3">
      <c r="A873">
        <v>6278</v>
      </c>
      <c r="B873" t="s">
        <v>913</v>
      </c>
      <c r="C873" s="2">
        <v>824511</v>
      </c>
      <c r="D873">
        <v>545</v>
      </c>
      <c r="E873" s="2">
        <v>36753217</v>
      </c>
      <c r="F873">
        <v>44.1</v>
      </c>
      <c r="G873">
        <v>44.95</v>
      </c>
      <c r="H873">
        <v>44</v>
      </c>
      <c r="I873">
        <v>44.95</v>
      </c>
      <c r="J873" t="s">
        <v>10</v>
      </c>
      <c r="K873">
        <v>0.85</v>
      </c>
      <c r="L873">
        <v>44.95</v>
      </c>
      <c r="M873">
        <v>7</v>
      </c>
      <c r="N873">
        <v>45</v>
      </c>
      <c r="O873">
        <v>20</v>
      </c>
      <c r="P873">
        <v>10.36</v>
      </c>
    </row>
    <row r="874" spans="1:16" x14ac:dyDescent="0.3">
      <c r="A874">
        <v>6281</v>
      </c>
      <c r="B874" t="s">
        <v>914</v>
      </c>
      <c r="C874" s="2">
        <v>187485</v>
      </c>
      <c r="D874">
        <v>118</v>
      </c>
      <c r="E874" s="2">
        <v>13981676</v>
      </c>
      <c r="F874">
        <v>74.8</v>
      </c>
      <c r="G874">
        <v>75</v>
      </c>
      <c r="H874">
        <v>74.400000000000006</v>
      </c>
      <c r="I874">
        <v>74.8</v>
      </c>
      <c r="K874">
        <v>0</v>
      </c>
      <c r="L874">
        <v>74.5</v>
      </c>
      <c r="M874">
        <v>11</v>
      </c>
      <c r="N874">
        <v>74.8</v>
      </c>
      <c r="O874">
        <v>6</v>
      </c>
      <c r="P874">
        <v>14.87</v>
      </c>
    </row>
    <row r="875" spans="1:16" x14ac:dyDescent="0.3">
      <c r="A875">
        <v>6282</v>
      </c>
      <c r="B875" t="s">
        <v>915</v>
      </c>
      <c r="C875" s="2">
        <v>1215731</v>
      </c>
      <c r="D875">
        <v>638</v>
      </c>
      <c r="E875" s="2">
        <v>29442875</v>
      </c>
      <c r="F875">
        <v>23.9</v>
      </c>
      <c r="G875">
        <v>24.35</v>
      </c>
      <c r="H875">
        <v>23.9</v>
      </c>
      <c r="I875">
        <v>24.25</v>
      </c>
      <c r="J875" t="s">
        <v>10</v>
      </c>
      <c r="K875">
        <v>0.35</v>
      </c>
      <c r="L875">
        <v>24.25</v>
      </c>
      <c r="M875">
        <v>52</v>
      </c>
      <c r="N875">
        <v>24.3</v>
      </c>
      <c r="O875">
        <v>2</v>
      </c>
      <c r="P875">
        <v>10.19</v>
      </c>
    </row>
    <row r="876" spans="1:16" x14ac:dyDescent="0.3">
      <c r="A876">
        <v>6283</v>
      </c>
      <c r="B876" t="s">
        <v>916</v>
      </c>
      <c r="C876" s="2">
        <v>2530628</v>
      </c>
      <c r="D876">
        <v>926</v>
      </c>
      <c r="E876" s="2">
        <v>48968438</v>
      </c>
      <c r="F876">
        <v>19.399999999999999</v>
      </c>
      <c r="G876">
        <v>19.8</v>
      </c>
      <c r="H876">
        <v>19.100000000000001</v>
      </c>
      <c r="I876">
        <v>19.350000000000001</v>
      </c>
      <c r="J876" t="s">
        <v>10</v>
      </c>
      <c r="K876">
        <v>0.05</v>
      </c>
      <c r="L876">
        <v>19.350000000000001</v>
      </c>
      <c r="M876">
        <v>2</v>
      </c>
      <c r="N876">
        <v>19.399999999999999</v>
      </c>
      <c r="O876">
        <v>9</v>
      </c>
      <c r="P876">
        <v>0</v>
      </c>
    </row>
    <row r="877" spans="1:16" x14ac:dyDescent="0.3">
      <c r="A877">
        <v>6285</v>
      </c>
      <c r="B877" t="s">
        <v>917</v>
      </c>
      <c r="C877" s="2">
        <v>843329</v>
      </c>
      <c r="D877">
        <v>521</v>
      </c>
      <c r="E877" s="2">
        <v>37640803</v>
      </c>
      <c r="F877">
        <v>44.7</v>
      </c>
      <c r="G877">
        <v>45.25</v>
      </c>
      <c r="H877">
        <v>44.15</v>
      </c>
      <c r="I877">
        <v>45.25</v>
      </c>
      <c r="J877" t="s">
        <v>10</v>
      </c>
      <c r="K877">
        <v>1</v>
      </c>
      <c r="L877">
        <v>45.2</v>
      </c>
      <c r="M877">
        <v>33</v>
      </c>
      <c r="N877">
        <v>45.3</v>
      </c>
      <c r="O877">
        <v>7</v>
      </c>
      <c r="P877">
        <v>12.07</v>
      </c>
    </row>
    <row r="878" spans="1:16" x14ac:dyDescent="0.3">
      <c r="A878">
        <v>6286</v>
      </c>
      <c r="B878" t="s">
        <v>918</v>
      </c>
      <c r="C878" s="2">
        <v>1139153</v>
      </c>
      <c r="D878">
        <v>917</v>
      </c>
      <c r="E878" s="2">
        <v>155367114</v>
      </c>
      <c r="F878">
        <v>135</v>
      </c>
      <c r="G878">
        <v>138</v>
      </c>
      <c r="H878">
        <v>134</v>
      </c>
      <c r="I878">
        <v>138</v>
      </c>
      <c r="J878" t="s">
        <v>10</v>
      </c>
      <c r="K878">
        <v>5</v>
      </c>
      <c r="L878">
        <v>138</v>
      </c>
      <c r="M878">
        <v>1</v>
      </c>
      <c r="N878">
        <v>138.5</v>
      </c>
      <c r="O878">
        <v>45</v>
      </c>
      <c r="P878">
        <v>12.29</v>
      </c>
    </row>
    <row r="879" spans="1:16" x14ac:dyDescent="0.3">
      <c r="A879">
        <v>6289</v>
      </c>
      <c r="B879" t="s">
        <v>919</v>
      </c>
      <c r="C879" s="2">
        <v>911015</v>
      </c>
      <c r="D879">
        <v>218</v>
      </c>
      <c r="E879" s="2">
        <v>3921901</v>
      </c>
      <c r="F879">
        <v>4.3</v>
      </c>
      <c r="G879">
        <v>4.37</v>
      </c>
      <c r="H879">
        <v>4.28</v>
      </c>
      <c r="I879">
        <v>4.3</v>
      </c>
      <c r="K879">
        <v>0</v>
      </c>
      <c r="L879">
        <v>4.29</v>
      </c>
      <c r="M879">
        <v>3</v>
      </c>
      <c r="N879">
        <v>4.3</v>
      </c>
      <c r="O879">
        <v>28</v>
      </c>
      <c r="P879">
        <v>0</v>
      </c>
    </row>
    <row r="880" spans="1:16" x14ac:dyDescent="0.3">
      <c r="A880">
        <v>6504</v>
      </c>
      <c r="B880" t="s">
        <v>920</v>
      </c>
      <c r="C880" s="2">
        <v>554994</v>
      </c>
      <c r="D880">
        <v>463</v>
      </c>
      <c r="E880" s="2">
        <v>69607738</v>
      </c>
      <c r="F880">
        <v>125.5</v>
      </c>
      <c r="G880">
        <v>128</v>
      </c>
      <c r="H880">
        <v>122.5</v>
      </c>
      <c r="I880">
        <v>126.5</v>
      </c>
      <c r="J880" t="s">
        <v>10</v>
      </c>
      <c r="K880">
        <v>3.5</v>
      </c>
      <c r="L880">
        <v>126</v>
      </c>
      <c r="M880">
        <v>5</v>
      </c>
      <c r="N880">
        <v>126.5</v>
      </c>
      <c r="O880">
        <v>15</v>
      </c>
      <c r="P880">
        <v>41.48</v>
      </c>
    </row>
    <row r="881" spans="1:16" x14ac:dyDescent="0.3">
      <c r="A881">
        <v>6505</v>
      </c>
      <c r="B881" t="s">
        <v>921</v>
      </c>
      <c r="C881" s="2">
        <v>2589494</v>
      </c>
      <c r="D881" s="2">
        <v>1025</v>
      </c>
      <c r="E881" s="2">
        <v>195219140</v>
      </c>
      <c r="F881">
        <v>75.5</v>
      </c>
      <c r="G881">
        <v>76.099999999999994</v>
      </c>
      <c r="H881">
        <v>74.2</v>
      </c>
      <c r="I881">
        <v>75.2</v>
      </c>
      <c r="J881" t="s">
        <v>7</v>
      </c>
      <c r="K881">
        <v>1.3</v>
      </c>
      <c r="L881">
        <v>75.2</v>
      </c>
      <c r="M881">
        <v>329</v>
      </c>
      <c r="N881">
        <v>75.3</v>
      </c>
      <c r="O881">
        <v>27</v>
      </c>
      <c r="P881">
        <v>89.52</v>
      </c>
    </row>
    <row r="882" spans="1:16" x14ac:dyDescent="0.3">
      <c r="A882">
        <v>6605</v>
      </c>
      <c r="B882" t="s">
        <v>922</v>
      </c>
      <c r="C882" s="2">
        <v>129200</v>
      </c>
      <c r="D882">
        <v>81</v>
      </c>
      <c r="E882" s="2">
        <v>10264400</v>
      </c>
      <c r="F882">
        <v>78.3</v>
      </c>
      <c r="G882">
        <v>79.7</v>
      </c>
      <c r="H882">
        <v>78.3</v>
      </c>
      <c r="I882">
        <v>79.099999999999994</v>
      </c>
      <c r="J882" t="s">
        <v>10</v>
      </c>
      <c r="K882">
        <v>0.8</v>
      </c>
      <c r="L882">
        <v>79.099999999999994</v>
      </c>
      <c r="M882">
        <v>9</v>
      </c>
      <c r="N882">
        <v>79.5</v>
      </c>
      <c r="O882">
        <v>2</v>
      </c>
      <c r="P882">
        <v>11.7</v>
      </c>
    </row>
    <row r="883" spans="1:16" x14ac:dyDescent="0.3">
      <c r="A883">
        <v>6702</v>
      </c>
      <c r="B883" t="s">
        <v>923</v>
      </c>
      <c r="C883" s="2">
        <v>224530</v>
      </c>
      <c r="D883">
        <v>65</v>
      </c>
      <c r="E883" s="2">
        <v>3020277</v>
      </c>
      <c r="F883">
        <v>13.35</v>
      </c>
      <c r="G883">
        <v>13.55</v>
      </c>
      <c r="H883">
        <v>13.35</v>
      </c>
      <c r="I883">
        <v>13.45</v>
      </c>
      <c r="J883" t="s">
        <v>10</v>
      </c>
      <c r="K883">
        <v>0.1</v>
      </c>
      <c r="L883">
        <v>13.4</v>
      </c>
      <c r="M883">
        <v>41</v>
      </c>
      <c r="N883">
        <v>13.5</v>
      </c>
      <c r="O883">
        <v>6</v>
      </c>
      <c r="P883">
        <v>0</v>
      </c>
    </row>
    <row r="884" spans="1:16" x14ac:dyDescent="0.3">
      <c r="A884">
        <v>8008</v>
      </c>
      <c r="B884" t="s">
        <v>924</v>
      </c>
      <c r="C884" s="2">
        <v>490394</v>
      </c>
      <c r="D884">
        <v>227</v>
      </c>
      <c r="E884" s="2">
        <v>16035461</v>
      </c>
      <c r="F884">
        <v>32.549999999999997</v>
      </c>
      <c r="G884">
        <v>32.75</v>
      </c>
      <c r="H884">
        <v>32.549999999999997</v>
      </c>
      <c r="I884">
        <v>32.75</v>
      </c>
      <c r="K884">
        <v>0</v>
      </c>
      <c r="L884">
        <v>32.75</v>
      </c>
      <c r="M884">
        <v>84</v>
      </c>
      <c r="N884">
        <v>32.799999999999997</v>
      </c>
      <c r="O884">
        <v>63</v>
      </c>
      <c r="P884">
        <v>11.74</v>
      </c>
    </row>
    <row r="885" spans="1:16" x14ac:dyDescent="0.3">
      <c r="A885">
        <v>8011</v>
      </c>
      <c r="B885" t="s">
        <v>925</v>
      </c>
      <c r="C885" s="2">
        <v>699956</v>
      </c>
      <c r="D885">
        <v>351</v>
      </c>
      <c r="E885" s="2">
        <v>24820245</v>
      </c>
      <c r="F885">
        <v>35.4</v>
      </c>
      <c r="G885">
        <v>35.799999999999997</v>
      </c>
      <c r="H885">
        <v>35.35</v>
      </c>
      <c r="I885">
        <v>35.450000000000003</v>
      </c>
      <c r="J885" t="s">
        <v>10</v>
      </c>
      <c r="K885">
        <v>0.1</v>
      </c>
      <c r="L885">
        <v>35.450000000000003</v>
      </c>
      <c r="M885">
        <v>2</v>
      </c>
      <c r="N885">
        <v>35.5</v>
      </c>
      <c r="O885">
        <v>19</v>
      </c>
      <c r="P885">
        <v>15.02</v>
      </c>
    </row>
    <row r="886" spans="1:16" x14ac:dyDescent="0.3">
      <c r="A886">
        <v>8016</v>
      </c>
      <c r="B886" t="s">
        <v>926</v>
      </c>
      <c r="C886" s="2">
        <v>763340</v>
      </c>
      <c r="D886">
        <v>409</v>
      </c>
      <c r="E886" s="2">
        <v>27902962</v>
      </c>
      <c r="F886">
        <v>36.549999999999997</v>
      </c>
      <c r="G886">
        <v>37.049999999999997</v>
      </c>
      <c r="H886">
        <v>36.049999999999997</v>
      </c>
      <c r="I886">
        <v>36.9</v>
      </c>
      <c r="J886" t="s">
        <v>145</v>
      </c>
      <c r="K886">
        <v>0</v>
      </c>
      <c r="L886">
        <v>36.9</v>
      </c>
      <c r="M886">
        <v>11</v>
      </c>
      <c r="N886">
        <v>36.950000000000003</v>
      </c>
      <c r="O886">
        <v>2</v>
      </c>
      <c r="P886">
        <v>11.86</v>
      </c>
    </row>
    <row r="887" spans="1:16" x14ac:dyDescent="0.3">
      <c r="A887">
        <v>8021</v>
      </c>
      <c r="B887" t="s">
        <v>927</v>
      </c>
      <c r="C887" s="2">
        <v>678178</v>
      </c>
      <c r="D887">
        <v>228</v>
      </c>
      <c r="E887" s="2">
        <v>12160612</v>
      </c>
      <c r="F887">
        <v>18</v>
      </c>
      <c r="G887">
        <v>18.05</v>
      </c>
      <c r="H887">
        <v>17.75</v>
      </c>
      <c r="I887">
        <v>18.05</v>
      </c>
      <c r="J887" t="s">
        <v>10</v>
      </c>
      <c r="K887">
        <v>0.15</v>
      </c>
      <c r="L887">
        <v>18</v>
      </c>
      <c r="M887">
        <v>23</v>
      </c>
      <c r="N887">
        <v>18.05</v>
      </c>
      <c r="O887">
        <v>1</v>
      </c>
      <c r="P887">
        <v>9.86</v>
      </c>
    </row>
    <row r="888" spans="1:16" x14ac:dyDescent="0.3">
      <c r="A888">
        <v>8033</v>
      </c>
      <c r="B888" t="s">
        <v>928</v>
      </c>
      <c r="C888" s="2">
        <v>227550</v>
      </c>
      <c r="D888">
        <v>101</v>
      </c>
      <c r="E888" s="2">
        <v>2508432</v>
      </c>
      <c r="F888">
        <v>10.9</v>
      </c>
      <c r="G888">
        <v>11.15</v>
      </c>
      <c r="H888">
        <v>10.7</v>
      </c>
      <c r="I888">
        <v>11.15</v>
      </c>
      <c r="J888" t="s">
        <v>10</v>
      </c>
      <c r="K888">
        <v>0.7</v>
      </c>
      <c r="L888">
        <v>11.15</v>
      </c>
      <c r="M888">
        <v>1910</v>
      </c>
      <c r="N888" t="s">
        <v>152</v>
      </c>
      <c r="O888">
        <v>0</v>
      </c>
      <c r="P888">
        <v>0</v>
      </c>
    </row>
    <row r="889" spans="1:16" x14ac:dyDescent="0.3">
      <c r="A889">
        <v>8039</v>
      </c>
      <c r="B889" t="s">
        <v>929</v>
      </c>
      <c r="C889" s="2">
        <v>2498199</v>
      </c>
      <c r="D889" s="2">
        <v>1114</v>
      </c>
      <c r="E889" s="2">
        <v>101289316</v>
      </c>
      <c r="F889">
        <v>40.5</v>
      </c>
      <c r="G889">
        <v>41</v>
      </c>
      <c r="H889">
        <v>40.200000000000003</v>
      </c>
      <c r="I889">
        <v>40.75</v>
      </c>
      <c r="J889" t="s">
        <v>10</v>
      </c>
      <c r="K889">
        <v>0.45</v>
      </c>
      <c r="L889">
        <v>40.700000000000003</v>
      </c>
      <c r="M889">
        <v>5</v>
      </c>
      <c r="N889">
        <v>40.75</v>
      </c>
      <c r="O889">
        <v>9</v>
      </c>
      <c r="P889">
        <v>12.69</v>
      </c>
    </row>
    <row r="890" spans="1:16" x14ac:dyDescent="0.3">
      <c r="A890">
        <v>8046</v>
      </c>
      <c r="B890" t="s">
        <v>930</v>
      </c>
      <c r="C890" s="2">
        <v>1813197</v>
      </c>
      <c r="D890" s="2">
        <v>1157</v>
      </c>
      <c r="E890" s="2">
        <v>72336948</v>
      </c>
      <c r="F890">
        <v>39.200000000000003</v>
      </c>
      <c r="G890">
        <v>40.200000000000003</v>
      </c>
      <c r="H890">
        <v>39.200000000000003</v>
      </c>
      <c r="I890">
        <v>40</v>
      </c>
      <c r="J890" t="s">
        <v>10</v>
      </c>
      <c r="K890">
        <v>0.85</v>
      </c>
      <c r="L890">
        <v>40</v>
      </c>
      <c r="M890">
        <v>256</v>
      </c>
      <c r="N890">
        <v>40.049999999999997</v>
      </c>
      <c r="O890">
        <v>1</v>
      </c>
      <c r="P890">
        <v>0</v>
      </c>
    </row>
    <row r="891" spans="1:16" x14ac:dyDescent="0.3">
      <c r="A891">
        <v>8070</v>
      </c>
      <c r="B891" t="s">
        <v>931</v>
      </c>
      <c r="C891" s="2">
        <v>305770</v>
      </c>
      <c r="D891">
        <v>221</v>
      </c>
      <c r="E891" s="2">
        <v>31371310</v>
      </c>
      <c r="F891">
        <v>100.5</v>
      </c>
      <c r="G891">
        <v>104</v>
      </c>
      <c r="H891">
        <v>100.5</v>
      </c>
      <c r="I891">
        <v>103.5</v>
      </c>
      <c r="J891" t="s">
        <v>10</v>
      </c>
      <c r="K891">
        <v>3.8</v>
      </c>
      <c r="L891">
        <v>103</v>
      </c>
      <c r="M891">
        <v>6</v>
      </c>
      <c r="N891">
        <v>103.5</v>
      </c>
      <c r="O891">
        <v>11</v>
      </c>
      <c r="P891">
        <v>11.4</v>
      </c>
    </row>
    <row r="892" spans="1:16" x14ac:dyDescent="0.3">
      <c r="A892">
        <v>8072</v>
      </c>
      <c r="B892" t="s">
        <v>932</v>
      </c>
      <c r="C892" s="2">
        <v>660235</v>
      </c>
      <c r="D892">
        <v>256</v>
      </c>
      <c r="E892" s="2">
        <v>61557525</v>
      </c>
      <c r="F892">
        <v>94</v>
      </c>
      <c r="G892">
        <v>94.2</v>
      </c>
      <c r="H892">
        <v>93.7</v>
      </c>
      <c r="I892">
        <v>94.1</v>
      </c>
      <c r="J892" t="s">
        <v>10</v>
      </c>
      <c r="K892">
        <v>0.1</v>
      </c>
      <c r="L892">
        <v>94</v>
      </c>
      <c r="M892">
        <v>42</v>
      </c>
      <c r="N892">
        <v>94.1</v>
      </c>
      <c r="O892">
        <v>14</v>
      </c>
      <c r="P892">
        <v>13.03</v>
      </c>
    </row>
    <row r="893" spans="1:16" x14ac:dyDescent="0.3">
      <c r="A893">
        <v>8078</v>
      </c>
      <c r="B893" t="s">
        <v>933</v>
      </c>
      <c r="C893" s="2">
        <v>13541270</v>
      </c>
      <c r="D893" s="2">
        <v>5455</v>
      </c>
      <c r="E893" s="2">
        <v>539751879</v>
      </c>
      <c r="F893">
        <v>39.1</v>
      </c>
      <c r="G893">
        <v>40.200000000000003</v>
      </c>
      <c r="H893">
        <v>38.700000000000003</v>
      </c>
      <c r="I893">
        <v>39.75</v>
      </c>
      <c r="J893" t="s">
        <v>10</v>
      </c>
      <c r="K893">
        <v>0.65</v>
      </c>
      <c r="L893">
        <v>39.75</v>
      </c>
      <c r="M893">
        <v>23</v>
      </c>
      <c r="N893">
        <v>39.799999999999997</v>
      </c>
      <c r="O893">
        <v>346</v>
      </c>
      <c r="P893">
        <v>50.32</v>
      </c>
    </row>
    <row r="894" spans="1:16" x14ac:dyDescent="0.3">
      <c r="A894">
        <v>8081</v>
      </c>
      <c r="B894" t="s">
        <v>934</v>
      </c>
      <c r="C894" s="2">
        <v>417891</v>
      </c>
      <c r="D894">
        <v>348</v>
      </c>
      <c r="E894" s="2">
        <v>37537934</v>
      </c>
      <c r="F894">
        <v>88.1</v>
      </c>
      <c r="G894">
        <v>90.5</v>
      </c>
      <c r="H894">
        <v>88.1</v>
      </c>
      <c r="I894">
        <v>90.5</v>
      </c>
      <c r="J894" t="s">
        <v>10</v>
      </c>
      <c r="K894">
        <v>2.4</v>
      </c>
      <c r="L894">
        <v>90.5</v>
      </c>
      <c r="M894">
        <v>1</v>
      </c>
      <c r="N894">
        <v>90.6</v>
      </c>
      <c r="O894">
        <v>3</v>
      </c>
      <c r="P894">
        <v>11.13</v>
      </c>
    </row>
    <row r="895" spans="1:16" x14ac:dyDescent="0.3">
      <c r="A895">
        <v>8101</v>
      </c>
      <c r="B895" t="s">
        <v>935</v>
      </c>
      <c r="C895" s="2">
        <v>1102010</v>
      </c>
      <c r="D895">
        <v>490</v>
      </c>
      <c r="E895" s="2">
        <v>13308366</v>
      </c>
      <c r="F895">
        <v>11.9</v>
      </c>
      <c r="G895">
        <v>12.2</v>
      </c>
      <c r="H895">
        <v>11.9</v>
      </c>
      <c r="I895">
        <v>12.15</v>
      </c>
      <c r="J895" t="s">
        <v>10</v>
      </c>
      <c r="K895">
        <v>0.25</v>
      </c>
      <c r="L895">
        <v>12.1</v>
      </c>
      <c r="M895">
        <v>41</v>
      </c>
      <c r="N895">
        <v>12.15</v>
      </c>
      <c r="O895">
        <v>16</v>
      </c>
      <c r="P895">
        <v>0</v>
      </c>
    </row>
    <row r="896" spans="1:16" x14ac:dyDescent="0.3">
      <c r="A896">
        <v>8103</v>
      </c>
      <c r="B896" t="s">
        <v>936</v>
      </c>
      <c r="C896" s="2">
        <v>76553</v>
      </c>
      <c r="D896">
        <v>69</v>
      </c>
      <c r="E896" s="2">
        <v>2861937</v>
      </c>
      <c r="F896">
        <v>37.200000000000003</v>
      </c>
      <c r="G896">
        <v>37.5</v>
      </c>
      <c r="H896">
        <v>37.1</v>
      </c>
      <c r="I896">
        <v>37.450000000000003</v>
      </c>
      <c r="J896" t="s">
        <v>10</v>
      </c>
      <c r="K896">
        <v>0.45</v>
      </c>
      <c r="L896">
        <v>37.4</v>
      </c>
      <c r="M896">
        <v>7</v>
      </c>
      <c r="N896">
        <v>37.450000000000003</v>
      </c>
      <c r="O896">
        <v>5</v>
      </c>
      <c r="P896">
        <v>9.86</v>
      </c>
    </row>
    <row r="897" spans="1:16" x14ac:dyDescent="0.3">
      <c r="A897">
        <v>8105</v>
      </c>
      <c r="B897" t="s">
        <v>937</v>
      </c>
      <c r="C897" s="2">
        <v>3973185</v>
      </c>
      <c r="D897" s="2">
        <v>1162</v>
      </c>
      <c r="E897" s="2">
        <v>41722477</v>
      </c>
      <c r="F897">
        <v>10</v>
      </c>
      <c r="G897">
        <v>10.7</v>
      </c>
      <c r="H897">
        <v>10</v>
      </c>
      <c r="I897">
        <v>10.7</v>
      </c>
      <c r="J897" t="s">
        <v>10</v>
      </c>
      <c r="K897">
        <v>0.7</v>
      </c>
      <c r="L897">
        <v>10.7</v>
      </c>
      <c r="M897">
        <v>5791</v>
      </c>
      <c r="N897" t="s">
        <v>152</v>
      </c>
      <c r="O897">
        <v>0</v>
      </c>
      <c r="P897">
        <v>0</v>
      </c>
    </row>
    <row r="898" spans="1:16" x14ac:dyDescent="0.3">
      <c r="A898">
        <v>8110</v>
      </c>
      <c r="B898" t="s">
        <v>938</v>
      </c>
      <c r="C898" s="2">
        <v>3383740</v>
      </c>
      <c r="D898" s="2">
        <v>1011</v>
      </c>
      <c r="E898" s="2">
        <v>38319483</v>
      </c>
      <c r="F898">
        <v>11.2</v>
      </c>
      <c r="G898">
        <v>11.45</v>
      </c>
      <c r="H898">
        <v>11.15</v>
      </c>
      <c r="I898">
        <v>11.45</v>
      </c>
      <c r="J898" t="s">
        <v>10</v>
      </c>
      <c r="K898">
        <v>0.35</v>
      </c>
      <c r="L898">
        <v>11.4</v>
      </c>
      <c r="M898">
        <v>67</v>
      </c>
      <c r="N898">
        <v>11.45</v>
      </c>
      <c r="O898">
        <v>194</v>
      </c>
      <c r="P898">
        <v>0</v>
      </c>
    </row>
    <row r="899" spans="1:16" x14ac:dyDescent="0.3">
      <c r="A899">
        <v>8112</v>
      </c>
      <c r="B899" t="s">
        <v>939</v>
      </c>
      <c r="C899" s="2">
        <v>821120</v>
      </c>
      <c r="D899">
        <v>297</v>
      </c>
      <c r="E899" s="2">
        <v>12444980</v>
      </c>
      <c r="F899">
        <v>14.8</v>
      </c>
      <c r="G899">
        <v>15.3</v>
      </c>
      <c r="H899">
        <v>14.8</v>
      </c>
      <c r="I899">
        <v>15.2</v>
      </c>
      <c r="J899" t="s">
        <v>10</v>
      </c>
      <c r="K899">
        <v>0.35</v>
      </c>
      <c r="L899">
        <v>15.15</v>
      </c>
      <c r="M899">
        <v>19</v>
      </c>
      <c r="N899">
        <v>15.2</v>
      </c>
      <c r="O899">
        <v>22</v>
      </c>
      <c r="P899">
        <v>16.170000000000002</v>
      </c>
    </row>
    <row r="900" spans="1:16" x14ac:dyDescent="0.3">
      <c r="A900">
        <v>8114</v>
      </c>
      <c r="B900" t="s">
        <v>940</v>
      </c>
      <c r="C900" s="2">
        <v>70450</v>
      </c>
      <c r="D900">
        <v>64</v>
      </c>
      <c r="E900" s="2">
        <v>5984323</v>
      </c>
      <c r="F900">
        <v>85</v>
      </c>
      <c r="G900">
        <v>85.2</v>
      </c>
      <c r="H900">
        <v>84.7</v>
      </c>
      <c r="I900">
        <v>85</v>
      </c>
      <c r="J900" t="s">
        <v>10</v>
      </c>
      <c r="K900">
        <v>0.8</v>
      </c>
      <c r="L900">
        <v>84.9</v>
      </c>
      <c r="M900">
        <v>2</v>
      </c>
      <c r="N900">
        <v>85</v>
      </c>
      <c r="O900">
        <v>1</v>
      </c>
      <c r="P900">
        <v>13.3</v>
      </c>
    </row>
    <row r="901" spans="1:16" x14ac:dyDescent="0.3">
      <c r="A901">
        <v>8131</v>
      </c>
      <c r="B901" t="s">
        <v>941</v>
      </c>
      <c r="C901" s="2">
        <v>361290</v>
      </c>
      <c r="D901">
        <v>228</v>
      </c>
      <c r="E901" s="2">
        <v>7672976</v>
      </c>
      <c r="F901">
        <v>21.1</v>
      </c>
      <c r="G901">
        <v>21.65</v>
      </c>
      <c r="H901">
        <v>20.8</v>
      </c>
      <c r="I901">
        <v>21.65</v>
      </c>
      <c r="J901" t="s">
        <v>10</v>
      </c>
      <c r="K901">
        <v>0.65</v>
      </c>
      <c r="L901">
        <v>21.6</v>
      </c>
      <c r="M901">
        <v>3</v>
      </c>
      <c r="N901">
        <v>21.65</v>
      </c>
      <c r="O901">
        <v>2</v>
      </c>
      <c r="P901">
        <v>34.369999999999997</v>
      </c>
    </row>
    <row r="902" spans="1:16" x14ac:dyDescent="0.3">
      <c r="A902">
        <v>8163</v>
      </c>
      <c r="B902" t="s">
        <v>942</v>
      </c>
      <c r="C902" s="2">
        <v>2311000</v>
      </c>
      <c r="D902" s="2">
        <v>1041</v>
      </c>
      <c r="E902" s="2">
        <v>54104999</v>
      </c>
      <c r="F902">
        <v>23.25</v>
      </c>
      <c r="G902">
        <v>23.55</v>
      </c>
      <c r="H902">
        <v>23.2</v>
      </c>
      <c r="I902">
        <v>23.4</v>
      </c>
      <c r="J902" t="s">
        <v>10</v>
      </c>
      <c r="K902">
        <v>0.15</v>
      </c>
      <c r="L902">
        <v>23.4</v>
      </c>
      <c r="M902">
        <v>60</v>
      </c>
      <c r="N902">
        <v>23.45</v>
      </c>
      <c r="O902">
        <v>10</v>
      </c>
      <c r="P902">
        <v>32.96</v>
      </c>
    </row>
    <row r="903" spans="1:16" x14ac:dyDescent="0.3">
      <c r="A903">
        <v>8201</v>
      </c>
      <c r="B903" t="s">
        <v>943</v>
      </c>
      <c r="C903" s="2">
        <v>30971</v>
      </c>
      <c r="D903">
        <v>19</v>
      </c>
      <c r="E903" s="2">
        <v>442240</v>
      </c>
      <c r="F903">
        <v>14.25</v>
      </c>
      <c r="G903">
        <v>14.35</v>
      </c>
      <c r="H903">
        <v>14</v>
      </c>
      <c r="I903">
        <v>14.2</v>
      </c>
      <c r="J903" t="s">
        <v>7</v>
      </c>
      <c r="K903">
        <v>0.05</v>
      </c>
      <c r="L903">
        <v>14.2</v>
      </c>
      <c r="M903">
        <v>5</v>
      </c>
      <c r="N903">
        <v>14.25</v>
      </c>
      <c r="O903">
        <v>3</v>
      </c>
      <c r="P903">
        <v>0</v>
      </c>
    </row>
    <row r="904" spans="1:16" x14ac:dyDescent="0.3">
      <c r="A904">
        <v>8210</v>
      </c>
      <c r="B904" t="s">
        <v>944</v>
      </c>
      <c r="C904" s="2">
        <v>122437</v>
      </c>
      <c r="D904">
        <v>76</v>
      </c>
      <c r="E904" s="2">
        <v>4398950</v>
      </c>
      <c r="F904">
        <v>35.6</v>
      </c>
      <c r="G904">
        <v>36.1</v>
      </c>
      <c r="H904">
        <v>35.6</v>
      </c>
      <c r="I904">
        <v>35.950000000000003</v>
      </c>
      <c r="J904" t="s">
        <v>10</v>
      </c>
      <c r="K904">
        <v>0.35</v>
      </c>
      <c r="L904">
        <v>35.9</v>
      </c>
      <c r="M904">
        <v>1</v>
      </c>
      <c r="N904">
        <v>35.950000000000003</v>
      </c>
      <c r="O904">
        <v>12</v>
      </c>
      <c r="P904">
        <v>9.41</v>
      </c>
    </row>
    <row r="905" spans="1:16" x14ac:dyDescent="0.3">
      <c r="A905">
        <v>8213</v>
      </c>
      <c r="B905" t="s">
        <v>945</v>
      </c>
      <c r="C905" s="2">
        <v>2099576</v>
      </c>
      <c r="D905" s="2">
        <v>1134</v>
      </c>
      <c r="E905" s="2">
        <v>77748341</v>
      </c>
      <c r="F905">
        <v>37.450000000000003</v>
      </c>
      <c r="G905">
        <v>37.450000000000003</v>
      </c>
      <c r="H905">
        <v>36.85</v>
      </c>
      <c r="I905">
        <v>37.299999999999997</v>
      </c>
      <c r="J905" t="s">
        <v>7</v>
      </c>
      <c r="K905">
        <v>0.15</v>
      </c>
      <c r="L905">
        <v>37.299999999999997</v>
      </c>
      <c r="M905">
        <v>52</v>
      </c>
      <c r="N905">
        <v>37.35</v>
      </c>
      <c r="O905">
        <v>28</v>
      </c>
      <c r="P905">
        <v>6.21</v>
      </c>
    </row>
    <row r="906" spans="1:16" x14ac:dyDescent="0.3">
      <c r="A906">
        <v>8215</v>
      </c>
      <c r="B906" t="s">
        <v>946</v>
      </c>
      <c r="C906" s="2">
        <v>2044610</v>
      </c>
      <c r="D906">
        <v>880</v>
      </c>
      <c r="E906" s="2">
        <v>35347626</v>
      </c>
      <c r="F906">
        <v>16.5</v>
      </c>
      <c r="G906">
        <v>17.899999999999999</v>
      </c>
      <c r="H906">
        <v>16.5</v>
      </c>
      <c r="I906">
        <v>17.8</v>
      </c>
      <c r="J906" t="s">
        <v>10</v>
      </c>
      <c r="K906">
        <v>1</v>
      </c>
      <c r="L906">
        <v>17.8</v>
      </c>
      <c r="M906">
        <v>2</v>
      </c>
      <c r="N906">
        <v>17.850000000000001</v>
      </c>
      <c r="O906">
        <v>45</v>
      </c>
      <c r="P906">
        <v>0</v>
      </c>
    </row>
    <row r="907" spans="1:16" x14ac:dyDescent="0.3">
      <c r="A907">
        <v>8249</v>
      </c>
      <c r="B907" t="s">
        <v>947</v>
      </c>
      <c r="C907" s="2">
        <v>1659600</v>
      </c>
      <c r="D907">
        <v>581</v>
      </c>
      <c r="E907" s="2">
        <v>27203207</v>
      </c>
      <c r="F907">
        <v>16.3</v>
      </c>
      <c r="G907">
        <v>16.7</v>
      </c>
      <c r="H907">
        <v>16.149999999999999</v>
      </c>
      <c r="I907">
        <v>16.649999999999999</v>
      </c>
      <c r="J907" t="s">
        <v>10</v>
      </c>
      <c r="K907">
        <v>0.35</v>
      </c>
      <c r="L907">
        <v>16.649999999999999</v>
      </c>
      <c r="M907">
        <v>40</v>
      </c>
      <c r="N907">
        <v>16.7</v>
      </c>
      <c r="O907">
        <v>58</v>
      </c>
      <c r="P907">
        <v>15.28</v>
      </c>
    </row>
    <row r="908" spans="1:16" x14ac:dyDescent="0.3">
      <c r="A908">
        <v>8261</v>
      </c>
      <c r="B908" t="s">
        <v>948</v>
      </c>
      <c r="C908" s="2">
        <v>258746</v>
      </c>
      <c r="D908">
        <v>87</v>
      </c>
      <c r="E908" s="2">
        <v>2638306</v>
      </c>
      <c r="F908">
        <v>10.199999999999999</v>
      </c>
      <c r="G908">
        <v>10.3</v>
      </c>
      <c r="H908">
        <v>10.1</v>
      </c>
      <c r="I908">
        <v>10.25</v>
      </c>
      <c r="J908" t="s">
        <v>10</v>
      </c>
      <c r="K908">
        <v>0.05</v>
      </c>
      <c r="L908">
        <v>10.25</v>
      </c>
      <c r="M908">
        <v>9</v>
      </c>
      <c r="N908">
        <v>10.3</v>
      </c>
      <c r="O908">
        <v>30</v>
      </c>
      <c r="P908">
        <v>0</v>
      </c>
    </row>
    <row r="909" spans="1:16" x14ac:dyDescent="0.3">
      <c r="A909">
        <v>8271</v>
      </c>
      <c r="B909" t="s">
        <v>949</v>
      </c>
      <c r="C909" s="2">
        <v>1848389</v>
      </c>
      <c r="D909" s="2">
        <v>1005</v>
      </c>
      <c r="E909" s="2">
        <v>60227103</v>
      </c>
      <c r="F909">
        <v>32.299999999999997</v>
      </c>
      <c r="G909">
        <v>32.799999999999997</v>
      </c>
      <c r="H909">
        <v>32</v>
      </c>
      <c r="I909">
        <v>32.799999999999997</v>
      </c>
      <c r="J909" t="s">
        <v>10</v>
      </c>
      <c r="K909">
        <v>0.9</v>
      </c>
      <c r="L909">
        <v>32.75</v>
      </c>
      <c r="M909">
        <v>42</v>
      </c>
      <c r="N909">
        <v>32.799999999999997</v>
      </c>
      <c r="O909">
        <v>138</v>
      </c>
      <c r="P909">
        <v>9.94</v>
      </c>
    </row>
    <row r="910" spans="1:16" x14ac:dyDescent="0.3">
      <c r="A910">
        <v>8374</v>
      </c>
      <c r="B910" t="s">
        <v>950</v>
      </c>
      <c r="C910" s="2">
        <v>165800</v>
      </c>
      <c r="D910">
        <v>117</v>
      </c>
      <c r="E910" s="2">
        <v>4410728</v>
      </c>
      <c r="F910">
        <v>26.3</v>
      </c>
      <c r="G910">
        <v>26.8</v>
      </c>
      <c r="H910">
        <v>26.3</v>
      </c>
      <c r="I910">
        <v>26.4</v>
      </c>
      <c r="J910" t="s">
        <v>10</v>
      </c>
      <c r="K910">
        <v>0.25</v>
      </c>
      <c r="L910">
        <v>26.35</v>
      </c>
      <c r="M910">
        <v>7</v>
      </c>
      <c r="N910">
        <v>26.65</v>
      </c>
      <c r="O910">
        <v>2</v>
      </c>
      <c r="P910">
        <v>0</v>
      </c>
    </row>
    <row r="911" spans="1:16" x14ac:dyDescent="0.3">
      <c r="A911">
        <v>8404</v>
      </c>
      <c r="B911" t="s">
        <v>951</v>
      </c>
      <c r="C911" s="2">
        <v>85160</v>
      </c>
      <c r="D911">
        <v>45</v>
      </c>
      <c r="E911" s="2">
        <v>1209771</v>
      </c>
      <c r="F911">
        <v>14.4</v>
      </c>
      <c r="G911">
        <v>14.4</v>
      </c>
      <c r="H911">
        <v>14</v>
      </c>
      <c r="I911">
        <v>14.35</v>
      </c>
      <c r="J911" t="s">
        <v>7</v>
      </c>
      <c r="K911">
        <v>0.05</v>
      </c>
      <c r="L911">
        <v>14.3</v>
      </c>
      <c r="M911">
        <v>20</v>
      </c>
      <c r="N911">
        <v>14.35</v>
      </c>
      <c r="O911">
        <v>2</v>
      </c>
      <c r="P911">
        <v>13.29</v>
      </c>
    </row>
    <row r="912" spans="1:16" x14ac:dyDescent="0.3">
      <c r="A912">
        <v>8411</v>
      </c>
      <c r="B912" t="s">
        <v>952</v>
      </c>
      <c r="C912" s="2">
        <v>882658</v>
      </c>
      <c r="D912">
        <v>533</v>
      </c>
      <c r="E912" s="2">
        <v>89164174</v>
      </c>
      <c r="F912">
        <v>97</v>
      </c>
      <c r="G912">
        <v>103</v>
      </c>
      <c r="H912">
        <v>96.9</v>
      </c>
      <c r="I912">
        <v>103</v>
      </c>
      <c r="J912" t="s">
        <v>10</v>
      </c>
      <c r="K912">
        <v>6.3</v>
      </c>
      <c r="L912">
        <v>103</v>
      </c>
      <c r="M912">
        <v>143</v>
      </c>
      <c r="N912" t="s">
        <v>152</v>
      </c>
      <c r="O912">
        <v>0</v>
      </c>
      <c r="P912">
        <v>14.01</v>
      </c>
    </row>
    <row r="913" spans="1:16" x14ac:dyDescent="0.3">
      <c r="A913">
        <v>8422</v>
      </c>
      <c r="B913" t="s">
        <v>953</v>
      </c>
      <c r="C913" s="2">
        <v>201036</v>
      </c>
      <c r="D913">
        <v>147</v>
      </c>
      <c r="E913" s="2">
        <v>46131852</v>
      </c>
      <c r="F913">
        <v>230</v>
      </c>
      <c r="G913">
        <v>231</v>
      </c>
      <c r="H913">
        <v>228.5</v>
      </c>
      <c r="I913">
        <v>229.5</v>
      </c>
      <c r="J913" t="s">
        <v>10</v>
      </c>
      <c r="K913">
        <v>0.5</v>
      </c>
      <c r="L913">
        <v>229.5</v>
      </c>
      <c r="M913">
        <v>6</v>
      </c>
      <c r="N913">
        <v>230</v>
      </c>
      <c r="O913">
        <v>7</v>
      </c>
      <c r="P913">
        <v>18.7</v>
      </c>
    </row>
    <row r="914" spans="1:16" x14ac:dyDescent="0.3">
      <c r="A914">
        <v>8427</v>
      </c>
      <c r="B914" t="s">
        <v>954</v>
      </c>
      <c r="C914" s="2">
        <v>65200</v>
      </c>
      <c r="D914">
        <v>30</v>
      </c>
      <c r="E914" s="2">
        <v>4076900</v>
      </c>
      <c r="F914">
        <v>62.7</v>
      </c>
      <c r="G914">
        <v>62.9</v>
      </c>
      <c r="H914">
        <v>62.5</v>
      </c>
      <c r="I914">
        <v>62.5</v>
      </c>
      <c r="J914" t="s">
        <v>7</v>
      </c>
      <c r="K914">
        <v>0.2</v>
      </c>
      <c r="L914">
        <v>62.5</v>
      </c>
      <c r="M914">
        <v>13</v>
      </c>
      <c r="N914">
        <v>62.7</v>
      </c>
      <c r="O914">
        <v>3</v>
      </c>
      <c r="P914">
        <v>19</v>
      </c>
    </row>
    <row r="915" spans="1:16" x14ac:dyDescent="0.3">
      <c r="A915">
        <v>8429</v>
      </c>
      <c r="B915" t="s">
        <v>955</v>
      </c>
      <c r="C915" s="2">
        <v>191100</v>
      </c>
      <c r="D915">
        <v>139</v>
      </c>
      <c r="E915" s="2">
        <v>11817760</v>
      </c>
      <c r="F915">
        <v>61.2</v>
      </c>
      <c r="G915">
        <v>62.2</v>
      </c>
      <c r="H915">
        <v>61.2</v>
      </c>
      <c r="I915">
        <v>61.7</v>
      </c>
      <c r="J915" t="s">
        <v>10</v>
      </c>
      <c r="K915">
        <v>0.5</v>
      </c>
      <c r="L915">
        <v>61.7</v>
      </c>
      <c r="M915">
        <v>4</v>
      </c>
      <c r="N915">
        <v>61.9</v>
      </c>
      <c r="O915">
        <v>2</v>
      </c>
      <c r="P915">
        <v>7.85</v>
      </c>
    </row>
    <row r="916" spans="1:16" x14ac:dyDescent="0.3">
      <c r="A916">
        <v>8926</v>
      </c>
      <c r="B916" t="s">
        <v>956</v>
      </c>
      <c r="C916" s="2">
        <v>1282865</v>
      </c>
      <c r="D916">
        <v>310</v>
      </c>
      <c r="E916" s="2">
        <v>25661352</v>
      </c>
      <c r="F916">
        <v>19.95</v>
      </c>
      <c r="G916">
        <v>20.100000000000001</v>
      </c>
      <c r="H916">
        <v>19.899999999999999</v>
      </c>
      <c r="I916">
        <v>20</v>
      </c>
      <c r="J916" t="s">
        <v>10</v>
      </c>
      <c r="K916">
        <v>0.05</v>
      </c>
      <c r="L916">
        <v>20</v>
      </c>
      <c r="M916">
        <v>15</v>
      </c>
      <c r="N916">
        <v>20.05</v>
      </c>
      <c r="O916">
        <v>21</v>
      </c>
      <c r="P916">
        <v>17.09</v>
      </c>
    </row>
    <row r="917" spans="1:16" x14ac:dyDescent="0.3">
      <c r="A917">
        <v>8940</v>
      </c>
      <c r="B917" t="s">
        <v>957</v>
      </c>
      <c r="C917" s="2">
        <v>8018</v>
      </c>
      <c r="D917">
        <v>10</v>
      </c>
      <c r="E917" s="2">
        <v>184364</v>
      </c>
      <c r="F917">
        <v>23</v>
      </c>
      <c r="G917">
        <v>23</v>
      </c>
      <c r="H917">
        <v>22.95</v>
      </c>
      <c r="I917">
        <v>23</v>
      </c>
      <c r="K917">
        <v>0</v>
      </c>
      <c r="L917">
        <v>23</v>
      </c>
      <c r="M917">
        <v>2</v>
      </c>
      <c r="N917">
        <v>23.1</v>
      </c>
      <c r="O917">
        <v>2</v>
      </c>
      <c r="P917">
        <v>17.559999999999999</v>
      </c>
    </row>
    <row r="918" spans="1:16" x14ac:dyDescent="0.3">
      <c r="A918">
        <v>910069</v>
      </c>
      <c r="B918" t="s">
        <v>958</v>
      </c>
      <c r="C918" s="2">
        <v>11000</v>
      </c>
      <c r="D918">
        <v>5</v>
      </c>
      <c r="E918" s="2">
        <v>96830</v>
      </c>
      <c r="F918">
        <v>8.85</v>
      </c>
      <c r="G918">
        <v>8.8699999999999992</v>
      </c>
      <c r="H918">
        <v>8.69</v>
      </c>
      <c r="I918">
        <v>8.69</v>
      </c>
      <c r="J918" t="s">
        <v>145</v>
      </c>
      <c r="K918">
        <v>0</v>
      </c>
      <c r="L918">
        <v>8.69</v>
      </c>
      <c r="M918">
        <v>2</v>
      </c>
      <c r="N918">
        <v>9.3000000000000007</v>
      </c>
      <c r="O918">
        <v>2</v>
      </c>
      <c r="P918">
        <v>0</v>
      </c>
    </row>
    <row r="919" spans="1:16" x14ac:dyDescent="0.3">
      <c r="A919">
        <v>9103</v>
      </c>
      <c r="B919" t="s">
        <v>959</v>
      </c>
      <c r="C919" s="2">
        <v>2825000</v>
      </c>
      <c r="D919">
        <v>389</v>
      </c>
      <c r="E919" s="2">
        <v>7571990</v>
      </c>
      <c r="F919">
        <v>2.64</v>
      </c>
      <c r="G919">
        <v>2.71</v>
      </c>
      <c r="H919">
        <v>2.63</v>
      </c>
      <c r="I919">
        <v>2.67</v>
      </c>
      <c r="J919" t="s">
        <v>10</v>
      </c>
      <c r="K919">
        <v>0.03</v>
      </c>
      <c r="L919">
        <v>2.67</v>
      </c>
      <c r="M919">
        <v>81</v>
      </c>
      <c r="N919">
        <v>2.68</v>
      </c>
      <c r="O919">
        <v>1</v>
      </c>
      <c r="P919">
        <v>0</v>
      </c>
    </row>
    <row r="920" spans="1:16" x14ac:dyDescent="0.3">
      <c r="A920">
        <v>910322</v>
      </c>
      <c r="B920" t="s">
        <v>960</v>
      </c>
      <c r="C920" s="2">
        <v>127200</v>
      </c>
      <c r="D920">
        <v>39</v>
      </c>
      <c r="E920" s="2">
        <v>4858620</v>
      </c>
      <c r="F920">
        <v>38.200000000000003</v>
      </c>
      <c r="G920">
        <v>38.35</v>
      </c>
      <c r="H920">
        <v>38.1</v>
      </c>
      <c r="I920">
        <v>38.299999999999997</v>
      </c>
      <c r="J920" t="s">
        <v>10</v>
      </c>
      <c r="K920">
        <v>0.15</v>
      </c>
      <c r="L920">
        <v>38.25</v>
      </c>
      <c r="M920">
        <v>1</v>
      </c>
      <c r="N920">
        <v>38.35</v>
      </c>
      <c r="O920">
        <v>4</v>
      </c>
      <c r="P920">
        <v>0</v>
      </c>
    </row>
    <row r="921" spans="1:16" x14ac:dyDescent="0.3">
      <c r="A921">
        <v>910482</v>
      </c>
      <c r="B921" t="s">
        <v>961</v>
      </c>
      <c r="C921" s="2">
        <v>494016</v>
      </c>
      <c r="D921">
        <v>78</v>
      </c>
      <c r="E921" s="2">
        <v>1141124</v>
      </c>
      <c r="F921">
        <v>2.29</v>
      </c>
      <c r="G921">
        <v>2.34</v>
      </c>
      <c r="H921">
        <v>2.2799999999999998</v>
      </c>
      <c r="I921">
        <v>2.2999999999999998</v>
      </c>
      <c r="K921">
        <v>0</v>
      </c>
      <c r="L921">
        <v>2.2999999999999998</v>
      </c>
      <c r="M921">
        <v>5</v>
      </c>
      <c r="N921">
        <v>2.31</v>
      </c>
      <c r="O921">
        <v>4</v>
      </c>
      <c r="P921">
        <v>0</v>
      </c>
    </row>
    <row r="922" spans="1:16" x14ac:dyDescent="0.3">
      <c r="A922">
        <v>9105</v>
      </c>
      <c r="B922" t="s">
        <v>962</v>
      </c>
      <c r="C922" s="2">
        <v>6447000</v>
      </c>
      <c r="D922">
        <v>683</v>
      </c>
      <c r="E922" s="2">
        <v>19027590</v>
      </c>
      <c r="F922">
        <v>2.88</v>
      </c>
      <c r="G922">
        <v>3.02</v>
      </c>
      <c r="H922">
        <v>2.86</v>
      </c>
      <c r="I922">
        <v>3</v>
      </c>
      <c r="J922" t="s">
        <v>10</v>
      </c>
      <c r="K922">
        <v>0.12</v>
      </c>
      <c r="L922">
        <v>3</v>
      </c>
      <c r="M922">
        <v>35</v>
      </c>
      <c r="N922">
        <v>3.01</v>
      </c>
      <c r="O922">
        <v>42</v>
      </c>
      <c r="P922">
        <v>0</v>
      </c>
    </row>
    <row r="923" spans="1:16" x14ac:dyDescent="0.3">
      <c r="A923">
        <v>910579</v>
      </c>
      <c r="B923" t="s">
        <v>963</v>
      </c>
      <c r="C923" s="2">
        <v>3179000</v>
      </c>
      <c r="D923">
        <v>248</v>
      </c>
      <c r="E923" s="2">
        <v>1885370</v>
      </c>
      <c r="F923">
        <v>0.59</v>
      </c>
      <c r="G923">
        <v>0.61</v>
      </c>
      <c r="H923">
        <v>0.57999999999999996</v>
      </c>
      <c r="I923">
        <v>0.59</v>
      </c>
      <c r="K923">
        <v>0</v>
      </c>
      <c r="L923">
        <v>0.59</v>
      </c>
      <c r="M923">
        <v>1202</v>
      </c>
      <c r="N923">
        <v>0.6</v>
      </c>
      <c r="O923">
        <v>10</v>
      </c>
      <c r="P923">
        <v>0</v>
      </c>
    </row>
    <row r="924" spans="1:16" x14ac:dyDescent="0.3">
      <c r="A924">
        <v>9106</v>
      </c>
      <c r="B924" t="s">
        <v>964</v>
      </c>
      <c r="C924" s="2">
        <v>181000</v>
      </c>
      <c r="D924">
        <v>18</v>
      </c>
      <c r="E924" s="2">
        <v>362300</v>
      </c>
      <c r="F924">
        <v>2</v>
      </c>
      <c r="G924">
        <v>2.0499999999999998</v>
      </c>
      <c r="H924">
        <v>1.95</v>
      </c>
      <c r="I924">
        <v>2</v>
      </c>
      <c r="J924" t="s">
        <v>7</v>
      </c>
      <c r="K924">
        <v>0.02</v>
      </c>
      <c r="L924">
        <v>2</v>
      </c>
      <c r="M924">
        <v>34</v>
      </c>
      <c r="N924">
        <v>2.04</v>
      </c>
      <c r="O924">
        <v>10</v>
      </c>
      <c r="P924">
        <v>0</v>
      </c>
    </row>
    <row r="925" spans="1:16" x14ac:dyDescent="0.3">
      <c r="A925">
        <v>910708</v>
      </c>
      <c r="B925" t="s">
        <v>965</v>
      </c>
      <c r="C925" s="2">
        <v>100000</v>
      </c>
      <c r="D925">
        <v>24</v>
      </c>
      <c r="E925" s="2">
        <v>606510</v>
      </c>
      <c r="F925">
        <v>6.05</v>
      </c>
      <c r="G925">
        <v>6.07</v>
      </c>
      <c r="H925">
        <v>6.04</v>
      </c>
      <c r="I925">
        <v>6.07</v>
      </c>
      <c r="J925" t="s">
        <v>145</v>
      </c>
      <c r="K925">
        <v>0</v>
      </c>
      <c r="L925">
        <v>5.51</v>
      </c>
      <c r="M925">
        <v>5</v>
      </c>
      <c r="N925">
        <v>6.07</v>
      </c>
      <c r="O925">
        <v>10</v>
      </c>
      <c r="P925">
        <v>0</v>
      </c>
    </row>
    <row r="926" spans="1:16" x14ac:dyDescent="0.3">
      <c r="A926">
        <v>910801</v>
      </c>
      <c r="B926" t="s">
        <v>966</v>
      </c>
      <c r="C926" s="2">
        <v>1240000</v>
      </c>
      <c r="D926">
        <v>206</v>
      </c>
      <c r="E926" s="2">
        <v>9248880</v>
      </c>
      <c r="F926">
        <v>7.44</v>
      </c>
      <c r="G926">
        <v>7.68</v>
      </c>
      <c r="H926">
        <v>7.44</v>
      </c>
      <c r="I926">
        <v>7.44</v>
      </c>
      <c r="J926" t="s">
        <v>7</v>
      </c>
      <c r="K926">
        <v>0.56000000000000005</v>
      </c>
      <c r="L926" t="s">
        <v>152</v>
      </c>
      <c r="M926">
        <v>0</v>
      </c>
      <c r="N926">
        <v>7.44</v>
      </c>
      <c r="O926">
        <v>62</v>
      </c>
      <c r="P926">
        <v>0</v>
      </c>
    </row>
    <row r="927" spans="1:16" x14ac:dyDescent="0.3">
      <c r="A927">
        <v>910861</v>
      </c>
      <c r="B927" t="s">
        <v>967</v>
      </c>
      <c r="C927" s="2">
        <v>63000</v>
      </c>
      <c r="D927">
        <v>25</v>
      </c>
      <c r="E927" s="2">
        <v>1098100</v>
      </c>
      <c r="F927">
        <v>17.600000000000001</v>
      </c>
      <c r="G927">
        <v>17.600000000000001</v>
      </c>
      <c r="H927">
        <v>17.3</v>
      </c>
      <c r="I927">
        <v>17.5</v>
      </c>
      <c r="J927" t="s">
        <v>7</v>
      </c>
      <c r="K927">
        <v>0.3</v>
      </c>
      <c r="L927">
        <v>17.45</v>
      </c>
      <c r="M927">
        <v>4</v>
      </c>
      <c r="N927">
        <v>17.600000000000001</v>
      </c>
      <c r="O927">
        <v>1</v>
      </c>
      <c r="P927">
        <v>0</v>
      </c>
    </row>
    <row r="928" spans="1:16" x14ac:dyDescent="0.3">
      <c r="A928">
        <v>910948</v>
      </c>
      <c r="B928" t="s">
        <v>968</v>
      </c>
      <c r="C928" s="2">
        <v>104000</v>
      </c>
      <c r="D928">
        <v>27</v>
      </c>
      <c r="E928" s="2">
        <v>289400</v>
      </c>
      <c r="F928">
        <v>2.84</v>
      </c>
      <c r="G928">
        <v>2.87</v>
      </c>
      <c r="H928">
        <v>2.73</v>
      </c>
      <c r="I928">
        <v>2.87</v>
      </c>
      <c r="J928" t="s">
        <v>10</v>
      </c>
      <c r="K928">
        <v>0.1</v>
      </c>
      <c r="L928">
        <v>2.75</v>
      </c>
      <c r="M928">
        <v>1</v>
      </c>
      <c r="N928">
        <v>2.85</v>
      </c>
      <c r="O928">
        <v>11</v>
      </c>
      <c r="P928">
        <v>0</v>
      </c>
    </row>
    <row r="929" spans="1:16" x14ac:dyDescent="0.3">
      <c r="A929">
        <v>9110</v>
      </c>
      <c r="B929" t="s">
        <v>969</v>
      </c>
      <c r="C929" s="2">
        <v>63000</v>
      </c>
      <c r="D929">
        <v>21</v>
      </c>
      <c r="E929" s="2">
        <v>270650</v>
      </c>
      <c r="F929">
        <v>4.3</v>
      </c>
      <c r="G929">
        <v>4.34</v>
      </c>
      <c r="H929">
        <v>4.2300000000000004</v>
      </c>
      <c r="I929">
        <v>4.33</v>
      </c>
      <c r="J929" t="s">
        <v>7</v>
      </c>
      <c r="K929">
        <v>0.03</v>
      </c>
      <c r="L929">
        <v>4.26</v>
      </c>
      <c r="M929">
        <v>3</v>
      </c>
      <c r="N929">
        <v>4.32</v>
      </c>
      <c r="O929">
        <v>1</v>
      </c>
      <c r="P929">
        <v>0</v>
      </c>
    </row>
    <row r="930" spans="1:16" x14ac:dyDescent="0.3">
      <c r="A930">
        <v>911201</v>
      </c>
      <c r="B930" t="s">
        <v>970</v>
      </c>
      <c r="C930" s="2">
        <v>14000</v>
      </c>
      <c r="D930">
        <v>8</v>
      </c>
      <c r="E930" s="2">
        <v>32970</v>
      </c>
      <c r="F930">
        <v>2.33</v>
      </c>
      <c r="G930">
        <v>2.37</v>
      </c>
      <c r="H930">
        <v>2.33</v>
      </c>
      <c r="I930">
        <v>2.36</v>
      </c>
      <c r="J930" t="s">
        <v>10</v>
      </c>
      <c r="K930">
        <v>0.01</v>
      </c>
      <c r="L930">
        <v>2.35</v>
      </c>
      <c r="M930">
        <v>10</v>
      </c>
      <c r="N930">
        <v>2.37</v>
      </c>
      <c r="O930">
        <v>1</v>
      </c>
      <c r="P930">
        <v>0</v>
      </c>
    </row>
    <row r="931" spans="1:16" x14ac:dyDescent="0.3">
      <c r="A931">
        <v>911602</v>
      </c>
      <c r="B931" t="s">
        <v>971</v>
      </c>
      <c r="C931">
        <v>0</v>
      </c>
      <c r="D931">
        <v>0</v>
      </c>
      <c r="E931">
        <v>0</v>
      </c>
      <c r="F931" t="s">
        <v>152</v>
      </c>
      <c r="G931" t="s">
        <v>152</v>
      </c>
      <c r="H931" t="s">
        <v>152</v>
      </c>
      <c r="I931" t="s">
        <v>152</v>
      </c>
      <c r="K931">
        <v>0</v>
      </c>
      <c r="L931" t="s">
        <v>152</v>
      </c>
      <c r="M931">
        <v>0</v>
      </c>
      <c r="N931">
        <v>14.65</v>
      </c>
      <c r="O931">
        <v>10</v>
      </c>
      <c r="P931">
        <v>0</v>
      </c>
    </row>
    <row r="932" spans="1:16" x14ac:dyDescent="0.3">
      <c r="A932">
        <v>911608</v>
      </c>
      <c r="B932" t="s">
        <v>972</v>
      </c>
      <c r="C932" s="2">
        <v>1999</v>
      </c>
      <c r="D932">
        <v>2</v>
      </c>
      <c r="E932" s="2">
        <v>14632</v>
      </c>
      <c r="F932">
        <v>7.36</v>
      </c>
      <c r="G932">
        <v>7.36</v>
      </c>
      <c r="H932">
        <v>7.36</v>
      </c>
      <c r="I932">
        <v>7.36</v>
      </c>
      <c r="J932" t="s">
        <v>10</v>
      </c>
      <c r="K932">
        <v>0.18</v>
      </c>
      <c r="L932">
        <v>7.13</v>
      </c>
      <c r="M932">
        <v>1</v>
      </c>
      <c r="N932">
        <v>7.32</v>
      </c>
      <c r="O932">
        <v>1</v>
      </c>
      <c r="P932">
        <v>0</v>
      </c>
    </row>
    <row r="933" spans="1:16" x14ac:dyDescent="0.3">
      <c r="A933">
        <v>911609</v>
      </c>
      <c r="B933" t="s">
        <v>973</v>
      </c>
      <c r="C933" s="2">
        <v>27000</v>
      </c>
      <c r="D933">
        <v>16</v>
      </c>
      <c r="E933" s="2">
        <v>259980</v>
      </c>
      <c r="F933">
        <v>9.59</v>
      </c>
      <c r="G933">
        <v>9.68</v>
      </c>
      <c r="H933">
        <v>9.59</v>
      </c>
      <c r="I933">
        <v>9.61</v>
      </c>
      <c r="J933" t="s">
        <v>10</v>
      </c>
      <c r="K933">
        <v>0.12</v>
      </c>
      <c r="L933">
        <v>9.61</v>
      </c>
      <c r="M933">
        <v>3</v>
      </c>
      <c r="N933">
        <v>9.6300000000000008</v>
      </c>
      <c r="O933">
        <v>5</v>
      </c>
      <c r="P933">
        <v>0</v>
      </c>
    </row>
    <row r="934" spans="1:16" x14ac:dyDescent="0.3">
      <c r="A934">
        <v>911610</v>
      </c>
      <c r="B934" t="s">
        <v>974</v>
      </c>
      <c r="C934" s="2">
        <v>6000</v>
      </c>
      <c r="D934">
        <v>2</v>
      </c>
      <c r="E934" s="2">
        <v>154200</v>
      </c>
      <c r="F934">
        <v>25.7</v>
      </c>
      <c r="G934">
        <v>25.7</v>
      </c>
      <c r="H934">
        <v>25.7</v>
      </c>
      <c r="I934">
        <v>25.7</v>
      </c>
      <c r="J934" t="s">
        <v>7</v>
      </c>
      <c r="K934">
        <v>0.1</v>
      </c>
      <c r="L934">
        <v>25.7</v>
      </c>
      <c r="M934">
        <v>1</v>
      </c>
      <c r="N934">
        <v>26</v>
      </c>
      <c r="O934">
        <v>6</v>
      </c>
      <c r="P934">
        <v>0</v>
      </c>
    </row>
    <row r="935" spans="1:16" x14ac:dyDescent="0.3">
      <c r="A935">
        <v>911611</v>
      </c>
      <c r="B935" t="s">
        <v>975</v>
      </c>
      <c r="C935" s="2">
        <v>84000</v>
      </c>
      <c r="D935">
        <v>31</v>
      </c>
      <c r="E935" s="2">
        <v>162970</v>
      </c>
      <c r="F935">
        <v>1.94</v>
      </c>
      <c r="G935">
        <v>1.96</v>
      </c>
      <c r="H935">
        <v>1.93</v>
      </c>
      <c r="I935">
        <v>1.93</v>
      </c>
      <c r="J935" t="s">
        <v>7</v>
      </c>
      <c r="K935">
        <v>0.01</v>
      </c>
      <c r="L935">
        <v>1.93</v>
      </c>
      <c r="M935">
        <v>1</v>
      </c>
      <c r="N935">
        <v>1.94</v>
      </c>
      <c r="O935">
        <v>11</v>
      </c>
      <c r="P935">
        <v>0</v>
      </c>
    </row>
    <row r="936" spans="1:16" x14ac:dyDescent="0.3">
      <c r="A936">
        <v>911612</v>
      </c>
      <c r="B936" t="s">
        <v>976</v>
      </c>
      <c r="C936" s="2">
        <v>910982</v>
      </c>
      <c r="D936">
        <v>96</v>
      </c>
      <c r="E936" s="2">
        <v>2640586</v>
      </c>
      <c r="F936">
        <v>2.9</v>
      </c>
      <c r="G936">
        <v>2.94</v>
      </c>
      <c r="H936">
        <v>2.85</v>
      </c>
      <c r="I936">
        <v>2.92</v>
      </c>
      <c r="J936" t="s">
        <v>10</v>
      </c>
      <c r="K936">
        <v>0.04</v>
      </c>
      <c r="L936">
        <v>2.91</v>
      </c>
      <c r="M936">
        <v>7</v>
      </c>
      <c r="N936">
        <v>2.92</v>
      </c>
      <c r="O936">
        <v>10</v>
      </c>
      <c r="P936">
        <v>0</v>
      </c>
    </row>
    <row r="937" spans="1:16" x14ac:dyDescent="0.3">
      <c r="A937">
        <v>911616</v>
      </c>
      <c r="B937" t="s">
        <v>977</v>
      </c>
      <c r="C937" s="2">
        <v>225000</v>
      </c>
      <c r="D937">
        <v>83</v>
      </c>
      <c r="E937" s="2">
        <v>2483150</v>
      </c>
      <c r="F937">
        <v>10.8</v>
      </c>
      <c r="G937">
        <v>11.15</v>
      </c>
      <c r="H937">
        <v>10.8</v>
      </c>
      <c r="I937">
        <v>11.05</v>
      </c>
      <c r="J937" t="s">
        <v>10</v>
      </c>
      <c r="K937">
        <v>0.05</v>
      </c>
      <c r="L937">
        <v>11.05</v>
      </c>
      <c r="M937">
        <v>18</v>
      </c>
      <c r="N937">
        <v>11.15</v>
      </c>
      <c r="O937">
        <v>2</v>
      </c>
      <c r="P937">
        <v>0</v>
      </c>
    </row>
    <row r="938" spans="1:16" x14ac:dyDescent="0.3">
      <c r="A938">
        <v>911619</v>
      </c>
      <c r="B938" t="s">
        <v>978</v>
      </c>
      <c r="C938" s="2">
        <v>18000</v>
      </c>
      <c r="D938">
        <v>4</v>
      </c>
      <c r="E938" s="2">
        <v>85060</v>
      </c>
      <c r="F938">
        <v>4.7699999999999996</v>
      </c>
      <c r="G938">
        <v>4.7699999999999996</v>
      </c>
      <c r="H938">
        <v>4.6900000000000004</v>
      </c>
      <c r="I938">
        <v>4.7699999999999996</v>
      </c>
      <c r="J938" t="s">
        <v>7</v>
      </c>
      <c r="K938">
        <v>0.01</v>
      </c>
      <c r="L938">
        <v>4.59</v>
      </c>
      <c r="M938">
        <v>11</v>
      </c>
      <c r="N938">
        <v>4.7699999999999996</v>
      </c>
      <c r="O938">
        <v>5</v>
      </c>
      <c r="P938">
        <v>0</v>
      </c>
    </row>
    <row r="939" spans="1:16" x14ac:dyDescent="0.3">
      <c r="A939">
        <v>911622</v>
      </c>
      <c r="B939" t="s">
        <v>979</v>
      </c>
      <c r="C939">
        <v>0</v>
      </c>
      <c r="D939">
        <v>0</v>
      </c>
      <c r="E939">
        <v>0</v>
      </c>
      <c r="F939" t="s">
        <v>152</v>
      </c>
      <c r="G939" t="s">
        <v>152</v>
      </c>
      <c r="H939" t="s">
        <v>152</v>
      </c>
      <c r="I939" t="s">
        <v>152</v>
      </c>
      <c r="K939">
        <v>0</v>
      </c>
      <c r="L939">
        <v>12.5</v>
      </c>
      <c r="M939">
        <v>5</v>
      </c>
      <c r="N939">
        <v>12.9</v>
      </c>
      <c r="O939">
        <v>1</v>
      </c>
      <c r="P939">
        <v>0</v>
      </c>
    </row>
    <row r="940" spans="1:16" x14ac:dyDescent="0.3">
      <c r="A940">
        <v>911626</v>
      </c>
      <c r="B940" t="s">
        <v>980</v>
      </c>
      <c r="C940" s="2">
        <v>78000</v>
      </c>
      <c r="D940">
        <v>17</v>
      </c>
      <c r="E940" s="2">
        <v>585500</v>
      </c>
      <c r="F940">
        <v>7.5</v>
      </c>
      <c r="G940">
        <v>7.77</v>
      </c>
      <c r="H940">
        <v>7.5</v>
      </c>
      <c r="I940">
        <v>7.77</v>
      </c>
      <c r="J940" t="s">
        <v>7</v>
      </c>
      <c r="K940">
        <v>0.05</v>
      </c>
      <c r="L940">
        <v>7.51</v>
      </c>
      <c r="M940">
        <v>6</v>
      </c>
      <c r="N940">
        <v>7.77</v>
      </c>
      <c r="O940">
        <v>1</v>
      </c>
      <c r="P940">
        <v>0</v>
      </c>
    </row>
    <row r="941" spans="1:16" x14ac:dyDescent="0.3">
      <c r="A941">
        <v>911868</v>
      </c>
      <c r="B941" t="s">
        <v>981</v>
      </c>
      <c r="C941" s="2">
        <v>246660</v>
      </c>
      <c r="D941">
        <v>56</v>
      </c>
      <c r="E941" s="2">
        <v>624246</v>
      </c>
      <c r="F941">
        <v>2.65</v>
      </c>
      <c r="G941">
        <v>2.65</v>
      </c>
      <c r="H941">
        <v>2.5</v>
      </c>
      <c r="I941">
        <v>2.57</v>
      </c>
      <c r="J941" t="s">
        <v>7</v>
      </c>
      <c r="K941">
        <v>0.03</v>
      </c>
      <c r="L941">
        <v>2.56</v>
      </c>
      <c r="M941">
        <v>8</v>
      </c>
      <c r="N941">
        <v>2.58</v>
      </c>
      <c r="O941">
        <v>3</v>
      </c>
      <c r="P941">
        <v>0</v>
      </c>
    </row>
    <row r="942" spans="1:16" x14ac:dyDescent="0.3">
      <c r="A942">
        <v>912000</v>
      </c>
      <c r="B942" t="s">
        <v>982</v>
      </c>
      <c r="C942" s="2">
        <v>41000</v>
      </c>
      <c r="D942">
        <v>13</v>
      </c>
      <c r="E942" s="2">
        <v>122680</v>
      </c>
      <c r="F942">
        <v>2.96</v>
      </c>
      <c r="G942">
        <v>3.09</v>
      </c>
      <c r="H942">
        <v>2.96</v>
      </c>
      <c r="I942">
        <v>3.02</v>
      </c>
      <c r="J942" t="s">
        <v>7</v>
      </c>
      <c r="K942">
        <v>0.04</v>
      </c>
      <c r="L942">
        <v>3.02</v>
      </c>
      <c r="M942">
        <v>7</v>
      </c>
      <c r="N942">
        <v>3.03</v>
      </c>
      <c r="O942">
        <v>10</v>
      </c>
      <c r="P942">
        <v>0</v>
      </c>
    </row>
    <row r="943" spans="1:16" x14ac:dyDescent="0.3">
      <c r="A943">
        <v>912398</v>
      </c>
      <c r="B943" t="s">
        <v>983</v>
      </c>
      <c r="C943">
        <v>0</v>
      </c>
      <c r="D943">
        <v>0</v>
      </c>
      <c r="E943">
        <v>0</v>
      </c>
      <c r="F943" t="s">
        <v>152</v>
      </c>
      <c r="G943" t="s">
        <v>152</v>
      </c>
      <c r="H943" t="s">
        <v>152</v>
      </c>
      <c r="I943" t="s">
        <v>152</v>
      </c>
      <c r="K943">
        <v>0</v>
      </c>
      <c r="L943">
        <v>9.06</v>
      </c>
      <c r="M943">
        <v>1</v>
      </c>
      <c r="N943">
        <v>9.1999999999999993</v>
      </c>
      <c r="O943">
        <v>1</v>
      </c>
      <c r="P943">
        <v>0</v>
      </c>
    </row>
    <row r="944" spans="1:16" x14ac:dyDescent="0.3">
      <c r="A944">
        <v>9136</v>
      </c>
      <c r="B944" t="s">
        <v>984</v>
      </c>
      <c r="C944" s="2">
        <v>1315000</v>
      </c>
      <c r="D944">
        <v>424</v>
      </c>
      <c r="E944" s="2">
        <v>18997650</v>
      </c>
      <c r="F944">
        <v>14</v>
      </c>
      <c r="G944">
        <v>14.7</v>
      </c>
      <c r="H944">
        <v>14</v>
      </c>
      <c r="I944">
        <v>14.5</v>
      </c>
      <c r="J944" t="s">
        <v>10</v>
      </c>
      <c r="K944">
        <v>0.6</v>
      </c>
      <c r="L944">
        <v>14.45</v>
      </c>
      <c r="M944">
        <v>21</v>
      </c>
      <c r="N944">
        <v>14.5</v>
      </c>
      <c r="O944">
        <v>7</v>
      </c>
      <c r="P944">
        <v>0</v>
      </c>
    </row>
    <row r="945" spans="1:16" x14ac:dyDescent="0.3">
      <c r="A945">
        <v>913889</v>
      </c>
      <c r="B945" t="s">
        <v>985</v>
      </c>
      <c r="C945" s="2">
        <v>27000</v>
      </c>
      <c r="D945">
        <v>10</v>
      </c>
      <c r="E945" s="2">
        <v>109250</v>
      </c>
      <c r="F945">
        <v>4.05</v>
      </c>
      <c r="G945">
        <v>4.05</v>
      </c>
      <c r="H945">
        <v>4.0199999999999996</v>
      </c>
      <c r="I945">
        <v>4.05</v>
      </c>
      <c r="K945">
        <v>0</v>
      </c>
      <c r="L945">
        <v>4.0599999999999996</v>
      </c>
      <c r="M945">
        <v>2</v>
      </c>
      <c r="N945">
        <v>4.1900000000000004</v>
      </c>
      <c r="O945">
        <v>1</v>
      </c>
      <c r="P945">
        <v>0</v>
      </c>
    </row>
    <row r="946" spans="1:16" x14ac:dyDescent="0.3">
      <c r="A946">
        <v>9151</v>
      </c>
      <c r="B946" t="s">
        <v>986</v>
      </c>
      <c r="C946" s="2">
        <v>8000</v>
      </c>
      <c r="D946">
        <v>3</v>
      </c>
      <c r="E946" s="2">
        <v>331600</v>
      </c>
      <c r="F946">
        <v>41.6</v>
      </c>
      <c r="G946">
        <v>41.8</v>
      </c>
      <c r="H946">
        <v>40.9</v>
      </c>
      <c r="I946">
        <v>41.8</v>
      </c>
      <c r="J946" t="s">
        <v>10</v>
      </c>
      <c r="K946">
        <v>1</v>
      </c>
      <c r="L946">
        <v>40.9</v>
      </c>
      <c r="M946">
        <v>7</v>
      </c>
      <c r="N946">
        <v>41.8</v>
      </c>
      <c r="O946">
        <v>8</v>
      </c>
      <c r="P946">
        <v>0</v>
      </c>
    </row>
    <row r="947" spans="1:16" x14ac:dyDescent="0.3">
      <c r="A947">
        <v>9157</v>
      </c>
      <c r="B947" t="s">
        <v>987</v>
      </c>
      <c r="C947" s="2">
        <v>263000</v>
      </c>
      <c r="D947">
        <v>50</v>
      </c>
      <c r="E947" s="2">
        <v>560580</v>
      </c>
      <c r="F947">
        <v>2.06</v>
      </c>
      <c r="G947">
        <v>2.3199999999999998</v>
      </c>
      <c r="H947">
        <v>2.0499999999999998</v>
      </c>
      <c r="I947">
        <v>2.23</v>
      </c>
      <c r="J947" t="s">
        <v>10</v>
      </c>
      <c r="K947">
        <v>0.06</v>
      </c>
      <c r="L947">
        <v>2.23</v>
      </c>
      <c r="M947">
        <v>46</v>
      </c>
      <c r="N947">
        <v>2.2799999999999998</v>
      </c>
      <c r="O947">
        <v>10</v>
      </c>
      <c r="P947">
        <v>0</v>
      </c>
    </row>
    <row r="948" spans="1:16" x14ac:dyDescent="0.3">
      <c r="A948">
        <v>9188</v>
      </c>
      <c r="B948" t="s">
        <v>988</v>
      </c>
      <c r="C948" s="2">
        <v>311000</v>
      </c>
      <c r="D948">
        <v>63</v>
      </c>
      <c r="E948" s="2">
        <v>846820</v>
      </c>
      <c r="F948">
        <v>2.77</v>
      </c>
      <c r="G948">
        <v>2.77</v>
      </c>
      <c r="H948">
        <v>2.71</v>
      </c>
      <c r="I948">
        <v>2.74</v>
      </c>
      <c r="J948" t="s">
        <v>7</v>
      </c>
      <c r="K948">
        <v>0.03</v>
      </c>
      <c r="L948">
        <v>2.73</v>
      </c>
      <c r="M948">
        <v>1</v>
      </c>
      <c r="N948">
        <v>2.74</v>
      </c>
      <c r="O948">
        <v>10</v>
      </c>
      <c r="P948">
        <v>0</v>
      </c>
    </row>
    <row r="949" spans="1:16" x14ac:dyDescent="0.3">
      <c r="A949">
        <v>9802</v>
      </c>
      <c r="B949" t="s">
        <v>989</v>
      </c>
      <c r="C949" s="2">
        <v>77000</v>
      </c>
      <c r="D949">
        <v>30</v>
      </c>
      <c r="E949" s="2">
        <v>2623750</v>
      </c>
      <c r="F949">
        <v>34.200000000000003</v>
      </c>
      <c r="G949">
        <v>34.35</v>
      </c>
      <c r="H949">
        <v>33.950000000000003</v>
      </c>
      <c r="I949">
        <v>34</v>
      </c>
      <c r="K949">
        <v>0</v>
      </c>
      <c r="L949">
        <v>34</v>
      </c>
      <c r="M949">
        <v>6</v>
      </c>
      <c r="N949">
        <v>34.200000000000003</v>
      </c>
      <c r="O949">
        <v>15</v>
      </c>
      <c r="P949">
        <v>14.17</v>
      </c>
    </row>
    <row r="950" spans="1:16" x14ac:dyDescent="0.3">
      <c r="A950">
        <v>9902</v>
      </c>
      <c r="B950" t="s">
        <v>990</v>
      </c>
      <c r="C950" s="2">
        <v>1407396</v>
      </c>
      <c r="D950">
        <v>470</v>
      </c>
      <c r="E950" s="2">
        <v>24607820</v>
      </c>
      <c r="F950">
        <v>17.399999999999999</v>
      </c>
      <c r="G950">
        <v>17.8</v>
      </c>
      <c r="H950">
        <v>17.350000000000001</v>
      </c>
      <c r="I950">
        <v>17.399999999999999</v>
      </c>
      <c r="J950" t="s">
        <v>7</v>
      </c>
      <c r="K950">
        <v>0.1</v>
      </c>
      <c r="L950">
        <v>17.399999999999999</v>
      </c>
      <c r="M950">
        <v>71</v>
      </c>
      <c r="N950">
        <v>17.45</v>
      </c>
      <c r="O950">
        <v>5</v>
      </c>
      <c r="P950">
        <v>10.88</v>
      </c>
    </row>
    <row r="951" spans="1:16" x14ac:dyDescent="0.3">
      <c r="A951">
        <v>9904</v>
      </c>
      <c r="B951" t="s">
        <v>991</v>
      </c>
      <c r="C951" s="2">
        <v>3575662</v>
      </c>
      <c r="D951" s="2">
        <v>1762</v>
      </c>
      <c r="E951" s="2">
        <v>103059767</v>
      </c>
      <c r="F951">
        <v>28.75</v>
      </c>
      <c r="G951">
        <v>29.2</v>
      </c>
      <c r="H951">
        <v>28.35</v>
      </c>
      <c r="I951">
        <v>28.95</v>
      </c>
      <c r="J951" t="s">
        <v>10</v>
      </c>
      <c r="K951">
        <v>0.5</v>
      </c>
      <c r="L951">
        <v>28.95</v>
      </c>
      <c r="M951">
        <v>102</v>
      </c>
      <c r="N951">
        <v>29</v>
      </c>
      <c r="O951">
        <v>18</v>
      </c>
      <c r="P951">
        <v>9.3699999999999992</v>
      </c>
    </row>
    <row r="952" spans="1:16" x14ac:dyDescent="0.3">
      <c r="A952">
        <v>9905</v>
      </c>
      <c r="B952" t="s">
        <v>992</v>
      </c>
      <c r="C952" s="2">
        <v>458907</v>
      </c>
      <c r="D952">
        <v>276</v>
      </c>
      <c r="E952" s="2">
        <v>15286723</v>
      </c>
      <c r="F952">
        <v>33</v>
      </c>
      <c r="G952">
        <v>33.700000000000003</v>
      </c>
      <c r="H952">
        <v>33</v>
      </c>
      <c r="I952">
        <v>33.5</v>
      </c>
      <c r="J952" t="s">
        <v>10</v>
      </c>
      <c r="K952">
        <v>0.5</v>
      </c>
      <c r="L952">
        <v>33.5</v>
      </c>
      <c r="M952">
        <v>1</v>
      </c>
      <c r="N952">
        <v>33.549999999999997</v>
      </c>
      <c r="O952">
        <v>1</v>
      </c>
      <c r="P952">
        <v>12.01</v>
      </c>
    </row>
    <row r="953" spans="1:16" x14ac:dyDescent="0.3">
      <c r="A953">
        <v>9906</v>
      </c>
      <c r="B953" t="s">
        <v>993</v>
      </c>
      <c r="C953" s="2">
        <v>288072</v>
      </c>
      <c r="D953">
        <v>266</v>
      </c>
      <c r="E953" s="2">
        <v>28287733</v>
      </c>
      <c r="F953">
        <v>95.6</v>
      </c>
      <c r="G953">
        <v>100.5</v>
      </c>
      <c r="H953">
        <v>95.6</v>
      </c>
      <c r="I953">
        <v>100.5</v>
      </c>
      <c r="K953">
        <v>0</v>
      </c>
      <c r="L953">
        <v>100</v>
      </c>
      <c r="M953">
        <v>1</v>
      </c>
      <c r="N953">
        <v>100.5</v>
      </c>
      <c r="O953">
        <v>4</v>
      </c>
      <c r="P953">
        <v>7.07</v>
      </c>
    </row>
    <row r="954" spans="1:16" x14ac:dyDescent="0.3">
      <c r="A954">
        <v>9907</v>
      </c>
      <c r="B954" t="s">
        <v>994</v>
      </c>
      <c r="C954" s="2">
        <v>7370508</v>
      </c>
      <c r="D954" s="2">
        <v>2703</v>
      </c>
      <c r="E954" s="2">
        <v>195966599</v>
      </c>
      <c r="F954">
        <v>26.5</v>
      </c>
      <c r="G954">
        <v>26.95</v>
      </c>
      <c r="H954">
        <v>26.25</v>
      </c>
      <c r="I954">
        <v>26.95</v>
      </c>
      <c r="J954" t="s">
        <v>10</v>
      </c>
      <c r="K954">
        <v>0.9</v>
      </c>
      <c r="L954">
        <v>26.9</v>
      </c>
      <c r="M954">
        <v>31</v>
      </c>
      <c r="N954">
        <v>26.95</v>
      </c>
      <c r="O954">
        <v>73</v>
      </c>
      <c r="P954">
        <v>89.83</v>
      </c>
    </row>
    <row r="955" spans="1:16" x14ac:dyDescent="0.3">
      <c r="A955">
        <v>9908</v>
      </c>
      <c r="B955" t="s">
        <v>995</v>
      </c>
      <c r="C955" s="2">
        <v>374091</v>
      </c>
      <c r="D955">
        <v>79</v>
      </c>
      <c r="E955" s="2">
        <v>8204252</v>
      </c>
      <c r="F955">
        <v>21.9</v>
      </c>
      <c r="G955">
        <v>22</v>
      </c>
      <c r="H955">
        <v>21.7</v>
      </c>
      <c r="I955">
        <v>21.95</v>
      </c>
      <c r="J955" t="s">
        <v>10</v>
      </c>
      <c r="K955">
        <v>0.05</v>
      </c>
      <c r="L955">
        <v>21.9</v>
      </c>
      <c r="M955">
        <v>29</v>
      </c>
      <c r="N955">
        <v>21.95</v>
      </c>
      <c r="O955">
        <v>51</v>
      </c>
      <c r="P955">
        <v>20.71</v>
      </c>
    </row>
    <row r="956" spans="1:16" x14ac:dyDescent="0.3">
      <c r="A956">
        <v>9910</v>
      </c>
      <c r="B956" t="s">
        <v>996</v>
      </c>
      <c r="C956" s="2">
        <v>501571</v>
      </c>
      <c r="D956">
        <v>325</v>
      </c>
      <c r="E956" s="2">
        <v>25328873</v>
      </c>
      <c r="F956">
        <v>50.1</v>
      </c>
      <c r="G956">
        <v>51</v>
      </c>
      <c r="H956">
        <v>49.9</v>
      </c>
      <c r="I956">
        <v>50.8</v>
      </c>
      <c r="J956" t="s">
        <v>10</v>
      </c>
      <c r="K956">
        <v>0.4</v>
      </c>
      <c r="L956">
        <v>50.7</v>
      </c>
      <c r="M956">
        <v>5</v>
      </c>
      <c r="N956">
        <v>50.8</v>
      </c>
      <c r="O956">
        <v>4</v>
      </c>
      <c r="P956">
        <v>14.47</v>
      </c>
    </row>
    <row r="957" spans="1:16" x14ac:dyDescent="0.3">
      <c r="A957">
        <v>9911</v>
      </c>
      <c r="B957" t="s">
        <v>997</v>
      </c>
      <c r="C957" s="2">
        <v>585559</v>
      </c>
      <c r="D957">
        <v>203</v>
      </c>
      <c r="E957" s="2">
        <v>9486199</v>
      </c>
      <c r="F957">
        <v>16.149999999999999</v>
      </c>
      <c r="G957">
        <v>16.25</v>
      </c>
      <c r="H957">
        <v>16.149999999999999</v>
      </c>
      <c r="I957">
        <v>16.25</v>
      </c>
      <c r="J957" t="s">
        <v>10</v>
      </c>
      <c r="K957">
        <v>0.05</v>
      </c>
      <c r="L957">
        <v>16.25</v>
      </c>
      <c r="M957">
        <v>20</v>
      </c>
      <c r="N957">
        <v>16.3</v>
      </c>
      <c r="O957">
        <v>33</v>
      </c>
      <c r="P957">
        <v>14.01</v>
      </c>
    </row>
    <row r="958" spans="1:16" x14ac:dyDescent="0.3">
      <c r="A958">
        <v>9912</v>
      </c>
      <c r="B958" t="s">
        <v>998</v>
      </c>
      <c r="C958" s="2">
        <v>240564</v>
      </c>
      <c r="D958">
        <v>184</v>
      </c>
      <c r="E958" s="2">
        <v>6662393</v>
      </c>
      <c r="F958">
        <v>27.8</v>
      </c>
      <c r="G958">
        <v>27.9</v>
      </c>
      <c r="H958">
        <v>27.55</v>
      </c>
      <c r="I958">
        <v>27.65</v>
      </c>
      <c r="J958" t="s">
        <v>10</v>
      </c>
      <c r="K958">
        <v>0.05</v>
      </c>
      <c r="L958">
        <v>27.65</v>
      </c>
      <c r="M958">
        <v>12</v>
      </c>
      <c r="N958">
        <v>27.8</v>
      </c>
      <c r="O958">
        <v>12</v>
      </c>
      <c r="P958">
        <v>1.98</v>
      </c>
    </row>
    <row r="959" spans="1:16" x14ac:dyDescent="0.3">
      <c r="A959">
        <v>9914</v>
      </c>
      <c r="B959" t="s">
        <v>999</v>
      </c>
      <c r="C959" s="2">
        <v>1845783</v>
      </c>
      <c r="D959" s="2">
        <v>1381</v>
      </c>
      <c r="E959" s="2">
        <v>336344072</v>
      </c>
      <c r="F959">
        <v>178</v>
      </c>
      <c r="G959">
        <v>186.5</v>
      </c>
      <c r="H959">
        <v>177.5</v>
      </c>
      <c r="I959">
        <v>184</v>
      </c>
      <c r="J959" t="s">
        <v>10</v>
      </c>
      <c r="K959">
        <v>6</v>
      </c>
      <c r="L959">
        <v>184</v>
      </c>
      <c r="M959">
        <v>130</v>
      </c>
      <c r="N959">
        <v>184.5</v>
      </c>
      <c r="O959">
        <v>12</v>
      </c>
      <c r="P959">
        <v>20.93</v>
      </c>
    </row>
    <row r="960" spans="1:16" x14ac:dyDescent="0.3">
      <c r="A960">
        <v>9917</v>
      </c>
      <c r="B960" t="s">
        <v>1000</v>
      </c>
      <c r="C960" s="2">
        <v>563805</v>
      </c>
      <c r="D960">
        <v>297</v>
      </c>
      <c r="E960" s="2">
        <v>40205674</v>
      </c>
      <c r="F960">
        <v>71.900000000000006</v>
      </c>
      <c r="G960">
        <v>71.900000000000006</v>
      </c>
      <c r="H960">
        <v>70.7</v>
      </c>
      <c r="I960">
        <v>71.3</v>
      </c>
      <c r="J960" t="s">
        <v>7</v>
      </c>
      <c r="K960">
        <v>1.6</v>
      </c>
      <c r="L960">
        <v>71.3</v>
      </c>
      <c r="M960">
        <v>1</v>
      </c>
      <c r="N960">
        <v>71.400000000000006</v>
      </c>
      <c r="O960">
        <v>10</v>
      </c>
      <c r="P960">
        <v>16.43</v>
      </c>
    </row>
    <row r="961" spans="1:16" x14ac:dyDescent="0.3">
      <c r="A961">
        <v>9918</v>
      </c>
      <c r="B961" t="s">
        <v>1001</v>
      </c>
      <c r="C961" s="2">
        <v>3100</v>
      </c>
      <c r="D961">
        <v>5</v>
      </c>
      <c r="E961" s="2">
        <v>102219</v>
      </c>
      <c r="F961">
        <v>33.1</v>
      </c>
      <c r="G961">
        <v>33.1</v>
      </c>
      <c r="H961">
        <v>32.65</v>
      </c>
      <c r="I961">
        <v>32.65</v>
      </c>
      <c r="J961" t="s">
        <v>7</v>
      </c>
      <c r="K961">
        <v>0.15</v>
      </c>
      <c r="L961">
        <v>32.65</v>
      </c>
      <c r="M961">
        <v>1</v>
      </c>
      <c r="N961">
        <v>32.950000000000003</v>
      </c>
      <c r="O961">
        <v>4</v>
      </c>
      <c r="P961">
        <v>19.21</v>
      </c>
    </row>
    <row r="962" spans="1:16" x14ac:dyDescent="0.3">
      <c r="A962">
        <v>9919</v>
      </c>
      <c r="B962" t="s">
        <v>1002</v>
      </c>
      <c r="C962" s="2">
        <v>455086</v>
      </c>
      <c r="D962">
        <v>138</v>
      </c>
      <c r="E962" s="2">
        <v>6502676</v>
      </c>
      <c r="F962">
        <v>14.3</v>
      </c>
      <c r="G962">
        <v>14.4</v>
      </c>
      <c r="H962">
        <v>14.25</v>
      </c>
      <c r="I962">
        <v>14.3</v>
      </c>
      <c r="K962">
        <v>0</v>
      </c>
      <c r="L962">
        <v>14.3</v>
      </c>
      <c r="M962">
        <v>1</v>
      </c>
      <c r="N962">
        <v>14.35</v>
      </c>
      <c r="O962">
        <v>12</v>
      </c>
      <c r="P962">
        <v>52.96</v>
      </c>
    </row>
    <row r="963" spans="1:16" x14ac:dyDescent="0.3">
      <c r="A963">
        <v>9921</v>
      </c>
      <c r="B963" t="s">
        <v>1003</v>
      </c>
      <c r="C963" s="2">
        <v>537377</v>
      </c>
      <c r="D963">
        <v>396</v>
      </c>
      <c r="E963" s="2">
        <v>110766285</v>
      </c>
      <c r="F963">
        <v>205.5</v>
      </c>
      <c r="G963">
        <v>208</v>
      </c>
      <c r="H963">
        <v>204.5</v>
      </c>
      <c r="I963">
        <v>205.5</v>
      </c>
      <c r="J963" t="s">
        <v>7</v>
      </c>
      <c r="K963">
        <v>0.5</v>
      </c>
      <c r="L963">
        <v>205.5</v>
      </c>
      <c r="M963">
        <v>93</v>
      </c>
      <c r="N963">
        <v>207.5</v>
      </c>
      <c r="O963">
        <v>3</v>
      </c>
      <c r="P963">
        <v>23.87</v>
      </c>
    </row>
    <row r="964" spans="1:16" x14ac:dyDescent="0.3">
      <c r="A964">
        <v>9924</v>
      </c>
      <c r="B964" t="s">
        <v>1004</v>
      </c>
      <c r="C964" s="2">
        <v>402160</v>
      </c>
      <c r="D964">
        <v>207</v>
      </c>
      <c r="E964" s="2">
        <v>11114289</v>
      </c>
      <c r="F964">
        <v>27.55</v>
      </c>
      <c r="G964">
        <v>27.85</v>
      </c>
      <c r="H964">
        <v>27.35</v>
      </c>
      <c r="I964">
        <v>27.85</v>
      </c>
      <c r="J964" t="s">
        <v>10</v>
      </c>
      <c r="K964">
        <v>0.65</v>
      </c>
      <c r="L964">
        <v>27.85</v>
      </c>
      <c r="M964">
        <v>2</v>
      </c>
      <c r="N964">
        <v>27.9</v>
      </c>
      <c r="O964">
        <v>13</v>
      </c>
      <c r="P964">
        <v>13.79</v>
      </c>
    </row>
    <row r="965" spans="1:16" x14ac:dyDescent="0.3">
      <c r="A965">
        <v>9925</v>
      </c>
      <c r="B965" t="s">
        <v>1005</v>
      </c>
      <c r="C965" s="2">
        <v>729783</v>
      </c>
      <c r="D965">
        <v>171</v>
      </c>
      <c r="E965" s="2">
        <v>26619033</v>
      </c>
      <c r="F965">
        <v>36.5</v>
      </c>
      <c r="G965">
        <v>36.65</v>
      </c>
      <c r="H965">
        <v>36.25</v>
      </c>
      <c r="I965">
        <v>36.5</v>
      </c>
      <c r="J965" t="s">
        <v>7</v>
      </c>
      <c r="K965">
        <v>1</v>
      </c>
      <c r="L965">
        <v>36.5</v>
      </c>
      <c r="M965">
        <v>12</v>
      </c>
      <c r="N965">
        <v>36.6</v>
      </c>
      <c r="O965">
        <v>2</v>
      </c>
      <c r="P965">
        <v>14.66</v>
      </c>
    </row>
    <row r="966" spans="1:16" x14ac:dyDescent="0.3">
      <c r="A966">
        <v>9926</v>
      </c>
      <c r="B966" t="s">
        <v>1006</v>
      </c>
      <c r="C966" s="2">
        <v>1013100</v>
      </c>
      <c r="D966">
        <v>15</v>
      </c>
      <c r="E966" s="2">
        <v>41534350</v>
      </c>
      <c r="F966">
        <v>41.5</v>
      </c>
      <c r="G966">
        <v>41.5</v>
      </c>
      <c r="H966">
        <v>40.299999999999997</v>
      </c>
      <c r="I966">
        <v>41</v>
      </c>
      <c r="J966" t="s">
        <v>7</v>
      </c>
      <c r="K966">
        <v>0.5</v>
      </c>
      <c r="L966">
        <v>40.799999999999997</v>
      </c>
      <c r="M966">
        <v>1</v>
      </c>
      <c r="N966">
        <v>41.3</v>
      </c>
      <c r="O966">
        <v>3</v>
      </c>
      <c r="P966">
        <v>24.55</v>
      </c>
    </row>
    <row r="967" spans="1:16" x14ac:dyDescent="0.3">
      <c r="A967">
        <v>9927</v>
      </c>
      <c r="B967" t="s">
        <v>1007</v>
      </c>
      <c r="C967" s="2">
        <v>134645</v>
      </c>
      <c r="D967">
        <v>79</v>
      </c>
      <c r="E967" s="2">
        <v>4605730</v>
      </c>
      <c r="F967">
        <v>34.200000000000003</v>
      </c>
      <c r="G967">
        <v>34.299999999999997</v>
      </c>
      <c r="H967">
        <v>34.15</v>
      </c>
      <c r="I967">
        <v>34.25</v>
      </c>
      <c r="J967" t="s">
        <v>10</v>
      </c>
      <c r="K967">
        <v>0.25</v>
      </c>
      <c r="L967">
        <v>34.25</v>
      </c>
      <c r="M967">
        <v>7</v>
      </c>
      <c r="N967">
        <v>34.299999999999997</v>
      </c>
      <c r="O967">
        <v>55</v>
      </c>
      <c r="P967">
        <v>10.32</v>
      </c>
    </row>
    <row r="968" spans="1:16" x14ac:dyDescent="0.3">
      <c r="A968">
        <v>9928</v>
      </c>
      <c r="B968" t="s">
        <v>1008</v>
      </c>
      <c r="C968" s="2">
        <v>25030</v>
      </c>
      <c r="D968">
        <v>14</v>
      </c>
      <c r="E968" s="2">
        <v>355028</v>
      </c>
      <c r="F968">
        <v>14.2</v>
      </c>
      <c r="G968">
        <v>14.35</v>
      </c>
      <c r="H968">
        <v>14.1</v>
      </c>
      <c r="I968">
        <v>14.35</v>
      </c>
      <c r="J968" t="s">
        <v>10</v>
      </c>
      <c r="K968">
        <v>0.1</v>
      </c>
      <c r="L968">
        <v>14.15</v>
      </c>
      <c r="M968">
        <v>5</v>
      </c>
      <c r="N968">
        <v>14.35</v>
      </c>
      <c r="O968">
        <v>5</v>
      </c>
      <c r="P968">
        <v>0</v>
      </c>
    </row>
    <row r="969" spans="1:16" x14ac:dyDescent="0.3">
      <c r="A969">
        <v>9929</v>
      </c>
      <c r="B969" t="s">
        <v>1009</v>
      </c>
      <c r="C969" s="2">
        <v>159003</v>
      </c>
      <c r="D969">
        <v>57</v>
      </c>
      <c r="E969" s="2">
        <v>1123188</v>
      </c>
      <c r="F969">
        <v>7.01</v>
      </c>
      <c r="G969">
        <v>7.16</v>
      </c>
      <c r="H969">
        <v>7.01</v>
      </c>
      <c r="I969">
        <v>7.09</v>
      </c>
      <c r="J969" t="s">
        <v>10</v>
      </c>
      <c r="K969">
        <v>0.04</v>
      </c>
      <c r="L969">
        <v>7.09</v>
      </c>
      <c r="M969">
        <v>1</v>
      </c>
      <c r="N969">
        <v>7.1</v>
      </c>
      <c r="O969">
        <v>1</v>
      </c>
      <c r="P969">
        <v>0</v>
      </c>
    </row>
    <row r="970" spans="1:16" x14ac:dyDescent="0.3">
      <c r="A970">
        <v>9930</v>
      </c>
      <c r="B970" t="s">
        <v>1010</v>
      </c>
      <c r="C970" s="2">
        <v>192808</v>
      </c>
      <c r="D970">
        <v>140</v>
      </c>
      <c r="E970" s="2">
        <v>10409135</v>
      </c>
      <c r="F970">
        <v>53.8</v>
      </c>
      <c r="G970">
        <v>54.3</v>
      </c>
      <c r="H970">
        <v>53.5</v>
      </c>
      <c r="I970">
        <v>54.3</v>
      </c>
      <c r="J970" t="s">
        <v>10</v>
      </c>
      <c r="K970">
        <v>0.5</v>
      </c>
      <c r="L970">
        <v>54.3</v>
      </c>
      <c r="M970">
        <v>6</v>
      </c>
      <c r="N970">
        <v>54.4</v>
      </c>
      <c r="O970">
        <v>7</v>
      </c>
      <c r="P970">
        <v>18.850000000000001</v>
      </c>
    </row>
    <row r="971" spans="1:16" x14ac:dyDescent="0.3">
      <c r="A971">
        <v>9931</v>
      </c>
      <c r="B971" t="s">
        <v>1011</v>
      </c>
      <c r="C971" s="2">
        <v>3002</v>
      </c>
      <c r="D971">
        <v>5</v>
      </c>
      <c r="E971" s="2">
        <v>102570</v>
      </c>
      <c r="F971">
        <v>34.1</v>
      </c>
      <c r="G971">
        <v>34.200000000000003</v>
      </c>
      <c r="H971">
        <v>34.1</v>
      </c>
      <c r="I971">
        <v>34.200000000000003</v>
      </c>
      <c r="J971" t="s">
        <v>10</v>
      </c>
      <c r="K971">
        <v>0.1</v>
      </c>
      <c r="L971">
        <v>34.200000000000003</v>
      </c>
      <c r="M971">
        <v>6</v>
      </c>
      <c r="N971">
        <v>34.5</v>
      </c>
      <c r="O971">
        <v>1</v>
      </c>
      <c r="P971">
        <v>12.76</v>
      </c>
    </row>
    <row r="972" spans="1:16" x14ac:dyDescent="0.3">
      <c r="A972">
        <v>9933</v>
      </c>
      <c r="B972" t="s">
        <v>1012</v>
      </c>
      <c r="C972" s="2">
        <v>3101682</v>
      </c>
      <c r="D972" s="2">
        <v>1846</v>
      </c>
      <c r="E972" s="2">
        <v>169073162</v>
      </c>
      <c r="F972">
        <v>54.6</v>
      </c>
      <c r="G972">
        <v>55.4</v>
      </c>
      <c r="H972">
        <v>54</v>
      </c>
      <c r="I972">
        <v>54.1</v>
      </c>
      <c r="J972" t="s">
        <v>7</v>
      </c>
      <c r="K972">
        <v>0.5</v>
      </c>
      <c r="L972">
        <v>54.1</v>
      </c>
      <c r="M972">
        <v>9</v>
      </c>
      <c r="N972">
        <v>54.3</v>
      </c>
      <c r="O972">
        <v>20</v>
      </c>
      <c r="P972">
        <v>17.12</v>
      </c>
    </row>
    <row r="973" spans="1:16" x14ac:dyDescent="0.3">
      <c r="A973">
        <v>9934</v>
      </c>
      <c r="B973" t="s">
        <v>1013</v>
      </c>
      <c r="C973" s="2">
        <v>6033017</v>
      </c>
      <c r="D973" s="2">
        <v>1925</v>
      </c>
      <c r="E973" s="2">
        <v>124148850</v>
      </c>
      <c r="F973">
        <v>20</v>
      </c>
      <c r="G973">
        <v>20.9</v>
      </c>
      <c r="H973">
        <v>19.899999999999999</v>
      </c>
      <c r="I973">
        <v>20.8</v>
      </c>
      <c r="J973" t="s">
        <v>10</v>
      </c>
      <c r="K973">
        <v>1.1499999999999999</v>
      </c>
      <c r="L973">
        <v>20.75</v>
      </c>
      <c r="M973">
        <v>3</v>
      </c>
      <c r="N973">
        <v>20.8</v>
      </c>
      <c r="O973">
        <v>51</v>
      </c>
      <c r="P973">
        <v>0</v>
      </c>
    </row>
    <row r="974" spans="1:16" x14ac:dyDescent="0.3">
      <c r="A974">
        <v>9935</v>
      </c>
      <c r="B974" t="s">
        <v>1014</v>
      </c>
      <c r="C974" s="2">
        <v>34047</v>
      </c>
      <c r="D974">
        <v>10</v>
      </c>
      <c r="E974" s="2">
        <v>207702</v>
      </c>
      <c r="F974">
        <v>6.1</v>
      </c>
      <c r="G974">
        <v>6.11</v>
      </c>
      <c r="H974">
        <v>6.09</v>
      </c>
      <c r="I974">
        <v>6.09</v>
      </c>
      <c r="J974" t="s">
        <v>7</v>
      </c>
      <c r="K974">
        <v>0.11</v>
      </c>
      <c r="L974">
        <v>6.09</v>
      </c>
      <c r="M974">
        <v>2</v>
      </c>
      <c r="N974">
        <v>6.1</v>
      </c>
      <c r="O974">
        <v>1</v>
      </c>
      <c r="P974">
        <v>0</v>
      </c>
    </row>
    <row r="975" spans="1:16" x14ac:dyDescent="0.3">
      <c r="A975">
        <v>9937</v>
      </c>
      <c r="B975" t="s">
        <v>1015</v>
      </c>
      <c r="C975" s="2">
        <v>207535</v>
      </c>
      <c r="D975">
        <v>103</v>
      </c>
      <c r="E975" s="2">
        <v>5598495</v>
      </c>
      <c r="F975">
        <v>27.3</v>
      </c>
      <c r="G975">
        <v>27.3</v>
      </c>
      <c r="H975">
        <v>26.75</v>
      </c>
      <c r="I975">
        <v>27</v>
      </c>
      <c r="J975" t="s">
        <v>10</v>
      </c>
      <c r="K975">
        <v>0.25</v>
      </c>
      <c r="L975">
        <v>27</v>
      </c>
      <c r="M975">
        <v>5</v>
      </c>
      <c r="N975">
        <v>27.1</v>
      </c>
      <c r="O975">
        <v>2</v>
      </c>
      <c r="P975">
        <v>20.77</v>
      </c>
    </row>
    <row r="976" spans="1:16" x14ac:dyDescent="0.3">
      <c r="A976">
        <v>9938</v>
      </c>
      <c r="B976" t="s">
        <v>1016</v>
      </c>
      <c r="C976" s="2">
        <v>3531617</v>
      </c>
      <c r="D976" s="2">
        <v>1469</v>
      </c>
      <c r="E976" s="2">
        <v>89146279</v>
      </c>
      <c r="F976">
        <v>25.1</v>
      </c>
      <c r="G976">
        <v>25.95</v>
      </c>
      <c r="H976">
        <v>24.4</v>
      </c>
      <c r="I976">
        <v>25.75</v>
      </c>
      <c r="J976" t="s">
        <v>10</v>
      </c>
      <c r="K976">
        <v>0.6</v>
      </c>
      <c r="L976">
        <v>25.75</v>
      </c>
      <c r="M976">
        <v>1</v>
      </c>
      <c r="N976">
        <v>25.8</v>
      </c>
      <c r="O976">
        <v>27</v>
      </c>
      <c r="P976">
        <v>16.09</v>
      </c>
    </row>
    <row r="977" spans="1:16" x14ac:dyDescent="0.3">
      <c r="A977">
        <v>9939</v>
      </c>
      <c r="B977" t="s">
        <v>1017</v>
      </c>
      <c r="C977" s="2">
        <v>1686059</v>
      </c>
      <c r="D977" s="2">
        <v>1179</v>
      </c>
      <c r="E977" s="2">
        <v>123053592</v>
      </c>
      <c r="F977">
        <v>70.2</v>
      </c>
      <c r="G977">
        <v>74.5</v>
      </c>
      <c r="H977">
        <v>70.2</v>
      </c>
      <c r="I977">
        <v>74.400000000000006</v>
      </c>
      <c r="J977" t="s">
        <v>10</v>
      </c>
      <c r="K977">
        <v>4.2</v>
      </c>
      <c r="L977">
        <v>74.3</v>
      </c>
      <c r="M977">
        <v>4</v>
      </c>
      <c r="N977">
        <v>74.400000000000006</v>
      </c>
      <c r="O977">
        <v>7</v>
      </c>
      <c r="P977">
        <v>14.91</v>
      </c>
    </row>
    <row r="978" spans="1:16" x14ac:dyDescent="0.3">
      <c r="A978">
        <v>9940</v>
      </c>
      <c r="B978" t="s">
        <v>1018</v>
      </c>
      <c r="C978" s="2">
        <v>200816</v>
      </c>
      <c r="D978">
        <v>138</v>
      </c>
      <c r="E978" s="2">
        <v>10749198</v>
      </c>
      <c r="F978">
        <v>53.7</v>
      </c>
      <c r="G978">
        <v>53.8</v>
      </c>
      <c r="H978">
        <v>53.4</v>
      </c>
      <c r="I978">
        <v>53.8</v>
      </c>
      <c r="J978" t="s">
        <v>10</v>
      </c>
      <c r="K978">
        <v>0.4</v>
      </c>
      <c r="L978">
        <v>53.7</v>
      </c>
      <c r="M978">
        <v>5</v>
      </c>
      <c r="N978">
        <v>53.8</v>
      </c>
      <c r="O978">
        <v>5</v>
      </c>
      <c r="P978">
        <v>15.24</v>
      </c>
    </row>
    <row r="979" spans="1:16" x14ac:dyDescent="0.3">
      <c r="A979">
        <v>9941</v>
      </c>
      <c r="B979" t="s">
        <v>1019</v>
      </c>
      <c r="C979" s="2">
        <v>355791</v>
      </c>
      <c r="D979">
        <v>201</v>
      </c>
      <c r="E979" s="2">
        <v>25954459</v>
      </c>
      <c r="F979">
        <v>72.400000000000006</v>
      </c>
      <c r="G979">
        <v>73.400000000000006</v>
      </c>
      <c r="H979">
        <v>72.099999999999994</v>
      </c>
      <c r="I979">
        <v>73.400000000000006</v>
      </c>
      <c r="J979" t="s">
        <v>10</v>
      </c>
      <c r="K979">
        <v>0.9</v>
      </c>
      <c r="L979">
        <v>73.3</v>
      </c>
      <c r="M979">
        <v>12</v>
      </c>
      <c r="N979">
        <v>73.400000000000006</v>
      </c>
      <c r="O979">
        <v>3</v>
      </c>
      <c r="P979">
        <v>13.95</v>
      </c>
    </row>
    <row r="980" spans="1:16" x14ac:dyDescent="0.3">
      <c r="A980">
        <v>9942</v>
      </c>
      <c r="B980" t="s">
        <v>1020</v>
      </c>
      <c r="C980" s="2">
        <v>131127</v>
      </c>
      <c r="D980">
        <v>97</v>
      </c>
      <c r="E980" s="2">
        <v>8195901</v>
      </c>
      <c r="F980">
        <v>62.3</v>
      </c>
      <c r="G980">
        <v>63</v>
      </c>
      <c r="H980">
        <v>62</v>
      </c>
      <c r="I980">
        <v>62.8</v>
      </c>
      <c r="J980" t="s">
        <v>10</v>
      </c>
      <c r="K980">
        <v>0.9</v>
      </c>
      <c r="L980">
        <v>62.6</v>
      </c>
      <c r="M980">
        <v>11</v>
      </c>
      <c r="N980">
        <v>62.9</v>
      </c>
      <c r="O980">
        <v>8</v>
      </c>
      <c r="P980">
        <v>13.06</v>
      </c>
    </row>
    <row r="981" spans="1:16" x14ac:dyDescent="0.3">
      <c r="A981">
        <v>9943</v>
      </c>
      <c r="B981" t="s">
        <v>1021</v>
      </c>
      <c r="C981" s="2">
        <v>504900</v>
      </c>
      <c r="D981">
        <v>225</v>
      </c>
      <c r="E981" s="2">
        <v>22734116</v>
      </c>
      <c r="F981">
        <v>44.8</v>
      </c>
      <c r="G981">
        <v>45.25</v>
      </c>
      <c r="H981">
        <v>44.75</v>
      </c>
      <c r="I981">
        <v>45.15</v>
      </c>
      <c r="J981" t="s">
        <v>10</v>
      </c>
      <c r="K981">
        <v>0.35</v>
      </c>
      <c r="L981">
        <v>45.15</v>
      </c>
      <c r="M981">
        <v>11</v>
      </c>
      <c r="N981">
        <v>45.25</v>
      </c>
      <c r="O981">
        <v>5</v>
      </c>
      <c r="P981">
        <v>12.86</v>
      </c>
    </row>
    <row r="982" spans="1:16" x14ac:dyDescent="0.3">
      <c r="A982">
        <v>9944</v>
      </c>
      <c r="B982" t="s">
        <v>1022</v>
      </c>
      <c r="C982" s="2">
        <v>21100</v>
      </c>
      <c r="D982">
        <v>12</v>
      </c>
      <c r="E982" s="2">
        <v>375595</v>
      </c>
      <c r="F982">
        <v>17.8</v>
      </c>
      <c r="G982">
        <v>17.8</v>
      </c>
      <c r="H982">
        <v>17.8</v>
      </c>
      <c r="I982">
        <v>17.8</v>
      </c>
      <c r="K982">
        <v>0</v>
      </c>
      <c r="L982">
        <v>17.75</v>
      </c>
      <c r="M982">
        <v>1</v>
      </c>
      <c r="N982">
        <v>17.899999999999999</v>
      </c>
      <c r="O982">
        <v>1</v>
      </c>
      <c r="P982">
        <v>52.35</v>
      </c>
    </row>
    <row r="983" spans="1:16" x14ac:dyDescent="0.3">
      <c r="A983">
        <v>9945</v>
      </c>
      <c r="B983" t="s">
        <v>1023</v>
      </c>
      <c r="C983" s="2">
        <v>4134276</v>
      </c>
      <c r="D983" s="2">
        <v>2118</v>
      </c>
      <c r="E983" s="2">
        <v>225895380</v>
      </c>
      <c r="F983">
        <v>54.1</v>
      </c>
      <c r="G983">
        <v>55.3</v>
      </c>
      <c r="H983">
        <v>53.8</v>
      </c>
      <c r="I983">
        <v>55</v>
      </c>
      <c r="J983" t="s">
        <v>10</v>
      </c>
      <c r="K983">
        <v>0.7</v>
      </c>
      <c r="L983">
        <v>54.9</v>
      </c>
      <c r="M983">
        <v>65</v>
      </c>
      <c r="N983">
        <v>55</v>
      </c>
      <c r="O983">
        <v>2</v>
      </c>
      <c r="P983">
        <v>13.32</v>
      </c>
    </row>
    <row r="984" spans="1:16" x14ac:dyDescent="0.3">
      <c r="A984">
        <v>9955</v>
      </c>
      <c r="B984" t="s">
        <v>1024</v>
      </c>
      <c r="C984" s="2">
        <v>92450</v>
      </c>
      <c r="D984">
        <v>57</v>
      </c>
      <c r="E984" s="2">
        <v>1951189</v>
      </c>
      <c r="F984">
        <v>20.5</v>
      </c>
      <c r="G984">
        <v>21.5</v>
      </c>
      <c r="H984">
        <v>20.5</v>
      </c>
      <c r="I984">
        <v>21.3</v>
      </c>
      <c r="J984" t="s">
        <v>10</v>
      </c>
      <c r="K984">
        <v>0.8</v>
      </c>
      <c r="L984">
        <v>21.2</v>
      </c>
      <c r="M984">
        <v>23</v>
      </c>
      <c r="N984">
        <v>21.35</v>
      </c>
      <c r="O984">
        <v>28</v>
      </c>
      <c r="P984">
        <v>710</v>
      </c>
    </row>
    <row r="985" spans="1:16" x14ac:dyDescent="0.3">
      <c r="A985">
        <v>9958</v>
      </c>
      <c r="B985" t="s">
        <v>1025</v>
      </c>
      <c r="C985" s="2">
        <v>539344</v>
      </c>
      <c r="D985">
        <v>140</v>
      </c>
      <c r="E985" s="2">
        <v>6396160</v>
      </c>
      <c r="F985">
        <v>11.95</v>
      </c>
      <c r="G985">
        <v>12</v>
      </c>
      <c r="H985">
        <v>11.8</v>
      </c>
      <c r="I985">
        <v>11.9</v>
      </c>
      <c r="K985">
        <v>0</v>
      </c>
      <c r="L985">
        <v>11.85</v>
      </c>
      <c r="M985">
        <v>30</v>
      </c>
      <c r="N985">
        <v>11.9</v>
      </c>
      <c r="O985">
        <v>29</v>
      </c>
      <c r="P985">
        <v>5.41</v>
      </c>
    </row>
    <row r="986" spans="1:16" x14ac:dyDescent="0.3">
      <c r="A986" t="s">
        <v>1026</v>
      </c>
    </row>
    <row r="987" spans="1:16" x14ac:dyDescent="0.3">
      <c r="A987" t="s">
        <v>1027</v>
      </c>
    </row>
    <row r="988" spans="1:16" x14ac:dyDescent="0.3">
      <c r="A988" t="s">
        <v>1028</v>
      </c>
    </row>
    <row r="989" spans="1:16" x14ac:dyDescent="0.3">
      <c r="A989" t="s">
        <v>1029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40"/>
  <sheetViews>
    <sheetView tabSelected="1" workbookViewId="0">
      <selection activeCell="D16" sqref="D16"/>
    </sheetView>
  </sheetViews>
  <sheetFormatPr defaultRowHeight="16.2" x14ac:dyDescent="0.3"/>
  <sheetData>
    <row r="1" spans="1:9" x14ac:dyDescent="0.3">
      <c r="A1">
        <v>0.59</v>
      </c>
      <c r="C1">
        <v>0</v>
      </c>
      <c r="H1" s="6" t="s">
        <v>1030</v>
      </c>
      <c r="I1" s="6" t="s">
        <v>1032</v>
      </c>
    </row>
    <row r="2" spans="1:9" x14ac:dyDescent="0.3">
      <c r="A2">
        <v>1.74</v>
      </c>
      <c r="C2">
        <v>5</v>
      </c>
      <c r="H2" s="3">
        <v>0</v>
      </c>
      <c r="I2" s="4">
        <v>0</v>
      </c>
    </row>
    <row r="3" spans="1:9" x14ac:dyDescent="0.3">
      <c r="A3">
        <v>1.8</v>
      </c>
      <c r="C3">
        <v>10</v>
      </c>
      <c r="H3" s="3">
        <v>5</v>
      </c>
      <c r="I3" s="4">
        <v>34</v>
      </c>
    </row>
    <row r="4" spans="1:9" x14ac:dyDescent="0.3">
      <c r="A4">
        <v>1.89</v>
      </c>
      <c r="C4">
        <v>15</v>
      </c>
      <c r="H4" s="3">
        <v>10</v>
      </c>
      <c r="I4" s="4">
        <v>107</v>
      </c>
    </row>
    <row r="5" spans="1:9" x14ac:dyDescent="0.3">
      <c r="A5">
        <v>1.93</v>
      </c>
      <c r="C5">
        <v>20</v>
      </c>
      <c r="H5" s="3">
        <v>15</v>
      </c>
      <c r="I5" s="4">
        <v>158</v>
      </c>
    </row>
    <row r="6" spans="1:9" x14ac:dyDescent="0.3">
      <c r="A6">
        <v>2</v>
      </c>
      <c r="C6">
        <v>25</v>
      </c>
      <c r="H6" s="3">
        <v>20</v>
      </c>
      <c r="I6" s="4">
        <v>108</v>
      </c>
    </row>
    <row r="7" spans="1:9" x14ac:dyDescent="0.3">
      <c r="A7">
        <v>2.2000000000000002</v>
      </c>
      <c r="C7">
        <v>30</v>
      </c>
      <c r="H7" s="3">
        <v>25</v>
      </c>
      <c r="I7" s="4">
        <v>74</v>
      </c>
    </row>
    <row r="8" spans="1:9" x14ac:dyDescent="0.3">
      <c r="A8">
        <v>2.23</v>
      </c>
      <c r="C8">
        <v>35</v>
      </c>
      <c r="H8" s="3">
        <v>30</v>
      </c>
      <c r="I8" s="4">
        <v>69</v>
      </c>
    </row>
    <row r="9" spans="1:9" x14ac:dyDescent="0.3">
      <c r="A9">
        <v>2.2999999999999998</v>
      </c>
      <c r="C9">
        <v>40</v>
      </c>
      <c r="H9" s="3">
        <v>35</v>
      </c>
      <c r="I9" s="4">
        <v>49</v>
      </c>
    </row>
    <row r="10" spans="1:9" x14ac:dyDescent="0.3">
      <c r="A10">
        <v>2.36</v>
      </c>
      <c r="C10">
        <v>45</v>
      </c>
      <c r="H10" s="3">
        <v>40</v>
      </c>
      <c r="I10" s="4">
        <v>45</v>
      </c>
    </row>
    <row r="11" spans="1:9" x14ac:dyDescent="0.3">
      <c r="A11">
        <v>2.4</v>
      </c>
      <c r="C11">
        <v>50</v>
      </c>
      <c r="H11" s="3">
        <v>45</v>
      </c>
      <c r="I11" s="4">
        <v>26</v>
      </c>
    </row>
    <row r="12" spans="1:9" x14ac:dyDescent="0.3">
      <c r="A12">
        <v>2.57</v>
      </c>
      <c r="C12">
        <v>55</v>
      </c>
      <c r="H12" s="3">
        <v>50</v>
      </c>
      <c r="I12" s="4">
        <v>17</v>
      </c>
    </row>
    <row r="13" spans="1:9" x14ac:dyDescent="0.3">
      <c r="A13">
        <v>2.61</v>
      </c>
      <c r="C13">
        <v>60</v>
      </c>
      <c r="H13" s="3">
        <v>55</v>
      </c>
      <c r="I13" s="4">
        <v>20</v>
      </c>
    </row>
    <row r="14" spans="1:9" x14ac:dyDescent="0.3">
      <c r="A14">
        <v>2.64</v>
      </c>
      <c r="C14">
        <v>65</v>
      </c>
      <c r="H14" s="3">
        <v>60</v>
      </c>
      <c r="I14" s="4">
        <v>17</v>
      </c>
    </row>
    <row r="15" spans="1:9" x14ac:dyDescent="0.3">
      <c r="A15">
        <v>2.67</v>
      </c>
      <c r="C15">
        <v>70</v>
      </c>
      <c r="H15" s="3">
        <v>65</v>
      </c>
      <c r="I15" s="4">
        <v>14</v>
      </c>
    </row>
    <row r="16" spans="1:9" x14ac:dyDescent="0.3">
      <c r="A16">
        <v>2.74</v>
      </c>
      <c r="C16">
        <v>75</v>
      </c>
      <c r="H16" s="3">
        <v>70</v>
      </c>
      <c r="I16" s="4">
        <v>7</v>
      </c>
    </row>
    <row r="17" spans="1:9" x14ac:dyDescent="0.3">
      <c r="A17">
        <v>2.87</v>
      </c>
      <c r="C17">
        <v>80</v>
      </c>
      <c r="H17" s="3">
        <v>75</v>
      </c>
      <c r="I17" s="4">
        <v>24</v>
      </c>
    </row>
    <row r="18" spans="1:9" x14ac:dyDescent="0.3">
      <c r="A18">
        <v>2.92</v>
      </c>
      <c r="C18">
        <v>85</v>
      </c>
      <c r="H18" s="3">
        <v>80</v>
      </c>
      <c r="I18" s="4">
        <v>7</v>
      </c>
    </row>
    <row r="19" spans="1:9" x14ac:dyDescent="0.3">
      <c r="A19">
        <v>3</v>
      </c>
      <c r="C19">
        <v>90</v>
      </c>
      <c r="H19" s="3">
        <v>85</v>
      </c>
      <c r="I19" s="4">
        <v>10</v>
      </c>
    </row>
    <row r="20" spans="1:9" x14ac:dyDescent="0.3">
      <c r="A20">
        <v>3.02</v>
      </c>
      <c r="C20">
        <v>95</v>
      </c>
      <c r="H20" s="3">
        <v>90</v>
      </c>
      <c r="I20" s="4">
        <v>1</v>
      </c>
    </row>
    <row r="21" spans="1:9" x14ac:dyDescent="0.3">
      <c r="A21">
        <v>3.14</v>
      </c>
      <c r="C21">
        <v>100</v>
      </c>
      <c r="H21" s="3">
        <v>95</v>
      </c>
      <c r="I21" s="4">
        <v>5</v>
      </c>
    </row>
    <row r="22" spans="1:9" x14ac:dyDescent="0.3">
      <c r="A22">
        <v>3.34</v>
      </c>
      <c r="C22">
        <v>105</v>
      </c>
      <c r="H22" s="3">
        <v>100</v>
      </c>
      <c r="I22" s="4">
        <v>6</v>
      </c>
    </row>
    <row r="23" spans="1:9" x14ac:dyDescent="0.3">
      <c r="A23">
        <v>3.5</v>
      </c>
      <c r="C23">
        <v>110</v>
      </c>
      <c r="H23" s="3">
        <v>105</v>
      </c>
      <c r="I23" s="4">
        <v>5</v>
      </c>
    </row>
    <row r="24" spans="1:9" x14ac:dyDescent="0.3">
      <c r="A24">
        <v>3.6</v>
      </c>
      <c r="C24">
        <v>115</v>
      </c>
      <c r="H24" s="3">
        <v>110</v>
      </c>
      <c r="I24" s="4">
        <v>2</v>
      </c>
    </row>
    <row r="25" spans="1:9" x14ac:dyDescent="0.3">
      <c r="A25">
        <v>3.85</v>
      </c>
      <c r="C25">
        <v>120</v>
      </c>
      <c r="H25" s="3">
        <v>115</v>
      </c>
      <c r="I25" s="4">
        <v>1</v>
      </c>
    </row>
    <row r="26" spans="1:9" x14ac:dyDescent="0.3">
      <c r="A26">
        <v>3.86</v>
      </c>
      <c r="C26">
        <v>125</v>
      </c>
      <c r="H26" s="3">
        <v>120</v>
      </c>
      <c r="I26" s="4">
        <v>2</v>
      </c>
    </row>
    <row r="27" spans="1:9" x14ac:dyDescent="0.3">
      <c r="A27">
        <v>4.05</v>
      </c>
      <c r="C27">
        <v>130</v>
      </c>
      <c r="H27" s="3">
        <v>125</v>
      </c>
      <c r="I27" s="4">
        <v>0</v>
      </c>
    </row>
    <row r="28" spans="1:9" x14ac:dyDescent="0.3">
      <c r="A28">
        <v>4.05</v>
      </c>
      <c r="C28">
        <v>135</v>
      </c>
      <c r="H28" s="3">
        <v>130</v>
      </c>
      <c r="I28" s="4">
        <v>1</v>
      </c>
    </row>
    <row r="29" spans="1:9" x14ac:dyDescent="0.3">
      <c r="A29">
        <v>4.3</v>
      </c>
      <c r="C29">
        <v>140</v>
      </c>
      <c r="H29" s="3">
        <v>135</v>
      </c>
      <c r="I29" s="4">
        <v>1</v>
      </c>
    </row>
    <row r="30" spans="1:9" x14ac:dyDescent="0.3">
      <c r="A30">
        <v>4.33</v>
      </c>
      <c r="C30">
        <v>145</v>
      </c>
      <c r="H30" s="3">
        <v>140</v>
      </c>
      <c r="I30" s="4">
        <v>2</v>
      </c>
    </row>
    <row r="31" spans="1:9" x14ac:dyDescent="0.3">
      <c r="A31">
        <v>4.33</v>
      </c>
      <c r="C31">
        <v>150</v>
      </c>
      <c r="H31" s="3">
        <v>145</v>
      </c>
      <c r="I31" s="4">
        <v>2</v>
      </c>
    </row>
    <row r="32" spans="1:9" x14ac:dyDescent="0.3">
      <c r="A32">
        <v>4.7</v>
      </c>
      <c r="C32">
        <v>155</v>
      </c>
      <c r="H32" s="3">
        <v>150</v>
      </c>
      <c r="I32" s="4">
        <v>2</v>
      </c>
    </row>
    <row r="33" spans="1:9" x14ac:dyDescent="0.3">
      <c r="A33">
        <v>4.7699999999999996</v>
      </c>
      <c r="C33">
        <v>160</v>
      </c>
      <c r="H33" s="3">
        <v>155</v>
      </c>
      <c r="I33" s="4">
        <v>3</v>
      </c>
    </row>
    <row r="34" spans="1:9" x14ac:dyDescent="0.3">
      <c r="A34">
        <v>4.93</v>
      </c>
      <c r="C34">
        <v>165</v>
      </c>
      <c r="H34" s="3">
        <v>160</v>
      </c>
      <c r="I34" s="4">
        <v>2</v>
      </c>
    </row>
    <row r="35" spans="1:9" x14ac:dyDescent="0.3">
      <c r="A35">
        <v>5.04</v>
      </c>
      <c r="C35">
        <v>170</v>
      </c>
      <c r="H35" s="3">
        <v>165</v>
      </c>
      <c r="I35" s="4">
        <v>0</v>
      </c>
    </row>
    <row r="36" spans="1:9" x14ac:dyDescent="0.3">
      <c r="A36">
        <v>5.05</v>
      </c>
      <c r="C36">
        <v>175</v>
      </c>
      <c r="H36" s="3">
        <v>170</v>
      </c>
      <c r="I36" s="4">
        <v>1</v>
      </c>
    </row>
    <row r="37" spans="1:9" x14ac:dyDescent="0.3">
      <c r="A37">
        <v>5.12</v>
      </c>
      <c r="C37">
        <v>180</v>
      </c>
      <c r="H37" s="3">
        <v>175</v>
      </c>
      <c r="I37" s="4">
        <v>0</v>
      </c>
    </row>
    <row r="38" spans="1:9" x14ac:dyDescent="0.3">
      <c r="A38">
        <v>5.2</v>
      </c>
      <c r="C38">
        <v>185</v>
      </c>
      <c r="H38" s="3">
        <v>180</v>
      </c>
      <c r="I38" s="4">
        <v>1</v>
      </c>
    </row>
    <row r="39" spans="1:9" x14ac:dyDescent="0.3">
      <c r="A39">
        <v>5.22</v>
      </c>
      <c r="C39">
        <v>190</v>
      </c>
      <c r="H39" s="3">
        <v>185</v>
      </c>
      <c r="I39" s="4">
        <v>2</v>
      </c>
    </row>
    <row r="40" spans="1:9" x14ac:dyDescent="0.3">
      <c r="A40">
        <v>5.25</v>
      </c>
      <c r="C40">
        <v>195</v>
      </c>
      <c r="H40" s="3">
        <v>190</v>
      </c>
      <c r="I40" s="4">
        <v>0</v>
      </c>
    </row>
    <row r="41" spans="1:9" x14ac:dyDescent="0.3">
      <c r="A41">
        <v>5.5</v>
      </c>
      <c r="C41">
        <v>200</v>
      </c>
      <c r="H41" s="3">
        <v>195</v>
      </c>
      <c r="I41" s="4">
        <v>0</v>
      </c>
    </row>
    <row r="42" spans="1:9" x14ac:dyDescent="0.3">
      <c r="A42">
        <v>5.5</v>
      </c>
      <c r="H42" s="3">
        <v>200</v>
      </c>
      <c r="I42" s="4">
        <v>1</v>
      </c>
    </row>
    <row r="43" spans="1:9" ht="16.8" thickBot="1" x14ac:dyDescent="0.35">
      <c r="A43">
        <v>5.51</v>
      </c>
      <c r="H43" s="5" t="s">
        <v>1031</v>
      </c>
      <c r="I43" s="5">
        <v>14</v>
      </c>
    </row>
    <row r="44" spans="1:9" x14ac:dyDescent="0.3">
      <c r="A44">
        <v>5.54</v>
      </c>
    </row>
    <row r="45" spans="1:9" x14ac:dyDescent="0.3">
      <c r="A45">
        <v>5.65</v>
      </c>
    </row>
    <row r="46" spans="1:9" x14ac:dyDescent="0.3">
      <c r="A46">
        <v>5.72</v>
      </c>
    </row>
    <row r="47" spans="1:9" x14ac:dyDescent="0.3">
      <c r="A47">
        <v>5.72</v>
      </c>
    </row>
    <row r="48" spans="1:9" x14ac:dyDescent="0.3">
      <c r="A48">
        <v>5.74</v>
      </c>
    </row>
    <row r="49" spans="1:1" x14ac:dyDescent="0.3">
      <c r="A49">
        <v>5.92</v>
      </c>
    </row>
    <row r="50" spans="1:1" x14ac:dyDescent="0.3">
      <c r="A50">
        <v>6.03</v>
      </c>
    </row>
    <row r="51" spans="1:1" x14ac:dyDescent="0.3">
      <c r="A51">
        <v>6.06</v>
      </c>
    </row>
    <row r="52" spans="1:1" x14ac:dyDescent="0.3">
      <c r="A52">
        <v>6.07</v>
      </c>
    </row>
    <row r="53" spans="1:1" x14ac:dyDescent="0.3">
      <c r="A53">
        <v>6.08</v>
      </c>
    </row>
    <row r="54" spans="1:1" x14ac:dyDescent="0.3">
      <c r="A54">
        <v>6.09</v>
      </c>
    </row>
    <row r="55" spans="1:1" x14ac:dyDescent="0.3">
      <c r="A55">
        <v>6.18</v>
      </c>
    </row>
    <row r="56" spans="1:1" x14ac:dyDescent="0.3">
      <c r="A56">
        <v>6.21</v>
      </c>
    </row>
    <row r="57" spans="1:1" x14ac:dyDescent="0.3">
      <c r="A57">
        <v>6.27</v>
      </c>
    </row>
    <row r="58" spans="1:1" x14ac:dyDescent="0.3">
      <c r="A58">
        <v>6.46</v>
      </c>
    </row>
    <row r="59" spans="1:1" x14ac:dyDescent="0.3">
      <c r="A59">
        <v>6.64</v>
      </c>
    </row>
    <row r="60" spans="1:1" x14ac:dyDescent="0.3">
      <c r="A60">
        <v>6.67</v>
      </c>
    </row>
    <row r="61" spans="1:1" x14ac:dyDescent="0.3">
      <c r="A61">
        <v>6.74</v>
      </c>
    </row>
    <row r="62" spans="1:1" x14ac:dyDescent="0.3">
      <c r="A62">
        <v>6.77</v>
      </c>
    </row>
    <row r="63" spans="1:1" x14ac:dyDescent="0.3">
      <c r="A63">
        <v>6.79</v>
      </c>
    </row>
    <row r="64" spans="1:1" x14ac:dyDescent="0.3">
      <c r="A64">
        <v>6.86</v>
      </c>
    </row>
    <row r="65" spans="1:1" x14ac:dyDescent="0.3">
      <c r="A65">
        <v>6.95</v>
      </c>
    </row>
    <row r="66" spans="1:1" x14ac:dyDescent="0.3">
      <c r="A66">
        <v>6.96</v>
      </c>
    </row>
    <row r="67" spans="1:1" x14ac:dyDescent="0.3">
      <c r="A67">
        <v>7.07</v>
      </c>
    </row>
    <row r="68" spans="1:1" x14ac:dyDescent="0.3">
      <c r="A68">
        <v>7.09</v>
      </c>
    </row>
    <row r="69" spans="1:1" x14ac:dyDescent="0.3">
      <c r="A69">
        <v>7.15</v>
      </c>
    </row>
    <row r="70" spans="1:1" x14ac:dyDescent="0.3">
      <c r="A70">
        <v>7.16</v>
      </c>
    </row>
    <row r="71" spans="1:1" x14ac:dyDescent="0.3">
      <c r="A71">
        <v>7.16</v>
      </c>
    </row>
    <row r="72" spans="1:1" x14ac:dyDescent="0.3">
      <c r="A72">
        <v>7.18</v>
      </c>
    </row>
    <row r="73" spans="1:1" x14ac:dyDescent="0.3">
      <c r="A73">
        <v>7.19</v>
      </c>
    </row>
    <row r="74" spans="1:1" x14ac:dyDescent="0.3">
      <c r="A74">
        <v>7.22</v>
      </c>
    </row>
    <row r="75" spans="1:1" x14ac:dyDescent="0.3">
      <c r="A75">
        <v>7.26</v>
      </c>
    </row>
    <row r="76" spans="1:1" x14ac:dyDescent="0.3">
      <c r="A76">
        <v>7.26</v>
      </c>
    </row>
    <row r="77" spans="1:1" x14ac:dyDescent="0.3">
      <c r="A77">
        <v>7.26</v>
      </c>
    </row>
    <row r="78" spans="1:1" x14ac:dyDescent="0.3">
      <c r="A78">
        <v>7.36</v>
      </c>
    </row>
    <row r="79" spans="1:1" x14ac:dyDescent="0.3">
      <c r="A79">
        <v>7.36</v>
      </c>
    </row>
    <row r="80" spans="1:1" x14ac:dyDescent="0.3">
      <c r="A80">
        <v>7.36</v>
      </c>
    </row>
    <row r="81" spans="1:1" x14ac:dyDescent="0.3">
      <c r="A81">
        <v>7.43</v>
      </c>
    </row>
    <row r="82" spans="1:1" x14ac:dyDescent="0.3">
      <c r="A82">
        <v>7.44</v>
      </c>
    </row>
    <row r="83" spans="1:1" x14ac:dyDescent="0.3">
      <c r="A83">
        <v>7.44</v>
      </c>
    </row>
    <row r="84" spans="1:1" x14ac:dyDescent="0.3">
      <c r="A84">
        <v>7.6</v>
      </c>
    </row>
    <row r="85" spans="1:1" x14ac:dyDescent="0.3">
      <c r="A85">
        <v>7.65</v>
      </c>
    </row>
    <row r="86" spans="1:1" x14ac:dyDescent="0.3">
      <c r="A86">
        <v>7.67</v>
      </c>
    </row>
    <row r="87" spans="1:1" x14ac:dyDescent="0.3">
      <c r="A87">
        <v>7.7</v>
      </c>
    </row>
    <row r="88" spans="1:1" x14ac:dyDescent="0.3">
      <c r="A88">
        <v>7.77</v>
      </c>
    </row>
    <row r="89" spans="1:1" x14ac:dyDescent="0.3">
      <c r="A89">
        <v>7.77</v>
      </c>
    </row>
    <row r="90" spans="1:1" x14ac:dyDescent="0.3">
      <c r="A90">
        <v>7.86</v>
      </c>
    </row>
    <row r="91" spans="1:1" x14ac:dyDescent="0.3">
      <c r="A91">
        <v>8</v>
      </c>
    </row>
    <row r="92" spans="1:1" x14ac:dyDescent="0.3">
      <c r="A92">
        <v>8.0500000000000007</v>
      </c>
    </row>
    <row r="93" spans="1:1" x14ac:dyDescent="0.3">
      <c r="A93">
        <v>8.08</v>
      </c>
    </row>
    <row r="94" spans="1:1" x14ac:dyDescent="0.3">
      <c r="A94">
        <v>8.09</v>
      </c>
    </row>
    <row r="95" spans="1:1" x14ac:dyDescent="0.3">
      <c r="A95">
        <v>8.1</v>
      </c>
    </row>
    <row r="96" spans="1:1" x14ac:dyDescent="0.3">
      <c r="A96">
        <v>8.14</v>
      </c>
    </row>
    <row r="97" spans="1:1" x14ac:dyDescent="0.3">
      <c r="A97">
        <v>8.19</v>
      </c>
    </row>
    <row r="98" spans="1:1" x14ac:dyDescent="0.3">
      <c r="A98">
        <v>8.2799999999999994</v>
      </c>
    </row>
    <row r="99" spans="1:1" x14ac:dyDescent="0.3">
      <c r="A99">
        <v>8.3000000000000007</v>
      </c>
    </row>
    <row r="100" spans="1:1" x14ac:dyDescent="0.3">
      <c r="A100">
        <v>8.4499999999999993</v>
      </c>
    </row>
    <row r="101" spans="1:1" x14ac:dyDescent="0.3">
      <c r="A101">
        <v>8.68</v>
      </c>
    </row>
    <row r="102" spans="1:1" x14ac:dyDescent="0.3">
      <c r="A102">
        <v>8.69</v>
      </c>
    </row>
    <row r="103" spans="1:1" x14ac:dyDescent="0.3">
      <c r="A103">
        <v>8.74</v>
      </c>
    </row>
    <row r="104" spans="1:1" x14ac:dyDescent="0.3">
      <c r="A104">
        <v>8.7899999999999991</v>
      </c>
    </row>
    <row r="105" spans="1:1" x14ac:dyDescent="0.3">
      <c r="A105">
        <v>8.82</v>
      </c>
    </row>
    <row r="106" spans="1:1" x14ac:dyDescent="0.3">
      <c r="A106">
        <v>8.83</v>
      </c>
    </row>
    <row r="107" spans="1:1" x14ac:dyDescent="0.3">
      <c r="A107">
        <v>8.8699999999999992</v>
      </c>
    </row>
    <row r="108" spans="1:1" x14ac:dyDescent="0.3">
      <c r="A108">
        <v>8.92</v>
      </c>
    </row>
    <row r="109" spans="1:1" x14ac:dyDescent="0.3">
      <c r="A109">
        <v>8.93</v>
      </c>
    </row>
    <row r="110" spans="1:1" x14ac:dyDescent="0.3">
      <c r="A110">
        <v>8.94</v>
      </c>
    </row>
    <row r="111" spans="1:1" x14ac:dyDescent="0.3">
      <c r="A111">
        <v>9.0500000000000007</v>
      </c>
    </row>
    <row r="112" spans="1:1" x14ac:dyDescent="0.3">
      <c r="A112">
        <v>9.15</v>
      </c>
    </row>
    <row r="113" spans="1:1" x14ac:dyDescent="0.3">
      <c r="A113">
        <v>9.1999999999999993</v>
      </c>
    </row>
    <row r="114" spans="1:1" x14ac:dyDescent="0.3">
      <c r="A114">
        <v>9.1999999999999993</v>
      </c>
    </row>
    <row r="115" spans="1:1" x14ac:dyDescent="0.3">
      <c r="A115">
        <v>9.25</v>
      </c>
    </row>
    <row r="116" spans="1:1" x14ac:dyDescent="0.3">
      <c r="A116">
        <v>9.25</v>
      </c>
    </row>
    <row r="117" spans="1:1" x14ac:dyDescent="0.3">
      <c r="A117">
        <v>9.25</v>
      </c>
    </row>
    <row r="118" spans="1:1" x14ac:dyDescent="0.3">
      <c r="A118">
        <v>9.3000000000000007</v>
      </c>
    </row>
    <row r="119" spans="1:1" x14ac:dyDescent="0.3">
      <c r="A119">
        <v>9.32</v>
      </c>
    </row>
    <row r="120" spans="1:1" x14ac:dyDescent="0.3">
      <c r="A120">
        <v>9.41</v>
      </c>
    </row>
    <row r="121" spans="1:1" x14ac:dyDescent="0.3">
      <c r="A121">
        <v>9.41</v>
      </c>
    </row>
    <row r="122" spans="1:1" x14ac:dyDescent="0.3">
      <c r="A122">
        <v>9.43</v>
      </c>
    </row>
    <row r="123" spans="1:1" x14ac:dyDescent="0.3">
      <c r="A123">
        <v>9.4600000000000009</v>
      </c>
    </row>
    <row r="124" spans="1:1" x14ac:dyDescent="0.3">
      <c r="A124">
        <v>9.5</v>
      </c>
    </row>
    <row r="125" spans="1:1" x14ac:dyDescent="0.3">
      <c r="A125">
        <v>9.52</v>
      </c>
    </row>
    <row r="126" spans="1:1" x14ac:dyDescent="0.3">
      <c r="A126">
        <v>9.5500000000000007</v>
      </c>
    </row>
    <row r="127" spans="1:1" x14ac:dyDescent="0.3">
      <c r="A127">
        <v>9.57</v>
      </c>
    </row>
    <row r="128" spans="1:1" x14ac:dyDescent="0.3">
      <c r="A128">
        <v>9.61</v>
      </c>
    </row>
    <row r="129" spans="1:1" x14ac:dyDescent="0.3">
      <c r="A129">
        <v>9.67</v>
      </c>
    </row>
    <row r="130" spans="1:1" x14ac:dyDescent="0.3">
      <c r="A130">
        <v>9.7200000000000006</v>
      </c>
    </row>
    <row r="131" spans="1:1" x14ac:dyDescent="0.3">
      <c r="A131">
        <v>9.76</v>
      </c>
    </row>
    <row r="132" spans="1:1" x14ac:dyDescent="0.3">
      <c r="A132">
        <v>9.76</v>
      </c>
    </row>
    <row r="133" spans="1:1" x14ac:dyDescent="0.3">
      <c r="A133">
        <v>9.8000000000000007</v>
      </c>
    </row>
    <row r="134" spans="1:1" x14ac:dyDescent="0.3">
      <c r="A134">
        <v>9.81</v>
      </c>
    </row>
    <row r="135" spans="1:1" x14ac:dyDescent="0.3">
      <c r="A135">
        <v>9.82</v>
      </c>
    </row>
    <row r="136" spans="1:1" x14ac:dyDescent="0.3">
      <c r="A136">
        <v>9.85</v>
      </c>
    </row>
    <row r="137" spans="1:1" x14ac:dyDescent="0.3">
      <c r="A137">
        <v>9.94</v>
      </c>
    </row>
    <row r="138" spans="1:1" x14ac:dyDescent="0.3">
      <c r="A138">
        <v>9.9700000000000006</v>
      </c>
    </row>
    <row r="139" spans="1:1" x14ac:dyDescent="0.3">
      <c r="A139">
        <v>10</v>
      </c>
    </row>
    <row r="140" spans="1:1" x14ac:dyDescent="0.3">
      <c r="A140">
        <v>10</v>
      </c>
    </row>
    <row r="141" spans="1:1" x14ac:dyDescent="0.3">
      <c r="A141">
        <v>10</v>
      </c>
    </row>
    <row r="142" spans="1:1" x14ac:dyDescent="0.3">
      <c r="A142">
        <v>10.050000000000001</v>
      </c>
    </row>
    <row r="143" spans="1:1" x14ac:dyDescent="0.3">
      <c r="A143">
        <v>10.050000000000001</v>
      </c>
    </row>
    <row r="144" spans="1:1" x14ac:dyDescent="0.3">
      <c r="A144">
        <v>10.050000000000001</v>
      </c>
    </row>
    <row r="145" spans="1:1" x14ac:dyDescent="0.3">
      <c r="A145">
        <v>10.1</v>
      </c>
    </row>
    <row r="146" spans="1:1" x14ac:dyDescent="0.3">
      <c r="A146">
        <v>10.1</v>
      </c>
    </row>
    <row r="147" spans="1:1" x14ac:dyDescent="0.3">
      <c r="A147">
        <v>10.1</v>
      </c>
    </row>
    <row r="148" spans="1:1" x14ac:dyDescent="0.3">
      <c r="A148">
        <v>10.199999999999999</v>
      </c>
    </row>
    <row r="149" spans="1:1" x14ac:dyDescent="0.3">
      <c r="A149">
        <v>10.25</v>
      </c>
    </row>
    <row r="150" spans="1:1" x14ac:dyDescent="0.3">
      <c r="A150">
        <v>10.25</v>
      </c>
    </row>
    <row r="151" spans="1:1" x14ac:dyDescent="0.3">
      <c r="A151">
        <v>10.25</v>
      </c>
    </row>
    <row r="152" spans="1:1" x14ac:dyDescent="0.3">
      <c r="A152">
        <v>10.25</v>
      </c>
    </row>
    <row r="153" spans="1:1" x14ac:dyDescent="0.3">
      <c r="A153">
        <v>10.3</v>
      </c>
    </row>
    <row r="154" spans="1:1" x14ac:dyDescent="0.3">
      <c r="A154">
        <v>10.3</v>
      </c>
    </row>
    <row r="155" spans="1:1" x14ac:dyDescent="0.3">
      <c r="A155">
        <v>10.35</v>
      </c>
    </row>
    <row r="156" spans="1:1" x14ac:dyDescent="0.3">
      <c r="A156">
        <v>10.35</v>
      </c>
    </row>
    <row r="157" spans="1:1" x14ac:dyDescent="0.3">
      <c r="A157">
        <v>10.35</v>
      </c>
    </row>
    <row r="158" spans="1:1" x14ac:dyDescent="0.3">
      <c r="A158">
        <v>10.35</v>
      </c>
    </row>
    <row r="159" spans="1:1" x14ac:dyDescent="0.3">
      <c r="A159">
        <v>10.5</v>
      </c>
    </row>
    <row r="160" spans="1:1" x14ac:dyDescent="0.3">
      <c r="A160">
        <v>10.55</v>
      </c>
    </row>
    <row r="161" spans="1:1" x14ac:dyDescent="0.3">
      <c r="A161">
        <v>10.55</v>
      </c>
    </row>
    <row r="162" spans="1:1" x14ac:dyDescent="0.3">
      <c r="A162">
        <v>10.6</v>
      </c>
    </row>
    <row r="163" spans="1:1" x14ac:dyDescent="0.3">
      <c r="A163">
        <v>10.7</v>
      </c>
    </row>
    <row r="164" spans="1:1" x14ac:dyDescent="0.3">
      <c r="A164">
        <v>10.8</v>
      </c>
    </row>
    <row r="165" spans="1:1" x14ac:dyDescent="0.3">
      <c r="A165">
        <v>10.8</v>
      </c>
    </row>
    <row r="166" spans="1:1" x14ac:dyDescent="0.3">
      <c r="A166">
        <v>10.85</v>
      </c>
    </row>
    <row r="167" spans="1:1" x14ac:dyDescent="0.3">
      <c r="A167">
        <v>10.85</v>
      </c>
    </row>
    <row r="168" spans="1:1" x14ac:dyDescent="0.3">
      <c r="A168">
        <v>10.85</v>
      </c>
    </row>
    <row r="169" spans="1:1" x14ac:dyDescent="0.3">
      <c r="A169">
        <v>10.9</v>
      </c>
    </row>
    <row r="170" spans="1:1" x14ac:dyDescent="0.3">
      <c r="A170">
        <v>10.9</v>
      </c>
    </row>
    <row r="171" spans="1:1" x14ac:dyDescent="0.3">
      <c r="A171">
        <v>10.95</v>
      </c>
    </row>
    <row r="172" spans="1:1" x14ac:dyDescent="0.3">
      <c r="A172">
        <v>11</v>
      </c>
    </row>
    <row r="173" spans="1:1" x14ac:dyDescent="0.3">
      <c r="A173">
        <v>11</v>
      </c>
    </row>
    <row r="174" spans="1:1" x14ac:dyDescent="0.3">
      <c r="A174">
        <v>11.05</v>
      </c>
    </row>
    <row r="175" spans="1:1" x14ac:dyDescent="0.3">
      <c r="A175">
        <v>11.05</v>
      </c>
    </row>
    <row r="176" spans="1:1" x14ac:dyDescent="0.3">
      <c r="A176">
        <v>11.1</v>
      </c>
    </row>
    <row r="177" spans="1:1" x14ac:dyDescent="0.3">
      <c r="A177">
        <v>11.1</v>
      </c>
    </row>
    <row r="178" spans="1:1" x14ac:dyDescent="0.3">
      <c r="A178">
        <v>11.15</v>
      </c>
    </row>
    <row r="179" spans="1:1" x14ac:dyDescent="0.3">
      <c r="A179">
        <v>11.15</v>
      </c>
    </row>
    <row r="180" spans="1:1" x14ac:dyDescent="0.3">
      <c r="A180">
        <v>11.2</v>
      </c>
    </row>
    <row r="181" spans="1:1" x14ac:dyDescent="0.3">
      <c r="A181">
        <v>11.25</v>
      </c>
    </row>
    <row r="182" spans="1:1" x14ac:dyDescent="0.3">
      <c r="A182">
        <v>11.25</v>
      </c>
    </row>
    <row r="183" spans="1:1" x14ac:dyDescent="0.3">
      <c r="A183">
        <v>11.3</v>
      </c>
    </row>
    <row r="184" spans="1:1" x14ac:dyDescent="0.3">
      <c r="A184">
        <v>11.3</v>
      </c>
    </row>
    <row r="185" spans="1:1" x14ac:dyDescent="0.3">
      <c r="A185">
        <v>11.3</v>
      </c>
    </row>
    <row r="186" spans="1:1" x14ac:dyDescent="0.3">
      <c r="A186">
        <v>11.35</v>
      </c>
    </row>
    <row r="187" spans="1:1" x14ac:dyDescent="0.3">
      <c r="A187">
        <v>11.4</v>
      </c>
    </row>
    <row r="188" spans="1:1" x14ac:dyDescent="0.3">
      <c r="A188">
        <v>11.4</v>
      </c>
    </row>
    <row r="189" spans="1:1" x14ac:dyDescent="0.3">
      <c r="A189">
        <v>11.45</v>
      </c>
    </row>
    <row r="190" spans="1:1" x14ac:dyDescent="0.3">
      <c r="A190">
        <v>11.45</v>
      </c>
    </row>
    <row r="191" spans="1:1" x14ac:dyDescent="0.3">
      <c r="A191">
        <v>11.45</v>
      </c>
    </row>
    <row r="192" spans="1:1" x14ac:dyDescent="0.3">
      <c r="A192">
        <v>11.45</v>
      </c>
    </row>
    <row r="193" spans="1:1" x14ac:dyDescent="0.3">
      <c r="A193">
        <v>11.45</v>
      </c>
    </row>
    <row r="194" spans="1:1" x14ac:dyDescent="0.3">
      <c r="A194">
        <v>11.5</v>
      </c>
    </row>
    <row r="195" spans="1:1" x14ac:dyDescent="0.3">
      <c r="A195">
        <v>11.5</v>
      </c>
    </row>
    <row r="196" spans="1:1" x14ac:dyDescent="0.3">
      <c r="A196">
        <v>11.5</v>
      </c>
    </row>
    <row r="197" spans="1:1" x14ac:dyDescent="0.3">
      <c r="A197">
        <v>11.5</v>
      </c>
    </row>
    <row r="198" spans="1:1" x14ac:dyDescent="0.3">
      <c r="A198">
        <v>11.5</v>
      </c>
    </row>
    <row r="199" spans="1:1" x14ac:dyDescent="0.3">
      <c r="A199">
        <v>11.55</v>
      </c>
    </row>
    <row r="200" spans="1:1" x14ac:dyDescent="0.3">
      <c r="A200">
        <v>11.55</v>
      </c>
    </row>
    <row r="201" spans="1:1" x14ac:dyDescent="0.3">
      <c r="A201">
        <v>11.6</v>
      </c>
    </row>
    <row r="202" spans="1:1" x14ac:dyDescent="0.3">
      <c r="A202">
        <v>11.65</v>
      </c>
    </row>
    <row r="203" spans="1:1" x14ac:dyDescent="0.3">
      <c r="A203">
        <v>11.75</v>
      </c>
    </row>
    <row r="204" spans="1:1" x14ac:dyDescent="0.3">
      <c r="A204">
        <v>11.8</v>
      </c>
    </row>
    <row r="205" spans="1:1" x14ac:dyDescent="0.3">
      <c r="A205">
        <v>11.8</v>
      </c>
    </row>
    <row r="206" spans="1:1" x14ac:dyDescent="0.3">
      <c r="A206">
        <v>11.9</v>
      </c>
    </row>
    <row r="207" spans="1:1" x14ac:dyDescent="0.3">
      <c r="A207">
        <v>11.9</v>
      </c>
    </row>
    <row r="208" spans="1:1" x14ac:dyDescent="0.3">
      <c r="A208">
        <v>11.95</v>
      </c>
    </row>
    <row r="209" spans="1:1" x14ac:dyDescent="0.3">
      <c r="A209">
        <v>11.95</v>
      </c>
    </row>
    <row r="210" spans="1:1" x14ac:dyDescent="0.3">
      <c r="A210">
        <v>11.95</v>
      </c>
    </row>
    <row r="211" spans="1:1" x14ac:dyDescent="0.3">
      <c r="A211">
        <v>11.95</v>
      </c>
    </row>
    <row r="212" spans="1:1" x14ac:dyDescent="0.3">
      <c r="A212">
        <v>11.95</v>
      </c>
    </row>
    <row r="213" spans="1:1" x14ac:dyDescent="0.3">
      <c r="A213">
        <v>12</v>
      </c>
    </row>
    <row r="214" spans="1:1" x14ac:dyDescent="0.3">
      <c r="A214">
        <v>12</v>
      </c>
    </row>
    <row r="215" spans="1:1" x14ac:dyDescent="0.3">
      <c r="A215">
        <v>12</v>
      </c>
    </row>
    <row r="216" spans="1:1" x14ac:dyDescent="0.3">
      <c r="A216">
        <v>12</v>
      </c>
    </row>
    <row r="217" spans="1:1" x14ac:dyDescent="0.3">
      <c r="A217">
        <v>12.05</v>
      </c>
    </row>
    <row r="218" spans="1:1" x14ac:dyDescent="0.3">
      <c r="A218">
        <v>12.05</v>
      </c>
    </row>
    <row r="219" spans="1:1" x14ac:dyDescent="0.3">
      <c r="A219">
        <v>12.1</v>
      </c>
    </row>
    <row r="220" spans="1:1" x14ac:dyDescent="0.3">
      <c r="A220">
        <v>12.15</v>
      </c>
    </row>
    <row r="221" spans="1:1" x14ac:dyDescent="0.3">
      <c r="A221">
        <v>12.15</v>
      </c>
    </row>
    <row r="222" spans="1:1" x14ac:dyDescent="0.3">
      <c r="A222">
        <v>12.2</v>
      </c>
    </row>
    <row r="223" spans="1:1" x14ac:dyDescent="0.3">
      <c r="A223">
        <v>12.2</v>
      </c>
    </row>
    <row r="224" spans="1:1" x14ac:dyDescent="0.3">
      <c r="A224">
        <v>12.2</v>
      </c>
    </row>
    <row r="225" spans="1:1" x14ac:dyDescent="0.3">
      <c r="A225">
        <v>12.3</v>
      </c>
    </row>
    <row r="226" spans="1:1" x14ac:dyDescent="0.3">
      <c r="A226">
        <v>12.35</v>
      </c>
    </row>
    <row r="227" spans="1:1" x14ac:dyDescent="0.3">
      <c r="A227">
        <v>12.4</v>
      </c>
    </row>
    <row r="228" spans="1:1" x14ac:dyDescent="0.3">
      <c r="A228">
        <v>12.45</v>
      </c>
    </row>
    <row r="229" spans="1:1" x14ac:dyDescent="0.3">
      <c r="A229">
        <v>12.5</v>
      </c>
    </row>
    <row r="230" spans="1:1" x14ac:dyDescent="0.3">
      <c r="A230">
        <v>12.6</v>
      </c>
    </row>
    <row r="231" spans="1:1" x14ac:dyDescent="0.3">
      <c r="A231">
        <v>12.75</v>
      </c>
    </row>
    <row r="232" spans="1:1" x14ac:dyDescent="0.3">
      <c r="A232">
        <v>12.75</v>
      </c>
    </row>
    <row r="233" spans="1:1" x14ac:dyDescent="0.3">
      <c r="A233">
        <v>12.75</v>
      </c>
    </row>
    <row r="234" spans="1:1" x14ac:dyDescent="0.3">
      <c r="A234">
        <v>12.9</v>
      </c>
    </row>
    <row r="235" spans="1:1" x14ac:dyDescent="0.3">
      <c r="A235">
        <v>12.9</v>
      </c>
    </row>
    <row r="236" spans="1:1" x14ac:dyDescent="0.3">
      <c r="A236">
        <v>12.95</v>
      </c>
    </row>
    <row r="237" spans="1:1" x14ac:dyDescent="0.3">
      <c r="A237">
        <v>13.05</v>
      </c>
    </row>
    <row r="238" spans="1:1" x14ac:dyDescent="0.3">
      <c r="A238">
        <v>13.05</v>
      </c>
    </row>
    <row r="239" spans="1:1" x14ac:dyDescent="0.3">
      <c r="A239">
        <v>13.1</v>
      </c>
    </row>
    <row r="240" spans="1:1" x14ac:dyDescent="0.3">
      <c r="A240">
        <v>13.15</v>
      </c>
    </row>
    <row r="241" spans="1:1" x14ac:dyDescent="0.3">
      <c r="A241">
        <v>13.15</v>
      </c>
    </row>
    <row r="242" spans="1:1" x14ac:dyDescent="0.3">
      <c r="A242">
        <v>13.2</v>
      </c>
    </row>
    <row r="243" spans="1:1" x14ac:dyDescent="0.3">
      <c r="A243">
        <v>13.2</v>
      </c>
    </row>
    <row r="244" spans="1:1" x14ac:dyDescent="0.3">
      <c r="A244">
        <v>13.3</v>
      </c>
    </row>
    <row r="245" spans="1:1" x14ac:dyDescent="0.3">
      <c r="A245">
        <v>13.3</v>
      </c>
    </row>
    <row r="246" spans="1:1" x14ac:dyDescent="0.3">
      <c r="A246">
        <v>13.3</v>
      </c>
    </row>
    <row r="247" spans="1:1" x14ac:dyDescent="0.3">
      <c r="A247">
        <v>13.35</v>
      </c>
    </row>
    <row r="248" spans="1:1" x14ac:dyDescent="0.3">
      <c r="A248">
        <v>13.35</v>
      </c>
    </row>
    <row r="249" spans="1:1" x14ac:dyDescent="0.3">
      <c r="A249">
        <v>13.35</v>
      </c>
    </row>
    <row r="250" spans="1:1" x14ac:dyDescent="0.3">
      <c r="A250">
        <v>13.35</v>
      </c>
    </row>
    <row r="251" spans="1:1" x14ac:dyDescent="0.3">
      <c r="A251">
        <v>13.4</v>
      </c>
    </row>
    <row r="252" spans="1:1" x14ac:dyDescent="0.3">
      <c r="A252">
        <v>13.4</v>
      </c>
    </row>
    <row r="253" spans="1:1" x14ac:dyDescent="0.3">
      <c r="A253">
        <v>13.4</v>
      </c>
    </row>
    <row r="254" spans="1:1" x14ac:dyDescent="0.3">
      <c r="A254">
        <v>13.4</v>
      </c>
    </row>
    <row r="255" spans="1:1" x14ac:dyDescent="0.3">
      <c r="A255">
        <v>13.45</v>
      </c>
    </row>
    <row r="256" spans="1:1" x14ac:dyDescent="0.3">
      <c r="A256">
        <v>13.5</v>
      </c>
    </row>
    <row r="257" spans="1:1" x14ac:dyDescent="0.3">
      <c r="A257">
        <v>13.5</v>
      </c>
    </row>
    <row r="258" spans="1:1" x14ac:dyDescent="0.3">
      <c r="A258">
        <v>13.6</v>
      </c>
    </row>
    <row r="259" spans="1:1" x14ac:dyDescent="0.3">
      <c r="A259">
        <v>13.7</v>
      </c>
    </row>
    <row r="260" spans="1:1" x14ac:dyDescent="0.3">
      <c r="A260">
        <v>13.7</v>
      </c>
    </row>
    <row r="261" spans="1:1" x14ac:dyDescent="0.3">
      <c r="A261">
        <v>13.7</v>
      </c>
    </row>
    <row r="262" spans="1:1" x14ac:dyDescent="0.3">
      <c r="A262">
        <v>13.7</v>
      </c>
    </row>
    <row r="263" spans="1:1" x14ac:dyDescent="0.3">
      <c r="A263">
        <v>13.75</v>
      </c>
    </row>
    <row r="264" spans="1:1" x14ac:dyDescent="0.3">
      <c r="A264">
        <v>13.8</v>
      </c>
    </row>
    <row r="265" spans="1:1" x14ac:dyDescent="0.3">
      <c r="A265">
        <v>13.8</v>
      </c>
    </row>
    <row r="266" spans="1:1" x14ac:dyDescent="0.3">
      <c r="A266">
        <v>13.85</v>
      </c>
    </row>
    <row r="267" spans="1:1" x14ac:dyDescent="0.3">
      <c r="A267">
        <v>13.85</v>
      </c>
    </row>
    <row r="268" spans="1:1" x14ac:dyDescent="0.3">
      <c r="A268">
        <v>13.9</v>
      </c>
    </row>
    <row r="269" spans="1:1" x14ac:dyDescent="0.3">
      <c r="A269">
        <v>13.95</v>
      </c>
    </row>
    <row r="270" spans="1:1" x14ac:dyDescent="0.3">
      <c r="A270">
        <v>14</v>
      </c>
    </row>
    <row r="271" spans="1:1" x14ac:dyDescent="0.3">
      <c r="A271">
        <v>14.05</v>
      </c>
    </row>
    <row r="272" spans="1:1" x14ac:dyDescent="0.3">
      <c r="A272">
        <v>14.05</v>
      </c>
    </row>
    <row r="273" spans="1:1" x14ac:dyDescent="0.3">
      <c r="A273">
        <v>14.1</v>
      </c>
    </row>
    <row r="274" spans="1:1" x14ac:dyDescent="0.3">
      <c r="A274">
        <v>14.15</v>
      </c>
    </row>
    <row r="275" spans="1:1" x14ac:dyDescent="0.3">
      <c r="A275">
        <v>14.2</v>
      </c>
    </row>
    <row r="276" spans="1:1" x14ac:dyDescent="0.3">
      <c r="A276">
        <v>14.2</v>
      </c>
    </row>
    <row r="277" spans="1:1" x14ac:dyDescent="0.3">
      <c r="A277">
        <v>14.25</v>
      </c>
    </row>
    <row r="278" spans="1:1" x14ac:dyDescent="0.3">
      <c r="A278">
        <v>14.25</v>
      </c>
    </row>
    <row r="279" spans="1:1" x14ac:dyDescent="0.3">
      <c r="A279">
        <v>14.3</v>
      </c>
    </row>
    <row r="280" spans="1:1" x14ac:dyDescent="0.3">
      <c r="A280">
        <v>14.3</v>
      </c>
    </row>
    <row r="281" spans="1:1" x14ac:dyDescent="0.3">
      <c r="A281">
        <v>14.35</v>
      </c>
    </row>
    <row r="282" spans="1:1" x14ac:dyDescent="0.3">
      <c r="A282">
        <v>14.35</v>
      </c>
    </row>
    <row r="283" spans="1:1" x14ac:dyDescent="0.3">
      <c r="A283">
        <v>14.35</v>
      </c>
    </row>
    <row r="284" spans="1:1" x14ac:dyDescent="0.3">
      <c r="A284">
        <v>14.35</v>
      </c>
    </row>
    <row r="285" spans="1:1" x14ac:dyDescent="0.3">
      <c r="A285">
        <v>14.45</v>
      </c>
    </row>
    <row r="286" spans="1:1" x14ac:dyDescent="0.3">
      <c r="A286">
        <v>14.45</v>
      </c>
    </row>
    <row r="287" spans="1:1" x14ac:dyDescent="0.3">
      <c r="A287">
        <v>14.5</v>
      </c>
    </row>
    <row r="288" spans="1:1" x14ac:dyDescent="0.3">
      <c r="A288">
        <v>14.65</v>
      </c>
    </row>
    <row r="289" spans="1:1" x14ac:dyDescent="0.3">
      <c r="A289">
        <v>14.65</v>
      </c>
    </row>
    <row r="290" spans="1:1" x14ac:dyDescent="0.3">
      <c r="A290">
        <v>14.75</v>
      </c>
    </row>
    <row r="291" spans="1:1" x14ac:dyDescent="0.3">
      <c r="A291">
        <v>14.8</v>
      </c>
    </row>
    <row r="292" spans="1:1" x14ac:dyDescent="0.3">
      <c r="A292">
        <v>14.85</v>
      </c>
    </row>
    <row r="293" spans="1:1" x14ac:dyDescent="0.3">
      <c r="A293">
        <v>14.85</v>
      </c>
    </row>
    <row r="294" spans="1:1" x14ac:dyDescent="0.3">
      <c r="A294">
        <v>14.9</v>
      </c>
    </row>
    <row r="295" spans="1:1" x14ac:dyDescent="0.3">
      <c r="A295">
        <v>14.95</v>
      </c>
    </row>
    <row r="296" spans="1:1" x14ac:dyDescent="0.3">
      <c r="A296">
        <v>14.95</v>
      </c>
    </row>
    <row r="297" spans="1:1" x14ac:dyDescent="0.3">
      <c r="A297">
        <v>14.95</v>
      </c>
    </row>
    <row r="298" spans="1:1" x14ac:dyDescent="0.3">
      <c r="A298">
        <v>15</v>
      </c>
    </row>
    <row r="299" spans="1:1" x14ac:dyDescent="0.3">
      <c r="A299">
        <v>15</v>
      </c>
    </row>
    <row r="300" spans="1:1" x14ac:dyDescent="0.3">
      <c r="A300">
        <v>15.05</v>
      </c>
    </row>
    <row r="301" spans="1:1" x14ac:dyDescent="0.3">
      <c r="A301">
        <v>15.05</v>
      </c>
    </row>
    <row r="302" spans="1:1" x14ac:dyDescent="0.3">
      <c r="A302">
        <v>15.05</v>
      </c>
    </row>
    <row r="303" spans="1:1" x14ac:dyDescent="0.3">
      <c r="A303">
        <v>15.1</v>
      </c>
    </row>
    <row r="304" spans="1:1" x14ac:dyDescent="0.3">
      <c r="A304">
        <v>15.15</v>
      </c>
    </row>
    <row r="305" spans="1:1" x14ac:dyDescent="0.3">
      <c r="A305">
        <v>15.2</v>
      </c>
    </row>
    <row r="306" spans="1:1" x14ac:dyDescent="0.3">
      <c r="A306">
        <v>15.2</v>
      </c>
    </row>
    <row r="307" spans="1:1" x14ac:dyDescent="0.3">
      <c r="A307">
        <v>15.25</v>
      </c>
    </row>
    <row r="308" spans="1:1" x14ac:dyDescent="0.3">
      <c r="A308">
        <v>15.35</v>
      </c>
    </row>
    <row r="309" spans="1:1" x14ac:dyDescent="0.3">
      <c r="A309">
        <v>15.35</v>
      </c>
    </row>
    <row r="310" spans="1:1" x14ac:dyDescent="0.3">
      <c r="A310">
        <v>15.35</v>
      </c>
    </row>
    <row r="311" spans="1:1" x14ac:dyDescent="0.3">
      <c r="A311">
        <v>15.45</v>
      </c>
    </row>
    <row r="312" spans="1:1" x14ac:dyDescent="0.3">
      <c r="A312">
        <v>15.55</v>
      </c>
    </row>
    <row r="313" spans="1:1" x14ac:dyDescent="0.3">
      <c r="A313">
        <v>15.6</v>
      </c>
    </row>
    <row r="314" spans="1:1" x14ac:dyDescent="0.3">
      <c r="A314">
        <v>15.65</v>
      </c>
    </row>
    <row r="315" spans="1:1" x14ac:dyDescent="0.3">
      <c r="A315">
        <v>15.75</v>
      </c>
    </row>
    <row r="316" spans="1:1" x14ac:dyDescent="0.3">
      <c r="A316">
        <v>15.75</v>
      </c>
    </row>
    <row r="317" spans="1:1" x14ac:dyDescent="0.3">
      <c r="A317">
        <v>15.8</v>
      </c>
    </row>
    <row r="318" spans="1:1" x14ac:dyDescent="0.3">
      <c r="A318">
        <v>15.8</v>
      </c>
    </row>
    <row r="319" spans="1:1" x14ac:dyDescent="0.3">
      <c r="A319">
        <v>15.85</v>
      </c>
    </row>
    <row r="320" spans="1:1" x14ac:dyDescent="0.3">
      <c r="A320">
        <v>15.85</v>
      </c>
    </row>
    <row r="321" spans="1:1" x14ac:dyDescent="0.3">
      <c r="A321">
        <v>15.85</v>
      </c>
    </row>
    <row r="322" spans="1:1" x14ac:dyDescent="0.3">
      <c r="A322">
        <v>15.9</v>
      </c>
    </row>
    <row r="323" spans="1:1" x14ac:dyDescent="0.3">
      <c r="A323">
        <v>15.95</v>
      </c>
    </row>
    <row r="324" spans="1:1" x14ac:dyDescent="0.3">
      <c r="A324">
        <v>16.05</v>
      </c>
    </row>
    <row r="325" spans="1:1" x14ac:dyDescent="0.3">
      <c r="A325">
        <v>16.100000000000001</v>
      </c>
    </row>
    <row r="326" spans="1:1" x14ac:dyDescent="0.3">
      <c r="A326">
        <v>16.25</v>
      </c>
    </row>
    <row r="327" spans="1:1" x14ac:dyDescent="0.3">
      <c r="A327">
        <v>16.25</v>
      </c>
    </row>
    <row r="328" spans="1:1" x14ac:dyDescent="0.3">
      <c r="A328">
        <v>16.3</v>
      </c>
    </row>
    <row r="329" spans="1:1" x14ac:dyDescent="0.3">
      <c r="A329">
        <v>16.350000000000001</v>
      </c>
    </row>
    <row r="330" spans="1:1" x14ac:dyDescent="0.3">
      <c r="A330">
        <v>16.350000000000001</v>
      </c>
    </row>
    <row r="331" spans="1:1" x14ac:dyDescent="0.3">
      <c r="A331">
        <v>16.45</v>
      </c>
    </row>
    <row r="332" spans="1:1" x14ac:dyDescent="0.3">
      <c r="A332">
        <v>16.5</v>
      </c>
    </row>
    <row r="333" spans="1:1" x14ac:dyDescent="0.3">
      <c r="A333">
        <v>16.55</v>
      </c>
    </row>
    <row r="334" spans="1:1" x14ac:dyDescent="0.3">
      <c r="A334">
        <v>16.55</v>
      </c>
    </row>
    <row r="335" spans="1:1" x14ac:dyDescent="0.3">
      <c r="A335">
        <v>16.55</v>
      </c>
    </row>
    <row r="336" spans="1:1" x14ac:dyDescent="0.3">
      <c r="A336">
        <v>16.55</v>
      </c>
    </row>
    <row r="337" spans="1:1" x14ac:dyDescent="0.3">
      <c r="A337">
        <v>16.600000000000001</v>
      </c>
    </row>
    <row r="338" spans="1:1" x14ac:dyDescent="0.3">
      <c r="A338">
        <v>16.600000000000001</v>
      </c>
    </row>
    <row r="339" spans="1:1" x14ac:dyDescent="0.3">
      <c r="A339">
        <v>16.649999999999999</v>
      </c>
    </row>
    <row r="340" spans="1:1" x14ac:dyDescent="0.3">
      <c r="A340">
        <v>16.649999999999999</v>
      </c>
    </row>
    <row r="341" spans="1:1" x14ac:dyDescent="0.3">
      <c r="A341">
        <v>16.7</v>
      </c>
    </row>
    <row r="342" spans="1:1" x14ac:dyDescent="0.3">
      <c r="A342">
        <v>16.850000000000001</v>
      </c>
    </row>
    <row r="343" spans="1:1" x14ac:dyDescent="0.3">
      <c r="A343">
        <v>17.05</v>
      </c>
    </row>
    <row r="344" spans="1:1" x14ac:dyDescent="0.3">
      <c r="A344">
        <v>17.100000000000001</v>
      </c>
    </row>
    <row r="345" spans="1:1" x14ac:dyDescent="0.3">
      <c r="A345">
        <v>17.100000000000001</v>
      </c>
    </row>
    <row r="346" spans="1:1" x14ac:dyDescent="0.3">
      <c r="A346">
        <v>17.149999999999999</v>
      </c>
    </row>
    <row r="347" spans="1:1" x14ac:dyDescent="0.3">
      <c r="A347">
        <v>17.399999999999999</v>
      </c>
    </row>
    <row r="348" spans="1:1" x14ac:dyDescent="0.3">
      <c r="A348">
        <v>17.45</v>
      </c>
    </row>
    <row r="349" spans="1:1" x14ac:dyDescent="0.3">
      <c r="A349">
        <v>17.45</v>
      </c>
    </row>
    <row r="350" spans="1:1" x14ac:dyDescent="0.3">
      <c r="A350">
        <v>17.45</v>
      </c>
    </row>
    <row r="351" spans="1:1" x14ac:dyDescent="0.3">
      <c r="A351">
        <v>17.5</v>
      </c>
    </row>
    <row r="352" spans="1:1" x14ac:dyDescent="0.3">
      <c r="A352">
        <v>17.5</v>
      </c>
    </row>
    <row r="353" spans="1:1" x14ac:dyDescent="0.3">
      <c r="A353">
        <v>17.5</v>
      </c>
    </row>
    <row r="354" spans="1:1" x14ac:dyDescent="0.3">
      <c r="A354">
        <v>17.5</v>
      </c>
    </row>
    <row r="355" spans="1:1" x14ac:dyDescent="0.3">
      <c r="A355">
        <v>17.55</v>
      </c>
    </row>
    <row r="356" spans="1:1" x14ac:dyDescent="0.3">
      <c r="A356">
        <v>17.55</v>
      </c>
    </row>
    <row r="357" spans="1:1" x14ac:dyDescent="0.3">
      <c r="A357">
        <v>17.649999999999999</v>
      </c>
    </row>
    <row r="358" spans="1:1" x14ac:dyDescent="0.3">
      <c r="A358">
        <v>17.649999999999999</v>
      </c>
    </row>
    <row r="359" spans="1:1" x14ac:dyDescent="0.3">
      <c r="A359">
        <v>17.7</v>
      </c>
    </row>
    <row r="360" spans="1:1" x14ac:dyDescent="0.3">
      <c r="A360">
        <v>17.7</v>
      </c>
    </row>
    <row r="361" spans="1:1" x14ac:dyDescent="0.3">
      <c r="A361">
        <v>17.75</v>
      </c>
    </row>
    <row r="362" spans="1:1" x14ac:dyDescent="0.3">
      <c r="A362">
        <v>17.8</v>
      </c>
    </row>
    <row r="363" spans="1:1" x14ac:dyDescent="0.3">
      <c r="A363">
        <v>17.8</v>
      </c>
    </row>
    <row r="364" spans="1:1" x14ac:dyDescent="0.3">
      <c r="A364">
        <v>17.8</v>
      </c>
    </row>
    <row r="365" spans="1:1" x14ac:dyDescent="0.3">
      <c r="A365">
        <v>17.8</v>
      </c>
    </row>
    <row r="366" spans="1:1" x14ac:dyDescent="0.3">
      <c r="A366">
        <v>17.850000000000001</v>
      </c>
    </row>
    <row r="367" spans="1:1" x14ac:dyDescent="0.3">
      <c r="A367">
        <v>18</v>
      </c>
    </row>
    <row r="368" spans="1:1" x14ac:dyDescent="0.3">
      <c r="A368">
        <v>18.05</v>
      </c>
    </row>
    <row r="369" spans="1:1" x14ac:dyDescent="0.3">
      <c r="A369">
        <v>18.149999999999999</v>
      </c>
    </row>
    <row r="370" spans="1:1" x14ac:dyDescent="0.3">
      <c r="A370">
        <v>18.3</v>
      </c>
    </row>
    <row r="371" spans="1:1" x14ac:dyDescent="0.3">
      <c r="A371">
        <v>18.3</v>
      </c>
    </row>
    <row r="372" spans="1:1" x14ac:dyDescent="0.3">
      <c r="A372">
        <v>18.3</v>
      </c>
    </row>
    <row r="373" spans="1:1" x14ac:dyDescent="0.3">
      <c r="A373">
        <v>18.350000000000001</v>
      </c>
    </row>
    <row r="374" spans="1:1" x14ac:dyDescent="0.3">
      <c r="A374">
        <v>18.399999999999999</v>
      </c>
    </row>
    <row r="375" spans="1:1" x14ac:dyDescent="0.3">
      <c r="A375">
        <v>18.45</v>
      </c>
    </row>
    <row r="376" spans="1:1" x14ac:dyDescent="0.3">
      <c r="A376">
        <v>18.45</v>
      </c>
    </row>
    <row r="377" spans="1:1" x14ac:dyDescent="0.3">
      <c r="A377">
        <v>18.45</v>
      </c>
    </row>
    <row r="378" spans="1:1" x14ac:dyDescent="0.3">
      <c r="A378">
        <v>18.5</v>
      </c>
    </row>
    <row r="379" spans="1:1" x14ac:dyDescent="0.3">
      <c r="A379">
        <v>18.55</v>
      </c>
    </row>
    <row r="380" spans="1:1" x14ac:dyDescent="0.3">
      <c r="A380">
        <v>18.600000000000001</v>
      </c>
    </row>
    <row r="381" spans="1:1" x14ac:dyDescent="0.3">
      <c r="A381">
        <v>18.600000000000001</v>
      </c>
    </row>
    <row r="382" spans="1:1" x14ac:dyDescent="0.3">
      <c r="A382">
        <v>18.649999999999999</v>
      </c>
    </row>
    <row r="383" spans="1:1" x14ac:dyDescent="0.3">
      <c r="A383">
        <v>18.649999999999999</v>
      </c>
    </row>
    <row r="384" spans="1:1" x14ac:dyDescent="0.3">
      <c r="A384">
        <v>18.75</v>
      </c>
    </row>
    <row r="385" spans="1:1" x14ac:dyDescent="0.3">
      <c r="A385">
        <v>18.8</v>
      </c>
    </row>
    <row r="386" spans="1:1" x14ac:dyDescent="0.3">
      <c r="A386">
        <v>18.8</v>
      </c>
    </row>
    <row r="387" spans="1:1" x14ac:dyDescent="0.3">
      <c r="A387">
        <v>18.95</v>
      </c>
    </row>
    <row r="388" spans="1:1" x14ac:dyDescent="0.3">
      <c r="A388">
        <v>19</v>
      </c>
    </row>
    <row r="389" spans="1:1" x14ac:dyDescent="0.3">
      <c r="A389">
        <v>19</v>
      </c>
    </row>
    <row r="390" spans="1:1" x14ac:dyDescent="0.3">
      <c r="A390">
        <v>19.100000000000001</v>
      </c>
    </row>
    <row r="391" spans="1:1" x14ac:dyDescent="0.3">
      <c r="A391">
        <v>19.149999999999999</v>
      </c>
    </row>
    <row r="392" spans="1:1" x14ac:dyDescent="0.3">
      <c r="A392">
        <v>19.149999999999999</v>
      </c>
    </row>
    <row r="393" spans="1:1" x14ac:dyDescent="0.3">
      <c r="A393">
        <v>19.2</v>
      </c>
    </row>
    <row r="394" spans="1:1" x14ac:dyDescent="0.3">
      <c r="A394">
        <v>19.3</v>
      </c>
    </row>
    <row r="395" spans="1:1" x14ac:dyDescent="0.3">
      <c r="A395">
        <v>19.3</v>
      </c>
    </row>
    <row r="396" spans="1:1" x14ac:dyDescent="0.3">
      <c r="A396">
        <v>19.350000000000001</v>
      </c>
    </row>
    <row r="397" spans="1:1" x14ac:dyDescent="0.3">
      <c r="A397">
        <v>19.350000000000001</v>
      </c>
    </row>
    <row r="398" spans="1:1" x14ac:dyDescent="0.3">
      <c r="A398">
        <v>19.399999999999999</v>
      </c>
    </row>
    <row r="399" spans="1:1" x14ac:dyDescent="0.3">
      <c r="A399">
        <v>19.55</v>
      </c>
    </row>
    <row r="400" spans="1:1" x14ac:dyDescent="0.3">
      <c r="A400">
        <v>19.55</v>
      </c>
    </row>
    <row r="401" spans="1:1" x14ac:dyDescent="0.3">
      <c r="A401">
        <v>19.600000000000001</v>
      </c>
    </row>
    <row r="402" spans="1:1" x14ac:dyDescent="0.3">
      <c r="A402">
        <v>19.7</v>
      </c>
    </row>
    <row r="403" spans="1:1" x14ac:dyDescent="0.3">
      <c r="A403">
        <v>19.7</v>
      </c>
    </row>
    <row r="404" spans="1:1" x14ac:dyDescent="0.3">
      <c r="A404">
        <v>19.75</v>
      </c>
    </row>
    <row r="405" spans="1:1" x14ac:dyDescent="0.3">
      <c r="A405">
        <v>19.850000000000001</v>
      </c>
    </row>
    <row r="406" spans="1:1" x14ac:dyDescent="0.3">
      <c r="A406">
        <v>19.95</v>
      </c>
    </row>
    <row r="407" spans="1:1" x14ac:dyDescent="0.3">
      <c r="A407">
        <v>20</v>
      </c>
    </row>
    <row r="408" spans="1:1" x14ac:dyDescent="0.3">
      <c r="A408">
        <v>20.05</v>
      </c>
    </row>
    <row r="409" spans="1:1" x14ac:dyDescent="0.3">
      <c r="A409">
        <v>20.05</v>
      </c>
    </row>
    <row r="410" spans="1:1" x14ac:dyDescent="0.3">
      <c r="A410">
        <v>20.100000000000001</v>
      </c>
    </row>
    <row r="411" spans="1:1" x14ac:dyDescent="0.3">
      <c r="A411">
        <v>20.25</v>
      </c>
    </row>
    <row r="412" spans="1:1" x14ac:dyDescent="0.3">
      <c r="A412">
        <v>20.25</v>
      </c>
    </row>
    <row r="413" spans="1:1" x14ac:dyDescent="0.3">
      <c r="A413">
        <v>20.25</v>
      </c>
    </row>
    <row r="414" spans="1:1" x14ac:dyDescent="0.3">
      <c r="A414">
        <v>20.3</v>
      </c>
    </row>
    <row r="415" spans="1:1" x14ac:dyDescent="0.3">
      <c r="A415">
        <v>20.3</v>
      </c>
    </row>
    <row r="416" spans="1:1" x14ac:dyDescent="0.3">
      <c r="A416">
        <v>20.45</v>
      </c>
    </row>
    <row r="417" spans="1:1" x14ac:dyDescent="0.3">
      <c r="A417">
        <v>20.45</v>
      </c>
    </row>
    <row r="418" spans="1:1" x14ac:dyDescent="0.3">
      <c r="A418">
        <v>20.45</v>
      </c>
    </row>
    <row r="419" spans="1:1" x14ac:dyDescent="0.3">
      <c r="A419">
        <v>20.7</v>
      </c>
    </row>
    <row r="420" spans="1:1" x14ac:dyDescent="0.3">
      <c r="A420">
        <v>20.75</v>
      </c>
    </row>
    <row r="421" spans="1:1" x14ac:dyDescent="0.3">
      <c r="A421">
        <v>20.75</v>
      </c>
    </row>
    <row r="422" spans="1:1" x14ac:dyDescent="0.3">
      <c r="A422">
        <v>20.8</v>
      </c>
    </row>
    <row r="423" spans="1:1" x14ac:dyDescent="0.3">
      <c r="A423">
        <v>20.8</v>
      </c>
    </row>
    <row r="424" spans="1:1" x14ac:dyDescent="0.3">
      <c r="A424">
        <v>20.9</v>
      </c>
    </row>
    <row r="425" spans="1:1" x14ac:dyDescent="0.3">
      <c r="A425">
        <v>20.9</v>
      </c>
    </row>
    <row r="426" spans="1:1" x14ac:dyDescent="0.3">
      <c r="A426">
        <v>20.95</v>
      </c>
    </row>
    <row r="427" spans="1:1" x14ac:dyDescent="0.3">
      <c r="A427">
        <v>21</v>
      </c>
    </row>
    <row r="428" spans="1:1" x14ac:dyDescent="0.3">
      <c r="A428">
        <v>21.3</v>
      </c>
    </row>
    <row r="429" spans="1:1" x14ac:dyDescent="0.3">
      <c r="A429">
        <v>21.4</v>
      </c>
    </row>
    <row r="430" spans="1:1" x14ac:dyDescent="0.3">
      <c r="A430">
        <v>21.4</v>
      </c>
    </row>
    <row r="431" spans="1:1" x14ac:dyDescent="0.3">
      <c r="A431">
        <v>21.5</v>
      </c>
    </row>
    <row r="432" spans="1:1" x14ac:dyDescent="0.3">
      <c r="A432">
        <v>21.6</v>
      </c>
    </row>
    <row r="433" spans="1:1" x14ac:dyDescent="0.3">
      <c r="A433">
        <v>21.6</v>
      </c>
    </row>
    <row r="434" spans="1:1" x14ac:dyDescent="0.3">
      <c r="A434">
        <v>21.6</v>
      </c>
    </row>
    <row r="435" spans="1:1" x14ac:dyDescent="0.3">
      <c r="A435">
        <v>21.65</v>
      </c>
    </row>
    <row r="436" spans="1:1" x14ac:dyDescent="0.3">
      <c r="A436">
        <v>21.7</v>
      </c>
    </row>
    <row r="437" spans="1:1" x14ac:dyDescent="0.3">
      <c r="A437">
        <v>21.7</v>
      </c>
    </row>
    <row r="438" spans="1:1" x14ac:dyDescent="0.3">
      <c r="A438">
        <v>21.7</v>
      </c>
    </row>
    <row r="439" spans="1:1" x14ac:dyDescent="0.3">
      <c r="A439">
        <v>21.8</v>
      </c>
    </row>
    <row r="440" spans="1:1" x14ac:dyDescent="0.3">
      <c r="A440">
        <v>21.85</v>
      </c>
    </row>
    <row r="441" spans="1:1" x14ac:dyDescent="0.3">
      <c r="A441">
        <v>21.9</v>
      </c>
    </row>
    <row r="442" spans="1:1" x14ac:dyDescent="0.3">
      <c r="A442">
        <v>21.95</v>
      </c>
    </row>
    <row r="443" spans="1:1" x14ac:dyDescent="0.3">
      <c r="A443">
        <v>22.05</v>
      </c>
    </row>
    <row r="444" spans="1:1" x14ac:dyDescent="0.3">
      <c r="A444">
        <v>22.05</v>
      </c>
    </row>
    <row r="445" spans="1:1" x14ac:dyDescent="0.3">
      <c r="A445">
        <v>22.05</v>
      </c>
    </row>
    <row r="446" spans="1:1" x14ac:dyDescent="0.3">
      <c r="A446">
        <v>22.4</v>
      </c>
    </row>
    <row r="447" spans="1:1" x14ac:dyDescent="0.3">
      <c r="A447">
        <v>22.45</v>
      </c>
    </row>
    <row r="448" spans="1:1" x14ac:dyDescent="0.3">
      <c r="A448">
        <v>22.5</v>
      </c>
    </row>
    <row r="449" spans="1:1" x14ac:dyDescent="0.3">
      <c r="A449">
        <v>22.5</v>
      </c>
    </row>
    <row r="450" spans="1:1" x14ac:dyDescent="0.3">
      <c r="A450">
        <v>22.5</v>
      </c>
    </row>
    <row r="451" spans="1:1" x14ac:dyDescent="0.3">
      <c r="A451">
        <v>22.6</v>
      </c>
    </row>
    <row r="452" spans="1:1" x14ac:dyDescent="0.3">
      <c r="A452">
        <v>22.6</v>
      </c>
    </row>
    <row r="453" spans="1:1" x14ac:dyDescent="0.3">
      <c r="A453">
        <v>22.7</v>
      </c>
    </row>
    <row r="454" spans="1:1" x14ac:dyDescent="0.3">
      <c r="A454">
        <v>22.9</v>
      </c>
    </row>
    <row r="455" spans="1:1" x14ac:dyDescent="0.3">
      <c r="A455">
        <v>22.9</v>
      </c>
    </row>
    <row r="456" spans="1:1" x14ac:dyDescent="0.3">
      <c r="A456">
        <v>23</v>
      </c>
    </row>
    <row r="457" spans="1:1" x14ac:dyDescent="0.3">
      <c r="A457">
        <v>23</v>
      </c>
    </row>
    <row r="458" spans="1:1" x14ac:dyDescent="0.3">
      <c r="A458">
        <v>23</v>
      </c>
    </row>
    <row r="459" spans="1:1" x14ac:dyDescent="0.3">
      <c r="A459">
        <v>23</v>
      </c>
    </row>
    <row r="460" spans="1:1" x14ac:dyDescent="0.3">
      <c r="A460">
        <v>23.05</v>
      </c>
    </row>
    <row r="461" spans="1:1" x14ac:dyDescent="0.3">
      <c r="A461">
        <v>23.1</v>
      </c>
    </row>
    <row r="462" spans="1:1" x14ac:dyDescent="0.3">
      <c r="A462">
        <v>23.2</v>
      </c>
    </row>
    <row r="463" spans="1:1" x14ac:dyDescent="0.3">
      <c r="A463">
        <v>23.4</v>
      </c>
    </row>
    <row r="464" spans="1:1" x14ac:dyDescent="0.3">
      <c r="A464">
        <v>23.5</v>
      </c>
    </row>
    <row r="465" spans="1:1" x14ac:dyDescent="0.3">
      <c r="A465">
        <v>23.5</v>
      </c>
    </row>
    <row r="466" spans="1:1" x14ac:dyDescent="0.3">
      <c r="A466">
        <v>23.55</v>
      </c>
    </row>
    <row r="467" spans="1:1" x14ac:dyDescent="0.3">
      <c r="A467">
        <v>23.65</v>
      </c>
    </row>
    <row r="468" spans="1:1" x14ac:dyDescent="0.3">
      <c r="A468">
        <v>23.8</v>
      </c>
    </row>
    <row r="469" spans="1:1" x14ac:dyDescent="0.3">
      <c r="A469">
        <v>23.9</v>
      </c>
    </row>
    <row r="470" spans="1:1" x14ac:dyDescent="0.3">
      <c r="A470">
        <v>24</v>
      </c>
    </row>
    <row r="471" spans="1:1" x14ac:dyDescent="0.3">
      <c r="A471">
        <v>24</v>
      </c>
    </row>
    <row r="472" spans="1:1" x14ac:dyDescent="0.3">
      <c r="A472">
        <v>24.2</v>
      </c>
    </row>
    <row r="473" spans="1:1" x14ac:dyDescent="0.3">
      <c r="A473">
        <v>24.25</v>
      </c>
    </row>
    <row r="474" spans="1:1" x14ac:dyDescent="0.3">
      <c r="A474">
        <v>24.4</v>
      </c>
    </row>
    <row r="475" spans="1:1" x14ac:dyDescent="0.3">
      <c r="A475">
        <v>24.6</v>
      </c>
    </row>
    <row r="476" spans="1:1" x14ac:dyDescent="0.3">
      <c r="A476">
        <v>24.7</v>
      </c>
    </row>
    <row r="477" spans="1:1" x14ac:dyDescent="0.3">
      <c r="A477">
        <v>24.75</v>
      </c>
    </row>
    <row r="478" spans="1:1" x14ac:dyDescent="0.3">
      <c r="A478">
        <v>24.8</v>
      </c>
    </row>
    <row r="479" spans="1:1" x14ac:dyDescent="0.3">
      <c r="A479">
        <v>24.8</v>
      </c>
    </row>
    <row r="480" spans="1:1" x14ac:dyDescent="0.3">
      <c r="A480">
        <v>24.85</v>
      </c>
    </row>
    <row r="481" spans="1:1" x14ac:dyDescent="0.3">
      <c r="A481">
        <v>25</v>
      </c>
    </row>
    <row r="482" spans="1:1" x14ac:dyDescent="0.3">
      <c r="A482">
        <v>25.05</v>
      </c>
    </row>
    <row r="483" spans="1:1" x14ac:dyDescent="0.3">
      <c r="A483">
        <v>25.05</v>
      </c>
    </row>
    <row r="484" spans="1:1" x14ac:dyDescent="0.3">
      <c r="A484">
        <v>25.1</v>
      </c>
    </row>
    <row r="485" spans="1:1" x14ac:dyDescent="0.3">
      <c r="A485">
        <v>25.25</v>
      </c>
    </row>
    <row r="486" spans="1:1" x14ac:dyDescent="0.3">
      <c r="A486">
        <v>25.3</v>
      </c>
    </row>
    <row r="487" spans="1:1" x14ac:dyDescent="0.3">
      <c r="A487">
        <v>25.4</v>
      </c>
    </row>
    <row r="488" spans="1:1" x14ac:dyDescent="0.3">
      <c r="A488">
        <v>25.4</v>
      </c>
    </row>
    <row r="489" spans="1:1" x14ac:dyDescent="0.3">
      <c r="A489">
        <v>25.6</v>
      </c>
    </row>
    <row r="490" spans="1:1" x14ac:dyDescent="0.3">
      <c r="A490">
        <v>25.7</v>
      </c>
    </row>
    <row r="491" spans="1:1" x14ac:dyDescent="0.3">
      <c r="A491">
        <v>25.75</v>
      </c>
    </row>
    <row r="492" spans="1:1" x14ac:dyDescent="0.3">
      <c r="A492">
        <v>25.8</v>
      </c>
    </row>
    <row r="493" spans="1:1" x14ac:dyDescent="0.3">
      <c r="A493">
        <v>25.8</v>
      </c>
    </row>
    <row r="494" spans="1:1" x14ac:dyDescent="0.3">
      <c r="A494">
        <v>25.9</v>
      </c>
    </row>
    <row r="495" spans="1:1" x14ac:dyDescent="0.3">
      <c r="A495">
        <v>26.1</v>
      </c>
    </row>
    <row r="496" spans="1:1" x14ac:dyDescent="0.3">
      <c r="A496">
        <v>26.2</v>
      </c>
    </row>
    <row r="497" spans="1:1" x14ac:dyDescent="0.3">
      <c r="A497">
        <v>26.4</v>
      </c>
    </row>
    <row r="498" spans="1:1" x14ac:dyDescent="0.3">
      <c r="A498">
        <v>26.4</v>
      </c>
    </row>
    <row r="499" spans="1:1" x14ac:dyDescent="0.3">
      <c r="A499">
        <v>26.6</v>
      </c>
    </row>
    <row r="500" spans="1:1" x14ac:dyDescent="0.3">
      <c r="A500">
        <v>26.7</v>
      </c>
    </row>
    <row r="501" spans="1:1" x14ac:dyDescent="0.3">
      <c r="A501">
        <v>26.7</v>
      </c>
    </row>
    <row r="502" spans="1:1" x14ac:dyDescent="0.3">
      <c r="A502">
        <v>26.7</v>
      </c>
    </row>
    <row r="503" spans="1:1" x14ac:dyDescent="0.3">
      <c r="A503">
        <v>26.75</v>
      </c>
    </row>
    <row r="504" spans="1:1" x14ac:dyDescent="0.3">
      <c r="A504">
        <v>26.8</v>
      </c>
    </row>
    <row r="505" spans="1:1" x14ac:dyDescent="0.3">
      <c r="A505">
        <v>26.85</v>
      </c>
    </row>
    <row r="506" spans="1:1" x14ac:dyDescent="0.3">
      <c r="A506">
        <v>26.9</v>
      </c>
    </row>
    <row r="507" spans="1:1" x14ac:dyDescent="0.3">
      <c r="A507">
        <v>26.9</v>
      </c>
    </row>
    <row r="508" spans="1:1" x14ac:dyDescent="0.3">
      <c r="A508">
        <v>26.95</v>
      </c>
    </row>
    <row r="509" spans="1:1" x14ac:dyDescent="0.3">
      <c r="A509">
        <v>26.95</v>
      </c>
    </row>
    <row r="510" spans="1:1" x14ac:dyDescent="0.3">
      <c r="A510">
        <v>27</v>
      </c>
    </row>
    <row r="511" spans="1:1" x14ac:dyDescent="0.3">
      <c r="A511">
        <v>27.25</v>
      </c>
    </row>
    <row r="512" spans="1:1" x14ac:dyDescent="0.3">
      <c r="A512">
        <v>27.45</v>
      </c>
    </row>
    <row r="513" spans="1:1" x14ac:dyDescent="0.3">
      <c r="A513">
        <v>27.55</v>
      </c>
    </row>
    <row r="514" spans="1:1" x14ac:dyDescent="0.3">
      <c r="A514">
        <v>27.6</v>
      </c>
    </row>
    <row r="515" spans="1:1" x14ac:dyDescent="0.3">
      <c r="A515">
        <v>27.65</v>
      </c>
    </row>
    <row r="516" spans="1:1" x14ac:dyDescent="0.3">
      <c r="A516">
        <v>27.65</v>
      </c>
    </row>
    <row r="517" spans="1:1" x14ac:dyDescent="0.3">
      <c r="A517">
        <v>27.8</v>
      </c>
    </row>
    <row r="518" spans="1:1" x14ac:dyDescent="0.3">
      <c r="A518">
        <v>27.85</v>
      </c>
    </row>
    <row r="519" spans="1:1" x14ac:dyDescent="0.3">
      <c r="A519">
        <v>27.85</v>
      </c>
    </row>
    <row r="520" spans="1:1" x14ac:dyDescent="0.3">
      <c r="A520">
        <v>28.1</v>
      </c>
    </row>
    <row r="521" spans="1:1" x14ac:dyDescent="0.3">
      <c r="A521">
        <v>28.15</v>
      </c>
    </row>
    <row r="522" spans="1:1" x14ac:dyDescent="0.3">
      <c r="A522">
        <v>28.25</v>
      </c>
    </row>
    <row r="523" spans="1:1" x14ac:dyDescent="0.3">
      <c r="A523">
        <v>28.25</v>
      </c>
    </row>
    <row r="524" spans="1:1" x14ac:dyDescent="0.3">
      <c r="A524">
        <v>28.3</v>
      </c>
    </row>
    <row r="525" spans="1:1" x14ac:dyDescent="0.3">
      <c r="A525">
        <v>28.35</v>
      </c>
    </row>
    <row r="526" spans="1:1" x14ac:dyDescent="0.3">
      <c r="A526">
        <v>28.4</v>
      </c>
    </row>
    <row r="527" spans="1:1" x14ac:dyDescent="0.3">
      <c r="A527">
        <v>28.45</v>
      </c>
    </row>
    <row r="528" spans="1:1" x14ac:dyDescent="0.3">
      <c r="A528">
        <v>28.45</v>
      </c>
    </row>
    <row r="529" spans="1:1" x14ac:dyDescent="0.3">
      <c r="A529">
        <v>28.5</v>
      </c>
    </row>
    <row r="530" spans="1:1" x14ac:dyDescent="0.3">
      <c r="A530">
        <v>28.55</v>
      </c>
    </row>
    <row r="531" spans="1:1" x14ac:dyDescent="0.3">
      <c r="A531">
        <v>28.7</v>
      </c>
    </row>
    <row r="532" spans="1:1" x14ac:dyDescent="0.3">
      <c r="A532">
        <v>28.75</v>
      </c>
    </row>
    <row r="533" spans="1:1" x14ac:dyDescent="0.3">
      <c r="A533">
        <v>28.85</v>
      </c>
    </row>
    <row r="534" spans="1:1" x14ac:dyDescent="0.3">
      <c r="A534">
        <v>28.95</v>
      </c>
    </row>
    <row r="535" spans="1:1" x14ac:dyDescent="0.3">
      <c r="A535">
        <v>28.95</v>
      </c>
    </row>
    <row r="536" spans="1:1" x14ac:dyDescent="0.3">
      <c r="A536">
        <v>29.1</v>
      </c>
    </row>
    <row r="537" spans="1:1" x14ac:dyDescent="0.3">
      <c r="A537">
        <v>29.1</v>
      </c>
    </row>
    <row r="538" spans="1:1" x14ac:dyDescent="0.3">
      <c r="A538">
        <v>29.2</v>
      </c>
    </row>
    <row r="539" spans="1:1" x14ac:dyDescent="0.3">
      <c r="A539">
        <v>29.2</v>
      </c>
    </row>
    <row r="540" spans="1:1" x14ac:dyDescent="0.3">
      <c r="A540">
        <v>29.3</v>
      </c>
    </row>
    <row r="541" spans="1:1" x14ac:dyDescent="0.3">
      <c r="A541">
        <v>29.35</v>
      </c>
    </row>
    <row r="542" spans="1:1" x14ac:dyDescent="0.3">
      <c r="A542">
        <v>29.45</v>
      </c>
    </row>
    <row r="543" spans="1:1" x14ac:dyDescent="0.3">
      <c r="A543">
        <v>29.45</v>
      </c>
    </row>
    <row r="544" spans="1:1" x14ac:dyDescent="0.3">
      <c r="A544">
        <v>29.55</v>
      </c>
    </row>
    <row r="545" spans="1:1" x14ac:dyDescent="0.3">
      <c r="A545">
        <v>29.6</v>
      </c>
    </row>
    <row r="546" spans="1:1" x14ac:dyDescent="0.3">
      <c r="A546">
        <v>29.65</v>
      </c>
    </row>
    <row r="547" spans="1:1" x14ac:dyDescent="0.3">
      <c r="A547">
        <v>29.65</v>
      </c>
    </row>
    <row r="548" spans="1:1" x14ac:dyDescent="0.3">
      <c r="A548">
        <v>29.7</v>
      </c>
    </row>
    <row r="549" spans="1:1" x14ac:dyDescent="0.3">
      <c r="A549">
        <v>29.85</v>
      </c>
    </row>
    <row r="550" spans="1:1" x14ac:dyDescent="0.3">
      <c r="A550">
        <v>29.9</v>
      </c>
    </row>
    <row r="551" spans="1:1" x14ac:dyDescent="0.3">
      <c r="A551">
        <v>30.1</v>
      </c>
    </row>
    <row r="552" spans="1:1" x14ac:dyDescent="0.3">
      <c r="A552">
        <v>30.15</v>
      </c>
    </row>
    <row r="553" spans="1:1" x14ac:dyDescent="0.3">
      <c r="A553">
        <v>30.25</v>
      </c>
    </row>
    <row r="554" spans="1:1" x14ac:dyDescent="0.3">
      <c r="A554">
        <v>30.7</v>
      </c>
    </row>
    <row r="555" spans="1:1" x14ac:dyDescent="0.3">
      <c r="A555">
        <v>30.7</v>
      </c>
    </row>
    <row r="556" spans="1:1" x14ac:dyDescent="0.3">
      <c r="A556">
        <v>30.7</v>
      </c>
    </row>
    <row r="557" spans="1:1" x14ac:dyDescent="0.3">
      <c r="A557">
        <v>30.8</v>
      </c>
    </row>
    <row r="558" spans="1:1" x14ac:dyDescent="0.3">
      <c r="A558">
        <v>30.85</v>
      </c>
    </row>
    <row r="559" spans="1:1" x14ac:dyDescent="0.3">
      <c r="A559">
        <v>30.95</v>
      </c>
    </row>
    <row r="560" spans="1:1" x14ac:dyDescent="0.3">
      <c r="A560">
        <v>31.15</v>
      </c>
    </row>
    <row r="561" spans="1:1" x14ac:dyDescent="0.3">
      <c r="A561">
        <v>31.3</v>
      </c>
    </row>
    <row r="562" spans="1:1" x14ac:dyDescent="0.3">
      <c r="A562">
        <v>31.35</v>
      </c>
    </row>
    <row r="563" spans="1:1" x14ac:dyDescent="0.3">
      <c r="A563">
        <v>31.75</v>
      </c>
    </row>
    <row r="564" spans="1:1" x14ac:dyDescent="0.3">
      <c r="A564">
        <v>31.8</v>
      </c>
    </row>
    <row r="565" spans="1:1" x14ac:dyDescent="0.3">
      <c r="A565">
        <v>31.85</v>
      </c>
    </row>
    <row r="566" spans="1:1" x14ac:dyDescent="0.3">
      <c r="A566">
        <v>31.85</v>
      </c>
    </row>
    <row r="567" spans="1:1" x14ac:dyDescent="0.3">
      <c r="A567">
        <v>32.1</v>
      </c>
    </row>
    <row r="568" spans="1:1" x14ac:dyDescent="0.3">
      <c r="A568">
        <v>32.1</v>
      </c>
    </row>
    <row r="569" spans="1:1" x14ac:dyDescent="0.3">
      <c r="A569">
        <v>32.15</v>
      </c>
    </row>
    <row r="570" spans="1:1" x14ac:dyDescent="0.3">
      <c r="A570">
        <v>32.15</v>
      </c>
    </row>
    <row r="571" spans="1:1" x14ac:dyDescent="0.3">
      <c r="A571">
        <v>32.299999999999997</v>
      </c>
    </row>
    <row r="572" spans="1:1" x14ac:dyDescent="0.3">
      <c r="A572">
        <v>32.4</v>
      </c>
    </row>
    <row r="573" spans="1:1" x14ac:dyDescent="0.3">
      <c r="A573">
        <v>32.4</v>
      </c>
    </row>
    <row r="574" spans="1:1" x14ac:dyDescent="0.3">
      <c r="A574">
        <v>32.5</v>
      </c>
    </row>
    <row r="575" spans="1:1" x14ac:dyDescent="0.3">
      <c r="A575">
        <v>32.549999999999997</v>
      </c>
    </row>
    <row r="576" spans="1:1" x14ac:dyDescent="0.3">
      <c r="A576">
        <v>32.65</v>
      </c>
    </row>
    <row r="577" spans="1:1" x14ac:dyDescent="0.3">
      <c r="A577">
        <v>32.65</v>
      </c>
    </row>
    <row r="578" spans="1:1" x14ac:dyDescent="0.3">
      <c r="A578">
        <v>32.75</v>
      </c>
    </row>
    <row r="579" spans="1:1" x14ac:dyDescent="0.3">
      <c r="A579">
        <v>32.799999999999997</v>
      </c>
    </row>
    <row r="580" spans="1:1" x14ac:dyDescent="0.3">
      <c r="A580">
        <v>32.85</v>
      </c>
    </row>
    <row r="581" spans="1:1" x14ac:dyDescent="0.3">
      <c r="A581">
        <v>32.85</v>
      </c>
    </row>
    <row r="582" spans="1:1" x14ac:dyDescent="0.3">
      <c r="A582">
        <v>33.299999999999997</v>
      </c>
    </row>
    <row r="583" spans="1:1" x14ac:dyDescent="0.3">
      <c r="A583">
        <v>33.5</v>
      </c>
    </row>
    <row r="584" spans="1:1" x14ac:dyDescent="0.3">
      <c r="A584">
        <v>33.6</v>
      </c>
    </row>
    <row r="585" spans="1:1" x14ac:dyDescent="0.3">
      <c r="A585">
        <v>33.950000000000003</v>
      </c>
    </row>
    <row r="586" spans="1:1" x14ac:dyDescent="0.3">
      <c r="A586">
        <v>33.950000000000003</v>
      </c>
    </row>
    <row r="587" spans="1:1" x14ac:dyDescent="0.3">
      <c r="A587">
        <v>34</v>
      </c>
    </row>
    <row r="588" spans="1:1" x14ac:dyDescent="0.3">
      <c r="A588">
        <v>34.200000000000003</v>
      </c>
    </row>
    <row r="589" spans="1:1" x14ac:dyDescent="0.3">
      <c r="A589">
        <v>34.200000000000003</v>
      </c>
    </row>
    <row r="590" spans="1:1" x14ac:dyDescent="0.3">
      <c r="A590">
        <v>34.25</v>
      </c>
    </row>
    <row r="591" spans="1:1" x14ac:dyDescent="0.3">
      <c r="A591">
        <v>34.4</v>
      </c>
    </row>
    <row r="592" spans="1:1" x14ac:dyDescent="0.3">
      <c r="A592">
        <v>34.450000000000003</v>
      </c>
    </row>
    <row r="593" spans="1:1" x14ac:dyDescent="0.3">
      <c r="A593">
        <v>34.5</v>
      </c>
    </row>
    <row r="594" spans="1:1" x14ac:dyDescent="0.3">
      <c r="A594">
        <v>34.549999999999997</v>
      </c>
    </row>
    <row r="595" spans="1:1" x14ac:dyDescent="0.3">
      <c r="A595">
        <v>34.700000000000003</v>
      </c>
    </row>
    <row r="596" spans="1:1" x14ac:dyDescent="0.3">
      <c r="A596">
        <v>34.75</v>
      </c>
    </row>
    <row r="597" spans="1:1" x14ac:dyDescent="0.3">
      <c r="A597">
        <v>34.9</v>
      </c>
    </row>
    <row r="598" spans="1:1" x14ac:dyDescent="0.3">
      <c r="A598">
        <v>35</v>
      </c>
    </row>
    <row r="599" spans="1:1" x14ac:dyDescent="0.3">
      <c r="A599">
        <v>35</v>
      </c>
    </row>
    <row r="600" spans="1:1" x14ac:dyDescent="0.3">
      <c r="A600">
        <v>35.049999999999997</v>
      </c>
    </row>
    <row r="601" spans="1:1" x14ac:dyDescent="0.3">
      <c r="A601">
        <v>35.15</v>
      </c>
    </row>
    <row r="602" spans="1:1" x14ac:dyDescent="0.3">
      <c r="A602">
        <v>35.450000000000003</v>
      </c>
    </row>
    <row r="603" spans="1:1" x14ac:dyDescent="0.3">
      <c r="A603">
        <v>35.5</v>
      </c>
    </row>
    <row r="604" spans="1:1" x14ac:dyDescent="0.3">
      <c r="A604">
        <v>35.6</v>
      </c>
    </row>
    <row r="605" spans="1:1" x14ac:dyDescent="0.3">
      <c r="A605">
        <v>35.65</v>
      </c>
    </row>
    <row r="606" spans="1:1" x14ac:dyDescent="0.3">
      <c r="A606">
        <v>35.700000000000003</v>
      </c>
    </row>
    <row r="607" spans="1:1" x14ac:dyDescent="0.3">
      <c r="A607">
        <v>35.950000000000003</v>
      </c>
    </row>
    <row r="608" spans="1:1" x14ac:dyDescent="0.3">
      <c r="A608">
        <v>35.950000000000003</v>
      </c>
    </row>
    <row r="609" spans="1:1" x14ac:dyDescent="0.3">
      <c r="A609">
        <v>36.15</v>
      </c>
    </row>
    <row r="610" spans="1:1" x14ac:dyDescent="0.3">
      <c r="A610">
        <v>36.299999999999997</v>
      </c>
    </row>
    <row r="611" spans="1:1" x14ac:dyDescent="0.3">
      <c r="A611">
        <v>36.35</v>
      </c>
    </row>
    <row r="612" spans="1:1" x14ac:dyDescent="0.3">
      <c r="A612">
        <v>36.5</v>
      </c>
    </row>
    <row r="613" spans="1:1" x14ac:dyDescent="0.3">
      <c r="A613">
        <v>36.799999999999997</v>
      </c>
    </row>
    <row r="614" spans="1:1" x14ac:dyDescent="0.3">
      <c r="A614">
        <v>36.799999999999997</v>
      </c>
    </row>
    <row r="615" spans="1:1" x14ac:dyDescent="0.3">
      <c r="A615">
        <v>36.9</v>
      </c>
    </row>
    <row r="616" spans="1:1" x14ac:dyDescent="0.3">
      <c r="A616">
        <v>36.950000000000003</v>
      </c>
    </row>
    <row r="617" spans="1:1" x14ac:dyDescent="0.3">
      <c r="A617">
        <v>37</v>
      </c>
    </row>
    <row r="618" spans="1:1" x14ac:dyDescent="0.3">
      <c r="A618">
        <v>37.299999999999997</v>
      </c>
    </row>
    <row r="619" spans="1:1" x14ac:dyDescent="0.3">
      <c r="A619">
        <v>37.4</v>
      </c>
    </row>
    <row r="620" spans="1:1" x14ac:dyDescent="0.3">
      <c r="A620">
        <v>37.450000000000003</v>
      </c>
    </row>
    <row r="621" spans="1:1" x14ac:dyDescent="0.3">
      <c r="A621">
        <v>38</v>
      </c>
    </row>
    <row r="622" spans="1:1" x14ac:dyDescent="0.3">
      <c r="A622">
        <v>38</v>
      </c>
    </row>
    <row r="623" spans="1:1" x14ac:dyDescent="0.3">
      <c r="A623">
        <v>38.15</v>
      </c>
    </row>
    <row r="624" spans="1:1" x14ac:dyDescent="0.3">
      <c r="A624">
        <v>38.15</v>
      </c>
    </row>
    <row r="625" spans="1:1" x14ac:dyDescent="0.3">
      <c r="A625">
        <v>38.200000000000003</v>
      </c>
    </row>
    <row r="626" spans="1:1" x14ac:dyDescent="0.3">
      <c r="A626">
        <v>38.200000000000003</v>
      </c>
    </row>
    <row r="627" spans="1:1" x14ac:dyDescent="0.3">
      <c r="A627">
        <v>38.25</v>
      </c>
    </row>
    <row r="628" spans="1:1" x14ac:dyDescent="0.3">
      <c r="A628">
        <v>38.299999999999997</v>
      </c>
    </row>
    <row r="629" spans="1:1" x14ac:dyDescent="0.3">
      <c r="A629">
        <v>38.299999999999997</v>
      </c>
    </row>
    <row r="630" spans="1:1" x14ac:dyDescent="0.3">
      <c r="A630">
        <v>38.5</v>
      </c>
    </row>
    <row r="631" spans="1:1" x14ac:dyDescent="0.3">
      <c r="A631">
        <v>38.5</v>
      </c>
    </row>
    <row r="632" spans="1:1" x14ac:dyDescent="0.3">
      <c r="A632">
        <v>38.700000000000003</v>
      </c>
    </row>
    <row r="633" spans="1:1" x14ac:dyDescent="0.3">
      <c r="A633">
        <v>39</v>
      </c>
    </row>
    <row r="634" spans="1:1" x14ac:dyDescent="0.3">
      <c r="A634">
        <v>39</v>
      </c>
    </row>
    <row r="635" spans="1:1" x14ac:dyDescent="0.3">
      <c r="A635">
        <v>39.1</v>
      </c>
    </row>
    <row r="636" spans="1:1" x14ac:dyDescent="0.3">
      <c r="A636">
        <v>39.549999999999997</v>
      </c>
    </row>
    <row r="637" spans="1:1" x14ac:dyDescent="0.3">
      <c r="A637">
        <v>39.700000000000003</v>
      </c>
    </row>
    <row r="638" spans="1:1" x14ac:dyDescent="0.3">
      <c r="A638">
        <v>39.700000000000003</v>
      </c>
    </row>
    <row r="639" spans="1:1" x14ac:dyDescent="0.3">
      <c r="A639">
        <v>39.75</v>
      </c>
    </row>
    <row r="640" spans="1:1" x14ac:dyDescent="0.3">
      <c r="A640">
        <v>39.75</v>
      </c>
    </row>
    <row r="641" spans="1:1" x14ac:dyDescent="0.3">
      <c r="A641">
        <v>39.75</v>
      </c>
    </row>
    <row r="642" spans="1:1" x14ac:dyDescent="0.3">
      <c r="A642">
        <v>39.799999999999997</v>
      </c>
    </row>
    <row r="643" spans="1:1" x14ac:dyDescent="0.3">
      <c r="A643">
        <v>40</v>
      </c>
    </row>
    <row r="644" spans="1:1" x14ac:dyDescent="0.3">
      <c r="A644">
        <v>40</v>
      </c>
    </row>
    <row r="645" spans="1:1" x14ac:dyDescent="0.3">
      <c r="A645">
        <v>40.1</v>
      </c>
    </row>
    <row r="646" spans="1:1" x14ac:dyDescent="0.3">
      <c r="A646">
        <v>40.65</v>
      </c>
    </row>
    <row r="647" spans="1:1" x14ac:dyDescent="0.3">
      <c r="A647">
        <v>40.75</v>
      </c>
    </row>
    <row r="648" spans="1:1" x14ac:dyDescent="0.3">
      <c r="A648">
        <v>40.75</v>
      </c>
    </row>
    <row r="649" spans="1:1" x14ac:dyDescent="0.3">
      <c r="A649">
        <v>41</v>
      </c>
    </row>
    <row r="650" spans="1:1" x14ac:dyDescent="0.3">
      <c r="A650">
        <v>41.7</v>
      </c>
    </row>
    <row r="651" spans="1:1" x14ac:dyDescent="0.3">
      <c r="A651">
        <v>41.8</v>
      </c>
    </row>
    <row r="652" spans="1:1" x14ac:dyDescent="0.3">
      <c r="A652">
        <v>41.8</v>
      </c>
    </row>
    <row r="653" spans="1:1" x14ac:dyDescent="0.3">
      <c r="A653">
        <v>42</v>
      </c>
    </row>
    <row r="654" spans="1:1" x14ac:dyDescent="0.3">
      <c r="A654">
        <v>42.15</v>
      </c>
    </row>
    <row r="655" spans="1:1" x14ac:dyDescent="0.3">
      <c r="A655">
        <v>42.2</v>
      </c>
    </row>
    <row r="656" spans="1:1" x14ac:dyDescent="0.3">
      <c r="A656">
        <v>42.25</v>
      </c>
    </row>
    <row r="657" spans="1:1" x14ac:dyDescent="0.3">
      <c r="A657">
        <v>42.5</v>
      </c>
    </row>
    <row r="658" spans="1:1" x14ac:dyDescent="0.3">
      <c r="A658">
        <v>42.5</v>
      </c>
    </row>
    <row r="659" spans="1:1" x14ac:dyDescent="0.3">
      <c r="A659">
        <v>42.5</v>
      </c>
    </row>
    <row r="660" spans="1:1" x14ac:dyDescent="0.3">
      <c r="A660">
        <v>42.85</v>
      </c>
    </row>
    <row r="661" spans="1:1" x14ac:dyDescent="0.3">
      <c r="A661">
        <v>43.1</v>
      </c>
    </row>
    <row r="662" spans="1:1" x14ac:dyDescent="0.3">
      <c r="A662">
        <v>43.15</v>
      </c>
    </row>
    <row r="663" spans="1:1" x14ac:dyDescent="0.3">
      <c r="A663">
        <v>43.8</v>
      </c>
    </row>
    <row r="664" spans="1:1" x14ac:dyDescent="0.3">
      <c r="A664">
        <v>44</v>
      </c>
    </row>
    <row r="665" spans="1:1" x14ac:dyDescent="0.3">
      <c r="A665">
        <v>44.3</v>
      </c>
    </row>
    <row r="666" spans="1:1" x14ac:dyDescent="0.3">
      <c r="A666">
        <v>44.3</v>
      </c>
    </row>
    <row r="667" spans="1:1" x14ac:dyDescent="0.3">
      <c r="A667">
        <v>44.35</v>
      </c>
    </row>
    <row r="668" spans="1:1" x14ac:dyDescent="0.3">
      <c r="A668">
        <v>44.4</v>
      </c>
    </row>
    <row r="669" spans="1:1" x14ac:dyDescent="0.3">
      <c r="A669">
        <v>44.6</v>
      </c>
    </row>
    <row r="670" spans="1:1" x14ac:dyDescent="0.3">
      <c r="A670">
        <v>44.95</v>
      </c>
    </row>
    <row r="671" spans="1:1" x14ac:dyDescent="0.3">
      <c r="A671">
        <v>45.1</v>
      </c>
    </row>
    <row r="672" spans="1:1" x14ac:dyDescent="0.3">
      <c r="A672">
        <v>45.15</v>
      </c>
    </row>
    <row r="673" spans="1:1" x14ac:dyDescent="0.3">
      <c r="A673">
        <v>45.25</v>
      </c>
    </row>
    <row r="674" spans="1:1" x14ac:dyDescent="0.3">
      <c r="A674">
        <v>45.95</v>
      </c>
    </row>
    <row r="675" spans="1:1" x14ac:dyDescent="0.3">
      <c r="A675">
        <v>46.2</v>
      </c>
    </row>
    <row r="676" spans="1:1" x14ac:dyDescent="0.3">
      <c r="A676">
        <v>46.3</v>
      </c>
    </row>
    <row r="677" spans="1:1" x14ac:dyDescent="0.3">
      <c r="A677">
        <v>46.8</v>
      </c>
    </row>
    <row r="678" spans="1:1" x14ac:dyDescent="0.3">
      <c r="A678">
        <v>46.95</v>
      </c>
    </row>
    <row r="679" spans="1:1" x14ac:dyDescent="0.3">
      <c r="A679">
        <v>47</v>
      </c>
    </row>
    <row r="680" spans="1:1" x14ac:dyDescent="0.3">
      <c r="A680">
        <v>47.2</v>
      </c>
    </row>
    <row r="681" spans="1:1" x14ac:dyDescent="0.3">
      <c r="A681">
        <v>47.5</v>
      </c>
    </row>
    <row r="682" spans="1:1" x14ac:dyDescent="0.3">
      <c r="A682">
        <v>48</v>
      </c>
    </row>
    <row r="683" spans="1:1" x14ac:dyDescent="0.3">
      <c r="A683">
        <v>48.35</v>
      </c>
    </row>
    <row r="684" spans="1:1" x14ac:dyDescent="0.3">
      <c r="A684">
        <v>48.85</v>
      </c>
    </row>
    <row r="685" spans="1:1" x14ac:dyDescent="0.3">
      <c r="A685">
        <v>49</v>
      </c>
    </row>
    <row r="686" spans="1:1" x14ac:dyDescent="0.3">
      <c r="A686">
        <v>49.2</v>
      </c>
    </row>
    <row r="687" spans="1:1" x14ac:dyDescent="0.3">
      <c r="A687">
        <v>49.25</v>
      </c>
    </row>
    <row r="688" spans="1:1" x14ac:dyDescent="0.3">
      <c r="A688">
        <v>50.4</v>
      </c>
    </row>
    <row r="689" spans="1:1" x14ac:dyDescent="0.3">
      <c r="A689">
        <v>50.6</v>
      </c>
    </row>
    <row r="690" spans="1:1" x14ac:dyDescent="0.3">
      <c r="A690">
        <v>50.8</v>
      </c>
    </row>
    <row r="691" spans="1:1" x14ac:dyDescent="0.3">
      <c r="A691">
        <v>50.9</v>
      </c>
    </row>
    <row r="692" spans="1:1" x14ac:dyDescent="0.3">
      <c r="A692">
        <v>51.5</v>
      </c>
    </row>
    <row r="693" spans="1:1" x14ac:dyDescent="0.3">
      <c r="A693">
        <v>51.6</v>
      </c>
    </row>
    <row r="694" spans="1:1" x14ac:dyDescent="0.3">
      <c r="A694">
        <v>51.8</v>
      </c>
    </row>
    <row r="695" spans="1:1" x14ac:dyDescent="0.3">
      <c r="A695">
        <v>52</v>
      </c>
    </row>
    <row r="696" spans="1:1" x14ac:dyDescent="0.3">
      <c r="A696">
        <v>52.2</v>
      </c>
    </row>
    <row r="697" spans="1:1" x14ac:dyDescent="0.3">
      <c r="A697">
        <v>52.5</v>
      </c>
    </row>
    <row r="698" spans="1:1" x14ac:dyDescent="0.3">
      <c r="A698">
        <v>52.6</v>
      </c>
    </row>
    <row r="699" spans="1:1" x14ac:dyDescent="0.3">
      <c r="A699">
        <v>52.7</v>
      </c>
    </row>
    <row r="700" spans="1:1" x14ac:dyDescent="0.3">
      <c r="A700">
        <v>53.7</v>
      </c>
    </row>
    <row r="701" spans="1:1" x14ac:dyDescent="0.3">
      <c r="A701">
        <v>53.8</v>
      </c>
    </row>
    <row r="702" spans="1:1" x14ac:dyDescent="0.3">
      <c r="A702">
        <v>53.8</v>
      </c>
    </row>
    <row r="703" spans="1:1" x14ac:dyDescent="0.3">
      <c r="A703">
        <v>54</v>
      </c>
    </row>
    <row r="704" spans="1:1" x14ac:dyDescent="0.3">
      <c r="A704">
        <v>54.1</v>
      </c>
    </row>
    <row r="705" spans="1:1" x14ac:dyDescent="0.3">
      <c r="A705">
        <v>54.3</v>
      </c>
    </row>
    <row r="706" spans="1:1" x14ac:dyDescent="0.3">
      <c r="A706">
        <v>54.6</v>
      </c>
    </row>
    <row r="707" spans="1:1" x14ac:dyDescent="0.3">
      <c r="A707">
        <v>55</v>
      </c>
    </row>
    <row r="708" spans="1:1" x14ac:dyDescent="0.3">
      <c r="A708">
        <v>55.1</v>
      </c>
    </row>
    <row r="709" spans="1:1" x14ac:dyDescent="0.3">
      <c r="A709">
        <v>55.1</v>
      </c>
    </row>
    <row r="710" spans="1:1" x14ac:dyDescent="0.3">
      <c r="A710">
        <v>55.6</v>
      </c>
    </row>
    <row r="711" spans="1:1" x14ac:dyDescent="0.3">
      <c r="A711">
        <v>56.7</v>
      </c>
    </row>
    <row r="712" spans="1:1" x14ac:dyDescent="0.3">
      <c r="A712">
        <v>57</v>
      </c>
    </row>
    <row r="713" spans="1:1" x14ac:dyDescent="0.3">
      <c r="A713">
        <v>57.5</v>
      </c>
    </row>
    <row r="714" spans="1:1" x14ac:dyDescent="0.3">
      <c r="A714">
        <v>57.6</v>
      </c>
    </row>
    <row r="715" spans="1:1" x14ac:dyDescent="0.3">
      <c r="A715">
        <v>57.7</v>
      </c>
    </row>
    <row r="716" spans="1:1" x14ac:dyDescent="0.3">
      <c r="A716">
        <v>57.8</v>
      </c>
    </row>
    <row r="717" spans="1:1" x14ac:dyDescent="0.3">
      <c r="A717">
        <v>58.2</v>
      </c>
    </row>
    <row r="718" spans="1:1" x14ac:dyDescent="0.3">
      <c r="A718">
        <v>58.3</v>
      </c>
    </row>
    <row r="719" spans="1:1" x14ac:dyDescent="0.3">
      <c r="A719">
        <v>58.5</v>
      </c>
    </row>
    <row r="720" spans="1:1" x14ac:dyDescent="0.3">
      <c r="A720">
        <v>58.5</v>
      </c>
    </row>
    <row r="721" spans="1:1" x14ac:dyDescent="0.3">
      <c r="A721">
        <v>58.8</v>
      </c>
    </row>
    <row r="722" spans="1:1" x14ac:dyDescent="0.3">
      <c r="A722">
        <v>58.9</v>
      </c>
    </row>
    <row r="723" spans="1:1" x14ac:dyDescent="0.3">
      <c r="A723">
        <v>59</v>
      </c>
    </row>
    <row r="724" spans="1:1" x14ac:dyDescent="0.3">
      <c r="A724">
        <v>59.7</v>
      </c>
    </row>
    <row r="725" spans="1:1" x14ac:dyDescent="0.3">
      <c r="A725">
        <v>60.2</v>
      </c>
    </row>
    <row r="726" spans="1:1" x14ac:dyDescent="0.3">
      <c r="A726">
        <v>60.6</v>
      </c>
    </row>
    <row r="727" spans="1:1" x14ac:dyDescent="0.3">
      <c r="A727">
        <v>60.6</v>
      </c>
    </row>
    <row r="728" spans="1:1" x14ac:dyDescent="0.3">
      <c r="A728">
        <v>60.7</v>
      </c>
    </row>
    <row r="729" spans="1:1" x14ac:dyDescent="0.3">
      <c r="A729">
        <v>60.7</v>
      </c>
    </row>
    <row r="730" spans="1:1" x14ac:dyDescent="0.3">
      <c r="A730">
        <v>60.9</v>
      </c>
    </row>
    <row r="731" spans="1:1" x14ac:dyDescent="0.3">
      <c r="A731">
        <v>61.7</v>
      </c>
    </row>
    <row r="732" spans="1:1" x14ac:dyDescent="0.3">
      <c r="A732">
        <v>62.5</v>
      </c>
    </row>
    <row r="733" spans="1:1" x14ac:dyDescent="0.3">
      <c r="A733">
        <v>62.5</v>
      </c>
    </row>
    <row r="734" spans="1:1" x14ac:dyDescent="0.3">
      <c r="A734">
        <v>62.8</v>
      </c>
    </row>
    <row r="735" spans="1:1" x14ac:dyDescent="0.3">
      <c r="A735">
        <v>64.2</v>
      </c>
    </row>
    <row r="736" spans="1:1" x14ac:dyDescent="0.3">
      <c r="A736">
        <v>64.599999999999994</v>
      </c>
    </row>
    <row r="737" spans="1:1" x14ac:dyDescent="0.3">
      <c r="A737">
        <v>64.8</v>
      </c>
    </row>
    <row r="738" spans="1:1" x14ac:dyDescent="0.3">
      <c r="A738">
        <v>65</v>
      </c>
    </row>
    <row r="739" spans="1:1" x14ac:dyDescent="0.3">
      <c r="A739">
        <v>65.3</v>
      </c>
    </row>
    <row r="740" spans="1:1" x14ac:dyDescent="0.3">
      <c r="A740">
        <v>66.2</v>
      </c>
    </row>
    <row r="741" spans="1:1" x14ac:dyDescent="0.3">
      <c r="A741">
        <v>66.7</v>
      </c>
    </row>
    <row r="742" spans="1:1" x14ac:dyDescent="0.3">
      <c r="A742">
        <v>67</v>
      </c>
    </row>
    <row r="743" spans="1:1" x14ac:dyDescent="0.3">
      <c r="A743">
        <v>67.5</v>
      </c>
    </row>
    <row r="744" spans="1:1" x14ac:dyDescent="0.3">
      <c r="A744">
        <v>69.400000000000006</v>
      </c>
    </row>
    <row r="745" spans="1:1" x14ac:dyDescent="0.3">
      <c r="A745">
        <v>69.7</v>
      </c>
    </row>
    <row r="746" spans="1:1" x14ac:dyDescent="0.3">
      <c r="A746">
        <v>70.2</v>
      </c>
    </row>
    <row r="747" spans="1:1" x14ac:dyDescent="0.3">
      <c r="A747">
        <v>70.3</v>
      </c>
    </row>
    <row r="748" spans="1:1" x14ac:dyDescent="0.3">
      <c r="A748">
        <v>70.3</v>
      </c>
    </row>
    <row r="749" spans="1:1" x14ac:dyDescent="0.3">
      <c r="A749">
        <v>70.400000000000006</v>
      </c>
    </row>
    <row r="750" spans="1:1" x14ac:dyDescent="0.3">
      <c r="A750">
        <v>70.599999999999994</v>
      </c>
    </row>
    <row r="751" spans="1:1" x14ac:dyDescent="0.3">
      <c r="A751">
        <v>70.8</v>
      </c>
    </row>
    <row r="752" spans="1:1" x14ac:dyDescent="0.3">
      <c r="A752">
        <v>70.8</v>
      </c>
    </row>
    <row r="753" spans="1:1" x14ac:dyDescent="0.3">
      <c r="A753">
        <v>70.900000000000006</v>
      </c>
    </row>
    <row r="754" spans="1:1" x14ac:dyDescent="0.3">
      <c r="A754">
        <v>71</v>
      </c>
    </row>
    <row r="755" spans="1:1" x14ac:dyDescent="0.3">
      <c r="A755">
        <v>71.3</v>
      </c>
    </row>
    <row r="756" spans="1:1" x14ac:dyDescent="0.3">
      <c r="A756">
        <v>71.8</v>
      </c>
    </row>
    <row r="757" spans="1:1" x14ac:dyDescent="0.3">
      <c r="A757">
        <v>72.400000000000006</v>
      </c>
    </row>
    <row r="758" spans="1:1" x14ac:dyDescent="0.3">
      <c r="A758">
        <v>72.7</v>
      </c>
    </row>
    <row r="759" spans="1:1" x14ac:dyDescent="0.3">
      <c r="A759">
        <v>72.900000000000006</v>
      </c>
    </row>
    <row r="760" spans="1:1" x14ac:dyDescent="0.3">
      <c r="A760">
        <v>73.3</v>
      </c>
    </row>
    <row r="761" spans="1:1" x14ac:dyDescent="0.3">
      <c r="A761">
        <v>73.400000000000006</v>
      </c>
    </row>
    <row r="762" spans="1:1" x14ac:dyDescent="0.3">
      <c r="A762">
        <v>73.5</v>
      </c>
    </row>
    <row r="763" spans="1:1" x14ac:dyDescent="0.3">
      <c r="A763">
        <v>74.099999999999994</v>
      </c>
    </row>
    <row r="764" spans="1:1" x14ac:dyDescent="0.3">
      <c r="A764">
        <v>74.099999999999994</v>
      </c>
    </row>
    <row r="765" spans="1:1" x14ac:dyDescent="0.3">
      <c r="A765">
        <v>74.400000000000006</v>
      </c>
    </row>
    <row r="766" spans="1:1" x14ac:dyDescent="0.3">
      <c r="A766">
        <v>74.400000000000006</v>
      </c>
    </row>
    <row r="767" spans="1:1" x14ac:dyDescent="0.3">
      <c r="A767">
        <v>74.599999999999994</v>
      </c>
    </row>
    <row r="768" spans="1:1" x14ac:dyDescent="0.3">
      <c r="A768">
        <v>74.8</v>
      </c>
    </row>
    <row r="769" spans="1:1" x14ac:dyDescent="0.3">
      <c r="A769">
        <v>75</v>
      </c>
    </row>
    <row r="770" spans="1:1" x14ac:dyDescent="0.3">
      <c r="A770">
        <v>75.2</v>
      </c>
    </row>
    <row r="771" spans="1:1" x14ac:dyDescent="0.3">
      <c r="A771">
        <v>76.5</v>
      </c>
    </row>
    <row r="772" spans="1:1" x14ac:dyDescent="0.3">
      <c r="A772">
        <v>77.900000000000006</v>
      </c>
    </row>
    <row r="773" spans="1:1" x14ac:dyDescent="0.3">
      <c r="A773">
        <v>78</v>
      </c>
    </row>
    <row r="774" spans="1:1" x14ac:dyDescent="0.3">
      <c r="A774">
        <v>78.599999999999994</v>
      </c>
    </row>
    <row r="775" spans="1:1" x14ac:dyDescent="0.3">
      <c r="A775">
        <v>79.099999999999994</v>
      </c>
    </row>
    <row r="776" spans="1:1" x14ac:dyDescent="0.3">
      <c r="A776">
        <v>80</v>
      </c>
    </row>
    <row r="777" spans="1:1" x14ac:dyDescent="0.3">
      <c r="A777">
        <v>80.400000000000006</v>
      </c>
    </row>
    <row r="778" spans="1:1" x14ac:dyDescent="0.3">
      <c r="A778">
        <v>80.7</v>
      </c>
    </row>
    <row r="779" spans="1:1" x14ac:dyDescent="0.3">
      <c r="A779">
        <v>80.8</v>
      </c>
    </row>
    <row r="780" spans="1:1" x14ac:dyDescent="0.3">
      <c r="A780">
        <v>80.900000000000006</v>
      </c>
    </row>
    <row r="781" spans="1:1" x14ac:dyDescent="0.3">
      <c r="A781">
        <v>82</v>
      </c>
    </row>
    <row r="782" spans="1:1" x14ac:dyDescent="0.3">
      <c r="A782">
        <v>82.4</v>
      </c>
    </row>
    <row r="783" spans="1:1" x14ac:dyDescent="0.3">
      <c r="A783">
        <v>82.9</v>
      </c>
    </row>
    <row r="784" spans="1:1" x14ac:dyDescent="0.3">
      <c r="A784">
        <v>83.4</v>
      </c>
    </row>
    <row r="785" spans="1:1" x14ac:dyDescent="0.3">
      <c r="A785">
        <v>83.5</v>
      </c>
    </row>
    <row r="786" spans="1:1" x14ac:dyDescent="0.3">
      <c r="A786">
        <v>85</v>
      </c>
    </row>
    <row r="787" spans="1:1" x14ac:dyDescent="0.3">
      <c r="A787">
        <v>86.5</v>
      </c>
    </row>
    <row r="788" spans="1:1" x14ac:dyDescent="0.3">
      <c r="A788">
        <v>90.5</v>
      </c>
    </row>
    <row r="789" spans="1:1" x14ac:dyDescent="0.3">
      <c r="A789">
        <v>93.1</v>
      </c>
    </row>
    <row r="790" spans="1:1" x14ac:dyDescent="0.3">
      <c r="A790">
        <v>94.1</v>
      </c>
    </row>
    <row r="791" spans="1:1" x14ac:dyDescent="0.3">
      <c r="A791">
        <v>94.1</v>
      </c>
    </row>
    <row r="792" spans="1:1" x14ac:dyDescent="0.3">
      <c r="A792">
        <v>95</v>
      </c>
    </row>
    <row r="793" spans="1:1" x14ac:dyDescent="0.3">
      <c r="A793">
        <v>96</v>
      </c>
    </row>
    <row r="794" spans="1:1" x14ac:dyDescent="0.3">
      <c r="A794">
        <v>98</v>
      </c>
    </row>
    <row r="795" spans="1:1" x14ac:dyDescent="0.3">
      <c r="A795">
        <v>98.2</v>
      </c>
    </row>
    <row r="796" spans="1:1" x14ac:dyDescent="0.3">
      <c r="A796">
        <v>98.9</v>
      </c>
    </row>
    <row r="797" spans="1:1" x14ac:dyDescent="0.3">
      <c r="A797">
        <v>98.9</v>
      </c>
    </row>
    <row r="798" spans="1:1" x14ac:dyDescent="0.3">
      <c r="A798">
        <v>99.6</v>
      </c>
    </row>
    <row r="799" spans="1:1" x14ac:dyDescent="0.3">
      <c r="A799">
        <v>100.5</v>
      </c>
    </row>
    <row r="800" spans="1:1" x14ac:dyDescent="0.3">
      <c r="A800">
        <v>103</v>
      </c>
    </row>
    <row r="801" spans="1:1" x14ac:dyDescent="0.3">
      <c r="A801">
        <v>103.5</v>
      </c>
    </row>
    <row r="802" spans="1:1" x14ac:dyDescent="0.3">
      <c r="A802">
        <v>104</v>
      </c>
    </row>
    <row r="803" spans="1:1" x14ac:dyDescent="0.3">
      <c r="A803">
        <v>104.5</v>
      </c>
    </row>
    <row r="804" spans="1:1" x14ac:dyDescent="0.3">
      <c r="A804">
        <v>108</v>
      </c>
    </row>
    <row r="805" spans="1:1" x14ac:dyDescent="0.3">
      <c r="A805">
        <v>108.5</v>
      </c>
    </row>
    <row r="806" spans="1:1" x14ac:dyDescent="0.3">
      <c r="A806">
        <v>113.5</v>
      </c>
    </row>
    <row r="807" spans="1:1" x14ac:dyDescent="0.3">
      <c r="A807">
        <v>116</v>
      </c>
    </row>
    <row r="808" spans="1:1" x14ac:dyDescent="0.3">
      <c r="A808">
        <v>116.5</v>
      </c>
    </row>
    <row r="809" spans="1:1" x14ac:dyDescent="0.3">
      <c r="A809">
        <v>126.5</v>
      </c>
    </row>
    <row r="810" spans="1:1" x14ac:dyDescent="0.3">
      <c r="A810">
        <v>134</v>
      </c>
    </row>
    <row r="811" spans="1:1" x14ac:dyDescent="0.3">
      <c r="A811">
        <v>138</v>
      </c>
    </row>
    <row r="812" spans="1:1" x14ac:dyDescent="0.3">
      <c r="A812">
        <v>139</v>
      </c>
    </row>
    <row r="813" spans="1:1" x14ac:dyDescent="0.3">
      <c r="A813">
        <v>142</v>
      </c>
    </row>
    <row r="814" spans="1:1" x14ac:dyDescent="0.3">
      <c r="A814">
        <v>145</v>
      </c>
    </row>
    <row r="815" spans="1:1" x14ac:dyDescent="0.3">
      <c r="A815">
        <v>147</v>
      </c>
    </row>
    <row r="816" spans="1:1" x14ac:dyDescent="0.3">
      <c r="A816">
        <v>147.5</v>
      </c>
    </row>
    <row r="817" spans="1:1" x14ac:dyDescent="0.3">
      <c r="A817">
        <v>150.5</v>
      </c>
    </row>
    <row r="818" spans="1:1" x14ac:dyDescent="0.3">
      <c r="A818">
        <v>152</v>
      </c>
    </row>
    <row r="819" spans="1:1" x14ac:dyDescent="0.3">
      <c r="A819">
        <v>154</v>
      </c>
    </row>
    <row r="820" spans="1:1" x14ac:dyDescent="0.3">
      <c r="A820">
        <v>155.5</v>
      </c>
    </row>
    <row r="821" spans="1:1" x14ac:dyDescent="0.3">
      <c r="A821">
        <v>160</v>
      </c>
    </row>
    <row r="822" spans="1:1" x14ac:dyDescent="0.3">
      <c r="A822">
        <v>167.5</v>
      </c>
    </row>
    <row r="823" spans="1:1" x14ac:dyDescent="0.3">
      <c r="A823">
        <v>176.5</v>
      </c>
    </row>
    <row r="824" spans="1:1" x14ac:dyDescent="0.3">
      <c r="A824">
        <v>183</v>
      </c>
    </row>
    <row r="825" spans="1:1" x14ac:dyDescent="0.3">
      <c r="A825">
        <v>184</v>
      </c>
    </row>
    <row r="826" spans="1:1" x14ac:dyDescent="0.3">
      <c r="A826">
        <v>197</v>
      </c>
    </row>
    <row r="827" spans="1:1" x14ac:dyDescent="0.3">
      <c r="A827">
        <v>205.5</v>
      </c>
    </row>
    <row r="828" spans="1:1" x14ac:dyDescent="0.3">
      <c r="A828">
        <v>218.5</v>
      </c>
    </row>
    <row r="829" spans="1:1" x14ac:dyDescent="0.3">
      <c r="A829">
        <v>229.5</v>
      </c>
    </row>
    <row r="830" spans="1:1" x14ac:dyDescent="0.3">
      <c r="A830">
        <v>231</v>
      </c>
    </row>
    <row r="831" spans="1:1" x14ac:dyDescent="0.3">
      <c r="A831">
        <v>233</v>
      </c>
    </row>
    <row r="832" spans="1:1" x14ac:dyDescent="0.3">
      <c r="A832">
        <v>237</v>
      </c>
    </row>
    <row r="833" spans="1:1" x14ac:dyDescent="0.3">
      <c r="A833">
        <v>266</v>
      </c>
    </row>
    <row r="834" spans="1:1" x14ac:dyDescent="0.3">
      <c r="A834">
        <v>280</v>
      </c>
    </row>
    <row r="835" spans="1:1" x14ac:dyDescent="0.3">
      <c r="A835">
        <v>327</v>
      </c>
    </row>
    <row r="836" spans="1:1" x14ac:dyDescent="0.3">
      <c r="A836">
        <v>345</v>
      </c>
    </row>
    <row r="837" spans="1:1" x14ac:dyDescent="0.3">
      <c r="A837">
        <v>363</v>
      </c>
    </row>
    <row r="838" spans="1:1" x14ac:dyDescent="0.3">
      <c r="A838">
        <v>406</v>
      </c>
    </row>
    <row r="839" spans="1:1" x14ac:dyDescent="0.3">
      <c r="A839">
        <v>483</v>
      </c>
    </row>
    <row r="840" spans="1:1" x14ac:dyDescent="0.3">
      <c r="A840">
        <v>984</v>
      </c>
    </row>
  </sheetData>
  <sortState ref="H2:H42">
    <sortCondition ref="H2"/>
  </sortState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每日收盤行情(2013-7-1)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2014-07-19T10:23:30Z</dcterms:created>
  <dcterms:modified xsi:type="dcterms:W3CDTF">2017-10-04T09:30:44Z</dcterms:modified>
</cp:coreProperties>
</file>