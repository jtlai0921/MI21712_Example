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240" yWindow="96" windowWidth="11712" windowHeight="8676"/>
  </bookViews>
  <sheets>
    <sheet name="大聯盟投手 (文字函數)" sheetId="4" r:id="rId1"/>
  </sheets>
  <calcPr calcId="162913"/>
</workbook>
</file>

<file path=xl/calcChain.xml><?xml version="1.0" encoding="utf-8"?>
<calcChain xmlns="http://schemas.openxmlformats.org/spreadsheetml/2006/main">
  <c r="I2" i="4" l="1"/>
  <c r="J3" i="4" l="1"/>
  <c r="J4" i="4"/>
  <c r="J5" i="4"/>
  <c r="J6" i="4"/>
  <c r="J2" i="4"/>
  <c r="G3" i="4"/>
  <c r="I3" i="4" s="1"/>
  <c r="H3" i="4"/>
  <c r="G4" i="4"/>
  <c r="I4" i="4" s="1"/>
  <c r="H4" i="4"/>
  <c r="G5" i="4"/>
  <c r="I5" i="4"/>
  <c r="H5" i="4"/>
  <c r="G6" i="4"/>
  <c r="I6" i="4" s="1"/>
  <c r="H6" i="4"/>
  <c r="H2" i="4"/>
  <c r="G2" i="4"/>
  <c r="D2" i="4"/>
  <c r="E2" i="4"/>
  <c r="D3" i="4"/>
  <c r="E3" i="4"/>
  <c r="D4" i="4"/>
  <c r="E4" i="4"/>
  <c r="D5" i="4"/>
  <c r="E5" i="4"/>
  <c r="D6" i="4"/>
  <c r="E6" i="4"/>
</calcChain>
</file>

<file path=xl/sharedStrings.xml><?xml version="1.0" encoding="utf-8"?>
<sst xmlns="http://schemas.openxmlformats.org/spreadsheetml/2006/main" count="20" uniqueCount="17">
  <si>
    <t>場數</t>
    <phoneticPr fontId="1" type="noConversion"/>
  </si>
  <si>
    <t>大聯盟投手</t>
    <phoneticPr fontId="1" type="noConversion"/>
  </si>
  <si>
    <t>王建民</t>
    <phoneticPr fontId="1" type="noConversion"/>
  </si>
  <si>
    <t>李商隱</t>
    <phoneticPr fontId="1" type="noConversion"/>
  </si>
  <si>
    <t>林語堂</t>
    <phoneticPr fontId="1" type="noConversion"/>
  </si>
  <si>
    <t>朱元璋</t>
    <phoneticPr fontId="1" type="noConversion"/>
  </si>
  <si>
    <t>西施</t>
    <phoneticPr fontId="1" type="noConversion"/>
  </si>
  <si>
    <t>M</t>
    <phoneticPr fontId="1" type="noConversion"/>
  </si>
  <si>
    <t>F</t>
    <phoneticPr fontId="1" type="noConversion"/>
  </si>
  <si>
    <t>性別</t>
    <phoneticPr fontId="1" type="noConversion"/>
  </si>
  <si>
    <t>LEFT函數</t>
    <phoneticPr fontId="1" type="noConversion"/>
  </si>
  <si>
    <t>IF函數</t>
    <phoneticPr fontId="1" type="noConversion"/>
  </si>
  <si>
    <t>&amp;運算</t>
    <phoneticPr fontId="1" type="noConversion"/>
  </si>
  <si>
    <t>LEN函數</t>
    <phoneticPr fontId="1" type="noConversion"/>
  </si>
  <si>
    <t>勝場(Win)</t>
    <phoneticPr fontId="1" type="noConversion"/>
  </si>
  <si>
    <t>敗場(Lose)</t>
    <phoneticPr fontId="1" type="noConversion"/>
  </si>
  <si>
    <t>勝率(Win Ratio)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</si>
</sst>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11</xdr:col>
      <xdr:colOff>259080</xdr:colOff>
      <xdr:row>20</xdr:row>
      <xdr:rowOff>137160</xdr:rowOff>
    </xdr:to>
    <xdr:sp macro="" textlink="">
      <xdr:nvSpPr>
        <xdr:cNvPr id="2" name="文字方塊 1"/>
        <xdr:cNvSpPr txBox="1"/>
      </xdr:nvSpPr>
      <xdr:spPr>
        <a:xfrm>
          <a:off x="1257300" y="1440180"/>
          <a:ext cx="5745480" cy="28117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文字函數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=LEFT(A2,1)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取左邊第一個字當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姓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=IF(F2="M","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先生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女士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如是男性稱呼先生，否則女士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=G2&amp;H2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將姓與稱呼結合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=LEN(A2)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函數計算名字的長度。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自行練習：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欄寫一個函數：如果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名字的長度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=2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，則取右邊一字做名字，否則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取右邊二字做名字，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並加上「您好」兩字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M19" sqref="M19"/>
    </sheetView>
  </sheetViews>
  <sheetFormatPr defaultRowHeight="16.2"/>
  <cols>
    <col min="1" max="1" width="9.44140625" bestFit="1" customWidth="1"/>
  </cols>
  <sheetData>
    <row r="1" spans="1:10">
      <c r="A1" t="s">
        <v>1</v>
      </c>
      <c r="B1" t="s">
        <v>14</v>
      </c>
      <c r="C1" t="s">
        <v>15</v>
      </c>
      <c r="D1" t="s">
        <v>0</v>
      </c>
      <c r="E1" t="s">
        <v>16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>
      <c r="A2" t="s">
        <v>2</v>
      </c>
      <c r="B2">
        <v>19</v>
      </c>
      <c r="C2">
        <v>7</v>
      </c>
      <c r="D2">
        <f>SUM(B2:C2)</f>
        <v>26</v>
      </c>
      <c r="E2">
        <f>B2/D2</f>
        <v>0.73076923076923073</v>
      </c>
      <c r="F2" t="s">
        <v>7</v>
      </c>
      <c r="G2" t="str">
        <f>LEFT(A2,1)</f>
        <v>王</v>
      </c>
      <c r="H2" t="str">
        <f>IF(F2="M","先生","女士")</f>
        <v>先生</v>
      </c>
      <c r="I2" t="str">
        <f>G2&amp;H2</f>
        <v>王先生</v>
      </c>
      <c r="J2">
        <f>LEN(A2)</f>
        <v>3</v>
      </c>
    </row>
    <row r="3" spans="1:10">
      <c r="A3" t="s">
        <v>3</v>
      </c>
      <c r="B3">
        <v>17</v>
      </c>
      <c r="C3">
        <v>9</v>
      </c>
      <c r="D3">
        <f>SUM(B3:C3)</f>
        <v>26</v>
      </c>
      <c r="E3">
        <f>B3/D3</f>
        <v>0.65384615384615385</v>
      </c>
      <c r="F3" t="s">
        <v>7</v>
      </c>
      <c r="G3" t="str">
        <f>LEFT(A3,1)</f>
        <v>李</v>
      </c>
      <c r="H3" t="str">
        <f>IF(F3="M","先生","女士")</f>
        <v>先生</v>
      </c>
      <c r="I3" t="str">
        <f>G3&amp;H3</f>
        <v>李先生</v>
      </c>
      <c r="J3">
        <f>LEN(A3)</f>
        <v>3</v>
      </c>
    </row>
    <row r="4" spans="1:10">
      <c r="A4" t="s">
        <v>6</v>
      </c>
      <c r="B4">
        <v>12</v>
      </c>
      <c r="C4">
        <v>14</v>
      </c>
      <c r="D4">
        <f>SUM(B4:C4)</f>
        <v>26</v>
      </c>
      <c r="E4">
        <f>B4/D4</f>
        <v>0.46153846153846156</v>
      </c>
      <c r="F4" t="s">
        <v>8</v>
      </c>
      <c r="G4" t="str">
        <f>LEFT(A4,1)</f>
        <v>西</v>
      </c>
      <c r="H4" t="str">
        <f>IF(F4="M","先生","女士")</f>
        <v>女士</v>
      </c>
      <c r="I4" t="str">
        <f>G4&amp;H4</f>
        <v>西女士</v>
      </c>
      <c r="J4">
        <f>LEN(A4)</f>
        <v>2</v>
      </c>
    </row>
    <row r="5" spans="1:10">
      <c r="A5" t="s">
        <v>4</v>
      </c>
      <c r="B5">
        <v>5</v>
      </c>
      <c r="C5">
        <v>12</v>
      </c>
      <c r="D5">
        <f>SUM(B5:C5)</f>
        <v>17</v>
      </c>
      <c r="E5">
        <f>B5/D5</f>
        <v>0.29411764705882354</v>
      </c>
      <c r="F5" t="s">
        <v>7</v>
      </c>
      <c r="G5" t="str">
        <f>LEFT(A5,1)</f>
        <v>林</v>
      </c>
      <c r="H5" t="str">
        <f>IF(F5="M","先生","女士")</f>
        <v>先生</v>
      </c>
      <c r="I5" t="str">
        <f>G5&amp;H5</f>
        <v>林先生</v>
      </c>
      <c r="J5">
        <f>LEN(A5)</f>
        <v>3</v>
      </c>
    </row>
    <row r="6" spans="1:10">
      <c r="A6" t="s">
        <v>5</v>
      </c>
      <c r="B6">
        <v>8</v>
      </c>
      <c r="C6">
        <v>8</v>
      </c>
      <c r="D6">
        <f>SUM(B6:C6)</f>
        <v>16</v>
      </c>
      <c r="E6">
        <f>B6/D6</f>
        <v>0.5</v>
      </c>
      <c r="F6" t="s">
        <v>7</v>
      </c>
      <c r="G6" t="str">
        <f>LEFT(A6,1)</f>
        <v>朱</v>
      </c>
      <c r="H6" t="str">
        <f>IF(F6="M","先生","女士")</f>
        <v>先生</v>
      </c>
      <c r="I6" t="str">
        <f>G6&amp;H6</f>
        <v>朱先生</v>
      </c>
      <c r="J6">
        <f>LEN(A6)</f>
        <v>3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大聯盟投手 (文字函數)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2017-09-17T03:47:22Z</dcterms:modified>
</cp:coreProperties>
</file>