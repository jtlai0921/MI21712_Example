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2章 Excel入門1：公式、函數、繪圖\"/>
    </mc:Choice>
  </mc:AlternateContent>
  <bookViews>
    <workbookView xWindow="240" yWindow="96" windowWidth="11712" windowHeight="8676"/>
  </bookViews>
  <sheets>
    <sheet name="資料庫函數" sheetId="9" r:id="rId1"/>
  </sheets>
  <calcPr calcId="162913"/>
</workbook>
</file>

<file path=xl/calcChain.xml><?xml version="1.0" encoding="utf-8"?>
<calcChain xmlns="http://schemas.openxmlformats.org/spreadsheetml/2006/main">
  <c r="B19" i="9" l="1"/>
  <c r="B21" i="9" l="1"/>
  <c r="B20" i="9"/>
  <c r="B18" i="9"/>
  <c r="F3" i="9"/>
  <c r="F4" i="9"/>
  <c r="F5" i="9"/>
  <c r="F6" i="9"/>
  <c r="F7" i="9"/>
  <c r="F8" i="9"/>
  <c r="F9" i="9"/>
  <c r="F10" i="9"/>
  <c r="F11" i="9"/>
  <c r="F12" i="9"/>
  <c r="F13" i="9"/>
</calcChain>
</file>

<file path=xl/sharedStrings.xml><?xml version="1.0" encoding="utf-8"?>
<sst xmlns="http://schemas.openxmlformats.org/spreadsheetml/2006/main" count="51" uniqueCount="23">
  <si>
    <t>學生</t>
  </si>
  <si>
    <t>計概</t>
  </si>
  <si>
    <t>科目</t>
  </si>
  <si>
    <t>成績</t>
  </si>
  <si>
    <t>等級</t>
  </si>
  <si>
    <t>地區編號</t>
  </si>
  <si>
    <t>丁一</t>
  </si>
  <si>
    <t>數學</t>
  </si>
  <si>
    <t>王五</t>
  </si>
  <si>
    <t>英文</t>
  </si>
  <si>
    <t>李四</t>
  </si>
  <si>
    <t>張三</t>
  </si>
  <si>
    <t>IF</t>
    <phoneticPr fontId="1" type="noConversion"/>
  </si>
  <si>
    <t>科目代號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</si>
  <si>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</si>
  <si>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</si>
  <si>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</si>
  <si>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英文</t>
    <phoneticPr fontId="1" type="noConversion"/>
  </si>
  <si>
    <t>&gt;60</t>
    <phoneticPr fontId="1" type="noConversion"/>
  </si>
  <si>
    <t>DSUM</t>
    <phoneticPr fontId="1" type="noConversion"/>
  </si>
  <si>
    <t>DAVERAGE</t>
    <phoneticPr fontId="1" type="noConversion"/>
  </si>
  <si>
    <t>DMAX</t>
    <phoneticPr fontId="1" type="noConversion"/>
  </si>
  <si>
    <t>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</si>
</sst>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327660</xdr:colOff>
      <xdr:row>12</xdr:row>
      <xdr:rowOff>60960</xdr:rowOff>
    </xdr:to>
    <xdr:sp macro="" textlink="">
      <xdr:nvSpPr>
        <xdr:cNvPr id="2" name="文字方塊 1"/>
        <xdr:cNvSpPr txBox="1"/>
      </xdr:nvSpPr>
      <xdr:spPr>
        <a:xfrm>
          <a:off x="4655820" y="205740"/>
          <a:ext cx="703326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B18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=DSUM($B$2:$G$13,"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者的成績總和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=DAVERAGE($B$2:$G$13,"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=DMIN($B$2:$G$13,"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=DMAX($B$2:$G$13,"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N20" sqref="N20"/>
    </sheetView>
  </sheetViews>
  <sheetFormatPr defaultRowHeight="16.2"/>
  <cols>
    <col min="2" max="3" width="9.44140625" bestFit="1" customWidth="1"/>
    <col min="4" max="6" width="4.77734375" bestFit="1" customWidth="1"/>
    <col min="7" max="7" width="8" bestFit="1" customWidth="1"/>
  </cols>
  <sheetData>
    <row r="1" spans="2:7">
      <c r="F1" t="s">
        <v>12</v>
      </c>
    </row>
    <row r="2" spans="2:7">
      <c r="B2" s="1" t="s">
        <v>0</v>
      </c>
      <c r="C2" s="2" t="s">
        <v>13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14</v>
      </c>
      <c r="D3" s="1" t="s">
        <v>7</v>
      </c>
      <c r="E3" s="3">
        <v>65</v>
      </c>
      <c r="F3" s="1" t="str">
        <f t="shared" ref="F3:F13" si="0">IF(E3&lt;30,"劣",IF(E3&lt;60,"差",IF(E3&lt;80,"普","優")))</f>
        <v>普</v>
      </c>
      <c r="G3" s="3">
        <v>1</v>
      </c>
    </row>
    <row r="4" spans="2:7">
      <c r="B4" s="1" t="s">
        <v>8</v>
      </c>
      <c r="C4" s="1" t="s">
        <v>15</v>
      </c>
      <c r="D4" s="1" t="s">
        <v>1</v>
      </c>
      <c r="E4" s="3">
        <v>70</v>
      </c>
      <c r="F4" s="1" t="str">
        <f t="shared" si="0"/>
        <v>普</v>
      </c>
      <c r="G4" s="3">
        <v>2</v>
      </c>
    </row>
    <row r="5" spans="2:7">
      <c r="B5" s="1" t="s">
        <v>8</v>
      </c>
      <c r="C5" s="1" t="s">
        <v>16</v>
      </c>
      <c r="D5" s="1" t="s">
        <v>17</v>
      </c>
      <c r="E5" s="3">
        <v>100</v>
      </c>
      <c r="F5" s="1" t="str">
        <f t="shared" si="0"/>
        <v>優</v>
      </c>
      <c r="G5" s="3">
        <v>3</v>
      </c>
    </row>
    <row r="6" spans="2:7">
      <c r="B6" s="1" t="s">
        <v>6</v>
      </c>
      <c r="C6" s="1" t="s">
        <v>16</v>
      </c>
      <c r="D6" s="1" t="s">
        <v>9</v>
      </c>
      <c r="E6" s="3">
        <v>80</v>
      </c>
      <c r="F6" s="1" t="str">
        <f t="shared" si="0"/>
        <v>優</v>
      </c>
      <c r="G6" s="3">
        <v>1</v>
      </c>
    </row>
    <row r="7" spans="2:7">
      <c r="B7" s="1" t="s">
        <v>10</v>
      </c>
      <c r="C7" s="1" t="s">
        <v>14</v>
      </c>
      <c r="D7" s="1" t="s">
        <v>7</v>
      </c>
      <c r="E7" s="3">
        <v>90</v>
      </c>
      <c r="F7" s="1" t="str">
        <f t="shared" si="0"/>
        <v>優</v>
      </c>
      <c r="G7" s="3">
        <v>2</v>
      </c>
    </row>
    <row r="8" spans="2:7">
      <c r="B8" s="1" t="s">
        <v>10</v>
      </c>
      <c r="C8" s="1" t="s">
        <v>15</v>
      </c>
      <c r="D8" s="1" t="s">
        <v>1</v>
      </c>
      <c r="E8" s="3">
        <v>40</v>
      </c>
      <c r="F8" s="1" t="str">
        <f t="shared" si="0"/>
        <v>差</v>
      </c>
      <c r="G8" s="3">
        <v>3</v>
      </c>
    </row>
    <row r="9" spans="2:7">
      <c r="B9" s="1" t="s">
        <v>11</v>
      </c>
      <c r="C9" s="1" t="s">
        <v>14</v>
      </c>
      <c r="D9" s="1" t="s">
        <v>7</v>
      </c>
      <c r="E9" s="3">
        <v>30</v>
      </c>
      <c r="F9" s="1" t="str">
        <f t="shared" si="0"/>
        <v>差</v>
      </c>
      <c r="G9" s="3">
        <v>1</v>
      </c>
    </row>
    <row r="10" spans="2:7">
      <c r="B10" s="1" t="s">
        <v>10</v>
      </c>
      <c r="C10" s="1" t="s">
        <v>14</v>
      </c>
      <c r="D10" s="1" t="s">
        <v>7</v>
      </c>
      <c r="E10" s="3">
        <v>60</v>
      </c>
      <c r="F10" s="1" t="str">
        <f t="shared" si="0"/>
        <v>普</v>
      </c>
      <c r="G10" s="3">
        <v>1</v>
      </c>
    </row>
    <row r="11" spans="2:7">
      <c r="B11" s="1" t="s">
        <v>11</v>
      </c>
      <c r="C11" s="1" t="s">
        <v>15</v>
      </c>
      <c r="D11" s="1" t="s">
        <v>1</v>
      </c>
      <c r="E11" s="3">
        <v>10</v>
      </c>
      <c r="F11" s="1" t="str">
        <f t="shared" si="0"/>
        <v>劣</v>
      </c>
      <c r="G11" s="3">
        <v>2</v>
      </c>
    </row>
    <row r="12" spans="2:7">
      <c r="B12" s="1" t="s">
        <v>10</v>
      </c>
      <c r="C12" s="1" t="s">
        <v>16</v>
      </c>
      <c r="D12" s="1" t="s">
        <v>9</v>
      </c>
      <c r="E12" s="3">
        <v>20</v>
      </c>
      <c r="F12" s="1" t="str">
        <f t="shared" si="0"/>
        <v>劣</v>
      </c>
      <c r="G12" s="3">
        <v>2</v>
      </c>
    </row>
    <row r="13" spans="2:7">
      <c r="B13" s="1" t="s">
        <v>8</v>
      </c>
      <c r="C13" s="1" t="s">
        <v>16</v>
      </c>
      <c r="D13" s="1" t="s">
        <v>9</v>
      </c>
      <c r="E13" s="3">
        <v>50</v>
      </c>
      <c r="F13" s="1" t="str">
        <f t="shared" si="0"/>
        <v>差</v>
      </c>
      <c r="G13" s="3">
        <v>3</v>
      </c>
    </row>
    <row r="15" spans="2:7">
      <c r="B15" s="1" t="s">
        <v>0</v>
      </c>
      <c r="C15" s="2" t="s">
        <v>13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>
      <c r="B16" s="4"/>
      <c r="C16" s="4"/>
      <c r="D16" s="4"/>
      <c r="E16" s="4" t="s">
        <v>18</v>
      </c>
      <c r="F16" s="4"/>
      <c r="G16" s="4"/>
    </row>
    <row r="18" spans="1:2">
      <c r="A18" t="s">
        <v>19</v>
      </c>
      <c r="B18" s="5">
        <f>DSUM($B$2:$G$13,"成績",$B$15:$G$16)</f>
        <v>405</v>
      </c>
    </row>
    <row r="19" spans="1:2">
      <c r="A19" t="s">
        <v>20</v>
      </c>
      <c r="B19" s="5">
        <f>DAVERAGE($B$2:$G$13,"成績",$B$15:$G$16)</f>
        <v>81</v>
      </c>
    </row>
    <row r="20" spans="1:2">
      <c r="A20" t="s">
        <v>22</v>
      </c>
      <c r="B20" s="5">
        <f>DMIN($B$2:$G$13,"成績",$B$15:$G$16)</f>
        <v>65</v>
      </c>
    </row>
    <row r="21" spans="1:2">
      <c r="A21" t="s">
        <v>21</v>
      </c>
      <c r="B21" s="5">
        <f>DMAX($B$2:$G$13,"成績",$B$15:$G$16)</f>
        <v>100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資料庫函數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2017-10-04T08:14:17Z</dcterms:modified>
</cp:coreProperties>
</file>