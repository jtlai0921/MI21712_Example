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2章 Excel入門1：公式、函數、繪圖\"/>
    </mc:Choice>
  </mc:AlternateContent>
  <bookViews>
    <workbookView xWindow="240" yWindow="96" windowWidth="11712" windowHeight="8676"/>
  </bookViews>
  <sheets>
    <sheet name="查詢與檢視函數" sheetId="8" r:id="rId1"/>
  </sheets>
  <calcPr calcId="162913"/>
</workbook>
</file>

<file path=xl/calcChain.xml><?xml version="1.0" encoding="utf-8"?>
<calcChain xmlns="http://schemas.openxmlformats.org/spreadsheetml/2006/main">
  <c r="I3" i="8" l="1"/>
  <c r="H3" i="8"/>
  <c r="G3" i="8"/>
  <c r="C32" i="8" l="1"/>
  <c r="C31" i="8"/>
  <c r="D30" i="8"/>
  <c r="C30" i="8"/>
  <c r="D29" i="8"/>
  <c r="C29" i="8"/>
  <c r="I4" i="8"/>
  <c r="I5" i="8"/>
  <c r="I6" i="8"/>
  <c r="I7" i="8"/>
  <c r="I8" i="8"/>
  <c r="I9" i="8"/>
  <c r="I10" i="8"/>
  <c r="I11" i="8"/>
  <c r="I12" i="8"/>
  <c r="I13" i="8"/>
  <c r="H4" i="8"/>
  <c r="H5" i="8"/>
  <c r="H6" i="8"/>
  <c r="H7" i="8"/>
  <c r="H8" i="8"/>
  <c r="H9" i="8"/>
  <c r="H10" i="8"/>
  <c r="H11" i="8"/>
  <c r="H12" i="8"/>
  <c r="H13" i="8"/>
  <c r="G13" i="8"/>
  <c r="E13" i="8"/>
  <c r="G12" i="8"/>
  <c r="E12" i="8"/>
  <c r="G11" i="8"/>
  <c r="E11" i="8"/>
  <c r="G10" i="8"/>
  <c r="E10" i="8"/>
  <c r="G9" i="8"/>
  <c r="E9" i="8"/>
  <c r="G8" i="8"/>
  <c r="E8" i="8"/>
  <c r="G7" i="8"/>
  <c r="E7" i="8"/>
  <c r="G6" i="8"/>
  <c r="E6" i="8"/>
  <c r="G5" i="8"/>
  <c r="E5" i="8"/>
  <c r="G4" i="8"/>
  <c r="E4" i="8"/>
  <c r="E3" i="8"/>
  <c r="D28" i="8" s="1"/>
  <c r="C28" i="8"/>
</calcChain>
</file>

<file path=xl/sharedStrings.xml><?xml version="1.0" encoding="utf-8"?>
<sst xmlns="http://schemas.openxmlformats.org/spreadsheetml/2006/main" count="85" uniqueCount="59">
  <si>
    <t>林語堂</t>
    <phoneticPr fontId="1" type="noConversion"/>
  </si>
  <si>
    <t>學生</t>
  </si>
  <si>
    <t>計概</t>
  </si>
  <si>
    <t>等級</t>
  </si>
  <si>
    <t>地區編號</t>
  </si>
  <si>
    <t>地區</t>
  </si>
  <si>
    <t>丁一</t>
  </si>
  <si>
    <t>數學</t>
  </si>
  <si>
    <t>王五</t>
  </si>
  <si>
    <t>英文</t>
  </si>
  <si>
    <t>李四</t>
  </si>
  <si>
    <t>張三</t>
  </si>
  <si>
    <t>CHOOSE</t>
    <phoneticPr fontId="1" type="noConversion"/>
  </si>
  <si>
    <t>IF</t>
    <phoneticPr fontId="1" type="noConversion"/>
  </si>
  <si>
    <t>VLOOKUP</t>
    <phoneticPr fontId="1" type="noConversion"/>
  </si>
  <si>
    <t>張三</t>
    <phoneticPr fontId="1" type="noConversion"/>
  </si>
  <si>
    <t>李四</t>
    <phoneticPr fontId="1" type="noConversion"/>
  </si>
  <si>
    <t>性別</t>
    <phoneticPr fontId="1" type="noConversion"/>
  </si>
  <si>
    <t>年級</t>
    <phoneticPr fontId="1" type="noConversion"/>
  </si>
  <si>
    <t>身高</t>
    <phoneticPr fontId="1" type="noConversion"/>
  </si>
  <si>
    <t>女</t>
    <phoneticPr fontId="1" type="noConversion"/>
  </si>
  <si>
    <t>男</t>
    <phoneticPr fontId="1" type="noConversion"/>
  </si>
  <si>
    <t>科目</t>
    <phoneticPr fontId="1" type="noConversion"/>
  </si>
  <si>
    <t>學分</t>
    <phoneticPr fontId="1" type="noConversion"/>
  </si>
  <si>
    <t>教師</t>
    <phoneticPr fontId="1" type="noConversion"/>
  </si>
  <si>
    <t>教室</t>
    <phoneticPr fontId="1" type="noConversion"/>
  </si>
  <si>
    <t>牛頓</t>
    <phoneticPr fontId="1" type="noConversion"/>
  </si>
  <si>
    <t>葉怡成</t>
    <phoneticPr fontId="1" type="noConversion"/>
  </si>
  <si>
    <t>E105</t>
    <phoneticPr fontId="1" type="noConversion"/>
  </si>
  <si>
    <t>M310</t>
    <phoneticPr fontId="1" type="noConversion"/>
  </si>
  <si>
    <t>M311</t>
    <phoneticPr fontId="1" type="noConversion"/>
  </si>
  <si>
    <t>英文</t>
    <phoneticPr fontId="1" type="noConversion"/>
  </si>
  <si>
    <t>英文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</si>
  <si>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</si>
  <si>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</si>
  <si>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</si>
  <si>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</si>
  <si>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</si>
  <si>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</si>
  <si>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科目代號</t>
    <phoneticPr fontId="1" type="noConversion"/>
  </si>
  <si>
    <t>HLOOKUP</t>
    <phoneticPr fontId="1" type="noConversion"/>
  </si>
  <si>
    <t>年級</t>
    <phoneticPr fontId="1" type="noConversion"/>
  </si>
  <si>
    <t>INDEX</t>
    <phoneticPr fontId="1" type="noConversion"/>
  </si>
  <si>
    <t>LOOKUP</t>
    <phoneticPr fontId="1" type="noConversion"/>
  </si>
  <si>
    <t>MATCH</t>
    <phoneticPr fontId="1" type="noConversion"/>
  </si>
  <si>
    <t>OFFSET</t>
    <phoneticPr fontId="1" type="noConversion"/>
  </si>
  <si>
    <t>C01</t>
    <phoneticPr fontId="1" type="noConversion"/>
  </si>
  <si>
    <t>教師(teacher)</t>
    <phoneticPr fontId="1" type="noConversion"/>
  </si>
  <si>
    <t>學生(student)</t>
    <phoneticPr fontId="1" type="noConversion"/>
  </si>
  <si>
    <t>科目代號(course code)</t>
    <phoneticPr fontId="1" type="noConversion"/>
  </si>
  <si>
    <t>科目(course)</t>
    <phoneticPr fontId="1" type="noConversion"/>
  </si>
  <si>
    <t>成績(score)</t>
    <phoneticPr fontId="1" type="noConversion"/>
  </si>
  <si>
    <t>Same Effect</t>
    <phoneticPr fontId="1" type="noConversion"/>
  </si>
  <si>
    <t>Results</t>
    <phoneticPr fontId="1" type="noConversion"/>
  </si>
  <si>
    <t>學生資料表</t>
    <phoneticPr fontId="1" type="noConversion"/>
  </si>
  <si>
    <t>選課資料表</t>
    <phoneticPr fontId="1" type="noConversion"/>
  </si>
  <si>
    <t>男</t>
  </si>
  <si>
    <t>女</t>
  </si>
  <si>
    <t>課程資料表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</si>
</sst>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2" fillId="5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15</xdr:row>
      <xdr:rowOff>99060</xdr:rowOff>
    </xdr:from>
    <xdr:to>
      <xdr:col>20</xdr:col>
      <xdr:colOff>518160</xdr:colOff>
      <xdr:row>24</xdr:row>
      <xdr:rowOff>15240</xdr:rowOff>
    </xdr:to>
    <xdr:sp macro="" textlink="">
      <xdr:nvSpPr>
        <xdr:cNvPr id="2" name="文字方塊 1"/>
        <xdr:cNvSpPr txBox="1"/>
      </xdr:nvSpPr>
      <xdr:spPr>
        <a:xfrm>
          <a:off x="5486400" y="3185160"/>
          <a:ext cx="6256020" cy="17678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查詢與檢視函數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=IF(E3&lt;30,"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劣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",IF(E3&lt;60,"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",IF(E3&lt;80,"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優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")))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」判定等級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=CHOOSE(F3,"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北區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南區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從一串資料選出第幾個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=VLOOKUP(A3,$K$3:$N$6,3)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」從一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直式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特定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=HLOOKUP(B3,$L$10:$N$14,4)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」從一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橫式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資料表選出特定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91440</xdr:colOff>
      <xdr:row>8</xdr:row>
      <xdr:rowOff>76200</xdr:rowOff>
    </xdr:from>
    <xdr:to>
      <xdr:col>15</xdr:col>
      <xdr:colOff>114300</xdr:colOff>
      <xdr:row>10</xdr:row>
      <xdr:rowOff>129540</xdr:rowOff>
    </xdr:to>
    <xdr:sp macro="" textlink="">
      <xdr:nvSpPr>
        <xdr:cNvPr id="3" name="向左箭號 2"/>
        <xdr:cNvSpPr/>
      </xdr:nvSpPr>
      <xdr:spPr>
        <a:xfrm>
          <a:off x="7658100" y="1722120"/>
          <a:ext cx="632460" cy="46482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key</a:t>
          </a:r>
          <a:endParaRPr lang="zh-TW" altLang="en-US" sz="1100"/>
        </a:p>
      </xdr:txBody>
    </xdr:sp>
    <xdr:clientData/>
  </xdr:twoCellAnchor>
  <xdr:twoCellAnchor>
    <xdr:from>
      <xdr:col>10</xdr:col>
      <xdr:colOff>220980</xdr:colOff>
      <xdr:row>5</xdr:row>
      <xdr:rowOff>38100</xdr:rowOff>
    </xdr:from>
    <xdr:to>
      <xdr:col>11</xdr:col>
      <xdr:colOff>38100</xdr:colOff>
      <xdr:row>7</xdr:row>
      <xdr:rowOff>152400</xdr:rowOff>
    </xdr:to>
    <xdr:sp macro="" textlink="">
      <xdr:nvSpPr>
        <xdr:cNvPr id="5" name="向左箭號 4"/>
        <xdr:cNvSpPr/>
      </xdr:nvSpPr>
      <xdr:spPr>
        <a:xfrm rot="5400000">
          <a:off x="5669280" y="1097280"/>
          <a:ext cx="525780" cy="46482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key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K10" sqref="K10"/>
    </sheetView>
  </sheetViews>
  <sheetFormatPr defaultRowHeight="16.2"/>
  <cols>
    <col min="1" max="1" width="4.77734375" bestFit="1" customWidth="1"/>
    <col min="2" max="3" width="9.44140625" bestFit="1" customWidth="1"/>
    <col min="4" max="5" width="4.77734375" bestFit="1" customWidth="1"/>
    <col min="6" max="6" width="8" bestFit="1" customWidth="1"/>
    <col min="8" max="9" width="10.44140625" bestFit="1" customWidth="1"/>
    <col min="11" max="11" width="9.44140625" bestFit="1" customWidth="1"/>
    <col min="12" max="12" width="6.109375" bestFit="1" customWidth="1"/>
    <col min="13" max="14" width="7.44140625" bestFit="1" customWidth="1"/>
  </cols>
  <sheetData>
    <row r="1" spans="1:14">
      <c r="A1" t="s">
        <v>55</v>
      </c>
      <c r="E1" t="s">
        <v>13</v>
      </c>
      <c r="G1" t="s">
        <v>12</v>
      </c>
      <c r="H1" t="s">
        <v>14</v>
      </c>
      <c r="I1" t="s">
        <v>40</v>
      </c>
      <c r="K1" t="s">
        <v>54</v>
      </c>
    </row>
    <row r="2" spans="1:14">
      <c r="A2" s="1" t="s">
        <v>48</v>
      </c>
      <c r="B2" s="2" t="s">
        <v>49</v>
      </c>
      <c r="C2" s="1" t="s">
        <v>50</v>
      </c>
      <c r="D2" s="1" t="s">
        <v>51</v>
      </c>
      <c r="E2" s="1" t="s">
        <v>3</v>
      </c>
      <c r="F2" s="1" t="s">
        <v>4</v>
      </c>
      <c r="G2" s="1" t="s">
        <v>5</v>
      </c>
      <c r="H2" s="1" t="s">
        <v>41</v>
      </c>
      <c r="I2" s="1" t="s">
        <v>47</v>
      </c>
      <c r="K2" s="9" t="s">
        <v>1</v>
      </c>
      <c r="L2" s="5" t="s">
        <v>17</v>
      </c>
      <c r="M2" s="5" t="s">
        <v>18</v>
      </c>
      <c r="N2" s="5" t="s">
        <v>19</v>
      </c>
    </row>
    <row r="3" spans="1:14">
      <c r="A3" s="1" t="s">
        <v>6</v>
      </c>
      <c r="B3" s="1" t="s">
        <v>33</v>
      </c>
      <c r="C3" s="1" t="s">
        <v>7</v>
      </c>
      <c r="D3" s="3">
        <v>65</v>
      </c>
      <c r="E3" s="1" t="str">
        <f>IF(D3&lt;30,"劣",IF(D3&lt;60,"差",IF(D3&lt;80,"普","優")))</f>
        <v>普</v>
      </c>
      <c r="F3" s="3">
        <v>1</v>
      </c>
      <c r="G3" s="1" t="str">
        <f>CHOOSE(F3,"北區","中區","南區")</f>
        <v>北區</v>
      </c>
      <c r="H3" s="4">
        <f>VLOOKUP(A3,$K$3:$N$6,3)</f>
        <v>1</v>
      </c>
      <c r="I3" s="2" t="str">
        <f>HLOOKUP(B3,$L$10:$N$14,4)</f>
        <v>牛頓</v>
      </c>
      <c r="K3" s="9" t="s">
        <v>6</v>
      </c>
      <c r="L3" s="5" t="s">
        <v>57</v>
      </c>
      <c r="M3" s="5">
        <v>1</v>
      </c>
      <c r="N3" s="5">
        <v>160</v>
      </c>
    </row>
    <row r="4" spans="1:14">
      <c r="A4" s="1" t="s">
        <v>8</v>
      </c>
      <c r="B4" s="1" t="s">
        <v>34</v>
      </c>
      <c r="C4" s="1" t="s">
        <v>2</v>
      </c>
      <c r="D4" s="3">
        <v>70</v>
      </c>
      <c r="E4" s="1" t="str">
        <f t="shared" ref="E4:E13" si="0">IF(D4&lt;30,"劣",IF(D4&lt;60,"差",IF(D4&lt;80,"普","優")))</f>
        <v>普</v>
      </c>
      <c r="F4" s="3">
        <v>2</v>
      </c>
      <c r="G4" s="1" t="str">
        <f t="shared" ref="G4:G13" si="1">CHOOSE(F4,"北區","中區","南區")</f>
        <v>中區</v>
      </c>
      <c r="H4" s="4">
        <f t="shared" ref="H4:H13" si="2">VLOOKUP(A4,$K$3:$N$6,3)</f>
        <v>4</v>
      </c>
      <c r="I4" s="2" t="str">
        <f t="shared" ref="I4:I13" si="3">HLOOKUP(B4,$L$10:$N$14,4)</f>
        <v>葉怡成</v>
      </c>
      <c r="K4" s="9" t="s">
        <v>8</v>
      </c>
      <c r="L4" s="5" t="s">
        <v>56</v>
      </c>
      <c r="M4" s="5">
        <v>4</v>
      </c>
      <c r="N4" s="5">
        <v>180</v>
      </c>
    </row>
    <row r="5" spans="1:14">
      <c r="A5" s="1" t="s">
        <v>8</v>
      </c>
      <c r="B5" s="1" t="s">
        <v>35</v>
      </c>
      <c r="C5" s="1" t="s">
        <v>31</v>
      </c>
      <c r="D5" s="3">
        <v>100</v>
      </c>
      <c r="E5" s="1" t="str">
        <f t="shared" si="0"/>
        <v>優</v>
      </c>
      <c r="F5" s="3">
        <v>3</v>
      </c>
      <c r="G5" s="1" t="str">
        <f t="shared" si="1"/>
        <v>南區</v>
      </c>
      <c r="H5" s="4">
        <f t="shared" si="2"/>
        <v>4</v>
      </c>
      <c r="I5" s="2" t="str">
        <f t="shared" si="3"/>
        <v>林語堂</v>
      </c>
      <c r="K5" s="9" t="s">
        <v>16</v>
      </c>
      <c r="L5" s="5" t="s">
        <v>20</v>
      </c>
      <c r="M5" s="5">
        <v>3</v>
      </c>
      <c r="N5" s="5">
        <v>175</v>
      </c>
    </row>
    <row r="6" spans="1:14">
      <c r="A6" s="1" t="s">
        <v>6</v>
      </c>
      <c r="B6" s="1" t="s">
        <v>35</v>
      </c>
      <c r="C6" s="1" t="s">
        <v>9</v>
      </c>
      <c r="D6" s="3">
        <v>80</v>
      </c>
      <c r="E6" s="1" t="str">
        <f t="shared" si="0"/>
        <v>優</v>
      </c>
      <c r="F6" s="3">
        <v>1</v>
      </c>
      <c r="G6" s="1" t="str">
        <f t="shared" si="1"/>
        <v>北區</v>
      </c>
      <c r="H6" s="4">
        <f t="shared" si="2"/>
        <v>1</v>
      </c>
      <c r="I6" s="2" t="str">
        <f t="shared" si="3"/>
        <v>林語堂</v>
      </c>
      <c r="K6" s="9" t="s">
        <v>15</v>
      </c>
      <c r="L6" s="5" t="s">
        <v>21</v>
      </c>
      <c r="M6" s="5">
        <v>2</v>
      </c>
      <c r="N6" s="5">
        <v>170</v>
      </c>
    </row>
    <row r="7" spans="1:14">
      <c r="A7" s="1" t="s">
        <v>10</v>
      </c>
      <c r="B7" s="1" t="s">
        <v>36</v>
      </c>
      <c r="C7" s="1" t="s">
        <v>7</v>
      </c>
      <c r="D7" s="3">
        <v>90</v>
      </c>
      <c r="E7" s="1" t="str">
        <f t="shared" si="0"/>
        <v>優</v>
      </c>
      <c r="F7" s="3">
        <v>2</v>
      </c>
      <c r="G7" s="1" t="str">
        <f t="shared" si="1"/>
        <v>中區</v>
      </c>
      <c r="H7" s="4">
        <f t="shared" si="2"/>
        <v>3</v>
      </c>
      <c r="I7" s="2" t="str">
        <f t="shared" si="3"/>
        <v>牛頓</v>
      </c>
    </row>
    <row r="8" spans="1:14">
      <c r="A8" s="1" t="s">
        <v>10</v>
      </c>
      <c r="B8" s="1" t="s">
        <v>34</v>
      </c>
      <c r="C8" s="1" t="s">
        <v>2</v>
      </c>
      <c r="D8" s="3">
        <v>40</v>
      </c>
      <c r="E8" s="1" t="str">
        <f t="shared" si="0"/>
        <v>差</v>
      </c>
      <c r="F8" s="3">
        <v>3</v>
      </c>
      <c r="G8" s="1" t="str">
        <f t="shared" si="1"/>
        <v>南區</v>
      </c>
      <c r="H8" s="4">
        <f t="shared" si="2"/>
        <v>3</v>
      </c>
      <c r="I8" s="2" t="str">
        <f t="shared" si="3"/>
        <v>葉怡成</v>
      </c>
    </row>
    <row r="9" spans="1:14">
      <c r="A9" s="1" t="s">
        <v>11</v>
      </c>
      <c r="B9" s="1" t="s">
        <v>36</v>
      </c>
      <c r="C9" s="1" t="s">
        <v>7</v>
      </c>
      <c r="D9" s="3">
        <v>30</v>
      </c>
      <c r="E9" s="1" t="str">
        <f t="shared" si="0"/>
        <v>差</v>
      </c>
      <c r="F9" s="3">
        <v>1</v>
      </c>
      <c r="G9" s="1" t="str">
        <f t="shared" si="1"/>
        <v>北區</v>
      </c>
      <c r="H9" s="4">
        <f t="shared" si="2"/>
        <v>2</v>
      </c>
      <c r="I9" s="2" t="str">
        <f t="shared" si="3"/>
        <v>牛頓</v>
      </c>
      <c r="K9" t="s">
        <v>58</v>
      </c>
    </row>
    <row r="10" spans="1:14">
      <c r="A10" s="1" t="s">
        <v>10</v>
      </c>
      <c r="B10" s="1" t="s">
        <v>36</v>
      </c>
      <c r="C10" s="1" t="s">
        <v>7</v>
      </c>
      <c r="D10" s="3">
        <v>60</v>
      </c>
      <c r="E10" s="1" t="str">
        <f t="shared" si="0"/>
        <v>普</v>
      </c>
      <c r="F10" s="3">
        <v>1</v>
      </c>
      <c r="G10" s="1" t="str">
        <f t="shared" si="1"/>
        <v>北區</v>
      </c>
      <c r="H10" s="4">
        <f t="shared" si="2"/>
        <v>3</v>
      </c>
      <c r="I10" s="2" t="str">
        <f t="shared" si="3"/>
        <v>牛頓</v>
      </c>
      <c r="K10" s="8" t="s">
        <v>39</v>
      </c>
      <c r="L10" s="8" t="s">
        <v>46</v>
      </c>
      <c r="M10" s="8" t="s">
        <v>37</v>
      </c>
      <c r="N10" s="8" t="s">
        <v>38</v>
      </c>
    </row>
    <row r="11" spans="1:14">
      <c r="A11" s="1" t="s">
        <v>11</v>
      </c>
      <c r="B11" s="1" t="s">
        <v>34</v>
      </c>
      <c r="C11" s="1" t="s">
        <v>2</v>
      </c>
      <c r="D11" s="3">
        <v>10</v>
      </c>
      <c r="E11" s="1" t="str">
        <f t="shared" si="0"/>
        <v>劣</v>
      </c>
      <c r="F11" s="3">
        <v>2</v>
      </c>
      <c r="G11" s="1" t="str">
        <f t="shared" si="1"/>
        <v>中區</v>
      </c>
      <c r="H11" s="4">
        <f t="shared" si="2"/>
        <v>2</v>
      </c>
      <c r="I11" s="2" t="str">
        <f t="shared" si="3"/>
        <v>葉怡成</v>
      </c>
      <c r="K11" s="6" t="s">
        <v>22</v>
      </c>
      <c r="L11" s="7" t="s">
        <v>7</v>
      </c>
      <c r="M11" s="7" t="s">
        <v>2</v>
      </c>
      <c r="N11" s="7" t="s">
        <v>32</v>
      </c>
    </row>
    <row r="12" spans="1:14">
      <c r="A12" s="1" t="s">
        <v>10</v>
      </c>
      <c r="B12" s="1" t="s">
        <v>35</v>
      </c>
      <c r="C12" s="1" t="s">
        <v>9</v>
      </c>
      <c r="D12" s="3">
        <v>20</v>
      </c>
      <c r="E12" s="1" t="str">
        <f t="shared" si="0"/>
        <v>劣</v>
      </c>
      <c r="F12" s="3">
        <v>2</v>
      </c>
      <c r="G12" s="1" t="str">
        <f t="shared" si="1"/>
        <v>中區</v>
      </c>
      <c r="H12" s="4">
        <f t="shared" si="2"/>
        <v>3</v>
      </c>
      <c r="I12" s="2" t="str">
        <f t="shared" si="3"/>
        <v>林語堂</v>
      </c>
      <c r="K12" s="6" t="s">
        <v>23</v>
      </c>
      <c r="L12" s="6">
        <v>1</v>
      </c>
      <c r="M12" s="6">
        <v>3</v>
      </c>
      <c r="N12" s="6">
        <v>2</v>
      </c>
    </row>
    <row r="13" spans="1:14">
      <c r="A13" s="1" t="s">
        <v>8</v>
      </c>
      <c r="B13" s="1" t="s">
        <v>35</v>
      </c>
      <c r="C13" s="1" t="s">
        <v>9</v>
      </c>
      <c r="D13" s="3">
        <v>50</v>
      </c>
      <c r="E13" s="1" t="str">
        <f t="shared" si="0"/>
        <v>差</v>
      </c>
      <c r="F13" s="3">
        <v>3</v>
      </c>
      <c r="G13" s="1" t="str">
        <f t="shared" si="1"/>
        <v>南區</v>
      </c>
      <c r="H13" s="4">
        <f t="shared" si="2"/>
        <v>4</v>
      </c>
      <c r="I13" s="2" t="str">
        <f t="shared" si="3"/>
        <v>林語堂</v>
      </c>
      <c r="K13" s="6" t="s">
        <v>24</v>
      </c>
      <c r="L13" s="6" t="s">
        <v>26</v>
      </c>
      <c r="M13" s="6" t="s">
        <v>27</v>
      </c>
      <c r="N13" s="6" t="s">
        <v>0</v>
      </c>
    </row>
    <row r="14" spans="1:14">
      <c r="K14" s="6" t="s">
        <v>25</v>
      </c>
      <c r="L14" s="6" t="s">
        <v>29</v>
      </c>
      <c r="M14" s="6" t="s">
        <v>28</v>
      </c>
      <c r="N14" s="6" t="s">
        <v>30</v>
      </c>
    </row>
    <row r="27" spans="2:4">
      <c r="C27" t="s">
        <v>53</v>
      </c>
      <c r="D27" t="s">
        <v>52</v>
      </c>
    </row>
    <row r="28" spans="2:4">
      <c r="B28" t="s">
        <v>45</v>
      </c>
      <c r="C28">
        <f ca="1">SUM(OFFSET(A2,1,2,3,4))</f>
        <v>241</v>
      </c>
      <c r="D28">
        <f>SUM(C3:F5)</f>
        <v>241</v>
      </c>
    </row>
    <row r="29" spans="2:4">
      <c r="B29" t="s">
        <v>42</v>
      </c>
      <c r="C29">
        <f>INDEX((A2:I13),3,4)</f>
        <v>70</v>
      </c>
      <c r="D29">
        <f>D4</f>
        <v>70</v>
      </c>
    </row>
    <row r="30" spans="2:4">
      <c r="B30" t="s">
        <v>43</v>
      </c>
      <c r="C30">
        <f>LOOKUP("張三",K3:K6,N3:N6)</f>
        <v>170</v>
      </c>
      <c r="D30">
        <f>N6</f>
        <v>170</v>
      </c>
    </row>
    <row r="31" spans="2:4">
      <c r="B31" t="s">
        <v>44</v>
      </c>
      <c r="C31">
        <f>MATCH("張三",K3:K6)</f>
        <v>4</v>
      </c>
    </row>
    <row r="32" spans="2:4">
      <c r="B32" t="s">
        <v>44</v>
      </c>
      <c r="C32">
        <f>MATCH(160,$N$3:$N$6,0)</f>
        <v>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查詢與檢視函數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2017-12-08T00:57:03Z</dcterms:modified>
</cp:coreProperties>
</file>