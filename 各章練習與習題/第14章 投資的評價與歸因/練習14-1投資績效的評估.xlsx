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bookViews>
    <workbookView xWindow="0" yWindow="0" windowWidth="20028" windowHeight="9132"/>
  </bookViews>
  <sheets>
    <sheet name="工作表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3" i="1" l="1"/>
  <c r="K4" i="1"/>
  <c r="K5" i="1"/>
  <c r="K6" i="1"/>
  <c r="K7" i="1"/>
  <c r="K8" i="1"/>
  <c r="K9" i="1"/>
  <c r="K10" i="1"/>
  <c r="K2" i="1"/>
  <c r="J3" i="1"/>
  <c r="J4" i="1"/>
  <c r="J5" i="1"/>
  <c r="J6" i="1"/>
  <c r="J7" i="1"/>
  <c r="J8" i="1"/>
  <c r="J9" i="1"/>
  <c r="J10" i="1"/>
  <c r="J2" i="1"/>
  <c r="I3" i="1"/>
  <c r="I4" i="1"/>
  <c r="I5" i="1"/>
  <c r="I6" i="1"/>
  <c r="I7" i="1"/>
  <c r="I8" i="1"/>
  <c r="I9" i="1"/>
  <c r="I10" i="1"/>
  <c r="I2" i="1"/>
  <c r="G3" i="1"/>
  <c r="H3" i="1"/>
  <c r="G4" i="1"/>
  <c r="H4" i="1"/>
  <c r="G5" i="1"/>
  <c r="H5" i="1"/>
  <c r="G6" i="1"/>
  <c r="H6" i="1"/>
  <c r="G7" i="1"/>
  <c r="H7" i="1"/>
  <c r="G8" i="1"/>
  <c r="H8" i="1"/>
  <c r="G9" i="1"/>
  <c r="H9" i="1"/>
  <c r="G10" i="1"/>
  <c r="H10" i="1"/>
  <c r="H2" i="1"/>
  <c r="G2" i="1"/>
</calcChain>
</file>

<file path=xl/sharedStrings.xml><?xml version="1.0" encoding="utf-8"?>
<sst xmlns="http://schemas.openxmlformats.org/spreadsheetml/2006/main" count="18" uniqueCount="18">
  <si>
    <t>報酬率</t>
  </si>
  <si>
    <t>標準差</t>
  </si>
  <si>
    <t>alpha</t>
  </si>
  <si>
    <t>beta</t>
  </si>
  <si>
    <t>夏普指標</t>
  </si>
  <si>
    <t>崔納指標</t>
  </si>
  <si>
    <t>簡森指標</t>
  </si>
  <si>
    <r>
      <t>M2</t>
    </r>
    <r>
      <rPr>
        <sz val="12"/>
        <color theme="1"/>
        <rFont val="新細明體"/>
        <family val="1"/>
        <charset val="136"/>
      </rPr>
      <t>指標</t>
    </r>
  </si>
  <si>
    <r>
      <t>T2</t>
    </r>
    <r>
      <rPr>
        <sz val="12"/>
        <color theme="1"/>
        <rFont val="新細明體"/>
        <family val="1"/>
        <charset val="136"/>
      </rPr>
      <t>指標</t>
    </r>
  </si>
  <si>
    <t>基準</t>
  </si>
  <si>
    <t>B/P</t>
  </si>
  <si>
    <t>E/P</t>
  </si>
  <si>
    <t>ROE</t>
  </si>
  <si>
    <t>B/P+E/P-1</t>
  </si>
  <si>
    <t>G1</t>
  </si>
  <si>
    <t>G2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</si>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</sst>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84" formatCode="0.000"/>
    <numFmt numFmtId="185" formatCode="0.0"/>
  </numFmts>
  <fonts count="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Times New Roman"/>
      <family val="1"/>
    </font>
    <font>
      <sz val="12"/>
      <color theme="1"/>
      <name val="新細明體"/>
      <family val="1"/>
      <charset val="136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0" fontId="2" fillId="0" borderId="1" xfId="0" applyFont="1" applyBorder="1">
      <alignment vertical="center"/>
    </xf>
    <xf numFmtId="0" fontId="2" fillId="0" borderId="2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>
      <alignment vertical="center"/>
    </xf>
    <xf numFmtId="0" fontId="2" fillId="0" borderId="4" xfId="0" applyFont="1" applyBorder="1" applyAlignment="1">
      <alignment horizontal="center" vertical="center"/>
    </xf>
    <xf numFmtId="184" fontId="1" fillId="0" borderId="2" xfId="0" applyNumberFormat="1" applyFont="1" applyBorder="1" applyAlignment="1">
      <alignment horizontal="right" vertical="center"/>
    </xf>
    <xf numFmtId="185" fontId="1" fillId="0" borderId="2" xfId="0" applyNumberFormat="1" applyFont="1" applyBorder="1" applyAlignment="1">
      <alignment horizontal="right" vertical="center"/>
    </xf>
    <xf numFmtId="0" fontId="1" fillId="0" borderId="2" xfId="0" applyFont="1" applyBorder="1" applyAlignment="1">
      <alignment horizontal="right" vertical="center"/>
    </xf>
    <xf numFmtId="2" fontId="1" fillId="0" borderId="2" xfId="0" applyNumberFormat="1" applyFont="1" applyBorder="1" applyAlignment="1">
      <alignment horizontal="right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"/>
  <sheetViews>
    <sheetView tabSelected="1" workbookViewId="0">
      <selection activeCell="G16" sqref="G16"/>
    </sheetView>
  </sheetViews>
  <sheetFormatPr defaultRowHeight="16.2" x14ac:dyDescent="0.3"/>
  <cols>
    <col min="7" max="7" width="11.109375" bestFit="1" customWidth="1"/>
    <col min="8" max="8" width="9.88671875" bestFit="1" customWidth="1"/>
    <col min="9" max="11" width="11.33203125" bestFit="1" customWidth="1"/>
  </cols>
  <sheetData>
    <row r="1" spans="1:11" ht="16.8" thickBot="1" x14ac:dyDescent="0.35">
      <c r="A1" s="1"/>
      <c r="B1" s="2" t="s">
        <v>0</v>
      </c>
      <c r="C1" s="2" t="s">
        <v>1</v>
      </c>
      <c r="D1" s="3" t="s">
        <v>2</v>
      </c>
      <c r="E1" s="3" t="s">
        <v>3</v>
      </c>
      <c r="G1" s="3" t="s">
        <v>4</v>
      </c>
      <c r="H1" s="3" t="s">
        <v>5</v>
      </c>
      <c r="I1" s="3" t="s">
        <v>6</v>
      </c>
      <c r="J1" s="3" t="s">
        <v>7</v>
      </c>
      <c r="K1" s="3" t="s">
        <v>8</v>
      </c>
    </row>
    <row r="2" spans="1:11" ht="16.8" thickBot="1" x14ac:dyDescent="0.35">
      <c r="A2" s="4" t="s">
        <v>9</v>
      </c>
      <c r="B2" s="5">
        <v>16.5</v>
      </c>
      <c r="C2" s="5">
        <v>44.4</v>
      </c>
      <c r="D2" s="5">
        <v>0</v>
      </c>
      <c r="E2" s="5">
        <v>1</v>
      </c>
      <c r="G2" s="6">
        <f>(B2-0)/C2</f>
        <v>0.37162162162162166</v>
      </c>
      <c r="H2" s="7">
        <f>(B2-0)/E2</f>
        <v>16.5</v>
      </c>
      <c r="I2" s="8">
        <f>B2-(0+E2*($B$2-0))</f>
        <v>0</v>
      </c>
      <c r="J2" s="8">
        <f>(0+$C$2*(B2-0)/C2)-$B$2</f>
        <v>0</v>
      </c>
      <c r="K2" s="8">
        <f>(B2-0)/E2-($B$2-0)</f>
        <v>0</v>
      </c>
    </row>
    <row r="3" spans="1:11" ht="16.8" thickBot="1" x14ac:dyDescent="0.35">
      <c r="A3" s="4" t="s">
        <v>10</v>
      </c>
      <c r="B3" s="5">
        <v>18.899999999999999</v>
      </c>
      <c r="C3" s="5">
        <v>57</v>
      </c>
      <c r="D3" s="5">
        <v>1.31</v>
      </c>
      <c r="E3" s="5">
        <v>1.224</v>
      </c>
      <c r="G3" s="6">
        <f t="shared" ref="G3:G10" si="0">(B3-0)/C3</f>
        <v>0.33157894736842103</v>
      </c>
      <c r="H3" s="7">
        <f t="shared" ref="H3:H10" si="1">(B3-0)/E3</f>
        <v>15.441176470588234</v>
      </c>
      <c r="I3" s="9">
        <f t="shared" ref="I3:I10" si="2">B3-(0+E3*($B$2-0))</f>
        <v>-1.2959999999999994</v>
      </c>
      <c r="J3" s="9">
        <f t="shared" ref="J3:J10" si="3">(0+$C$2*(B3-0)/C3)-$B$2</f>
        <v>-1.7778947368421072</v>
      </c>
      <c r="K3" s="9">
        <f t="shared" ref="K3:K10" si="4">(B3-0)/E3-($B$2-0)</f>
        <v>-1.0588235294117663</v>
      </c>
    </row>
    <row r="4" spans="1:11" ht="16.8" thickBot="1" x14ac:dyDescent="0.35">
      <c r="A4" s="4" t="s">
        <v>11</v>
      </c>
      <c r="B4" s="5">
        <v>20.3</v>
      </c>
      <c r="C4" s="5">
        <v>33.9</v>
      </c>
      <c r="D4" s="5">
        <v>9.98</v>
      </c>
      <c r="E4" s="5">
        <v>0.66100000000000003</v>
      </c>
      <c r="G4" s="6">
        <f t="shared" si="0"/>
        <v>0.59882005899705015</v>
      </c>
      <c r="H4" s="7">
        <f t="shared" si="1"/>
        <v>30.711043872919817</v>
      </c>
      <c r="I4" s="9">
        <f t="shared" si="2"/>
        <v>9.3934999999999995</v>
      </c>
      <c r="J4" s="9">
        <f t="shared" si="3"/>
        <v>10.087610619469029</v>
      </c>
      <c r="K4" s="9">
        <f t="shared" si="4"/>
        <v>14.211043872919817</v>
      </c>
    </row>
    <row r="5" spans="1:11" ht="16.8" thickBot="1" x14ac:dyDescent="0.35">
      <c r="A5" s="4" t="s">
        <v>12</v>
      </c>
      <c r="B5" s="5">
        <v>16.399999999999999</v>
      </c>
      <c r="C5" s="5">
        <v>33.5</v>
      </c>
      <c r="D5" s="5">
        <v>6.44</v>
      </c>
      <c r="E5" s="5">
        <v>0.64</v>
      </c>
      <c r="G5" s="6">
        <f t="shared" si="0"/>
        <v>0.4895522388059701</v>
      </c>
      <c r="H5" s="7">
        <f t="shared" si="1"/>
        <v>25.624999999999996</v>
      </c>
      <c r="I5" s="9">
        <f t="shared" si="2"/>
        <v>5.8399999999999981</v>
      </c>
      <c r="J5" s="9">
        <f t="shared" si="3"/>
        <v>5.2361194029850751</v>
      </c>
      <c r="K5" s="9">
        <f t="shared" si="4"/>
        <v>9.1249999999999964</v>
      </c>
    </row>
    <row r="6" spans="1:11" ht="16.8" thickBot="1" x14ac:dyDescent="0.35">
      <c r="A6" s="4" t="s">
        <v>13</v>
      </c>
      <c r="B6" s="5">
        <v>20</v>
      </c>
      <c r="C6" s="5">
        <v>44.6</v>
      </c>
      <c r="D6" s="5">
        <v>6.8</v>
      </c>
      <c r="E6" s="5">
        <v>0.90900000000000003</v>
      </c>
      <c r="G6" s="6">
        <f t="shared" si="0"/>
        <v>0.44843049327354256</v>
      </c>
      <c r="H6" s="7">
        <f t="shared" si="1"/>
        <v>22.002200220022001</v>
      </c>
      <c r="I6" s="9">
        <f t="shared" si="2"/>
        <v>5.0015000000000001</v>
      </c>
      <c r="J6" s="9">
        <f t="shared" si="3"/>
        <v>3.4103139013452903</v>
      </c>
      <c r="K6" s="9">
        <f t="shared" si="4"/>
        <v>5.5022002200220008</v>
      </c>
    </row>
    <row r="7" spans="1:11" ht="16.8" thickBot="1" x14ac:dyDescent="0.35">
      <c r="A7" s="4" t="s">
        <v>14</v>
      </c>
      <c r="B7" s="5">
        <v>23.8</v>
      </c>
      <c r="C7" s="5">
        <v>45.1</v>
      </c>
      <c r="D7" s="5">
        <v>9.7100000000000009</v>
      </c>
      <c r="E7" s="5">
        <v>0.94199999999999995</v>
      </c>
      <c r="G7" s="6">
        <f t="shared" si="0"/>
        <v>0.52771618625277161</v>
      </c>
      <c r="H7" s="7">
        <f t="shared" si="1"/>
        <v>25.265392781316351</v>
      </c>
      <c r="I7" s="9">
        <f t="shared" si="2"/>
        <v>8.2570000000000014</v>
      </c>
      <c r="J7" s="9">
        <f t="shared" si="3"/>
        <v>6.930598669623059</v>
      </c>
      <c r="K7" s="9">
        <f t="shared" si="4"/>
        <v>8.7653927813163506</v>
      </c>
    </row>
    <row r="8" spans="1:11" ht="16.8" thickBot="1" x14ac:dyDescent="0.35">
      <c r="A8" s="4" t="s">
        <v>15</v>
      </c>
      <c r="B8" s="5">
        <v>23.6</v>
      </c>
      <c r="C8" s="5">
        <v>37.9</v>
      </c>
      <c r="D8" s="5">
        <v>11.8</v>
      </c>
      <c r="E8" s="5">
        <v>0.76300000000000001</v>
      </c>
      <c r="G8" s="6">
        <f t="shared" si="0"/>
        <v>0.62269129287598945</v>
      </c>
      <c r="H8" s="7">
        <f t="shared" si="1"/>
        <v>30.930537352555703</v>
      </c>
      <c r="I8" s="9">
        <f t="shared" si="2"/>
        <v>11.0105</v>
      </c>
      <c r="J8" s="9">
        <f t="shared" si="3"/>
        <v>11.147493403693929</v>
      </c>
      <c r="K8" s="9">
        <f t="shared" si="4"/>
        <v>14.430537352555703</v>
      </c>
    </row>
    <row r="9" spans="1:11" ht="16.8" thickBot="1" x14ac:dyDescent="0.35">
      <c r="A9" s="4" t="s">
        <v>16</v>
      </c>
      <c r="B9" s="5">
        <v>25.5</v>
      </c>
      <c r="C9" s="5">
        <v>44.2</v>
      </c>
      <c r="D9" s="5">
        <v>11.3</v>
      </c>
      <c r="E9" s="5">
        <v>0.93300000000000005</v>
      </c>
      <c r="G9" s="6">
        <f t="shared" si="0"/>
        <v>0.57692307692307687</v>
      </c>
      <c r="H9" s="7">
        <f t="shared" si="1"/>
        <v>27.331189710610932</v>
      </c>
      <c r="I9" s="9">
        <f t="shared" si="2"/>
        <v>10.105499999999999</v>
      </c>
      <c r="J9" s="9">
        <f t="shared" si="3"/>
        <v>9.1153846153846132</v>
      </c>
      <c r="K9" s="9">
        <f t="shared" si="4"/>
        <v>10.831189710610932</v>
      </c>
    </row>
    <row r="10" spans="1:11" ht="16.8" thickBot="1" x14ac:dyDescent="0.35">
      <c r="A10" s="4" t="s">
        <v>17</v>
      </c>
      <c r="B10" s="5">
        <v>21.2</v>
      </c>
      <c r="C10" s="5">
        <v>44.5</v>
      </c>
      <c r="D10" s="5">
        <v>6.31</v>
      </c>
      <c r="E10" s="5">
        <v>0.96</v>
      </c>
      <c r="G10" s="6">
        <f t="shared" si="0"/>
        <v>0.47640449438202248</v>
      </c>
      <c r="H10" s="7">
        <f t="shared" si="1"/>
        <v>22.083333333333332</v>
      </c>
      <c r="I10" s="9">
        <f t="shared" si="2"/>
        <v>5.3599999999999994</v>
      </c>
      <c r="J10" s="9">
        <f t="shared" si="3"/>
        <v>4.6523595505617976</v>
      </c>
      <c r="K10" s="9">
        <f t="shared" si="4"/>
        <v>5.5833333333333321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2017-09-09T07:36:29Z</dcterms:created>
  <dcterms:modified xsi:type="dcterms:W3CDTF">2017-09-09T08:12:07Z</dcterms:modified>
</cp:coreProperties>
</file>