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葉怡成\0 My Documents\book\32-1 台灣股市何種選股模型行得通？\31-2 證券投資分析─使用Excel實作\第4章 Excel進階1：規劃求解\"/>
    </mc:Choice>
  </mc:AlternateContent>
  <bookViews>
    <workbookView xWindow="480" yWindow="276" windowWidth="11472" windowHeight="8196"/>
  </bookViews>
  <sheets>
    <sheet name="線性規劃" sheetId="1" r:id="rId1"/>
  </sheets>
  <definedNames>
    <definedName name="solver_adj" localSheetId="0" hidden="1">線性規劃!$A$20:$B$20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100</definedName>
    <definedName name="solver_lhs1" localSheetId="0" hidden="1">線性規劃!$C$21</definedName>
    <definedName name="solver_lhs2" localSheetId="0" hidden="1">線性規劃!$C$22</definedName>
    <definedName name="solver_lhs3" localSheetId="0" hidden="1">線性規劃!$C$23</definedName>
    <definedName name="solver_lhs4" localSheetId="0" hidden="1">線性規劃!$C$24</definedName>
    <definedName name="solver_lhs5" localSheetId="0" hidden="1">線性規劃!$C$25</definedName>
    <definedName name="solver_lhs6" localSheetId="0" hidden="1">線性規劃!$C$26</definedName>
    <definedName name="solver_lin" localSheetId="0" hidden="1">2</definedName>
    <definedName name="solver_neg" localSheetId="0" hidden="1">2</definedName>
    <definedName name="solver_num" localSheetId="0" hidden="1">6</definedName>
    <definedName name="solver_nwt" localSheetId="0" hidden="1">1</definedName>
    <definedName name="solver_opt" localSheetId="0" hidden="1">線性規劃!$C$27</definedName>
    <definedName name="solver_pre" localSheetId="0" hidden="1">0.000001</definedName>
    <definedName name="solver_rel1" localSheetId="0" hidden="1">3</definedName>
    <definedName name="solver_rel2" localSheetId="0" hidden="1">3</definedName>
    <definedName name="solver_rel3" localSheetId="0" hidden="1">1</definedName>
    <definedName name="solver_rel4" localSheetId="0" hidden="1">1</definedName>
    <definedName name="solver_rel5" localSheetId="0" hidden="1">3</definedName>
    <definedName name="solver_rel6" localSheetId="0" hidden="1">3</definedName>
    <definedName name="solver_rhs1" localSheetId="0" hidden="1">線性規劃!$E$21</definedName>
    <definedName name="solver_rhs2" localSheetId="0" hidden="1">線性規劃!$E$22</definedName>
    <definedName name="solver_rhs3" localSheetId="0" hidden="1">線性規劃!$E$23</definedName>
    <definedName name="solver_rhs4" localSheetId="0" hidden="1">線性規劃!$E$24</definedName>
    <definedName name="solver_rhs5" localSheetId="0" hidden="1">線性規劃!$E$25</definedName>
    <definedName name="solver_rhs6" localSheetId="0" hidden="1">線性規劃!$E$26</definedName>
    <definedName name="solver_scl" localSheetId="0" hidden="1">2</definedName>
    <definedName name="solver_sho" localSheetId="0" hidden="1">2</definedName>
    <definedName name="solver_tim" localSheetId="0" hidden="1">100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62913"/>
</workbook>
</file>

<file path=xl/calcChain.xml><?xml version="1.0" encoding="utf-8"?>
<calcChain xmlns="http://schemas.openxmlformats.org/spreadsheetml/2006/main">
  <c r="C27" i="1" l="1"/>
  <c r="C22" i="1"/>
  <c r="C23" i="1"/>
  <c r="C24" i="1"/>
  <c r="C25" i="1"/>
  <c r="C26" i="1"/>
  <c r="C21" i="1"/>
  <c r="E24" i="1"/>
  <c r="E23" i="1"/>
  <c r="E22" i="1"/>
</calcChain>
</file>

<file path=xl/sharedStrings.xml><?xml version="1.0" encoding="utf-8"?>
<sst xmlns="http://schemas.openxmlformats.org/spreadsheetml/2006/main" count="9" uniqueCount="5">
  <si>
    <t>X1</t>
    <phoneticPr fontId="4" type="noConversion"/>
  </si>
  <si>
    <t>X2</t>
    <phoneticPr fontId="4" type="noConversion"/>
  </si>
  <si>
    <t>&gt;=</t>
    <phoneticPr fontId="4" type="noConversion"/>
  </si>
  <si>
    <t>&lt;=</t>
    <phoneticPr fontId="4" type="noConversion"/>
  </si>
  <si>
    <r>
      <t>產品設計問題</t>
    </r>
    <r>
      <rPr>
        <sz val="11"/>
        <rFont val="Times New Roman"/>
        <family val="1"/>
      </rPr>
      <t>(</t>
    </r>
    <r>
      <rPr>
        <sz val="11"/>
        <rFont val="新細明體"/>
        <family val="1"/>
        <charset val="136"/>
      </rPr>
      <t>線性規劃</t>
    </r>
    <r>
      <rPr>
        <sz val="11"/>
        <rFont val="Times New Roman"/>
        <family val="1"/>
      </rPr>
      <t xml:space="preserve">)
</t>
    </r>
    <r>
      <rPr>
        <sz val="11"/>
        <rFont val="新細明體"/>
        <family val="1"/>
        <charset val="136"/>
      </rPr>
      <t>某承包商考慮自兩個採石場採購材料。材料的單價</t>
    </r>
    <r>
      <rPr>
        <sz val="11"/>
        <rFont val="Times New Roman"/>
        <family val="1"/>
      </rPr>
      <t>(</t>
    </r>
    <r>
      <rPr>
        <sz val="11"/>
        <rFont val="新細明體"/>
        <family val="1"/>
        <charset val="136"/>
      </rPr>
      <t>含運費</t>
    </r>
    <r>
      <rPr>
        <sz val="11"/>
        <rFont val="Times New Roman"/>
        <family val="1"/>
      </rPr>
      <t>)</t>
    </r>
    <r>
      <rPr>
        <sz val="11"/>
        <rFont val="新細明體"/>
        <family val="1"/>
        <charset val="136"/>
      </rPr>
      <t>，採石場</t>
    </r>
    <r>
      <rPr>
        <sz val="11"/>
        <rFont val="Times New Roman"/>
        <family val="1"/>
      </rPr>
      <t>1</t>
    </r>
    <r>
      <rPr>
        <sz val="11"/>
        <rFont val="新細明體"/>
        <family val="1"/>
        <charset val="136"/>
      </rPr>
      <t>為</t>
    </r>
    <r>
      <rPr>
        <sz val="11"/>
        <rFont val="Times New Roman"/>
        <family val="1"/>
      </rPr>
      <t xml:space="preserve"> $500/m</t>
    </r>
    <r>
      <rPr>
        <vertAlign val="superscript"/>
        <sz val="11"/>
        <rFont val="Times New Roman"/>
        <family val="1"/>
      </rPr>
      <t>3</t>
    </r>
    <r>
      <rPr>
        <sz val="11"/>
        <rFont val="新細明體"/>
        <family val="1"/>
        <charset val="136"/>
      </rPr>
      <t>，採石場</t>
    </r>
    <r>
      <rPr>
        <sz val="11"/>
        <rFont val="Times New Roman"/>
        <family val="1"/>
      </rPr>
      <t>2</t>
    </r>
    <r>
      <rPr>
        <sz val="11"/>
        <rFont val="新細明體"/>
        <family val="1"/>
        <charset val="136"/>
      </rPr>
      <t>為</t>
    </r>
    <r>
      <rPr>
        <sz val="11"/>
        <rFont val="Times New Roman"/>
        <family val="1"/>
      </rPr>
      <t xml:space="preserve"> $700/m</t>
    </r>
    <r>
      <rPr>
        <vertAlign val="superscript"/>
        <sz val="11"/>
        <rFont val="Times New Roman"/>
        <family val="1"/>
      </rPr>
      <t>3</t>
    </r>
    <r>
      <rPr>
        <sz val="11"/>
        <rFont val="新細明體"/>
        <family val="1"/>
        <charset val="136"/>
      </rPr>
      <t>。必須裝運至工地的最小數量為</t>
    </r>
    <r>
      <rPr>
        <sz val="11"/>
        <rFont val="Times New Roman"/>
        <family val="1"/>
      </rPr>
      <t>l0000m</t>
    </r>
    <r>
      <rPr>
        <vertAlign val="superscript"/>
        <sz val="11"/>
        <rFont val="Times New Roman"/>
        <family val="1"/>
      </rPr>
      <t>3</t>
    </r>
    <r>
      <rPr>
        <sz val="11"/>
        <rFont val="新細明體"/>
        <family val="1"/>
        <charset val="136"/>
      </rPr>
      <t>。運至工地之混合料成份，砂至少為</t>
    </r>
    <r>
      <rPr>
        <sz val="11"/>
        <rFont val="Times New Roman"/>
        <family val="1"/>
      </rPr>
      <t>50%</t>
    </r>
    <r>
      <rPr>
        <sz val="11"/>
        <rFont val="新細明體"/>
        <family val="1"/>
        <charset val="136"/>
      </rPr>
      <t>，礫石不超過</t>
    </r>
    <r>
      <rPr>
        <sz val="11"/>
        <rFont val="Times New Roman"/>
        <family val="1"/>
      </rPr>
      <t>60%</t>
    </r>
    <r>
      <rPr>
        <sz val="11"/>
        <rFont val="新細明體"/>
        <family val="1"/>
        <charset val="136"/>
      </rPr>
      <t>，沉泥不超過</t>
    </r>
    <r>
      <rPr>
        <sz val="11"/>
        <rFont val="Times New Roman"/>
        <family val="1"/>
      </rPr>
      <t>8%</t>
    </r>
    <r>
      <rPr>
        <sz val="11"/>
        <rFont val="新細明體"/>
        <family val="1"/>
        <charset val="136"/>
      </rPr>
      <t>。採石場</t>
    </r>
    <r>
      <rPr>
        <sz val="11"/>
        <rFont val="Times New Roman"/>
        <family val="1"/>
      </rPr>
      <t>l</t>
    </r>
    <r>
      <rPr>
        <sz val="11"/>
        <rFont val="新細明體"/>
        <family val="1"/>
        <charset val="136"/>
      </rPr>
      <t>之材料計含</t>
    </r>
    <r>
      <rPr>
        <sz val="11"/>
        <rFont val="Times New Roman"/>
        <family val="1"/>
      </rPr>
      <t>30%</t>
    </r>
    <r>
      <rPr>
        <sz val="11"/>
        <rFont val="新細明體"/>
        <family val="1"/>
        <charset val="136"/>
      </rPr>
      <t>砂，</t>
    </r>
    <r>
      <rPr>
        <sz val="11"/>
        <rFont val="Times New Roman"/>
        <family val="1"/>
      </rPr>
      <t>70%</t>
    </r>
    <r>
      <rPr>
        <sz val="11"/>
        <rFont val="新細明體"/>
        <family val="1"/>
        <charset val="136"/>
      </rPr>
      <t>礫石。採石場</t>
    </r>
    <r>
      <rPr>
        <sz val="11"/>
        <rFont val="Times New Roman"/>
        <family val="1"/>
      </rPr>
      <t>2</t>
    </r>
    <r>
      <rPr>
        <sz val="11"/>
        <rFont val="新細明體"/>
        <family val="1"/>
        <charset val="136"/>
      </rPr>
      <t>之材料計含</t>
    </r>
    <r>
      <rPr>
        <sz val="11"/>
        <rFont val="Times New Roman"/>
        <family val="1"/>
      </rPr>
      <t>60%</t>
    </r>
    <r>
      <rPr>
        <sz val="11"/>
        <rFont val="新細明體"/>
        <family val="1"/>
        <charset val="136"/>
      </rPr>
      <t>砂，</t>
    </r>
    <r>
      <rPr>
        <sz val="11"/>
        <rFont val="Times New Roman"/>
        <family val="1"/>
      </rPr>
      <t>30%</t>
    </r>
    <r>
      <rPr>
        <sz val="11"/>
        <rFont val="新細明體"/>
        <family val="1"/>
        <charset val="136"/>
      </rPr>
      <t>礫石，與</t>
    </r>
    <r>
      <rPr>
        <sz val="11"/>
        <rFont val="Times New Roman"/>
        <family val="1"/>
      </rPr>
      <t>10%</t>
    </r>
    <r>
      <rPr>
        <sz val="11"/>
        <rFont val="新細明體"/>
        <family val="1"/>
        <charset val="136"/>
      </rPr>
      <t>之沉泥。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</si>
</sst>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2"/>
      <name val="新細明體"/>
      <family val="1"/>
      <charset val="136"/>
    </font>
    <font>
      <sz val="11"/>
      <name val="Times New Roman"/>
      <family val="1"/>
    </font>
    <font>
      <sz val="11"/>
      <name val="新細明體"/>
      <family val="1"/>
      <charset val="136"/>
    </font>
    <font>
      <vertAlign val="superscript"/>
      <sz val="11"/>
      <name val="Times New Roman"/>
      <family val="1"/>
    </font>
    <font>
      <sz val="9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3" borderId="7" xfId="0" applyFill="1" applyBorder="1">
      <alignment vertical="center"/>
    </xf>
    <xf numFmtId="0" fontId="0" fillId="0" borderId="8" xfId="0" applyBorder="1">
      <alignment vertical="center"/>
    </xf>
    <xf numFmtId="0" fontId="2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15240</xdr:rowOff>
        </xdr:from>
        <xdr:to>
          <xdr:col>7</xdr:col>
          <xdr:colOff>426720</xdr:colOff>
          <xdr:row>17</xdr:row>
          <xdr:rowOff>137160</xdr:rowOff>
        </xdr:to>
        <xdr:sp macro="" textlink="">
          <xdr:nvSpPr>
            <xdr:cNvPr id="1051" name="Object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220980</xdr:colOff>
      <xdr:row>0</xdr:row>
      <xdr:rowOff>60960</xdr:rowOff>
    </xdr:from>
    <xdr:to>
      <xdr:col>18</xdr:col>
      <xdr:colOff>342900</xdr:colOff>
      <xdr:row>19</xdr:row>
      <xdr:rowOff>30480</xdr:rowOff>
    </xdr:to>
    <xdr:sp macro="" textlink="">
      <xdr:nvSpPr>
        <xdr:cNvPr id="3" name="文字方塊 2"/>
        <xdr:cNvSpPr txBox="1"/>
      </xdr:nvSpPr>
      <xdr:spPr>
        <a:xfrm>
          <a:off x="5097780" y="60960"/>
          <a:ext cx="6522720" cy="390144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線性規劃限制最佳化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(1) A20:B20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為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設計變數初始值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0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endParaRPr lang="zh-TW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(2)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A21:B26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儲存格為限制式的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X1, X2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的係數，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C21:C26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儲存格限制式的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函數，例如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C21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公式「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=A21*A$20+B21*B$20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」。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E21:E26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為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限制式的函數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的限制值。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(3) A27:B27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儲存格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為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為目標式的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X1, X2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的係數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C27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為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目標式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公式「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=A27*A$20+B27*B$20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(4) 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開啟「資料」標籤的「規劃求解」視窗，並輸入參數，即在「設定目標式」輸入「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C27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」，在「藉由變更變數儲存格」輸入「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A20:B20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」，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在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設定限制式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」輸入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六個限制「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C21&gt;E21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」、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C22&gt;E22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」、「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C23&lt;E23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」、「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C24&lt;E24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」、「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C25&gt;E25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」、「</a:t>
          </a:r>
          <a:r>
            <a:rPr lang="en-US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C26&gt;E26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以調整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設計變數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，最小化</a:t>
          </a:r>
          <a:r>
            <a:rPr lang="zh-TW" altLang="en-US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目標式，並滿足限制式</a:t>
          </a:r>
          <a:r>
            <a:rPr lang="zh-TW" altLang="zh-TW" sz="16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。</a:t>
          </a:r>
          <a:endParaRPr lang="en-US" altLang="zh-TW" sz="16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__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7"/>
  <sheetViews>
    <sheetView tabSelected="1" workbookViewId="0">
      <selection sqref="A1:G7"/>
    </sheetView>
  </sheetViews>
  <sheetFormatPr defaultRowHeight="16.2"/>
  <cols>
    <col min="9" max="9" width="13.33203125" customWidth="1"/>
  </cols>
  <sheetData>
    <row r="1" spans="1:7" ht="18" customHeight="1">
      <c r="A1" s="13" t="s">
        <v>4</v>
      </c>
      <c r="B1" s="14"/>
      <c r="C1" s="14"/>
      <c r="D1" s="14"/>
      <c r="E1" s="14"/>
      <c r="F1" s="14"/>
      <c r="G1" s="14"/>
    </row>
    <row r="2" spans="1:7">
      <c r="A2" s="14"/>
      <c r="B2" s="14"/>
      <c r="C2" s="14"/>
      <c r="D2" s="14"/>
      <c r="E2" s="14"/>
      <c r="F2" s="14"/>
      <c r="G2" s="14"/>
    </row>
    <row r="3" spans="1:7">
      <c r="A3" s="14"/>
      <c r="B3" s="14"/>
      <c r="C3" s="14"/>
      <c r="D3" s="14"/>
      <c r="E3" s="14"/>
      <c r="F3" s="14"/>
      <c r="G3" s="14"/>
    </row>
    <row r="4" spans="1:7">
      <c r="A4" s="14"/>
      <c r="B4" s="14"/>
      <c r="C4" s="14"/>
      <c r="D4" s="14"/>
      <c r="E4" s="14"/>
      <c r="F4" s="14"/>
      <c r="G4" s="14"/>
    </row>
    <row r="5" spans="1:7">
      <c r="A5" s="14"/>
      <c r="B5" s="14"/>
      <c r="C5" s="14"/>
      <c r="D5" s="14"/>
      <c r="E5" s="14"/>
      <c r="F5" s="14"/>
      <c r="G5" s="14"/>
    </row>
    <row r="6" spans="1:7">
      <c r="A6" s="14"/>
      <c r="B6" s="14"/>
      <c r="C6" s="14"/>
      <c r="D6" s="14"/>
      <c r="E6" s="14"/>
      <c r="F6" s="14"/>
      <c r="G6" s="14"/>
    </row>
    <row r="7" spans="1:7">
      <c r="A7" s="14"/>
      <c r="B7" s="14"/>
      <c r="C7" s="14"/>
      <c r="D7" s="14"/>
      <c r="E7" s="14"/>
      <c r="F7" s="14"/>
      <c r="G7" s="14"/>
    </row>
    <row r="19" spans="1:5">
      <c r="A19" s="1" t="s">
        <v>0</v>
      </c>
      <c r="B19" s="2" t="s">
        <v>1</v>
      </c>
      <c r="C19" s="2"/>
      <c r="D19" s="2"/>
      <c r="E19" s="3"/>
    </row>
    <row r="20" spans="1:5">
      <c r="A20" s="4">
        <v>3333.333333333333</v>
      </c>
      <c r="B20" s="5">
        <v>6666.666666666667</v>
      </c>
      <c r="C20" s="6"/>
      <c r="D20" s="6"/>
      <c r="E20" s="7"/>
    </row>
    <row r="21" spans="1:5">
      <c r="A21" s="8">
        <v>1</v>
      </c>
      <c r="B21" s="6">
        <v>1</v>
      </c>
      <c r="C21" s="6">
        <f t="shared" ref="C21:C27" si="0">A21*A$20+B21*B$20</f>
        <v>10000</v>
      </c>
      <c r="D21" s="6" t="s">
        <v>2</v>
      </c>
      <c r="E21" s="7">
        <v>10000</v>
      </c>
    </row>
    <row r="22" spans="1:5">
      <c r="A22" s="8">
        <v>0.3</v>
      </c>
      <c r="B22" s="6">
        <v>0.6</v>
      </c>
      <c r="C22" s="6">
        <f t="shared" si="0"/>
        <v>5000</v>
      </c>
      <c r="D22" s="6" t="s">
        <v>2</v>
      </c>
      <c r="E22" s="7">
        <f>0.5*(A20+B20)</f>
        <v>5000</v>
      </c>
    </row>
    <row r="23" spans="1:5">
      <c r="A23" s="8">
        <v>0.7</v>
      </c>
      <c r="B23" s="6">
        <v>0.3</v>
      </c>
      <c r="C23" s="6">
        <f t="shared" si="0"/>
        <v>4333.333333333333</v>
      </c>
      <c r="D23" s="6" t="s">
        <v>3</v>
      </c>
      <c r="E23" s="7">
        <f>0.6*(A20+B20)</f>
        <v>6000</v>
      </c>
    </row>
    <row r="24" spans="1:5">
      <c r="A24" s="8">
        <v>0</v>
      </c>
      <c r="B24" s="6">
        <v>0.1</v>
      </c>
      <c r="C24" s="6">
        <f t="shared" si="0"/>
        <v>666.66666666666674</v>
      </c>
      <c r="D24" s="6" t="s">
        <v>3</v>
      </c>
      <c r="E24" s="7">
        <f>0.08*(A20+B20)</f>
        <v>800</v>
      </c>
    </row>
    <row r="25" spans="1:5">
      <c r="A25" s="8">
        <v>1</v>
      </c>
      <c r="B25" s="6">
        <v>0</v>
      </c>
      <c r="C25" s="6">
        <f t="shared" si="0"/>
        <v>3333.333333333333</v>
      </c>
      <c r="D25" s="6" t="s">
        <v>2</v>
      </c>
      <c r="E25" s="7">
        <v>0</v>
      </c>
    </row>
    <row r="26" spans="1:5">
      <c r="A26" s="8">
        <v>0</v>
      </c>
      <c r="B26" s="6">
        <v>1</v>
      </c>
      <c r="C26" s="6">
        <f t="shared" si="0"/>
        <v>6666.666666666667</v>
      </c>
      <c r="D26" s="6" t="s">
        <v>2</v>
      </c>
      <c r="E26" s="7">
        <v>0</v>
      </c>
    </row>
    <row r="27" spans="1:5">
      <c r="A27" s="9">
        <v>500</v>
      </c>
      <c r="B27" s="10">
        <v>700</v>
      </c>
      <c r="C27" s="11">
        <f t="shared" si="0"/>
        <v>6333333.333333334</v>
      </c>
      <c r="D27" s="10"/>
      <c r="E27" s="12"/>
    </row>
  </sheetData>
  <mergeCells count="1">
    <mergeCell ref="A1:G7"/>
  </mergeCells>
  <phoneticPr fontId="4" type="noConversion"/>
  <pageMargins left="0.75" right="0.75" top="1" bottom="1" header="0.5" footer="0.5"/>
  <pageSetup paperSize="9" orientation="portrait" horizontalDpi="0" verticalDpi="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51" r:id="rId4">
          <objectPr defaultSize="0" r:id="rId5">
            <anchor moveWithCells="1">
              <from>
                <xdr:col>0</xdr:col>
                <xdr:colOff>0</xdr:colOff>
                <xdr:row>7</xdr:row>
                <xdr:rowOff>15240</xdr:rowOff>
              </from>
              <to>
                <xdr:col>7</xdr:col>
                <xdr:colOff>426720</xdr:colOff>
                <xdr:row>17</xdr:row>
                <xdr:rowOff>137160</xdr:rowOff>
              </to>
            </anchor>
          </objectPr>
        </oleObject>
      </mc:Choice>
      <mc:Fallback>
        <oleObject progId="Word.Document.8" shapeId="1051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線性規劃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2007-10-06T10:53:52Z</dcterms:created>
  <dcterms:modified xsi:type="dcterms:W3CDTF">2017-08-30T07:30:53Z</dcterms:modified>
</cp:coreProperties>
</file>