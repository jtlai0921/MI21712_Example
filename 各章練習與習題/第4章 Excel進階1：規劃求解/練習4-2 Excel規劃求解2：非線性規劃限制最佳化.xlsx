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4章 Excel進階1：規劃求解\"/>
    </mc:Choice>
  </mc:AlternateContent>
  <bookViews>
    <workbookView xWindow="480" yWindow="96" windowWidth="12792" windowHeight="8676" activeTab="1"/>
  </bookViews>
  <sheets>
    <sheet name="圖" sheetId="5" r:id="rId1"/>
    <sheet name="限制最佳化" sheetId="4" r:id="rId2"/>
  </sheets>
  <definedNames>
    <definedName name="solver_adj" localSheetId="1" hidden="1">限制最佳化!$B$1:$B$2</definedName>
    <definedName name="solver_adj" localSheetId="0" hidden="1">圖!$B$1:$B$2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st" localSheetId="1" hidden="1">1</definedName>
    <definedName name="solver_est" localSheetId="0" hidden="1">1</definedName>
    <definedName name="solver_itr" localSheetId="1" hidden="1">100</definedName>
    <definedName name="solver_itr" localSheetId="0" hidden="1">100</definedName>
    <definedName name="solver_lhs1" localSheetId="1" hidden="1">限制最佳化!$B$1:$B$2</definedName>
    <definedName name="solver_lhs1" localSheetId="0" hidden="1">圖!$B$1:$B$2</definedName>
    <definedName name="solver_lhs2" localSheetId="1" hidden="1">限制最佳化!$B$1:$B$2</definedName>
    <definedName name="solver_lhs2" localSheetId="0" hidden="1">圖!$B$1:$B$2</definedName>
    <definedName name="solver_lhs3" localSheetId="1" hidden="1">限制最佳化!$B$4</definedName>
    <definedName name="solver_lhs3" localSheetId="0" hidden="1">圖!$B$4</definedName>
    <definedName name="solver_lhs4" localSheetId="1" hidden="1">限制最佳化!$B$5</definedName>
    <definedName name="solver_lhs4" localSheetId="0" hidden="1">圖!$B$5</definedName>
    <definedName name="solver_lin" localSheetId="1" hidden="1">2</definedName>
    <definedName name="solver_lin" localSheetId="0" hidden="1">2</definedName>
    <definedName name="solver_neg" localSheetId="1" hidden="1">2</definedName>
    <definedName name="solver_neg" localSheetId="0" hidden="1">2</definedName>
    <definedName name="solver_num" localSheetId="1" hidden="1">4</definedName>
    <definedName name="solver_num" localSheetId="0" hidden="1">4</definedName>
    <definedName name="solver_nwt" localSheetId="1" hidden="1">2</definedName>
    <definedName name="solver_nwt" localSheetId="0" hidden="1">2</definedName>
    <definedName name="solver_opt" localSheetId="1" hidden="1">限制最佳化!$B$3</definedName>
    <definedName name="solver_opt" localSheetId="0" hidden="1">圖!$B$3</definedName>
    <definedName name="solver_pre" localSheetId="1" hidden="1">0.000001</definedName>
    <definedName name="solver_pre" localSheetId="0" hidden="1">0.000001</definedName>
    <definedName name="solver_rel1" localSheetId="1" hidden="1">1</definedName>
    <definedName name="solver_rel1" localSheetId="0" hidden="1">1</definedName>
    <definedName name="solver_rel2" localSheetId="1" hidden="1">3</definedName>
    <definedName name="solver_rel2" localSheetId="0" hidden="1">3</definedName>
    <definedName name="solver_rel3" localSheetId="1" hidden="1">1</definedName>
    <definedName name="solver_rel3" localSheetId="0" hidden="1">1</definedName>
    <definedName name="solver_rel4" localSheetId="1" hidden="1">1</definedName>
    <definedName name="solver_rel4" localSheetId="0" hidden="1">1</definedName>
    <definedName name="solver_rhs1" localSheetId="1" hidden="1">限制最佳化!$D$2</definedName>
    <definedName name="solver_rhs1" localSheetId="0" hidden="1">圖!$D$2</definedName>
    <definedName name="solver_rhs2" localSheetId="1" hidden="1">限制最佳化!$D$1</definedName>
    <definedName name="solver_rhs2" localSheetId="0" hidden="1">圖!$D$1</definedName>
    <definedName name="solver_rhs3" localSheetId="1" hidden="1">0</definedName>
    <definedName name="solver_rhs3" localSheetId="0" hidden="1">圖!$D$4</definedName>
    <definedName name="solver_rhs4" localSheetId="1" hidden="1">0</definedName>
    <definedName name="solver_rhs4" localSheetId="0" hidden="1">圖!$D$5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tim" localSheetId="1" hidden="1">100</definedName>
    <definedName name="solver_tim" localSheetId="0" hidden="1">100</definedName>
    <definedName name="solver_tol" localSheetId="1" hidden="1">0.001</definedName>
    <definedName name="solver_tol" localSheetId="0" hidden="1">0.001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B5" i="4" l="1"/>
  <c r="B4" i="4"/>
  <c r="B3" i="4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</calcChain>
</file>

<file path=xl/sharedStrings.xml><?xml version="1.0" encoding="utf-8"?>
<sst xmlns="http://schemas.openxmlformats.org/spreadsheetml/2006/main" count="7" uniqueCount="7">
  <si>
    <t>F</t>
    <phoneticPr fontId="1" type="noConversion"/>
  </si>
  <si>
    <t xml:space="preserve"> 下限</t>
    <phoneticPr fontId="1" type="noConversion"/>
  </si>
  <si>
    <t>上限</t>
    <phoneticPr fontId="1" type="noConversion"/>
  </si>
  <si>
    <t>x1</t>
    <phoneticPr fontId="1" type="noConversion"/>
  </si>
  <si>
    <t>x2</t>
    <phoneticPr fontId="1" type="noConversion"/>
  </si>
  <si>
    <t>g1</t>
    <phoneticPr fontId="1" type="noConversion"/>
  </si>
  <si>
    <t>g2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</si>
</sst>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8.7979591951802869E-2"/>
          <c:y val="6.7649359115799099E-2"/>
          <c:w val="0.73316326626502393"/>
          <c:h val="0.72061273840742524"/>
        </c:manualLayout>
      </c:layout>
      <c:surfaceChart>
        <c:wireframe val="1"/>
        <c:ser>
          <c:idx val="0"/>
          <c:order val="0"/>
          <c:tx>
            <c:strRef>
              <c:f>圖!$B$9</c:f>
              <c:strCache>
                <c:ptCount val="1"/>
                <c:pt idx="0">
                  <c:v>-10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圖!$C$9:$W$9</c:f>
              <c:numCache>
                <c:formatCode>General</c:formatCode>
                <c:ptCount val="21"/>
                <c:pt idx="0">
                  <c:v>580</c:v>
                </c:pt>
                <c:pt idx="1">
                  <c:v>539.5</c:v>
                </c:pt>
                <c:pt idx="2">
                  <c:v>502</c:v>
                </c:pt>
                <c:pt idx="3">
                  <c:v>467.5</c:v>
                </c:pt>
                <c:pt idx="4">
                  <c:v>436</c:v>
                </c:pt>
                <c:pt idx="5">
                  <c:v>407.5</c:v>
                </c:pt>
                <c:pt idx="6">
                  <c:v>382</c:v>
                </c:pt>
                <c:pt idx="7">
                  <c:v>359.5</c:v>
                </c:pt>
                <c:pt idx="8">
                  <c:v>340</c:v>
                </c:pt>
                <c:pt idx="9">
                  <c:v>323.5</c:v>
                </c:pt>
                <c:pt idx="10">
                  <c:v>310</c:v>
                </c:pt>
                <c:pt idx="11">
                  <c:v>299.5</c:v>
                </c:pt>
                <c:pt idx="12">
                  <c:v>292</c:v>
                </c:pt>
                <c:pt idx="13">
                  <c:v>287.5</c:v>
                </c:pt>
                <c:pt idx="14">
                  <c:v>286</c:v>
                </c:pt>
                <c:pt idx="15">
                  <c:v>287.5</c:v>
                </c:pt>
                <c:pt idx="16">
                  <c:v>292</c:v>
                </c:pt>
                <c:pt idx="17">
                  <c:v>299.5</c:v>
                </c:pt>
                <c:pt idx="18">
                  <c:v>310</c:v>
                </c:pt>
                <c:pt idx="19">
                  <c:v>323.5</c:v>
                </c:pt>
                <c:pt idx="2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6-46B1-BAC2-B16E16B2DBC1}"/>
            </c:ext>
          </c:extLst>
        </c:ser>
        <c:ser>
          <c:idx val="1"/>
          <c:order val="1"/>
          <c:tx>
            <c:strRef>
              <c:f>圖!$B$10</c:f>
              <c:strCache>
                <c:ptCount val="1"/>
                <c:pt idx="0">
                  <c:v>-9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圖!$C$10:$W$10</c:f>
              <c:numCache>
                <c:formatCode>General</c:formatCode>
                <c:ptCount val="21"/>
                <c:pt idx="0">
                  <c:v>529</c:v>
                </c:pt>
                <c:pt idx="1">
                  <c:v>489.5</c:v>
                </c:pt>
                <c:pt idx="2">
                  <c:v>453</c:v>
                </c:pt>
                <c:pt idx="3">
                  <c:v>419.5</c:v>
                </c:pt>
                <c:pt idx="4">
                  <c:v>389</c:v>
                </c:pt>
                <c:pt idx="5">
                  <c:v>361.5</c:v>
                </c:pt>
                <c:pt idx="6">
                  <c:v>337</c:v>
                </c:pt>
                <c:pt idx="7">
                  <c:v>315.5</c:v>
                </c:pt>
                <c:pt idx="8">
                  <c:v>297</c:v>
                </c:pt>
                <c:pt idx="9">
                  <c:v>281.5</c:v>
                </c:pt>
                <c:pt idx="10">
                  <c:v>269</c:v>
                </c:pt>
                <c:pt idx="11">
                  <c:v>259.5</c:v>
                </c:pt>
                <c:pt idx="12">
                  <c:v>253</c:v>
                </c:pt>
                <c:pt idx="13">
                  <c:v>249.5</c:v>
                </c:pt>
                <c:pt idx="14">
                  <c:v>249</c:v>
                </c:pt>
                <c:pt idx="15">
                  <c:v>251.5</c:v>
                </c:pt>
                <c:pt idx="16">
                  <c:v>257</c:v>
                </c:pt>
                <c:pt idx="17">
                  <c:v>265.5</c:v>
                </c:pt>
                <c:pt idx="18">
                  <c:v>277</c:v>
                </c:pt>
                <c:pt idx="19">
                  <c:v>291.5</c:v>
                </c:pt>
                <c:pt idx="20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46-46B1-BAC2-B16E16B2DBC1}"/>
            </c:ext>
          </c:extLst>
        </c:ser>
        <c:ser>
          <c:idx val="2"/>
          <c:order val="2"/>
          <c:tx>
            <c:strRef>
              <c:f>圖!$B$11</c:f>
              <c:strCache>
                <c:ptCount val="1"/>
                <c:pt idx="0">
                  <c:v>-8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圖!$C$11:$W$11</c:f>
              <c:numCache>
                <c:formatCode>General</c:formatCode>
                <c:ptCount val="21"/>
                <c:pt idx="0">
                  <c:v>482</c:v>
                </c:pt>
                <c:pt idx="1">
                  <c:v>443.5</c:v>
                </c:pt>
                <c:pt idx="2">
                  <c:v>408</c:v>
                </c:pt>
                <c:pt idx="3">
                  <c:v>375.5</c:v>
                </c:pt>
                <c:pt idx="4">
                  <c:v>346</c:v>
                </c:pt>
                <c:pt idx="5">
                  <c:v>319.5</c:v>
                </c:pt>
                <c:pt idx="6">
                  <c:v>296</c:v>
                </c:pt>
                <c:pt idx="7">
                  <c:v>275.5</c:v>
                </c:pt>
                <c:pt idx="8">
                  <c:v>258</c:v>
                </c:pt>
                <c:pt idx="9">
                  <c:v>243.5</c:v>
                </c:pt>
                <c:pt idx="10">
                  <c:v>232</c:v>
                </c:pt>
                <c:pt idx="11">
                  <c:v>223.5</c:v>
                </c:pt>
                <c:pt idx="12">
                  <c:v>218</c:v>
                </c:pt>
                <c:pt idx="13">
                  <c:v>215.5</c:v>
                </c:pt>
                <c:pt idx="14">
                  <c:v>216</c:v>
                </c:pt>
                <c:pt idx="15">
                  <c:v>219.5</c:v>
                </c:pt>
                <c:pt idx="16">
                  <c:v>226</c:v>
                </c:pt>
                <c:pt idx="17">
                  <c:v>235.5</c:v>
                </c:pt>
                <c:pt idx="18">
                  <c:v>248</c:v>
                </c:pt>
                <c:pt idx="19">
                  <c:v>263.5</c:v>
                </c:pt>
                <c:pt idx="20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46-46B1-BAC2-B16E16B2DBC1}"/>
            </c:ext>
          </c:extLst>
        </c:ser>
        <c:ser>
          <c:idx val="3"/>
          <c:order val="3"/>
          <c:tx>
            <c:strRef>
              <c:f>圖!$B$12</c:f>
              <c:strCache>
                <c:ptCount val="1"/>
                <c:pt idx="0">
                  <c:v>-7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圖!$C$12:$W$12</c:f>
              <c:numCache>
                <c:formatCode>General</c:formatCode>
                <c:ptCount val="21"/>
                <c:pt idx="0">
                  <c:v>439</c:v>
                </c:pt>
                <c:pt idx="1">
                  <c:v>401.5</c:v>
                </c:pt>
                <c:pt idx="2">
                  <c:v>367</c:v>
                </c:pt>
                <c:pt idx="3">
                  <c:v>335.5</c:v>
                </c:pt>
                <c:pt idx="4">
                  <c:v>307</c:v>
                </c:pt>
                <c:pt idx="5">
                  <c:v>281.5</c:v>
                </c:pt>
                <c:pt idx="6">
                  <c:v>259</c:v>
                </c:pt>
                <c:pt idx="7">
                  <c:v>239.5</c:v>
                </c:pt>
                <c:pt idx="8">
                  <c:v>223</c:v>
                </c:pt>
                <c:pt idx="9">
                  <c:v>209.5</c:v>
                </c:pt>
                <c:pt idx="10">
                  <c:v>199</c:v>
                </c:pt>
                <c:pt idx="11">
                  <c:v>191.5</c:v>
                </c:pt>
                <c:pt idx="12">
                  <c:v>187</c:v>
                </c:pt>
                <c:pt idx="13">
                  <c:v>185.5</c:v>
                </c:pt>
                <c:pt idx="14">
                  <c:v>187</c:v>
                </c:pt>
                <c:pt idx="15">
                  <c:v>191.5</c:v>
                </c:pt>
                <c:pt idx="16">
                  <c:v>199</c:v>
                </c:pt>
                <c:pt idx="17">
                  <c:v>209.5</c:v>
                </c:pt>
                <c:pt idx="18">
                  <c:v>223</c:v>
                </c:pt>
                <c:pt idx="19">
                  <c:v>239.5</c:v>
                </c:pt>
                <c:pt idx="20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46-46B1-BAC2-B16E16B2DBC1}"/>
            </c:ext>
          </c:extLst>
        </c:ser>
        <c:ser>
          <c:idx val="4"/>
          <c:order val="4"/>
          <c:tx>
            <c:strRef>
              <c:f>圖!$B$13</c:f>
              <c:strCache>
                <c:ptCount val="1"/>
                <c:pt idx="0">
                  <c:v>-6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圖!$C$13:$W$13</c:f>
              <c:numCache>
                <c:formatCode>General</c:formatCode>
                <c:ptCount val="21"/>
                <c:pt idx="0">
                  <c:v>400</c:v>
                </c:pt>
                <c:pt idx="1">
                  <c:v>363.5</c:v>
                </c:pt>
                <c:pt idx="2">
                  <c:v>330</c:v>
                </c:pt>
                <c:pt idx="3">
                  <c:v>299.5</c:v>
                </c:pt>
                <c:pt idx="4">
                  <c:v>272</c:v>
                </c:pt>
                <c:pt idx="5">
                  <c:v>247.5</c:v>
                </c:pt>
                <c:pt idx="6">
                  <c:v>226</c:v>
                </c:pt>
                <c:pt idx="7">
                  <c:v>207.5</c:v>
                </c:pt>
                <c:pt idx="8">
                  <c:v>192</c:v>
                </c:pt>
                <c:pt idx="9">
                  <c:v>179.5</c:v>
                </c:pt>
                <c:pt idx="10">
                  <c:v>170</c:v>
                </c:pt>
                <c:pt idx="11">
                  <c:v>163.5</c:v>
                </c:pt>
                <c:pt idx="12">
                  <c:v>160</c:v>
                </c:pt>
                <c:pt idx="13">
                  <c:v>159.5</c:v>
                </c:pt>
                <c:pt idx="14">
                  <c:v>162</c:v>
                </c:pt>
                <c:pt idx="15">
                  <c:v>167.5</c:v>
                </c:pt>
                <c:pt idx="16">
                  <c:v>176</c:v>
                </c:pt>
                <c:pt idx="17">
                  <c:v>187.5</c:v>
                </c:pt>
                <c:pt idx="18">
                  <c:v>202</c:v>
                </c:pt>
                <c:pt idx="19">
                  <c:v>219.5</c:v>
                </c:pt>
                <c:pt idx="20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46-46B1-BAC2-B16E16B2DBC1}"/>
            </c:ext>
          </c:extLst>
        </c:ser>
        <c:ser>
          <c:idx val="5"/>
          <c:order val="5"/>
          <c:tx>
            <c:strRef>
              <c:f>圖!$B$14</c:f>
              <c:strCache>
                <c:ptCount val="1"/>
                <c:pt idx="0">
                  <c:v>-5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圖!$C$14:$W$14</c:f>
              <c:numCache>
                <c:formatCode>General</c:formatCode>
                <c:ptCount val="21"/>
                <c:pt idx="0">
                  <c:v>365</c:v>
                </c:pt>
                <c:pt idx="1">
                  <c:v>329.5</c:v>
                </c:pt>
                <c:pt idx="2">
                  <c:v>297</c:v>
                </c:pt>
                <c:pt idx="3">
                  <c:v>267.5</c:v>
                </c:pt>
                <c:pt idx="4">
                  <c:v>241</c:v>
                </c:pt>
                <c:pt idx="5">
                  <c:v>217.5</c:v>
                </c:pt>
                <c:pt idx="6">
                  <c:v>197</c:v>
                </c:pt>
                <c:pt idx="7">
                  <c:v>179.5</c:v>
                </c:pt>
                <c:pt idx="8">
                  <c:v>165</c:v>
                </c:pt>
                <c:pt idx="9">
                  <c:v>153.5</c:v>
                </c:pt>
                <c:pt idx="10">
                  <c:v>145</c:v>
                </c:pt>
                <c:pt idx="11">
                  <c:v>139.5</c:v>
                </c:pt>
                <c:pt idx="12">
                  <c:v>137</c:v>
                </c:pt>
                <c:pt idx="13">
                  <c:v>137.5</c:v>
                </c:pt>
                <c:pt idx="14">
                  <c:v>141</c:v>
                </c:pt>
                <c:pt idx="15">
                  <c:v>147.5</c:v>
                </c:pt>
                <c:pt idx="16">
                  <c:v>157</c:v>
                </c:pt>
                <c:pt idx="17">
                  <c:v>169.5</c:v>
                </c:pt>
                <c:pt idx="18">
                  <c:v>185</c:v>
                </c:pt>
                <c:pt idx="19">
                  <c:v>203.5</c:v>
                </c:pt>
                <c:pt idx="20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46-46B1-BAC2-B16E16B2DBC1}"/>
            </c:ext>
          </c:extLst>
        </c:ser>
        <c:ser>
          <c:idx val="6"/>
          <c:order val="6"/>
          <c:tx>
            <c:strRef>
              <c:f>圖!$B$15</c:f>
              <c:strCache>
                <c:ptCount val="1"/>
                <c:pt idx="0">
                  <c:v>-4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圖!$C$15:$W$15</c:f>
              <c:numCache>
                <c:formatCode>General</c:formatCode>
                <c:ptCount val="21"/>
                <c:pt idx="0">
                  <c:v>334</c:v>
                </c:pt>
                <c:pt idx="1">
                  <c:v>299.5</c:v>
                </c:pt>
                <c:pt idx="2">
                  <c:v>268</c:v>
                </c:pt>
                <c:pt idx="3">
                  <c:v>239.5</c:v>
                </c:pt>
                <c:pt idx="4">
                  <c:v>214</c:v>
                </c:pt>
                <c:pt idx="5">
                  <c:v>191.5</c:v>
                </c:pt>
                <c:pt idx="6">
                  <c:v>172</c:v>
                </c:pt>
                <c:pt idx="7">
                  <c:v>155.5</c:v>
                </c:pt>
                <c:pt idx="8">
                  <c:v>142</c:v>
                </c:pt>
                <c:pt idx="9">
                  <c:v>131.5</c:v>
                </c:pt>
                <c:pt idx="10">
                  <c:v>124</c:v>
                </c:pt>
                <c:pt idx="11">
                  <c:v>119.5</c:v>
                </c:pt>
                <c:pt idx="12">
                  <c:v>118</c:v>
                </c:pt>
                <c:pt idx="13">
                  <c:v>119.5</c:v>
                </c:pt>
                <c:pt idx="14">
                  <c:v>124</c:v>
                </c:pt>
                <c:pt idx="15">
                  <c:v>131.5</c:v>
                </c:pt>
                <c:pt idx="16">
                  <c:v>142</c:v>
                </c:pt>
                <c:pt idx="17">
                  <c:v>155.5</c:v>
                </c:pt>
                <c:pt idx="18">
                  <c:v>172</c:v>
                </c:pt>
                <c:pt idx="19">
                  <c:v>191.5</c:v>
                </c:pt>
                <c:pt idx="20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46-46B1-BAC2-B16E16B2DBC1}"/>
            </c:ext>
          </c:extLst>
        </c:ser>
        <c:ser>
          <c:idx val="7"/>
          <c:order val="7"/>
          <c:tx>
            <c:strRef>
              <c:f>圖!$B$16</c:f>
              <c:strCache>
                <c:ptCount val="1"/>
                <c:pt idx="0">
                  <c:v>-3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圖!$C$16:$W$16</c:f>
              <c:numCache>
                <c:formatCode>General</c:formatCode>
                <c:ptCount val="21"/>
                <c:pt idx="0">
                  <c:v>307</c:v>
                </c:pt>
                <c:pt idx="1">
                  <c:v>273.5</c:v>
                </c:pt>
                <c:pt idx="2">
                  <c:v>243</c:v>
                </c:pt>
                <c:pt idx="3">
                  <c:v>215.5</c:v>
                </c:pt>
                <c:pt idx="4">
                  <c:v>191</c:v>
                </c:pt>
                <c:pt idx="5">
                  <c:v>169.5</c:v>
                </c:pt>
                <c:pt idx="6">
                  <c:v>151</c:v>
                </c:pt>
                <c:pt idx="7">
                  <c:v>135.5</c:v>
                </c:pt>
                <c:pt idx="8">
                  <c:v>123</c:v>
                </c:pt>
                <c:pt idx="9">
                  <c:v>113.5</c:v>
                </c:pt>
                <c:pt idx="10">
                  <c:v>107</c:v>
                </c:pt>
                <c:pt idx="11">
                  <c:v>103.5</c:v>
                </c:pt>
                <c:pt idx="12">
                  <c:v>103</c:v>
                </c:pt>
                <c:pt idx="13">
                  <c:v>105.5</c:v>
                </c:pt>
                <c:pt idx="14">
                  <c:v>111</c:v>
                </c:pt>
                <c:pt idx="15">
                  <c:v>119.5</c:v>
                </c:pt>
                <c:pt idx="16">
                  <c:v>131</c:v>
                </c:pt>
                <c:pt idx="17">
                  <c:v>145.5</c:v>
                </c:pt>
                <c:pt idx="18">
                  <c:v>163</c:v>
                </c:pt>
                <c:pt idx="19">
                  <c:v>183.5</c:v>
                </c:pt>
                <c:pt idx="20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46-46B1-BAC2-B16E16B2DBC1}"/>
            </c:ext>
          </c:extLst>
        </c:ser>
        <c:ser>
          <c:idx val="8"/>
          <c:order val="8"/>
          <c:tx>
            <c:strRef>
              <c:f>圖!$B$17</c:f>
              <c:strCache>
                <c:ptCount val="1"/>
                <c:pt idx="0">
                  <c:v>-2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圖!$C$17:$W$17</c:f>
              <c:numCache>
                <c:formatCode>General</c:formatCode>
                <c:ptCount val="21"/>
                <c:pt idx="0">
                  <c:v>284</c:v>
                </c:pt>
                <c:pt idx="1">
                  <c:v>251.5</c:v>
                </c:pt>
                <c:pt idx="2">
                  <c:v>222</c:v>
                </c:pt>
                <c:pt idx="3">
                  <c:v>195.5</c:v>
                </c:pt>
                <c:pt idx="4">
                  <c:v>172</c:v>
                </c:pt>
                <c:pt idx="5">
                  <c:v>151.5</c:v>
                </c:pt>
                <c:pt idx="6">
                  <c:v>134</c:v>
                </c:pt>
                <c:pt idx="7">
                  <c:v>119.5</c:v>
                </c:pt>
                <c:pt idx="8">
                  <c:v>108</c:v>
                </c:pt>
                <c:pt idx="9">
                  <c:v>99.5</c:v>
                </c:pt>
                <c:pt idx="10">
                  <c:v>94</c:v>
                </c:pt>
                <c:pt idx="11">
                  <c:v>91.5</c:v>
                </c:pt>
                <c:pt idx="12">
                  <c:v>92</c:v>
                </c:pt>
                <c:pt idx="13">
                  <c:v>95.5</c:v>
                </c:pt>
                <c:pt idx="14">
                  <c:v>102</c:v>
                </c:pt>
                <c:pt idx="15">
                  <c:v>111.5</c:v>
                </c:pt>
                <c:pt idx="16">
                  <c:v>124</c:v>
                </c:pt>
                <c:pt idx="17">
                  <c:v>139.5</c:v>
                </c:pt>
                <c:pt idx="18">
                  <c:v>158</c:v>
                </c:pt>
                <c:pt idx="19">
                  <c:v>179.5</c:v>
                </c:pt>
                <c:pt idx="20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46-46B1-BAC2-B16E16B2DBC1}"/>
            </c:ext>
          </c:extLst>
        </c:ser>
        <c:ser>
          <c:idx val="9"/>
          <c:order val="9"/>
          <c:tx>
            <c:strRef>
              <c:f>圖!$B$18</c:f>
              <c:strCache>
                <c:ptCount val="1"/>
                <c:pt idx="0">
                  <c:v>-1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圖!$C$18:$W$18</c:f>
              <c:numCache>
                <c:formatCode>General</c:formatCode>
                <c:ptCount val="21"/>
                <c:pt idx="0">
                  <c:v>265</c:v>
                </c:pt>
                <c:pt idx="1">
                  <c:v>233.5</c:v>
                </c:pt>
                <c:pt idx="2">
                  <c:v>205</c:v>
                </c:pt>
                <c:pt idx="3">
                  <c:v>179.5</c:v>
                </c:pt>
                <c:pt idx="4">
                  <c:v>157</c:v>
                </c:pt>
                <c:pt idx="5">
                  <c:v>137.5</c:v>
                </c:pt>
                <c:pt idx="6">
                  <c:v>121</c:v>
                </c:pt>
                <c:pt idx="7">
                  <c:v>107.5</c:v>
                </c:pt>
                <c:pt idx="8">
                  <c:v>97</c:v>
                </c:pt>
                <c:pt idx="9">
                  <c:v>89.5</c:v>
                </c:pt>
                <c:pt idx="10">
                  <c:v>85</c:v>
                </c:pt>
                <c:pt idx="11">
                  <c:v>83.5</c:v>
                </c:pt>
                <c:pt idx="12">
                  <c:v>85</c:v>
                </c:pt>
                <c:pt idx="13">
                  <c:v>89.5</c:v>
                </c:pt>
                <c:pt idx="14">
                  <c:v>97</c:v>
                </c:pt>
                <c:pt idx="15">
                  <c:v>107.5</c:v>
                </c:pt>
                <c:pt idx="16">
                  <c:v>121</c:v>
                </c:pt>
                <c:pt idx="17">
                  <c:v>137.5</c:v>
                </c:pt>
                <c:pt idx="18">
                  <c:v>157</c:v>
                </c:pt>
                <c:pt idx="19">
                  <c:v>179.5</c:v>
                </c:pt>
                <c:pt idx="20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46-46B1-BAC2-B16E16B2DBC1}"/>
            </c:ext>
          </c:extLst>
        </c:ser>
        <c:ser>
          <c:idx val="10"/>
          <c:order val="10"/>
          <c:tx>
            <c:strRef>
              <c:f>圖!$B$19</c:f>
              <c:strCache>
                <c:ptCount val="1"/>
                <c:pt idx="0">
                  <c:v>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圖!$C$19:$W$19</c:f>
              <c:numCache>
                <c:formatCode>General</c:formatCode>
                <c:ptCount val="21"/>
                <c:pt idx="0">
                  <c:v>250</c:v>
                </c:pt>
                <c:pt idx="1">
                  <c:v>219.5</c:v>
                </c:pt>
                <c:pt idx="2">
                  <c:v>192</c:v>
                </c:pt>
                <c:pt idx="3">
                  <c:v>167.5</c:v>
                </c:pt>
                <c:pt idx="4">
                  <c:v>146</c:v>
                </c:pt>
                <c:pt idx="5">
                  <c:v>127.5</c:v>
                </c:pt>
                <c:pt idx="6">
                  <c:v>112</c:v>
                </c:pt>
                <c:pt idx="7">
                  <c:v>99.5</c:v>
                </c:pt>
                <c:pt idx="8">
                  <c:v>90</c:v>
                </c:pt>
                <c:pt idx="9">
                  <c:v>83.5</c:v>
                </c:pt>
                <c:pt idx="10">
                  <c:v>80</c:v>
                </c:pt>
                <c:pt idx="11">
                  <c:v>79.5</c:v>
                </c:pt>
                <c:pt idx="12">
                  <c:v>82</c:v>
                </c:pt>
                <c:pt idx="13">
                  <c:v>87.5</c:v>
                </c:pt>
                <c:pt idx="14">
                  <c:v>96</c:v>
                </c:pt>
                <c:pt idx="15">
                  <c:v>107.5</c:v>
                </c:pt>
                <c:pt idx="16">
                  <c:v>122</c:v>
                </c:pt>
                <c:pt idx="17">
                  <c:v>139.5</c:v>
                </c:pt>
                <c:pt idx="18">
                  <c:v>160</c:v>
                </c:pt>
                <c:pt idx="19">
                  <c:v>183.5</c:v>
                </c:pt>
                <c:pt idx="2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46-46B1-BAC2-B16E16B2DBC1}"/>
            </c:ext>
          </c:extLst>
        </c:ser>
        <c:ser>
          <c:idx val="11"/>
          <c:order val="11"/>
          <c:tx>
            <c:strRef>
              <c:f>圖!$B$20</c:f>
              <c:strCache>
                <c:ptCount val="1"/>
                <c:pt idx="0">
                  <c:v>1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圖!$C$20:$W$20</c:f>
              <c:numCache>
                <c:formatCode>General</c:formatCode>
                <c:ptCount val="21"/>
                <c:pt idx="0">
                  <c:v>239</c:v>
                </c:pt>
                <c:pt idx="1">
                  <c:v>209.5</c:v>
                </c:pt>
                <c:pt idx="2">
                  <c:v>183</c:v>
                </c:pt>
                <c:pt idx="3">
                  <c:v>159.5</c:v>
                </c:pt>
                <c:pt idx="4">
                  <c:v>139</c:v>
                </c:pt>
                <c:pt idx="5">
                  <c:v>121.5</c:v>
                </c:pt>
                <c:pt idx="6">
                  <c:v>107</c:v>
                </c:pt>
                <c:pt idx="7">
                  <c:v>95.5</c:v>
                </c:pt>
                <c:pt idx="8">
                  <c:v>87</c:v>
                </c:pt>
                <c:pt idx="9">
                  <c:v>81.5</c:v>
                </c:pt>
                <c:pt idx="10">
                  <c:v>79</c:v>
                </c:pt>
                <c:pt idx="11">
                  <c:v>79.5</c:v>
                </c:pt>
                <c:pt idx="12">
                  <c:v>83</c:v>
                </c:pt>
                <c:pt idx="13">
                  <c:v>89.5</c:v>
                </c:pt>
                <c:pt idx="14">
                  <c:v>99</c:v>
                </c:pt>
                <c:pt idx="15">
                  <c:v>111.5</c:v>
                </c:pt>
                <c:pt idx="16">
                  <c:v>127</c:v>
                </c:pt>
                <c:pt idx="17">
                  <c:v>145.5</c:v>
                </c:pt>
                <c:pt idx="18">
                  <c:v>167</c:v>
                </c:pt>
                <c:pt idx="19">
                  <c:v>191.5</c:v>
                </c:pt>
                <c:pt idx="20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46-46B1-BAC2-B16E16B2DBC1}"/>
            </c:ext>
          </c:extLst>
        </c:ser>
        <c:ser>
          <c:idx val="12"/>
          <c:order val="12"/>
          <c:tx>
            <c:strRef>
              <c:f>圖!$B$21</c:f>
              <c:strCache>
                <c:ptCount val="1"/>
                <c:pt idx="0">
                  <c:v>2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圖!$C$21:$W$21</c:f>
              <c:numCache>
                <c:formatCode>General</c:formatCode>
                <c:ptCount val="21"/>
                <c:pt idx="0">
                  <c:v>232</c:v>
                </c:pt>
                <c:pt idx="1">
                  <c:v>203.5</c:v>
                </c:pt>
                <c:pt idx="2">
                  <c:v>178</c:v>
                </c:pt>
                <c:pt idx="3">
                  <c:v>155.5</c:v>
                </c:pt>
                <c:pt idx="4">
                  <c:v>136</c:v>
                </c:pt>
                <c:pt idx="5">
                  <c:v>119.5</c:v>
                </c:pt>
                <c:pt idx="6">
                  <c:v>106</c:v>
                </c:pt>
                <c:pt idx="7">
                  <c:v>95.5</c:v>
                </c:pt>
                <c:pt idx="8">
                  <c:v>88</c:v>
                </c:pt>
                <c:pt idx="9">
                  <c:v>83.5</c:v>
                </c:pt>
                <c:pt idx="10">
                  <c:v>82</c:v>
                </c:pt>
                <c:pt idx="11">
                  <c:v>83.5</c:v>
                </c:pt>
                <c:pt idx="12">
                  <c:v>88</c:v>
                </c:pt>
                <c:pt idx="13">
                  <c:v>95.5</c:v>
                </c:pt>
                <c:pt idx="14">
                  <c:v>106</c:v>
                </c:pt>
                <c:pt idx="15">
                  <c:v>119.5</c:v>
                </c:pt>
                <c:pt idx="16">
                  <c:v>136</c:v>
                </c:pt>
                <c:pt idx="17">
                  <c:v>155.5</c:v>
                </c:pt>
                <c:pt idx="18">
                  <c:v>178</c:v>
                </c:pt>
                <c:pt idx="19">
                  <c:v>203.5</c:v>
                </c:pt>
                <c:pt idx="20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46-46B1-BAC2-B16E16B2DBC1}"/>
            </c:ext>
          </c:extLst>
        </c:ser>
        <c:ser>
          <c:idx val="13"/>
          <c:order val="13"/>
          <c:tx>
            <c:strRef>
              <c:f>圖!$B$22</c:f>
              <c:strCache>
                <c:ptCount val="1"/>
                <c:pt idx="0">
                  <c:v>3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圖!$C$22:$W$22</c:f>
              <c:numCache>
                <c:formatCode>General</c:formatCode>
                <c:ptCount val="21"/>
                <c:pt idx="0">
                  <c:v>229</c:v>
                </c:pt>
                <c:pt idx="1">
                  <c:v>201.5</c:v>
                </c:pt>
                <c:pt idx="2">
                  <c:v>177</c:v>
                </c:pt>
                <c:pt idx="3">
                  <c:v>155.5</c:v>
                </c:pt>
                <c:pt idx="4">
                  <c:v>137</c:v>
                </c:pt>
                <c:pt idx="5">
                  <c:v>121.5</c:v>
                </c:pt>
                <c:pt idx="6">
                  <c:v>109</c:v>
                </c:pt>
                <c:pt idx="7">
                  <c:v>99.5</c:v>
                </c:pt>
                <c:pt idx="8">
                  <c:v>93</c:v>
                </c:pt>
                <c:pt idx="9">
                  <c:v>89.5</c:v>
                </c:pt>
                <c:pt idx="10">
                  <c:v>89</c:v>
                </c:pt>
                <c:pt idx="11">
                  <c:v>91.5</c:v>
                </c:pt>
                <c:pt idx="12">
                  <c:v>97</c:v>
                </c:pt>
                <c:pt idx="13">
                  <c:v>105.5</c:v>
                </c:pt>
                <c:pt idx="14">
                  <c:v>117</c:v>
                </c:pt>
                <c:pt idx="15">
                  <c:v>131.5</c:v>
                </c:pt>
                <c:pt idx="16">
                  <c:v>149</c:v>
                </c:pt>
                <c:pt idx="17">
                  <c:v>169.5</c:v>
                </c:pt>
                <c:pt idx="18">
                  <c:v>193</c:v>
                </c:pt>
                <c:pt idx="19">
                  <c:v>219.5</c:v>
                </c:pt>
                <c:pt idx="20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146-46B1-BAC2-B16E16B2DBC1}"/>
            </c:ext>
          </c:extLst>
        </c:ser>
        <c:ser>
          <c:idx val="14"/>
          <c:order val="14"/>
          <c:tx>
            <c:strRef>
              <c:f>圖!$B$23</c:f>
              <c:strCache>
                <c:ptCount val="1"/>
                <c:pt idx="0">
                  <c:v>4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圖!$C$23:$W$23</c:f>
              <c:numCache>
                <c:formatCode>General</c:formatCode>
                <c:ptCount val="21"/>
                <c:pt idx="0">
                  <c:v>230</c:v>
                </c:pt>
                <c:pt idx="1">
                  <c:v>203.5</c:v>
                </c:pt>
                <c:pt idx="2">
                  <c:v>180</c:v>
                </c:pt>
                <c:pt idx="3">
                  <c:v>159.5</c:v>
                </c:pt>
                <c:pt idx="4">
                  <c:v>142</c:v>
                </c:pt>
                <c:pt idx="5">
                  <c:v>127.5</c:v>
                </c:pt>
                <c:pt idx="6">
                  <c:v>116</c:v>
                </c:pt>
                <c:pt idx="7">
                  <c:v>107.5</c:v>
                </c:pt>
                <c:pt idx="8">
                  <c:v>102</c:v>
                </c:pt>
                <c:pt idx="9">
                  <c:v>99.5</c:v>
                </c:pt>
                <c:pt idx="10">
                  <c:v>100</c:v>
                </c:pt>
                <c:pt idx="11">
                  <c:v>103.5</c:v>
                </c:pt>
                <c:pt idx="12">
                  <c:v>110</c:v>
                </c:pt>
                <c:pt idx="13">
                  <c:v>119.5</c:v>
                </c:pt>
                <c:pt idx="14">
                  <c:v>132</c:v>
                </c:pt>
                <c:pt idx="15">
                  <c:v>147.5</c:v>
                </c:pt>
                <c:pt idx="16">
                  <c:v>166</c:v>
                </c:pt>
                <c:pt idx="17">
                  <c:v>187.5</c:v>
                </c:pt>
                <c:pt idx="18">
                  <c:v>212</c:v>
                </c:pt>
                <c:pt idx="19">
                  <c:v>239.5</c:v>
                </c:pt>
                <c:pt idx="2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146-46B1-BAC2-B16E16B2DBC1}"/>
            </c:ext>
          </c:extLst>
        </c:ser>
        <c:ser>
          <c:idx val="15"/>
          <c:order val="15"/>
          <c:tx>
            <c:strRef>
              <c:f>圖!$B$24</c:f>
              <c:strCache>
                <c:ptCount val="1"/>
                <c:pt idx="0">
                  <c:v>5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圖!$C$24:$W$24</c:f>
              <c:numCache>
                <c:formatCode>General</c:formatCode>
                <c:ptCount val="21"/>
                <c:pt idx="0">
                  <c:v>235</c:v>
                </c:pt>
                <c:pt idx="1">
                  <c:v>209.5</c:v>
                </c:pt>
                <c:pt idx="2">
                  <c:v>187</c:v>
                </c:pt>
                <c:pt idx="3">
                  <c:v>167.5</c:v>
                </c:pt>
                <c:pt idx="4">
                  <c:v>151</c:v>
                </c:pt>
                <c:pt idx="5">
                  <c:v>137.5</c:v>
                </c:pt>
                <c:pt idx="6">
                  <c:v>127</c:v>
                </c:pt>
                <c:pt idx="7">
                  <c:v>119.5</c:v>
                </c:pt>
                <c:pt idx="8">
                  <c:v>115</c:v>
                </c:pt>
                <c:pt idx="9">
                  <c:v>113.5</c:v>
                </c:pt>
                <c:pt idx="10">
                  <c:v>115</c:v>
                </c:pt>
                <c:pt idx="11">
                  <c:v>119.5</c:v>
                </c:pt>
                <c:pt idx="12">
                  <c:v>127</c:v>
                </c:pt>
                <c:pt idx="13">
                  <c:v>137.5</c:v>
                </c:pt>
                <c:pt idx="14">
                  <c:v>151</c:v>
                </c:pt>
                <c:pt idx="15">
                  <c:v>167.5</c:v>
                </c:pt>
                <c:pt idx="16">
                  <c:v>187</c:v>
                </c:pt>
                <c:pt idx="17">
                  <c:v>209.5</c:v>
                </c:pt>
                <c:pt idx="18">
                  <c:v>235</c:v>
                </c:pt>
                <c:pt idx="19">
                  <c:v>263.5</c:v>
                </c:pt>
                <c:pt idx="2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146-46B1-BAC2-B16E16B2DBC1}"/>
            </c:ext>
          </c:extLst>
        </c:ser>
        <c:ser>
          <c:idx val="16"/>
          <c:order val="16"/>
          <c:tx>
            <c:strRef>
              <c:f>圖!$B$25</c:f>
              <c:strCache>
                <c:ptCount val="1"/>
                <c:pt idx="0">
                  <c:v>6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圖!$C$25:$W$25</c:f>
              <c:numCache>
                <c:formatCode>General</c:formatCode>
                <c:ptCount val="21"/>
                <c:pt idx="0">
                  <c:v>244</c:v>
                </c:pt>
                <c:pt idx="1">
                  <c:v>219.5</c:v>
                </c:pt>
                <c:pt idx="2">
                  <c:v>198</c:v>
                </c:pt>
                <c:pt idx="3">
                  <c:v>179.5</c:v>
                </c:pt>
                <c:pt idx="4">
                  <c:v>164</c:v>
                </c:pt>
                <c:pt idx="5">
                  <c:v>151.5</c:v>
                </c:pt>
                <c:pt idx="6">
                  <c:v>142</c:v>
                </c:pt>
                <c:pt idx="7">
                  <c:v>135.5</c:v>
                </c:pt>
                <c:pt idx="8">
                  <c:v>132</c:v>
                </c:pt>
                <c:pt idx="9">
                  <c:v>131.5</c:v>
                </c:pt>
                <c:pt idx="10">
                  <c:v>134</c:v>
                </c:pt>
                <c:pt idx="11">
                  <c:v>139.5</c:v>
                </c:pt>
                <c:pt idx="12">
                  <c:v>148</c:v>
                </c:pt>
                <c:pt idx="13">
                  <c:v>159.5</c:v>
                </c:pt>
                <c:pt idx="14">
                  <c:v>174</c:v>
                </c:pt>
                <c:pt idx="15">
                  <c:v>191.5</c:v>
                </c:pt>
                <c:pt idx="16">
                  <c:v>212</c:v>
                </c:pt>
                <c:pt idx="17">
                  <c:v>235.5</c:v>
                </c:pt>
                <c:pt idx="18">
                  <c:v>262</c:v>
                </c:pt>
                <c:pt idx="19">
                  <c:v>291.5</c:v>
                </c:pt>
                <c:pt idx="20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146-46B1-BAC2-B16E16B2DBC1}"/>
            </c:ext>
          </c:extLst>
        </c:ser>
        <c:ser>
          <c:idx val="17"/>
          <c:order val="17"/>
          <c:tx>
            <c:strRef>
              <c:f>圖!$B$26</c:f>
              <c:strCache>
                <c:ptCount val="1"/>
                <c:pt idx="0">
                  <c:v>7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圖!$C$26:$W$26</c:f>
              <c:numCache>
                <c:formatCode>General</c:formatCode>
                <c:ptCount val="21"/>
                <c:pt idx="0">
                  <c:v>257</c:v>
                </c:pt>
                <c:pt idx="1">
                  <c:v>233.5</c:v>
                </c:pt>
                <c:pt idx="2">
                  <c:v>213</c:v>
                </c:pt>
                <c:pt idx="3">
                  <c:v>195.5</c:v>
                </c:pt>
                <c:pt idx="4">
                  <c:v>181</c:v>
                </c:pt>
                <c:pt idx="5">
                  <c:v>169.5</c:v>
                </c:pt>
                <c:pt idx="6">
                  <c:v>161</c:v>
                </c:pt>
                <c:pt idx="7">
                  <c:v>155.5</c:v>
                </c:pt>
                <c:pt idx="8">
                  <c:v>153</c:v>
                </c:pt>
                <c:pt idx="9">
                  <c:v>153.5</c:v>
                </c:pt>
                <c:pt idx="10">
                  <c:v>157</c:v>
                </c:pt>
                <c:pt idx="11">
                  <c:v>163.5</c:v>
                </c:pt>
                <c:pt idx="12">
                  <c:v>173</c:v>
                </c:pt>
                <c:pt idx="13">
                  <c:v>185.5</c:v>
                </c:pt>
                <c:pt idx="14">
                  <c:v>201</c:v>
                </c:pt>
                <c:pt idx="15">
                  <c:v>219.5</c:v>
                </c:pt>
                <c:pt idx="16">
                  <c:v>241</c:v>
                </c:pt>
                <c:pt idx="17">
                  <c:v>265.5</c:v>
                </c:pt>
                <c:pt idx="18">
                  <c:v>293</c:v>
                </c:pt>
                <c:pt idx="19">
                  <c:v>323.5</c:v>
                </c:pt>
                <c:pt idx="20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46-46B1-BAC2-B16E16B2DBC1}"/>
            </c:ext>
          </c:extLst>
        </c:ser>
        <c:ser>
          <c:idx val="18"/>
          <c:order val="18"/>
          <c:tx>
            <c:strRef>
              <c:f>圖!$B$27</c:f>
              <c:strCache>
                <c:ptCount val="1"/>
                <c:pt idx="0">
                  <c:v>8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圖!$C$27:$W$27</c:f>
              <c:numCache>
                <c:formatCode>General</c:formatCode>
                <c:ptCount val="21"/>
                <c:pt idx="0">
                  <c:v>274</c:v>
                </c:pt>
                <c:pt idx="1">
                  <c:v>251.5</c:v>
                </c:pt>
                <c:pt idx="2">
                  <c:v>232</c:v>
                </c:pt>
                <c:pt idx="3">
                  <c:v>215.5</c:v>
                </c:pt>
                <c:pt idx="4">
                  <c:v>202</c:v>
                </c:pt>
                <c:pt idx="5">
                  <c:v>191.5</c:v>
                </c:pt>
                <c:pt idx="6">
                  <c:v>184</c:v>
                </c:pt>
                <c:pt idx="7">
                  <c:v>179.5</c:v>
                </c:pt>
                <c:pt idx="8">
                  <c:v>178</c:v>
                </c:pt>
                <c:pt idx="9">
                  <c:v>179.5</c:v>
                </c:pt>
                <c:pt idx="10">
                  <c:v>184</c:v>
                </c:pt>
                <c:pt idx="11">
                  <c:v>191.5</c:v>
                </c:pt>
                <c:pt idx="12">
                  <c:v>202</c:v>
                </c:pt>
                <c:pt idx="13">
                  <c:v>215.5</c:v>
                </c:pt>
                <c:pt idx="14">
                  <c:v>232</c:v>
                </c:pt>
                <c:pt idx="15">
                  <c:v>251.5</c:v>
                </c:pt>
                <c:pt idx="16">
                  <c:v>274</c:v>
                </c:pt>
                <c:pt idx="17">
                  <c:v>299.5</c:v>
                </c:pt>
                <c:pt idx="18">
                  <c:v>328</c:v>
                </c:pt>
                <c:pt idx="19">
                  <c:v>359.5</c:v>
                </c:pt>
                <c:pt idx="20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146-46B1-BAC2-B16E16B2DBC1}"/>
            </c:ext>
          </c:extLst>
        </c:ser>
        <c:ser>
          <c:idx val="19"/>
          <c:order val="19"/>
          <c:tx>
            <c:strRef>
              <c:f>圖!$B$28</c:f>
              <c:strCache>
                <c:ptCount val="1"/>
                <c:pt idx="0">
                  <c:v>9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圖!$C$28:$W$28</c:f>
              <c:numCache>
                <c:formatCode>General</c:formatCode>
                <c:ptCount val="21"/>
                <c:pt idx="0">
                  <c:v>295</c:v>
                </c:pt>
                <c:pt idx="1">
                  <c:v>273.5</c:v>
                </c:pt>
                <c:pt idx="2">
                  <c:v>255</c:v>
                </c:pt>
                <c:pt idx="3">
                  <c:v>239.5</c:v>
                </c:pt>
                <c:pt idx="4">
                  <c:v>227</c:v>
                </c:pt>
                <c:pt idx="5">
                  <c:v>217.5</c:v>
                </c:pt>
                <c:pt idx="6">
                  <c:v>211</c:v>
                </c:pt>
                <c:pt idx="7">
                  <c:v>207.5</c:v>
                </c:pt>
                <c:pt idx="8">
                  <c:v>207</c:v>
                </c:pt>
                <c:pt idx="9">
                  <c:v>209.5</c:v>
                </c:pt>
                <c:pt idx="10">
                  <c:v>215</c:v>
                </c:pt>
                <c:pt idx="11">
                  <c:v>223.5</c:v>
                </c:pt>
                <c:pt idx="12">
                  <c:v>235</c:v>
                </c:pt>
                <c:pt idx="13">
                  <c:v>249.5</c:v>
                </c:pt>
                <c:pt idx="14">
                  <c:v>267</c:v>
                </c:pt>
                <c:pt idx="15">
                  <c:v>287.5</c:v>
                </c:pt>
                <c:pt idx="16">
                  <c:v>311</c:v>
                </c:pt>
                <c:pt idx="17">
                  <c:v>337.5</c:v>
                </c:pt>
                <c:pt idx="18">
                  <c:v>367</c:v>
                </c:pt>
                <c:pt idx="19">
                  <c:v>399.5</c:v>
                </c:pt>
                <c:pt idx="20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146-46B1-BAC2-B16E16B2DBC1}"/>
            </c:ext>
          </c:extLst>
        </c:ser>
        <c:ser>
          <c:idx val="20"/>
          <c:order val="20"/>
          <c:tx>
            <c:strRef>
              <c:f>圖!$B$29</c:f>
              <c:strCache>
                <c:ptCount val="1"/>
                <c:pt idx="0">
                  <c:v>10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cat>
            <c:numRef>
              <c:f>圖!$C$8:$W$8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圖!$C$29:$W$29</c:f>
              <c:numCache>
                <c:formatCode>General</c:formatCode>
                <c:ptCount val="21"/>
                <c:pt idx="0">
                  <c:v>320</c:v>
                </c:pt>
                <c:pt idx="1">
                  <c:v>299.5</c:v>
                </c:pt>
                <c:pt idx="2">
                  <c:v>282</c:v>
                </c:pt>
                <c:pt idx="3">
                  <c:v>267.5</c:v>
                </c:pt>
                <c:pt idx="4">
                  <c:v>256</c:v>
                </c:pt>
                <c:pt idx="5">
                  <c:v>247.5</c:v>
                </c:pt>
                <c:pt idx="6">
                  <c:v>242</c:v>
                </c:pt>
                <c:pt idx="7">
                  <c:v>239.5</c:v>
                </c:pt>
                <c:pt idx="8">
                  <c:v>240</c:v>
                </c:pt>
                <c:pt idx="9">
                  <c:v>243.5</c:v>
                </c:pt>
                <c:pt idx="10">
                  <c:v>250</c:v>
                </c:pt>
                <c:pt idx="11">
                  <c:v>259.5</c:v>
                </c:pt>
                <c:pt idx="12">
                  <c:v>272</c:v>
                </c:pt>
                <c:pt idx="13">
                  <c:v>287.5</c:v>
                </c:pt>
                <c:pt idx="14">
                  <c:v>306</c:v>
                </c:pt>
                <c:pt idx="15">
                  <c:v>327.5</c:v>
                </c:pt>
                <c:pt idx="16">
                  <c:v>352</c:v>
                </c:pt>
                <c:pt idx="17">
                  <c:v>379.5</c:v>
                </c:pt>
                <c:pt idx="18">
                  <c:v>410</c:v>
                </c:pt>
                <c:pt idx="19">
                  <c:v>443.5</c:v>
                </c:pt>
                <c:pt idx="20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146-46B1-BAC2-B16E16B2DBC1}"/>
            </c:ext>
          </c:extLst>
        </c:ser>
        <c:bandFmts>
          <c:bandFmt>
            <c:idx val="0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2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3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4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5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6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7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8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9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0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1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2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3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4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5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6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7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8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19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20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21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22"/>
            <c:spPr>
              <a:ln w="12700">
                <a:solidFill>
                  <a:srgbClr val="000000"/>
                </a:solidFill>
                <a:prstDash val="solid"/>
              </a:ln>
            </c:spPr>
          </c:bandFmt>
          <c:bandFmt>
            <c:idx val="23"/>
            <c:spPr>
              <a:ln w="12700">
                <a:solidFill>
                  <a:srgbClr val="000000"/>
                </a:solidFill>
                <a:prstDash val="solid"/>
              </a:ln>
            </c:spPr>
          </c:bandFmt>
        </c:bandFmts>
        <c:axId val="930340911"/>
        <c:axId val="1"/>
        <c:axId val="2"/>
      </c:surfaceChart>
      <c:catAx>
        <c:axId val="930340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en-US" altLang="zh-TW"/>
                  <a:t>x1</a:t>
                </a:r>
              </a:p>
            </c:rich>
          </c:tx>
          <c:layout>
            <c:manualLayout>
              <c:xMode val="edge"/>
              <c:yMode val="edge"/>
              <c:x val="0.43110000056383407"/>
              <c:y val="0.855911456639023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930340911"/>
        <c:crosses val="autoZero"/>
        <c:crossBetween val="midCat"/>
        <c:majorUnit val="25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en-US" altLang="zh-TW"/>
                  <a:t>x2</a:t>
                </a:r>
              </a:p>
            </c:rich>
          </c:tx>
          <c:layout>
            <c:manualLayout>
              <c:xMode val="edge"/>
              <c:yMode val="edge"/>
              <c:x val="0.87979591951802871"/>
              <c:y val="0.391189772278316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2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13</xdr:row>
      <xdr:rowOff>68580</xdr:rowOff>
    </xdr:from>
    <xdr:to>
      <xdr:col>10</xdr:col>
      <xdr:colOff>586740</xdr:colOff>
      <xdr:row>25</xdr:row>
      <xdr:rowOff>190500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53340</xdr:rowOff>
    </xdr:from>
    <xdr:to>
      <xdr:col>18</xdr:col>
      <xdr:colOff>152400</xdr:colOff>
      <xdr:row>20</xdr:row>
      <xdr:rowOff>30480</xdr:rowOff>
    </xdr:to>
    <xdr:sp macro="" textlink="">
      <xdr:nvSpPr>
        <xdr:cNvPr id="3" name="文字方塊 2"/>
        <xdr:cNvSpPr txBox="1"/>
      </xdr:nvSpPr>
      <xdr:spPr>
        <a:xfrm>
          <a:off x="3383280" y="53340"/>
          <a:ext cx="8046720" cy="40919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非線性規劃限制最佳化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 F=80-2x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-3x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+1.5x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+2x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=-6.25+5 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-22.5 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+0.25x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+0.75x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≦0</a:t>
          </a:r>
          <a:r>
            <a:rPr lang="en-US" altLang="zh-TW" sz="1400"/>
            <a:t>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=46.875-9 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-10.5 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+0.3x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zh-TW" sz="14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+0.7x</a:t>
          </a:r>
          <a:r>
            <a:rPr lang="en-US" altLang="zh-TW" sz="1400" b="0" i="0" u="none" strike="noStrike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≦0</a:t>
          </a:r>
          <a:r>
            <a:rPr lang="en-US" altLang="zh-TW" sz="1400"/>
            <a:t> 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1:B2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儲存格為設計變數初始值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D1:D2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設下限值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-10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，上限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目標式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=80-2*B1-3*B2+B1*B2+1.5*B1^2+2*B2^2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為限制式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g1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=-6.25+5*B1-22.5*B2+0.25*B1^2+0.75*B2^2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=46.875-9 *B1-10.5*B2+0.3*B1^2+0.7*B2^2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開啟「資料」標籤的「規劃求解」視窗，並輸入參數，即在「設定目標式」輸入「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B3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」，在「藉由變更變數儲存格」輸入「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B1:B2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設定限制式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」輸入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二個限制「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B4&lt;0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」與「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B5&lt;0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」，以及「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B1:B2&gt;D1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」與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B1:B2&lt;D2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以調整在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B1:B2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儲存格內的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設計變數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，最小化在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B3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儲存格內的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目標函數，並滿足四個限制式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W29"/>
  <sheetViews>
    <sheetView workbookViewId="0">
      <selection activeCell="E5" sqref="E5"/>
    </sheetView>
  </sheetViews>
  <sheetFormatPr defaultRowHeight="16.2"/>
  <sheetData>
    <row r="3" spans="2:23">
      <c r="F3" s="1"/>
    </row>
    <row r="4" spans="2:23">
      <c r="F4" s="1"/>
    </row>
    <row r="5" spans="2:23">
      <c r="F5" s="1"/>
    </row>
    <row r="6" spans="2:23">
      <c r="E6" s="1"/>
    </row>
    <row r="8" spans="2:23">
      <c r="C8">
        <v>-10</v>
      </c>
      <c r="D8">
        <v>-9</v>
      </c>
      <c r="E8">
        <v>-8</v>
      </c>
      <c r="F8">
        <v>-7</v>
      </c>
      <c r="G8">
        <v>-6</v>
      </c>
      <c r="H8">
        <v>-5</v>
      </c>
      <c r="I8">
        <v>-4</v>
      </c>
      <c r="J8">
        <v>-3</v>
      </c>
      <c r="K8">
        <v>-2</v>
      </c>
      <c r="L8">
        <v>-1</v>
      </c>
      <c r="M8">
        <v>0</v>
      </c>
      <c r="N8">
        <v>1</v>
      </c>
      <c r="O8">
        <v>2</v>
      </c>
      <c r="P8">
        <v>3</v>
      </c>
      <c r="Q8">
        <v>4</v>
      </c>
      <c r="R8">
        <v>5</v>
      </c>
      <c r="S8">
        <v>6</v>
      </c>
      <c r="T8">
        <v>7</v>
      </c>
      <c r="U8">
        <v>8</v>
      </c>
      <c r="V8">
        <v>9</v>
      </c>
      <c r="W8">
        <v>10</v>
      </c>
    </row>
    <row r="9" spans="2:23">
      <c r="B9">
        <v>-10</v>
      </c>
      <c r="C9">
        <f t="shared" ref="C9:R24" si="0">80-2*C$8-3*$B9+C$8*$B9+1.5*C$8^2+2*$B9^2</f>
        <v>580</v>
      </c>
      <c r="D9">
        <f t="shared" si="0"/>
        <v>539.5</v>
      </c>
      <c r="E9">
        <f t="shared" si="0"/>
        <v>502</v>
      </c>
      <c r="F9">
        <f t="shared" si="0"/>
        <v>467.5</v>
      </c>
      <c r="G9">
        <f t="shared" si="0"/>
        <v>436</v>
      </c>
      <c r="H9">
        <f t="shared" si="0"/>
        <v>407.5</v>
      </c>
      <c r="I9">
        <f t="shared" si="0"/>
        <v>382</v>
      </c>
      <c r="J9">
        <f t="shared" si="0"/>
        <v>359.5</v>
      </c>
      <c r="K9">
        <f t="shared" si="0"/>
        <v>340</v>
      </c>
      <c r="L9">
        <f t="shared" si="0"/>
        <v>323.5</v>
      </c>
      <c r="M9">
        <f t="shared" si="0"/>
        <v>310</v>
      </c>
      <c r="N9">
        <f t="shared" si="0"/>
        <v>299.5</v>
      </c>
      <c r="O9">
        <f t="shared" si="0"/>
        <v>292</v>
      </c>
      <c r="P9">
        <f t="shared" si="0"/>
        <v>287.5</v>
      </c>
      <c r="Q9">
        <f t="shared" si="0"/>
        <v>286</v>
      </c>
      <c r="R9">
        <f t="shared" si="0"/>
        <v>287.5</v>
      </c>
      <c r="S9">
        <f t="shared" ref="S9:W23" si="1">80-2*S$8-3*$B9+S$8*$B9+1.5*S$8^2+2*$B9^2</f>
        <v>292</v>
      </c>
      <c r="T9">
        <f t="shared" si="1"/>
        <v>299.5</v>
      </c>
      <c r="U9">
        <f t="shared" si="1"/>
        <v>310</v>
      </c>
      <c r="V9">
        <f t="shared" si="1"/>
        <v>323.5</v>
      </c>
      <c r="W9">
        <f t="shared" si="1"/>
        <v>340</v>
      </c>
    </row>
    <row r="10" spans="2:23">
      <c r="B10">
        <v>-9</v>
      </c>
      <c r="C10">
        <f t="shared" si="0"/>
        <v>529</v>
      </c>
      <c r="D10">
        <f t="shared" si="0"/>
        <v>489.5</v>
      </c>
      <c r="E10">
        <f t="shared" si="0"/>
        <v>453</v>
      </c>
      <c r="F10">
        <f t="shared" si="0"/>
        <v>419.5</v>
      </c>
      <c r="G10">
        <f t="shared" si="0"/>
        <v>389</v>
      </c>
      <c r="H10">
        <f t="shared" si="0"/>
        <v>361.5</v>
      </c>
      <c r="I10">
        <f t="shared" si="0"/>
        <v>337</v>
      </c>
      <c r="J10">
        <f t="shared" si="0"/>
        <v>315.5</v>
      </c>
      <c r="K10">
        <f t="shared" si="0"/>
        <v>297</v>
      </c>
      <c r="L10">
        <f t="shared" si="0"/>
        <v>281.5</v>
      </c>
      <c r="M10">
        <f t="shared" si="0"/>
        <v>269</v>
      </c>
      <c r="N10">
        <f t="shared" si="0"/>
        <v>259.5</v>
      </c>
      <c r="O10">
        <f t="shared" si="0"/>
        <v>253</v>
      </c>
      <c r="P10">
        <f t="shared" si="0"/>
        <v>249.5</v>
      </c>
      <c r="Q10">
        <f t="shared" si="0"/>
        <v>249</v>
      </c>
      <c r="R10">
        <f t="shared" si="0"/>
        <v>251.5</v>
      </c>
      <c r="S10">
        <f t="shared" si="1"/>
        <v>257</v>
      </c>
      <c r="T10">
        <f t="shared" si="1"/>
        <v>265.5</v>
      </c>
      <c r="U10">
        <f t="shared" si="1"/>
        <v>277</v>
      </c>
      <c r="V10">
        <f t="shared" si="1"/>
        <v>291.5</v>
      </c>
      <c r="W10">
        <f t="shared" si="1"/>
        <v>309</v>
      </c>
    </row>
    <row r="11" spans="2:23">
      <c r="B11">
        <v>-8</v>
      </c>
      <c r="C11">
        <f t="shared" si="0"/>
        <v>482</v>
      </c>
      <c r="D11">
        <f t="shared" si="0"/>
        <v>443.5</v>
      </c>
      <c r="E11">
        <f t="shared" si="0"/>
        <v>408</v>
      </c>
      <c r="F11">
        <f t="shared" si="0"/>
        <v>375.5</v>
      </c>
      <c r="G11">
        <f t="shared" si="0"/>
        <v>346</v>
      </c>
      <c r="H11">
        <f t="shared" si="0"/>
        <v>319.5</v>
      </c>
      <c r="I11">
        <f t="shared" si="0"/>
        <v>296</v>
      </c>
      <c r="J11">
        <f t="shared" si="0"/>
        <v>275.5</v>
      </c>
      <c r="K11">
        <f t="shared" si="0"/>
        <v>258</v>
      </c>
      <c r="L11">
        <f t="shared" si="0"/>
        <v>243.5</v>
      </c>
      <c r="M11">
        <f t="shared" si="0"/>
        <v>232</v>
      </c>
      <c r="N11">
        <f t="shared" si="0"/>
        <v>223.5</v>
      </c>
      <c r="O11">
        <f t="shared" si="0"/>
        <v>218</v>
      </c>
      <c r="P11">
        <f t="shared" si="0"/>
        <v>215.5</v>
      </c>
      <c r="Q11">
        <f t="shared" si="0"/>
        <v>216</v>
      </c>
      <c r="R11">
        <f t="shared" si="0"/>
        <v>219.5</v>
      </c>
      <c r="S11">
        <f t="shared" si="1"/>
        <v>226</v>
      </c>
      <c r="T11">
        <f t="shared" si="1"/>
        <v>235.5</v>
      </c>
      <c r="U11">
        <f t="shared" si="1"/>
        <v>248</v>
      </c>
      <c r="V11">
        <f t="shared" si="1"/>
        <v>263.5</v>
      </c>
      <c r="W11">
        <f t="shared" si="1"/>
        <v>282</v>
      </c>
    </row>
    <row r="12" spans="2:23">
      <c r="B12">
        <v>-7</v>
      </c>
      <c r="C12">
        <f t="shared" si="0"/>
        <v>439</v>
      </c>
      <c r="D12">
        <f t="shared" si="0"/>
        <v>401.5</v>
      </c>
      <c r="E12">
        <f t="shared" si="0"/>
        <v>367</v>
      </c>
      <c r="F12">
        <f t="shared" si="0"/>
        <v>335.5</v>
      </c>
      <c r="G12">
        <f t="shared" si="0"/>
        <v>307</v>
      </c>
      <c r="H12">
        <f t="shared" si="0"/>
        <v>281.5</v>
      </c>
      <c r="I12">
        <f t="shared" si="0"/>
        <v>259</v>
      </c>
      <c r="J12">
        <f t="shared" si="0"/>
        <v>239.5</v>
      </c>
      <c r="K12">
        <f t="shared" si="0"/>
        <v>223</v>
      </c>
      <c r="L12">
        <f t="shared" si="0"/>
        <v>209.5</v>
      </c>
      <c r="M12">
        <f t="shared" si="0"/>
        <v>199</v>
      </c>
      <c r="N12">
        <f t="shared" si="0"/>
        <v>191.5</v>
      </c>
      <c r="O12">
        <f t="shared" si="0"/>
        <v>187</v>
      </c>
      <c r="P12">
        <f t="shared" si="0"/>
        <v>185.5</v>
      </c>
      <c r="Q12">
        <f t="shared" si="0"/>
        <v>187</v>
      </c>
      <c r="R12">
        <f t="shared" si="0"/>
        <v>191.5</v>
      </c>
      <c r="S12">
        <f t="shared" si="1"/>
        <v>199</v>
      </c>
      <c r="T12">
        <f t="shared" si="1"/>
        <v>209.5</v>
      </c>
      <c r="U12">
        <f t="shared" si="1"/>
        <v>223</v>
      </c>
      <c r="V12">
        <f t="shared" si="1"/>
        <v>239.5</v>
      </c>
      <c r="W12">
        <f t="shared" si="1"/>
        <v>259</v>
      </c>
    </row>
    <row r="13" spans="2:23">
      <c r="B13">
        <v>-6</v>
      </c>
      <c r="C13">
        <f t="shared" si="0"/>
        <v>400</v>
      </c>
      <c r="D13">
        <f t="shared" si="0"/>
        <v>363.5</v>
      </c>
      <c r="E13">
        <f t="shared" si="0"/>
        <v>330</v>
      </c>
      <c r="F13">
        <f t="shared" si="0"/>
        <v>299.5</v>
      </c>
      <c r="G13">
        <f t="shared" si="0"/>
        <v>272</v>
      </c>
      <c r="H13">
        <f t="shared" si="0"/>
        <v>247.5</v>
      </c>
      <c r="I13">
        <f t="shared" si="0"/>
        <v>226</v>
      </c>
      <c r="J13">
        <f t="shared" si="0"/>
        <v>207.5</v>
      </c>
      <c r="K13">
        <f t="shared" si="0"/>
        <v>192</v>
      </c>
      <c r="L13">
        <f t="shared" si="0"/>
        <v>179.5</v>
      </c>
      <c r="M13">
        <f t="shared" si="0"/>
        <v>170</v>
      </c>
      <c r="N13">
        <f t="shared" si="0"/>
        <v>163.5</v>
      </c>
      <c r="O13">
        <f t="shared" si="0"/>
        <v>160</v>
      </c>
      <c r="P13">
        <f t="shared" si="0"/>
        <v>159.5</v>
      </c>
      <c r="Q13">
        <f t="shared" si="0"/>
        <v>162</v>
      </c>
      <c r="R13">
        <f t="shared" si="0"/>
        <v>167.5</v>
      </c>
      <c r="S13">
        <f t="shared" si="1"/>
        <v>176</v>
      </c>
      <c r="T13">
        <f t="shared" si="1"/>
        <v>187.5</v>
      </c>
      <c r="U13">
        <f t="shared" si="1"/>
        <v>202</v>
      </c>
      <c r="V13">
        <f t="shared" si="1"/>
        <v>219.5</v>
      </c>
      <c r="W13">
        <f t="shared" si="1"/>
        <v>240</v>
      </c>
    </row>
    <row r="14" spans="2:23">
      <c r="B14">
        <v>-5</v>
      </c>
      <c r="C14">
        <f t="shared" si="0"/>
        <v>365</v>
      </c>
      <c r="D14">
        <f t="shared" si="0"/>
        <v>329.5</v>
      </c>
      <c r="E14">
        <f t="shared" si="0"/>
        <v>297</v>
      </c>
      <c r="F14">
        <f t="shared" si="0"/>
        <v>267.5</v>
      </c>
      <c r="G14">
        <f t="shared" si="0"/>
        <v>241</v>
      </c>
      <c r="H14">
        <f t="shared" si="0"/>
        <v>217.5</v>
      </c>
      <c r="I14">
        <f t="shared" si="0"/>
        <v>197</v>
      </c>
      <c r="J14">
        <f t="shared" si="0"/>
        <v>179.5</v>
      </c>
      <c r="K14">
        <f t="shared" si="0"/>
        <v>165</v>
      </c>
      <c r="L14">
        <f t="shared" si="0"/>
        <v>153.5</v>
      </c>
      <c r="M14">
        <f t="shared" si="0"/>
        <v>145</v>
      </c>
      <c r="N14">
        <f t="shared" si="0"/>
        <v>139.5</v>
      </c>
      <c r="O14">
        <f t="shared" si="0"/>
        <v>137</v>
      </c>
      <c r="P14">
        <f t="shared" si="0"/>
        <v>137.5</v>
      </c>
      <c r="Q14">
        <f t="shared" si="0"/>
        <v>141</v>
      </c>
      <c r="R14">
        <f t="shared" si="0"/>
        <v>147.5</v>
      </c>
      <c r="S14">
        <f t="shared" si="1"/>
        <v>157</v>
      </c>
      <c r="T14">
        <f t="shared" si="1"/>
        <v>169.5</v>
      </c>
      <c r="U14">
        <f t="shared" si="1"/>
        <v>185</v>
      </c>
      <c r="V14">
        <f t="shared" si="1"/>
        <v>203.5</v>
      </c>
      <c r="W14">
        <f t="shared" si="1"/>
        <v>225</v>
      </c>
    </row>
    <row r="15" spans="2:23">
      <c r="B15">
        <v>-4</v>
      </c>
      <c r="C15">
        <f t="shared" si="0"/>
        <v>334</v>
      </c>
      <c r="D15">
        <f t="shared" si="0"/>
        <v>299.5</v>
      </c>
      <c r="E15">
        <f t="shared" si="0"/>
        <v>268</v>
      </c>
      <c r="F15">
        <f t="shared" si="0"/>
        <v>239.5</v>
      </c>
      <c r="G15">
        <f t="shared" si="0"/>
        <v>214</v>
      </c>
      <c r="H15">
        <f t="shared" si="0"/>
        <v>191.5</v>
      </c>
      <c r="I15">
        <f t="shared" si="0"/>
        <v>172</v>
      </c>
      <c r="J15">
        <f t="shared" si="0"/>
        <v>155.5</v>
      </c>
      <c r="K15">
        <f t="shared" si="0"/>
        <v>142</v>
      </c>
      <c r="L15">
        <f t="shared" si="0"/>
        <v>131.5</v>
      </c>
      <c r="M15">
        <f t="shared" si="0"/>
        <v>124</v>
      </c>
      <c r="N15">
        <f t="shared" si="0"/>
        <v>119.5</v>
      </c>
      <c r="O15">
        <f t="shared" si="0"/>
        <v>118</v>
      </c>
      <c r="P15">
        <f t="shared" si="0"/>
        <v>119.5</v>
      </c>
      <c r="Q15">
        <f t="shared" si="0"/>
        <v>124</v>
      </c>
      <c r="R15">
        <f t="shared" si="0"/>
        <v>131.5</v>
      </c>
      <c r="S15">
        <f t="shared" si="1"/>
        <v>142</v>
      </c>
      <c r="T15">
        <f t="shared" si="1"/>
        <v>155.5</v>
      </c>
      <c r="U15">
        <f t="shared" si="1"/>
        <v>172</v>
      </c>
      <c r="V15">
        <f t="shared" si="1"/>
        <v>191.5</v>
      </c>
      <c r="W15">
        <f t="shared" si="1"/>
        <v>214</v>
      </c>
    </row>
    <row r="16" spans="2:23">
      <c r="B16">
        <v>-3</v>
      </c>
      <c r="C16">
        <f t="shared" si="0"/>
        <v>307</v>
      </c>
      <c r="D16">
        <f t="shared" si="0"/>
        <v>273.5</v>
      </c>
      <c r="E16">
        <f t="shared" si="0"/>
        <v>243</v>
      </c>
      <c r="F16">
        <f t="shared" si="0"/>
        <v>215.5</v>
      </c>
      <c r="G16">
        <f t="shared" si="0"/>
        <v>191</v>
      </c>
      <c r="H16">
        <f t="shared" si="0"/>
        <v>169.5</v>
      </c>
      <c r="I16">
        <f t="shared" si="0"/>
        <v>151</v>
      </c>
      <c r="J16">
        <f t="shared" si="0"/>
        <v>135.5</v>
      </c>
      <c r="K16">
        <f t="shared" si="0"/>
        <v>123</v>
      </c>
      <c r="L16">
        <f t="shared" si="0"/>
        <v>113.5</v>
      </c>
      <c r="M16">
        <f t="shared" si="0"/>
        <v>107</v>
      </c>
      <c r="N16">
        <f t="shared" si="0"/>
        <v>103.5</v>
      </c>
      <c r="O16">
        <f t="shared" si="0"/>
        <v>103</v>
      </c>
      <c r="P16">
        <f t="shared" si="0"/>
        <v>105.5</v>
      </c>
      <c r="Q16">
        <f t="shared" si="0"/>
        <v>111</v>
      </c>
      <c r="R16">
        <f t="shared" si="0"/>
        <v>119.5</v>
      </c>
      <c r="S16">
        <f t="shared" si="1"/>
        <v>131</v>
      </c>
      <c r="T16">
        <f t="shared" si="1"/>
        <v>145.5</v>
      </c>
      <c r="U16">
        <f t="shared" si="1"/>
        <v>163</v>
      </c>
      <c r="V16">
        <f t="shared" si="1"/>
        <v>183.5</v>
      </c>
      <c r="W16">
        <f t="shared" si="1"/>
        <v>207</v>
      </c>
    </row>
    <row r="17" spans="2:23">
      <c r="B17">
        <v>-2</v>
      </c>
      <c r="C17">
        <f t="shared" si="0"/>
        <v>284</v>
      </c>
      <c r="D17">
        <f t="shared" si="0"/>
        <v>251.5</v>
      </c>
      <c r="E17">
        <f t="shared" si="0"/>
        <v>222</v>
      </c>
      <c r="F17">
        <f t="shared" si="0"/>
        <v>195.5</v>
      </c>
      <c r="G17">
        <f t="shared" si="0"/>
        <v>172</v>
      </c>
      <c r="H17">
        <f t="shared" si="0"/>
        <v>151.5</v>
      </c>
      <c r="I17">
        <f t="shared" si="0"/>
        <v>134</v>
      </c>
      <c r="J17">
        <f t="shared" si="0"/>
        <v>119.5</v>
      </c>
      <c r="K17">
        <f t="shared" si="0"/>
        <v>108</v>
      </c>
      <c r="L17">
        <f t="shared" si="0"/>
        <v>99.5</v>
      </c>
      <c r="M17">
        <f t="shared" si="0"/>
        <v>94</v>
      </c>
      <c r="N17">
        <f t="shared" si="0"/>
        <v>91.5</v>
      </c>
      <c r="O17">
        <f t="shared" si="0"/>
        <v>92</v>
      </c>
      <c r="P17">
        <f t="shared" si="0"/>
        <v>95.5</v>
      </c>
      <c r="Q17">
        <f t="shared" si="0"/>
        <v>102</v>
      </c>
      <c r="R17">
        <f t="shared" si="0"/>
        <v>111.5</v>
      </c>
      <c r="S17">
        <f t="shared" si="1"/>
        <v>124</v>
      </c>
      <c r="T17">
        <f t="shared" si="1"/>
        <v>139.5</v>
      </c>
      <c r="U17">
        <f t="shared" si="1"/>
        <v>158</v>
      </c>
      <c r="V17">
        <f t="shared" si="1"/>
        <v>179.5</v>
      </c>
      <c r="W17">
        <f t="shared" si="1"/>
        <v>204</v>
      </c>
    </row>
    <row r="18" spans="2:23">
      <c r="B18">
        <v>-1</v>
      </c>
      <c r="C18">
        <f t="shared" si="0"/>
        <v>265</v>
      </c>
      <c r="D18">
        <f t="shared" si="0"/>
        <v>233.5</v>
      </c>
      <c r="E18">
        <f t="shared" si="0"/>
        <v>205</v>
      </c>
      <c r="F18">
        <f t="shared" si="0"/>
        <v>179.5</v>
      </c>
      <c r="G18">
        <f t="shared" si="0"/>
        <v>157</v>
      </c>
      <c r="H18">
        <f t="shared" si="0"/>
        <v>137.5</v>
      </c>
      <c r="I18">
        <f t="shared" si="0"/>
        <v>121</v>
      </c>
      <c r="J18">
        <f t="shared" si="0"/>
        <v>107.5</v>
      </c>
      <c r="K18">
        <f t="shared" si="0"/>
        <v>97</v>
      </c>
      <c r="L18">
        <f t="shared" si="0"/>
        <v>89.5</v>
      </c>
      <c r="M18">
        <f t="shared" si="0"/>
        <v>85</v>
      </c>
      <c r="N18">
        <f t="shared" si="0"/>
        <v>83.5</v>
      </c>
      <c r="O18">
        <f t="shared" si="0"/>
        <v>85</v>
      </c>
      <c r="P18">
        <f t="shared" si="0"/>
        <v>89.5</v>
      </c>
      <c r="Q18">
        <f t="shared" si="0"/>
        <v>97</v>
      </c>
      <c r="R18">
        <f t="shared" si="0"/>
        <v>107.5</v>
      </c>
      <c r="S18">
        <f t="shared" si="1"/>
        <v>121</v>
      </c>
      <c r="T18">
        <f t="shared" si="1"/>
        <v>137.5</v>
      </c>
      <c r="U18">
        <f t="shared" si="1"/>
        <v>157</v>
      </c>
      <c r="V18">
        <f t="shared" si="1"/>
        <v>179.5</v>
      </c>
      <c r="W18">
        <f t="shared" si="1"/>
        <v>205</v>
      </c>
    </row>
    <row r="19" spans="2:23">
      <c r="B19">
        <v>0</v>
      </c>
      <c r="C19">
        <f t="shared" si="0"/>
        <v>250</v>
      </c>
      <c r="D19">
        <f t="shared" si="0"/>
        <v>219.5</v>
      </c>
      <c r="E19">
        <f t="shared" si="0"/>
        <v>192</v>
      </c>
      <c r="F19">
        <f t="shared" si="0"/>
        <v>167.5</v>
      </c>
      <c r="G19">
        <f t="shared" si="0"/>
        <v>146</v>
      </c>
      <c r="H19">
        <f t="shared" si="0"/>
        <v>127.5</v>
      </c>
      <c r="I19">
        <f t="shared" si="0"/>
        <v>112</v>
      </c>
      <c r="J19">
        <f t="shared" si="0"/>
        <v>99.5</v>
      </c>
      <c r="K19">
        <f t="shared" si="0"/>
        <v>90</v>
      </c>
      <c r="L19">
        <f t="shared" si="0"/>
        <v>83.5</v>
      </c>
      <c r="M19">
        <f t="shared" si="0"/>
        <v>80</v>
      </c>
      <c r="N19">
        <f t="shared" si="0"/>
        <v>79.5</v>
      </c>
      <c r="O19">
        <f t="shared" si="0"/>
        <v>82</v>
      </c>
      <c r="P19">
        <f t="shared" si="0"/>
        <v>87.5</v>
      </c>
      <c r="Q19">
        <f t="shared" si="0"/>
        <v>96</v>
      </c>
      <c r="R19">
        <f t="shared" si="0"/>
        <v>107.5</v>
      </c>
      <c r="S19">
        <f t="shared" si="1"/>
        <v>122</v>
      </c>
      <c r="T19">
        <f t="shared" si="1"/>
        <v>139.5</v>
      </c>
      <c r="U19">
        <f t="shared" si="1"/>
        <v>160</v>
      </c>
      <c r="V19">
        <f t="shared" si="1"/>
        <v>183.5</v>
      </c>
      <c r="W19">
        <f t="shared" si="1"/>
        <v>210</v>
      </c>
    </row>
    <row r="20" spans="2:23">
      <c r="B20">
        <v>1</v>
      </c>
      <c r="C20">
        <f t="shared" si="0"/>
        <v>239</v>
      </c>
      <c r="D20">
        <f t="shared" si="0"/>
        <v>209.5</v>
      </c>
      <c r="E20">
        <f t="shared" si="0"/>
        <v>183</v>
      </c>
      <c r="F20">
        <f t="shared" si="0"/>
        <v>159.5</v>
      </c>
      <c r="G20">
        <f t="shared" si="0"/>
        <v>139</v>
      </c>
      <c r="H20">
        <f t="shared" si="0"/>
        <v>121.5</v>
      </c>
      <c r="I20">
        <f t="shared" si="0"/>
        <v>107</v>
      </c>
      <c r="J20">
        <f t="shared" si="0"/>
        <v>95.5</v>
      </c>
      <c r="K20">
        <f t="shared" si="0"/>
        <v>87</v>
      </c>
      <c r="L20">
        <f t="shared" si="0"/>
        <v>81.5</v>
      </c>
      <c r="M20">
        <f t="shared" si="0"/>
        <v>79</v>
      </c>
      <c r="N20">
        <f t="shared" si="0"/>
        <v>79.5</v>
      </c>
      <c r="O20">
        <f t="shared" si="0"/>
        <v>83</v>
      </c>
      <c r="P20">
        <f t="shared" si="0"/>
        <v>89.5</v>
      </c>
      <c r="Q20">
        <f t="shared" si="0"/>
        <v>99</v>
      </c>
      <c r="R20">
        <f t="shared" si="0"/>
        <v>111.5</v>
      </c>
      <c r="S20">
        <f t="shared" si="1"/>
        <v>127</v>
      </c>
      <c r="T20">
        <f t="shared" si="1"/>
        <v>145.5</v>
      </c>
      <c r="U20">
        <f t="shared" si="1"/>
        <v>167</v>
      </c>
      <c r="V20">
        <f t="shared" si="1"/>
        <v>191.5</v>
      </c>
      <c r="W20">
        <f t="shared" si="1"/>
        <v>219</v>
      </c>
    </row>
    <row r="21" spans="2:23">
      <c r="B21">
        <v>2</v>
      </c>
      <c r="C21">
        <f t="shared" si="0"/>
        <v>232</v>
      </c>
      <c r="D21">
        <f t="shared" si="0"/>
        <v>203.5</v>
      </c>
      <c r="E21">
        <f t="shared" si="0"/>
        <v>178</v>
      </c>
      <c r="F21">
        <f t="shared" si="0"/>
        <v>155.5</v>
      </c>
      <c r="G21">
        <f t="shared" si="0"/>
        <v>136</v>
      </c>
      <c r="H21">
        <f t="shared" si="0"/>
        <v>119.5</v>
      </c>
      <c r="I21">
        <f t="shared" si="0"/>
        <v>106</v>
      </c>
      <c r="J21">
        <f t="shared" si="0"/>
        <v>95.5</v>
      </c>
      <c r="K21">
        <f t="shared" si="0"/>
        <v>88</v>
      </c>
      <c r="L21">
        <f t="shared" si="0"/>
        <v>83.5</v>
      </c>
      <c r="M21">
        <f t="shared" si="0"/>
        <v>82</v>
      </c>
      <c r="N21">
        <f t="shared" si="0"/>
        <v>83.5</v>
      </c>
      <c r="O21">
        <f t="shared" si="0"/>
        <v>88</v>
      </c>
      <c r="P21">
        <f t="shared" si="0"/>
        <v>95.5</v>
      </c>
      <c r="Q21">
        <f t="shared" si="0"/>
        <v>106</v>
      </c>
      <c r="R21">
        <f t="shared" si="0"/>
        <v>119.5</v>
      </c>
      <c r="S21">
        <f t="shared" si="1"/>
        <v>136</v>
      </c>
      <c r="T21">
        <f t="shared" si="1"/>
        <v>155.5</v>
      </c>
      <c r="U21">
        <f t="shared" si="1"/>
        <v>178</v>
      </c>
      <c r="V21">
        <f t="shared" si="1"/>
        <v>203.5</v>
      </c>
      <c r="W21">
        <f t="shared" si="1"/>
        <v>232</v>
      </c>
    </row>
    <row r="22" spans="2:23">
      <c r="B22">
        <v>3</v>
      </c>
      <c r="C22">
        <f t="shared" si="0"/>
        <v>229</v>
      </c>
      <c r="D22">
        <f t="shared" si="0"/>
        <v>201.5</v>
      </c>
      <c r="E22">
        <f t="shared" si="0"/>
        <v>177</v>
      </c>
      <c r="F22">
        <f t="shared" si="0"/>
        <v>155.5</v>
      </c>
      <c r="G22">
        <f t="shared" si="0"/>
        <v>137</v>
      </c>
      <c r="H22">
        <f t="shared" si="0"/>
        <v>121.5</v>
      </c>
      <c r="I22">
        <f t="shared" si="0"/>
        <v>109</v>
      </c>
      <c r="J22">
        <f t="shared" si="0"/>
        <v>99.5</v>
      </c>
      <c r="K22">
        <f t="shared" si="0"/>
        <v>93</v>
      </c>
      <c r="L22">
        <f t="shared" si="0"/>
        <v>89.5</v>
      </c>
      <c r="M22">
        <f t="shared" si="0"/>
        <v>89</v>
      </c>
      <c r="N22">
        <f t="shared" si="0"/>
        <v>91.5</v>
      </c>
      <c r="O22">
        <f t="shared" si="0"/>
        <v>97</v>
      </c>
      <c r="P22">
        <f t="shared" si="0"/>
        <v>105.5</v>
      </c>
      <c r="Q22">
        <f t="shared" si="0"/>
        <v>117</v>
      </c>
      <c r="R22">
        <f t="shared" si="0"/>
        <v>131.5</v>
      </c>
      <c r="S22">
        <f t="shared" si="1"/>
        <v>149</v>
      </c>
      <c r="T22">
        <f t="shared" si="1"/>
        <v>169.5</v>
      </c>
      <c r="U22">
        <f t="shared" si="1"/>
        <v>193</v>
      </c>
      <c r="V22">
        <f t="shared" si="1"/>
        <v>219.5</v>
      </c>
      <c r="W22">
        <f t="shared" si="1"/>
        <v>249</v>
      </c>
    </row>
    <row r="23" spans="2:23">
      <c r="B23">
        <v>4</v>
      </c>
      <c r="C23">
        <f t="shared" si="0"/>
        <v>230</v>
      </c>
      <c r="D23">
        <f t="shared" si="0"/>
        <v>203.5</v>
      </c>
      <c r="E23">
        <f t="shared" si="0"/>
        <v>180</v>
      </c>
      <c r="F23">
        <f t="shared" si="0"/>
        <v>159.5</v>
      </c>
      <c r="G23">
        <f t="shared" si="0"/>
        <v>142</v>
      </c>
      <c r="H23">
        <f t="shared" si="0"/>
        <v>127.5</v>
      </c>
      <c r="I23">
        <f t="shared" si="0"/>
        <v>116</v>
      </c>
      <c r="J23">
        <f t="shared" si="0"/>
        <v>107.5</v>
      </c>
      <c r="K23">
        <f t="shared" si="0"/>
        <v>102</v>
      </c>
      <c r="L23">
        <f t="shared" si="0"/>
        <v>99.5</v>
      </c>
      <c r="M23">
        <f t="shared" si="0"/>
        <v>100</v>
      </c>
      <c r="N23">
        <f t="shared" si="0"/>
        <v>103.5</v>
      </c>
      <c r="O23">
        <f t="shared" si="0"/>
        <v>110</v>
      </c>
      <c r="P23">
        <f t="shared" si="0"/>
        <v>119.5</v>
      </c>
      <c r="Q23">
        <f t="shared" si="0"/>
        <v>132</v>
      </c>
      <c r="R23">
        <f t="shared" si="0"/>
        <v>147.5</v>
      </c>
      <c r="S23">
        <f t="shared" si="1"/>
        <v>166</v>
      </c>
      <c r="T23">
        <f t="shared" si="1"/>
        <v>187.5</v>
      </c>
      <c r="U23">
        <f t="shared" si="1"/>
        <v>212</v>
      </c>
      <c r="V23">
        <f t="shared" si="1"/>
        <v>239.5</v>
      </c>
      <c r="W23">
        <f t="shared" si="1"/>
        <v>270</v>
      </c>
    </row>
    <row r="24" spans="2:23">
      <c r="B24">
        <v>5</v>
      </c>
      <c r="C24">
        <f t="shared" si="0"/>
        <v>235</v>
      </c>
      <c r="D24">
        <f t="shared" si="0"/>
        <v>209.5</v>
      </c>
      <c r="E24">
        <f t="shared" si="0"/>
        <v>187</v>
      </c>
      <c r="F24">
        <f t="shared" si="0"/>
        <v>167.5</v>
      </c>
      <c r="G24">
        <f t="shared" si="0"/>
        <v>151</v>
      </c>
      <c r="H24">
        <f t="shared" si="0"/>
        <v>137.5</v>
      </c>
      <c r="I24">
        <f t="shared" si="0"/>
        <v>127</v>
      </c>
      <c r="J24">
        <f t="shared" si="0"/>
        <v>119.5</v>
      </c>
      <c r="K24">
        <f t="shared" si="0"/>
        <v>115</v>
      </c>
      <c r="L24">
        <f t="shared" si="0"/>
        <v>113.5</v>
      </c>
      <c r="M24">
        <f t="shared" si="0"/>
        <v>115</v>
      </c>
      <c r="N24">
        <f t="shared" si="0"/>
        <v>119.5</v>
      </c>
      <c r="O24">
        <f t="shared" si="0"/>
        <v>127</v>
      </c>
      <c r="P24">
        <f t="shared" si="0"/>
        <v>137.5</v>
      </c>
      <c r="Q24">
        <f t="shared" si="0"/>
        <v>151</v>
      </c>
      <c r="R24">
        <f t="shared" ref="M24:W29" si="2">80-2*R$8-3*$B24+R$8*$B24+1.5*R$8^2+2*$B24^2</f>
        <v>167.5</v>
      </c>
      <c r="S24">
        <f t="shared" si="2"/>
        <v>187</v>
      </c>
      <c r="T24">
        <f t="shared" si="2"/>
        <v>209.5</v>
      </c>
      <c r="U24">
        <f t="shared" si="2"/>
        <v>235</v>
      </c>
      <c r="V24">
        <f t="shared" si="2"/>
        <v>263.5</v>
      </c>
      <c r="W24">
        <f t="shared" si="2"/>
        <v>295</v>
      </c>
    </row>
    <row r="25" spans="2:23">
      <c r="B25">
        <v>6</v>
      </c>
      <c r="C25">
        <f t="shared" ref="C25:L29" si="3">80-2*C$8-3*$B25+C$8*$B25+1.5*C$8^2+2*$B25^2</f>
        <v>244</v>
      </c>
      <c r="D25">
        <f t="shared" si="3"/>
        <v>219.5</v>
      </c>
      <c r="E25">
        <f t="shared" si="3"/>
        <v>198</v>
      </c>
      <c r="F25">
        <f t="shared" si="3"/>
        <v>179.5</v>
      </c>
      <c r="G25">
        <f t="shared" si="3"/>
        <v>164</v>
      </c>
      <c r="H25">
        <f t="shared" si="3"/>
        <v>151.5</v>
      </c>
      <c r="I25">
        <f t="shared" si="3"/>
        <v>142</v>
      </c>
      <c r="J25">
        <f t="shared" si="3"/>
        <v>135.5</v>
      </c>
      <c r="K25">
        <f t="shared" si="3"/>
        <v>132</v>
      </c>
      <c r="L25">
        <f t="shared" si="3"/>
        <v>131.5</v>
      </c>
      <c r="M25">
        <f t="shared" si="2"/>
        <v>134</v>
      </c>
      <c r="N25">
        <f t="shared" si="2"/>
        <v>139.5</v>
      </c>
      <c r="O25">
        <f t="shared" si="2"/>
        <v>148</v>
      </c>
      <c r="P25">
        <f t="shared" si="2"/>
        <v>159.5</v>
      </c>
      <c r="Q25">
        <f t="shared" si="2"/>
        <v>174</v>
      </c>
      <c r="R25">
        <f t="shared" si="2"/>
        <v>191.5</v>
      </c>
      <c r="S25">
        <f t="shared" si="2"/>
        <v>212</v>
      </c>
      <c r="T25">
        <f t="shared" si="2"/>
        <v>235.5</v>
      </c>
      <c r="U25">
        <f t="shared" si="2"/>
        <v>262</v>
      </c>
      <c r="V25">
        <f t="shared" si="2"/>
        <v>291.5</v>
      </c>
      <c r="W25">
        <f t="shared" si="2"/>
        <v>324</v>
      </c>
    </row>
    <row r="26" spans="2:23">
      <c r="B26">
        <v>7</v>
      </c>
      <c r="C26">
        <f t="shared" si="3"/>
        <v>257</v>
      </c>
      <c r="D26">
        <f t="shared" si="3"/>
        <v>233.5</v>
      </c>
      <c r="E26">
        <f t="shared" si="3"/>
        <v>213</v>
      </c>
      <c r="F26">
        <f t="shared" si="3"/>
        <v>195.5</v>
      </c>
      <c r="G26">
        <f t="shared" si="3"/>
        <v>181</v>
      </c>
      <c r="H26">
        <f t="shared" si="3"/>
        <v>169.5</v>
      </c>
      <c r="I26">
        <f t="shared" si="3"/>
        <v>161</v>
      </c>
      <c r="J26">
        <f t="shared" si="3"/>
        <v>155.5</v>
      </c>
      <c r="K26">
        <f t="shared" si="3"/>
        <v>153</v>
      </c>
      <c r="L26">
        <f t="shared" si="3"/>
        <v>153.5</v>
      </c>
      <c r="M26">
        <f t="shared" si="2"/>
        <v>157</v>
      </c>
      <c r="N26">
        <f t="shared" si="2"/>
        <v>163.5</v>
      </c>
      <c r="O26">
        <f t="shared" si="2"/>
        <v>173</v>
      </c>
      <c r="P26">
        <f t="shared" si="2"/>
        <v>185.5</v>
      </c>
      <c r="Q26">
        <f t="shared" si="2"/>
        <v>201</v>
      </c>
      <c r="R26">
        <f t="shared" si="2"/>
        <v>219.5</v>
      </c>
      <c r="S26">
        <f t="shared" si="2"/>
        <v>241</v>
      </c>
      <c r="T26">
        <f t="shared" si="2"/>
        <v>265.5</v>
      </c>
      <c r="U26">
        <f t="shared" si="2"/>
        <v>293</v>
      </c>
      <c r="V26">
        <f t="shared" si="2"/>
        <v>323.5</v>
      </c>
      <c r="W26">
        <f t="shared" si="2"/>
        <v>357</v>
      </c>
    </row>
    <row r="27" spans="2:23">
      <c r="B27">
        <v>8</v>
      </c>
      <c r="C27">
        <f t="shared" si="3"/>
        <v>274</v>
      </c>
      <c r="D27">
        <f t="shared" si="3"/>
        <v>251.5</v>
      </c>
      <c r="E27">
        <f t="shared" si="3"/>
        <v>232</v>
      </c>
      <c r="F27">
        <f t="shared" si="3"/>
        <v>215.5</v>
      </c>
      <c r="G27">
        <f t="shared" si="3"/>
        <v>202</v>
      </c>
      <c r="H27">
        <f t="shared" si="3"/>
        <v>191.5</v>
      </c>
      <c r="I27">
        <f t="shared" si="3"/>
        <v>184</v>
      </c>
      <c r="J27">
        <f t="shared" si="3"/>
        <v>179.5</v>
      </c>
      <c r="K27">
        <f t="shared" si="3"/>
        <v>178</v>
      </c>
      <c r="L27">
        <f t="shared" si="3"/>
        <v>179.5</v>
      </c>
      <c r="M27">
        <f t="shared" si="2"/>
        <v>184</v>
      </c>
      <c r="N27">
        <f t="shared" si="2"/>
        <v>191.5</v>
      </c>
      <c r="O27">
        <f t="shared" si="2"/>
        <v>202</v>
      </c>
      <c r="P27">
        <f t="shared" si="2"/>
        <v>215.5</v>
      </c>
      <c r="Q27">
        <f t="shared" si="2"/>
        <v>232</v>
      </c>
      <c r="R27">
        <f t="shared" si="2"/>
        <v>251.5</v>
      </c>
      <c r="S27">
        <f t="shared" si="2"/>
        <v>274</v>
      </c>
      <c r="T27">
        <f t="shared" si="2"/>
        <v>299.5</v>
      </c>
      <c r="U27">
        <f t="shared" si="2"/>
        <v>328</v>
      </c>
      <c r="V27">
        <f t="shared" si="2"/>
        <v>359.5</v>
      </c>
      <c r="W27">
        <f t="shared" si="2"/>
        <v>394</v>
      </c>
    </row>
    <row r="28" spans="2:23">
      <c r="B28">
        <v>9</v>
      </c>
      <c r="C28">
        <f t="shared" si="3"/>
        <v>295</v>
      </c>
      <c r="D28">
        <f t="shared" si="3"/>
        <v>273.5</v>
      </c>
      <c r="E28">
        <f t="shared" si="3"/>
        <v>255</v>
      </c>
      <c r="F28">
        <f t="shared" si="3"/>
        <v>239.5</v>
      </c>
      <c r="G28">
        <f t="shared" si="3"/>
        <v>227</v>
      </c>
      <c r="H28">
        <f t="shared" si="3"/>
        <v>217.5</v>
      </c>
      <c r="I28">
        <f t="shared" si="3"/>
        <v>211</v>
      </c>
      <c r="J28">
        <f t="shared" si="3"/>
        <v>207.5</v>
      </c>
      <c r="K28">
        <f t="shared" si="3"/>
        <v>207</v>
      </c>
      <c r="L28">
        <f t="shared" si="3"/>
        <v>209.5</v>
      </c>
      <c r="M28">
        <f t="shared" si="2"/>
        <v>215</v>
      </c>
      <c r="N28">
        <f t="shared" si="2"/>
        <v>223.5</v>
      </c>
      <c r="O28">
        <f t="shared" si="2"/>
        <v>235</v>
      </c>
      <c r="P28">
        <f t="shared" si="2"/>
        <v>249.5</v>
      </c>
      <c r="Q28">
        <f t="shared" si="2"/>
        <v>267</v>
      </c>
      <c r="R28">
        <f t="shared" si="2"/>
        <v>287.5</v>
      </c>
      <c r="S28">
        <f t="shared" si="2"/>
        <v>311</v>
      </c>
      <c r="T28">
        <f t="shared" si="2"/>
        <v>337.5</v>
      </c>
      <c r="U28">
        <f t="shared" si="2"/>
        <v>367</v>
      </c>
      <c r="V28">
        <f t="shared" si="2"/>
        <v>399.5</v>
      </c>
      <c r="W28">
        <f t="shared" si="2"/>
        <v>435</v>
      </c>
    </row>
    <row r="29" spans="2:23">
      <c r="B29">
        <v>10</v>
      </c>
      <c r="C29">
        <f t="shared" si="3"/>
        <v>320</v>
      </c>
      <c r="D29">
        <f t="shared" si="3"/>
        <v>299.5</v>
      </c>
      <c r="E29">
        <f t="shared" si="3"/>
        <v>282</v>
      </c>
      <c r="F29">
        <f t="shared" si="3"/>
        <v>267.5</v>
      </c>
      <c r="G29">
        <f t="shared" si="3"/>
        <v>256</v>
      </c>
      <c r="H29">
        <f t="shared" si="3"/>
        <v>247.5</v>
      </c>
      <c r="I29">
        <f t="shared" si="3"/>
        <v>242</v>
      </c>
      <c r="J29">
        <f t="shared" si="3"/>
        <v>239.5</v>
      </c>
      <c r="K29">
        <f t="shared" si="3"/>
        <v>240</v>
      </c>
      <c r="L29">
        <f t="shared" si="3"/>
        <v>243.5</v>
      </c>
      <c r="M29">
        <f t="shared" si="2"/>
        <v>250</v>
      </c>
      <c r="N29">
        <f t="shared" si="2"/>
        <v>259.5</v>
      </c>
      <c r="O29">
        <f t="shared" si="2"/>
        <v>272</v>
      </c>
      <c r="P29">
        <f t="shared" si="2"/>
        <v>287.5</v>
      </c>
      <c r="Q29">
        <f t="shared" si="2"/>
        <v>306</v>
      </c>
      <c r="R29">
        <f t="shared" si="2"/>
        <v>327.5</v>
      </c>
      <c r="S29">
        <f t="shared" si="2"/>
        <v>352</v>
      </c>
      <c r="T29">
        <f t="shared" si="2"/>
        <v>379.5</v>
      </c>
      <c r="U29">
        <f t="shared" si="2"/>
        <v>410</v>
      </c>
      <c r="V29">
        <f t="shared" si="2"/>
        <v>443.5</v>
      </c>
      <c r="W29">
        <f t="shared" si="2"/>
        <v>480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1" sqref="D11"/>
    </sheetView>
  </sheetViews>
  <sheetFormatPr defaultRowHeight="16.2"/>
  <cols>
    <col min="2" max="2" width="13.33203125" bestFit="1" customWidth="1"/>
  </cols>
  <sheetData>
    <row r="1" spans="1:6">
      <c r="A1" t="s">
        <v>3</v>
      </c>
      <c r="B1">
        <v>3.1616254379187443</v>
      </c>
      <c r="C1" t="s">
        <v>1</v>
      </c>
      <c r="D1">
        <v>-10</v>
      </c>
    </row>
    <row r="2" spans="1:6">
      <c r="A2" t="s">
        <v>4</v>
      </c>
      <c r="B2">
        <v>2.4352949063527949</v>
      </c>
      <c r="C2" t="s">
        <v>2</v>
      </c>
      <c r="D2">
        <v>10</v>
      </c>
    </row>
    <row r="3" spans="1:6">
      <c r="A3" t="s">
        <v>0</v>
      </c>
      <c r="B3">
        <f>80-2*B1-3*B2+B1*B2+1.5*B1^2+2*B2^2</f>
        <v>100.92549040622114</v>
      </c>
      <c r="F3" s="1"/>
    </row>
    <row r="4" spans="1:6">
      <c r="A4" t="s">
        <v>5</v>
      </c>
      <c r="B4">
        <f>-6.25+5*B1-22.5*B2+0.25*B1^2+0.75*B2^2</f>
        <v>-38.289043390239542</v>
      </c>
      <c r="F4" s="1"/>
    </row>
    <row r="5" spans="1:6">
      <c r="A5" t="s">
        <v>6</v>
      </c>
      <c r="B5">
        <f>46.875-9 *B1-10.5*B2+0.3*B1^2+0.7*B2^2</f>
        <v>6.157093146441639E-8</v>
      </c>
      <c r="F5" s="1"/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</vt:lpstr>
      <vt:lpstr>限制最佳化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2009-08-16T01:11:27Z</dcterms:created>
  <dcterms:modified xsi:type="dcterms:W3CDTF">2017-08-30T07:31:10Z</dcterms:modified>
</cp:coreProperties>
</file>