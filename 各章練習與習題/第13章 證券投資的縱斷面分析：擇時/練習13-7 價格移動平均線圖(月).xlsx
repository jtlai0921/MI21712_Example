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120" yWindow="96" windowWidth="14952" windowHeight="8676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P7" i="1" l="1"/>
  <c r="O7" i="1"/>
  <c r="N7" i="1"/>
  <c r="P8" i="1" l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Q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</calcChain>
</file>

<file path=xl/sharedStrings.xml><?xml version="1.0" encoding="utf-8"?>
<sst xmlns="http://schemas.openxmlformats.org/spreadsheetml/2006/main" count="16" uniqueCount="15">
  <si>
    <t>年月</t>
  </si>
  <si>
    <t>開盤價</t>
  </si>
  <si>
    <t>最高價</t>
  </si>
  <si>
    <t>最低價</t>
  </si>
  <si>
    <t>收盤價</t>
  </si>
  <si>
    <t>STD</t>
    <phoneticPr fontId="1" type="noConversion"/>
  </si>
  <si>
    <t>平均</t>
    <phoneticPr fontId="1" type="noConversion"/>
  </si>
  <si>
    <t>下限</t>
    <phoneticPr fontId="1" type="noConversion"/>
  </si>
  <si>
    <t>上限</t>
    <phoneticPr fontId="1" type="noConversion"/>
  </si>
  <si>
    <t>成交量(百萬股)</t>
  </si>
  <si>
    <t>成交值(百萬元)</t>
  </si>
  <si>
    <t>報酬率(%)</t>
  </si>
  <si>
    <t>週轉率(%)</t>
  </si>
  <si>
    <t>流通在外股數(百萬股)</t>
  </si>
  <si>
    <t>市值(百萬元)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</si>
</sst>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移動平均線圖!$M$7:$M$271</c:f>
              <c:numCache>
                <c:formatCode>General</c:formatCode>
                <c:ptCount val="265"/>
                <c:pt idx="0">
                  <c:v>666.11</c:v>
                </c:pt>
                <c:pt idx="1">
                  <c:v>710.02</c:v>
                </c:pt>
                <c:pt idx="2">
                  <c:v>781.66</c:v>
                </c:pt>
                <c:pt idx="3">
                  <c:v>776.28</c:v>
                </c:pt>
                <c:pt idx="4">
                  <c:v>835.12</c:v>
                </c:pt>
                <c:pt idx="5">
                  <c:v>882.95</c:v>
                </c:pt>
                <c:pt idx="6">
                  <c:v>943.95</c:v>
                </c:pt>
                <c:pt idx="7">
                  <c:v>926.13</c:v>
                </c:pt>
                <c:pt idx="8">
                  <c:v>902.87</c:v>
                </c:pt>
                <c:pt idx="9">
                  <c:v>950.8</c:v>
                </c:pt>
                <c:pt idx="10">
                  <c:v>955.21</c:v>
                </c:pt>
                <c:pt idx="11">
                  <c:v>935.83</c:v>
                </c:pt>
                <c:pt idx="12">
                  <c:v>903.61</c:v>
                </c:pt>
                <c:pt idx="13">
                  <c:v>947.11</c:v>
                </c:pt>
                <c:pt idx="14">
                  <c:v>994.44</c:v>
                </c:pt>
                <c:pt idx="15">
                  <c:v>996.24</c:v>
                </c:pt>
                <c:pt idx="16">
                  <c:v>1039.1099999999999</c:v>
                </c:pt>
                <c:pt idx="17">
                  <c:v>1150.25</c:v>
                </c:pt>
                <c:pt idx="18">
                  <c:v>1272.1300000000001</c:v>
                </c:pt>
                <c:pt idx="19">
                  <c:v>1405.51</c:v>
                </c:pt>
                <c:pt idx="20">
                  <c:v>1812.99</c:v>
                </c:pt>
                <c:pt idx="21">
                  <c:v>1878.61</c:v>
                </c:pt>
                <c:pt idx="22">
                  <c:v>1648.92</c:v>
                </c:pt>
                <c:pt idx="23">
                  <c:v>2048.21</c:v>
                </c:pt>
                <c:pt idx="24">
                  <c:v>3075.23</c:v>
                </c:pt>
                <c:pt idx="25">
                  <c:v>4459.01</c:v>
                </c:pt>
                <c:pt idx="26">
                  <c:v>2722.32</c:v>
                </c:pt>
                <c:pt idx="27">
                  <c:v>2952.51</c:v>
                </c:pt>
                <c:pt idx="28">
                  <c:v>2339.86</c:v>
                </c:pt>
                <c:pt idx="29">
                  <c:v>2843.87</c:v>
                </c:pt>
                <c:pt idx="30">
                  <c:v>3499.01</c:v>
                </c:pt>
                <c:pt idx="31">
                  <c:v>3373.86</c:v>
                </c:pt>
                <c:pt idx="32">
                  <c:v>4158.4399999999996</c:v>
                </c:pt>
                <c:pt idx="33">
                  <c:v>4476.26</c:v>
                </c:pt>
                <c:pt idx="34">
                  <c:v>4846.03</c:v>
                </c:pt>
                <c:pt idx="35">
                  <c:v>6248.02</c:v>
                </c:pt>
                <c:pt idx="36">
                  <c:v>7680.48</c:v>
                </c:pt>
                <c:pt idx="37">
                  <c:v>8402.93</c:v>
                </c:pt>
                <c:pt idx="38">
                  <c:v>6226.01</c:v>
                </c:pt>
                <c:pt idx="39">
                  <c:v>6814.11</c:v>
                </c:pt>
                <c:pt idx="40">
                  <c:v>5119.1099999999997</c:v>
                </c:pt>
                <c:pt idx="41">
                  <c:v>6157.12</c:v>
                </c:pt>
                <c:pt idx="42">
                  <c:v>7004.44</c:v>
                </c:pt>
                <c:pt idx="43">
                  <c:v>7390.15</c:v>
                </c:pt>
                <c:pt idx="44">
                  <c:v>7933.71</c:v>
                </c:pt>
                <c:pt idx="45">
                  <c:v>9832.3799999999992</c:v>
                </c:pt>
                <c:pt idx="46">
                  <c:v>9205.06</c:v>
                </c:pt>
                <c:pt idx="47">
                  <c:v>9504.2000000000007</c:v>
                </c:pt>
                <c:pt idx="48">
                  <c:v>9924.2999999999993</c:v>
                </c:pt>
                <c:pt idx="49">
                  <c:v>10180.84</c:v>
                </c:pt>
                <c:pt idx="50">
                  <c:v>10602.07</c:v>
                </c:pt>
                <c:pt idx="51">
                  <c:v>9402.56</c:v>
                </c:pt>
                <c:pt idx="52">
                  <c:v>9624.18</c:v>
                </c:pt>
                <c:pt idx="53">
                  <c:v>12054.35</c:v>
                </c:pt>
                <c:pt idx="54">
                  <c:v>11661.73</c:v>
                </c:pt>
                <c:pt idx="55">
                  <c:v>10755.87</c:v>
                </c:pt>
                <c:pt idx="56">
                  <c:v>9292.3700000000008</c:v>
                </c:pt>
                <c:pt idx="57">
                  <c:v>7290.88</c:v>
                </c:pt>
                <c:pt idx="58">
                  <c:v>5049.58</c:v>
                </c:pt>
                <c:pt idx="59">
                  <c:v>5618.21</c:v>
                </c:pt>
                <c:pt idx="60">
                  <c:v>3635.28</c:v>
                </c:pt>
                <c:pt idx="61">
                  <c:v>2705.01</c:v>
                </c:pt>
                <c:pt idx="62">
                  <c:v>3318.53</c:v>
                </c:pt>
                <c:pt idx="63">
                  <c:v>4377.2700000000004</c:v>
                </c:pt>
                <c:pt idx="64">
                  <c:v>4530.16</c:v>
                </c:pt>
                <c:pt idx="65">
                  <c:v>4023.72</c:v>
                </c:pt>
                <c:pt idx="66">
                  <c:v>5033.37</c:v>
                </c:pt>
                <c:pt idx="67">
                  <c:v>5139.9399999999996</c:v>
                </c:pt>
                <c:pt idx="68">
                  <c:v>5921.29</c:v>
                </c:pt>
                <c:pt idx="69">
                  <c:v>5610.72</c:v>
                </c:pt>
                <c:pt idx="70">
                  <c:v>5768.08</c:v>
                </c:pt>
                <c:pt idx="71">
                  <c:v>5178.0600000000004</c:v>
                </c:pt>
                <c:pt idx="72">
                  <c:v>4505.67</c:v>
                </c:pt>
                <c:pt idx="73">
                  <c:v>4867.13</c:v>
                </c:pt>
                <c:pt idx="74">
                  <c:v>4389.8599999999997</c:v>
                </c:pt>
                <c:pt idx="75">
                  <c:v>4378.5</c:v>
                </c:pt>
                <c:pt idx="76">
                  <c:v>4600.67</c:v>
                </c:pt>
                <c:pt idx="77">
                  <c:v>5391.63</c:v>
                </c:pt>
                <c:pt idx="78">
                  <c:v>5142.42</c:v>
                </c:pt>
                <c:pt idx="79">
                  <c:v>4800.9399999999996</c:v>
                </c:pt>
                <c:pt idx="80">
                  <c:v>4496.1899999999996</c:v>
                </c:pt>
                <c:pt idx="81">
                  <c:v>4496.58</c:v>
                </c:pt>
                <c:pt idx="82">
                  <c:v>4523.8100000000004</c:v>
                </c:pt>
                <c:pt idx="83">
                  <c:v>4108.5200000000004</c:v>
                </c:pt>
                <c:pt idx="84">
                  <c:v>3946.35</c:v>
                </c:pt>
                <c:pt idx="85">
                  <c:v>3524.21</c:v>
                </c:pt>
                <c:pt idx="86">
                  <c:v>3631.73</c:v>
                </c:pt>
                <c:pt idx="87">
                  <c:v>3675.01</c:v>
                </c:pt>
                <c:pt idx="88">
                  <c:v>3377.06</c:v>
                </c:pt>
                <c:pt idx="89">
                  <c:v>3374.56</c:v>
                </c:pt>
                <c:pt idx="90">
                  <c:v>4384.67</c:v>
                </c:pt>
                <c:pt idx="91">
                  <c:v>4825.29</c:v>
                </c:pt>
                <c:pt idx="92">
                  <c:v>4563.5200000000004</c:v>
                </c:pt>
                <c:pt idx="93">
                  <c:v>4267.8999999999996</c:v>
                </c:pt>
                <c:pt idx="94">
                  <c:v>3995.51</c:v>
                </c:pt>
                <c:pt idx="95">
                  <c:v>3960.38</c:v>
                </c:pt>
                <c:pt idx="96">
                  <c:v>3892.04</c:v>
                </c:pt>
                <c:pt idx="97">
                  <c:v>3832.69</c:v>
                </c:pt>
                <c:pt idx="98">
                  <c:v>4131.68</c:v>
                </c:pt>
                <c:pt idx="99">
                  <c:v>4353.8999999999996</c:v>
                </c:pt>
                <c:pt idx="100">
                  <c:v>6070.56</c:v>
                </c:pt>
                <c:pt idx="101">
                  <c:v>6115.12</c:v>
                </c:pt>
                <c:pt idx="102">
                  <c:v>5414.64</c:v>
                </c:pt>
                <c:pt idx="103">
                  <c:v>5249.22</c:v>
                </c:pt>
                <c:pt idx="104">
                  <c:v>5737.33</c:v>
                </c:pt>
                <c:pt idx="105">
                  <c:v>5891.56</c:v>
                </c:pt>
                <c:pt idx="106">
                  <c:v>5932.6</c:v>
                </c:pt>
                <c:pt idx="107">
                  <c:v>6720.05</c:v>
                </c:pt>
                <c:pt idx="108">
                  <c:v>7008.11</c:v>
                </c:pt>
                <c:pt idx="109">
                  <c:v>7091.13</c:v>
                </c:pt>
                <c:pt idx="110">
                  <c:v>6526.47</c:v>
                </c:pt>
                <c:pt idx="111">
                  <c:v>6363.72</c:v>
                </c:pt>
                <c:pt idx="112">
                  <c:v>7124.66</c:v>
                </c:pt>
                <c:pt idx="113">
                  <c:v>6307.85</c:v>
                </c:pt>
                <c:pt idx="114">
                  <c:v>6509.33</c:v>
                </c:pt>
                <c:pt idx="115">
                  <c:v>6524</c:v>
                </c:pt>
                <c:pt idx="116">
                  <c:v>5803.78</c:v>
                </c:pt>
                <c:pt idx="117">
                  <c:v>5674.55</c:v>
                </c:pt>
                <c:pt idx="118">
                  <c:v>5444.97</c:v>
                </c:pt>
                <c:pt idx="119">
                  <c:v>5180.42</c:v>
                </c:pt>
                <c:pt idx="120">
                  <c:v>4809.93</c:v>
                </c:pt>
                <c:pt idx="121">
                  <c:v>5033.0600000000004</c:v>
                </c:pt>
                <c:pt idx="122">
                  <c:v>4817.04</c:v>
                </c:pt>
                <c:pt idx="123">
                  <c:v>4777.2</c:v>
                </c:pt>
                <c:pt idx="124">
                  <c:v>5173.7299999999996</c:v>
                </c:pt>
                <c:pt idx="125">
                  <c:v>4763.3999999999996</c:v>
                </c:pt>
                <c:pt idx="126">
                  <c:v>4797.67</c:v>
                </c:pt>
                <c:pt idx="127">
                  <c:v>5032.3500000000004</c:v>
                </c:pt>
                <c:pt idx="128">
                  <c:v>6134.28</c:v>
                </c:pt>
                <c:pt idx="129">
                  <c:v>5966.82</c:v>
                </c:pt>
                <c:pt idx="130">
                  <c:v>6560.41</c:v>
                </c:pt>
                <c:pt idx="131">
                  <c:v>6106.97</c:v>
                </c:pt>
                <c:pt idx="132">
                  <c:v>6324.6</c:v>
                </c:pt>
                <c:pt idx="133">
                  <c:v>6504.68</c:v>
                </c:pt>
                <c:pt idx="134">
                  <c:v>6426.09</c:v>
                </c:pt>
                <c:pt idx="135">
                  <c:v>6826.06</c:v>
                </c:pt>
                <c:pt idx="136">
                  <c:v>6933.94</c:v>
                </c:pt>
                <c:pt idx="137">
                  <c:v>7283.4</c:v>
                </c:pt>
                <c:pt idx="138">
                  <c:v>7875.32</c:v>
                </c:pt>
                <c:pt idx="139">
                  <c:v>8004.2</c:v>
                </c:pt>
                <c:pt idx="140">
                  <c:v>8485.66</c:v>
                </c:pt>
                <c:pt idx="141">
                  <c:v>8163.11</c:v>
                </c:pt>
                <c:pt idx="142">
                  <c:v>9030.2800000000007</c:v>
                </c:pt>
                <c:pt idx="143">
                  <c:v>10066.35</c:v>
                </c:pt>
                <c:pt idx="144">
                  <c:v>9756.4699999999993</c:v>
                </c:pt>
                <c:pt idx="145">
                  <c:v>8708.83</c:v>
                </c:pt>
                <c:pt idx="146">
                  <c:v>7313.4</c:v>
                </c:pt>
                <c:pt idx="147">
                  <c:v>7797.19</c:v>
                </c:pt>
                <c:pt idx="148">
                  <c:v>8187.27</c:v>
                </c:pt>
                <c:pt idx="149">
                  <c:v>8085.47</c:v>
                </c:pt>
                <c:pt idx="150">
                  <c:v>9202.56</c:v>
                </c:pt>
                <c:pt idx="151">
                  <c:v>9091.16</c:v>
                </c:pt>
                <c:pt idx="152">
                  <c:v>8304.2099999999991</c:v>
                </c:pt>
                <c:pt idx="153">
                  <c:v>7903.34</c:v>
                </c:pt>
                <c:pt idx="154">
                  <c:v>7548.81</c:v>
                </c:pt>
                <c:pt idx="155">
                  <c:v>7653.51</c:v>
                </c:pt>
                <c:pt idx="156">
                  <c:v>6550.11</c:v>
                </c:pt>
                <c:pt idx="157">
                  <c:v>6833.95</c:v>
                </c:pt>
                <c:pt idx="158">
                  <c:v>7165.98</c:v>
                </c:pt>
                <c:pt idx="159">
                  <c:v>7177.22</c:v>
                </c:pt>
                <c:pt idx="160">
                  <c:v>6418.43</c:v>
                </c:pt>
                <c:pt idx="161">
                  <c:v>5998.32</c:v>
                </c:pt>
                <c:pt idx="162">
                  <c:v>6318.52</c:v>
                </c:pt>
                <c:pt idx="163">
                  <c:v>6881.72</c:v>
                </c:pt>
                <c:pt idx="164">
                  <c:v>7371.17</c:v>
                </c:pt>
                <c:pt idx="165">
                  <c:v>7316.57</c:v>
                </c:pt>
                <c:pt idx="166">
                  <c:v>8467.3700000000008</c:v>
                </c:pt>
                <c:pt idx="167">
                  <c:v>7326.75</c:v>
                </c:pt>
                <c:pt idx="168">
                  <c:v>8157.73</c:v>
                </c:pt>
                <c:pt idx="169">
                  <c:v>7598.79</c:v>
                </c:pt>
                <c:pt idx="170">
                  <c:v>7854.85</c:v>
                </c:pt>
                <c:pt idx="171">
                  <c:v>7720.87</c:v>
                </c:pt>
                <c:pt idx="172">
                  <c:v>8448.84</c:v>
                </c:pt>
                <c:pt idx="173">
                  <c:v>9744.89</c:v>
                </c:pt>
                <c:pt idx="174">
                  <c:v>9435.94</c:v>
                </c:pt>
                <c:pt idx="175">
                  <c:v>9854.9500000000007</c:v>
                </c:pt>
                <c:pt idx="176">
                  <c:v>8777.35</c:v>
                </c:pt>
                <c:pt idx="177">
                  <c:v>8939.52</c:v>
                </c:pt>
                <c:pt idx="178">
                  <c:v>8265.09</c:v>
                </c:pt>
                <c:pt idx="179">
                  <c:v>8114.92</c:v>
                </c:pt>
                <c:pt idx="180">
                  <c:v>7616.98</c:v>
                </c:pt>
                <c:pt idx="181">
                  <c:v>6185.14</c:v>
                </c:pt>
                <c:pt idx="182">
                  <c:v>5544.18</c:v>
                </c:pt>
                <c:pt idx="183">
                  <c:v>5256.93</c:v>
                </c:pt>
                <c:pt idx="184">
                  <c:v>4739.09</c:v>
                </c:pt>
                <c:pt idx="185">
                  <c:v>5936.2</c:v>
                </c:pt>
                <c:pt idx="186">
                  <c:v>5674.69</c:v>
                </c:pt>
                <c:pt idx="187">
                  <c:v>5797.92</c:v>
                </c:pt>
                <c:pt idx="188">
                  <c:v>5381.67</c:v>
                </c:pt>
                <c:pt idx="189">
                  <c:v>5048.8599999999997</c:v>
                </c:pt>
                <c:pt idx="190">
                  <c:v>4883.43</c:v>
                </c:pt>
                <c:pt idx="191">
                  <c:v>4352.9799999999996</c:v>
                </c:pt>
                <c:pt idx="192">
                  <c:v>4509.4399999999996</c:v>
                </c:pt>
                <c:pt idx="193">
                  <c:v>3636.94</c:v>
                </c:pt>
                <c:pt idx="194">
                  <c:v>3903.49</c:v>
                </c:pt>
                <c:pt idx="195">
                  <c:v>4441.12</c:v>
                </c:pt>
                <c:pt idx="196">
                  <c:v>5551.24</c:v>
                </c:pt>
                <c:pt idx="197">
                  <c:v>5872.14</c:v>
                </c:pt>
                <c:pt idx="198">
                  <c:v>5696.11</c:v>
                </c:pt>
                <c:pt idx="199">
                  <c:v>6167.47</c:v>
                </c:pt>
                <c:pt idx="200">
                  <c:v>6065.73</c:v>
                </c:pt>
                <c:pt idx="201">
                  <c:v>5675.65</c:v>
                </c:pt>
                <c:pt idx="202">
                  <c:v>5153.71</c:v>
                </c:pt>
                <c:pt idx="203">
                  <c:v>4940.38</c:v>
                </c:pt>
                <c:pt idx="204">
                  <c:v>4764.9399999999996</c:v>
                </c:pt>
                <c:pt idx="205">
                  <c:v>4191.8100000000004</c:v>
                </c:pt>
                <c:pt idx="206">
                  <c:v>4579.1400000000003</c:v>
                </c:pt>
                <c:pt idx="207">
                  <c:v>4646.6899999999996</c:v>
                </c:pt>
                <c:pt idx="208">
                  <c:v>4452.45</c:v>
                </c:pt>
                <c:pt idx="209">
                  <c:v>5015.16</c:v>
                </c:pt>
                <c:pt idx="210">
                  <c:v>4432.46</c:v>
                </c:pt>
                <c:pt idx="211">
                  <c:v>4321.22</c:v>
                </c:pt>
                <c:pt idx="212">
                  <c:v>4148.07</c:v>
                </c:pt>
                <c:pt idx="213">
                  <c:v>4555.8999999999996</c:v>
                </c:pt>
                <c:pt idx="214">
                  <c:v>4872.1499999999996</c:v>
                </c:pt>
                <c:pt idx="215">
                  <c:v>5318.34</c:v>
                </c:pt>
                <c:pt idx="216">
                  <c:v>5650.83</c:v>
                </c:pt>
                <c:pt idx="217">
                  <c:v>5611.41</c:v>
                </c:pt>
                <c:pt idx="218">
                  <c:v>6045.12</c:v>
                </c:pt>
                <c:pt idx="219">
                  <c:v>5771.77</c:v>
                </c:pt>
                <c:pt idx="220">
                  <c:v>5890.69</c:v>
                </c:pt>
                <c:pt idx="221">
                  <c:v>6375.38</c:v>
                </c:pt>
                <c:pt idx="222">
                  <c:v>6750.54</c:v>
                </c:pt>
                <c:pt idx="223">
                  <c:v>6522.19</c:v>
                </c:pt>
                <c:pt idx="224">
                  <c:v>6117.81</c:v>
                </c:pt>
                <c:pt idx="225">
                  <c:v>5977.84</c:v>
                </c:pt>
                <c:pt idx="226">
                  <c:v>5839.44</c:v>
                </c:pt>
                <c:pt idx="227">
                  <c:v>5420.57</c:v>
                </c:pt>
                <c:pt idx="228">
                  <c:v>5765.54</c:v>
                </c:pt>
                <c:pt idx="229">
                  <c:v>5845.69</c:v>
                </c:pt>
                <c:pt idx="230">
                  <c:v>5705.93</c:v>
                </c:pt>
                <c:pt idx="231">
                  <c:v>5844.76</c:v>
                </c:pt>
                <c:pt idx="232">
                  <c:v>6139.69</c:v>
                </c:pt>
                <c:pt idx="233">
                  <c:v>5994.23</c:v>
                </c:pt>
                <c:pt idx="234">
                  <c:v>6207.83</c:v>
                </c:pt>
                <c:pt idx="235">
                  <c:v>6005.88</c:v>
                </c:pt>
                <c:pt idx="236">
                  <c:v>5818.07</c:v>
                </c:pt>
                <c:pt idx="237">
                  <c:v>6011.56</c:v>
                </c:pt>
                <c:pt idx="238">
                  <c:v>6241.94</c:v>
                </c:pt>
                <c:pt idx="239">
                  <c:v>6311.98</c:v>
                </c:pt>
                <c:pt idx="240">
                  <c:v>6033.47</c:v>
                </c:pt>
                <c:pt idx="241">
                  <c:v>6118.61</c:v>
                </c:pt>
                <c:pt idx="242">
                  <c:v>5764.3</c:v>
                </c:pt>
                <c:pt idx="243">
                  <c:v>6203.47</c:v>
                </c:pt>
                <c:pt idx="244">
                  <c:v>6548.34</c:v>
                </c:pt>
                <c:pt idx="245">
                  <c:v>6532.18</c:v>
                </c:pt>
                <c:pt idx="246">
                  <c:v>6561.63</c:v>
                </c:pt>
                <c:pt idx="247">
                  <c:v>6613.97</c:v>
                </c:pt>
                <c:pt idx="248">
                  <c:v>7171.77</c:v>
                </c:pt>
                <c:pt idx="249">
                  <c:v>6846.95</c:v>
                </c:pt>
                <c:pt idx="250">
                  <c:v>6704.41</c:v>
                </c:pt>
                <c:pt idx="251">
                  <c:v>6454.58</c:v>
                </c:pt>
                <c:pt idx="252">
                  <c:v>6611.77</c:v>
                </c:pt>
                <c:pt idx="253">
                  <c:v>6883.05</c:v>
                </c:pt>
                <c:pt idx="254">
                  <c:v>7021.32</c:v>
                </c:pt>
                <c:pt idx="255">
                  <c:v>7567.72</c:v>
                </c:pt>
                <c:pt idx="256">
                  <c:v>7823.72</c:v>
                </c:pt>
                <c:pt idx="257">
                  <c:v>7699.64</c:v>
                </c:pt>
                <c:pt idx="258">
                  <c:v>7901.96</c:v>
                </c:pt>
                <c:pt idx="259">
                  <c:v>7884.41</c:v>
                </c:pt>
                <c:pt idx="260">
                  <c:v>7875.42</c:v>
                </c:pt>
                <c:pt idx="261">
                  <c:v>8144.95</c:v>
                </c:pt>
                <c:pt idx="262">
                  <c:v>8883.2099999999991</c:v>
                </c:pt>
                <c:pt idx="263">
                  <c:v>9287.25</c:v>
                </c:pt>
                <c:pt idx="264">
                  <c:v>8982.16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CA-47FD-9473-B57261D8A884}"/>
            </c:ext>
          </c:extLst>
        </c:ser>
        <c:ser>
          <c:idx val="5"/>
          <c:order val="1"/>
          <c:tx>
            <c:strRef>
              <c:f>移動平均線圖!$P$1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移動平均線圖!$P$7:$P$271</c:f>
              <c:numCache>
                <c:formatCode>General</c:formatCode>
                <c:ptCount val="265"/>
                <c:pt idx="0">
                  <c:v>659.38218249366423</c:v>
                </c:pt>
                <c:pt idx="1">
                  <c:v>658.99746403502979</c:v>
                </c:pt>
                <c:pt idx="2">
                  <c:v>654.9758527731376</c:v>
                </c:pt>
                <c:pt idx="3">
                  <c:v>655.11144650378128</c:v>
                </c:pt>
                <c:pt idx="4">
                  <c:v>658.42863917474244</c:v>
                </c:pt>
                <c:pt idx="5">
                  <c:v>696.1199578337862</c:v>
                </c:pt>
                <c:pt idx="6">
                  <c:v>737.97902926938912</c:v>
                </c:pt>
                <c:pt idx="7">
                  <c:v>786.01515805443785</c:v>
                </c:pt>
                <c:pt idx="8">
                  <c:v>815.44217714074932</c:v>
                </c:pt>
                <c:pt idx="9">
                  <c:v>863.5836247192741</c:v>
                </c:pt>
                <c:pt idx="10">
                  <c:v>898.09568865479832</c:v>
                </c:pt>
                <c:pt idx="11">
                  <c:v>916.58341577778117</c:v>
                </c:pt>
                <c:pt idx="12">
                  <c:v>906.51625380257133</c:v>
                </c:pt>
                <c:pt idx="13">
                  <c:v>908.95932547256507</c:v>
                </c:pt>
                <c:pt idx="14">
                  <c:v>918.38607833958793</c:v>
                </c:pt>
                <c:pt idx="15">
                  <c:v>919.83708378091069</c:v>
                </c:pt>
                <c:pt idx="16">
                  <c:v>920.07674863690295</c:v>
                </c:pt>
                <c:pt idx="17">
                  <c:v>920.17916083708576</c:v>
                </c:pt>
                <c:pt idx="18">
                  <c:v>944.53761640125902</c:v>
                </c:pt>
                <c:pt idx="19">
                  <c:v>975.59057581047318</c:v>
                </c:pt>
                <c:pt idx="20">
                  <c:v>977.61896643572027</c:v>
                </c:pt>
                <c:pt idx="21">
                  <c:v>1078.7456294571875</c:v>
                </c:pt>
                <c:pt idx="22">
                  <c:v>1230.7682794876155</c:v>
                </c:pt>
                <c:pt idx="23">
                  <c:v>1382.6525542923098</c:v>
                </c:pt>
                <c:pt idx="24">
                  <c:v>1398.2470904261804</c:v>
                </c:pt>
                <c:pt idx="25">
                  <c:v>1395.9073022874607</c:v>
                </c:pt>
                <c:pt idx="26">
                  <c:v>1597.8363722683785</c:v>
                </c:pt>
                <c:pt idx="27">
                  <c:v>1843.4666762012298</c:v>
                </c:pt>
                <c:pt idx="28">
                  <c:v>2092.8125159301312</c:v>
                </c:pt>
                <c:pt idx="29">
                  <c:v>2337.7060871718249</c:v>
                </c:pt>
                <c:pt idx="30">
                  <c:v>2386.9491213682354</c:v>
                </c:pt>
                <c:pt idx="31">
                  <c:v>2527.1534076741041</c:v>
                </c:pt>
                <c:pt idx="32">
                  <c:v>2567.5371699148559</c:v>
                </c:pt>
                <c:pt idx="33">
                  <c:v>2653.1773977059593</c:v>
                </c:pt>
                <c:pt idx="34">
                  <c:v>3112.5832670521227</c:v>
                </c:pt>
                <c:pt idx="35">
                  <c:v>3381.3430349153687</c:v>
                </c:pt>
                <c:pt idx="36">
                  <c:v>3562.6574273136284</c:v>
                </c:pt>
                <c:pt idx="37">
                  <c:v>4196.773895349017</c:v>
                </c:pt>
                <c:pt idx="38">
                  <c:v>4778.6735330995216</c:v>
                </c:pt>
                <c:pt idx="39">
                  <c:v>5458.7082834719531</c:v>
                </c:pt>
                <c:pt idx="40">
                  <c:v>5583.2465430242173</c:v>
                </c:pt>
                <c:pt idx="41">
                  <c:v>5559.7277887016562</c:v>
                </c:pt>
                <c:pt idx="42">
                  <c:v>5526.4109988672226</c:v>
                </c:pt>
                <c:pt idx="43">
                  <c:v>5647.9501732473263</c:v>
                </c:pt>
                <c:pt idx="44">
                  <c:v>5747.4994722431493</c:v>
                </c:pt>
                <c:pt idx="45">
                  <c:v>5630.1060477485444</c:v>
                </c:pt>
                <c:pt idx="46">
                  <c:v>6539.4987450956214</c:v>
                </c:pt>
                <c:pt idx="47">
                  <c:v>7289.4502920935793</c:v>
                </c:pt>
                <c:pt idx="48">
                  <c:v>7910.0086980315891</c:v>
                </c:pt>
                <c:pt idx="49">
                  <c:v>8621.9987219532759</c:v>
                </c:pt>
                <c:pt idx="50">
                  <c:v>9382.3191724204589</c:v>
                </c:pt>
                <c:pt idx="51">
                  <c:v>9273.4254404633393</c:v>
                </c:pt>
                <c:pt idx="52">
                  <c:v>9415.1650120670074</c:v>
                </c:pt>
                <c:pt idx="53">
                  <c:v>9340.2976088257456</c:v>
                </c:pt>
                <c:pt idx="54">
                  <c:v>9510.284969706674</c:v>
                </c:pt>
                <c:pt idx="55">
                  <c:v>9624.1207669306314</c:v>
                </c:pt>
                <c:pt idx="56">
                  <c:v>9260.7166691629445</c:v>
                </c:pt>
                <c:pt idx="57">
                  <c:v>8354.9680264249564</c:v>
                </c:pt>
                <c:pt idx="58">
                  <c:v>6616.8990924355776</c:v>
                </c:pt>
                <c:pt idx="59">
                  <c:v>5554.5061337935585</c:v>
                </c:pt>
                <c:pt idx="60">
                  <c:v>4240.0089009734302</c:v>
                </c:pt>
                <c:pt idx="61">
                  <c:v>3188.6983892386861</c:v>
                </c:pt>
                <c:pt idx="62">
                  <c:v>2891.5707850070007</c:v>
                </c:pt>
                <c:pt idx="63">
                  <c:v>3016.9133093662949</c:v>
                </c:pt>
                <c:pt idx="64">
                  <c:v>3000.136123312629</c:v>
                </c:pt>
                <c:pt idx="65">
                  <c:v>3076.9511124245041</c:v>
                </c:pt>
                <c:pt idx="66">
                  <c:v>3145.5787506666616</c:v>
                </c:pt>
                <c:pt idx="67">
                  <c:v>3728.9682807457289</c:v>
                </c:pt>
                <c:pt idx="68">
                  <c:v>4163.3931262725691</c:v>
                </c:pt>
                <c:pt idx="69">
                  <c:v>4349.6402308380348</c:v>
                </c:pt>
                <c:pt idx="70">
                  <c:v>4554.9756766627515</c:v>
                </c:pt>
                <c:pt idx="71">
                  <c:v>5069.7819294651381</c:v>
                </c:pt>
                <c:pt idx="72">
                  <c:v>4833.2632177168753</c:v>
                </c:pt>
                <c:pt idx="73">
                  <c:v>4754.5204818775419</c:v>
                </c:pt>
                <c:pt idx="74">
                  <c:v>4485.4676222180678</c:v>
                </c:pt>
                <c:pt idx="75">
                  <c:v>4299.5467535334174</c:v>
                </c:pt>
                <c:pt idx="76">
                  <c:v>4340.0813707230645</c:v>
                </c:pt>
                <c:pt idx="77">
                  <c:v>4300.9083936631196</c:v>
                </c:pt>
                <c:pt idx="78">
                  <c:v>4380.9708597149465</c:v>
                </c:pt>
                <c:pt idx="79">
                  <c:v>4371.3648583135327</c:v>
                </c:pt>
                <c:pt idx="80">
                  <c:v>4407.528156240438</c:v>
                </c:pt>
                <c:pt idx="81">
                  <c:v>4450.2915364474093</c:v>
                </c:pt>
                <c:pt idx="82">
                  <c:v>4427.1555470457988</c:v>
                </c:pt>
                <c:pt idx="83">
                  <c:v>4247.3932897941577</c:v>
                </c:pt>
                <c:pt idx="84">
                  <c:v>4083.8557606138629</c:v>
                </c:pt>
                <c:pt idx="85">
                  <c:v>3780.5837090686728</c:v>
                </c:pt>
                <c:pt idx="86">
                  <c:v>3616.9379026813076</c:v>
                </c:pt>
                <c:pt idx="87">
                  <c:v>3527.8243718369031</c:v>
                </c:pt>
                <c:pt idx="88">
                  <c:v>3439.409680267278</c:v>
                </c:pt>
                <c:pt idx="89">
                  <c:v>3372.7378669743307</c:v>
                </c:pt>
                <c:pt idx="90">
                  <c:v>3285.4055684954842</c:v>
                </c:pt>
                <c:pt idx="91">
                  <c:v>3284.7036242859044</c:v>
                </c:pt>
                <c:pt idx="92">
                  <c:v>3396.986469836525</c:v>
                </c:pt>
                <c:pt idx="93">
                  <c:v>3516.8909457198174</c:v>
                </c:pt>
                <c:pt idx="94">
                  <c:v>3729.7590662374746</c:v>
                </c:pt>
                <c:pt idx="95">
                  <c:v>3999.6691530626408</c:v>
                </c:pt>
                <c:pt idx="96">
                  <c:v>3874.9141942045017</c:v>
                </c:pt>
                <c:pt idx="97">
                  <c:v>3807.1797551769846</c:v>
                </c:pt>
                <c:pt idx="98">
                  <c:v>3852.5711891597834</c:v>
                </c:pt>
                <c:pt idx="99">
                  <c:v>3838.3754138522954</c:v>
                </c:pt>
                <c:pt idx="100">
                  <c:v>3521.0370006755297</c:v>
                </c:pt>
                <c:pt idx="101">
                  <c:v>3662.8616400548153</c:v>
                </c:pt>
                <c:pt idx="102">
                  <c:v>3977.0308019866966</c:v>
                </c:pt>
                <c:pt idx="103">
                  <c:v>4386.1035730929225</c:v>
                </c:pt>
                <c:pt idx="104">
                  <c:v>4835.3956694034841</c:v>
                </c:pt>
                <c:pt idx="105">
                  <c:v>5394.4275903981907</c:v>
                </c:pt>
                <c:pt idx="106">
                  <c:v>5392.9996698858804</c:v>
                </c:pt>
                <c:pt idx="107">
                  <c:v>5309.5056507023473</c:v>
                </c:pt>
                <c:pt idx="108">
                  <c:v>5436.3089363459221</c:v>
                </c:pt>
                <c:pt idx="109">
                  <c:v>5785.9064300556474</c:v>
                </c:pt>
                <c:pt idx="110">
                  <c:v>6009.8485983585979</c:v>
                </c:pt>
                <c:pt idx="111">
                  <c:v>6176.075521176328</c:v>
                </c:pt>
                <c:pt idx="112">
                  <c:v>6487.9394028959186</c:v>
                </c:pt>
                <c:pt idx="113">
                  <c:v>6358.3029192063705</c:v>
                </c:pt>
                <c:pt idx="114">
                  <c:v>6292.2306412360858</c:v>
                </c:pt>
                <c:pt idx="115">
                  <c:v>6267.4714254854807</c:v>
                </c:pt>
                <c:pt idx="116">
                  <c:v>6012.5866523237237</c:v>
                </c:pt>
                <c:pt idx="117">
                  <c:v>5793.3535528729581</c:v>
                </c:pt>
                <c:pt idx="118">
                  <c:v>5581.5684466740304</c:v>
                </c:pt>
                <c:pt idx="119">
                  <c:v>5302.2672579797245</c:v>
                </c:pt>
                <c:pt idx="120">
                  <c:v>4986.2970804505603</c:v>
                </c:pt>
                <c:pt idx="121">
                  <c:v>4940.4631427018658</c:v>
                </c:pt>
                <c:pt idx="122">
                  <c:v>4812.8146694079578</c:v>
                </c:pt>
                <c:pt idx="123">
                  <c:v>4745.7746545329528</c:v>
                </c:pt>
                <c:pt idx="124">
                  <c:v>4777.7127783908909</c:v>
                </c:pt>
                <c:pt idx="125">
                  <c:v>4727.6446184084816</c:v>
                </c:pt>
                <c:pt idx="126">
                  <c:v>4724.2803431983693</c:v>
                </c:pt>
                <c:pt idx="127">
                  <c:v>4724.2786328288657</c:v>
                </c:pt>
                <c:pt idx="128">
                  <c:v>4586.2995071375963</c:v>
                </c:pt>
                <c:pt idx="129">
                  <c:v>4716.7740731002823</c:v>
                </c:pt>
                <c:pt idx="130">
                  <c:v>4769.3889400489606</c:v>
                </c:pt>
                <c:pt idx="131">
                  <c:v>5073.7102512880683</c:v>
                </c:pt>
                <c:pt idx="132">
                  <c:v>5494.8396907179676</c:v>
                </c:pt>
                <c:pt idx="133">
                  <c:v>6029.9765095846496</c:v>
                </c:pt>
                <c:pt idx="134">
                  <c:v>6081.2005082532496</c:v>
                </c:pt>
                <c:pt idx="135">
                  <c:v>6217.232217222384</c:v>
                </c:pt>
                <c:pt idx="136">
                  <c:v>6209.6338686043355</c:v>
                </c:pt>
                <c:pt idx="137">
                  <c:v>6352.1951601406536</c:v>
                </c:pt>
                <c:pt idx="138">
                  <c:v>6436.0163533603936</c:v>
                </c:pt>
                <c:pt idx="139">
                  <c:v>6605.8672505412733</c:v>
                </c:pt>
                <c:pt idx="140">
                  <c:v>6910.7809055391353</c:v>
                </c:pt>
                <c:pt idx="141">
                  <c:v>7213.7395719203641</c:v>
                </c:pt>
                <c:pt idx="142">
                  <c:v>7551.2827592589083</c:v>
                </c:pt>
                <c:pt idx="143">
                  <c:v>7777.194452864258</c:v>
                </c:pt>
                <c:pt idx="144">
                  <c:v>8066.0736047551818</c:v>
                </c:pt>
                <c:pt idx="145">
                  <c:v>8293.1493551584936</c:v>
                </c:pt>
                <c:pt idx="146">
                  <c:v>7821.3146608415609</c:v>
                </c:pt>
                <c:pt idx="147">
                  <c:v>7702.3967974463485</c:v>
                </c:pt>
                <c:pt idx="148">
                  <c:v>7546.3854183300691</c:v>
                </c:pt>
                <c:pt idx="149">
                  <c:v>7462.7670423108884</c:v>
                </c:pt>
                <c:pt idx="150">
                  <c:v>7548.8333190727972</c:v>
                </c:pt>
                <c:pt idx="151">
                  <c:v>7541.5438519816444</c:v>
                </c:pt>
                <c:pt idx="152">
                  <c:v>7874.2776033085811</c:v>
                </c:pt>
                <c:pt idx="153">
                  <c:v>7914.8825656552444</c:v>
                </c:pt>
                <c:pt idx="154">
                  <c:v>7694.1925038733534</c:v>
                </c:pt>
                <c:pt idx="155">
                  <c:v>7565.7962801157282</c:v>
                </c:pt>
                <c:pt idx="156">
                  <c:v>6997.0762347989139</c:v>
                </c:pt>
                <c:pt idx="157">
                  <c:v>6806.2278612879199</c:v>
                </c:pt>
                <c:pt idx="158">
                  <c:v>6757.3126600793184</c:v>
                </c:pt>
                <c:pt idx="159">
                  <c:v>6737.0358004231211</c:v>
                </c:pt>
                <c:pt idx="160">
                  <c:v>6508.819715066772</c:v>
                </c:pt>
                <c:pt idx="161">
                  <c:v>6231.0163104544317</c:v>
                </c:pt>
                <c:pt idx="162">
                  <c:v>6169.1210048462672</c:v>
                </c:pt>
                <c:pt idx="163">
                  <c:v>6173.1072127965963</c:v>
                </c:pt>
                <c:pt idx="164">
                  <c:v>6159.7781357502809</c:v>
                </c:pt>
                <c:pt idx="165">
                  <c:v>6155.4967617384737</c:v>
                </c:pt>
                <c:pt idx="166">
                  <c:v>6181.2116300350735</c:v>
                </c:pt>
                <c:pt idx="167">
                  <c:v>6572.5714432465484</c:v>
                </c:pt>
                <c:pt idx="168">
                  <c:v>6989.2816356938738</c:v>
                </c:pt>
                <c:pt idx="169">
                  <c:v>7215.9204233819719</c:v>
                </c:pt>
                <c:pt idx="170">
                  <c:v>7323.6515764874875</c:v>
                </c:pt>
                <c:pt idx="171">
                  <c:v>7447.1286116759493</c:v>
                </c:pt>
                <c:pt idx="172">
                  <c:v>7449.5856984099473</c:v>
                </c:pt>
                <c:pt idx="173">
                  <c:v>7461.5066197957522</c:v>
                </c:pt>
                <c:pt idx="174">
                  <c:v>7544.6062935082946</c:v>
                </c:pt>
                <c:pt idx="175">
                  <c:v>7886.3107378069453</c:v>
                </c:pt>
                <c:pt idx="176">
                  <c:v>8164.6354479884221</c:v>
                </c:pt>
                <c:pt idx="177">
                  <c:v>8635.9335051242306</c:v>
                </c:pt>
                <c:pt idx="178">
                  <c:v>8553.7442205306143</c:v>
                </c:pt>
                <c:pt idx="179">
                  <c:v>8229.3508045527833</c:v>
                </c:pt>
                <c:pt idx="180">
                  <c:v>7815.6662671007962</c:v>
                </c:pt>
                <c:pt idx="181">
                  <c:v>6982.2499727571931</c:v>
                </c:pt>
                <c:pt idx="182">
                  <c:v>6133.9715646370732</c:v>
                </c:pt>
                <c:pt idx="183">
                  <c:v>5498.3564389094081</c:v>
                </c:pt>
                <c:pt idx="184">
                  <c:v>4892.4895408111279</c:v>
                </c:pt>
                <c:pt idx="185">
                  <c:v>4888.1853890820685</c:v>
                </c:pt>
                <c:pt idx="186">
                  <c:v>5043.9092456448225</c:v>
                </c:pt>
                <c:pt idx="187">
                  <c:v>5055.8116489055683</c:v>
                </c:pt>
                <c:pt idx="188">
                  <c:v>5027.6065562678041</c:v>
                </c:pt>
                <c:pt idx="189">
                  <c:v>4965.747715263672</c:v>
                </c:pt>
                <c:pt idx="190">
                  <c:v>5030.8477683622923</c:v>
                </c:pt>
                <c:pt idx="191">
                  <c:v>4650.3443067668195</c:v>
                </c:pt>
                <c:pt idx="192">
                  <c:v>4455.8096205682969</c:v>
                </c:pt>
                <c:pt idx="193">
                  <c:v>4022.0492707659569</c:v>
                </c:pt>
                <c:pt idx="194">
                  <c:v>3842.0166333966927</c:v>
                </c:pt>
                <c:pt idx="195">
                  <c:v>3840.0232988868474</c:v>
                </c:pt>
                <c:pt idx="196">
                  <c:v>3740.4131868518889</c:v>
                </c:pt>
                <c:pt idx="197">
                  <c:v>3763.262724941892</c:v>
                </c:pt>
                <c:pt idx="198">
                  <c:v>3871.7063418478465</c:v>
                </c:pt>
                <c:pt idx="199">
                  <c:v>4379.3971043129368</c:v>
                </c:pt>
                <c:pt idx="200">
                  <c:v>5005.9880149739474</c:v>
                </c:pt>
                <c:pt idx="201">
                  <c:v>5597.1008423613257</c:v>
                </c:pt>
                <c:pt idx="202">
                  <c:v>5411.2391183942946</c:v>
                </c:pt>
                <c:pt idx="203">
                  <c:v>5129.3687544684381</c:v>
                </c:pt>
                <c:pt idx="204">
                  <c:v>4867.8751951363793</c:v>
                </c:pt>
                <c:pt idx="205">
                  <c:v>4465.2103241256227</c:v>
                </c:pt>
                <c:pt idx="206">
                  <c:v>4376.5565167088716</c:v>
                </c:pt>
                <c:pt idx="207">
                  <c:v>4383.360978270387</c:v>
                </c:pt>
                <c:pt idx="208">
                  <c:v>4337.4570326409885</c:v>
                </c:pt>
                <c:pt idx="209">
                  <c:v>4329.0270812886301</c:v>
                </c:pt>
                <c:pt idx="210">
                  <c:v>4277.9420750218178</c:v>
                </c:pt>
                <c:pt idx="211">
                  <c:v>4330.1283138075269</c:v>
                </c:pt>
                <c:pt idx="212">
                  <c:v>4202.8402070389429</c:v>
                </c:pt>
                <c:pt idx="213">
                  <c:v>4194.209635394167</c:v>
                </c:pt>
                <c:pt idx="214">
                  <c:v>4226.5685616001392</c:v>
                </c:pt>
                <c:pt idx="215">
                  <c:v>4183.3669523066656</c:v>
                </c:pt>
                <c:pt idx="216">
                  <c:v>4226.1261592342607</c:v>
                </c:pt>
                <c:pt idx="217">
                  <c:v>4420.4756990409078</c:v>
                </c:pt>
                <c:pt idx="218">
                  <c:v>4794.2757966257832</c:v>
                </c:pt>
                <c:pt idx="219">
                  <c:v>5139.6573115711135</c:v>
                </c:pt>
                <c:pt idx="220">
                  <c:v>5463.5932370636056</c:v>
                </c:pt>
                <c:pt idx="221">
                  <c:v>5605.0538124654131</c:v>
                </c:pt>
                <c:pt idx="222">
                  <c:v>5652.6530950241668</c:v>
                </c:pt>
                <c:pt idx="223">
                  <c:v>5842.1097319698611</c:v>
                </c:pt>
                <c:pt idx="224">
                  <c:v>5859.9695002354274</c:v>
                </c:pt>
                <c:pt idx="225">
                  <c:v>5938.3472702076424</c:v>
                </c:pt>
                <c:pt idx="226">
                  <c:v>5917.6589542357242</c:v>
                </c:pt>
                <c:pt idx="227">
                  <c:v>5625.968832711621</c:v>
                </c:pt>
                <c:pt idx="228">
                  <c:v>5571.1471681212442</c:v>
                </c:pt>
                <c:pt idx="229">
                  <c:v>5592.5339244541747</c:v>
                </c:pt>
                <c:pt idx="230">
                  <c:v>5569.8164985477488</c:v>
                </c:pt>
                <c:pt idx="231">
                  <c:v>5572.1687302011014</c:v>
                </c:pt>
                <c:pt idx="232">
                  <c:v>5553.5884502278996</c:v>
                </c:pt>
                <c:pt idx="233">
                  <c:v>5723.7274066664313</c:v>
                </c:pt>
                <c:pt idx="234">
                  <c:v>5763.6382231745247</c:v>
                </c:pt>
                <c:pt idx="235">
                  <c:v>5797.7816637595242</c:v>
                </c:pt>
                <c:pt idx="236">
                  <c:v>5846.8535534682105</c:v>
                </c:pt>
                <c:pt idx="237">
                  <c:v>5894.8067165334951</c:v>
                </c:pt>
                <c:pt idx="238">
                  <c:v>5890.3753172335337</c:v>
                </c:pt>
                <c:pt idx="239">
                  <c:v>5913.6007214697074</c:v>
                </c:pt>
                <c:pt idx="240">
                  <c:v>5891.3487157222571</c:v>
                </c:pt>
                <c:pt idx="241">
                  <c:v>5912.3702067047243</c:v>
                </c:pt>
                <c:pt idx="242">
                  <c:v>5886.3795980512605</c:v>
                </c:pt>
                <c:pt idx="243">
                  <c:v>5916.1580143241708</c:v>
                </c:pt>
                <c:pt idx="244">
                  <c:v>5898.7755086449997</c:v>
                </c:pt>
                <c:pt idx="245">
                  <c:v>5898.1055807590201</c:v>
                </c:pt>
                <c:pt idx="246">
                  <c:v>5967.9714480919156</c:v>
                </c:pt>
                <c:pt idx="247">
                  <c:v>6039.3016464075899</c:v>
                </c:pt>
                <c:pt idx="248">
                  <c:v>6291.2429755827716</c:v>
                </c:pt>
                <c:pt idx="249">
                  <c:v>6459.1200397161647</c:v>
                </c:pt>
                <c:pt idx="250">
                  <c:v>6497.6509981024283</c:v>
                </c:pt>
                <c:pt idx="251">
                  <c:v>6469.8011039367548</c:v>
                </c:pt>
                <c:pt idx="252">
                  <c:v>6483.8288646505425</c:v>
                </c:pt>
                <c:pt idx="253">
                  <c:v>6530.3644224210584</c:v>
                </c:pt>
                <c:pt idx="254">
                  <c:v>6549.1836184183203</c:v>
                </c:pt>
                <c:pt idx="255">
                  <c:v>6479.7345381417908</c:v>
                </c:pt>
                <c:pt idx="256">
                  <c:v>6523.4618693644024</c:v>
                </c:pt>
                <c:pt idx="257">
                  <c:v>6772.9669543839927</c:v>
                </c:pt>
                <c:pt idx="258">
                  <c:v>7054.2254870430888</c:v>
                </c:pt>
                <c:pt idx="259">
                  <c:v>7317.2042766326767</c:v>
                </c:pt>
                <c:pt idx="260">
                  <c:v>7659.9121551013131</c:v>
                </c:pt>
                <c:pt idx="261">
                  <c:v>7742.7478011155044</c:v>
                </c:pt>
                <c:pt idx="262">
                  <c:v>7639.6122868393813</c:v>
                </c:pt>
                <c:pt idx="263">
                  <c:v>7722.0758897978485</c:v>
                </c:pt>
                <c:pt idx="264">
                  <c:v>7894.1556930021834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CA-47FD-9473-B57261D8A884}"/>
            </c:ext>
          </c:extLst>
        </c:ser>
        <c:ser>
          <c:idx val="6"/>
          <c:order val="2"/>
          <c:tx>
            <c:strRef>
              <c:f>移動平均線圖!$Q$1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移動平均線圖!$Q$7:$Q$271</c:f>
              <c:numCache>
                <c:formatCode>General</c:formatCode>
                <c:ptCount val="265"/>
                <c:pt idx="0">
                  <c:v>755.92781750633594</c:v>
                </c:pt>
                <c:pt idx="1">
                  <c:v>737.66586929830339</c:v>
                </c:pt>
                <c:pt idx="2">
                  <c:v>755.6641472268625</c:v>
                </c:pt>
                <c:pt idx="3">
                  <c:v>770.77855349621882</c:v>
                </c:pt>
                <c:pt idx="4">
                  <c:v>810.3480274919242</c:v>
                </c:pt>
                <c:pt idx="5">
                  <c:v>854.59337549954694</c:v>
                </c:pt>
                <c:pt idx="6">
                  <c:v>905.34763739727748</c:v>
                </c:pt>
                <c:pt idx="7">
                  <c:v>929.34817527889561</c:v>
                </c:pt>
                <c:pt idx="8">
                  <c:v>940.32448952591733</c:v>
                </c:pt>
                <c:pt idx="9">
                  <c:v>950.35637528072618</c:v>
                </c:pt>
                <c:pt idx="10">
                  <c:v>955.8743113452017</c:v>
                </c:pt>
                <c:pt idx="11">
                  <c:v>955.01325088888541</c:v>
                </c:pt>
                <c:pt idx="12">
                  <c:v>951.63374619742854</c:v>
                </c:pt>
                <c:pt idx="13">
                  <c:v>956.18400786076813</c:v>
                </c:pt>
                <c:pt idx="14">
                  <c:v>977.28058832707882</c:v>
                </c:pt>
                <c:pt idx="15">
                  <c:v>990.97624955242281</c:v>
                </c:pt>
                <c:pt idx="16">
                  <c:v>1018.703251363097</c:v>
                </c:pt>
                <c:pt idx="17">
                  <c:v>1090.0741724962475</c:v>
                </c:pt>
                <c:pt idx="18">
                  <c:v>1188.5557169320743</c:v>
                </c:pt>
                <c:pt idx="19">
                  <c:v>1310.3027575228602</c:v>
                </c:pt>
                <c:pt idx="20">
                  <c:v>1581.1243668976131</c:v>
                </c:pt>
                <c:pt idx="21">
                  <c:v>1774.1210372094793</c:v>
                </c:pt>
                <c:pt idx="22">
                  <c:v>1825.3683871790513</c:v>
                </c:pt>
                <c:pt idx="23">
                  <c:v>1972.8041123743567</c:v>
                </c:pt>
                <c:pt idx="24">
                  <c:v>2558.2429095738194</c:v>
                </c:pt>
                <c:pt idx="25">
                  <c:v>3578.4160310458728</c:v>
                </c:pt>
                <c:pt idx="26">
                  <c:v>3679.5969610649549</c:v>
                </c:pt>
                <c:pt idx="27">
                  <c:v>3791.9333237987707</c:v>
                </c:pt>
                <c:pt idx="28">
                  <c:v>3772.9008174032019</c:v>
                </c:pt>
                <c:pt idx="29">
                  <c:v>3793.2272461615084</c:v>
                </c:pt>
                <c:pt idx="30">
                  <c:v>3885.2442119650982</c:v>
                </c:pt>
                <c:pt idx="31">
                  <c:v>3383.3232589925624</c:v>
                </c:pt>
                <c:pt idx="32">
                  <c:v>3821.6461634184775</c:v>
                </c:pt>
                <c:pt idx="33">
                  <c:v>4243.922602294042</c:v>
                </c:pt>
                <c:pt idx="34">
                  <c:v>4619.9067329478776</c:v>
                </c:pt>
                <c:pt idx="35">
                  <c:v>5485.8636317512983</c:v>
                </c:pt>
                <c:pt idx="36">
                  <c:v>6698.3725726863722</c:v>
                </c:pt>
                <c:pt idx="37">
                  <c:v>7740.6127713176502</c:v>
                </c:pt>
                <c:pt idx="38">
                  <c:v>7847.9031335671461</c:v>
                </c:pt>
                <c:pt idx="39">
                  <c:v>7947.1517165280475</c:v>
                </c:pt>
                <c:pt idx="40">
                  <c:v>7913.6401236424499</c:v>
                </c:pt>
                <c:pt idx="41">
                  <c:v>7906.8588779650117</c:v>
                </c:pt>
                <c:pt idx="42">
                  <c:v>7714.8290011327772</c:v>
                </c:pt>
                <c:pt idx="43">
                  <c:v>7255.6964934193393</c:v>
                </c:pt>
                <c:pt idx="44">
                  <c:v>7725.3805277568499</c:v>
                </c:pt>
                <c:pt idx="45">
                  <c:v>8848.863952251455</c:v>
                </c:pt>
                <c:pt idx="46">
                  <c:v>9301.4545882377097</c:v>
                </c:pt>
                <c:pt idx="47">
                  <c:v>9667.1963745730882</c:v>
                </c:pt>
                <c:pt idx="48">
                  <c:v>10019.924635301744</c:v>
                </c:pt>
                <c:pt idx="49">
                  <c:v>10238.164611380058</c:v>
                </c:pt>
                <c:pt idx="50">
                  <c:v>10367.297494246206</c:v>
                </c:pt>
                <c:pt idx="51">
                  <c:v>10332.917892869995</c:v>
                </c:pt>
                <c:pt idx="52">
                  <c:v>10330.884987932992</c:v>
                </c:pt>
                <c:pt idx="53">
                  <c:v>11255.802391174253</c:v>
                </c:pt>
                <c:pt idx="54">
                  <c:v>11664.958363626658</c:v>
                </c:pt>
                <c:pt idx="55">
                  <c:v>11742.799233069371</c:v>
                </c:pt>
                <c:pt idx="56">
                  <c:v>11669.636664170388</c:v>
                </c:pt>
                <c:pt idx="57">
                  <c:v>11871.491973575043</c:v>
                </c:pt>
                <c:pt idx="58">
                  <c:v>12084.694240897756</c:v>
                </c:pt>
                <c:pt idx="59">
                  <c:v>11001.707199539775</c:v>
                </c:pt>
                <c:pt idx="60">
                  <c:v>9640.7210990265703</c:v>
                </c:pt>
                <c:pt idx="61">
                  <c:v>8008.4116107613145</c:v>
                </c:pt>
                <c:pt idx="62">
                  <c:v>6314.2592149929987</c:v>
                </c:pt>
                <c:pt idx="63">
                  <c:v>5217.7133573003721</c:v>
                </c:pt>
                <c:pt idx="64">
                  <c:v>5061.3505433540386</c:v>
                </c:pt>
                <c:pt idx="65">
                  <c:v>4453.0388875754961</c:v>
                </c:pt>
                <c:pt idx="66">
                  <c:v>4850.4412493333393</c:v>
                </c:pt>
                <c:pt idx="67">
                  <c:v>5078.6950525876036</c:v>
                </c:pt>
                <c:pt idx="68">
                  <c:v>5511.8568737274309</c:v>
                </c:pt>
                <c:pt idx="69">
                  <c:v>5736.7597691619649</c:v>
                </c:pt>
                <c:pt idx="70">
                  <c:v>5944.0643233372493</c:v>
                </c:pt>
                <c:pt idx="71">
                  <c:v>5814.0380705348634</c:v>
                </c:pt>
                <c:pt idx="72">
                  <c:v>5874.6567822831248</c:v>
                </c:pt>
                <c:pt idx="73">
                  <c:v>5862.4628514557917</c:v>
                </c:pt>
                <c:pt idx="74">
                  <c:v>5621.0390444485984</c:v>
                </c:pt>
                <c:pt idx="75">
                  <c:v>5396.2199131332491</c:v>
                </c:pt>
                <c:pt idx="76">
                  <c:v>4966.5486292769347</c:v>
                </c:pt>
                <c:pt idx="77">
                  <c:v>5076.911606336882</c:v>
                </c:pt>
                <c:pt idx="78">
                  <c:v>5209.0991402850532</c:v>
                </c:pt>
                <c:pt idx="79">
                  <c:v>5196.6418083531335</c:v>
                </c:pt>
                <c:pt idx="80">
                  <c:v>5195.9218437595609</c:v>
                </c:pt>
                <c:pt idx="81">
                  <c:v>5192.5184635525902</c:v>
                </c:pt>
                <c:pt idx="82">
                  <c:v>5190.0344529541999</c:v>
                </c:pt>
                <c:pt idx="83">
                  <c:v>4942.0933768725081</c:v>
                </c:pt>
                <c:pt idx="84">
                  <c:v>4706.9409060528042</c:v>
                </c:pt>
                <c:pt idx="85">
                  <c:v>4584.6362909313266</c:v>
                </c:pt>
                <c:pt idx="86">
                  <c:v>4460.1287639853581</c:v>
                </c:pt>
                <c:pt idx="87">
                  <c:v>4275.3856281630988</c:v>
                </c:pt>
                <c:pt idx="88">
                  <c:v>3981.5503197327221</c:v>
                </c:pt>
                <c:pt idx="89">
                  <c:v>3803.5687996923366</c:v>
                </c:pt>
                <c:pt idx="90">
                  <c:v>4037.0077648378488</c:v>
                </c:pt>
                <c:pt idx="91">
                  <c:v>4471.4030423807626</c:v>
                </c:pt>
                <c:pt idx="92">
                  <c:v>4669.7168634968093</c:v>
                </c:pt>
                <c:pt idx="93">
                  <c:v>4747.442387613517</c:v>
                </c:pt>
                <c:pt idx="94">
                  <c:v>4740.7242670958603</c:v>
                </c:pt>
                <c:pt idx="95">
                  <c:v>4666.0875136040249</c:v>
                </c:pt>
                <c:pt idx="96">
                  <c:v>4626.6324724621654</c:v>
                </c:pt>
                <c:pt idx="97">
                  <c:v>4363.5002448230161</c:v>
                </c:pt>
                <c:pt idx="98">
                  <c:v>4174.1621441735506</c:v>
                </c:pt>
                <c:pt idx="99">
                  <c:v>4217.024586147706</c:v>
                </c:pt>
                <c:pt idx="100">
                  <c:v>5226.0463326578047</c:v>
                </c:pt>
                <c:pt idx="101">
                  <c:v>5802.4683599451846</c:v>
                </c:pt>
                <c:pt idx="102">
                  <c:v>5995.8325313466357</c:v>
                </c:pt>
                <c:pt idx="103">
                  <c:v>6058.9364269070766</c:v>
                </c:pt>
                <c:pt idx="104">
                  <c:v>6144.8609972631821</c:v>
                </c:pt>
                <c:pt idx="105">
                  <c:v>6098.3824096018088</c:v>
                </c:pt>
                <c:pt idx="106">
                  <c:v>6053.8236634474533</c:v>
                </c:pt>
                <c:pt idx="107">
                  <c:v>6338.9610159643216</c:v>
                </c:pt>
                <c:pt idx="108">
                  <c:v>6743.3143969874091</c:v>
                </c:pt>
                <c:pt idx="109">
                  <c:v>7007.6869032776849</c:v>
                </c:pt>
                <c:pt idx="110">
                  <c:v>7046.7914016414015</c:v>
                </c:pt>
                <c:pt idx="111">
                  <c:v>7037.9511454903386</c:v>
                </c:pt>
                <c:pt idx="112">
                  <c:v>7123.4405971040806</c:v>
                </c:pt>
                <c:pt idx="113">
                  <c:v>7115.6770807936273</c:v>
                </c:pt>
                <c:pt idx="114">
                  <c:v>7015.4893587639153</c:v>
                </c:pt>
                <c:pt idx="115">
                  <c:v>6851.2052411811856</c:v>
                </c:pt>
                <c:pt idx="116">
                  <c:v>6865.193347676277</c:v>
                </c:pt>
                <c:pt idx="117">
                  <c:v>6854.7031137937074</c:v>
                </c:pt>
                <c:pt idx="118">
                  <c:v>6506.5915533259677</c:v>
                </c:pt>
                <c:pt idx="119">
                  <c:v>6410.0827420202759</c:v>
                </c:pt>
                <c:pt idx="120">
                  <c:v>6159.5862528827729</c:v>
                </c:pt>
                <c:pt idx="121">
                  <c:v>5708.4401906314679</c:v>
                </c:pt>
                <c:pt idx="122">
                  <c:v>5507.1753305920438</c:v>
                </c:pt>
                <c:pt idx="123">
                  <c:v>5275.098678800382</c:v>
                </c:pt>
                <c:pt idx="124">
                  <c:v>5152.7472216091101</c:v>
                </c:pt>
                <c:pt idx="125">
                  <c:v>5063.8087149248513</c:v>
                </c:pt>
                <c:pt idx="126">
                  <c:v>5063.0863234682975</c:v>
                </c:pt>
                <c:pt idx="127">
                  <c:v>5062.8513671711335</c:v>
                </c:pt>
                <c:pt idx="128">
                  <c:v>5639.9104928624029</c:v>
                </c:pt>
                <c:pt idx="129">
                  <c:v>5905.9759268997177</c:v>
                </c:pt>
                <c:pt idx="130">
                  <c:v>6315.5877266177067</c:v>
                </c:pt>
                <c:pt idx="131">
                  <c:v>6459.1230820452656</c:v>
                </c:pt>
                <c:pt idx="132">
                  <c:v>6546.9703092820318</c:v>
                </c:pt>
                <c:pt idx="133">
                  <c:v>6502.6101570820183</c:v>
                </c:pt>
                <c:pt idx="134">
                  <c:v>6548.6561584134188</c:v>
                </c:pt>
                <c:pt idx="135">
                  <c:v>6699.0377827776183</c:v>
                </c:pt>
                <c:pt idx="136">
                  <c:v>6831.1461313956652</c:v>
                </c:pt>
                <c:pt idx="137">
                  <c:v>7080.7281731926805</c:v>
                </c:pt>
                <c:pt idx="138">
                  <c:v>7513.8136466396063</c:v>
                </c:pt>
                <c:pt idx="139">
                  <c:v>7843.802749458725</c:v>
                </c:pt>
                <c:pt idx="140">
                  <c:v>8225.4124277941992</c:v>
                </c:pt>
                <c:pt idx="141">
                  <c:v>8368.1370947463038</c:v>
                </c:pt>
                <c:pt idx="142">
                  <c:v>8729.3739074077548</c:v>
                </c:pt>
                <c:pt idx="143">
                  <c:v>9431.1122138024093</c:v>
                </c:pt>
                <c:pt idx="144">
                  <c:v>9769.2830619114848</c:v>
                </c:pt>
                <c:pt idx="145">
                  <c:v>9777.08397817484</c:v>
                </c:pt>
                <c:pt idx="146">
                  <c:v>9858.1653391584387</c:v>
                </c:pt>
                <c:pt idx="147">
                  <c:v>9855.1098692203195</c:v>
                </c:pt>
                <c:pt idx="148">
                  <c:v>9730.1179150032694</c:v>
                </c:pt>
                <c:pt idx="149">
                  <c:v>9153.4429576891143</c:v>
                </c:pt>
                <c:pt idx="150">
                  <c:v>8882.7400142605329</c:v>
                </c:pt>
                <c:pt idx="151">
                  <c:v>9017.4728146850211</c:v>
                </c:pt>
                <c:pt idx="152">
                  <c:v>9015.0090633580821</c:v>
                </c:pt>
                <c:pt idx="153">
                  <c:v>9009.7874343447565</c:v>
                </c:pt>
                <c:pt idx="154">
                  <c:v>9017.6574961266415</c:v>
                </c:pt>
                <c:pt idx="155">
                  <c:v>9002.0670532176064</c:v>
                </c:pt>
                <c:pt idx="156">
                  <c:v>8686.6370985344183</c:v>
                </c:pt>
                <c:pt idx="157">
                  <c:v>8125.0821387120795</c:v>
                </c:pt>
                <c:pt idx="158">
                  <c:v>7794.5873399206812</c:v>
                </c:pt>
                <c:pt idx="159">
                  <c:v>7572.8241995768794</c:v>
                </c:pt>
                <c:pt idx="160">
                  <c:v>7424.2469515998937</c:v>
                </c:pt>
                <c:pt idx="161">
                  <c:v>7150.3203562122362</c:v>
                </c:pt>
                <c:pt idx="162">
                  <c:v>7135.0189951537322</c:v>
                </c:pt>
                <c:pt idx="163">
                  <c:v>7146.9561205367372</c:v>
                </c:pt>
                <c:pt idx="164">
                  <c:v>7228.6818642497183</c:v>
                </c:pt>
                <c:pt idx="165">
                  <c:v>7279.413238261528</c:v>
                </c:pt>
                <c:pt idx="166">
                  <c:v>7936.6783699649277</c:v>
                </c:pt>
                <c:pt idx="167">
                  <c:v>7988.1285567534542</c:v>
                </c:pt>
                <c:pt idx="168">
                  <c:v>8184.4883643061248</c:v>
                </c:pt>
                <c:pt idx="169">
                  <c:v>8196.8729099513603</c:v>
                </c:pt>
                <c:pt idx="170">
                  <c:v>8250.3684235125111</c:v>
                </c:pt>
                <c:pt idx="171">
                  <c:v>8261.6580549907176</c:v>
                </c:pt>
                <c:pt idx="172">
                  <c:v>8253.0243015900542</c:v>
                </c:pt>
                <c:pt idx="173">
                  <c:v>9047.1500468709146</c:v>
                </c:pt>
                <c:pt idx="174">
                  <c:v>9390.1203731583701</c:v>
                </c:pt>
                <c:pt idx="175">
                  <c:v>9800.4692621930535</c:v>
                </c:pt>
                <c:pt idx="176">
                  <c:v>9829.6445520115813</c:v>
                </c:pt>
                <c:pt idx="177">
                  <c:v>9764.5631615424318</c:v>
                </c:pt>
                <c:pt idx="178">
                  <c:v>9785.5024461360554</c:v>
                </c:pt>
                <c:pt idx="179">
                  <c:v>9566.5725287805453</c:v>
                </c:pt>
                <c:pt idx="180">
                  <c:v>9373.9370662325364</c:v>
                </c:pt>
                <c:pt idx="181">
                  <c:v>8984.0833605761418</c:v>
                </c:pt>
                <c:pt idx="182">
                  <c:v>8754.6384353629255</c:v>
                </c:pt>
                <c:pt idx="183">
                  <c:v>8162.7235610905918</c:v>
                </c:pt>
                <c:pt idx="184">
                  <c:v>7593.2571258555399</c:v>
                </c:pt>
                <c:pt idx="185">
                  <c:v>6871.3212775845977</c:v>
                </c:pt>
                <c:pt idx="186">
                  <c:v>6068.1674210218453</c:v>
                </c:pt>
                <c:pt idx="187">
                  <c:v>5927.1916844277657</c:v>
                </c:pt>
                <c:pt idx="188">
                  <c:v>5901.2267770655299</c:v>
                </c:pt>
                <c:pt idx="189">
                  <c:v>5893.7289514029953</c:v>
                </c:pt>
                <c:pt idx="190">
                  <c:v>5876.742231637706</c:v>
                </c:pt>
                <c:pt idx="191">
                  <c:v>5729.5056932331809</c:v>
                </c:pt>
                <c:pt idx="192">
                  <c:v>5535.6237127650356</c:v>
                </c:pt>
                <c:pt idx="193">
                  <c:v>5249.0573959007079</c:v>
                </c:pt>
                <c:pt idx="194">
                  <c:v>4936.3633666033065</c:v>
                </c:pt>
                <c:pt idx="195">
                  <c:v>4735.7767011131518</c:v>
                </c:pt>
                <c:pt idx="196">
                  <c:v>5057.9901464814448</c:v>
                </c:pt>
                <c:pt idx="197">
                  <c:v>5541.5272750581071</c:v>
                </c:pt>
                <c:pt idx="198">
                  <c:v>5828.6403248188199</c:v>
                </c:pt>
                <c:pt idx="199">
                  <c:v>6164.4595623537316</c:v>
                </c:pt>
                <c:pt idx="200">
                  <c:v>6258.6153183593851</c:v>
                </c:pt>
                <c:pt idx="201">
                  <c:v>6079.0124909720089</c:v>
                </c:pt>
                <c:pt idx="202">
                  <c:v>6132.364214939038</c:v>
                </c:pt>
                <c:pt idx="203">
                  <c:v>6103.6479121982265</c:v>
                </c:pt>
                <c:pt idx="204">
                  <c:v>6054.7514715302859</c:v>
                </c:pt>
                <c:pt idx="205">
                  <c:v>5798.863009207711</c:v>
                </c:pt>
                <c:pt idx="206">
                  <c:v>5391.9868166244614</c:v>
                </c:pt>
                <c:pt idx="207">
                  <c:v>5042.1956883962785</c:v>
                </c:pt>
                <c:pt idx="208">
                  <c:v>4854.3463006923448</c:v>
                </c:pt>
                <c:pt idx="209">
                  <c:v>4887.7029187113694</c:v>
                </c:pt>
                <c:pt idx="210">
                  <c:v>4827.9612583115158</c:v>
                </c:pt>
                <c:pt idx="211">
                  <c:v>4818.9116861924722</c:v>
                </c:pt>
                <c:pt idx="212">
                  <c:v>4802.5097929610574</c:v>
                </c:pt>
                <c:pt idx="213">
                  <c:v>4780.877031272501</c:v>
                </c:pt>
                <c:pt idx="214">
                  <c:v>4888.4181050665266</c:v>
                </c:pt>
                <c:pt idx="215">
                  <c:v>5032.6797143600015</c:v>
                </c:pt>
                <c:pt idx="216">
                  <c:v>5396.0438407657393</c:v>
                </c:pt>
                <c:pt idx="217">
                  <c:v>5631.7576342924258</c:v>
                </c:pt>
                <c:pt idx="218">
                  <c:v>5890.3075367075508</c:v>
                </c:pt>
                <c:pt idx="219">
                  <c:v>5950.2160217622177</c:v>
                </c:pt>
                <c:pt idx="220">
                  <c:v>5965.7934296030617</c:v>
                </c:pt>
                <c:pt idx="221">
                  <c:v>6176.6795208679187</c:v>
                </c:pt>
                <c:pt idx="222">
                  <c:v>6495.6502383091647</c:v>
                </c:pt>
                <c:pt idx="223">
                  <c:v>6609.7869346968064</c:v>
                </c:pt>
                <c:pt idx="224">
                  <c:v>6616.1571664312378</c:v>
                </c:pt>
                <c:pt idx="225">
                  <c:v>6606.4693964590233</c:v>
                </c:pt>
                <c:pt idx="226">
                  <c:v>6610.0743790976112</c:v>
                </c:pt>
                <c:pt idx="227">
                  <c:v>6583.4945006217122</c:v>
                </c:pt>
                <c:pt idx="228">
                  <c:v>6309.982831878755</c:v>
                </c:pt>
                <c:pt idx="229">
                  <c:v>6063.0960755458245</c:v>
                </c:pt>
                <c:pt idx="230">
                  <c:v>5948.5201681189155</c:v>
                </c:pt>
                <c:pt idx="231">
                  <c:v>5901.8079364655659</c:v>
                </c:pt>
                <c:pt idx="232">
                  <c:v>6020.4715497720999</c:v>
                </c:pt>
                <c:pt idx="233">
                  <c:v>6041.5525933335675</c:v>
                </c:pt>
                <c:pt idx="234">
                  <c:v>6149.0717768254744</c:v>
                </c:pt>
                <c:pt idx="235">
                  <c:v>6168.3250029071423</c:v>
                </c:pt>
                <c:pt idx="236">
                  <c:v>6156.6331131984589</c:v>
                </c:pt>
                <c:pt idx="237">
                  <c:v>6164.2799501331729</c:v>
                </c:pt>
                <c:pt idx="238">
                  <c:v>6202.7946827664664</c:v>
                </c:pt>
                <c:pt idx="239">
                  <c:v>6285.4859451969569</c:v>
                </c:pt>
                <c:pt idx="240">
                  <c:v>6249.61795094441</c:v>
                </c:pt>
                <c:pt idx="241">
                  <c:v>6266.1731266286088</c:v>
                </c:pt>
                <c:pt idx="242">
                  <c:v>6274.2404019487403</c:v>
                </c:pt>
                <c:pt idx="243">
                  <c:v>6308.4319856758275</c:v>
                </c:pt>
                <c:pt idx="244">
                  <c:v>6427.9478246883336</c:v>
                </c:pt>
                <c:pt idx="245">
                  <c:v>6502.0177525743147</c:v>
                </c:pt>
                <c:pt idx="246">
                  <c:v>6608.2052185747507</c:v>
                </c:pt>
                <c:pt idx="247">
                  <c:v>6701.9950202590771</c:v>
                </c:pt>
                <c:pt idx="248">
                  <c:v>6919.2103577505613</c:v>
                </c:pt>
                <c:pt idx="249">
                  <c:v>6965.8266269505002</c:v>
                </c:pt>
                <c:pt idx="250">
                  <c:v>6979.3190018975729</c:v>
                </c:pt>
                <c:pt idx="251">
                  <c:v>6981.3022293965796</c:v>
                </c:pt>
                <c:pt idx="252">
                  <c:v>6983.9878020161232</c:v>
                </c:pt>
                <c:pt idx="253">
                  <c:v>7027.1455775789418</c:v>
                </c:pt>
                <c:pt idx="254">
                  <c:v>6958.1763815816803</c:v>
                </c:pt>
                <c:pt idx="255">
                  <c:v>7267.8821285248778</c:v>
                </c:pt>
                <c:pt idx="256">
                  <c:v>7597.2581306355987</c:v>
                </c:pt>
                <c:pt idx="257">
                  <c:v>7762.773045616007</c:v>
                </c:pt>
                <c:pt idx="258">
                  <c:v>7911.5778462902463</c:v>
                </c:pt>
                <c:pt idx="259">
                  <c:v>7982.3857233673252</c:v>
                </c:pt>
                <c:pt idx="260">
                  <c:v>7924.3778448986859</c:v>
                </c:pt>
                <c:pt idx="261">
                  <c:v>8033.9521988844945</c:v>
                </c:pt>
                <c:pt idx="262">
                  <c:v>8490.2510464939514</c:v>
                </c:pt>
                <c:pt idx="263">
                  <c:v>8936.9907768688172</c:v>
                </c:pt>
                <c:pt idx="264">
                  <c:v>9124.977640331148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CA-47FD-9473-B57261D8A884}"/>
            </c:ext>
          </c:extLst>
        </c:ser>
        <c:ser>
          <c:idx val="1"/>
          <c:order val="3"/>
          <c:tx>
            <c:strRef>
              <c:f>移動平均線圖!$N$1</c:f>
              <c:strCache>
                <c:ptCount val="1"/>
                <c:pt idx="0">
                  <c:v>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移動平均線圖!$A$7:$A$271</c:f>
              <c:numCache>
                <c:formatCode>mmm\-yy</c:formatCode>
                <c:ptCount val="265"/>
                <c:pt idx="0">
                  <c:v>31260</c:v>
                </c:pt>
                <c:pt idx="1">
                  <c:v>31291</c:v>
                </c:pt>
                <c:pt idx="2">
                  <c:v>31321</c:v>
                </c:pt>
                <c:pt idx="3">
                  <c:v>31352</c:v>
                </c:pt>
                <c:pt idx="4">
                  <c:v>31382</c:v>
                </c:pt>
                <c:pt idx="5">
                  <c:v>31413</c:v>
                </c:pt>
                <c:pt idx="6">
                  <c:v>31444</c:v>
                </c:pt>
                <c:pt idx="7">
                  <c:v>31472</c:v>
                </c:pt>
                <c:pt idx="8">
                  <c:v>31503</c:v>
                </c:pt>
                <c:pt idx="9">
                  <c:v>31533</c:v>
                </c:pt>
                <c:pt idx="10">
                  <c:v>31564</c:v>
                </c:pt>
                <c:pt idx="11">
                  <c:v>31594</c:v>
                </c:pt>
                <c:pt idx="12">
                  <c:v>31625</c:v>
                </c:pt>
                <c:pt idx="13">
                  <c:v>31656</c:v>
                </c:pt>
                <c:pt idx="14">
                  <c:v>31686</c:v>
                </c:pt>
                <c:pt idx="15">
                  <c:v>31717</c:v>
                </c:pt>
                <c:pt idx="16">
                  <c:v>31747</c:v>
                </c:pt>
                <c:pt idx="17">
                  <c:v>31778</c:v>
                </c:pt>
                <c:pt idx="18">
                  <c:v>31809</c:v>
                </c:pt>
                <c:pt idx="19">
                  <c:v>31837</c:v>
                </c:pt>
                <c:pt idx="20">
                  <c:v>31868</c:v>
                </c:pt>
                <c:pt idx="21">
                  <c:v>31898</c:v>
                </c:pt>
                <c:pt idx="22">
                  <c:v>31929</c:v>
                </c:pt>
                <c:pt idx="23">
                  <c:v>31959</c:v>
                </c:pt>
                <c:pt idx="24">
                  <c:v>31990</c:v>
                </c:pt>
                <c:pt idx="25">
                  <c:v>32021</c:v>
                </c:pt>
                <c:pt idx="26">
                  <c:v>32051</c:v>
                </c:pt>
                <c:pt idx="27">
                  <c:v>32082</c:v>
                </c:pt>
                <c:pt idx="28">
                  <c:v>32112</c:v>
                </c:pt>
                <c:pt idx="29">
                  <c:v>32143</c:v>
                </c:pt>
                <c:pt idx="30">
                  <c:v>32174</c:v>
                </c:pt>
                <c:pt idx="31">
                  <c:v>32203</c:v>
                </c:pt>
                <c:pt idx="32">
                  <c:v>32234</c:v>
                </c:pt>
                <c:pt idx="33">
                  <c:v>32264</c:v>
                </c:pt>
                <c:pt idx="34">
                  <c:v>32295</c:v>
                </c:pt>
                <c:pt idx="35">
                  <c:v>32325</c:v>
                </c:pt>
                <c:pt idx="36">
                  <c:v>32356</c:v>
                </c:pt>
                <c:pt idx="37">
                  <c:v>32387</c:v>
                </c:pt>
                <c:pt idx="38">
                  <c:v>32417</c:v>
                </c:pt>
                <c:pt idx="39">
                  <c:v>32448</c:v>
                </c:pt>
                <c:pt idx="40">
                  <c:v>32478</c:v>
                </c:pt>
                <c:pt idx="41">
                  <c:v>32509</c:v>
                </c:pt>
                <c:pt idx="42">
                  <c:v>32540</c:v>
                </c:pt>
                <c:pt idx="43">
                  <c:v>32568</c:v>
                </c:pt>
                <c:pt idx="44">
                  <c:v>32599</c:v>
                </c:pt>
                <c:pt idx="45">
                  <c:v>32629</c:v>
                </c:pt>
                <c:pt idx="46">
                  <c:v>32660</c:v>
                </c:pt>
                <c:pt idx="47">
                  <c:v>32690</c:v>
                </c:pt>
                <c:pt idx="48">
                  <c:v>32721</c:v>
                </c:pt>
                <c:pt idx="49">
                  <c:v>32752</c:v>
                </c:pt>
                <c:pt idx="50">
                  <c:v>32782</c:v>
                </c:pt>
                <c:pt idx="51">
                  <c:v>32813</c:v>
                </c:pt>
                <c:pt idx="52">
                  <c:v>32843</c:v>
                </c:pt>
                <c:pt idx="53">
                  <c:v>32874</c:v>
                </c:pt>
                <c:pt idx="54">
                  <c:v>32905</c:v>
                </c:pt>
                <c:pt idx="55">
                  <c:v>32933</c:v>
                </c:pt>
                <c:pt idx="56">
                  <c:v>32964</c:v>
                </c:pt>
                <c:pt idx="57">
                  <c:v>32994</c:v>
                </c:pt>
                <c:pt idx="58">
                  <c:v>33025</c:v>
                </c:pt>
                <c:pt idx="59">
                  <c:v>33055</c:v>
                </c:pt>
                <c:pt idx="60">
                  <c:v>33086</c:v>
                </c:pt>
                <c:pt idx="61">
                  <c:v>33117</c:v>
                </c:pt>
                <c:pt idx="62">
                  <c:v>33147</c:v>
                </c:pt>
                <c:pt idx="63">
                  <c:v>33178</c:v>
                </c:pt>
                <c:pt idx="64">
                  <c:v>33208</c:v>
                </c:pt>
                <c:pt idx="65">
                  <c:v>33239</c:v>
                </c:pt>
                <c:pt idx="66">
                  <c:v>33270</c:v>
                </c:pt>
                <c:pt idx="67">
                  <c:v>33298</c:v>
                </c:pt>
                <c:pt idx="68">
                  <c:v>33329</c:v>
                </c:pt>
                <c:pt idx="69">
                  <c:v>33359</c:v>
                </c:pt>
                <c:pt idx="70">
                  <c:v>33390</c:v>
                </c:pt>
                <c:pt idx="71">
                  <c:v>33420</c:v>
                </c:pt>
                <c:pt idx="72">
                  <c:v>33451</c:v>
                </c:pt>
                <c:pt idx="73">
                  <c:v>33482</c:v>
                </c:pt>
                <c:pt idx="74">
                  <c:v>33512</c:v>
                </c:pt>
                <c:pt idx="75">
                  <c:v>33543</c:v>
                </c:pt>
                <c:pt idx="76">
                  <c:v>33573</c:v>
                </c:pt>
                <c:pt idx="77">
                  <c:v>33604</c:v>
                </c:pt>
                <c:pt idx="78">
                  <c:v>33635</c:v>
                </c:pt>
                <c:pt idx="79">
                  <c:v>33664</c:v>
                </c:pt>
                <c:pt idx="80">
                  <c:v>33695</c:v>
                </c:pt>
                <c:pt idx="81">
                  <c:v>33725</c:v>
                </c:pt>
                <c:pt idx="82">
                  <c:v>33756</c:v>
                </c:pt>
                <c:pt idx="83">
                  <c:v>33786</c:v>
                </c:pt>
                <c:pt idx="84">
                  <c:v>33817</c:v>
                </c:pt>
                <c:pt idx="85">
                  <c:v>33848</c:v>
                </c:pt>
                <c:pt idx="86">
                  <c:v>33878</c:v>
                </c:pt>
                <c:pt idx="87">
                  <c:v>33909</c:v>
                </c:pt>
                <c:pt idx="88">
                  <c:v>33939</c:v>
                </c:pt>
                <c:pt idx="89">
                  <c:v>33970</c:v>
                </c:pt>
                <c:pt idx="90">
                  <c:v>34001</c:v>
                </c:pt>
                <c:pt idx="91">
                  <c:v>34029</c:v>
                </c:pt>
                <c:pt idx="92">
                  <c:v>34060</c:v>
                </c:pt>
                <c:pt idx="93">
                  <c:v>34090</c:v>
                </c:pt>
                <c:pt idx="94">
                  <c:v>34121</c:v>
                </c:pt>
                <c:pt idx="95">
                  <c:v>34151</c:v>
                </c:pt>
                <c:pt idx="96">
                  <c:v>34182</c:v>
                </c:pt>
                <c:pt idx="97">
                  <c:v>34213</c:v>
                </c:pt>
                <c:pt idx="98">
                  <c:v>34243</c:v>
                </c:pt>
                <c:pt idx="99">
                  <c:v>34274</c:v>
                </c:pt>
                <c:pt idx="100">
                  <c:v>34304</c:v>
                </c:pt>
                <c:pt idx="101">
                  <c:v>34335</c:v>
                </c:pt>
                <c:pt idx="102">
                  <c:v>34366</c:v>
                </c:pt>
                <c:pt idx="103">
                  <c:v>34394</c:v>
                </c:pt>
                <c:pt idx="104">
                  <c:v>34425</c:v>
                </c:pt>
                <c:pt idx="105">
                  <c:v>34455</c:v>
                </c:pt>
                <c:pt idx="106">
                  <c:v>34486</c:v>
                </c:pt>
                <c:pt idx="107">
                  <c:v>34516</c:v>
                </c:pt>
                <c:pt idx="108">
                  <c:v>34547</c:v>
                </c:pt>
                <c:pt idx="109">
                  <c:v>34578</c:v>
                </c:pt>
                <c:pt idx="110">
                  <c:v>34608</c:v>
                </c:pt>
                <c:pt idx="111">
                  <c:v>34639</c:v>
                </c:pt>
                <c:pt idx="112">
                  <c:v>34669</c:v>
                </c:pt>
                <c:pt idx="113">
                  <c:v>34700</c:v>
                </c:pt>
                <c:pt idx="114">
                  <c:v>34731</c:v>
                </c:pt>
                <c:pt idx="115">
                  <c:v>34759</c:v>
                </c:pt>
                <c:pt idx="116">
                  <c:v>34790</c:v>
                </c:pt>
                <c:pt idx="117">
                  <c:v>34820</c:v>
                </c:pt>
                <c:pt idx="118">
                  <c:v>34851</c:v>
                </c:pt>
                <c:pt idx="119">
                  <c:v>34881</c:v>
                </c:pt>
                <c:pt idx="120">
                  <c:v>34912</c:v>
                </c:pt>
                <c:pt idx="121">
                  <c:v>34943</c:v>
                </c:pt>
                <c:pt idx="122">
                  <c:v>34973</c:v>
                </c:pt>
                <c:pt idx="123">
                  <c:v>35004</c:v>
                </c:pt>
                <c:pt idx="124">
                  <c:v>35034</c:v>
                </c:pt>
                <c:pt idx="125">
                  <c:v>35065</c:v>
                </c:pt>
                <c:pt idx="126">
                  <c:v>35096</c:v>
                </c:pt>
                <c:pt idx="127">
                  <c:v>35125</c:v>
                </c:pt>
                <c:pt idx="128">
                  <c:v>35156</c:v>
                </c:pt>
                <c:pt idx="129">
                  <c:v>35186</c:v>
                </c:pt>
                <c:pt idx="130">
                  <c:v>35217</c:v>
                </c:pt>
                <c:pt idx="131">
                  <c:v>35247</c:v>
                </c:pt>
                <c:pt idx="132">
                  <c:v>35278</c:v>
                </c:pt>
                <c:pt idx="133">
                  <c:v>35309</c:v>
                </c:pt>
                <c:pt idx="134">
                  <c:v>35339</c:v>
                </c:pt>
                <c:pt idx="135">
                  <c:v>35370</c:v>
                </c:pt>
                <c:pt idx="136">
                  <c:v>35400</c:v>
                </c:pt>
                <c:pt idx="137">
                  <c:v>35431</c:v>
                </c:pt>
                <c:pt idx="138">
                  <c:v>35462</c:v>
                </c:pt>
                <c:pt idx="139">
                  <c:v>35490</c:v>
                </c:pt>
                <c:pt idx="140">
                  <c:v>35521</c:v>
                </c:pt>
                <c:pt idx="141">
                  <c:v>35551</c:v>
                </c:pt>
                <c:pt idx="142">
                  <c:v>35582</c:v>
                </c:pt>
                <c:pt idx="143">
                  <c:v>35612</c:v>
                </c:pt>
                <c:pt idx="144">
                  <c:v>35643</c:v>
                </c:pt>
                <c:pt idx="145">
                  <c:v>35674</c:v>
                </c:pt>
                <c:pt idx="146">
                  <c:v>35704</c:v>
                </c:pt>
                <c:pt idx="147">
                  <c:v>35735</c:v>
                </c:pt>
                <c:pt idx="148">
                  <c:v>35765</c:v>
                </c:pt>
                <c:pt idx="149">
                  <c:v>35796</c:v>
                </c:pt>
                <c:pt idx="150">
                  <c:v>35827</c:v>
                </c:pt>
                <c:pt idx="151">
                  <c:v>35855</c:v>
                </c:pt>
                <c:pt idx="152">
                  <c:v>35886</c:v>
                </c:pt>
                <c:pt idx="153">
                  <c:v>35916</c:v>
                </c:pt>
                <c:pt idx="154">
                  <c:v>35947</c:v>
                </c:pt>
                <c:pt idx="155">
                  <c:v>35977</c:v>
                </c:pt>
                <c:pt idx="156">
                  <c:v>36008</c:v>
                </c:pt>
                <c:pt idx="157">
                  <c:v>36039</c:v>
                </c:pt>
                <c:pt idx="158">
                  <c:v>36069</c:v>
                </c:pt>
                <c:pt idx="159">
                  <c:v>36100</c:v>
                </c:pt>
                <c:pt idx="160">
                  <c:v>36130</c:v>
                </c:pt>
                <c:pt idx="161">
                  <c:v>36161</c:v>
                </c:pt>
                <c:pt idx="162">
                  <c:v>36192</c:v>
                </c:pt>
                <c:pt idx="163">
                  <c:v>36220</c:v>
                </c:pt>
                <c:pt idx="164">
                  <c:v>36251</c:v>
                </c:pt>
                <c:pt idx="165">
                  <c:v>36281</c:v>
                </c:pt>
                <c:pt idx="166">
                  <c:v>36312</c:v>
                </c:pt>
                <c:pt idx="167">
                  <c:v>36342</c:v>
                </c:pt>
                <c:pt idx="168">
                  <c:v>36373</c:v>
                </c:pt>
                <c:pt idx="169">
                  <c:v>36404</c:v>
                </c:pt>
                <c:pt idx="170">
                  <c:v>36434</c:v>
                </c:pt>
                <c:pt idx="171">
                  <c:v>36465</c:v>
                </c:pt>
                <c:pt idx="172">
                  <c:v>36495</c:v>
                </c:pt>
                <c:pt idx="173">
                  <c:v>36526</c:v>
                </c:pt>
                <c:pt idx="174">
                  <c:v>36557</c:v>
                </c:pt>
                <c:pt idx="175">
                  <c:v>36586</c:v>
                </c:pt>
                <c:pt idx="176">
                  <c:v>36617</c:v>
                </c:pt>
                <c:pt idx="177">
                  <c:v>36647</c:v>
                </c:pt>
                <c:pt idx="178">
                  <c:v>36678</c:v>
                </c:pt>
                <c:pt idx="179">
                  <c:v>36708</c:v>
                </c:pt>
                <c:pt idx="180">
                  <c:v>36739</c:v>
                </c:pt>
                <c:pt idx="181">
                  <c:v>36770</c:v>
                </c:pt>
                <c:pt idx="182">
                  <c:v>36800</c:v>
                </c:pt>
                <c:pt idx="183">
                  <c:v>36831</c:v>
                </c:pt>
                <c:pt idx="184">
                  <c:v>36861</c:v>
                </c:pt>
                <c:pt idx="185">
                  <c:v>36892</c:v>
                </c:pt>
                <c:pt idx="186">
                  <c:v>36923</c:v>
                </c:pt>
                <c:pt idx="187">
                  <c:v>36951</c:v>
                </c:pt>
                <c:pt idx="188">
                  <c:v>36982</c:v>
                </c:pt>
                <c:pt idx="189">
                  <c:v>37012</c:v>
                </c:pt>
                <c:pt idx="190">
                  <c:v>37043</c:v>
                </c:pt>
                <c:pt idx="191">
                  <c:v>37073</c:v>
                </c:pt>
                <c:pt idx="192">
                  <c:v>37104</c:v>
                </c:pt>
                <c:pt idx="193">
                  <c:v>37135</c:v>
                </c:pt>
                <c:pt idx="194">
                  <c:v>37165</c:v>
                </c:pt>
                <c:pt idx="195">
                  <c:v>37196</c:v>
                </c:pt>
                <c:pt idx="196">
                  <c:v>37226</c:v>
                </c:pt>
                <c:pt idx="197">
                  <c:v>37257</c:v>
                </c:pt>
                <c:pt idx="198">
                  <c:v>37288</c:v>
                </c:pt>
                <c:pt idx="199">
                  <c:v>37316</c:v>
                </c:pt>
                <c:pt idx="200">
                  <c:v>37347</c:v>
                </c:pt>
                <c:pt idx="201">
                  <c:v>37377</c:v>
                </c:pt>
                <c:pt idx="202">
                  <c:v>37408</c:v>
                </c:pt>
                <c:pt idx="203">
                  <c:v>37438</c:v>
                </c:pt>
                <c:pt idx="204">
                  <c:v>37469</c:v>
                </c:pt>
                <c:pt idx="205">
                  <c:v>37500</c:v>
                </c:pt>
                <c:pt idx="206">
                  <c:v>37530</c:v>
                </c:pt>
                <c:pt idx="207">
                  <c:v>37561</c:v>
                </c:pt>
                <c:pt idx="208">
                  <c:v>37591</c:v>
                </c:pt>
                <c:pt idx="209">
                  <c:v>37622</c:v>
                </c:pt>
                <c:pt idx="210">
                  <c:v>37653</c:v>
                </c:pt>
                <c:pt idx="211">
                  <c:v>37681</c:v>
                </c:pt>
                <c:pt idx="212">
                  <c:v>37712</c:v>
                </c:pt>
                <c:pt idx="213">
                  <c:v>37742</c:v>
                </c:pt>
                <c:pt idx="214">
                  <c:v>37773</c:v>
                </c:pt>
                <c:pt idx="215">
                  <c:v>37803</c:v>
                </c:pt>
                <c:pt idx="216">
                  <c:v>37834</c:v>
                </c:pt>
                <c:pt idx="217">
                  <c:v>37865</c:v>
                </c:pt>
                <c:pt idx="218">
                  <c:v>37895</c:v>
                </c:pt>
                <c:pt idx="219">
                  <c:v>37926</c:v>
                </c:pt>
                <c:pt idx="220">
                  <c:v>37956</c:v>
                </c:pt>
                <c:pt idx="221">
                  <c:v>37987</c:v>
                </c:pt>
                <c:pt idx="222">
                  <c:v>38018</c:v>
                </c:pt>
                <c:pt idx="223">
                  <c:v>38047</c:v>
                </c:pt>
                <c:pt idx="224">
                  <c:v>38078</c:v>
                </c:pt>
                <c:pt idx="225">
                  <c:v>38108</c:v>
                </c:pt>
                <c:pt idx="226">
                  <c:v>38139</c:v>
                </c:pt>
                <c:pt idx="227">
                  <c:v>38169</c:v>
                </c:pt>
                <c:pt idx="228">
                  <c:v>38200</c:v>
                </c:pt>
                <c:pt idx="229">
                  <c:v>38231</c:v>
                </c:pt>
                <c:pt idx="230">
                  <c:v>38261</c:v>
                </c:pt>
                <c:pt idx="231">
                  <c:v>38292</c:v>
                </c:pt>
                <c:pt idx="232">
                  <c:v>38322</c:v>
                </c:pt>
                <c:pt idx="233">
                  <c:v>38353</c:v>
                </c:pt>
                <c:pt idx="234">
                  <c:v>38384</c:v>
                </c:pt>
                <c:pt idx="235">
                  <c:v>38412</c:v>
                </c:pt>
                <c:pt idx="236">
                  <c:v>38443</c:v>
                </c:pt>
                <c:pt idx="237">
                  <c:v>38473</c:v>
                </c:pt>
                <c:pt idx="238">
                  <c:v>38504</c:v>
                </c:pt>
                <c:pt idx="239">
                  <c:v>38534</c:v>
                </c:pt>
                <c:pt idx="240">
                  <c:v>38565</c:v>
                </c:pt>
                <c:pt idx="241">
                  <c:v>38596</c:v>
                </c:pt>
                <c:pt idx="242">
                  <c:v>38626</c:v>
                </c:pt>
                <c:pt idx="243">
                  <c:v>38657</c:v>
                </c:pt>
                <c:pt idx="244">
                  <c:v>38687</c:v>
                </c:pt>
                <c:pt idx="245">
                  <c:v>38718</c:v>
                </c:pt>
                <c:pt idx="246">
                  <c:v>38749</c:v>
                </c:pt>
                <c:pt idx="247">
                  <c:v>38777</c:v>
                </c:pt>
                <c:pt idx="248">
                  <c:v>38808</c:v>
                </c:pt>
                <c:pt idx="249">
                  <c:v>38838</c:v>
                </c:pt>
                <c:pt idx="250">
                  <c:v>38869</c:v>
                </c:pt>
                <c:pt idx="251">
                  <c:v>38899</c:v>
                </c:pt>
                <c:pt idx="252">
                  <c:v>38930</c:v>
                </c:pt>
                <c:pt idx="253">
                  <c:v>38961</c:v>
                </c:pt>
                <c:pt idx="254">
                  <c:v>38991</c:v>
                </c:pt>
                <c:pt idx="255">
                  <c:v>39022</c:v>
                </c:pt>
                <c:pt idx="256">
                  <c:v>39052</c:v>
                </c:pt>
                <c:pt idx="257">
                  <c:v>39083</c:v>
                </c:pt>
                <c:pt idx="258">
                  <c:v>39114</c:v>
                </c:pt>
                <c:pt idx="259">
                  <c:v>39142</c:v>
                </c:pt>
                <c:pt idx="260">
                  <c:v>39173</c:v>
                </c:pt>
                <c:pt idx="261">
                  <c:v>39203</c:v>
                </c:pt>
                <c:pt idx="262">
                  <c:v>39234</c:v>
                </c:pt>
                <c:pt idx="263">
                  <c:v>39264</c:v>
                </c:pt>
                <c:pt idx="264">
                  <c:v>39295</c:v>
                </c:pt>
              </c:numCache>
            </c:numRef>
          </c:cat>
          <c:val>
            <c:numRef>
              <c:f>移動平均線圖!$N$7:$N$271</c:f>
              <c:numCache>
                <c:formatCode>General</c:formatCode>
                <c:ptCount val="265"/>
                <c:pt idx="0">
                  <c:v>707.65500000000009</c:v>
                </c:pt>
                <c:pt idx="1">
                  <c:v>698.33166666666659</c:v>
                </c:pt>
                <c:pt idx="2">
                  <c:v>705.32</c:v>
                </c:pt>
                <c:pt idx="3">
                  <c:v>712.94500000000005</c:v>
                </c:pt>
                <c:pt idx="4">
                  <c:v>734.38833333333332</c:v>
                </c:pt>
                <c:pt idx="5">
                  <c:v>775.35666666666657</c:v>
                </c:pt>
                <c:pt idx="6">
                  <c:v>821.6633333333333</c:v>
                </c:pt>
                <c:pt idx="7">
                  <c:v>857.68166666666673</c:v>
                </c:pt>
                <c:pt idx="8">
                  <c:v>877.88333333333333</c:v>
                </c:pt>
                <c:pt idx="9">
                  <c:v>906.97000000000014</c:v>
                </c:pt>
                <c:pt idx="10">
                  <c:v>926.98500000000001</c:v>
                </c:pt>
                <c:pt idx="11">
                  <c:v>935.79833333333329</c:v>
                </c:pt>
                <c:pt idx="12">
                  <c:v>929.07499999999993</c:v>
                </c:pt>
                <c:pt idx="13">
                  <c:v>932.5716666666666</c:v>
                </c:pt>
                <c:pt idx="14">
                  <c:v>947.83333333333337</c:v>
                </c:pt>
                <c:pt idx="15">
                  <c:v>955.40666666666675</c:v>
                </c:pt>
                <c:pt idx="16">
                  <c:v>969.39</c:v>
                </c:pt>
                <c:pt idx="17">
                  <c:v>1005.1266666666666</c:v>
                </c:pt>
                <c:pt idx="18">
                  <c:v>1066.5466666666666</c:v>
                </c:pt>
                <c:pt idx="19">
                  <c:v>1142.9466666666667</c:v>
                </c:pt>
                <c:pt idx="20">
                  <c:v>1279.3716666666667</c:v>
                </c:pt>
                <c:pt idx="21">
                  <c:v>1426.4333333333334</c:v>
                </c:pt>
                <c:pt idx="22">
                  <c:v>1528.0683333333334</c:v>
                </c:pt>
                <c:pt idx="23">
                  <c:v>1677.7283333333332</c:v>
                </c:pt>
                <c:pt idx="24">
                  <c:v>1978.2449999999999</c:v>
                </c:pt>
                <c:pt idx="25">
                  <c:v>2487.1616666666669</c:v>
                </c:pt>
                <c:pt idx="26">
                  <c:v>2638.7166666666667</c:v>
                </c:pt>
                <c:pt idx="27">
                  <c:v>2817.7000000000003</c:v>
                </c:pt>
                <c:pt idx="28">
                  <c:v>2932.8566666666666</c:v>
                </c:pt>
                <c:pt idx="29">
                  <c:v>3065.4666666666667</c:v>
                </c:pt>
                <c:pt idx="30">
                  <c:v>3136.0966666666668</c:v>
                </c:pt>
                <c:pt idx="31">
                  <c:v>2955.2383333333332</c:v>
                </c:pt>
                <c:pt idx="32">
                  <c:v>3194.5916666666667</c:v>
                </c:pt>
                <c:pt idx="33">
                  <c:v>3448.5500000000006</c:v>
                </c:pt>
                <c:pt idx="34">
                  <c:v>3866.2450000000003</c:v>
                </c:pt>
                <c:pt idx="35">
                  <c:v>4433.6033333333335</c:v>
                </c:pt>
                <c:pt idx="36">
                  <c:v>5130.5150000000003</c:v>
                </c:pt>
                <c:pt idx="37">
                  <c:v>5968.6933333333336</c:v>
                </c:pt>
                <c:pt idx="38">
                  <c:v>6313.2883333333339</c:v>
                </c:pt>
                <c:pt idx="39">
                  <c:v>6702.93</c:v>
                </c:pt>
                <c:pt idx="40">
                  <c:v>6748.4433333333336</c:v>
                </c:pt>
                <c:pt idx="41">
                  <c:v>6733.293333333334</c:v>
                </c:pt>
                <c:pt idx="42">
                  <c:v>6620.62</c:v>
                </c:pt>
                <c:pt idx="43">
                  <c:v>6451.8233333333328</c:v>
                </c:pt>
                <c:pt idx="44">
                  <c:v>6736.44</c:v>
                </c:pt>
                <c:pt idx="45">
                  <c:v>7239.4849999999997</c:v>
                </c:pt>
                <c:pt idx="46">
                  <c:v>7920.4766666666656</c:v>
                </c:pt>
                <c:pt idx="47">
                  <c:v>8478.3233333333337</c:v>
                </c:pt>
                <c:pt idx="48">
                  <c:v>8964.9666666666672</c:v>
                </c:pt>
                <c:pt idx="49">
                  <c:v>9430.0816666666669</c:v>
                </c:pt>
                <c:pt idx="50">
                  <c:v>9874.8083333333325</c:v>
                </c:pt>
                <c:pt idx="51">
                  <c:v>9803.1716666666671</c:v>
                </c:pt>
                <c:pt idx="52">
                  <c:v>9873.0249999999996</c:v>
                </c:pt>
                <c:pt idx="53">
                  <c:v>10298.049999999999</c:v>
                </c:pt>
                <c:pt idx="54">
                  <c:v>10587.621666666666</c:v>
                </c:pt>
                <c:pt idx="55">
                  <c:v>10683.460000000001</c:v>
                </c:pt>
                <c:pt idx="56">
                  <c:v>10465.176666666666</c:v>
                </c:pt>
                <c:pt idx="57">
                  <c:v>10113.23</c:v>
                </c:pt>
                <c:pt idx="58">
                  <c:v>9350.7966666666671</c:v>
                </c:pt>
                <c:pt idx="59">
                  <c:v>8278.1066666666666</c:v>
                </c:pt>
                <c:pt idx="60">
                  <c:v>6940.3650000000007</c:v>
                </c:pt>
                <c:pt idx="61">
                  <c:v>5598.5550000000003</c:v>
                </c:pt>
                <c:pt idx="62">
                  <c:v>4602.915</c:v>
                </c:pt>
                <c:pt idx="63">
                  <c:v>4117.3133333333335</c:v>
                </c:pt>
                <c:pt idx="64">
                  <c:v>4030.7433333333338</c:v>
                </c:pt>
                <c:pt idx="65">
                  <c:v>3764.9950000000003</c:v>
                </c:pt>
                <c:pt idx="66">
                  <c:v>3998.01</c:v>
                </c:pt>
                <c:pt idx="67">
                  <c:v>4403.831666666666</c:v>
                </c:pt>
                <c:pt idx="68">
                  <c:v>4837.625</c:v>
                </c:pt>
                <c:pt idx="69">
                  <c:v>5043.2</c:v>
                </c:pt>
                <c:pt idx="70">
                  <c:v>5249.52</c:v>
                </c:pt>
                <c:pt idx="71">
                  <c:v>5441.9100000000008</c:v>
                </c:pt>
                <c:pt idx="72">
                  <c:v>5353.96</c:v>
                </c:pt>
                <c:pt idx="73">
                  <c:v>5308.4916666666668</c:v>
                </c:pt>
                <c:pt idx="74">
                  <c:v>5053.2533333333331</c:v>
                </c:pt>
                <c:pt idx="75">
                  <c:v>4847.8833333333332</c:v>
                </c:pt>
                <c:pt idx="76">
                  <c:v>4653.3149999999996</c:v>
                </c:pt>
                <c:pt idx="77">
                  <c:v>4688.9100000000008</c:v>
                </c:pt>
                <c:pt idx="78">
                  <c:v>4795.0349999999999</c:v>
                </c:pt>
                <c:pt idx="79">
                  <c:v>4784.0033333333331</c:v>
                </c:pt>
                <c:pt idx="80">
                  <c:v>4801.7249999999995</c:v>
                </c:pt>
                <c:pt idx="81">
                  <c:v>4821.4049999999997</c:v>
                </c:pt>
                <c:pt idx="82">
                  <c:v>4808.5949999999993</c:v>
                </c:pt>
                <c:pt idx="83">
                  <c:v>4594.7433333333329</c:v>
                </c:pt>
                <c:pt idx="84">
                  <c:v>4395.3983333333335</c:v>
                </c:pt>
                <c:pt idx="85">
                  <c:v>4182.6099999999997</c:v>
                </c:pt>
                <c:pt idx="86">
                  <c:v>4038.5333333333328</c:v>
                </c:pt>
                <c:pt idx="87">
                  <c:v>3901.6050000000009</c:v>
                </c:pt>
                <c:pt idx="88">
                  <c:v>3710.48</c:v>
                </c:pt>
                <c:pt idx="89">
                  <c:v>3588.1533333333336</c:v>
                </c:pt>
                <c:pt idx="90">
                  <c:v>3661.2066666666665</c:v>
                </c:pt>
                <c:pt idx="91">
                  <c:v>3878.0533333333333</c:v>
                </c:pt>
                <c:pt idx="92">
                  <c:v>4033.3516666666669</c:v>
                </c:pt>
                <c:pt idx="93">
                  <c:v>4132.166666666667</c:v>
                </c:pt>
                <c:pt idx="94">
                  <c:v>4235.2416666666677</c:v>
                </c:pt>
                <c:pt idx="95">
                  <c:v>4332.8783333333331</c:v>
                </c:pt>
                <c:pt idx="96">
                  <c:v>4250.7733333333335</c:v>
                </c:pt>
                <c:pt idx="97">
                  <c:v>4085.34</c:v>
                </c:pt>
                <c:pt idx="98">
                  <c:v>4013.3666666666668</c:v>
                </c:pt>
                <c:pt idx="99">
                  <c:v>4027.7000000000007</c:v>
                </c:pt>
                <c:pt idx="100">
                  <c:v>4373.541666666667</c:v>
                </c:pt>
                <c:pt idx="101">
                  <c:v>4732.665</c:v>
                </c:pt>
                <c:pt idx="102">
                  <c:v>4986.4316666666664</c:v>
                </c:pt>
                <c:pt idx="103">
                  <c:v>5222.5199999999995</c:v>
                </c:pt>
                <c:pt idx="104">
                  <c:v>5490.1283333333331</c:v>
                </c:pt>
                <c:pt idx="105">
                  <c:v>5746.4049999999997</c:v>
                </c:pt>
                <c:pt idx="106">
                  <c:v>5723.4116666666669</c:v>
                </c:pt>
                <c:pt idx="107">
                  <c:v>5824.2333333333345</c:v>
                </c:pt>
                <c:pt idx="108">
                  <c:v>6089.8116666666656</c:v>
                </c:pt>
                <c:pt idx="109">
                  <c:v>6396.7966666666662</c:v>
                </c:pt>
                <c:pt idx="110">
                  <c:v>6528.32</c:v>
                </c:pt>
                <c:pt idx="111">
                  <c:v>6607.0133333333333</c:v>
                </c:pt>
                <c:pt idx="112">
                  <c:v>6805.69</c:v>
                </c:pt>
                <c:pt idx="113">
                  <c:v>6736.9899999999989</c:v>
                </c:pt>
                <c:pt idx="114">
                  <c:v>6653.8600000000006</c:v>
                </c:pt>
                <c:pt idx="115">
                  <c:v>6559.3383333333331</c:v>
                </c:pt>
                <c:pt idx="116">
                  <c:v>6438.89</c:v>
                </c:pt>
                <c:pt idx="117">
                  <c:v>6324.0283333333327</c:v>
                </c:pt>
                <c:pt idx="118">
                  <c:v>6044.079999999999</c:v>
                </c:pt>
                <c:pt idx="119">
                  <c:v>5856.1750000000002</c:v>
                </c:pt>
                <c:pt idx="120">
                  <c:v>5572.9416666666666</c:v>
                </c:pt>
                <c:pt idx="121">
                  <c:v>5324.4516666666668</c:v>
                </c:pt>
                <c:pt idx="122">
                  <c:v>5159.9950000000008</c:v>
                </c:pt>
                <c:pt idx="123">
                  <c:v>5010.4366666666674</c:v>
                </c:pt>
                <c:pt idx="124">
                  <c:v>4965.2300000000005</c:v>
                </c:pt>
                <c:pt idx="125">
                  <c:v>4895.7266666666665</c:v>
                </c:pt>
                <c:pt idx="126">
                  <c:v>4893.6833333333334</c:v>
                </c:pt>
                <c:pt idx="127">
                  <c:v>4893.5649999999996</c:v>
                </c:pt>
                <c:pt idx="128">
                  <c:v>5113.1049999999996</c:v>
                </c:pt>
                <c:pt idx="129">
                  <c:v>5311.375</c:v>
                </c:pt>
                <c:pt idx="130">
                  <c:v>5542.4883333333337</c:v>
                </c:pt>
                <c:pt idx="131">
                  <c:v>5766.416666666667</c:v>
                </c:pt>
                <c:pt idx="132">
                  <c:v>6020.9049999999997</c:v>
                </c:pt>
                <c:pt idx="133">
                  <c:v>6266.293333333334</c:v>
                </c:pt>
                <c:pt idx="134">
                  <c:v>6314.9283333333342</c:v>
                </c:pt>
                <c:pt idx="135">
                  <c:v>6458.1350000000011</c:v>
                </c:pt>
                <c:pt idx="136">
                  <c:v>6520.39</c:v>
                </c:pt>
                <c:pt idx="137">
                  <c:v>6716.461666666667</c:v>
                </c:pt>
                <c:pt idx="138">
                  <c:v>6974.915</c:v>
                </c:pt>
                <c:pt idx="139">
                  <c:v>7224.8349999999991</c:v>
                </c:pt>
                <c:pt idx="140">
                  <c:v>7568.0966666666673</c:v>
                </c:pt>
                <c:pt idx="141">
                  <c:v>7790.9383333333344</c:v>
                </c:pt>
                <c:pt idx="142">
                  <c:v>8140.328333333332</c:v>
                </c:pt>
                <c:pt idx="143">
                  <c:v>8604.1533333333336</c:v>
                </c:pt>
                <c:pt idx="144">
                  <c:v>8917.6783333333333</c:v>
                </c:pt>
                <c:pt idx="145">
                  <c:v>9035.1166666666668</c:v>
                </c:pt>
                <c:pt idx="146">
                  <c:v>8839.74</c:v>
                </c:pt>
                <c:pt idx="147">
                  <c:v>8778.753333333334</c:v>
                </c:pt>
                <c:pt idx="148">
                  <c:v>8638.2516666666688</c:v>
                </c:pt>
                <c:pt idx="149">
                  <c:v>8308.1050000000014</c:v>
                </c:pt>
                <c:pt idx="150">
                  <c:v>8215.786666666665</c:v>
                </c:pt>
                <c:pt idx="151">
                  <c:v>8279.5083333333332</c:v>
                </c:pt>
                <c:pt idx="152">
                  <c:v>8444.6433333333316</c:v>
                </c:pt>
                <c:pt idx="153">
                  <c:v>8462.3350000000009</c:v>
                </c:pt>
                <c:pt idx="154">
                  <c:v>8355.9249999999975</c:v>
                </c:pt>
                <c:pt idx="155">
                  <c:v>8283.9316666666673</c:v>
                </c:pt>
                <c:pt idx="156">
                  <c:v>7841.8566666666666</c:v>
                </c:pt>
                <c:pt idx="157">
                  <c:v>7465.6549999999997</c:v>
                </c:pt>
                <c:pt idx="158">
                  <c:v>7275.95</c:v>
                </c:pt>
                <c:pt idx="159">
                  <c:v>7154.93</c:v>
                </c:pt>
                <c:pt idx="160">
                  <c:v>6966.5333333333328</c:v>
                </c:pt>
                <c:pt idx="161">
                  <c:v>6690.668333333334</c:v>
                </c:pt>
                <c:pt idx="162">
                  <c:v>6652.07</c:v>
                </c:pt>
                <c:pt idx="163">
                  <c:v>6660.0316666666668</c:v>
                </c:pt>
                <c:pt idx="164">
                  <c:v>6694.23</c:v>
                </c:pt>
                <c:pt idx="165">
                  <c:v>6717.4550000000008</c:v>
                </c:pt>
                <c:pt idx="166">
                  <c:v>7058.9450000000006</c:v>
                </c:pt>
                <c:pt idx="167">
                  <c:v>7280.3500000000013</c:v>
                </c:pt>
                <c:pt idx="168">
                  <c:v>7586.8849999999993</c:v>
                </c:pt>
                <c:pt idx="169">
                  <c:v>7706.3966666666665</c:v>
                </c:pt>
                <c:pt idx="170">
                  <c:v>7787.0099999999993</c:v>
                </c:pt>
                <c:pt idx="171">
                  <c:v>7854.3933333333334</c:v>
                </c:pt>
                <c:pt idx="172">
                  <c:v>7851.3050000000003</c:v>
                </c:pt>
                <c:pt idx="173">
                  <c:v>8254.3283333333329</c:v>
                </c:pt>
                <c:pt idx="174">
                  <c:v>8467.3633333333328</c:v>
                </c:pt>
                <c:pt idx="175">
                  <c:v>8843.39</c:v>
                </c:pt>
                <c:pt idx="176">
                  <c:v>8997.1400000000012</c:v>
                </c:pt>
                <c:pt idx="177">
                  <c:v>9200.2483333333312</c:v>
                </c:pt>
                <c:pt idx="178">
                  <c:v>9169.6233333333348</c:v>
                </c:pt>
                <c:pt idx="179">
                  <c:v>8897.9616666666643</c:v>
                </c:pt>
                <c:pt idx="180">
                  <c:v>8594.8016666666663</c:v>
                </c:pt>
                <c:pt idx="181">
                  <c:v>7983.166666666667</c:v>
                </c:pt>
                <c:pt idx="182">
                  <c:v>7444.3049999999994</c:v>
                </c:pt>
                <c:pt idx="183">
                  <c:v>6830.54</c:v>
                </c:pt>
                <c:pt idx="184">
                  <c:v>6242.8733333333339</c:v>
                </c:pt>
                <c:pt idx="185">
                  <c:v>5879.7533333333331</c:v>
                </c:pt>
                <c:pt idx="186">
                  <c:v>5556.0383333333339</c:v>
                </c:pt>
                <c:pt idx="187">
                  <c:v>5491.501666666667</c:v>
                </c:pt>
                <c:pt idx="188">
                  <c:v>5464.416666666667</c:v>
                </c:pt>
                <c:pt idx="189">
                  <c:v>5429.7383333333337</c:v>
                </c:pt>
                <c:pt idx="190">
                  <c:v>5453.7949999999992</c:v>
                </c:pt>
                <c:pt idx="191">
                  <c:v>5189.9250000000002</c:v>
                </c:pt>
                <c:pt idx="192">
                  <c:v>4995.7166666666662</c:v>
                </c:pt>
                <c:pt idx="193">
                  <c:v>4635.5533333333324</c:v>
                </c:pt>
                <c:pt idx="194">
                  <c:v>4389.1899999999996</c:v>
                </c:pt>
                <c:pt idx="195">
                  <c:v>4287.8999999999996</c:v>
                </c:pt>
                <c:pt idx="196">
                  <c:v>4399.2016666666668</c:v>
                </c:pt>
                <c:pt idx="197">
                  <c:v>4652.3949999999995</c:v>
                </c:pt>
                <c:pt idx="198">
                  <c:v>4850.1733333333332</c:v>
                </c:pt>
                <c:pt idx="199">
                  <c:v>5271.9283333333342</c:v>
                </c:pt>
                <c:pt idx="200">
                  <c:v>5632.3016666666663</c:v>
                </c:pt>
                <c:pt idx="201">
                  <c:v>5838.0566666666673</c:v>
                </c:pt>
                <c:pt idx="202">
                  <c:v>5771.8016666666663</c:v>
                </c:pt>
                <c:pt idx="203">
                  <c:v>5616.5083333333323</c:v>
                </c:pt>
                <c:pt idx="204">
                  <c:v>5461.3133333333326</c:v>
                </c:pt>
                <c:pt idx="205">
                  <c:v>5132.0366666666669</c:v>
                </c:pt>
                <c:pt idx="206">
                  <c:v>4884.2716666666665</c:v>
                </c:pt>
                <c:pt idx="207">
                  <c:v>4712.7783333333327</c:v>
                </c:pt>
                <c:pt idx="208">
                  <c:v>4595.9016666666666</c:v>
                </c:pt>
                <c:pt idx="209">
                  <c:v>4608.3649999999998</c:v>
                </c:pt>
                <c:pt idx="210">
                  <c:v>4552.9516666666668</c:v>
                </c:pt>
                <c:pt idx="211">
                  <c:v>4574.5199999999995</c:v>
                </c:pt>
                <c:pt idx="212">
                  <c:v>4502.6750000000002</c:v>
                </c:pt>
                <c:pt idx="213">
                  <c:v>4487.543333333334</c:v>
                </c:pt>
                <c:pt idx="214">
                  <c:v>4557.4933333333329</c:v>
                </c:pt>
                <c:pt idx="215">
                  <c:v>4608.0233333333335</c:v>
                </c:pt>
                <c:pt idx="216">
                  <c:v>4811.085</c:v>
                </c:pt>
                <c:pt idx="217">
                  <c:v>5026.1166666666668</c:v>
                </c:pt>
                <c:pt idx="218">
                  <c:v>5342.291666666667</c:v>
                </c:pt>
                <c:pt idx="219">
                  <c:v>5544.9366666666656</c:v>
                </c:pt>
                <c:pt idx="220">
                  <c:v>5714.6933333333336</c:v>
                </c:pt>
                <c:pt idx="221">
                  <c:v>5890.8666666666659</c:v>
                </c:pt>
                <c:pt idx="222">
                  <c:v>6074.1516666666657</c:v>
                </c:pt>
                <c:pt idx="223">
                  <c:v>6225.9483333333337</c:v>
                </c:pt>
                <c:pt idx="224">
                  <c:v>6238.0633333333326</c:v>
                </c:pt>
                <c:pt idx="225">
                  <c:v>6272.4083333333328</c:v>
                </c:pt>
                <c:pt idx="226">
                  <c:v>6263.8666666666677</c:v>
                </c:pt>
                <c:pt idx="227">
                  <c:v>6104.7316666666666</c:v>
                </c:pt>
                <c:pt idx="228">
                  <c:v>5940.5649999999996</c:v>
                </c:pt>
                <c:pt idx="229">
                  <c:v>5827.8149999999996</c:v>
                </c:pt>
                <c:pt idx="230">
                  <c:v>5759.1683333333322</c:v>
                </c:pt>
                <c:pt idx="231">
                  <c:v>5736.9883333333337</c:v>
                </c:pt>
                <c:pt idx="232">
                  <c:v>5787.03</c:v>
                </c:pt>
                <c:pt idx="233">
                  <c:v>5882.6399999999994</c:v>
                </c:pt>
                <c:pt idx="234">
                  <c:v>5956.3549999999996</c:v>
                </c:pt>
                <c:pt idx="235">
                  <c:v>5983.0533333333333</c:v>
                </c:pt>
                <c:pt idx="236">
                  <c:v>6001.7433333333347</c:v>
                </c:pt>
                <c:pt idx="237">
                  <c:v>6029.543333333334</c:v>
                </c:pt>
                <c:pt idx="238">
                  <c:v>6046.585</c:v>
                </c:pt>
                <c:pt idx="239">
                  <c:v>6099.5433333333322</c:v>
                </c:pt>
                <c:pt idx="240">
                  <c:v>6070.4833333333336</c:v>
                </c:pt>
                <c:pt idx="241">
                  <c:v>6089.2716666666665</c:v>
                </c:pt>
                <c:pt idx="242">
                  <c:v>6080.31</c:v>
                </c:pt>
                <c:pt idx="243">
                  <c:v>6112.2949999999992</c:v>
                </c:pt>
                <c:pt idx="244">
                  <c:v>6163.3616666666667</c:v>
                </c:pt>
                <c:pt idx="245">
                  <c:v>6200.0616666666674</c:v>
                </c:pt>
                <c:pt idx="246">
                  <c:v>6288.0883333333331</c:v>
                </c:pt>
                <c:pt idx="247">
                  <c:v>6370.6483333333335</c:v>
                </c:pt>
                <c:pt idx="248">
                  <c:v>6605.2266666666665</c:v>
                </c:pt>
                <c:pt idx="249">
                  <c:v>6712.4733333333324</c:v>
                </c:pt>
                <c:pt idx="250">
                  <c:v>6738.4850000000006</c:v>
                </c:pt>
                <c:pt idx="251">
                  <c:v>6725.5516666666672</c:v>
                </c:pt>
                <c:pt idx="252">
                  <c:v>6733.9083333333328</c:v>
                </c:pt>
                <c:pt idx="253">
                  <c:v>6778.7550000000001</c:v>
                </c:pt>
                <c:pt idx="254">
                  <c:v>6753.68</c:v>
                </c:pt>
                <c:pt idx="255">
                  <c:v>6873.8083333333343</c:v>
                </c:pt>
                <c:pt idx="256">
                  <c:v>7060.3600000000006</c:v>
                </c:pt>
                <c:pt idx="257">
                  <c:v>7267.87</c:v>
                </c:pt>
                <c:pt idx="258">
                  <c:v>7482.9016666666676</c:v>
                </c:pt>
                <c:pt idx="259">
                  <c:v>7649.795000000001</c:v>
                </c:pt>
                <c:pt idx="260">
                  <c:v>7792.1449999999995</c:v>
                </c:pt>
                <c:pt idx="261">
                  <c:v>7888.3499999999995</c:v>
                </c:pt>
                <c:pt idx="262">
                  <c:v>8064.9316666666664</c:v>
                </c:pt>
                <c:pt idx="263">
                  <c:v>8329.5333333333328</c:v>
                </c:pt>
                <c:pt idx="264">
                  <c:v>8509.5666666666657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CA-47FD-9473-B57261D8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"/>
        <c:scaling>
          <c:orientation val="minMax"/>
          <c:max val="15000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44419756373108"/>
          <c:y val="8.0106665445889028E-2"/>
          <c:w val="0.1300936212622317"/>
          <c:h val="0.317189566420476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601980</xdr:colOff>
      <xdr:row>17</xdr:row>
      <xdr:rowOff>22860</xdr:rowOff>
    </xdr:from>
    <xdr:to>
      <xdr:col>37</xdr:col>
      <xdr:colOff>129540</xdr:colOff>
      <xdr:row>46</xdr:row>
      <xdr:rowOff>83820</xdr:rowOff>
    </xdr:to>
    <xdr:graphicFrame macro="">
      <xdr:nvGraphicFramePr>
        <xdr:cNvPr id="102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586740</xdr:colOff>
      <xdr:row>0</xdr:row>
      <xdr:rowOff>0</xdr:rowOff>
    </xdr:from>
    <xdr:to>
      <xdr:col>29</xdr:col>
      <xdr:colOff>487680</xdr:colOff>
      <xdr:row>15</xdr:row>
      <xdr:rowOff>83820</xdr:rowOff>
    </xdr:to>
    <xdr:sp macro="" textlink="">
      <xdr:nvSpPr>
        <xdr:cNvPr id="4" name="文字方塊 3"/>
        <xdr:cNvSpPr txBox="1"/>
      </xdr:nvSpPr>
      <xdr:spPr>
        <a:xfrm>
          <a:off x="11445240" y="0"/>
          <a:ext cx="7216140" cy="31699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indent="0"/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M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欄為台灣股價指數的月收盤指數。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N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=AVERAGE($M2:$M7)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O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=STDEV($M2:$M7)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P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=N7-1*O7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，即平均值減一倍標準差。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Q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個月的移動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上界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=N7+1*O7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」」，即平均值加一倍標準差。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當指數由下而上突破上界，則買進，一直持有到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指數由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突破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界，則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賣出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空手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到指數由下而上突破上界，則買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進，循環不已。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可以發現此策略在市場有強勁上漲或下跌趨勢時，相當成功，但在盤整期，則不成功。此數列到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2007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年八月為止，讀者可以加入最新的資料。可以發現上述策略可以成功避過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半年的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反彈。</a:t>
          </a:r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1"/>
  <sheetViews>
    <sheetView tabSelected="1" topLeftCell="N1" zoomScaleNormal="100" workbookViewId="0">
      <selection activeCell="AM34" sqref="AM34"/>
    </sheetView>
  </sheetViews>
  <sheetFormatPr defaultRowHeight="16.2"/>
  <cols>
    <col min="1" max="1" width="7.6640625" bestFit="1" customWidth="1"/>
    <col min="2" max="5" width="9.44140625" bestFit="1" customWidth="1"/>
    <col min="6" max="6" width="8.77734375" bestFit="1" customWidth="1"/>
    <col min="7" max="7" width="9.44140625" bestFit="1" customWidth="1"/>
    <col min="8" max="9" width="7.44140625" bestFit="1" customWidth="1"/>
    <col min="10" max="10" width="13.88671875" bestFit="1" customWidth="1"/>
    <col min="11" max="11" width="10.44140625" bestFit="1" customWidth="1"/>
    <col min="12" max="12" width="10.44140625" customWidth="1"/>
    <col min="13" max="13" width="9.44140625" bestFit="1" customWidth="1"/>
  </cols>
  <sheetData>
    <row r="1" spans="1:17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M1" t="s">
        <v>4</v>
      </c>
      <c r="N1" t="s">
        <v>6</v>
      </c>
      <c r="O1" t="s">
        <v>5</v>
      </c>
      <c r="P1" t="s">
        <v>7</v>
      </c>
      <c r="Q1" t="s">
        <v>8</v>
      </c>
    </row>
    <row r="2" spans="1:17">
      <c r="A2">
        <v>31107</v>
      </c>
      <c r="B2">
        <v>1452</v>
      </c>
      <c r="C2">
        <v>781.37</v>
      </c>
      <c r="D2">
        <v>830.62</v>
      </c>
      <c r="E2">
        <v>765.96</v>
      </c>
      <c r="F2">
        <v>765.96</v>
      </c>
      <c r="G2">
        <v>21016</v>
      </c>
      <c r="H2">
        <v>-1.97</v>
      </c>
      <c r="I2">
        <v>8.31</v>
      </c>
      <c r="J2">
        <v>17479</v>
      </c>
      <c r="K2">
        <v>352360</v>
      </c>
      <c r="M2">
        <v>765.96</v>
      </c>
    </row>
    <row r="3" spans="1:17">
      <c r="A3" s="1">
        <v>31138</v>
      </c>
      <c r="B3">
        <v>781</v>
      </c>
      <c r="C3">
        <v>765.96</v>
      </c>
      <c r="D3">
        <v>773.82</v>
      </c>
      <c r="E3">
        <v>739.39</v>
      </c>
      <c r="F3">
        <v>739.73</v>
      </c>
      <c r="G3">
        <v>11000</v>
      </c>
      <c r="H3">
        <v>-3.42</v>
      </c>
      <c r="I3">
        <v>4.47</v>
      </c>
      <c r="J3">
        <v>17479</v>
      </c>
      <c r="K3" s="2">
        <v>341635</v>
      </c>
      <c r="L3" s="2"/>
      <c r="M3">
        <v>739.73</v>
      </c>
    </row>
    <row r="4" spans="1:17">
      <c r="A4" s="1">
        <v>31168</v>
      </c>
      <c r="B4">
        <v>729</v>
      </c>
      <c r="C4">
        <v>739.73</v>
      </c>
      <c r="D4">
        <v>745.9</v>
      </c>
      <c r="E4">
        <v>723.38</v>
      </c>
      <c r="F4">
        <v>730.53</v>
      </c>
      <c r="G4">
        <v>9621</v>
      </c>
      <c r="H4">
        <v>-1.24</v>
      </c>
      <c r="I4">
        <v>4.03</v>
      </c>
      <c r="J4">
        <v>18080</v>
      </c>
      <c r="K4" s="2">
        <v>343311</v>
      </c>
      <c r="L4" s="2"/>
      <c r="M4">
        <v>730.53</v>
      </c>
    </row>
    <row r="5" spans="1:17">
      <c r="A5" s="1">
        <v>31199</v>
      </c>
      <c r="B5">
        <v>786</v>
      </c>
      <c r="C5">
        <v>730.53</v>
      </c>
      <c r="D5">
        <v>730.53</v>
      </c>
      <c r="E5">
        <v>687.1</v>
      </c>
      <c r="F5">
        <v>706.46</v>
      </c>
      <c r="G5">
        <v>9664</v>
      </c>
      <c r="H5">
        <v>-3.29</v>
      </c>
      <c r="I5">
        <v>4.34</v>
      </c>
      <c r="J5">
        <v>18129</v>
      </c>
      <c r="K5" s="2">
        <v>333174</v>
      </c>
      <c r="L5" s="2"/>
      <c r="M5">
        <v>706.46</v>
      </c>
    </row>
    <row r="6" spans="1:17">
      <c r="A6" s="1">
        <v>31229</v>
      </c>
      <c r="B6">
        <v>940</v>
      </c>
      <c r="C6">
        <v>706.46</v>
      </c>
      <c r="D6">
        <v>706.46</v>
      </c>
      <c r="E6">
        <v>636.02</v>
      </c>
      <c r="F6">
        <v>637.14</v>
      </c>
      <c r="G6">
        <v>9658</v>
      </c>
      <c r="H6">
        <v>-9.81</v>
      </c>
      <c r="I6">
        <v>5.14</v>
      </c>
      <c r="J6">
        <v>18287</v>
      </c>
      <c r="K6" s="2">
        <v>302439</v>
      </c>
      <c r="L6" s="2"/>
      <c r="M6">
        <v>637.14</v>
      </c>
    </row>
    <row r="7" spans="1:17">
      <c r="A7" s="1">
        <v>31260</v>
      </c>
      <c r="B7">
        <v>880</v>
      </c>
      <c r="C7">
        <v>637.14</v>
      </c>
      <c r="D7">
        <v>666.11</v>
      </c>
      <c r="E7">
        <v>637.14</v>
      </c>
      <c r="F7">
        <v>666.11</v>
      </c>
      <c r="G7">
        <v>8972</v>
      </c>
      <c r="H7">
        <v>4.55</v>
      </c>
      <c r="I7">
        <v>4.7</v>
      </c>
      <c r="J7">
        <v>18739</v>
      </c>
      <c r="K7" s="2">
        <v>314485</v>
      </c>
      <c r="L7" s="2"/>
      <c r="M7">
        <v>666.11</v>
      </c>
      <c r="N7">
        <f>AVERAGE($M2:$M7)</f>
        <v>707.65500000000009</v>
      </c>
      <c r="O7">
        <f>STDEV($M2:$M7)</f>
        <v>48.272817506335805</v>
      </c>
      <c r="P7">
        <f>N7-1*O7</f>
        <v>659.38218249366423</v>
      </c>
      <c r="Q7">
        <f>N7+1*O7</f>
        <v>755.92781750633594</v>
      </c>
    </row>
    <row r="8" spans="1:17">
      <c r="A8" s="1">
        <v>31291</v>
      </c>
      <c r="B8">
        <v>1529</v>
      </c>
      <c r="C8">
        <v>666.11</v>
      </c>
      <c r="D8">
        <v>713.12</v>
      </c>
      <c r="E8">
        <v>666.11</v>
      </c>
      <c r="F8">
        <v>710.02</v>
      </c>
      <c r="G8" s="2">
        <v>16764</v>
      </c>
      <c r="H8">
        <v>6.59</v>
      </c>
      <c r="I8">
        <v>8.09</v>
      </c>
      <c r="J8">
        <v>18902</v>
      </c>
      <c r="K8" s="2">
        <v>336817</v>
      </c>
      <c r="L8" s="2"/>
      <c r="M8">
        <v>710.02</v>
      </c>
      <c r="N8">
        <f t="shared" ref="N8:N71" si="0">AVERAGE($M3:$M8)</f>
        <v>698.33166666666659</v>
      </c>
      <c r="O8">
        <f t="shared" ref="O8:O71" si="1">STDEV($M3:$M8)</f>
        <v>39.334202631636842</v>
      </c>
      <c r="P8">
        <f t="shared" ref="P8:P71" si="2">N8-1*O8</f>
        <v>658.99746403502979</v>
      </c>
      <c r="Q8">
        <f t="shared" ref="Q8:Q71" si="3">N8+1*O8</f>
        <v>737.66586929830339</v>
      </c>
    </row>
    <row r="9" spans="1:17">
      <c r="A9" s="1">
        <v>31321</v>
      </c>
      <c r="B9">
        <v>1809</v>
      </c>
      <c r="C9">
        <v>710.02</v>
      </c>
      <c r="D9">
        <v>781.66</v>
      </c>
      <c r="E9">
        <v>709.67</v>
      </c>
      <c r="F9">
        <v>781.66</v>
      </c>
      <c r="G9" s="2">
        <v>23668</v>
      </c>
      <c r="H9">
        <v>10.09</v>
      </c>
      <c r="I9">
        <v>9.52</v>
      </c>
      <c r="J9">
        <v>18998</v>
      </c>
      <c r="K9" s="2">
        <v>375261</v>
      </c>
      <c r="L9" s="2"/>
      <c r="M9">
        <v>781.66</v>
      </c>
      <c r="N9">
        <f t="shared" si="0"/>
        <v>705.32</v>
      </c>
      <c r="O9">
        <f t="shared" si="1"/>
        <v>50.344147226862418</v>
      </c>
      <c r="P9">
        <f t="shared" si="2"/>
        <v>654.9758527731376</v>
      </c>
      <c r="Q9">
        <f t="shared" si="3"/>
        <v>755.6641472268625</v>
      </c>
    </row>
    <row r="10" spans="1:17">
      <c r="A10" s="1">
        <v>31352</v>
      </c>
      <c r="B10">
        <v>1931</v>
      </c>
      <c r="C10">
        <v>781.66</v>
      </c>
      <c r="D10">
        <v>797.7</v>
      </c>
      <c r="E10">
        <v>738.14</v>
      </c>
      <c r="F10">
        <v>776.28</v>
      </c>
      <c r="G10">
        <v>27721</v>
      </c>
      <c r="H10">
        <v>-0.69</v>
      </c>
      <c r="I10">
        <v>10.050000000000001</v>
      </c>
      <c r="J10">
        <v>19217</v>
      </c>
      <c r="K10" s="2">
        <v>370907</v>
      </c>
      <c r="L10" s="2"/>
      <c r="M10">
        <v>776.28</v>
      </c>
      <c r="N10">
        <f t="shared" si="0"/>
        <v>712.94500000000005</v>
      </c>
      <c r="O10">
        <f t="shared" si="1"/>
        <v>57.833553496218769</v>
      </c>
      <c r="P10">
        <f t="shared" si="2"/>
        <v>655.11144650378128</v>
      </c>
      <c r="Q10">
        <f t="shared" si="3"/>
        <v>770.77855349621882</v>
      </c>
    </row>
    <row r="11" spans="1:17">
      <c r="A11" s="1">
        <v>31382</v>
      </c>
      <c r="B11">
        <v>2165</v>
      </c>
      <c r="C11">
        <v>776.28</v>
      </c>
      <c r="D11">
        <v>835.12</v>
      </c>
      <c r="E11">
        <v>774.49</v>
      </c>
      <c r="F11">
        <v>835.12</v>
      </c>
      <c r="G11" s="2">
        <v>35126</v>
      </c>
      <c r="H11">
        <v>7.58</v>
      </c>
      <c r="I11">
        <v>11.27</v>
      </c>
      <c r="J11">
        <v>19216</v>
      </c>
      <c r="K11" s="2">
        <v>401988</v>
      </c>
      <c r="L11" s="2"/>
      <c r="M11">
        <v>835.12</v>
      </c>
      <c r="N11">
        <f t="shared" si="0"/>
        <v>734.38833333333332</v>
      </c>
      <c r="O11">
        <f t="shared" si="1"/>
        <v>75.959694158590892</v>
      </c>
      <c r="P11">
        <f t="shared" si="2"/>
        <v>658.42863917474244</v>
      </c>
      <c r="Q11">
        <f t="shared" si="3"/>
        <v>810.3480274919242</v>
      </c>
    </row>
    <row r="12" spans="1:17">
      <c r="A12" s="1">
        <v>31413</v>
      </c>
      <c r="B12">
        <v>2751</v>
      </c>
      <c r="C12">
        <v>835.12</v>
      </c>
      <c r="D12">
        <v>889.41</v>
      </c>
      <c r="E12">
        <v>835.12</v>
      </c>
      <c r="F12">
        <v>882.95</v>
      </c>
      <c r="G12">
        <v>43115</v>
      </c>
      <c r="H12">
        <v>5.73</v>
      </c>
      <c r="I12">
        <v>14.03</v>
      </c>
      <c r="J12">
        <v>19608</v>
      </c>
      <c r="K12" s="2">
        <v>431465</v>
      </c>
      <c r="L12" s="2"/>
      <c r="M12">
        <v>882.95</v>
      </c>
      <c r="N12">
        <f t="shared" si="0"/>
        <v>775.35666666666657</v>
      </c>
      <c r="O12">
        <f t="shared" si="1"/>
        <v>79.23670883288041</v>
      </c>
      <c r="P12">
        <f t="shared" si="2"/>
        <v>696.1199578337862</v>
      </c>
      <c r="Q12">
        <f t="shared" si="3"/>
        <v>854.59337549954694</v>
      </c>
    </row>
    <row r="13" spans="1:17">
      <c r="A13" s="1">
        <v>31444</v>
      </c>
      <c r="B13">
        <v>2602</v>
      </c>
      <c r="C13">
        <v>882.95</v>
      </c>
      <c r="D13">
        <v>943.95</v>
      </c>
      <c r="E13">
        <v>882.95</v>
      </c>
      <c r="F13">
        <v>943.95</v>
      </c>
      <c r="G13">
        <v>41585</v>
      </c>
      <c r="H13">
        <v>6.91</v>
      </c>
      <c r="I13">
        <v>13.01</v>
      </c>
      <c r="J13">
        <v>19995</v>
      </c>
      <c r="K13" s="2">
        <v>476469</v>
      </c>
      <c r="L13" s="2"/>
      <c r="M13">
        <v>943.95</v>
      </c>
      <c r="N13">
        <f t="shared" si="0"/>
        <v>821.6633333333333</v>
      </c>
      <c r="O13">
        <f t="shared" si="1"/>
        <v>83.684304063944225</v>
      </c>
      <c r="P13">
        <f t="shared" si="2"/>
        <v>737.97902926938912</v>
      </c>
      <c r="Q13">
        <f t="shared" si="3"/>
        <v>905.34763739727748</v>
      </c>
    </row>
    <row r="14" spans="1:17">
      <c r="A14" s="1">
        <v>31472</v>
      </c>
      <c r="B14">
        <v>4064</v>
      </c>
      <c r="C14">
        <v>943.95</v>
      </c>
      <c r="D14">
        <v>986.2</v>
      </c>
      <c r="E14">
        <v>926.13</v>
      </c>
      <c r="F14">
        <v>926.13</v>
      </c>
      <c r="G14" s="2">
        <v>69742</v>
      </c>
      <c r="H14">
        <v>-1.89</v>
      </c>
      <c r="I14">
        <v>19.559999999999999</v>
      </c>
      <c r="J14">
        <v>20780</v>
      </c>
      <c r="K14" s="2">
        <v>488344</v>
      </c>
      <c r="L14" s="2"/>
      <c r="M14">
        <v>926.13</v>
      </c>
      <c r="N14">
        <f t="shared" si="0"/>
        <v>857.68166666666673</v>
      </c>
      <c r="O14">
        <f t="shared" si="1"/>
        <v>71.666508612228839</v>
      </c>
      <c r="P14">
        <f t="shared" si="2"/>
        <v>786.01515805443785</v>
      </c>
      <c r="Q14">
        <f t="shared" si="3"/>
        <v>929.34817527889561</v>
      </c>
    </row>
    <row r="15" spans="1:17">
      <c r="A15" s="1">
        <v>31503</v>
      </c>
      <c r="B15">
        <v>2514</v>
      </c>
      <c r="C15">
        <v>926.13</v>
      </c>
      <c r="D15">
        <v>932.96</v>
      </c>
      <c r="E15">
        <v>890.18</v>
      </c>
      <c r="F15">
        <v>902.87</v>
      </c>
      <c r="G15" s="2">
        <v>41511</v>
      </c>
      <c r="H15">
        <v>-2.5099999999999998</v>
      </c>
      <c r="I15">
        <v>12.1</v>
      </c>
      <c r="J15">
        <v>20780</v>
      </c>
      <c r="K15" s="2">
        <v>475766</v>
      </c>
      <c r="L15" s="2"/>
      <c r="M15">
        <v>902.87</v>
      </c>
      <c r="N15">
        <f t="shared" si="0"/>
        <v>877.88333333333333</v>
      </c>
      <c r="O15">
        <f t="shared" si="1"/>
        <v>62.441156192583982</v>
      </c>
      <c r="P15">
        <f t="shared" si="2"/>
        <v>815.44217714074932</v>
      </c>
      <c r="Q15">
        <f t="shared" si="3"/>
        <v>940.32448952591733</v>
      </c>
    </row>
    <row r="16" spans="1:17">
      <c r="A16" s="1">
        <v>31533</v>
      </c>
      <c r="B16">
        <v>2613</v>
      </c>
      <c r="C16">
        <v>902.87</v>
      </c>
      <c r="D16">
        <v>950.8</v>
      </c>
      <c r="E16">
        <v>882.35</v>
      </c>
      <c r="F16">
        <v>950.8</v>
      </c>
      <c r="G16" s="2">
        <v>44211</v>
      </c>
      <c r="H16">
        <v>5.31</v>
      </c>
      <c r="I16">
        <v>12.57</v>
      </c>
      <c r="J16">
        <v>20796</v>
      </c>
      <c r="K16" s="2">
        <v>495788</v>
      </c>
      <c r="L16" s="2"/>
      <c r="M16">
        <v>950.8</v>
      </c>
      <c r="N16">
        <f t="shared" si="0"/>
        <v>906.97000000000014</v>
      </c>
      <c r="O16">
        <f t="shared" si="1"/>
        <v>43.386375280726085</v>
      </c>
      <c r="P16">
        <f t="shared" si="2"/>
        <v>863.5836247192741</v>
      </c>
      <c r="Q16">
        <f t="shared" si="3"/>
        <v>950.35637528072618</v>
      </c>
    </row>
    <row r="17" spans="1:17">
      <c r="A17" s="1">
        <v>31564</v>
      </c>
      <c r="B17">
        <v>3280</v>
      </c>
      <c r="C17">
        <v>950.8</v>
      </c>
      <c r="D17">
        <v>990.92</v>
      </c>
      <c r="E17">
        <v>950.8</v>
      </c>
      <c r="F17">
        <v>955.21</v>
      </c>
      <c r="G17" s="2">
        <v>60230</v>
      </c>
      <c r="H17">
        <v>0.46</v>
      </c>
      <c r="I17">
        <v>15.74</v>
      </c>
      <c r="J17">
        <v>20842</v>
      </c>
      <c r="K17" s="2">
        <v>497940</v>
      </c>
      <c r="L17" s="2"/>
      <c r="M17">
        <v>955.21</v>
      </c>
      <c r="N17">
        <f t="shared" si="0"/>
        <v>926.98500000000001</v>
      </c>
      <c r="O17">
        <f t="shared" si="1"/>
        <v>28.889311345201698</v>
      </c>
      <c r="P17">
        <f t="shared" si="2"/>
        <v>898.09568865479832</v>
      </c>
      <c r="Q17">
        <f t="shared" si="3"/>
        <v>955.8743113452017</v>
      </c>
    </row>
    <row r="18" spans="1:17">
      <c r="A18" s="1">
        <v>31594</v>
      </c>
      <c r="B18">
        <v>3123</v>
      </c>
      <c r="C18">
        <v>955.21</v>
      </c>
      <c r="D18">
        <v>995.99</v>
      </c>
      <c r="E18">
        <v>935.83</v>
      </c>
      <c r="F18">
        <v>935.83</v>
      </c>
      <c r="G18" s="2">
        <v>56637</v>
      </c>
      <c r="H18">
        <v>-2.0299999999999998</v>
      </c>
      <c r="I18">
        <v>14.88</v>
      </c>
      <c r="J18">
        <v>20994</v>
      </c>
      <c r="K18" s="2">
        <v>474636</v>
      </c>
      <c r="L18" s="2"/>
      <c r="M18">
        <v>935.83</v>
      </c>
      <c r="N18">
        <f t="shared" si="0"/>
        <v>935.79833333333329</v>
      </c>
      <c r="O18">
        <f t="shared" si="1"/>
        <v>19.214917555552166</v>
      </c>
      <c r="P18">
        <f t="shared" si="2"/>
        <v>916.58341577778117</v>
      </c>
      <c r="Q18">
        <f t="shared" si="3"/>
        <v>955.01325088888541</v>
      </c>
    </row>
    <row r="19" spans="1:17">
      <c r="A19" s="1">
        <v>31625</v>
      </c>
      <c r="B19">
        <v>3060</v>
      </c>
      <c r="C19">
        <v>935.83</v>
      </c>
      <c r="D19">
        <v>935.83</v>
      </c>
      <c r="E19">
        <v>868.68</v>
      </c>
      <c r="F19">
        <v>903.61</v>
      </c>
      <c r="G19" s="2">
        <v>51578</v>
      </c>
      <c r="H19">
        <v>-3.44</v>
      </c>
      <c r="I19">
        <v>14.34</v>
      </c>
      <c r="J19">
        <v>21345</v>
      </c>
      <c r="K19" s="2">
        <v>466284</v>
      </c>
      <c r="L19" s="2"/>
      <c r="M19">
        <v>903.61</v>
      </c>
      <c r="N19">
        <f t="shared" si="0"/>
        <v>929.07499999999993</v>
      </c>
      <c r="O19">
        <f t="shared" si="1"/>
        <v>22.558746197428611</v>
      </c>
      <c r="P19">
        <f t="shared" si="2"/>
        <v>906.51625380257133</v>
      </c>
      <c r="Q19">
        <f t="shared" si="3"/>
        <v>951.63374619742854</v>
      </c>
    </row>
    <row r="20" spans="1:17">
      <c r="A20" s="1">
        <v>31656</v>
      </c>
      <c r="B20">
        <v>2550</v>
      </c>
      <c r="C20">
        <v>903.61</v>
      </c>
      <c r="D20">
        <v>947.11</v>
      </c>
      <c r="E20">
        <v>903.61</v>
      </c>
      <c r="F20">
        <v>947.11</v>
      </c>
      <c r="G20" s="2">
        <v>45772</v>
      </c>
      <c r="H20">
        <v>4.8099999999999996</v>
      </c>
      <c r="I20">
        <v>11.7</v>
      </c>
      <c r="J20">
        <v>21798</v>
      </c>
      <c r="K20" s="2">
        <v>489610</v>
      </c>
      <c r="L20" s="2"/>
      <c r="M20">
        <v>947.11</v>
      </c>
      <c r="N20">
        <f t="shared" si="0"/>
        <v>932.5716666666666</v>
      </c>
      <c r="O20">
        <f t="shared" si="1"/>
        <v>23.612341194101585</v>
      </c>
      <c r="P20">
        <f t="shared" si="2"/>
        <v>908.95932547256507</v>
      </c>
      <c r="Q20">
        <f t="shared" si="3"/>
        <v>956.18400786076813</v>
      </c>
    </row>
    <row r="21" spans="1:17">
      <c r="A21" s="1">
        <v>31686</v>
      </c>
      <c r="B21">
        <v>4883</v>
      </c>
      <c r="C21">
        <v>947.11</v>
      </c>
      <c r="D21">
        <v>1017.16</v>
      </c>
      <c r="E21">
        <v>946.17</v>
      </c>
      <c r="F21">
        <v>994.44</v>
      </c>
      <c r="G21" s="2">
        <v>87899</v>
      </c>
      <c r="H21">
        <v>5</v>
      </c>
      <c r="I21">
        <v>22.34</v>
      </c>
      <c r="J21">
        <v>21853</v>
      </c>
      <c r="K21" s="2">
        <v>516314</v>
      </c>
      <c r="L21" s="2"/>
      <c r="M21">
        <v>994.44</v>
      </c>
      <c r="N21">
        <f t="shared" si="0"/>
        <v>947.83333333333337</v>
      </c>
      <c r="O21">
        <f t="shared" si="1"/>
        <v>29.447254993745467</v>
      </c>
      <c r="P21">
        <f t="shared" si="2"/>
        <v>918.38607833958793</v>
      </c>
      <c r="Q21">
        <f t="shared" si="3"/>
        <v>977.28058832707882</v>
      </c>
    </row>
    <row r="22" spans="1:17">
      <c r="A22" s="1">
        <v>31717</v>
      </c>
      <c r="B22">
        <v>3920</v>
      </c>
      <c r="C22">
        <v>994.44</v>
      </c>
      <c r="D22">
        <v>1030.6099999999999</v>
      </c>
      <c r="E22">
        <v>978.96</v>
      </c>
      <c r="F22">
        <v>996.24</v>
      </c>
      <c r="G22" s="2">
        <v>69399</v>
      </c>
      <c r="H22">
        <v>0.18</v>
      </c>
      <c r="I22">
        <v>17.87</v>
      </c>
      <c r="J22">
        <v>21932</v>
      </c>
      <c r="K22" s="2">
        <v>515481</v>
      </c>
      <c r="L22" s="2"/>
      <c r="M22">
        <v>996.24</v>
      </c>
      <c r="N22">
        <f t="shared" si="0"/>
        <v>955.40666666666675</v>
      </c>
      <c r="O22">
        <f t="shared" si="1"/>
        <v>35.569582885756013</v>
      </c>
      <c r="P22">
        <f t="shared" si="2"/>
        <v>919.83708378091069</v>
      </c>
      <c r="Q22">
        <f t="shared" si="3"/>
        <v>990.97624955242281</v>
      </c>
    </row>
    <row r="23" spans="1:17">
      <c r="A23" s="1">
        <v>31747</v>
      </c>
      <c r="B23">
        <v>3547</v>
      </c>
      <c r="C23">
        <v>996.24</v>
      </c>
      <c r="D23">
        <v>1039.1099999999999</v>
      </c>
      <c r="E23">
        <v>995.46</v>
      </c>
      <c r="F23">
        <v>1039.1099999999999</v>
      </c>
      <c r="G23" s="2">
        <v>63480</v>
      </c>
      <c r="H23">
        <v>4.3</v>
      </c>
      <c r="I23">
        <v>16.079999999999998</v>
      </c>
      <c r="J23">
        <v>22062</v>
      </c>
      <c r="K23" s="2">
        <v>538987</v>
      </c>
      <c r="L23" s="2"/>
      <c r="M23">
        <v>1039.1099999999999</v>
      </c>
      <c r="N23">
        <f t="shared" si="0"/>
        <v>969.39</v>
      </c>
      <c r="O23">
        <f t="shared" si="1"/>
        <v>49.313251363097088</v>
      </c>
      <c r="P23">
        <f t="shared" si="2"/>
        <v>920.07674863690295</v>
      </c>
      <c r="Q23">
        <f t="shared" si="3"/>
        <v>1018.703251363097</v>
      </c>
    </row>
    <row r="24" spans="1:17">
      <c r="A24" s="1">
        <v>31778</v>
      </c>
      <c r="B24">
        <v>3932</v>
      </c>
      <c r="C24">
        <v>1039.1099999999999</v>
      </c>
      <c r="D24">
        <v>1150.25</v>
      </c>
      <c r="E24">
        <v>1039.1099999999999</v>
      </c>
      <c r="F24">
        <v>1150.25</v>
      </c>
      <c r="G24" s="2">
        <v>72681</v>
      </c>
      <c r="H24">
        <v>10.7</v>
      </c>
      <c r="I24">
        <v>17.82</v>
      </c>
      <c r="J24">
        <v>22062</v>
      </c>
      <c r="K24" s="2">
        <v>593841</v>
      </c>
      <c r="L24" s="2"/>
      <c r="M24">
        <v>1150.25</v>
      </c>
      <c r="N24">
        <f t="shared" si="0"/>
        <v>1005.1266666666666</v>
      </c>
      <c r="O24">
        <f t="shared" si="1"/>
        <v>84.947505829580805</v>
      </c>
      <c r="P24">
        <f t="shared" si="2"/>
        <v>920.17916083708576</v>
      </c>
      <c r="Q24">
        <f t="shared" si="3"/>
        <v>1090.0741724962475</v>
      </c>
    </row>
    <row r="25" spans="1:17">
      <c r="A25" s="1">
        <v>31809</v>
      </c>
      <c r="B25">
        <v>5925</v>
      </c>
      <c r="C25">
        <v>1150.25</v>
      </c>
      <c r="D25">
        <v>1272.1300000000001</v>
      </c>
      <c r="E25">
        <v>1150.25</v>
      </c>
      <c r="F25">
        <v>1272.1300000000001</v>
      </c>
      <c r="G25" s="2">
        <v>114650</v>
      </c>
      <c r="H25">
        <v>10.6</v>
      </c>
      <c r="I25">
        <v>26.81</v>
      </c>
      <c r="J25">
        <v>22100</v>
      </c>
      <c r="K25" s="2">
        <v>670581</v>
      </c>
      <c r="L25" s="2"/>
      <c r="M25">
        <v>1272.1300000000001</v>
      </c>
      <c r="N25">
        <f t="shared" si="0"/>
        <v>1066.5466666666666</v>
      </c>
      <c r="O25">
        <f t="shared" si="1"/>
        <v>122.00905026540764</v>
      </c>
      <c r="P25">
        <f t="shared" si="2"/>
        <v>944.53761640125902</v>
      </c>
      <c r="Q25">
        <f t="shared" si="3"/>
        <v>1188.5557169320743</v>
      </c>
    </row>
    <row r="26" spans="1:17">
      <c r="A26" s="1">
        <v>31837</v>
      </c>
      <c r="B26">
        <v>6438</v>
      </c>
      <c r="C26">
        <v>1272.1300000000001</v>
      </c>
      <c r="D26">
        <v>1405.51</v>
      </c>
      <c r="E26">
        <v>1262.26</v>
      </c>
      <c r="F26">
        <v>1405.51</v>
      </c>
      <c r="G26" s="2">
        <v>133627</v>
      </c>
      <c r="H26">
        <v>10.48</v>
      </c>
      <c r="I26">
        <v>29.13</v>
      </c>
      <c r="J26">
        <v>22100</v>
      </c>
      <c r="K26" s="2">
        <v>726485</v>
      </c>
      <c r="L26" s="2"/>
      <c r="M26">
        <v>1405.51</v>
      </c>
      <c r="N26">
        <f t="shared" si="0"/>
        <v>1142.9466666666667</v>
      </c>
      <c r="O26">
        <f t="shared" si="1"/>
        <v>167.35609085619348</v>
      </c>
      <c r="P26">
        <f t="shared" si="2"/>
        <v>975.59057581047318</v>
      </c>
      <c r="Q26">
        <f t="shared" si="3"/>
        <v>1310.3027575228602</v>
      </c>
    </row>
    <row r="27" spans="1:17">
      <c r="A27" s="1">
        <v>31868</v>
      </c>
      <c r="B27">
        <v>8593</v>
      </c>
      <c r="C27">
        <v>1405.51</v>
      </c>
      <c r="D27">
        <v>1812.99</v>
      </c>
      <c r="E27">
        <v>1405.51</v>
      </c>
      <c r="F27">
        <v>1812.99</v>
      </c>
      <c r="G27" s="2">
        <v>226181</v>
      </c>
      <c r="H27">
        <v>28.99</v>
      </c>
      <c r="I27">
        <v>38.81</v>
      </c>
      <c r="J27">
        <v>22142</v>
      </c>
      <c r="K27" s="2">
        <v>961326</v>
      </c>
      <c r="L27" s="2"/>
      <c r="M27">
        <v>1812.99</v>
      </c>
      <c r="N27">
        <f t="shared" si="0"/>
        <v>1279.3716666666667</v>
      </c>
      <c r="O27">
        <f t="shared" si="1"/>
        <v>301.75270023094635</v>
      </c>
      <c r="P27">
        <f t="shared" si="2"/>
        <v>977.61896643572027</v>
      </c>
      <c r="Q27">
        <f t="shared" si="3"/>
        <v>1581.1243668976131</v>
      </c>
    </row>
    <row r="28" spans="1:17">
      <c r="A28" s="1">
        <v>31898</v>
      </c>
      <c r="B28">
        <v>6363</v>
      </c>
      <c r="C28">
        <v>1812.99</v>
      </c>
      <c r="D28">
        <v>1906.13</v>
      </c>
      <c r="E28">
        <v>1697.35</v>
      </c>
      <c r="F28">
        <v>1878.61</v>
      </c>
      <c r="G28" s="2">
        <v>203078</v>
      </c>
      <c r="H28">
        <v>3.62</v>
      </c>
      <c r="I28">
        <v>27.49</v>
      </c>
      <c r="J28">
        <v>23148</v>
      </c>
      <c r="K28" s="2">
        <v>999263</v>
      </c>
      <c r="L28" s="2"/>
      <c r="M28">
        <v>1878.61</v>
      </c>
      <c r="N28">
        <f t="shared" si="0"/>
        <v>1426.4333333333334</v>
      </c>
      <c r="O28">
        <f t="shared" si="1"/>
        <v>347.68770387614586</v>
      </c>
      <c r="P28">
        <f t="shared" si="2"/>
        <v>1078.7456294571875</v>
      </c>
      <c r="Q28">
        <f t="shared" si="3"/>
        <v>1774.1210372094793</v>
      </c>
    </row>
    <row r="29" spans="1:17">
      <c r="A29" s="1">
        <v>31929</v>
      </c>
      <c r="B29">
        <v>4794</v>
      </c>
      <c r="C29">
        <v>1878.61</v>
      </c>
      <c r="D29">
        <v>1878.61</v>
      </c>
      <c r="E29">
        <v>1645.45</v>
      </c>
      <c r="F29">
        <v>1648.92</v>
      </c>
      <c r="G29" s="2">
        <v>134731</v>
      </c>
      <c r="H29">
        <v>-12.23</v>
      </c>
      <c r="I29">
        <v>20.51</v>
      </c>
      <c r="J29" s="2">
        <v>23374</v>
      </c>
      <c r="K29" s="2">
        <v>879551</v>
      </c>
      <c r="L29" s="2"/>
      <c r="M29">
        <v>1648.92</v>
      </c>
      <c r="N29">
        <f t="shared" si="0"/>
        <v>1528.0683333333334</v>
      </c>
      <c r="O29">
        <f t="shared" si="1"/>
        <v>297.30005384571803</v>
      </c>
      <c r="P29">
        <f t="shared" si="2"/>
        <v>1230.7682794876155</v>
      </c>
      <c r="Q29">
        <f t="shared" si="3"/>
        <v>1825.3683871790513</v>
      </c>
    </row>
    <row r="30" spans="1:17">
      <c r="A30" s="1">
        <v>31959</v>
      </c>
      <c r="B30">
        <v>5571</v>
      </c>
      <c r="C30">
        <v>1648.92</v>
      </c>
      <c r="D30">
        <v>2051.9</v>
      </c>
      <c r="E30">
        <v>1604.79</v>
      </c>
      <c r="F30">
        <v>2048.21</v>
      </c>
      <c r="G30" s="2">
        <v>180042</v>
      </c>
      <c r="H30">
        <v>24.22</v>
      </c>
      <c r="I30">
        <v>23.14</v>
      </c>
      <c r="J30" s="2">
        <v>24079</v>
      </c>
      <c r="K30" s="2">
        <v>1077252</v>
      </c>
      <c r="L30" s="2"/>
      <c r="M30">
        <v>2048.21</v>
      </c>
      <c r="N30">
        <f t="shared" si="0"/>
        <v>1677.7283333333332</v>
      </c>
      <c r="O30">
        <f t="shared" si="1"/>
        <v>295.07577904102351</v>
      </c>
      <c r="P30">
        <f t="shared" si="2"/>
        <v>1382.6525542923098</v>
      </c>
      <c r="Q30">
        <f t="shared" si="3"/>
        <v>1972.8041123743567</v>
      </c>
    </row>
    <row r="31" spans="1:17">
      <c r="A31" s="1">
        <v>31990</v>
      </c>
      <c r="B31">
        <v>8068</v>
      </c>
      <c r="C31">
        <v>2048.21</v>
      </c>
      <c r="D31">
        <v>3075.23</v>
      </c>
      <c r="E31">
        <v>2045.44</v>
      </c>
      <c r="F31">
        <v>3075.23</v>
      </c>
      <c r="G31" s="2">
        <v>305739</v>
      </c>
      <c r="H31">
        <v>50.14</v>
      </c>
      <c r="I31">
        <v>33.08</v>
      </c>
      <c r="J31" s="2">
        <v>24391</v>
      </c>
      <c r="K31" s="2">
        <v>1570593</v>
      </c>
      <c r="L31" s="2"/>
      <c r="M31">
        <v>3075.23</v>
      </c>
      <c r="N31">
        <f t="shared" si="0"/>
        <v>1978.2449999999999</v>
      </c>
      <c r="O31">
        <f t="shared" si="1"/>
        <v>579.99790957381936</v>
      </c>
      <c r="P31">
        <f t="shared" si="2"/>
        <v>1398.2470904261804</v>
      </c>
      <c r="Q31">
        <f t="shared" si="3"/>
        <v>2558.2429095738194</v>
      </c>
    </row>
    <row r="32" spans="1:17">
      <c r="A32" s="1">
        <v>32021</v>
      </c>
      <c r="B32">
        <v>10345</v>
      </c>
      <c r="C32">
        <v>3075.23</v>
      </c>
      <c r="D32">
        <v>4471.62</v>
      </c>
      <c r="E32">
        <v>3024.21</v>
      </c>
      <c r="F32">
        <v>4459.01</v>
      </c>
      <c r="G32" s="2">
        <v>511581</v>
      </c>
      <c r="H32">
        <v>45</v>
      </c>
      <c r="I32">
        <v>41.98</v>
      </c>
      <c r="J32" s="2">
        <v>24640</v>
      </c>
      <c r="K32" s="2">
        <v>2429096</v>
      </c>
      <c r="L32" s="2"/>
      <c r="M32">
        <v>4459.01</v>
      </c>
      <c r="N32">
        <f t="shared" si="0"/>
        <v>2487.1616666666669</v>
      </c>
      <c r="O32">
        <f t="shared" si="1"/>
        <v>1091.2543643792062</v>
      </c>
      <c r="P32">
        <f t="shared" si="2"/>
        <v>1395.9073022874607</v>
      </c>
      <c r="Q32">
        <f t="shared" si="3"/>
        <v>3578.4160310458728</v>
      </c>
    </row>
    <row r="33" spans="1:17">
      <c r="A33" s="1">
        <v>32051</v>
      </c>
      <c r="B33">
        <v>5621</v>
      </c>
      <c r="C33">
        <v>4459.01</v>
      </c>
      <c r="D33">
        <v>4796.7299999999996</v>
      </c>
      <c r="E33">
        <v>2701</v>
      </c>
      <c r="F33">
        <v>2722.32</v>
      </c>
      <c r="G33" s="2">
        <v>317966</v>
      </c>
      <c r="H33">
        <v>-38.950000000000003</v>
      </c>
      <c r="I33">
        <v>22.53</v>
      </c>
      <c r="J33" s="2">
        <v>24944</v>
      </c>
      <c r="K33" s="2">
        <v>1471324</v>
      </c>
      <c r="L33" s="2"/>
      <c r="M33">
        <v>2722.32</v>
      </c>
      <c r="N33">
        <f t="shared" si="0"/>
        <v>2638.7166666666667</v>
      </c>
      <c r="O33">
        <f t="shared" si="1"/>
        <v>1040.8802943982882</v>
      </c>
      <c r="P33">
        <f t="shared" si="2"/>
        <v>1597.8363722683785</v>
      </c>
      <c r="Q33">
        <f t="shared" si="3"/>
        <v>3679.5969610649549</v>
      </c>
    </row>
    <row r="34" spans="1:17">
      <c r="A34" s="1">
        <v>32082</v>
      </c>
      <c r="B34">
        <v>5969</v>
      </c>
      <c r="C34">
        <v>2722.32</v>
      </c>
      <c r="D34">
        <v>3055.76</v>
      </c>
      <c r="E34">
        <v>2448.1</v>
      </c>
      <c r="F34">
        <v>2952.51</v>
      </c>
      <c r="G34" s="2">
        <v>238365</v>
      </c>
      <c r="H34">
        <v>8.4600000000000009</v>
      </c>
      <c r="I34">
        <v>22.98</v>
      </c>
      <c r="J34" s="2">
        <v>25974</v>
      </c>
      <c r="K34" s="2">
        <v>1633131</v>
      </c>
      <c r="L34" s="2"/>
      <c r="M34">
        <v>2952.51</v>
      </c>
      <c r="N34">
        <f t="shared" si="0"/>
        <v>2817.7000000000003</v>
      </c>
      <c r="O34">
        <f t="shared" si="1"/>
        <v>974.23332379877058</v>
      </c>
      <c r="P34">
        <f t="shared" si="2"/>
        <v>1843.4666762012298</v>
      </c>
      <c r="Q34">
        <f t="shared" si="3"/>
        <v>3791.9333237987707</v>
      </c>
    </row>
    <row r="35" spans="1:17">
      <c r="A35" s="1">
        <v>32112</v>
      </c>
      <c r="B35">
        <v>5144</v>
      </c>
      <c r="C35">
        <v>2952.51</v>
      </c>
      <c r="D35">
        <v>2991.78</v>
      </c>
      <c r="E35">
        <v>2241.25</v>
      </c>
      <c r="F35">
        <v>2339.86</v>
      </c>
      <c r="G35" s="2">
        <v>219660</v>
      </c>
      <c r="H35">
        <v>-20.75</v>
      </c>
      <c r="I35">
        <v>19.52</v>
      </c>
      <c r="J35" s="2">
        <v>26352</v>
      </c>
      <c r="K35" s="2">
        <v>1351798</v>
      </c>
      <c r="L35" s="2"/>
      <c r="M35">
        <v>2339.86</v>
      </c>
      <c r="N35">
        <f t="shared" si="0"/>
        <v>2932.8566666666666</v>
      </c>
      <c r="O35">
        <f t="shared" si="1"/>
        <v>840.04415073653536</v>
      </c>
      <c r="P35">
        <f t="shared" si="2"/>
        <v>2092.8125159301312</v>
      </c>
      <c r="Q35">
        <f t="shared" si="3"/>
        <v>3772.9008174032019</v>
      </c>
    </row>
    <row r="36" spans="1:17">
      <c r="A36" s="1">
        <v>32143</v>
      </c>
      <c r="B36">
        <v>5973</v>
      </c>
      <c r="C36">
        <v>2339.86</v>
      </c>
      <c r="D36">
        <v>2908.12</v>
      </c>
      <c r="E36">
        <v>2306.65</v>
      </c>
      <c r="F36">
        <v>2843.87</v>
      </c>
      <c r="G36" s="2">
        <v>258170</v>
      </c>
      <c r="H36">
        <v>21.54</v>
      </c>
      <c r="I36">
        <v>22.67</v>
      </c>
      <c r="J36" s="2">
        <v>26348</v>
      </c>
      <c r="K36" s="2">
        <v>1603895</v>
      </c>
      <c r="L36" s="2"/>
      <c r="M36">
        <v>2843.87</v>
      </c>
      <c r="N36">
        <f t="shared" si="0"/>
        <v>3065.4666666666667</v>
      </c>
      <c r="O36">
        <f t="shared" si="1"/>
        <v>727.76057949484164</v>
      </c>
      <c r="P36">
        <f t="shared" si="2"/>
        <v>2337.7060871718249</v>
      </c>
      <c r="Q36">
        <f t="shared" si="3"/>
        <v>3793.2272461615084</v>
      </c>
    </row>
    <row r="37" spans="1:17">
      <c r="A37" s="1">
        <v>32174</v>
      </c>
      <c r="B37">
        <v>6046</v>
      </c>
      <c r="C37">
        <v>2843.87</v>
      </c>
      <c r="D37">
        <v>3509.53</v>
      </c>
      <c r="E37">
        <v>2802.05</v>
      </c>
      <c r="F37">
        <v>3499.01</v>
      </c>
      <c r="G37" s="2">
        <v>296553</v>
      </c>
      <c r="H37">
        <v>23.04</v>
      </c>
      <c r="I37">
        <v>22.38</v>
      </c>
      <c r="J37" s="2">
        <v>27014</v>
      </c>
      <c r="K37" s="2">
        <v>2026341</v>
      </c>
      <c r="L37" s="2"/>
      <c r="M37">
        <v>3499.01</v>
      </c>
      <c r="N37">
        <f t="shared" si="0"/>
        <v>3136.0966666666668</v>
      </c>
      <c r="O37">
        <f t="shared" si="1"/>
        <v>749.14754529843128</v>
      </c>
      <c r="P37">
        <f t="shared" si="2"/>
        <v>2386.9491213682354</v>
      </c>
      <c r="Q37">
        <f t="shared" si="3"/>
        <v>3885.2442119650982</v>
      </c>
    </row>
    <row r="38" spans="1:17">
      <c r="A38" s="1">
        <v>32203</v>
      </c>
      <c r="B38">
        <v>6506</v>
      </c>
      <c r="C38">
        <v>3499.01</v>
      </c>
      <c r="D38">
        <v>3534.9</v>
      </c>
      <c r="E38">
        <v>3171.41</v>
      </c>
      <c r="F38">
        <v>3373.86</v>
      </c>
      <c r="G38" s="2">
        <v>376494</v>
      </c>
      <c r="H38">
        <v>-3.58</v>
      </c>
      <c r="I38">
        <v>24.02</v>
      </c>
      <c r="J38" s="2">
        <v>27080</v>
      </c>
      <c r="K38" s="2">
        <v>1937609</v>
      </c>
      <c r="L38" s="2"/>
      <c r="M38">
        <v>3373.86</v>
      </c>
      <c r="N38">
        <f t="shared" si="0"/>
        <v>2955.2383333333332</v>
      </c>
      <c r="O38">
        <f t="shared" si="1"/>
        <v>428.08492565922899</v>
      </c>
      <c r="P38">
        <f t="shared" si="2"/>
        <v>2527.1534076741041</v>
      </c>
      <c r="Q38">
        <f t="shared" si="3"/>
        <v>3383.3232589925624</v>
      </c>
    </row>
    <row r="39" spans="1:17">
      <c r="A39" s="1">
        <v>32234</v>
      </c>
      <c r="B39">
        <v>8140</v>
      </c>
      <c r="C39">
        <v>3373.86</v>
      </c>
      <c r="D39">
        <v>4158.4399999999996</v>
      </c>
      <c r="E39">
        <v>3360.27</v>
      </c>
      <c r="F39">
        <v>4158.4399999999996</v>
      </c>
      <c r="G39" s="2">
        <v>488501</v>
      </c>
      <c r="H39">
        <v>23.25</v>
      </c>
      <c r="I39">
        <v>29.88</v>
      </c>
      <c r="J39" s="2">
        <v>27238</v>
      </c>
      <c r="K39" s="2">
        <v>2375954</v>
      </c>
      <c r="L39" s="2"/>
      <c r="M39">
        <v>4158.4399999999996</v>
      </c>
      <c r="N39">
        <f t="shared" si="0"/>
        <v>3194.5916666666667</v>
      </c>
      <c r="O39">
        <f t="shared" si="1"/>
        <v>627.05449675181069</v>
      </c>
      <c r="P39">
        <f t="shared" si="2"/>
        <v>2567.5371699148559</v>
      </c>
      <c r="Q39">
        <f t="shared" si="3"/>
        <v>3821.6461634184775</v>
      </c>
    </row>
    <row r="40" spans="1:17">
      <c r="A40" s="1">
        <v>32264</v>
      </c>
      <c r="B40">
        <v>9221</v>
      </c>
      <c r="C40">
        <v>4158.4399999999996</v>
      </c>
      <c r="D40">
        <v>4785.03</v>
      </c>
      <c r="E40">
        <v>4144.3500000000004</v>
      </c>
      <c r="F40">
        <v>4476.26</v>
      </c>
      <c r="G40" s="2">
        <v>637462</v>
      </c>
      <c r="H40">
        <v>7.64</v>
      </c>
      <c r="I40">
        <v>33.520000000000003</v>
      </c>
      <c r="J40" s="2">
        <v>27506</v>
      </c>
      <c r="K40" s="2">
        <v>2522698</v>
      </c>
      <c r="L40" s="2"/>
      <c r="M40">
        <v>4476.26</v>
      </c>
      <c r="N40">
        <f t="shared" si="0"/>
        <v>3448.5500000000006</v>
      </c>
      <c r="O40">
        <f t="shared" si="1"/>
        <v>795.37260229404137</v>
      </c>
      <c r="P40">
        <f t="shared" si="2"/>
        <v>2653.1773977059593</v>
      </c>
      <c r="Q40">
        <f t="shared" si="3"/>
        <v>4243.922602294042</v>
      </c>
    </row>
    <row r="41" spans="1:17">
      <c r="A41" s="1">
        <v>32295</v>
      </c>
      <c r="B41">
        <v>8272</v>
      </c>
      <c r="C41">
        <v>4476.26</v>
      </c>
      <c r="D41">
        <v>5265.24</v>
      </c>
      <c r="E41">
        <v>4476.26</v>
      </c>
      <c r="F41">
        <v>4846.03</v>
      </c>
      <c r="G41" s="2">
        <v>681335</v>
      </c>
      <c r="H41">
        <v>8.26</v>
      </c>
      <c r="I41">
        <v>29.56</v>
      </c>
      <c r="J41" s="2">
        <v>27988</v>
      </c>
      <c r="K41" s="2">
        <v>2668260</v>
      </c>
      <c r="L41" s="2"/>
      <c r="M41">
        <v>4846.03</v>
      </c>
      <c r="N41">
        <f t="shared" si="0"/>
        <v>3866.2450000000003</v>
      </c>
      <c r="O41">
        <f t="shared" si="1"/>
        <v>753.66173294787757</v>
      </c>
      <c r="P41">
        <f t="shared" si="2"/>
        <v>3112.5832670521227</v>
      </c>
      <c r="Q41">
        <f t="shared" si="3"/>
        <v>4619.9067329478776</v>
      </c>
    </row>
    <row r="42" spans="1:17">
      <c r="A42" s="1">
        <v>32325</v>
      </c>
      <c r="B42">
        <v>6324</v>
      </c>
      <c r="C42">
        <v>4846.03</v>
      </c>
      <c r="D42">
        <v>6248.02</v>
      </c>
      <c r="E42">
        <v>4846.03</v>
      </c>
      <c r="F42">
        <v>6248.02</v>
      </c>
      <c r="G42">
        <v>599361</v>
      </c>
      <c r="H42">
        <v>28.93</v>
      </c>
      <c r="I42">
        <v>21.97</v>
      </c>
      <c r="J42" s="2">
        <v>28781</v>
      </c>
      <c r="K42" s="2">
        <v>3358628</v>
      </c>
      <c r="L42" s="2"/>
      <c r="M42">
        <v>6248.02</v>
      </c>
      <c r="N42">
        <f t="shared" si="0"/>
        <v>4433.6033333333335</v>
      </c>
      <c r="O42">
        <f t="shared" si="1"/>
        <v>1052.260298417965</v>
      </c>
      <c r="P42">
        <f t="shared" si="2"/>
        <v>3381.3430349153687</v>
      </c>
      <c r="Q42">
        <f t="shared" si="3"/>
        <v>5485.8636317512983</v>
      </c>
    </row>
    <row r="43" spans="1:17">
      <c r="A43" s="1">
        <v>32356</v>
      </c>
      <c r="B43">
        <v>11522</v>
      </c>
      <c r="C43">
        <v>6248.02</v>
      </c>
      <c r="D43">
        <v>8372.2800000000007</v>
      </c>
      <c r="E43">
        <v>6211.4</v>
      </c>
      <c r="F43">
        <v>7680.48</v>
      </c>
      <c r="G43" s="2">
        <v>1025982</v>
      </c>
      <c r="H43">
        <v>22.93</v>
      </c>
      <c r="I43">
        <v>38.83</v>
      </c>
      <c r="J43" s="2">
        <v>29670</v>
      </c>
      <c r="K43" s="2">
        <v>4162578</v>
      </c>
      <c r="L43" s="2"/>
      <c r="M43">
        <v>7680.48</v>
      </c>
      <c r="N43">
        <f t="shared" si="0"/>
        <v>5130.5150000000003</v>
      </c>
      <c r="O43">
        <f t="shared" si="1"/>
        <v>1567.8575726863721</v>
      </c>
      <c r="P43">
        <f t="shared" si="2"/>
        <v>3562.6574273136284</v>
      </c>
      <c r="Q43">
        <f t="shared" si="3"/>
        <v>6698.3725726863722</v>
      </c>
    </row>
    <row r="44" spans="1:17">
      <c r="A44" s="1">
        <v>32387</v>
      </c>
      <c r="B44">
        <v>11268</v>
      </c>
      <c r="C44">
        <v>7680.48</v>
      </c>
      <c r="D44">
        <v>8813.75</v>
      </c>
      <c r="E44">
        <v>7568.8</v>
      </c>
      <c r="F44">
        <v>8402.93</v>
      </c>
      <c r="G44" s="2">
        <v>1068395</v>
      </c>
      <c r="H44">
        <v>9.41</v>
      </c>
      <c r="I44">
        <v>37.15</v>
      </c>
      <c r="J44" s="2">
        <v>30328</v>
      </c>
      <c r="K44" s="2">
        <v>4658663</v>
      </c>
      <c r="L44" s="2"/>
      <c r="M44">
        <v>8402.93</v>
      </c>
      <c r="N44">
        <f t="shared" si="0"/>
        <v>5968.6933333333336</v>
      </c>
      <c r="O44">
        <f t="shared" si="1"/>
        <v>1771.9194379843161</v>
      </c>
      <c r="P44">
        <f t="shared" si="2"/>
        <v>4196.773895349017</v>
      </c>
      <c r="Q44">
        <f t="shared" si="3"/>
        <v>7740.6127713176502</v>
      </c>
    </row>
    <row r="45" spans="1:17">
      <c r="A45" s="1">
        <v>32417</v>
      </c>
      <c r="B45">
        <v>4321</v>
      </c>
      <c r="C45">
        <v>8402.93</v>
      </c>
      <c r="D45">
        <v>8402.93</v>
      </c>
      <c r="E45">
        <v>5585.44</v>
      </c>
      <c r="F45">
        <v>6226.01</v>
      </c>
      <c r="G45" s="2">
        <v>301712</v>
      </c>
      <c r="H45">
        <v>-25.91</v>
      </c>
      <c r="I45">
        <v>14.09</v>
      </c>
      <c r="J45" s="2">
        <v>30671</v>
      </c>
      <c r="K45" s="2">
        <v>3418394</v>
      </c>
      <c r="L45" s="2"/>
      <c r="M45">
        <v>6226.01</v>
      </c>
      <c r="N45">
        <f t="shared" si="0"/>
        <v>6313.2883333333339</v>
      </c>
      <c r="O45">
        <f t="shared" si="1"/>
        <v>1534.6148002338123</v>
      </c>
      <c r="P45">
        <f t="shared" si="2"/>
        <v>4778.6735330995216</v>
      </c>
      <c r="Q45">
        <f t="shared" si="3"/>
        <v>7847.9031335671461</v>
      </c>
    </row>
    <row r="46" spans="1:17">
      <c r="A46" s="1">
        <v>32448</v>
      </c>
      <c r="B46">
        <v>16960</v>
      </c>
      <c r="C46">
        <v>6226.01</v>
      </c>
      <c r="D46">
        <v>7596.79</v>
      </c>
      <c r="E46">
        <v>6023.4</v>
      </c>
      <c r="F46">
        <v>6814.11</v>
      </c>
      <c r="G46" s="2">
        <v>1404946</v>
      </c>
      <c r="H46">
        <v>9.4499999999999993</v>
      </c>
      <c r="I46">
        <v>54.22</v>
      </c>
      <c r="J46" s="2">
        <v>31282</v>
      </c>
      <c r="K46" s="2">
        <v>3777135</v>
      </c>
      <c r="L46" s="2"/>
      <c r="M46">
        <v>6814.11</v>
      </c>
      <c r="N46">
        <f t="shared" si="0"/>
        <v>6702.93</v>
      </c>
      <c r="O46">
        <f t="shared" si="1"/>
        <v>1244.2217165280467</v>
      </c>
      <c r="P46">
        <f t="shared" si="2"/>
        <v>5458.7082834719531</v>
      </c>
      <c r="Q46">
        <f t="shared" si="3"/>
        <v>7947.1517165280475</v>
      </c>
    </row>
    <row r="47" spans="1:17">
      <c r="A47" s="1">
        <v>32478</v>
      </c>
      <c r="B47">
        <v>10763</v>
      </c>
      <c r="C47">
        <v>6814.11</v>
      </c>
      <c r="D47">
        <v>6908.51</v>
      </c>
      <c r="E47">
        <v>4796.08</v>
      </c>
      <c r="F47">
        <v>5119.1099999999997</v>
      </c>
      <c r="G47" s="2">
        <v>776192</v>
      </c>
      <c r="H47">
        <v>-24.87</v>
      </c>
      <c r="I47">
        <v>33.94</v>
      </c>
      <c r="J47" s="2">
        <v>31710</v>
      </c>
      <c r="K47" s="2">
        <v>2871755</v>
      </c>
      <c r="L47" s="2"/>
      <c r="M47">
        <v>5119.1099999999997</v>
      </c>
      <c r="N47">
        <f t="shared" si="0"/>
        <v>6748.4433333333336</v>
      </c>
      <c r="O47">
        <f t="shared" si="1"/>
        <v>1165.1967903091158</v>
      </c>
      <c r="P47">
        <f t="shared" si="2"/>
        <v>5583.2465430242173</v>
      </c>
      <c r="Q47">
        <f t="shared" si="3"/>
        <v>7913.6401236424499</v>
      </c>
    </row>
    <row r="48" spans="1:17">
      <c r="A48" s="1">
        <v>32509</v>
      </c>
      <c r="B48">
        <v>8390</v>
      </c>
      <c r="C48">
        <v>5119.1099999999997</v>
      </c>
      <c r="D48">
        <v>6201.39</v>
      </c>
      <c r="E48">
        <v>4645.9799999999996</v>
      </c>
      <c r="F48">
        <v>6157.12</v>
      </c>
      <c r="G48" s="2">
        <v>604333</v>
      </c>
      <c r="H48">
        <v>20.28</v>
      </c>
      <c r="I48">
        <v>26.21</v>
      </c>
      <c r="J48" s="2">
        <v>32011</v>
      </c>
      <c r="K48" s="2">
        <v>3448266</v>
      </c>
      <c r="L48" s="2"/>
      <c r="M48">
        <v>6157.12</v>
      </c>
      <c r="N48">
        <f t="shared" si="0"/>
        <v>6733.293333333334</v>
      </c>
      <c r="O48">
        <f t="shared" si="1"/>
        <v>1173.5655446316778</v>
      </c>
      <c r="P48">
        <f t="shared" si="2"/>
        <v>5559.7277887016562</v>
      </c>
      <c r="Q48">
        <f t="shared" si="3"/>
        <v>7906.8588779650117</v>
      </c>
    </row>
    <row r="49" spans="1:17">
      <c r="A49" s="1">
        <v>32540</v>
      </c>
      <c r="B49">
        <v>10094</v>
      </c>
      <c r="C49">
        <v>6157.12</v>
      </c>
      <c r="D49">
        <v>7008.34</v>
      </c>
      <c r="E49">
        <v>6157.12</v>
      </c>
      <c r="F49">
        <v>7004.44</v>
      </c>
      <c r="G49" s="2">
        <v>726665</v>
      </c>
      <c r="H49">
        <v>13.76</v>
      </c>
      <c r="I49">
        <v>30.21</v>
      </c>
      <c r="J49" s="2">
        <v>33415</v>
      </c>
      <c r="K49" s="2">
        <v>4046510</v>
      </c>
      <c r="L49" s="2"/>
      <c r="M49">
        <v>7004.44</v>
      </c>
      <c r="N49">
        <f t="shared" si="0"/>
        <v>6620.62</v>
      </c>
      <c r="O49">
        <f t="shared" si="1"/>
        <v>1094.2090011327773</v>
      </c>
      <c r="P49">
        <f t="shared" si="2"/>
        <v>5526.4109988672226</v>
      </c>
      <c r="Q49">
        <f t="shared" si="3"/>
        <v>7714.8290011327772</v>
      </c>
    </row>
    <row r="50" spans="1:17">
      <c r="A50" s="1">
        <v>32568</v>
      </c>
      <c r="B50">
        <v>19813</v>
      </c>
      <c r="C50">
        <v>7004.44</v>
      </c>
      <c r="D50">
        <v>7674.79</v>
      </c>
      <c r="E50">
        <v>7004.44</v>
      </c>
      <c r="F50">
        <v>7390.15</v>
      </c>
      <c r="G50" s="2">
        <v>1550437</v>
      </c>
      <c r="H50">
        <v>5.51</v>
      </c>
      <c r="I50">
        <v>58.47</v>
      </c>
      <c r="J50" s="2">
        <v>33884</v>
      </c>
      <c r="K50" s="2">
        <v>4300779</v>
      </c>
      <c r="L50" s="2"/>
      <c r="M50">
        <v>7390.15</v>
      </c>
      <c r="N50">
        <f t="shared" si="0"/>
        <v>6451.8233333333328</v>
      </c>
      <c r="O50">
        <f t="shared" si="1"/>
        <v>803.87316008600669</v>
      </c>
      <c r="P50">
        <f t="shared" si="2"/>
        <v>5647.9501732473263</v>
      </c>
      <c r="Q50">
        <f t="shared" si="3"/>
        <v>7255.6964934193393</v>
      </c>
    </row>
    <row r="51" spans="1:17">
      <c r="A51" s="1">
        <v>32599</v>
      </c>
      <c r="B51">
        <v>21584</v>
      </c>
      <c r="C51">
        <v>7390.15</v>
      </c>
      <c r="D51">
        <v>8194.7999999999993</v>
      </c>
      <c r="E51">
        <v>6972.54</v>
      </c>
      <c r="F51">
        <v>7933.71</v>
      </c>
      <c r="G51" s="2">
        <v>1884594</v>
      </c>
      <c r="H51">
        <v>7.36</v>
      </c>
      <c r="I51">
        <v>63.56</v>
      </c>
      <c r="J51" s="2">
        <v>33960</v>
      </c>
      <c r="K51" s="2">
        <v>4590602</v>
      </c>
      <c r="L51" s="2"/>
      <c r="M51">
        <v>7933.71</v>
      </c>
      <c r="N51">
        <f t="shared" si="0"/>
        <v>6736.44</v>
      </c>
      <c r="O51">
        <f t="shared" si="1"/>
        <v>988.94052775685009</v>
      </c>
      <c r="P51">
        <f t="shared" si="2"/>
        <v>5747.4994722431493</v>
      </c>
      <c r="Q51">
        <f t="shared" si="3"/>
        <v>7725.3805277568499</v>
      </c>
    </row>
    <row r="52" spans="1:17">
      <c r="A52" s="1">
        <v>32629</v>
      </c>
      <c r="B52">
        <v>27162</v>
      </c>
      <c r="C52">
        <v>7933.71</v>
      </c>
      <c r="D52">
        <v>9929.31</v>
      </c>
      <c r="E52">
        <v>7933.71</v>
      </c>
      <c r="F52">
        <v>9832.3799999999992</v>
      </c>
      <c r="G52" s="2">
        <v>2805439</v>
      </c>
      <c r="H52">
        <v>23.93</v>
      </c>
      <c r="I52">
        <v>78.989999999999995</v>
      </c>
      <c r="J52" s="2">
        <v>34385</v>
      </c>
      <c r="K52" s="2">
        <v>5743691</v>
      </c>
      <c r="L52" s="2"/>
      <c r="M52">
        <v>9832.3799999999992</v>
      </c>
      <c r="N52">
        <f t="shared" si="0"/>
        <v>7239.4849999999997</v>
      </c>
      <c r="O52">
        <f t="shared" si="1"/>
        <v>1609.3789522514553</v>
      </c>
      <c r="P52">
        <f t="shared" si="2"/>
        <v>5630.1060477485444</v>
      </c>
      <c r="Q52">
        <f t="shared" si="3"/>
        <v>8848.863952251455</v>
      </c>
    </row>
    <row r="53" spans="1:17">
      <c r="A53" s="1">
        <v>32660</v>
      </c>
      <c r="B53">
        <v>18084</v>
      </c>
      <c r="C53">
        <v>9832.3799999999992</v>
      </c>
      <c r="D53">
        <v>10249.24</v>
      </c>
      <c r="E53">
        <v>8304.49</v>
      </c>
      <c r="F53">
        <v>9205.06</v>
      </c>
      <c r="G53" s="2">
        <v>2158659</v>
      </c>
      <c r="H53">
        <v>-6.38</v>
      </c>
      <c r="I53">
        <v>52.02</v>
      </c>
      <c r="J53" s="2">
        <v>34763</v>
      </c>
      <c r="K53" s="2">
        <v>5293466</v>
      </c>
      <c r="L53" s="2"/>
      <c r="M53">
        <v>9205.06</v>
      </c>
      <c r="N53">
        <f t="shared" si="0"/>
        <v>7920.4766666666656</v>
      </c>
      <c r="O53">
        <f t="shared" si="1"/>
        <v>1380.9779215710441</v>
      </c>
      <c r="P53">
        <f t="shared" si="2"/>
        <v>6539.4987450956214</v>
      </c>
      <c r="Q53">
        <f t="shared" si="3"/>
        <v>9301.4545882377097</v>
      </c>
    </row>
    <row r="54" spans="1:17">
      <c r="A54" s="1">
        <v>32690</v>
      </c>
      <c r="B54">
        <v>16878</v>
      </c>
      <c r="C54">
        <v>9205.06</v>
      </c>
      <c r="D54">
        <v>9532.52</v>
      </c>
      <c r="E54">
        <v>7699.14</v>
      </c>
      <c r="F54">
        <v>9504.2000000000007</v>
      </c>
      <c r="G54" s="2">
        <v>1722134</v>
      </c>
      <c r="H54">
        <v>3.25</v>
      </c>
      <c r="I54">
        <v>46.9</v>
      </c>
      <c r="J54" s="2">
        <v>35985</v>
      </c>
      <c r="K54" s="2">
        <v>5470006</v>
      </c>
      <c r="L54" s="2"/>
      <c r="M54">
        <v>9504.2000000000007</v>
      </c>
      <c r="N54">
        <f t="shared" si="0"/>
        <v>8478.3233333333337</v>
      </c>
      <c r="O54">
        <f t="shared" si="1"/>
        <v>1188.8730412397542</v>
      </c>
      <c r="P54">
        <f t="shared" si="2"/>
        <v>7289.4502920935793</v>
      </c>
      <c r="Q54">
        <f t="shared" si="3"/>
        <v>9667.1963745730882</v>
      </c>
    </row>
    <row r="55" spans="1:17">
      <c r="A55" s="1">
        <v>32721</v>
      </c>
      <c r="B55">
        <v>28322</v>
      </c>
      <c r="C55">
        <v>9504.2000000000007</v>
      </c>
      <c r="D55">
        <v>10224.31</v>
      </c>
      <c r="E55">
        <v>9140.35</v>
      </c>
      <c r="F55">
        <v>9924.2999999999993</v>
      </c>
      <c r="G55" s="2">
        <v>3322845</v>
      </c>
      <c r="H55">
        <v>4.42</v>
      </c>
      <c r="I55">
        <v>75.62</v>
      </c>
      <c r="J55" s="2">
        <v>37451</v>
      </c>
      <c r="K55" s="2">
        <v>5714741</v>
      </c>
      <c r="L55" s="2"/>
      <c r="M55">
        <v>9924.2999999999993</v>
      </c>
      <c r="N55">
        <f t="shared" si="0"/>
        <v>8964.9666666666672</v>
      </c>
      <c r="O55">
        <f t="shared" si="1"/>
        <v>1054.957968635078</v>
      </c>
      <c r="P55">
        <f t="shared" si="2"/>
        <v>7910.0086980315891</v>
      </c>
      <c r="Q55">
        <f t="shared" si="3"/>
        <v>10019.924635301744</v>
      </c>
    </row>
    <row r="56" spans="1:17">
      <c r="A56" s="1">
        <v>32752</v>
      </c>
      <c r="B56">
        <v>22662</v>
      </c>
      <c r="C56">
        <v>9924.2999999999993</v>
      </c>
      <c r="D56">
        <v>10843.96</v>
      </c>
      <c r="E56">
        <v>9892.56</v>
      </c>
      <c r="F56">
        <v>10180.84</v>
      </c>
      <c r="G56" s="2">
        <v>2901368</v>
      </c>
      <c r="H56">
        <v>2.59</v>
      </c>
      <c r="I56">
        <v>59.26</v>
      </c>
      <c r="J56" s="2">
        <v>38240</v>
      </c>
      <c r="K56" s="2">
        <v>6029172</v>
      </c>
      <c r="L56" s="2"/>
      <c r="M56">
        <v>10180.84</v>
      </c>
      <c r="N56">
        <f t="shared" si="0"/>
        <v>9430.0816666666669</v>
      </c>
      <c r="O56">
        <f t="shared" si="1"/>
        <v>808.08294471339161</v>
      </c>
      <c r="P56">
        <f t="shared" si="2"/>
        <v>8621.9987219532759</v>
      </c>
      <c r="Q56">
        <f t="shared" si="3"/>
        <v>10238.164611380058</v>
      </c>
    </row>
    <row r="57" spans="1:17">
      <c r="A57" s="1">
        <v>32782</v>
      </c>
      <c r="B57">
        <v>20465</v>
      </c>
      <c r="C57">
        <v>10180.84</v>
      </c>
      <c r="D57">
        <v>10609.51</v>
      </c>
      <c r="E57">
        <v>9252.94</v>
      </c>
      <c r="F57">
        <v>10602.07</v>
      </c>
      <c r="G57" s="2">
        <v>2704648</v>
      </c>
      <c r="H57">
        <v>4.1399999999999997</v>
      </c>
      <c r="I57">
        <v>51.82</v>
      </c>
      <c r="J57" s="2">
        <v>39491</v>
      </c>
      <c r="K57" s="2">
        <v>6334112</v>
      </c>
      <c r="L57" s="2"/>
      <c r="M57">
        <v>10602.07</v>
      </c>
      <c r="N57">
        <f t="shared" si="0"/>
        <v>9874.8083333333325</v>
      </c>
      <c r="O57">
        <f t="shared" si="1"/>
        <v>492.48916091287396</v>
      </c>
      <c r="P57">
        <f t="shared" si="2"/>
        <v>9382.3191724204589</v>
      </c>
      <c r="Q57">
        <f t="shared" si="3"/>
        <v>10367.297494246206</v>
      </c>
    </row>
    <row r="58" spans="1:17">
      <c r="A58" s="1">
        <v>32813</v>
      </c>
      <c r="B58">
        <v>24017</v>
      </c>
      <c r="C58">
        <v>10602.07</v>
      </c>
      <c r="D58">
        <v>10739.37</v>
      </c>
      <c r="E58">
        <v>9024.51</v>
      </c>
      <c r="F58">
        <v>9402.56</v>
      </c>
      <c r="G58" s="2">
        <v>3077414</v>
      </c>
      <c r="H58">
        <v>-11.31</v>
      </c>
      <c r="I58">
        <v>60.24</v>
      </c>
      <c r="J58" s="2">
        <v>39869</v>
      </c>
      <c r="K58" s="2">
        <v>5570518</v>
      </c>
      <c r="L58" s="2"/>
      <c r="M58">
        <v>9402.56</v>
      </c>
      <c r="N58">
        <f t="shared" si="0"/>
        <v>9803.1716666666671</v>
      </c>
      <c r="O58">
        <f t="shared" si="1"/>
        <v>529.74622620332718</v>
      </c>
      <c r="P58">
        <f t="shared" si="2"/>
        <v>9273.4254404633393</v>
      </c>
      <c r="Q58">
        <f t="shared" si="3"/>
        <v>10332.917892869995</v>
      </c>
    </row>
    <row r="59" spans="1:17">
      <c r="A59" s="1">
        <v>32843</v>
      </c>
      <c r="B59">
        <v>21082</v>
      </c>
      <c r="C59">
        <v>9402.56</v>
      </c>
      <c r="D59">
        <v>9686.7800000000007</v>
      </c>
      <c r="E59">
        <v>7887.57</v>
      </c>
      <c r="F59">
        <v>9624.18</v>
      </c>
      <c r="G59" s="2">
        <v>2220434</v>
      </c>
      <c r="H59">
        <v>2.36</v>
      </c>
      <c r="I59">
        <v>51.32</v>
      </c>
      <c r="J59" s="2">
        <v>41080</v>
      </c>
      <c r="K59" s="2">
        <v>5783654</v>
      </c>
      <c r="L59" s="2"/>
      <c r="M59">
        <v>9624.18</v>
      </c>
      <c r="N59">
        <f t="shared" si="0"/>
        <v>9873.0249999999996</v>
      </c>
      <c r="O59">
        <f t="shared" si="1"/>
        <v>457.85998793299234</v>
      </c>
      <c r="P59">
        <f t="shared" si="2"/>
        <v>9415.1650120670074</v>
      </c>
      <c r="Q59">
        <f t="shared" si="3"/>
        <v>10330.884987932992</v>
      </c>
    </row>
    <row r="60" spans="1:17">
      <c r="A60" s="1">
        <v>32874</v>
      </c>
      <c r="B60">
        <v>18953</v>
      </c>
      <c r="C60">
        <v>9624.18</v>
      </c>
      <c r="D60">
        <v>12302</v>
      </c>
      <c r="E60">
        <v>9595.01</v>
      </c>
      <c r="F60">
        <v>12054.35</v>
      </c>
      <c r="G60" s="2">
        <v>2343962</v>
      </c>
      <c r="H60">
        <v>25.25</v>
      </c>
      <c r="I60">
        <v>45.74</v>
      </c>
      <c r="J60" s="2">
        <v>41436</v>
      </c>
      <c r="K60" s="2">
        <v>7299542</v>
      </c>
      <c r="L60" s="2"/>
      <c r="M60">
        <v>12054.35</v>
      </c>
      <c r="N60">
        <f t="shared" si="0"/>
        <v>10298.049999999999</v>
      </c>
      <c r="O60">
        <f t="shared" si="1"/>
        <v>957.75239117425349</v>
      </c>
      <c r="P60">
        <f t="shared" si="2"/>
        <v>9340.2976088257456</v>
      </c>
      <c r="Q60">
        <f t="shared" si="3"/>
        <v>11255.802391174253</v>
      </c>
    </row>
    <row r="61" spans="1:17">
      <c r="A61" s="1">
        <v>32905</v>
      </c>
      <c r="B61">
        <v>30507</v>
      </c>
      <c r="C61">
        <v>12054.35</v>
      </c>
      <c r="D61">
        <v>12682.41</v>
      </c>
      <c r="E61">
        <v>10995.78</v>
      </c>
      <c r="F61">
        <v>11661.73</v>
      </c>
      <c r="G61" s="2">
        <v>3524568</v>
      </c>
      <c r="H61">
        <v>-3.26</v>
      </c>
      <c r="I61">
        <v>72.34</v>
      </c>
      <c r="J61" s="2">
        <v>42174</v>
      </c>
      <c r="K61" s="2">
        <v>7150159</v>
      </c>
      <c r="L61" s="2"/>
      <c r="M61">
        <v>11661.73</v>
      </c>
      <c r="N61">
        <f t="shared" si="0"/>
        <v>10587.621666666666</v>
      </c>
      <c r="O61">
        <f t="shared" si="1"/>
        <v>1077.3366969599927</v>
      </c>
      <c r="P61">
        <f t="shared" si="2"/>
        <v>9510.284969706674</v>
      </c>
      <c r="Q61">
        <f t="shared" si="3"/>
        <v>11664.958363626658</v>
      </c>
    </row>
    <row r="62" spans="1:17">
      <c r="A62" s="1">
        <v>32933</v>
      </c>
      <c r="B62">
        <v>31673</v>
      </c>
      <c r="C62">
        <v>11661.73</v>
      </c>
      <c r="D62">
        <v>12065.72</v>
      </c>
      <c r="E62">
        <v>10145.17</v>
      </c>
      <c r="F62">
        <v>10755.87</v>
      </c>
      <c r="G62" s="2">
        <v>3247959</v>
      </c>
      <c r="H62">
        <v>-7.77</v>
      </c>
      <c r="I62">
        <v>74.37</v>
      </c>
      <c r="J62" s="2">
        <v>42588</v>
      </c>
      <c r="K62" s="2">
        <v>6658044</v>
      </c>
      <c r="L62" s="2"/>
      <c r="M62">
        <v>10755.87</v>
      </c>
      <c r="N62">
        <f t="shared" si="0"/>
        <v>10683.460000000001</v>
      </c>
      <c r="O62">
        <f t="shared" si="1"/>
        <v>1059.3392330693696</v>
      </c>
      <c r="P62">
        <f t="shared" si="2"/>
        <v>9624.1207669306314</v>
      </c>
      <c r="Q62">
        <f t="shared" si="3"/>
        <v>11742.799233069371</v>
      </c>
    </row>
    <row r="63" spans="1:17">
      <c r="A63" s="1">
        <v>32964</v>
      </c>
      <c r="B63">
        <v>28650</v>
      </c>
      <c r="C63">
        <v>10755.87</v>
      </c>
      <c r="D63">
        <v>11282.65</v>
      </c>
      <c r="E63">
        <v>8652.57</v>
      </c>
      <c r="F63">
        <v>9292.3700000000008</v>
      </c>
      <c r="G63" s="2">
        <v>2526703</v>
      </c>
      <c r="H63">
        <v>-13.61</v>
      </c>
      <c r="I63">
        <v>66.8</v>
      </c>
      <c r="J63" s="2">
        <v>42887</v>
      </c>
      <c r="K63" s="2">
        <v>5737157</v>
      </c>
      <c r="L63" s="2"/>
      <c r="M63">
        <v>9292.3700000000008</v>
      </c>
      <c r="N63">
        <f t="shared" si="0"/>
        <v>10465.176666666666</v>
      </c>
      <c r="O63">
        <f t="shared" si="1"/>
        <v>1204.4599975037224</v>
      </c>
      <c r="P63">
        <f t="shared" si="2"/>
        <v>9260.7166691629445</v>
      </c>
      <c r="Q63">
        <f t="shared" si="3"/>
        <v>11669.636664170388</v>
      </c>
    </row>
    <row r="64" spans="1:17">
      <c r="A64" s="1">
        <v>32994</v>
      </c>
      <c r="B64">
        <v>27129</v>
      </c>
      <c r="C64">
        <v>9292.3700000000008</v>
      </c>
      <c r="D64">
        <v>9292.3700000000008</v>
      </c>
      <c r="E64">
        <v>5822.85</v>
      </c>
      <c r="F64">
        <v>7290.88</v>
      </c>
      <c r="G64" s="2">
        <v>2051523</v>
      </c>
      <c r="H64">
        <v>-21.54</v>
      </c>
      <c r="I64">
        <v>62.96</v>
      </c>
      <c r="J64" s="2">
        <v>43090</v>
      </c>
      <c r="K64" s="2">
        <v>4527019</v>
      </c>
      <c r="L64" s="2"/>
      <c r="M64">
        <v>7290.88</v>
      </c>
      <c r="N64">
        <f t="shared" si="0"/>
        <v>10113.23</v>
      </c>
      <c r="O64">
        <f t="shared" si="1"/>
        <v>1758.2619735750436</v>
      </c>
      <c r="P64">
        <f t="shared" si="2"/>
        <v>8354.9680264249564</v>
      </c>
      <c r="Q64">
        <f t="shared" si="3"/>
        <v>11871.491973575043</v>
      </c>
    </row>
    <row r="65" spans="1:17">
      <c r="A65" s="1">
        <v>33025</v>
      </c>
      <c r="B65">
        <v>26970</v>
      </c>
      <c r="C65">
        <v>7290.88</v>
      </c>
      <c r="D65">
        <v>8007.99</v>
      </c>
      <c r="E65">
        <v>4953.43</v>
      </c>
      <c r="F65">
        <v>5049.58</v>
      </c>
      <c r="G65" s="2">
        <v>1603083</v>
      </c>
      <c r="H65">
        <v>-30.74</v>
      </c>
      <c r="I65">
        <v>61.5</v>
      </c>
      <c r="J65" s="2">
        <v>43856</v>
      </c>
      <c r="K65" s="2">
        <v>3200303</v>
      </c>
      <c r="L65" s="2"/>
      <c r="M65">
        <v>5049.58</v>
      </c>
      <c r="N65">
        <f t="shared" si="0"/>
        <v>9350.7966666666671</v>
      </c>
      <c r="O65">
        <f t="shared" si="1"/>
        <v>2733.8975742310895</v>
      </c>
      <c r="P65">
        <f t="shared" si="2"/>
        <v>6616.8990924355776</v>
      </c>
      <c r="Q65">
        <f t="shared" si="3"/>
        <v>12084.694240897756</v>
      </c>
    </row>
    <row r="66" spans="1:17">
      <c r="A66" s="1">
        <v>33055</v>
      </c>
      <c r="B66">
        <v>28961</v>
      </c>
      <c r="C66">
        <v>5049.58</v>
      </c>
      <c r="D66">
        <v>5699</v>
      </c>
      <c r="E66">
        <v>4450.3100000000004</v>
      </c>
      <c r="F66">
        <v>5618.21</v>
      </c>
      <c r="G66" s="2">
        <v>1412849</v>
      </c>
      <c r="H66">
        <v>11.26</v>
      </c>
      <c r="I66">
        <v>64.3</v>
      </c>
      <c r="J66" s="2">
        <v>45042</v>
      </c>
      <c r="K66" s="2">
        <v>3544630</v>
      </c>
      <c r="L66" s="2"/>
      <c r="M66">
        <v>5618.21</v>
      </c>
      <c r="N66">
        <f t="shared" si="0"/>
        <v>8278.1066666666666</v>
      </c>
      <c r="O66">
        <f t="shared" si="1"/>
        <v>2723.600532873108</v>
      </c>
      <c r="P66">
        <f t="shared" si="2"/>
        <v>5554.5061337935585</v>
      </c>
      <c r="Q66">
        <f t="shared" si="3"/>
        <v>11001.707199539775</v>
      </c>
    </row>
    <row r="67" spans="1:17">
      <c r="A67" s="1">
        <v>33086</v>
      </c>
      <c r="B67">
        <v>22265</v>
      </c>
      <c r="C67">
        <v>5618.21</v>
      </c>
      <c r="D67">
        <v>5825.95</v>
      </c>
      <c r="E67">
        <v>3021.66</v>
      </c>
      <c r="F67">
        <v>3635.28</v>
      </c>
      <c r="G67" s="2">
        <v>977079</v>
      </c>
      <c r="H67">
        <v>-35.29</v>
      </c>
      <c r="I67">
        <v>47.74</v>
      </c>
      <c r="J67" s="2">
        <v>46642</v>
      </c>
      <c r="K67" s="2">
        <v>2329959</v>
      </c>
      <c r="L67" s="2"/>
      <c r="M67">
        <v>3635.28</v>
      </c>
      <c r="N67">
        <f t="shared" si="0"/>
        <v>6940.3650000000007</v>
      </c>
      <c r="O67">
        <f t="shared" si="1"/>
        <v>2700.3560990265705</v>
      </c>
      <c r="P67">
        <f t="shared" si="2"/>
        <v>4240.0089009734302</v>
      </c>
      <c r="Q67">
        <f t="shared" si="3"/>
        <v>9640.7210990265703</v>
      </c>
    </row>
    <row r="68" spans="1:17">
      <c r="A68" s="1">
        <v>33117</v>
      </c>
      <c r="B68">
        <v>14427</v>
      </c>
      <c r="C68">
        <v>3635.28</v>
      </c>
      <c r="D68">
        <v>3812.66</v>
      </c>
      <c r="E68">
        <v>2550.37</v>
      </c>
      <c r="F68">
        <v>2705.01</v>
      </c>
      <c r="G68" s="2">
        <v>455671</v>
      </c>
      <c r="H68">
        <v>-25.59</v>
      </c>
      <c r="I68">
        <v>30.34</v>
      </c>
      <c r="J68" s="2">
        <v>47551</v>
      </c>
      <c r="K68" s="2">
        <v>1765162</v>
      </c>
      <c r="L68" s="2"/>
      <c r="M68">
        <v>2705.01</v>
      </c>
      <c r="N68">
        <f t="shared" si="0"/>
        <v>5598.5550000000003</v>
      </c>
      <c r="O68">
        <f t="shared" si="1"/>
        <v>2409.8566107613142</v>
      </c>
      <c r="P68">
        <f t="shared" si="2"/>
        <v>3188.6983892386861</v>
      </c>
      <c r="Q68">
        <f t="shared" si="3"/>
        <v>8008.4116107613145</v>
      </c>
    </row>
    <row r="69" spans="1:17">
      <c r="A69" s="1">
        <v>33147</v>
      </c>
      <c r="B69">
        <v>22352</v>
      </c>
      <c r="C69">
        <v>2705.01</v>
      </c>
      <c r="D69">
        <v>3575.71</v>
      </c>
      <c r="E69">
        <v>2485.25</v>
      </c>
      <c r="F69">
        <v>3318.53</v>
      </c>
      <c r="G69" s="2">
        <v>624787</v>
      </c>
      <c r="H69">
        <v>22.68</v>
      </c>
      <c r="I69">
        <v>46.38</v>
      </c>
      <c r="J69" s="2">
        <v>48188</v>
      </c>
      <c r="K69" s="2">
        <v>2168551</v>
      </c>
      <c r="L69" s="2"/>
      <c r="M69">
        <v>3318.53</v>
      </c>
      <c r="N69">
        <f t="shared" si="0"/>
        <v>4602.915</v>
      </c>
      <c r="O69">
        <f t="shared" si="1"/>
        <v>1711.3442149929992</v>
      </c>
      <c r="P69">
        <f t="shared" si="2"/>
        <v>2891.5707850070007</v>
      </c>
      <c r="Q69">
        <f t="shared" si="3"/>
        <v>6314.2592149929987</v>
      </c>
    </row>
    <row r="70" spans="1:17">
      <c r="A70" s="1">
        <v>33178</v>
      </c>
      <c r="B70">
        <v>37891</v>
      </c>
      <c r="C70">
        <v>3318.53</v>
      </c>
      <c r="D70">
        <v>5027.7299999999996</v>
      </c>
      <c r="E70">
        <v>3016.37</v>
      </c>
      <c r="F70">
        <v>4377.2700000000004</v>
      </c>
      <c r="G70" s="2">
        <v>1409890</v>
      </c>
      <c r="H70">
        <v>31.9</v>
      </c>
      <c r="I70">
        <v>76.75</v>
      </c>
      <c r="J70" s="2">
        <v>49371</v>
      </c>
      <c r="K70" s="2">
        <v>2816024</v>
      </c>
      <c r="L70" s="2"/>
      <c r="M70">
        <v>4377.2700000000004</v>
      </c>
      <c r="N70">
        <f t="shared" si="0"/>
        <v>4117.3133333333335</v>
      </c>
      <c r="O70">
        <f t="shared" si="1"/>
        <v>1100.4000239670386</v>
      </c>
      <c r="P70">
        <f t="shared" si="2"/>
        <v>3016.9133093662949</v>
      </c>
      <c r="Q70">
        <f t="shared" si="3"/>
        <v>5217.7133573003721</v>
      </c>
    </row>
    <row r="71" spans="1:17">
      <c r="A71" s="1">
        <v>33208</v>
      </c>
      <c r="B71">
        <v>25833</v>
      </c>
      <c r="C71">
        <v>4377.2700000000004</v>
      </c>
      <c r="D71">
        <v>5267.26</v>
      </c>
      <c r="E71">
        <v>3773.54</v>
      </c>
      <c r="F71">
        <v>4530.16</v>
      </c>
      <c r="G71" s="2">
        <v>1184467</v>
      </c>
      <c r="H71">
        <v>3.49</v>
      </c>
      <c r="I71">
        <v>51.06</v>
      </c>
      <c r="J71" s="2">
        <v>50598</v>
      </c>
      <c r="K71" s="2">
        <v>2902835</v>
      </c>
      <c r="L71" s="2"/>
      <c r="M71">
        <v>4530.16</v>
      </c>
      <c r="N71">
        <f t="shared" si="0"/>
        <v>4030.7433333333338</v>
      </c>
      <c r="O71">
        <f t="shared" si="1"/>
        <v>1030.607210020705</v>
      </c>
      <c r="P71">
        <f t="shared" si="2"/>
        <v>3000.136123312629</v>
      </c>
      <c r="Q71">
        <f t="shared" si="3"/>
        <v>5061.3505433540386</v>
      </c>
    </row>
    <row r="72" spans="1:17">
      <c r="A72" s="1">
        <v>33239</v>
      </c>
      <c r="B72">
        <v>21973</v>
      </c>
      <c r="C72">
        <v>4530.16</v>
      </c>
      <c r="D72">
        <v>4533.21</v>
      </c>
      <c r="E72">
        <v>3142.59</v>
      </c>
      <c r="F72">
        <v>4023.72</v>
      </c>
      <c r="G72" s="2">
        <v>883970</v>
      </c>
      <c r="H72">
        <v>-11.18</v>
      </c>
      <c r="I72">
        <v>43.3</v>
      </c>
      <c r="J72" s="2">
        <v>50742</v>
      </c>
      <c r="K72" s="2">
        <v>2575950</v>
      </c>
      <c r="L72" s="2"/>
      <c r="M72">
        <v>4023.72</v>
      </c>
      <c r="N72">
        <f t="shared" ref="N72:N135" si="4">AVERAGE($M67:$M72)</f>
        <v>3764.9950000000003</v>
      </c>
      <c r="O72">
        <f t="shared" ref="O72:O135" si="5">STDEV($M67:$M72)</f>
        <v>688.04388757549623</v>
      </c>
      <c r="P72">
        <f t="shared" ref="P72:P135" si="6">N72-1*O72</f>
        <v>3076.9511124245041</v>
      </c>
      <c r="Q72">
        <f t="shared" ref="Q72:Q135" si="7">N72+1*O72</f>
        <v>4453.0388875754961</v>
      </c>
    </row>
    <row r="73" spans="1:17">
      <c r="A73" s="1">
        <v>33270</v>
      </c>
      <c r="B73">
        <v>22932</v>
      </c>
      <c r="C73">
        <v>4023.72</v>
      </c>
      <c r="D73">
        <v>5255.87</v>
      </c>
      <c r="E73">
        <v>3920.39</v>
      </c>
      <c r="F73">
        <v>5033.37</v>
      </c>
      <c r="G73" s="2">
        <v>1024740</v>
      </c>
      <c r="H73">
        <v>25.09</v>
      </c>
      <c r="I73">
        <v>44.39</v>
      </c>
      <c r="J73" s="2">
        <v>51661</v>
      </c>
      <c r="K73" s="2">
        <v>3271877</v>
      </c>
      <c r="L73" s="2"/>
      <c r="M73">
        <v>5033.37</v>
      </c>
      <c r="N73">
        <f t="shared" si="4"/>
        <v>3998.01</v>
      </c>
      <c r="O73">
        <f t="shared" si="5"/>
        <v>852.43124933333877</v>
      </c>
      <c r="P73">
        <f t="shared" si="6"/>
        <v>3145.5787506666616</v>
      </c>
      <c r="Q73">
        <f t="shared" si="7"/>
        <v>4850.4412493333393</v>
      </c>
    </row>
    <row r="74" spans="1:17">
      <c r="A74" s="1">
        <v>33298</v>
      </c>
      <c r="B74">
        <v>28035</v>
      </c>
      <c r="C74">
        <v>5033.37</v>
      </c>
      <c r="D74">
        <v>5139.9399999999996</v>
      </c>
      <c r="E74">
        <v>4448.1099999999997</v>
      </c>
      <c r="F74" s="2">
        <v>5139.9399999999996</v>
      </c>
      <c r="G74" s="2">
        <v>1153083</v>
      </c>
      <c r="H74">
        <v>2.12</v>
      </c>
      <c r="I74">
        <v>54.02</v>
      </c>
      <c r="J74" s="2">
        <v>51901</v>
      </c>
      <c r="K74" s="2">
        <v>3377523</v>
      </c>
      <c r="L74" s="2"/>
      <c r="M74">
        <v>5139.9399999999996</v>
      </c>
      <c r="N74">
        <f t="shared" si="4"/>
        <v>4403.831666666666</v>
      </c>
      <c r="O74">
        <f t="shared" si="5"/>
        <v>674.86338592093728</v>
      </c>
      <c r="P74">
        <f t="shared" si="6"/>
        <v>3728.9682807457289</v>
      </c>
      <c r="Q74">
        <f t="shared" si="7"/>
        <v>5078.6950525876036</v>
      </c>
    </row>
    <row r="75" spans="1:17">
      <c r="A75" s="1">
        <v>33329</v>
      </c>
      <c r="B75">
        <v>33962</v>
      </c>
      <c r="C75">
        <v>5139.9399999999996</v>
      </c>
      <c r="D75">
        <v>6088.92</v>
      </c>
      <c r="E75">
        <v>5135.8599999999997</v>
      </c>
      <c r="F75">
        <v>5921.29</v>
      </c>
      <c r="G75" s="2">
        <v>1721379</v>
      </c>
      <c r="H75">
        <v>15.2</v>
      </c>
      <c r="I75">
        <v>65</v>
      </c>
      <c r="J75" s="2">
        <v>52253</v>
      </c>
      <c r="K75" s="2">
        <v>3896700</v>
      </c>
      <c r="L75" s="2"/>
      <c r="M75">
        <v>5921.29</v>
      </c>
      <c r="N75">
        <f t="shared" si="4"/>
        <v>4837.625</v>
      </c>
      <c r="O75">
        <f t="shared" si="5"/>
        <v>674.23187372743041</v>
      </c>
      <c r="P75">
        <f t="shared" si="6"/>
        <v>4163.3931262725691</v>
      </c>
      <c r="Q75">
        <f t="shared" si="7"/>
        <v>5511.8568737274309</v>
      </c>
    </row>
    <row r="76" spans="1:17">
      <c r="A76" s="1">
        <v>33359</v>
      </c>
      <c r="B76">
        <v>25915</v>
      </c>
      <c r="C76">
        <v>5921.29</v>
      </c>
      <c r="D76">
        <v>6365.61</v>
      </c>
      <c r="E76">
        <v>5556.44</v>
      </c>
      <c r="F76">
        <v>5610.72</v>
      </c>
      <c r="G76" s="2">
        <v>1645983</v>
      </c>
      <c r="H76">
        <v>-5.25</v>
      </c>
      <c r="I76">
        <v>49.22</v>
      </c>
      <c r="J76" s="2">
        <v>52648</v>
      </c>
      <c r="K76" s="2">
        <v>3701007</v>
      </c>
      <c r="L76" s="2"/>
      <c r="M76">
        <v>5610.72</v>
      </c>
      <c r="N76">
        <f t="shared" si="4"/>
        <v>5043.2</v>
      </c>
      <c r="O76">
        <f t="shared" si="5"/>
        <v>693.55976916196482</v>
      </c>
      <c r="P76">
        <f t="shared" si="6"/>
        <v>4349.6402308380348</v>
      </c>
      <c r="Q76">
        <f t="shared" si="7"/>
        <v>5736.7597691619649</v>
      </c>
    </row>
    <row r="77" spans="1:17">
      <c r="A77" s="1">
        <v>33390</v>
      </c>
      <c r="B77">
        <v>15693</v>
      </c>
      <c r="C77">
        <v>5610.72</v>
      </c>
      <c r="D77">
        <v>6137.21</v>
      </c>
      <c r="E77">
        <v>5559.96</v>
      </c>
      <c r="F77">
        <v>5768.08</v>
      </c>
      <c r="G77" s="2">
        <v>866681</v>
      </c>
      <c r="H77">
        <v>2.8</v>
      </c>
      <c r="I77">
        <v>29.59</v>
      </c>
      <c r="J77" s="2">
        <v>53040</v>
      </c>
      <c r="K77" s="2">
        <v>3823164</v>
      </c>
      <c r="L77" s="2"/>
      <c r="M77">
        <v>5768.08</v>
      </c>
      <c r="N77">
        <f t="shared" si="4"/>
        <v>5249.52</v>
      </c>
      <c r="O77">
        <f t="shared" si="5"/>
        <v>694.54432333724901</v>
      </c>
      <c r="P77">
        <f t="shared" si="6"/>
        <v>4554.9756766627515</v>
      </c>
      <c r="Q77">
        <f t="shared" si="7"/>
        <v>5944.0643233372493</v>
      </c>
    </row>
    <row r="78" spans="1:17">
      <c r="A78" s="1">
        <v>33420</v>
      </c>
      <c r="B78">
        <v>11691</v>
      </c>
      <c r="C78">
        <v>5768.08</v>
      </c>
      <c r="D78">
        <v>5862.85</v>
      </c>
      <c r="E78">
        <v>4781.3500000000004</v>
      </c>
      <c r="F78">
        <v>5178.0600000000004</v>
      </c>
      <c r="G78" s="2">
        <v>588628</v>
      </c>
      <c r="H78">
        <v>-10.23</v>
      </c>
      <c r="I78">
        <v>21.62</v>
      </c>
      <c r="J78" s="2">
        <v>54066</v>
      </c>
      <c r="K78" s="2">
        <v>3441599</v>
      </c>
      <c r="L78" s="2"/>
      <c r="M78">
        <v>5178.0600000000004</v>
      </c>
      <c r="N78">
        <f t="shared" si="4"/>
        <v>5441.9100000000008</v>
      </c>
      <c r="O78">
        <f t="shared" si="5"/>
        <v>372.12807053486307</v>
      </c>
      <c r="P78">
        <f t="shared" si="6"/>
        <v>5069.7819294651381</v>
      </c>
      <c r="Q78">
        <f t="shared" si="7"/>
        <v>5814.0380705348634</v>
      </c>
    </row>
    <row r="79" spans="1:17">
      <c r="A79" s="1">
        <v>33451</v>
      </c>
      <c r="B79">
        <v>16369</v>
      </c>
      <c r="C79">
        <v>5178.0600000000004</v>
      </c>
      <c r="D79">
        <v>5247.82</v>
      </c>
      <c r="E79">
        <v>4250.32</v>
      </c>
      <c r="F79">
        <v>4505.67</v>
      </c>
      <c r="G79" s="2">
        <v>654264</v>
      </c>
      <c r="H79">
        <v>-12.99</v>
      </c>
      <c r="I79">
        <v>29.49</v>
      </c>
      <c r="J79" s="2">
        <v>55506</v>
      </c>
      <c r="K79" s="2">
        <v>3047076</v>
      </c>
      <c r="L79" s="2"/>
      <c r="M79">
        <v>4505.67</v>
      </c>
      <c r="N79">
        <f t="shared" si="4"/>
        <v>5353.96</v>
      </c>
      <c r="O79">
        <f t="shared" si="5"/>
        <v>520.69678228312489</v>
      </c>
      <c r="P79">
        <f t="shared" si="6"/>
        <v>4833.2632177168753</v>
      </c>
      <c r="Q79">
        <f t="shared" si="7"/>
        <v>5874.6567822831248</v>
      </c>
    </row>
    <row r="80" spans="1:17">
      <c r="A80" s="1">
        <v>33482</v>
      </c>
      <c r="B80">
        <v>11225</v>
      </c>
      <c r="C80">
        <v>4543.53</v>
      </c>
      <c r="D80">
        <v>4914.8500000000004</v>
      </c>
      <c r="E80">
        <v>4464.47</v>
      </c>
      <c r="F80">
        <v>4867.13</v>
      </c>
      <c r="G80" s="2">
        <v>451206</v>
      </c>
      <c r="H80">
        <v>8.02</v>
      </c>
      <c r="I80">
        <v>19.5</v>
      </c>
      <c r="J80" s="2">
        <v>57570</v>
      </c>
      <c r="K80" s="2">
        <v>3292857</v>
      </c>
      <c r="L80" s="2"/>
      <c r="M80">
        <v>4867.13</v>
      </c>
      <c r="N80">
        <f t="shared" si="4"/>
        <v>5308.4916666666668</v>
      </c>
      <c r="O80">
        <f t="shared" si="5"/>
        <v>553.97118478912478</v>
      </c>
      <c r="P80">
        <f t="shared" si="6"/>
        <v>4754.5204818775419</v>
      </c>
      <c r="Q80">
        <f t="shared" si="7"/>
        <v>5862.4628514557917</v>
      </c>
    </row>
    <row r="81" spans="1:17">
      <c r="A81" s="1">
        <v>33512</v>
      </c>
      <c r="B81">
        <v>8916</v>
      </c>
      <c r="C81">
        <v>4867.13</v>
      </c>
      <c r="D81">
        <v>4925.29</v>
      </c>
      <c r="E81">
        <v>4032.79</v>
      </c>
      <c r="F81">
        <v>4389.8599999999997</v>
      </c>
      <c r="G81" s="2">
        <v>357340</v>
      </c>
      <c r="H81">
        <v>-9.81</v>
      </c>
      <c r="I81">
        <v>15.12</v>
      </c>
      <c r="J81" s="2">
        <v>58956</v>
      </c>
      <c r="K81" s="2">
        <v>2984520</v>
      </c>
      <c r="L81" s="2"/>
      <c r="M81">
        <v>4389.8599999999997</v>
      </c>
      <c r="N81">
        <f t="shared" si="4"/>
        <v>5053.2533333333331</v>
      </c>
      <c r="O81">
        <f t="shared" si="5"/>
        <v>567.7857111152648</v>
      </c>
      <c r="P81">
        <f t="shared" si="6"/>
        <v>4485.4676222180678</v>
      </c>
      <c r="Q81">
        <f t="shared" si="7"/>
        <v>5621.0390444485984</v>
      </c>
    </row>
    <row r="82" spans="1:17">
      <c r="A82" s="1">
        <v>33543</v>
      </c>
      <c r="B82">
        <v>11659</v>
      </c>
      <c r="C82">
        <v>4389.8599999999997</v>
      </c>
      <c r="D82">
        <v>4582.0200000000004</v>
      </c>
      <c r="E82">
        <v>4227.45</v>
      </c>
      <c r="F82">
        <v>4378.5</v>
      </c>
      <c r="G82" s="2">
        <v>524689</v>
      </c>
      <c r="H82">
        <v>-0.26</v>
      </c>
      <c r="I82">
        <v>19.420000000000002</v>
      </c>
      <c r="J82" s="2">
        <v>60050</v>
      </c>
      <c r="K82" s="2">
        <v>2977056</v>
      </c>
      <c r="L82" s="2"/>
      <c r="M82">
        <v>4378.5</v>
      </c>
      <c r="N82">
        <f t="shared" si="4"/>
        <v>4847.8833333333332</v>
      </c>
      <c r="O82">
        <f t="shared" si="5"/>
        <v>548.33657979991597</v>
      </c>
      <c r="P82">
        <f t="shared" si="6"/>
        <v>4299.5467535334174</v>
      </c>
      <c r="Q82">
        <f t="shared" si="7"/>
        <v>5396.2199131332491</v>
      </c>
    </row>
    <row r="83" spans="1:17">
      <c r="A83" s="1">
        <v>33573</v>
      </c>
      <c r="B83">
        <v>9161</v>
      </c>
      <c r="C83">
        <v>4378.5</v>
      </c>
      <c r="D83">
        <v>4608.66</v>
      </c>
      <c r="E83">
        <v>4310.29</v>
      </c>
      <c r="F83" s="2">
        <v>4600.67</v>
      </c>
      <c r="G83" s="2">
        <v>441942</v>
      </c>
      <c r="H83">
        <v>5.07</v>
      </c>
      <c r="I83">
        <v>15.06</v>
      </c>
      <c r="J83" s="2">
        <v>60831</v>
      </c>
      <c r="K83" s="2">
        <v>3150270</v>
      </c>
      <c r="L83" s="2"/>
      <c r="M83">
        <v>4600.67</v>
      </c>
      <c r="N83">
        <f t="shared" si="4"/>
        <v>4653.3149999999996</v>
      </c>
      <c r="O83">
        <f t="shared" si="5"/>
        <v>313.23362927693461</v>
      </c>
      <c r="P83">
        <f t="shared" si="6"/>
        <v>4340.0813707230645</v>
      </c>
      <c r="Q83">
        <f t="shared" si="7"/>
        <v>4966.5486292769347</v>
      </c>
    </row>
    <row r="84" spans="1:17">
      <c r="A84" s="1">
        <v>33604</v>
      </c>
      <c r="B84">
        <v>23970</v>
      </c>
      <c r="C84">
        <v>4600.67</v>
      </c>
      <c r="D84">
        <v>5459.08</v>
      </c>
      <c r="E84">
        <v>4600.67</v>
      </c>
      <c r="F84">
        <v>5391.63</v>
      </c>
      <c r="G84" s="2">
        <v>1098036</v>
      </c>
      <c r="H84">
        <v>17.190000000000001</v>
      </c>
      <c r="I84">
        <v>39.1</v>
      </c>
      <c r="J84" s="2">
        <v>61309</v>
      </c>
      <c r="K84" s="2">
        <v>3711433</v>
      </c>
      <c r="L84" s="2"/>
      <c r="M84">
        <v>5391.63</v>
      </c>
      <c r="N84">
        <f t="shared" si="4"/>
        <v>4688.9100000000008</v>
      </c>
      <c r="O84">
        <f t="shared" si="5"/>
        <v>388.00160633688114</v>
      </c>
      <c r="P84">
        <f t="shared" si="6"/>
        <v>4300.9083936631196</v>
      </c>
      <c r="Q84">
        <f t="shared" si="7"/>
        <v>5076.911606336882</v>
      </c>
    </row>
    <row r="85" spans="1:17">
      <c r="A85" s="1">
        <v>33635</v>
      </c>
      <c r="B85">
        <v>13821</v>
      </c>
      <c r="C85">
        <v>5391.63</v>
      </c>
      <c r="D85">
        <v>5392.28</v>
      </c>
      <c r="E85">
        <v>4766.91</v>
      </c>
      <c r="F85">
        <v>5142.42</v>
      </c>
      <c r="G85" s="2">
        <v>733726</v>
      </c>
      <c r="H85">
        <v>-4.62</v>
      </c>
      <c r="I85">
        <v>21.99</v>
      </c>
      <c r="J85" s="2">
        <v>62856</v>
      </c>
      <c r="K85" s="2">
        <v>3629928</v>
      </c>
      <c r="L85" s="2"/>
      <c r="M85">
        <v>5142.42</v>
      </c>
      <c r="N85">
        <f t="shared" si="4"/>
        <v>4795.0349999999999</v>
      </c>
      <c r="O85">
        <f t="shared" si="5"/>
        <v>414.06414028505304</v>
      </c>
      <c r="P85">
        <f t="shared" si="6"/>
        <v>4380.9708597149465</v>
      </c>
      <c r="Q85">
        <f t="shared" si="7"/>
        <v>5209.0991402850532</v>
      </c>
    </row>
    <row r="86" spans="1:17">
      <c r="A86" s="1">
        <v>33664</v>
      </c>
      <c r="B86">
        <v>10568</v>
      </c>
      <c r="C86">
        <v>5142.42</v>
      </c>
      <c r="D86">
        <v>5173.26</v>
      </c>
      <c r="E86">
        <v>4685.16</v>
      </c>
      <c r="F86" s="2">
        <v>4800.9399999999996</v>
      </c>
      <c r="G86" s="2">
        <v>578586</v>
      </c>
      <c r="H86">
        <v>-6.64</v>
      </c>
      <c r="I86">
        <v>16.760000000000002</v>
      </c>
      <c r="J86" s="2">
        <v>63039</v>
      </c>
      <c r="K86" s="2">
        <v>3406238</v>
      </c>
      <c r="L86" s="2"/>
      <c r="M86">
        <v>4800.9399999999996</v>
      </c>
      <c r="N86">
        <f t="shared" si="4"/>
        <v>4784.0033333333331</v>
      </c>
      <c r="O86">
        <f t="shared" si="5"/>
        <v>412.63847501980075</v>
      </c>
      <c r="P86">
        <f t="shared" si="6"/>
        <v>4371.3648583135327</v>
      </c>
      <c r="Q86">
        <f t="shared" si="7"/>
        <v>5196.6418083531335</v>
      </c>
    </row>
    <row r="87" spans="1:17">
      <c r="A87" s="1">
        <v>33695</v>
      </c>
      <c r="B87">
        <v>7548</v>
      </c>
      <c r="C87">
        <v>4800.9399999999996</v>
      </c>
      <c r="D87">
        <v>4806.91</v>
      </c>
      <c r="E87">
        <v>4382.3100000000004</v>
      </c>
      <c r="F87" s="2">
        <v>4496.1899999999996</v>
      </c>
      <c r="G87" s="2">
        <v>378569</v>
      </c>
      <c r="H87">
        <v>-6.35</v>
      </c>
      <c r="I87">
        <v>11.68</v>
      </c>
      <c r="J87" s="2">
        <v>64639</v>
      </c>
      <c r="K87" s="2">
        <v>3239042</v>
      </c>
      <c r="L87" s="2"/>
      <c r="M87">
        <v>4496.1899999999996</v>
      </c>
      <c r="N87">
        <f t="shared" si="4"/>
        <v>4801.7249999999995</v>
      </c>
      <c r="O87">
        <f t="shared" si="5"/>
        <v>394.19684375956143</v>
      </c>
      <c r="P87">
        <f t="shared" si="6"/>
        <v>4407.528156240438</v>
      </c>
      <c r="Q87">
        <f t="shared" si="7"/>
        <v>5195.9218437595609</v>
      </c>
    </row>
    <row r="88" spans="1:17">
      <c r="A88" s="1">
        <v>33725</v>
      </c>
      <c r="B88">
        <v>9991</v>
      </c>
      <c r="C88">
        <v>4496.1899999999996</v>
      </c>
      <c r="D88">
        <v>4675.3500000000004</v>
      </c>
      <c r="E88">
        <v>4253.3</v>
      </c>
      <c r="F88" s="2">
        <v>4496.58</v>
      </c>
      <c r="G88" s="2">
        <v>553997</v>
      </c>
      <c r="H88">
        <v>0.01</v>
      </c>
      <c r="I88">
        <v>15.36</v>
      </c>
      <c r="J88" s="2">
        <v>65049</v>
      </c>
      <c r="K88" s="2">
        <v>3252868</v>
      </c>
      <c r="L88" s="2"/>
      <c r="M88">
        <v>4496.58</v>
      </c>
      <c r="N88">
        <f t="shared" si="4"/>
        <v>4821.4049999999997</v>
      </c>
      <c r="O88">
        <f t="shared" si="5"/>
        <v>371.11346355259076</v>
      </c>
      <c r="P88">
        <f t="shared" si="6"/>
        <v>4450.2915364474093</v>
      </c>
      <c r="Q88">
        <f t="shared" si="7"/>
        <v>5192.5184635525902</v>
      </c>
    </row>
    <row r="89" spans="1:17">
      <c r="A89" s="1">
        <v>33756</v>
      </c>
      <c r="B89">
        <v>12407</v>
      </c>
      <c r="C89">
        <v>4496.58</v>
      </c>
      <c r="D89">
        <v>4772.09</v>
      </c>
      <c r="E89">
        <v>4439.33</v>
      </c>
      <c r="F89" s="2">
        <v>4523.8100000000004</v>
      </c>
      <c r="G89" s="2">
        <v>776760</v>
      </c>
      <c r="H89">
        <v>0.61</v>
      </c>
      <c r="I89">
        <v>18.690000000000001</v>
      </c>
      <c r="J89" s="2">
        <v>66368</v>
      </c>
      <c r="K89" s="2">
        <v>3291967</v>
      </c>
      <c r="L89" s="2"/>
      <c r="M89">
        <v>4523.8100000000004</v>
      </c>
      <c r="N89">
        <f t="shared" si="4"/>
        <v>4808.5949999999993</v>
      </c>
      <c r="O89">
        <f t="shared" si="5"/>
        <v>381.43945295420087</v>
      </c>
      <c r="P89">
        <f t="shared" si="6"/>
        <v>4427.1555470457988</v>
      </c>
      <c r="Q89">
        <f t="shared" si="7"/>
        <v>5190.0344529541999</v>
      </c>
    </row>
    <row r="90" spans="1:17">
      <c r="A90" s="1">
        <v>33786</v>
      </c>
      <c r="B90">
        <v>11473</v>
      </c>
      <c r="C90">
        <v>4523.8100000000004</v>
      </c>
      <c r="D90">
        <v>4535.32</v>
      </c>
      <c r="E90">
        <v>3925.7</v>
      </c>
      <c r="F90" s="2">
        <v>4108.5200000000004</v>
      </c>
      <c r="G90" s="2">
        <v>562576</v>
      </c>
      <c r="H90">
        <v>-9.18</v>
      </c>
      <c r="I90">
        <v>16.86</v>
      </c>
      <c r="J90" s="2">
        <v>68030</v>
      </c>
      <c r="K90" s="2">
        <v>3022602</v>
      </c>
      <c r="L90" s="2"/>
      <c r="M90">
        <v>4108.5200000000004</v>
      </c>
      <c r="N90">
        <f t="shared" si="4"/>
        <v>4594.7433333333329</v>
      </c>
      <c r="O90">
        <f t="shared" si="5"/>
        <v>347.35004353917475</v>
      </c>
      <c r="P90">
        <f t="shared" si="6"/>
        <v>4247.3932897941577</v>
      </c>
      <c r="Q90">
        <f t="shared" si="7"/>
        <v>4942.0933768725081</v>
      </c>
    </row>
    <row r="91" spans="1:17">
      <c r="A91" s="1">
        <v>33817</v>
      </c>
      <c r="B91">
        <v>12207</v>
      </c>
      <c r="C91">
        <v>4108.5200000000004</v>
      </c>
      <c r="D91">
        <v>4167.3100000000004</v>
      </c>
      <c r="E91">
        <v>3629.33</v>
      </c>
      <c r="F91" s="2">
        <v>3946.35</v>
      </c>
      <c r="G91" s="2">
        <v>492134</v>
      </c>
      <c r="H91">
        <v>-3.95</v>
      </c>
      <c r="I91">
        <v>17.61</v>
      </c>
      <c r="J91" s="2">
        <v>69322</v>
      </c>
      <c r="K91" s="2">
        <v>2908897</v>
      </c>
      <c r="L91" s="2"/>
      <c r="M91">
        <v>3946.35</v>
      </c>
      <c r="N91">
        <f t="shared" si="4"/>
        <v>4395.3983333333335</v>
      </c>
      <c r="O91">
        <f t="shared" si="5"/>
        <v>311.54257271947051</v>
      </c>
      <c r="P91">
        <f t="shared" si="6"/>
        <v>4083.8557606138629</v>
      </c>
      <c r="Q91">
        <f t="shared" si="7"/>
        <v>4706.9409060528042</v>
      </c>
    </row>
    <row r="92" spans="1:17">
      <c r="A92" s="1">
        <v>33848</v>
      </c>
      <c r="B92">
        <v>10637</v>
      </c>
      <c r="C92">
        <v>3946.35</v>
      </c>
      <c r="D92">
        <v>3986.81</v>
      </c>
      <c r="E92">
        <v>3306.74</v>
      </c>
      <c r="F92" s="2">
        <v>3524.21</v>
      </c>
      <c r="G92" s="2">
        <v>368628</v>
      </c>
      <c r="H92">
        <v>-10.7</v>
      </c>
      <c r="I92">
        <v>15.07</v>
      </c>
      <c r="J92" s="2">
        <v>70600</v>
      </c>
      <c r="K92" s="2">
        <v>2607753</v>
      </c>
      <c r="L92" s="2"/>
      <c r="M92">
        <v>3524.21</v>
      </c>
      <c r="N92">
        <f t="shared" si="4"/>
        <v>4182.6099999999997</v>
      </c>
      <c r="O92">
        <f t="shared" si="5"/>
        <v>402.02629093132703</v>
      </c>
      <c r="P92">
        <f t="shared" si="6"/>
        <v>3780.5837090686728</v>
      </c>
      <c r="Q92">
        <f t="shared" si="7"/>
        <v>4584.6362909313266</v>
      </c>
    </row>
    <row r="93" spans="1:17">
      <c r="A93" s="1">
        <v>33878</v>
      </c>
      <c r="B93">
        <v>9459</v>
      </c>
      <c r="C93">
        <v>3524.21</v>
      </c>
      <c r="D93">
        <v>3777.8</v>
      </c>
      <c r="E93">
        <v>3502</v>
      </c>
      <c r="F93" s="2">
        <v>3631.73</v>
      </c>
      <c r="G93" s="2">
        <v>344980</v>
      </c>
      <c r="H93">
        <v>3.05</v>
      </c>
      <c r="I93">
        <v>13.28</v>
      </c>
      <c r="J93" s="2">
        <v>71220</v>
      </c>
      <c r="K93" s="2">
        <v>2696573</v>
      </c>
      <c r="L93" s="2"/>
      <c r="M93">
        <v>3631.73</v>
      </c>
      <c r="N93">
        <f t="shared" si="4"/>
        <v>4038.5333333333328</v>
      </c>
      <c r="O93">
        <f t="shared" si="5"/>
        <v>421.59543065202541</v>
      </c>
      <c r="P93">
        <f t="shared" si="6"/>
        <v>3616.9379026813076</v>
      </c>
      <c r="Q93">
        <f t="shared" si="7"/>
        <v>4460.1287639853581</v>
      </c>
    </row>
    <row r="94" spans="1:17">
      <c r="A94" s="1">
        <v>33909</v>
      </c>
      <c r="B94">
        <v>5190</v>
      </c>
      <c r="C94">
        <v>3631.73</v>
      </c>
      <c r="D94">
        <v>3737.98</v>
      </c>
      <c r="E94">
        <v>3506.05</v>
      </c>
      <c r="F94" s="2">
        <v>3675.01</v>
      </c>
      <c r="G94" s="2">
        <v>179879</v>
      </c>
      <c r="H94">
        <v>1.19</v>
      </c>
      <c r="I94">
        <v>7.12</v>
      </c>
      <c r="J94" s="2">
        <v>72877</v>
      </c>
      <c r="K94" s="2">
        <v>2754069</v>
      </c>
      <c r="L94" s="2"/>
      <c r="M94">
        <v>3675.01</v>
      </c>
      <c r="N94">
        <f t="shared" si="4"/>
        <v>3901.6050000000009</v>
      </c>
      <c r="O94">
        <f t="shared" si="5"/>
        <v>373.78062816309796</v>
      </c>
      <c r="P94">
        <f t="shared" si="6"/>
        <v>3527.8243718369031</v>
      </c>
      <c r="Q94">
        <f t="shared" si="7"/>
        <v>4275.3856281630988</v>
      </c>
    </row>
    <row r="95" spans="1:17">
      <c r="A95" s="1">
        <v>33939</v>
      </c>
      <c r="B95">
        <v>6088</v>
      </c>
      <c r="C95">
        <v>3675.01</v>
      </c>
      <c r="D95">
        <v>3797.24</v>
      </c>
      <c r="E95">
        <v>3305.82</v>
      </c>
      <c r="F95" s="2">
        <v>3377.06</v>
      </c>
      <c r="G95" s="2">
        <v>204765</v>
      </c>
      <c r="H95">
        <v>-8.11</v>
      </c>
      <c r="I95">
        <v>8.3000000000000007</v>
      </c>
      <c r="J95" s="2">
        <v>73319</v>
      </c>
      <c r="K95" s="2">
        <v>2546082</v>
      </c>
      <c r="L95" s="2"/>
      <c r="M95">
        <v>3377.06</v>
      </c>
      <c r="N95">
        <f t="shared" si="4"/>
        <v>3710.48</v>
      </c>
      <c r="O95">
        <f t="shared" si="5"/>
        <v>271.07031973272188</v>
      </c>
      <c r="P95">
        <f t="shared" si="6"/>
        <v>3439.409680267278</v>
      </c>
      <c r="Q95">
        <f t="shared" si="7"/>
        <v>3981.5503197327221</v>
      </c>
    </row>
    <row r="96" spans="1:17">
      <c r="A96" s="1">
        <v>33970</v>
      </c>
      <c r="B96">
        <v>5712</v>
      </c>
      <c r="C96">
        <v>3377.06</v>
      </c>
      <c r="D96">
        <v>3420.62</v>
      </c>
      <c r="E96">
        <v>3098.33</v>
      </c>
      <c r="F96" s="2">
        <v>3374.56</v>
      </c>
      <c r="G96" s="2">
        <v>172822</v>
      </c>
      <c r="H96">
        <v>-7.0000000000000007E-2</v>
      </c>
      <c r="I96">
        <v>7.77</v>
      </c>
      <c r="J96" s="2">
        <v>73516</v>
      </c>
      <c r="K96" s="2">
        <v>2551546</v>
      </c>
      <c r="L96" s="2"/>
      <c r="M96">
        <v>3374.56</v>
      </c>
      <c r="N96">
        <f t="shared" si="4"/>
        <v>3588.1533333333336</v>
      </c>
      <c r="O96">
        <f t="shared" si="5"/>
        <v>215.41546635900281</v>
      </c>
      <c r="P96">
        <f t="shared" si="6"/>
        <v>3372.7378669743307</v>
      </c>
      <c r="Q96">
        <f t="shared" si="7"/>
        <v>3803.5687996923366</v>
      </c>
    </row>
    <row r="97" spans="1:17">
      <c r="A97" s="1">
        <v>34001</v>
      </c>
      <c r="B97">
        <v>23174</v>
      </c>
      <c r="C97">
        <v>3374.56</v>
      </c>
      <c r="D97">
        <v>4446.22</v>
      </c>
      <c r="E97">
        <v>3374.56</v>
      </c>
      <c r="F97" s="2">
        <v>4384.67</v>
      </c>
      <c r="G97" s="2">
        <v>888792</v>
      </c>
      <c r="H97">
        <v>29.93</v>
      </c>
      <c r="I97">
        <v>31.34</v>
      </c>
      <c r="J97" s="2">
        <v>73933</v>
      </c>
      <c r="K97" s="2">
        <v>3329698</v>
      </c>
      <c r="L97" s="2"/>
      <c r="M97">
        <v>4384.67</v>
      </c>
      <c r="N97">
        <f t="shared" si="4"/>
        <v>3661.2066666666665</v>
      </c>
      <c r="O97">
        <f t="shared" si="5"/>
        <v>375.80109817118245</v>
      </c>
      <c r="P97">
        <f t="shared" si="6"/>
        <v>3285.4055684954842</v>
      </c>
      <c r="Q97">
        <f t="shared" si="7"/>
        <v>4037.0077648378488</v>
      </c>
    </row>
    <row r="98" spans="1:17">
      <c r="A98" s="1">
        <v>34029</v>
      </c>
      <c r="B98">
        <v>35473</v>
      </c>
      <c r="C98">
        <v>4384.67</v>
      </c>
      <c r="D98">
        <v>4851.1000000000004</v>
      </c>
      <c r="E98">
        <v>4317.5600000000004</v>
      </c>
      <c r="F98" s="2">
        <v>4825.29</v>
      </c>
      <c r="G98" s="2">
        <v>1680927</v>
      </c>
      <c r="H98">
        <v>10.050000000000001</v>
      </c>
      <c r="I98">
        <v>47.63</v>
      </c>
      <c r="J98" s="2">
        <v>74479</v>
      </c>
      <c r="K98" s="2">
        <v>3672658</v>
      </c>
      <c r="L98" s="2"/>
      <c r="M98">
        <v>4825.29</v>
      </c>
      <c r="N98">
        <f t="shared" si="4"/>
        <v>3878.0533333333333</v>
      </c>
      <c r="O98">
        <f t="shared" si="5"/>
        <v>593.34970904742897</v>
      </c>
      <c r="P98">
        <f t="shared" si="6"/>
        <v>3284.7036242859044</v>
      </c>
      <c r="Q98">
        <f t="shared" si="7"/>
        <v>4471.4030423807626</v>
      </c>
    </row>
    <row r="99" spans="1:17">
      <c r="A99" s="1">
        <v>34060</v>
      </c>
      <c r="B99">
        <v>22984</v>
      </c>
      <c r="C99">
        <v>4825.29</v>
      </c>
      <c r="D99">
        <v>5091.66</v>
      </c>
      <c r="E99">
        <v>4386.32</v>
      </c>
      <c r="F99">
        <v>4563.5200000000004</v>
      </c>
      <c r="G99" s="2">
        <v>1049712</v>
      </c>
      <c r="H99">
        <v>-5.43</v>
      </c>
      <c r="I99">
        <v>30.42</v>
      </c>
      <c r="J99" s="2">
        <v>75546</v>
      </c>
      <c r="K99" s="2">
        <v>3541864</v>
      </c>
      <c r="L99" s="2"/>
      <c r="M99">
        <v>4563.5200000000004</v>
      </c>
      <c r="N99">
        <f t="shared" si="4"/>
        <v>4033.3516666666669</v>
      </c>
      <c r="O99">
        <f t="shared" si="5"/>
        <v>636.36519683014194</v>
      </c>
      <c r="P99">
        <f t="shared" si="6"/>
        <v>3396.986469836525</v>
      </c>
      <c r="Q99">
        <f t="shared" si="7"/>
        <v>4669.7168634968093</v>
      </c>
    </row>
    <row r="100" spans="1:17">
      <c r="A100" s="1">
        <v>34090</v>
      </c>
      <c r="B100">
        <v>16689</v>
      </c>
      <c r="C100">
        <v>4563.5200000000004</v>
      </c>
      <c r="D100">
        <v>4736.93</v>
      </c>
      <c r="E100">
        <v>4171.8599999999997</v>
      </c>
      <c r="F100">
        <v>4267.8999999999996</v>
      </c>
      <c r="G100" s="2">
        <v>682834</v>
      </c>
      <c r="H100">
        <v>-6.48</v>
      </c>
      <c r="I100">
        <v>21.95</v>
      </c>
      <c r="J100" s="2">
        <v>76016</v>
      </c>
      <c r="K100" s="2">
        <v>3330482</v>
      </c>
      <c r="L100" s="2"/>
      <c r="M100">
        <v>4267.8999999999996</v>
      </c>
      <c r="N100">
        <f t="shared" si="4"/>
        <v>4132.166666666667</v>
      </c>
      <c r="O100">
        <f t="shared" si="5"/>
        <v>615.27572094684956</v>
      </c>
      <c r="P100">
        <f t="shared" si="6"/>
        <v>3516.8909457198174</v>
      </c>
      <c r="Q100">
        <f t="shared" si="7"/>
        <v>4747.442387613517</v>
      </c>
    </row>
    <row r="101" spans="1:17">
      <c r="A101" s="1">
        <v>34121</v>
      </c>
      <c r="B101">
        <v>9018</v>
      </c>
      <c r="C101">
        <v>4267.8999999999996</v>
      </c>
      <c r="D101">
        <v>4422.66</v>
      </c>
      <c r="E101">
        <v>3987.32</v>
      </c>
      <c r="F101" s="2">
        <v>3995.51</v>
      </c>
      <c r="G101" s="2">
        <v>389068</v>
      </c>
      <c r="H101">
        <v>-6.38</v>
      </c>
      <c r="I101">
        <v>11.69</v>
      </c>
      <c r="J101" s="2">
        <v>77123</v>
      </c>
      <c r="K101" s="2">
        <v>3132490</v>
      </c>
      <c r="L101" s="2"/>
      <c r="M101">
        <v>3995.51</v>
      </c>
      <c r="N101">
        <f t="shared" si="4"/>
        <v>4235.2416666666677</v>
      </c>
      <c r="O101">
        <f t="shared" si="5"/>
        <v>505.4826004291931</v>
      </c>
      <c r="P101">
        <f t="shared" si="6"/>
        <v>3729.7590662374746</v>
      </c>
      <c r="Q101">
        <f t="shared" si="7"/>
        <v>4740.7242670958603</v>
      </c>
    </row>
    <row r="102" spans="1:17">
      <c r="A102" s="1">
        <v>34151</v>
      </c>
      <c r="B102">
        <v>10621</v>
      </c>
      <c r="C102">
        <v>3995.51</v>
      </c>
      <c r="D102">
        <v>4129.18</v>
      </c>
      <c r="E102">
        <v>3875.88</v>
      </c>
      <c r="F102" s="2">
        <v>3960.38</v>
      </c>
      <c r="G102" s="2">
        <v>388626</v>
      </c>
      <c r="H102">
        <v>-0.88</v>
      </c>
      <c r="I102">
        <v>13.35</v>
      </c>
      <c r="J102" s="2">
        <v>79530</v>
      </c>
      <c r="K102" s="2">
        <v>3144396</v>
      </c>
      <c r="L102" s="2"/>
      <c r="M102">
        <v>3960.38</v>
      </c>
      <c r="N102">
        <f t="shared" si="4"/>
        <v>4332.8783333333331</v>
      </c>
      <c r="O102">
        <f t="shared" si="5"/>
        <v>333.20918027069223</v>
      </c>
      <c r="P102">
        <f t="shared" si="6"/>
        <v>3999.6691530626408</v>
      </c>
      <c r="Q102">
        <f t="shared" si="7"/>
        <v>4666.0875136040249</v>
      </c>
    </row>
    <row r="103" spans="1:17">
      <c r="A103" s="1">
        <v>34182</v>
      </c>
      <c r="B103">
        <v>9672</v>
      </c>
      <c r="C103">
        <v>3960.38</v>
      </c>
      <c r="D103">
        <v>4175</v>
      </c>
      <c r="E103">
        <v>3892.04</v>
      </c>
      <c r="F103" s="2">
        <v>3892.04</v>
      </c>
      <c r="G103" s="2">
        <v>383426</v>
      </c>
      <c r="H103">
        <v>-1.73</v>
      </c>
      <c r="I103">
        <v>11.69</v>
      </c>
      <c r="J103" s="2">
        <v>82725</v>
      </c>
      <c r="K103" s="2">
        <v>3098354</v>
      </c>
      <c r="L103" s="2"/>
      <c r="M103">
        <v>3892.04</v>
      </c>
      <c r="N103">
        <f t="shared" si="4"/>
        <v>4250.7733333333335</v>
      </c>
      <c r="O103">
        <f t="shared" si="5"/>
        <v>375.859139128832</v>
      </c>
      <c r="P103">
        <f t="shared" si="6"/>
        <v>3874.9141942045017</v>
      </c>
      <c r="Q103">
        <f t="shared" si="7"/>
        <v>4626.6324724621654</v>
      </c>
    </row>
    <row r="104" spans="1:17">
      <c r="A104" s="1">
        <v>34213</v>
      </c>
      <c r="B104">
        <v>9036</v>
      </c>
      <c r="C104">
        <v>3892.04</v>
      </c>
      <c r="D104">
        <v>3976.99</v>
      </c>
      <c r="E104">
        <v>3740.82</v>
      </c>
      <c r="F104">
        <v>3832.69</v>
      </c>
      <c r="G104" s="2">
        <v>322105</v>
      </c>
      <c r="H104">
        <v>-1.52</v>
      </c>
      <c r="I104">
        <v>10.81</v>
      </c>
      <c r="J104" s="2">
        <v>83613</v>
      </c>
      <c r="K104" s="2">
        <v>3057428</v>
      </c>
      <c r="L104" s="2"/>
      <c r="M104">
        <v>3832.69</v>
      </c>
      <c r="N104">
        <f t="shared" si="4"/>
        <v>4085.34</v>
      </c>
      <c r="O104">
        <f t="shared" si="5"/>
        <v>278.16024482301572</v>
      </c>
      <c r="P104">
        <f t="shared" si="6"/>
        <v>3807.1797551769846</v>
      </c>
      <c r="Q104">
        <f t="shared" si="7"/>
        <v>4363.5002448230161</v>
      </c>
    </row>
    <row r="105" spans="1:17">
      <c r="A105" s="1">
        <v>34243</v>
      </c>
      <c r="B105">
        <v>13985</v>
      </c>
      <c r="C105">
        <v>3832.69</v>
      </c>
      <c r="D105">
        <v>4138.26</v>
      </c>
      <c r="E105">
        <v>3785.77</v>
      </c>
      <c r="F105">
        <v>4131.68</v>
      </c>
      <c r="G105" s="2">
        <v>528840</v>
      </c>
      <c r="H105">
        <v>7.8</v>
      </c>
      <c r="I105">
        <v>16.53</v>
      </c>
      <c r="J105" s="2">
        <v>84614</v>
      </c>
      <c r="K105" s="2">
        <v>3308611</v>
      </c>
      <c r="L105" s="2"/>
      <c r="M105">
        <v>4131.68</v>
      </c>
      <c r="N105">
        <f t="shared" si="4"/>
        <v>4013.3666666666668</v>
      </c>
      <c r="O105">
        <f t="shared" si="5"/>
        <v>160.79547750688337</v>
      </c>
      <c r="P105">
        <f t="shared" si="6"/>
        <v>3852.5711891597834</v>
      </c>
      <c r="Q105">
        <f t="shared" si="7"/>
        <v>4174.1621441735506</v>
      </c>
    </row>
    <row r="106" spans="1:17">
      <c r="A106" s="1">
        <v>34274</v>
      </c>
      <c r="B106">
        <v>20251</v>
      </c>
      <c r="C106">
        <v>4131.68</v>
      </c>
      <c r="D106">
        <v>4404.99</v>
      </c>
      <c r="E106">
        <v>4131.68</v>
      </c>
      <c r="F106">
        <v>4353.8999999999996</v>
      </c>
      <c r="G106" s="2">
        <v>761313</v>
      </c>
      <c r="H106">
        <v>5.38</v>
      </c>
      <c r="I106">
        <v>23.68</v>
      </c>
      <c r="J106" s="2">
        <v>85508</v>
      </c>
      <c r="K106" s="2">
        <v>3509083</v>
      </c>
      <c r="L106" s="2"/>
      <c r="M106">
        <v>4353.8999999999996</v>
      </c>
      <c r="N106">
        <f t="shared" si="4"/>
        <v>4027.7000000000007</v>
      </c>
      <c r="O106">
        <f t="shared" si="5"/>
        <v>189.3245861477055</v>
      </c>
      <c r="P106">
        <f t="shared" si="6"/>
        <v>3838.3754138522954</v>
      </c>
      <c r="Q106">
        <f t="shared" si="7"/>
        <v>4217.024586147706</v>
      </c>
    </row>
    <row r="107" spans="1:17">
      <c r="A107" s="1">
        <v>34304</v>
      </c>
      <c r="B107">
        <v>50652</v>
      </c>
      <c r="C107">
        <v>4353.8999999999996</v>
      </c>
      <c r="D107">
        <v>6120.19</v>
      </c>
      <c r="E107">
        <v>4353.8999999999996</v>
      </c>
      <c r="F107">
        <v>6070.56</v>
      </c>
      <c r="G107" s="2">
        <v>2037519</v>
      </c>
      <c r="H107">
        <v>39.43</v>
      </c>
      <c r="I107">
        <v>58.57</v>
      </c>
      <c r="J107" s="2">
        <v>86486</v>
      </c>
      <c r="K107" s="2">
        <v>4960449</v>
      </c>
      <c r="L107" s="2"/>
      <c r="M107">
        <v>6070.56</v>
      </c>
      <c r="N107">
        <f t="shared" si="4"/>
        <v>4373.541666666667</v>
      </c>
      <c r="O107">
        <f t="shared" si="5"/>
        <v>852.50466599113724</v>
      </c>
      <c r="P107">
        <f t="shared" si="6"/>
        <v>3521.0370006755297</v>
      </c>
      <c r="Q107">
        <f t="shared" si="7"/>
        <v>5226.0463326578047</v>
      </c>
    </row>
    <row r="108" spans="1:17">
      <c r="A108" s="1">
        <v>34335</v>
      </c>
      <c r="B108">
        <v>43980</v>
      </c>
      <c r="C108">
        <v>6070.56</v>
      </c>
      <c r="D108">
        <v>6719.94</v>
      </c>
      <c r="E108">
        <v>5649.11</v>
      </c>
      <c r="F108">
        <v>6115.12</v>
      </c>
      <c r="G108" s="2">
        <v>2147070</v>
      </c>
      <c r="H108">
        <v>0.73</v>
      </c>
      <c r="I108">
        <v>50.7</v>
      </c>
      <c r="J108" s="2">
        <v>86748</v>
      </c>
      <c r="K108" s="2">
        <v>5003872</v>
      </c>
      <c r="L108" s="2"/>
      <c r="M108">
        <v>6115.12</v>
      </c>
      <c r="N108">
        <f t="shared" si="4"/>
        <v>4732.665</v>
      </c>
      <c r="O108">
        <f t="shared" si="5"/>
        <v>1069.8033599451844</v>
      </c>
      <c r="P108">
        <f t="shared" si="6"/>
        <v>3662.8616400548153</v>
      </c>
      <c r="Q108">
        <f t="shared" si="7"/>
        <v>5802.4683599451846</v>
      </c>
    </row>
    <row r="109" spans="1:17">
      <c r="A109" s="1">
        <v>34366</v>
      </c>
      <c r="B109">
        <v>20614</v>
      </c>
      <c r="C109">
        <v>6115.12</v>
      </c>
      <c r="D109">
        <v>6424.43</v>
      </c>
      <c r="E109">
        <v>5379.01</v>
      </c>
      <c r="F109">
        <v>5414.64</v>
      </c>
      <c r="G109" s="2">
        <v>1127204</v>
      </c>
      <c r="H109">
        <v>-11.45</v>
      </c>
      <c r="I109">
        <v>23.21</v>
      </c>
      <c r="J109" s="2">
        <v>88807</v>
      </c>
      <c r="K109" s="2">
        <v>4587215</v>
      </c>
      <c r="L109" s="2"/>
      <c r="M109">
        <v>5414.64</v>
      </c>
      <c r="N109">
        <f t="shared" si="4"/>
        <v>4986.4316666666664</v>
      </c>
      <c r="O109">
        <f t="shared" si="5"/>
        <v>1009.4008646799698</v>
      </c>
      <c r="P109">
        <f t="shared" si="6"/>
        <v>3977.0308019866966</v>
      </c>
      <c r="Q109">
        <f t="shared" si="7"/>
        <v>5995.8325313466357</v>
      </c>
    </row>
    <row r="110" spans="1:17">
      <c r="A110" s="1">
        <v>34394</v>
      </c>
      <c r="B110">
        <v>22522</v>
      </c>
      <c r="C110">
        <v>5414.64</v>
      </c>
      <c r="D110">
        <v>5808.77</v>
      </c>
      <c r="E110">
        <v>5125.6400000000003</v>
      </c>
      <c r="F110">
        <v>5249.22</v>
      </c>
      <c r="G110" s="2">
        <v>1170809</v>
      </c>
      <c r="H110">
        <v>-3.06</v>
      </c>
      <c r="I110">
        <v>25.28</v>
      </c>
      <c r="J110" s="2">
        <v>89080</v>
      </c>
      <c r="K110" s="2">
        <v>4468334</v>
      </c>
      <c r="L110" s="2"/>
      <c r="M110">
        <v>5249.22</v>
      </c>
      <c r="N110">
        <f t="shared" si="4"/>
        <v>5222.5199999999995</v>
      </c>
      <c r="O110">
        <f t="shared" si="5"/>
        <v>836.41642690707715</v>
      </c>
      <c r="P110">
        <f t="shared" si="6"/>
        <v>4386.1035730929225</v>
      </c>
      <c r="Q110">
        <f t="shared" si="7"/>
        <v>6058.9364269070766</v>
      </c>
    </row>
    <row r="111" spans="1:17">
      <c r="A111" s="1">
        <v>34425</v>
      </c>
      <c r="B111">
        <v>30815</v>
      </c>
      <c r="C111">
        <v>5249.22</v>
      </c>
      <c r="D111">
        <v>5976.02</v>
      </c>
      <c r="E111">
        <v>5242.09</v>
      </c>
      <c r="F111">
        <v>5737.33</v>
      </c>
      <c r="G111" s="2">
        <v>1396343</v>
      </c>
      <c r="H111">
        <v>9.3000000000000007</v>
      </c>
      <c r="I111">
        <v>33.979999999999997</v>
      </c>
      <c r="J111" s="2">
        <v>90674</v>
      </c>
      <c r="K111" s="2">
        <v>4902425</v>
      </c>
      <c r="L111" s="2"/>
      <c r="M111">
        <v>5737.33</v>
      </c>
      <c r="N111">
        <f t="shared" si="4"/>
        <v>5490.1283333333331</v>
      </c>
      <c r="O111">
        <f t="shared" si="5"/>
        <v>654.73266392984874</v>
      </c>
      <c r="P111">
        <f t="shared" si="6"/>
        <v>4835.3956694034841</v>
      </c>
      <c r="Q111">
        <f t="shared" si="7"/>
        <v>6144.8609972631821</v>
      </c>
    </row>
    <row r="112" spans="1:17">
      <c r="A112" s="1">
        <v>34455</v>
      </c>
      <c r="B112">
        <v>33446</v>
      </c>
      <c r="C112">
        <v>5737.33</v>
      </c>
      <c r="D112">
        <v>6153.24</v>
      </c>
      <c r="E112">
        <v>5670.52</v>
      </c>
      <c r="F112">
        <v>5891.56</v>
      </c>
      <c r="G112" s="2">
        <v>1477788</v>
      </c>
      <c r="H112">
        <v>2.69</v>
      </c>
      <c r="I112">
        <v>36.549999999999997</v>
      </c>
      <c r="J112" s="2">
        <v>91509</v>
      </c>
      <c r="K112" s="2">
        <v>5057719</v>
      </c>
      <c r="L112" s="2"/>
      <c r="M112">
        <v>5891.56</v>
      </c>
      <c r="N112">
        <f t="shared" si="4"/>
        <v>5746.4049999999997</v>
      </c>
      <c r="O112">
        <f t="shared" si="5"/>
        <v>351.97740960180948</v>
      </c>
      <c r="P112">
        <f t="shared" si="6"/>
        <v>5394.4275903981907</v>
      </c>
      <c r="Q112">
        <f t="shared" si="7"/>
        <v>6098.3824096018088</v>
      </c>
    </row>
    <row r="113" spans="1:17">
      <c r="A113" s="1">
        <v>34486</v>
      </c>
      <c r="B113">
        <v>28814</v>
      </c>
      <c r="C113">
        <v>5891.56</v>
      </c>
      <c r="D113">
        <v>6221.37</v>
      </c>
      <c r="E113">
        <v>5851.84</v>
      </c>
      <c r="F113">
        <v>5932.6</v>
      </c>
      <c r="G113" s="2">
        <v>1406935</v>
      </c>
      <c r="H113">
        <v>0.7</v>
      </c>
      <c r="I113">
        <v>31.22</v>
      </c>
      <c r="J113" s="2">
        <v>92286</v>
      </c>
      <c r="K113" s="2">
        <v>5111344</v>
      </c>
      <c r="L113" s="2"/>
      <c r="M113">
        <v>5932.6</v>
      </c>
      <c r="N113">
        <f t="shared" si="4"/>
        <v>5723.4116666666669</v>
      </c>
      <c r="O113">
        <f t="shared" si="5"/>
        <v>330.41199678078669</v>
      </c>
      <c r="P113">
        <f t="shared" si="6"/>
        <v>5392.9996698858804</v>
      </c>
      <c r="Q113">
        <f t="shared" si="7"/>
        <v>6053.8236634474533</v>
      </c>
    </row>
    <row r="114" spans="1:17">
      <c r="A114" s="1">
        <v>34516</v>
      </c>
      <c r="B114">
        <v>44806</v>
      </c>
      <c r="C114">
        <v>5932.6</v>
      </c>
      <c r="D114">
        <v>6848.1</v>
      </c>
      <c r="E114">
        <v>5932.6</v>
      </c>
      <c r="F114">
        <v>6720.05</v>
      </c>
      <c r="G114" s="2">
        <v>2205929</v>
      </c>
      <c r="H114">
        <v>13.27</v>
      </c>
      <c r="I114">
        <v>46.69</v>
      </c>
      <c r="J114" s="2">
        <v>95974</v>
      </c>
      <c r="K114" s="2">
        <v>5805782</v>
      </c>
      <c r="L114" s="2"/>
      <c r="M114">
        <v>6720.05</v>
      </c>
      <c r="N114">
        <f t="shared" si="4"/>
        <v>5824.2333333333345</v>
      </c>
      <c r="O114">
        <f t="shared" si="5"/>
        <v>514.7276826309876</v>
      </c>
      <c r="P114">
        <f t="shared" si="6"/>
        <v>5309.5056507023473</v>
      </c>
      <c r="Q114">
        <f t="shared" si="7"/>
        <v>6338.9610159643216</v>
      </c>
    </row>
    <row r="115" spans="1:17">
      <c r="A115" s="1">
        <v>34547</v>
      </c>
      <c r="B115">
        <v>49789</v>
      </c>
      <c r="C115">
        <v>6720.05</v>
      </c>
      <c r="D115">
        <v>7069.89</v>
      </c>
      <c r="E115">
        <v>6539.76</v>
      </c>
      <c r="F115">
        <v>7008.11</v>
      </c>
      <c r="G115" s="2">
        <v>2435693</v>
      </c>
      <c r="H115">
        <v>4.29</v>
      </c>
      <c r="I115">
        <v>49.82</v>
      </c>
      <c r="J115" s="2">
        <v>99943</v>
      </c>
      <c r="K115" s="2">
        <v>6078564</v>
      </c>
      <c r="L115" s="2"/>
      <c r="M115">
        <v>7008.11</v>
      </c>
      <c r="N115">
        <f t="shared" si="4"/>
        <v>6089.8116666666656</v>
      </c>
      <c r="O115">
        <f t="shared" si="5"/>
        <v>653.50273032074347</v>
      </c>
      <c r="P115">
        <f t="shared" si="6"/>
        <v>5436.3089363459221</v>
      </c>
      <c r="Q115">
        <f t="shared" si="7"/>
        <v>6743.3143969874091</v>
      </c>
    </row>
    <row r="116" spans="1:17">
      <c r="A116" s="1">
        <v>34578</v>
      </c>
      <c r="B116">
        <v>27427</v>
      </c>
      <c r="C116">
        <v>7008.11</v>
      </c>
      <c r="D116">
        <v>7129.07</v>
      </c>
      <c r="E116">
        <v>6829.8</v>
      </c>
      <c r="F116">
        <v>7091.13</v>
      </c>
      <c r="G116" s="2">
        <v>1509439</v>
      </c>
      <c r="H116">
        <v>1.18</v>
      </c>
      <c r="I116">
        <v>27.11</v>
      </c>
      <c r="J116" s="2">
        <v>101157</v>
      </c>
      <c r="K116" s="2">
        <v>6174085</v>
      </c>
      <c r="L116" s="2"/>
      <c r="M116">
        <v>7091.13</v>
      </c>
      <c r="N116">
        <f t="shared" si="4"/>
        <v>6396.7966666666662</v>
      </c>
      <c r="O116">
        <f t="shared" si="5"/>
        <v>610.89023661101885</v>
      </c>
      <c r="P116">
        <f t="shared" si="6"/>
        <v>5785.9064300556474</v>
      </c>
      <c r="Q116">
        <f t="shared" si="7"/>
        <v>7007.6869032776849</v>
      </c>
    </row>
    <row r="117" spans="1:17">
      <c r="A117" s="1">
        <v>34608</v>
      </c>
      <c r="B117">
        <v>32630</v>
      </c>
      <c r="C117">
        <v>7091.13</v>
      </c>
      <c r="D117">
        <v>7228.33</v>
      </c>
      <c r="E117">
        <v>5916.4</v>
      </c>
      <c r="F117">
        <v>6526.47</v>
      </c>
      <c r="G117" s="2">
        <v>1586274</v>
      </c>
      <c r="H117">
        <v>-7.96</v>
      </c>
      <c r="I117">
        <v>31.99</v>
      </c>
      <c r="J117" s="2">
        <v>102003</v>
      </c>
      <c r="K117" s="2">
        <v>5699537</v>
      </c>
      <c r="L117" s="2"/>
      <c r="M117">
        <v>6526.47</v>
      </c>
      <c r="N117">
        <f t="shared" si="4"/>
        <v>6528.32</v>
      </c>
      <c r="O117">
        <f t="shared" si="5"/>
        <v>518.47140164140183</v>
      </c>
      <c r="P117">
        <f t="shared" si="6"/>
        <v>6009.8485983585979</v>
      </c>
      <c r="Q117">
        <f t="shared" si="7"/>
        <v>7046.7914016414015</v>
      </c>
    </row>
    <row r="118" spans="1:17">
      <c r="A118" s="1">
        <v>34639</v>
      </c>
      <c r="B118">
        <v>21522</v>
      </c>
      <c r="C118">
        <v>6526.47</v>
      </c>
      <c r="D118">
        <v>6526.47</v>
      </c>
      <c r="E118">
        <v>6153.87</v>
      </c>
      <c r="F118" s="2">
        <v>6363.72</v>
      </c>
      <c r="G118" s="2">
        <v>865914</v>
      </c>
      <c r="H118">
        <v>-2.4900000000000002</v>
      </c>
      <c r="I118">
        <v>20.79</v>
      </c>
      <c r="J118" s="2">
        <v>103509</v>
      </c>
      <c r="K118" s="2">
        <v>5681606</v>
      </c>
      <c r="L118" s="2"/>
      <c r="M118">
        <v>6363.72</v>
      </c>
      <c r="N118">
        <f t="shared" si="4"/>
        <v>6607.0133333333333</v>
      </c>
      <c r="O118">
        <f t="shared" si="5"/>
        <v>430.93781215700545</v>
      </c>
      <c r="P118">
        <f t="shared" si="6"/>
        <v>6176.075521176328</v>
      </c>
      <c r="Q118">
        <f t="shared" si="7"/>
        <v>7037.9511454903386</v>
      </c>
    </row>
    <row r="119" spans="1:17">
      <c r="A119" s="1">
        <v>34669</v>
      </c>
      <c r="B119">
        <v>51200</v>
      </c>
      <c r="C119">
        <v>6363.72</v>
      </c>
      <c r="D119">
        <v>7180.34</v>
      </c>
      <c r="E119">
        <v>6363.72</v>
      </c>
      <c r="F119">
        <v>7124.66</v>
      </c>
      <c r="G119" s="2">
        <v>2106966</v>
      </c>
      <c r="H119">
        <v>11.96</v>
      </c>
      <c r="I119">
        <v>48.6</v>
      </c>
      <c r="J119" s="2">
        <v>105354</v>
      </c>
      <c r="K119" s="2">
        <v>6444619</v>
      </c>
      <c r="L119" s="2"/>
      <c r="M119">
        <v>7124.66</v>
      </c>
      <c r="N119">
        <f t="shared" si="4"/>
        <v>6805.69</v>
      </c>
      <c r="O119">
        <f t="shared" si="5"/>
        <v>317.75059710408078</v>
      </c>
      <c r="P119">
        <f t="shared" si="6"/>
        <v>6487.9394028959186</v>
      </c>
      <c r="Q119">
        <f t="shared" si="7"/>
        <v>7123.4405971040806</v>
      </c>
    </row>
    <row r="120" spans="1:17">
      <c r="A120" s="1">
        <v>34700</v>
      </c>
      <c r="B120">
        <v>25891</v>
      </c>
      <c r="C120">
        <v>7124.66</v>
      </c>
      <c r="D120">
        <v>7144.7</v>
      </c>
      <c r="E120">
        <v>6167.79</v>
      </c>
      <c r="F120" s="2">
        <v>6307.85</v>
      </c>
      <c r="G120" s="2">
        <v>1031555</v>
      </c>
      <c r="H120">
        <v>-11.46</v>
      </c>
      <c r="I120">
        <v>24.06</v>
      </c>
      <c r="J120" s="2">
        <v>107617</v>
      </c>
      <c r="K120" s="2">
        <v>5823274</v>
      </c>
      <c r="L120" s="2"/>
      <c r="M120">
        <v>6307.85</v>
      </c>
      <c r="N120">
        <f t="shared" si="4"/>
        <v>6736.9899999999989</v>
      </c>
      <c r="O120">
        <f t="shared" si="5"/>
        <v>378.68708079362813</v>
      </c>
      <c r="P120">
        <f t="shared" si="6"/>
        <v>6358.3029192063705</v>
      </c>
      <c r="Q120">
        <f t="shared" si="7"/>
        <v>7115.6770807936273</v>
      </c>
    </row>
    <row r="121" spans="1:17">
      <c r="A121" s="1">
        <v>34731</v>
      </c>
      <c r="B121">
        <v>26154</v>
      </c>
      <c r="C121">
        <v>6307.85</v>
      </c>
      <c r="D121">
        <v>6696.29</v>
      </c>
      <c r="E121">
        <v>6284.75</v>
      </c>
      <c r="F121">
        <v>6509.33</v>
      </c>
      <c r="G121" s="2">
        <v>1052615</v>
      </c>
      <c r="H121">
        <v>3.19</v>
      </c>
      <c r="I121">
        <v>24.13</v>
      </c>
      <c r="J121" s="2">
        <v>108373</v>
      </c>
      <c r="K121" s="2">
        <v>6032110</v>
      </c>
      <c r="L121" s="2"/>
      <c r="M121">
        <v>6509.33</v>
      </c>
      <c r="N121">
        <f t="shared" si="4"/>
        <v>6653.8600000000006</v>
      </c>
      <c r="O121">
        <f t="shared" si="5"/>
        <v>361.62935876391435</v>
      </c>
      <c r="P121">
        <f t="shared" si="6"/>
        <v>6292.2306412360858</v>
      </c>
      <c r="Q121">
        <f t="shared" si="7"/>
        <v>7015.4893587639153</v>
      </c>
    </row>
    <row r="122" spans="1:17">
      <c r="A122" s="1">
        <v>34759</v>
      </c>
      <c r="B122">
        <v>22219</v>
      </c>
      <c r="C122">
        <v>6509.33</v>
      </c>
      <c r="D122">
        <v>6625.43</v>
      </c>
      <c r="E122">
        <v>6331.17</v>
      </c>
      <c r="F122">
        <v>6524</v>
      </c>
      <c r="G122" s="2">
        <v>983747</v>
      </c>
      <c r="H122">
        <v>0.23</v>
      </c>
      <c r="I122">
        <v>20.38</v>
      </c>
      <c r="J122" s="2">
        <v>109012</v>
      </c>
      <c r="K122" s="2">
        <v>6071645</v>
      </c>
      <c r="L122" s="2"/>
      <c r="M122">
        <v>6524</v>
      </c>
      <c r="N122">
        <f t="shared" si="4"/>
        <v>6559.3383333333331</v>
      </c>
      <c r="O122">
        <f t="shared" si="5"/>
        <v>291.86690784785208</v>
      </c>
      <c r="P122">
        <f t="shared" si="6"/>
        <v>6267.4714254854807</v>
      </c>
      <c r="Q122">
        <f t="shared" si="7"/>
        <v>6851.2052411811856</v>
      </c>
    </row>
    <row r="123" spans="1:17">
      <c r="A123" s="1">
        <v>34790</v>
      </c>
      <c r="B123">
        <v>18868</v>
      </c>
      <c r="C123">
        <v>6524</v>
      </c>
      <c r="D123">
        <v>6599.29</v>
      </c>
      <c r="E123">
        <v>5667.55</v>
      </c>
      <c r="F123">
        <v>5803.78</v>
      </c>
      <c r="G123" s="2">
        <v>879050</v>
      </c>
      <c r="H123">
        <v>-11.04</v>
      </c>
      <c r="I123">
        <v>16.989999999999998</v>
      </c>
      <c r="J123" s="2">
        <v>111055</v>
      </c>
      <c r="K123" s="2">
        <v>5432889</v>
      </c>
      <c r="L123" s="2"/>
      <c r="M123">
        <v>5803.78</v>
      </c>
      <c r="N123">
        <f t="shared" si="4"/>
        <v>6438.89</v>
      </c>
      <c r="O123">
        <f t="shared" si="5"/>
        <v>426.30334767627619</v>
      </c>
      <c r="P123">
        <f t="shared" si="6"/>
        <v>6012.5866523237237</v>
      </c>
      <c r="Q123">
        <f t="shared" si="7"/>
        <v>6865.193347676277</v>
      </c>
    </row>
    <row r="124" spans="1:17">
      <c r="A124" s="1">
        <v>34820</v>
      </c>
      <c r="B124">
        <v>19492</v>
      </c>
      <c r="C124">
        <v>5803.78</v>
      </c>
      <c r="D124">
        <v>5852.83</v>
      </c>
      <c r="E124">
        <v>5417.47</v>
      </c>
      <c r="F124" s="2">
        <v>5674.55</v>
      </c>
      <c r="G124" s="2">
        <v>847316</v>
      </c>
      <c r="H124">
        <v>-2.23</v>
      </c>
      <c r="I124">
        <v>17.25</v>
      </c>
      <c r="J124" s="2">
        <v>113023</v>
      </c>
      <c r="K124" s="2">
        <v>5359327</v>
      </c>
      <c r="L124" s="2"/>
      <c r="M124">
        <v>5674.55</v>
      </c>
      <c r="N124">
        <f t="shared" si="4"/>
        <v>6324.0283333333327</v>
      </c>
      <c r="O124">
        <f t="shared" si="5"/>
        <v>530.67478046037445</v>
      </c>
      <c r="P124">
        <f t="shared" si="6"/>
        <v>5793.3535528729581</v>
      </c>
      <c r="Q124">
        <f t="shared" si="7"/>
        <v>6854.7031137937074</v>
      </c>
    </row>
    <row r="125" spans="1:17">
      <c r="A125" s="1">
        <v>34851</v>
      </c>
      <c r="B125">
        <v>19327</v>
      </c>
      <c r="C125">
        <v>5674.55</v>
      </c>
      <c r="D125">
        <v>5745.83</v>
      </c>
      <c r="E125">
        <v>5199.8599999999997</v>
      </c>
      <c r="F125">
        <v>5444.97</v>
      </c>
      <c r="G125" s="2">
        <v>778387</v>
      </c>
      <c r="H125">
        <v>-4.05</v>
      </c>
      <c r="I125">
        <v>16.649999999999999</v>
      </c>
      <c r="J125" s="2">
        <v>116072</v>
      </c>
      <c r="K125" s="2">
        <v>5166293</v>
      </c>
      <c r="L125" s="2"/>
      <c r="M125">
        <v>5444.97</v>
      </c>
      <c r="N125">
        <f t="shared" si="4"/>
        <v>6044.079999999999</v>
      </c>
      <c r="O125">
        <f t="shared" si="5"/>
        <v>462.51155332596829</v>
      </c>
      <c r="P125">
        <f t="shared" si="6"/>
        <v>5581.5684466740304</v>
      </c>
      <c r="Q125">
        <f t="shared" si="7"/>
        <v>6506.5915533259677</v>
      </c>
    </row>
    <row r="126" spans="1:17">
      <c r="A126" s="1">
        <v>34881</v>
      </c>
      <c r="B126">
        <v>23051</v>
      </c>
      <c r="C126">
        <v>5444.97</v>
      </c>
      <c r="D126">
        <v>5670.5</v>
      </c>
      <c r="E126">
        <v>4926.16</v>
      </c>
      <c r="F126" s="2">
        <v>5180.42</v>
      </c>
      <c r="G126" s="2">
        <v>868894</v>
      </c>
      <c r="H126">
        <v>-4.8600000000000003</v>
      </c>
      <c r="I126">
        <v>18.52</v>
      </c>
      <c r="J126" s="2">
        <v>124459</v>
      </c>
      <c r="K126" s="2">
        <v>4935800</v>
      </c>
      <c r="L126" s="2"/>
      <c r="M126">
        <v>5180.42</v>
      </c>
      <c r="N126">
        <f t="shared" si="4"/>
        <v>5856.1750000000002</v>
      </c>
      <c r="O126">
        <f t="shared" si="5"/>
        <v>553.90774202027535</v>
      </c>
      <c r="P126">
        <f t="shared" si="6"/>
        <v>5302.2672579797245</v>
      </c>
      <c r="Q126">
        <f t="shared" si="7"/>
        <v>6410.0827420202759</v>
      </c>
    </row>
    <row r="127" spans="1:17">
      <c r="A127" s="1">
        <v>34912</v>
      </c>
      <c r="B127">
        <v>26581</v>
      </c>
      <c r="C127">
        <v>5188.25</v>
      </c>
      <c r="D127">
        <v>5228.59</v>
      </c>
      <c r="E127">
        <v>4474.32</v>
      </c>
      <c r="F127" s="2">
        <v>4809.93</v>
      </c>
      <c r="G127" s="2">
        <v>806545</v>
      </c>
      <c r="H127">
        <v>-7.15</v>
      </c>
      <c r="I127">
        <v>21</v>
      </c>
      <c r="J127" s="2">
        <v>126567</v>
      </c>
      <c r="K127" s="2">
        <v>4586656</v>
      </c>
      <c r="L127" s="2"/>
      <c r="M127">
        <v>4809.93</v>
      </c>
      <c r="N127">
        <f t="shared" si="4"/>
        <v>5572.9416666666666</v>
      </c>
      <c r="O127">
        <f t="shared" si="5"/>
        <v>586.64458621610629</v>
      </c>
      <c r="P127">
        <f t="shared" si="6"/>
        <v>4986.2970804505603</v>
      </c>
      <c r="Q127">
        <f t="shared" si="7"/>
        <v>6159.5862528827729</v>
      </c>
    </row>
    <row r="128" spans="1:17">
      <c r="A128" s="1">
        <v>34943</v>
      </c>
      <c r="B128">
        <v>28416</v>
      </c>
      <c r="C128">
        <v>4846.83</v>
      </c>
      <c r="D128">
        <v>5221.8900000000003</v>
      </c>
      <c r="E128">
        <v>4772.67</v>
      </c>
      <c r="F128" s="2">
        <v>5033.0600000000004</v>
      </c>
      <c r="G128" s="2">
        <v>881460</v>
      </c>
      <c r="H128">
        <v>4.6399999999999997</v>
      </c>
      <c r="I128">
        <v>22.19</v>
      </c>
      <c r="J128" s="2">
        <v>128053</v>
      </c>
      <c r="K128" s="2">
        <v>4811440</v>
      </c>
      <c r="L128" s="2"/>
      <c r="M128">
        <v>5033.0600000000004</v>
      </c>
      <c r="N128">
        <f t="shared" si="4"/>
        <v>5324.4516666666668</v>
      </c>
      <c r="O128">
        <f t="shared" si="5"/>
        <v>383.98852396480095</v>
      </c>
      <c r="P128">
        <f t="shared" si="6"/>
        <v>4940.4631427018658</v>
      </c>
      <c r="Q128">
        <f t="shared" si="7"/>
        <v>5708.4401906314679</v>
      </c>
    </row>
    <row r="129" spans="1:17">
      <c r="A129" s="1">
        <v>34973</v>
      </c>
      <c r="B129">
        <v>21652</v>
      </c>
      <c r="C129">
        <v>5027.51</v>
      </c>
      <c r="D129">
        <v>5265.59</v>
      </c>
      <c r="E129">
        <v>4816.71</v>
      </c>
      <c r="F129">
        <v>4817.04</v>
      </c>
      <c r="G129" s="2">
        <v>649187</v>
      </c>
      <c r="H129">
        <v>-4.29</v>
      </c>
      <c r="I129">
        <v>16.809999999999999</v>
      </c>
      <c r="J129" s="2">
        <v>128791</v>
      </c>
      <c r="K129" s="2">
        <v>4624766</v>
      </c>
      <c r="L129" s="2"/>
      <c r="M129">
        <v>4817.04</v>
      </c>
      <c r="N129">
        <f t="shared" si="4"/>
        <v>5159.9950000000008</v>
      </c>
      <c r="O129">
        <f t="shared" si="5"/>
        <v>347.18033059204265</v>
      </c>
      <c r="P129">
        <f t="shared" si="6"/>
        <v>4812.8146694079578</v>
      </c>
      <c r="Q129">
        <f t="shared" si="7"/>
        <v>5507.1753305920438</v>
      </c>
    </row>
    <row r="130" spans="1:17">
      <c r="A130" s="1">
        <v>35004</v>
      </c>
      <c r="B130">
        <v>16483</v>
      </c>
      <c r="C130">
        <v>4801.71</v>
      </c>
      <c r="D130">
        <v>4912.3900000000003</v>
      </c>
      <c r="E130">
        <v>4530.96</v>
      </c>
      <c r="F130">
        <v>4777.2</v>
      </c>
      <c r="G130" s="2">
        <v>485795</v>
      </c>
      <c r="H130">
        <v>-0.83</v>
      </c>
      <c r="I130">
        <v>12.63</v>
      </c>
      <c r="J130" s="2">
        <v>130475</v>
      </c>
      <c r="K130" s="2">
        <v>4666302</v>
      </c>
      <c r="L130" s="2"/>
      <c r="M130">
        <v>4777.2</v>
      </c>
      <c r="N130">
        <f t="shared" si="4"/>
        <v>5010.4366666666674</v>
      </c>
      <c r="O130">
        <f t="shared" si="5"/>
        <v>264.662012133715</v>
      </c>
      <c r="P130">
        <f t="shared" si="6"/>
        <v>4745.7746545329528</v>
      </c>
      <c r="Q130">
        <f t="shared" si="7"/>
        <v>5275.098678800382</v>
      </c>
    </row>
    <row r="131" spans="1:17">
      <c r="A131" s="1">
        <v>35034</v>
      </c>
      <c r="B131">
        <v>34185</v>
      </c>
      <c r="C131">
        <v>4813.87</v>
      </c>
      <c r="D131">
        <v>5193.3500000000004</v>
      </c>
      <c r="E131">
        <v>4716.24</v>
      </c>
      <c r="F131" s="2">
        <v>5173.7299999999996</v>
      </c>
      <c r="G131" s="2">
        <v>1027776</v>
      </c>
      <c r="H131">
        <v>8.3000000000000007</v>
      </c>
      <c r="I131">
        <v>26.05</v>
      </c>
      <c r="J131" s="2">
        <v>131221</v>
      </c>
      <c r="K131" s="2">
        <v>5122473</v>
      </c>
      <c r="L131" s="2"/>
      <c r="M131">
        <v>5173.7299999999996</v>
      </c>
      <c r="N131">
        <f t="shared" si="4"/>
        <v>4965.2300000000005</v>
      </c>
      <c r="O131">
        <f t="shared" si="5"/>
        <v>187.51722160910975</v>
      </c>
      <c r="P131">
        <f t="shared" si="6"/>
        <v>4777.7127783908909</v>
      </c>
      <c r="Q131">
        <f t="shared" si="7"/>
        <v>5152.7472216091101</v>
      </c>
    </row>
    <row r="132" spans="1:17">
      <c r="A132" s="1">
        <v>35065</v>
      </c>
      <c r="B132">
        <v>22177</v>
      </c>
      <c r="C132">
        <v>5200.7299999999996</v>
      </c>
      <c r="D132">
        <v>5209.5</v>
      </c>
      <c r="E132">
        <v>4681.3599999999997</v>
      </c>
      <c r="F132">
        <v>4763.3999999999996</v>
      </c>
      <c r="G132" s="2">
        <v>661025</v>
      </c>
      <c r="H132">
        <v>-7.93</v>
      </c>
      <c r="I132">
        <v>16.88</v>
      </c>
      <c r="J132" s="2">
        <v>131350</v>
      </c>
      <c r="K132" s="2">
        <v>4730664</v>
      </c>
      <c r="L132" s="2"/>
      <c r="M132">
        <v>4763.3999999999996</v>
      </c>
      <c r="N132">
        <f t="shared" si="4"/>
        <v>4895.7266666666665</v>
      </c>
      <c r="O132">
        <f t="shared" si="5"/>
        <v>168.0820482581845</v>
      </c>
      <c r="P132">
        <f t="shared" si="6"/>
        <v>4727.6446184084816</v>
      </c>
      <c r="Q132">
        <f t="shared" si="7"/>
        <v>5063.8087149248513</v>
      </c>
    </row>
    <row r="133" spans="1:17">
      <c r="A133" s="1">
        <v>35096</v>
      </c>
      <c r="B133">
        <v>10386</v>
      </c>
      <c r="C133">
        <v>4746.93</v>
      </c>
      <c r="D133">
        <v>4882.38</v>
      </c>
      <c r="E133">
        <v>4672.67</v>
      </c>
      <c r="F133">
        <v>4797.67</v>
      </c>
      <c r="G133" s="2">
        <v>302230</v>
      </c>
      <c r="H133">
        <v>0.72</v>
      </c>
      <c r="I133">
        <v>7.86</v>
      </c>
      <c r="J133" s="2">
        <v>132062</v>
      </c>
      <c r="K133" s="2">
        <v>4783586</v>
      </c>
      <c r="L133" s="2"/>
      <c r="M133">
        <v>4797.67</v>
      </c>
      <c r="N133">
        <f t="shared" si="4"/>
        <v>4893.6833333333334</v>
      </c>
      <c r="O133">
        <f t="shared" si="5"/>
        <v>169.40299013496386</v>
      </c>
      <c r="P133">
        <f t="shared" si="6"/>
        <v>4724.2803431983693</v>
      </c>
      <c r="Q133">
        <f t="shared" si="7"/>
        <v>5063.0863234682975</v>
      </c>
    </row>
    <row r="134" spans="1:17">
      <c r="A134" s="1">
        <v>35125</v>
      </c>
      <c r="B134">
        <v>21716</v>
      </c>
      <c r="C134">
        <v>4821.25</v>
      </c>
      <c r="D134">
        <v>5136.01</v>
      </c>
      <c r="E134">
        <v>4675.3599999999997</v>
      </c>
      <c r="F134" s="2">
        <v>5032.3500000000004</v>
      </c>
      <c r="G134" s="2">
        <v>669320</v>
      </c>
      <c r="H134">
        <v>4.8899999999999997</v>
      </c>
      <c r="I134">
        <v>16.36</v>
      </c>
      <c r="J134" s="2">
        <v>132717</v>
      </c>
      <c r="K134" s="2">
        <v>5033653</v>
      </c>
      <c r="L134" s="2"/>
      <c r="M134">
        <v>5032.3500000000004</v>
      </c>
      <c r="N134">
        <f t="shared" si="4"/>
        <v>4893.5649999999996</v>
      </c>
      <c r="O134">
        <f t="shared" si="5"/>
        <v>169.286367171134</v>
      </c>
      <c r="P134">
        <f t="shared" si="6"/>
        <v>4724.2786328288657</v>
      </c>
      <c r="Q134">
        <f t="shared" si="7"/>
        <v>5062.8513671711335</v>
      </c>
    </row>
    <row r="135" spans="1:17">
      <c r="A135" s="1">
        <v>35156</v>
      </c>
      <c r="B135">
        <v>52638</v>
      </c>
      <c r="C135">
        <v>5068.8500000000004</v>
      </c>
      <c r="D135">
        <v>6237.37</v>
      </c>
      <c r="E135">
        <v>5053.75</v>
      </c>
      <c r="F135">
        <v>6134.28</v>
      </c>
      <c r="G135" s="2">
        <v>1996625</v>
      </c>
      <c r="H135">
        <v>21.9</v>
      </c>
      <c r="I135">
        <v>39.450000000000003</v>
      </c>
      <c r="J135" s="2">
        <v>133423</v>
      </c>
      <c r="K135" s="2">
        <v>6154158</v>
      </c>
      <c r="L135" s="2"/>
      <c r="M135">
        <v>6134.28</v>
      </c>
      <c r="N135">
        <f t="shared" si="4"/>
        <v>5113.1049999999996</v>
      </c>
      <c r="O135">
        <f t="shared" si="5"/>
        <v>526.80549286240353</v>
      </c>
      <c r="P135">
        <f t="shared" si="6"/>
        <v>4586.2995071375963</v>
      </c>
      <c r="Q135">
        <f t="shared" si="7"/>
        <v>5639.9104928624029</v>
      </c>
    </row>
    <row r="136" spans="1:17">
      <c r="A136" s="1">
        <v>35186</v>
      </c>
      <c r="B136">
        <v>33817</v>
      </c>
      <c r="C136">
        <v>6184.79</v>
      </c>
      <c r="D136">
        <v>6229.39</v>
      </c>
      <c r="E136">
        <v>5695.5</v>
      </c>
      <c r="F136">
        <v>5966.82</v>
      </c>
      <c r="G136" s="2">
        <v>1276296</v>
      </c>
      <c r="H136">
        <v>-2.73</v>
      </c>
      <c r="I136">
        <v>24.25</v>
      </c>
      <c r="J136" s="2">
        <v>139466</v>
      </c>
      <c r="K136" s="2">
        <v>6010405</v>
      </c>
      <c r="L136" s="2"/>
      <c r="M136">
        <v>5966.82</v>
      </c>
      <c r="N136">
        <f t="shared" ref="N136:N199" si="8">AVERAGE($M131:$M136)</f>
        <v>5311.375</v>
      </c>
      <c r="O136">
        <f t="shared" ref="O136:O199" si="9">STDEV($M131:$M136)</f>
        <v>594.60092689971782</v>
      </c>
      <c r="P136">
        <f t="shared" ref="P136:P199" si="10">N136-1*O136</f>
        <v>4716.7740731002823</v>
      </c>
      <c r="Q136">
        <f t="shared" ref="Q136:Q199" si="11">N136+1*O136</f>
        <v>5905.9759268997177</v>
      </c>
    </row>
    <row r="137" spans="1:17">
      <c r="A137" s="1">
        <v>35217</v>
      </c>
      <c r="B137">
        <v>38863</v>
      </c>
      <c r="C137">
        <v>5980.07</v>
      </c>
      <c r="D137">
        <v>6600.33</v>
      </c>
      <c r="E137">
        <v>5900.53</v>
      </c>
      <c r="F137">
        <v>6560.41</v>
      </c>
      <c r="G137" s="2">
        <v>1368229</v>
      </c>
      <c r="H137">
        <v>9.9499999999999993</v>
      </c>
      <c r="I137">
        <v>27.22</v>
      </c>
      <c r="J137" s="2">
        <v>142768</v>
      </c>
      <c r="K137" s="2">
        <v>6630026</v>
      </c>
      <c r="L137" s="2"/>
      <c r="M137">
        <v>6560.41</v>
      </c>
      <c r="N137">
        <f t="shared" si="8"/>
        <v>5542.4883333333337</v>
      </c>
      <c r="O137">
        <f t="shared" si="9"/>
        <v>773.09939328437338</v>
      </c>
      <c r="P137">
        <f t="shared" si="10"/>
        <v>4769.3889400489606</v>
      </c>
      <c r="Q137">
        <f t="shared" si="11"/>
        <v>6315.5877266177067</v>
      </c>
    </row>
    <row r="138" spans="1:17">
      <c r="A138" s="1">
        <v>35247</v>
      </c>
      <c r="B138">
        <v>27476</v>
      </c>
      <c r="C138">
        <v>6599.07</v>
      </c>
      <c r="D138">
        <v>6624.69</v>
      </c>
      <c r="E138">
        <v>5943.75</v>
      </c>
      <c r="F138">
        <v>6106.97</v>
      </c>
      <c r="G138" s="2">
        <v>966492</v>
      </c>
      <c r="H138">
        <v>-6.91</v>
      </c>
      <c r="I138">
        <v>18.399999999999999</v>
      </c>
      <c r="J138" s="2">
        <v>149358</v>
      </c>
      <c r="K138" s="2">
        <v>6222127</v>
      </c>
      <c r="L138" s="2"/>
      <c r="M138">
        <v>6106.97</v>
      </c>
      <c r="N138">
        <f t="shared" si="8"/>
        <v>5766.416666666667</v>
      </c>
      <c r="O138">
        <f t="shared" si="9"/>
        <v>692.70641537859899</v>
      </c>
      <c r="P138">
        <f t="shared" si="10"/>
        <v>5073.7102512880683</v>
      </c>
      <c r="Q138">
        <f t="shared" si="11"/>
        <v>6459.1230820452656</v>
      </c>
    </row>
    <row r="139" spans="1:17">
      <c r="A139" s="1">
        <v>35278</v>
      </c>
      <c r="B139">
        <v>28865</v>
      </c>
      <c r="C139">
        <v>6182.03</v>
      </c>
      <c r="D139">
        <v>6400</v>
      </c>
      <c r="E139">
        <v>5988.12</v>
      </c>
      <c r="F139">
        <v>6324.6</v>
      </c>
      <c r="G139" s="2">
        <v>958564</v>
      </c>
      <c r="H139">
        <v>3.56</v>
      </c>
      <c r="I139">
        <v>18.97</v>
      </c>
      <c r="J139" s="2">
        <v>152196</v>
      </c>
      <c r="K139" s="2">
        <v>6447170</v>
      </c>
      <c r="L139" s="2"/>
      <c r="M139">
        <v>6324.6</v>
      </c>
      <c r="N139">
        <f t="shared" si="8"/>
        <v>6020.9049999999997</v>
      </c>
      <c r="O139">
        <f t="shared" si="9"/>
        <v>526.06530928203188</v>
      </c>
      <c r="P139">
        <f t="shared" si="10"/>
        <v>5494.8396907179676</v>
      </c>
      <c r="Q139">
        <f t="shared" si="11"/>
        <v>6546.9703092820318</v>
      </c>
    </row>
    <row r="140" spans="1:17">
      <c r="A140" s="1">
        <v>35309</v>
      </c>
      <c r="B140">
        <v>29703</v>
      </c>
      <c r="C140">
        <v>6347.47</v>
      </c>
      <c r="D140">
        <v>6558.26</v>
      </c>
      <c r="E140">
        <v>6197.54</v>
      </c>
      <c r="F140">
        <v>6504.68</v>
      </c>
      <c r="G140" s="2">
        <v>973350</v>
      </c>
      <c r="H140">
        <v>2.85</v>
      </c>
      <c r="I140">
        <v>19.239999999999998</v>
      </c>
      <c r="J140" s="2">
        <v>154386</v>
      </c>
      <c r="K140" s="2">
        <v>6688219</v>
      </c>
      <c r="L140" s="2"/>
      <c r="M140">
        <v>6504.68</v>
      </c>
      <c r="N140">
        <f t="shared" si="8"/>
        <v>6266.293333333334</v>
      </c>
      <c r="O140">
        <f t="shared" si="9"/>
        <v>236.3168237486843</v>
      </c>
      <c r="P140">
        <f t="shared" si="10"/>
        <v>6029.9765095846496</v>
      </c>
      <c r="Q140">
        <f t="shared" si="11"/>
        <v>6502.6101570820183</v>
      </c>
    </row>
    <row r="141" spans="1:17">
      <c r="A141" s="1">
        <v>35339</v>
      </c>
      <c r="B141">
        <v>30355</v>
      </c>
      <c r="C141">
        <v>6537.16</v>
      </c>
      <c r="D141">
        <v>6680.66</v>
      </c>
      <c r="E141">
        <v>6357.38</v>
      </c>
      <c r="F141">
        <v>6426.09</v>
      </c>
      <c r="G141" s="2">
        <v>1006802</v>
      </c>
      <c r="H141">
        <v>-1.21</v>
      </c>
      <c r="I141">
        <v>19.53</v>
      </c>
      <c r="J141" s="2">
        <v>155407</v>
      </c>
      <c r="K141" s="2">
        <v>6624903</v>
      </c>
      <c r="L141" s="2"/>
      <c r="M141">
        <v>6426.09</v>
      </c>
      <c r="N141">
        <f t="shared" si="8"/>
        <v>6314.9283333333342</v>
      </c>
      <c r="O141">
        <f t="shared" si="9"/>
        <v>233.72782508008476</v>
      </c>
      <c r="P141">
        <f t="shared" si="10"/>
        <v>6081.2005082532496</v>
      </c>
      <c r="Q141">
        <f t="shared" si="11"/>
        <v>6548.6561584134188</v>
      </c>
    </row>
    <row r="142" spans="1:17">
      <c r="A142" s="1">
        <v>35370</v>
      </c>
      <c r="B142">
        <v>43755</v>
      </c>
      <c r="C142">
        <v>6450.68</v>
      </c>
      <c r="D142">
        <v>7002.62</v>
      </c>
      <c r="E142">
        <v>6441.65</v>
      </c>
      <c r="F142">
        <v>6826.06</v>
      </c>
      <c r="G142" s="2">
        <v>1659528</v>
      </c>
      <c r="H142">
        <v>6.22</v>
      </c>
      <c r="I142">
        <v>27.53</v>
      </c>
      <c r="J142" s="2">
        <v>158920</v>
      </c>
      <c r="K142" s="2">
        <v>7184796</v>
      </c>
      <c r="L142" s="2"/>
      <c r="M142">
        <v>6826.06</v>
      </c>
      <c r="N142">
        <f t="shared" si="8"/>
        <v>6458.1350000000011</v>
      </c>
      <c r="O142">
        <f t="shared" si="9"/>
        <v>240.90278277761757</v>
      </c>
      <c r="P142">
        <f t="shared" si="10"/>
        <v>6217.232217222384</v>
      </c>
      <c r="Q142">
        <f t="shared" si="11"/>
        <v>6699.0377827776183</v>
      </c>
    </row>
    <row r="143" spans="1:17">
      <c r="A143" s="1">
        <v>35400</v>
      </c>
      <c r="B143">
        <v>35925</v>
      </c>
      <c r="C143">
        <v>6863.76</v>
      </c>
      <c r="D143">
        <v>7084.28</v>
      </c>
      <c r="E143">
        <v>6769.08</v>
      </c>
      <c r="F143" s="2">
        <v>6933.94</v>
      </c>
      <c r="G143" s="2">
        <v>1299760</v>
      </c>
      <c r="H143">
        <v>1.58</v>
      </c>
      <c r="I143">
        <v>22.5</v>
      </c>
      <c r="J143" s="2">
        <v>159633</v>
      </c>
      <c r="K143" s="2">
        <v>7322298</v>
      </c>
      <c r="L143" s="2"/>
      <c r="M143">
        <v>6933.94</v>
      </c>
      <c r="N143">
        <f t="shared" si="8"/>
        <v>6520.39</v>
      </c>
      <c r="O143">
        <f t="shared" si="9"/>
        <v>310.75613139566514</v>
      </c>
      <c r="P143">
        <f t="shared" si="10"/>
        <v>6209.6338686043355</v>
      </c>
      <c r="Q143">
        <f t="shared" si="11"/>
        <v>6831.1461313956652</v>
      </c>
    </row>
    <row r="144" spans="1:17">
      <c r="A144" s="1">
        <v>35431</v>
      </c>
      <c r="B144">
        <v>51088</v>
      </c>
      <c r="C144">
        <v>6806.3</v>
      </c>
      <c r="D144">
        <v>7391.94</v>
      </c>
      <c r="E144">
        <v>6789.34</v>
      </c>
      <c r="F144">
        <v>7283.4</v>
      </c>
      <c r="G144" s="2">
        <v>1899221</v>
      </c>
      <c r="H144">
        <v>5.04</v>
      </c>
      <c r="I144">
        <v>31.42</v>
      </c>
      <c r="J144" s="2">
        <v>162604</v>
      </c>
      <c r="K144" s="2">
        <v>7919412</v>
      </c>
      <c r="L144" s="2"/>
      <c r="M144">
        <v>7283.4</v>
      </c>
      <c r="N144">
        <f t="shared" si="8"/>
        <v>6716.461666666667</v>
      </c>
      <c r="O144">
        <f t="shared" si="9"/>
        <v>364.26650652601381</v>
      </c>
      <c r="P144">
        <f t="shared" si="10"/>
        <v>6352.1951601406536</v>
      </c>
      <c r="Q144">
        <f t="shared" si="11"/>
        <v>7080.7281731926805</v>
      </c>
    </row>
    <row r="145" spans="1:17">
      <c r="A145" s="1">
        <v>35462</v>
      </c>
      <c r="B145">
        <v>58061</v>
      </c>
      <c r="C145">
        <v>7343.38</v>
      </c>
      <c r="D145">
        <v>7953.95</v>
      </c>
      <c r="E145">
        <v>7312.88</v>
      </c>
      <c r="F145" s="2">
        <v>7875.32</v>
      </c>
      <c r="G145" s="2">
        <v>2365606</v>
      </c>
      <c r="H145">
        <v>8.1300000000000008</v>
      </c>
      <c r="I145">
        <v>35.22</v>
      </c>
      <c r="J145" s="2">
        <v>164861</v>
      </c>
      <c r="K145" s="2">
        <v>8676638</v>
      </c>
      <c r="L145" s="2"/>
      <c r="M145">
        <v>7875.32</v>
      </c>
      <c r="N145">
        <f t="shared" si="8"/>
        <v>6974.915</v>
      </c>
      <c r="O145">
        <f t="shared" si="9"/>
        <v>538.8986466396068</v>
      </c>
      <c r="P145">
        <f t="shared" si="10"/>
        <v>6436.0163533603936</v>
      </c>
      <c r="Q145">
        <f t="shared" si="11"/>
        <v>7513.8136466396063</v>
      </c>
    </row>
    <row r="146" spans="1:17">
      <c r="A146" s="1">
        <v>35490</v>
      </c>
      <c r="B146">
        <v>85107</v>
      </c>
      <c r="C146">
        <v>7960.5</v>
      </c>
      <c r="D146">
        <v>8599.52</v>
      </c>
      <c r="E146">
        <v>7830.75</v>
      </c>
      <c r="F146">
        <v>8004.2</v>
      </c>
      <c r="G146" s="2">
        <v>3629489</v>
      </c>
      <c r="H146">
        <v>1.64</v>
      </c>
      <c r="I146">
        <v>51.3</v>
      </c>
      <c r="J146" s="2">
        <v>165902</v>
      </c>
      <c r="K146" s="2">
        <v>8862028</v>
      </c>
      <c r="L146" s="2"/>
      <c r="M146">
        <v>8004.2</v>
      </c>
      <c r="N146">
        <f t="shared" si="8"/>
        <v>7224.8349999999991</v>
      </c>
      <c r="O146">
        <f t="shared" si="9"/>
        <v>618.96774945872562</v>
      </c>
      <c r="P146">
        <f t="shared" si="10"/>
        <v>6605.8672505412733</v>
      </c>
      <c r="Q146">
        <f t="shared" si="11"/>
        <v>7843.802749458725</v>
      </c>
    </row>
    <row r="147" spans="1:17">
      <c r="A147" s="1">
        <v>35521</v>
      </c>
      <c r="B147">
        <v>73927</v>
      </c>
      <c r="C147">
        <v>8081.37</v>
      </c>
      <c r="D147">
        <v>8758.41</v>
      </c>
      <c r="E147">
        <v>8063.82</v>
      </c>
      <c r="F147">
        <v>8485.66</v>
      </c>
      <c r="G147" s="2">
        <v>3671189</v>
      </c>
      <c r="H147">
        <v>6.02</v>
      </c>
      <c r="I147">
        <v>43.75</v>
      </c>
      <c r="J147" s="2">
        <v>168994</v>
      </c>
      <c r="K147" s="2">
        <v>9428888</v>
      </c>
      <c r="L147" s="2"/>
      <c r="M147">
        <v>8485.66</v>
      </c>
      <c r="N147">
        <f t="shared" si="8"/>
        <v>7568.0966666666673</v>
      </c>
      <c r="O147">
        <f t="shared" si="9"/>
        <v>657.31576112753191</v>
      </c>
      <c r="P147">
        <f t="shared" si="10"/>
        <v>6910.7809055391353</v>
      </c>
      <c r="Q147">
        <f t="shared" si="11"/>
        <v>8225.4124277941992</v>
      </c>
    </row>
    <row r="148" spans="1:17">
      <c r="A148" s="1">
        <v>35551</v>
      </c>
      <c r="B148">
        <v>43264</v>
      </c>
      <c r="C148">
        <v>8497.06</v>
      </c>
      <c r="D148">
        <v>8497.06</v>
      </c>
      <c r="E148">
        <v>7893.73</v>
      </c>
      <c r="F148" s="2">
        <v>8163.11</v>
      </c>
      <c r="G148" s="2">
        <v>2441200</v>
      </c>
      <c r="H148">
        <v>-3.8</v>
      </c>
      <c r="I148">
        <v>25.15</v>
      </c>
      <c r="J148" s="2">
        <v>172002</v>
      </c>
      <c r="K148" s="2">
        <v>9110226</v>
      </c>
      <c r="L148" s="2"/>
      <c r="M148">
        <v>8163.11</v>
      </c>
      <c r="N148">
        <f t="shared" si="8"/>
        <v>7790.9383333333344</v>
      </c>
      <c r="O148">
        <f t="shared" si="9"/>
        <v>577.19876141297016</v>
      </c>
      <c r="P148">
        <f t="shared" si="10"/>
        <v>7213.7395719203641</v>
      </c>
      <c r="Q148">
        <f t="shared" si="11"/>
        <v>8368.1370947463038</v>
      </c>
    </row>
    <row r="149" spans="1:17">
      <c r="A149" s="1">
        <v>35582</v>
      </c>
      <c r="B149">
        <v>61841</v>
      </c>
      <c r="C149">
        <v>8203.77</v>
      </c>
      <c r="D149">
        <v>9131.86</v>
      </c>
      <c r="E149">
        <v>8170.15</v>
      </c>
      <c r="F149" s="2">
        <v>9030.2800000000007</v>
      </c>
      <c r="G149" s="2">
        <v>3815052</v>
      </c>
      <c r="H149">
        <v>10.62</v>
      </c>
      <c r="I149">
        <v>34.409999999999997</v>
      </c>
      <c r="J149" s="2">
        <v>179733</v>
      </c>
      <c r="K149" s="2">
        <v>10163599</v>
      </c>
      <c r="L149" s="2"/>
      <c r="M149">
        <v>9030.2800000000007</v>
      </c>
      <c r="N149">
        <f t="shared" si="8"/>
        <v>8140.328333333332</v>
      </c>
      <c r="O149">
        <f t="shared" si="9"/>
        <v>589.04557407442337</v>
      </c>
      <c r="P149">
        <f t="shared" si="10"/>
        <v>7551.2827592589083</v>
      </c>
      <c r="Q149">
        <f t="shared" si="11"/>
        <v>8729.3739074077548</v>
      </c>
    </row>
    <row r="150" spans="1:17">
      <c r="A150" s="1">
        <v>35612</v>
      </c>
      <c r="B150">
        <v>75017</v>
      </c>
      <c r="C150">
        <v>9094.27</v>
      </c>
      <c r="D150">
        <v>10113.57</v>
      </c>
      <c r="E150">
        <v>8988.1299999999992</v>
      </c>
      <c r="F150" s="2">
        <v>10066.35</v>
      </c>
      <c r="G150" s="2">
        <v>5197193</v>
      </c>
      <c r="H150">
        <v>11.47</v>
      </c>
      <c r="I150">
        <v>38.64</v>
      </c>
      <c r="J150" s="2">
        <v>194130</v>
      </c>
      <c r="K150" s="2">
        <v>11533560</v>
      </c>
      <c r="L150" s="2"/>
      <c r="M150">
        <v>10066.35</v>
      </c>
      <c r="N150">
        <f t="shared" si="8"/>
        <v>8604.1533333333336</v>
      </c>
      <c r="O150">
        <f t="shared" si="9"/>
        <v>826.95888046907578</v>
      </c>
      <c r="P150">
        <f t="shared" si="10"/>
        <v>7777.194452864258</v>
      </c>
      <c r="Q150">
        <f t="shared" si="11"/>
        <v>9431.1122138024093</v>
      </c>
    </row>
    <row r="151" spans="1:17">
      <c r="A151" s="1">
        <v>35643</v>
      </c>
      <c r="B151">
        <v>54414</v>
      </c>
      <c r="C151">
        <v>9953.31</v>
      </c>
      <c r="D151">
        <v>10256.1</v>
      </c>
      <c r="E151">
        <v>9501.6299999999992</v>
      </c>
      <c r="F151" s="2">
        <v>9756.4699999999993</v>
      </c>
      <c r="G151" s="2">
        <v>3892253</v>
      </c>
      <c r="H151">
        <v>-3.08</v>
      </c>
      <c r="I151">
        <v>27.28</v>
      </c>
      <c r="J151" s="2">
        <v>199429</v>
      </c>
      <c r="K151" s="2">
        <v>11234462</v>
      </c>
      <c r="L151" s="2"/>
      <c r="M151">
        <v>9756.4699999999993</v>
      </c>
      <c r="N151">
        <f t="shared" si="8"/>
        <v>8917.6783333333333</v>
      </c>
      <c r="O151">
        <f t="shared" si="9"/>
        <v>851.60472857815137</v>
      </c>
      <c r="P151">
        <f t="shared" si="10"/>
        <v>8066.0736047551818</v>
      </c>
      <c r="Q151">
        <f t="shared" si="11"/>
        <v>9769.2830619114848</v>
      </c>
    </row>
    <row r="152" spans="1:17">
      <c r="A152" s="1">
        <v>35674</v>
      </c>
      <c r="B152">
        <v>39039</v>
      </c>
      <c r="C152">
        <v>9861.75</v>
      </c>
      <c r="D152">
        <v>9861.75</v>
      </c>
      <c r="E152">
        <v>8599.82</v>
      </c>
      <c r="F152" s="2">
        <v>8708.83</v>
      </c>
      <c r="G152" s="2">
        <v>2585611</v>
      </c>
      <c r="H152">
        <v>-10.74</v>
      </c>
      <c r="I152">
        <v>19.239999999999998</v>
      </c>
      <c r="J152" s="2">
        <v>202927</v>
      </c>
      <c r="K152" s="2">
        <v>10160760</v>
      </c>
      <c r="L152" s="2"/>
      <c r="M152">
        <v>8708.83</v>
      </c>
      <c r="N152">
        <f t="shared" si="8"/>
        <v>9035.1166666666668</v>
      </c>
      <c r="O152">
        <f t="shared" si="9"/>
        <v>741.96731150817345</v>
      </c>
      <c r="P152">
        <f t="shared" si="10"/>
        <v>8293.1493551584936</v>
      </c>
      <c r="Q152">
        <f t="shared" si="11"/>
        <v>9777.08397817484</v>
      </c>
    </row>
    <row r="153" spans="1:17">
      <c r="A153" s="1">
        <v>35704</v>
      </c>
      <c r="B153">
        <v>41020</v>
      </c>
      <c r="C153">
        <v>8737.08</v>
      </c>
      <c r="D153">
        <v>8737.08</v>
      </c>
      <c r="E153">
        <v>7040.54</v>
      </c>
      <c r="F153" s="2">
        <v>7313.4</v>
      </c>
      <c r="G153" s="2">
        <v>2448036</v>
      </c>
      <c r="H153">
        <v>-16.02</v>
      </c>
      <c r="I153">
        <v>20.03</v>
      </c>
      <c r="J153" s="2">
        <v>204799</v>
      </c>
      <c r="K153" s="2">
        <v>8625938</v>
      </c>
      <c r="L153" s="2"/>
      <c r="M153">
        <v>7313.4</v>
      </c>
      <c r="N153">
        <f t="shared" si="8"/>
        <v>8839.74</v>
      </c>
      <c r="O153">
        <f t="shared" si="9"/>
        <v>1018.425339158439</v>
      </c>
      <c r="P153">
        <f t="shared" si="10"/>
        <v>7821.3146608415609</v>
      </c>
      <c r="Q153">
        <f t="shared" si="11"/>
        <v>9858.1653391584387</v>
      </c>
    </row>
    <row r="154" spans="1:17">
      <c r="A154" s="1">
        <v>35735</v>
      </c>
      <c r="B154">
        <v>41310</v>
      </c>
      <c r="C154">
        <v>7419.34</v>
      </c>
      <c r="D154">
        <v>8137.02</v>
      </c>
      <c r="E154">
        <v>7406.1</v>
      </c>
      <c r="F154" s="2">
        <v>7797.19</v>
      </c>
      <c r="G154" s="2">
        <v>2460142</v>
      </c>
      <c r="H154">
        <v>6.62</v>
      </c>
      <c r="I154">
        <v>19.989999999999998</v>
      </c>
      <c r="J154" s="2">
        <v>206637</v>
      </c>
      <c r="K154" s="2">
        <v>9244116</v>
      </c>
      <c r="L154" s="2"/>
      <c r="M154">
        <v>7797.19</v>
      </c>
      <c r="N154">
        <f t="shared" si="8"/>
        <v>8778.753333333334</v>
      </c>
      <c r="O154">
        <f t="shared" si="9"/>
        <v>1076.356535886986</v>
      </c>
      <c r="P154">
        <f t="shared" si="10"/>
        <v>7702.3967974463485</v>
      </c>
      <c r="Q154">
        <f t="shared" si="11"/>
        <v>9855.1098692203195</v>
      </c>
    </row>
    <row r="155" spans="1:17">
      <c r="A155" s="1">
        <v>35765</v>
      </c>
      <c r="B155">
        <v>67592</v>
      </c>
      <c r="C155">
        <v>7446.49</v>
      </c>
      <c r="D155">
        <v>8532.25</v>
      </c>
      <c r="E155">
        <v>7354.92</v>
      </c>
      <c r="F155" s="2">
        <v>8187.27</v>
      </c>
      <c r="G155" s="2">
        <v>3305894</v>
      </c>
      <c r="H155">
        <v>5</v>
      </c>
      <c r="I155">
        <v>32.409999999999997</v>
      </c>
      <c r="J155" s="2">
        <v>208562</v>
      </c>
      <c r="K155" s="2">
        <v>9792209</v>
      </c>
      <c r="L155" s="2"/>
      <c r="M155">
        <v>8187.27</v>
      </c>
      <c r="N155">
        <f t="shared" si="8"/>
        <v>8638.2516666666688</v>
      </c>
      <c r="O155">
        <f t="shared" si="9"/>
        <v>1091.8662483365999</v>
      </c>
      <c r="P155">
        <f t="shared" si="10"/>
        <v>7546.3854183300691</v>
      </c>
      <c r="Q155">
        <f t="shared" si="11"/>
        <v>9730.1179150032694</v>
      </c>
    </row>
    <row r="156" spans="1:17">
      <c r="A156" s="1">
        <v>35796</v>
      </c>
      <c r="B156">
        <v>26978</v>
      </c>
      <c r="C156">
        <v>8200.7800000000007</v>
      </c>
      <c r="D156">
        <v>8200.7800000000007</v>
      </c>
      <c r="E156">
        <v>7375.14</v>
      </c>
      <c r="F156" s="2">
        <v>8085.47</v>
      </c>
      <c r="G156" s="2">
        <v>1466505</v>
      </c>
      <c r="H156">
        <v>-1.24</v>
      </c>
      <c r="I156">
        <v>12.83</v>
      </c>
      <c r="J156" s="2">
        <v>210211</v>
      </c>
      <c r="K156" s="2">
        <v>9697200</v>
      </c>
      <c r="L156" s="2"/>
      <c r="M156">
        <v>8085.47</v>
      </c>
      <c r="N156">
        <f t="shared" si="8"/>
        <v>8308.1050000000014</v>
      </c>
      <c r="O156">
        <f t="shared" si="9"/>
        <v>845.3379576891125</v>
      </c>
      <c r="P156">
        <f t="shared" si="10"/>
        <v>7462.7670423108884</v>
      </c>
      <c r="Q156">
        <f t="shared" si="11"/>
        <v>9153.4429576891143</v>
      </c>
    </row>
    <row r="157" spans="1:17">
      <c r="A157" s="1">
        <v>35827</v>
      </c>
      <c r="B157">
        <v>71803</v>
      </c>
      <c r="C157">
        <v>8260.2800000000007</v>
      </c>
      <c r="D157">
        <v>9378.52</v>
      </c>
      <c r="E157">
        <v>8245.42</v>
      </c>
      <c r="F157" s="2">
        <v>9202.56</v>
      </c>
      <c r="G157" s="2">
        <v>4569271</v>
      </c>
      <c r="H157">
        <v>13.82</v>
      </c>
      <c r="I157">
        <v>34.049999999999997</v>
      </c>
      <c r="J157" s="2">
        <v>210894</v>
      </c>
      <c r="K157" s="2">
        <v>11075404</v>
      </c>
      <c r="L157" s="2"/>
      <c r="M157">
        <v>9202.56</v>
      </c>
      <c r="N157">
        <f t="shared" si="8"/>
        <v>8215.786666666665</v>
      </c>
      <c r="O157">
        <f t="shared" si="9"/>
        <v>666.95334759386776</v>
      </c>
      <c r="P157">
        <f t="shared" si="10"/>
        <v>7548.8333190727972</v>
      </c>
      <c r="Q157">
        <f t="shared" si="11"/>
        <v>8882.7400142605329</v>
      </c>
    </row>
    <row r="158" spans="1:17">
      <c r="A158" s="1">
        <v>35855</v>
      </c>
      <c r="B158">
        <v>67666</v>
      </c>
      <c r="C158">
        <v>9272.7900000000009</v>
      </c>
      <c r="D158">
        <v>9314.74</v>
      </c>
      <c r="E158">
        <v>8630.0499999999993</v>
      </c>
      <c r="F158" s="2">
        <v>9091.16</v>
      </c>
      <c r="G158" s="2">
        <v>3664651</v>
      </c>
      <c r="H158">
        <v>-1.21</v>
      </c>
      <c r="I158">
        <v>31.76</v>
      </c>
      <c r="J158" s="2">
        <v>213039</v>
      </c>
      <c r="K158" s="2">
        <v>11019376</v>
      </c>
      <c r="L158" s="2"/>
      <c r="M158">
        <v>9091.16</v>
      </c>
      <c r="N158">
        <f t="shared" si="8"/>
        <v>8279.5083333333332</v>
      </c>
      <c r="O158">
        <f t="shared" si="9"/>
        <v>737.96448135168851</v>
      </c>
      <c r="P158">
        <f t="shared" si="10"/>
        <v>7541.5438519816444</v>
      </c>
      <c r="Q158">
        <f t="shared" si="11"/>
        <v>9017.4728146850211</v>
      </c>
    </row>
    <row r="159" spans="1:17">
      <c r="A159" s="1">
        <v>35886</v>
      </c>
      <c r="B159">
        <v>53199</v>
      </c>
      <c r="C159">
        <v>9160.68</v>
      </c>
      <c r="D159">
        <v>9337.61</v>
      </c>
      <c r="E159">
        <v>8304.2099999999991</v>
      </c>
      <c r="F159" s="2">
        <v>8304.2099999999991</v>
      </c>
      <c r="G159" s="2">
        <v>2891803</v>
      </c>
      <c r="H159">
        <v>-8.66</v>
      </c>
      <c r="I159">
        <v>24.73</v>
      </c>
      <c r="J159" s="2">
        <v>215084</v>
      </c>
      <c r="K159" s="2">
        <v>10086119</v>
      </c>
      <c r="L159" s="2"/>
      <c r="M159">
        <v>8304.2099999999991</v>
      </c>
      <c r="N159">
        <f t="shared" si="8"/>
        <v>8444.6433333333316</v>
      </c>
      <c r="O159">
        <f t="shared" si="9"/>
        <v>570.36573002475052</v>
      </c>
      <c r="P159">
        <f t="shared" si="10"/>
        <v>7874.2776033085811</v>
      </c>
      <c r="Q159">
        <f t="shared" si="11"/>
        <v>9015.0090633580821</v>
      </c>
    </row>
    <row r="160" spans="1:17">
      <c r="A160" s="1">
        <v>35916</v>
      </c>
      <c r="B160">
        <v>38847</v>
      </c>
      <c r="C160">
        <v>8366.2800000000007</v>
      </c>
      <c r="D160">
        <v>8432.0300000000007</v>
      </c>
      <c r="E160">
        <v>7903.34</v>
      </c>
      <c r="F160" s="2">
        <v>7903.34</v>
      </c>
      <c r="G160" s="2">
        <v>2180468</v>
      </c>
      <c r="H160">
        <v>-4.83</v>
      </c>
      <c r="I160">
        <v>17.43</v>
      </c>
      <c r="J160" s="2">
        <v>222862</v>
      </c>
      <c r="K160" s="2">
        <v>9802444</v>
      </c>
      <c r="L160" s="2"/>
      <c r="M160">
        <v>7903.34</v>
      </c>
      <c r="N160">
        <f t="shared" si="8"/>
        <v>8462.3350000000009</v>
      </c>
      <c r="O160">
        <f t="shared" si="9"/>
        <v>547.45243434475628</v>
      </c>
      <c r="P160">
        <f t="shared" si="10"/>
        <v>7914.8825656552444</v>
      </c>
      <c r="Q160">
        <f t="shared" si="11"/>
        <v>9009.7874343447565</v>
      </c>
    </row>
    <row r="161" spans="1:17">
      <c r="A161" s="1">
        <v>35947</v>
      </c>
      <c r="B161">
        <v>52682</v>
      </c>
      <c r="C161">
        <v>7860.05</v>
      </c>
      <c r="D161">
        <v>7898.66</v>
      </c>
      <c r="E161">
        <v>7073.22</v>
      </c>
      <c r="F161" s="2">
        <v>7548.81</v>
      </c>
      <c r="G161" s="2">
        <v>2647385</v>
      </c>
      <c r="H161">
        <v>-4.49</v>
      </c>
      <c r="I161">
        <v>22.26</v>
      </c>
      <c r="J161" s="2">
        <v>236709</v>
      </c>
      <c r="K161" s="2">
        <v>9423861</v>
      </c>
      <c r="L161" s="2"/>
      <c r="M161">
        <v>7548.81</v>
      </c>
      <c r="N161">
        <f t="shared" si="8"/>
        <v>8355.9249999999975</v>
      </c>
      <c r="O161">
        <f t="shared" si="9"/>
        <v>661.73249612664449</v>
      </c>
      <c r="P161">
        <f t="shared" si="10"/>
        <v>7694.1925038733534</v>
      </c>
      <c r="Q161">
        <f t="shared" si="11"/>
        <v>9017.6574961266415</v>
      </c>
    </row>
    <row r="162" spans="1:17">
      <c r="A162" s="1">
        <v>35977</v>
      </c>
      <c r="B162">
        <v>51131</v>
      </c>
      <c r="C162">
        <v>7654.01</v>
      </c>
      <c r="D162">
        <v>8116.57</v>
      </c>
      <c r="E162">
        <v>7647.71</v>
      </c>
      <c r="F162" s="2">
        <v>7653.51</v>
      </c>
      <c r="G162" s="2">
        <v>2603276</v>
      </c>
      <c r="H162">
        <v>1.39</v>
      </c>
      <c r="I162">
        <v>20.5</v>
      </c>
      <c r="J162" s="2">
        <v>249384</v>
      </c>
      <c r="K162" s="2">
        <v>9611265</v>
      </c>
      <c r="L162" s="2"/>
      <c r="M162">
        <v>7653.51</v>
      </c>
      <c r="N162">
        <f t="shared" si="8"/>
        <v>8283.9316666666673</v>
      </c>
      <c r="O162">
        <f t="shared" si="9"/>
        <v>718.13538655093873</v>
      </c>
      <c r="P162">
        <f t="shared" si="10"/>
        <v>7565.7962801157282</v>
      </c>
      <c r="Q162">
        <f t="shared" si="11"/>
        <v>9002.0670532176064</v>
      </c>
    </row>
    <row r="163" spans="1:17">
      <c r="A163" s="1">
        <v>36008</v>
      </c>
      <c r="B163">
        <v>36544</v>
      </c>
      <c r="C163">
        <v>7580.16</v>
      </c>
      <c r="D163">
        <v>7715.8</v>
      </c>
      <c r="E163">
        <v>6550.11</v>
      </c>
      <c r="F163" s="2">
        <v>6550.11</v>
      </c>
      <c r="G163" s="2">
        <v>1798200</v>
      </c>
      <c r="H163">
        <v>-14.42</v>
      </c>
      <c r="I163">
        <v>14.16</v>
      </c>
      <c r="J163" s="2">
        <v>258079</v>
      </c>
      <c r="K163" s="2">
        <v>8321100</v>
      </c>
      <c r="L163" s="2"/>
      <c r="M163">
        <v>6550.11</v>
      </c>
      <c r="N163">
        <f t="shared" si="8"/>
        <v>7841.8566666666666</v>
      </c>
      <c r="O163">
        <f t="shared" si="9"/>
        <v>844.78043186775267</v>
      </c>
      <c r="P163">
        <f t="shared" si="10"/>
        <v>6997.0762347989139</v>
      </c>
      <c r="Q163">
        <f t="shared" si="11"/>
        <v>8686.6370985344183</v>
      </c>
    </row>
    <row r="164" spans="1:17">
      <c r="A164" s="1">
        <v>36039</v>
      </c>
      <c r="B164">
        <v>60095</v>
      </c>
      <c r="C164">
        <v>6350.13</v>
      </c>
      <c r="D164">
        <v>7218.39</v>
      </c>
      <c r="E164">
        <v>6219.89</v>
      </c>
      <c r="F164" s="2">
        <v>6833.95</v>
      </c>
      <c r="G164" s="2">
        <v>2049041</v>
      </c>
      <c r="H164">
        <v>4.33</v>
      </c>
      <c r="I164">
        <v>23.15</v>
      </c>
      <c r="J164" s="2">
        <v>259620</v>
      </c>
      <c r="K164" s="2">
        <v>8699813</v>
      </c>
      <c r="L164" s="2"/>
      <c r="M164">
        <v>6833.95</v>
      </c>
      <c r="N164">
        <f t="shared" si="8"/>
        <v>7465.6549999999997</v>
      </c>
      <c r="O164">
        <f t="shared" si="9"/>
        <v>659.42713871207934</v>
      </c>
      <c r="P164">
        <f t="shared" si="10"/>
        <v>6806.2278612879199</v>
      </c>
      <c r="Q164">
        <f t="shared" si="11"/>
        <v>8125.0821387120795</v>
      </c>
    </row>
    <row r="165" spans="1:17">
      <c r="A165" s="1">
        <v>36069</v>
      </c>
      <c r="B165">
        <v>55663</v>
      </c>
      <c r="C165">
        <v>6760.41</v>
      </c>
      <c r="D165">
        <v>7170.69</v>
      </c>
      <c r="E165">
        <v>6384.66</v>
      </c>
      <c r="F165">
        <v>7165.98</v>
      </c>
      <c r="G165" s="2">
        <v>1894661</v>
      </c>
      <c r="H165">
        <v>4.8600000000000003</v>
      </c>
      <c r="I165">
        <v>21.23</v>
      </c>
      <c r="J165" s="2">
        <v>262218</v>
      </c>
      <c r="K165" s="2">
        <v>9158022</v>
      </c>
      <c r="L165" s="2"/>
      <c r="M165">
        <v>7165.98</v>
      </c>
      <c r="N165">
        <f t="shared" si="8"/>
        <v>7275.95</v>
      </c>
      <c r="O165">
        <f t="shared" si="9"/>
        <v>518.63733992068126</v>
      </c>
      <c r="P165">
        <f t="shared" si="10"/>
        <v>6757.3126600793184</v>
      </c>
      <c r="Q165">
        <f t="shared" si="11"/>
        <v>7794.5873399206812</v>
      </c>
    </row>
    <row r="166" spans="1:17">
      <c r="A166" s="1">
        <v>36100</v>
      </c>
      <c r="B166">
        <v>62660</v>
      </c>
      <c r="C166">
        <v>7215.83</v>
      </c>
      <c r="D166">
        <v>7488.43</v>
      </c>
      <c r="E166">
        <v>6643.18</v>
      </c>
      <c r="F166">
        <v>7177.22</v>
      </c>
      <c r="G166" s="2">
        <v>2418666</v>
      </c>
      <c r="H166">
        <v>0.16</v>
      </c>
      <c r="I166">
        <v>24.21</v>
      </c>
      <c r="J166" s="2">
        <v>258825</v>
      </c>
      <c r="K166" s="2">
        <v>9122392</v>
      </c>
      <c r="L166" s="2"/>
      <c r="M166">
        <v>7177.22</v>
      </c>
      <c r="N166">
        <f t="shared" si="8"/>
        <v>7154.93</v>
      </c>
      <c r="O166">
        <f t="shared" si="9"/>
        <v>417.8941995768788</v>
      </c>
      <c r="P166">
        <f t="shared" si="10"/>
        <v>6737.0358004231211</v>
      </c>
      <c r="Q166">
        <f t="shared" si="11"/>
        <v>7572.8241995768794</v>
      </c>
    </row>
    <row r="167" spans="1:17">
      <c r="A167" s="1">
        <v>36130</v>
      </c>
      <c r="B167">
        <v>44707</v>
      </c>
      <c r="C167">
        <v>7116.24</v>
      </c>
      <c r="D167">
        <v>7375.91</v>
      </c>
      <c r="E167">
        <v>6414.65</v>
      </c>
      <c r="F167">
        <v>6418.43</v>
      </c>
      <c r="G167" s="2">
        <v>1576251</v>
      </c>
      <c r="H167">
        <v>-10.57</v>
      </c>
      <c r="I167">
        <v>16.97</v>
      </c>
      <c r="J167" s="2">
        <v>263397</v>
      </c>
      <c r="K167" s="2">
        <v>8246752</v>
      </c>
      <c r="L167" s="2"/>
      <c r="M167">
        <v>6418.43</v>
      </c>
      <c r="N167">
        <f t="shared" si="8"/>
        <v>6966.5333333333328</v>
      </c>
      <c r="O167">
        <f t="shared" si="9"/>
        <v>457.71361826656056</v>
      </c>
      <c r="P167">
        <f t="shared" si="10"/>
        <v>6508.819715066772</v>
      </c>
      <c r="Q167">
        <f t="shared" si="11"/>
        <v>7424.2469515998937</v>
      </c>
    </row>
    <row r="168" spans="1:17">
      <c r="A168" s="1">
        <v>36161</v>
      </c>
      <c r="B168">
        <v>40172</v>
      </c>
      <c r="C168">
        <v>6310.41</v>
      </c>
      <c r="D168">
        <v>6577.92</v>
      </c>
      <c r="E168">
        <v>5949.45</v>
      </c>
      <c r="F168">
        <v>5998.32</v>
      </c>
      <c r="G168" s="2">
        <v>1416868</v>
      </c>
      <c r="H168">
        <v>-6.55</v>
      </c>
      <c r="I168">
        <v>15.11</v>
      </c>
      <c r="J168" s="2">
        <v>265904</v>
      </c>
      <c r="K168" s="2">
        <v>7745791</v>
      </c>
      <c r="L168" s="2"/>
      <c r="M168">
        <v>5998.32</v>
      </c>
      <c r="N168">
        <f t="shared" si="8"/>
        <v>6690.668333333334</v>
      </c>
      <c r="O168">
        <f t="shared" si="9"/>
        <v>459.65202287890202</v>
      </c>
      <c r="P168">
        <f t="shared" si="10"/>
        <v>6231.0163104544317</v>
      </c>
      <c r="Q168">
        <f t="shared" si="11"/>
        <v>7150.3203562122362</v>
      </c>
    </row>
    <row r="169" spans="1:17">
      <c r="A169" s="1">
        <v>36192</v>
      </c>
      <c r="B169">
        <v>33257</v>
      </c>
      <c r="C169">
        <v>5948.35</v>
      </c>
      <c r="D169">
        <v>6383.04</v>
      </c>
      <c r="E169">
        <v>5422.66</v>
      </c>
      <c r="F169">
        <v>6318.52</v>
      </c>
      <c r="G169" s="2">
        <v>993172</v>
      </c>
      <c r="H169">
        <v>5.34</v>
      </c>
      <c r="I169">
        <v>12.52</v>
      </c>
      <c r="J169" s="2">
        <v>265545</v>
      </c>
      <c r="K169" s="2">
        <v>8210395</v>
      </c>
      <c r="L169" s="2"/>
      <c r="M169">
        <v>6318.52</v>
      </c>
      <c r="N169">
        <f t="shared" si="8"/>
        <v>6652.07</v>
      </c>
      <c r="O169">
        <f t="shared" si="9"/>
        <v>482.94899515373254</v>
      </c>
      <c r="P169">
        <f t="shared" si="10"/>
        <v>6169.1210048462672</v>
      </c>
      <c r="Q169">
        <f t="shared" si="11"/>
        <v>7135.0189951537322</v>
      </c>
    </row>
    <row r="170" spans="1:17">
      <c r="A170" s="1">
        <v>36220</v>
      </c>
      <c r="B170">
        <v>73494</v>
      </c>
      <c r="C170">
        <v>6324.4</v>
      </c>
      <c r="D170">
        <v>7133.03</v>
      </c>
      <c r="E170">
        <v>6228.53</v>
      </c>
      <c r="F170" s="2">
        <v>6881.72</v>
      </c>
      <c r="G170" s="2">
        <v>2409653</v>
      </c>
      <c r="H170">
        <v>8.91</v>
      </c>
      <c r="I170">
        <v>27.33</v>
      </c>
      <c r="J170" s="2">
        <v>268907</v>
      </c>
      <c r="K170" s="2">
        <v>9239339</v>
      </c>
      <c r="L170" s="2"/>
      <c r="M170">
        <v>6881.72</v>
      </c>
      <c r="N170">
        <f t="shared" si="8"/>
        <v>6660.0316666666668</v>
      </c>
      <c r="O170">
        <f t="shared" si="9"/>
        <v>486.92445387007075</v>
      </c>
      <c r="P170">
        <f t="shared" si="10"/>
        <v>6173.1072127965963</v>
      </c>
      <c r="Q170">
        <f t="shared" si="11"/>
        <v>7146.9561205367372</v>
      </c>
    </row>
    <row r="171" spans="1:17">
      <c r="A171" s="1">
        <v>36251</v>
      </c>
      <c r="B171">
        <v>87092</v>
      </c>
      <c r="C171">
        <v>6876.64</v>
      </c>
      <c r="D171">
        <v>7703.76</v>
      </c>
      <c r="E171">
        <v>6876.64</v>
      </c>
      <c r="F171">
        <v>7371.17</v>
      </c>
      <c r="G171" s="2">
        <v>2939333</v>
      </c>
      <c r="H171">
        <v>7.11</v>
      </c>
      <c r="I171">
        <v>32.19</v>
      </c>
      <c r="J171" s="2">
        <v>270524</v>
      </c>
      <c r="K171" s="2">
        <v>9927019</v>
      </c>
      <c r="L171" s="2"/>
      <c r="M171">
        <v>7371.17</v>
      </c>
      <c r="N171">
        <f t="shared" si="8"/>
        <v>6694.23</v>
      </c>
      <c r="O171">
        <f t="shared" si="9"/>
        <v>534.45186424971894</v>
      </c>
      <c r="P171">
        <f t="shared" si="10"/>
        <v>6159.7781357502809</v>
      </c>
      <c r="Q171">
        <f t="shared" si="11"/>
        <v>7228.6818642497183</v>
      </c>
    </row>
    <row r="172" spans="1:17">
      <c r="A172" s="1">
        <v>36281</v>
      </c>
      <c r="B172">
        <v>64887</v>
      </c>
      <c r="C172">
        <v>7393.58</v>
      </c>
      <c r="D172">
        <v>7705.63</v>
      </c>
      <c r="E172">
        <v>7310.52</v>
      </c>
      <c r="F172">
        <v>7316.57</v>
      </c>
      <c r="G172" s="2">
        <v>2673558</v>
      </c>
      <c r="H172">
        <v>-0.74</v>
      </c>
      <c r="I172">
        <v>23.83</v>
      </c>
      <c r="J172" s="2">
        <v>272314</v>
      </c>
      <c r="K172" s="2">
        <v>9914571</v>
      </c>
      <c r="L172" s="2"/>
      <c r="M172">
        <v>7316.57</v>
      </c>
      <c r="N172">
        <f t="shared" si="8"/>
        <v>6717.4550000000008</v>
      </c>
      <c r="O172">
        <f t="shared" si="9"/>
        <v>561.95823826152764</v>
      </c>
      <c r="P172">
        <f t="shared" si="10"/>
        <v>6155.4967617384737</v>
      </c>
      <c r="Q172">
        <f t="shared" si="11"/>
        <v>7279.413238261528</v>
      </c>
    </row>
    <row r="173" spans="1:17">
      <c r="A173" s="1">
        <v>36312</v>
      </c>
      <c r="B173">
        <v>67815</v>
      </c>
      <c r="C173">
        <v>7324.42</v>
      </c>
      <c r="D173">
        <v>8661.39</v>
      </c>
      <c r="E173">
        <v>7313.12</v>
      </c>
      <c r="F173" s="2">
        <v>8467.3700000000008</v>
      </c>
      <c r="G173" s="2">
        <v>3766637</v>
      </c>
      <c r="H173">
        <v>15.73</v>
      </c>
      <c r="I173">
        <v>24.32</v>
      </c>
      <c r="J173" s="2">
        <v>278847</v>
      </c>
      <c r="K173" s="2">
        <v>11477428</v>
      </c>
      <c r="L173" s="2"/>
      <c r="M173">
        <v>8467.3700000000008</v>
      </c>
      <c r="N173">
        <f t="shared" si="8"/>
        <v>7058.9450000000006</v>
      </c>
      <c r="O173">
        <f t="shared" si="9"/>
        <v>877.73336996492731</v>
      </c>
      <c r="P173">
        <f t="shared" si="10"/>
        <v>6181.2116300350735</v>
      </c>
      <c r="Q173">
        <f t="shared" si="11"/>
        <v>7936.6783699649277</v>
      </c>
    </row>
    <row r="174" spans="1:17">
      <c r="A174" s="1">
        <v>36342</v>
      </c>
      <c r="B174">
        <v>55741</v>
      </c>
      <c r="C174">
        <v>8508.7900000000009</v>
      </c>
      <c r="D174">
        <v>8710.7099999999991</v>
      </c>
      <c r="E174">
        <v>7068.88</v>
      </c>
      <c r="F174">
        <v>7326.75</v>
      </c>
      <c r="G174" s="2">
        <v>2954306</v>
      </c>
      <c r="H174">
        <v>-13.47</v>
      </c>
      <c r="I174">
        <v>19.21</v>
      </c>
      <c r="J174" s="2">
        <v>290224</v>
      </c>
      <c r="K174" s="2">
        <v>9973770</v>
      </c>
      <c r="L174" s="2"/>
      <c r="M174">
        <v>7326.75</v>
      </c>
      <c r="N174">
        <f t="shared" si="8"/>
        <v>7280.3500000000013</v>
      </c>
      <c r="O174">
        <f t="shared" si="9"/>
        <v>707.77855675345245</v>
      </c>
      <c r="P174">
        <f t="shared" si="10"/>
        <v>6572.5714432465484</v>
      </c>
      <c r="Q174">
        <f t="shared" si="11"/>
        <v>7988.1285567534542</v>
      </c>
    </row>
    <row r="175" spans="1:17">
      <c r="A175" s="1">
        <v>36373</v>
      </c>
      <c r="B175">
        <v>60552</v>
      </c>
      <c r="C175">
        <v>7328.54</v>
      </c>
      <c r="D175">
        <v>8278.2999999999993</v>
      </c>
      <c r="E175">
        <v>6771.75</v>
      </c>
      <c r="F175">
        <v>8157.73</v>
      </c>
      <c r="G175" s="2">
        <v>2764860</v>
      </c>
      <c r="H175">
        <v>11.34</v>
      </c>
      <c r="I175">
        <v>20.420000000000002</v>
      </c>
      <c r="J175" s="2">
        <v>296508</v>
      </c>
      <c r="K175" s="2">
        <v>11185390</v>
      </c>
      <c r="L175" s="2"/>
      <c r="M175">
        <v>8157.73</v>
      </c>
      <c r="N175">
        <f t="shared" si="8"/>
        <v>7586.8849999999993</v>
      </c>
      <c r="O175">
        <f t="shared" si="9"/>
        <v>597.60336430612574</v>
      </c>
      <c r="P175">
        <f t="shared" si="10"/>
        <v>6989.2816356938738</v>
      </c>
      <c r="Q175">
        <f t="shared" si="11"/>
        <v>8184.4883643061248</v>
      </c>
    </row>
    <row r="176" spans="1:17">
      <c r="A176" s="1">
        <v>36404</v>
      </c>
      <c r="B176">
        <v>47008</v>
      </c>
      <c r="C176">
        <v>8225.61</v>
      </c>
      <c r="D176">
        <v>8414.6</v>
      </c>
      <c r="E176">
        <v>7415.58</v>
      </c>
      <c r="F176">
        <v>7598.79</v>
      </c>
      <c r="G176" s="2">
        <v>2128586</v>
      </c>
      <c r="H176">
        <v>-6.85</v>
      </c>
      <c r="I176">
        <v>15.77</v>
      </c>
      <c r="J176" s="2">
        <v>298152</v>
      </c>
      <c r="K176" s="2">
        <v>10462989</v>
      </c>
      <c r="L176" s="2"/>
      <c r="M176">
        <v>7598.79</v>
      </c>
      <c r="N176">
        <f t="shared" si="8"/>
        <v>7706.3966666666665</v>
      </c>
      <c r="O176">
        <f t="shared" si="9"/>
        <v>490.47624328469453</v>
      </c>
      <c r="P176">
        <f t="shared" si="10"/>
        <v>7215.9204233819719</v>
      </c>
      <c r="Q176">
        <f t="shared" si="11"/>
        <v>8196.8729099513603</v>
      </c>
    </row>
    <row r="177" spans="1:17">
      <c r="A177" s="1">
        <v>36434</v>
      </c>
      <c r="B177">
        <v>51739</v>
      </c>
      <c r="C177">
        <v>7633.08</v>
      </c>
      <c r="D177">
        <v>7959.52</v>
      </c>
      <c r="E177">
        <v>7462.45</v>
      </c>
      <c r="F177">
        <v>7854.85</v>
      </c>
      <c r="G177" s="2">
        <v>2067883</v>
      </c>
      <c r="H177">
        <v>3.37</v>
      </c>
      <c r="I177">
        <v>17.2</v>
      </c>
      <c r="J177" s="2">
        <v>300783</v>
      </c>
      <c r="K177" s="2">
        <v>10881262</v>
      </c>
      <c r="L177" s="2"/>
      <c r="M177">
        <v>7854.85</v>
      </c>
      <c r="N177">
        <f t="shared" si="8"/>
        <v>7787.0099999999993</v>
      </c>
      <c r="O177">
        <f t="shared" si="9"/>
        <v>463.35842351251176</v>
      </c>
      <c r="P177">
        <f t="shared" si="10"/>
        <v>7323.6515764874875</v>
      </c>
      <c r="Q177">
        <f t="shared" si="11"/>
        <v>8250.3684235125111</v>
      </c>
    </row>
    <row r="178" spans="1:17">
      <c r="A178" s="1">
        <v>36465</v>
      </c>
      <c r="B178">
        <v>48824</v>
      </c>
      <c r="C178">
        <v>7871.07</v>
      </c>
      <c r="D178">
        <v>8152.33</v>
      </c>
      <c r="E178">
        <v>7261.31</v>
      </c>
      <c r="F178">
        <v>7720.87</v>
      </c>
      <c r="G178" s="2">
        <v>2432041</v>
      </c>
      <c r="H178">
        <v>-1.71</v>
      </c>
      <c r="I178">
        <v>16.25</v>
      </c>
      <c r="J178" s="2">
        <v>300476</v>
      </c>
      <c r="K178" s="2">
        <v>10723607</v>
      </c>
      <c r="L178" s="2"/>
      <c r="M178">
        <v>7720.87</v>
      </c>
      <c r="N178">
        <f t="shared" si="8"/>
        <v>7854.3933333333334</v>
      </c>
      <c r="O178">
        <f t="shared" si="9"/>
        <v>407.26472165738443</v>
      </c>
      <c r="P178">
        <f t="shared" si="10"/>
        <v>7447.1286116759493</v>
      </c>
      <c r="Q178">
        <f t="shared" si="11"/>
        <v>8261.6580549907176</v>
      </c>
    </row>
    <row r="179" spans="1:17">
      <c r="A179" s="1">
        <v>36495</v>
      </c>
      <c r="B179">
        <v>58916</v>
      </c>
      <c r="C179">
        <v>7702.18</v>
      </c>
      <c r="D179">
        <v>8480.5</v>
      </c>
      <c r="E179">
        <v>7684.42</v>
      </c>
      <c r="F179" s="2">
        <v>8448.84</v>
      </c>
      <c r="G179" s="2">
        <v>2944027</v>
      </c>
      <c r="H179">
        <v>9.43</v>
      </c>
      <c r="I179">
        <v>19.59</v>
      </c>
      <c r="J179" s="2">
        <v>300706</v>
      </c>
      <c r="K179" s="2">
        <v>11734777</v>
      </c>
      <c r="L179" s="2"/>
      <c r="M179">
        <v>8448.84</v>
      </c>
      <c r="N179">
        <f t="shared" si="8"/>
        <v>7851.3050000000003</v>
      </c>
      <c r="O179">
        <f t="shared" si="9"/>
        <v>401.71930159005302</v>
      </c>
      <c r="P179">
        <f t="shared" si="10"/>
        <v>7449.5856984099473</v>
      </c>
      <c r="Q179">
        <f t="shared" si="11"/>
        <v>8253.0243015900542</v>
      </c>
    </row>
    <row r="180" spans="1:17">
      <c r="A180" s="1">
        <v>36526</v>
      </c>
      <c r="B180">
        <v>91325</v>
      </c>
      <c r="C180">
        <v>8644.91</v>
      </c>
      <c r="D180">
        <v>9753.7199999999993</v>
      </c>
      <c r="E180">
        <v>8642.5</v>
      </c>
      <c r="F180" s="2">
        <v>9744.89</v>
      </c>
      <c r="G180" s="2">
        <v>4581628</v>
      </c>
      <c r="H180">
        <v>15.34</v>
      </c>
      <c r="I180">
        <v>30.06</v>
      </c>
      <c r="J180" s="2">
        <v>303827</v>
      </c>
      <c r="K180" s="2">
        <v>13883946</v>
      </c>
      <c r="L180" s="2"/>
      <c r="M180">
        <v>9744.89</v>
      </c>
      <c r="N180">
        <f t="shared" si="8"/>
        <v>8254.3283333333329</v>
      </c>
      <c r="O180">
        <f t="shared" si="9"/>
        <v>792.82171353758099</v>
      </c>
      <c r="P180">
        <f t="shared" si="10"/>
        <v>7461.5066197957522</v>
      </c>
      <c r="Q180">
        <f t="shared" si="11"/>
        <v>9047.1500468709146</v>
      </c>
    </row>
    <row r="181" spans="1:17">
      <c r="A181" s="1">
        <v>36557</v>
      </c>
      <c r="B181">
        <v>77026</v>
      </c>
      <c r="C181">
        <v>9829.68</v>
      </c>
      <c r="D181">
        <v>10393.59</v>
      </c>
      <c r="E181">
        <v>9407.7900000000009</v>
      </c>
      <c r="F181" s="2">
        <v>9435.94</v>
      </c>
      <c r="G181" s="2">
        <v>3197073</v>
      </c>
      <c r="H181">
        <v>-3.17</v>
      </c>
      <c r="I181">
        <v>25.22</v>
      </c>
      <c r="J181" s="2">
        <v>305440</v>
      </c>
      <c r="K181" s="2">
        <v>13511778</v>
      </c>
      <c r="L181" s="2"/>
      <c r="M181">
        <v>9435.94</v>
      </c>
      <c r="N181">
        <f t="shared" si="8"/>
        <v>8467.3633333333328</v>
      </c>
      <c r="O181">
        <f t="shared" si="9"/>
        <v>922.75703982503785</v>
      </c>
      <c r="P181">
        <f t="shared" si="10"/>
        <v>7544.6062935082946</v>
      </c>
      <c r="Q181">
        <f t="shared" si="11"/>
        <v>9390.1203731583701</v>
      </c>
    </row>
    <row r="182" spans="1:17">
      <c r="A182" s="1">
        <v>36586</v>
      </c>
      <c r="B182">
        <v>79170</v>
      </c>
      <c r="C182">
        <v>9572.24</v>
      </c>
      <c r="D182">
        <v>10071.26</v>
      </c>
      <c r="E182">
        <v>8250.4599999999991</v>
      </c>
      <c r="F182" s="2">
        <v>9854.9500000000007</v>
      </c>
      <c r="G182" s="2">
        <v>4301132</v>
      </c>
      <c r="H182">
        <v>4.4400000000000004</v>
      </c>
      <c r="I182">
        <v>25.86</v>
      </c>
      <c r="J182" s="2">
        <v>306111</v>
      </c>
      <c r="K182" s="2">
        <v>14198854</v>
      </c>
      <c r="L182" s="2"/>
      <c r="M182">
        <v>9854.9500000000007</v>
      </c>
      <c r="N182">
        <f t="shared" si="8"/>
        <v>8843.39</v>
      </c>
      <c r="O182">
        <f t="shared" si="9"/>
        <v>957.07926219305386</v>
      </c>
      <c r="P182">
        <f t="shared" si="10"/>
        <v>7886.3107378069453</v>
      </c>
      <c r="Q182">
        <f t="shared" si="11"/>
        <v>9800.4692621930535</v>
      </c>
    </row>
    <row r="183" spans="1:17">
      <c r="A183" s="1">
        <v>36617</v>
      </c>
      <c r="B183">
        <v>65429</v>
      </c>
      <c r="C183">
        <v>9892.7800000000007</v>
      </c>
      <c r="D183">
        <v>10328.98</v>
      </c>
      <c r="E183">
        <v>8458.4</v>
      </c>
      <c r="F183" s="2">
        <v>8777.35</v>
      </c>
      <c r="G183" s="2">
        <v>4093232</v>
      </c>
      <c r="H183">
        <v>-10.93</v>
      </c>
      <c r="I183">
        <v>21.33</v>
      </c>
      <c r="J183" s="2">
        <v>306716</v>
      </c>
      <c r="K183" s="2">
        <v>12653411</v>
      </c>
      <c r="L183" s="2"/>
      <c r="M183">
        <v>8777.35</v>
      </c>
      <c r="N183">
        <f t="shared" si="8"/>
        <v>8997.1400000000012</v>
      </c>
      <c r="O183">
        <f t="shared" si="9"/>
        <v>832.50455201157922</v>
      </c>
      <c r="P183">
        <f t="shared" si="10"/>
        <v>8164.6354479884221</v>
      </c>
      <c r="Q183">
        <f t="shared" si="11"/>
        <v>9829.6445520115813</v>
      </c>
    </row>
    <row r="184" spans="1:17">
      <c r="A184" s="1">
        <v>36647</v>
      </c>
      <c r="B184">
        <v>48112</v>
      </c>
      <c r="C184">
        <v>8836.83</v>
      </c>
      <c r="D184">
        <v>9167.7800000000007</v>
      </c>
      <c r="E184">
        <v>8281.68</v>
      </c>
      <c r="F184" s="2">
        <v>8939.52</v>
      </c>
      <c r="G184" s="2">
        <v>2562217</v>
      </c>
      <c r="H184">
        <v>1.85</v>
      </c>
      <c r="I184">
        <v>15.42</v>
      </c>
      <c r="J184" s="2">
        <v>312014</v>
      </c>
      <c r="K184" s="2">
        <v>12924250</v>
      </c>
      <c r="L184" s="2"/>
      <c r="M184">
        <v>8939.52</v>
      </c>
      <c r="N184">
        <f t="shared" si="8"/>
        <v>9200.2483333333312</v>
      </c>
      <c r="O184">
        <f t="shared" si="9"/>
        <v>564.31482820910048</v>
      </c>
      <c r="P184">
        <f t="shared" si="10"/>
        <v>8635.9335051242306</v>
      </c>
      <c r="Q184">
        <f t="shared" si="11"/>
        <v>9764.5631615424318</v>
      </c>
    </row>
    <row r="185" spans="1:17">
      <c r="A185" s="1">
        <v>36678</v>
      </c>
      <c r="B185">
        <v>36784</v>
      </c>
      <c r="C185">
        <v>8936.43</v>
      </c>
      <c r="D185">
        <v>9209.48</v>
      </c>
      <c r="E185">
        <v>8050.02</v>
      </c>
      <c r="F185" s="2">
        <v>8265.09</v>
      </c>
      <c r="G185" s="2">
        <v>2146213</v>
      </c>
      <c r="H185">
        <v>-7.54</v>
      </c>
      <c r="I185">
        <v>11.46</v>
      </c>
      <c r="J185" s="2">
        <v>320980</v>
      </c>
      <c r="K185" s="2">
        <v>12257700</v>
      </c>
      <c r="L185" s="2"/>
      <c r="M185">
        <v>8265.09</v>
      </c>
      <c r="N185">
        <f t="shared" si="8"/>
        <v>9169.6233333333348</v>
      </c>
      <c r="O185">
        <f t="shared" si="9"/>
        <v>615.8791128027209</v>
      </c>
      <c r="P185">
        <f t="shared" si="10"/>
        <v>8553.7442205306143</v>
      </c>
      <c r="Q185">
        <f t="shared" si="11"/>
        <v>9785.5024461360554</v>
      </c>
    </row>
    <row r="186" spans="1:17">
      <c r="A186" s="1">
        <v>36708</v>
      </c>
      <c r="B186">
        <v>40305</v>
      </c>
      <c r="C186">
        <v>8260.9500000000007</v>
      </c>
      <c r="D186">
        <v>8643.2099999999991</v>
      </c>
      <c r="E186">
        <v>7723.44</v>
      </c>
      <c r="F186" s="2">
        <v>8114.92</v>
      </c>
      <c r="G186" s="2">
        <v>1782168</v>
      </c>
      <c r="H186">
        <v>-1.82</v>
      </c>
      <c r="I186">
        <v>12.21</v>
      </c>
      <c r="J186" s="2">
        <v>330062</v>
      </c>
      <c r="K186" s="2">
        <v>12076503</v>
      </c>
      <c r="L186" s="2"/>
      <c r="M186">
        <v>8114.92</v>
      </c>
      <c r="N186">
        <f t="shared" si="8"/>
        <v>8897.9616666666643</v>
      </c>
      <c r="O186">
        <f t="shared" si="9"/>
        <v>668.61086211388078</v>
      </c>
      <c r="P186">
        <f t="shared" si="10"/>
        <v>8229.3508045527833</v>
      </c>
      <c r="Q186">
        <f t="shared" si="11"/>
        <v>9566.5725287805453</v>
      </c>
    </row>
    <row r="187" spans="1:17">
      <c r="A187" s="1">
        <v>36739</v>
      </c>
      <c r="B187">
        <v>36185</v>
      </c>
      <c r="C187">
        <v>8171.58</v>
      </c>
      <c r="D187">
        <v>8305.67</v>
      </c>
      <c r="E187">
        <v>7440.81</v>
      </c>
      <c r="F187" s="2">
        <v>7616.98</v>
      </c>
      <c r="G187" s="2">
        <v>1771062</v>
      </c>
      <c r="H187">
        <v>-6.14</v>
      </c>
      <c r="I187">
        <v>10.66</v>
      </c>
      <c r="J187" s="2">
        <v>339551</v>
      </c>
      <c r="K187" s="2">
        <v>11370720</v>
      </c>
      <c r="L187" s="2"/>
      <c r="M187">
        <v>7616.98</v>
      </c>
      <c r="N187">
        <f t="shared" si="8"/>
        <v>8594.8016666666663</v>
      </c>
      <c r="O187">
        <f t="shared" si="9"/>
        <v>779.13539956586965</v>
      </c>
      <c r="P187">
        <f t="shared" si="10"/>
        <v>7815.6662671007962</v>
      </c>
      <c r="Q187">
        <f t="shared" si="11"/>
        <v>9373.9370662325364</v>
      </c>
    </row>
    <row r="188" spans="1:17">
      <c r="A188" s="1">
        <v>36770</v>
      </c>
      <c r="B188">
        <v>41006</v>
      </c>
      <c r="C188">
        <v>7659.82</v>
      </c>
      <c r="D188">
        <v>7829.34</v>
      </c>
      <c r="E188">
        <v>6155.65</v>
      </c>
      <c r="F188" s="2">
        <v>6185.14</v>
      </c>
      <c r="G188" s="2">
        <v>1916249</v>
      </c>
      <c r="H188">
        <v>-18.8</v>
      </c>
      <c r="I188">
        <v>12.06</v>
      </c>
      <c r="J188" s="2">
        <v>340158</v>
      </c>
      <c r="K188" s="2">
        <v>9269546</v>
      </c>
      <c r="L188" s="2"/>
      <c r="M188">
        <v>6185.14</v>
      </c>
      <c r="N188">
        <f t="shared" si="8"/>
        <v>7983.166666666667</v>
      </c>
      <c r="O188">
        <f t="shared" si="9"/>
        <v>1000.9166939094742</v>
      </c>
      <c r="P188">
        <f t="shared" si="10"/>
        <v>6982.2499727571931</v>
      </c>
      <c r="Q188">
        <f t="shared" si="11"/>
        <v>8984.0833605761418</v>
      </c>
    </row>
    <row r="189" spans="1:17">
      <c r="A189" s="1">
        <v>36800</v>
      </c>
      <c r="B189">
        <v>48133</v>
      </c>
      <c r="C189">
        <v>6165.64</v>
      </c>
      <c r="D189">
        <v>6425.69</v>
      </c>
      <c r="E189">
        <v>5074.4399999999996</v>
      </c>
      <c r="F189" s="2">
        <v>5544.18</v>
      </c>
      <c r="G189" s="2">
        <v>1640604</v>
      </c>
      <c r="H189">
        <v>-10.36</v>
      </c>
      <c r="I189">
        <v>14.08</v>
      </c>
      <c r="J189" s="2">
        <v>341919</v>
      </c>
      <c r="K189" s="2">
        <v>8397147</v>
      </c>
      <c r="L189" s="2"/>
      <c r="M189">
        <v>5544.18</v>
      </c>
      <c r="N189">
        <f t="shared" si="8"/>
        <v>7444.3049999999994</v>
      </c>
      <c r="O189">
        <f t="shared" si="9"/>
        <v>1310.3334353629264</v>
      </c>
      <c r="P189">
        <f t="shared" si="10"/>
        <v>6133.9715646370732</v>
      </c>
      <c r="Q189">
        <f t="shared" si="11"/>
        <v>8754.6384353629255</v>
      </c>
    </row>
    <row r="190" spans="1:17">
      <c r="A190" s="1">
        <v>36831</v>
      </c>
      <c r="B190">
        <v>51527</v>
      </c>
      <c r="C190">
        <v>5552.3</v>
      </c>
      <c r="D190">
        <v>6164.62</v>
      </c>
      <c r="E190">
        <v>4760.68</v>
      </c>
      <c r="F190" s="2">
        <v>5256.93</v>
      </c>
      <c r="G190" s="2">
        <v>1865557</v>
      </c>
      <c r="H190">
        <v>-5.18</v>
      </c>
      <c r="I190">
        <v>14.89</v>
      </c>
      <c r="J190" s="2">
        <v>346012</v>
      </c>
      <c r="K190" s="2">
        <v>8123264</v>
      </c>
      <c r="L190" s="2"/>
      <c r="M190">
        <v>5256.93</v>
      </c>
      <c r="N190">
        <f t="shared" si="8"/>
        <v>6830.54</v>
      </c>
      <c r="O190">
        <f t="shared" si="9"/>
        <v>1332.1835610905921</v>
      </c>
      <c r="P190">
        <f t="shared" si="10"/>
        <v>5498.3564389094081</v>
      </c>
      <c r="Q190">
        <f t="shared" si="11"/>
        <v>8162.7235610905918</v>
      </c>
    </row>
    <row r="191" spans="1:17">
      <c r="A191" s="1">
        <v>36861</v>
      </c>
      <c r="B191">
        <v>32959</v>
      </c>
      <c r="C191">
        <v>5173.0200000000004</v>
      </c>
      <c r="D191">
        <v>5403.14</v>
      </c>
      <c r="E191">
        <v>4555.91</v>
      </c>
      <c r="F191" s="2">
        <v>4739.09</v>
      </c>
      <c r="G191" s="2">
        <v>959222</v>
      </c>
      <c r="H191">
        <v>-9.85</v>
      </c>
      <c r="I191">
        <v>9.25</v>
      </c>
      <c r="J191" s="2">
        <v>356355</v>
      </c>
      <c r="K191" s="2">
        <v>8162490</v>
      </c>
      <c r="L191" s="2"/>
      <c r="M191">
        <v>4739.09</v>
      </c>
      <c r="N191">
        <f t="shared" si="8"/>
        <v>6242.8733333333339</v>
      </c>
      <c r="O191">
        <f t="shared" si="9"/>
        <v>1350.3837925222062</v>
      </c>
      <c r="P191">
        <f t="shared" si="10"/>
        <v>4892.4895408111279</v>
      </c>
      <c r="Q191">
        <f t="shared" si="11"/>
        <v>7593.2571258555399</v>
      </c>
    </row>
    <row r="192" spans="1:17">
      <c r="A192" s="1">
        <v>36892</v>
      </c>
      <c r="B192">
        <v>57014</v>
      </c>
      <c r="C192">
        <v>4717.49</v>
      </c>
      <c r="D192">
        <v>5992.43</v>
      </c>
      <c r="E192">
        <v>4678</v>
      </c>
      <c r="F192" s="2">
        <v>5936.2</v>
      </c>
      <c r="G192" s="2">
        <v>1816660</v>
      </c>
      <c r="H192">
        <v>25.26</v>
      </c>
      <c r="I192">
        <v>15.98</v>
      </c>
      <c r="J192" s="2">
        <v>356756</v>
      </c>
      <c r="K192" s="2">
        <v>10235091</v>
      </c>
      <c r="L192" s="2"/>
      <c r="M192">
        <v>5936.2</v>
      </c>
      <c r="N192">
        <f t="shared" si="8"/>
        <v>5879.7533333333331</v>
      </c>
      <c r="O192">
        <f t="shared" si="9"/>
        <v>991.56794425126475</v>
      </c>
      <c r="P192">
        <f t="shared" si="10"/>
        <v>4888.1853890820685</v>
      </c>
      <c r="Q192">
        <f t="shared" si="11"/>
        <v>6871.3212775845977</v>
      </c>
    </row>
    <row r="193" spans="1:17">
      <c r="A193" s="1">
        <v>36923</v>
      </c>
      <c r="B193">
        <v>65012</v>
      </c>
      <c r="C193">
        <v>5927.25</v>
      </c>
      <c r="D193">
        <v>6198.22</v>
      </c>
      <c r="E193">
        <v>5653.86</v>
      </c>
      <c r="F193" s="2">
        <v>5674.69</v>
      </c>
      <c r="G193" s="2">
        <v>2299236</v>
      </c>
      <c r="H193">
        <v>-4.41</v>
      </c>
      <c r="I193">
        <v>18.260000000000002</v>
      </c>
      <c r="J193" s="2">
        <v>355966</v>
      </c>
      <c r="K193" s="2">
        <v>9788117</v>
      </c>
      <c r="L193" s="2"/>
      <c r="M193">
        <v>5674.69</v>
      </c>
      <c r="N193">
        <f t="shared" si="8"/>
        <v>5556.0383333333339</v>
      </c>
      <c r="O193">
        <f t="shared" si="9"/>
        <v>512.12908768851105</v>
      </c>
      <c r="P193">
        <f t="shared" si="10"/>
        <v>5043.9092456448225</v>
      </c>
      <c r="Q193">
        <f t="shared" si="11"/>
        <v>6068.1674210218453</v>
      </c>
    </row>
    <row r="194" spans="1:17">
      <c r="A194" s="1">
        <v>36951</v>
      </c>
      <c r="B194">
        <v>61187</v>
      </c>
      <c r="C194">
        <v>5581.95</v>
      </c>
      <c r="D194">
        <v>5981.31</v>
      </c>
      <c r="E194">
        <v>5471.62</v>
      </c>
      <c r="F194" s="2">
        <v>5797.92</v>
      </c>
      <c r="G194" s="2">
        <v>2205819</v>
      </c>
      <c r="H194">
        <v>2.17</v>
      </c>
      <c r="I194">
        <v>17.190000000000001</v>
      </c>
      <c r="J194" s="2">
        <v>355929</v>
      </c>
      <c r="K194" s="2">
        <v>10013033</v>
      </c>
      <c r="L194" s="2"/>
      <c r="M194">
        <v>5797.92</v>
      </c>
      <c r="N194">
        <f t="shared" si="8"/>
        <v>5491.501666666667</v>
      </c>
      <c r="O194">
        <f t="shared" si="9"/>
        <v>435.69001776109877</v>
      </c>
      <c r="P194">
        <f t="shared" si="10"/>
        <v>5055.8116489055683</v>
      </c>
      <c r="Q194">
        <f t="shared" si="11"/>
        <v>5927.1916844277657</v>
      </c>
    </row>
    <row r="195" spans="1:17">
      <c r="A195" s="1">
        <v>36982</v>
      </c>
      <c r="B195">
        <v>39195</v>
      </c>
      <c r="C195">
        <v>5797.85</v>
      </c>
      <c r="D195">
        <v>5797.85</v>
      </c>
      <c r="E195">
        <v>5345.6</v>
      </c>
      <c r="F195" s="2">
        <v>5381.67</v>
      </c>
      <c r="G195" s="2">
        <v>1431695</v>
      </c>
      <c r="H195">
        <v>-7.18</v>
      </c>
      <c r="I195">
        <v>11.01</v>
      </c>
      <c r="J195" s="2">
        <v>355843</v>
      </c>
      <c r="K195" s="2">
        <v>9293588</v>
      </c>
      <c r="L195" s="2"/>
      <c r="M195">
        <v>5381.67</v>
      </c>
      <c r="N195">
        <f t="shared" si="8"/>
        <v>5464.416666666667</v>
      </c>
      <c r="O195">
        <f t="shared" si="9"/>
        <v>436.81011039886261</v>
      </c>
      <c r="P195">
        <f t="shared" si="10"/>
        <v>5027.6065562678041</v>
      </c>
      <c r="Q195">
        <f t="shared" si="11"/>
        <v>5901.2267770655299</v>
      </c>
    </row>
    <row r="196" spans="1:17">
      <c r="A196" s="1">
        <v>37012</v>
      </c>
      <c r="B196">
        <v>34520</v>
      </c>
      <c r="C196">
        <v>5469.95</v>
      </c>
      <c r="D196">
        <v>5502.53</v>
      </c>
      <c r="E196">
        <v>4902.22</v>
      </c>
      <c r="F196" s="2">
        <v>5048.8599999999997</v>
      </c>
      <c r="G196" s="2">
        <v>1125309</v>
      </c>
      <c r="H196">
        <v>-6.18</v>
      </c>
      <c r="I196">
        <v>9.67</v>
      </c>
      <c r="J196" s="2">
        <v>356807</v>
      </c>
      <c r="K196" s="2">
        <v>8752509</v>
      </c>
      <c r="L196" s="2"/>
      <c r="M196">
        <v>5048.8599999999997</v>
      </c>
      <c r="N196">
        <f t="shared" si="8"/>
        <v>5429.7383333333337</v>
      </c>
      <c r="O196">
        <f t="shared" si="9"/>
        <v>463.99061806966165</v>
      </c>
      <c r="P196">
        <f t="shared" si="10"/>
        <v>4965.747715263672</v>
      </c>
      <c r="Q196">
        <f t="shared" si="11"/>
        <v>5893.7289514029953</v>
      </c>
    </row>
    <row r="197" spans="1:17">
      <c r="A197" s="1">
        <v>37043</v>
      </c>
      <c r="B197">
        <v>28955</v>
      </c>
      <c r="C197">
        <v>5090.66</v>
      </c>
      <c r="D197">
        <v>5318.71</v>
      </c>
      <c r="E197">
        <v>4741.54</v>
      </c>
      <c r="F197" s="2">
        <v>4883.43</v>
      </c>
      <c r="G197" s="2">
        <v>940795</v>
      </c>
      <c r="H197">
        <v>-3.28</v>
      </c>
      <c r="I197">
        <v>7.88</v>
      </c>
      <c r="J197" s="2">
        <v>367356</v>
      </c>
      <c r="K197" s="2">
        <v>8497372</v>
      </c>
      <c r="L197" s="2"/>
      <c r="M197">
        <v>4883.43</v>
      </c>
      <c r="N197">
        <f t="shared" si="8"/>
        <v>5453.7949999999992</v>
      </c>
      <c r="O197">
        <f t="shared" si="9"/>
        <v>422.94723163770669</v>
      </c>
      <c r="P197">
        <f t="shared" si="10"/>
        <v>5030.8477683622923</v>
      </c>
      <c r="Q197">
        <f t="shared" si="11"/>
        <v>5876.742231637706</v>
      </c>
    </row>
    <row r="198" spans="1:17">
      <c r="A198" s="1">
        <v>37073</v>
      </c>
      <c r="B198">
        <v>32673</v>
      </c>
      <c r="C198">
        <v>4886.49</v>
      </c>
      <c r="D198">
        <v>4906.82</v>
      </c>
      <c r="E198">
        <v>4008.08</v>
      </c>
      <c r="F198" s="2">
        <v>4352.9799999999996</v>
      </c>
      <c r="G198" s="2">
        <v>888979</v>
      </c>
      <c r="H198">
        <v>-10.86</v>
      </c>
      <c r="I198">
        <v>8.6199999999999992</v>
      </c>
      <c r="J198" s="2">
        <v>379072</v>
      </c>
      <c r="K198" s="2">
        <v>7613209</v>
      </c>
      <c r="L198" s="2"/>
      <c r="M198">
        <v>4352.9799999999996</v>
      </c>
      <c r="N198">
        <f t="shared" si="8"/>
        <v>5189.9250000000002</v>
      </c>
      <c r="O198">
        <f t="shared" si="9"/>
        <v>539.58069323318091</v>
      </c>
      <c r="P198">
        <f t="shared" si="10"/>
        <v>4650.3443067668195</v>
      </c>
      <c r="Q198">
        <f t="shared" si="11"/>
        <v>5729.5056932331809</v>
      </c>
    </row>
    <row r="199" spans="1:17">
      <c r="A199" s="1">
        <v>37104</v>
      </c>
      <c r="B199">
        <v>48254</v>
      </c>
      <c r="C199">
        <v>4402.71</v>
      </c>
      <c r="D199">
        <v>4715.2</v>
      </c>
      <c r="E199">
        <v>4303.34</v>
      </c>
      <c r="F199" s="2">
        <v>4509.4399999999996</v>
      </c>
      <c r="G199" s="2">
        <v>1164205</v>
      </c>
      <c r="H199">
        <v>3.59</v>
      </c>
      <c r="I199">
        <v>12.58</v>
      </c>
      <c r="J199" s="2">
        <v>383530</v>
      </c>
      <c r="K199" s="2">
        <v>7892908</v>
      </c>
      <c r="L199" s="2"/>
      <c r="M199">
        <v>4509.4399999999996</v>
      </c>
      <c r="N199">
        <f t="shared" si="8"/>
        <v>4995.7166666666662</v>
      </c>
      <c r="O199">
        <f t="shared" si="9"/>
        <v>539.90704609836951</v>
      </c>
      <c r="P199">
        <f t="shared" si="10"/>
        <v>4455.8096205682969</v>
      </c>
      <c r="Q199">
        <f t="shared" si="11"/>
        <v>5535.6237127650356</v>
      </c>
    </row>
    <row r="200" spans="1:17">
      <c r="A200" s="1">
        <v>37135</v>
      </c>
      <c r="B200">
        <v>30794</v>
      </c>
      <c r="C200">
        <v>4520</v>
      </c>
      <c r="D200">
        <v>4526.2700000000004</v>
      </c>
      <c r="E200">
        <v>3411.68</v>
      </c>
      <c r="F200" s="2">
        <v>3636.94</v>
      </c>
      <c r="G200" s="2">
        <v>657007</v>
      </c>
      <c r="H200">
        <v>-19.350000000000001</v>
      </c>
      <c r="I200">
        <v>7.96</v>
      </c>
      <c r="J200" s="2">
        <v>387093</v>
      </c>
      <c r="K200" s="2">
        <v>6468618</v>
      </c>
      <c r="L200" s="2"/>
      <c r="M200">
        <v>3636.94</v>
      </c>
      <c r="N200">
        <f t="shared" ref="N200:N263" si="12">AVERAGE($M195:$M200)</f>
        <v>4635.5533333333324</v>
      </c>
      <c r="O200">
        <f t="shared" ref="O200:O263" si="13">STDEV($M195:$M200)</f>
        <v>613.50406256737563</v>
      </c>
      <c r="P200">
        <f t="shared" ref="P200:P263" si="14">N200-1*O200</f>
        <v>4022.0492707659569</v>
      </c>
      <c r="Q200">
        <f t="shared" ref="Q200:Q263" si="15">N200+1*O200</f>
        <v>5249.0573959007079</v>
      </c>
    </row>
    <row r="201" spans="1:17">
      <c r="A201" s="1">
        <v>37165</v>
      </c>
      <c r="B201">
        <v>43848</v>
      </c>
      <c r="C201">
        <v>3623.67</v>
      </c>
      <c r="D201">
        <v>4104.21</v>
      </c>
      <c r="E201">
        <v>3436.25</v>
      </c>
      <c r="F201" s="2">
        <v>3903.49</v>
      </c>
      <c r="G201" s="2">
        <v>988612</v>
      </c>
      <c r="H201">
        <v>7.33</v>
      </c>
      <c r="I201">
        <v>11.35</v>
      </c>
      <c r="J201" s="2">
        <v>386491</v>
      </c>
      <c r="K201" s="2">
        <v>6939649</v>
      </c>
      <c r="L201" s="2"/>
      <c r="M201">
        <v>3903.49</v>
      </c>
      <c r="N201">
        <f t="shared" si="12"/>
        <v>4389.1899999999996</v>
      </c>
      <c r="O201">
        <f t="shared" si="13"/>
        <v>547.17336660330682</v>
      </c>
      <c r="P201">
        <f t="shared" si="14"/>
        <v>3842.0166333966927</v>
      </c>
      <c r="Q201">
        <f t="shared" si="15"/>
        <v>4936.3633666033065</v>
      </c>
    </row>
    <row r="202" spans="1:17">
      <c r="A202" s="1">
        <v>37196</v>
      </c>
      <c r="B202">
        <v>71807</v>
      </c>
      <c r="C202">
        <v>3939.08</v>
      </c>
      <c r="D202">
        <v>4722.18</v>
      </c>
      <c r="E202">
        <v>3910.84</v>
      </c>
      <c r="F202" s="2">
        <v>4441.12</v>
      </c>
      <c r="G202" s="2">
        <v>1865718</v>
      </c>
      <c r="H202">
        <v>13.77</v>
      </c>
      <c r="I202">
        <v>18.18</v>
      </c>
      <c r="J202" s="2">
        <v>395085</v>
      </c>
      <c r="K202" s="2">
        <v>8080598</v>
      </c>
      <c r="L202" s="2"/>
      <c r="M202">
        <v>4441.12</v>
      </c>
      <c r="N202">
        <f t="shared" si="12"/>
        <v>4287.8999999999996</v>
      </c>
      <c r="O202">
        <f t="shared" si="13"/>
        <v>447.87670111315236</v>
      </c>
      <c r="P202">
        <f t="shared" si="14"/>
        <v>3840.0232988868474</v>
      </c>
      <c r="Q202">
        <f t="shared" si="15"/>
        <v>4735.7767011131518</v>
      </c>
    </row>
    <row r="203" spans="1:17">
      <c r="A203" s="1">
        <v>37226</v>
      </c>
      <c r="B203">
        <v>104373</v>
      </c>
      <c r="C203">
        <v>4534.37</v>
      </c>
      <c r="D203">
        <v>5651.98</v>
      </c>
      <c r="E203">
        <v>4532.1899999999996</v>
      </c>
      <c r="F203" s="2">
        <v>5551.24</v>
      </c>
      <c r="G203" s="2">
        <v>3026393</v>
      </c>
      <c r="H203">
        <v>25</v>
      </c>
      <c r="I203">
        <v>26.11</v>
      </c>
      <c r="J203" s="2">
        <v>399688</v>
      </c>
      <c r="K203" s="2">
        <v>10203381</v>
      </c>
      <c r="L203" s="2"/>
      <c r="M203">
        <v>5551.24</v>
      </c>
      <c r="N203">
        <f t="shared" si="12"/>
        <v>4399.2016666666668</v>
      </c>
      <c r="O203">
        <f t="shared" si="13"/>
        <v>658.78847981477782</v>
      </c>
      <c r="P203">
        <f t="shared" si="14"/>
        <v>3740.4131868518889</v>
      </c>
      <c r="Q203">
        <f t="shared" si="15"/>
        <v>5057.9901464814448</v>
      </c>
    </row>
    <row r="204" spans="1:17">
      <c r="A204" s="1">
        <v>37257</v>
      </c>
      <c r="B204">
        <v>106070</v>
      </c>
      <c r="C204">
        <v>5575.34</v>
      </c>
      <c r="D204">
        <v>6049.12</v>
      </c>
      <c r="E204">
        <v>5375.4</v>
      </c>
      <c r="F204" s="2">
        <v>5872.14</v>
      </c>
      <c r="G204" s="2">
        <v>3354960</v>
      </c>
      <c r="H204">
        <v>5.78</v>
      </c>
      <c r="I204">
        <v>27.24</v>
      </c>
      <c r="J204" s="2">
        <v>389356</v>
      </c>
      <c r="K204" s="2">
        <v>10659262</v>
      </c>
      <c r="L204" s="2"/>
      <c r="M204">
        <v>5872.14</v>
      </c>
      <c r="N204">
        <f t="shared" si="12"/>
        <v>4652.3949999999995</v>
      </c>
      <c r="O204">
        <f t="shared" si="13"/>
        <v>889.13227505810733</v>
      </c>
      <c r="P204">
        <f t="shared" si="14"/>
        <v>3763.262724941892</v>
      </c>
      <c r="Q204">
        <f t="shared" si="15"/>
        <v>5541.5272750581071</v>
      </c>
    </row>
    <row r="205" spans="1:17">
      <c r="A205" s="1">
        <v>37288</v>
      </c>
      <c r="B205">
        <v>39366</v>
      </c>
      <c r="C205">
        <v>5948.1</v>
      </c>
      <c r="D205">
        <v>6048.65</v>
      </c>
      <c r="E205">
        <v>5492.94</v>
      </c>
      <c r="F205" s="2">
        <v>5696.11</v>
      </c>
      <c r="G205" s="2">
        <v>1229133</v>
      </c>
      <c r="H205">
        <v>-3</v>
      </c>
      <c r="I205">
        <v>9.86</v>
      </c>
      <c r="J205" s="2">
        <v>399197</v>
      </c>
      <c r="K205" s="2">
        <v>10509543</v>
      </c>
      <c r="L205" s="2"/>
      <c r="M205">
        <v>5696.11</v>
      </c>
      <c r="N205">
        <f t="shared" si="12"/>
        <v>4850.1733333333332</v>
      </c>
      <c r="O205">
        <f t="shared" si="13"/>
        <v>978.46699148548646</v>
      </c>
      <c r="P205">
        <f t="shared" si="14"/>
        <v>3871.7063418478465</v>
      </c>
      <c r="Q205">
        <f t="shared" si="15"/>
        <v>5828.6403248188199</v>
      </c>
    </row>
    <row r="206" spans="1:17">
      <c r="A206" s="1">
        <v>37316</v>
      </c>
      <c r="B206">
        <v>101754</v>
      </c>
      <c r="C206">
        <v>5672.03</v>
      </c>
      <c r="D206">
        <v>6326.43</v>
      </c>
      <c r="E206">
        <v>5645.8</v>
      </c>
      <c r="F206" s="2">
        <v>6167.47</v>
      </c>
      <c r="G206" s="2">
        <v>2788185</v>
      </c>
      <c r="H206">
        <v>8.2799999999999994</v>
      </c>
      <c r="I206">
        <v>25.69</v>
      </c>
      <c r="J206" s="2">
        <v>396102</v>
      </c>
      <c r="K206" s="2">
        <v>11408129</v>
      </c>
      <c r="L206" s="2"/>
      <c r="M206">
        <v>6167.47</v>
      </c>
      <c r="N206">
        <f t="shared" si="12"/>
        <v>5271.9283333333342</v>
      </c>
      <c r="O206">
        <f t="shared" si="13"/>
        <v>892.53122902039695</v>
      </c>
      <c r="P206">
        <f t="shared" si="14"/>
        <v>4379.3971043129368</v>
      </c>
      <c r="Q206">
        <f t="shared" si="15"/>
        <v>6164.4595623537316</v>
      </c>
    </row>
    <row r="207" spans="1:17">
      <c r="A207" s="1">
        <v>37347</v>
      </c>
      <c r="B207">
        <v>108226</v>
      </c>
      <c r="C207">
        <v>6118.45</v>
      </c>
      <c r="D207">
        <v>6484.93</v>
      </c>
      <c r="E207">
        <v>6009.45</v>
      </c>
      <c r="F207" s="2">
        <v>6065.73</v>
      </c>
      <c r="G207" s="2">
        <v>2475827</v>
      </c>
      <c r="H207">
        <v>-1.65</v>
      </c>
      <c r="I207">
        <v>27.36</v>
      </c>
      <c r="J207" s="2">
        <v>395569</v>
      </c>
      <c r="K207" s="2">
        <v>11233915</v>
      </c>
      <c r="L207" s="2"/>
      <c r="M207">
        <v>6065.73</v>
      </c>
      <c r="N207">
        <f t="shared" si="12"/>
        <v>5632.3016666666663</v>
      </c>
      <c r="O207">
        <f t="shared" si="13"/>
        <v>626.31365169271839</v>
      </c>
      <c r="P207">
        <f t="shared" si="14"/>
        <v>5005.9880149739474</v>
      </c>
      <c r="Q207">
        <f t="shared" si="15"/>
        <v>6258.6153183593851</v>
      </c>
    </row>
    <row r="208" spans="1:17">
      <c r="A208" s="1">
        <v>37377</v>
      </c>
      <c r="B208">
        <v>71150</v>
      </c>
      <c r="C208">
        <v>6099.27</v>
      </c>
      <c r="D208">
        <v>6106.77</v>
      </c>
      <c r="E208">
        <v>5421.8</v>
      </c>
      <c r="F208" s="2">
        <v>5675.65</v>
      </c>
      <c r="G208" s="2">
        <v>1675236</v>
      </c>
      <c r="H208">
        <v>-6.43</v>
      </c>
      <c r="I208">
        <v>18.010000000000002</v>
      </c>
      <c r="J208" s="2">
        <v>395117</v>
      </c>
      <c r="K208" s="2">
        <v>10659019</v>
      </c>
      <c r="L208" s="2"/>
      <c r="M208">
        <v>5675.65</v>
      </c>
      <c r="N208">
        <f t="shared" si="12"/>
        <v>5838.0566666666673</v>
      </c>
      <c r="O208">
        <f t="shared" si="13"/>
        <v>240.95582430534176</v>
      </c>
      <c r="P208">
        <f t="shared" si="14"/>
        <v>5597.1008423613257</v>
      </c>
      <c r="Q208">
        <f t="shared" si="15"/>
        <v>6079.0124909720089</v>
      </c>
    </row>
    <row r="209" spans="1:17">
      <c r="A209" s="1">
        <v>37408</v>
      </c>
      <c r="B209">
        <v>60587</v>
      </c>
      <c r="C209">
        <v>5628.27</v>
      </c>
      <c r="D209">
        <v>5656.91</v>
      </c>
      <c r="E209">
        <v>5048.3100000000004</v>
      </c>
      <c r="F209" s="2">
        <v>5153.71</v>
      </c>
      <c r="G209" s="2">
        <v>1332777</v>
      </c>
      <c r="H209">
        <v>-9.1999999999999993</v>
      </c>
      <c r="I209">
        <v>15.21</v>
      </c>
      <c r="J209" s="2">
        <v>398377</v>
      </c>
      <c r="K209" s="2">
        <v>9682257</v>
      </c>
      <c r="L209" s="2"/>
      <c r="M209">
        <v>5153.71</v>
      </c>
      <c r="N209">
        <f t="shared" si="12"/>
        <v>5771.8016666666663</v>
      </c>
      <c r="O209">
        <f t="shared" si="13"/>
        <v>360.56254827237211</v>
      </c>
      <c r="P209">
        <f t="shared" si="14"/>
        <v>5411.2391183942946</v>
      </c>
      <c r="Q209">
        <f t="shared" si="15"/>
        <v>6132.364214939038</v>
      </c>
    </row>
    <row r="210" spans="1:17">
      <c r="A210" s="1">
        <v>37438</v>
      </c>
      <c r="B210">
        <v>66705</v>
      </c>
      <c r="C210">
        <v>5124.5</v>
      </c>
      <c r="D210">
        <v>5460.09</v>
      </c>
      <c r="E210">
        <v>4796.45</v>
      </c>
      <c r="F210" s="2">
        <v>4940.38</v>
      </c>
      <c r="G210" s="2">
        <v>1587046</v>
      </c>
      <c r="H210">
        <v>-4.1399999999999997</v>
      </c>
      <c r="I210">
        <v>16.559999999999999</v>
      </c>
      <c r="J210" s="2">
        <v>402814</v>
      </c>
      <c r="K210" s="2">
        <v>9281788</v>
      </c>
      <c r="L210" s="2"/>
      <c r="M210">
        <v>4940.38</v>
      </c>
      <c r="N210">
        <f t="shared" si="12"/>
        <v>5616.5083333333323</v>
      </c>
      <c r="O210">
        <f t="shared" si="13"/>
        <v>487.13957886489436</v>
      </c>
      <c r="P210">
        <f t="shared" si="14"/>
        <v>5129.3687544684381</v>
      </c>
      <c r="Q210">
        <f t="shared" si="15"/>
        <v>6103.6479121982265</v>
      </c>
    </row>
    <row r="211" spans="1:17">
      <c r="A211" s="1">
        <v>37469</v>
      </c>
      <c r="B211">
        <v>55175</v>
      </c>
      <c r="C211">
        <v>4923.29</v>
      </c>
      <c r="D211">
        <v>5030.24</v>
      </c>
      <c r="E211">
        <v>4506.6000000000004</v>
      </c>
      <c r="F211" s="2">
        <v>4764.9399999999996</v>
      </c>
      <c r="G211" s="2">
        <v>1364262</v>
      </c>
      <c r="H211">
        <v>-3.55</v>
      </c>
      <c r="I211">
        <v>13.46</v>
      </c>
      <c r="J211" s="2">
        <v>409961</v>
      </c>
      <c r="K211" s="2">
        <v>8998078</v>
      </c>
      <c r="L211" s="2"/>
      <c r="M211">
        <v>4764.9399999999996</v>
      </c>
      <c r="N211">
        <f t="shared" si="12"/>
        <v>5461.3133333333326</v>
      </c>
      <c r="O211">
        <f t="shared" si="13"/>
        <v>593.43813819695367</v>
      </c>
      <c r="P211">
        <f t="shared" si="14"/>
        <v>4867.8751951363793</v>
      </c>
      <c r="Q211">
        <f t="shared" si="15"/>
        <v>6054.7514715302859</v>
      </c>
    </row>
    <row r="212" spans="1:17">
      <c r="A212" s="1">
        <v>37500</v>
      </c>
      <c r="B212">
        <v>42771</v>
      </c>
      <c r="C212">
        <v>4756.01</v>
      </c>
      <c r="D212">
        <v>4756.01</v>
      </c>
      <c r="E212">
        <v>4082.94</v>
      </c>
      <c r="F212" s="2">
        <v>4191.8100000000004</v>
      </c>
      <c r="G212" s="2">
        <v>1015517</v>
      </c>
      <c r="H212">
        <v>-12.03</v>
      </c>
      <c r="I212">
        <v>10.36</v>
      </c>
      <c r="J212" s="2">
        <v>412843</v>
      </c>
      <c r="K212" s="2">
        <v>7937848</v>
      </c>
      <c r="L212" s="2"/>
      <c r="M212">
        <v>4191.8100000000004</v>
      </c>
      <c r="N212">
        <f t="shared" si="12"/>
        <v>5132.0366666666669</v>
      </c>
      <c r="O212">
        <f t="shared" si="13"/>
        <v>666.82634254104448</v>
      </c>
      <c r="P212">
        <f t="shared" si="14"/>
        <v>4465.2103241256227</v>
      </c>
      <c r="Q212">
        <f t="shared" si="15"/>
        <v>5798.863009207711</v>
      </c>
    </row>
    <row r="213" spans="1:17">
      <c r="A213" s="1">
        <v>37530</v>
      </c>
      <c r="B213">
        <v>73232</v>
      </c>
      <c r="C213">
        <v>4146.67</v>
      </c>
      <c r="D213">
        <v>4682.9399999999996</v>
      </c>
      <c r="E213">
        <v>3845.76</v>
      </c>
      <c r="F213" s="2">
        <v>4579.1400000000003</v>
      </c>
      <c r="G213" s="2">
        <v>1676739</v>
      </c>
      <c r="H213">
        <v>9.24</v>
      </c>
      <c r="I213">
        <v>17.36</v>
      </c>
      <c r="J213" s="2">
        <v>421921</v>
      </c>
      <c r="K213" s="2">
        <v>9046894</v>
      </c>
      <c r="L213" s="2"/>
      <c r="M213">
        <v>4579.1400000000003</v>
      </c>
      <c r="N213">
        <f t="shared" si="12"/>
        <v>4884.2716666666665</v>
      </c>
      <c r="O213">
        <f t="shared" si="13"/>
        <v>507.71514995779518</v>
      </c>
      <c r="P213">
        <f t="shared" si="14"/>
        <v>4376.5565167088716</v>
      </c>
      <c r="Q213">
        <f t="shared" si="15"/>
        <v>5391.9868166244614</v>
      </c>
    </row>
    <row r="214" spans="1:17">
      <c r="A214" s="1">
        <v>37561</v>
      </c>
      <c r="B214">
        <v>84843</v>
      </c>
      <c r="C214">
        <v>4596.6899999999996</v>
      </c>
      <c r="D214">
        <v>4862.66</v>
      </c>
      <c r="E214">
        <v>4486.34</v>
      </c>
      <c r="F214" s="2">
        <v>4646.6899999999996</v>
      </c>
      <c r="G214" s="2">
        <v>1860325</v>
      </c>
      <c r="H214">
        <v>1.48</v>
      </c>
      <c r="I214">
        <v>19.93</v>
      </c>
      <c r="J214" s="2">
        <v>425775</v>
      </c>
      <c r="K214" s="2">
        <v>9320871</v>
      </c>
      <c r="L214" s="2"/>
      <c r="M214">
        <v>4646.6899999999996</v>
      </c>
      <c r="N214">
        <f t="shared" si="12"/>
        <v>4712.7783333333327</v>
      </c>
      <c r="O214">
        <f t="shared" si="13"/>
        <v>329.41735506294532</v>
      </c>
      <c r="P214">
        <f t="shared" si="14"/>
        <v>4383.360978270387</v>
      </c>
      <c r="Q214">
        <f t="shared" si="15"/>
        <v>5042.1956883962785</v>
      </c>
    </row>
    <row r="215" spans="1:17">
      <c r="A215" s="1">
        <v>37591</v>
      </c>
      <c r="B215">
        <v>80252</v>
      </c>
      <c r="C215">
        <v>4655.42</v>
      </c>
      <c r="D215">
        <v>4867.2299999999996</v>
      </c>
      <c r="E215">
        <v>4413.1400000000003</v>
      </c>
      <c r="F215" s="2">
        <v>4452.45</v>
      </c>
      <c r="G215" s="2">
        <v>1577152</v>
      </c>
      <c r="H215">
        <v>-4.18</v>
      </c>
      <c r="I215">
        <v>19.079999999999998</v>
      </c>
      <c r="J215" s="2">
        <v>420692</v>
      </c>
      <c r="K215" s="2">
        <v>8919056</v>
      </c>
      <c r="L215" s="2"/>
      <c r="M215">
        <v>4452.45</v>
      </c>
      <c r="N215">
        <f t="shared" si="12"/>
        <v>4595.9016666666666</v>
      </c>
      <c r="O215">
        <f t="shared" si="13"/>
        <v>258.44463402567789</v>
      </c>
      <c r="P215">
        <f t="shared" si="14"/>
        <v>4337.4570326409885</v>
      </c>
      <c r="Q215">
        <f t="shared" si="15"/>
        <v>4854.3463006923448</v>
      </c>
    </row>
    <row r="216" spans="1:17">
      <c r="A216" s="1">
        <v>37622</v>
      </c>
      <c r="B216">
        <v>113284</v>
      </c>
      <c r="C216">
        <v>4460.57</v>
      </c>
      <c r="D216">
        <v>5141.8</v>
      </c>
      <c r="E216">
        <v>4431.1899999999996</v>
      </c>
      <c r="F216" s="2">
        <v>5015.16</v>
      </c>
      <c r="G216" s="2">
        <v>2109876</v>
      </c>
      <c r="H216">
        <v>12.64</v>
      </c>
      <c r="I216">
        <v>26.58</v>
      </c>
      <c r="J216" s="2">
        <v>426202</v>
      </c>
      <c r="K216" s="2">
        <v>10168341</v>
      </c>
      <c r="L216" s="2"/>
      <c r="M216">
        <v>5015.16</v>
      </c>
      <c r="N216">
        <f t="shared" si="12"/>
        <v>4608.3649999999998</v>
      </c>
      <c r="O216">
        <f t="shared" si="13"/>
        <v>279.33791871136987</v>
      </c>
      <c r="P216">
        <f t="shared" si="14"/>
        <v>4329.0270812886301</v>
      </c>
      <c r="Q216">
        <f t="shared" si="15"/>
        <v>4887.7029187113694</v>
      </c>
    </row>
    <row r="217" spans="1:17">
      <c r="A217" s="1">
        <v>37653</v>
      </c>
      <c r="B217">
        <v>54165</v>
      </c>
      <c r="C217">
        <v>4975.6499999999996</v>
      </c>
      <c r="D217">
        <v>4975.6499999999996</v>
      </c>
      <c r="E217">
        <v>4385.6099999999997</v>
      </c>
      <c r="F217" s="2">
        <v>4432.46</v>
      </c>
      <c r="G217" s="2">
        <v>968384</v>
      </c>
      <c r="H217">
        <v>-11.62</v>
      </c>
      <c r="I217">
        <v>12.63</v>
      </c>
      <c r="J217" s="2">
        <v>428710</v>
      </c>
      <c r="K217" s="2">
        <v>9018660</v>
      </c>
      <c r="L217" s="2"/>
      <c r="M217">
        <v>4432.46</v>
      </c>
      <c r="N217">
        <f t="shared" si="12"/>
        <v>4552.9516666666668</v>
      </c>
      <c r="O217">
        <f t="shared" si="13"/>
        <v>275.00959164484897</v>
      </c>
      <c r="P217">
        <f t="shared" si="14"/>
        <v>4277.9420750218178</v>
      </c>
      <c r="Q217">
        <f t="shared" si="15"/>
        <v>4827.9612583115158</v>
      </c>
    </row>
    <row r="218" spans="1:17">
      <c r="A218" s="1">
        <v>37681</v>
      </c>
      <c r="B218">
        <v>50488</v>
      </c>
      <c r="C218">
        <v>4483.4399999999996</v>
      </c>
      <c r="D218">
        <v>4619.9799999999996</v>
      </c>
      <c r="E218">
        <v>4240.6000000000004</v>
      </c>
      <c r="F218" s="2">
        <v>4321.22</v>
      </c>
      <c r="G218" s="2">
        <v>958663</v>
      </c>
      <c r="H218">
        <v>-2.5099999999999998</v>
      </c>
      <c r="I218">
        <v>11.74</v>
      </c>
      <c r="J218" s="2">
        <v>429978</v>
      </c>
      <c r="K218" s="2">
        <v>8807912</v>
      </c>
      <c r="L218" s="2"/>
      <c r="M218">
        <v>4321.22</v>
      </c>
      <c r="N218">
        <f t="shared" si="12"/>
        <v>4574.5199999999995</v>
      </c>
      <c r="O218">
        <f t="shared" si="13"/>
        <v>244.39168619247246</v>
      </c>
      <c r="P218">
        <f t="shared" si="14"/>
        <v>4330.1283138075269</v>
      </c>
      <c r="Q218">
        <f t="shared" si="15"/>
        <v>4818.9116861924722</v>
      </c>
    </row>
    <row r="219" spans="1:17">
      <c r="A219" s="1">
        <v>37712</v>
      </c>
      <c r="B219">
        <v>61914</v>
      </c>
      <c r="C219">
        <v>4275.3900000000003</v>
      </c>
      <c r="D219">
        <v>4677.42</v>
      </c>
      <c r="E219">
        <v>4044.73</v>
      </c>
      <c r="F219" s="2">
        <v>4148.07</v>
      </c>
      <c r="G219" s="2">
        <v>1177342</v>
      </c>
      <c r="H219">
        <v>-4.01</v>
      </c>
      <c r="I219">
        <v>14.36</v>
      </c>
      <c r="J219" s="2">
        <v>431211</v>
      </c>
      <c r="K219" s="2">
        <v>8460539</v>
      </c>
      <c r="L219" s="2"/>
      <c r="M219">
        <v>4148.07</v>
      </c>
      <c r="N219">
        <f t="shared" si="12"/>
        <v>4502.6750000000002</v>
      </c>
      <c r="O219">
        <f t="shared" si="13"/>
        <v>299.83479296105708</v>
      </c>
      <c r="P219">
        <f t="shared" si="14"/>
        <v>4202.8402070389429</v>
      </c>
      <c r="Q219">
        <f t="shared" si="15"/>
        <v>4802.5097929610574</v>
      </c>
    </row>
    <row r="220" spans="1:17">
      <c r="A220" s="1">
        <v>37742</v>
      </c>
      <c r="B220">
        <v>51673</v>
      </c>
      <c r="C220">
        <v>4130.6000000000004</v>
      </c>
      <c r="D220">
        <v>4639.01</v>
      </c>
      <c r="E220">
        <v>4108.67</v>
      </c>
      <c r="F220" s="2">
        <v>4555.8999999999996</v>
      </c>
      <c r="G220" s="2">
        <v>990104</v>
      </c>
      <c r="H220">
        <v>9.83</v>
      </c>
      <c r="I220">
        <v>12.27</v>
      </c>
      <c r="J220" s="2">
        <v>421116</v>
      </c>
      <c r="K220" s="2">
        <v>9277229</v>
      </c>
      <c r="L220" s="2"/>
      <c r="M220">
        <v>4555.8999999999996</v>
      </c>
      <c r="N220">
        <f t="shared" si="12"/>
        <v>4487.543333333334</v>
      </c>
      <c r="O220">
        <f t="shared" si="13"/>
        <v>293.33369793916734</v>
      </c>
      <c r="P220">
        <f t="shared" si="14"/>
        <v>4194.209635394167</v>
      </c>
      <c r="Q220">
        <f t="shared" si="15"/>
        <v>4780.877031272501</v>
      </c>
    </row>
    <row r="221" spans="1:17">
      <c r="A221" s="1">
        <v>37773</v>
      </c>
      <c r="B221">
        <v>97139</v>
      </c>
      <c r="C221">
        <v>4620.54</v>
      </c>
      <c r="D221">
        <v>5089.08</v>
      </c>
      <c r="E221">
        <v>4612.1000000000004</v>
      </c>
      <c r="F221" s="2">
        <v>4872.1499999999996</v>
      </c>
      <c r="G221" s="2">
        <v>2025697</v>
      </c>
      <c r="H221">
        <v>6.94</v>
      </c>
      <c r="I221">
        <v>22.95</v>
      </c>
      <c r="J221" s="2">
        <v>423320</v>
      </c>
      <c r="K221" s="2">
        <v>9954718</v>
      </c>
      <c r="L221" s="2"/>
      <c r="M221">
        <v>4872.1499999999996</v>
      </c>
      <c r="N221">
        <f t="shared" si="12"/>
        <v>4557.4933333333329</v>
      </c>
      <c r="O221">
        <f t="shared" si="13"/>
        <v>330.92477173319412</v>
      </c>
      <c r="P221">
        <f t="shared" si="14"/>
        <v>4226.5685616001392</v>
      </c>
      <c r="Q221">
        <f t="shared" si="15"/>
        <v>4888.4181050665266</v>
      </c>
    </row>
    <row r="222" spans="1:17">
      <c r="A222" s="1">
        <v>37803</v>
      </c>
      <c r="B222">
        <v>155248</v>
      </c>
      <c r="C222">
        <v>4893.58</v>
      </c>
      <c r="D222">
        <v>5504.38</v>
      </c>
      <c r="E222">
        <v>4893.58</v>
      </c>
      <c r="F222" s="2">
        <v>5318.34</v>
      </c>
      <c r="G222" s="2">
        <v>2955664</v>
      </c>
      <c r="H222">
        <v>9.16</v>
      </c>
      <c r="I222">
        <v>35.840000000000003</v>
      </c>
      <c r="J222" s="2">
        <v>433183</v>
      </c>
      <c r="K222" s="2">
        <v>10912731</v>
      </c>
      <c r="L222" s="2"/>
      <c r="M222">
        <v>5318.34</v>
      </c>
      <c r="N222">
        <f t="shared" si="12"/>
        <v>4608.0233333333335</v>
      </c>
      <c r="O222">
        <f t="shared" si="13"/>
        <v>424.65638102666804</v>
      </c>
      <c r="P222">
        <f t="shared" si="14"/>
        <v>4183.3669523066656</v>
      </c>
      <c r="Q222">
        <f t="shared" si="15"/>
        <v>5032.6797143600015</v>
      </c>
    </row>
    <row r="223" spans="1:17">
      <c r="A223" s="1">
        <v>37834</v>
      </c>
      <c r="B223">
        <v>101989</v>
      </c>
      <c r="C223">
        <v>5365.73</v>
      </c>
      <c r="D223">
        <v>5692.93</v>
      </c>
      <c r="E223">
        <v>5174.7700000000004</v>
      </c>
      <c r="F223" s="2">
        <v>5650.83</v>
      </c>
      <c r="G223" s="2">
        <v>2101124</v>
      </c>
      <c r="H223">
        <v>6.25</v>
      </c>
      <c r="I223">
        <v>23.16</v>
      </c>
      <c r="J223" s="2">
        <v>440401</v>
      </c>
      <c r="K223" s="2">
        <v>11670341</v>
      </c>
      <c r="L223" s="2"/>
      <c r="M223">
        <v>5650.83</v>
      </c>
      <c r="N223">
        <f t="shared" si="12"/>
        <v>4811.085</v>
      </c>
      <c r="O223">
        <f t="shared" si="13"/>
        <v>584.95884076573964</v>
      </c>
      <c r="P223">
        <f t="shared" si="14"/>
        <v>4226.1261592342607</v>
      </c>
      <c r="Q223">
        <f t="shared" si="15"/>
        <v>5396.0438407657393</v>
      </c>
    </row>
    <row r="224" spans="1:17">
      <c r="A224" s="1">
        <v>37865</v>
      </c>
      <c r="B224">
        <v>82995</v>
      </c>
      <c r="C224">
        <v>5690.84</v>
      </c>
      <c r="D224">
        <v>5809.43</v>
      </c>
      <c r="E224">
        <v>5591.33</v>
      </c>
      <c r="F224" s="2">
        <v>5611.41</v>
      </c>
      <c r="G224" s="2">
        <v>1752208</v>
      </c>
      <c r="H224">
        <v>-0.7</v>
      </c>
      <c r="I224">
        <v>18.8</v>
      </c>
      <c r="J224" s="2">
        <v>441500</v>
      </c>
      <c r="K224" s="2">
        <v>11636976</v>
      </c>
      <c r="L224" s="2"/>
      <c r="M224">
        <v>5611.41</v>
      </c>
      <c r="N224">
        <f t="shared" si="12"/>
        <v>5026.1166666666668</v>
      </c>
      <c r="O224">
        <f t="shared" si="13"/>
        <v>605.64096762575946</v>
      </c>
      <c r="P224">
        <f t="shared" si="14"/>
        <v>4420.4756990409078</v>
      </c>
      <c r="Q224">
        <f t="shared" si="15"/>
        <v>5631.7576342924258</v>
      </c>
    </row>
    <row r="225" spans="1:17">
      <c r="A225" s="1">
        <v>37895</v>
      </c>
      <c r="B225">
        <v>121299</v>
      </c>
      <c r="C225">
        <v>5599.1</v>
      </c>
      <c r="D225">
        <v>6173.85</v>
      </c>
      <c r="E225">
        <v>5560.55</v>
      </c>
      <c r="F225" s="2">
        <v>6045.12</v>
      </c>
      <c r="G225" s="2">
        <v>2301323</v>
      </c>
      <c r="H225">
        <v>7.73</v>
      </c>
      <c r="I225">
        <v>27.23</v>
      </c>
      <c r="J225" s="2">
        <v>445479</v>
      </c>
      <c r="K225" s="2">
        <v>12638193</v>
      </c>
      <c r="L225" s="2"/>
      <c r="M225">
        <v>6045.12</v>
      </c>
      <c r="N225">
        <f t="shared" si="12"/>
        <v>5342.291666666667</v>
      </c>
      <c r="O225">
        <f t="shared" si="13"/>
        <v>548.01587004088378</v>
      </c>
      <c r="P225">
        <f t="shared" si="14"/>
        <v>4794.2757966257832</v>
      </c>
      <c r="Q225">
        <f t="shared" si="15"/>
        <v>5890.3075367075508</v>
      </c>
    </row>
    <row r="226" spans="1:17">
      <c r="A226" s="1">
        <v>37926</v>
      </c>
      <c r="B226">
        <v>79333</v>
      </c>
      <c r="C226">
        <v>6054.31</v>
      </c>
      <c r="D226">
        <v>6182.2</v>
      </c>
      <c r="E226">
        <v>5740.57</v>
      </c>
      <c r="F226" s="2">
        <v>5771.77</v>
      </c>
      <c r="G226" s="2">
        <v>1696605</v>
      </c>
      <c r="H226">
        <v>-4.5199999999999996</v>
      </c>
      <c r="I226">
        <v>17.73</v>
      </c>
      <c r="J226" s="2">
        <v>447574</v>
      </c>
      <c r="K226" s="2">
        <v>12114059</v>
      </c>
      <c r="L226" s="2"/>
      <c r="M226">
        <v>5771.77</v>
      </c>
      <c r="N226">
        <f t="shared" si="12"/>
        <v>5544.9366666666656</v>
      </c>
      <c r="O226">
        <f t="shared" si="13"/>
        <v>405.27935509555232</v>
      </c>
      <c r="P226">
        <f t="shared" si="14"/>
        <v>5139.6573115711135</v>
      </c>
      <c r="Q226">
        <f t="shared" si="15"/>
        <v>5950.2160217622177</v>
      </c>
    </row>
    <row r="227" spans="1:17">
      <c r="A227" s="1">
        <v>37956</v>
      </c>
      <c r="B227">
        <v>67139</v>
      </c>
      <c r="C227">
        <v>5768.69</v>
      </c>
      <c r="D227">
        <v>5945.53</v>
      </c>
      <c r="E227">
        <v>5718.44</v>
      </c>
      <c r="F227" s="2">
        <v>5890.69</v>
      </c>
      <c r="G227" s="2">
        <v>1445284</v>
      </c>
      <c r="H227">
        <v>2.06</v>
      </c>
      <c r="I227">
        <v>14.96</v>
      </c>
      <c r="J227" s="2">
        <v>448652</v>
      </c>
      <c r="K227" s="2">
        <v>12401992</v>
      </c>
      <c r="L227" s="2"/>
      <c r="M227">
        <v>5890.69</v>
      </c>
      <c r="N227">
        <f t="shared" si="12"/>
        <v>5714.6933333333336</v>
      </c>
      <c r="O227">
        <f t="shared" si="13"/>
        <v>251.10009626972789</v>
      </c>
      <c r="P227">
        <f t="shared" si="14"/>
        <v>5463.5932370636056</v>
      </c>
      <c r="Q227">
        <f t="shared" si="15"/>
        <v>5965.7934296030617</v>
      </c>
    </row>
    <row r="228" spans="1:17">
      <c r="A228" s="1">
        <v>37987</v>
      </c>
      <c r="B228">
        <v>84183</v>
      </c>
      <c r="C228">
        <v>5907.15</v>
      </c>
      <c r="D228">
        <v>6421.45</v>
      </c>
      <c r="E228">
        <v>5907.15</v>
      </c>
      <c r="F228" s="2">
        <v>6375.38</v>
      </c>
      <c r="G228" s="2">
        <v>1846214</v>
      </c>
      <c r="H228">
        <v>8.23</v>
      </c>
      <c r="I228">
        <v>18.760000000000002</v>
      </c>
      <c r="J228" s="2">
        <v>448836</v>
      </c>
      <c r="K228" s="2">
        <v>13432579</v>
      </c>
      <c r="L228" s="2"/>
      <c r="M228">
        <v>6375.38</v>
      </c>
      <c r="N228">
        <f t="shared" si="12"/>
        <v>5890.8666666666659</v>
      </c>
      <c r="O228">
        <f t="shared" si="13"/>
        <v>285.812854201253</v>
      </c>
      <c r="P228">
        <f t="shared" si="14"/>
        <v>5605.0538124654131</v>
      </c>
      <c r="Q228">
        <f t="shared" si="15"/>
        <v>6176.6795208679187</v>
      </c>
    </row>
    <row r="229" spans="1:17">
      <c r="A229" s="1">
        <v>38018</v>
      </c>
      <c r="B229">
        <v>153904</v>
      </c>
      <c r="C229">
        <v>6379.98</v>
      </c>
      <c r="D229">
        <v>6756.76</v>
      </c>
      <c r="E229">
        <v>6210.35</v>
      </c>
      <c r="F229" s="2">
        <v>6750.54</v>
      </c>
      <c r="G229" s="2">
        <v>3209689</v>
      </c>
      <c r="H229">
        <v>5.88</v>
      </c>
      <c r="I229">
        <v>33.619999999999997</v>
      </c>
      <c r="J229" s="2">
        <v>457785</v>
      </c>
      <c r="K229" s="2">
        <v>14702242</v>
      </c>
      <c r="L229" s="2"/>
      <c r="M229">
        <v>6750.54</v>
      </c>
      <c r="N229">
        <f t="shared" si="12"/>
        <v>6074.1516666666657</v>
      </c>
      <c r="O229">
        <f t="shared" si="13"/>
        <v>421.4985716424988</v>
      </c>
      <c r="P229">
        <f t="shared" si="14"/>
        <v>5652.6530950241668</v>
      </c>
      <c r="Q229">
        <f t="shared" si="15"/>
        <v>6495.6502383091647</v>
      </c>
    </row>
    <row r="230" spans="1:17">
      <c r="A230" s="1">
        <v>38047</v>
      </c>
      <c r="B230">
        <v>167161</v>
      </c>
      <c r="C230">
        <v>6816.79</v>
      </c>
      <c r="D230">
        <v>7135</v>
      </c>
      <c r="E230">
        <v>6020.64</v>
      </c>
      <c r="F230" s="2">
        <v>6522.19</v>
      </c>
      <c r="G230" s="2">
        <v>3774347</v>
      </c>
      <c r="H230">
        <v>-3.38</v>
      </c>
      <c r="I230">
        <v>36.36</v>
      </c>
      <c r="J230" s="2">
        <v>459724</v>
      </c>
      <c r="K230" s="2">
        <v>14242093</v>
      </c>
      <c r="L230" s="2"/>
      <c r="M230">
        <v>6522.19</v>
      </c>
      <c r="N230">
        <f t="shared" si="12"/>
        <v>6225.9483333333337</v>
      </c>
      <c r="O230">
        <f t="shared" si="13"/>
        <v>383.83860136347232</v>
      </c>
      <c r="P230">
        <f t="shared" si="14"/>
        <v>5842.1097319698611</v>
      </c>
      <c r="Q230">
        <f t="shared" si="15"/>
        <v>6609.7869346968064</v>
      </c>
    </row>
    <row r="231" spans="1:17">
      <c r="A231" s="1">
        <v>38078</v>
      </c>
      <c r="B231">
        <v>130761</v>
      </c>
      <c r="C231">
        <v>6504.54</v>
      </c>
      <c r="D231">
        <v>6916.31</v>
      </c>
      <c r="E231">
        <v>6023.58</v>
      </c>
      <c r="F231" s="2">
        <v>6117.81</v>
      </c>
      <c r="G231" s="2">
        <v>3200209</v>
      </c>
      <c r="H231">
        <v>-6.2</v>
      </c>
      <c r="I231">
        <v>28.26</v>
      </c>
      <c r="J231" s="2">
        <v>462756</v>
      </c>
      <c r="K231" s="2">
        <v>13444271</v>
      </c>
      <c r="L231" s="2"/>
      <c r="M231">
        <v>6117.81</v>
      </c>
      <c r="N231">
        <f t="shared" si="12"/>
        <v>6238.0633333333326</v>
      </c>
      <c r="O231">
        <f t="shared" si="13"/>
        <v>378.09383309790513</v>
      </c>
      <c r="P231">
        <f t="shared" si="14"/>
        <v>5859.9695002354274</v>
      </c>
      <c r="Q231">
        <f t="shared" si="15"/>
        <v>6616.1571664312378</v>
      </c>
    </row>
    <row r="232" spans="1:17">
      <c r="A232" s="1">
        <v>38108</v>
      </c>
      <c r="B232">
        <v>84575</v>
      </c>
      <c r="C232">
        <v>6102.6</v>
      </c>
      <c r="D232">
        <v>6191.84</v>
      </c>
      <c r="E232">
        <v>5450.72</v>
      </c>
      <c r="F232" s="2">
        <v>5977.84</v>
      </c>
      <c r="G232" s="2">
        <v>1881160</v>
      </c>
      <c r="H232">
        <v>-2.29</v>
      </c>
      <c r="I232">
        <v>18.34</v>
      </c>
      <c r="J232" s="2">
        <v>461075</v>
      </c>
      <c r="K232" s="2">
        <v>13155483</v>
      </c>
      <c r="L232" s="2"/>
      <c r="M232">
        <v>5977.84</v>
      </c>
      <c r="N232">
        <f t="shared" si="12"/>
        <v>6272.4083333333328</v>
      </c>
      <c r="O232">
        <f t="shared" si="13"/>
        <v>334.06106312569062</v>
      </c>
      <c r="P232">
        <f t="shared" si="14"/>
        <v>5938.3472702076424</v>
      </c>
      <c r="Q232">
        <f t="shared" si="15"/>
        <v>6606.4693964590233</v>
      </c>
    </row>
    <row r="233" spans="1:17">
      <c r="A233" s="1">
        <v>38139</v>
      </c>
      <c r="B233">
        <v>68163</v>
      </c>
      <c r="C233">
        <v>5991.49</v>
      </c>
      <c r="D233">
        <v>6010.5</v>
      </c>
      <c r="E233">
        <v>5514.17</v>
      </c>
      <c r="F233" s="2">
        <v>5839.44</v>
      </c>
      <c r="G233" s="2">
        <v>1475491</v>
      </c>
      <c r="H233">
        <v>-2.3199999999999998</v>
      </c>
      <c r="I233">
        <v>14.61</v>
      </c>
      <c r="J233" s="2">
        <v>466451</v>
      </c>
      <c r="K233" s="2">
        <v>12870907</v>
      </c>
      <c r="L233" s="2"/>
      <c r="M233">
        <v>5839.44</v>
      </c>
      <c r="N233">
        <f t="shared" si="12"/>
        <v>6263.8666666666677</v>
      </c>
      <c r="O233">
        <f t="shared" si="13"/>
        <v>346.20771243094322</v>
      </c>
      <c r="P233">
        <f t="shared" si="14"/>
        <v>5917.6589542357242</v>
      </c>
      <c r="Q233">
        <f t="shared" si="15"/>
        <v>6610.0743790976112</v>
      </c>
    </row>
    <row r="234" spans="1:17">
      <c r="A234" s="1">
        <v>38169</v>
      </c>
      <c r="B234">
        <v>56303</v>
      </c>
      <c r="C234">
        <v>5849.74</v>
      </c>
      <c r="D234">
        <v>5870.59</v>
      </c>
      <c r="E234">
        <v>5280.42</v>
      </c>
      <c r="F234" s="2">
        <v>5420.57</v>
      </c>
      <c r="G234" s="2">
        <v>1178566</v>
      </c>
      <c r="H234">
        <v>-7.17</v>
      </c>
      <c r="I234">
        <v>11.83</v>
      </c>
      <c r="J234" s="2">
        <v>475951</v>
      </c>
      <c r="K234" s="2">
        <v>12019640</v>
      </c>
      <c r="L234" s="2"/>
      <c r="M234">
        <v>5420.57</v>
      </c>
      <c r="N234">
        <f t="shared" si="12"/>
        <v>6104.7316666666666</v>
      </c>
      <c r="O234">
        <f t="shared" si="13"/>
        <v>478.76283395504578</v>
      </c>
      <c r="P234">
        <f t="shared" si="14"/>
        <v>5625.968832711621</v>
      </c>
      <c r="Q234">
        <f t="shared" si="15"/>
        <v>6583.4945006217122</v>
      </c>
    </row>
    <row r="235" spans="1:17">
      <c r="A235" s="1">
        <v>38200</v>
      </c>
      <c r="B235">
        <v>57480</v>
      </c>
      <c r="C235">
        <v>5404.19</v>
      </c>
      <c r="D235">
        <v>5864.57</v>
      </c>
      <c r="E235">
        <v>5255.06</v>
      </c>
      <c r="F235" s="2">
        <v>5765.54</v>
      </c>
      <c r="G235" s="2">
        <v>1251305</v>
      </c>
      <c r="H235">
        <v>6.36</v>
      </c>
      <c r="I235">
        <v>11.89</v>
      </c>
      <c r="J235" s="2">
        <v>483346</v>
      </c>
      <c r="K235" s="2">
        <v>12802567</v>
      </c>
      <c r="L235" s="2"/>
      <c r="M235">
        <v>5765.54</v>
      </c>
      <c r="N235">
        <f t="shared" si="12"/>
        <v>5940.5649999999996</v>
      </c>
      <c r="O235">
        <f t="shared" si="13"/>
        <v>369.4178318787549</v>
      </c>
      <c r="P235">
        <f t="shared" si="14"/>
        <v>5571.1471681212442</v>
      </c>
      <c r="Q235">
        <f t="shared" si="15"/>
        <v>6309.982831878755</v>
      </c>
    </row>
    <row r="236" spans="1:17">
      <c r="A236" s="1">
        <v>38231</v>
      </c>
      <c r="B236">
        <v>80745</v>
      </c>
      <c r="C236">
        <v>5799.82</v>
      </c>
      <c r="D236">
        <v>5970.29</v>
      </c>
      <c r="E236">
        <v>5712.95</v>
      </c>
      <c r="F236" s="2">
        <v>5845.69</v>
      </c>
      <c r="G236" s="2">
        <v>1745812</v>
      </c>
      <c r="H236">
        <v>1.39</v>
      </c>
      <c r="I236">
        <v>16.47</v>
      </c>
      <c r="J236" s="2">
        <v>490187</v>
      </c>
      <c r="K236" s="2">
        <v>13109606</v>
      </c>
      <c r="L236" s="2"/>
      <c r="M236">
        <v>5845.69</v>
      </c>
      <c r="N236">
        <f t="shared" si="12"/>
        <v>5827.8149999999996</v>
      </c>
      <c r="O236">
        <f t="shared" si="13"/>
        <v>235.28107554582479</v>
      </c>
      <c r="P236">
        <f t="shared" si="14"/>
        <v>5592.5339244541747</v>
      </c>
      <c r="Q236">
        <f t="shared" si="15"/>
        <v>6063.0960755458245</v>
      </c>
    </row>
    <row r="237" spans="1:17">
      <c r="A237" s="1">
        <v>38261</v>
      </c>
      <c r="B237">
        <v>76859</v>
      </c>
      <c r="C237">
        <v>5869.42</v>
      </c>
      <c r="D237">
        <v>6135.55</v>
      </c>
      <c r="E237">
        <v>5597.8</v>
      </c>
      <c r="F237" s="2">
        <v>5705.93</v>
      </c>
      <c r="G237" s="2">
        <v>1652552</v>
      </c>
      <c r="H237">
        <v>-2.39</v>
      </c>
      <c r="I237">
        <v>15.79</v>
      </c>
      <c r="J237" s="2">
        <v>486871</v>
      </c>
      <c r="K237" s="2">
        <v>12788269</v>
      </c>
      <c r="L237" s="2"/>
      <c r="M237">
        <v>5705.93</v>
      </c>
      <c r="N237">
        <f t="shared" si="12"/>
        <v>5759.1683333333322</v>
      </c>
      <c r="O237">
        <f t="shared" si="13"/>
        <v>189.35183478558292</v>
      </c>
      <c r="P237">
        <f t="shared" si="14"/>
        <v>5569.8164985477488</v>
      </c>
      <c r="Q237">
        <f t="shared" si="15"/>
        <v>5948.5201681189155</v>
      </c>
    </row>
    <row r="238" spans="1:17">
      <c r="A238" s="1">
        <v>38292</v>
      </c>
      <c r="B238">
        <v>68654</v>
      </c>
      <c r="C238">
        <v>5725.65</v>
      </c>
      <c r="D238">
        <v>6088.12</v>
      </c>
      <c r="E238">
        <v>5628.25</v>
      </c>
      <c r="F238" s="2">
        <v>5844.76</v>
      </c>
      <c r="G238" s="2">
        <v>1544094</v>
      </c>
      <c r="H238">
        <v>2.4300000000000002</v>
      </c>
      <c r="I238">
        <v>14.06</v>
      </c>
      <c r="J238" s="2">
        <v>488148</v>
      </c>
      <c r="K238" s="2">
        <v>13192539</v>
      </c>
      <c r="L238" s="2"/>
      <c r="M238">
        <v>5844.76</v>
      </c>
      <c r="N238">
        <f t="shared" si="12"/>
        <v>5736.9883333333337</v>
      </c>
      <c r="O238">
        <f t="shared" si="13"/>
        <v>164.81960313223266</v>
      </c>
      <c r="P238">
        <f t="shared" si="14"/>
        <v>5572.1687302011014</v>
      </c>
      <c r="Q238">
        <f t="shared" si="15"/>
        <v>5901.8079364655659</v>
      </c>
    </row>
    <row r="239" spans="1:17">
      <c r="A239" s="1">
        <v>38322</v>
      </c>
      <c r="B239">
        <v>70465</v>
      </c>
      <c r="C239">
        <v>5778.06</v>
      </c>
      <c r="D239">
        <v>6160.96</v>
      </c>
      <c r="E239">
        <v>5745.05</v>
      </c>
      <c r="F239" s="2">
        <v>6139.69</v>
      </c>
      <c r="G239" s="2">
        <v>1418362</v>
      </c>
      <c r="H239">
        <v>5.05</v>
      </c>
      <c r="I239">
        <v>14.46</v>
      </c>
      <c r="J239" s="2">
        <v>487170</v>
      </c>
      <c r="K239" s="2">
        <v>13880077</v>
      </c>
      <c r="L239" s="2"/>
      <c r="M239">
        <v>6139.69</v>
      </c>
      <c r="N239">
        <f t="shared" si="12"/>
        <v>5787.03</v>
      </c>
      <c r="O239">
        <f t="shared" si="13"/>
        <v>233.44154977210027</v>
      </c>
      <c r="P239">
        <f t="shared" si="14"/>
        <v>5553.5884502278996</v>
      </c>
      <c r="Q239">
        <f t="shared" si="15"/>
        <v>6020.4715497720999</v>
      </c>
    </row>
    <row r="240" spans="1:17">
      <c r="A240" s="1">
        <v>38353</v>
      </c>
      <c r="B240">
        <v>61254</v>
      </c>
      <c r="C240">
        <v>6166.39</v>
      </c>
      <c r="D240">
        <v>6183.15</v>
      </c>
      <c r="E240">
        <v>5734.87</v>
      </c>
      <c r="F240" s="2">
        <v>5994.23</v>
      </c>
      <c r="G240" s="2">
        <v>1171445</v>
      </c>
      <c r="H240">
        <v>-2.37</v>
      </c>
      <c r="I240">
        <v>12.41</v>
      </c>
      <c r="J240" s="2">
        <v>493679</v>
      </c>
      <c r="K240" s="2">
        <v>13666583</v>
      </c>
      <c r="L240" s="2"/>
      <c r="M240">
        <v>5994.23</v>
      </c>
      <c r="N240">
        <f t="shared" si="12"/>
        <v>5882.6399999999994</v>
      </c>
      <c r="O240">
        <f t="shared" si="13"/>
        <v>158.91259333356786</v>
      </c>
      <c r="P240">
        <f t="shared" si="14"/>
        <v>5723.7274066664313</v>
      </c>
      <c r="Q240">
        <f t="shared" si="15"/>
        <v>6041.5525933335675</v>
      </c>
    </row>
    <row r="241" spans="1:17">
      <c r="A241" s="1">
        <v>38384</v>
      </c>
      <c r="B241">
        <v>48443</v>
      </c>
      <c r="C241">
        <v>6015.78</v>
      </c>
      <c r="D241">
        <v>6233.53</v>
      </c>
      <c r="E241">
        <v>5979.92</v>
      </c>
      <c r="F241" s="2">
        <v>6207.83</v>
      </c>
      <c r="G241" s="2">
        <v>1134725</v>
      </c>
      <c r="H241">
        <v>3.56</v>
      </c>
      <c r="I241">
        <v>9.76</v>
      </c>
      <c r="J241" s="2">
        <v>496103</v>
      </c>
      <c r="K241" s="2">
        <v>14214331</v>
      </c>
      <c r="L241" s="2"/>
      <c r="M241">
        <v>6207.83</v>
      </c>
      <c r="N241">
        <f t="shared" si="12"/>
        <v>5956.3549999999996</v>
      </c>
      <c r="O241">
        <f t="shared" si="13"/>
        <v>192.71677682547497</v>
      </c>
      <c r="P241">
        <f t="shared" si="14"/>
        <v>5763.6382231745247</v>
      </c>
      <c r="Q241">
        <f t="shared" si="15"/>
        <v>6149.0717768254744</v>
      </c>
    </row>
    <row r="242" spans="1:17">
      <c r="A242" s="1">
        <v>38412</v>
      </c>
      <c r="B242">
        <v>72959</v>
      </c>
      <c r="C242">
        <v>6227.42</v>
      </c>
      <c r="D242">
        <v>6267.52</v>
      </c>
      <c r="E242">
        <v>5940.18</v>
      </c>
      <c r="F242" s="2">
        <v>6005.88</v>
      </c>
      <c r="G242" s="2">
        <v>1697116</v>
      </c>
      <c r="H242">
        <v>-3.25</v>
      </c>
      <c r="I242">
        <v>14.63</v>
      </c>
      <c r="J242" s="2">
        <v>498618</v>
      </c>
      <c r="K242" s="2">
        <v>13805597</v>
      </c>
      <c r="L242" s="2"/>
      <c r="M242">
        <v>6005.88</v>
      </c>
      <c r="N242">
        <f t="shared" si="12"/>
        <v>5983.0533333333333</v>
      </c>
      <c r="O242">
        <f t="shared" si="13"/>
        <v>185.27166957380879</v>
      </c>
      <c r="P242">
        <f t="shared" si="14"/>
        <v>5797.7816637595242</v>
      </c>
      <c r="Q242">
        <f t="shared" si="15"/>
        <v>6168.3250029071423</v>
      </c>
    </row>
    <row r="243" spans="1:17">
      <c r="A243" s="1">
        <v>38443</v>
      </c>
      <c r="B243">
        <v>51618</v>
      </c>
      <c r="C243">
        <v>6010.71</v>
      </c>
      <c r="D243">
        <v>6048.37</v>
      </c>
      <c r="E243">
        <v>5565.41</v>
      </c>
      <c r="F243" s="2">
        <v>5818.07</v>
      </c>
      <c r="G243" s="2">
        <v>1205153</v>
      </c>
      <c r="H243">
        <v>-3.13</v>
      </c>
      <c r="I243">
        <v>10.35</v>
      </c>
      <c r="J243" s="2">
        <v>498952</v>
      </c>
      <c r="K243" s="2">
        <v>13384266</v>
      </c>
      <c r="L243" s="2"/>
      <c r="M243">
        <v>5818.07</v>
      </c>
      <c r="N243">
        <f t="shared" si="12"/>
        <v>6001.7433333333347</v>
      </c>
      <c r="O243">
        <f t="shared" si="13"/>
        <v>154.88977986512424</v>
      </c>
      <c r="P243">
        <f t="shared" si="14"/>
        <v>5846.8535534682105</v>
      </c>
      <c r="Q243">
        <f t="shared" si="15"/>
        <v>6156.6331131984589</v>
      </c>
    </row>
    <row r="244" spans="1:17">
      <c r="A244" s="1">
        <v>38473</v>
      </c>
      <c r="B244">
        <v>54859</v>
      </c>
      <c r="C244">
        <v>5845.14</v>
      </c>
      <c r="D244">
        <v>6026.53</v>
      </c>
      <c r="E244">
        <v>5793.25</v>
      </c>
      <c r="F244" s="2">
        <v>6011.56</v>
      </c>
      <c r="G244" s="2">
        <v>1322467</v>
      </c>
      <c r="H244">
        <v>3.33</v>
      </c>
      <c r="I244">
        <v>11</v>
      </c>
      <c r="J244" s="2">
        <v>498826</v>
      </c>
      <c r="K244" s="2">
        <v>13836335</v>
      </c>
      <c r="L244" s="2"/>
      <c r="M244">
        <v>6011.56</v>
      </c>
      <c r="N244">
        <f t="shared" si="12"/>
        <v>6029.543333333334</v>
      </c>
      <c r="O244">
        <f t="shared" si="13"/>
        <v>134.73661679983906</v>
      </c>
      <c r="P244">
        <f t="shared" si="14"/>
        <v>5894.8067165334951</v>
      </c>
      <c r="Q244">
        <f t="shared" si="15"/>
        <v>6164.2799501331729</v>
      </c>
    </row>
    <row r="245" spans="1:17">
      <c r="A245" s="1">
        <v>38504</v>
      </c>
      <c r="B245">
        <v>83456</v>
      </c>
      <c r="C245">
        <v>6002.55</v>
      </c>
      <c r="D245">
        <v>6401.81</v>
      </c>
      <c r="E245">
        <v>5962.88</v>
      </c>
      <c r="F245" s="2">
        <v>6241.94</v>
      </c>
      <c r="G245" s="2">
        <v>1841255</v>
      </c>
      <c r="H245">
        <v>3.83</v>
      </c>
      <c r="I245">
        <v>16.559999999999999</v>
      </c>
      <c r="J245" s="2">
        <v>503819</v>
      </c>
      <c r="K245" s="2">
        <v>14432548</v>
      </c>
      <c r="L245" s="2"/>
      <c r="M245">
        <v>6241.94</v>
      </c>
      <c r="N245">
        <f t="shared" si="12"/>
        <v>6046.585</v>
      </c>
      <c r="O245">
        <f t="shared" si="13"/>
        <v>156.20968276646616</v>
      </c>
      <c r="P245">
        <f t="shared" si="14"/>
        <v>5890.3753172335337</v>
      </c>
      <c r="Q245">
        <f t="shared" si="15"/>
        <v>6202.7946827664664</v>
      </c>
    </row>
    <row r="246" spans="1:17">
      <c r="A246" s="1">
        <v>38534</v>
      </c>
      <c r="B246">
        <v>76706</v>
      </c>
      <c r="C246">
        <v>6240.08</v>
      </c>
      <c r="D246">
        <v>6480.97</v>
      </c>
      <c r="E246">
        <v>6180.58</v>
      </c>
      <c r="F246" s="2">
        <v>6311.98</v>
      </c>
      <c r="G246" s="2">
        <v>1908400</v>
      </c>
      <c r="H246">
        <v>1.1200000000000001</v>
      </c>
      <c r="I246">
        <v>14.91</v>
      </c>
      <c r="J246" s="2">
        <v>514354</v>
      </c>
      <c r="K246" s="2">
        <v>14653990</v>
      </c>
      <c r="L246" s="2"/>
      <c r="M246">
        <v>6311.98</v>
      </c>
      <c r="N246">
        <f t="shared" si="12"/>
        <v>6099.5433333333322</v>
      </c>
      <c r="O246">
        <f t="shared" si="13"/>
        <v>185.94261186362479</v>
      </c>
      <c r="P246">
        <f t="shared" si="14"/>
        <v>5913.6007214697074</v>
      </c>
      <c r="Q246">
        <f t="shared" si="15"/>
        <v>6285.4859451969569</v>
      </c>
    </row>
    <row r="247" spans="1:17">
      <c r="A247" s="1">
        <v>38565</v>
      </c>
      <c r="B247">
        <v>67143</v>
      </c>
      <c r="C247">
        <v>6320.67</v>
      </c>
      <c r="D247">
        <v>6481.62</v>
      </c>
      <c r="E247">
        <v>5976.4</v>
      </c>
      <c r="F247" s="2">
        <v>6033.47</v>
      </c>
      <c r="G247" s="2">
        <v>1735993</v>
      </c>
      <c r="H247">
        <v>-4.41</v>
      </c>
      <c r="I247">
        <v>12.69</v>
      </c>
      <c r="J247" s="2">
        <v>528964</v>
      </c>
      <c r="K247" s="2">
        <v>14198150</v>
      </c>
      <c r="L247" s="2"/>
      <c r="M247">
        <v>6033.47</v>
      </c>
      <c r="N247">
        <f t="shared" si="12"/>
        <v>6070.4833333333336</v>
      </c>
      <c r="O247">
        <f t="shared" si="13"/>
        <v>179.13461761107652</v>
      </c>
      <c r="P247">
        <f t="shared" si="14"/>
        <v>5891.3487157222571</v>
      </c>
      <c r="Q247">
        <f t="shared" si="15"/>
        <v>6249.61795094441</v>
      </c>
    </row>
    <row r="248" spans="1:17">
      <c r="A248" s="1">
        <v>38596</v>
      </c>
      <c r="B248">
        <v>55621</v>
      </c>
      <c r="C248">
        <v>6081.71</v>
      </c>
      <c r="D248">
        <v>6186.12</v>
      </c>
      <c r="E248">
        <v>5894.99</v>
      </c>
      <c r="F248" s="2">
        <v>6118.61</v>
      </c>
      <c r="G248" s="2">
        <v>1386978</v>
      </c>
      <c r="H248">
        <v>1.41</v>
      </c>
      <c r="I248">
        <v>10.46</v>
      </c>
      <c r="J248" s="2">
        <v>531596</v>
      </c>
      <c r="K248" s="2">
        <v>14417566</v>
      </c>
      <c r="L248" s="2"/>
      <c r="M248">
        <v>6118.61</v>
      </c>
      <c r="N248">
        <f t="shared" si="12"/>
        <v>6089.2716666666665</v>
      </c>
      <c r="O248">
        <f t="shared" si="13"/>
        <v>176.90145996194212</v>
      </c>
      <c r="P248">
        <f t="shared" si="14"/>
        <v>5912.3702067047243</v>
      </c>
      <c r="Q248">
        <f t="shared" si="15"/>
        <v>6266.1731266286088</v>
      </c>
    </row>
    <row r="249" spans="1:17">
      <c r="A249" s="1">
        <v>38626</v>
      </c>
      <c r="B249">
        <v>58917</v>
      </c>
      <c r="C249">
        <v>6128.97</v>
      </c>
      <c r="D249">
        <v>6171.87</v>
      </c>
      <c r="E249">
        <v>5618.9</v>
      </c>
      <c r="F249" s="2">
        <v>5764.3</v>
      </c>
      <c r="G249" s="2">
        <v>1435270</v>
      </c>
      <c r="H249">
        <v>-5.79</v>
      </c>
      <c r="I249">
        <v>11.11</v>
      </c>
      <c r="J249" s="2">
        <v>530541</v>
      </c>
      <c r="K249" s="2">
        <v>13586539</v>
      </c>
      <c r="L249" s="2"/>
      <c r="M249">
        <v>5764.3</v>
      </c>
      <c r="N249">
        <f t="shared" si="12"/>
        <v>6080.31</v>
      </c>
      <c r="O249">
        <f t="shared" si="13"/>
        <v>193.93040194874007</v>
      </c>
      <c r="P249">
        <f t="shared" si="14"/>
        <v>5886.3795980512605</v>
      </c>
      <c r="Q249">
        <f t="shared" si="15"/>
        <v>6274.2404019487403</v>
      </c>
    </row>
    <row r="250" spans="1:17">
      <c r="A250" s="1">
        <v>38657</v>
      </c>
      <c r="B250">
        <v>68646</v>
      </c>
      <c r="C250">
        <v>5803.25</v>
      </c>
      <c r="D250">
        <v>6212.35</v>
      </c>
      <c r="E250">
        <v>5786.64</v>
      </c>
      <c r="F250" s="2">
        <v>6203.47</v>
      </c>
      <c r="G250" s="2">
        <v>1751198</v>
      </c>
      <c r="H250">
        <v>7.62</v>
      </c>
      <c r="I250">
        <v>12.9</v>
      </c>
      <c r="J250" s="2">
        <v>532276</v>
      </c>
      <c r="K250" s="2">
        <v>14650930</v>
      </c>
      <c r="L250" s="2"/>
      <c r="M250">
        <v>6203.47</v>
      </c>
      <c r="N250">
        <f t="shared" si="12"/>
        <v>6112.2949999999992</v>
      </c>
      <c r="O250">
        <f t="shared" si="13"/>
        <v>196.1369856758279</v>
      </c>
      <c r="P250">
        <f t="shared" si="14"/>
        <v>5916.1580143241708</v>
      </c>
      <c r="Q250">
        <f t="shared" si="15"/>
        <v>6308.4319856758275</v>
      </c>
    </row>
    <row r="251" spans="1:17">
      <c r="A251" s="1">
        <v>38687</v>
      </c>
      <c r="B251">
        <v>92101</v>
      </c>
      <c r="C251">
        <v>6196.36</v>
      </c>
      <c r="D251">
        <v>6600.17</v>
      </c>
      <c r="E251">
        <v>6162.86</v>
      </c>
      <c r="F251" s="2">
        <v>6548.34</v>
      </c>
      <c r="G251" s="2">
        <v>2460955</v>
      </c>
      <c r="H251">
        <v>5.56</v>
      </c>
      <c r="I251">
        <v>17.32</v>
      </c>
      <c r="J251" s="2">
        <v>531741</v>
      </c>
      <c r="K251" s="2">
        <v>15566111</v>
      </c>
      <c r="L251" s="2"/>
      <c r="M251">
        <v>6548.34</v>
      </c>
      <c r="N251">
        <f t="shared" si="12"/>
        <v>6163.3616666666667</v>
      </c>
      <c r="O251">
        <f t="shared" si="13"/>
        <v>264.58615802166719</v>
      </c>
      <c r="P251">
        <f t="shared" si="14"/>
        <v>5898.7755086449997</v>
      </c>
      <c r="Q251">
        <f t="shared" si="15"/>
        <v>6427.9478246883336</v>
      </c>
    </row>
    <row r="252" spans="1:17">
      <c r="A252" s="1">
        <v>38718</v>
      </c>
      <c r="B252">
        <v>79106</v>
      </c>
      <c r="C252">
        <v>6457.61</v>
      </c>
      <c r="D252">
        <v>6797.2</v>
      </c>
      <c r="E252">
        <v>6373.63</v>
      </c>
      <c r="F252" s="2">
        <v>6532.18</v>
      </c>
      <c r="G252" s="2">
        <v>2192208</v>
      </c>
      <c r="H252">
        <v>-0.25</v>
      </c>
      <c r="I252">
        <v>14.8</v>
      </c>
      <c r="J252" s="2">
        <v>534478</v>
      </c>
      <c r="K252" s="2">
        <v>15595809</v>
      </c>
      <c r="L252" s="2"/>
      <c r="M252">
        <v>6532.18</v>
      </c>
      <c r="N252">
        <f t="shared" si="12"/>
        <v>6200.0616666666674</v>
      </c>
      <c r="O252">
        <f t="shared" si="13"/>
        <v>301.95608590764766</v>
      </c>
      <c r="P252">
        <f t="shared" si="14"/>
        <v>5898.1055807590201</v>
      </c>
      <c r="Q252">
        <f t="shared" si="15"/>
        <v>6502.0177525743147</v>
      </c>
    </row>
    <row r="253" spans="1:17">
      <c r="A253" s="1">
        <v>38749</v>
      </c>
      <c r="B253">
        <v>54903</v>
      </c>
      <c r="C253">
        <v>6592.19</v>
      </c>
      <c r="D253">
        <v>6747.43</v>
      </c>
      <c r="E253">
        <v>6466.21</v>
      </c>
      <c r="F253" s="2">
        <v>6561.63</v>
      </c>
      <c r="G253" s="2">
        <v>1591232</v>
      </c>
      <c r="H253">
        <v>0.45</v>
      </c>
      <c r="I253">
        <v>10.28</v>
      </c>
      <c r="J253" s="2">
        <v>534199</v>
      </c>
      <c r="K253" s="2">
        <v>15687118</v>
      </c>
      <c r="L253" s="2"/>
      <c r="M253">
        <v>6561.63</v>
      </c>
      <c r="N253">
        <f t="shared" si="12"/>
        <v>6288.0883333333331</v>
      </c>
      <c r="O253">
        <f t="shared" si="13"/>
        <v>320.11688524141721</v>
      </c>
      <c r="P253">
        <f t="shared" si="14"/>
        <v>5967.9714480919156</v>
      </c>
      <c r="Q253">
        <f t="shared" si="15"/>
        <v>6608.2052185747507</v>
      </c>
    </row>
    <row r="254" spans="1:17">
      <c r="A254" s="1">
        <v>38777</v>
      </c>
      <c r="B254">
        <v>60604</v>
      </c>
      <c r="C254">
        <v>6518</v>
      </c>
      <c r="D254">
        <v>6685.45</v>
      </c>
      <c r="E254">
        <v>6344.73</v>
      </c>
      <c r="F254" s="2">
        <v>6613.97</v>
      </c>
      <c r="G254" s="2">
        <v>2083435</v>
      </c>
      <c r="H254">
        <v>0.8</v>
      </c>
      <c r="I254">
        <v>11.31</v>
      </c>
      <c r="J254" s="2">
        <v>535852</v>
      </c>
      <c r="K254" s="2">
        <v>15830244</v>
      </c>
      <c r="L254" s="2"/>
      <c r="M254">
        <v>6613.97</v>
      </c>
      <c r="N254">
        <f t="shared" si="12"/>
        <v>6370.6483333333335</v>
      </c>
      <c r="O254">
        <f t="shared" si="13"/>
        <v>331.34668692574348</v>
      </c>
      <c r="P254">
        <f t="shared" si="14"/>
        <v>6039.3016464075899</v>
      </c>
      <c r="Q254">
        <f t="shared" si="15"/>
        <v>6701.9950202590771</v>
      </c>
    </row>
    <row r="255" spans="1:17">
      <c r="A255" s="1">
        <v>38808</v>
      </c>
      <c r="B255">
        <v>80043</v>
      </c>
      <c r="C255">
        <v>6627.32</v>
      </c>
      <c r="D255">
        <v>7229.35</v>
      </c>
      <c r="E255">
        <v>6615.98</v>
      </c>
      <c r="F255" s="2">
        <v>7171.77</v>
      </c>
      <c r="G255" s="2">
        <v>2354259</v>
      </c>
      <c r="H255">
        <v>8.43</v>
      </c>
      <c r="I255">
        <v>15.11</v>
      </c>
      <c r="J255" s="2">
        <v>529620</v>
      </c>
      <c r="K255" s="2">
        <v>17160980</v>
      </c>
      <c r="L255" s="2"/>
      <c r="M255">
        <v>7171.77</v>
      </c>
      <c r="N255">
        <f t="shared" si="12"/>
        <v>6605.2266666666665</v>
      </c>
      <c r="O255">
        <f t="shared" si="13"/>
        <v>313.98369108389488</v>
      </c>
      <c r="P255">
        <f t="shared" si="14"/>
        <v>6291.2429755827716</v>
      </c>
      <c r="Q255">
        <f t="shared" si="15"/>
        <v>6919.2103577505613</v>
      </c>
    </row>
    <row r="256" spans="1:17">
      <c r="A256" s="1">
        <v>38838</v>
      </c>
      <c r="B256">
        <v>97546</v>
      </c>
      <c r="C256">
        <v>7174.93</v>
      </c>
      <c r="D256">
        <v>7476.07</v>
      </c>
      <c r="E256">
        <v>6791.11</v>
      </c>
      <c r="F256" s="2">
        <v>6846.95</v>
      </c>
      <c r="G256" s="2">
        <v>2796014</v>
      </c>
      <c r="H256">
        <v>-4.53</v>
      </c>
      <c r="I256">
        <v>18.38</v>
      </c>
      <c r="J256" s="2">
        <v>530587</v>
      </c>
      <c r="K256" s="2">
        <v>16510017</v>
      </c>
      <c r="L256" s="2"/>
      <c r="M256">
        <v>6846.95</v>
      </c>
      <c r="N256">
        <f t="shared" si="12"/>
        <v>6712.4733333333324</v>
      </c>
      <c r="O256">
        <f t="shared" si="13"/>
        <v>253.35329361716754</v>
      </c>
      <c r="P256">
        <f t="shared" si="14"/>
        <v>6459.1200397161647</v>
      </c>
      <c r="Q256">
        <f t="shared" si="15"/>
        <v>6965.8266269505002</v>
      </c>
    </row>
    <row r="257" spans="1:17">
      <c r="A257" s="1">
        <v>38869</v>
      </c>
      <c r="B257">
        <v>68742</v>
      </c>
      <c r="C257">
        <v>6874.66</v>
      </c>
      <c r="D257">
        <v>6967.38</v>
      </c>
      <c r="E257">
        <v>6268.92</v>
      </c>
      <c r="F257" s="2">
        <v>6704.41</v>
      </c>
      <c r="G257" s="2">
        <v>2007318</v>
      </c>
      <c r="H257">
        <v>-2.08</v>
      </c>
      <c r="I257">
        <v>12.89</v>
      </c>
      <c r="J257" s="2">
        <v>533307</v>
      </c>
      <c r="K257" s="2">
        <v>16367449</v>
      </c>
      <c r="L257" s="2"/>
      <c r="M257">
        <v>6704.41</v>
      </c>
      <c r="N257">
        <f t="shared" si="12"/>
        <v>6738.4850000000006</v>
      </c>
      <c r="O257">
        <f t="shared" si="13"/>
        <v>240.83400189757262</v>
      </c>
      <c r="P257">
        <f t="shared" si="14"/>
        <v>6497.6509981024283</v>
      </c>
      <c r="Q257">
        <f t="shared" si="15"/>
        <v>6979.3190018975729</v>
      </c>
    </row>
    <row r="258" spans="1:17">
      <c r="A258" s="1">
        <v>38899</v>
      </c>
      <c r="B258">
        <v>56570</v>
      </c>
      <c r="C258">
        <v>6727.23</v>
      </c>
      <c r="D258">
        <v>6789.55</v>
      </c>
      <c r="E258">
        <v>6232.49</v>
      </c>
      <c r="F258" s="2">
        <v>6454.58</v>
      </c>
      <c r="G258" s="2">
        <v>1496321</v>
      </c>
      <c r="H258">
        <v>-3.73</v>
      </c>
      <c r="I258">
        <v>10.49</v>
      </c>
      <c r="J258" s="2">
        <v>539523</v>
      </c>
      <c r="K258" s="2">
        <v>15788952</v>
      </c>
      <c r="L258" s="2"/>
      <c r="M258">
        <v>6454.58</v>
      </c>
      <c r="N258">
        <f t="shared" si="12"/>
        <v>6725.5516666666672</v>
      </c>
      <c r="O258">
        <f t="shared" si="13"/>
        <v>255.75056272991216</v>
      </c>
      <c r="P258">
        <f t="shared" si="14"/>
        <v>6469.8011039367548</v>
      </c>
      <c r="Q258">
        <f t="shared" si="15"/>
        <v>6981.3022293965796</v>
      </c>
    </row>
    <row r="259" spans="1:17">
      <c r="A259" s="1">
        <v>38930</v>
      </c>
      <c r="B259">
        <v>64186</v>
      </c>
      <c r="C259">
        <v>6464.59</v>
      </c>
      <c r="D259">
        <v>6761.79</v>
      </c>
      <c r="E259">
        <v>6405.09</v>
      </c>
      <c r="F259" s="2">
        <v>6611.77</v>
      </c>
      <c r="G259" s="2">
        <v>1731984</v>
      </c>
      <c r="H259">
        <v>2.44</v>
      </c>
      <c r="I259">
        <v>11.67</v>
      </c>
      <c r="J259" s="2">
        <v>550181</v>
      </c>
      <c r="K259" s="2">
        <v>16199056</v>
      </c>
      <c r="L259" s="2"/>
      <c r="M259">
        <v>6611.77</v>
      </c>
      <c r="N259">
        <f t="shared" si="12"/>
        <v>6733.9083333333328</v>
      </c>
      <c r="O259">
        <f t="shared" si="13"/>
        <v>250.07946868279035</v>
      </c>
      <c r="P259">
        <f t="shared" si="14"/>
        <v>6483.8288646505425</v>
      </c>
      <c r="Q259">
        <f t="shared" si="15"/>
        <v>6983.9878020161232</v>
      </c>
    </row>
    <row r="260" spans="1:17">
      <c r="A260" s="1">
        <v>38961</v>
      </c>
      <c r="B260">
        <v>58871</v>
      </c>
      <c r="C260">
        <v>6631.83</v>
      </c>
      <c r="D260">
        <v>6961.92</v>
      </c>
      <c r="E260">
        <v>6550.03</v>
      </c>
      <c r="F260" s="2">
        <v>6883.05</v>
      </c>
      <c r="G260" s="2">
        <v>1583238</v>
      </c>
      <c r="H260">
        <v>4.0999999999999996</v>
      </c>
      <c r="I260">
        <v>10.87</v>
      </c>
      <c r="J260" s="2">
        <v>541822</v>
      </c>
      <c r="K260" s="2">
        <v>16781615</v>
      </c>
      <c r="L260" s="2"/>
      <c r="M260">
        <v>6883.05</v>
      </c>
      <c r="N260">
        <f t="shared" si="12"/>
        <v>6778.7550000000001</v>
      </c>
      <c r="O260">
        <f t="shared" si="13"/>
        <v>248.3905775789413</v>
      </c>
      <c r="P260">
        <f t="shared" si="14"/>
        <v>6530.3644224210584</v>
      </c>
      <c r="Q260">
        <f t="shared" si="15"/>
        <v>7027.1455775789418</v>
      </c>
    </row>
    <row r="261" spans="1:17">
      <c r="A261" s="1">
        <v>38991</v>
      </c>
      <c r="B261">
        <v>69572</v>
      </c>
      <c r="C261">
        <v>6907.43</v>
      </c>
      <c r="D261">
        <v>7159.85</v>
      </c>
      <c r="E261">
        <v>6874.98</v>
      </c>
      <c r="F261" s="2">
        <v>7021.32</v>
      </c>
      <c r="G261" s="2">
        <v>1671771</v>
      </c>
      <c r="H261">
        <v>2.0099999999999998</v>
      </c>
      <c r="I261">
        <v>12.81</v>
      </c>
      <c r="J261" s="2">
        <v>543130</v>
      </c>
      <c r="K261" s="2">
        <v>17193488</v>
      </c>
      <c r="L261" s="2"/>
      <c r="M261">
        <v>7021.32</v>
      </c>
      <c r="N261">
        <f t="shared" si="12"/>
        <v>6753.68</v>
      </c>
      <c r="O261">
        <f t="shared" si="13"/>
        <v>204.49638158167971</v>
      </c>
      <c r="P261">
        <f t="shared" si="14"/>
        <v>6549.1836184183203</v>
      </c>
      <c r="Q261">
        <f t="shared" si="15"/>
        <v>6958.1763815816803</v>
      </c>
    </row>
    <row r="262" spans="1:17">
      <c r="A262" s="1">
        <v>39022</v>
      </c>
      <c r="B262">
        <v>99843</v>
      </c>
      <c r="C262">
        <v>7036.07</v>
      </c>
      <c r="D262">
        <v>7567.72</v>
      </c>
      <c r="E262">
        <v>7005.13</v>
      </c>
      <c r="F262" s="2">
        <v>7567.72</v>
      </c>
      <c r="G262" s="2">
        <v>2353690</v>
      </c>
      <c r="H262">
        <v>7.78</v>
      </c>
      <c r="I262">
        <v>18.47</v>
      </c>
      <c r="J262" s="2">
        <v>540714</v>
      </c>
      <c r="K262" s="2">
        <v>18506474</v>
      </c>
      <c r="L262" s="2"/>
      <c r="M262">
        <v>7567.72</v>
      </c>
      <c r="N262">
        <f t="shared" si="12"/>
        <v>6873.8083333333343</v>
      </c>
      <c r="O262">
        <f t="shared" si="13"/>
        <v>394.07379519154364</v>
      </c>
      <c r="P262">
        <f t="shared" si="14"/>
        <v>6479.7345381417908</v>
      </c>
      <c r="Q262">
        <f t="shared" si="15"/>
        <v>7267.8821285248778</v>
      </c>
    </row>
    <row r="263" spans="1:17">
      <c r="A263" s="1">
        <v>39052</v>
      </c>
      <c r="B263">
        <v>100692</v>
      </c>
      <c r="C263">
        <v>7587.51</v>
      </c>
      <c r="D263">
        <v>7823.72</v>
      </c>
      <c r="E263">
        <v>7369.09</v>
      </c>
      <c r="F263" s="2">
        <v>7823.72</v>
      </c>
      <c r="G263" s="2">
        <v>2335929</v>
      </c>
      <c r="H263">
        <v>3.38</v>
      </c>
      <c r="I263">
        <v>18.37</v>
      </c>
      <c r="J263" s="2">
        <v>548136</v>
      </c>
      <c r="K263" s="2">
        <v>19409103</v>
      </c>
      <c r="L263" s="2"/>
      <c r="M263">
        <v>7823.72</v>
      </c>
      <c r="N263">
        <f t="shared" si="12"/>
        <v>7060.3600000000006</v>
      </c>
      <c r="O263">
        <f t="shared" si="13"/>
        <v>536.89813063559848</v>
      </c>
      <c r="P263">
        <f t="shared" si="14"/>
        <v>6523.4618693644024</v>
      </c>
      <c r="Q263">
        <f t="shared" si="15"/>
        <v>7597.2581306355987</v>
      </c>
    </row>
    <row r="264" spans="1:17">
      <c r="A264" s="1">
        <v>39083</v>
      </c>
      <c r="B264">
        <v>97073</v>
      </c>
      <c r="C264">
        <v>7871.41</v>
      </c>
      <c r="D264">
        <v>7999.42</v>
      </c>
      <c r="E264">
        <v>7599.55</v>
      </c>
      <c r="F264" s="2">
        <v>7699.64</v>
      </c>
      <c r="G264" s="2">
        <v>2662632</v>
      </c>
      <c r="H264">
        <v>-1.59</v>
      </c>
      <c r="I264">
        <v>17.739999999999998</v>
      </c>
      <c r="J264" s="2">
        <v>547142</v>
      </c>
      <c r="K264" s="2">
        <v>19082864</v>
      </c>
      <c r="L264" s="2"/>
      <c r="M264">
        <v>7699.64</v>
      </c>
      <c r="N264">
        <f t="shared" ref="N264:N271" si="16">AVERAGE($M259:$M264)</f>
        <v>7267.87</v>
      </c>
      <c r="O264">
        <f t="shared" ref="O264:O271" si="17">STDEV($M259:$M264)</f>
        <v>494.90304561600749</v>
      </c>
      <c r="P264">
        <f t="shared" ref="P264:P271" si="18">N264-1*O264</f>
        <v>6772.9669543839927</v>
      </c>
      <c r="Q264">
        <f t="shared" ref="Q264:Q271" si="19">N264+1*O264</f>
        <v>7762.773045616007</v>
      </c>
    </row>
    <row r="265" spans="1:17">
      <c r="A265" s="1">
        <v>39114</v>
      </c>
      <c r="B265">
        <v>38556</v>
      </c>
      <c r="C265">
        <v>7751.3</v>
      </c>
      <c r="D265">
        <v>7950.2</v>
      </c>
      <c r="E265">
        <v>7679.78</v>
      </c>
      <c r="F265" s="2">
        <v>7901.96</v>
      </c>
      <c r="G265" s="2">
        <v>1107865</v>
      </c>
      <c r="H265">
        <v>2.63</v>
      </c>
      <c r="I265">
        <v>7.05</v>
      </c>
      <c r="J265" s="2">
        <v>547054</v>
      </c>
      <c r="K265" s="2">
        <v>19576459</v>
      </c>
      <c r="L265" s="2"/>
      <c r="M265">
        <v>7901.96</v>
      </c>
      <c r="N265">
        <f t="shared" si="16"/>
        <v>7482.9016666666676</v>
      </c>
      <c r="O265">
        <f t="shared" si="17"/>
        <v>428.67617962357872</v>
      </c>
      <c r="P265">
        <f t="shared" si="18"/>
        <v>7054.2254870430888</v>
      </c>
      <c r="Q265">
        <f t="shared" si="19"/>
        <v>7911.5778462902463</v>
      </c>
    </row>
    <row r="266" spans="1:17">
      <c r="A266" s="1">
        <v>39142</v>
      </c>
      <c r="B266">
        <v>88088</v>
      </c>
      <c r="C266">
        <v>7707.63</v>
      </c>
      <c r="D266">
        <v>7928.03</v>
      </c>
      <c r="E266">
        <v>7306.07</v>
      </c>
      <c r="F266" s="2">
        <v>7884.41</v>
      </c>
      <c r="G266" s="2">
        <v>2606383</v>
      </c>
      <c r="H266">
        <v>-0.22</v>
      </c>
      <c r="I266">
        <v>16.28</v>
      </c>
      <c r="J266" s="2">
        <v>541051</v>
      </c>
      <c r="K266" s="2">
        <v>19434265</v>
      </c>
      <c r="L266" s="2"/>
      <c r="M266">
        <v>7884.41</v>
      </c>
      <c r="N266">
        <f t="shared" si="16"/>
        <v>7649.795000000001</v>
      </c>
      <c r="O266">
        <f t="shared" si="17"/>
        <v>332.59072336732436</v>
      </c>
      <c r="P266">
        <f t="shared" si="18"/>
        <v>7317.2042766326767</v>
      </c>
      <c r="Q266">
        <f t="shared" si="19"/>
        <v>7982.3857233673252</v>
      </c>
    </row>
    <row r="267" spans="1:17">
      <c r="A267" s="1">
        <v>39173</v>
      </c>
      <c r="B267">
        <v>84888</v>
      </c>
      <c r="C267">
        <v>7888.17</v>
      </c>
      <c r="D267">
        <v>8108.5</v>
      </c>
      <c r="E267">
        <v>7843.05</v>
      </c>
      <c r="F267" s="2">
        <v>7875.42</v>
      </c>
      <c r="G267" s="2">
        <v>2140990</v>
      </c>
      <c r="H267">
        <v>-0.11</v>
      </c>
      <c r="I267">
        <v>15.56</v>
      </c>
      <c r="J267" s="2">
        <v>545385</v>
      </c>
      <c r="K267" s="2">
        <v>19473564</v>
      </c>
      <c r="L267" s="2"/>
      <c r="M267">
        <v>7875.42</v>
      </c>
      <c r="N267">
        <f t="shared" si="16"/>
        <v>7792.1449999999995</v>
      </c>
      <c r="O267">
        <f t="shared" si="17"/>
        <v>132.23284489868607</v>
      </c>
      <c r="P267">
        <f t="shared" si="18"/>
        <v>7659.9121551013131</v>
      </c>
      <c r="Q267">
        <f t="shared" si="19"/>
        <v>7924.3778448986859</v>
      </c>
    </row>
    <row r="268" spans="1:17">
      <c r="A268" s="1">
        <v>39203</v>
      </c>
      <c r="B268">
        <v>73360</v>
      </c>
      <c r="C268">
        <v>7900.76</v>
      </c>
      <c r="D268">
        <v>8256.25</v>
      </c>
      <c r="E268">
        <v>7861.43</v>
      </c>
      <c r="F268" s="2">
        <v>8144.95</v>
      </c>
      <c r="G268" s="2">
        <v>2125048</v>
      </c>
      <c r="H268">
        <v>3.42</v>
      </c>
      <c r="I268">
        <v>13.44</v>
      </c>
      <c r="J268" s="2">
        <v>545863</v>
      </c>
      <c r="K268" s="2">
        <v>20199256</v>
      </c>
      <c r="L268" s="2"/>
      <c r="M268">
        <v>8144.95</v>
      </c>
      <c r="N268">
        <f t="shared" si="16"/>
        <v>7888.3499999999995</v>
      </c>
      <c r="O268">
        <f t="shared" si="17"/>
        <v>145.6021988844947</v>
      </c>
      <c r="P268">
        <f t="shared" si="18"/>
        <v>7742.7478011155044</v>
      </c>
      <c r="Q268">
        <f t="shared" si="19"/>
        <v>8033.9521988844945</v>
      </c>
    </row>
    <row r="269" spans="1:17">
      <c r="A269" s="1">
        <v>39234</v>
      </c>
      <c r="B269">
        <v>100699</v>
      </c>
      <c r="C269">
        <v>8236.76</v>
      </c>
      <c r="D269">
        <v>8985.93</v>
      </c>
      <c r="E269">
        <v>8224.2800000000007</v>
      </c>
      <c r="F269" s="2">
        <v>8883.2099999999991</v>
      </c>
      <c r="G269" s="2">
        <v>3006728</v>
      </c>
      <c r="H269">
        <v>9.06</v>
      </c>
      <c r="I269">
        <v>18.34</v>
      </c>
      <c r="J269" s="2">
        <v>548995</v>
      </c>
      <c r="K269" s="2">
        <v>21998653</v>
      </c>
      <c r="L269" s="2"/>
      <c r="M269">
        <v>8883.2099999999991</v>
      </c>
      <c r="N269">
        <f t="shared" si="16"/>
        <v>8064.9316666666664</v>
      </c>
      <c r="O269">
        <f t="shared" si="17"/>
        <v>425.31937982728499</v>
      </c>
      <c r="P269">
        <f t="shared" si="18"/>
        <v>7639.6122868393813</v>
      </c>
      <c r="Q269">
        <f t="shared" si="19"/>
        <v>8490.2510464939514</v>
      </c>
    </row>
    <row r="270" spans="1:17">
      <c r="A270" s="1">
        <v>39264</v>
      </c>
      <c r="B270">
        <v>176157</v>
      </c>
      <c r="C270">
        <v>8903.77</v>
      </c>
      <c r="D270">
        <v>9807.91</v>
      </c>
      <c r="E270">
        <v>8849.35</v>
      </c>
      <c r="F270" s="2">
        <v>9287.25</v>
      </c>
      <c r="G270" s="2">
        <v>5031673</v>
      </c>
      <c r="H270">
        <v>4.55</v>
      </c>
      <c r="I270">
        <v>32</v>
      </c>
      <c r="J270" s="2">
        <v>550526</v>
      </c>
      <c r="K270" s="2">
        <v>22885172</v>
      </c>
      <c r="L270" s="2"/>
      <c r="M270">
        <v>9287.25</v>
      </c>
      <c r="N270">
        <f t="shared" si="16"/>
        <v>8329.5333333333328</v>
      </c>
      <c r="O270">
        <f t="shared" si="17"/>
        <v>607.45744353548469</v>
      </c>
      <c r="P270">
        <f t="shared" si="18"/>
        <v>7722.0758897978485</v>
      </c>
      <c r="Q270">
        <f t="shared" si="19"/>
        <v>8936.9907768688172</v>
      </c>
    </row>
    <row r="271" spans="1:17">
      <c r="A271" s="1">
        <v>39295</v>
      </c>
      <c r="B271">
        <v>118550</v>
      </c>
      <c r="C271">
        <v>9188.6</v>
      </c>
      <c r="D271">
        <v>9265.7000000000007</v>
      </c>
      <c r="E271">
        <v>7987.61</v>
      </c>
      <c r="F271" s="2">
        <v>8982.16</v>
      </c>
      <c r="G271" s="2">
        <v>3601512</v>
      </c>
      <c r="H271">
        <v>-3.29</v>
      </c>
      <c r="I271">
        <v>21.16</v>
      </c>
      <c r="J271" s="2">
        <v>560350</v>
      </c>
      <c r="K271" s="2">
        <v>22293141</v>
      </c>
      <c r="L271" s="2"/>
      <c r="M271">
        <v>8982.16</v>
      </c>
      <c r="N271">
        <f t="shared" si="16"/>
        <v>8509.5666666666657</v>
      </c>
      <c r="O271">
        <f t="shared" si="17"/>
        <v>615.41097366448264</v>
      </c>
      <c r="P271">
        <f t="shared" si="18"/>
        <v>7894.1556930021834</v>
      </c>
      <c r="Q271">
        <f t="shared" si="19"/>
        <v>9124.977640331148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2017-10-04T09:09:29Z</dcterms:modified>
</cp:coreProperties>
</file>