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240" yWindow="96" windowWidth="11712" windowHeight="8676" activeTab="1"/>
  </bookViews>
  <sheets>
    <sheet name="統計函數 (基本)" sheetId="10" r:id="rId1"/>
    <sheet name="統計函數 (迴歸)" sheetId="11" r:id="rId2"/>
  </sheets>
  <calcPr calcId="162913"/>
</workbook>
</file>

<file path=xl/calcChain.xml><?xml version="1.0" encoding="utf-8"?>
<calcChain xmlns="http://schemas.openxmlformats.org/spreadsheetml/2006/main">
  <c r="B11" i="11" l="1"/>
  <c r="B12" i="11"/>
  <c r="J2" i="10" l="1"/>
  <c r="F3" i="10" l="1"/>
  <c r="G3" i="10"/>
  <c r="H3" i="10"/>
  <c r="I3" i="10"/>
  <c r="F4" i="10"/>
  <c r="G4" i="10"/>
  <c r="H4" i="10"/>
  <c r="I4" i="10"/>
  <c r="F5" i="10"/>
  <c r="G5" i="10"/>
  <c r="H5" i="10"/>
  <c r="I5" i="10"/>
  <c r="F6" i="10"/>
  <c r="G6" i="10"/>
  <c r="H6" i="10"/>
  <c r="I6" i="10"/>
  <c r="I2" i="10"/>
  <c r="H2" i="10"/>
  <c r="G2" i="10"/>
  <c r="F2" i="10"/>
  <c r="J3" i="10" l="1"/>
  <c r="J4" i="10"/>
  <c r="J6" i="10"/>
  <c r="J5" i="10"/>
</calcChain>
</file>

<file path=xl/sharedStrings.xml><?xml version="1.0" encoding="utf-8"?>
<sst xmlns="http://schemas.openxmlformats.org/spreadsheetml/2006/main" count="30" uniqueCount="29">
  <si>
    <t>林語堂</t>
    <phoneticPr fontId="1" type="noConversion"/>
  </si>
  <si>
    <t>學生</t>
    <phoneticPr fontId="1" type="noConversion"/>
  </si>
  <si>
    <t>計概</t>
    <phoneticPr fontId="1" type="noConversion"/>
  </si>
  <si>
    <t>微積分</t>
    <phoneticPr fontId="1" type="noConversion"/>
  </si>
  <si>
    <t>管數</t>
    <phoneticPr fontId="1" type="noConversion"/>
  </si>
  <si>
    <t>程式</t>
    <phoneticPr fontId="1" type="noConversion"/>
  </si>
  <si>
    <t>王建民</t>
    <phoneticPr fontId="1" type="noConversion"/>
  </si>
  <si>
    <t>李商隱</t>
    <phoneticPr fontId="1" type="noConversion"/>
  </si>
  <si>
    <t>吳郭魚</t>
    <phoneticPr fontId="1" type="noConversion"/>
  </si>
  <si>
    <t>朱元璋</t>
    <phoneticPr fontId="1" type="noConversion"/>
  </si>
  <si>
    <t>average</t>
    <phoneticPr fontId="1" type="noConversion"/>
  </si>
  <si>
    <t>min</t>
    <phoneticPr fontId="1" type="noConversion"/>
  </si>
  <si>
    <t>max</t>
    <phoneticPr fontId="1" type="noConversion"/>
  </si>
  <si>
    <t>stdev</t>
    <phoneticPr fontId="1" type="noConversion"/>
  </si>
  <si>
    <t>Rank</t>
    <phoneticPr fontId="1" type="noConversion"/>
  </si>
  <si>
    <t>SLOPE</t>
    <phoneticPr fontId="1" type="noConversion"/>
  </si>
  <si>
    <t>INTERCEPT</t>
  </si>
  <si>
    <t>線性迴歸</t>
    <phoneticPr fontId="1" type="noConversion"/>
  </si>
  <si>
    <t>高斯</t>
    <phoneticPr fontId="1" type="noConversion"/>
  </si>
  <si>
    <t>牛頓</t>
    <phoneticPr fontId="1" type="noConversion"/>
  </si>
  <si>
    <t>朱元璋</t>
    <phoneticPr fontId="1" type="noConversion"/>
  </si>
  <si>
    <t>林語堂</t>
    <phoneticPr fontId="1" type="noConversion"/>
  </si>
  <si>
    <t>吳郭魚</t>
    <phoneticPr fontId="1" type="noConversion"/>
  </si>
  <si>
    <t>李商隱</t>
    <phoneticPr fontId="1" type="noConversion"/>
  </si>
  <si>
    <t>王建民</t>
    <phoneticPr fontId="1" type="noConversion"/>
  </si>
  <si>
    <t>管數</t>
    <phoneticPr fontId="1" type="noConversion"/>
  </si>
  <si>
    <t>微積分</t>
    <phoneticPr fontId="1" type="noConversion"/>
  </si>
  <si>
    <t>計概</t>
    <phoneticPr fontId="1" type="noConversion"/>
  </si>
  <si>
    <t>學生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</si>
</sst>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3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38433942856917"/>
          <c:y val="8.2230733806378048E-2"/>
          <c:w val="0.79517458607141467"/>
          <c:h val="0.779865669002424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'統計函數 (迴歸)'!$C$1</c:f>
              <c:strCache>
                <c:ptCount val="1"/>
                <c:pt idx="0">
                  <c:v>微積分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0136860026299086"/>
                  <c:y val="3.9307860040860843E-3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  <c:txPr>
                <a:bodyPr/>
                <a:lstStyle/>
                <a:p>
                  <a:pPr>
                    <a:defRPr sz="105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'統計函數 (迴歸)'!$B$2:$B$8</c:f>
              <c:numCache>
                <c:formatCode>General</c:formatCode>
                <c:ptCount val="7"/>
                <c:pt idx="0">
                  <c:v>88</c:v>
                </c:pt>
                <c:pt idx="1">
                  <c:v>40</c:v>
                </c:pt>
                <c:pt idx="2">
                  <c:v>50</c:v>
                </c:pt>
                <c:pt idx="3">
                  <c:v>67</c:v>
                </c:pt>
                <c:pt idx="4">
                  <c:v>80</c:v>
                </c:pt>
                <c:pt idx="5">
                  <c:v>80</c:v>
                </c:pt>
                <c:pt idx="6">
                  <c:v>90</c:v>
                </c:pt>
              </c:numCache>
            </c:numRef>
          </c:xVal>
          <c:yVal>
            <c:numRef>
              <c:f>'統計函數 (迴歸)'!$C$2:$C$8</c:f>
              <c:numCache>
                <c:formatCode>General</c:formatCode>
                <c:ptCount val="7"/>
                <c:pt idx="0">
                  <c:v>90</c:v>
                </c:pt>
                <c:pt idx="1">
                  <c:v>50</c:v>
                </c:pt>
                <c:pt idx="2">
                  <c:v>30</c:v>
                </c:pt>
                <c:pt idx="3">
                  <c:v>33</c:v>
                </c:pt>
                <c:pt idx="4">
                  <c:v>70</c:v>
                </c:pt>
                <c:pt idx="5">
                  <c:v>100</c:v>
                </c:pt>
                <c:pt idx="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1D-45F6-B2CB-C1D527251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47984"/>
        <c:axId val="1"/>
      </c:scatterChart>
      <c:valAx>
        <c:axId val="723479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7234798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358140</xdr:colOff>
      <xdr:row>0</xdr:row>
      <xdr:rowOff>137160</xdr:rowOff>
    </xdr:from>
    <xdr:to>
      <xdr:col>17</xdr:col>
      <xdr:colOff>213360</xdr:colOff>
      <xdr:row>14</xdr:row>
      <xdr:rowOff>152400</xdr:rowOff>
    </xdr:to>
    <xdr:sp macro="" textlink="">
      <xdr:nvSpPr>
        <xdr:cNvPr id="3" name="文字方塊 2"/>
        <xdr:cNvSpPr txBox="1"/>
      </xdr:nvSpPr>
      <xdr:spPr>
        <a:xfrm>
          <a:off x="6454140" y="137160"/>
          <a:ext cx="4122420" cy="28956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統計函數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基本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=AVERAGE(B2:E2)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取平均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=MIN(B2:E2)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取最小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=MAX(B2:E2)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取最大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=STDEV(B2:D2)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取標準差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=RANK(F2,$F$2:$F$6)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欄的排序值，最大值為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假設有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練習：試在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欄取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欄的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Rank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值，但改成最小值為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，最大值為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假設有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個值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</xdr:colOff>
      <xdr:row>0</xdr:row>
      <xdr:rowOff>91440</xdr:rowOff>
    </xdr:from>
    <xdr:to>
      <xdr:col>10</xdr:col>
      <xdr:colOff>518160</xdr:colOff>
      <xdr:row>14</xdr:row>
      <xdr:rowOff>83820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114300</xdr:rowOff>
    </xdr:from>
    <xdr:to>
      <xdr:col>11</xdr:col>
      <xdr:colOff>0</xdr:colOff>
      <xdr:row>20</xdr:row>
      <xdr:rowOff>38100</xdr:rowOff>
    </xdr:to>
    <xdr:sp macro="" textlink="">
      <xdr:nvSpPr>
        <xdr:cNvPr id="3" name="文字方塊 1"/>
        <xdr:cNvSpPr txBox="1"/>
      </xdr:nvSpPr>
      <xdr:spPr>
        <a:xfrm>
          <a:off x="3657600" y="3200400"/>
          <a:ext cx="304800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以計概為橫軸，微積分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縱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軸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，插入線性趨勢線。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53340</xdr:colOff>
      <xdr:row>13</xdr:row>
      <xdr:rowOff>30480</xdr:rowOff>
    </xdr:from>
    <xdr:to>
      <xdr:col>5</xdr:col>
      <xdr:colOff>129540</xdr:colOff>
      <xdr:row>21</xdr:row>
      <xdr:rowOff>114300</xdr:rowOff>
    </xdr:to>
    <xdr:sp macro="" textlink="">
      <xdr:nvSpPr>
        <xdr:cNvPr id="4" name="文字方塊 1"/>
        <xdr:cNvSpPr txBox="1"/>
      </xdr:nvSpPr>
      <xdr:spPr>
        <a:xfrm>
          <a:off x="53340" y="2705100"/>
          <a:ext cx="3124200" cy="17297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以計概為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自變數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，微積分為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因變數。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C11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=INTERCEPT(D2:D8,C2:C8)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得單變數迴歸的截距。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C12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=SLOPE(D2:D8,C2:C8)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」得單變數迴歸的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斜率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F20" sqref="F20"/>
    </sheetView>
  </sheetViews>
  <sheetFormatPr defaultRowHeight="16.2"/>
  <sheetData>
    <row r="1" spans="1:10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>
      <c r="A2" t="s">
        <v>6</v>
      </c>
      <c r="B2" s="1">
        <v>88</v>
      </c>
      <c r="C2" s="1">
        <v>90</v>
      </c>
      <c r="D2" s="1">
        <v>60</v>
      </c>
      <c r="E2" s="1">
        <v>27</v>
      </c>
      <c r="F2">
        <f>AVERAGE(B2:E2)</f>
        <v>66.25</v>
      </c>
      <c r="G2">
        <f>MIN(B2:E2)</f>
        <v>27</v>
      </c>
      <c r="H2">
        <f>MAX(B2:E2)</f>
        <v>90</v>
      </c>
      <c r="I2" s="2">
        <f>STDEV(B2:D2)</f>
        <v>16.772994167212183</v>
      </c>
      <c r="J2">
        <f>RANK(F2,$F$2:$F$6)</f>
        <v>1</v>
      </c>
    </row>
    <row r="3" spans="1:10">
      <c r="A3" t="s">
        <v>7</v>
      </c>
      <c r="B3" s="1">
        <v>13</v>
      </c>
      <c r="C3" s="1">
        <v>50</v>
      </c>
      <c r="D3" s="1">
        <v>40</v>
      </c>
      <c r="E3" s="1">
        <v>40</v>
      </c>
      <c r="F3">
        <f>AVERAGE(B3:E3)</f>
        <v>35.75</v>
      </c>
      <c r="G3">
        <f>MIN(B3:E3)</f>
        <v>13</v>
      </c>
      <c r="H3">
        <f>MAX(B3:E3)</f>
        <v>50</v>
      </c>
      <c r="I3" s="2">
        <f>STDEV(B3:D3)</f>
        <v>19.139836293274122</v>
      </c>
      <c r="J3">
        <f t="shared" ref="J3:J6" si="0">RANK(F3,$F$2:$F$6)</f>
        <v>3</v>
      </c>
    </row>
    <row r="4" spans="1:10">
      <c r="A4" t="s">
        <v>8</v>
      </c>
      <c r="B4" s="1">
        <v>49</v>
      </c>
      <c r="C4" s="1">
        <v>30</v>
      </c>
      <c r="D4" s="1">
        <v>30</v>
      </c>
      <c r="E4" s="1">
        <v>30</v>
      </c>
      <c r="F4">
        <f>AVERAGE(B4:E4)</f>
        <v>34.75</v>
      </c>
      <c r="G4">
        <f>MIN(B4:E4)</f>
        <v>30</v>
      </c>
      <c r="H4">
        <f>MAX(B4:E4)</f>
        <v>49</v>
      </c>
      <c r="I4" s="2">
        <f>STDEV(B4:D4)</f>
        <v>10.969655114602887</v>
      </c>
      <c r="J4">
        <f t="shared" si="0"/>
        <v>5</v>
      </c>
    </row>
    <row r="5" spans="1:10">
      <c r="A5" t="s">
        <v>0</v>
      </c>
      <c r="B5" s="1">
        <v>67</v>
      </c>
      <c r="C5" s="1">
        <v>33</v>
      </c>
      <c r="D5" s="1">
        <v>20</v>
      </c>
      <c r="E5" s="1">
        <v>20</v>
      </c>
      <c r="F5">
        <f>AVERAGE(B5:E5)</f>
        <v>35</v>
      </c>
      <c r="G5">
        <f>MIN(B5:E5)</f>
        <v>20</v>
      </c>
      <c r="H5">
        <f>MAX(B5:E5)</f>
        <v>67</v>
      </c>
      <c r="I5" s="2">
        <f>STDEV(B5:D5)</f>
        <v>24.269322199023193</v>
      </c>
      <c r="J5">
        <f t="shared" si="0"/>
        <v>4</v>
      </c>
    </row>
    <row r="6" spans="1:10">
      <c r="A6" t="s">
        <v>9</v>
      </c>
      <c r="B6" s="1">
        <v>80</v>
      </c>
      <c r="C6" s="1">
        <v>70</v>
      </c>
      <c r="D6" s="1">
        <v>10</v>
      </c>
      <c r="E6" s="1">
        <v>60</v>
      </c>
      <c r="F6">
        <f>AVERAGE(B6:E6)</f>
        <v>55</v>
      </c>
      <c r="G6">
        <f>MIN(B6:E6)</f>
        <v>10</v>
      </c>
      <c r="H6">
        <f>MAX(B6:E6)</f>
        <v>80</v>
      </c>
      <c r="I6" s="2">
        <f>STDEV(B6:D6)</f>
        <v>37.859388972001817</v>
      </c>
      <c r="J6">
        <f t="shared" si="0"/>
        <v>2</v>
      </c>
    </row>
    <row r="7" spans="1:10">
      <c r="I7" s="2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N11" sqref="N11"/>
    </sheetView>
  </sheetViews>
  <sheetFormatPr defaultRowHeight="16.2"/>
  <sheetData>
    <row r="1" spans="1:9">
      <c r="A1" t="s">
        <v>28</v>
      </c>
      <c r="B1" t="s">
        <v>27</v>
      </c>
      <c r="C1" t="s">
        <v>26</v>
      </c>
      <c r="D1" t="s">
        <v>25</v>
      </c>
      <c r="E1" t="s">
        <v>5</v>
      </c>
    </row>
    <row r="2" spans="1:9">
      <c r="A2" t="s">
        <v>24</v>
      </c>
      <c r="B2" s="1">
        <v>88</v>
      </c>
      <c r="C2" s="1">
        <v>90</v>
      </c>
      <c r="D2" s="1">
        <v>60</v>
      </c>
      <c r="E2" s="1">
        <v>27</v>
      </c>
      <c r="I2" s="2"/>
    </row>
    <row r="3" spans="1:9">
      <c r="A3" t="s">
        <v>23</v>
      </c>
      <c r="B3" s="1">
        <v>40</v>
      </c>
      <c r="C3" s="1">
        <v>50</v>
      </c>
      <c r="D3" s="1">
        <v>40</v>
      </c>
      <c r="E3" s="1">
        <v>40</v>
      </c>
      <c r="I3" s="2"/>
    </row>
    <row r="4" spans="1:9">
      <c r="A4" t="s">
        <v>22</v>
      </c>
      <c r="B4" s="1">
        <v>50</v>
      </c>
      <c r="C4" s="1">
        <v>30</v>
      </c>
      <c r="D4" s="1">
        <v>30</v>
      </c>
      <c r="E4" s="1">
        <v>30</v>
      </c>
      <c r="I4" s="2"/>
    </row>
    <row r="5" spans="1:9">
      <c r="A5" t="s">
        <v>21</v>
      </c>
      <c r="B5" s="1">
        <v>67</v>
      </c>
      <c r="C5" s="1">
        <v>33</v>
      </c>
      <c r="D5" s="1">
        <v>20</v>
      </c>
      <c r="E5" s="1">
        <v>20</v>
      </c>
      <c r="I5" s="2"/>
    </row>
    <row r="6" spans="1:9">
      <c r="A6" t="s">
        <v>20</v>
      </c>
      <c r="B6" s="1">
        <v>80</v>
      </c>
      <c r="C6" s="1">
        <v>70</v>
      </c>
      <c r="D6" s="1">
        <v>10</v>
      </c>
      <c r="E6" s="1">
        <v>60</v>
      </c>
      <c r="I6" s="2"/>
    </row>
    <row r="7" spans="1:9">
      <c r="A7" t="s">
        <v>19</v>
      </c>
      <c r="B7" s="1">
        <v>80</v>
      </c>
      <c r="C7" s="1">
        <v>100</v>
      </c>
      <c r="D7" s="1">
        <v>90</v>
      </c>
      <c r="E7" s="1">
        <v>80</v>
      </c>
      <c r="I7" s="2"/>
    </row>
    <row r="8" spans="1:9">
      <c r="A8" t="s">
        <v>18</v>
      </c>
      <c r="B8" s="1">
        <v>90</v>
      </c>
      <c r="C8" s="1">
        <v>80</v>
      </c>
      <c r="D8" s="1">
        <v>100</v>
      </c>
      <c r="E8" s="1">
        <v>95</v>
      </c>
    </row>
    <row r="10" spans="1:9">
      <c r="A10" t="s">
        <v>17</v>
      </c>
    </row>
    <row r="11" spans="1:9">
      <c r="A11" t="s">
        <v>16</v>
      </c>
      <c r="B11" s="3">
        <f>INTERCEPT(C2:C8,B2:B8)</f>
        <v>-11.328719723183383</v>
      </c>
    </row>
    <row r="12" spans="1:9">
      <c r="A12" t="s">
        <v>15</v>
      </c>
      <c r="B12" s="3">
        <f>SLOPE(C2:C8,B2:B8)</f>
        <v>1.0753556324490579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統計函數 (基本)</vt:lpstr>
      <vt:lpstr>統計函數 (迴歸)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2017-09-14T02:45:02Z</dcterms:modified>
</cp:coreProperties>
</file>