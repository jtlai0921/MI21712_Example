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"/>
    </mc:Choice>
  </mc:AlternateContent>
  <bookViews>
    <workbookView xWindow="120" yWindow="96" windowWidth="14952" windowHeight="8676"/>
  </bookViews>
  <sheets>
    <sheet name="統計函數 (隨機函數)" sheetId="2" r:id="rId1"/>
  </sheets>
  <calcPr calcId="162913"/>
</workbook>
</file>

<file path=xl/calcChain.xml><?xml version="1.0" encoding="utf-8"?>
<calcChain xmlns="http://schemas.openxmlformats.org/spreadsheetml/2006/main">
  <c r="F3" i="2" l="1"/>
  <c r="E3" i="2"/>
  <c r="F7" i="2" l="1"/>
  <c r="F11" i="2"/>
  <c r="F15" i="2"/>
  <c r="E4" i="2"/>
  <c r="E5" i="2"/>
  <c r="E6" i="2"/>
  <c r="E7" i="2"/>
  <c r="E8" i="2"/>
  <c r="E9" i="2"/>
  <c r="E10" i="2"/>
  <c r="E11" i="2"/>
  <c r="E12" i="2"/>
  <c r="E13" i="2"/>
  <c r="E14" i="2"/>
  <c r="E15" i="2"/>
  <c r="D5" i="2"/>
  <c r="D9" i="2"/>
  <c r="D13" i="2"/>
  <c r="C4" i="2"/>
  <c r="D4" i="2" s="1"/>
  <c r="C5" i="2"/>
  <c r="F5" i="2" s="1"/>
  <c r="C6" i="2"/>
  <c r="F6" i="2" s="1"/>
  <c r="C7" i="2"/>
  <c r="D7" i="2" s="1"/>
  <c r="C8" i="2"/>
  <c r="D8" i="2" s="1"/>
  <c r="C9" i="2"/>
  <c r="F9" i="2" s="1"/>
  <c r="C10" i="2"/>
  <c r="F10" i="2" s="1"/>
  <c r="C11" i="2"/>
  <c r="D11" i="2" s="1"/>
  <c r="C12" i="2"/>
  <c r="D12" i="2" s="1"/>
  <c r="C13" i="2"/>
  <c r="F13" i="2" s="1"/>
  <c r="C14" i="2"/>
  <c r="F14" i="2" s="1"/>
  <c r="C15" i="2"/>
  <c r="D15" i="2" s="1"/>
  <c r="C3" i="2"/>
  <c r="D3" i="2" s="1"/>
  <c r="B4" i="2"/>
  <c r="B5" i="2"/>
  <c r="B6" i="2"/>
  <c r="B7" i="2"/>
  <c r="B8" i="2"/>
  <c r="B9" i="2"/>
  <c r="B10" i="2"/>
  <c r="B11" i="2"/>
  <c r="B12" i="2"/>
  <c r="B13" i="2"/>
  <c r="B14" i="2"/>
  <c r="B15" i="2"/>
  <c r="B3" i="2"/>
  <c r="D14" i="2" l="1"/>
  <c r="D10" i="2"/>
  <c r="D6" i="2"/>
  <c r="F12" i="2"/>
  <c r="F8" i="2"/>
  <c r="F4" i="2"/>
</calcChain>
</file>

<file path=xl/sharedStrings.xml><?xml version="1.0" encoding="utf-8"?>
<sst xmlns="http://schemas.openxmlformats.org/spreadsheetml/2006/main" count="11" uniqueCount="8">
  <si>
    <t>X</t>
    <phoneticPr fontId="1" type="noConversion"/>
  </si>
  <si>
    <t>PDF</t>
    <phoneticPr fontId="1" type="noConversion"/>
  </si>
  <si>
    <t>CDF</t>
    <phoneticPr fontId="1" type="noConversion"/>
  </si>
  <si>
    <t>反函數</t>
    <phoneticPr fontId="1" type="noConversion"/>
  </si>
  <si>
    <t>NORMDIST</t>
    <phoneticPr fontId="1" type="noConversion"/>
  </si>
  <si>
    <t>NORMINV</t>
    <phoneticPr fontId="1" type="noConversion"/>
  </si>
  <si>
    <t>NORMSDIST</t>
    <phoneticPr fontId="1" type="noConversion"/>
  </si>
  <si>
    <t>NORMSINV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</si>
</sst>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001635663827593E-2"/>
          <c:y val="0.1076960628697803"/>
          <c:w val="0.89802048553454628"/>
          <c:h val="0.695408863102009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'統計函數 (隨機函數)'!$B$1</c:f>
              <c:strCache>
                <c:ptCount val="1"/>
                <c:pt idx="0">
                  <c:v>PDF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'統計函數 (隨機函數)'!$A$3:$A$15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'統計函數 (隨機函數)'!$B$3:$B$15</c:f>
              <c:numCache>
                <c:formatCode>General</c:formatCode>
                <c:ptCount val="13"/>
                <c:pt idx="0">
                  <c:v>4.4318484119380075E-3</c:v>
                </c:pt>
                <c:pt idx="1">
                  <c:v>1.752830049356854E-2</c:v>
                </c:pt>
                <c:pt idx="2">
                  <c:v>5.3990966513188063E-2</c:v>
                </c:pt>
                <c:pt idx="3">
                  <c:v>0.12951759566589174</c:v>
                </c:pt>
                <c:pt idx="4">
                  <c:v>0.24197072451914337</c:v>
                </c:pt>
                <c:pt idx="5">
                  <c:v>0.35206532676429952</c:v>
                </c:pt>
                <c:pt idx="6">
                  <c:v>0.3989422804014327</c:v>
                </c:pt>
                <c:pt idx="7">
                  <c:v>0.35206532676429952</c:v>
                </c:pt>
                <c:pt idx="8">
                  <c:v>0.24197072451914337</c:v>
                </c:pt>
                <c:pt idx="9">
                  <c:v>0.12951759566589174</c:v>
                </c:pt>
                <c:pt idx="10">
                  <c:v>5.3990966513188063E-2</c:v>
                </c:pt>
                <c:pt idx="11">
                  <c:v>1.752830049356854E-2</c:v>
                </c:pt>
                <c:pt idx="12">
                  <c:v>4.4318484119380075E-3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9A-494D-A2CD-F6E613F255DC}"/>
            </c:ext>
          </c:extLst>
        </c:ser>
        <c:ser>
          <c:idx val="1"/>
          <c:order val="1"/>
          <c:tx>
            <c:strRef>
              <c:f>'統計函數 (隨機函數)'!$C$1</c:f>
              <c:strCache>
                <c:ptCount val="1"/>
                <c:pt idx="0">
                  <c:v>CDF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'統計函數 (隨機函數)'!$A$3:$A$15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'統計函數 (隨機函數)'!$C$3:$C$15</c:f>
              <c:numCache>
                <c:formatCode>General</c:formatCode>
                <c:ptCount val="13"/>
                <c:pt idx="0">
                  <c:v>1.3498980316300933E-3</c:v>
                </c:pt>
                <c:pt idx="1">
                  <c:v>6.2096653257761331E-3</c:v>
                </c:pt>
                <c:pt idx="2">
                  <c:v>2.2750131948179191E-2</c:v>
                </c:pt>
                <c:pt idx="3">
                  <c:v>6.6807201268858057E-2</c:v>
                </c:pt>
                <c:pt idx="4">
                  <c:v>0.15865525393145699</c:v>
                </c:pt>
                <c:pt idx="5">
                  <c:v>0.30853753872598688</c:v>
                </c:pt>
                <c:pt idx="6">
                  <c:v>0.5</c:v>
                </c:pt>
                <c:pt idx="7">
                  <c:v>0.69146246127401312</c:v>
                </c:pt>
                <c:pt idx="8">
                  <c:v>0.84134474606854304</c:v>
                </c:pt>
                <c:pt idx="9">
                  <c:v>0.93319279873114191</c:v>
                </c:pt>
                <c:pt idx="10">
                  <c:v>0.97724986805182079</c:v>
                </c:pt>
                <c:pt idx="11">
                  <c:v>0.99379033467422384</c:v>
                </c:pt>
                <c:pt idx="12">
                  <c:v>0.9986501019683699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9A-494D-A2CD-F6E613F25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08128"/>
        <c:axId val="1"/>
      </c:scatterChart>
      <c:valAx>
        <c:axId val="229808128"/>
        <c:scaling>
          <c:orientation val="minMax"/>
          <c:max val="3"/>
          <c:min val="-3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22980812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8174637892485678E-2"/>
          <c:y val="0.13334625479507373"/>
          <c:w val="0.17037594374341256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327660</xdr:colOff>
      <xdr:row>2</xdr:row>
      <xdr:rowOff>76200</xdr:rowOff>
    </xdr:from>
    <xdr:to>
      <xdr:col>11</xdr:col>
      <xdr:colOff>533400</xdr:colOff>
      <xdr:row>14</xdr:row>
      <xdr:rowOff>83820</xdr:rowOff>
    </xdr:to>
    <xdr:graphicFrame macro="">
      <xdr:nvGraphicFramePr>
        <xdr:cNvPr id="2049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16</xdr:row>
      <xdr:rowOff>137160</xdr:rowOff>
    </xdr:from>
    <xdr:to>
      <xdr:col>12</xdr:col>
      <xdr:colOff>76200</xdr:colOff>
      <xdr:row>26</xdr:row>
      <xdr:rowOff>22860</xdr:rowOff>
    </xdr:to>
    <xdr:sp macro="" textlink="">
      <xdr:nvSpPr>
        <xdr:cNvPr id="3" name="文字方塊 2"/>
        <xdr:cNvSpPr txBox="1"/>
      </xdr:nvSpPr>
      <xdr:spPr>
        <a:xfrm>
          <a:off x="304800" y="3429000"/>
          <a:ext cx="7086600" cy="1943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統計函數 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隨機函數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B3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=NORMDIST(A3,0,1,0)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可產生平均值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=0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，標準差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的常態分佈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PDF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C3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=NORMDIST(A3,0,1,1)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」可產生平均值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，標準差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的常態分佈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CDF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函數。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D3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=NORMINV(C3,0,1)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」可產生平均值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，標準差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的常態分佈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CDF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反函數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E3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=NORMSDIST(A3)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」可產生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常態分佈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CDF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函數。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(5) F3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=NORMSINV(C3)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」可產生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標準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常態分佈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CDF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反函數。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D11" sqref="D11"/>
    </sheetView>
  </sheetViews>
  <sheetFormatPr defaultRowHeight="16.2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</row>
    <row r="2" spans="1:9">
      <c r="A2" s="1"/>
      <c r="B2" s="1" t="s">
        <v>4</v>
      </c>
      <c r="C2" s="1" t="s">
        <v>4</v>
      </c>
      <c r="D2" s="1" t="s">
        <v>5</v>
      </c>
      <c r="E2" s="1" t="s">
        <v>6</v>
      </c>
      <c r="F2" s="1" t="s">
        <v>7</v>
      </c>
    </row>
    <row r="3" spans="1:9">
      <c r="A3" s="1">
        <v>-3</v>
      </c>
      <c r="B3" s="1">
        <f>NORMDIST(A3,0,1,0)</f>
        <v>4.4318484119380075E-3</v>
      </c>
      <c r="C3" s="1">
        <f>NORMDIST(A3,0,1,1)</f>
        <v>1.3498980316300933E-3</v>
      </c>
      <c r="D3" s="1">
        <f>NORMINV(C3,0,1)</f>
        <v>-3</v>
      </c>
      <c r="E3" s="1">
        <f>NORMSDIST(A3)</f>
        <v>1.3498980316300933E-3</v>
      </c>
      <c r="F3" s="1">
        <f>NORMSINV(C3)</f>
        <v>-3</v>
      </c>
      <c r="I3" s="2"/>
    </row>
    <row r="4" spans="1:9">
      <c r="A4" s="1">
        <v>-2.5</v>
      </c>
      <c r="B4" s="1">
        <f t="shared" ref="B4:B15" si="0">NORMDIST(A4,0,1,0)</f>
        <v>1.752830049356854E-2</v>
      </c>
      <c r="C4" s="1">
        <f t="shared" ref="C4:C15" si="1">NORMDIST(A4,0,1,1)</f>
        <v>6.2096653257761331E-3</v>
      </c>
      <c r="D4" s="1">
        <f t="shared" ref="D4:D15" si="2">NORMINV(C4,0,1)</f>
        <v>-2.5000000000000004</v>
      </c>
      <c r="E4" s="1">
        <f t="shared" ref="E4:E15" si="3">NORMSDIST(A4)</f>
        <v>6.2096653257761331E-3</v>
      </c>
      <c r="F4" s="1">
        <f t="shared" ref="F4:F15" si="4">NORMSINV(C4)</f>
        <v>-2.5000000000000004</v>
      </c>
      <c r="I4" s="2"/>
    </row>
    <row r="5" spans="1:9">
      <c r="A5" s="1">
        <v>-2</v>
      </c>
      <c r="B5" s="1">
        <f t="shared" si="0"/>
        <v>5.3990966513188063E-2</v>
      </c>
      <c r="C5" s="1">
        <f t="shared" si="1"/>
        <v>2.2750131948179191E-2</v>
      </c>
      <c r="D5" s="1">
        <f t="shared" si="2"/>
        <v>-2.0000000000000004</v>
      </c>
      <c r="E5" s="1">
        <f t="shared" si="3"/>
        <v>2.2750131948179191E-2</v>
      </c>
      <c r="F5" s="1">
        <f t="shared" si="4"/>
        <v>-2.0000000000000004</v>
      </c>
      <c r="I5" s="2"/>
    </row>
    <row r="6" spans="1:9">
      <c r="A6" s="1">
        <v>-1.5</v>
      </c>
      <c r="B6" s="1">
        <f t="shared" si="0"/>
        <v>0.12951759566589174</v>
      </c>
      <c r="C6" s="1">
        <f t="shared" si="1"/>
        <v>6.6807201268858057E-2</v>
      </c>
      <c r="D6" s="1">
        <f t="shared" si="2"/>
        <v>-1.4999999999999998</v>
      </c>
      <c r="E6" s="1">
        <f t="shared" si="3"/>
        <v>6.6807201268858057E-2</v>
      </c>
      <c r="F6" s="1">
        <f t="shared" si="4"/>
        <v>-1.4999999999999998</v>
      </c>
      <c r="I6" s="2"/>
    </row>
    <row r="7" spans="1:9">
      <c r="A7" s="1">
        <v>-1</v>
      </c>
      <c r="B7" s="1">
        <f t="shared" si="0"/>
        <v>0.24197072451914337</v>
      </c>
      <c r="C7" s="1">
        <f t="shared" si="1"/>
        <v>0.15865525393145699</v>
      </c>
      <c r="D7" s="1">
        <f t="shared" si="2"/>
        <v>-0.99999999999999956</v>
      </c>
      <c r="E7" s="1">
        <f t="shared" si="3"/>
        <v>0.15865525393145699</v>
      </c>
      <c r="F7" s="1">
        <f t="shared" si="4"/>
        <v>-0.99999999999999956</v>
      </c>
      <c r="I7" s="2"/>
    </row>
    <row r="8" spans="1:9">
      <c r="A8" s="1">
        <v>-0.5</v>
      </c>
      <c r="B8" s="1">
        <f t="shared" si="0"/>
        <v>0.35206532676429952</v>
      </c>
      <c r="C8" s="1">
        <f t="shared" si="1"/>
        <v>0.30853753872598688</v>
      </c>
      <c r="D8" s="1">
        <f t="shared" si="2"/>
        <v>-0.50000000000000011</v>
      </c>
      <c r="E8" s="1">
        <f t="shared" si="3"/>
        <v>0.30853753872598688</v>
      </c>
      <c r="F8" s="1">
        <f t="shared" si="4"/>
        <v>-0.50000000000000011</v>
      </c>
      <c r="I8" s="2"/>
    </row>
    <row r="9" spans="1:9">
      <c r="A9" s="1">
        <v>0</v>
      </c>
      <c r="B9" s="1">
        <f t="shared" si="0"/>
        <v>0.3989422804014327</v>
      </c>
      <c r="C9" s="1">
        <f t="shared" si="1"/>
        <v>0.5</v>
      </c>
      <c r="D9" s="1">
        <f t="shared" si="2"/>
        <v>0</v>
      </c>
      <c r="E9" s="1">
        <f t="shared" si="3"/>
        <v>0.5</v>
      </c>
      <c r="F9" s="1">
        <f t="shared" si="4"/>
        <v>0</v>
      </c>
    </row>
    <row r="10" spans="1:9">
      <c r="A10" s="1">
        <v>0.5</v>
      </c>
      <c r="B10" s="1">
        <f t="shared" si="0"/>
        <v>0.35206532676429952</v>
      </c>
      <c r="C10" s="1">
        <f t="shared" si="1"/>
        <v>0.69146246127401312</v>
      </c>
      <c r="D10" s="1">
        <f t="shared" si="2"/>
        <v>0.50000000000000011</v>
      </c>
      <c r="E10" s="1">
        <f t="shared" si="3"/>
        <v>0.69146246127401312</v>
      </c>
      <c r="F10" s="1">
        <f t="shared" si="4"/>
        <v>0.50000000000000011</v>
      </c>
    </row>
    <row r="11" spans="1:9">
      <c r="A11" s="1">
        <v>1</v>
      </c>
      <c r="B11" s="1">
        <f t="shared" si="0"/>
        <v>0.24197072451914337</v>
      </c>
      <c r="C11" s="1">
        <f t="shared" si="1"/>
        <v>0.84134474606854304</v>
      </c>
      <c r="D11" s="1">
        <f t="shared" si="2"/>
        <v>0.99999999999999956</v>
      </c>
      <c r="E11" s="1">
        <f t="shared" si="3"/>
        <v>0.84134474606854304</v>
      </c>
      <c r="F11" s="1">
        <f t="shared" si="4"/>
        <v>0.99999999999999956</v>
      </c>
    </row>
    <row r="12" spans="1:9">
      <c r="A12" s="1">
        <v>1.5</v>
      </c>
      <c r="B12" s="1">
        <f t="shared" si="0"/>
        <v>0.12951759566589174</v>
      </c>
      <c r="C12" s="1">
        <f t="shared" si="1"/>
        <v>0.93319279873114191</v>
      </c>
      <c r="D12" s="1">
        <f t="shared" si="2"/>
        <v>1.5</v>
      </c>
      <c r="E12" s="1">
        <f t="shared" si="3"/>
        <v>0.93319279873114191</v>
      </c>
      <c r="F12" s="1">
        <f t="shared" si="4"/>
        <v>1.5</v>
      </c>
    </row>
    <row r="13" spans="1:9">
      <c r="A13" s="1">
        <v>2</v>
      </c>
      <c r="B13" s="1">
        <f t="shared" si="0"/>
        <v>5.3990966513188063E-2</v>
      </c>
      <c r="C13" s="1">
        <f t="shared" si="1"/>
        <v>0.97724986805182079</v>
      </c>
      <c r="D13" s="1">
        <f t="shared" si="2"/>
        <v>2</v>
      </c>
      <c r="E13" s="1">
        <f t="shared" si="3"/>
        <v>0.97724986805182079</v>
      </c>
      <c r="F13" s="1">
        <f t="shared" si="4"/>
        <v>2</v>
      </c>
    </row>
    <row r="14" spans="1:9">
      <c r="A14" s="1">
        <v>2.5</v>
      </c>
      <c r="B14" s="1">
        <f t="shared" si="0"/>
        <v>1.752830049356854E-2</v>
      </c>
      <c r="C14" s="1">
        <f t="shared" si="1"/>
        <v>0.99379033467422384</v>
      </c>
      <c r="D14" s="1">
        <f t="shared" si="2"/>
        <v>2.4999999999999982</v>
      </c>
      <c r="E14" s="1">
        <f t="shared" si="3"/>
        <v>0.99379033467422384</v>
      </c>
      <c r="F14" s="1">
        <f t="shared" si="4"/>
        <v>2.4999999999999982</v>
      </c>
    </row>
    <row r="15" spans="1:9">
      <c r="A15" s="1">
        <v>3</v>
      </c>
      <c r="B15" s="1">
        <f t="shared" si="0"/>
        <v>4.4318484119380075E-3</v>
      </c>
      <c r="C15" s="1">
        <f t="shared" si="1"/>
        <v>0.9986501019683699</v>
      </c>
      <c r="D15" s="1">
        <f t="shared" si="2"/>
        <v>2.9999999999999969</v>
      </c>
      <c r="E15" s="1">
        <f t="shared" si="3"/>
        <v>0.9986501019683699</v>
      </c>
      <c r="F15" s="1">
        <f t="shared" si="4"/>
        <v>2.9999999999999969</v>
      </c>
    </row>
    <row r="16" spans="1:9">
      <c r="A16" s="1"/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統計函數 (隨機函數)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2010-08-11T03:23:26Z</dcterms:created>
  <dcterms:modified xsi:type="dcterms:W3CDTF">2017-09-17T11:02:28Z</dcterms:modified>
</cp:coreProperties>
</file>