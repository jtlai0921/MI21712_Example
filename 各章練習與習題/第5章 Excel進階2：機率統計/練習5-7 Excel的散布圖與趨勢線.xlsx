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5章 Excel進階2：機率統計\"/>
    </mc:Choice>
  </mc:AlternateContent>
  <bookViews>
    <workbookView xWindow="720" yWindow="528" windowWidth="11232" windowHeight="7932"/>
  </bookViews>
  <sheets>
    <sheet name="報酬率Data" sheetId="3" r:id="rId1"/>
  </sheets>
  <calcPr calcId="162913"/>
</workbook>
</file>

<file path=xl/calcChain.xml><?xml version="1.0" encoding="utf-8"?>
<calcChain xmlns="http://schemas.openxmlformats.org/spreadsheetml/2006/main">
  <c r="K17" i="3" l="1"/>
  <c r="K16" i="3"/>
</calcChain>
</file>

<file path=xl/sharedStrings.xml><?xml version="1.0" encoding="utf-8"?>
<sst xmlns="http://schemas.openxmlformats.org/spreadsheetml/2006/main" count="11" uniqueCount="11">
  <si>
    <t>年月</t>
  </si>
  <si>
    <t>1101台泥</t>
    <phoneticPr fontId="1" type="noConversion"/>
  </si>
  <si>
    <t>2002中鋼</t>
    <phoneticPr fontId="1" type="noConversion"/>
  </si>
  <si>
    <t>2330台積電</t>
    <phoneticPr fontId="1" type="noConversion"/>
  </si>
  <si>
    <t>2303聯電</t>
    <phoneticPr fontId="1" type="noConversion"/>
  </si>
  <si>
    <t>Y9999加權指數</t>
    <phoneticPr fontId="1" type="noConversion"/>
  </si>
  <si>
    <t>2317鴻海</t>
    <phoneticPr fontId="1" type="noConversion"/>
  </si>
  <si>
    <t>2881富邦金</t>
    <phoneticPr fontId="1" type="noConversion"/>
  </si>
  <si>
    <t>2501國建</t>
    <phoneticPr fontId="1" type="noConversion"/>
  </si>
  <si>
    <t>INTERCEPT</t>
    <phoneticPr fontId="1" type="noConversion"/>
  </si>
  <si>
    <t>SLOPE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</si>
</sst>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17" fontId="0" fillId="0" borderId="0" xfId="0" applyNumberFormat="1" applyFill="1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7409351608826667E-2"/>
          <c:y val="0.13235641500694767"/>
          <c:w val="0.6129830149898865"/>
          <c:h val="0.79708592697311109"/>
        </c:manualLayout>
      </c:layout>
      <c:scatterChart>
        <c:scatterStyle val="lineMarker"/>
        <c:varyColors val="0"/>
        <c:ser>
          <c:idx val="0"/>
          <c:order val="0"/>
          <c:tx>
            <c:strRef>
              <c:f>報酬率Data!$F$1</c:f>
              <c:strCache>
                <c:ptCount val="1"/>
                <c:pt idx="0">
                  <c:v>2317鴻海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0.37905390298434916"/>
                  <c:y val="-6.7015207657866296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0" i="0" u="none" strike="noStrike" baseline="0">
                      <a:solidFill>
                        <a:srgbClr val="000000"/>
                      </a:solidFill>
                      <a:latin typeface="新細明體"/>
                      <a:ea typeface="新細明體"/>
                      <a:cs typeface="新細明體"/>
                    </a:defRPr>
                  </a:pPr>
                  <a:endParaRPr lang="zh-TW"/>
                </a:p>
              </c:txPr>
            </c:trendlineLbl>
          </c:trendline>
          <c:xVal>
            <c:numRef>
              <c:f>報酬率Data!$I$2:$I$70</c:f>
              <c:numCache>
                <c:formatCode>General</c:formatCode>
                <c:ptCount val="69"/>
                <c:pt idx="0">
                  <c:v>-3.29</c:v>
                </c:pt>
                <c:pt idx="1">
                  <c:v>4.55</c:v>
                </c:pt>
                <c:pt idx="2">
                  <c:v>9.06</c:v>
                </c:pt>
                <c:pt idx="3">
                  <c:v>3.42</c:v>
                </c:pt>
                <c:pt idx="4">
                  <c:v>-0.11</c:v>
                </c:pt>
                <c:pt idx="5">
                  <c:v>-0.22</c:v>
                </c:pt>
                <c:pt idx="6">
                  <c:v>2.63</c:v>
                </c:pt>
                <c:pt idx="7">
                  <c:v>-1.59</c:v>
                </c:pt>
                <c:pt idx="8">
                  <c:v>3.38</c:v>
                </c:pt>
                <c:pt idx="9">
                  <c:v>7.78</c:v>
                </c:pt>
                <c:pt idx="10">
                  <c:v>2.0099999999999998</c:v>
                </c:pt>
                <c:pt idx="11">
                  <c:v>4.0999999999999996</c:v>
                </c:pt>
                <c:pt idx="12">
                  <c:v>2.44</c:v>
                </c:pt>
                <c:pt idx="13">
                  <c:v>-3.73</c:v>
                </c:pt>
                <c:pt idx="14">
                  <c:v>-2.08</c:v>
                </c:pt>
                <c:pt idx="15">
                  <c:v>-4.53</c:v>
                </c:pt>
                <c:pt idx="16">
                  <c:v>8.43</c:v>
                </c:pt>
                <c:pt idx="17">
                  <c:v>0.8</c:v>
                </c:pt>
                <c:pt idx="18">
                  <c:v>0.45</c:v>
                </c:pt>
                <c:pt idx="19">
                  <c:v>-0.25</c:v>
                </c:pt>
                <c:pt idx="20">
                  <c:v>5.56</c:v>
                </c:pt>
                <c:pt idx="21">
                  <c:v>7.62</c:v>
                </c:pt>
                <c:pt idx="22">
                  <c:v>-5.79</c:v>
                </c:pt>
                <c:pt idx="23">
                  <c:v>1.41</c:v>
                </c:pt>
                <c:pt idx="24">
                  <c:v>-4.41</c:v>
                </c:pt>
                <c:pt idx="25">
                  <c:v>1.1200000000000001</c:v>
                </c:pt>
                <c:pt idx="26">
                  <c:v>3.83</c:v>
                </c:pt>
                <c:pt idx="27">
                  <c:v>3.33</c:v>
                </c:pt>
                <c:pt idx="28">
                  <c:v>-3.13</c:v>
                </c:pt>
                <c:pt idx="29">
                  <c:v>-3.25</c:v>
                </c:pt>
                <c:pt idx="30">
                  <c:v>3.56</c:v>
                </c:pt>
                <c:pt idx="31">
                  <c:v>-2.37</c:v>
                </c:pt>
                <c:pt idx="32">
                  <c:v>5.05</c:v>
                </c:pt>
                <c:pt idx="33">
                  <c:v>2.4300000000000002</c:v>
                </c:pt>
                <c:pt idx="34">
                  <c:v>-2.39</c:v>
                </c:pt>
                <c:pt idx="35">
                  <c:v>1.39</c:v>
                </c:pt>
                <c:pt idx="36">
                  <c:v>6.36</c:v>
                </c:pt>
                <c:pt idx="37">
                  <c:v>-7.17</c:v>
                </c:pt>
                <c:pt idx="38">
                  <c:v>-2.3199999999999998</c:v>
                </c:pt>
                <c:pt idx="39">
                  <c:v>-2.29</c:v>
                </c:pt>
                <c:pt idx="40">
                  <c:v>-6.2</c:v>
                </c:pt>
                <c:pt idx="41">
                  <c:v>-3.38</c:v>
                </c:pt>
                <c:pt idx="42">
                  <c:v>5.88</c:v>
                </c:pt>
                <c:pt idx="43">
                  <c:v>8.23</c:v>
                </c:pt>
                <c:pt idx="44">
                  <c:v>2.06</c:v>
                </c:pt>
                <c:pt idx="45">
                  <c:v>-4.5199999999999996</c:v>
                </c:pt>
                <c:pt idx="46">
                  <c:v>7.73</c:v>
                </c:pt>
                <c:pt idx="47">
                  <c:v>-0.7</c:v>
                </c:pt>
                <c:pt idx="48">
                  <c:v>6.25</c:v>
                </c:pt>
                <c:pt idx="49">
                  <c:v>9.16</c:v>
                </c:pt>
                <c:pt idx="50">
                  <c:v>6.94</c:v>
                </c:pt>
                <c:pt idx="51">
                  <c:v>9.83</c:v>
                </c:pt>
                <c:pt idx="52">
                  <c:v>-4.01</c:v>
                </c:pt>
                <c:pt idx="53">
                  <c:v>-2.5099999999999998</c:v>
                </c:pt>
                <c:pt idx="54">
                  <c:v>-11.62</c:v>
                </c:pt>
                <c:pt idx="55">
                  <c:v>12.64</c:v>
                </c:pt>
                <c:pt idx="56">
                  <c:v>-4.18</c:v>
                </c:pt>
                <c:pt idx="57">
                  <c:v>1.48</c:v>
                </c:pt>
                <c:pt idx="58">
                  <c:v>9.24</c:v>
                </c:pt>
                <c:pt idx="59">
                  <c:v>-12.03</c:v>
                </c:pt>
                <c:pt idx="60">
                  <c:v>-3.55</c:v>
                </c:pt>
                <c:pt idx="61">
                  <c:v>-4.1399999999999997</c:v>
                </c:pt>
                <c:pt idx="62">
                  <c:v>-9.1999999999999993</c:v>
                </c:pt>
                <c:pt idx="63">
                  <c:v>-6.43</c:v>
                </c:pt>
                <c:pt idx="64">
                  <c:v>-1.65</c:v>
                </c:pt>
                <c:pt idx="65">
                  <c:v>8.2799999999999994</c:v>
                </c:pt>
                <c:pt idx="66">
                  <c:v>-3</c:v>
                </c:pt>
                <c:pt idx="67">
                  <c:v>5.78</c:v>
                </c:pt>
                <c:pt idx="68">
                  <c:v>25</c:v>
                </c:pt>
              </c:numCache>
            </c:numRef>
          </c:xVal>
          <c:yVal>
            <c:numRef>
              <c:f>報酬率Data!$F$2:$F$70</c:f>
              <c:numCache>
                <c:formatCode>General</c:formatCode>
                <c:ptCount val="69"/>
                <c:pt idx="0">
                  <c:v>9.2100000000000009</c:v>
                </c:pt>
                <c:pt idx="1">
                  <c:v>-4.2300000000000004</c:v>
                </c:pt>
                <c:pt idx="2">
                  <c:v>21.63</c:v>
                </c:pt>
                <c:pt idx="3">
                  <c:v>5.42</c:v>
                </c:pt>
                <c:pt idx="4">
                  <c:v>-0.23</c:v>
                </c:pt>
                <c:pt idx="5">
                  <c:v>-3.48</c:v>
                </c:pt>
                <c:pt idx="6">
                  <c:v>2.2200000000000002</c:v>
                </c:pt>
                <c:pt idx="7">
                  <c:v>-3.23</c:v>
                </c:pt>
                <c:pt idx="8">
                  <c:v>-1.27</c:v>
                </c:pt>
                <c:pt idx="9">
                  <c:v>9.2799999999999994</c:v>
                </c:pt>
                <c:pt idx="10">
                  <c:v>6.95</c:v>
                </c:pt>
                <c:pt idx="11">
                  <c:v>8.6300000000000008</c:v>
                </c:pt>
                <c:pt idx="12">
                  <c:v>16.239999999999998</c:v>
                </c:pt>
                <c:pt idx="13">
                  <c:v>-3</c:v>
                </c:pt>
                <c:pt idx="14">
                  <c:v>-2.91</c:v>
                </c:pt>
                <c:pt idx="15">
                  <c:v>-4.8499999999999996</c:v>
                </c:pt>
                <c:pt idx="16">
                  <c:v>7.71</c:v>
                </c:pt>
                <c:pt idx="17">
                  <c:v>-2.4300000000000002</c:v>
                </c:pt>
                <c:pt idx="18">
                  <c:v>-4.1900000000000004</c:v>
                </c:pt>
                <c:pt idx="19">
                  <c:v>19.440000000000001</c:v>
                </c:pt>
                <c:pt idx="20">
                  <c:v>6.19</c:v>
                </c:pt>
                <c:pt idx="21">
                  <c:v>16.899999999999999</c:v>
                </c:pt>
                <c:pt idx="22">
                  <c:v>-6.15</c:v>
                </c:pt>
                <c:pt idx="23">
                  <c:v>10.85</c:v>
                </c:pt>
                <c:pt idx="24">
                  <c:v>-5.59</c:v>
                </c:pt>
                <c:pt idx="25">
                  <c:v>8.81</c:v>
                </c:pt>
                <c:pt idx="26">
                  <c:v>0</c:v>
                </c:pt>
                <c:pt idx="27">
                  <c:v>10.77</c:v>
                </c:pt>
                <c:pt idx="28">
                  <c:v>6.07</c:v>
                </c:pt>
                <c:pt idx="29">
                  <c:v>-3.11</c:v>
                </c:pt>
                <c:pt idx="30">
                  <c:v>3.21</c:v>
                </c:pt>
                <c:pt idx="31">
                  <c:v>-4.76</c:v>
                </c:pt>
                <c:pt idx="32">
                  <c:v>13.08</c:v>
                </c:pt>
                <c:pt idx="33">
                  <c:v>5.69</c:v>
                </c:pt>
                <c:pt idx="34">
                  <c:v>5.13</c:v>
                </c:pt>
                <c:pt idx="35">
                  <c:v>4.93</c:v>
                </c:pt>
                <c:pt idx="36">
                  <c:v>6.31</c:v>
                </c:pt>
                <c:pt idx="37">
                  <c:v>-2</c:v>
                </c:pt>
                <c:pt idx="38">
                  <c:v>-6.37</c:v>
                </c:pt>
                <c:pt idx="39">
                  <c:v>1.91</c:v>
                </c:pt>
                <c:pt idx="40">
                  <c:v>-8.07</c:v>
                </c:pt>
                <c:pt idx="41">
                  <c:v>-3.72</c:v>
                </c:pt>
                <c:pt idx="42">
                  <c:v>-4.5199999999999996</c:v>
                </c:pt>
                <c:pt idx="43">
                  <c:v>16.100000000000001</c:v>
                </c:pt>
                <c:pt idx="44">
                  <c:v>1.1399999999999999</c:v>
                </c:pt>
                <c:pt idx="45">
                  <c:v>-13.16</c:v>
                </c:pt>
                <c:pt idx="46">
                  <c:v>4.1100000000000003</c:v>
                </c:pt>
                <c:pt idx="47">
                  <c:v>3.55</c:v>
                </c:pt>
                <c:pt idx="48">
                  <c:v>8.86</c:v>
                </c:pt>
                <c:pt idx="49">
                  <c:v>25.1</c:v>
                </c:pt>
                <c:pt idx="50">
                  <c:v>8.19</c:v>
                </c:pt>
                <c:pt idx="51">
                  <c:v>6.42</c:v>
                </c:pt>
                <c:pt idx="52">
                  <c:v>-1.36</c:v>
                </c:pt>
                <c:pt idx="53">
                  <c:v>-1.34</c:v>
                </c:pt>
                <c:pt idx="54">
                  <c:v>-5.88</c:v>
                </c:pt>
                <c:pt idx="55">
                  <c:v>-0.83</c:v>
                </c:pt>
                <c:pt idx="56">
                  <c:v>-8.0500000000000007</c:v>
                </c:pt>
                <c:pt idx="57">
                  <c:v>3.98</c:v>
                </c:pt>
                <c:pt idx="58">
                  <c:v>7.73</c:v>
                </c:pt>
                <c:pt idx="59">
                  <c:v>-10.38</c:v>
                </c:pt>
                <c:pt idx="60">
                  <c:v>-5.8</c:v>
                </c:pt>
                <c:pt idx="61">
                  <c:v>17.420000000000002</c:v>
                </c:pt>
                <c:pt idx="62">
                  <c:v>-11.94</c:v>
                </c:pt>
                <c:pt idx="63">
                  <c:v>1.97</c:v>
                </c:pt>
                <c:pt idx="64">
                  <c:v>-5.59</c:v>
                </c:pt>
                <c:pt idx="65">
                  <c:v>0.63</c:v>
                </c:pt>
                <c:pt idx="66">
                  <c:v>-9.6</c:v>
                </c:pt>
                <c:pt idx="67">
                  <c:v>10.63</c:v>
                </c:pt>
                <c:pt idx="68">
                  <c:v>10.34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4C-45A1-8131-D62DEF4C7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096112"/>
        <c:axId val="1"/>
      </c:scatterChart>
      <c:valAx>
        <c:axId val="331096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新細明體"/>
                <a:ea typeface="新細明體"/>
                <a:cs typeface="新細明體"/>
              </a:defRPr>
            </a:pPr>
            <a:endParaRPr lang="zh-TW"/>
          </a:p>
        </c:txPr>
        <c:crossAx val="331096112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新細明體"/>
          <a:ea typeface="新細明體"/>
          <a:cs typeface="新細明體"/>
        </a:defRPr>
      </a:pPr>
      <a:endParaRPr lang="zh-TW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624840</xdr:colOff>
      <xdr:row>0</xdr:row>
      <xdr:rowOff>198120</xdr:rowOff>
    </xdr:from>
    <xdr:to>
      <xdr:col>16</xdr:col>
      <xdr:colOff>434340</xdr:colOff>
      <xdr:row>13</xdr:row>
      <xdr:rowOff>114300</xdr:rowOff>
    </xdr:to>
    <xdr:graphicFrame macro="">
      <xdr:nvGraphicFramePr>
        <xdr:cNvPr id="4" name="圖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640080</xdr:colOff>
      <xdr:row>18</xdr:row>
      <xdr:rowOff>91440</xdr:rowOff>
    </xdr:from>
    <xdr:to>
      <xdr:col>15</xdr:col>
      <xdr:colOff>480060</xdr:colOff>
      <xdr:row>23</xdr:row>
      <xdr:rowOff>15240</xdr:rowOff>
    </xdr:to>
    <xdr:sp macro="" textlink="">
      <xdr:nvSpPr>
        <xdr:cNvPr id="5" name="文字方塊 1"/>
        <xdr:cNvSpPr txBox="1"/>
      </xdr:nvSpPr>
      <xdr:spPr>
        <a:xfrm>
          <a:off x="6195060" y="3794760"/>
          <a:ext cx="3535680" cy="9525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以市場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的月報酬率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為橫軸，鴻海的月報酬率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縱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workbookViewId="0">
      <selection activeCell="Q19" sqref="Q19"/>
    </sheetView>
  </sheetViews>
  <sheetFormatPr defaultRowHeight="16.2"/>
  <cols>
    <col min="1" max="9" width="9" style="1" customWidth="1"/>
    <col min="10" max="10" width="9.441406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6</v>
      </c>
      <c r="G1" s="1" t="s">
        <v>7</v>
      </c>
      <c r="H1" s="1" t="s">
        <v>8</v>
      </c>
      <c r="I1" s="1" t="s">
        <v>5</v>
      </c>
    </row>
    <row r="2" spans="1:12">
      <c r="A2" s="2">
        <v>35278</v>
      </c>
      <c r="B2" s="1">
        <v>6.4</v>
      </c>
      <c r="C2" s="1">
        <v>4.1900000000000004</v>
      </c>
      <c r="D2" s="1">
        <v>1.0900000000000001</v>
      </c>
      <c r="E2" s="1">
        <v>-3.54</v>
      </c>
      <c r="F2" s="1">
        <v>9.2100000000000009</v>
      </c>
      <c r="G2" s="1">
        <v>-6.72</v>
      </c>
      <c r="H2" s="1">
        <v>-19.79</v>
      </c>
      <c r="I2" s="1">
        <v>-3.29</v>
      </c>
    </row>
    <row r="3" spans="1:12">
      <c r="A3" s="2">
        <v>35247</v>
      </c>
      <c r="B3" s="1">
        <v>10.35</v>
      </c>
      <c r="C3" s="1">
        <v>17.43</v>
      </c>
      <c r="D3" s="1">
        <v>-4.7</v>
      </c>
      <c r="E3" s="1">
        <v>-8.32</v>
      </c>
      <c r="F3" s="1">
        <v>-4.2300000000000004</v>
      </c>
      <c r="G3" s="1">
        <v>4.79</v>
      </c>
      <c r="H3" s="1">
        <v>3.59</v>
      </c>
      <c r="I3" s="1">
        <v>4.55</v>
      </c>
    </row>
    <row r="4" spans="1:12">
      <c r="A4" s="2">
        <v>35217</v>
      </c>
      <c r="B4" s="1">
        <v>22.51</v>
      </c>
      <c r="C4" s="1">
        <v>3.9</v>
      </c>
      <c r="D4" s="1">
        <v>3.39</v>
      </c>
      <c r="E4" s="1">
        <v>9.25</v>
      </c>
      <c r="F4" s="1">
        <v>21.63</v>
      </c>
      <c r="G4" s="1">
        <v>3.99</v>
      </c>
      <c r="H4" s="1">
        <v>1.59</v>
      </c>
      <c r="I4" s="1">
        <v>9.06</v>
      </c>
    </row>
    <row r="5" spans="1:12">
      <c r="A5" s="2">
        <v>35186</v>
      </c>
      <c r="B5" s="1">
        <v>4.54</v>
      </c>
      <c r="C5" s="1">
        <v>1.85</v>
      </c>
      <c r="D5" s="1">
        <v>0.52</v>
      </c>
      <c r="E5" s="1">
        <v>-0.73</v>
      </c>
      <c r="F5" s="1">
        <v>5.42</v>
      </c>
      <c r="G5" s="1">
        <v>-0.52</v>
      </c>
      <c r="H5" s="1">
        <v>-0.26</v>
      </c>
      <c r="I5" s="1">
        <v>3.42</v>
      </c>
    </row>
    <row r="6" spans="1:12">
      <c r="A6" s="2">
        <v>35156</v>
      </c>
      <c r="B6" s="1">
        <v>6.63</v>
      </c>
      <c r="C6" s="1">
        <v>1.34</v>
      </c>
      <c r="D6" s="1">
        <v>0</v>
      </c>
      <c r="E6" s="1">
        <v>1.18</v>
      </c>
      <c r="F6" s="1">
        <v>-0.23</v>
      </c>
      <c r="G6" s="1">
        <v>-2.68</v>
      </c>
      <c r="H6" s="1">
        <v>-2.57</v>
      </c>
      <c r="I6" s="1">
        <v>-0.11</v>
      </c>
    </row>
    <row r="7" spans="1:12">
      <c r="A7" s="2">
        <v>35125</v>
      </c>
      <c r="B7" s="1">
        <v>0.9</v>
      </c>
      <c r="C7" s="1">
        <v>2.19</v>
      </c>
      <c r="D7" s="1">
        <v>-5.45</v>
      </c>
      <c r="E7" s="1">
        <v>-2.02</v>
      </c>
      <c r="F7" s="1">
        <v>-3.48</v>
      </c>
      <c r="G7" s="1">
        <v>-1.97</v>
      </c>
      <c r="H7" s="1">
        <v>-12.78</v>
      </c>
      <c r="I7" s="1">
        <v>-0.22</v>
      </c>
    </row>
    <row r="8" spans="1:12">
      <c r="A8" s="2">
        <v>35096</v>
      </c>
      <c r="B8" s="1">
        <v>-1.95</v>
      </c>
      <c r="C8" s="1">
        <v>7.35</v>
      </c>
      <c r="D8" s="1">
        <v>-2.1800000000000002</v>
      </c>
      <c r="E8" s="1">
        <v>2.82</v>
      </c>
      <c r="F8" s="1">
        <v>2.2200000000000002</v>
      </c>
      <c r="G8" s="1">
        <v>1</v>
      </c>
      <c r="H8" s="1">
        <v>14.36</v>
      </c>
      <c r="I8" s="1">
        <v>2.63</v>
      </c>
    </row>
    <row r="9" spans="1:12">
      <c r="A9" s="2">
        <v>35065</v>
      </c>
      <c r="B9" s="1">
        <v>-4.24</v>
      </c>
      <c r="C9" s="1">
        <v>-1.73</v>
      </c>
      <c r="D9" s="1">
        <v>1.98</v>
      </c>
      <c r="E9" s="1">
        <v>-0.15</v>
      </c>
      <c r="F9" s="1">
        <v>-3.23</v>
      </c>
      <c r="G9" s="1">
        <v>-1.31</v>
      </c>
      <c r="H9" s="1">
        <v>-16.670000000000002</v>
      </c>
      <c r="I9" s="1">
        <v>-1.59</v>
      </c>
    </row>
    <row r="10" spans="1:12">
      <c r="A10" s="2">
        <v>35034</v>
      </c>
      <c r="B10" s="1">
        <v>0.34</v>
      </c>
      <c r="C10" s="1">
        <v>5.49</v>
      </c>
      <c r="D10" s="1">
        <v>-4.26</v>
      </c>
      <c r="E10" s="1">
        <v>3.05</v>
      </c>
      <c r="F10" s="1">
        <v>-1.27</v>
      </c>
      <c r="G10" s="1">
        <v>0.16</v>
      </c>
      <c r="H10" s="1">
        <v>-5.84</v>
      </c>
      <c r="I10" s="1">
        <v>3.38</v>
      </c>
    </row>
    <row r="11" spans="1:12">
      <c r="A11" s="2">
        <v>35004</v>
      </c>
      <c r="B11" s="1">
        <v>11.81</v>
      </c>
      <c r="C11" s="1">
        <v>11.56</v>
      </c>
      <c r="D11" s="1">
        <v>14.02</v>
      </c>
      <c r="E11" s="1">
        <v>7.38</v>
      </c>
      <c r="F11" s="1">
        <v>9.2799999999999994</v>
      </c>
      <c r="G11" s="1">
        <v>12.36</v>
      </c>
      <c r="H11" s="1">
        <v>22.41</v>
      </c>
      <c r="I11" s="1">
        <v>7.78</v>
      </c>
    </row>
    <row r="12" spans="1:12">
      <c r="A12" s="2">
        <v>34973</v>
      </c>
      <c r="B12" s="1">
        <v>5.85</v>
      </c>
      <c r="C12" s="1">
        <v>3.16</v>
      </c>
      <c r="D12" s="1">
        <v>0</v>
      </c>
      <c r="E12" s="1">
        <v>2.1800000000000002</v>
      </c>
      <c r="F12" s="1">
        <v>6.95</v>
      </c>
      <c r="G12" s="1">
        <v>-1.28</v>
      </c>
      <c r="H12" s="1">
        <v>-1.93</v>
      </c>
      <c r="I12" s="1">
        <v>2.0099999999999998</v>
      </c>
    </row>
    <row r="13" spans="1:12">
      <c r="A13" s="2">
        <v>34943</v>
      </c>
      <c r="B13" s="1">
        <v>12.98</v>
      </c>
      <c r="C13" s="1">
        <v>6.74</v>
      </c>
      <c r="D13" s="1">
        <v>3.06</v>
      </c>
      <c r="E13" s="1">
        <v>2.75</v>
      </c>
      <c r="F13" s="1">
        <v>8.6300000000000008</v>
      </c>
      <c r="G13" s="1">
        <v>12.04</v>
      </c>
      <c r="H13" s="1">
        <v>12.2</v>
      </c>
      <c r="I13" s="1">
        <v>4.0999999999999996</v>
      </c>
    </row>
    <row r="14" spans="1:12">
      <c r="A14" s="2">
        <v>34912</v>
      </c>
      <c r="B14" s="1">
        <v>-1.83</v>
      </c>
      <c r="C14" s="1">
        <v>1.52</v>
      </c>
      <c r="D14" s="1">
        <v>3.34</v>
      </c>
      <c r="E14" s="1">
        <v>6.02</v>
      </c>
      <c r="F14" s="1">
        <v>16.239999999999998</v>
      </c>
      <c r="G14" s="1">
        <v>-5.41</v>
      </c>
      <c r="H14" s="1">
        <v>-12.35</v>
      </c>
      <c r="I14" s="1">
        <v>2.44</v>
      </c>
    </row>
    <row r="15" spans="1:12">
      <c r="A15" s="2">
        <v>34881</v>
      </c>
      <c r="B15" s="1">
        <v>1.47</v>
      </c>
      <c r="C15" s="1">
        <v>-3.54</v>
      </c>
      <c r="D15" s="1">
        <v>-7.22</v>
      </c>
      <c r="E15" s="1">
        <v>-6.16</v>
      </c>
      <c r="F15" s="1">
        <v>-3</v>
      </c>
      <c r="G15" s="1">
        <v>-3.38</v>
      </c>
      <c r="H15" s="1">
        <v>-11.55</v>
      </c>
      <c r="I15" s="1">
        <v>-3.73</v>
      </c>
    </row>
    <row r="16" spans="1:12">
      <c r="A16" s="2">
        <v>34851</v>
      </c>
      <c r="B16" s="1">
        <v>-12.5</v>
      </c>
      <c r="C16" s="1">
        <v>5.25</v>
      </c>
      <c r="D16" s="1">
        <v>-3.96</v>
      </c>
      <c r="E16" s="1">
        <v>4.18</v>
      </c>
      <c r="F16" s="1">
        <v>-2.91</v>
      </c>
      <c r="G16" s="1">
        <v>-1.06</v>
      </c>
      <c r="H16" s="1">
        <v>4.3899999999999997</v>
      </c>
      <c r="I16" s="1">
        <v>-2.08</v>
      </c>
      <c r="K16" s="3">
        <f>INTERCEPT(F2:F70,I2:I70)</f>
        <v>1.7262042849689734</v>
      </c>
      <c r="L16" t="s">
        <v>9</v>
      </c>
    </row>
    <row r="17" spans="1:12">
      <c r="A17" s="2">
        <v>34820</v>
      </c>
      <c r="B17" s="1">
        <v>8.8000000000000007</v>
      </c>
      <c r="C17" s="1">
        <v>-2.09</v>
      </c>
      <c r="D17" s="1">
        <v>-9.01</v>
      </c>
      <c r="E17" s="1">
        <v>-11.45</v>
      </c>
      <c r="F17" s="1">
        <v>-4.8499999999999996</v>
      </c>
      <c r="G17" s="1">
        <v>-8.41</v>
      </c>
      <c r="H17" s="1">
        <v>17.53</v>
      </c>
      <c r="I17" s="1">
        <v>-4.53</v>
      </c>
      <c r="K17" s="3">
        <f>SLOPE(F2:F70,I2:I70)</f>
        <v>0.78876883897007077</v>
      </c>
      <c r="L17" t="s">
        <v>10</v>
      </c>
    </row>
    <row r="18" spans="1:12">
      <c r="A18" s="2">
        <v>34790</v>
      </c>
      <c r="B18" s="1">
        <v>0</v>
      </c>
      <c r="C18" s="1">
        <v>2.4700000000000002</v>
      </c>
      <c r="D18" s="1">
        <v>8.2899999999999991</v>
      </c>
      <c r="E18" s="1">
        <v>6.07</v>
      </c>
      <c r="F18" s="1">
        <v>7.71</v>
      </c>
      <c r="G18" s="1">
        <v>12.36</v>
      </c>
      <c r="H18" s="1">
        <v>29.77</v>
      </c>
      <c r="I18" s="1">
        <v>8.43</v>
      </c>
    </row>
    <row r="19" spans="1:12">
      <c r="A19" s="2">
        <v>34759</v>
      </c>
      <c r="B19" s="1">
        <v>2.04</v>
      </c>
      <c r="C19" s="1">
        <v>2.88</v>
      </c>
      <c r="D19" s="1">
        <v>7.05</v>
      </c>
      <c r="E19" s="1">
        <v>5.42</v>
      </c>
      <c r="F19" s="1">
        <v>-2.4300000000000002</v>
      </c>
      <c r="G19" s="1">
        <v>-5.5</v>
      </c>
      <c r="H19" s="1">
        <v>-5.38</v>
      </c>
      <c r="I19" s="1">
        <v>0.8</v>
      </c>
    </row>
    <row r="20" spans="1:12">
      <c r="A20" s="2">
        <v>34731</v>
      </c>
      <c r="B20" s="1">
        <v>2.5099999999999998</v>
      </c>
      <c r="C20" s="1">
        <v>9.44</v>
      </c>
      <c r="D20" s="1">
        <v>5.51</v>
      </c>
      <c r="E20" s="1">
        <v>-4.09</v>
      </c>
      <c r="F20" s="1">
        <v>-4.1900000000000004</v>
      </c>
      <c r="G20" s="1">
        <v>3.93</v>
      </c>
      <c r="H20" s="1">
        <v>12.06</v>
      </c>
      <c r="I20" s="1">
        <v>0.45</v>
      </c>
    </row>
    <row r="21" spans="1:12">
      <c r="A21" s="2">
        <v>34700</v>
      </c>
      <c r="B21" s="1">
        <v>1.92</v>
      </c>
      <c r="C21" s="1">
        <v>8</v>
      </c>
      <c r="D21" s="1">
        <v>-2.42</v>
      </c>
      <c r="E21" s="1">
        <v>1.6</v>
      </c>
      <c r="F21" s="1">
        <v>19.440000000000001</v>
      </c>
      <c r="G21" s="1">
        <v>-0.71</v>
      </c>
      <c r="H21" s="1">
        <v>-2.76</v>
      </c>
      <c r="I21" s="1">
        <v>-0.25</v>
      </c>
    </row>
    <row r="22" spans="1:12">
      <c r="A22" s="2">
        <v>34669</v>
      </c>
      <c r="B22" s="1">
        <v>11.93</v>
      </c>
      <c r="C22" s="1">
        <v>-0.4</v>
      </c>
      <c r="D22" s="1">
        <v>-0.53</v>
      </c>
      <c r="E22" s="1">
        <v>5.04</v>
      </c>
      <c r="F22" s="1">
        <v>6.19</v>
      </c>
      <c r="G22" s="1">
        <v>5.42</v>
      </c>
      <c r="H22" s="1">
        <v>40.78</v>
      </c>
      <c r="I22" s="1">
        <v>5.56</v>
      </c>
    </row>
    <row r="23" spans="1:12">
      <c r="A23" s="2">
        <v>34639</v>
      </c>
      <c r="B23" s="1">
        <v>1.7</v>
      </c>
      <c r="C23" s="1">
        <v>-5.0999999999999996</v>
      </c>
      <c r="D23" s="1">
        <v>5.0599999999999996</v>
      </c>
      <c r="E23" s="1">
        <v>14.42</v>
      </c>
      <c r="F23" s="1">
        <v>16.899999999999999</v>
      </c>
      <c r="G23" s="1">
        <v>-7.76</v>
      </c>
      <c r="H23" s="1">
        <v>0.98</v>
      </c>
      <c r="I23" s="1">
        <v>7.62</v>
      </c>
    </row>
    <row r="24" spans="1:12">
      <c r="A24" s="2">
        <v>34608</v>
      </c>
      <c r="B24" s="1">
        <v>-1.67</v>
      </c>
      <c r="C24" s="1">
        <v>-10.64</v>
      </c>
      <c r="D24" s="1">
        <v>-16.43</v>
      </c>
      <c r="E24" s="1">
        <v>-2.44</v>
      </c>
      <c r="F24" s="1">
        <v>-6.15</v>
      </c>
      <c r="G24" s="1">
        <v>-4.6100000000000003</v>
      </c>
      <c r="H24" s="1">
        <v>-21.84</v>
      </c>
      <c r="I24" s="1">
        <v>-5.79</v>
      </c>
    </row>
    <row r="25" spans="1:12">
      <c r="A25" s="2">
        <v>34578</v>
      </c>
      <c r="B25" s="1">
        <v>12.23</v>
      </c>
      <c r="C25" s="1">
        <v>4.78</v>
      </c>
      <c r="D25" s="1">
        <v>8.67</v>
      </c>
      <c r="E25" s="1">
        <v>-1.3</v>
      </c>
      <c r="F25" s="1">
        <v>10.85</v>
      </c>
      <c r="G25" s="1">
        <v>2.7</v>
      </c>
      <c r="H25" s="1">
        <v>-5.43</v>
      </c>
      <c r="I25" s="1">
        <v>1.41</v>
      </c>
    </row>
    <row r="26" spans="1:12">
      <c r="A26" s="2">
        <v>34547</v>
      </c>
      <c r="B26" s="1">
        <v>2.5299999999999998</v>
      </c>
      <c r="C26" s="1">
        <v>5.81</v>
      </c>
      <c r="D26" s="1">
        <v>-3.72</v>
      </c>
      <c r="E26" s="1">
        <v>1.5</v>
      </c>
      <c r="F26" s="1">
        <v>-5.59</v>
      </c>
      <c r="G26" s="1">
        <v>-5.13</v>
      </c>
      <c r="H26" s="1">
        <v>-8.61</v>
      </c>
      <c r="I26" s="1">
        <v>-4.41</v>
      </c>
    </row>
    <row r="27" spans="1:12">
      <c r="A27" s="2">
        <v>34516</v>
      </c>
      <c r="B27" s="1">
        <v>0.76</v>
      </c>
      <c r="C27" s="1">
        <v>-0.81</v>
      </c>
      <c r="D27" s="1">
        <v>-1.96</v>
      </c>
      <c r="E27" s="1">
        <v>-3.45</v>
      </c>
      <c r="F27" s="1">
        <v>8.81</v>
      </c>
      <c r="G27" s="1">
        <v>7</v>
      </c>
      <c r="H27" s="1">
        <v>4.5</v>
      </c>
      <c r="I27" s="1">
        <v>1.1200000000000001</v>
      </c>
    </row>
    <row r="28" spans="1:12">
      <c r="A28" s="2">
        <v>34486</v>
      </c>
      <c r="B28" s="1">
        <v>10.08</v>
      </c>
      <c r="C28" s="1">
        <v>4.58</v>
      </c>
      <c r="D28" s="1">
        <v>8.49</v>
      </c>
      <c r="E28" s="1">
        <v>5.23</v>
      </c>
      <c r="F28" s="1">
        <v>0</v>
      </c>
      <c r="G28" s="1">
        <v>3.36</v>
      </c>
      <c r="H28" s="1">
        <v>9.4700000000000006</v>
      </c>
      <c r="I28" s="1">
        <v>3.83</v>
      </c>
    </row>
    <row r="29" spans="1:12">
      <c r="A29" s="2">
        <v>34455</v>
      </c>
      <c r="B29" s="1">
        <v>-6.05</v>
      </c>
      <c r="C29" s="1">
        <v>-4.97</v>
      </c>
      <c r="D29" s="1">
        <v>15.22</v>
      </c>
      <c r="E29" s="1">
        <v>9.6300000000000008</v>
      </c>
      <c r="F29" s="1">
        <v>10.77</v>
      </c>
      <c r="G29" s="1">
        <v>5.1100000000000003</v>
      </c>
      <c r="H29" s="1">
        <v>-4.6900000000000004</v>
      </c>
      <c r="I29" s="1">
        <v>3.33</v>
      </c>
    </row>
    <row r="30" spans="1:12">
      <c r="A30" s="2">
        <v>34425</v>
      </c>
      <c r="B30" s="1">
        <v>3.83</v>
      </c>
      <c r="C30" s="1">
        <v>-8.39</v>
      </c>
      <c r="D30" s="1">
        <v>-3.41</v>
      </c>
      <c r="E30" s="1">
        <v>0.78</v>
      </c>
      <c r="F30" s="1">
        <v>6.07</v>
      </c>
      <c r="G30" s="1">
        <v>-5.03</v>
      </c>
      <c r="H30" s="1">
        <v>-17.07</v>
      </c>
      <c r="I30" s="1">
        <v>-3.13</v>
      </c>
    </row>
    <row r="31" spans="1:12">
      <c r="A31" s="2">
        <v>34394</v>
      </c>
      <c r="B31" s="1">
        <v>-9.41</v>
      </c>
      <c r="C31" s="1">
        <v>-5</v>
      </c>
      <c r="D31" s="1">
        <v>-8.41</v>
      </c>
      <c r="E31" s="1">
        <v>-6.36</v>
      </c>
      <c r="F31" s="1">
        <v>-3.11</v>
      </c>
      <c r="G31" s="1">
        <v>-8.7200000000000006</v>
      </c>
      <c r="H31" s="1">
        <v>-9.73</v>
      </c>
      <c r="I31" s="1">
        <v>-3.25</v>
      </c>
    </row>
    <row r="32" spans="1:12">
      <c r="A32" s="2">
        <v>34366</v>
      </c>
      <c r="B32" s="1">
        <v>0.5</v>
      </c>
      <c r="C32" s="1">
        <v>3.93</v>
      </c>
      <c r="D32" s="1">
        <v>2.46</v>
      </c>
      <c r="E32" s="1">
        <v>5.77</v>
      </c>
      <c r="F32" s="1">
        <v>3.21</v>
      </c>
      <c r="G32" s="1">
        <v>2.83</v>
      </c>
      <c r="H32" s="1">
        <v>-2.63</v>
      </c>
      <c r="I32" s="1">
        <v>3.56</v>
      </c>
    </row>
    <row r="33" spans="1:9">
      <c r="A33" s="2">
        <v>34335</v>
      </c>
      <c r="B33" s="1">
        <v>-3.83</v>
      </c>
      <c r="C33" s="1">
        <v>-0.56000000000000005</v>
      </c>
      <c r="D33" s="1">
        <v>-0.98</v>
      </c>
      <c r="E33" s="1">
        <v>2.97</v>
      </c>
      <c r="F33" s="1">
        <v>-4.76</v>
      </c>
      <c r="G33" s="1">
        <v>-2.15</v>
      </c>
      <c r="H33" s="1">
        <v>-3.06</v>
      </c>
      <c r="I33" s="1">
        <v>-2.37</v>
      </c>
    </row>
    <row r="34" spans="1:9">
      <c r="A34" s="2">
        <v>34304</v>
      </c>
      <c r="B34" s="1">
        <v>7.73</v>
      </c>
      <c r="C34" s="1">
        <v>0.85</v>
      </c>
      <c r="D34" s="1">
        <v>1.49</v>
      </c>
      <c r="E34" s="1">
        <v>6.77</v>
      </c>
      <c r="F34" s="1">
        <v>13.08</v>
      </c>
      <c r="G34" s="1">
        <v>0.62</v>
      </c>
      <c r="H34" s="1">
        <v>12</v>
      </c>
      <c r="I34" s="1">
        <v>5.05</v>
      </c>
    </row>
    <row r="35" spans="1:9">
      <c r="A35" s="2">
        <v>34274</v>
      </c>
      <c r="B35" s="1">
        <v>7.18</v>
      </c>
      <c r="C35" s="1">
        <v>5.65</v>
      </c>
      <c r="D35" s="1">
        <v>0</v>
      </c>
      <c r="E35" s="1">
        <v>7.99</v>
      </c>
      <c r="F35" s="1">
        <v>5.69</v>
      </c>
      <c r="G35" s="1">
        <v>2.54</v>
      </c>
      <c r="H35" s="1">
        <v>4.17</v>
      </c>
      <c r="I35" s="1">
        <v>2.4300000000000002</v>
      </c>
    </row>
    <row r="36" spans="1:9">
      <c r="A36" s="2">
        <v>34243</v>
      </c>
      <c r="B36" s="1">
        <v>-3.72</v>
      </c>
      <c r="C36" s="1">
        <v>-2.61</v>
      </c>
      <c r="D36" s="1">
        <v>-1.46</v>
      </c>
      <c r="E36" s="1">
        <v>1.1499999999999999</v>
      </c>
      <c r="F36" s="1">
        <v>5.13</v>
      </c>
      <c r="G36" s="1">
        <v>0.96</v>
      </c>
      <c r="H36" s="1">
        <v>-7.69</v>
      </c>
      <c r="I36" s="1">
        <v>-2.39</v>
      </c>
    </row>
    <row r="37" spans="1:9">
      <c r="A37" s="2">
        <v>34213</v>
      </c>
      <c r="B37" s="1">
        <v>10.59</v>
      </c>
      <c r="C37" s="1">
        <v>8.49</v>
      </c>
      <c r="D37" s="1">
        <v>-11.26</v>
      </c>
      <c r="E37" s="1">
        <v>-7.87</v>
      </c>
      <c r="F37" s="1">
        <v>4.93</v>
      </c>
      <c r="G37" s="1">
        <v>0</v>
      </c>
      <c r="H37" s="1">
        <v>3.41</v>
      </c>
      <c r="I37" s="1">
        <v>1.39</v>
      </c>
    </row>
    <row r="38" spans="1:9">
      <c r="A38" s="2">
        <v>34182</v>
      </c>
      <c r="B38" s="1">
        <v>20.100000000000001</v>
      </c>
      <c r="C38" s="1">
        <v>8.5299999999999994</v>
      </c>
      <c r="D38" s="1">
        <v>6.45</v>
      </c>
      <c r="E38" s="1">
        <v>9.56</v>
      </c>
      <c r="F38" s="1">
        <v>6.31</v>
      </c>
      <c r="G38" s="1">
        <v>11.43</v>
      </c>
      <c r="H38" s="1">
        <v>4.1399999999999997</v>
      </c>
      <c r="I38" s="1">
        <v>6.36</v>
      </c>
    </row>
    <row r="39" spans="1:9">
      <c r="A39" s="2">
        <v>34151</v>
      </c>
      <c r="B39" s="1">
        <v>-1.64</v>
      </c>
      <c r="C39" s="1">
        <v>4.7300000000000004</v>
      </c>
      <c r="D39" s="1">
        <v>-6.26</v>
      </c>
      <c r="E39" s="1">
        <v>-11.36</v>
      </c>
      <c r="F39" s="1">
        <v>-2</v>
      </c>
      <c r="G39" s="1">
        <v>1.0900000000000001</v>
      </c>
      <c r="H39" s="1">
        <v>-6.26</v>
      </c>
      <c r="I39" s="1">
        <v>-7.17</v>
      </c>
    </row>
    <row r="40" spans="1:9">
      <c r="A40" s="2">
        <v>34121</v>
      </c>
      <c r="B40" s="1">
        <v>-0.65</v>
      </c>
      <c r="C40" s="1">
        <v>7.43</v>
      </c>
      <c r="D40" s="1">
        <v>-10.07</v>
      </c>
      <c r="E40" s="1">
        <v>-0.19</v>
      </c>
      <c r="F40" s="1">
        <v>-6.37</v>
      </c>
      <c r="G40" s="1">
        <v>-8.44</v>
      </c>
      <c r="H40" s="1">
        <v>-4.21</v>
      </c>
      <c r="I40" s="1">
        <v>-2.3199999999999998</v>
      </c>
    </row>
    <row r="41" spans="1:9">
      <c r="A41" s="2">
        <v>34090</v>
      </c>
      <c r="B41" s="1">
        <v>7.37</v>
      </c>
      <c r="C41" s="1">
        <v>0</v>
      </c>
      <c r="D41" s="1">
        <v>-6.71</v>
      </c>
      <c r="E41" s="1">
        <v>-2.61</v>
      </c>
      <c r="F41" s="1">
        <v>1.91</v>
      </c>
      <c r="G41" s="1">
        <v>0.95</v>
      </c>
      <c r="H41" s="1">
        <v>25.83</v>
      </c>
      <c r="I41" s="1">
        <v>-2.29</v>
      </c>
    </row>
    <row r="42" spans="1:9">
      <c r="A42" s="2">
        <v>34060</v>
      </c>
      <c r="B42" s="1">
        <v>-22.55</v>
      </c>
      <c r="C42" s="1">
        <v>-13.2</v>
      </c>
      <c r="D42" s="1">
        <v>0.68</v>
      </c>
      <c r="E42" s="1">
        <v>-4.17</v>
      </c>
      <c r="F42" s="1">
        <v>-8.07</v>
      </c>
      <c r="G42" s="1">
        <v>-8.3800000000000008</v>
      </c>
      <c r="H42" s="1">
        <v>-16.11</v>
      </c>
      <c r="I42" s="1">
        <v>-6.2</v>
      </c>
    </row>
    <row r="43" spans="1:9">
      <c r="A43" s="2">
        <v>34029</v>
      </c>
      <c r="B43" s="1">
        <v>-8</v>
      </c>
      <c r="C43" s="1">
        <v>0.28999999999999998</v>
      </c>
      <c r="D43" s="1">
        <v>-2.63</v>
      </c>
      <c r="E43" s="1">
        <v>-5.51</v>
      </c>
      <c r="F43" s="1">
        <v>-3.72</v>
      </c>
      <c r="G43" s="1">
        <v>-2.5299999999999998</v>
      </c>
      <c r="H43" s="1">
        <v>-10.89</v>
      </c>
      <c r="I43" s="1">
        <v>-3.38</v>
      </c>
    </row>
    <row r="44" spans="1:9">
      <c r="A44" s="2">
        <v>34001</v>
      </c>
      <c r="B44" s="1">
        <v>8.6999999999999993</v>
      </c>
      <c r="C44" s="1">
        <v>15.65</v>
      </c>
      <c r="D44" s="1">
        <v>-3.8</v>
      </c>
      <c r="E44" s="1">
        <v>-3.79</v>
      </c>
      <c r="F44" s="1">
        <v>-4.5199999999999996</v>
      </c>
      <c r="G44" s="1">
        <v>7.9</v>
      </c>
      <c r="H44" s="1">
        <v>14.77</v>
      </c>
      <c r="I44" s="1">
        <v>5.88</v>
      </c>
    </row>
    <row r="45" spans="1:9">
      <c r="A45" s="2">
        <v>33970</v>
      </c>
      <c r="B45" s="1">
        <v>10.18</v>
      </c>
      <c r="C45" s="1">
        <v>4.26</v>
      </c>
      <c r="D45" s="1">
        <v>8.59</v>
      </c>
      <c r="E45" s="1">
        <v>3.94</v>
      </c>
      <c r="F45" s="1">
        <v>16.100000000000001</v>
      </c>
      <c r="G45" s="1">
        <v>1.23</v>
      </c>
      <c r="H45" s="1">
        <v>38.58</v>
      </c>
      <c r="I45" s="1">
        <v>8.23</v>
      </c>
    </row>
    <row r="46" spans="1:9">
      <c r="A46" s="2">
        <v>33939</v>
      </c>
      <c r="B46" s="1">
        <v>10.6</v>
      </c>
      <c r="C46" s="1">
        <v>3.3</v>
      </c>
      <c r="D46" s="1">
        <v>-3</v>
      </c>
      <c r="E46" s="1">
        <v>0</v>
      </c>
      <c r="F46" s="1">
        <v>1.1399999999999999</v>
      </c>
      <c r="G46" s="1">
        <v>4.84</v>
      </c>
      <c r="H46" s="1">
        <v>5.39</v>
      </c>
      <c r="I46" s="1">
        <v>2.06</v>
      </c>
    </row>
    <row r="47" spans="1:9">
      <c r="A47" s="2">
        <v>33909</v>
      </c>
      <c r="B47" s="1">
        <v>-11.7</v>
      </c>
      <c r="C47" s="1">
        <v>-0.36</v>
      </c>
      <c r="D47" s="1">
        <v>-3.54</v>
      </c>
      <c r="E47" s="1">
        <v>-5.22</v>
      </c>
      <c r="F47" s="1">
        <v>-13.16</v>
      </c>
      <c r="G47" s="1">
        <v>-13.41</v>
      </c>
      <c r="H47" s="1">
        <v>-8.7100000000000009</v>
      </c>
      <c r="I47" s="1">
        <v>-4.5199999999999996</v>
      </c>
    </row>
    <row r="48" spans="1:9">
      <c r="A48" s="2">
        <v>33878</v>
      </c>
      <c r="B48" s="1">
        <v>39.590000000000003</v>
      </c>
      <c r="C48" s="1">
        <v>5.79</v>
      </c>
      <c r="D48" s="1">
        <v>11.07</v>
      </c>
      <c r="E48" s="1">
        <v>0.75</v>
      </c>
      <c r="F48" s="1">
        <v>4.1100000000000003</v>
      </c>
      <c r="G48" s="1">
        <v>8.48</v>
      </c>
      <c r="H48" s="1">
        <v>0</v>
      </c>
      <c r="I48" s="1">
        <v>7.73</v>
      </c>
    </row>
    <row r="49" spans="1:9">
      <c r="A49" s="2">
        <v>33848</v>
      </c>
      <c r="B49" s="1">
        <v>-2.78</v>
      </c>
      <c r="C49" s="1">
        <v>-5.13</v>
      </c>
      <c r="D49" s="1">
        <v>0</v>
      </c>
      <c r="E49" s="1">
        <v>-0.75</v>
      </c>
      <c r="F49" s="1">
        <v>3.55</v>
      </c>
      <c r="G49" s="1">
        <v>11.11</v>
      </c>
      <c r="H49" s="1">
        <v>1.1499999999999999</v>
      </c>
      <c r="I49" s="1">
        <v>-0.7</v>
      </c>
    </row>
    <row r="50" spans="1:9">
      <c r="A50" s="2">
        <v>33817</v>
      </c>
      <c r="B50" s="1">
        <v>7.55</v>
      </c>
      <c r="C50" s="1">
        <v>12.81</v>
      </c>
      <c r="D50" s="1">
        <v>14.29</v>
      </c>
      <c r="E50" s="1">
        <v>13.56</v>
      </c>
      <c r="F50" s="1">
        <v>8.86</v>
      </c>
      <c r="G50" s="1">
        <v>14.23</v>
      </c>
      <c r="H50" s="1">
        <v>41.48</v>
      </c>
      <c r="I50" s="1">
        <v>6.25</v>
      </c>
    </row>
    <row r="51" spans="1:9">
      <c r="A51" s="2">
        <v>33786</v>
      </c>
      <c r="B51" s="1">
        <v>5.24</v>
      </c>
      <c r="C51" s="1">
        <v>7.8</v>
      </c>
      <c r="D51" s="1">
        <v>14.27</v>
      </c>
      <c r="E51" s="1">
        <v>11.79</v>
      </c>
      <c r="F51" s="1">
        <v>25.1</v>
      </c>
      <c r="G51" s="1">
        <v>-1.81</v>
      </c>
      <c r="H51" s="1">
        <v>5.98</v>
      </c>
      <c r="I51" s="1">
        <v>9.16</v>
      </c>
    </row>
    <row r="52" spans="1:9">
      <c r="A52" s="2">
        <v>33756</v>
      </c>
      <c r="B52" s="1">
        <v>-2.97</v>
      </c>
      <c r="C52" s="1">
        <v>18.809999999999999</v>
      </c>
      <c r="D52" s="1">
        <v>2.29</v>
      </c>
      <c r="E52" s="1">
        <v>6.54</v>
      </c>
      <c r="F52" s="1">
        <v>8.19</v>
      </c>
      <c r="G52" s="1">
        <v>2.21</v>
      </c>
      <c r="H52" s="1">
        <v>10.84</v>
      </c>
      <c r="I52" s="1">
        <v>6.94</v>
      </c>
    </row>
    <row r="53" spans="1:9">
      <c r="A53" s="2">
        <v>33725</v>
      </c>
      <c r="B53" s="1">
        <v>18</v>
      </c>
      <c r="C53" s="1">
        <v>3.59</v>
      </c>
      <c r="D53" s="1">
        <v>9</v>
      </c>
      <c r="E53" s="1">
        <v>11.93</v>
      </c>
      <c r="F53" s="1">
        <v>6.42</v>
      </c>
      <c r="G53" s="1">
        <v>13.87</v>
      </c>
      <c r="H53" s="1">
        <v>6.41</v>
      </c>
      <c r="I53" s="1">
        <v>9.83</v>
      </c>
    </row>
    <row r="54" spans="1:9">
      <c r="A54" s="2">
        <v>33695</v>
      </c>
      <c r="B54" s="1">
        <v>-19.68</v>
      </c>
      <c r="C54" s="1">
        <v>-0.51</v>
      </c>
      <c r="D54" s="1">
        <v>3.63</v>
      </c>
      <c r="E54" s="1">
        <v>13</v>
      </c>
      <c r="F54" s="1">
        <v>-1.36</v>
      </c>
      <c r="G54" s="1">
        <v>-11.85</v>
      </c>
      <c r="H54" s="1">
        <v>-1.89</v>
      </c>
      <c r="I54" s="1">
        <v>-4.01</v>
      </c>
    </row>
    <row r="55" spans="1:9">
      <c r="A55" s="2">
        <v>33664</v>
      </c>
      <c r="B55" s="1">
        <v>1.63</v>
      </c>
      <c r="C55" s="1">
        <v>-9.26</v>
      </c>
      <c r="D55" s="1">
        <v>-2.0299999999999998</v>
      </c>
      <c r="E55" s="1">
        <v>0.71</v>
      </c>
      <c r="F55" s="1">
        <v>-1.34</v>
      </c>
      <c r="G55" s="1">
        <v>-1.1000000000000001</v>
      </c>
      <c r="H55" s="1">
        <v>0</v>
      </c>
      <c r="I55" s="1">
        <v>-2.5099999999999998</v>
      </c>
    </row>
    <row r="56" spans="1:9">
      <c r="A56" s="2">
        <v>33635</v>
      </c>
      <c r="B56" s="1">
        <v>-21.47</v>
      </c>
      <c r="C56" s="1">
        <v>-8.08</v>
      </c>
      <c r="D56" s="1">
        <v>-8.3699999999999992</v>
      </c>
      <c r="E56" s="1">
        <v>-11.95</v>
      </c>
      <c r="F56" s="1">
        <v>-5.88</v>
      </c>
      <c r="G56" s="1">
        <v>-10.199999999999999</v>
      </c>
      <c r="H56" s="1">
        <v>-11.67</v>
      </c>
      <c r="I56" s="1">
        <v>-11.62</v>
      </c>
    </row>
    <row r="57" spans="1:9">
      <c r="A57" s="2">
        <v>33604</v>
      </c>
      <c r="B57" s="1">
        <v>49.28</v>
      </c>
      <c r="C57" s="1">
        <v>21.13</v>
      </c>
      <c r="D57" s="1">
        <v>1.9</v>
      </c>
      <c r="E57" s="1">
        <v>11.97</v>
      </c>
      <c r="F57" s="1">
        <v>-0.83</v>
      </c>
      <c r="G57" s="1">
        <v>10.14</v>
      </c>
      <c r="H57" s="1">
        <v>19.21</v>
      </c>
      <c r="I57" s="1">
        <v>12.64</v>
      </c>
    </row>
    <row r="58" spans="1:9">
      <c r="A58" s="2">
        <v>33573</v>
      </c>
      <c r="B58" s="1">
        <v>0</v>
      </c>
      <c r="C58" s="1">
        <v>0.52</v>
      </c>
      <c r="D58" s="1">
        <v>-17.899999999999999</v>
      </c>
      <c r="E58" s="1">
        <v>-15.64</v>
      </c>
      <c r="F58" s="1">
        <v>-8.0500000000000007</v>
      </c>
      <c r="G58" s="1">
        <v>0.36</v>
      </c>
      <c r="H58" s="1">
        <v>-4.43</v>
      </c>
      <c r="I58" s="1">
        <v>-4.18</v>
      </c>
    </row>
    <row r="59" spans="1:9">
      <c r="A59" s="2">
        <v>33543</v>
      </c>
      <c r="B59" s="1">
        <v>26.67</v>
      </c>
      <c r="C59" s="1">
        <v>3.21</v>
      </c>
      <c r="D59" s="1">
        <v>1.98</v>
      </c>
      <c r="E59" s="1">
        <v>8.6</v>
      </c>
      <c r="F59" s="1">
        <v>3.98</v>
      </c>
      <c r="G59" s="1">
        <v>-9.24</v>
      </c>
      <c r="H59" s="1">
        <v>1.28</v>
      </c>
      <c r="I59" s="1">
        <v>1.48</v>
      </c>
    </row>
    <row r="60" spans="1:9">
      <c r="A60" s="2">
        <v>33512</v>
      </c>
      <c r="B60" s="1">
        <v>10.74</v>
      </c>
      <c r="C60" s="1">
        <v>24.67</v>
      </c>
      <c r="D60" s="1">
        <v>6.33</v>
      </c>
      <c r="E60" s="1">
        <v>13.14</v>
      </c>
      <c r="F60" s="1">
        <v>7.73</v>
      </c>
      <c r="G60" s="1">
        <v>4.4800000000000004</v>
      </c>
      <c r="H60" s="1">
        <v>4</v>
      </c>
      <c r="I60" s="1">
        <v>9.24</v>
      </c>
    </row>
    <row r="61" spans="1:9">
      <c r="A61" s="2">
        <v>33482</v>
      </c>
      <c r="B61" s="1">
        <v>-26.96</v>
      </c>
      <c r="C61" s="1">
        <v>-5.66</v>
      </c>
      <c r="D61" s="1">
        <v>-15.66</v>
      </c>
      <c r="E61" s="1">
        <v>-17.64</v>
      </c>
      <c r="F61" s="1">
        <v>-10.38</v>
      </c>
      <c r="G61" s="1">
        <v>-4.6100000000000003</v>
      </c>
      <c r="H61" s="1">
        <v>-0.66</v>
      </c>
      <c r="I61" s="1">
        <v>-12.03</v>
      </c>
    </row>
    <row r="62" spans="1:9">
      <c r="A62" s="2">
        <v>33451</v>
      </c>
      <c r="B62" s="1">
        <v>-11.3</v>
      </c>
      <c r="C62" s="1">
        <v>2.58</v>
      </c>
      <c r="D62" s="1">
        <v>0.05</v>
      </c>
      <c r="E62" s="1">
        <v>-1.19</v>
      </c>
      <c r="F62" s="1">
        <v>-5.8</v>
      </c>
      <c r="G62" s="1">
        <v>-7.6</v>
      </c>
      <c r="H62" s="1">
        <v>-11.18</v>
      </c>
      <c r="I62" s="1">
        <v>-3.55</v>
      </c>
    </row>
    <row r="63" spans="1:9">
      <c r="A63" s="2">
        <v>33420</v>
      </c>
      <c r="B63" s="1">
        <v>6.64</v>
      </c>
      <c r="C63" s="1">
        <v>-3.74</v>
      </c>
      <c r="D63" s="1">
        <v>-19.45</v>
      </c>
      <c r="E63" s="1">
        <v>-25.74</v>
      </c>
      <c r="F63" s="1">
        <v>17.420000000000002</v>
      </c>
      <c r="G63" s="1">
        <v>-1.5</v>
      </c>
      <c r="H63" s="1">
        <v>-4.49</v>
      </c>
      <c r="I63" s="1">
        <v>-4.1399999999999997</v>
      </c>
    </row>
    <row r="64" spans="1:9">
      <c r="A64" s="2">
        <v>33390</v>
      </c>
      <c r="B64" s="1">
        <v>10</v>
      </c>
      <c r="C64" s="1">
        <v>3.61</v>
      </c>
      <c r="D64" s="1">
        <v>-11.48</v>
      </c>
      <c r="E64" s="1">
        <v>-12.51</v>
      </c>
      <c r="F64" s="1">
        <v>-11.94</v>
      </c>
      <c r="G64" s="1">
        <v>-1.24</v>
      </c>
      <c r="H64" s="1">
        <v>-1.66</v>
      </c>
      <c r="I64" s="1">
        <v>-9.1999999999999993</v>
      </c>
    </row>
    <row r="65" spans="1:9">
      <c r="A65" s="2">
        <v>33359</v>
      </c>
      <c r="B65" s="1">
        <v>-9.09</v>
      </c>
      <c r="C65" s="1">
        <v>5.0599999999999996</v>
      </c>
      <c r="D65" s="1">
        <v>-14.53</v>
      </c>
      <c r="E65" s="1">
        <v>-2.29</v>
      </c>
      <c r="F65" s="1">
        <v>1.97</v>
      </c>
      <c r="G65" s="1">
        <v>-1.41</v>
      </c>
      <c r="H65" s="1">
        <v>-9.5</v>
      </c>
      <c r="I65" s="1">
        <v>-6.43</v>
      </c>
    </row>
    <row r="66" spans="1:9">
      <c r="A66" s="2">
        <v>33329</v>
      </c>
      <c r="B66" s="1">
        <v>7.84</v>
      </c>
      <c r="C66" s="1">
        <v>-3.07</v>
      </c>
      <c r="D66" s="1">
        <v>0.95</v>
      </c>
      <c r="E66" s="1">
        <v>-9.33</v>
      </c>
      <c r="F66" s="1">
        <v>-5.59</v>
      </c>
      <c r="G66" s="1">
        <v>4.42</v>
      </c>
      <c r="H66" s="1">
        <v>16.96</v>
      </c>
      <c r="I66" s="1">
        <v>-1.65</v>
      </c>
    </row>
    <row r="67" spans="1:9">
      <c r="A67" s="2">
        <v>33298</v>
      </c>
      <c r="B67" s="1">
        <v>27.5</v>
      </c>
      <c r="C67" s="1">
        <v>-11.41</v>
      </c>
      <c r="D67" s="1">
        <v>17.45</v>
      </c>
      <c r="E67" s="1">
        <v>17.68</v>
      </c>
      <c r="F67" s="1">
        <v>0.63</v>
      </c>
      <c r="G67" s="1">
        <v>-0.28999999999999998</v>
      </c>
      <c r="H67" s="1">
        <v>8.92</v>
      </c>
      <c r="I67" s="1">
        <v>8.2799999999999994</v>
      </c>
    </row>
    <row r="68" spans="1:9">
      <c r="A68" s="2">
        <v>33270</v>
      </c>
      <c r="B68" s="1">
        <v>-9.09</v>
      </c>
      <c r="C68" s="1">
        <v>10.18</v>
      </c>
      <c r="D68" s="1">
        <v>-4.08</v>
      </c>
      <c r="E68" s="1">
        <v>-6.29</v>
      </c>
      <c r="F68" s="1">
        <v>-9.6</v>
      </c>
      <c r="G68" s="1">
        <v>-4.49</v>
      </c>
      <c r="H68" s="1">
        <v>-7.1</v>
      </c>
      <c r="I68" s="1">
        <v>-3</v>
      </c>
    </row>
    <row r="69" spans="1:9">
      <c r="A69" s="2">
        <v>33239</v>
      </c>
      <c r="B69" s="1">
        <v>2.92</v>
      </c>
      <c r="C69" s="1">
        <v>22.34</v>
      </c>
      <c r="D69" s="1">
        <v>-8.6300000000000008</v>
      </c>
      <c r="E69" s="1">
        <v>0</v>
      </c>
      <c r="F69" s="1">
        <v>10.63</v>
      </c>
      <c r="G69" s="1">
        <v>17.11</v>
      </c>
      <c r="H69" s="1">
        <v>1.2</v>
      </c>
      <c r="I69" s="1">
        <v>5.78</v>
      </c>
    </row>
    <row r="70" spans="1:9">
      <c r="A70" s="2">
        <v>33208</v>
      </c>
      <c r="B70" s="1">
        <v>22.14</v>
      </c>
      <c r="C70" s="1">
        <v>3.41</v>
      </c>
      <c r="D70" s="1">
        <v>29.11</v>
      </c>
      <c r="E70" s="1">
        <v>19.86</v>
      </c>
      <c r="F70" s="1">
        <v>10.34</v>
      </c>
      <c r="G70" s="1">
        <v>-17.84</v>
      </c>
      <c r="H70" s="1">
        <v>9.8699999999999992</v>
      </c>
      <c r="I70" s="1">
        <v>25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報酬率Data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2007-10-06T09:23:06Z</dcterms:created>
  <dcterms:modified xsi:type="dcterms:W3CDTF">2017-09-17T11:02:56Z</dcterms:modified>
</cp:coreProperties>
</file>