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10章 投資的多元分散與資產訂價\"/>
    </mc:Choice>
  </mc:AlternateContent>
  <bookViews>
    <workbookView xWindow="480" yWindow="12" windowWidth="15480" windowHeight="9456"/>
  </bookViews>
  <sheets>
    <sheet name="beta" sheetId="1" r:id="rId1"/>
  </sheets>
  <calcPr calcId="162913"/>
</workbook>
</file>

<file path=xl/calcChain.xml><?xml version="1.0" encoding="utf-8"?>
<calcChain xmlns="http://schemas.openxmlformats.org/spreadsheetml/2006/main">
  <c r="G4" i="1" l="1"/>
  <c r="H4" i="1"/>
  <c r="I4" i="1"/>
  <c r="F4" i="1"/>
  <c r="G5" i="1"/>
  <c r="H5" i="1"/>
  <c r="I5" i="1"/>
  <c r="F5" i="1"/>
  <c r="G6" i="1"/>
  <c r="H6" i="1"/>
  <c r="I6" i="1"/>
  <c r="F6" i="1"/>
  <c r="G7" i="1"/>
  <c r="H7" i="1"/>
  <c r="I7" i="1"/>
  <c r="F7" i="1"/>
  <c r="G8" i="1"/>
  <c r="H8" i="1"/>
  <c r="I8" i="1"/>
  <c r="F8" i="1"/>
  <c r="G9" i="1"/>
  <c r="H9" i="1"/>
  <c r="I9" i="1"/>
  <c r="F9" i="1"/>
  <c r="G10" i="1"/>
  <c r="H10" i="1"/>
  <c r="I10" i="1"/>
  <c r="F10" i="1"/>
  <c r="G11" i="1"/>
  <c r="H11" i="1"/>
  <c r="I11" i="1"/>
  <c r="F11" i="1"/>
  <c r="G12" i="1"/>
  <c r="H12" i="1"/>
  <c r="I12" i="1"/>
  <c r="F12" i="1"/>
  <c r="G13" i="1"/>
  <c r="H13" i="1"/>
  <c r="I13" i="1"/>
  <c r="F13" i="1"/>
  <c r="G14" i="1"/>
  <c r="H14" i="1"/>
  <c r="I14" i="1"/>
  <c r="F14" i="1"/>
  <c r="G15" i="1"/>
  <c r="H15" i="1"/>
  <c r="I15" i="1"/>
  <c r="F15" i="1"/>
  <c r="G16" i="1"/>
  <c r="H16" i="1"/>
  <c r="I16" i="1"/>
  <c r="F16" i="1"/>
  <c r="G17" i="1"/>
  <c r="H17" i="1"/>
  <c r="I17" i="1"/>
  <c r="F17" i="1"/>
  <c r="G18" i="1"/>
  <c r="H18" i="1"/>
  <c r="I18" i="1"/>
  <c r="F18" i="1"/>
  <c r="G19" i="1"/>
  <c r="H19" i="1"/>
  <c r="I19" i="1"/>
  <c r="F19" i="1"/>
  <c r="G20" i="1"/>
  <c r="H20" i="1"/>
  <c r="I20" i="1"/>
  <c r="F20" i="1"/>
  <c r="G21" i="1"/>
  <c r="H21" i="1"/>
  <c r="I21" i="1"/>
  <c r="F21" i="1"/>
  <c r="G22" i="1"/>
  <c r="H22" i="1"/>
  <c r="I22" i="1"/>
  <c r="F22" i="1"/>
  <c r="G23" i="1"/>
  <c r="H23" i="1"/>
  <c r="I23" i="1"/>
  <c r="F23" i="1"/>
  <c r="G24" i="1"/>
  <c r="H24" i="1"/>
  <c r="I24" i="1"/>
  <c r="F24" i="1"/>
  <c r="G25" i="1"/>
  <c r="H25" i="1"/>
  <c r="I25" i="1"/>
  <c r="F25" i="1"/>
  <c r="G26" i="1"/>
  <c r="H26" i="1"/>
  <c r="I26" i="1"/>
  <c r="F26" i="1"/>
  <c r="G27" i="1"/>
  <c r="H27" i="1"/>
  <c r="I27" i="1"/>
  <c r="F27" i="1"/>
  <c r="G28" i="1"/>
  <c r="H28" i="1"/>
  <c r="I28" i="1"/>
  <c r="F28" i="1"/>
  <c r="G29" i="1"/>
  <c r="H29" i="1"/>
  <c r="I29" i="1"/>
  <c r="F29" i="1"/>
  <c r="G30" i="1"/>
  <c r="H30" i="1"/>
  <c r="I30" i="1"/>
  <c r="F30" i="1"/>
  <c r="G31" i="1"/>
  <c r="H31" i="1"/>
  <c r="I31" i="1"/>
  <c r="F31" i="1"/>
  <c r="G32" i="1"/>
  <c r="H32" i="1"/>
  <c r="I32" i="1"/>
  <c r="F32" i="1"/>
  <c r="G33" i="1"/>
  <c r="H33" i="1"/>
  <c r="I33" i="1"/>
  <c r="F33" i="1"/>
  <c r="G34" i="1"/>
  <c r="H34" i="1"/>
  <c r="I34" i="1"/>
  <c r="F34" i="1"/>
  <c r="G35" i="1"/>
  <c r="H35" i="1"/>
  <c r="I35" i="1"/>
  <c r="F35" i="1"/>
  <c r="G36" i="1"/>
  <c r="H36" i="1"/>
  <c r="I36" i="1"/>
  <c r="F36" i="1"/>
  <c r="G37" i="1"/>
  <c r="H37" i="1"/>
  <c r="I37" i="1"/>
  <c r="F37" i="1"/>
  <c r="G38" i="1"/>
  <c r="H38" i="1"/>
  <c r="I38" i="1"/>
  <c r="F38" i="1"/>
  <c r="G39" i="1"/>
  <c r="H39" i="1"/>
  <c r="I39" i="1"/>
  <c r="F39" i="1"/>
  <c r="G40" i="1"/>
  <c r="H40" i="1"/>
  <c r="I40" i="1"/>
  <c r="F40" i="1"/>
  <c r="G41" i="1"/>
  <c r="H41" i="1"/>
  <c r="I41" i="1"/>
  <c r="F41" i="1"/>
  <c r="G42" i="1"/>
  <c r="H42" i="1"/>
  <c r="I42" i="1"/>
  <c r="F42" i="1"/>
  <c r="G43" i="1"/>
  <c r="H43" i="1"/>
  <c r="I43" i="1"/>
  <c r="F43" i="1"/>
  <c r="G44" i="1"/>
  <c r="H44" i="1"/>
  <c r="I44" i="1"/>
  <c r="F44" i="1"/>
  <c r="G45" i="1"/>
  <c r="H45" i="1"/>
  <c r="I45" i="1"/>
  <c r="F45" i="1"/>
  <c r="G46" i="1"/>
  <c r="H46" i="1"/>
  <c r="I46" i="1"/>
  <c r="F46" i="1"/>
  <c r="G47" i="1"/>
  <c r="H47" i="1"/>
  <c r="I47" i="1"/>
  <c r="F47" i="1"/>
  <c r="G48" i="1"/>
  <c r="H48" i="1"/>
  <c r="I48" i="1"/>
  <c r="F48" i="1"/>
  <c r="G49" i="1"/>
  <c r="H49" i="1"/>
  <c r="I49" i="1"/>
  <c r="F49" i="1"/>
  <c r="G50" i="1"/>
  <c r="H50" i="1"/>
  <c r="I50" i="1"/>
  <c r="F50" i="1"/>
  <c r="G51" i="1"/>
  <c r="H51" i="1"/>
  <c r="I51" i="1"/>
  <c r="F51" i="1"/>
  <c r="G52" i="1"/>
  <c r="H52" i="1"/>
  <c r="I52" i="1"/>
  <c r="F52" i="1"/>
  <c r="G53" i="1"/>
  <c r="H53" i="1"/>
  <c r="I53" i="1"/>
  <c r="F53" i="1"/>
  <c r="G54" i="1"/>
  <c r="H54" i="1"/>
  <c r="I54" i="1"/>
  <c r="F54" i="1"/>
  <c r="G55" i="1"/>
  <c r="H55" i="1"/>
  <c r="I55" i="1"/>
  <c r="F55" i="1"/>
  <c r="G56" i="1"/>
  <c r="H56" i="1"/>
  <c r="I56" i="1"/>
  <c r="F56" i="1"/>
  <c r="G57" i="1"/>
  <c r="H57" i="1"/>
  <c r="I57" i="1"/>
  <c r="F57" i="1"/>
  <c r="G58" i="1"/>
  <c r="H58" i="1"/>
  <c r="I58" i="1"/>
  <c r="F58" i="1"/>
  <c r="G59" i="1"/>
  <c r="H59" i="1"/>
  <c r="I59" i="1"/>
  <c r="F59" i="1"/>
  <c r="G60" i="1"/>
  <c r="H60" i="1"/>
  <c r="I60" i="1"/>
  <c r="F60" i="1"/>
  <c r="G61" i="1"/>
  <c r="H61" i="1"/>
  <c r="I61" i="1"/>
  <c r="F61" i="1"/>
  <c r="G62" i="1"/>
  <c r="H62" i="1"/>
  <c r="I62" i="1"/>
  <c r="F62" i="1"/>
  <c r="G63" i="1"/>
  <c r="H63" i="1"/>
  <c r="I63" i="1"/>
  <c r="F63" i="1"/>
  <c r="G64" i="1"/>
  <c r="H64" i="1"/>
  <c r="I64" i="1"/>
  <c r="F64" i="1"/>
  <c r="G65" i="1"/>
  <c r="H65" i="1"/>
  <c r="I65" i="1"/>
  <c r="F65" i="1"/>
  <c r="G66" i="1"/>
  <c r="H66" i="1"/>
  <c r="I66" i="1"/>
  <c r="F66" i="1"/>
  <c r="G67" i="1"/>
  <c r="H67" i="1"/>
  <c r="I67" i="1"/>
  <c r="F67" i="1"/>
  <c r="G68" i="1"/>
  <c r="H68" i="1"/>
  <c r="I68" i="1"/>
  <c r="F68" i="1"/>
  <c r="G69" i="1"/>
  <c r="H69" i="1"/>
  <c r="I69" i="1"/>
  <c r="F69" i="1"/>
  <c r="G70" i="1"/>
  <c r="H70" i="1"/>
  <c r="I70" i="1"/>
  <c r="F70" i="1"/>
  <c r="G71" i="1"/>
  <c r="H71" i="1"/>
  <c r="I71" i="1"/>
  <c r="F71" i="1"/>
  <c r="G72" i="1"/>
  <c r="H72" i="1"/>
  <c r="I72" i="1"/>
  <c r="F72" i="1"/>
  <c r="G73" i="1"/>
  <c r="H73" i="1"/>
  <c r="I73" i="1"/>
  <c r="F73" i="1"/>
  <c r="G74" i="1"/>
  <c r="H74" i="1"/>
  <c r="I74" i="1"/>
  <c r="F74" i="1"/>
  <c r="G75" i="1"/>
  <c r="H75" i="1"/>
  <c r="I75" i="1"/>
  <c r="F75" i="1"/>
  <c r="G76" i="1"/>
  <c r="H76" i="1"/>
  <c r="I76" i="1"/>
  <c r="F76" i="1"/>
  <c r="G77" i="1"/>
  <c r="H77" i="1"/>
  <c r="I77" i="1"/>
  <c r="F77" i="1"/>
  <c r="G78" i="1"/>
  <c r="H78" i="1"/>
  <c r="I78" i="1"/>
  <c r="F78" i="1"/>
  <c r="G79" i="1"/>
  <c r="H79" i="1"/>
  <c r="I79" i="1"/>
  <c r="F79" i="1"/>
  <c r="G80" i="1"/>
  <c r="H80" i="1"/>
  <c r="I80" i="1"/>
  <c r="F80" i="1"/>
  <c r="G81" i="1"/>
  <c r="H81" i="1"/>
  <c r="I81" i="1"/>
  <c r="F81" i="1"/>
  <c r="G82" i="1"/>
  <c r="H82" i="1"/>
  <c r="I82" i="1"/>
  <c r="F82" i="1"/>
  <c r="G83" i="1"/>
  <c r="H83" i="1"/>
  <c r="I83" i="1"/>
  <c r="F83" i="1"/>
  <c r="G84" i="1"/>
  <c r="H84" i="1"/>
  <c r="I84" i="1"/>
  <c r="F84" i="1"/>
  <c r="G85" i="1"/>
  <c r="H85" i="1"/>
  <c r="I85" i="1"/>
  <c r="F85" i="1"/>
  <c r="G86" i="1"/>
  <c r="H86" i="1"/>
  <c r="I86" i="1"/>
  <c r="F86" i="1"/>
  <c r="G87" i="1"/>
  <c r="H87" i="1"/>
  <c r="I87" i="1"/>
  <c r="F87" i="1"/>
  <c r="G88" i="1"/>
  <c r="H88" i="1"/>
  <c r="I88" i="1"/>
  <c r="F88" i="1"/>
  <c r="G89" i="1"/>
  <c r="H89" i="1"/>
  <c r="I89" i="1"/>
  <c r="F89" i="1"/>
  <c r="G90" i="1"/>
  <c r="H90" i="1"/>
  <c r="I90" i="1"/>
  <c r="F90" i="1"/>
  <c r="G91" i="1"/>
  <c r="H91" i="1"/>
  <c r="I91" i="1"/>
  <c r="F91" i="1"/>
  <c r="G92" i="1"/>
  <c r="H92" i="1"/>
  <c r="I92" i="1"/>
  <c r="F92" i="1"/>
  <c r="G93" i="1"/>
  <c r="H93" i="1"/>
  <c r="I93" i="1"/>
  <c r="F93" i="1"/>
  <c r="G94" i="1"/>
  <c r="H94" i="1"/>
  <c r="I94" i="1"/>
  <c r="F94" i="1"/>
  <c r="G95" i="1"/>
  <c r="H95" i="1"/>
  <c r="I95" i="1"/>
  <c r="F95" i="1"/>
  <c r="G96" i="1"/>
  <c r="H96" i="1"/>
  <c r="I96" i="1"/>
  <c r="F96" i="1"/>
  <c r="G97" i="1"/>
  <c r="H97" i="1"/>
  <c r="I97" i="1"/>
  <c r="F97" i="1"/>
  <c r="G98" i="1"/>
  <c r="H98" i="1"/>
  <c r="I98" i="1"/>
  <c r="F98" i="1"/>
  <c r="G99" i="1"/>
  <c r="H99" i="1"/>
  <c r="I99" i="1"/>
  <c r="F99" i="1"/>
  <c r="G100" i="1"/>
  <c r="H100" i="1"/>
  <c r="I100" i="1"/>
  <c r="F100" i="1"/>
  <c r="G101" i="1"/>
  <c r="H101" i="1"/>
  <c r="I101" i="1"/>
  <c r="F101" i="1"/>
  <c r="G102" i="1"/>
  <c r="H102" i="1"/>
  <c r="I102" i="1"/>
  <c r="F102" i="1"/>
  <c r="G103" i="1"/>
  <c r="H103" i="1"/>
  <c r="I103" i="1"/>
  <c r="F103" i="1"/>
  <c r="G104" i="1"/>
  <c r="H104" i="1"/>
  <c r="I104" i="1"/>
  <c r="F104" i="1"/>
  <c r="G105" i="1"/>
  <c r="H105" i="1"/>
  <c r="I105" i="1"/>
  <c r="F105" i="1"/>
  <c r="G106" i="1"/>
  <c r="H106" i="1"/>
  <c r="I106" i="1"/>
  <c r="F106" i="1"/>
  <c r="G107" i="1"/>
  <c r="H107" i="1"/>
  <c r="I107" i="1"/>
  <c r="F107" i="1"/>
  <c r="G108" i="1"/>
  <c r="H108" i="1"/>
  <c r="I108" i="1"/>
  <c r="F108" i="1"/>
  <c r="G109" i="1"/>
  <c r="H109" i="1"/>
  <c r="I109" i="1"/>
  <c r="F109" i="1"/>
  <c r="G110" i="1"/>
  <c r="H110" i="1"/>
  <c r="I110" i="1"/>
  <c r="F110" i="1"/>
  <c r="G111" i="1"/>
  <c r="H111" i="1"/>
  <c r="I111" i="1"/>
  <c r="F111" i="1"/>
  <c r="G112" i="1"/>
  <c r="H112" i="1"/>
  <c r="I112" i="1"/>
  <c r="F112" i="1"/>
  <c r="G113" i="1"/>
  <c r="H113" i="1"/>
  <c r="I113" i="1"/>
  <c r="F113" i="1"/>
  <c r="G114" i="1"/>
  <c r="H114" i="1"/>
  <c r="I114" i="1"/>
  <c r="F114" i="1"/>
  <c r="G115" i="1"/>
  <c r="H115" i="1"/>
  <c r="I115" i="1"/>
  <c r="F115" i="1"/>
  <c r="G116" i="1"/>
  <c r="H116" i="1"/>
  <c r="I116" i="1"/>
  <c r="F116" i="1"/>
  <c r="G117" i="1"/>
  <c r="H117" i="1"/>
  <c r="I117" i="1"/>
  <c r="F117" i="1"/>
  <c r="G118" i="1"/>
  <c r="H118" i="1"/>
  <c r="I118" i="1"/>
  <c r="F118" i="1"/>
  <c r="G119" i="1"/>
  <c r="H119" i="1"/>
  <c r="I119" i="1"/>
  <c r="F119" i="1"/>
  <c r="G120" i="1"/>
  <c r="H120" i="1"/>
  <c r="I120" i="1"/>
  <c r="F120" i="1"/>
  <c r="G121" i="1"/>
  <c r="H121" i="1"/>
  <c r="I121" i="1"/>
  <c r="F121" i="1"/>
  <c r="G122" i="1"/>
  <c r="H122" i="1"/>
  <c r="I122" i="1"/>
  <c r="F122" i="1"/>
  <c r="G123" i="1"/>
  <c r="H123" i="1"/>
  <c r="I123" i="1"/>
  <c r="F123" i="1"/>
  <c r="G124" i="1"/>
  <c r="H124" i="1"/>
  <c r="I124" i="1"/>
  <c r="F124" i="1"/>
  <c r="G125" i="1"/>
  <c r="H125" i="1"/>
  <c r="I125" i="1"/>
  <c r="F125" i="1"/>
  <c r="G126" i="1"/>
  <c r="H126" i="1"/>
  <c r="I126" i="1"/>
  <c r="F126" i="1"/>
  <c r="G127" i="1"/>
  <c r="H127" i="1"/>
  <c r="I127" i="1"/>
  <c r="F127" i="1"/>
  <c r="G128" i="1"/>
  <c r="H128" i="1"/>
  <c r="I128" i="1"/>
  <c r="F128" i="1"/>
  <c r="G129" i="1"/>
  <c r="H129" i="1"/>
  <c r="I129" i="1"/>
  <c r="F129" i="1"/>
  <c r="G130" i="1"/>
  <c r="H130" i="1"/>
  <c r="I130" i="1"/>
  <c r="F130" i="1"/>
  <c r="G131" i="1"/>
  <c r="H131" i="1"/>
  <c r="I131" i="1"/>
  <c r="F131" i="1"/>
  <c r="G132" i="1"/>
  <c r="H132" i="1"/>
  <c r="I132" i="1"/>
  <c r="F132" i="1"/>
  <c r="G133" i="1"/>
  <c r="H133" i="1"/>
  <c r="I133" i="1"/>
  <c r="F133" i="1"/>
  <c r="G134" i="1"/>
  <c r="H134" i="1"/>
  <c r="I134" i="1"/>
  <c r="F134" i="1"/>
  <c r="G135" i="1"/>
  <c r="H135" i="1"/>
  <c r="I135" i="1"/>
  <c r="F135" i="1"/>
  <c r="G136" i="1"/>
  <c r="H136" i="1"/>
  <c r="I136" i="1"/>
  <c r="F136" i="1"/>
  <c r="G137" i="1"/>
  <c r="H137" i="1"/>
  <c r="I137" i="1"/>
  <c r="F137" i="1"/>
  <c r="G138" i="1"/>
  <c r="H138" i="1"/>
  <c r="I138" i="1"/>
  <c r="F138" i="1"/>
  <c r="G139" i="1"/>
  <c r="H139" i="1"/>
  <c r="I139" i="1"/>
  <c r="F139" i="1"/>
  <c r="G140" i="1"/>
  <c r="H140" i="1"/>
  <c r="I140" i="1"/>
  <c r="F140" i="1"/>
  <c r="G141" i="1"/>
  <c r="H141" i="1"/>
  <c r="I141" i="1"/>
  <c r="F141" i="1"/>
  <c r="G142" i="1"/>
  <c r="H142" i="1"/>
  <c r="I142" i="1"/>
  <c r="F142" i="1"/>
  <c r="G143" i="1"/>
  <c r="H143" i="1"/>
  <c r="I143" i="1"/>
  <c r="F143" i="1"/>
  <c r="G144" i="1"/>
  <c r="H144" i="1"/>
  <c r="I144" i="1"/>
  <c r="F144" i="1"/>
  <c r="G145" i="1"/>
  <c r="H145" i="1"/>
  <c r="I145" i="1"/>
  <c r="F145" i="1"/>
  <c r="G146" i="1"/>
  <c r="H146" i="1"/>
  <c r="I146" i="1"/>
  <c r="F146" i="1"/>
  <c r="G147" i="1"/>
  <c r="H147" i="1"/>
  <c r="I147" i="1"/>
  <c r="F147" i="1"/>
  <c r="G148" i="1"/>
  <c r="H148" i="1"/>
  <c r="I148" i="1"/>
  <c r="F148" i="1"/>
  <c r="G149" i="1"/>
  <c r="H149" i="1"/>
  <c r="I149" i="1"/>
  <c r="F149" i="1"/>
  <c r="G150" i="1"/>
  <c r="H150" i="1"/>
  <c r="I150" i="1"/>
  <c r="F150" i="1"/>
  <c r="G151" i="1"/>
  <c r="H151" i="1"/>
  <c r="I151" i="1"/>
  <c r="F151" i="1"/>
  <c r="G152" i="1"/>
  <c r="H152" i="1"/>
  <c r="I152" i="1"/>
  <c r="F152" i="1"/>
  <c r="G153" i="1"/>
  <c r="H153" i="1"/>
  <c r="I153" i="1"/>
  <c r="F153" i="1"/>
  <c r="G154" i="1"/>
  <c r="H154" i="1"/>
  <c r="I154" i="1"/>
  <c r="F154" i="1"/>
  <c r="G155" i="1"/>
  <c r="H155" i="1"/>
  <c r="I155" i="1"/>
  <c r="F155" i="1"/>
  <c r="G156" i="1"/>
  <c r="H156" i="1"/>
  <c r="I156" i="1"/>
  <c r="F156" i="1"/>
  <c r="G157" i="1"/>
  <c r="H157" i="1"/>
  <c r="I157" i="1"/>
  <c r="F157" i="1"/>
  <c r="G158" i="1"/>
  <c r="H158" i="1"/>
  <c r="I158" i="1"/>
  <c r="F158" i="1"/>
  <c r="G159" i="1"/>
  <c r="H159" i="1"/>
  <c r="I159" i="1"/>
  <c r="F159" i="1"/>
  <c r="G160" i="1"/>
  <c r="H160" i="1"/>
  <c r="I160" i="1"/>
  <c r="F160" i="1"/>
  <c r="G161" i="1"/>
  <c r="H161" i="1"/>
  <c r="I161" i="1"/>
  <c r="F161" i="1"/>
  <c r="G162" i="1"/>
  <c r="H162" i="1"/>
  <c r="I162" i="1"/>
  <c r="F162" i="1"/>
  <c r="G163" i="1"/>
  <c r="H163" i="1"/>
  <c r="I163" i="1"/>
  <c r="F163" i="1"/>
  <c r="G164" i="1"/>
  <c r="H164" i="1"/>
  <c r="I164" i="1"/>
  <c r="F164" i="1"/>
  <c r="G165" i="1"/>
  <c r="H165" i="1"/>
  <c r="I165" i="1"/>
  <c r="F165" i="1"/>
  <c r="G166" i="1"/>
  <c r="H166" i="1"/>
  <c r="I166" i="1"/>
  <c r="F166" i="1"/>
  <c r="G167" i="1"/>
  <c r="H167" i="1"/>
  <c r="I167" i="1"/>
  <c r="F167" i="1"/>
  <c r="G168" i="1"/>
  <c r="H168" i="1"/>
  <c r="I168" i="1"/>
  <c r="F168" i="1"/>
  <c r="G169" i="1"/>
  <c r="H169" i="1"/>
  <c r="I169" i="1"/>
  <c r="F169" i="1"/>
  <c r="G170" i="1"/>
  <c r="H170" i="1"/>
  <c r="I170" i="1"/>
  <c r="F170" i="1"/>
  <c r="G171" i="1"/>
  <c r="H171" i="1"/>
  <c r="I171" i="1"/>
  <c r="F171" i="1"/>
  <c r="G172" i="1"/>
  <c r="H172" i="1"/>
  <c r="I172" i="1"/>
  <c r="F172" i="1"/>
  <c r="G173" i="1"/>
  <c r="H173" i="1"/>
  <c r="I173" i="1"/>
  <c r="F173" i="1"/>
  <c r="G174" i="1"/>
  <c r="H174" i="1"/>
  <c r="I174" i="1"/>
  <c r="F174" i="1"/>
  <c r="G175" i="1"/>
  <c r="H175" i="1"/>
  <c r="I175" i="1"/>
  <c r="F175" i="1"/>
  <c r="G176" i="1"/>
  <c r="H176" i="1"/>
  <c r="I176" i="1"/>
  <c r="F176" i="1"/>
  <c r="G177" i="1"/>
  <c r="H177" i="1"/>
  <c r="I177" i="1"/>
  <c r="F177" i="1"/>
  <c r="G178" i="1"/>
  <c r="H178" i="1"/>
  <c r="I178" i="1"/>
  <c r="F178" i="1"/>
  <c r="G179" i="1"/>
  <c r="H179" i="1"/>
  <c r="I179" i="1"/>
  <c r="F179" i="1"/>
  <c r="G180" i="1"/>
  <c r="H180" i="1"/>
  <c r="I180" i="1"/>
  <c r="F180" i="1"/>
  <c r="G181" i="1"/>
  <c r="H181" i="1"/>
  <c r="I181" i="1"/>
  <c r="F181" i="1"/>
  <c r="G182" i="1"/>
  <c r="H182" i="1"/>
  <c r="I182" i="1"/>
  <c r="F182" i="1"/>
  <c r="G183" i="1"/>
  <c r="H183" i="1"/>
  <c r="I183" i="1"/>
  <c r="F183" i="1"/>
  <c r="G184" i="1"/>
  <c r="H184" i="1"/>
  <c r="I184" i="1"/>
  <c r="F184" i="1"/>
  <c r="G185" i="1"/>
  <c r="H185" i="1"/>
  <c r="I185" i="1"/>
  <c r="F185" i="1"/>
  <c r="G186" i="1"/>
  <c r="H186" i="1"/>
  <c r="I186" i="1"/>
  <c r="F186" i="1"/>
  <c r="G187" i="1"/>
  <c r="H187" i="1"/>
  <c r="I187" i="1"/>
  <c r="F187" i="1"/>
  <c r="G188" i="1"/>
  <c r="H188" i="1"/>
  <c r="I188" i="1"/>
  <c r="F188" i="1"/>
  <c r="G189" i="1"/>
  <c r="H189" i="1"/>
  <c r="I189" i="1"/>
  <c r="F189" i="1"/>
  <c r="G190" i="1"/>
  <c r="H190" i="1"/>
  <c r="I190" i="1"/>
  <c r="F190" i="1"/>
  <c r="G191" i="1"/>
  <c r="H191" i="1"/>
  <c r="I191" i="1"/>
  <c r="F191" i="1"/>
  <c r="G192" i="1"/>
  <c r="H192" i="1"/>
  <c r="I192" i="1"/>
  <c r="F192" i="1"/>
  <c r="G193" i="1"/>
  <c r="H193" i="1"/>
  <c r="I193" i="1"/>
  <c r="F193" i="1"/>
  <c r="G194" i="1"/>
  <c r="H194" i="1"/>
  <c r="I194" i="1"/>
  <c r="F194" i="1"/>
  <c r="G195" i="1"/>
  <c r="H195" i="1"/>
  <c r="I195" i="1"/>
  <c r="F195" i="1"/>
  <c r="G196" i="1"/>
  <c r="H196" i="1"/>
  <c r="I196" i="1"/>
  <c r="F196" i="1"/>
  <c r="G197" i="1"/>
  <c r="H197" i="1"/>
  <c r="I197" i="1"/>
  <c r="F197" i="1"/>
  <c r="G198" i="1"/>
  <c r="H198" i="1"/>
  <c r="I198" i="1"/>
  <c r="F198" i="1"/>
  <c r="G199" i="1"/>
  <c r="H199" i="1"/>
  <c r="I199" i="1"/>
  <c r="F199" i="1"/>
  <c r="G200" i="1"/>
  <c r="H200" i="1"/>
  <c r="I200" i="1"/>
  <c r="F200" i="1"/>
  <c r="G201" i="1"/>
  <c r="H201" i="1"/>
  <c r="I201" i="1"/>
  <c r="F201" i="1"/>
  <c r="G202" i="1"/>
  <c r="H202" i="1"/>
  <c r="I202" i="1"/>
  <c r="F202" i="1"/>
  <c r="G203" i="1"/>
  <c r="H203" i="1"/>
  <c r="I203" i="1"/>
  <c r="F203" i="1"/>
  <c r="G204" i="1"/>
  <c r="H204" i="1"/>
  <c r="I204" i="1"/>
  <c r="F204" i="1"/>
  <c r="G205" i="1"/>
  <c r="H205" i="1"/>
  <c r="I205" i="1"/>
  <c r="F205" i="1"/>
  <c r="G206" i="1"/>
  <c r="H206" i="1"/>
  <c r="I206" i="1"/>
  <c r="F206" i="1"/>
  <c r="G207" i="1"/>
  <c r="H207" i="1"/>
  <c r="I207" i="1"/>
  <c r="F207" i="1"/>
  <c r="G208" i="1"/>
  <c r="H208" i="1"/>
  <c r="I208" i="1"/>
  <c r="F208" i="1"/>
  <c r="G209" i="1"/>
  <c r="H209" i="1"/>
  <c r="I209" i="1"/>
  <c r="F209" i="1"/>
  <c r="G210" i="1"/>
  <c r="H210" i="1"/>
  <c r="I210" i="1"/>
  <c r="F210" i="1"/>
  <c r="G211" i="1"/>
  <c r="H211" i="1"/>
  <c r="I211" i="1"/>
  <c r="F211" i="1"/>
  <c r="G212" i="1"/>
  <c r="H212" i="1"/>
  <c r="I212" i="1"/>
  <c r="F212" i="1"/>
  <c r="G213" i="1"/>
  <c r="H213" i="1"/>
  <c r="I213" i="1"/>
  <c r="F213" i="1"/>
  <c r="G214" i="1"/>
  <c r="H214" i="1"/>
  <c r="I214" i="1"/>
  <c r="F214" i="1"/>
  <c r="G215" i="1"/>
  <c r="H215" i="1"/>
  <c r="I215" i="1"/>
  <c r="F215" i="1"/>
  <c r="G216" i="1"/>
  <c r="H216" i="1"/>
  <c r="I216" i="1"/>
  <c r="F216" i="1"/>
  <c r="G217" i="1"/>
  <c r="H217" i="1"/>
  <c r="I217" i="1"/>
  <c r="F217" i="1"/>
  <c r="G218" i="1"/>
  <c r="H218" i="1"/>
  <c r="I218" i="1"/>
  <c r="F218" i="1"/>
  <c r="G219" i="1"/>
  <c r="H219" i="1"/>
  <c r="I219" i="1"/>
  <c r="F219" i="1"/>
  <c r="G220" i="1"/>
  <c r="H220" i="1"/>
  <c r="I220" i="1"/>
  <c r="F220" i="1"/>
  <c r="G221" i="1"/>
  <c r="H221" i="1"/>
  <c r="I221" i="1"/>
  <c r="F221" i="1"/>
  <c r="G222" i="1"/>
  <c r="H222" i="1"/>
  <c r="I222" i="1"/>
  <c r="F222" i="1"/>
  <c r="G223" i="1"/>
  <c r="H223" i="1"/>
  <c r="I223" i="1"/>
  <c r="F223" i="1"/>
  <c r="G224" i="1"/>
  <c r="H224" i="1"/>
  <c r="I224" i="1"/>
  <c r="F224" i="1"/>
  <c r="G225" i="1"/>
  <c r="H225" i="1"/>
  <c r="I225" i="1"/>
  <c r="F225" i="1"/>
  <c r="G226" i="1"/>
  <c r="H226" i="1"/>
  <c r="I226" i="1"/>
  <c r="F226" i="1"/>
  <c r="G227" i="1"/>
  <c r="H227" i="1"/>
  <c r="I227" i="1"/>
  <c r="F227" i="1"/>
  <c r="G228" i="1"/>
  <c r="H228" i="1"/>
  <c r="I228" i="1"/>
  <c r="F228" i="1"/>
  <c r="G229" i="1"/>
  <c r="H229" i="1"/>
  <c r="I229" i="1"/>
  <c r="F229" i="1"/>
  <c r="G230" i="1"/>
  <c r="H230" i="1"/>
  <c r="I230" i="1"/>
  <c r="F230" i="1"/>
  <c r="G231" i="1"/>
  <c r="H231" i="1"/>
  <c r="I231" i="1"/>
  <c r="F231" i="1"/>
  <c r="G232" i="1"/>
  <c r="H232" i="1"/>
  <c r="I232" i="1"/>
  <c r="F232" i="1"/>
  <c r="G233" i="1"/>
  <c r="H233" i="1"/>
  <c r="I233" i="1"/>
  <c r="F233" i="1"/>
  <c r="G234" i="1"/>
  <c r="H234" i="1"/>
  <c r="I234" i="1"/>
  <c r="F234" i="1"/>
  <c r="G235" i="1"/>
  <c r="H235" i="1"/>
  <c r="I235" i="1"/>
  <c r="F235" i="1"/>
  <c r="G236" i="1"/>
  <c r="H236" i="1"/>
  <c r="I236" i="1"/>
  <c r="F236" i="1"/>
  <c r="G237" i="1"/>
  <c r="H237" i="1"/>
  <c r="I237" i="1"/>
  <c r="F237" i="1"/>
  <c r="G238" i="1"/>
  <c r="H238" i="1"/>
  <c r="I238" i="1"/>
  <c r="F238" i="1"/>
  <c r="G239" i="1"/>
  <c r="H239" i="1"/>
  <c r="I239" i="1"/>
  <c r="F239" i="1"/>
  <c r="G240" i="1"/>
  <c r="H240" i="1"/>
  <c r="I240" i="1"/>
  <c r="F240" i="1"/>
  <c r="G241" i="1"/>
  <c r="H241" i="1"/>
  <c r="I241" i="1"/>
  <c r="F241" i="1"/>
  <c r="G242" i="1"/>
  <c r="H242" i="1"/>
  <c r="I242" i="1"/>
  <c r="F242" i="1"/>
  <c r="G243" i="1"/>
  <c r="H243" i="1"/>
  <c r="I243" i="1"/>
  <c r="F243" i="1"/>
  <c r="G244" i="1"/>
  <c r="H244" i="1"/>
  <c r="I244" i="1"/>
  <c r="F244" i="1"/>
  <c r="G245" i="1"/>
  <c r="H245" i="1"/>
  <c r="I245" i="1"/>
  <c r="F245" i="1"/>
  <c r="G246" i="1"/>
  <c r="H246" i="1"/>
  <c r="I246" i="1"/>
  <c r="F246" i="1"/>
  <c r="G247" i="1"/>
  <c r="H247" i="1"/>
  <c r="I247" i="1"/>
  <c r="F247" i="1"/>
  <c r="G248" i="1"/>
  <c r="H248" i="1"/>
  <c r="I248" i="1"/>
  <c r="F248" i="1"/>
  <c r="G249" i="1"/>
  <c r="H249" i="1"/>
  <c r="I249" i="1"/>
  <c r="F249" i="1"/>
  <c r="G250" i="1"/>
  <c r="H250" i="1"/>
  <c r="I250" i="1"/>
  <c r="F250" i="1"/>
  <c r="G251" i="1"/>
  <c r="H251" i="1"/>
  <c r="I251" i="1"/>
  <c r="F251" i="1"/>
  <c r="G252" i="1"/>
  <c r="H252" i="1"/>
  <c r="I252" i="1"/>
  <c r="F252" i="1"/>
  <c r="G253" i="1"/>
  <c r="H253" i="1"/>
  <c r="I253" i="1"/>
  <c r="F253" i="1"/>
  <c r="G254" i="1"/>
  <c r="H254" i="1"/>
  <c r="I254" i="1"/>
  <c r="F254" i="1"/>
  <c r="G255" i="1"/>
  <c r="H255" i="1"/>
  <c r="I255" i="1"/>
  <c r="F255" i="1"/>
  <c r="G256" i="1"/>
  <c r="H256" i="1"/>
  <c r="I256" i="1"/>
  <c r="F256" i="1"/>
  <c r="G257" i="1"/>
  <c r="H257" i="1"/>
  <c r="I257" i="1"/>
  <c r="F257" i="1"/>
  <c r="G258" i="1"/>
  <c r="H258" i="1"/>
  <c r="I258" i="1"/>
  <c r="F258" i="1"/>
  <c r="G259" i="1"/>
  <c r="H259" i="1"/>
  <c r="I259" i="1"/>
  <c r="F259" i="1"/>
  <c r="G260" i="1"/>
  <c r="H260" i="1"/>
  <c r="I260" i="1"/>
  <c r="F260" i="1"/>
  <c r="G261" i="1"/>
  <c r="H261" i="1"/>
  <c r="I261" i="1"/>
  <c r="F261" i="1"/>
  <c r="G262" i="1"/>
  <c r="H262" i="1"/>
  <c r="I262" i="1"/>
  <c r="F262" i="1"/>
  <c r="G263" i="1"/>
  <c r="H263" i="1"/>
  <c r="I263" i="1"/>
  <c r="F263" i="1"/>
  <c r="G264" i="1"/>
  <c r="H264" i="1"/>
  <c r="I264" i="1"/>
  <c r="F264" i="1"/>
  <c r="G265" i="1"/>
  <c r="H265" i="1"/>
  <c r="I265" i="1"/>
  <c r="F265" i="1"/>
  <c r="G266" i="1"/>
  <c r="H266" i="1"/>
  <c r="I266" i="1"/>
  <c r="F266" i="1"/>
  <c r="G267" i="1"/>
  <c r="H267" i="1"/>
  <c r="I267" i="1"/>
  <c r="F267" i="1"/>
  <c r="G268" i="1"/>
  <c r="H268" i="1"/>
  <c r="I268" i="1"/>
  <c r="F268" i="1"/>
  <c r="G269" i="1"/>
  <c r="H269" i="1"/>
  <c r="I269" i="1"/>
  <c r="F269" i="1"/>
  <c r="G270" i="1"/>
  <c r="H270" i="1"/>
  <c r="I270" i="1"/>
  <c r="F270" i="1"/>
  <c r="G271" i="1"/>
  <c r="H271" i="1"/>
  <c r="I271" i="1"/>
  <c r="F271" i="1"/>
  <c r="G272" i="1"/>
  <c r="H272" i="1"/>
  <c r="I272" i="1"/>
  <c r="F272" i="1"/>
  <c r="G273" i="1"/>
  <c r="H273" i="1"/>
  <c r="I273" i="1"/>
  <c r="F273" i="1"/>
  <c r="G274" i="1"/>
  <c r="H274" i="1"/>
  <c r="I274" i="1"/>
  <c r="F274" i="1"/>
  <c r="G275" i="1"/>
  <c r="H275" i="1"/>
  <c r="I275" i="1"/>
  <c r="F275" i="1"/>
  <c r="G276" i="1"/>
  <c r="H276" i="1"/>
  <c r="I276" i="1"/>
  <c r="F276" i="1"/>
  <c r="G277" i="1"/>
  <c r="H277" i="1"/>
  <c r="I277" i="1"/>
  <c r="F277" i="1"/>
  <c r="G278" i="1"/>
  <c r="H278" i="1"/>
  <c r="I278" i="1"/>
  <c r="F278" i="1"/>
  <c r="G279" i="1"/>
  <c r="H279" i="1"/>
  <c r="I279" i="1"/>
  <c r="F279" i="1"/>
  <c r="G280" i="1"/>
  <c r="H280" i="1"/>
  <c r="I280" i="1"/>
  <c r="F280" i="1"/>
  <c r="G281" i="1"/>
  <c r="H281" i="1"/>
  <c r="I281" i="1"/>
  <c r="F281" i="1"/>
  <c r="G282" i="1"/>
  <c r="H282" i="1"/>
  <c r="I282" i="1"/>
  <c r="F282" i="1"/>
  <c r="G283" i="1"/>
  <c r="H283" i="1"/>
  <c r="I283" i="1"/>
  <c r="F283" i="1"/>
  <c r="G284" i="1"/>
  <c r="H284" i="1"/>
  <c r="I284" i="1"/>
  <c r="F284" i="1"/>
  <c r="G285" i="1"/>
  <c r="H285" i="1"/>
  <c r="I285" i="1"/>
  <c r="F285" i="1"/>
  <c r="G286" i="1"/>
  <c r="H286" i="1"/>
  <c r="I286" i="1"/>
  <c r="F286" i="1"/>
  <c r="G287" i="1"/>
  <c r="H287" i="1"/>
  <c r="I287" i="1"/>
  <c r="F287" i="1"/>
  <c r="G288" i="1"/>
  <c r="H288" i="1"/>
  <c r="I288" i="1"/>
  <c r="F288" i="1"/>
  <c r="G289" i="1"/>
  <c r="H289" i="1"/>
  <c r="I289" i="1"/>
  <c r="F289" i="1"/>
  <c r="G290" i="1"/>
  <c r="H290" i="1"/>
  <c r="I290" i="1"/>
  <c r="F290" i="1"/>
  <c r="G291" i="1"/>
  <c r="H291" i="1"/>
  <c r="I291" i="1"/>
  <c r="F291" i="1"/>
  <c r="G292" i="1"/>
  <c r="H292" i="1"/>
  <c r="I292" i="1"/>
  <c r="F292" i="1"/>
  <c r="G293" i="1"/>
  <c r="H293" i="1"/>
  <c r="I293" i="1"/>
  <c r="F293" i="1"/>
  <c r="G294" i="1"/>
  <c r="H294" i="1"/>
  <c r="I294" i="1"/>
  <c r="F294" i="1"/>
  <c r="G295" i="1"/>
  <c r="H295" i="1"/>
  <c r="I295" i="1"/>
  <c r="F295" i="1"/>
  <c r="G296" i="1"/>
  <c r="H296" i="1"/>
  <c r="I296" i="1"/>
  <c r="F296" i="1"/>
  <c r="G297" i="1"/>
  <c r="H297" i="1"/>
  <c r="I297" i="1"/>
  <c r="F297" i="1"/>
  <c r="G298" i="1"/>
  <c r="H298" i="1"/>
  <c r="I298" i="1"/>
  <c r="F298" i="1"/>
  <c r="G299" i="1"/>
  <c r="H299" i="1"/>
  <c r="I299" i="1"/>
  <c r="F299" i="1"/>
  <c r="G300" i="1"/>
  <c r="H300" i="1"/>
  <c r="I300" i="1"/>
  <c r="F300" i="1"/>
  <c r="G301" i="1"/>
  <c r="H301" i="1"/>
  <c r="I301" i="1"/>
  <c r="F301" i="1"/>
  <c r="G302" i="1"/>
  <c r="H302" i="1"/>
  <c r="I302" i="1"/>
  <c r="F302" i="1"/>
  <c r="G303" i="1"/>
  <c r="H303" i="1"/>
  <c r="I303" i="1"/>
  <c r="F303" i="1"/>
  <c r="G304" i="1"/>
  <c r="H304" i="1"/>
  <c r="I304" i="1"/>
  <c r="F304" i="1"/>
  <c r="G305" i="1"/>
  <c r="H305" i="1"/>
  <c r="I305" i="1"/>
  <c r="F305" i="1"/>
  <c r="G306" i="1"/>
  <c r="H306" i="1"/>
  <c r="I306" i="1"/>
  <c r="F306" i="1"/>
  <c r="G307" i="1"/>
  <c r="H307" i="1"/>
  <c r="I307" i="1"/>
  <c r="F307" i="1"/>
  <c r="G308" i="1"/>
  <c r="H308" i="1"/>
  <c r="I308" i="1"/>
  <c r="F308" i="1"/>
  <c r="G309" i="1"/>
  <c r="H309" i="1"/>
  <c r="I309" i="1"/>
  <c r="F309" i="1"/>
  <c r="G310" i="1"/>
  <c r="H310" i="1"/>
  <c r="I310" i="1"/>
  <c r="F310" i="1"/>
  <c r="G311" i="1"/>
  <c r="H311" i="1"/>
  <c r="I311" i="1"/>
  <c r="F311" i="1"/>
  <c r="G312" i="1"/>
  <c r="H312" i="1"/>
  <c r="I312" i="1"/>
  <c r="F312" i="1"/>
  <c r="G313" i="1"/>
  <c r="H313" i="1"/>
  <c r="I313" i="1"/>
  <c r="F313" i="1"/>
  <c r="G314" i="1"/>
  <c r="H314" i="1"/>
  <c r="I314" i="1"/>
  <c r="F314" i="1"/>
  <c r="G315" i="1"/>
  <c r="H315" i="1"/>
  <c r="I315" i="1"/>
  <c r="F315" i="1"/>
  <c r="G316" i="1"/>
  <c r="H316" i="1"/>
  <c r="I316" i="1"/>
  <c r="F316" i="1"/>
  <c r="G317" i="1"/>
  <c r="H317" i="1"/>
  <c r="I317" i="1"/>
  <c r="F317" i="1"/>
  <c r="G318" i="1"/>
  <c r="H318" i="1"/>
  <c r="I318" i="1"/>
  <c r="F318" i="1"/>
  <c r="G319" i="1"/>
  <c r="H319" i="1"/>
  <c r="I319" i="1"/>
  <c r="F319" i="1"/>
  <c r="G320" i="1"/>
  <c r="H320" i="1"/>
  <c r="I320" i="1"/>
  <c r="F320" i="1"/>
  <c r="G321" i="1"/>
  <c r="H321" i="1"/>
  <c r="I321" i="1"/>
  <c r="F321" i="1"/>
  <c r="G322" i="1"/>
  <c r="H322" i="1"/>
  <c r="I322" i="1"/>
  <c r="F322" i="1"/>
  <c r="G323" i="1"/>
  <c r="H323" i="1"/>
  <c r="I323" i="1"/>
  <c r="F323" i="1"/>
  <c r="G324" i="1"/>
  <c r="H324" i="1"/>
  <c r="I324" i="1"/>
  <c r="F324" i="1"/>
  <c r="G325" i="1"/>
  <c r="H325" i="1"/>
  <c r="I325" i="1"/>
  <c r="F325" i="1"/>
  <c r="G326" i="1"/>
  <c r="H326" i="1"/>
  <c r="I326" i="1"/>
  <c r="F326" i="1"/>
  <c r="G327" i="1"/>
  <c r="H327" i="1"/>
  <c r="I327" i="1"/>
  <c r="F327" i="1"/>
  <c r="G328" i="1"/>
  <c r="H328" i="1"/>
  <c r="I328" i="1"/>
  <c r="F328" i="1"/>
  <c r="G329" i="1"/>
  <c r="H329" i="1"/>
  <c r="I329" i="1"/>
  <c r="F329" i="1"/>
  <c r="G330" i="1"/>
  <c r="H330" i="1"/>
  <c r="I330" i="1"/>
  <c r="F330" i="1"/>
  <c r="G331" i="1"/>
  <c r="H331" i="1"/>
  <c r="I331" i="1"/>
  <c r="F331" i="1"/>
  <c r="G332" i="1"/>
  <c r="H332" i="1"/>
  <c r="I332" i="1"/>
  <c r="F332" i="1"/>
  <c r="G333" i="1"/>
  <c r="H333" i="1"/>
  <c r="I333" i="1"/>
  <c r="F333" i="1"/>
  <c r="G334" i="1"/>
  <c r="H334" i="1"/>
  <c r="I334" i="1"/>
  <c r="F334" i="1"/>
  <c r="G335" i="1"/>
  <c r="H335" i="1"/>
  <c r="I335" i="1"/>
  <c r="F335" i="1"/>
  <c r="G336" i="1"/>
  <c r="H336" i="1"/>
  <c r="I336" i="1"/>
  <c r="F336" i="1"/>
  <c r="G337" i="1"/>
  <c r="H337" i="1"/>
  <c r="I337" i="1"/>
  <c r="F337" i="1"/>
  <c r="G338" i="1"/>
  <c r="H338" i="1"/>
  <c r="I338" i="1"/>
  <c r="F338" i="1"/>
  <c r="G339" i="1"/>
  <c r="H339" i="1"/>
  <c r="I339" i="1"/>
  <c r="F339" i="1"/>
  <c r="G340" i="1"/>
  <c r="H340" i="1"/>
  <c r="I340" i="1"/>
  <c r="F340" i="1"/>
  <c r="G341" i="1"/>
  <c r="H341" i="1"/>
  <c r="I341" i="1"/>
  <c r="F341" i="1"/>
  <c r="G342" i="1"/>
  <c r="H342" i="1"/>
  <c r="I342" i="1"/>
  <c r="F342" i="1"/>
  <c r="G343" i="1"/>
  <c r="H343" i="1"/>
  <c r="I343" i="1"/>
  <c r="F343" i="1"/>
  <c r="G344" i="1"/>
  <c r="H344" i="1"/>
  <c r="I344" i="1"/>
  <c r="F344" i="1"/>
  <c r="G345" i="1"/>
  <c r="H345" i="1"/>
  <c r="I345" i="1"/>
  <c r="F345" i="1"/>
  <c r="G346" i="1"/>
  <c r="H346" i="1"/>
  <c r="I346" i="1"/>
  <c r="F346" i="1"/>
  <c r="G347" i="1"/>
  <c r="H347" i="1"/>
  <c r="I347" i="1"/>
  <c r="F347" i="1"/>
  <c r="G348" i="1"/>
  <c r="H348" i="1"/>
  <c r="I348" i="1"/>
  <c r="F348" i="1"/>
  <c r="G349" i="1"/>
  <c r="H349" i="1"/>
  <c r="I349" i="1"/>
  <c r="F349" i="1"/>
  <c r="G350" i="1"/>
  <c r="H350" i="1"/>
  <c r="I350" i="1"/>
  <c r="F350" i="1"/>
  <c r="G351" i="1"/>
  <c r="H351" i="1"/>
  <c r="I351" i="1"/>
  <c r="F351" i="1"/>
  <c r="G352" i="1"/>
  <c r="H352" i="1"/>
  <c r="I352" i="1"/>
  <c r="F352" i="1"/>
  <c r="G353" i="1"/>
  <c r="H353" i="1"/>
  <c r="I353" i="1"/>
  <c r="F353" i="1"/>
  <c r="G354" i="1"/>
  <c r="H354" i="1"/>
  <c r="I354" i="1"/>
  <c r="F354" i="1"/>
  <c r="G355" i="1"/>
  <c r="H355" i="1"/>
  <c r="I355" i="1"/>
  <c r="F355" i="1"/>
  <c r="G356" i="1"/>
  <c r="H356" i="1"/>
  <c r="I356" i="1"/>
  <c r="F356" i="1"/>
  <c r="G357" i="1"/>
  <c r="H357" i="1"/>
  <c r="I357" i="1"/>
  <c r="F357" i="1"/>
  <c r="G358" i="1"/>
  <c r="H358" i="1"/>
  <c r="I358" i="1"/>
  <c r="F358" i="1"/>
  <c r="G359" i="1"/>
  <c r="H359" i="1"/>
  <c r="I359" i="1"/>
  <c r="F359" i="1"/>
  <c r="G360" i="1"/>
  <c r="H360" i="1"/>
  <c r="I360" i="1"/>
  <c r="F360" i="1"/>
  <c r="G361" i="1"/>
  <c r="H361" i="1"/>
  <c r="I361" i="1"/>
  <c r="F361" i="1"/>
  <c r="G362" i="1"/>
  <c r="H362" i="1"/>
  <c r="I362" i="1"/>
  <c r="F362" i="1"/>
  <c r="G363" i="1"/>
  <c r="H363" i="1"/>
  <c r="I363" i="1"/>
  <c r="F363" i="1"/>
  <c r="G364" i="1"/>
  <c r="H364" i="1"/>
  <c r="I364" i="1"/>
  <c r="F364" i="1"/>
  <c r="G365" i="1"/>
  <c r="H365" i="1"/>
  <c r="I365" i="1"/>
  <c r="F365" i="1"/>
  <c r="G366" i="1"/>
  <c r="H366" i="1"/>
  <c r="I366" i="1"/>
  <c r="F366" i="1"/>
  <c r="G367" i="1"/>
  <c r="H367" i="1"/>
  <c r="I367" i="1"/>
  <c r="F367" i="1"/>
  <c r="G368" i="1"/>
  <c r="H368" i="1"/>
  <c r="I368" i="1"/>
  <c r="F368" i="1"/>
  <c r="G369" i="1"/>
  <c r="H369" i="1"/>
  <c r="I369" i="1"/>
  <c r="F369" i="1"/>
  <c r="G370" i="1"/>
  <c r="H370" i="1"/>
  <c r="I370" i="1"/>
  <c r="F370" i="1"/>
  <c r="G371" i="1"/>
  <c r="H371" i="1"/>
  <c r="I371" i="1"/>
  <c r="F371" i="1"/>
  <c r="G372" i="1"/>
  <c r="H372" i="1"/>
  <c r="I372" i="1"/>
  <c r="F372" i="1"/>
  <c r="G373" i="1"/>
  <c r="H373" i="1"/>
  <c r="I373" i="1"/>
  <c r="F373" i="1"/>
  <c r="G374" i="1"/>
  <c r="H374" i="1"/>
  <c r="I374" i="1"/>
  <c r="F374" i="1"/>
  <c r="G375" i="1"/>
  <c r="H375" i="1"/>
  <c r="I375" i="1"/>
  <c r="F375" i="1"/>
  <c r="G376" i="1"/>
  <c r="H376" i="1"/>
  <c r="I376" i="1"/>
  <c r="F376" i="1"/>
  <c r="G377" i="1"/>
  <c r="H377" i="1"/>
  <c r="I377" i="1"/>
  <c r="F377" i="1"/>
  <c r="G378" i="1"/>
  <c r="H378" i="1"/>
  <c r="I378" i="1"/>
  <c r="F378" i="1"/>
  <c r="G379" i="1"/>
  <c r="H379" i="1"/>
  <c r="I379" i="1"/>
  <c r="F379" i="1"/>
  <c r="G380" i="1"/>
  <c r="H380" i="1"/>
  <c r="I380" i="1"/>
  <c r="F380" i="1"/>
  <c r="G381" i="1"/>
  <c r="H381" i="1"/>
  <c r="I381" i="1"/>
  <c r="F381" i="1"/>
  <c r="G382" i="1"/>
  <c r="H382" i="1"/>
  <c r="I382" i="1"/>
  <c r="F382" i="1"/>
  <c r="G383" i="1"/>
  <c r="H383" i="1"/>
  <c r="I383" i="1"/>
  <c r="F383" i="1"/>
  <c r="G384" i="1"/>
  <c r="H384" i="1"/>
  <c r="I384" i="1"/>
  <c r="F384" i="1"/>
  <c r="G385" i="1"/>
  <c r="H385" i="1"/>
  <c r="I385" i="1"/>
  <c r="F385" i="1"/>
  <c r="G386" i="1"/>
  <c r="H386" i="1"/>
  <c r="I386" i="1"/>
  <c r="F386" i="1"/>
  <c r="G387" i="1"/>
  <c r="H387" i="1"/>
  <c r="I387" i="1"/>
  <c r="F387" i="1"/>
  <c r="G388" i="1"/>
  <c r="H388" i="1"/>
  <c r="I388" i="1"/>
  <c r="F388" i="1"/>
  <c r="G389" i="1"/>
  <c r="H389" i="1"/>
  <c r="I389" i="1"/>
  <c r="F389" i="1"/>
  <c r="G390" i="1"/>
  <c r="H390" i="1"/>
  <c r="I390" i="1"/>
  <c r="F390" i="1"/>
  <c r="G391" i="1"/>
  <c r="H391" i="1"/>
  <c r="I391" i="1"/>
  <c r="F391" i="1"/>
  <c r="G392" i="1"/>
  <c r="H392" i="1"/>
  <c r="I392" i="1"/>
  <c r="F392" i="1"/>
  <c r="G393" i="1"/>
  <c r="H393" i="1"/>
  <c r="I393" i="1"/>
  <c r="F393" i="1"/>
  <c r="G394" i="1"/>
  <c r="H394" i="1"/>
  <c r="I394" i="1"/>
  <c r="F394" i="1"/>
  <c r="G395" i="1"/>
  <c r="H395" i="1"/>
  <c r="I395" i="1"/>
  <c r="F395" i="1"/>
  <c r="G396" i="1"/>
  <c r="H396" i="1"/>
  <c r="I396" i="1"/>
  <c r="F396" i="1"/>
  <c r="G397" i="1"/>
  <c r="H397" i="1"/>
  <c r="I397" i="1"/>
  <c r="F397" i="1"/>
  <c r="G398" i="1"/>
  <c r="H398" i="1"/>
  <c r="I398" i="1"/>
  <c r="F398" i="1"/>
  <c r="G399" i="1"/>
  <c r="H399" i="1"/>
  <c r="I399" i="1"/>
  <c r="F399" i="1"/>
  <c r="G400" i="1"/>
  <c r="H400" i="1"/>
  <c r="I400" i="1"/>
  <c r="F400" i="1"/>
  <c r="G401" i="1"/>
  <c r="H401" i="1"/>
  <c r="I401" i="1"/>
  <c r="F401" i="1"/>
  <c r="G402" i="1"/>
  <c r="H402" i="1"/>
  <c r="I402" i="1"/>
  <c r="F402" i="1"/>
  <c r="G403" i="1"/>
  <c r="H403" i="1"/>
  <c r="I403" i="1"/>
  <c r="F403" i="1"/>
  <c r="G404" i="1"/>
  <c r="H404" i="1"/>
  <c r="I404" i="1"/>
  <c r="F404" i="1"/>
  <c r="G405" i="1"/>
  <c r="H405" i="1"/>
  <c r="I405" i="1"/>
  <c r="F405" i="1"/>
  <c r="G406" i="1"/>
  <c r="H406" i="1"/>
  <c r="I406" i="1"/>
  <c r="F406" i="1"/>
  <c r="G407" i="1"/>
  <c r="H407" i="1"/>
  <c r="I407" i="1"/>
  <c r="F407" i="1"/>
  <c r="G408" i="1"/>
  <c r="H408" i="1"/>
  <c r="I408" i="1"/>
  <c r="F408" i="1"/>
  <c r="G409" i="1"/>
  <c r="H409" i="1"/>
  <c r="I409" i="1"/>
  <c r="F409" i="1"/>
  <c r="G410" i="1"/>
  <c r="H410" i="1"/>
  <c r="I410" i="1"/>
  <c r="F410" i="1"/>
  <c r="G411" i="1"/>
  <c r="H411" i="1"/>
  <c r="I411" i="1"/>
  <c r="F411" i="1"/>
  <c r="G412" i="1"/>
  <c r="H412" i="1"/>
  <c r="I412" i="1"/>
  <c r="F412" i="1"/>
  <c r="G413" i="1"/>
  <c r="H413" i="1"/>
  <c r="I413" i="1"/>
  <c r="F413" i="1"/>
  <c r="G414" i="1"/>
  <c r="H414" i="1"/>
  <c r="I414" i="1"/>
  <c r="F414" i="1"/>
  <c r="G415" i="1"/>
  <c r="H415" i="1"/>
  <c r="I415" i="1"/>
  <c r="F415" i="1"/>
  <c r="G416" i="1"/>
  <c r="H416" i="1"/>
  <c r="I416" i="1"/>
  <c r="F416" i="1"/>
  <c r="G417" i="1"/>
  <c r="H417" i="1"/>
  <c r="I417" i="1"/>
  <c r="F417" i="1"/>
  <c r="G418" i="1"/>
  <c r="H418" i="1"/>
  <c r="I418" i="1"/>
  <c r="F418" i="1"/>
  <c r="G419" i="1"/>
  <c r="H419" i="1"/>
  <c r="I419" i="1"/>
  <c r="F419" i="1"/>
  <c r="G420" i="1"/>
  <c r="H420" i="1"/>
  <c r="I420" i="1"/>
  <c r="F420" i="1"/>
  <c r="G421" i="1"/>
  <c r="H421" i="1"/>
  <c r="I421" i="1"/>
  <c r="F421" i="1"/>
  <c r="G422" i="1"/>
  <c r="H422" i="1"/>
  <c r="I422" i="1"/>
  <c r="F422" i="1"/>
  <c r="G423" i="1"/>
  <c r="H423" i="1"/>
  <c r="I423" i="1"/>
  <c r="F423" i="1"/>
  <c r="G424" i="1"/>
  <c r="H424" i="1"/>
  <c r="I424" i="1"/>
  <c r="F424" i="1"/>
  <c r="G425" i="1"/>
  <c r="H425" i="1"/>
  <c r="I425" i="1"/>
  <c r="F425" i="1"/>
  <c r="G426" i="1"/>
  <c r="H426" i="1"/>
  <c r="I426" i="1"/>
  <c r="F426" i="1"/>
  <c r="G427" i="1"/>
  <c r="H427" i="1"/>
  <c r="I427" i="1"/>
  <c r="F427" i="1"/>
  <c r="G428" i="1"/>
  <c r="H428" i="1"/>
  <c r="I428" i="1"/>
  <c r="F428" i="1"/>
  <c r="G429" i="1"/>
  <c r="H429" i="1"/>
  <c r="I429" i="1"/>
  <c r="F429" i="1"/>
  <c r="G430" i="1"/>
  <c r="H430" i="1"/>
  <c r="I430" i="1"/>
  <c r="F430" i="1"/>
  <c r="G431" i="1"/>
  <c r="H431" i="1"/>
  <c r="I431" i="1"/>
  <c r="F431" i="1"/>
  <c r="G432" i="1"/>
  <c r="H432" i="1"/>
  <c r="I432" i="1"/>
  <c r="F432" i="1"/>
  <c r="G433" i="1"/>
  <c r="H433" i="1"/>
  <c r="I433" i="1"/>
  <c r="F433" i="1"/>
  <c r="G434" i="1"/>
  <c r="H434" i="1"/>
  <c r="I434" i="1"/>
  <c r="F434" i="1"/>
  <c r="G435" i="1"/>
  <c r="H435" i="1"/>
  <c r="I435" i="1"/>
  <c r="F435" i="1"/>
  <c r="G436" i="1"/>
  <c r="H436" i="1"/>
  <c r="I436" i="1"/>
  <c r="F436" i="1"/>
  <c r="G437" i="1"/>
  <c r="H437" i="1"/>
  <c r="I437" i="1"/>
  <c r="F437" i="1"/>
  <c r="G438" i="1"/>
  <c r="H438" i="1"/>
  <c r="I438" i="1"/>
  <c r="F438" i="1"/>
  <c r="G439" i="1"/>
  <c r="H439" i="1"/>
  <c r="I439" i="1"/>
  <c r="F439" i="1"/>
  <c r="G440" i="1"/>
  <c r="H440" i="1"/>
  <c r="I440" i="1"/>
  <c r="F440" i="1"/>
  <c r="G441" i="1"/>
  <c r="H441" i="1"/>
  <c r="I441" i="1"/>
  <c r="F441" i="1"/>
  <c r="G442" i="1"/>
  <c r="H442" i="1"/>
  <c r="I442" i="1"/>
  <c r="F442" i="1"/>
  <c r="G443" i="1"/>
  <c r="H443" i="1"/>
  <c r="I443" i="1"/>
  <c r="F443" i="1"/>
  <c r="G444" i="1"/>
  <c r="H444" i="1"/>
  <c r="I444" i="1"/>
  <c r="F444" i="1"/>
  <c r="G445" i="1"/>
  <c r="H445" i="1"/>
  <c r="I445" i="1"/>
  <c r="F445" i="1"/>
  <c r="G446" i="1"/>
  <c r="H446" i="1"/>
  <c r="I446" i="1"/>
  <c r="F446" i="1"/>
  <c r="G447" i="1"/>
  <c r="H447" i="1"/>
  <c r="I447" i="1"/>
  <c r="F447" i="1"/>
  <c r="G448" i="1"/>
  <c r="H448" i="1"/>
  <c r="I448" i="1"/>
  <c r="F448" i="1"/>
  <c r="G449" i="1"/>
  <c r="H449" i="1"/>
  <c r="I449" i="1"/>
  <c r="F449" i="1"/>
  <c r="G450" i="1"/>
  <c r="H450" i="1"/>
  <c r="I450" i="1"/>
  <c r="F450" i="1"/>
  <c r="G451" i="1"/>
  <c r="H451" i="1"/>
  <c r="I451" i="1"/>
  <c r="F451" i="1"/>
  <c r="G452" i="1"/>
  <c r="H452" i="1"/>
  <c r="I452" i="1"/>
  <c r="F452" i="1"/>
  <c r="G453" i="1"/>
  <c r="H453" i="1"/>
  <c r="I453" i="1"/>
  <c r="F453" i="1"/>
  <c r="G454" i="1"/>
  <c r="H454" i="1"/>
  <c r="I454" i="1"/>
  <c r="F454" i="1"/>
  <c r="G455" i="1"/>
  <c r="H455" i="1"/>
  <c r="I455" i="1"/>
  <c r="F455" i="1"/>
  <c r="G456" i="1"/>
  <c r="H456" i="1"/>
  <c r="I456" i="1"/>
  <c r="F456" i="1"/>
  <c r="G457" i="1"/>
  <c r="H457" i="1"/>
  <c r="I457" i="1"/>
  <c r="F457" i="1"/>
  <c r="G458" i="1"/>
  <c r="H458" i="1"/>
  <c r="I458" i="1"/>
  <c r="F458" i="1"/>
  <c r="G459" i="1"/>
  <c r="H459" i="1"/>
  <c r="I459" i="1"/>
  <c r="F459" i="1"/>
  <c r="G460" i="1"/>
  <c r="H460" i="1"/>
  <c r="I460" i="1"/>
  <c r="F460" i="1"/>
  <c r="G461" i="1"/>
  <c r="H461" i="1"/>
  <c r="I461" i="1"/>
  <c r="F461" i="1"/>
  <c r="G462" i="1"/>
  <c r="H462" i="1"/>
  <c r="I462" i="1"/>
  <c r="F462" i="1"/>
  <c r="G463" i="1"/>
  <c r="H463" i="1"/>
  <c r="I463" i="1"/>
  <c r="F463" i="1"/>
  <c r="G464" i="1"/>
  <c r="H464" i="1"/>
  <c r="I464" i="1"/>
  <c r="F464" i="1"/>
  <c r="G465" i="1"/>
  <c r="H465" i="1"/>
  <c r="I465" i="1"/>
  <c r="F465" i="1"/>
  <c r="G466" i="1"/>
  <c r="H466" i="1"/>
  <c r="I466" i="1"/>
  <c r="F466" i="1"/>
  <c r="G467" i="1"/>
  <c r="H467" i="1"/>
  <c r="I467" i="1"/>
  <c r="F467" i="1"/>
  <c r="G468" i="1"/>
  <c r="H468" i="1"/>
  <c r="I468" i="1"/>
  <c r="F468" i="1"/>
  <c r="G469" i="1"/>
  <c r="H469" i="1"/>
  <c r="I469" i="1"/>
  <c r="F469" i="1"/>
  <c r="G470" i="1"/>
  <c r="H470" i="1"/>
  <c r="I470" i="1"/>
  <c r="F470" i="1"/>
  <c r="G471" i="1"/>
  <c r="H471" i="1"/>
  <c r="I471" i="1"/>
  <c r="F471" i="1"/>
  <c r="G472" i="1"/>
  <c r="H472" i="1"/>
  <c r="I472" i="1"/>
  <c r="F472" i="1"/>
  <c r="G473" i="1"/>
  <c r="H473" i="1"/>
  <c r="I473" i="1"/>
  <c r="F473" i="1"/>
  <c r="G474" i="1"/>
  <c r="H474" i="1"/>
  <c r="I474" i="1"/>
  <c r="F474" i="1"/>
  <c r="G475" i="1"/>
  <c r="H475" i="1"/>
  <c r="I475" i="1"/>
  <c r="F475" i="1"/>
  <c r="G476" i="1"/>
  <c r="H476" i="1"/>
  <c r="I476" i="1"/>
  <c r="F476" i="1"/>
  <c r="G477" i="1"/>
  <c r="H477" i="1"/>
  <c r="I477" i="1"/>
  <c r="F477" i="1"/>
  <c r="G478" i="1"/>
  <c r="H478" i="1"/>
  <c r="I478" i="1"/>
  <c r="F478" i="1"/>
  <c r="G479" i="1"/>
  <c r="H479" i="1"/>
  <c r="I479" i="1"/>
  <c r="F479" i="1"/>
  <c r="G480" i="1"/>
  <c r="H480" i="1"/>
  <c r="I480" i="1"/>
  <c r="F480" i="1"/>
  <c r="G481" i="1"/>
  <c r="H481" i="1"/>
  <c r="I481" i="1"/>
  <c r="F481" i="1"/>
  <c r="G482" i="1"/>
  <c r="H482" i="1"/>
  <c r="I482" i="1"/>
  <c r="F482" i="1"/>
  <c r="G483" i="1"/>
  <c r="H483" i="1"/>
  <c r="I483" i="1"/>
  <c r="F483" i="1"/>
  <c r="G484" i="1"/>
  <c r="H484" i="1"/>
  <c r="I484" i="1"/>
  <c r="F484" i="1"/>
  <c r="G485" i="1"/>
  <c r="H485" i="1"/>
  <c r="I485" i="1"/>
  <c r="F485" i="1"/>
  <c r="G486" i="1"/>
  <c r="H486" i="1"/>
  <c r="I486" i="1"/>
  <c r="F486" i="1"/>
  <c r="G487" i="1"/>
  <c r="H487" i="1"/>
  <c r="I487" i="1"/>
  <c r="F487" i="1"/>
  <c r="G488" i="1"/>
  <c r="H488" i="1"/>
  <c r="I488" i="1"/>
  <c r="F488" i="1"/>
  <c r="G489" i="1"/>
  <c r="H489" i="1"/>
  <c r="I489" i="1"/>
  <c r="F489" i="1"/>
  <c r="G490" i="1"/>
  <c r="H490" i="1"/>
  <c r="I490" i="1"/>
  <c r="F490" i="1"/>
  <c r="G491" i="1"/>
  <c r="H491" i="1"/>
  <c r="I491" i="1"/>
  <c r="F491" i="1"/>
  <c r="G492" i="1"/>
  <c r="H492" i="1"/>
  <c r="I492" i="1"/>
  <c r="F492" i="1"/>
  <c r="G493" i="1"/>
  <c r="H493" i="1"/>
  <c r="I493" i="1"/>
  <c r="F493" i="1"/>
  <c r="G494" i="1"/>
  <c r="H494" i="1"/>
  <c r="I494" i="1"/>
  <c r="F494" i="1"/>
  <c r="G495" i="1"/>
  <c r="H495" i="1"/>
  <c r="I495" i="1"/>
  <c r="F495" i="1"/>
  <c r="G496" i="1"/>
  <c r="H496" i="1"/>
  <c r="I496" i="1"/>
  <c r="F496" i="1"/>
  <c r="G497" i="1"/>
  <c r="H497" i="1"/>
  <c r="I497" i="1"/>
  <c r="F497" i="1"/>
  <c r="G498" i="1"/>
  <c r="H498" i="1"/>
  <c r="I498" i="1"/>
  <c r="F498" i="1"/>
  <c r="G499" i="1"/>
  <c r="H499" i="1"/>
  <c r="I499" i="1"/>
  <c r="F499" i="1"/>
  <c r="G500" i="1"/>
  <c r="H500" i="1"/>
  <c r="I500" i="1"/>
  <c r="F500" i="1"/>
  <c r="G501" i="1"/>
  <c r="H501" i="1"/>
  <c r="I501" i="1"/>
  <c r="F501" i="1"/>
  <c r="G502" i="1"/>
  <c r="H502" i="1"/>
  <c r="I502" i="1"/>
  <c r="F502" i="1"/>
  <c r="G503" i="1"/>
  <c r="H503" i="1"/>
  <c r="I503" i="1"/>
  <c r="F503" i="1"/>
  <c r="G504" i="1"/>
  <c r="H504" i="1"/>
  <c r="I504" i="1"/>
  <c r="F504" i="1"/>
  <c r="G505" i="1"/>
  <c r="H505" i="1"/>
  <c r="I505" i="1"/>
  <c r="F505" i="1"/>
  <c r="G506" i="1"/>
  <c r="H506" i="1"/>
  <c r="I506" i="1"/>
  <c r="F506" i="1"/>
  <c r="G507" i="1"/>
  <c r="H507" i="1"/>
  <c r="I507" i="1"/>
  <c r="F507" i="1"/>
  <c r="G508" i="1"/>
  <c r="H508" i="1"/>
  <c r="I508" i="1"/>
  <c r="F508" i="1"/>
  <c r="G509" i="1"/>
  <c r="H509" i="1"/>
  <c r="I509" i="1"/>
  <c r="F509" i="1"/>
  <c r="G510" i="1"/>
  <c r="H510" i="1"/>
  <c r="I510" i="1"/>
  <c r="F510" i="1"/>
  <c r="G511" i="1"/>
  <c r="H511" i="1"/>
  <c r="I511" i="1"/>
  <c r="F511" i="1"/>
  <c r="G512" i="1"/>
  <c r="H512" i="1"/>
  <c r="I512" i="1"/>
  <c r="F512" i="1"/>
  <c r="G513" i="1"/>
  <c r="H513" i="1"/>
  <c r="I513" i="1"/>
  <c r="F513" i="1"/>
  <c r="G514" i="1"/>
  <c r="H514" i="1"/>
  <c r="I514" i="1"/>
  <c r="F514" i="1"/>
  <c r="G515" i="1"/>
  <c r="H515" i="1"/>
  <c r="I515" i="1"/>
  <c r="F515" i="1"/>
  <c r="G516" i="1"/>
  <c r="H516" i="1"/>
  <c r="I516" i="1"/>
  <c r="F516" i="1"/>
  <c r="G517" i="1"/>
  <c r="H517" i="1"/>
  <c r="I517" i="1"/>
  <c r="F517" i="1"/>
  <c r="G518" i="1"/>
  <c r="H518" i="1"/>
  <c r="I518" i="1"/>
  <c r="F518" i="1"/>
  <c r="G519" i="1"/>
  <c r="H519" i="1"/>
  <c r="I519" i="1"/>
  <c r="F519" i="1"/>
  <c r="G520" i="1"/>
  <c r="H520" i="1"/>
  <c r="I520" i="1"/>
  <c r="F520" i="1"/>
  <c r="G521" i="1"/>
  <c r="H521" i="1"/>
  <c r="I521" i="1"/>
  <c r="F521" i="1"/>
  <c r="G522" i="1"/>
  <c r="H522" i="1"/>
  <c r="I522" i="1"/>
  <c r="F522" i="1"/>
  <c r="G523" i="1"/>
  <c r="H523" i="1"/>
  <c r="I523" i="1"/>
  <c r="F523" i="1"/>
  <c r="G524" i="1"/>
  <c r="H524" i="1"/>
  <c r="I524" i="1"/>
  <c r="F524" i="1"/>
  <c r="G525" i="1"/>
  <c r="H525" i="1"/>
  <c r="I525" i="1"/>
  <c r="F525" i="1"/>
  <c r="G526" i="1"/>
  <c r="H526" i="1"/>
  <c r="I526" i="1"/>
  <c r="F526" i="1"/>
  <c r="G527" i="1"/>
  <c r="H527" i="1"/>
  <c r="I527" i="1"/>
  <c r="F527" i="1"/>
  <c r="G528" i="1"/>
  <c r="H528" i="1"/>
  <c r="I528" i="1"/>
  <c r="F528" i="1"/>
  <c r="G529" i="1"/>
  <c r="H529" i="1"/>
  <c r="I529" i="1"/>
  <c r="F529" i="1"/>
  <c r="G530" i="1"/>
  <c r="H530" i="1"/>
  <c r="I530" i="1"/>
  <c r="F530" i="1"/>
  <c r="G531" i="1"/>
  <c r="H531" i="1"/>
  <c r="I531" i="1"/>
  <c r="F531" i="1"/>
  <c r="G532" i="1"/>
  <c r="H532" i="1"/>
  <c r="I532" i="1"/>
  <c r="F532" i="1"/>
  <c r="G533" i="1"/>
  <c r="H533" i="1"/>
  <c r="I533" i="1"/>
  <c r="F533" i="1"/>
  <c r="G534" i="1"/>
  <c r="H534" i="1"/>
  <c r="I534" i="1"/>
  <c r="F534" i="1"/>
  <c r="G535" i="1"/>
  <c r="H535" i="1"/>
  <c r="I535" i="1"/>
  <c r="F535" i="1"/>
  <c r="G536" i="1"/>
  <c r="H536" i="1"/>
  <c r="I536" i="1"/>
  <c r="F536" i="1"/>
  <c r="G537" i="1"/>
  <c r="H537" i="1"/>
  <c r="I537" i="1"/>
  <c r="F537" i="1"/>
  <c r="G538" i="1"/>
  <c r="H538" i="1"/>
  <c r="I538" i="1"/>
  <c r="F538" i="1"/>
  <c r="G539" i="1"/>
  <c r="H539" i="1"/>
  <c r="I539" i="1"/>
  <c r="F539" i="1"/>
  <c r="G540" i="1"/>
  <c r="H540" i="1"/>
  <c r="I540" i="1"/>
  <c r="F540" i="1"/>
  <c r="G541" i="1"/>
  <c r="H541" i="1"/>
  <c r="I541" i="1"/>
  <c r="F541" i="1"/>
  <c r="G542" i="1"/>
  <c r="H542" i="1"/>
  <c r="I542" i="1"/>
  <c r="F542" i="1"/>
  <c r="G543" i="1"/>
  <c r="H543" i="1"/>
  <c r="I543" i="1"/>
  <c r="F543" i="1"/>
  <c r="G544" i="1"/>
  <c r="H544" i="1"/>
  <c r="I544" i="1"/>
  <c r="F544" i="1"/>
  <c r="G545" i="1"/>
  <c r="H545" i="1"/>
  <c r="I545" i="1"/>
  <c r="F545" i="1"/>
  <c r="G546" i="1"/>
  <c r="H546" i="1"/>
  <c r="I546" i="1"/>
  <c r="F546" i="1"/>
  <c r="G547" i="1"/>
  <c r="H547" i="1"/>
  <c r="I547" i="1"/>
  <c r="F547" i="1"/>
  <c r="G548" i="1"/>
  <c r="H548" i="1"/>
  <c r="I548" i="1"/>
  <c r="F548" i="1"/>
  <c r="G549" i="1"/>
  <c r="H549" i="1"/>
  <c r="I549" i="1"/>
  <c r="F549" i="1"/>
  <c r="G550" i="1"/>
  <c r="H550" i="1"/>
  <c r="I550" i="1"/>
  <c r="F550" i="1"/>
  <c r="G551" i="1"/>
  <c r="H551" i="1"/>
  <c r="I551" i="1"/>
  <c r="F551" i="1"/>
  <c r="G552" i="1"/>
  <c r="H552" i="1"/>
  <c r="I552" i="1"/>
  <c r="F552" i="1"/>
  <c r="G553" i="1"/>
  <c r="H553" i="1"/>
  <c r="I553" i="1"/>
  <c r="F553" i="1"/>
  <c r="G554" i="1"/>
  <c r="H554" i="1"/>
  <c r="I554" i="1"/>
  <c r="F554" i="1"/>
  <c r="G555" i="1"/>
  <c r="H555" i="1"/>
  <c r="I555" i="1"/>
  <c r="F555" i="1"/>
  <c r="G556" i="1"/>
  <c r="H556" i="1"/>
  <c r="I556" i="1"/>
  <c r="F556" i="1"/>
  <c r="G557" i="1"/>
  <c r="H557" i="1"/>
  <c r="I557" i="1"/>
  <c r="F557" i="1"/>
  <c r="G558" i="1"/>
  <c r="H558" i="1"/>
  <c r="I558" i="1"/>
  <c r="F558" i="1"/>
  <c r="G559" i="1"/>
  <c r="H559" i="1"/>
  <c r="I559" i="1"/>
  <c r="F559" i="1"/>
  <c r="G560" i="1"/>
  <c r="H560" i="1"/>
  <c r="I560" i="1"/>
  <c r="F560" i="1"/>
  <c r="G561" i="1"/>
  <c r="H561" i="1"/>
  <c r="I561" i="1"/>
  <c r="F561" i="1"/>
  <c r="G562" i="1"/>
  <c r="H562" i="1"/>
  <c r="I562" i="1"/>
  <c r="F562" i="1"/>
  <c r="G563" i="1"/>
  <c r="H563" i="1"/>
  <c r="I563" i="1"/>
  <c r="F563" i="1"/>
  <c r="G564" i="1"/>
  <c r="H564" i="1"/>
  <c r="I564" i="1"/>
  <c r="F564" i="1"/>
  <c r="G565" i="1"/>
  <c r="H565" i="1"/>
  <c r="I565" i="1"/>
  <c r="F565" i="1"/>
  <c r="G566" i="1"/>
  <c r="H566" i="1"/>
  <c r="I566" i="1"/>
  <c r="F566" i="1"/>
  <c r="G567" i="1"/>
  <c r="H567" i="1"/>
  <c r="I567" i="1"/>
  <c r="F567" i="1"/>
  <c r="G568" i="1"/>
  <c r="H568" i="1"/>
  <c r="I568" i="1"/>
  <c r="F568" i="1"/>
  <c r="G569" i="1"/>
  <c r="H569" i="1"/>
  <c r="I569" i="1"/>
  <c r="F569" i="1"/>
  <c r="G570" i="1"/>
  <c r="H570" i="1"/>
  <c r="I570" i="1"/>
  <c r="F570" i="1"/>
  <c r="G571" i="1"/>
  <c r="H571" i="1"/>
  <c r="I571" i="1"/>
  <c r="F571" i="1"/>
  <c r="G572" i="1"/>
  <c r="H572" i="1"/>
  <c r="I572" i="1"/>
  <c r="F572" i="1"/>
  <c r="G573" i="1"/>
  <c r="H573" i="1"/>
  <c r="I573" i="1"/>
  <c r="F573" i="1"/>
  <c r="G574" i="1"/>
  <c r="H574" i="1"/>
  <c r="I574" i="1"/>
  <c r="F574" i="1"/>
  <c r="G575" i="1"/>
  <c r="H575" i="1"/>
  <c r="I575" i="1"/>
  <c r="F575" i="1"/>
  <c r="G576" i="1"/>
  <c r="H576" i="1"/>
  <c r="I576" i="1"/>
  <c r="F576" i="1"/>
  <c r="G577" i="1"/>
  <c r="H577" i="1"/>
  <c r="I577" i="1"/>
  <c r="F577" i="1"/>
  <c r="G578" i="1"/>
  <c r="H578" i="1"/>
  <c r="I578" i="1"/>
  <c r="F578" i="1"/>
  <c r="G579" i="1"/>
  <c r="H579" i="1"/>
  <c r="I579" i="1"/>
  <c r="F579" i="1"/>
  <c r="G580" i="1"/>
  <c r="H580" i="1"/>
  <c r="I580" i="1"/>
  <c r="F580" i="1"/>
  <c r="G581" i="1"/>
  <c r="H581" i="1"/>
  <c r="I581" i="1"/>
  <c r="F581" i="1"/>
  <c r="G582" i="1"/>
  <c r="H582" i="1"/>
  <c r="I582" i="1"/>
  <c r="F582" i="1"/>
  <c r="G583" i="1"/>
  <c r="H583" i="1"/>
  <c r="I583" i="1"/>
  <c r="F583" i="1"/>
  <c r="G584" i="1"/>
  <c r="H584" i="1"/>
  <c r="I584" i="1"/>
  <c r="F584" i="1"/>
  <c r="G585" i="1"/>
  <c r="H585" i="1"/>
  <c r="I585" i="1"/>
  <c r="F585" i="1"/>
  <c r="G586" i="1"/>
  <c r="H586" i="1"/>
  <c r="I586" i="1"/>
  <c r="F586" i="1"/>
  <c r="G587" i="1"/>
  <c r="H587" i="1"/>
  <c r="I587" i="1"/>
  <c r="F587" i="1"/>
  <c r="G588" i="1"/>
  <c r="H588" i="1"/>
  <c r="I588" i="1"/>
  <c r="F588" i="1"/>
  <c r="G589" i="1"/>
  <c r="H589" i="1"/>
  <c r="I589" i="1"/>
  <c r="F589" i="1"/>
  <c r="G590" i="1"/>
  <c r="H590" i="1"/>
  <c r="I590" i="1"/>
  <c r="F590" i="1"/>
  <c r="G591" i="1"/>
  <c r="H591" i="1"/>
  <c r="I591" i="1"/>
  <c r="F591" i="1"/>
  <c r="G592" i="1"/>
  <c r="H592" i="1"/>
  <c r="I592" i="1"/>
  <c r="F592" i="1"/>
  <c r="G593" i="1"/>
  <c r="H593" i="1"/>
  <c r="I593" i="1"/>
  <c r="F593" i="1"/>
  <c r="G594" i="1"/>
  <c r="H594" i="1"/>
  <c r="I594" i="1"/>
  <c r="F594" i="1"/>
  <c r="G595" i="1"/>
  <c r="H595" i="1"/>
  <c r="I595" i="1"/>
  <c r="F595" i="1"/>
  <c r="G596" i="1"/>
  <c r="H596" i="1"/>
  <c r="I596" i="1"/>
  <c r="F596" i="1"/>
  <c r="G597" i="1"/>
  <c r="H597" i="1"/>
  <c r="I597" i="1"/>
  <c r="F597" i="1"/>
  <c r="G598" i="1"/>
  <c r="H598" i="1"/>
  <c r="I598" i="1"/>
  <c r="F598" i="1"/>
  <c r="G599" i="1"/>
  <c r="H599" i="1"/>
  <c r="I599" i="1"/>
  <c r="F599" i="1"/>
  <c r="G600" i="1"/>
  <c r="H600" i="1"/>
  <c r="I600" i="1"/>
  <c r="F600" i="1"/>
  <c r="G601" i="1"/>
  <c r="H601" i="1"/>
  <c r="I601" i="1"/>
  <c r="F601" i="1"/>
  <c r="G602" i="1"/>
  <c r="H602" i="1"/>
  <c r="I602" i="1"/>
  <c r="F602" i="1"/>
  <c r="G603" i="1"/>
  <c r="H603" i="1"/>
  <c r="I603" i="1"/>
  <c r="F603" i="1"/>
  <c r="G604" i="1"/>
  <c r="H604" i="1"/>
  <c r="I604" i="1"/>
  <c r="F604" i="1"/>
  <c r="G605" i="1"/>
  <c r="H605" i="1"/>
  <c r="I605" i="1"/>
  <c r="F605" i="1"/>
  <c r="G606" i="1"/>
  <c r="H606" i="1"/>
  <c r="I606" i="1"/>
  <c r="F606" i="1"/>
  <c r="G607" i="1"/>
  <c r="H607" i="1"/>
  <c r="I607" i="1"/>
  <c r="F607" i="1"/>
  <c r="G608" i="1"/>
  <c r="H608" i="1"/>
  <c r="I608" i="1"/>
  <c r="F608" i="1"/>
  <c r="G609" i="1"/>
  <c r="H609" i="1"/>
  <c r="I609" i="1"/>
  <c r="F609" i="1"/>
  <c r="G610" i="1"/>
  <c r="H610" i="1"/>
  <c r="I610" i="1"/>
  <c r="F610" i="1"/>
  <c r="G611" i="1"/>
  <c r="H611" i="1"/>
  <c r="I611" i="1"/>
  <c r="F611" i="1"/>
  <c r="G612" i="1"/>
  <c r="H612" i="1"/>
  <c r="I612" i="1"/>
  <c r="F612" i="1"/>
  <c r="G613" i="1"/>
  <c r="H613" i="1"/>
  <c r="I613" i="1"/>
  <c r="F613" i="1"/>
  <c r="G614" i="1"/>
  <c r="H614" i="1"/>
  <c r="I614" i="1"/>
  <c r="F614" i="1"/>
  <c r="G615" i="1"/>
  <c r="H615" i="1"/>
  <c r="I615" i="1"/>
  <c r="F615" i="1"/>
  <c r="G616" i="1"/>
  <c r="H616" i="1"/>
  <c r="I616" i="1"/>
  <c r="F616" i="1"/>
  <c r="G617" i="1"/>
  <c r="H617" i="1"/>
  <c r="I617" i="1"/>
  <c r="F617" i="1"/>
  <c r="G618" i="1"/>
  <c r="H618" i="1"/>
  <c r="I618" i="1"/>
  <c r="F618" i="1"/>
  <c r="G619" i="1"/>
  <c r="H619" i="1"/>
  <c r="I619" i="1"/>
  <c r="F619" i="1"/>
  <c r="G620" i="1"/>
  <c r="H620" i="1"/>
  <c r="I620" i="1"/>
  <c r="F620" i="1"/>
  <c r="G621" i="1"/>
  <c r="H621" i="1"/>
  <c r="I621" i="1"/>
  <c r="F621" i="1"/>
  <c r="G622" i="1"/>
  <c r="H622" i="1"/>
  <c r="I622" i="1"/>
  <c r="F622" i="1"/>
  <c r="G623" i="1"/>
  <c r="H623" i="1"/>
  <c r="I623" i="1"/>
  <c r="F623" i="1"/>
  <c r="G624" i="1"/>
  <c r="H624" i="1"/>
  <c r="I624" i="1"/>
  <c r="F624" i="1"/>
  <c r="G625" i="1"/>
  <c r="H625" i="1"/>
  <c r="I625" i="1"/>
  <c r="F625" i="1"/>
  <c r="G626" i="1"/>
  <c r="H626" i="1"/>
  <c r="I626" i="1"/>
  <c r="F626" i="1"/>
  <c r="G627" i="1"/>
  <c r="H627" i="1"/>
  <c r="I627" i="1"/>
  <c r="F627" i="1"/>
  <c r="G628" i="1"/>
  <c r="H628" i="1"/>
  <c r="I628" i="1"/>
  <c r="F628" i="1"/>
  <c r="G629" i="1"/>
  <c r="H629" i="1"/>
  <c r="I629" i="1"/>
  <c r="F629" i="1"/>
  <c r="G630" i="1"/>
  <c r="H630" i="1"/>
  <c r="I630" i="1"/>
  <c r="F630" i="1"/>
  <c r="G631" i="1"/>
  <c r="H631" i="1"/>
  <c r="I631" i="1"/>
  <c r="F631" i="1"/>
  <c r="G632" i="1"/>
  <c r="H632" i="1"/>
  <c r="I632" i="1"/>
  <c r="F632" i="1"/>
  <c r="G633" i="1"/>
  <c r="H633" i="1"/>
  <c r="I633" i="1"/>
  <c r="F633" i="1"/>
  <c r="G634" i="1"/>
  <c r="H634" i="1"/>
  <c r="I634" i="1"/>
  <c r="F634" i="1"/>
  <c r="G635" i="1"/>
  <c r="H635" i="1"/>
  <c r="I635" i="1"/>
  <c r="F635" i="1"/>
  <c r="G636" i="1"/>
  <c r="H636" i="1"/>
  <c r="I636" i="1"/>
  <c r="F636" i="1"/>
  <c r="G637" i="1"/>
  <c r="H637" i="1"/>
  <c r="I637" i="1"/>
  <c r="F637" i="1"/>
  <c r="G638" i="1"/>
  <c r="H638" i="1"/>
  <c r="I638" i="1"/>
  <c r="F638" i="1"/>
  <c r="G639" i="1"/>
  <c r="H639" i="1"/>
  <c r="I639" i="1"/>
  <c r="F639" i="1"/>
  <c r="G640" i="1"/>
  <c r="H640" i="1"/>
  <c r="I640" i="1"/>
  <c r="F640" i="1"/>
  <c r="G641" i="1"/>
  <c r="H641" i="1"/>
  <c r="I641" i="1"/>
  <c r="F641" i="1"/>
  <c r="G642" i="1"/>
  <c r="H642" i="1"/>
  <c r="I642" i="1"/>
  <c r="F642" i="1"/>
  <c r="G643" i="1"/>
  <c r="H643" i="1"/>
  <c r="I643" i="1"/>
  <c r="F643" i="1"/>
  <c r="G644" i="1"/>
  <c r="H644" i="1"/>
  <c r="I644" i="1"/>
  <c r="F644" i="1"/>
  <c r="G645" i="1"/>
  <c r="H645" i="1"/>
  <c r="I645" i="1"/>
  <c r="F645" i="1"/>
  <c r="G646" i="1"/>
  <c r="H646" i="1"/>
  <c r="I646" i="1"/>
  <c r="F646" i="1"/>
  <c r="G647" i="1"/>
  <c r="H647" i="1"/>
  <c r="I647" i="1"/>
  <c r="F647" i="1"/>
  <c r="G648" i="1"/>
  <c r="H648" i="1"/>
  <c r="I648" i="1"/>
  <c r="F648" i="1"/>
  <c r="G649" i="1"/>
  <c r="H649" i="1"/>
  <c r="I649" i="1"/>
  <c r="F649" i="1"/>
  <c r="G650" i="1"/>
  <c r="H650" i="1"/>
  <c r="I650" i="1"/>
  <c r="F650" i="1"/>
  <c r="G651" i="1"/>
  <c r="H651" i="1"/>
  <c r="I651" i="1"/>
  <c r="F651" i="1"/>
  <c r="G652" i="1"/>
  <c r="H652" i="1"/>
  <c r="I652" i="1"/>
  <c r="F652" i="1"/>
  <c r="G653" i="1"/>
  <c r="H653" i="1"/>
  <c r="I653" i="1"/>
  <c r="F653" i="1"/>
  <c r="G654" i="1"/>
  <c r="H654" i="1"/>
  <c r="I654" i="1"/>
  <c r="F654" i="1"/>
  <c r="G655" i="1"/>
  <c r="H655" i="1"/>
  <c r="I655" i="1"/>
  <c r="F655" i="1"/>
  <c r="G656" i="1"/>
  <c r="H656" i="1"/>
  <c r="I656" i="1"/>
  <c r="F656" i="1"/>
  <c r="G657" i="1"/>
  <c r="H657" i="1"/>
  <c r="I657" i="1"/>
  <c r="F657" i="1"/>
  <c r="G658" i="1"/>
  <c r="H658" i="1"/>
  <c r="I658" i="1"/>
  <c r="F658" i="1"/>
  <c r="G659" i="1"/>
  <c r="H659" i="1"/>
  <c r="I659" i="1"/>
  <c r="F659" i="1"/>
  <c r="G660" i="1"/>
  <c r="H660" i="1"/>
  <c r="I660" i="1"/>
  <c r="F660" i="1"/>
  <c r="G661" i="1"/>
  <c r="H661" i="1"/>
  <c r="I661" i="1"/>
  <c r="F661" i="1"/>
  <c r="G662" i="1"/>
  <c r="H662" i="1"/>
  <c r="I662" i="1"/>
  <c r="F662" i="1"/>
  <c r="G663" i="1"/>
  <c r="H663" i="1"/>
  <c r="I663" i="1"/>
  <c r="F663" i="1"/>
  <c r="G664" i="1"/>
  <c r="H664" i="1"/>
  <c r="I664" i="1"/>
  <c r="F664" i="1"/>
  <c r="G665" i="1"/>
  <c r="H665" i="1"/>
  <c r="I665" i="1"/>
  <c r="F665" i="1"/>
  <c r="G666" i="1"/>
  <c r="H666" i="1"/>
  <c r="I666" i="1"/>
  <c r="F666" i="1"/>
  <c r="G667" i="1"/>
  <c r="H667" i="1"/>
  <c r="I667" i="1"/>
  <c r="F667" i="1"/>
  <c r="G668" i="1"/>
  <c r="H668" i="1"/>
  <c r="I668" i="1"/>
  <c r="F668" i="1"/>
  <c r="G669" i="1"/>
  <c r="H669" i="1"/>
  <c r="I669" i="1"/>
  <c r="F669" i="1"/>
  <c r="G670" i="1"/>
  <c r="H670" i="1"/>
  <c r="I670" i="1"/>
  <c r="F670" i="1"/>
  <c r="G671" i="1"/>
  <c r="H671" i="1"/>
  <c r="I671" i="1"/>
  <c r="F671" i="1"/>
  <c r="G672" i="1"/>
  <c r="H672" i="1"/>
  <c r="I672" i="1"/>
  <c r="F672" i="1"/>
  <c r="G673" i="1"/>
  <c r="H673" i="1"/>
  <c r="I673" i="1"/>
  <c r="F673" i="1"/>
  <c r="G674" i="1"/>
  <c r="H674" i="1"/>
  <c r="I674" i="1"/>
  <c r="F674" i="1"/>
  <c r="G675" i="1"/>
  <c r="H675" i="1"/>
  <c r="I675" i="1"/>
  <c r="F675" i="1"/>
  <c r="G676" i="1"/>
  <c r="H676" i="1"/>
  <c r="I676" i="1"/>
  <c r="F676" i="1"/>
  <c r="G677" i="1"/>
  <c r="H677" i="1"/>
  <c r="I677" i="1"/>
  <c r="F677" i="1"/>
  <c r="G678" i="1"/>
  <c r="H678" i="1"/>
  <c r="I678" i="1"/>
  <c r="F678" i="1"/>
  <c r="G679" i="1"/>
  <c r="H679" i="1"/>
  <c r="I679" i="1"/>
  <c r="F679" i="1"/>
  <c r="G680" i="1"/>
  <c r="H680" i="1"/>
  <c r="I680" i="1"/>
  <c r="F680" i="1"/>
  <c r="G681" i="1"/>
  <c r="H681" i="1"/>
  <c r="I681" i="1"/>
  <c r="F681" i="1"/>
  <c r="G682" i="1"/>
  <c r="H682" i="1"/>
  <c r="I682" i="1"/>
  <c r="F682" i="1"/>
  <c r="G683" i="1"/>
  <c r="H683" i="1"/>
  <c r="I683" i="1"/>
  <c r="F683" i="1"/>
  <c r="G684" i="1"/>
  <c r="H684" i="1"/>
  <c r="I684" i="1"/>
  <c r="F684" i="1"/>
  <c r="G685" i="1"/>
  <c r="H685" i="1"/>
  <c r="I685" i="1"/>
  <c r="F685" i="1"/>
  <c r="G686" i="1"/>
  <c r="H686" i="1"/>
  <c r="I686" i="1"/>
  <c r="F686" i="1"/>
  <c r="G687" i="1"/>
  <c r="H687" i="1"/>
  <c r="I687" i="1"/>
  <c r="F687" i="1"/>
  <c r="G688" i="1"/>
  <c r="H688" i="1"/>
  <c r="I688" i="1"/>
  <c r="F688" i="1"/>
  <c r="G689" i="1"/>
  <c r="H689" i="1"/>
  <c r="I689" i="1"/>
  <c r="F689" i="1"/>
  <c r="G690" i="1"/>
  <c r="H690" i="1"/>
  <c r="I690" i="1"/>
  <c r="F690" i="1"/>
  <c r="G691" i="1"/>
  <c r="H691" i="1"/>
  <c r="I691" i="1"/>
  <c r="F691" i="1"/>
  <c r="G692" i="1"/>
  <c r="H692" i="1"/>
  <c r="I692" i="1"/>
  <c r="F692" i="1"/>
  <c r="G693" i="1"/>
  <c r="H693" i="1"/>
  <c r="I693" i="1"/>
  <c r="F693" i="1"/>
  <c r="G694" i="1"/>
  <c r="H694" i="1"/>
  <c r="I694" i="1"/>
  <c r="F694" i="1"/>
  <c r="G695" i="1"/>
  <c r="H695" i="1"/>
  <c r="I695" i="1"/>
  <c r="F695" i="1"/>
  <c r="G696" i="1"/>
  <c r="H696" i="1"/>
  <c r="I696" i="1"/>
  <c r="F696" i="1"/>
  <c r="G697" i="1"/>
  <c r="H697" i="1"/>
  <c r="I697" i="1"/>
  <c r="F697" i="1"/>
  <c r="G698" i="1"/>
  <c r="H698" i="1"/>
  <c r="I698" i="1"/>
  <c r="F698" i="1"/>
  <c r="G699" i="1"/>
  <c r="H699" i="1"/>
  <c r="I699" i="1"/>
  <c r="F699" i="1"/>
  <c r="G700" i="1"/>
  <c r="H700" i="1"/>
  <c r="I700" i="1"/>
  <c r="F700" i="1"/>
  <c r="G701" i="1"/>
  <c r="H701" i="1"/>
  <c r="I701" i="1"/>
  <c r="F701" i="1"/>
  <c r="G702" i="1"/>
  <c r="H702" i="1"/>
  <c r="I702" i="1"/>
  <c r="F702" i="1"/>
  <c r="G703" i="1"/>
  <c r="H703" i="1"/>
  <c r="I703" i="1"/>
  <c r="F703" i="1"/>
  <c r="G704" i="1"/>
  <c r="H704" i="1"/>
  <c r="I704" i="1"/>
  <c r="F704" i="1"/>
  <c r="G705" i="1"/>
  <c r="H705" i="1"/>
  <c r="I705" i="1"/>
  <c r="F705" i="1"/>
  <c r="G706" i="1"/>
  <c r="H706" i="1"/>
  <c r="I706" i="1"/>
  <c r="F706" i="1"/>
  <c r="G707" i="1"/>
  <c r="H707" i="1"/>
  <c r="I707" i="1"/>
  <c r="F707" i="1"/>
  <c r="G708" i="1"/>
  <c r="H708" i="1"/>
  <c r="I708" i="1"/>
  <c r="F708" i="1"/>
  <c r="G709" i="1"/>
  <c r="H709" i="1"/>
  <c r="I709" i="1"/>
  <c r="F709" i="1"/>
  <c r="G710" i="1"/>
  <c r="H710" i="1"/>
  <c r="I710" i="1"/>
  <c r="F710" i="1"/>
  <c r="G711" i="1"/>
  <c r="H711" i="1"/>
  <c r="I711" i="1"/>
  <c r="F711" i="1"/>
  <c r="G712" i="1"/>
  <c r="H712" i="1"/>
  <c r="I712" i="1"/>
  <c r="F712" i="1"/>
  <c r="G713" i="1"/>
  <c r="H713" i="1"/>
  <c r="I713" i="1"/>
  <c r="F713" i="1"/>
  <c r="G714" i="1"/>
  <c r="H714" i="1"/>
  <c r="I714" i="1"/>
  <c r="F714" i="1"/>
  <c r="G715" i="1"/>
  <c r="H715" i="1"/>
  <c r="I715" i="1"/>
  <c r="F715" i="1"/>
  <c r="G716" i="1"/>
  <c r="H716" i="1"/>
  <c r="I716" i="1"/>
  <c r="F716" i="1"/>
  <c r="G717" i="1"/>
  <c r="H717" i="1"/>
  <c r="I717" i="1"/>
  <c r="F717" i="1"/>
  <c r="G718" i="1"/>
  <c r="H718" i="1"/>
  <c r="I718" i="1"/>
  <c r="F718" i="1"/>
  <c r="G719" i="1"/>
  <c r="H719" i="1"/>
  <c r="I719" i="1"/>
  <c r="F719" i="1"/>
  <c r="G720" i="1"/>
  <c r="H720" i="1"/>
  <c r="I720" i="1"/>
  <c r="F720" i="1"/>
  <c r="G721" i="1"/>
  <c r="H721" i="1"/>
  <c r="I721" i="1"/>
  <c r="F721" i="1"/>
  <c r="G722" i="1"/>
  <c r="H722" i="1"/>
  <c r="I722" i="1"/>
  <c r="F722" i="1"/>
  <c r="G723" i="1"/>
  <c r="H723" i="1"/>
  <c r="I723" i="1"/>
  <c r="F723" i="1"/>
  <c r="G724" i="1"/>
  <c r="H724" i="1"/>
  <c r="I724" i="1"/>
  <c r="F724" i="1"/>
  <c r="G725" i="1"/>
  <c r="H725" i="1"/>
  <c r="I725" i="1"/>
  <c r="F725" i="1"/>
  <c r="G726" i="1"/>
  <c r="H726" i="1"/>
  <c r="I726" i="1"/>
  <c r="F726" i="1"/>
  <c r="G727" i="1"/>
  <c r="H727" i="1"/>
  <c r="I727" i="1"/>
  <c r="F727" i="1"/>
  <c r="G728" i="1"/>
  <c r="H728" i="1"/>
  <c r="I728" i="1"/>
  <c r="F728" i="1"/>
  <c r="G729" i="1"/>
  <c r="H729" i="1"/>
  <c r="I729" i="1"/>
  <c r="F729" i="1"/>
  <c r="G730" i="1"/>
  <c r="H730" i="1"/>
  <c r="I730" i="1"/>
  <c r="F730" i="1"/>
  <c r="G731" i="1"/>
  <c r="H731" i="1"/>
  <c r="I731" i="1"/>
  <c r="F731" i="1"/>
  <c r="G732" i="1"/>
  <c r="H732" i="1"/>
  <c r="I732" i="1"/>
  <c r="F732" i="1"/>
  <c r="G733" i="1"/>
  <c r="H733" i="1"/>
  <c r="I733" i="1"/>
  <c r="F733" i="1"/>
  <c r="G734" i="1"/>
  <c r="H734" i="1"/>
  <c r="I734" i="1"/>
  <c r="F734" i="1"/>
  <c r="G735" i="1"/>
  <c r="H735" i="1"/>
  <c r="I735" i="1"/>
  <c r="F735" i="1"/>
  <c r="G736" i="1"/>
  <c r="H736" i="1"/>
  <c r="I736" i="1"/>
  <c r="F736" i="1"/>
  <c r="G737" i="1"/>
  <c r="H737" i="1"/>
  <c r="I737" i="1"/>
  <c r="F737" i="1"/>
  <c r="G738" i="1"/>
  <c r="H738" i="1"/>
  <c r="I738" i="1"/>
  <c r="F738" i="1"/>
  <c r="G739" i="1"/>
  <c r="H739" i="1"/>
  <c r="I739" i="1"/>
  <c r="F739" i="1"/>
  <c r="G740" i="1"/>
  <c r="H740" i="1"/>
  <c r="I740" i="1"/>
  <c r="F740" i="1"/>
  <c r="G741" i="1"/>
  <c r="H741" i="1"/>
  <c r="I741" i="1"/>
  <c r="F741" i="1"/>
  <c r="G742" i="1"/>
  <c r="H742" i="1"/>
  <c r="I742" i="1"/>
  <c r="F742" i="1"/>
  <c r="G743" i="1"/>
  <c r="H743" i="1"/>
  <c r="I743" i="1"/>
  <c r="F743" i="1"/>
  <c r="G744" i="1"/>
  <c r="H744" i="1"/>
  <c r="I744" i="1"/>
  <c r="F744" i="1"/>
  <c r="G745" i="1"/>
  <c r="H745" i="1"/>
  <c r="I745" i="1"/>
  <c r="F745" i="1"/>
  <c r="G746" i="1"/>
  <c r="H746" i="1"/>
  <c r="I746" i="1"/>
  <c r="F746" i="1"/>
  <c r="H3" i="1"/>
  <c r="H749" i="1" s="1"/>
  <c r="I3" i="1"/>
  <c r="F3" i="1"/>
  <c r="F749" i="1" s="1"/>
  <c r="G3" i="1"/>
  <c r="G749" i="1" s="1"/>
  <c r="I749" i="1" l="1"/>
  <c r="F748" i="1"/>
  <c r="I748" i="1"/>
  <c r="H748" i="1"/>
  <c r="G748" i="1"/>
</calcChain>
</file>

<file path=xl/sharedStrings.xml><?xml version="1.0" encoding="utf-8"?>
<sst xmlns="http://schemas.openxmlformats.org/spreadsheetml/2006/main" count="9" uniqueCount="8">
  <si>
    <t xml:space="preserve">  年月日  </t>
  </si>
  <si>
    <t xml:space="preserve">1101   台泥    </t>
  </si>
  <si>
    <t xml:space="preserve">1210   大成    </t>
  </si>
  <si>
    <t xml:space="preserve">2303   聯電    </t>
  </si>
  <si>
    <t xml:space="preserve">1101   台泥    </t>
    <phoneticPr fontId="1" type="noConversion"/>
  </si>
  <si>
    <t xml:space="preserve">1210   大成    </t>
    <phoneticPr fontId="1" type="noConversion"/>
  </si>
  <si>
    <t xml:space="preserve">2303   聯電    </t>
    <phoneticPr fontId="1" type="noConversion"/>
  </si>
  <si>
    <t>加權指數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</si>
</sst>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0.0000"/>
  </numFmts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5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54581500188682"/>
          <c:y val="7.0955754246841279E-2"/>
          <c:w val="0.77520102802578628"/>
          <c:h val="0.796034867956750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170593775359815"/>
                  <c:y val="0.591091171849293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00"/>
                      </a:solidFill>
                      <a:latin typeface="新細明體"/>
                      <a:ea typeface="新細明體"/>
                      <a:cs typeface="新細明體"/>
                    </a:defRPr>
                  </a:pPr>
                  <a:endParaRPr lang="zh-TW"/>
                </a:p>
              </c:txPr>
            </c:trendlineLbl>
          </c:trendline>
          <c:xVal>
            <c:numRef>
              <c:f>beta!$F$3:$F$251</c:f>
              <c:numCache>
                <c:formatCode>0.0000</c:formatCode>
                <c:ptCount val="249"/>
                <c:pt idx="0">
                  <c:v>1.3880520925059035E-2</c:v>
                </c:pt>
                <c:pt idx="1">
                  <c:v>3.0348939338037464E-3</c:v>
                </c:pt>
                <c:pt idx="2">
                  <c:v>-4.4921801885091631E-4</c:v>
                </c:pt>
                <c:pt idx="3">
                  <c:v>4.5463057195196535E-3</c:v>
                </c:pt>
                <c:pt idx="4">
                  <c:v>9.3707905601563071E-3</c:v>
                </c:pt>
                <c:pt idx="5">
                  <c:v>-1.1675001365026912E-3</c:v>
                </c:pt>
                <c:pt idx="6">
                  <c:v>-1.5257946110027287E-3</c:v>
                </c:pt>
                <c:pt idx="7">
                  <c:v>1.0426361706992666E-2</c:v>
                </c:pt>
                <c:pt idx="8">
                  <c:v>-1.6892511039893997E-3</c:v>
                </c:pt>
                <c:pt idx="9">
                  <c:v>8.5244006979155859E-4</c:v>
                </c:pt>
                <c:pt idx="10">
                  <c:v>1.8329396415464203E-2</c:v>
                </c:pt>
                <c:pt idx="11">
                  <c:v>2.5373435892132997E-4</c:v>
                </c:pt>
                <c:pt idx="12">
                  <c:v>-1.152476022705036E-2</c:v>
                </c:pt>
                <c:pt idx="13">
                  <c:v>9.9371896113360433E-3</c:v>
                </c:pt>
                <c:pt idx="14">
                  <c:v>-8.6928151733700696E-3</c:v>
                </c:pt>
                <c:pt idx="15">
                  <c:v>-1.0716839979999948E-2</c:v>
                </c:pt>
                <c:pt idx="16">
                  <c:v>-1.7337813868010673E-3</c:v>
                </c:pt>
                <c:pt idx="17">
                  <c:v>4.2859042617109325E-3</c:v>
                </c:pt>
                <c:pt idx="18">
                  <c:v>1.3594144355422826E-2</c:v>
                </c:pt>
                <c:pt idx="19">
                  <c:v>1.7272777353679519E-2</c:v>
                </c:pt>
                <c:pt idx="20">
                  <c:v>3.9067999981433031E-3</c:v>
                </c:pt>
                <c:pt idx="21">
                  <c:v>-5.2324631569861963E-3</c:v>
                </c:pt>
                <c:pt idx="22">
                  <c:v>-2.7020369082129386E-3</c:v>
                </c:pt>
                <c:pt idx="23">
                  <c:v>1.743527602358267E-2</c:v>
                </c:pt>
                <c:pt idx="24">
                  <c:v>2.4720652051095863E-3</c:v>
                </c:pt>
                <c:pt idx="25">
                  <c:v>5.3462333425230209E-3</c:v>
                </c:pt>
                <c:pt idx="26">
                  <c:v>8.1509347061650293E-4</c:v>
                </c:pt>
                <c:pt idx="27">
                  <c:v>1.1454998221273579E-2</c:v>
                </c:pt>
                <c:pt idx="28">
                  <c:v>-2.391671356218416E-3</c:v>
                </c:pt>
                <c:pt idx="29">
                  <c:v>5.250887399976053E-5</c:v>
                </c:pt>
                <c:pt idx="30">
                  <c:v>-1.15003397895856E-2</c:v>
                </c:pt>
                <c:pt idx="31">
                  <c:v>8.3545421847469568E-3</c:v>
                </c:pt>
                <c:pt idx="32">
                  <c:v>7.3702492971398342E-3</c:v>
                </c:pt>
                <c:pt idx="33">
                  <c:v>8.5593695140626699E-3</c:v>
                </c:pt>
                <c:pt idx="34">
                  <c:v>2.0426514027026034E-2</c:v>
                </c:pt>
                <c:pt idx="35">
                  <c:v>1.2605194507311525E-2</c:v>
                </c:pt>
                <c:pt idx="36">
                  <c:v>-6.177547503605621E-3</c:v>
                </c:pt>
                <c:pt idx="37">
                  <c:v>1.4703909454038244E-2</c:v>
                </c:pt>
                <c:pt idx="38">
                  <c:v>-1.2854522966690844E-2</c:v>
                </c:pt>
                <c:pt idx="39">
                  <c:v>-6.0774690077884819E-3</c:v>
                </c:pt>
                <c:pt idx="40">
                  <c:v>1.0493401415348604E-2</c:v>
                </c:pt>
                <c:pt idx="41">
                  <c:v>-1.4194353231333943E-2</c:v>
                </c:pt>
                <c:pt idx="42">
                  <c:v>6.1091708836913036E-4</c:v>
                </c:pt>
                <c:pt idx="43">
                  <c:v>-1.1465145927307442E-2</c:v>
                </c:pt>
                <c:pt idx="44">
                  <c:v>-2.4155029822476887E-2</c:v>
                </c:pt>
                <c:pt idx="45">
                  <c:v>-6.9710879176850008E-3</c:v>
                </c:pt>
                <c:pt idx="46">
                  <c:v>-1.781562797812455E-3</c:v>
                </c:pt>
                <c:pt idx="47">
                  <c:v>3.1780272971337738E-2</c:v>
                </c:pt>
                <c:pt idx="48">
                  <c:v>4.1343562648169232E-3</c:v>
                </c:pt>
                <c:pt idx="49">
                  <c:v>-6.6788553049189375E-2</c:v>
                </c:pt>
                <c:pt idx="50">
                  <c:v>-2.9407602611353563E-2</c:v>
                </c:pt>
                <c:pt idx="51">
                  <c:v>6.5884861061836627E-3</c:v>
                </c:pt>
                <c:pt idx="52">
                  <c:v>-9.146125570526532E-3</c:v>
                </c:pt>
                <c:pt idx="53">
                  <c:v>-3.9160398458271961E-3</c:v>
                </c:pt>
                <c:pt idx="54">
                  <c:v>5.5684193705137414E-2</c:v>
                </c:pt>
                <c:pt idx="55">
                  <c:v>3.1819045397746353E-3</c:v>
                </c:pt>
                <c:pt idx="56">
                  <c:v>4.2311358012905214E-3</c:v>
                </c:pt>
                <c:pt idx="57">
                  <c:v>1.9931955370821488E-4</c:v>
                </c:pt>
                <c:pt idx="58">
                  <c:v>3.3800925578180057E-3</c:v>
                </c:pt>
                <c:pt idx="59">
                  <c:v>2.0959309697901104E-2</c:v>
                </c:pt>
                <c:pt idx="60">
                  <c:v>-7.0614853510465939E-3</c:v>
                </c:pt>
                <c:pt idx="61">
                  <c:v>1.6878807150585812E-3</c:v>
                </c:pt>
                <c:pt idx="62">
                  <c:v>3.9297460108263437E-3</c:v>
                </c:pt>
                <c:pt idx="63">
                  <c:v>-7.8676909151398355E-3</c:v>
                </c:pt>
                <c:pt idx="64">
                  <c:v>2.3778163121038746E-2</c:v>
                </c:pt>
                <c:pt idx="65">
                  <c:v>2.4418024780975753E-3</c:v>
                </c:pt>
                <c:pt idx="66">
                  <c:v>1.2635535807062708E-2</c:v>
                </c:pt>
                <c:pt idx="67">
                  <c:v>-2.0841024508079776E-2</c:v>
                </c:pt>
                <c:pt idx="68">
                  <c:v>1.2084390340206516E-2</c:v>
                </c:pt>
                <c:pt idx="69">
                  <c:v>-5.7229180722184044E-3</c:v>
                </c:pt>
                <c:pt idx="70">
                  <c:v>3.0667425853864276E-3</c:v>
                </c:pt>
                <c:pt idx="71">
                  <c:v>1.5117713754619132E-3</c:v>
                </c:pt>
                <c:pt idx="72">
                  <c:v>-1.1476818031643457E-2</c:v>
                </c:pt>
                <c:pt idx="73">
                  <c:v>2.3781619081147485E-3</c:v>
                </c:pt>
                <c:pt idx="74">
                  <c:v>-5.5423007957796332E-3</c:v>
                </c:pt>
                <c:pt idx="75">
                  <c:v>-9.5221064866555863E-3</c:v>
                </c:pt>
                <c:pt idx="76">
                  <c:v>-1.0839802611783141E-2</c:v>
                </c:pt>
                <c:pt idx="77">
                  <c:v>-2.6242822921023607E-2</c:v>
                </c:pt>
                <c:pt idx="78">
                  <c:v>-4.4422160472711712E-2</c:v>
                </c:pt>
                <c:pt idx="79">
                  <c:v>-1.4390770553515057E-2</c:v>
                </c:pt>
                <c:pt idx="80">
                  <c:v>2.626634183393383E-2</c:v>
                </c:pt>
                <c:pt idx="81">
                  <c:v>-5.3961200035551833E-2</c:v>
                </c:pt>
                <c:pt idx="82">
                  <c:v>9.4905734827638137E-3</c:v>
                </c:pt>
                <c:pt idx="83">
                  <c:v>2.2076926591300242E-2</c:v>
                </c:pt>
                <c:pt idx="84">
                  <c:v>-3.5629260992076507E-2</c:v>
                </c:pt>
                <c:pt idx="85">
                  <c:v>1.0525231543076797E-2</c:v>
                </c:pt>
                <c:pt idx="86">
                  <c:v>1.2304718026080684E-2</c:v>
                </c:pt>
                <c:pt idx="87">
                  <c:v>-6.8302457378091553E-3</c:v>
                </c:pt>
                <c:pt idx="88">
                  <c:v>-2.3786390541543037E-2</c:v>
                </c:pt>
                <c:pt idx="89">
                  <c:v>-5.0950959960673753E-2</c:v>
                </c:pt>
                <c:pt idx="90">
                  <c:v>1.3627675562105186E-2</c:v>
                </c:pt>
                <c:pt idx="91">
                  <c:v>5.4501158756891294E-2</c:v>
                </c:pt>
                <c:pt idx="92">
                  <c:v>-7.7210788010742964E-3</c:v>
                </c:pt>
                <c:pt idx="93">
                  <c:v>2.5726828915985794E-2</c:v>
                </c:pt>
                <c:pt idx="94">
                  <c:v>-3.8323939553456822E-3</c:v>
                </c:pt>
                <c:pt idx="95">
                  <c:v>2.7431471807852102E-3</c:v>
                </c:pt>
                <c:pt idx="96">
                  <c:v>1.1561867487471482E-2</c:v>
                </c:pt>
                <c:pt idx="97">
                  <c:v>9.5897479289956233E-4</c:v>
                </c:pt>
                <c:pt idx="98">
                  <c:v>1.7273186862366469E-2</c:v>
                </c:pt>
                <c:pt idx="99">
                  <c:v>-2.5975761170294247E-2</c:v>
                </c:pt>
                <c:pt idx="100">
                  <c:v>1.3984984542911273E-3</c:v>
                </c:pt>
                <c:pt idx="101">
                  <c:v>-1.8464134175269747E-2</c:v>
                </c:pt>
                <c:pt idx="102">
                  <c:v>-3.4756887299661185E-2</c:v>
                </c:pt>
                <c:pt idx="103">
                  <c:v>9.4226344232957206E-3</c:v>
                </c:pt>
                <c:pt idx="104">
                  <c:v>3.6844376049146685E-2</c:v>
                </c:pt>
                <c:pt idx="105">
                  <c:v>8.5817966178220548E-3</c:v>
                </c:pt>
                <c:pt idx="106">
                  <c:v>-3.5177625293147546E-3</c:v>
                </c:pt>
                <c:pt idx="107">
                  <c:v>-1.6459091137670284E-2</c:v>
                </c:pt>
                <c:pt idx="108">
                  <c:v>-2.257175531017425E-2</c:v>
                </c:pt>
                <c:pt idx="109">
                  <c:v>-2.8071148216150768E-2</c:v>
                </c:pt>
                <c:pt idx="110">
                  <c:v>1.2990484528388515E-2</c:v>
                </c:pt>
                <c:pt idx="111">
                  <c:v>-1.5289144229423931E-2</c:v>
                </c:pt>
                <c:pt idx="112">
                  <c:v>1.8738669390808989E-2</c:v>
                </c:pt>
                <c:pt idx="113">
                  <c:v>-1.6782155057508876E-2</c:v>
                </c:pt>
                <c:pt idx="114">
                  <c:v>-2.2893402929278239E-3</c:v>
                </c:pt>
                <c:pt idx="115">
                  <c:v>3.1091290623301591E-2</c:v>
                </c:pt>
                <c:pt idx="116">
                  <c:v>8.6904159321383005E-3</c:v>
                </c:pt>
                <c:pt idx="117">
                  <c:v>4.0594626489637705E-3</c:v>
                </c:pt>
                <c:pt idx="118">
                  <c:v>-1.5977458186486982E-2</c:v>
                </c:pt>
                <c:pt idx="119">
                  <c:v>5.5483165903073102E-3</c:v>
                </c:pt>
                <c:pt idx="120">
                  <c:v>1.7054717217740104E-2</c:v>
                </c:pt>
                <c:pt idx="121">
                  <c:v>-4.3326072363098953E-4</c:v>
                </c:pt>
                <c:pt idx="122">
                  <c:v>-1.5455095247314083E-2</c:v>
                </c:pt>
                <c:pt idx="123">
                  <c:v>-1.5125202290009932E-2</c:v>
                </c:pt>
                <c:pt idx="124">
                  <c:v>1.3037609235694667E-2</c:v>
                </c:pt>
                <c:pt idx="125">
                  <c:v>-1.009842035590385E-3</c:v>
                </c:pt>
                <c:pt idx="126">
                  <c:v>-2.5123171630194278E-3</c:v>
                </c:pt>
                <c:pt idx="127">
                  <c:v>1.1259514928965103E-2</c:v>
                </c:pt>
                <c:pt idx="128">
                  <c:v>-3.2850328503285851E-3</c:v>
                </c:pt>
                <c:pt idx="129">
                  <c:v>-1.2705904416591142E-2</c:v>
                </c:pt>
                <c:pt idx="130">
                  <c:v>-1.0890728634068366E-2</c:v>
                </c:pt>
                <c:pt idx="131">
                  <c:v>-1.4376783761435983E-2</c:v>
                </c:pt>
                <c:pt idx="132">
                  <c:v>-7.3356426354910607E-3</c:v>
                </c:pt>
                <c:pt idx="133">
                  <c:v>-2.3699869505319679E-3</c:v>
                </c:pt>
                <c:pt idx="134">
                  <c:v>-2.9771729427410697E-2</c:v>
                </c:pt>
                <c:pt idx="135">
                  <c:v>1.5669360532363907E-2</c:v>
                </c:pt>
                <c:pt idx="136">
                  <c:v>-3.9137532283380272E-3</c:v>
                </c:pt>
                <c:pt idx="137">
                  <c:v>-2.61880192132081E-3</c:v>
                </c:pt>
                <c:pt idx="138">
                  <c:v>-7.8416777543102844E-3</c:v>
                </c:pt>
                <c:pt idx="139">
                  <c:v>1.2547569166364944E-2</c:v>
                </c:pt>
                <c:pt idx="140">
                  <c:v>-2.7859022970727586E-3</c:v>
                </c:pt>
                <c:pt idx="141">
                  <c:v>-6.2987942944922898E-3</c:v>
                </c:pt>
                <c:pt idx="142">
                  <c:v>1.3255047984357858E-2</c:v>
                </c:pt>
                <c:pt idx="143">
                  <c:v>-1.2945133076410797E-2</c:v>
                </c:pt>
                <c:pt idx="144">
                  <c:v>3.1436901913876754E-3</c:v>
                </c:pt>
                <c:pt idx="145">
                  <c:v>-9.3810203420020728E-3</c:v>
                </c:pt>
                <c:pt idx="146">
                  <c:v>2.08280435669858E-2</c:v>
                </c:pt>
                <c:pt idx="147">
                  <c:v>-5.2417178094962278E-3</c:v>
                </c:pt>
                <c:pt idx="148">
                  <c:v>5.3712058912861192E-5</c:v>
                </c:pt>
                <c:pt idx="149">
                  <c:v>-1.059367157766116E-3</c:v>
                </c:pt>
                <c:pt idx="150">
                  <c:v>-4.8927180263008008E-3</c:v>
                </c:pt>
                <c:pt idx="151">
                  <c:v>1.2669217899374569E-4</c:v>
                </c:pt>
                <c:pt idx="152">
                  <c:v>4.0815794277964416E-3</c:v>
                </c:pt>
                <c:pt idx="153">
                  <c:v>-7.0353418318976442E-3</c:v>
                </c:pt>
                <c:pt idx="154">
                  <c:v>-1.7787709664220427E-3</c:v>
                </c:pt>
                <c:pt idx="155">
                  <c:v>1.5958850648293253E-2</c:v>
                </c:pt>
                <c:pt idx="156">
                  <c:v>3.2285938003776847E-2</c:v>
                </c:pt>
                <c:pt idx="157">
                  <c:v>3.5463208037137123E-3</c:v>
                </c:pt>
                <c:pt idx="158">
                  <c:v>6.7776896454830073E-3</c:v>
                </c:pt>
                <c:pt idx="159">
                  <c:v>2.6924714315744485E-2</c:v>
                </c:pt>
                <c:pt idx="160">
                  <c:v>-2.6972214146995625E-3</c:v>
                </c:pt>
                <c:pt idx="161">
                  <c:v>-1.5126662078649047E-3</c:v>
                </c:pt>
                <c:pt idx="162">
                  <c:v>-4.0421907983153454E-3</c:v>
                </c:pt>
                <c:pt idx="163">
                  <c:v>1.6060941386236219E-2</c:v>
                </c:pt>
                <c:pt idx="164">
                  <c:v>-9.030169985695056E-4</c:v>
                </c:pt>
                <c:pt idx="165">
                  <c:v>-1.566928932058741E-2</c:v>
                </c:pt>
                <c:pt idx="166">
                  <c:v>2.5776148470614242E-3</c:v>
                </c:pt>
                <c:pt idx="167">
                  <c:v>1.2264564169951843E-2</c:v>
                </c:pt>
                <c:pt idx="168">
                  <c:v>-1.3853660872635099E-4</c:v>
                </c:pt>
                <c:pt idx="169">
                  <c:v>-5.2856473292943668E-4</c:v>
                </c:pt>
                <c:pt idx="170">
                  <c:v>5.5793925308009998E-4</c:v>
                </c:pt>
                <c:pt idx="171">
                  <c:v>1.4031360595533272E-2</c:v>
                </c:pt>
                <c:pt idx="172">
                  <c:v>-1.4253856975618006E-3</c:v>
                </c:pt>
                <c:pt idx="173">
                  <c:v>-8.2266709686357273E-3</c:v>
                </c:pt>
                <c:pt idx="174">
                  <c:v>3.4031275389325068E-3</c:v>
                </c:pt>
                <c:pt idx="175">
                  <c:v>-1.2333964233880184E-2</c:v>
                </c:pt>
                <c:pt idx="176">
                  <c:v>7.9317474421617719E-3</c:v>
                </c:pt>
                <c:pt idx="177">
                  <c:v>1.4446145818768437E-2</c:v>
                </c:pt>
                <c:pt idx="178">
                  <c:v>3.5164037207989014E-3</c:v>
                </c:pt>
                <c:pt idx="179">
                  <c:v>-5.5157465939050902E-3</c:v>
                </c:pt>
                <c:pt idx="180">
                  <c:v>-7.5860036212050969E-3</c:v>
                </c:pt>
                <c:pt idx="181">
                  <c:v>-7.2960739688503603E-3</c:v>
                </c:pt>
                <c:pt idx="182">
                  <c:v>-6.7479082681110051E-3</c:v>
                </c:pt>
                <c:pt idx="183">
                  <c:v>6.1861525883212878E-3</c:v>
                </c:pt>
                <c:pt idx="184">
                  <c:v>1.7048457923701184E-2</c:v>
                </c:pt>
                <c:pt idx="185">
                  <c:v>2.2304826461015694E-2</c:v>
                </c:pt>
                <c:pt idx="186">
                  <c:v>5.0181310834559328E-4</c:v>
                </c:pt>
                <c:pt idx="187">
                  <c:v>-3.3547058794510362E-3</c:v>
                </c:pt>
                <c:pt idx="188">
                  <c:v>6.9943454536755094E-3</c:v>
                </c:pt>
                <c:pt idx="189">
                  <c:v>-1.3763722759301089E-4</c:v>
                </c:pt>
                <c:pt idx="190">
                  <c:v>-2.1107280045098964E-3</c:v>
                </c:pt>
                <c:pt idx="191">
                  <c:v>-1.8018550633243889E-2</c:v>
                </c:pt>
                <c:pt idx="192">
                  <c:v>-2.7577279933641758E-3</c:v>
                </c:pt>
                <c:pt idx="193">
                  <c:v>-2.2136248610195756E-2</c:v>
                </c:pt>
                <c:pt idx="194">
                  <c:v>-1.7578248932014194E-3</c:v>
                </c:pt>
                <c:pt idx="195">
                  <c:v>-8.3665188066285884E-3</c:v>
                </c:pt>
                <c:pt idx="196">
                  <c:v>6.179705203634033E-3</c:v>
                </c:pt>
                <c:pt idx="197">
                  <c:v>-3.3489502891805348E-3</c:v>
                </c:pt>
                <c:pt idx="198">
                  <c:v>1.537573812180977E-3</c:v>
                </c:pt>
                <c:pt idx="199">
                  <c:v>-3.8932319517563031E-3</c:v>
                </c:pt>
                <c:pt idx="200">
                  <c:v>-1.9358681967973922E-2</c:v>
                </c:pt>
                <c:pt idx="201">
                  <c:v>-2.1031701183849656E-3</c:v>
                </c:pt>
                <c:pt idx="202">
                  <c:v>7.8906807149923194E-3</c:v>
                </c:pt>
                <c:pt idx="203">
                  <c:v>1.8207164879309305E-3</c:v>
                </c:pt>
                <c:pt idx="204">
                  <c:v>-8.720751919494318E-3</c:v>
                </c:pt>
                <c:pt idx="205">
                  <c:v>1.8287993465542867E-2</c:v>
                </c:pt>
                <c:pt idx="206">
                  <c:v>1.7924824771121776E-2</c:v>
                </c:pt>
                <c:pt idx="207">
                  <c:v>-3.6159888109039122E-4</c:v>
                </c:pt>
                <c:pt idx="208">
                  <c:v>1.2042868379877735E-2</c:v>
                </c:pt>
                <c:pt idx="209">
                  <c:v>1.0368704384022477E-3</c:v>
                </c:pt>
                <c:pt idx="210">
                  <c:v>1.3035877294330879E-3</c:v>
                </c:pt>
                <c:pt idx="211">
                  <c:v>5.5338760680884809E-4</c:v>
                </c:pt>
                <c:pt idx="212">
                  <c:v>-1.2435088568695475E-2</c:v>
                </c:pt>
                <c:pt idx="213">
                  <c:v>7.2584653724899082E-3</c:v>
                </c:pt>
                <c:pt idx="214">
                  <c:v>-1.7694299292228459E-3</c:v>
                </c:pt>
                <c:pt idx="215">
                  <c:v>7.0428615688325686E-4</c:v>
                </c:pt>
                <c:pt idx="216">
                  <c:v>1.9934527183061643E-2</c:v>
                </c:pt>
                <c:pt idx="217">
                  <c:v>3.4518335688740304E-3</c:v>
                </c:pt>
                <c:pt idx="218">
                  <c:v>-3.7920551980414217E-3</c:v>
                </c:pt>
                <c:pt idx="219">
                  <c:v>-3.1216865370734516E-2</c:v>
                </c:pt>
                <c:pt idx="220">
                  <c:v>2.1718204582747199E-3</c:v>
                </c:pt>
                <c:pt idx="221">
                  <c:v>1.0290372750423002E-2</c:v>
                </c:pt>
                <c:pt idx="222">
                  <c:v>-9.4852071706610919E-3</c:v>
                </c:pt>
                <c:pt idx="223">
                  <c:v>-1.3080591060315231E-2</c:v>
                </c:pt>
                <c:pt idx="224">
                  <c:v>1.1438657818003482E-3</c:v>
                </c:pt>
                <c:pt idx="225">
                  <c:v>1.0284758161258093E-2</c:v>
                </c:pt>
                <c:pt idx="226">
                  <c:v>-7.8942505765848946E-3</c:v>
                </c:pt>
                <c:pt idx="227">
                  <c:v>1.1956293049035793E-2</c:v>
                </c:pt>
                <c:pt idx="228">
                  <c:v>4.3149651922733869E-3</c:v>
                </c:pt>
                <c:pt idx="229">
                  <c:v>4.3948436097446131E-3</c:v>
                </c:pt>
                <c:pt idx="230">
                  <c:v>1.032239317336666E-3</c:v>
                </c:pt>
                <c:pt idx="231">
                  <c:v>-5.5305403288957704E-3</c:v>
                </c:pt>
                <c:pt idx="232">
                  <c:v>3.6419115113932835E-3</c:v>
                </c:pt>
                <c:pt idx="233">
                  <c:v>-3.9567329560348557E-4</c:v>
                </c:pt>
                <c:pt idx="234">
                  <c:v>-5.5382356473594897E-3</c:v>
                </c:pt>
                <c:pt idx="235">
                  <c:v>5.2322802433791595E-3</c:v>
                </c:pt>
                <c:pt idx="236">
                  <c:v>1.5725127545624579E-2</c:v>
                </c:pt>
                <c:pt idx="237">
                  <c:v>2.7738072628769022E-3</c:v>
                </c:pt>
                <c:pt idx="238">
                  <c:v>-1.6463899867590797E-3</c:v>
                </c:pt>
                <c:pt idx="239">
                  <c:v>-3.8906232319131135E-3</c:v>
                </c:pt>
                <c:pt idx="240">
                  <c:v>3.1908104658596043E-4</c:v>
                </c:pt>
                <c:pt idx="241">
                  <c:v>2.2829563198811047E-3</c:v>
                </c:pt>
                <c:pt idx="242">
                  <c:v>-6.4150415228148266E-4</c:v>
                </c:pt>
                <c:pt idx="243">
                  <c:v>3.6264082552057717E-3</c:v>
                </c:pt>
                <c:pt idx="244">
                  <c:v>-5.5619976675494436E-3</c:v>
                </c:pt>
                <c:pt idx="245">
                  <c:v>2.4440605819637533E-3</c:v>
                </c:pt>
                <c:pt idx="246">
                  <c:v>1.4651941398900451E-2</c:v>
                </c:pt>
                <c:pt idx="247">
                  <c:v>2.0317024418205322E-3</c:v>
                </c:pt>
                <c:pt idx="248">
                  <c:v>6.3646764554505311E-3</c:v>
                </c:pt>
              </c:numCache>
            </c:numRef>
          </c:xVal>
          <c:yVal>
            <c:numRef>
              <c:f>beta!$G$3:$G$251</c:f>
              <c:numCache>
                <c:formatCode>0.0000</c:formatCode>
                <c:ptCount val="249"/>
                <c:pt idx="0">
                  <c:v>6.4092664092664106E-2</c:v>
                </c:pt>
                <c:pt idx="1">
                  <c:v>1.0885341074020345E-2</c:v>
                </c:pt>
                <c:pt idx="2">
                  <c:v>-2.1536252692031511E-2</c:v>
                </c:pt>
                <c:pt idx="3">
                  <c:v>0</c:v>
                </c:pt>
                <c:pt idx="4">
                  <c:v>-1.6874541452677947E-2</c:v>
                </c:pt>
                <c:pt idx="5">
                  <c:v>1.7164179104477643E-2</c:v>
                </c:pt>
                <c:pt idx="6">
                  <c:v>1.1005135730007233E-2</c:v>
                </c:pt>
                <c:pt idx="7">
                  <c:v>2.177068214804069E-2</c:v>
                </c:pt>
                <c:pt idx="8">
                  <c:v>-2.1306818181818232E-2</c:v>
                </c:pt>
                <c:pt idx="9">
                  <c:v>1.6690856313497853E-2</c:v>
                </c:pt>
                <c:pt idx="10">
                  <c:v>2.1413276231263434E-2</c:v>
                </c:pt>
                <c:pt idx="11">
                  <c:v>-1.0482180293501073E-2</c:v>
                </c:pt>
                <c:pt idx="12">
                  <c:v>-4.8022598870056478E-2</c:v>
                </c:pt>
                <c:pt idx="13">
                  <c:v>3.3382789317507364E-2</c:v>
                </c:pt>
                <c:pt idx="14">
                  <c:v>-5.0251256281407244E-3</c:v>
                </c:pt>
                <c:pt idx="15">
                  <c:v>-2.7417027417027347E-2</c:v>
                </c:pt>
                <c:pt idx="16">
                  <c:v>5.1928783382789523E-3</c:v>
                </c:pt>
                <c:pt idx="17">
                  <c:v>0</c:v>
                </c:pt>
                <c:pt idx="18">
                  <c:v>5.0922509225092213E-2</c:v>
                </c:pt>
                <c:pt idx="19">
                  <c:v>0</c:v>
                </c:pt>
                <c:pt idx="20">
                  <c:v>4.7752808988764023E-2</c:v>
                </c:pt>
                <c:pt idx="21">
                  <c:v>-2.0777479892761429E-2</c:v>
                </c:pt>
                <c:pt idx="22">
                  <c:v>-3.0800821355236093E-2</c:v>
                </c:pt>
                <c:pt idx="23">
                  <c:v>6.9915254237288144E-2</c:v>
                </c:pt>
                <c:pt idx="24">
                  <c:v>4.95049504950495E-2</c:v>
                </c:pt>
                <c:pt idx="25">
                  <c:v>0</c:v>
                </c:pt>
                <c:pt idx="26">
                  <c:v>-3.3333333333333402E-2</c:v>
                </c:pt>
                <c:pt idx="27">
                  <c:v>9.7592713077423784E-3</c:v>
                </c:pt>
                <c:pt idx="28">
                  <c:v>0</c:v>
                </c:pt>
                <c:pt idx="29">
                  <c:v>1.0309278350515474E-2</c:v>
                </c:pt>
                <c:pt idx="30">
                  <c:v>-3.3801020408163227E-2</c:v>
                </c:pt>
                <c:pt idx="31">
                  <c:v>-1.5181518151815209E-2</c:v>
                </c:pt>
                <c:pt idx="32">
                  <c:v>4.6916890080429142E-3</c:v>
                </c:pt>
                <c:pt idx="33">
                  <c:v>1.067378252168113E-2</c:v>
                </c:pt>
                <c:pt idx="34">
                  <c:v>2.9702970297029656E-2</c:v>
                </c:pt>
                <c:pt idx="35">
                  <c:v>3.9102564102564179E-2</c:v>
                </c:pt>
                <c:pt idx="36">
                  <c:v>-2.8377544725478151E-2</c:v>
                </c:pt>
                <c:pt idx="37">
                  <c:v>5.0793650793650837E-3</c:v>
                </c:pt>
                <c:pt idx="38">
                  <c:v>-2.905874921036013E-2</c:v>
                </c:pt>
                <c:pt idx="39">
                  <c:v>-1.9518542615484642E-2</c:v>
                </c:pt>
                <c:pt idx="40">
                  <c:v>2.5215660252156536E-2</c:v>
                </c:pt>
                <c:pt idx="41">
                  <c:v>-1.4886731391585674E-2</c:v>
                </c:pt>
                <c:pt idx="42">
                  <c:v>5.2562417871222121E-3</c:v>
                </c:pt>
                <c:pt idx="43">
                  <c:v>4.5751633986927127E-3</c:v>
                </c:pt>
                <c:pt idx="44">
                  <c:v>-9.7592713077422639E-3</c:v>
                </c:pt>
                <c:pt idx="45">
                  <c:v>-4.5992115637319498E-3</c:v>
                </c:pt>
                <c:pt idx="46">
                  <c:v>-2.5082508250825135E-2</c:v>
                </c:pt>
                <c:pt idx="47">
                  <c:v>3.5883547731889044E-2</c:v>
                </c:pt>
                <c:pt idx="48">
                  <c:v>-9.8039215686274734E-3</c:v>
                </c:pt>
                <c:pt idx="49">
                  <c:v>-7.0627062706270644E-2</c:v>
                </c:pt>
                <c:pt idx="50">
                  <c:v>-6.9602272727272763E-2</c:v>
                </c:pt>
                <c:pt idx="51">
                  <c:v>6.1068702290076396E-3</c:v>
                </c:pt>
                <c:pt idx="52">
                  <c:v>-1.2139605462822469E-2</c:v>
                </c:pt>
                <c:pt idx="53">
                  <c:v>-5.3763440860215275E-3</c:v>
                </c:pt>
                <c:pt idx="54">
                  <c:v>6.4092664092664106E-2</c:v>
                </c:pt>
                <c:pt idx="55">
                  <c:v>1.0885341074020345E-2</c:v>
                </c:pt>
                <c:pt idx="56">
                  <c:v>0</c:v>
                </c:pt>
                <c:pt idx="57">
                  <c:v>-1.5793251974156416E-2</c:v>
                </c:pt>
                <c:pt idx="58">
                  <c:v>5.1057622173594826E-3</c:v>
                </c:pt>
                <c:pt idx="59">
                  <c:v>1.0885341074020345E-2</c:v>
                </c:pt>
                <c:pt idx="60">
                  <c:v>-2.7279253409906605E-2</c:v>
                </c:pt>
                <c:pt idx="61">
                  <c:v>-1.1070110701107036E-2</c:v>
                </c:pt>
                <c:pt idx="62">
                  <c:v>5.9701492537313485E-3</c:v>
                </c:pt>
                <c:pt idx="63">
                  <c:v>-1.1127596439169166E-2</c:v>
                </c:pt>
                <c:pt idx="64">
                  <c:v>3.9759939984996204E-2</c:v>
                </c:pt>
                <c:pt idx="65">
                  <c:v>2.1645021645021696E-2</c:v>
                </c:pt>
                <c:pt idx="66">
                  <c:v>0</c:v>
                </c:pt>
                <c:pt idx="67">
                  <c:v>-2.683615819209045E-2</c:v>
                </c:pt>
                <c:pt idx="68">
                  <c:v>0</c:v>
                </c:pt>
                <c:pt idx="69">
                  <c:v>-5.079825834542708E-3</c:v>
                </c:pt>
                <c:pt idx="70">
                  <c:v>-1.6776075857038688E-2</c:v>
                </c:pt>
                <c:pt idx="71">
                  <c:v>0</c:v>
                </c:pt>
                <c:pt idx="72">
                  <c:v>-5.9347181008902131E-3</c:v>
                </c:pt>
                <c:pt idx="73">
                  <c:v>-1.1194029850746294E-2</c:v>
                </c:pt>
                <c:pt idx="74">
                  <c:v>-1.7358490566037769E-2</c:v>
                </c:pt>
                <c:pt idx="75">
                  <c:v>-4.6082949308755734E-2</c:v>
                </c:pt>
                <c:pt idx="76">
                  <c:v>-1.8518518518518552E-2</c:v>
                </c:pt>
                <c:pt idx="77">
                  <c:v>-6.808859721082855E-2</c:v>
                </c:pt>
                <c:pt idx="78">
                  <c:v>-5.0176056338028199E-2</c:v>
                </c:pt>
                <c:pt idx="79">
                  <c:v>2.1316033364226175E-2</c:v>
                </c:pt>
                <c:pt idx="80">
                  <c:v>4.4464609800363E-2</c:v>
                </c:pt>
                <c:pt idx="81">
                  <c:v>-6.6029539530842729E-2</c:v>
                </c:pt>
                <c:pt idx="82">
                  <c:v>2.1395348837209342E-2</c:v>
                </c:pt>
                <c:pt idx="83">
                  <c:v>4.0983606557376984E-2</c:v>
                </c:pt>
                <c:pt idx="84">
                  <c:v>-4.6369203849518759E-2</c:v>
                </c:pt>
                <c:pt idx="85">
                  <c:v>2.4770642201834822E-2</c:v>
                </c:pt>
                <c:pt idx="86">
                  <c:v>0</c:v>
                </c:pt>
                <c:pt idx="87">
                  <c:v>7.162041181736801E-3</c:v>
                </c:pt>
                <c:pt idx="88">
                  <c:v>-2.75555555555556E-2</c:v>
                </c:pt>
                <c:pt idx="89">
                  <c:v>-6.8555758683729442E-2</c:v>
                </c:pt>
                <c:pt idx="90">
                  <c:v>3.3366045142296359E-2</c:v>
                </c:pt>
                <c:pt idx="91">
                  <c:v>6.8376068376068438E-2</c:v>
                </c:pt>
                <c:pt idx="92">
                  <c:v>-2.75555555555556E-2</c:v>
                </c:pt>
                <c:pt idx="93">
                  <c:v>5.9414990859232214E-2</c:v>
                </c:pt>
                <c:pt idx="94">
                  <c:v>-3.2786885245901551E-2</c:v>
                </c:pt>
                <c:pt idx="95">
                  <c:v>3.5682426404994778E-3</c:v>
                </c:pt>
                <c:pt idx="96">
                  <c:v>1.5999999999999976E-2</c:v>
                </c:pt>
                <c:pt idx="97">
                  <c:v>6.9991251093613361E-3</c:v>
                </c:pt>
                <c:pt idx="98">
                  <c:v>6.9504778453518745E-3</c:v>
                </c:pt>
                <c:pt idx="99">
                  <c:v>0</c:v>
                </c:pt>
                <c:pt idx="100">
                  <c:v>-1.9844693701466819E-2</c:v>
                </c:pt>
                <c:pt idx="101">
                  <c:v>-2.6408450704225258E-2</c:v>
                </c:pt>
                <c:pt idx="102">
                  <c:v>-3.4358047016274935E-2</c:v>
                </c:pt>
                <c:pt idx="103">
                  <c:v>-1.1235955056179702E-2</c:v>
                </c:pt>
                <c:pt idx="104">
                  <c:v>3.9772727272727265E-2</c:v>
                </c:pt>
                <c:pt idx="105">
                  <c:v>2.4590163934426191E-2</c:v>
                </c:pt>
                <c:pt idx="106">
                  <c:v>-3.5555555555554798E-3</c:v>
                </c:pt>
                <c:pt idx="107">
                  <c:v>-2.0517395182872471E-2</c:v>
                </c:pt>
                <c:pt idx="108">
                  <c:v>-1.3661202185792382E-2</c:v>
                </c:pt>
                <c:pt idx="109">
                  <c:v>-3.8781163434903038E-2</c:v>
                </c:pt>
                <c:pt idx="110">
                  <c:v>1.4409221902017325E-2</c:v>
                </c:pt>
                <c:pt idx="111">
                  <c:v>-2.4621212121212099E-2</c:v>
                </c:pt>
                <c:pt idx="112">
                  <c:v>1.4563106796116367E-2</c:v>
                </c:pt>
                <c:pt idx="113">
                  <c:v>-2.2009569377990302E-2</c:v>
                </c:pt>
                <c:pt idx="114">
                  <c:v>3.9138943248531455E-3</c:v>
                </c:pt>
                <c:pt idx="115">
                  <c:v>4.0935672514619874E-2</c:v>
                </c:pt>
                <c:pt idx="116">
                  <c:v>1.0299625468164741E-2</c:v>
                </c:pt>
                <c:pt idx="117">
                  <c:v>3.5217794253938908E-2</c:v>
                </c:pt>
                <c:pt idx="118">
                  <c:v>3.5810205908684803E-3</c:v>
                </c:pt>
                <c:pt idx="119">
                  <c:v>6.2444246208740858E-3</c:v>
                </c:pt>
                <c:pt idx="120">
                  <c:v>2.0390070921985855E-2</c:v>
                </c:pt>
                <c:pt idx="121">
                  <c:v>6.9504778453518745E-3</c:v>
                </c:pt>
                <c:pt idx="122">
                  <c:v>-6.9025021570319305E-3</c:v>
                </c:pt>
                <c:pt idx="123">
                  <c:v>2.6064291920069566E-2</c:v>
                </c:pt>
                <c:pt idx="124">
                  <c:v>-1.2701100762066075E-2</c:v>
                </c:pt>
                <c:pt idx="125">
                  <c:v>6.8610634648370557E-3</c:v>
                </c:pt>
                <c:pt idx="126">
                  <c:v>1.2776831345826266E-2</c:v>
                </c:pt>
                <c:pt idx="127">
                  <c:v>1.2615643397813169E-2</c:v>
                </c:pt>
                <c:pt idx="128">
                  <c:v>6.6445182724252554E-3</c:v>
                </c:pt>
                <c:pt idx="129">
                  <c:v>5.7755775577557995E-3</c:v>
                </c:pt>
                <c:pt idx="130">
                  <c:v>-4.3478260869565168E-2</c:v>
                </c:pt>
                <c:pt idx="131">
                  <c:v>0</c:v>
                </c:pt>
                <c:pt idx="132">
                  <c:v>6.8610634648370557E-3</c:v>
                </c:pt>
                <c:pt idx="133">
                  <c:v>0</c:v>
                </c:pt>
                <c:pt idx="134">
                  <c:v>-1.9591141396933597E-2</c:v>
                </c:pt>
                <c:pt idx="135">
                  <c:v>-6.9504778453518745E-3</c:v>
                </c:pt>
                <c:pt idx="136">
                  <c:v>0</c:v>
                </c:pt>
                <c:pt idx="137">
                  <c:v>0</c:v>
                </c:pt>
                <c:pt idx="138">
                  <c:v>-2.6246719160104893E-2</c:v>
                </c:pt>
                <c:pt idx="139">
                  <c:v>1.3477088948786933E-2</c:v>
                </c:pt>
                <c:pt idx="140">
                  <c:v>1.3297872340425565E-2</c:v>
                </c:pt>
                <c:pt idx="141">
                  <c:v>-2.6246719160104893E-2</c:v>
                </c:pt>
                <c:pt idx="142">
                  <c:v>1.7070979335130233E-2</c:v>
                </c:pt>
                <c:pt idx="143">
                  <c:v>3.5335689045935641E-3</c:v>
                </c:pt>
                <c:pt idx="144">
                  <c:v>4.6654929577464893E-2</c:v>
                </c:pt>
                <c:pt idx="145">
                  <c:v>-1.2615643397813318E-2</c:v>
                </c:pt>
                <c:pt idx="146">
                  <c:v>0</c:v>
                </c:pt>
                <c:pt idx="147">
                  <c:v>-2.6405451448040927E-2</c:v>
                </c:pt>
                <c:pt idx="148">
                  <c:v>-6.1242344706911884E-3</c:v>
                </c:pt>
                <c:pt idx="149">
                  <c:v>6.1619718309859411E-3</c:v>
                </c:pt>
                <c:pt idx="150">
                  <c:v>-6.1242344706911884E-3</c:v>
                </c:pt>
                <c:pt idx="151">
                  <c:v>6.1619718309859411E-3</c:v>
                </c:pt>
                <c:pt idx="152">
                  <c:v>2.7121609798775197E-2</c:v>
                </c:pt>
                <c:pt idx="153">
                  <c:v>5.9625212947189334E-3</c:v>
                </c:pt>
                <c:pt idx="154">
                  <c:v>-1.2701100762066075E-2</c:v>
                </c:pt>
                <c:pt idx="155">
                  <c:v>1.2864493996569498E-2</c:v>
                </c:pt>
                <c:pt idx="156">
                  <c:v>1.9475021168501156E-2</c:v>
                </c:pt>
                <c:pt idx="157">
                  <c:v>6.6445182724252554E-3</c:v>
                </c:pt>
                <c:pt idx="158">
                  <c:v>2.4752475247524813E-2</c:v>
                </c:pt>
                <c:pt idx="159">
                  <c:v>6.6022544283413878E-2</c:v>
                </c:pt>
                <c:pt idx="160">
                  <c:v>0</c:v>
                </c:pt>
                <c:pt idx="161">
                  <c:v>1.8126888217522674E-2</c:v>
                </c:pt>
                <c:pt idx="162">
                  <c:v>1.1869436201780426E-2</c:v>
                </c:pt>
                <c:pt idx="163">
                  <c:v>1.1730205278592386E-2</c:v>
                </c:pt>
                <c:pt idx="164">
                  <c:v>2.8985507246376708E-2</c:v>
                </c:pt>
                <c:pt idx="165">
                  <c:v>1.1267605633802828E-2</c:v>
                </c:pt>
                <c:pt idx="166">
                  <c:v>1.1142061281337058E-2</c:v>
                </c:pt>
                <c:pt idx="167">
                  <c:v>1.6528925619834725E-2</c:v>
                </c:pt>
                <c:pt idx="168">
                  <c:v>-2.1680216802168042E-2</c:v>
                </c:pt>
                <c:pt idx="169">
                  <c:v>-1.108033240997231E-2</c:v>
                </c:pt>
                <c:pt idx="170">
                  <c:v>0</c:v>
                </c:pt>
                <c:pt idx="171">
                  <c:v>5.6022408963585487E-3</c:v>
                </c:pt>
                <c:pt idx="172">
                  <c:v>-1.1142061281337058E-2</c:v>
                </c:pt>
                <c:pt idx="173">
                  <c:v>-1.6901408450704116E-2</c:v>
                </c:pt>
                <c:pt idx="174">
                  <c:v>1.7191977077363783E-2</c:v>
                </c:pt>
                <c:pt idx="175">
                  <c:v>-1.1267605633802828E-2</c:v>
                </c:pt>
                <c:pt idx="176">
                  <c:v>4.5584045584045628E-2</c:v>
                </c:pt>
                <c:pt idx="177">
                  <c:v>4.9046321525885603E-2</c:v>
                </c:pt>
                <c:pt idx="178">
                  <c:v>-5.1948051948051991E-3</c:v>
                </c:pt>
                <c:pt idx="179">
                  <c:v>-2.6109660574412556E-2</c:v>
                </c:pt>
                <c:pt idx="180">
                  <c:v>5.3619302949061707E-3</c:v>
                </c:pt>
                <c:pt idx="181">
                  <c:v>5.3333333333333384E-3</c:v>
                </c:pt>
                <c:pt idx="182">
                  <c:v>-1.0610079575596827E-2</c:v>
                </c:pt>
                <c:pt idx="183">
                  <c:v>1.0723860589812341E-2</c:v>
                </c:pt>
                <c:pt idx="184">
                  <c:v>2.6525198938992064E-2</c:v>
                </c:pt>
                <c:pt idx="185">
                  <c:v>-5.1679586563307539E-3</c:v>
                </c:pt>
                <c:pt idx="186">
                  <c:v>-5.1948051948051991E-3</c:v>
                </c:pt>
                <c:pt idx="187">
                  <c:v>-5.2219321148825109E-3</c:v>
                </c:pt>
                <c:pt idx="188">
                  <c:v>-5.2493438320210016E-3</c:v>
                </c:pt>
                <c:pt idx="189">
                  <c:v>1.0554089709762543E-2</c:v>
                </c:pt>
                <c:pt idx="190">
                  <c:v>5.2219321148825109E-3</c:v>
                </c:pt>
                <c:pt idx="191">
                  <c:v>-2.0779220779220797E-2</c:v>
                </c:pt>
                <c:pt idx="192">
                  <c:v>-1.5915119363395239E-2</c:v>
                </c:pt>
                <c:pt idx="193">
                  <c:v>-6.4690026954177832E-2</c:v>
                </c:pt>
                <c:pt idx="194">
                  <c:v>5.7636887608069213E-3</c:v>
                </c:pt>
                <c:pt idx="195">
                  <c:v>2.8653295128939726E-2</c:v>
                </c:pt>
                <c:pt idx="196">
                  <c:v>-2.2284122562674116E-2</c:v>
                </c:pt>
                <c:pt idx="197">
                  <c:v>3.9886039886039927E-2</c:v>
                </c:pt>
                <c:pt idx="198">
                  <c:v>1.6438356164383577E-2</c:v>
                </c:pt>
                <c:pt idx="199">
                  <c:v>-1.6172506738544489E-2</c:v>
                </c:pt>
                <c:pt idx="200">
                  <c:v>5.4794520547945258E-3</c:v>
                </c:pt>
                <c:pt idx="201">
                  <c:v>0</c:v>
                </c:pt>
                <c:pt idx="202">
                  <c:v>-5.449591280653956E-3</c:v>
                </c:pt>
                <c:pt idx="203">
                  <c:v>-5.4794520547945258E-3</c:v>
                </c:pt>
                <c:pt idx="204">
                  <c:v>0</c:v>
                </c:pt>
                <c:pt idx="205">
                  <c:v>1.6528925619834725E-2</c:v>
                </c:pt>
                <c:pt idx="206">
                  <c:v>1.0840108401084021E-2</c:v>
                </c:pt>
                <c:pt idx="207">
                  <c:v>-1.0723860589812341E-2</c:v>
                </c:pt>
                <c:pt idx="208">
                  <c:v>0</c:v>
                </c:pt>
                <c:pt idx="209">
                  <c:v>5.4200542005420106E-3</c:v>
                </c:pt>
                <c:pt idx="210">
                  <c:v>0</c:v>
                </c:pt>
                <c:pt idx="211">
                  <c:v>2.695417789757415E-2</c:v>
                </c:pt>
                <c:pt idx="212">
                  <c:v>-1.0498687664042003E-2</c:v>
                </c:pt>
                <c:pt idx="213">
                  <c:v>1.0610079575596827E-2</c:v>
                </c:pt>
                <c:pt idx="214">
                  <c:v>5.2493438320210016E-3</c:v>
                </c:pt>
                <c:pt idx="215">
                  <c:v>1.0443864229765022E-2</c:v>
                </c:pt>
                <c:pt idx="216">
                  <c:v>0</c:v>
                </c:pt>
                <c:pt idx="217">
                  <c:v>-2.0671834625323016E-2</c:v>
                </c:pt>
                <c:pt idx="218">
                  <c:v>0</c:v>
                </c:pt>
                <c:pt idx="219">
                  <c:v>-5.2770448548812715E-3</c:v>
                </c:pt>
                <c:pt idx="220">
                  <c:v>0</c:v>
                </c:pt>
                <c:pt idx="221">
                  <c:v>1.0610079575596827E-2</c:v>
                </c:pt>
                <c:pt idx="222">
                  <c:v>0</c:v>
                </c:pt>
                <c:pt idx="223">
                  <c:v>0</c:v>
                </c:pt>
                <c:pt idx="224">
                  <c:v>5.2493438320210016E-3</c:v>
                </c:pt>
                <c:pt idx="225">
                  <c:v>1.5665796344647532E-2</c:v>
                </c:pt>
                <c:pt idx="226">
                  <c:v>-1.0282776349614406E-2</c:v>
                </c:pt>
                <c:pt idx="227">
                  <c:v>0</c:v>
                </c:pt>
                <c:pt idx="228">
                  <c:v>0</c:v>
                </c:pt>
                <c:pt idx="229">
                  <c:v>1.0389610389610398E-2</c:v>
                </c:pt>
                <c:pt idx="230">
                  <c:v>0</c:v>
                </c:pt>
                <c:pt idx="231">
                  <c:v>5.1413881748072028E-3</c:v>
                </c:pt>
                <c:pt idx="232">
                  <c:v>0</c:v>
                </c:pt>
                <c:pt idx="233">
                  <c:v>0</c:v>
                </c:pt>
                <c:pt idx="234">
                  <c:v>5.1150895140665009E-3</c:v>
                </c:pt>
                <c:pt idx="235">
                  <c:v>0</c:v>
                </c:pt>
                <c:pt idx="236">
                  <c:v>2.6081424936386665E-2</c:v>
                </c:pt>
                <c:pt idx="237">
                  <c:v>4.9597024178550438E-3</c:v>
                </c:pt>
                <c:pt idx="238">
                  <c:v>3.4546576187538473E-2</c:v>
                </c:pt>
                <c:pt idx="239">
                  <c:v>4.7704233750746478E-3</c:v>
                </c:pt>
                <c:pt idx="240">
                  <c:v>0</c:v>
                </c:pt>
                <c:pt idx="241">
                  <c:v>-1.4243323442136616E-2</c:v>
                </c:pt>
                <c:pt idx="242">
                  <c:v>4.8163756773029406E-3</c:v>
                </c:pt>
                <c:pt idx="243">
                  <c:v>0</c:v>
                </c:pt>
                <c:pt idx="244">
                  <c:v>0</c:v>
                </c:pt>
                <c:pt idx="245">
                  <c:v>9.586578789694435E-3</c:v>
                </c:pt>
                <c:pt idx="246">
                  <c:v>-4.7477744807122753E-3</c:v>
                </c:pt>
                <c:pt idx="247">
                  <c:v>4.7704233750746478E-3</c:v>
                </c:pt>
                <c:pt idx="248">
                  <c:v>-4.7477744807122753E-3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DC-4EF7-8FDE-571298AD6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427712"/>
        <c:axId val="1"/>
      </c:scatterChart>
      <c:valAx>
        <c:axId val="555427712"/>
        <c:scaling>
          <c:orientation val="minMax"/>
          <c:max val="0.08"/>
          <c:min val="-0.08"/>
        </c:scaling>
        <c:delete val="0"/>
        <c:axPos val="b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市場報酬率</a:t>
                </a:r>
                <a:r>
                  <a:rPr lang="en-US" altLang="zh-TW"/>
                  <a:t>(</a:t>
                </a:r>
                <a:r>
                  <a:rPr lang="zh-TW" altLang="en-US"/>
                  <a:t>每日</a:t>
                </a:r>
                <a:r>
                  <a:rPr lang="en-US" altLang="zh-TW"/>
                  <a:t>)</a:t>
                </a:r>
              </a:p>
            </c:rich>
          </c:tx>
          <c:layout>
            <c:manualLayout>
              <c:xMode val="edge"/>
              <c:yMode val="edge"/>
              <c:x val="0.40516549198930824"/>
              <c:y val="0.8980337646865849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crossBetween val="midCat"/>
        <c:majorUnit val="0.02"/>
      </c:valAx>
      <c:valAx>
        <c:axId val="1"/>
        <c:scaling>
          <c:orientation val="minMax"/>
          <c:min val="-0.08"/>
        </c:scaling>
        <c:delete val="0"/>
        <c:axPos val="l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個股報酬率</a:t>
                </a:r>
                <a:r>
                  <a:rPr lang="en-US" altLang="zh-TW"/>
                  <a:t>(</a:t>
                </a:r>
                <a:r>
                  <a:rPr lang="zh-TW" altLang="en-US"/>
                  <a:t>每日</a:t>
                </a:r>
                <a:r>
                  <a:rPr lang="en-US" altLang="zh-TW"/>
                  <a:t>)</a:t>
                </a:r>
              </a:p>
            </c:rich>
          </c:tx>
          <c:layout>
            <c:manualLayout>
              <c:xMode val="edge"/>
              <c:yMode val="edge"/>
              <c:x val="4.4497944206918251E-2"/>
              <c:y val="0.3459093019533512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55542771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20116324331944"/>
          <c:y val="7.0642553734892824E-2"/>
          <c:w val="0.77572676502828641"/>
          <c:h val="0.79693630932175974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9.3179188990347273E-2"/>
                  <c:y val="0.45589156869348307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00"/>
                      </a:solidFill>
                      <a:latin typeface="新細明體"/>
                      <a:ea typeface="新細明體"/>
                      <a:cs typeface="新細明體"/>
                    </a:defRPr>
                  </a:pPr>
                  <a:endParaRPr lang="zh-TW"/>
                </a:p>
              </c:txPr>
            </c:trendlineLbl>
          </c:trendline>
          <c:xVal>
            <c:numRef>
              <c:f>beta!$F$3:$F$251</c:f>
              <c:numCache>
                <c:formatCode>0.0000</c:formatCode>
                <c:ptCount val="249"/>
                <c:pt idx="0">
                  <c:v>1.3880520925059035E-2</c:v>
                </c:pt>
                <c:pt idx="1">
                  <c:v>3.0348939338037464E-3</c:v>
                </c:pt>
                <c:pt idx="2">
                  <c:v>-4.4921801885091631E-4</c:v>
                </c:pt>
                <c:pt idx="3">
                  <c:v>4.5463057195196535E-3</c:v>
                </c:pt>
                <c:pt idx="4">
                  <c:v>9.3707905601563071E-3</c:v>
                </c:pt>
                <c:pt idx="5">
                  <c:v>-1.1675001365026912E-3</c:v>
                </c:pt>
                <c:pt idx="6">
                  <c:v>-1.5257946110027287E-3</c:v>
                </c:pt>
                <c:pt idx="7">
                  <c:v>1.0426361706992666E-2</c:v>
                </c:pt>
                <c:pt idx="8">
                  <c:v>-1.6892511039893997E-3</c:v>
                </c:pt>
                <c:pt idx="9">
                  <c:v>8.5244006979155859E-4</c:v>
                </c:pt>
                <c:pt idx="10">
                  <c:v>1.8329396415464203E-2</c:v>
                </c:pt>
                <c:pt idx="11">
                  <c:v>2.5373435892132997E-4</c:v>
                </c:pt>
                <c:pt idx="12">
                  <c:v>-1.152476022705036E-2</c:v>
                </c:pt>
                <c:pt idx="13">
                  <c:v>9.9371896113360433E-3</c:v>
                </c:pt>
                <c:pt idx="14">
                  <c:v>-8.6928151733700696E-3</c:v>
                </c:pt>
                <c:pt idx="15">
                  <c:v>-1.0716839979999948E-2</c:v>
                </c:pt>
                <c:pt idx="16">
                  <c:v>-1.7337813868010673E-3</c:v>
                </c:pt>
                <c:pt idx="17">
                  <c:v>4.2859042617109325E-3</c:v>
                </c:pt>
                <c:pt idx="18">
                  <c:v>1.3594144355422826E-2</c:v>
                </c:pt>
                <c:pt idx="19">
                  <c:v>1.7272777353679519E-2</c:v>
                </c:pt>
                <c:pt idx="20">
                  <c:v>3.9067999981433031E-3</c:v>
                </c:pt>
                <c:pt idx="21">
                  <c:v>-5.2324631569861963E-3</c:v>
                </c:pt>
                <c:pt idx="22">
                  <c:v>-2.7020369082129386E-3</c:v>
                </c:pt>
                <c:pt idx="23">
                  <c:v>1.743527602358267E-2</c:v>
                </c:pt>
                <c:pt idx="24">
                  <c:v>2.4720652051095863E-3</c:v>
                </c:pt>
                <c:pt idx="25">
                  <c:v>5.3462333425230209E-3</c:v>
                </c:pt>
                <c:pt idx="26">
                  <c:v>8.1509347061650293E-4</c:v>
                </c:pt>
                <c:pt idx="27">
                  <c:v>1.1454998221273579E-2</c:v>
                </c:pt>
                <c:pt idx="28">
                  <c:v>-2.391671356218416E-3</c:v>
                </c:pt>
                <c:pt idx="29">
                  <c:v>5.250887399976053E-5</c:v>
                </c:pt>
                <c:pt idx="30">
                  <c:v>-1.15003397895856E-2</c:v>
                </c:pt>
                <c:pt idx="31">
                  <c:v>8.3545421847469568E-3</c:v>
                </c:pt>
                <c:pt idx="32">
                  <c:v>7.3702492971398342E-3</c:v>
                </c:pt>
                <c:pt idx="33">
                  <c:v>8.5593695140626699E-3</c:v>
                </c:pt>
                <c:pt idx="34">
                  <c:v>2.0426514027026034E-2</c:v>
                </c:pt>
                <c:pt idx="35">
                  <c:v>1.2605194507311525E-2</c:v>
                </c:pt>
                <c:pt idx="36">
                  <c:v>-6.177547503605621E-3</c:v>
                </c:pt>
                <c:pt idx="37">
                  <c:v>1.4703909454038244E-2</c:v>
                </c:pt>
                <c:pt idx="38">
                  <c:v>-1.2854522966690844E-2</c:v>
                </c:pt>
                <c:pt idx="39">
                  <c:v>-6.0774690077884819E-3</c:v>
                </c:pt>
                <c:pt idx="40">
                  <c:v>1.0493401415348604E-2</c:v>
                </c:pt>
                <c:pt idx="41">
                  <c:v>-1.4194353231333943E-2</c:v>
                </c:pt>
                <c:pt idx="42">
                  <c:v>6.1091708836913036E-4</c:v>
                </c:pt>
                <c:pt idx="43">
                  <c:v>-1.1465145927307442E-2</c:v>
                </c:pt>
                <c:pt idx="44">
                  <c:v>-2.4155029822476887E-2</c:v>
                </c:pt>
                <c:pt idx="45">
                  <c:v>-6.9710879176850008E-3</c:v>
                </c:pt>
                <c:pt idx="46">
                  <c:v>-1.781562797812455E-3</c:v>
                </c:pt>
                <c:pt idx="47">
                  <c:v>3.1780272971337738E-2</c:v>
                </c:pt>
                <c:pt idx="48">
                  <c:v>4.1343562648169232E-3</c:v>
                </c:pt>
                <c:pt idx="49">
                  <c:v>-6.6788553049189375E-2</c:v>
                </c:pt>
                <c:pt idx="50">
                  <c:v>-2.9407602611353563E-2</c:v>
                </c:pt>
                <c:pt idx="51">
                  <c:v>6.5884861061836627E-3</c:v>
                </c:pt>
                <c:pt idx="52">
                  <c:v>-9.146125570526532E-3</c:v>
                </c:pt>
                <c:pt idx="53">
                  <c:v>-3.9160398458271961E-3</c:v>
                </c:pt>
                <c:pt idx="54">
                  <c:v>5.5684193705137414E-2</c:v>
                </c:pt>
                <c:pt idx="55">
                  <c:v>3.1819045397746353E-3</c:v>
                </c:pt>
                <c:pt idx="56">
                  <c:v>4.2311358012905214E-3</c:v>
                </c:pt>
                <c:pt idx="57">
                  <c:v>1.9931955370821488E-4</c:v>
                </c:pt>
                <c:pt idx="58">
                  <c:v>3.3800925578180057E-3</c:v>
                </c:pt>
                <c:pt idx="59">
                  <c:v>2.0959309697901104E-2</c:v>
                </c:pt>
                <c:pt idx="60">
                  <c:v>-7.0614853510465939E-3</c:v>
                </c:pt>
                <c:pt idx="61">
                  <c:v>1.6878807150585812E-3</c:v>
                </c:pt>
                <c:pt idx="62">
                  <c:v>3.9297460108263437E-3</c:v>
                </c:pt>
                <c:pt idx="63">
                  <c:v>-7.8676909151398355E-3</c:v>
                </c:pt>
                <c:pt idx="64">
                  <c:v>2.3778163121038746E-2</c:v>
                </c:pt>
                <c:pt idx="65">
                  <c:v>2.4418024780975753E-3</c:v>
                </c:pt>
                <c:pt idx="66">
                  <c:v>1.2635535807062708E-2</c:v>
                </c:pt>
                <c:pt idx="67">
                  <c:v>-2.0841024508079776E-2</c:v>
                </c:pt>
                <c:pt idx="68">
                  <c:v>1.2084390340206516E-2</c:v>
                </c:pt>
                <c:pt idx="69">
                  <c:v>-5.7229180722184044E-3</c:v>
                </c:pt>
                <c:pt idx="70">
                  <c:v>3.0667425853864276E-3</c:v>
                </c:pt>
                <c:pt idx="71">
                  <c:v>1.5117713754619132E-3</c:v>
                </c:pt>
                <c:pt idx="72">
                  <c:v>-1.1476818031643457E-2</c:v>
                </c:pt>
                <c:pt idx="73">
                  <c:v>2.3781619081147485E-3</c:v>
                </c:pt>
                <c:pt idx="74">
                  <c:v>-5.5423007957796332E-3</c:v>
                </c:pt>
                <c:pt idx="75">
                  <c:v>-9.5221064866555863E-3</c:v>
                </c:pt>
                <c:pt idx="76">
                  <c:v>-1.0839802611783141E-2</c:v>
                </c:pt>
                <c:pt idx="77">
                  <c:v>-2.6242822921023607E-2</c:v>
                </c:pt>
                <c:pt idx="78">
                  <c:v>-4.4422160472711712E-2</c:v>
                </c:pt>
                <c:pt idx="79">
                  <c:v>-1.4390770553515057E-2</c:v>
                </c:pt>
                <c:pt idx="80">
                  <c:v>2.626634183393383E-2</c:v>
                </c:pt>
                <c:pt idx="81">
                  <c:v>-5.3961200035551833E-2</c:v>
                </c:pt>
                <c:pt idx="82">
                  <c:v>9.4905734827638137E-3</c:v>
                </c:pt>
                <c:pt idx="83">
                  <c:v>2.2076926591300242E-2</c:v>
                </c:pt>
                <c:pt idx="84">
                  <c:v>-3.5629260992076507E-2</c:v>
                </c:pt>
                <c:pt idx="85">
                  <c:v>1.0525231543076797E-2</c:v>
                </c:pt>
                <c:pt idx="86">
                  <c:v>1.2304718026080684E-2</c:v>
                </c:pt>
                <c:pt idx="87">
                  <c:v>-6.8302457378091553E-3</c:v>
                </c:pt>
                <c:pt idx="88">
                  <c:v>-2.3786390541543037E-2</c:v>
                </c:pt>
                <c:pt idx="89">
                  <c:v>-5.0950959960673753E-2</c:v>
                </c:pt>
                <c:pt idx="90">
                  <c:v>1.3627675562105186E-2</c:v>
                </c:pt>
                <c:pt idx="91">
                  <c:v>5.4501158756891294E-2</c:v>
                </c:pt>
                <c:pt idx="92">
                  <c:v>-7.7210788010742964E-3</c:v>
                </c:pt>
                <c:pt idx="93">
                  <c:v>2.5726828915985794E-2</c:v>
                </c:pt>
                <c:pt idx="94">
                  <c:v>-3.8323939553456822E-3</c:v>
                </c:pt>
                <c:pt idx="95">
                  <c:v>2.7431471807852102E-3</c:v>
                </c:pt>
                <c:pt idx="96">
                  <c:v>1.1561867487471482E-2</c:v>
                </c:pt>
                <c:pt idx="97">
                  <c:v>9.5897479289956233E-4</c:v>
                </c:pt>
                <c:pt idx="98">
                  <c:v>1.7273186862366469E-2</c:v>
                </c:pt>
                <c:pt idx="99">
                  <c:v>-2.5975761170294247E-2</c:v>
                </c:pt>
                <c:pt idx="100">
                  <c:v>1.3984984542911273E-3</c:v>
                </c:pt>
                <c:pt idx="101">
                  <c:v>-1.8464134175269747E-2</c:v>
                </c:pt>
                <c:pt idx="102">
                  <c:v>-3.4756887299661185E-2</c:v>
                </c:pt>
                <c:pt idx="103">
                  <c:v>9.4226344232957206E-3</c:v>
                </c:pt>
                <c:pt idx="104">
                  <c:v>3.6844376049146685E-2</c:v>
                </c:pt>
                <c:pt idx="105">
                  <c:v>8.5817966178220548E-3</c:v>
                </c:pt>
                <c:pt idx="106">
                  <c:v>-3.5177625293147546E-3</c:v>
                </c:pt>
                <c:pt idx="107">
                  <c:v>-1.6459091137670284E-2</c:v>
                </c:pt>
                <c:pt idx="108">
                  <c:v>-2.257175531017425E-2</c:v>
                </c:pt>
                <c:pt idx="109">
                  <c:v>-2.8071148216150768E-2</c:v>
                </c:pt>
                <c:pt idx="110">
                  <c:v>1.2990484528388515E-2</c:v>
                </c:pt>
                <c:pt idx="111">
                  <c:v>-1.5289144229423931E-2</c:v>
                </c:pt>
                <c:pt idx="112">
                  <c:v>1.8738669390808989E-2</c:v>
                </c:pt>
                <c:pt idx="113">
                  <c:v>-1.6782155057508876E-2</c:v>
                </c:pt>
                <c:pt idx="114">
                  <c:v>-2.2893402929278239E-3</c:v>
                </c:pt>
                <c:pt idx="115">
                  <c:v>3.1091290623301591E-2</c:v>
                </c:pt>
                <c:pt idx="116">
                  <c:v>8.6904159321383005E-3</c:v>
                </c:pt>
                <c:pt idx="117">
                  <c:v>4.0594626489637705E-3</c:v>
                </c:pt>
                <c:pt idx="118">
                  <c:v>-1.5977458186486982E-2</c:v>
                </c:pt>
                <c:pt idx="119">
                  <c:v>5.5483165903073102E-3</c:v>
                </c:pt>
                <c:pt idx="120">
                  <c:v>1.7054717217740104E-2</c:v>
                </c:pt>
                <c:pt idx="121">
                  <c:v>-4.3326072363098953E-4</c:v>
                </c:pt>
                <c:pt idx="122">
                  <c:v>-1.5455095247314083E-2</c:v>
                </c:pt>
                <c:pt idx="123">
                  <c:v>-1.5125202290009932E-2</c:v>
                </c:pt>
                <c:pt idx="124">
                  <c:v>1.3037609235694667E-2</c:v>
                </c:pt>
                <c:pt idx="125">
                  <c:v>-1.009842035590385E-3</c:v>
                </c:pt>
                <c:pt idx="126">
                  <c:v>-2.5123171630194278E-3</c:v>
                </c:pt>
                <c:pt idx="127">
                  <c:v>1.1259514928965103E-2</c:v>
                </c:pt>
                <c:pt idx="128">
                  <c:v>-3.2850328503285851E-3</c:v>
                </c:pt>
                <c:pt idx="129">
                  <c:v>-1.2705904416591142E-2</c:v>
                </c:pt>
                <c:pt idx="130">
                  <c:v>-1.0890728634068366E-2</c:v>
                </c:pt>
                <c:pt idx="131">
                  <c:v>-1.4376783761435983E-2</c:v>
                </c:pt>
                <c:pt idx="132">
                  <c:v>-7.3356426354910607E-3</c:v>
                </c:pt>
                <c:pt idx="133">
                  <c:v>-2.3699869505319679E-3</c:v>
                </c:pt>
                <c:pt idx="134">
                  <c:v>-2.9771729427410697E-2</c:v>
                </c:pt>
                <c:pt idx="135">
                  <c:v>1.5669360532363907E-2</c:v>
                </c:pt>
                <c:pt idx="136">
                  <c:v>-3.9137532283380272E-3</c:v>
                </c:pt>
                <c:pt idx="137">
                  <c:v>-2.61880192132081E-3</c:v>
                </c:pt>
                <c:pt idx="138">
                  <c:v>-7.8416777543102844E-3</c:v>
                </c:pt>
                <c:pt idx="139">
                  <c:v>1.2547569166364944E-2</c:v>
                </c:pt>
                <c:pt idx="140">
                  <c:v>-2.7859022970727586E-3</c:v>
                </c:pt>
                <c:pt idx="141">
                  <c:v>-6.2987942944922898E-3</c:v>
                </c:pt>
                <c:pt idx="142">
                  <c:v>1.3255047984357858E-2</c:v>
                </c:pt>
                <c:pt idx="143">
                  <c:v>-1.2945133076410797E-2</c:v>
                </c:pt>
                <c:pt idx="144">
                  <c:v>3.1436901913876754E-3</c:v>
                </c:pt>
                <c:pt idx="145">
                  <c:v>-9.3810203420020728E-3</c:v>
                </c:pt>
                <c:pt idx="146">
                  <c:v>2.08280435669858E-2</c:v>
                </c:pt>
                <c:pt idx="147">
                  <c:v>-5.2417178094962278E-3</c:v>
                </c:pt>
                <c:pt idx="148">
                  <c:v>5.3712058912861192E-5</c:v>
                </c:pt>
                <c:pt idx="149">
                  <c:v>-1.059367157766116E-3</c:v>
                </c:pt>
                <c:pt idx="150">
                  <c:v>-4.8927180263008008E-3</c:v>
                </c:pt>
                <c:pt idx="151">
                  <c:v>1.2669217899374569E-4</c:v>
                </c:pt>
                <c:pt idx="152">
                  <c:v>4.0815794277964416E-3</c:v>
                </c:pt>
                <c:pt idx="153">
                  <c:v>-7.0353418318976442E-3</c:v>
                </c:pt>
                <c:pt idx="154">
                  <c:v>-1.7787709664220427E-3</c:v>
                </c:pt>
                <c:pt idx="155">
                  <c:v>1.5958850648293253E-2</c:v>
                </c:pt>
                <c:pt idx="156">
                  <c:v>3.2285938003776847E-2</c:v>
                </c:pt>
                <c:pt idx="157">
                  <c:v>3.5463208037137123E-3</c:v>
                </c:pt>
                <c:pt idx="158">
                  <c:v>6.7776896454830073E-3</c:v>
                </c:pt>
                <c:pt idx="159">
                  <c:v>2.6924714315744485E-2</c:v>
                </c:pt>
                <c:pt idx="160">
                  <c:v>-2.6972214146995625E-3</c:v>
                </c:pt>
                <c:pt idx="161">
                  <c:v>-1.5126662078649047E-3</c:v>
                </c:pt>
                <c:pt idx="162">
                  <c:v>-4.0421907983153454E-3</c:v>
                </c:pt>
                <c:pt idx="163">
                  <c:v>1.6060941386236219E-2</c:v>
                </c:pt>
                <c:pt idx="164">
                  <c:v>-9.030169985695056E-4</c:v>
                </c:pt>
                <c:pt idx="165">
                  <c:v>-1.566928932058741E-2</c:v>
                </c:pt>
                <c:pt idx="166">
                  <c:v>2.5776148470614242E-3</c:v>
                </c:pt>
                <c:pt idx="167">
                  <c:v>1.2264564169951843E-2</c:v>
                </c:pt>
                <c:pt idx="168">
                  <c:v>-1.3853660872635099E-4</c:v>
                </c:pt>
                <c:pt idx="169">
                  <c:v>-5.2856473292943668E-4</c:v>
                </c:pt>
                <c:pt idx="170">
                  <c:v>5.5793925308009998E-4</c:v>
                </c:pt>
                <c:pt idx="171">
                  <c:v>1.4031360595533272E-2</c:v>
                </c:pt>
                <c:pt idx="172">
                  <c:v>-1.4253856975618006E-3</c:v>
                </c:pt>
                <c:pt idx="173">
                  <c:v>-8.2266709686357273E-3</c:v>
                </c:pt>
                <c:pt idx="174">
                  <c:v>3.4031275389325068E-3</c:v>
                </c:pt>
                <c:pt idx="175">
                  <c:v>-1.2333964233880184E-2</c:v>
                </c:pt>
                <c:pt idx="176">
                  <c:v>7.9317474421617719E-3</c:v>
                </c:pt>
                <c:pt idx="177">
                  <c:v>1.4446145818768437E-2</c:v>
                </c:pt>
                <c:pt idx="178">
                  <c:v>3.5164037207989014E-3</c:v>
                </c:pt>
                <c:pt idx="179">
                  <c:v>-5.5157465939050902E-3</c:v>
                </c:pt>
                <c:pt idx="180">
                  <c:v>-7.5860036212050969E-3</c:v>
                </c:pt>
                <c:pt idx="181">
                  <c:v>-7.2960739688503603E-3</c:v>
                </c:pt>
                <c:pt idx="182">
                  <c:v>-6.7479082681110051E-3</c:v>
                </c:pt>
                <c:pt idx="183">
                  <c:v>6.1861525883212878E-3</c:v>
                </c:pt>
                <c:pt idx="184">
                  <c:v>1.7048457923701184E-2</c:v>
                </c:pt>
                <c:pt idx="185">
                  <c:v>2.2304826461015694E-2</c:v>
                </c:pt>
                <c:pt idx="186">
                  <c:v>5.0181310834559328E-4</c:v>
                </c:pt>
                <c:pt idx="187">
                  <c:v>-3.3547058794510362E-3</c:v>
                </c:pt>
                <c:pt idx="188">
                  <c:v>6.9943454536755094E-3</c:v>
                </c:pt>
                <c:pt idx="189">
                  <c:v>-1.3763722759301089E-4</c:v>
                </c:pt>
                <c:pt idx="190">
                  <c:v>-2.1107280045098964E-3</c:v>
                </c:pt>
                <c:pt idx="191">
                  <c:v>-1.8018550633243889E-2</c:v>
                </c:pt>
                <c:pt idx="192">
                  <c:v>-2.7577279933641758E-3</c:v>
                </c:pt>
                <c:pt idx="193">
                  <c:v>-2.2136248610195756E-2</c:v>
                </c:pt>
                <c:pt idx="194">
                  <c:v>-1.7578248932014194E-3</c:v>
                </c:pt>
                <c:pt idx="195">
                  <c:v>-8.3665188066285884E-3</c:v>
                </c:pt>
                <c:pt idx="196">
                  <c:v>6.179705203634033E-3</c:v>
                </c:pt>
                <c:pt idx="197">
                  <c:v>-3.3489502891805348E-3</c:v>
                </c:pt>
                <c:pt idx="198">
                  <c:v>1.537573812180977E-3</c:v>
                </c:pt>
                <c:pt idx="199">
                  <c:v>-3.8932319517563031E-3</c:v>
                </c:pt>
                <c:pt idx="200">
                  <c:v>-1.9358681967973922E-2</c:v>
                </c:pt>
                <c:pt idx="201">
                  <c:v>-2.1031701183849656E-3</c:v>
                </c:pt>
                <c:pt idx="202">
                  <c:v>7.8906807149923194E-3</c:v>
                </c:pt>
                <c:pt idx="203">
                  <c:v>1.8207164879309305E-3</c:v>
                </c:pt>
                <c:pt idx="204">
                  <c:v>-8.720751919494318E-3</c:v>
                </c:pt>
                <c:pt idx="205">
                  <c:v>1.8287993465542867E-2</c:v>
                </c:pt>
                <c:pt idx="206">
                  <c:v>1.7924824771121776E-2</c:v>
                </c:pt>
                <c:pt idx="207">
                  <c:v>-3.6159888109039122E-4</c:v>
                </c:pt>
                <c:pt idx="208">
                  <c:v>1.2042868379877735E-2</c:v>
                </c:pt>
                <c:pt idx="209">
                  <c:v>1.0368704384022477E-3</c:v>
                </c:pt>
                <c:pt idx="210">
                  <c:v>1.3035877294330879E-3</c:v>
                </c:pt>
                <c:pt idx="211">
                  <c:v>5.5338760680884809E-4</c:v>
                </c:pt>
                <c:pt idx="212">
                  <c:v>-1.2435088568695475E-2</c:v>
                </c:pt>
                <c:pt idx="213">
                  <c:v>7.2584653724899082E-3</c:v>
                </c:pt>
                <c:pt idx="214">
                  <c:v>-1.7694299292228459E-3</c:v>
                </c:pt>
                <c:pt idx="215">
                  <c:v>7.0428615688325686E-4</c:v>
                </c:pt>
                <c:pt idx="216">
                  <c:v>1.9934527183061643E-2</c:v>
                </c:pt>
                <c:pt idx="217">
                  <c:v>3.4518335688740304E-3</c:v>
                </c:pt>
                <c:pt idx="218">
                  <c:v>-3.7920551980414217E-3</c:v>
                </c:pt>
                <c:pt idx="219">
                  <c:v>-3.1216865370734516E-2</c:v>
                </c:pt>
                <c:pt idx="220">
                  <c:v>2.1718204582747199E-3</c:v>
                </c:pt>
                <c:pt idx="221">
                  <c:v>1.0290372750423002E-2</c:v>
                </c:pt>
                <c:pt idx="222">
                  <c:v>-9.4852071706610919E-3</c:v>
                </c:pt>
                <c:pt idx="223">
                  <c:v>-1.3080591060315231E-2</c:v>
                </c:pt>
                <c:pt idx="224">
                  <c:v>1.1438657818003482E-3</c:v>
                </c:pt>
                <c:pt idx="225">
                  <c:v>1.0284758161258093E-2</c:v>
                </c:pt>
                <c:pt idx="226">
                  <c:v>-7.8942505765848946E-3</c:v>
                </c:pt>
                <c:pt idx="227">
                  <c:v>1.1956293049035793E-2</c:v>
                </c:pt>
                <c:pt idx="228">
                  <c:v>4.3149651922733869E-3</c:v>
                </c:pt>
                <c:pt idx="229">
                  <c:v>4.3948436097446131E-3</c:v>
                </c:pt>
                <c:pt idx="230">
                  <c:v>1.032239317336666E-3</c:v>
                </c:pt>
                <c:pt idx="231">
                  <c:v>-5.5305403288957704E-3</c:v>
                </c:pt>
                <c:pt idx="232">
                  <c:v>3.6419115113932835E-3</c:v>
                </c:pt>
                <c:pt idx="233">
                  <c:v>-3.9567329560348557E-4</c:v>
                </c:pt>
                <c:pt idx="234">
                  <c:v>-5.5382356473594897E-3</c:v>
                </c:pt>
                <c:pt idx="235">
                  <c:v>5.2322802433791595E-3</c:v>
                </c:pt>
                <c:pt idx="236">
                  <c:v>1.5725127545624579E-2</c:v>
                </c:pt>
                <c:pt idx="237">
                  <c:v>2.7738072628769022E-3</c:v>
                </c:pt>
                <c:pt idx="238">
                  <c:v>-1.6463899867590797E-3</c:v>
                </c:pt>
                <c:pt idx="239">
                  <c:v>-3.8906232319131135E-3</c:v>
                </c:pt>
                <c:pt idx="240">
                  <c:v>3.1908104658596043E-4</c:v>
                </c:pt>
                <c:pt idx="241">
                  <c:v>2.2829563198811047E-3</c:v>
                </c:pt>
                <c:pt idx="242">
                  <c:v>-6.4150415228148266E-4</c:v>
                </c:pt>
                <c:pt idx="243">
                  <c:v>3.6264082552057717E-3</c:v>
                </c:pt>
                <c:pt idx="244">
                  <c:v>-5.5619976675494436E-3</c:v>
                </c:pt>
                <c:pt idx="245">
                  <c:v>2.4440605819637533E-3</c:v>
                </c:pt>
                <c:pt idx="246">
                  <c:v>1.4651941398900451E-2</c:v>
                </c:pt>
                <c:pt idx="247">
                  <c:v>2.0317024418205322E-3</c:v>
                </c:pt>
                <c:pt idx="248">
                  <c:v>6.3646764554505311E-3</c:v>
                </c:pt>
              </c:numCache>
            </c:numRef>
          </c:xVal>
          <c:yVal>
            <c:numRef>
              <c:f>beta!$H$3:$H$251</c:f>
              <c:numCache>
                <c:formatCode>0.0000</c:formatCode>
                <c:ptCount val="249"/>
                <c:pt idx="0">
                  <c:v>1.6925246826516235E-2</c:v>
                </c:pt>
                <c:pt idx="1">
                  <c:v>-1.1095700416088776E-2</c:v>
                </c:pt>
                <c:pt idx="2">
                  <c:v>-5.6100981767180976E-3</c:v>
                </c:pt>
                <c:pt idx="3">
                  <c:v>1.1283497884344157E-2</c:v>
                </c:pt>
                <c:pt idx="4">
                  <c:v>0</c:v>
                </c:pt>
                <c:pt idx="5">
                  <c:v>-5.5788005578800608E-3</c:v>
                </c:pt>
                <c:pt idx="6">
                  <c:v>-5.6100981767180976E-3</c:v>
                </c:pt>
                <c:pt idx="7">
                  <c:v>-5.6417489421720785E-3</c:v>
                </c:pt>
                <c:pt idx="8">
                  <c:v>0</c:v>
                </c:pt>
                <c:pt idx="9">
                  <c:v>-1.7021276595744695E-2</c:v>
                </c:pt>
                <c:pt idx="10">
                  <c:v>-5.7720057720057772E-3</c:v>
                </c:pt>
                <c:pt idx="11">
                  <c:v>4.644412191582007E-2</c:v>
                </c:pt>
                <c:pt idx="12">
                  <c:v>-1.6643550624133162E-2</c:v>
                </c:pt>
                <c:pt idx="13">
                  <c:v>5.6417489421720785E-3</c:v>
                </c:pt>
                <c:pt idx="14">
                  <c:v>2.6647966339410994E-2</c:v>
                </c:pt>
                <c:pt idx="15">
                  <c:v>-1.5027322404371627E-2</c:v>
                </c:pt>
                <c:pt idx="16">
                  <c:v>-1.1095700416088776E-2</c:v>
                </c:pt>
                <c:pt idx="17">
                  <c:v>2.1037868162692899E-2</c:v>
                </c:pt>
                <c:pt idx="18">
                  <c:v>6.5934065934065866E-2</c:v>
                </c:pt>
                <c:pt idx="19">
                  <c:v>5.5412371134020581E-2</c:v>
                </c:pt>
                <c:pt idx="20">
                  <c:v>9.7680097680097767E-3</c:v>
                </c:pt>
                <c:pt idx="21">
                  <c:v>-3.3857315598548897E-2</c:v>
                </c:pt>
                <c:pt idx="22">
                  <c:v>-6.382978723404252E-2</c:v>
                </c:pt>
                <c:pt idx="23">
                  <c:v>2.6737967914438405E-2</c:v>
                </c:pt>
                <c:pt idx="24">
                  <c:v>1.5625000000000014E-2</c:v>
                </c:pt>
                <c:pt idx="25">
                  <c:v>6.5384615384615472E-2</c:v>
                </c:pt>
                <c:pt idx="26">
                  <c:v>-3.369434416365838E-2</c:v>
                </c:pt>
                <c:pt idx="27">
                  <c:v>1.9925280199252823E-2</c:v>
                </c:pt>
                <c:pt idx="28">
                  <c:v>-1.9536019536019553E-2</c:v>
                </c:pt>
                <c:pt idx="29">
                  <c:v>4.9813200498133158E-3</c:v>
                </c:pt>
                <c:pt idx="30">
                  <c:v>4.9566294919453713E-3</c:v>
                </c:pt>
                <c:pt idx="31">
                  <c:v>-9.8643649815043245E-3</c:v>
                </c:pt>
                <c:pt idx="32">
                  <c:v>-4.9813200498130946E-3</c:v>
                </c:pt>
                <c:pt idx="33">
                  <c:v>5.0062578222777408E-3</c:v>
                </c:pt>
                <c:pt idx="34">
                  <c:v>-4.9813200498130946E-3</c:v>
                </c:pt>
                <c:pt idx="35">
                  <c:v>1.5018773466833444E-2</c:v>
                </c:pt>
                <c:pt idx="36">
                  <c:v>-1.9728729963008541E-2</c:v>
                </c:pt>
                <c:pt idx="37">
                  <c:v>1.5094339622641522E-2</c:v>
                </c:pt>
                <c:pt idx="38">
                  <c:v>-4.9566294919455916E-3</c:v>
                </c:pt>
                <c:pt idx="39">
                  <c:v>2.9887920298879232E-2</c:v>
                </c:pt>
                <c:pt idx="40">
                  <c:v>4.8367593712213934E-3</c:v>
                </c:pt>
                <c:pt idx="41">
                  <c:v>-1.4440433212996508E-2</c:v>
                </c:pt>
                <c:pt idx="42">
                  <c:v>9.7680097680097767E-3</c:v>
                </c:pt>
                <c:pt idx="43">
                  <c:v>1.9347037484885147E-2</c:v>
                </c:pt>
                <c:pt idx="44">
                  <c:v>0</c:v>
                </c:pt>
                <c:pt idx="45">
                  <c:v>-2.3724792408066346E-2</c:v>
                </c:pt>
                <c:pt idx="46">
                  <c:v>4.7387606318347361E-2</c:v>
                </c:pt>
                <c:pt idx="47">
                  <c:v>-4.6403712296982777E-3</c:v>
                </c:pt>
                <c:pt idx="48">
                  <c:v>-1.7482517482517525E-2</c:v>
                </c:pt>
                <c:pt idx="49">
                  <c:v>-6.6429418742585955E-2</c:v>
                </c:pt>
                <c:pt idx="50">
                  <c:v>-6.9885641677255375E-2</c:v>
                </c:pt>
                <c:pt idx="51">
                  <c:v>-3.142076502732246E-2</c:v>
                </c:pt>
                <c:pt idx="52">
                  <c:v>5.6417489421720785E-3</c:v>
                </c:pt>
                <c:pt idx="53">
                  <c:v>-5.6100981767180976E-3</c:v>
                </c:pt>
                <c:pt idx="54">
                  <c:v>6.064880112834975E-2</c:v>
                </c:pt>
                <c:pt idx="55">
                  <c:v>1.0638297872340436E-2</c:v>
                </c:pt>
                <c:pt idx="56">
                  <c:v>-1.5789473684210423E-2</c:v>
                </c:pt>
                <c:pt idx="57">
                  <c:v>-2.6737967914438526E-2</c:v>
                </c:pt>
                <c:pt idx="58">
                  <c:v>3.2967032967032871E-2</c:v>
                </c:pt>
                <c:pt idx="59">
                  <c:v>-5.3191489361700999E-3</c:v>
                </c:pt>
                <c:pt idx="60">
                  <c:v>0</c:v>
                </c:pt>
                <c:pt idx="61">
                  <c:v>5.3475935828875866E-3</c:v>
                </c:pt>
                <c:pt idx="62">
                  <c:v>1.5957446808510654E-2</c:v>
                </c:pt>
                <c:pt idx="63">
                  <c:v>1.0471204188481685E-2</c:v>
                </c:pt>
                <c:pt idx="64">
                  <c:v>4.533678756476691E-2</c:v>
                </c:pt>
                <c:pt idx="65">
                  <c:v>-4.9566294919455916E-3</c:v>
                </c:pt>
                <c:pt idx="66">
                  <c:v>-4.9813200498130946E-3</c:v>
                </c:pt>
                <c:pt idx="67">
                  <c:v>-4.3804755944931231E-2</c:v>
                </c:pt>
                <c:pt idx="68">
                  <c:v>0</c:v>
                </c:pt>
                <c:pt idx="69">
                  <c:v>5.2356020942408424E-3</c:v>
                </c:pt>
                <c:pt idx="70">
                  <c:v>-5.2083333333333382E-3</c:v>
                </c:pt>
                <c:pt idx="71">
                  <c:v>-1.0471204188481685E-2</c:v>
                </c:pt>
                <c:pt idx="72">
                  <c:v>-1.0582010582010474E-2</c:v>
                </c:pt>
                <c:pt idx="73">
                  <c:v>-1.6042780748663114E-2</c:v>
                </c:pt>
                <c:pt idx="74">
                  <c:v>-5.4347826086956564E-3</c:v>
                </c:pt>
                <c:pt idx="75">
                  <c:v>0</c:v>
                </c:pt>
                <c:pt idx="76">
                  <c:v>0</c:v>
                </c:pt>
                <c:pt idx="77">
                  <c:v>-5.4644808743169442E-3</c:v>
                </c:pt>
                <c:pt idx="78">
                  <c:v>-3.708791208791215E-2</c:v>
                </c:pt>
                <c:pt idx="79">
                  <c:v>-1.1412268188302436E-2</c:v>
                </c:pt>
                <c:pt idx="80">
                  <c:v>2.8860028860028888E-2</c:v>
                </c:pt>
                <c:pt idx="81">
                  <c:v>-6.7321178120617053E-2</c:v>
                </c:pt>
                <c:pt idx="82">
                  <c:v>1.804511278195477E-2</c:v>
                </c:pt>
                <c:pt idx="83">
                  <c:v>2.3633677991137393E-2</c:v>
                </c:pt>
                <c:pt idx="84">
                  <c:v>-2.8860028860028759E-2</c:v>
                </c:pt>
                <c:pt idx="85">
                  <c:v>1.1887072808320829E-2</c:v>
                </c:pt>
                <c:pt idx="86">
                  <c:v>1.7621145374449355E-2</c:v>
                </c:pt>
                <c:pt idx="87">
                  <c:v>-1.1544011544011554E-2</c:v>
                </c:pt>
                <c:pt idx="88">
                  <c:v>-1.7518248175182369E-2</c:v>
                </c:pt>
                <c:pt idx="89">
                  <c:v>-4.0118870728083275E-2</c:v>
                </c:pt>
                <c:pt idx="90">
                  <c:v>6.1919504643962904E-3</c:v>
                </c:pt>
                <c:pt idx="91">
                  <c:v>5.3846153846153794E-2</c:v>
                </c:pt>
                <c:pt idx="92">
                  <c:v>-2.3357664233576533E-2</c:v>
                </c:pt>
                <c:pt idx="93">
                  <c:v>2.9895366218236064E-2</c:v>
                </c:pt>
                <c:pt idx="94">
                  <c:v>0</c:v>
                </c:pt>
                <c:pt idx="95">
                  <c:v>-5.8055152394775088E-3</c:v>
                </c:pt>
                <c:pt idx="96">
                  <c:v>1.1678832116788333E-2</c:v>
                </c:pt>
                <c:pt idx="97">
                  <c:v>-1.7316017316017333E-2</c:v>
                </c:pt>
                <c:pt idx="98">
                  <c:v>0</c:v>
                </c:pt>
                <c:pt idx="99">
                  <c:v>5.8737151248164522E-3</c:v>
                </c:pt>
                <c:pt idx="100">
                  <c:v>-5.8394160583941663E-3</c:v>
                </c:pt>
                <c:pt idx="101">
                  <c:v>-5.8737151248164522E-3</c:v>
                </c:pt>
                <c:pt idx="102">
                  <c:v>-1.1816838995568565E-2</c:v>
                </c:pt>
                <c:pt idx="103">
                  <c:v>0</c:v>
                </c:pt>
                <c:pt idx="104">
                  <c:v>2.3916292974588825E-2</c:v>
                </c:pt>
                <c:pt idx="105">
                  <c:v>0</c:v>
                </c:pt>
                <c:pt idx="106">
                  <c:v>-1.1678832116788333E-2</c:v>
                </c:pt>
                <c:pt idx="107">
                  <c:v>0</c:v>
                </c:pt>
                <c:pt idx="108">
                  <c:v>-5.9084194977842173E-3</c:v>
                </c:pt>
                <c:pt idx="109">
                  <c:v>-2.2288261515601836E-2</c:v>
                </c:pt>
                <c:pt idx="110">
                  <c:v>0</c:v>
                </c:pt>
                <c:pt idx="111">
                  <c:v>-6.0790273556231055E-3</c:v>
                </c:pt>
                <c:pt idx="112">
                  <c:v>6.1162079510703416E-3</c:v>
                </c:pt>
                <c:pt idx="113">
                  <c:v>-6.0790273556231055E-3</c:v>
                </c:pt>
                <c:pt idx="114">
                  <c:v>-1.8348623853211024E-2</c:v>
                </c:pt>
                <c:pt idx="115">
                  <c:v>1.8691588785046745E-2</c:v>
                </c:pt>
                <c:pt idx="116">
                  <c:v>6.1162079510703416E-3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1.0638297872340469E-2</c:v>
                </c:pt>
                <c:pt idx="121">
                  <c:v>0</c:v>
                </c:pt>
                <c:pt idx="122">
                  <c:v>-6.0150375939849671E-3</c:v>
                </c:pt>
                <c:pt idx="123">
                  <c:v>-1.0590015128593084E-2</c:v>
                </c:pt>
                <c:pt idx="124">
                  <c:v>1.0703363914373131E-2</c:v>
                </c:pt>
                <c:pt idx="125">
                  <c:v>-4.5385779122541978E-3</c:v>
                </c:pt>
                <c:pt idx="126">
                  <c:v>0</c:v>
                </c:pt>
                <c:pt idx="127">
                  <c:v>1.0638297872340469E-2</c:v>
                </c:pt>
                <c:pt idx="128">
                  <c:v>1.2030075187969934E-2</c:v>
                </c:pt>
                <c:pt idx="129">
                  <c:v>-1.1887072808320961E-2</c:v>
                </c:pt>
                <c:pt idx="130">
                  <c:v>-1.0526315789473726E-2</c:v>
                </c:pt>
                <c:pt idx="131">
                  <c:v>-1.2158054711246211E-2</c:v>
                </c:pt>
                <c:pt idx="132">
                  <c:v>6.153846153846159E-3</c:v>
                </c:pt>
                <c:pt idx="133">
                  <c:v>-6.1162079510703416E-3</c:v>
                </c:pt>
                <c:pt idx="134">
                  <c:v>-6.153846153846159E-3</c:v>
                </c:pt>
                <c:pt idx="135">
                  <c:v>6.1919504643962904E-3</c:v>
                </c:pt>
                <c:pt idx="136">
                  <c:v>-6.153846153846159E-3</c:v>
                </c:pt>
                <c:pt idx="137">
                  <c:v>-6.1919504643962904E-3</c:v>
                </c:pt>
                <c:pt idx="138">
                  <c:v>0</c:v>
                </c:pt>
                <c:pt idx="139">
                  <c:v>1.2461059190031164E-2</c:v>
                </c:pt>
                <c:pt idx="140">
                  <c:v>0</c:v>
                </c:pt>
                <c:pt idx="141">
                  <c:v>-6.153846153846159E-3</c:v>
                </c:pt>
                <c:pt idx="142">
                  <c:v>1.2383900928792581E-2</c:v>
                </c:pt>
                <c:pt idx="143">
                  <c:v>-1.2232415902140683E-2</c:v>
                </c:pt>
                <c:pt idx="144">
                  <c:v>0</c:v>
                </c:pt>
                <c:pt idx="145">
                  <c:v>-1.2383900928792581E-2</c:v>
                </c:pt>
                <c:pt idx="146">
                  <c:v>1.2539184952978068E-2</c:v>
                </c:pt>
                <c:pt idx="147">
                  <c:v>-6.1919504643962904E-3</c:v>
                </c:pt>
                <c:pt idx="148">
                  <c:v>0</c:v>
                </c:pt>
                <c:pt idx="149">
                  <c:v>6.2305295950155822E-3</c:v>
                </c:pt>
                <c:pt idx="150">
                  <c:v>0</c:v>
                </c:pt>
                <c:pt idx="151">
                  <c:v>-6.1919504643962904E-3</c:v>
                </c:pt>
                <c:pt idx="152">
                  <c:v>0</c:v>
                </c:pt>
                <c:pt idx="153">
                  <c:v>6.2305295950155822E-3</c:v>
                </c:pt>
                <c:pt idx="154">
                  <c:v>4.6439628482972525E-3</c:v>
                </c:pt>
                <c:pt idx="155">
                  <c:v>-1.2326656394453015E-2</c:v>
                </c:pt>
                <c:pt idx="156">
                  <c:v>3.2761310452418091E-2</c:v>
                </c:pt>
                <c:pt idx="157">
                  <c:v>-1.3595166163141973E-2</c:v>
                </c:pt>
                <c:pt idx="158">
                  <c:v>6.1255742725880606E-3</c:v>
                </c:pt>
                <c:pt idx="159">
                  <c:v>2.5875190258751891E-2</c:v>
                </c:pt>
                <c:pt idx="160">
                  <c:v>0</c:v>
                </c:pt>
                <c:pt idx="161">
                  <c:v>0</c:v>
                </c:pt>
                <c:pt idx="162">
                  <c:v>-1.1869436201780426E-2</c:v>
                </c:pt>
                <c:pt idx="163">
                  <c:v>1.2012012012012022E-2</c:v>
                </c:pt>
                <c:pt idx="164">
                  <c:v>0</c:v>
                </c:pt>
                <c:pt idx="165">
                  <c:v>0</c:v>
                </c:pt>
                <c:pt idx="166">
                  <c:v>-5.9347181008902131E-3</c:v>
                </c:pt>
                <c:pt idx="167">
                  <c:v>5.9701492537313485E-3</c:v>
                </c:pt>
                <c:pt idx="168">
                  <c:v>2.5222551928783372E-2</c:v>
                </c:pt>
                <c:pt idx="169">
                  <c:v>-7.2358900144717546E-3</c:v>
                </c:pt>
                <c:pt idx="170">
                  <c:v>-1.1661807580174937E-2</c:v>
                </c:pt>
                <c:pt idx="171">
                  <c:v>-5.8997050147492677E-3</c:v>
                </c:pt>
                <c:pt idx="172">
                  <c:v>0</c:v>
                </c:pt>
                <c:pt idx="173">
                  <c:v>1.1869436201780426E-2</c:v>
                </c:pt>
                <c:pt idx="174">
                  <c:v>-1.1730205278592386E-2</c:v>
                </c:pt>
                <c:pt idx="175">
                  <c:v>-5.9347181008902131E-3</c:v>
                </c:pt>
                <c:pt idx="176">
                  <c:v>-5.9701492537313485E-3</c:v>
                </c:pt>
                <c:pt idx="177">
                  <c:v>6.0060060060060112E-3</c:v>
                </c:pt>
                <c:pt idx="178">
                  <c:v>-1.1940298507462697E-2</c:v>
                </c:pt>
                <c:pt idx="179">
                  <c:v>-1.3595166163141973E-2</c:v>
                </c:pt>
                <c:pt idx="180">
                  <c:v>6.1255742725880606E-3</c:v>
                </c:pt>
                <c:pt idx="181">
                  <c:v>0</c:v>
                </c:pt>
                <c:pt idx="182">
                  <c:v>7.6103500761034735E-3</c:v>
                </c:pt>
                <c:pt idx="183">
                  <c:v>-7.5528700906344138E-3</c:v>
                </c:pt>
                <c:pt idx="184">
                  <c:v>0</c:v>
                </c:pt>
                <c:pt idx="185">
                  <c:v>2.5875190258751891E-2</c:v>
                </c:pt>
                <c:pt idx="186">
                  <c:v>5.9347181008902131E-3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5.8997050147492677E-3</c:v>
                </c:pt>
                <c:pt idx="191">
                  <c:v>5.8651026392961929E-3</c:v>
                </c:pt>
                <c:pt idx="192">
                  <c:v>7.2886297376093031E-3</c:v>
                </c:pt>
                <c:pt idx="193">
                  <c:v>-2.4602026049204043E-2</c:v>
                </c:pt>
                <c:pt idx="194">
                  <c:v>-5.9347181008902131E-3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-5.9701492537313485E-3</c:v>
                </c:pt>
                <c:pt idx="202">
                  <c:v>0</c:v>
                </c:pt>
                <c:pt idx="203">
                  <c:v>-1.9519519519519503E-2</c:v>
                </c:pt>
                <c:pt idx="204">
                  <c:v>-6.1255742725880606E-3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1.2326656394453015E-2</c:v>
                </c:pt>
                <c:pt idx="209">
                  <c:v>1.369863013698628E-2</c:v>
                </c:pt>
                <c:pt idx="210">
                  <c:v>-1.3513513513513492E-2</c:v>
                </c:pt>
                <c:pt idx="211">
                  <c:v>0</c:v>
                </c:pt>
                <c:pt idx="212">
                  <c:v>7.6103500761034735E-3</c:v>
                </c:pt>
                <c:pt idx="213">
                  <c:v>1.2084592145015116E-2</c:v>
                </c:pt>
                <c:pt idx="214">
                  <c:v>-5.9701492537313485E-3</c:v>
                </c:pt>
                <c:pt idx="215">
                  <c:v>-6.0060060060060112E-3</c:v>
                </c:pt>
                <c:pt idx="216">
                  <c:v>1.2084592145015116E-2</c:v>
                </c:pt>
                <c:pt idx="217">
                  <c:v>0</c:v>
                </c:pt>
                <c:pt idx="218">
                  <c:v>0</c:v>
                </c:pt>
                <c:pt idx="219">
                  <c:v>-1.1940298507462697E-2</c:v>
                </c:pt>
                <c:pt idx="220">
                  <c:v>0</c:v>
                </c:pt>
                <c:pt idx="221">
                  <c:v>6.0422960725075581E-3</c:v>
                </c:pt>
                <c:pt idx="222">
                  <c:v>-6.0060060060060112E-3</c:v>
                </c:pt>
                <c:pt idx="223">
                  <c:v>0</c:v>
                </c:pt>
                <c:pt idx="224">
                  <c:v>6.0422960725075581E-3</c:v>
                </c:pt>
                <c:pt idx="225">
                  <c:v>-6.0060060060060112E-3</c:v>
                </c:pt>
                <c:pt idx="226">
                  <c:v>6.0422960725075581E-3</c:v>
                </c:pt>
                <c:pt idx="227">
                  <c:v>-6.0060060060060112E-3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6.0422960725075581E-3</c:v>
                </c:pt>
                <c:pt idx="233">
                  <c:v>-6.0060060060060112E-3</c:v>
                </c:pt>
                <c:pt idx="234">
                  <c:v>1.2084592145015116E-2</c:v>
                </c:pt>
                <c:pt idx="235">
                  <c:v>-5.9701492537313485E-3</c:v>
                </c:pt>
                <c:pt idx="236">
                  <c:v>6.0060060060060112E-3</c:v>
                </c:pt>
                <c:pt idx="237">
                  <c:v>0</c:v>
                </c:pt>
                <c:pt idx="238">
                  <c:v>5.9701492537313485E-3</c:v>
                </c:pt>
                <c:pt idx="239">
                  <c:v>-1.7804154302670638E-2</c:v>
                </c:pt>
                <c:pt idx="240">
                  <c:v>1.8126888217522674E-2</c:v>
                </c:pt>
                <c:pt idx="241">
                  <c:v>5.9347181008902131E-3</c:v>
                </c:pt>
                <c:pt idx="242">
                  <c:v>-5.8997050147492677E-3</c:v>
                </c:pt>
                <c:pt idx="243">
                  <c:v>1.1869436201780426E-2</c:v>
                </c:pt>
                <c:pt idx="244">
                  <c:v>1.31964809384164E-2</c:v>
                </c:pt>
                <c:pt idx="245">
                  <c:v>-1.3024602026049183E-2</c:v>
                </c:pt>
                <c:pt idx="246">
                  <c:v>0</c:v>
                </c:pt>
                <c:pt idx="247">
                  <c:v>1.31964809384164E-2</c:v>
                </c:pt>
                <c:pt idx="248">
                  <c:v>5.7887120115774288E-3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3D-4B65-B65E-22E050798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440608"/>
        <c:axId val="1"/>
      </c:scatterChart>
      <c:valAx>
        <c:axId val="555440608"/>
        <c:scaling>
          <c:orientation val="minMax"/>
          <c:max val="0.08"/>
          <c:min val="-0.08"/>
        </c:scaling>
        <c:delete val="0"/>
        <c:axPos val="b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市場報酬率</a:t>
                </a:r>
                <a:r>
                  <a:rPr lang="en-US" altLang="zh-TW"/>
                  <a:t>(</a:t>
                </a:r>
                <a:r>
                  <a:rPr lang="zh-TW" altLang="en-US"/>
                  <a:t>每日</a:t>
                </a:r>
                <a:r>
                  <a:rPr lang="en-US" altLang="zh-TW"/>
                  <a:t>)</a:t>
                </a:r>
              </a:p>
            </c:rich>
          </c:tx>
          <c:layout>
            <c:manualLayout>
              <c:xMode val="edge"/>
              <c:yMode val="edge"/>
              <c:x val="0.40655559371964406"/>
              <c:y val="0.8984849803156681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crossBetween val="midCat"/>
        <c:majorUnit val="0.02"/>
      </c:valAx>
      <c:valAx>
        <c:axId val="1"/>
        <c:scaling>
          <c:orientation val="minMax"/>
          <c:min val="-0.08"/>
        </c:scaling>
        <c:delete val="0"/>
        <c:axPos val="l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個股報酬率</a:t>
                </a:r>
                <a:r>
                  <a:rPr lang="en-US" altLang="zh-TW"/>
                  <a:t>(</a:t>
                </a:r>
                <a:r>
                  <a:rPr lang="zh-TW" altLang="en-US"/>
                  <a:t>每日</a:t>
                </a:r>
                <a:r>
                  <a:rPr lang="en-US" altLang="zh-TW"/>
                  <a:t>)</a:t>
                </a:r>
              </a:p>
            </c:rich>
          </c:tx>
          <c:layout>
            <c:manualLayout>
              <c:xMode val="edge"/>
              <c:yMode val="edge"/>
              <c:x val="4.4394001613064588E-2"/>
              <c:y val="0.34659002926181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55544060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20116324331944"/>
          <c:y val="7.0642553734892824E-2"/>
          <c:w val="0.77572676502828641"/>
          <c:h val="0.79693630932175974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003583559198714"/>
                  <c:y val="0.591369222072471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00"/>
                      </a:solidFill>
                      <a:latin typeface="新細明體"/>
                      <a:ea typeface="新細明體"/>
                      <a:cs typeface="新細明體"/>
                    </a:defRPr>
                  </a:pPr>
                  <a:endParaRPr lang="zh-TW"/>
                </a:p>
              </c:txPr>
            </c:trendlineLbl>
          </c:trendline>
          <c:xVal>
            <c:numRef>
              <c:f>beta!$F$3:$F$251</c:f>
              <c:numCache>
                <c:formatCode>0.0000</c:formatCode>
                <c:ptCount val="249"/>
                <c:pt idx="0">
                  <c:v>1.3880520925059035E-2</c:v>
                </c:pt>
                <c:pt idx="1">
                  <c:v>3.0348939338037464E-3</c:v>
                </c:pt>
                <c:pt idx="2">
                  <c:v>-4.4921801885091631E-4</c:v>
                </c:pt>
                <c:pt idx="3">
                  <c:v>4.5463057195196535E-3</c:v>
                </c:pt>
                <c:pt idx="4">
                  <c:v>9.3707905601563071E-3</c:v>
                </c:pt>
                <c:pt idx="5">
                  <c:v>-1.1675001365026912E-3</c:v>
                </c:pt>
                <c:pt idx="6">
                  <c:v>-1.5257946110027287E-3</c:v>
                </c:pt>
                <c:pt idx="7">
                  <c:v>1.0426361706992666E-2</c:v>
                </c:pt>
                <c:pt idx="8">
                  <c:v>-1.6892511039893997E-3</c:v>
                </c:pt>
                <c:pt idx="9">
                  <c:v>8.5244006979155859E-4</c:v>
                </c:pt>
                <c:pt idx="10">
                  <c:v>1.8329396415464203E-2</c:v>
                </c:pt>
                <c:pt idx="11">
                  <c:v>2.5373435892132997E-4</c:v>
                </c:pt>
                <c:pt idx="12">
                  <c:v>-1.152476022705036E-2</c:v>
                </c:pt>
                <c:pt idx="13">
                  <c:v>9.9371896113360433E-3</c:v>
                </c:pt>
                <c:pt idx="14">
                  <c:v>-8.6928151733700696E-3</c:v>
                </c:pt>
                <c:pt idx="15">
                  <c:v>-1.0716839979999948E-2</c:v>
                </c:pt>
                <c:pt idx="16">
                  <c:v>-1.7337813868010673E-3</c:v>
                </c:pt>
                <c:pt idx="17">
                  <c:v>4.2859042617109325E-3</c:v>
                </c:pt>
                <c:pt idx="18">
                  <c:v>1.3594144355422826E-2</c:v>
                </c:pt>
                <c:pt idx="19">
                  <c:v>1.7272777353679519E-2</c:v>
                </c:pt>
                <c:pt idx="20">
                  <c:v>3.9067999981433031E-3</c:v>
                </c:pt>
                <c:pt idx="21">
                  <c:v>-5.2324631569861963E-3</c:v>
                </c:pt>
                <c:pt idx="22">
                  <c:v>-2.7020369082129386E-3</c:v>
                </c:pt>
                <c:pt idx="23">
                  <c:v>1.743527602358267E-2</c:v>
                </c:pt>
                <c:pt idx="24">
                  <c:v>2.4720652051095863E-3</c:v>
                </c:pt>
                <c:pt idx="25">
                  <c:v>5.3462333425230209E-3</c:v>
                </c:pt>
                <c:pt idx="26">
                  <c:v>8.1509347061650293E-4</c:v>
                </c:pt>
                <c:pt idx="27">
                  <c:v>1.1454998221273579E-2</c:v>
                </c:pt>
                <c:pt idx="28">
                  <c:v>-2.391671356218416E-3</c:v>
                </c:pt>
                <c:pt idx="29">
                  <c:v>5.250887399976053E-5</c:v>
                </c:pt>
                <c:pt idx="30">
                  <c:v>-1.15003397895856E-2</c:v>
                </c:pt>
                <c:pt idx="31">
                  <c:v>8.3545421847469568E-3</c:v>
                </c:pt>
                <c:pt idx="32">
                  <c:v>7.3702492971398342E-3</c:v>
                </c:pt>
                <c:pt idx="33">
                  <c:v>8.5593695140626699E-3</c:v>
                </c:pt>
                <c:pt idx="34">
                  <c:v>2.0426514027026034E-2</c:v>
                </c:pt>
                <c:pt idx="35">
                  <c:v>1.2605194507311525E-2</c:v>
                </c:pt>
                <c:pt idx="36">
                  <c:v>-6.177547503605621E-3</c:v>
                </c:pt>
                <c:pt idx="37">
                  <c:v>1.4703909454038244E-2</c:v>
                </c:pt>
                <c:pt idx="38">
                  <c:v>-1.2854522966690844E-2</c:v>
                </c:pt>
                <c:pt idx="39">
                  <c:v>-6.0774690077884819E-3</c:v>
                </c:pt>
                <c:pt idx="40">
                  <c:v>1.0493401415348604E-2</c:v>
                </c:pt>
                <c:pt idx="41">
                  <c:v>-1.4194353231333943E-2</c:v>
                </c:pt>
                <c:pt idx="42">
                  <c:v>6.1091708836913036E-4</c:v>
                </c:pt>
                <c:pt idx="43">
                  <c:v>-1.1465145927307442E-2</c:v>
                </c:pt>
                <c:pt idx="44">
                  <c:v>-2.4155029822476887E-2</c:v>
                </c:pt>
                <c:pt idx="45">
                  <c:v>-6.9710879176850008E-3</c:v>
                </c:pt>
                <c:pt idx="46">
                  <c:v>-1.781562797812455E-3</c:v>
                </c:pt>
                <c:pt idx="47">
                  <c:v>3.1780272971337738E-2</c:v>
                </c:pt>
                <c:pt idx="48">
                  <c:v>4.1343562648169232E-3</c:v>
                </c:pt>
                <c:pt idx="49">
                  <c:v>-6.6788553049189375E-2</c:v>
                </c:pt>
                <c:pt idx="50">
                  <c:v>-2.9407602611353563E-2</c:v>
                </c:pt>
                <c:pt idx="51">
                  <c:v>6.5884861061836627E-3</c:v>
                </c:pt>
                <c:pt idx="52">
                  <c:v>-9.146125570526532E-3</c:v>
                </c:pt>
                <c:pt idx="53">
                  <c:v>-3.9160398458271961E-3</c:v>
                </c:pt>
                <c:pt idx="54">
                  <c:v>5.5684193705137414E-2</c:v>
                </c:pt>
                <c:pt idx="55">
                  <c:v>3.1819045397746353E-3</c:v>
                </c:pt>
                <c:pt idx="56">
                  <c:v>4.2311358012905214E-3</c:v>
                </c:pt>
                <c:pt idx="57">
                  <c:v>1.9931955370821488E-4</c:v>
                </c:pt>
                <c:pt idx="58">
                  <c:v>3.3800925578180057E-3</c:v>
                </c:pt>
                <c:pt idx="59">
                  <c:v>2.0959309697901104E-2</c:v>
                </c:pt>
                <c:pt idx="60">
                  <c:v>-7.0614853510465939E-3</c:v>
                </c:pt>
                <c:pt idx="61">
                  <c:v>1.6878807150585812E-3</c:v>
                </c:pt>
                <c:pt idx="62">
                  <c:v>3.9297460108263437E-3</c:v>
                </c:pt>
                <c:pt idx="63">
                  <c:v>-7.8676909151398355E-3</c:v>
                </c:pt>
                <c:pt idx="64">
                  <c:v>2.3778163121038746E-2</c:v>
                </c:pt>
                <c:pt idx="65">
                  <c:v>2.4418024780975753E-3</c:v>
                </c:pt>
                <c:pt idx="66">
                  <c:v>1.2635535807062708E-2</c:v>
                </c:pt>
                <c:pt idx="67">
                  <c:v>-2.0841024508079776E-2</c:v>
                </c:pt>
                <c:pt idx="68">
                  <c:v>1.2084390340206516E-2</c:v>
                </c:pt>
                <c:pt idx="69">
                  <c:v>-5.7229180722184044E-3</c:v>
                </c:pt>
                <c:pt idx="70">
                  <c:v>3.0667425853864276E-3</c:v>
                </c:pt>
                <c:pt idx="71">
                  <c:v>1.5117713754619132E-3</c:v>
                </c:pt>
                <c:pt idx="72">
                  <c:v>-1.1476818031643457E-2</c:v>
                </c:pt>
                <c:pt idx="73">
                  <c:v>2.3781619081147485E-3</c:v>
                </c:pt>
                <c:pt idx="74">
                  <c:v>-5.5423007957796332E-3</c:v>
                </c:pt>
                <c:pt idx="75">
                  <c:v>-9.5221064866555863E-3</c:v>
                </c:pt>
                <c:pt idx="76">
                  <c:v>-1.0839802611783141E-2</c:v>
                </c:pt>
                <c:pt idx="77">
                  <c:v>-2.6242822921023607E-2</c:v>
                </c:pt>
                <c:pt idx="78">
                  <c:v>-4.4422160472711712E-2</c:v>
                </c:pt>
                <c:pt idx="79">
                  <c:v>-1.4390770553515057E-2</c:v>
                </c:pt>
                <c:pt idx="80">
                  <c:v>2.626634183393383E-2</c:v>
                </c:pt>
                <c:pt idx="81">
                  <c:v>-5.3961200035551833E-2</c:v>
                </c:pt>
                <c:pt idx="82">
                  <c:v>9.4905734827638137E-3</c:v>
                </c:pt>
                <c:pt idx="83">
                  <c:v>2.2076926591300242E-2</c:v>
                </c:pt>
                <c:pt idx="84">
                  <c:v>-3.5629260992076507E-2</c:v>
                </c:pt>
                <c:pt idx="85">
                  <c:v>1.0525231543076797E-2</c:v>
                </c:pt>
                <c:pt idx="86">
                  <c:v>1.2304718026080684E-2</c:v>
                </c:pt>
                <c:pt idx="87">
                  <c:v>-6.8302457378091553E-3</c:v>
                </c:pt>
                <c:pt idx="88">
                  <c:v>-2.3786390541543037E-2</c:v>
                </c:pt>
                <c:pt idx="89">
                  <c:v>-5.0950959960673753E-2</c:v>
                </c:pt>
                <c:pt idx="90">
                  <c:v>1.3627675562105186E-2</c:v>
                </c:pt>
                <c:pt idx="91">
                  <c:v>5.4501158756891294E-2</c:v>
                </c:pt>
                <c:pt idx="92">
                  <c:v>-7.7210788010742964E-3</c:v>
                </c:pt>
                <c:pt idx="93">
                  <c:v>2.5726828915985794E-2</c:v>
                </c:pt>
                <c:pt idx="94">
                  <c:v>-3.8323939553456822E-3</c:v>
                </c:pt>
                <c:pt idx="95">
                  <c:v>2.7431471807852102E-3</c:v>
                </c:pt>
                <c:pt idx="96">
                  <c:v>1.1561867487471482E-2</c:v>
                </c:pt>
                <c:pt idx="97">
                  <c:v>9.5897479289956233E-4</c:v>
                </c:pt>
                <c:pt idx="98">
                  <c:v>1.7273186862366469E-2</c:v>
                </c:pt>
                <c:pt idx="99">
                  <c:v>-2.5975761170294247E-2</c:v>
                </c:pt>
                <c:pt idx="100">
                  <c:v>1.3984984542911273E-3</c:v>
                </c:pt>
                <c:pt idx="101">
                  <c:v>-1.8464134175269747E-2</c:v>
                </c:pt>
                <c:pt idx="102">
                  <c:v>-3.4756887299661185E-2</c:v>
                </c:pt>
                <c:pt idx="103">
                  <c:v>9.4226344232957206E-3</c:v>
                </c:pt>
                <c:pt idx="104">
                  <c:v>3.6844376049146685E-2</c:v>
                </c:pt>
                <c:pt idx="105">
                  <c:v>8.5817966178220548E-3</c:v>
                </c:pt>
                <c:pt idx="106">
                  <c:v>-3.5177625293147546E-3</c:v>
                </c:pt>
                <c:pt idx="107">
                  <c:v>-1.6459091137670284E-2</c:v>
                </c:pt>
                <c:pt idx="108">
                  <c:v>-2.257175531017425E-2</c:v>
                </c:pt>
                <c:pt idx="109">
                  <c:v>-2.8071148216150768E-2</c:v>
                </c:pt>
                <c:pt idx="110">
                  <c:v>1.2990484528388515E-2</c:v>
                </c:pt>
                <c:pt idx="111">
                  <c:v>-1.5289144229423931E-2</c:v>
                </c:pt>
                <c:pt idx="112">
                  <c:v>1.8738669390808989E-2</c:v>
                </c:pt>
                <c:pt idx="113">
                  <c:v>-1.6782155057508876E-2</c:v>
                </c:pt>
                <c:pt idx="114">
                  <c:v>-2.2893402929278239E-3</c:v>
                </c:pt>
                <c:pt idx="115">
                  <c:v>3.1091290623301591E-2</c:v>
                </c:pt>
                <c:pt idx="116">
                  <c:v>8.6904159321383005E-3</c:v>
                </c:pt>
                <c:pt idx="117">
                  <c:v>4.0594626489637705E-3</c:v>
                </c:pt>
                <c:pt idx="118">
                  <c:v>-1.5977458186486982E-2</c:v>
                </c:pt>
                <c:pt idx="119">
                  <c:v>5.5483165903073102E-3</c:v>
                </c:pt>
                <c:pt idx="120">
                  <c:v>1.7054717217740104E-2</c:v>
                </c:pt>
                <c:pt idx="121">
                  <c:v>-4.3326072363098953E-4</c:v>
                </c:pt>
                <c:pt idx="122">
                  <c:v>-1.5455095247314083E-2</c:v>
                </c:pt>
                <c:pt idx="123">
                  <c:v>-1.5125202290009932E-2</c:v>
                </c:pt>
                <c:pt idx="124">
                  <c:v>1.3037609235694667E-2</c:v>
                </c:pt>
                <c:pt idx="125">
                  <c:v>-1.009842035590385E-3</c:v>
                </c:pt>
                <c:pt idx="126">
                  <c:v>-2.5123171630194278E-3</c:v>
                </c:pt>
                <c:pt idx="127">
                  <c:v>1.1259514928965103E-2</c:v>
                </c:pt>
                <c:pt idx="128">
                  <c:v>-3.2850328503285851E-3</c:v>
                </c:pt>
                <c:pt idx="129">
                  <c:v>-1.2705904416591142E-2</c:v>
                </c:pt>
                <c:pt idx="130">
                  <c:v>-1.0890728634068366E-2</c:v>
                </c:pt>
                <c:pt idx="131">
                  <c:v>-1.4376783761435983E-2</c:v>
                </c:pt>
                <c:pt idx="132">
                  <c:v>-7.3356426354910607E-3</c:v>
                </c:pt>
                <c:pt idx="133">
                  <c:v>-2.3699869505319679E-3</c:v>
                </c:pt>
                <c:pt idx="134">
                  <c:v>-2.9771729427410697E-2</c:v>
                </c:pt>
                <c:pt idx="135">
                  <c:v>1.5669360532363907E-2</c:v>
                </c:pt>
                <c:pt idx="136">
                  <c:v>-3.9137532283380272E-3</c:v>
                </c:pt>
                <c:pt idx="137">
                  <c:v>-2.61880192132081E-3</c:v>
                </c:pt>
                <c:pt idx="138">
                  <c:v>-7.8416777543102844E-3</c:v>
                </c:pt>
                <c:pt idx="139">
                  <c:v>1.2547569166364944E-2</c:v>
                </c:pt>
                <c:pt idx="140">
                  <c:v>-2.7859022970727586E-3</c:v>
                </c:pt>
                <c:pt idx="141">
                  <c:v>-6.2987942944922898E-3</c:v>
                </c:pt>
                <c:pt idx="142">
                  <c:v>1.3255047984357858E-2</c:v>
                </c:pt>
                <c:pt idx="143">
                  <c:v>-1.2945133076410797E-2</c:v>
                </c:pt>
                <c:pt idx="144">
                  <c:v>3.1436901913876754E-3</c:v>
                </c:pt>
                <c:pt idx="145">
                  <c:v>-9.3810203420020728E-3</c:v>
                </c:pt>
                <c:pt idx="146">
                  <c:v>2.08280435669858E-2</c:v>
                </c:pt>
                <c:pt idx="147">
                  <c:v>-5.2417178094962278E-3</c:v>
                </c:pt>
                <c:pt idx="148">
                  <c:v>5.3712058912861192E-5</c:v>
                </c:pt>
                <c:pt idx="149">
                  <c:v>-1.059367157766116E-3</c:v>
                </c:pt>
                <c:pt idx="150">
                  <c:v>-4.8927180263008008E-3</c:v>
                </c:pt>
                <c:pt idx="151">
                  <c:v>1.2669217899374569E-4</c:v>
                </c:pt>
                <c:pt idx="152">
                  <c:v>4.0815794277964416E-3</c:v>
                </c:pt>
                <c:pt idx="153">
                  <c:v>-7.0353418318976442E-3</c:v>
                </c:pt>
                <c:pt idx="154">
                  <c:v>-1.7787709664220427E-3</c:v>
                </c:pt>
                <c:pt idx="155">
                  <c:v>1.5958850648293253E-2</c:v>
                </c:pt>
                <c:pt idx="156">
                  <c:v>3.2285938003776847E-2</c:v>
                </c:pt>
                <c:pt idx="157">
                  <c:v>3.5463208037137123E-3</c:v>
                </c:pt>
                <c:pt idx="158">
                  <c:v>6.7776896454830073E-3</c:v>
                </c:pt>
                <c:pt idx="159">
                  <c:v>2.6924714315744485E-2</c:v>
                </c:pt>
                <c:pt idx="160">
                  <c:v>-2.6972214146995625E-3</c:v>
                </c:pt>
                <c:pt idx="161">
                  <c:v>-1.5126662078649047E-3</c:v>
                </c:pt>
                <c:pt idx="162">
                  <c:v>-4.0421907983153454E-3</c:v>
                </c:pt>
                <c:pt idx="163">
                  <c:v>1.6060941386236219E-2</c:v>
                </c:pt>
                <c:pt idx="164">
                  <c:v>-9.030169985695056E-4</c:v>
                </c:pt>
                <c:pt idx="165">
                  <c:v>-1.566928932058741E-2</c:v>
                </c:pt>
                <c:pt idx="166">
                  <c:v>2.5776148470614242E-3</c:v>
                </c:pt>
                <c:pt idx="167">
                  <c:v>1.2264564169951843E-2</c:v>
                </c:pt>
                <c:pt idx="168">
                  <c:v>-1.3853660872635099E-4</c:v>
                </c:pt>
                <c:pt idx="169">
                  <c:v>-5.2856473292943668E-4</c:v>
                </c:pt>
                <c:pt idx="170">
                  <c:v>5.5793925308009998E-4</c:v>
                </c:pt>
                <c:pt idx="171">
                  <c:v>1.4031360595533272E-2</c:v>
                </c:pt>
                <c:pt idx="172">
                  <c:v>-1.4253856975618006E-3</c:v>
                </c:pt>
                <c:pt idx="173">
                  <c:v>-8.2266709686357273E-3</c:v>
                </c:pt>
                <c:pt idx="174">
                  <c:v>3.4031275389325068E-3</c:v>
                </c:pt>
                <c:pt idx="175">
                  <c:v>-1.2333964233880184E-2</c:v>
                </c:pt>
                <c:pt idx="176">
                  <c:v>7.9317474421617719E-3</c:v>
                </c:pt>
                <c:pt idx="177">
                  <c:v>1.4446145818768437E-2</c:v>
                </c:pt>
                <c:pt idx="178">
                  <c:v>3.5164037207989014E-3</c:v>
                </c:pt>
                <c:pt idx="179">
                  <c:v>-5.5157465939050902E-3</c:v>
                </c:pt>
                <c:pt idx="180">
                  <c:v>-7.5860036212050969E-3</c:v>
                </c:pt>
                <c:pt idx="181">
                  <c:v>-7.2960739688503603E-3</c:v>
                </c:pt>
                <c:pt idx="182">
                  <c:v>-6.7479082681110051E-3</c:v>
                </c:pt>
                <c:pt idx="183">
                  <c:v>6.1861525883212878E-3</c:v>
                </c:pt>
                <c:pt idx="184">
                  <c:v>1.7048457923701184E-2</c:v>
                </c:pt>
                <c:pt idx="185">
                  <c:v>2.2304826461015694E-2</c:v>
                </c:pt>
                <c:pt idx="186">
                  <c:v>5.0181310834559328E-4</c:v>
                </c:pt>
                <c:pt idx="187">
                  <c:v>-3.3547058794510362E-3</c:v>
                </c:pt>
                <c:pt idx="188">
                  <c:v>6.9943454536755094E-3</c:v>
                </c:pt>
                <c:pt idx="189">
                  <c:v>-1.3763722759301089E-4</c:v>
                </c:pt>
                <c:pt idx="190">
                  <c:v>-2.1107280045098964E-3</c:v>
                </c:pt>
                <c:pt idx="191">
                  <c:v>-1.8018550633243889E-2</c:v>
                </c:pt>
                <c:pt idx="192">
                  <c:v>-2.7577279933641758E-3</c:v>
                </c:pt>
                <c:pt idx="193">
                  <c:v>-2.2136248610195756E-2</c:v>
                </c:pt>
                <c:pt idx="194">
                  <c:v>-1.7578248932014194E-3</c:v>
                </c:pt>
                <c:pt idx="195">
                  <c:v>-8.3665188066285884E-3</c:v>
                </c:pt>
                <c:pt idx="196">
                  <c:v>6.179705203634033E-3</c:v>
                </c:pt>
                <c:pt idx="197">
                  <c:v>-3.3489502891805348E-3</c:v>
                </c:pt>
                <c:pt idx="198">
                  <c:v>1.537573812180977E-3</c:v>
                </c:pt>
                <c:pt idx="199">
                  <c:v>-3.8932319517563031E-3</c:v>
                </c:pt>
                <c:pt idx="200">
                  <c:v>-1.9358681967973922E-2</c:v>
                </c:pt>
                <c:pt idx="201">
                  <c:v>-2.1031701183849656E-3</c:v>
                </c:pt>
                <c:pt idx="202">
                  <c:v>7.8906807149923194E-3</c:v>
                </c:pt>
                <c:pt idx="203">
                  <c:v>1.8207164879309305E-3</c:v>
                </c:pt>
                <c:pt idx="204">
                  <c:v>-8.720751919494318E-3</c:v>
                </c:pt>
                <c:pt idx="205">
                  <c:v>1.8287993465542867E-2</c:v>
                </c:pt>
                <c:pt idx="206">
                  <c:v>1.7924824771121776E-2</c:v>
                </c:pt>
                <c:pt idx="207">
                  <c:v>-3.6159888109039122E-4</c:v>
                </c:pt>
                <c:pt idx="208">
                  <c:v>1.2042868379877735E-2</c:v>
                </c:pt>
                <c:pt idx="209">
                  <c:v>1.0368704384022477E-3</c:v>
                </c:pt>
                <c:pt idx="210">
                  <c:v>1.3035877294330879E-3</c:v>
                </c:pt>
                <c:pt idx="211">
                  <c:v>5.5338760680884809E-4</c:v>
                </c:pt>
                <c:pt idx="212">
                  <c:v>-1.2435088568695475E-2</c:v>
                </c:pt>
                <c:pt idx="213">
                  <c:v>7.2584653724899082E-3</c:v>
                </c:pt>
                <c:pt idx="214">
                  <c:v>-1.7694299292228459E-3</c:v>
                </c:pt>
                <c:pt idx="215">
                  <c:v>7.0428615688325686E-4</c:v>
                </c:pt>
                <c:pt idx="216">
                  <c:v>1.9934527183061643E-2</c:v>
                </c:pt>
                <c:pt idx="217">
                  <c:v>3.4518335688740304E-3</c:v>
                </c:pt>
                <c:pt idx="218">
                  <c:v>-3.7920551980414217E-3</c:v>
                </c:pt>
                <c:pt idx="219">
                  <c:v>-3.1216865370734516E-2</c:v>
                </c:pt>
                <c:pt idx="220">
                  <c:v>2.1718204582747199E-3</c:v>
                </c:pt>
                <c:pt idx="221">
                  <c:v>1.0290372750423002E-2</c:v>
                </c:pt>
                <c:pt idx="222">
                  <c:v>-9.4852071706610919E-3</c:v>
                </c:pt>
                <c:pt idx="223">
                  <c:v>-1.3080591060315231E-2</c:v>
                </c:pt>
                <c:pt idx="224">
                  <c:v>1.1438657818003482E-3</c:v>
                </c:pt>
                <c:pt idx="225">
                  <c:v>1.0284758161258093E-2</c:v>
                </c:pt>
                <c:pt idx="226">
                  <c:v>-7.8942505765848946E-3</c:v>
                </c:pt>
                <c:pt idx="227">
                  <c:v>1.1956293049035793E-2</c:v>
                </c:pt>
                <c:pt idx="228">
                  <c:v>4.3149651922733869E-3</c:v>
                </c:pt>
                <c:pt idx="229">
                  <c:v>4.3948436097446131E-3</c:v>
                </c:pt>
                <c:pt idx="230">
                  <c:v>1.032239317336666E-3</c:v>
                </c:pt>
                <c:pt idx="231">
                  <c:v>-5.5305403288957704E-3</c:v>
                </c:pt>
                <c:pt idx="232">
                  <c:v>3.6419115113932835E-3</c:v>
                </c:pt>
                <c:pt idx="233">
                  <c:v>-3.9567329560348557E-4</c:v>
                </c:pt>
                <c:pt idx="234">
                  <c:v>-5.5382356473594897E-3</c:v>
                </c:pt>
                <c:pt idx="235">
                  <c:v>5.2322802433791595E-3</c:v>
                </c:pt>
                <c:pt idx="236">
                  <c:v>1.5725127545624579E-2</c:v>
                </c:pt>
                <c:pt idx="237">
                  <c:v>2.7738072628769022E-3</c:v>
                </c:pt>
                <c:pt idx="238">
                  <c:v>-1.6463899867590797E-3</c:v>
                </c:pt>
                <c:pt idx="239">
                  <c:v>-3.8906232319131135E-3</c:v>
                </c:pt>
                <c:pt idx="240">
                  <c:v>3.1908104658596043E-4</c:v>
                </c:pt>
                <c:pt idx="241">
                  <c:v>2.2829563198811047E-3</c:v>
                </c:pt>
                <c:pt idx="242">
                  <c:v>-6.4150415228148266E-4</c:v>
                </c:pt>
                <c:pt idx="243">
                  <c:v>3.6264082552057717E-3</c:v>
                </c:pt>
                <c:pt idx="244">
                  <c:v>-5.5619976675494436E-3</c:v>
                </c:pt>
                <c:pt idx="245">
                  <c:v>2.4440605819637533E-3</c:v>
                </c:pt>
                <c:pt idx="246">
                  <c:v>1.4651941398900451E-2</c:v>
                </c:pt>
                <c:pt idx="247">
                  <c:v>2.0317024418205322E-3</c:v>
                </c:pt>
                <c:pt idx="248">
                  <c:v>6.3646764554505311E-3</c:v>
                </c:pt>
              </c:numCache>
            </c:numRef>
          </c:xVal>
          <c:yVal>
            <c:numRef>
              <c:f>beta!$I$3:$I$251</c:f>
              <c:numCache>
                <c:formatCode>0.0000</c:formatCode>
                <c:ptCount val="249"/>
                <c:pt idx="0">
                  <c:v>1.9985724482512447E-2</c:v>
                </c:pt>
                <c:pt idx="1">
                  <c:v>6.6480055983205487E-3</c:v>
                </c:pt>
                <c:pt idx="2">
                  <c:v>9.7323600973236411E-3</c:v>
                </c:pt>
                <c:pt idx="3">
                  <c:v>3.0981067125645388E-3</c:v>
                </c:pt>
                <c:pt idx="4">
                  <c:v>1.3040494166094681E-2</c:v>
                </c:pt>
                <c:pt idx="5">
                  <c:v>-3.3875338753386812E-3</c:v>
                </c:pt>
                <c:pt idx="6">
                  <c:v>-1.5635622025832796E-2</c:v>
                </c:pt>
                <c:pt idx="7">
                  <c:v>6.2154696132596587E-3</c:v>
                </c:pt>
                <c:pt idx="8">
                  <c:v>-9.6087851750171968E-3</c:v>
                </c:pt>
                <c:pt idx="9">
                  <c:v>0</c:v>
                </c:pt>
                <c:pt idx="10">
                  <c:v>2.5987525987525989E-2</c:v>
                </c:pt>
                <c:pt idx="11">
                  <c:v>-3.0395136778115454E-3</c:v>
                </c:pt>
                <c:pt idx="12">
                  <c:v>3.0487804878048734E-3</c:v>
                </c:pt>
                <c:pt idx="13">
                  <c:v>-3.0395136778115454E-3</c:v>
                </c:pt>
                <c:pt idx="14">
                  <c:v>-1.8970189701896976E-2</c:v>
                </c:pt>
                <c:pt idx="15">
                  <c:v>-2.2790055248618789E-2</c:v>
                </c:pt>
                <c:pt idx="16">
                  <c:v>-1.6254416961130773E-2</c:v>
                </c:pt>
                <c:pt idx="17">
                  <c:v>-3.5919540229885569E-3</c:v>
                </c:pt>
                <c:pt idx="18">
                  <c:v>2.7036770007209807E-2</c:v>
                </c:pt>
                <c:pt idx="19">
                  <c:v>2.281502281502289E-2</c:v>
                </c:pt>
                <c:pt idx="20">
                  <c:v>-9.6087851750171968E-3</c:v>
                </c:pt>
                <c:pt idx="21">
                  <c:v>-9.7020097020097413E-3</c:v>
                </c:pt>
                <c:pt idx="22">
                  <c:v>3.4989503149055784E-3</c:v>
                </c:pt>
                <c:pt idx="23">
                  <c:v>0</c:v>
                </c:pt>
                <c:pt idx="24">
                  <c:v>-1.9525801952580153E-2</c:v>
                </c:pt>
                <c:pt idx="25">
                  <c:v>3.2005689900426689E-3</c:v>
                </c:pt>
                <c:pt idx="26">
                  <c:v>1.6660758596242425E-2</c:v>
                </c:pt>
                <c:pt idx="27">
                  <c:v>6.2761506276150531E-3</c:v>
                </c:pt>
                <c:pt idx="28">
                  <c:v>-3.1185031185031135E-3</c:v>
                </c:pt>
                <c:pt idx="29">
                  <c:v>-1.2860618700034793E-2</c:v>
                </c:pt>
                <c:pt idx="30">
                  <c:v>-9.8591549295773805E-3</c:v>
                </c:pt>
                <c:pt idx="31">
                  <c:v>0</c:v>
                </c:pt>
                <c:pt idx="32">
                  <c:v>6.4011379800853379E-3</c:v>
                </c:pt>
                <c:pt idx="33">
                  <c:v>3.5335689045935641E-3</c:v>
                </c:pt>
                <c:pt idx="34">
                  <c:v>2.6056338028169087E-2</c:v>
                </c:pt>
                <c:pt idx="35">
                  <c:v>6.7261496225120135E-2</c:v>
                </c:pt>
                <c:pt idx="36">
                  <c:v>9.0032154340835228E-3</c:v>
                </c:pt>
                <c:pt idx="37">
                  <c:v>1.4977692797960561E-2</c:v>
                </c:pt>
                <c:pt idx="38">
                  <c:v>-2.8257456828885354E-3</c:v>
                </c:pt>
                <c:pt idx="39">
                  <c:v>-1.7632241813602085E-2</c:v>
                </c:pt>
                <c:pt idx="40">
                  <c:v>2.88461538461538E-3</c:v>
                </c:pt>
                <c:pt idx="41">
                  <c:v>-2.6845637583892613E-2</c:v>
                </c:pt>
                <c:pt idx="42">
                  <c:v>-2.9556650246305373E-3</c:v>
                </c:pt>
                <c:pt idx="43">
                  <c:v>-2.4703557312252964E-2</c:v>
                </c:pt>
                <c:pt idx="44">
                  <c:v>-2.1952043228638925E-2</c:v>
                </c:pt>
                <c:pt idx="45">
                  <c:v>-6.5607734806630274E-3</c:v>
                </c:pt>
                <c:pt idx="46">
                  <c:v>3.1282586027111528E-3</c:v>
                </c:pt>
                <c:pt idx="47">
                  <c:v>3.2571032571032617E-2</c:v>
                </c:pt>
                <c:pt idx="48">
                  <c:v>6.0402684563758292E-3</c:v>
                </c:pt>
                <c:pt idx="49">
                  <c:v>-6.8378919279519709E-2</c:v>
                </c:pt>
                <c:pt idx="50">
                  <c:v>-6.695309702828503E-2</c:v>
                </c:pt>
                <c:pt idx="51">
                  <c:v>3.2233307751343053E-2</c:v>
                </c:pt>
                <c:pt idx="52">
                  <c:v>-1.0408921933085413E-2</c:v>
                </c:pt>
                <c:pt idx="53">
                  <c:v>3.3809166040570946E-3</c:v>
                </c:pt>
                <c:pt idx="54">
                  <c:v>7.0011231748408731E-2</c:v>
                </c:pt>
                <c:pt idx="55">
                  <c:v>-2.2743177046885887E-2</c:v>
                </c:pt>
                <c:pt idx="56">
                  <c:v>-1.0025062656641645E-2</c:v>
                </c:pt>
                <c:pt idx="57">
                  <c:v>-1.0126582278480926E-2</c:v>
                </c:pt>
                <c:pt idx="58">
                  <c:v>6.5765436609426277E-3</c:v>
                </c:pt>
                <c:pt idx="59">
                  <c:v>6.7876588021778622E-2</c:v>
                </c:pt>
                <c:pt idx="60">
                  <c:v>1.2916383412644426E-2</c:v>
                </c:pt>
                <c:pt idx="61">
                  <c:v>-9.3959731543624535E-3</c:v>
                </c:pt>
                <c:pt idx="62">
                  <c:v>1.2533875338753421E-2</c:v>
                </c:pt>
                <c:pt idx="63">
                  <c:v>-1.8735362997658156E-2</c:v>
                </c:pt>
                <c:pt idx="64">
                  <c:v>1.6024548244118732E-2</c:v>
                </c:pt>
                <c:pt idx="65">
                  <c:v>-6.3758389261745398E-3</c:v>
                </c:pt>
                <c:pt idx="66">
                  <c:v>5.9777102330293805E-2</c:v>
                </c:pt>
                <c:pt idx="67">
                  <c:v>-5.3537284894837465E-2</c:v>
                </c:pt>
                <c:pt idx="68">
                  <c:v>1.2794612794612761E-2</c:v>
                </c:pt>
                <c:pt idx="69">
                  <c:v>-2.1941489361702017E-2</c:v>
                </c:pt>
                <c:pt idx="70">
                  <c:v>1.9034670292318107E-2</c:v>
                </c:pt>
                <c:pt idx="71">
                  <c:v>1.5677118078719108E-2</c:v>
                </c:pt>
                <c:pt idx="72">
                  <c:v>1.215106732348115E-2</c:v>
                </c:pt>
                <c:pt idx="73">
                  <c:v>3.0499675535366685E-2</c:v>
                </c:pt>
                <c:pt idx="74">
                  <c:v>-5.9823677581864378E-3</c:v>
                </c:pt>
                <c:pt idx="75">
                  <c:v>-1.1719987329743459E-2</c:v>
                </c:pt>
                <c:pt idx="76">
                  <c:v>-2.6923076923076918E-2</c:v>
                </c:pt>
                <c:pt idx="77">
                  <c:v>-3.3926218708827442E-2</c:v>
                </c:pt>
                <c:pt idx="78">
                  <c:v>-5.0801227412205885E-2</c:v>
                </c:pt>
                <c:pt idx="79">
                  <c:v>-1.0416666666666637E-2</c:v>
                </c:pt>
                <c:pt idx="80">
                  <c:v>2.3956442831215976E-2</c:v>
                </c:pt>
                <c:pt idx="81">
                  <c:v>-5.9553349875930507E-2</c:v>
                </c:pt>
                <c:pt idx="82">
                  <c:v>6.7847719562759033E-3</c:v>
                </c:pt>
                <c:pt idx="83">
                  <c:v>1.4226881317858443E-2</c:v>
                </c:pt>
                <c:pt idx="84">
                  <c:v>-3.4699150978220794E-2</c:v>
                </c:pt>
                <c:pt idx="85">
                  <c:v>-1.0707456978967404E-2</c:v>
                </c:pt>
                <c:pt idx="86">
                  <c:v>1.0823347506764499E-2</c:v>
                </c:pt>
                <c:pt idx="87">
                  <c:v>-1.0707456978967404E-2</c:v>
                </c:pt>
                <c:pt idx="88">
                  <c:v>-2.8604561267877925E-2</c:v>
                </c:pt>
                <c:pt idx="89">
                  <c:v>-6.6852367688022274E-2</c:v>
                </c:pt>
                <c:pt idx="90">
                  <c:v>2.3880597014925471E-2</c:v>
                </c:pt>
                <c:pt idx="91">
                  <c:v>6.5805914202415591E-2</c:v>
                </c:pt>
                <c:pt idx="92">
                  <c:v>0</c:v>
                </c:pt>
                <c:pt idx="93">
                  <c:v>3.9077764751856746E-3</c:v>
                </c:pt>
                <c:pt idx="94">
                  <c:v>-1.4791747761775109E-2</c:v>
                </c:pt>
                <c:pt idx="95">
                  <c:v>7.5069142631371509E-3</c:v>
                </c:pt>
                <c:pt idx="96">
                  <c:v>2.5490196078431317E-2</c:v>
                </c:pt>
                <c:pt idx="97">
                  <c:v>1.070745697896754E-2</c:v>
                </c:pt>
                <c:pt idx="98">
                  <c:v>2.4971623155505114E-2</c:v>
                </c:pt>
                <c:pt idx="99">
                  <c:v>-4.1343669250646031E-2</c:v>
                </c:pt>
                <c:pt idx="100">
                  <c:v>6.9310743165190494E-3</c:v>
                </c:pt>
                <c:pt idx="101">
                  <c:v>-2.829827915869975E-2</c:v>
                </c:pt>
                <c:pt idx="102">
                  <c:v>-5.9031877213695398E-2</c:v>
                </c:pt>
                <c:pt idx="103">
                  <c:v>7.9464659138436342E-3</c:v>
                </c:pt>
                <c:pt idx="104">
                  <c:v>4.6473029045643044E-2</c:v>
                </c:pt>
                <c:pt idx="105">
                  <c:v>3.5685963521015014E-3</c:v>
                </c:pt>
                <c:pt idx="106">
                  <c:v>-1.8174634531805504E-2</c:v>
                </c:pt>
                <c:pt idx="107">
                  <c:v>-3.7826961770623793E-2</c:v>
                </c:pt>
                <c:pt idx="108">
                  <c:v>-5.0606440819740729E-2</c:v>
                </c:pt>
                <c:pt idx="109">
                  <c:v>-3.7004405286343606E-2</c:v>
                </c:pt>
                <c:pt idx="110">
                  <c:v>4.1171088746569011E-3</c:v>
                </c:pt>
                <c:pt idx="111">
                  <c:v>-1.6856492027334899E-2</c:v>
                </c:pt>
                <c:pt idx="112">
                  <c:v>3.0120481927710944E-2</c:v>
                </c:pt>
                <c:pt idx="113">
                  <c:v>-3.7786774628879888E-2</c:v>
                </c:pt>
                <c:pt idx="114">
                  <c:v>8.882655446470206E-3</c:v>
                </c:pt>
                <c:pt idx="115">
                  <c:v>3.0120481927710944E-2</c:v>
                </c:pt>
                <c:pt idx="116">
                  <c:v>1.2595591542960015E-2</c:v>
                </c:pt>
                <c:pt idx="117">
                  <c:v>0</c:v>
                </c:pt>
                <c:pt idx="118">
                  <c:v>-2.0879609062638933E-2</c:v>
                </c:pt>
                <c:pt idx="119">
                  <c:v>8.6206896551724727E-3</c:v>
                </c:pt>
                <c:pt idx="120">
                  <c:v>5.0382366171839901E-2</c:v>
                </c:pt>
                <c:pt idx="121">
                  <c:v>8.1370449678799875E-3</c:v>
                </c:pt>
                <c:pt idx="122">
                  <c:v>-3.1860662701784198E-2</c:v>
                </c:pt>
                <c:pt idx="123">
                  <c:v>-2.4572180781044263E-2</c:v>
                </c:pt>
                <c:pt idx="124">
                  <c:v>2.1142600089968461E-2</c:v>
                </c:pt>
                <c:pt idx="125">
                  <c:v>-2.0704845814977925E-2</c:v>
                </c:pt>
                <c:pt idx="126">
                  <c:v>0</c:v>
                </c:pt>
                <c:pt idx="127">
                  <c:v>2.1142600089968461E-2</c:v>
                </c:pt>
                <c:pt idx="128">
                  <c:v>-2.0704845814977925E-2</c:v>
                </c:pt>
                <c:pt idx="129">
                  <c:v>6.2977957714800076E-3</c:v>
                </c:pt>
                <c:pt idx="130">
                  <c:v>-4.4702726866339476E-3</c:v>
                </c:pt>
                <c:pt idx="131">
                  <c:v>-2.7391109115401862E-2</c:v>
                </c:pt>
                <c:pt idx="132">
                  <c:v>9.695290858725801E-3</c:v>
                </c:pt>
                <c:pt idx="133">
                  <c:v>4.5724737082760798E-3</c:v>
                </c:pt>
                <c:pt idx="134">
                  <c:v>-3.2316795630404974E-2</c:v>
                </c:pt>
                <c:pt idx="135">
                  <c:v>3.3396048918156035E-2</c:v>
                </c:pt>
                <c:pt idx="136">
                  <c:v>-9.1033227127901364E-3</c:v>
                </c:pt>
                <c:pt idx="137">
                  <c:v>0</c:v>
                </c:pt>
                <c:pt idx="138">
                  <c:v>-2.3426734037666423E-2</c:v>
                </c:pt>
                <c:pt idx="139">
                  <c:v>1.4111006585136272E-2</c:v>
                </c:pt>
                <c:pt idx="140">
                  <c:v>4.6382189239332757E-3</c:v>
                </c:pt>
                <c:pt idx="141">
                  <c:v>-4.6168051708218565E-3</c:v>
                </c:pt>
                <c:pt idx="142">
                  <c:v>1.9016697588126168E-2</c:v>
                </c:pt>
                <c:pt idx="143">
                  <c:v>-9.1033227127901364E-3</c:v>
                </c:pt>
                <c:pt idx="144">
                  <c:v>1.3780431786862687E-2</c:v>
                </c:pt>
                <c:pt idx="145">
                  <c:v>-9.0620752152242544E-3</c:v>
                </c:pt>
                <c:pt idx="146">
                  <c:v>4.61819844535893E-2</c:v>
                </c:pt>
                <c:pt idx="147">
                  <c:v>-2.6660839160839136E-2</c:v>
                </c:pt>
                <c:pt idx="148">
                  <c:v>-4.490345756623164E-3</c:v>
                </c:pt>
                <c:pt idx="149">
                  <c:v>0</c:v>
                </c:pt>
                <c:pt idx="150">
                  <c:v>4.5105999097879053E-3</c:v>
                </c:pt>
                <c:pt idx="151">
                  <c:v>-8.9806915132464877E-3</c:v>
                </c:pt>
                <c:pt idx="152">
                  <c:v>-4.5310376076122079E-3</c:v>
                </c:pt>
                <c:pt idx="153">
                  <c:v>-4.5516613563949876E-3</c:v>
                </c:pt>
                <c:pt idx="154">
                  <c:v>4.5724737082760798E-3</c:v>
                </c:pt>
                <c:pt idx="155">
                  <c:v>2.7309968138370572E-2</c:v>
                </c:pt>
                <c:pt idx="156">
                  <c:v>4.5192733717323859E-2</c:v>
                </c:pt>
                <c:pt idx="157">
                  <c:v>-1.3141161509113977E-2</c:v>
                </c:pt>
                <c:pt idx="158">
                  <c:v>4.2955326460480184E-3</c:v>
                </c:pt>
                <c:pt idx="159">
                  <c:v>3.4644995722840133E-2</c:v>
                </c:pt>
                <c:pt idx="160">
                  <c:v>-4.1339396444812493E-3</c:v>
                </c:pt>
                <c:pt idx="161">
                  <c:v>-1.6604400166043944E-2</c:v>
                </c:pt>
                <c:pt idx="162">
                  <c:v>-1.308569016462652E-2</c:v>
                </c:pt>
                <c:pt idx="163">
                  <c:v>8.9820359281437487E-3</c:v>
                </c:pt>
                <c:pt idx="164">
                  <c:v>-3.0097498940228947E-2</c:v>
                </c:pt>
                <c:pt idx="165">
                  <c:v>-4.4143356643356557E-2</c:v>
                </c:pt>
                <c:pt idx="166">
                  <c:v>4.5724737082760798E-3</c:v>
                </c:pt>
                <c:pt idx="167">
                  <c:v>1.3654984069185286E-2</c:v>
                </c:pt>
                <c:pt idx="168">
                  <c:v>-1.3471037269869812E-2</c:v>
                </c:pt>
                <c:pt idx="169">
                  <c:v>0</c:v>
                </c:pt>
                <c:pt idx="170">
                  <c:v>4.5516613563951489E-3</c:v>
                </c:pt>
                <c:pt idx="171">
                  <c:v>1.8124150430448509E-2</c:v>
                </c:pt>
                <c:pt idx="172">
                  <c:v>-8.9007565643079347E-3</c:v>
                </c:pt>
                <c:pt idx="173">
                  <c:v>-1.7961383026492975E-2</c:v>
                </c:pt>
                <c:pt idx="174">
                  <c:v>0</c:v>
                </c:pt>
                <c:pt idx="175">
                  <c:v>-2.3319615912208574E-2</c:v>
                </c:pt>
                <c:pt idx="176">
                  <c:v>-9.3632958801497801E-3</c:v>
                </c:pt>
                <c:pt idx="177">
                  <c:v>1.4177693761814778E-2</c:v>
                </c:pt>
                <c:pt idx="178">
                  <c:v>0</c:v>
                </c:pt>
                <c:pt idx="179">
                  <c:v>4.6598322460390433E-3</c:v>
                </c:pt>
                <c:pt idx="180">
                  <c:v>-1.3914656771799499E-2</c:v>
                </c:pt>
                <c:pt idx="181">
                  <c:v>-2.3988711194731963E-2</c:v>
                </c:pt>
                <c:pt idx="182">
                  <c:v>0</c:v>
                </c:pt>
                <c:pt idx="183">
                  <c:v>0</c:v>
                </c:pt>
                <c:pt idx="184">
                  <c:v>1.9759036144578319E-2</c:v>
                </c:pt>
                <c:pt idx="185">
                  <c:v>2.3629489603024575E-2</c:v>
                </c:pt>
                <c:pt idx="186">
                  <c:v>0</c:v>
                </c:pt>
                <c:pt idx="187">
                  <c:v>-4.6168051708218565E-3</c:v>
                </c:pt>
                <c:pt idx="188">
                  <c:v>-4.638218923933111E-3</c:v>
                </c:pt>
                <c:pt idx="189">
                  <c:v>-2.3299161230195712E-2</c:v>
                </c:pt>
                <c:pt idx="190">
                  <c:v>-5.2480916030534074E-3</c:v>
                </c:pt>
                <c:pt idx="191">
                  <c:v>-2.3980815347721823E-2</c:v>
                </c:pt>
                <c:pt idx="192">
                  <c:v>-4.9140049140049833E-3</c:v>
                </c:pt>
                <c:pt idx="193">
                  <c:v>9.8765432098765083E-3</c:v>
                </c:pt>
                <c:pt idx="194">
                  <c:v>-9.779951100244464E-3</c:v>
                </c:pt>
                <c:pt idx="195">
                  <c:v>-1.0370370370370412E-2</c:v>
                </c:pt>
                <c:pt idx="196">
                  <c:v>1.5469061876247619E-2</c:v>
                </c:pt>
                <c:pt idx="197">
                  <c:v>-4.9140049140049833E-3</c:v>
                </c:pt>
                <c:pt idx="198">
                  <c:v>0</c:v>
                </c:pt>
                <c:pt idx="199">
                  <c:v>1.481481481481485E-2</c:v>
                </c:pt>
                <c:pt idx="200">
                  <c:v>-2.4817518248175258E-2</c:v>
                </c:pt>
                <c:pt idx="201">
                  <c:v>-1.9960079840319292E-2</c:v>
                </c:pt>
                <c:pt idx="202">
                  <c:v>2.5967413441955092E-2</c:v>
                </c:pt>
                <c:pt idx="203">
                  <c:v>1.4888337468982667E-2</c:v>
                </c:pt>
                <c:pt idx="204">
                  <c:v>-2.004889975550123E-2</c:v>
                </c:pt>
                <c:pt idx="205">
                  <c:v>2.5449101796407265E-2</c:v>
                </c:pt>
                <c:pt idx="206">
                  <c:v>3.4549878345498823E-2</c:v>
                </c:pt>
                <c:pt idx="207">
                  <c:v>-4.7036688617122019E-3</c:v>
                </c:pt>
                <c:pt idx="208">
                  <c:v>1.4177693761814778E-2</c:v>
                </c:pt>
                <c:pt idx="209">
                  <c:v>-9.3196644920782515E-3</c:v>
                </c:pt>
                <c:pt idx="210">
                  <c:v>0</c:v>
                </c:pt>
                <c:pt idx="211">
                  <c:v>-1.928504233301976E-2</c:v>
                </c:pt>
                <c:pt idx="212">
                  <c:v>-1.9184652278177557E-2</c:v>
                </c:pt>
                <c:pt idx="213">
                  <c:v>1.4669926650366783E-2</c:v>
                </c:pt>
                <c:pt idx="214">
                  <c:v>0</c:v>
                </c:pt>
                <c:pt idx="215">
                  <c:v>4.819277108433803E-3</c:v>
                </c:pt>
                <c:pt idx="216">
                  <c:v>2.4460431654676162E-2</c:v>
                </c:pt>
                <c:pt idx="217">
                  <c:v>2.8558052434456901E-2</c:v>
                </c:pt>
                <c:pt idx="218">
                  <c:v>-9.1033227127901364E-3</c:v>
                </c:pt>
                <c:pt idx="219">
                  <c:v>-4.2259990813045392E-2</c:v>
                </c:pt>
                <c:pt idx="220">
                  <c:v>-9.5923261390888654E-3</c:v>
                </c:pt>
                <c:pt idx="221">
                  <c:v>1.5012106537530377E-2</c:v>
                </c:pt>
                <c:pt idx="222">
                  <c:v>-1.479007633587797E-2</c:v>
                </c:pt>
                <c:pt idx="223">
                  <c:v>-1.9370460048426082E-2</c:v>
                </c:pt>
                <c:pt idx="224">
                  <c:v>0</c:v>
                </c:pt>
                <c:pt idx="225">
                  <c:v>9.8765432098765083E-3</c:v>
                </c:pt>
                <c:pt idx="226">
                  <c:v>-1.4669926650366783E-2</c:v>
                </c:pt>
                <c:pt idx="227">
                  <c:v>1.9851116625310281E-2</c:v>
                </c:pt>
                <c:pt idx="228">
                  <c:v>4.8661800486616965E-3</c:v>
                </c:pt>
                <c:pt idx="229">
                  <c:v>4.8426150121066063E-3</c:v>
                </c:pt>
                <c:pt idx="230">
                  <c:v>-4.819277108433803E-3</c:v>
                </c:pt>
                <c:pt idx="231">
                  <c:v>-9.6852300242130408E-3</c:v>
                </c:pt>
                <c:pt idx="232">
                  <c:v>-1.4669926650366783E-2</c:v>
                </c:pt>
                <c:pt idx="233">
                  <c:v>0</c:v>
                </c:pt>
                <c:pt idx="234">
                  <c:v>-5.45905707196027E-3</c:v>
                </c:pt>
                <c:pt idx="235">
                  <c:v>1.0479041916167707E-2</c:v>
                </c:pt>
                <c:pt idx="236">
                  <c:v>1.481481481481485E-2</c:v>
                </c:pt>
                <c:pt idx="237">
                  <c:v>-4.8661800486618691E-3</c:v>
                </c:pt>
                <c:pt idx="238">
                  <c:v>-4.8899755501221453E-3</c:v>
                </c:pt>
                <c:pt idx="239">
                  <c:v>-1.5233415233415344E-2</c:v>
                </c:pt>
                <c:pt idx="240">
                  <c:v>0</c:v>
                </c:pt>
                <c:pt idx="241">
                  <c:v>5.4890219560877959E-3</c:v>
                </c:pt>
                <c:pt idx="242">
                  <c:v>0</c:v>
                </c:pt>
                <c:pt idx="243">
                  <c:v>4.9627791563276145E-3</c:v>
                </c:pt>
                <c:pt idx="244">
                  <c:v>-4.9382716049383418E-3</c:v>
                </c:pt>
                <c:pt idx="245">
                  <c:v>-5.45905707196027E-3</c:v>
                </c:pt>
                <c:pt idx="246">
                  <c:v>2.0459081836327352E-2</c:v>
                </c:pt>
                <c:pt idx="247">
                  <c:v>0</c:v>
                </c:pt>
                <c:pt idx="248">
                  <c:v>1.4669926650366783E-2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E-444F-BA41-B27BDC95A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433952"/>
        <c:axId val="1"/>
      </c:scatterChart>
      <c:valAx>
        <c:axId val="555433952"/>
        <c:scaling>
          <c:orientation val="minMax"/>
          <c:max val="0.08"/>
          <c:min val="-0.08"/>
        </c:scaling>
        <c:delete val="0"/>
        <c:axPos val="b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市場報酬率</a:t>
                </a:r>
                <a:r>
                  <a:rPr lang="en-US" altLang="zh-TW"/>
                  <a:t>(</a:t>
                </a:r>
                <a:r>
                  <a:rPr lang="zh-TW" altLang="en-US"/>
                  <a:t>每日</a:t>
                </a:r>
                <a:r>
                  <a:rPr lang="en-US" altLang="zh-TW"/>
                  <a:t>)</a:t>
                </a:r>
              </a:p>
            </c:rich>
          </c:tx>
          <c:layout>
            <c:manualLayout>
              <c:xMode val="edge"/>
              <c:yMode val="edge"/>
              <c:x val="0.40655559371964406"/>
              <c:y val="0.8984849803156681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crossBetween val="midCat"/>
        <c:majorUnit val="0.02"/>
      </c:valAx>
      <c:valAx>
        <c:axId val="1"/>
        <c:scaling>
          <c:orientation val="minMax"/>
          <c:min val="-0.08"/>
        </c:scaling>
        <c:delete val="0"/>
        <c:axPos val="l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個股報酬率</a:t>
                </a:r>
                <a:r>
                  <a:rPr lang="en-US" altLang="zh-TW"/>
                  <a:t>(</a:t>
                </a:r>
                <a:r>
                  <a:rPr lang="zh-TW" altLang="en-US"/>
                  <a:t>每日</a:t>
                </a:r>
                <a:r>
                  <a:rPr lang="en-US" altLang="zh-TW"/>
                  <a:t>)</a:t>
                </a:r>
              </a:p>
            </c:rich>
          </c:tx>
          <c:layout>
            <c:manualLayout>
              <c:xMode val="edge"/>
              <c:yMode val="edge"/>
              <c:x val="4.4394001613064588E-2"/>
              <c:y val="0.34659002926181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55543395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89209328884517"/>
          <c:y val="7.0642553734892824E-2"/>
          <c:w val="0.77467286960823656"/>
          <c:h val="0.79693630932175974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4846659547592709"/>
                  <c:y val="0.33087721616850246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00"/>
                      </a:solidFill>
                      <a:latin typeface="新細明體"/>
                      <a:ea typeface="新細明體"/>
                      <a:cs typeface="新細明體"/>
                    </a:defRPr>
                  </a:pPr>
                  <a:endParaRPr lang="zh-TW"/>
                </a:p>
              </c:txPr>
            </c:trendlineLbl>
          </c:trendline>
          <c:xVal>
            <c:numRef>
              <c:f>beta!$F$252:$F$498</c:f>
              <c:numCache>
                <c:formatCode>0.0000</c:formatCode>
                <c:ptCount val="247"/>
                <c:pt idx="0">
                  <c:v>5.5866012779151575E-4</c:v>
                </c:pt>
                <c:pt idx="1">
                  <c:v>-1.3455703290835903E-2</c:v>
                </c:pt>
                <c:pt idx="2">
                  <c:v>-1.1895136672793839E-2</c:v>
                </c:pt>
                <c:pt idx="3">
                  <c:v>-1.0436896851730938E-3</c:v>
                </c:pt>
                <c:pt idx="4">
                  <c:v>-7.711313046211061E-3</c:v>
                </c:pt>
                <c:pt idx="5">
                  <c:v>1.1556623242290809E-3</c:v>
                </c:pt>
                <c:pt idx="6">
                  <c:v>5.520920097259646E-3</c:v>
                </c:pt>
                <c:pt idx="7">
                  <c:v>-1.616223145225798E-2</c:v>
                </c:pt>
                <c:pt idx="8">
                  <c:v>-4.2761792661437379E-3</c:v>
                </c:pt>
                <c:pt idx="9">
                  <c:v>6.0779577515315906E-3</c:v>
                </c:pt>
                <c:pt idx="10">
                  <c:v>9.4659666662138837E-3</c:v>
                </c:pt>
                <c:pt idx="11">
                  <c:v>-1.967950992974369E-3</c:v>
                </c:pt>
                <c:pt idx="12">
                  <c:v>-6.4413161048069451E-3</c:v>
                </c:pt>
                <c:pt idx="13">
                  <c:v>-1.2297827949146361E-3</c:v>
                </c:pt>
                <c:pt idx="14">
                  <c:v>-6.6557972860516136E-3</c:v>
                </c:pt>
                <c:pt idx="15">
                  <c:v>-1.3238364071254352E-2</c:v>
                </c:pt>
                <c:pt idx="16">
                  <c:v>1.9527053719324051E-3</c:v>
                </c:pt>
                <c:pt idx="17">
                  <c:v>9.0994768924819325E-3</c:v>
                </c:pt>
                <c:pt idx="18">
                  <c:v>1.2664149831116669E-3</c:v>
                </c:pt>
                <c:pt idx="19">
                  <c:v>6.36171946135047E-3</c:v>
                </c:pt>
                <c:pt idx="20">
                  <c:v>1.9439006926953089E-2</c:v>
                </c:pt>
                <c:pt idx="21">
                  <c:v>-2.1170358828405986E-3</c:v>
                </c:pt>
                <c:pt idx="22">
                  <c:v>6.2107751515495403E-3</c:v>
                </c:pt>
                <c:pt idx="23">
                  <c:v>2.6434323748192323E-3</c:v>
                </c:pt>
                <c:pt idx="24">
                  <c:v>1.2892320949192865E-2</c:v>
                </c:pt>
                <c:pt idx="25">
                  <c:v>1.6343825665860695E-3</c:v>
                </c:pt>
                <c:pt idx="26">
                  <c:v>3.4463665333308484E-3</c:v>
                </c:pt>
                <c:pt idx="27">
                  <c:v>-1.1610664296678262E-2</c:v>
                </c:pt>
                <c:pt idx="28">
                  <c:v>7.1259650602092895E-3</c:v>
                </c:pt>
                <c:pt idx="29">
                  <c:v>4.4722938534165957E-3</c:v>
                </c:pt>
                <c:pt idx="30">
                  <c:v>-5.7970495443430622E-3</c:v>
                </c:pt>
                <c:pt idx="31">
                  <c:v>2.3496971592407551E-3</c:v>
                </c:pt>
                <c:pt idx="32">
                  <c:v>1.1141023798010474E-3</c:v>
                </c:pt>
                <c:pt idx="33">
                  <c:v>1.2970886080080377E-2</c:v>
                </c:pt>
                <c:pt idx="34">
                  <c:v>8.3539658785758749E-3</c:v>
                </c:pt>
                <c:pt idx="35">
                  <c:v>-5.5018699009055727E-3</c:v>
                </c:pt>
                <c:pt idx="36">
                  <c:v>-3.6737480422472817E-3</c:v>
                </c:pt>
                <c:pt idx="37">
                  <c:v>-1.4123610613990464E-3</c:v>
                </c:pt>
                <c:pt idx="38">
                  <c:v>4.3431789486601613E-3</c:v>
                </c:pt>
                <c:pt idx="39">
                  <c:v>-7.5845749229968371E-3</c:v>
                </c:pt>
                <c:pt idx="40">
                  <c:v>6.4697554322294898E-3</c:v>
                </c:pt>
                <c:pt idx="41">
                  <c:v>-3.3396209409522828E-3</c:v>
                </c:pt>
                <c:pt idx="42">
                  <c:v>1.889373164118675E-3</c:v>
                </c:pt>
                <c:pt idx="43">
                  <c:v>-7.8527069434884498E-3</c:v>
                </c:pt>
                <c:pt idx="44">
                  <c:v>-1.4950832668617329E-2</c:v>
                </c:pt>
                <c:pt idx="45">
                  <c:v>1.4645055314769918E-3</c:v>
                </c:pt>
                <c:pt idx="46">
                  <c:v>-6.5691098683212821E-3</c:v>
                </c:pt>
                <c:pt idx="47">
                  <c:v>1.9030347436455653E-3</c:v>
                </c:pt>
                <c:pt idx="48">
                  <c:v>2.4834752107479744E-3</c:v>
                </c:pt>
                <c:pt idx="49">
                  <c:v>-6.6298506674412894E-3</c:v>
                </c:pt>
                <c:pt idx="50">
                  <c:v>1.163024461727055E-4</c:v>
                </c:pt>
                <c:pt idx="51">
                  <c:v>-3.0716887975559028E-3</c:v>
                </c:pt>
                <c:pt idx="52">
                  <c:v>1.0816530578236937E-2</c:v>
                </c:pt>
                <c:pt idx="53">
                  <c:v>-2.8305728241929196E-3</c:v>
                </c:pt>
                <c:pt idx="54">
                  <c:v>-1.4465822634135374E-2</c:v>
                </c:pt>
                <c:pt idx="55">
                  <c:v>-5.468660882635523E-4</c:v>
                </c:pt>
                <c:pt idx="56">
                  <c:v>8.0396375952924565E-3</c:v>
                </c:pt>
                <c:pt idx="57">
                  <c:v>3.8079348904739838E-3</c:v>
                </c:pt>
                <c:pt idx="58">
                  <c:v>-1.4629898403482825E-3</c:v>
                </c:pt>
                <c:pt idx="59">
                  <c:v>-1.0697798811614935E-3</c:v>
                </c:pt>
                <c:pt idx="60">
                  <c:v>-6.9393979203423578E-3</c:v>
                </c:pt>
                <c:pt idx="61">
                  <c:v>8.7595616702612778E-3</c:v>
                </c:pt>
                <c:pt idx="62">
                  <c:v>-7.4119324642641336E-3</c:v>
                </c:pt>
                <c:pt idx="63">
                  <c:v>2.4199671540049462E-3</c:v>
                </c:pt>
                <c:pt idx="64">
                  <c:v>6.9904519435618601E-4</c:v>
                </c:pt>
                <c:pt idx="65">
                  <c:v>-3.5678083653435159E-3</c:v>
                </c:pt>
                <c:pt idx="66">
                  <c:v>-1.477576179417342E-2</c:v>
                </c:pt>
                <c:pt idx="67">
                  <c:v>-2.9415610771741593E-2</c:v>
                </c:pt>
                <c:pt idx="68">
                  <c:v>5.8073614736946144E-3</c:v>
                </c:pt>
                <c:pt idx="69">
                  <c:v>-9.6271103881983774E-3</c:v>
                </c:pt>
                <c:pt idx="70">
                  <c:v>5.0904530292410453E-3</c:v>
                </c:pt>
                <c:pt idx="71">
                  <c:v>4.3865857857144745E-3</c:v>
                </c:pt>
                <c:pt idx="72">
                  <c:v>1.9522923775337178E-3</c:v>
                </c:pt>
                <c:pt idx="73">
                  <c:v>8.1516972861828546E-3</c:v>
                </c:pt>
                <c:pt idx="74">
                  <c:v>-4.6475173334480967E-3</c:v>
                </c:pt>
                <c:pt idx="75">
                  <c:v>1.1075979488670484E-2</c:v>
                </c:pt>
                <c:pt idx="76">
                  <c:v>-4.1422255390457345E-3</c:v>
                </c:pt>
                <c:pt idx="77">
                  <c:v>2.5781745493014985E-5</c:v>
                </c:pt>
                <c:pt idx="78">
                  <c:v>-2.4990461000099621E-3</c:v>
                </c:pt>
                <c:pt idx="79">
                  <c:v>2.1334739337799415E-2</c:v>
                </c:pt>
                <c:pt idx="80">
                  <c:v>6.8258118937157379E-3</c:v>
                </c:pt>
                <c:pt idx="81">
                  <c:v>-1.8599320370774478E-4</c:v>
                </c:pt>
                <c:pt idx="82">
                  <c:v>-2.8574541005723592E-3</c:v>
                </c:pt>
                <c:pt idx="83">
                  <c:v>-5.4909408719620951E-3</c:v>
                </c:pt>
                <c:pt idx="84">
                  <c:v>2.9524448507976427E-3</c:v>
                </c:pt>
                <c:pt idx="85">
                  <c:v>7.8994371988001209E-3</c:v>
                </c:pt>
                <c:pt idx="86">
                  <c:v>-9.2953583394075473E-3</c:v>
                </c:pt>
                <c:pt idx="87">
                  <c:v>-5.3781041803073791E-3</c:v>
                </c:pt>
                <c:pt idx="88">
                  <c:v>-5.3953081179032461E-4</c:v>
                </c:pt>
                <c:pt idx="89">
                  <c:v>1.3560058599552205E-2</c:v>
                </c:pt>
                <c:pt idx="90">
                  <c:v>-2.6830979900213602E-3</c:v>
                </c:pt>
                <c:pt idx="91">
                  <c:v>-1.1627809340200714E-2</c:v>
                </c:pt>
                <c:pt idx="92">
                  <c:v>4.0183843206552678E-3</c:v>
                </c:pt>
                <c:pt idx="93">
                  <c:v>-3.4810715675823081E-3</c:v>
                </c:pt>
                <c:pt idx="94">
                  <c:v>8.642224799737851E-3</c:v>
                </c:pt>
                <c:pt idx="95">
                  <c:v>8.776951284805606E-3</c:v>
                </c:pt>
                <c:pt idx="96">
                  <c:v>2.9992239070024043E-3</c:v>
                </c:pt>
                <c:pt idx="97">
                  <c:v>3.3946138793114315E-4</c:v>
                </c:pt>
                <c:pt idx="98">
                  <c:v>-6.6438661512154091E-3</c:v>
                </c:pt>
                <c:pt idx="99">
                  <c:v>1.1363750540054403E-2</c:v>
                </c:pt>
                <c:pt idx="100">
                  <c:v>1.1337068754263655E-2</c:v>
                </c:pt>
                <c:pt idx="101">
                  <c:v>4.849417562357238E-3</c:v>
                </c:pt>
                <c:pt idx="102">
                  <c:v>-5.1779450173276634E-3</c:v>
                </c:pt>
                <c:pt idx="103">
                  <c:v>9.1503310791887522E-3</c:v>
                </c:pt>
                <c:pt idx="104">
                  <c:v>-2.5545064154789102E-3</c:v>
                </c:pt>
                <c:pt idx="105">
                  <c:v>7.5546053316672343E-3</c:v>
                </c:pt>
                <c:pt idx="106">
                  <c:v>6.2496467415439723E-3</c:v>
                </c:pt>
                <c:pt idx="107">
                  <c:v>-4.0587059965816298E-3</c:v>
                </c:pt>
                <c:pt idx="108">
                  <c:v>7.467256226473493E-3</c:v>
                </c:pt>
                <c:pt idx="109">
                  <c:v>4.8479710817164613E-3</c:v>
                </c:pt>
                <c:pt idx="110">
                  <c:v>1.7747966146750285E-3</c:v>
                </c:pt>
                <c:pt idx="111">
                  <c:v>5.2911229892142557E-4</c:v>
                </c:pt>
                <c:pt idx="112">
                  <c:v>-2.9268416631067543E-3</c:v>
                </c:pt>
                <c:pt idx="113">
                  <c:v>1.2641635050633418E-2</c:v>
                </c:pt>
                <c:pt idx="114">
                  <c:v>2.5213005066193569E-3</c:v>
                </c:pt>
                <c:pt idx="115">
                  <c:v>-5.2040678646848339E-3</c:v>
                </c:pt>
                <c:pt idx="116">
                  <c:v>-5.9457251497865094E-3</c:v>
                </c:pt>
                <c:pt idx="117">
                  <c:v>2.1973698197205395E-3</c:v>
                </c:pt>
                <c:pt idx="118">
                  <c:v>-1.3486173466480155E-2</c:v>
                </c:pt>
                <c:pt idx="119">
                  <c:v>1.6512480643168285E-3</c:v>
                </c:pt>
                <c:pt idx="120">
                  <c:v>4.8382393935220026E-3</c:v>
                </c:pt>
                <c:pt idx="121">
                  <c:v>-1.4986910368718003E-4</c:v>
                </c:pt>
                <c:pt idx="122">
                  <c:v>-6.2444189309860719E-3</c:v>
                </c:pt>
                <c:pt idx="123">
                  <c:v>-1.6030063991886736E-3</c:v>
                </c:pt>
                <c:pt idx="124">
                  <c:v>-1.5187920379938795E-3</c:v>
                </c:pt>
                <c:pt idx="125">
                  <c:v>-1.802787882690134E-3</c:v>
                </c:pt>
                <c:pt idx="126">
                  <c:v>1.5715806108298133E-2</c:v>
                </c:pt>
                <c:pt idx="127">
                  <c:v>9.5175952473940881E-3</c:v>
                </c:pt>
                <c:pt idx="128">
                  <c:v>2.8747517224134303E-3</c:v>
                </c:pt>
                <c:pt idx="129">
                  <c:v>6.4700357059411448E-3</c:v>
                </c:pt>
                <c:pt idx="130">
                  <c:v>-1.2090334743353381E-3</c:v>
                </c:pt>
                <c:pt idx="131">
                  <c:v>8.9695332254909456E-4</c:v>
                </c:pt>
                <c:pt idx="132">
                  <c:v>1.1642151132889239E-3</c:v>
                </c:pt>
                <c:pt idx="133">
                  <c:v>-4.6358780848126972E-3</c:v>
                </c:pt>
                <c:pt idx="134">
                  <c:v>-2.0800653109228737E-3</c:v>
                </c:pt>
                <c:pt idx="135">
                  <c:v>6.2249930650568599E-3</c:v>
                </c:pt>
                <c:pt idx="136">
                  <c:v>-8.4557935970220096E-3</c:v>
                </c:pt>
                <c:pt idx="137">
                  <c:v>-6.1120047249833267E-3</c:v>
                </c:pt>
                <c:pt idx="138">
                  <c:v>7.6478722983919284E-3</c:v>
                </c:pt>
                <c:pt idx="139">
                  <c:v>-9.9848799493071697E-3</c:v>
                </c:pt>
                <c:pt idx="140">
                  <c:v>-6.4163701405886466E-4</c:v>
                </c:pt>
                <c:pt idx="141">
                  <c:v>5.6452750743904373E-3</c:v>
                </c:pt>
                <c:pt idx="142">
                  <c:v>1.7660486100820636E-2</c:v>
                </c:pt>
                <c:pt idx="143">
                  <c:v>-1.4808916950787446E-3</c:v>
                </c:pt>
                <c:pt idx="144">
                  <c:v>-1.023578927119264E-2</c:v>
                </c:pt>
                <c:pt idx="145">
                  <c:v>-4.7021722467990502E-6</c:v>
                </c:pt>
                <c:pt idx="146">
                  <c:v>-3.6300940438871243E-3</c:v>
                </c:pt>
                <c:pt idx="147">
                  <c:v>-4.9238300790960742E-4</c:v>
                </c:pt>
                <c:pt idx="148">
                  <c:v>-4.4226129300839982E-4</c:v>
                </c:pt>
                <c:pt idx="149">
                  <c:v>-1.6654332456817071E-2</c:v>
                </c:pt>
                <c:pt idx="150">
                  <c:v>-4.3714061997115718E-4</c:v>
                </c:pt>
                <c:pt idx="151">
                  <c:v>-7.6893502498968905E-5</c:v>
                </c:pt>
                <c:pt idx="152">
                  <c:v>-5.9004280734132972E-3</c:v>
                </c:pt>
                <c:pt idx="153">
                  <c:v>-7.4374424867327538E-3</c:v>
                </c:pt>
                <c:pt idx="154">
                  <c:v>7.7464628653632021E-3</c:v>
                </c:pt>
                <c:pt idx="155">
                  <c:v>-1.8480178518201196E-3</c:v>
                </c:pt>
                <c:pt idx="156">
                  <c:v>-1.096659015557264E-2</c:v>
                </c:pt>
                <c:pt idx="157">
                  <c:v>-2.8691547907377427E-3</c:v>
                </c:pt>
                <c:pt idx="158">
                  <c:v>4.4012269095171138E-3</c:v>
                </c:pt>
                <c:pt idx="159">
                  <c:v>-1.4195272588017791E-2</c:v>
                </c:pt>
                <c:pt idx="160">
                  <c:v>-2.8630749292496015E-3</c:v>
                </c:pt>
                <c:pt idx="161">
                  <c:v>2.238019137550917E-4</c:v>
                </c:pt>
                <c:pt idx="162">
                  <c:v>1.3686982781053013E-2</c:v>
                </c:pt>
                <c:pt idx="163">
                  <c:v>-2.8237179225154203E-3</c:v>
                </c:pt>
                <c:pt idx="164">
                  <c:v>6.7816842056936935E-3</c:v>
                </c:pt>
                <c:pt idx="165">
                  <c:v>1.6286273602882019E-4</c:v>
                </c:pt>
                <c:pt idx="166">
                  <c:v>1.4231885285142141E-3</c:v>
                </c:pt>
                <c:pt idx="167">
                  <c:v>-5.0114798987947254E-3</c:v>
                </c:pt>
                <c:pt idx="168">
                  <c:v>7.5044206136235239E-3</c:v>
                </c:pt>
                <c:pt idx="169">
                  <c:v>6.6504676414203521E-4</c:v>
                </c:pt>
                <c:pt idx="170">
                  <c:v>-3.3035720074954629E-3</c:v>
                </c:pt>
                <c:pt idx="171">
                  <c:v>-1.075674532828068E-2</c:v>
                </c:pt>
                <c:pt idx="172">
                  <c:v>-8.4372369528620539E-3</c:v>
                </c:pt>
                <c:pt idx="173">
                  <c:v>7.2124471916228897E-4</c:v>
                </c:pt>
                <c:pt idx="174">
                  <c:v>1.1558107823758774E-2</c:v>
                </c:pt>
                <c:pt idx="175">
                  <c:v>-6.2256873070340299E-3</c:v>
                </c:pt>
                <c:pt idx="176">
                  <c:v>-1.570375156163982E-2</c:v>
                </c:pt>
                <c:pt idx="177">
                  <c:v>-7.7896069363001096E-3</c:v>
                </c:pt>
                <c:pt idx="178">
                  <c:v>7.864262160072929E-4</c:v>
                </c:pt>
                <c:pt idx="179">
                  <c:v>2.5041313952312511E-3</c:v>
                </c:pt>
                <c:pt idx="180">
                  <c:v>-2.299391931102358E-3</c:v>
                </c:pt>
                <c:pt idx="181">
                  <c:v>1.3253239549649435E-2</c:v>
                </c:pt>
                <c:pt idx="182">
                  <c:v>1.8073241386424917E-2</c:v>
                </c:pt>
                <c:pt idx="183">
                  <c:v>8.6784416722105189E-4</c:v>
                </c:pt>
                <c:pt idx="184">
                  <c:v>2.9719526055206171E-3</c:v>
                </c:pt>
                <c:pt idx="185">
                  <c:v>-1.1575807701574819E-3</c:v>
                </c:pt>
                <c:pt idx="186">
                  <c:v>-6.3895576372328356E-3</c:v>
                </c:pt>
                <c:pt idx="187">
                  <c:v>-2.2917380955115485E-3</c:v>
                </c:pt>
                <c:pt idx="188">
                  <c:v>-2.5074648461649762E-3</c:v>
                </c:pt>
                <c:pt idx="189">
                  <c:v>-1.3053461664625515E-2</c:v>
                </c:pt>
                <c:pt idx="190">
                  <c:v>-4.5579049336940854E-3</c:v>
                </c:pt>
                <c:pt idx="191">
                  <c:v>1.5033279587121776E-3</c:v>
                </c:pt>
                <c:pt idx="192">
                  <c:v>-2.3923324739029576E-2</c:v>
                </c:pt>
                <c:pt idx="193">
                  <c:v>7.7579652161666494E-4</c:v>
                </c:pt>
                <c:pt idx="194">
                  <c:v>-2.3432502285282115E-2</c:v>
                </c:pt>
                <c:pt idx="195">
                  <c:v>9.4553015721370922E-3</c:v>
                </c:pt>
                <c:pt idx="196">
                  <c:v>-1.6075156576200037E-3</c:v>
                </c:pt>
                <c:pt idx="197">
                  <c:v>-3.7429688643540542E-3</c:v>
                </c:pt>
                <c:pt idx="198">
                  <c:v>7.0488064254342186E-4</c:v>
                </c:pt>
                <c:pt idx="199">
                  <c:v>-3.5988261429637869E-3</c:v>
                </c:pt>
                <c:pt idx="200">
                  <c:v>-6.9359659832442149E-3</c:v>
                </c:pt>
                <c:pt idx="201">
                  <c:v>-4.9830600687489242E-3</c:v>
                </c:pt>
                <c:pt idx="202">
                  <c:v>2.3314521469136162E-2</c:v>
                </c:pt>
                <c:pt idx="203">
                  <c:v>5.9174574536369848E-3</c:v>
                </c:pt>
                <c:pt idx="204">
                  <c:v>1.2410298685329261E-2</c:v>
                </c:pt>
                <c:pt idx="205">
                  <c:v>-2.1054890918289089E-3</c:v>
                </c:pt>
                <c:pt idx="206">
                  <c:v>9.1720567223339596E-3</c:v>
                </c:pt>
                <c:pt idx="207">
                  <c:v>-8.6861059518854779E-3</c:v>
                </c:pt>
                <c:pt idx="208">
                  <c:v>-1.83605527959747E-3</c:v>
                </c:pt>
                <c:pt idx="209">
                  <c:v>2.0758577892960799E-2</c:v>
                </c:pt>
                <c:pt idx="210">
                  <c:v>2.8989827601798492E-3</c:v>
                </c:pt>
                <c:pt idx="211">
                  <c:v>1.4509791479150476E-2</c:v>
                </c:pt>
                <c:pt idx="212">
                  <c:v>1.3760727935923191E-3</c:v>
                </c:pt>
                <c:pt idx="213">
                  <c:v>-8.6921931350084514E-3</c:v>
                </c:pt>
                <c:pt idx="214">
                  <c:v>2.5635328334499643E-3</c:v>
                </c:pt>
                <c:pt idx="215">
                  <c:v>-4.1778307035824514E-3</c:v>
                </c:pt>
                <c:pt idx="216">
                  <c:v>1.4250266569671877E-2</c:v>
                </c:pt>
                <c:pt idx="217">
                  <c:v>-5.4366159358343552E-4</c:v>
                </c:pt>
                <c:pt idx="218">
                  <c:v>-7.2467567363872177E-3</c:v>
                </c:pt>
                <c:pt idx="219">
                  <c:v>1.061693064584554E-2</c:v>
                </c:pt>
                <c:pt idx="220">
                  <c:v>-1.8992344272575428E-3</c:v>
                </c:pt>
                <c:pt idx="221">
                  <c:v>2.6685689696639646E-3</c:v>
                </c:pt>
                <c:pt idx="222">
                  <c:v>1.2342939199112354E-2</c:v>
                </c:pt>
                <c:pt idx="223">
                  <c:v>-1.0369384123381635E-2</c:v>
                </c:pt>
                <c:pt idx="224">
                  <c:v>1.0417769496262736E-2</c:v>
                </c:pt>
                <c:pt idx="225">
                  <c:v>-3.8123824246753101E-3</c:v>
                </c:pt>
                <c:pt idx="226">
                  <c:v>7.9500697431316956E-3</c:v>
                </c:pt>
                <c:pt idx="227">
                  <c:v>1.9162138081057094E-2</c:v>
                </c:pt>
                <c:pt idx="228">
                  <c:v>3.4812414642637743E-4</c:v>
                </c:pt>
                <c:pt idx="229">
                  <c:v>-3.3068158198068819E-3</c:v>
                </c:pt>
                <c:pt idx="230">
                  <c:v>-1.2691325724541645E-2</c:v>
                </c:pt>
                <c:pt idx="231">
                  <c:v>2.4275146058929356E-3</c:v>
                </c:pt>
                <c:pt idx="232">
                  <c:v>3.0809212752783859E-4</c:v>
                </c:pt>
                <c:pt idx="233">
                  <c:v>-8.1547454714028117E-4</c:v>
                </c:pt>
                <c:pt idx="234">
                  <c:v>-4.1254204479027794E-3</c:v>
                </c:pt>
                <c:pt idx="235">
                  <c:v>3.7078912972006205E-3</c:v>
                </c:pt>
                <c:pt idx="236">
                  <c:v>1.4735230815199138E-2</c:v>
                </c:pt>
                <c:pt idx="237">
                  <c:v>1.2712004522343317E-2</c:v>
                </c:pt>
                <c:pt idx="238">
                  <c:v>-5.5664223452984367E-4</c:v>
                </c:pt>
                <c:pt idx="239">
                  <c:v>6.8530019415542669E-3</c:v>
                </c:pt>
                <c:pt idx="240">
                  <c:v>-8.4503908440966245E-3</c:v>
                </c:pt>
                <c:pt idx="241">
                  <c:v>1.4870971763385947E-2</c:v>
                </c:pt>
                <c:pt idx="242">
                  <c:v>3.3995482623763867E-3</c:v>
                </c:pt>
                <c:pt idx="243">
                  <c:v>-4.8662768544268444E-4</c:v>
                </c:pt>
                <c:pt idx="244">
                  <c:v>-1.1008039390103344E-3</c:v>
                </c:pt>
                <c:pt idx="245">
                  <c:v>7.8367359450677628E-3</c:v>
                </c:pt>
                <c:pt idx="246">
                  <c:v>-4.13502789889174E-3</c:v>
                </c:pt>
              </c:numCache>
            </c:numRef>
          </c:xVal>
          <c:yVal>
            <c:numRef>
              <c:f>beta!$G$252:$G$498</c:f>
              <c:numCache>
                <c:formatCode>0.0000</c:formatCode>
                <c:ptCount val="247"/>
                <c:pt idx="0">
                  <c:v>2.3852116875372815E-2</c:v>
                </c:pt>
                <c:pt idx="1">
                  <c:v>-1.3977868375072916E-2</c:v>
                </c:pt>
                <c:pt idx="2">
                  <c:v>-4.7253396337860777E-3</c:v>
                </c:pt>
                <c:pt idx="3">
                  <c:v>-9.4955489614243407E-3</c:v>
                </c:pt>
                <c:pt idx="4">
                  <c:v>-3.834631515877774E-2</c:v>
                </c:pt>
                <c:pt idx="5">
                  <c:v>3.4890965732087144E-2</c:v>
                </c:pt>
                <c:pt idx="6">
                  <c:v>4.8163756773029406E-3</c:v>
                </c:pt>
                <c:pt idx="7">
                  <c:v>0</c:v>
                </c:pt>
                <c:pt idx="8">
                  <c:v>-1.4379868184541759E-2</c:v>
                </c:pt>
                <c:pt idx="9">
                  <c:v>4.8632218844985925E-3</c:v>
                </c:pt>
                <c:pt idx="10">
                  <c:v>9.6793708408953495E-3</c:v>
                </c:pt>
                <c:pt idx="11">
                  <c:v>0</c:v>
                </c:pt>
                <c:pt idx="12">
                  <c:v>0</c:v>
                </c:pt>
                <c:pt idx="13">
                  <c:v>-2.3966446974236194E-2</c:v>
                </c:pt>
                <c:pt idx="14">
                  <c:v>4.9109883364028151E-3</c:v>
                </c:pt>
                <c:pt idx="15">
                  <c:v>-1.4660965180207817E-2</c:v>
                </c:pt>
                <c:pt idx="16">
                  <c:v>-5.021698698078108E-2</c:v>
                </c:pt>
                <c:pt idx="17">
                  <c:v>1.5665796344647532E-2</c:v>
                </c:pt>
                <c:pt idx="18">
                  <c:v>1.0282776349614406E-2</c:v>
                </c:pt>
                <c:pt idx="19">
                  <c:v>1.0178117048346065E-2</c:v>
                </c:pt>
                <c:pt idx="20">
                  <c:v>1.5743073047858828E-2</c:v>
                </c:pt>
                <c:pt idx="21">
                  <c:v>0</c:v>
                </c:pt>
                <c:pt idx="22">
                  <c:v>1.9838809671419735E-2</c:v>
                </c:pt>
                <c:pt idx="23">
                  <c:v>1.4589665653495563E-2</c:v>
                </c:pt>
                <c:pt idx="24">
                  <c:v>4.7932893948471117E-3</c:v>
                </c:pt>
                <c:pt idx="25">
                  <c:v>-1.431127012522352E-2</c:v>
                </c:pt>
                <c:pt idx="26">
                  <c:v>-1.4519056261343132E-2</c:v>
                </c:pt>
                <c:pt idx="27">
                  <c:v>-9.8219766728054117E-3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-1.053936763794161E-2</c:v>
                </c:pt>
                <c:pt idx="32">
                  <c:v>5.6390977443608933E-3</c:v>
                </c:pt>
                <c:pt idx="33">
                  <c:v>9.9688473520249312E-3</c:v>
                </c:pt>
                <c:pt idx="34">
                  <c:v>1.2338062924120869E-2</c:v>
                </c:pt>
                <c:pt idx="35">
                  <c:v>4.8750761730651003E-3</c:v>
                </c:pt>
                <c:pt idx="36">
                  <c:v>-7.2771376591872321E-3</c:v>
                </c:pt>
                <c:pt idx="37">
                  <c:v>1.2217470983506369E-2</c:v>
                </c:pt>
                <c:pt idx="38">
                  <c:v>1.6898008449004291E-2</c:v>
                </c:pt>
                <c:pt idx="39">
                  <c:v>-9.4955489614243407E-3</c:v>
                </c:pt>
                <c:pt idx="40">
                  <c:v>1.4379868184541547E-2</c:v>
                </c:pt>
                <c:pt idx="41">
                  <c:v>0</c:v>
                </c:pt>
                <c:pt idx="42">
                  <c:v>-4.7253396337860777E-3</c:v>
                </c:pt>
                <c:pt idx="43">
                  <c:v>-1.4243323442136616E-2</c:v>
                </c:pt>
                <c:pt idx="44">
                  <c:v>-3.6122817579771094E-2</c:v>
                </c:pt>
                <c:pt idx="45">
                  <c:v>-5.6214865708932929E-3</c:v>
                </c:pt>
                <c:pt idx="46">
                  <c:v>-2.2613065326633132E-2</c:v>
                </c:pt>
                <c:pt idx="47">
                  <c:v>-2.5706940874036582E-3</c:v>
                </c:pt>
                <c:pt idx="48">
                  <c:v>0</c:v>
                </c:pt>
                <c:pt idx="49">
                  <c:v>1.8041237113402137E-2</c:v>
                </c:pt>
                <c:pt idx="50">
                  <c:v>2.531645569620199E-3</c:v>
                </c:pt>
                <c:pt idx="51">
                  <c:v>-2.2727272727272693E-2</c:v>
                </c:pt>
                <c:pt idx="52">
                  <c:v>1.2919896640826828E-2</c:v>
                </c:pt>
                <c:pt idx="53">
                  <c:v>-7.6530612244897463E-3</c:v>
                </c:pt>
                <c:pt idx="54">
                  <c:v>-5.1413881748072028E-3</c:v>
                </c:pt>
                <c:pt idx="55">
                  <c:v>-3.6175710594315277E-2</c:v>
                </c:pt>
                <c:pt idx="56">
                  <c:v>-1.6085790884718513E-2</c:v>
                </c:pt>
                <c:pt idx="57">
                  <c:v>-2.7247956403269779E-2</c:v>
                </c:pt>
                <c:pt idx="58">
                  <c:v>6.1624649859944036E-2</c:v>
                </c:pt>
                <c:pt idx="59">
                  <c:v>-1.5831134564643815E-2</c:v>
                </c:pt>
                <c:pt idx="60">
                  <c:v>-3.2171581769437026E-2</c:v>
                </c:pt>
                <c:pt idx="61">
                  <c:v>2.2160664819944619E-2</c:v>
                </c:pt>
                <c:pt idx="62">
                  <c:v>5.4200542005420106E-3</c:v>
                </c:pt>
                <c:pt idx="63">
                  <c:v>-8.0862533692721839E-3</c:v>
                </c:pt>
                <c:pt idx="64">
                  <c:v>0</c:v>
                </c:pt>
                <c:pt idx="65">
                  <c:v>-8.1521739130435457E-3</c:v>
                </c:pt>
                <c:pt idx="66">
                  <c:v>-1.3698630136986254E-2</c:v>
                </c:pt>
                <c:pt idx="67">
                  <c:v>0</c:v>
                </c:pt>
                <c:pt idx="68">
                  <c:v>1.666666666666668E-2</c:v>
                </c:pt>
                <c:pt idx="69">
                  <c:v>-2.7322404371585328E-3</c:v>
                </c:pt>
                <c:pt idx="70">
                  <c:v>1.6438356164383577E-2</c:v>
                </c:pt>
                <c:pt idx="71">
                  <c:v>8.0862533692723036E-3</c:v>
                </c:pt>
                <c:pt idx="72">
                  <c:v>-2.6737967914439117E-3</c:v>
                </c:pt>
                <c:pt idx="73">
                  <c:v>1.0723860589812341E-2</c:v>
                </c:pt>
                <c:pt idx="74">
                  <c:v>1.5915119363395239E-2</c:v>
                </c:pt>
                <c:pt idx="75">
                  <c:v>5.2219321148825109E-3</c:v>
                </c:pt>
                <c:pt idx="76">
                  <c:v>-1.0389610389610398E-2</c:v>
                </c:pt>
                <c:pt idx="77">
                  <c:v>-2.0997375328084007E-2</c:v>
                </c:pt>
                <c:pt idx="78">
                  <c:v>-1.8766756032171539E-2</c:v>
                </c:pt>
                <c:pt idx="79">
                  <c:v>2.7322404371584601E-2</c:v>
                </c:pt>
                <c:pt idx="80">
                  <c:v>1.0638297872340436E-2</c:v>
                </c:pt>
                <c:pt idx="81">
                  <c:v>-1.3157894736842059E-2</c:v>
                </c:pt>
                <c:pt idx="82">
                  <c:v>-7.9999999999999481E-3</c:v>
                </c:pt>
                <c:pt idx="83">
                  <c:v>-1.3440860215053835E-2</c:v>
                </c:pt>
                <c:pt idx="84">
                  <c:v>2.1798365122615824E-2</c:v>
                </c:pt>
                <c:pt idx="85">
                  <c:v>0</c:v>
                </c:pt>
                <c:pt idx="86">
                  <c:v>-1.8666666666666623E-2</c:v>
                </c:pt>
                <c:pt idx="87">
                  <c:v>5.4347826086956564E-3</c:v>
                </c:pt>
                <c:pt idx="88">
                  <c:v>2.7027027027026452E-3</c:v>
                </c:pt>
                <c:pt idx="89">
                  <c:v>-2.695417789757415E-2</c:v>
                </c:pt>
                <c:pt idx="90">
                  <c:v>-8.3102493074791711E-3</c:v>
                </c:pt>
                <c:pt idx="91">
                  <c:v>-2.7932960893855391E-3</c:v>
                </c:pt>
                <c:pt idx="92">
                  <c:v>8.4033613445378859E-3</c:v>
                </c:pt>
                <c:pt idx="93">
                  <c:v>2.7777777777777185E-3</c:v>
                </c:pt>
                <c:pt idx="94">
                  <c:v>8.3102493074792942E-3</c:v>
                </c:pt>
                <c:pt idx="95">
                  <c:v>-5.4945054945054993E-3</c:v>
                </c:pt>
                <c:pt idx="96">
                  <c:v>0</c:v>
                </c:pt>
                <c:pt idx="97">
                  <c:v>-1.1049723756906087E-2</c:v>
                </c:pt>
                <c:pt idx="98">
                  <c:v>-1.1173184357541908E-2</c:v>
                </c:pt>
                <c:pt idx="99">
                  <c:v>1.9774011299434981E-2</c:v>
                </c:pt>
                <c:pt idx="100">
                  <c:v>2.770083102493139E-3</c:v>
                </c:pt>
                <c:pt idx="101">
                  <c:v>1.6574585635359129E-2</c:v>
                </c:pt>
                <c:pt idx="102">
                  <c:v>0</c:v>
                </c:pt>
                <c:pt idx="103">
                  <c:v>8.1521739130434243E-3</c:v>
                </c:pt>
                <c:pt idx="104">
                  <c:v>3.5040431266846334E-2</c:v>
                </c:pt>
                <c:pt idx="105">
                  <c:v>5.0130208333333308E-2</c:v>
                </c:pt>
                <c:pt idx="106">
                  <c:v>-4.9597024178548235E-3</c:v>
                </c:pt>
                <c:pt idx="107">
                  <c:v>-4.2990654205607555E-2</c:v>
                </c:pt>
                <c:pt idx="108">
                  <c:v>2.343750000000008E-2</c:v>
                </c:pt>
                <c:pt idx="109">
                  <c:v>0</c:v>
                </c:pt>
                <c:pt idx="110">
                  <c:v>2.5445292620864595E-3</c:v>
                </c:pt>
                <c:pt idx="111">
                  <c:v>2.5380710659899065E-3</c:v>
                </c:pt>
                <c:pt idx="112">
                  <c:v>-7.5949367088608225E-3</c:v>
                </c:pt>
                <c:pt idx="113">
                  <c:v>-7.6530612244897463E-3</c:v>
                </c:pt>
                <c:pt idx="114">
                  <c:v>1.2853470437017948E-2</c:v>
                </c:pt>
                <c:pt idx="115">
                  <c:v>-1.5228426395939101E-2</c:v>
                </c:pt>
                <c:pt idx="116">
                  <c:v>-2.5773195876288113E-3</c:v>
                </c:pt>
                <c:pt idx="117">
                  <c:v>3.1007751937984523E-2</c:v>
                </c:pt>
                <c:pt idx="118">
                  <c:v>-1.5037593984962419E-2</c:v>
                </c:pt>
                <c:pt idx="119">
                  <c:v>2.5445292620864595E-3</c:v>
                </c:pt>
                <c:pt idx="120">
                  <c:v>-5.0761421319797002E-3</c:v>
                </c:pt>
                <c:pt idx="121">
                  <c:v>2.5510204081633241E-3</c:v>
                </c:pt>
                <c:pt idx="122">
                  <c:v>-1.0178117048346065E-2</c:v>
                </c:pt>
                <c:pt idx="123">
                  <c:v>5.1413881748072028E-3</c:v>
                </c:pt>
                <c:pt idx="124">
                  <c:v>-2.0460358056266004E-2</c:v>
                </c:pt>
                <c:pt idx="125">
                  <c:v>7.8328981723237087E-3</c:v>
                </c:pt>
                <c:pt idx="126">
                  <c:v>1.5544041450777216E-2</c:v>
                </c:pt>
                <c:pt idx="127">
                  <c:v>0</c:v>
                </c:pt>
                <c:pt idx="128">
                  <c:v>2.5510204081633241E-3</c:v>
                </c:pt>
                <c:pt idx="129">
                  <c:v>1.0178117048346065E-2</c:v>
                </c:pt>
                <c:pt idx="130">
                  <c:v>3.3375314861460913E-2</c:v>
                </c:pt>
                <c:pt idx="131">
                  <c:v>-9.7501523461304175E-3</c:v>
                </c:pt>
                <c:pt idx="132">
                  <c:v>-1.7846153846153793E-2</c:v>
                </c:pt>
                <c:pt idx="133">
                  <c:v>-1.7543859649122879E-2</c:v>
                </c:pt>
                <c:pt idx="134">
                  <c:v>4.9107142857142828E-2</c:v>
                </c:pt>
                <c:pt idx="135">
                  <c:v>-7.2948328267477816E-3</c:v>
                </c:pt>
                <c:pt idx="136">
                  <c:v>-4.898958971218512E-3</c:v>
                </c:pt>
                <c:pt idx="137">
                  <c:v>-2.0307692307692311E-2</c:v>
                </c:pt>
                <c:pt idx="138">
                  <c:v>-2.512562814070298E-3</c:v>
                </c:pt>
                <c:pt idx="139">
                  <c:v>0</c:v>
                </c:pt>
                <c:pt idx="140">
                  <c:v>5.0377833753148657E-3</c:v>
                </c:pt>
                <c:pt idx="141">
                  <c:v>8.1453634085212404E-3</c:v>
                </c:pt>
                <c:pt idx="142">
                  <c:v>2.7346177750155454E-2</c:v>
                </c:pt>
                <c:pt idx="143">
                  <c:v>2.4198427102237836E-3</c:v>
                </c:pt>
                <c:pt idx="144">
                  <c:v>-2.4140012070005519E-3</c:v>
                </c:pt>
                <c:pt idx="145">
                  <c:v>-9.6793708408953495E-3</c:v>
                </c:pt>
                <c:pt idx="146">
                  <c:v>-3.9706780696395869E-2</c:v>
                </c:pt>
                <c:pt idx="147">
                  <c:v>5.0890585241730327E-3</c:v>
                </c:pt>
                <c:pt idx="148">
                  <c:v>2.5949367088607601E-2</c:v>
                </c:pt>
                <c:pt idx="149">
                  <c:v>1.4805675508944998E-2</c:v>
                </c:pt>
                <c:pt idx="150">
                  <c:v>-1.2158054711246157E-2</c:v>
                </c:pt>
                <c:pt idx="151">
                  <c:v>-7.384615384615446E-3</c:v>
                </c:pt>
                <c:pt idx="152">
                  <c:v>0</c:v>
                </c:pt>
                <c:pt idx="153">
                  <c:v>-1.053936763794161E-2</c:v>
                </c:pt>
                <c:pt idx="154">
                  <c:v>1.3157894736842158E-2</c:v>
                </c:pt>
                <c:pt idx="155">
                  <c:v>7.4211502782929768E-3</c:v>
                </c:pt>
                <c:pt idx="156">
                  <c:v>4.9109883364028151E-3</c:v>
                </c:pt>
                <c:pt idx="157">
                  <c:v>4.8869883934024609E-3</c:v>
                </c:pt>
                <c:pt idx="158">
                  <c:v>-4.8632218844983765E-3</c:v>
                </c:pt>
                <c:pt idx="159">
                  <c:v>-4.8869883934026786E-3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2.4554941682012983E-3</c:v>
                </c:pt>
                <c:pt idx="165">
                  <c:v>4.8989589712187297E-3</c:v>
                </c:pt>
                <c:pt idx="166">
                  <c:v>0</c:v>
                </c:pt>
                <c:pt idx="167">
                  <c:v>-7.3126142595978669E-3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-7.3664825046038948E-3</c:v>
                </c:pt>
                <c:pt idx="172">
                  <c:v>-2.4737167594312119E-3</c:v>
                </c:pt>
                <c:pt idx="173">
                  <c:v>1.3019218846869242E-2</c:v>
                </c:pt>
                <c:pt idx="174">
                  <c:v>8.5679314565483833E-3</c:v>
                </c:pt>
                <c:pt idx="175">
                  <c:v>2.3665048543689355E-2</c:v>
                </c:pt>
                <c:pt idx="176">
                  <c:v>5.3349140486069861E-3</c:v>
                </c:pt>
                <c:pt idx="177">
                  <c:v>7.6650943396225826E-3</c:v>
                </c:pt>
                <c:pt idx="178">
                  <c:v>1.2873025160912748E-2</c:v>
                </c:pt>
                <c:pt idx="179">
                  <c:v>3.0040439052570745E-2</c:v>
                </c:pt>
                <c:pt idx="180">
                  <c:v>2.4677509814918751E-2</c:v>
                </c:pt>
                <c:pt idx="181">
                  <c:v>-4.9261083743842287E-3</c:v>
                </c:pt>
                <c:pt idx="182">
                  <c:v>7.1507150715070964E-3</c:v>
                </c:pt>
                <c:pt idx="183">
                  <c:v>4.9153468050245697E-3</c:v>
                </c:pt>
                <c:pt idx="184">
                  <c:v>-2.7173913043476716E-3</c:v>
                </c:pt>
                <c:pt idx="185">
                  <c:v>-4.3596730245232607E-3</c:v>
                </c:pt>
                <c:pt idx="186">
                  <c:v>0</c:v>
                </c:pt>
                <c:pt idx="187">
                  <c:v>4.3787629994527563E-3</c:v>
                </c:pt>
                <c:pt idx="188">
                  <c:v>-2.1798365122617275E-3</c:v>
                </c:pt>
                <c:pt idx="189">
                  <c:v>0</c:v>
                </c:pt>
                <c:pt idx="190">
                  <c:v>7.0999453850356395E-3</c:v>
                </c:pt>
                <c:pt idx="191">
                  <c:v>7.0498915401300977E-3</c:v>
                </c:pt>
                <c:pt idx="192">
                  <c:v>-7.0005385029617128E-3</c:v>
                </c:pt>
                <c:pt idx="193">
                  <c:v>-1.4099783080260388E-2</c:v>
                </c:pt>
                <c:pt idx="194">
                  <c:v>-2.2002200220021533E-3</c:v>
                </c:pt>
                <c:pt idx="195">
                  <c:v>-2.2050716648291186E-2</c:v>
                </c:pt>
                <c:pt idx="196">
                  <c:v>-5.073280721533251E-3</c:v>
                </c:pt>
                <c:pt idx="197">
                  <c:v>-2.2662889518413115E-3</c:v>
                </c:pt>
                <c:pt idx="198">
                  <c:v>-2.2714366837023933E-3</c:v>
                </c:pt>
                <c:pt idx="199">
                  <c:v>4.5532157085940977E-3</c:v>
                </c:pt>
                <c:pt idx="200">
                  <c:v>-2.2662889518413115E-3</c:v>
                </c:pt>
                <c:pt idx="201">
                  <c:v>-2.2714366837023933E-3</c:v>
                </c:pt>
                <c:pt idx="202">
                  <c:v>2.447353443369378E-2</c:v>
                </c:pt>
                <c:pt idx="203">
                  <c:v>0</c:v>
                </c:pt>
                <c:pt idx="204">
                  <c:v>-4.4444444444443499E-3</c:v>
                </c:pt>
                <c:pt idx="205">
                  <c:v>-2.790178571428611E-3</c:v>
                </c:pt>
                <c:pt idx="206">
                  <c:v>2.238388360380518E-2</c:v>
                </c:pt>
                <c:pt idx="207">
                  <c:v>-3.1198686371100182E-2</c:v>
                </c:pt>
                <c:pt idx="208">
                  <c:v>2.7118644067796634E-2</c:v>
                </c:pt>
                <c:pt idx="209">
                  <c:v>4.9504950495049427E-3</c:v>
                </c:pt>
                <c:pt idx="210">
                  <c:v>-4.9261083743842287E-3</c:v>
                </c:pt>
                <c:pt idx="211">
                  <c:v>-2.2002200220021533E-3</c:v>
                </c:pt>
                <c:pt idx="212">
                  <c:v>-7.7177508269019052E-3</c:v>
                </c:pt>
                <c:pt idx="213">
                  <c:v>-2.1666666666666699E-2</c:v>
                </c:pt>
                <c:pt idx="214">
                  <c:v>5.1107325383304859E-3</c:v>
                </c:pt>
                <c:pt idx="215">
                  <c:v>0</c:v>
                </c:pt>
                <c:pt idx="216">
                  <c:v>1.977401129943511E-2</c:v>
                </c:pt>
                <c:pt idx="217">
                  <c:v>-1.4404432132964076E-2</c:v>
                </c:pt>
                <c:pt idx="218">
                  <c:v>4.4969083754919535E-3</c:v>
                </c:pt>
                <c:pt idx="219">
                  <c:v>5.036373810856175E-3</c:v>
                </c:pt>
                <c:pt idx="220">
                  <c:v>-7.2383073496660663E-3</c:v>
                </c:pt>
                <c:pt idx="221">
                  <c:v>5.0476724621426484E-3</c:v>
                </c:pt>
                <c:pt idx="222">
                  <c:v>0</c:v>
                </c:pt>
                <c:pt idx="223">
                  <c:v>-2.790178571428611E-3</c:v>
                </c:pt>
                <c:pt idx="224">
                  <c:v>2.4622271964185656E-2</c:v>
                </c:pt>
                <c:pt idx="225">
                  <c:v>2.4030584380120224E-2</c:v>
                </c:pt>
                <c:pt idx="226">
                  <c:v>6.9333333333332801E-3</c:v>
                </c:pt>
                <c:pt idx="227">
                  <c:v>0</c:v>
                </c:pt>
                <c:pt idx="228">
                  <c:v>-6.8855932203389309E-3</c:v>
                </c:pt>
                <c:pt idx="229">
                  <c:v>6.9333333333332801E-3</c:v>
                </c:pt>
                <c:pt idx="230">
                  <c:v>-1.3771186440677862E-2</c:v>
                </c:pt>
                <c:pt idx="231">
                  <c:v>1.6111707841031185E-2</c:v>
                </c:pt>
                <c:pt idx="232">
                  <c:v>-6.8710359408035169E-3</c:v>
                </c:pt>
                <c:pt idx="233">
                  <c:v>-1.3837147418839704E-2</c:v>
                </c:pt>
                <c:pt idx="234">
                  <c:v>7.0156502968159199E-3</c:v>
                </c:pt>
                <c:pt idx="235">
                  <c:v>1.1789924973204654E-2</c:v>
                </c:pt>
                <c:pt idx="236">
                  <c:v>-2.6483050847458003E-3</c:v>
                </c:pt>
                <c:pt idx="237">
                  <c:v>4.6733935209771781E-2</c:v>
                </c:pt>
                <c:pt idx="238">
                  <c:v>-1.1161846778285257E-2</c:v>
                </c:pt>
                <c:pt idx="239">
                  <c:v>0</c:v>
                </c:pt>
                <c:pt idx="240">
                  <c:v>2.0523345305286148E-3</c:v>
                </c:pt>
                <c:pt idx="241">
                  <c:v>1.7921146953404906E-2</c:v>
                </c:pt>
                <c:pt idx="242">
                  <c:v>-1.0563380281690005E-2</c:v>
                </c:pt>
                <c:pt idx="243">
                  <c:v>3.5078800203355243E-2</c:v>
                </c:pt>
                <c:pt idx="244">
                  <c:v>3.6836935166994107E-2</c:v>
                </c:pt>
                <c:pt idx="245">
                  <c:v>-8.5267645665561206E-3</c:v>
                </c:pt>
                <c:pt idx="246">
                  <c:v>-2.054467271858575E-2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3C-440B-A922-48E6B58B1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428544"/>
        <c:axId val="1"/>
      </c:scatterChart>
      <c:valAx>
        <c:axId val="555428544"/>
        <c:scaling>
          <c:orientation val="minMax"/>
          <c:max val="0.08"/>
          <c:min val="-0.08"/>
        </c:scaling>
        <c:delete val="0"/>
        <c:axPos val="b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市場報酬率</a:t>
                </a:r>
                <a:r>
                  <a:rPr lang="en-US" altLang="zh-TW"/>
                  <a:t>(</a:t>
                </a:r>
                <a:r>
                  <a:rPr lang="zh-TW" altLang="en-US"/>
                  <a:t>每日</a:t>
                </a:r>
                <a:r>
                  <a:rPr lang="en-US" altLang="zh-TW"/>
                  <a:t>)</a:t>
                </a:r>
              </a:p>
            </c:rich>
          </c:tx>
          <c:layout>
            <c:manualLayout>
              <c:xMode val="edge"/>
              <c:yMode val="edge"/>
              <c:x val="0.40611638315825732"/>
              <c:y val="0.8984849803156681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crossBetween val="midCat"/>
        <c:majorUnit val="0.02"/>
      </c:valAx>
      <c:valAx>
        <c:axId val="1"/>
        <c:scaling>
          <c:orientation val="minMax"/>
          <c:min val="-0.08"/>
        </c:scaling>
        <c:delete val="0"/>
        <c:axPos val="l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個股報酬率</a:t>
                </a:r>
                <a:r>
                  <a:rPr lang="en-US" altLang="zh-TW"/>
                  <a:t>(</a:t>
                </a:r>
                <a:r>
                  <a:rPr lang="zh-TW" altLang="en-US"/>
                  <a:t>每日</a:t>
                </a:r>
                <a:r>
                  <a:rPr lang="en-US" altLang="zh-TW"/>
                  <a:t>)</a:t>
                </a:r>
              </a:p>
            </c:rich>
          </c:tx>
          <c:layout>
            <c:manualLayout>
              <c:xMode val="edge"/>
              <c:yMode val="edge"/>
              <c:x val="4.4602377341080288E-2"/>
              <c:y val="0.34659002926181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55542854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54581500188682"/>
          <c:y val="7.0486986077627739E-2"/>
          <c:w val="0.77520102802578628"/>
          <c:h val="0.79738403000316382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4041875808836"/>
                  <c:y val="0.37176756616675866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00"/>
                      </a:solidFill>
                      <a:latin typeface="新細明體"/>
                      <a:ea typeface="新細明體"/>
                      <a:cs typeface="新細明體"/>
                    </a:defRPr>
                  </a:pPr>
                  <a:endParaRPr lang="zh-TW"/>
                </a:p>
              </c:txPr>
            </c:trendlineLbl>
          </c:trendline>
          <c:xVal>
            <c:numRef>
              <c:f>beta!$F$252:$F$498</c:f>
              <c:numCache>
                <c:formatCode>0.0000</c:formatCode>
                <c:ptCount val="247"/>
                <c:pt idx="0">
                  <c:v>5.5866012779151575E-4</c:v>
                </c:pt>
                <c:pt idx="1">
                  <c:v>-1.3455703290835903E-2</c:v>
                </c:pt>
                <c:pt idx="2">
                  <c:v>-1.1895136672793839E-2</c:v>
                </c:pt>
                <c:pt idx="3">
                  <c:v>-1.0436896851730938E-3</c:v>
                </c:pt>
                <c:pt idx="4">
                  <c:v>-7.711313046211061E-3</c:v>
                </c:pt>
                <c:pt idx="5">
                  <c:v>1.1556623242290809E-3</c:v>
                </c:pt>
                <c:pt idx="6">
                  <c:v>5.520920097259646E-3</c:v>
                </c:pt>
                <c:pt idx="7">
                  <c:v>-1.616223145225798E-2</c:v>
                </c:pt>
                <c:pt idx="8">
                  <c:v>-4.2761792661437379E-3</c:v>
                </c:pt>
                <c:pt idx="9">
                  <c:v>6.0779577515315906E-3</c:v>
                </c:pt>
                <c:pt idx="10">
                  <c:v>9.4659666662138837E-3</c:v>
                </c:pt>
                <c:pt idx="11">
                  <c:v>-1.967950992974369E-3</c:v>
                </c:pt>
                <c:pt idx="12">
                  <c:v>-6.4413161048069451E-3</c:v>
                </c:pt>
                <c:pt idx="13">
                  <c:v>-1.2297827949146361E-3</c:v>
                </c:pt>
                <c:pt idx="14">
                  <c:v>-6.6557972860516136E-3</c:v>
                </c:pt>
                <c:pt idx="15">
                  <c:v>-1.3238364071254352E-2</c:v>
                </c:pt>
                <c:pt idx="16">
                  <c:v>1.9527053719324051E-3</c:v>
                </c:pt>
                <c:pt idx="17">
                  <c:v>9.0994768924819325E-3</c:v>
                </c:pt>
                <c:pt idx="18">
                  <c:v>1.2664149831116669E-3</c:v>
                </c:pt>
                <c:pt idx="19">
                  <c:v>6.36171946135047E-3</c:v>
                </c:pt>
                <c:pt idx="20">
                  <c:v>1.9439006926953089E-2</c:v>
                </c:pt>
                <c:pt idx="21">
                  <c:v>-2.1170358828405986E-3</c:v>
                </c:pt>
                <c:pt idx="22">
                  <c:v>6.2107751515495403E-3</c:v>
                </c:pt>
                <c:pt idx="23">
                  <c:v>2.6434323748192323E-3</c:v>
                </c:pt>
                <c:pt idx="24">
                  <c:v>1.2892320949192865E-2</c:v>
                </c:pt>
                <c:pt idx="25">
                  <c:v>1.6343825665860695E-3</c:v>
                </c:pt>
                <c:pt idx="26">
                  <c:v>3.4463665333308484E-3</c:v>
                </c:pt>
                <c:pt idx="27">
                  <c:v>-1.1610664296678262E-2</c:v>
                </c:pt>
                <c:pt idx="28">
                  <c:v>7.1259650602092895E-3</c:v>
                </c:pt>
                <c:pt idx="29">
                  <c:v>4.4722938534165957E-3</c:v>
                </c:pt>
                <c:pt idx="30">
                  <c:v>-5.7970495443430622E-3</c:v>
                </c:pt>
                <c:pt idx="31">
                  <c:v>2.3496971592407551E-3</c:v>
                </c:pt>
                <c:pt idx="32">
                  <c:v>1.1141023798010474E-3</c:v>
                </c:pt>
                <c:pt idx="33">
                  <c:v>1.2970886080080377E-2</c:v>
                </c:pt>
                <c:pt idx="34">
                  <c:v>8.3539658785758749E-3</c:v>
                </c:pt>
                <c:pt idx="35">
                  <c:v>-5.5018699009055727E-3</c:v>
                </c:pt>
                <c:pt idx="36">
                  <c:v>-3.6737480422472817E-3</c:v>
                </c:pt>
                <c:pt idx="37">
                  <c:v>-1.4123610613990464E-3</c:v>
                </c:pt>
                <c:pt idx="38">
                  <c:v>4.3431789486601613E-3</c:v>
                </c:pt>
                <c:pt idx="39">
                  <c:v>-7.5845749229968371E-3</c:v>
                </c:pt>
                <c:pt idx="40">
                  <c:v>6.4697554322294898E-3</c:v>
                </c:pt>
                <c:pt idx="41">
                  <c:v>-3.3396209409522828E-3</c:v>
                </c:pt>
                <c:pt idx="42">
                  <c:v>1.889373164118675E-3</c:v>
                </c:pt>
                <c:pt idx="43">
                  <c:v>-7.8527069434884498E-3</c:v>
                </c:pt>
                <c:pt idx="44">
                  <c:v>-1.4950832668617329E-2</c:v>
                </c:pt>
                <c:pt idx="45">
                  <c:v>1.4645055314769918E-3</c:v>
                </c:pt>
                <c:pt idx="46">
                  <c:v>-6.5691098683212821E-3</c:v>
                </c:pt>
                <c:pt idx="47">
                  <c:v>1.9030347436455653E-3</c:v>
                </c:pt>
                <c:pt idx="48">
                  <c:v>2.4834752107479744E-3</c:v>
                </c:pt>
                <c:pt idx="49">
                  <c:v>-6.6298506674412894E-3</c:v>
                </c:pt>
                <c:pt idx="50">
                  <c:v>1.163024461727055E-4</c:v>
                </c:pt>
                <c:pt idx="51">
                  <c:v>-3.0716887975559028E-3</c:v>
                </c:pt>
                <c:pt idx="52">
                  <c:v>1.0816530578236937E-2</c:v>
                </c:pt>
                <c:pt idx="53">
                  <c:v>-2.8305728241929196E-3</c:v>
                </c:pt>
                <c:pt idx="54">
                  <c:v>-1.4465822634135374E-2</c:v>
                </c:pt>
                <c:pt idx="55">
                  <c:v>-5.468660882635523E-4</c:v>
                </c:pt>
                <c:pt idx="56">
                  <c:v>8.0396375952924565E-3</c:v>
                </c:pt>
                <c:pt idx="57">
                  <c:v>3.8079348904739838E-3</c:v>
                </c:pt>
                <c:pt idx="58">
                  <c:v>-1.4629898403482825E-3</c:v>
                </c:pt>
                <c:pt idx="59">
                  <c:v>-1.0697798811614935E-3</c:v>
                </c:pt>
                <c:pt idx="60">
                  <c:v>-6.9393979203423578E-3</c:v>
                </c:pt>
                <c:pt idx="61">
                  <c:v>8.7595616702612778E-3</c:v>
                </c:pt>
                <c:pt idx="62">
                  <c:v>-7.4119324642641336E-3</c:v>
                </c:pt>
                <c:pt idx="63">
                  <c:v>2.4199671540049462E-3</c:v>
                </c:pt>
                <c:pt idx="64">
                  <c:v>6.9904519435618601E-4</c:v>
                </c:pt>
                <c:pt idx="65">
                  <c:v>-3.5678083653435159E-3</c:v>
                </c:pt>
                <c:pt idx="66">
                  <c:v>-1.477576179417342E-2</c:v>
                </c:pt>
                <c:pt idx="67">
                  <c:v>-2.9415610771741593E-2</c:v>
                </c:pt>
                <c:pt idx="68">
                  <c:v>5.8073614736946144E-3</c:v>
                </c:pt>
                <c:pt idx="69">
                  <c:v>-9.6271103881983774E-3</c:v>
                </c:pt>
                <c:pt idx="70">
                  <c:v>5.0904530292410453E-3</c:v>
                </c:pt>
                <c:pt idx="71">
                  <c:v>4.3865857857144745E-3</c:v>
                </c:pt>
                <c:pt idx="72">
                  <c:v>1.9522923775337178E-3</c:v>
                </c:pt>
                <c:pt idx="73">
                  <c:v>8.1516972861828546E-3</c:v>
                </c:pt>
                <c:pt idx="74">
                  <c:v>-4.6475173334480967E-3</c:v>
                </c:pt>
                <c:pt idx="75">
                  <c:v>1.1075979488670484E-2</c:v>
                </c:pt>
                <c:pt idx="76">
                  <c:v>-4.1422255390457345E-3</c:v>
                </c:pt>
                <c:pt idx="77">
                  <c:v>2.5781745493014985E-5</c:v>
                </c:pt>
                <c:pt idx="78">
                  <c:v>-2.4990461000099621E-3</c:v>
                </c:pt>
                <c:pt idx="79">
                  <c:v>2.1334739337799415E-2</c:v>
                </c:pt>
                <c:pt idx="80">
                  <c:v>6.8258118937157379E-3</c:v>
                </c:pt>
                <c:pt idx="81">
                  <c:v>-1.8599320370774478E-4</c:v>
                </c:pt>
                <c:pt idx="82">
                  <c:v>-2.8574541005723592E-3</c:v>
                </c:pt>
                <c:pt idx="83">
                  <c:v>-5.4909408719620951E-3</c:v>
                </c:pt>
                <c:pt idx="84">
                  <c:v>2.9524448507976427E-3</c:v>
                </c:pt>
                <c:pt idx="85">
                  <c:v>7.8994371988001209E-3</c:v>
                </c:pt>
                <c:pt idx="86">
                  <c:v>-9.2953583394075473E-3</c:v>
                </c:pt>
                <c:pt idx="87">
                  <c:v>-5.3781041803073791E-3</c:v>
                </c:pt>
                <c:pt idx="88">
                  <c:v>-5.3953081179032461E-4</c:v>
                </c:pt>
                <c:pt idx="89">
                  <c:v>1.3560058599552205E-2</c:v>
                </c:pt>
                <c:pt idx="90">
                  <c:v>-2.6830979900213602E-3</c:v>
                </c:pt>
                <c:pt idx="91">
                  <c:v>-1.1627809340200714E-2</c:v>
                </c:pt>
                <c:pt idx="92">
                  <c:v>4.0183843206552678E-3</c:v>
                </c:pt>
                <c:pt idx="93">
                  <c:v>-3.4810715675823081E-3</c:v>
                </c:pt>
                <c:pt idx="94">
                  <c:v>8.642224799737851E-3</c:v>
                </c:pt>
                <c:pt idx="95">
                  <c:v>8.776951284805606E-3</c:v>
                </c:pt>
                <c:pt idx="96">
                  <c:v>2.9992239070024043E-3</c:v>
                </c:pt>
                <c:pt idx="97">
                  <c:v>3.3946138793114315E-4</c:v>
                </c:pt>
                <c:pt idx="98">
                  <c:v>-6.6438661512154091E-3</c:v>
                </c:pt>
                <c:pt idx="99">
                  <c:v>1.1363750540054403E-2</c:v>
                </c:pt>
                <c:pt idx="100">
                  <c:v>1.1337068754263655E-2</c:v>
                </c:pt>
                <c:pt idx="101">
                  <c:v>4.849417562357238E-3</c:v>
                </c:pt>
                <c:pt idx="102">
                  <c:v>-5.1779450173276634E-3</c:v>
                </c:pt>
                <c:pt idx="103">
                  <c:v>9.1503310791887522E-3</c:v>
                </c:pt>
                <c:pt idx="104">
                  <c:v>-2.5545064154789102E-3</c:v>
                </c:pt>
                <c:pt idx="105">
                  <c:v>7.5546053316672343E-3</c:v>
                </c:pt>
                <c:pt idx="106">
                  <c:v>6.2496467415439723E-3</c:v>
                </c:pt>
                <c:pt idx="107">
                  <c:v>-4.0587059965816298E-3</c:v>
                </c:pt>
                <c:pt idx="108">
                  <c:v>7.467256226473493E-3</c:v>
                </c:pt>
                <c:pt idx="109">
                  <c:v>4.8479710817164613E-3</c:v>
                </c:pt>
                <c:pt idx="110">
                  <c:v>1.7747966146750285E-3</c:v>
                </c:pt>
                <c:pt idx="111">
                  <c:v>5.2911229892142557E-4</c:v>
                </c:pt>
                <c:pt idx="112">
                  <c:v>-2.9268416631067543E-3</c:v>
                </c:pt>
                <c:pt idx="113">
                  <c:v>1.2641635050633418E-2</c:v>
                </c:pt>
                <c:pt idx="114">
                  <c:v>2.5213005066193569E-3</c:v>
                </c:pt>
                <c:pt idx="115">
                  <c:v>-5.2040678646848339E-3</c:v>
                </c:pt>
                <c:pt idx="116">
                  <c:v>-5.9457251497865094E-3</c:v>
                </c:pt>
                <c:pt idx="117">
                  <c:v>2.1973698197205395E-3</c:v>
                </c:pt>
                <c:pt idx="118">
                  <c:v>-1.3486173466480155E-2</c:v>
                </c:pt>
                <c:pt idx="119">
                  <c:v>1.6512480643168285E-3</c:v>
                </c:pt>
                <c:pt idx="120">
                  <c:v>4.8382393935220026E-3</c:v>
                </c:pt>
                <c:pt idx="121">
                  <c:v>-1.4986910368718003E-4</c:v>
                </c:pt>
                <c:pt idx="122">
                  <c:v>-6.2444189309860719E-3</c:v>
                </c:pt>
                <c:pt idx="123">
                  <c:v>-1.6030063991886736E-3</c:v>
                </c:pt>
                <c:pt idx="124">
                  <c:v>-1.5187920379938795E-3</c:v>
                </c:pt>
                <c:pt idx="125">
                  <c:v>-1.802787882690134E-3</c:v>
                </c:pt>
                <c:pt idx="126">
                  <c:v>1.5715806108298133E-2</c:v>
                </c:pt>
                <c:pt idx="127">
                  <c:v>9.5175952473940881E-3</c:v>
                </c:pt>
                <c:pt idx="128">
                  <c:v>2.8747517224134303E-3</c:v>
                </c:pt>
                <c:pt idx="129">
                  <c:v>6.4700357059411448E-3</c:v>
                </c:pt>
                <c:pt idx="130">
                  <c:v>-1.2090334743353381E-3</c:v>
                </c:pt>
                <c:pt idx="131">
                  <c:v>8.9695332254909456E-4</c:v>
                </c:pt>
                <c:pt idx="132">
                  <c:v>1.1642151132889239E-3</c:v>
                </c:pt>
                <c:pt idx="133">
                  <c:v>-4.6358780848126972E-3</c:v>
                </c:pt>
                <c:pt idx="134">
                  <c:v>-2.0800653109228737E-3</c:v>
                </c:pt>
                <c:pt idx="135">
                  <c:v>6.2249930650568599E-3</c:v>
                </c:pt>
                <c:pt idx="136">
                  <c:v>-8.4557935970220096E-3</c:v>
                </c:pt>
                <c:pt idx="137">
                  <c:v>-6.1120047249833267E-3</c:v>
                </c:pt>
                <c:pt idx="138">
                  <c:v>7.6478722983919284E-3</c:v>
                </c:pt>
                <c:pt idx="139">
                  <c:v>-9.9848799493071697E-3</c:v>
                </c:pt>
                <c:pt idx="140">
                  <c:v>-6.4163701405886466E-4</c:v>
                </c:pt>
                <c:pt idx="141">
                  <c:v>5.6452750743904373E-3</c:v>
                </c:pt>
                <c:pt idx="142">
                  <c:v>1.7660486100820636E-2</c:v>
                </c:pt>
                <c:pt idx="143">
                  <c:v>-1.4808916950787446E-3</c:v>
                </c:pt>
                <c:pt idx="144">
                  <c:v>-1.023578927119264E-2</c:v>
                </c:pt>
                <c:pt idx="145">
                  <c:v>-4.7021722467990502E-6</c:v>
                </c:pt>
                <c:pt idx="146">
                  <c:v>-3.6300940438871243E-3</c:v>
                </c:pt>
                <c:pt idx="147">
                  <c:v>-4.9238300790960742E-4</c:v>
                </c:pt>
                <c:pt idx="148">
                  <c:v>-4.4226129300839982E-4</c:v>
                </c:pt>
                <c:pt idx="149">
                  <c:v>-1.6654332456817071E-2</c:v>
                </c:pt>
                <c:pt idx="150">
                  <c:v>-4.3714061997115718E-4</c:v>
                </c:pt>
                <c:pt idx="151">
                  <c:v>-7.6893502498968905E-5</c:v>
                </c:pt>
                <c:pt idx="152">
                  <c:v>-5.9004280734132972E-3</c:v>
                </c:pt>
                <c:pt idx="153">
                  <c:v>-7.4374424867327538E-3</c:v>
                </c:pt>
                <c:pt idx="154">
                  <c:v>7.7464628653632021E-3</c:v>
                </c:pt>
                <c:pt idx="155">
                  <c:v>-1.8480178518201196E-3</c:v>
                </c:pt>
                <c:pt idx="156">
                  <c:v>-1.096659015557264E-2</c:v>
                </c:pt>
                <c:pt idx="157">
                  <c:v>-2.8691547907377427E-3</c:v>
                </c:pt>
                <c:pt idx="158">
                  <c:v>4.4012269095171138E-3</c:v>
                </c:pt>
                <c:pt idx="159">
                  <c:v>-1.4195272588017791E-2</c:v>
                </c:pt>
                <c:pt idx="160">
                  <c:v>-2.8630749292496015E-3</c:v>
                </c:pt>
                <c:pt idx="161">
                  <c:v>2.238019137550917E-4</c:v>
                </c:pt>
                <c:pt idx="162">
                  <c:v>1.3686982781053013E-2</c:v>
                </c:pt>
                <c:pt idx="163">
                  <c:v>-2.8237179225154203E-3</c:v>
                </c:pt>
                <c:pt idx="164">
                  <c:v>6.7816842056936935E-3</c:v>
                </c:pt>
                <c:pt idx="165">
                  <c:v>1.6286273602882019E-4</c:v>
                </c:pt>
                <c:pt idx="166">
                  <c:v>1.4231885285142141E-3</c:v>
                </c:pt>
                <c:pt idx="167">
                  <c:v>-5.0114798987947254E-3</c:v>
                </c:pt>
                <c:pt idx="168">
                  <c:v>7.5044206136235239E-3</c:v>
                </c:pt>
                <c:pt idx="169">
                  <c:v>6.6504676414203521E-4</c:v>
                </c:pt>
                <c:pt idx="170">
                  <c:v>-3.3035720074954629E-3</c:v>
                </c:pt>
                <c:pt idx="171">
                  <c:v>-1.075674532828068E-2</c:v>
                </c:pt>
                <c:pt idx="172">
                  <c:v>-8.4372369528620539E-3</c:v>
                </c:pt>
                <c:pt idx="173">
                  <c:v>7.2124471916228897E-4</c:v>
                </c:pt>
                <c:pt idx="174">
                  <c:v>1.1558107823758774E-2</c:v>
                </c:pt>
                <c:pt idx="175">
                  <c:v>-6.2256873070340299E-3</c:v>
                </c:pt>
                <c:pt idx="176">
                  <c:v>-1.570375156163982E-2</c:v>
                </c:pt>
                <c:pt idx="177">
                  <c:v>-7.7896069363001096E-3</c:v>
                </c:pt>
                <c:pt idx="178">
                  <c:v>7.864262160072929E-4</c:v>
                </c:pt>
                <c:pt idx="179">
                  <c:v>2.5041313952312511E-3</c:v>
                </c:pt>
                <c:pt idx="180">
                  <c:v>-2.299391931102358E-3</c:v>
                </c:pt>
                <c:pt idx="181">
                  <c:v>1.3253239549649435E-2</c:v>
                </c:pt>
                <c:pt idx="182">
                  <c:v>1.8073241386424917E-2</c:v>
                </c:pt>
                <c:pt idx="183">
                  <c:v>8.6784416722105189E-4</c:v>
                </c:pt>
                <c:pt idx="184">
                  <c:v>2.9719526055206171E-3</c:v>
                </c:pt>
                <c:pt idx="185">
                  <c:v>-1.1575807701574819E-3</c:v>
                </c:pt>
                <c:pt idx="186">
                  <c:v>-6.3895576372328356E-3</c:v>
                </c:pt>
                <c:pt idx="187">
                  <c:v>-2.2917380955115485E-3</c:v>
                </c:pt>
                <c:pt idx="188">
                  <c:v>-2.5074648461649762E-3</c:v>
                </c:pt>
                <c:pt idx="189">
                  <c:v>-1.3053461664625515E-2</c:v>
                </c:pt>
                <c:pt idx="190">
                  <c:v>-4.5579049336940854E-3</c:v>
                </c:pt>
                <c:pt idx="191">
                  <c:v>1.5033279587121776E-3</c:v>
                </c:pt>
                <c:pt idx="192">
                  <c:v>-2.3923324739029576E-2</c:v>
                </c:pt>
                <c:pt idx="193">
                  <c:v>7.7579652161666494E-4</c:v>
                </c:pt>
                <c:pt idx="194">
                  <c:v>-2.3432502285282115E-2</c:v>
                </c:pt>
                <c:pt idx="195">
                  <c:v>9.4553015721370922E-3</c:v>
                </c:pt>
                <c:pt idx="196">
                  <c:v>-1.6075156576200037E-3</c:v>
                </c:pt>
                <c:pt idx="197">
                  <c:v>-3.7429688643540542E-3</c:v>
                </c:pt>
                <c:pt idx="198">
                  <c:v>7.0488064254342186E-4</c:v>
                </c:pt>
                <c:pt idx="199">
                  <c:v>-3.5988261429637869E-3</c:v>
                </c:pt>
                <c:pt idx="200">
                  <c:v>-6.9359659832442149E-3</c:v>
                </c:pt>
                <c:pt idx="201">
                  <c:v>-4.9830600687489242E-3</c:v>
                </c:pt>
                <c:pt idx="202">
                  <c:v>2.3314521469136162E-2</c:v>
                </c:pt>
                <c:pt idx="203">
                  <c:v>5.9174574536369848E-3</c:v>
                </c:pt>
                <c:pt idx="204">
                  <c:v>1.2410298685329261E-2</c:v>
                </c:pt>
                <c:pt idx="205">
                  <c:v>-2.1054890918289089E-3</c:v>
                </c:pt>
                <c:pt idx="206">
                  <c:v>9.1720567223339596E-3</c:v>
                </c:pt>
                <c:pt idx="207">
                  <c:v>-8.6861059518854779E-3</c:v>
                </c:pt>
                <c:pt idx="208">
                  <c:v>-1.83605527959747E-3</c:v>
                </c:pt>
                <c:pt idx="209">
                  <c:v>2.0758577892960799E-2</c:v>
                </c:pt>
                <c:pt idx="210">
                  <c:v>2.8989827601798492E-3</c:v>
                </c:pt>
                <c:pt idx="211">
                  <c:v>1.4509791479150476E-2</c:v>
                </c:pt>
                <c:pt idx="212">
                  <c:v>1.3760727935923191E-3</c:v>
                </c:pt>
                <c:pt idx="213">
                  <c:v>-8.6921931350084514E-3</c:v>
                </c:pt>
                <c:pt idx="214">
                  <c:v>2.5635328334499643E-3</c:v>
                </c:pt>
                <c:pt idx="215">
                  <c:v>-4.1778307035824514E-3</c:v>
                </c:pt>
                <c:pt idx="216">
                  <c:v>1.4250266569671877E-2</c:v>
                </c:pt>
                <c:pt idx="217">
                  <c:v>-5.4366159358343552E-4</c:v>
                </c:pt>
                <c:pt idx="218">
                  <c:v>-7.2467567363872177E-3</c:v>
                </c:pt>
                <c:pt idx="219">
                  <c:v>1.061693064584554E-2</c:v>
                </c:pt>
                <c:pt idx="220">
                  <c:v>-1.8992344272575428E-3</c:v>
                </c:pt>
                <c:pt idx="221">
                  <c:v>2.6685689696639646E-3</c:v>
                </c:pt>
                <c:pt idx="222">
                  <c:v>1.2342939199112354E-2</c:v>
                </c:pt>
                <c:pt idx="223">
                  <c:v>-1.0369384123381635E-2</c:v>
                </c:pt>
                <c:pt idx="224">
                  <c:v>1.0417769496262736E-2</c:v>
                </c:pt>
                <c:pt idx="225">
                  <c:v>-3.8123824246753101E-3</c:v>
                </c:pt>
                <c:pt idx="226">
                  <c:v>7.9500697431316956E-3</c:v>
                </c:pt>
                <c:pt idx="227">
                  <c:v>1.9162138081057094E-2</c:v>
                </c:pt>
                <c:pt idx="228">
                  <c:v>3.4812414642637743E-4</c:v>
                </c:pt>
                <c:pt idx="229">
                  <c:v>-3.3068158198068819E-3</c:v>
                </c:pt>
                <c:pt idx="230">
                  <c:v>-1.2691325724541645E-2</c:v>
                </c:pt>
                <c:pt idx="231">
                  <c:v>2.4275146058929356E-3</c:v>
                </c:pt>
                <c:pt idx="232">
                  <c:v>3.0809212752783859E-4</c:v>
                </c:pt>
                <c:pt idx="233">
                  <c:v>-8.1547454714028117E-4</c:v>
                </c:pt>
                <c:pt idx="234">
                  <c:v>-4.1254204479027794E-3</c:v>
                </c:pt>
                <c:pt idx="235">
                  <c:v>3.7078912972006205E-3</c:v>
                </c:pt>
                <c:pt idx="236">
                  <c:v>1.4735230815199138E-2</c:v>
                </c:pt>
                <c:pt idx="237">
                  <c:v>1.2712004522343317E-2</c:v>
                </c:pt>
                <c:pt idx="238">
                  <c:v>-5.5664223452984367E-4</c:v>
                </c:pt>
                <c:pt idx="239">
                  <c:v>6.8530019415542669E-3</c:v>
                </c:pt>
                <c:pt idx="240">
                  <c:v>-8.4503908440966245E-3</c:v>
                </c:pt>
                <c:pt idx="241">
                  <c:v>1.4870971763385947E-2</c:v>
                </c:pt>
                <c:pt idx="242">
                  <c:v>3.3995482623763867E-3</c:v>
                </c:pt>
                <c:pt idx="243">
                  <c:v>-4.8662768544268444E-4</c:v>
                </c:pt>
                <c:pt idx="244">
                  <c:v>-1.1008039390103344E-3</c:v>
                </c:pt>
                <c:pt idx="245">
                  <c:v>7.8367359450677628E-3</c:v>
                </c:pt>
                <c:pt idx="246">
                  <c:v>-4.13502789889174E-3</c:v>
                </c:pt>
              </c:numCache>
            </c:numRef>
          </c:xVal>
          <c:yVal>
            <c:numRef>
              <c:f>beta!$H$252:$H$498</c:f>
              <c:numCache>
                <c:formatCode>0.0000</c:formatCode>
                <c:ptCount val="247"/>
                <c:pt idx="0">
                  <c:v>3.5971223021582732E-2</c:v>
                </c:pt>
                <c:pt idx="1">
                  <c:v>-2.36111111111111E-2</c:v>
                </c:pt>
                <c:pt idx="2">
                  <c:v>-1.1379800853485073E-2</c:v>
                </c:pt>
                <c:pt idx="3">
                  <c:v>0</c:v>
                </c:pt>
                <c:pt idx="4">
                  <c:v>-1.8705035971223007E-2</c:v>
                </c:pt>
                <c:pt idx="5">
                  <c:v>0</c:v>
                </c:pt>
                <c:pt idx="6">
                  <c:v>5.8651026392961929E-3</c:v>
                </c:pt>
                <c:pt idx="7">
                  <c:v>-1.1661807580174937E-2</c:v>
                </c:pt>
                <c:pt idx="8">
                  <c:v>5.8997050147492677E-3</c:v>
                </c:pt>
                <c:pt idx="9">
                  <c:v>5.8651026392961929E-3</c:v>
                </c:pt>
                <c:pt idx="10">
                  <c:v>7.2886297376093031E-3</c:v>
                </c:pt>
                <c:pt idx="11">
                  <c:v>-7.2358900144717546E-3</c:v>
                </c:pt>
                <c:pt idx="12">
                  <c:v>-5.8309037900874687E-3</c:v>
                </c:pt>
                <c:pt idx="13">
                  <c:v>0</c:v>
                </c:pt>
                <c:pt idx="14">
                  <c:v>0</c:v>
                </c:pt>
                <c:pt idx="15">
                  <c:v>-5.8651026392961929E-3</c:v>
                </c:pt>
                <c:pt idx="16">
                  <c:v>-5.8997050147492677E-3</c:v>
                </c:pt>
                <c:pt idx="17">
                  <c:v>0</c:v>
                </c:pt>
                <c:pt idx="18">
                  <c:v>-1.1869436201780426E-2</c:v>
                </c:pt>
                <c:pt idx="19">
                  <c:v>1.2012012012012022E-2</c:v>
                </c:pt>
                <c:pt idx="20">
                  <c:v>-1.1869436201780426E-2</c:v>
                </c:pt>
                <c:pt idx="21">
                  <c:v>6.0060060060060112E-3</c:v>
                </c:pt>
                <c:pt idx="22">
                  <c:v>1.7910447761194045E-2</c:v>
                </c:pt>
                <c:pt idx="23">
                  <c:v>-5.8651026392961929E-3</c:v>
                </c:pt>
                <c:pt idx="24">
                  <c:v>-5.8997050147492677E-3</c:v>
                </c:pt>
                <c:pt idx="25">
                  <c:v>0</c:v>
                </c:pt>
                <c:pt idx="26">
                  <c:v>3.1157270029673584E-2</c:v>
                </c:pt>
                <c:pt idx="27">
                  <c:v>-1.8705035971223007E-2</c:v>
                </c:pt>
                <c:pt idx="28">
                  <c:v>1.31964809384164E-2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1.7366136034732287E-2</c:v>
                </c:pt>
                <c:pt idx="33">
                  <c:v>1.8492176386913212E-2</c:v>
                </c:pt>
                <c:pt idx="34">
                  <c:v>3.6312849162011142E-2</c:v>
                </c:pt>
                <c:pt idx="35">
                  <c:v>-2.4258760107816673E-2</c:v>
                </c:pt>
                <c:pt idx="36">
                  <c:v>1.1049723756906087E-2</c:v>
                </c:pt>
                <c:pt idx="37">
                  <c:v>-2.1857923497267777E-2</c:v>
                </c:pt>
                <c:pt idx="38">
                  <c:v>6.9832402234636624E-3</c:v>
                </c:pt>
                <c:pt idx="39">
                  <c:v>-1.8030513176144229E-2</c:v>
                </c:pt>
                <c:pt idx="40">
                  <c:v>1.4124293785310433E-3</c:v>
                </c:pt>
                <c:pt idx="41">
                  <c:v>-5.6417489421720785E-3</c:v>
                </c:pt>
                <c:pt idx="42">
                  <c:v>2.8368794326241792E-3</c:v>
                </c:pt>
                <c:pt idx="43">
                  <c:v>-9.900990099009941E-3</c:v>
                </c:pt>
                <c:pt idx="44">
                  <c:v>4.2857142857143215E-3</c:v>
                </c:pt>
                <c:pt idx="45">
                  <c:v>5.6899004267425366E-3</c:v>
                </c:pt>
                <c:pt idx="46">
                  <c:v>1.272984441301271E-2</c:v>
                </c:pt>
                <c:pt idx="47">
                  <c:v>4.1899441340782469E-3</c:v>
                </c:pt>
                <c:pt idx="48">
                  <c:v>1.9471488178024989E-2</c:v>
                </c:pt>
                <c:pt idx="49">
                  <c:v>-2.0463847203274262E-2</c:v>
                </c:pt>
                <c:pt idx="50">
                  <c:v>6.9637883008357541E-3</c:v>
                </c:pt>
                <c:pt idx="51">
                  <c:v>-1.3831258644536725E-2</c:v>
                </c:pt>
                <c:pt idx="52">
                  <c:v>4.207573632538604E-3</c:v>
                </c:pt>
                <c:pt idx="53">
                  <c:v>-1.1173184357541908E-2</c:v>
                </c:pt>
                <c:pt idx="54">
                  <c:v>-7.0621468926553421E-3</c:v>
                </c:pt>
                <c:pt idx="55">
                  <c:v>-5.6899004267425366E-3</c:v>
                </c:pt>
                <c:pt idx="56">
                  <c:v>-4.2918454935622673E-3</c:v>
                </c:pt>
                <c:pt idx="57">
                  <c:v>-1.4367816091953717E-3</c:v>
                </c:pt>
                <c:pt idx="58">
                  <c:v>0</c:v>
                </c:pt>
                <c:pt idx="59">
                  <c:v>2.8776978417265572E-3</c:v>
                </c:pt>
                <c:pt idx="60">
                  <c:v>-5.7388809182209524E-3</c:v>
                </c:pt>
                <c:pt idx="61">
                  <c:v>7.2150072150073182E-3</c:v>
                </c:pt>
                <c:pt idx="62">
                  <c:v>-2.8653295128940486E-3</c:v>
                </c:pt>
                <c:pt idx="63">
                  <c:v>0</c:v>
                </c:pt>
                <c:pt idx="64">
                  <c:v>4.3103448275862424E-3</c:v>
                </c:pt>
                <c:pt idx="65">
                  <c:v>1.0014306151645121E-2</c:v>
                </c:pt>
                <c:pt idx="66">
                  <c:v>-9.9150141643058638E-3</c:v>
                </c:pt>
                <c:pt idx="67">
                  <c:v>-2.2889842632331923E-2</c:v>
                </c:pt>
                <c:pt idx="68">
                  <c:v>1.0248901903367538E-2</c:v>
                </c:pt>
                <c:pt idx="69">
                  <c:v>-7.2463768115943053E-3</c:v>
                </c:pt>
                <c:pt idx="70">
                  <c:v>-5.8394160583941663E-3</c:v>
                </c:pt>
                <c:pt idx="71">
                  <c:v>7.3421439060206628E-3</c:v>
                </c:pt>
                <c:pt idx="72">
                  <c:v>-8.7463556851312668E-3</c:v>
                </c:pt>
                <c:pt idx="73">
                  <c:v>-2.9411764705881728E-3</c:v>
                </c:pt>
                <c:pt idx="74">
                  <c:v>2.5073746312684355E-2</c:v>
                </c:pt>
                <c:pt idx="75">
                  <c:v>0</c:v>
                </c:pt>
                <c:pt idx="76">
                  <c:v>1.7266187050359726E-2</c:v>
                </c:pt>
                <c:pt idx="77">
                  <c:v>6.9306930693069202E-2</c:v>
                </c:pt>
                <c:pt idx="78">
                  <c:v>-1.9841269841269771E-2</c:v>
                </c:pt>
                <c:pt idx="79">
                  <c:v>2.6990553306342802E-2</c:v>
                </c:pt>
                <c:pt idx="80">
                  <c:v>-2.6281208935611646E-3</c:v>
                </c:pt>
                <c:pt idx="81">
                  <c:v>9.2226613965744782E-3</c:v>
                </c:pt>
                <c:pt idx="82">
                  <c:v>-1.3054830287205987E-3</c:v>
                </c:pt>
                <c:pt idx="83">
                  <c:v>-1.9607843137254947E-2</c:v>
                </c:pt>
                <c:pt idx="84">
                  <c:v>-4.000000000000033E-3</c:v>
                </c:pt>
                <c:pt idx="85">
                  <c:v>5.3547523427041549E-3</c:v>
                </c:pt>
                <c:pt idx="86">
                  <c:v>2.6631158455393427E-3</c:v>
                </c:pt>
                <c:pt idx="87">
                  <c:v>-1.3280212483400631E-3</c:v>
                </c:pt>
                <c:pt idx="88">
                  <c:v>0</c:v>
                </c:pt>
                <c:pt idx="89">
                  <c:v>2.6595744680851679E-3</c:v>
                </c:pt>
                <c:pt idx="90">
                  <c:v>-3.9787798408488393E-3</c:v>
                </c:pt>
                <c:pt idx="91">
                  <c:v>-6.6577896138481788E-3</c:v>
                </c:pt>
                <c:pt idx="92">
                  <c:v>6.7024128686326836E-3</c:v>
                </c:pt>
                <c:pt idx="93">
                  <c:v>1.3315579227696122E-3</c:v>
                </c:pt>
                <c:pt idx="94">
                  <c:v>6.6489361702128606E-3</c:v>
                </c:pt>
                <c:pt idx="95">
                  <c:v>-1.3210039630119782E-3</c:v>
                </c:pt>
                <c:pt idx="96">
                  <c:v>5.2910052910052959E-3</c:v>
                </c:pt>
                <c:pt idx="97">
                  <c:v>-3.9473684210525476E-3</c:v>
                </c:pt>
                <c:pt idx="98">
                  <c:v>1.8494055482166403E-2</c:v>
                </c:pt>
                <c:pt idx="99">
                  <c:v>2.0752269779507154E-2</c:v>
                </c:pt>
                <c:pt idx="100">
                  <c:v>1.1435832274459956E-2</c:v>
                </c:pt>
                <c:pt idx="101">
                  <c:v>-1.256281407035149E-3</c:v>
                </c:pt>
                <c:pt idx="102">
                  <c:v>-1.3836477987421424E-2</c:v>
                </c:pt>
                <c:pt idx="103">
                  <c:v>2.9336734693877604E-2</c:v>
                </c:pt>
                <c:pt idx="104">
                  <c:v>4.9566294919453713E-3</c:v>
                </c:pt>
                <c:pt idx="105">
                  <c:v>1.2330456226880132E-3</c:v>
                </c:pt>
                <c:pt idx="106">
                  <c:v>-8.6206896551722315E-3</c:v>
                </c:pt>
                <c:pt idx="107">
                  <c:v>-1.863354037267085E-2</c:v>
                </c:pt>
                <c:pt idx="108">
                  <c:v>2.531645569620199E-3</c:v>
                </c:pt>
                <c:pt idx="109">
                  <c:v>2.5252525252525836E-3</c:v>
                </c:pt>
                <c:pt idx="110">
                  <c:v>-5.0377833753148657E-3</c:v>
                </c:pt>
                <c:pt idx="111">
                  <c:v>-2.5316455696203113E-3</c:v>
                </c:pt>
                <c:pt idx="112">
                  <c:v>8.883248730964504E-3</c:v>
                </c:pt>
                <c:pt idx="113">
                  <c:v>2.8930817610062835E-2</c:v>
                </c:pt>
                <c:pt idx="114">
                  <c:v>0</c:v>
                </c:pt>
                <c:pt idx="115">
                  <c:v>-3.667481662591609E-3</c:v>
                </c:pt>
                <c:pt idx="116">
                  <c:v>2.0858895705521463E-2</c:v>
                </c:pt>
                <c:pt idx="117">
                  <c:v>4.8076923076922047E-3</c:v>
                </c:pt>
                <c:pt idx="118">
                  <c:v>-4.7846889952152093E-3</c:v>
                </c:pt>
                <c:pt idx="119">
                  <c:v>-2.4038461538461024E-3</c:v>
                </c:pt>
                <c:pt idx="120">
                  <c:v>1.204819277108408E-3</c:v>
                </c:pt>
                <c:pt idx="121">
                  <c:v>-3.6101083032492342E-3</c:v>
                </c:pt>
                <c:pt idx="122">
                  <c:v>-1.8115942028985338E-2</c:v>
                </c:pt>
                <c:pt idx="123">
                  <c:v>2.4600246002459496E-3</c:v>
                </c:pt>
                <c:pt idx="124">
                  <c:v>-2.4539877300613518E-2</c:v>
                </c:pt>
                <c:pt idx="125">
                  <c:v>0</c:v>
                </c:pt>
                <c:pt idx="126">
                  <c:v>1.0062893081760903E-2</c:v>
                </c:pt>
                <c:pt idx="127">
                  <c:v>4.9813200498133158E-3</c:v>
                </c:pt>
                <c:pt idx="128">
                  <c:v>0</c:v>
                </c:pt>
                <c:pt idx="129">
                  <c:v>0</c:v>
                </c:pt>
                <c:pt idx="130">
                  <c:v>-1.2391573729863428E-3</c:v>
                </c:pt>
                <c:pt idx="131">
                  <c:v>1.1166253101736955E-2</c:v>
                </c:pt>
                <c:pt idx="132">
                  <c:v>2.5766871165644058E-2</c:v>
                </c:pt>
                <c:pt idx="133">
                  <c:v>-4.7846889952152093E-3</c:v>
                </c:pt>
                <c:pt idx="134">
                  <c:v>4.5673076923076802E-2</c:v>
                </c:pt>
                <c:pt idx="135">
                  <c:v>-2.4137931034482654E-2</c:v>
                </c:pt>
                <c:pt idx="136">
                  <c:v>-2.4734982332155576E-2</c:v>
                </c:pt>
                <c:pt idx="137">
                  <c:v>1.4492753623188527E-2</c:v>
                </c:pt>
                <c:pt idx="138">
                  <c:v>5.9523809523808254E-3</c:v>
                </c:pt>
                <c:pt idx="139">
                  <c:v>2.3668639053254566E-2</c:v>
                </c:pt>
                <c:pt idx="140">
                  <c:v>-3.352601156069375E-2</c:v>
                </c:pt>
                <c:pt idx="141">
                  <c:v>1.0765550239234433E-2</c:v>
                </c:pt>
                <c:pt idx="142">
                  <c:v>0</c:v>
                </c:pt>
                <c:pt idx="143">
                  <c:v>-1.5384615384615268E-2</c:v>
                </c:pt>
                <c:pt idx="144">
                  <c:v>0</c:v>
                </c:pt>
                <c:pt idx="145">
                  <c:v>-6.00961538461547E-3</c:v>
                </c:pt>
                <c:pt idx="146">
                  <c:v>3.6275695284160988E-3</c:v>
                </c:pt>
                <c:pt idx="147">
                  <c:v>0</c:v>
                </c:pt>
                <c:pt idx="148">
                  <c:v>1.2048192771084293E-2</c:v>
                </c:pt>
                <c:pt idx="149">
                  <c:v>-4.7619047619048716E-3</c:v>
                </c:pt>
                <c:pt idx="150">
                  <c:v>-4.7846889952152093E-3</c:v>
                </c:pt>
                <c:pt idx="151">
                  <c:v>0</c:v>
                </c:pt>
                <c:pt idx="152">
                  <c:v>-3.6057692307693671E-3</c:v>
                </c:pt>
                <c:pt idx="153">
                  <c:v>-1.2062726176115546E-3</c:v>
                </c:pt>
                <c:pt idx="154">
                  <c:v>0</c:v>
                </c:pt>
                <c:pt idx="155">
                  <c:v>-4.8309178743960327E-3</c:v>
                </c:pt>
                <c:pt idx="156">
                  <c:v>-3.6407766990290487E-3</c:v>
                </c:pt>
                <c:pt idx="157">
                  <c:v>-7.3081607795372093E-3</c:v>
                </c:pt>
                <c:pt idx="158">
                  <c:v>6.1349693251532434E-3</c:v>
                </c:pt>
                <c:pt idx="159">
                  <c:v>-1.2195121951219254E-3</c:v>
                </c:pt>
                <c:pt idx="160">
                  <c:v>1.2210012210012167E-2</c:v>
                </c:pt>
                <c:pt idx="161">
                  <c:v>2.5331724969843289E-2</c:v>
                </c:pt>
                <c:pt idx="162">
                  <c:v>6.5882352941176531E-2</c:v>
                </c:pt>
                <c:pt idx="163">
                  <c:v>6.6225165562913871E-2</c:v>
                </c:pt>
                <c:pt idx="164">
                  <c:v>2.2774327122153274E-2</c:v>
                </c:pt>
                <c:pt idx="165">
                  <c:v>3.846153846153836E-2</c:v>
                </c:pt>
                <c:pt idx="166">
                  <c:v>-2.534113060428848E-2</c:v>
                </c:pt>
                <c:pt idx="167">
                  <c:v>5.0000000000000712E-3</c:v>
                </c:pt>
                <c:pt idx="168">
                  <c:v>3.9800995024874769E-3</c:v>
                </c:pt>
                <c:pt idx="169">
                  <c:v>-1.2884043607532111E-2</c:v>
                </c:pt>
                <c:pt idx="170">
                  <c:v>-1.7068273092369649E-2</c:v>
                </c:pt>
                <c:pt idx="171">
                  <c:v>-9.1930541368743478E-3</c:v>
                </c:pt>
                <c:pt idx="172">
                  <c:v>1.8556701030927991E-2</c:v>
                </c:pt>
                <c:pt idx="173">
                  <c:v>1.2145748987854171E-2</c:v>
                </c:pt>
                <c:pt idx="174">
                  <c:v>2.5999999999999978E-2</c:v>
                </c:pt>
                <c:pt idx="175">
                  <c:v>-3.898635477582763E-3</c:v>
                </c:pt>
                <c:pt idx="176">
                  <c:v>-3.326810176125243E-2</c:v>
                </c:pt>
                <c:pt idx="177">
                  <c:v>0</c:v>
                </c:pt>
                <c:pt idx="178">
                  <c:v>-2.6315789473684365E-2</c:v>
                </c:pt>
                <c:pt idx="179">
                  <c:v>-9.3555093555093422E-3</c:v>
                </c:pt>
                <c:pt idx="180">
                  <c:v>0</c:v>
                </c:pt>
                <c:pt idx="181">
                  <c:v>3.672612801678924E-2</c:v>
                </c:pt>
                <c:pt idx="182">
                  <c:v>4.0485829959513303E-3</c:v>
                </c:pt>
                <c:pt idx="183">
                  <c:v>-1.713709677419354E-2</c:v>
                </c:pt>
                <c:pt idx="184">
                  <c:v>8.2051282051282121E-3</c:v>
                </c:pt>
                <c:pt idx="185">
                  <c:v>-1.7293997965411995E-2</c:v>
                </c:pt>
                <c:pt idx="186">
                  <c:v>4.1407867494823135E-3</c:v>
                </c:pt>
                <c:pt idx="187">
                  <c:v>-1.3402061855670002E-2</c:v>
                </c:pt>
                <c:pt idx="188">
                  <c:v>-1.253918495297816E-2</c:v>
                </c:pt>
                <c:pt idx="189">
                  <c:v>0</c:v>
                </c:pt>
                <c:pt idx="190">
                  <c:v>-9.5238095238095091E-3</c:v>
                </c:pt>
                <c:pt idx="191">
                  <c:v>-4.2735042735041829E-3</c:v>
                </c:pt>
                <c:pt idx="192">
                  <c:v>-5.5793991416308968E-2</c:v>
                </c:pt>
                <c:pt idx="193">
                  <c:v>-1.4772727272727361E-2</c:v>
                </c:pt>
                <c:pt idx="194">
                  <c:v>-4.6136101499423342E-2</c:v>
                </c:pt>
                <c:pt idx="195">
                  <c:v>1.813784764207985E-2</c:v>
                </c:pt>
                <c:pt idx="196">
                  <c:v>-1.0688836104513048E-2</c:v>
                </c:pt>
                <c:pt idx="197">
                  <c:v>-1.6806722689075699E-2</c:v>
                </c:pt>
                <c:pt idx="198">
                  <c:v>-1.2210012210012167E-2</c:v>
                </c:pt>
                <c:pt idx="199">
                  <c:v>-4.9443757725586091E-3</c:v>
                </c:pt>
                <c:pt idx="200">
                  <c:v>7.4534161490681632E-3</c:v>
                </c:pt>
                <c:pt idx="201">
                  <c:v>8.6313193588163119E-3</c:v>
                </c:pt>
                <c:pt idx="202">
                  <c:v>5.5012224938875441E-2</c:v>
                </c:pt>
                <c:pt idx="203">
                  <c:v>-4.6349942062573488E-3</c:v>
                </c:pt>
                <c:pt idx="204">
                  <c:v>0</c:v>
                </c:pt>
                <c:pt idx="205">
                  <c:v>-1.9790454016298014E-2</c:v>
                </c:pt>
                <c:pt idx="206">
                  <c:v>0</c:v>
                </c:pt>
                <c:pt idx="207">
                  <c:v>-3.6817102137767281E-2</c:v>
                </c:pt>
                <c:pt idx="208">
                  <c:v>6.165228113440285E-3</c:v>
                </c:pt>
                <c:pt idx="209">
                  <c:v>6.1274509803922435E-3</c:v>
                </c:pt>
                <c:pt idx="210">
                  <c:v>1.7052375152253201E-2</c:v>
                </c:pt>
                <c:pt idx="211">
                  <c:v>1.796407185628747E-2</c:v>
                </c:pt>
                <c:pt idx="212">
                  <c:v>-5.8823529411765538E-3</c:v>
                </c:pt>
                <c:pt idx="213">
                  <c:v>-2.8402366863905144E-2</c:v>
                </c:pt>
                <c:pt idx="214">
                  <c:v>7.3081607795369933E-3</c:v>
                </c:pt>
                <c:pt idx="215">
                  <c:v>2.4183796856105896E-3</c:v>
                </c:pt>
                <c:pt idx="216">
                  <c:v>8.4439083232810963E-3</c:v>
                </c:pt>
                <c:pt idx="217">
                  <c:v>1.6746411483253659E-2</c:v>
                </c:pt>
                <c:pt idx="218">
                  <c:v>7.0588235294118231E-3</c:v>
                </c:pt>
                <c:pt idx="219">
                  <c:v>-3.5046728971963943E-3</c:v>
                </c:pt>
                <c:pt idx="220">
                  <c:v>2.3446658851115302E-3</c:v>
                </c:pt>
                <c:pt idx="221">
                  <c:v>-1.1695906432750366E-3</c:v>
                </c:pt>
                <c:pt idx="222">
                  <c:v>2.1077283372365516E-2</c:v>
                </c:pt>
                <c:pt idx="223">
                  <c:v>-1.0321100917431176E-2</c:v>
                </c:pt>
                <c:pt idx="224">
                  <c:v>4.6349942062571432E-3</c:v>
                </c:pt>
                <c:pt idx="225">
                  <c:v>-1.38408304498269E-2</c:v>
                </c:pt>
                <c:pt idx="226">
                  <c:v>-8.1871345029240084E-3</c:v>
                </c:pt>
                <c:pt idx="227">
                  <c:v>8.2547169811321083E-3</c:v>
                </c:pt>
                <c:pt idx="228">
                  <c:v>-5.8479532163743519E-3</c:v>
                </c:pt>
                <c:pt idx="229">
                  <c:v>0</c:v>
                </c:pt>
                <c:pt idx="230">
                  <c:v>2.3529411764705382E-3</c:v>
                </c:pt>
                <c:pt idx="231">
                  <c:v>0</c:v>
                </c:pt>
                <c:pt idx="232">
                  <c:v>8.2159624413145876E-3</c:v>
                </c:pt>
                <c:pt idx="233">
                  <c:v>0</c:v>
                </c:pt>
                <c:pt idx="234">
                  <c:v>0</c:v>
                </c:pt>
                <c:pt idx="235">
                  <c:v>1.5133876600698579E-2</c:v>
                </c:pt>
                <c:pt idx="236">
                  <c:v>1.3761467889908166E-2</c:v>
                </c:pt>
                <c:pt idx="237">
                  <c:v>1.4705882352941265E-2</c:v>
                </c:pt>
                <c:pt idx="238">
                  <c:v>-4.4593088071349964E-3</c:v>
                </c:pt>
                <c:pt idx="239">
                  <c:v>4.4792833146697561E-3</c:v>
                </c:pt>
                <c:pt idx="240">
                  <c:v>-4.4593088071349964E-3</c:v>
                </c:pt>
                <c:pt idx="241">
                  <c:v>1.9036954087346018E-2</c:v>
                </c:pt>
                <c:pt idx="242">
                  <c:v>1.4285714285714372E-2</c:v>
                </c:pt>
                <c:pt idx="243">
                  <c:v>4.3336944745394528E-3</c:v>
                </c:pt>
                <c:pt idx="244">
                  <c:v>0</c:v>
                </c:pt>
                <c:pt idx="245">
                  <c:v>-1.8338727076591146E-2</c:v>
                </c:pt>
                <c:pt idx="246">
                  <c:v>9.8901098901098741E-3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09-4E79-B811-C2C5C1C15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389200"/>
        <c:axId val="1"/>
      </c:scatterChart>
      <c:valAx>
        <c:axId val="330389200"/>
        <c:scaling>
          <c:orientation val="minMax"/>
          <c:max val="0.08"/>
          <c:min val="-0.08"/>
        </c:scaling>
        <c:delete val="0"/>
        <c:axPos val="b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市場報酬率</a:t>
                </a:r>
                <a:r>
                  <a:rPr lang="en-US" altLang="zh-TW"/>
                  <a:t>(</a:t>
                </a:r>
                <a:r>
                  <a:rPr lang="zh-TW" altLang="en-US"/>
                  <a:t>每日</a:t>
                </a:r>
                <a:r>
                  <a:rPr lang="en-US" altLang="zh-TW"/>
                  <a:t>)</a:t>
                </a:r>
              </a:p>
            </c:rich>
          </c:tx>
          <c:layout>
            <c:manualLayout>
              <c:xMode val="edge"/>
              <c:yMode val="edge"/>
              <c:x val="0.40516549198930824"/>
              <c:y val="0.89870907248975374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crossBetween val="midCat"/>
        <c:majorUnit val="0.02"/>
      </c:valAx>
      <c:valAx>
        <c:axId val="1"/>
        <c:scaling>
          <c:orientation val="minMax"/>
          <c:min val="-0.08"/>
        </c:scaling>
        <c:delete val="0"/>
        <c:axPos val="l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個股報酬率</a:t>
                </a:r>
                <a:r>
                  <a:rPr lang="en-US" altLang="zh-TW"/>
                  <a:t>(</a:t>
                </a:r>
                <a:r>
                  <a:rPr lang="zh-TW" altLang="en-US"/>
                  <a:t>每日</a:t>
                </a:r>
                <a:r>
                  <a:rPr lang="en-US" altLang="zh-TW"/>
                  <a:t>)</a:t>
                </a:r>
              </a:p>
            </c:rich>
          </c:tx>
          <c:layout>
            <c:manualLayout>
              <c:xMode val="edge"/>
              <c:yMode val="edge"/>
              <c:x val="4.4497944206918251E-2"/>
              <c:y val="0.3480294937582869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33038920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54581500188682"/>
          <c:y val="7.0486986077627739E-2"/>
          <c:w val="0.77520102802578628"/>
          <c:h val="0.79738403000316382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4387309093273968"/>
                  <c:y val="0.4356034242829584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00"/>
                      </a:solidFill>
                      <a:latin typeface="新細明體"/>
                      <a:ea typeface="新細明體"/>
                      <a:cs typeface="新細明體"/>
                    </a:defRPr>
                  </a:pPr>
                  <a:endParaRPr lang="zh-TW"/>
                </a:p>
              </c:txPr>
            </c:trendlineLbl>
          </c:trendline>
          <c:xVal>
            <c:numRef>
              <c:f>beta!$F$252:$F$498</c:f>
              <c:numCache>
                <c:formatCode>0.0000</c:formatCode>
                <c:ptCount val="247"/>
                <c:pt idx="0">
                  <c:v>5.5866012779151575E-4</c:v>
                </c:pt>
                <c:pt idx="1">
                  <c:v>-1.3455703290835903E-2</c:v>
                </c:pt>
                <c:pt idx="2">
                  <c:v>-1.1895136672793839E-2</c:v>
                </c:pt>
                <c:pt idx="3">
                  <c:v>-1.0436896851730938E-3</c:v>
                </c:pt>
                <c:pt idx="4">
                  <c:v>-7.711313046211061E-3</c:v>
                </c:pt>
                <c:pt idx="5">
                  <c:v>1.1556623242290809E-3</c:v>
                </c:pt>
                <c:pt idx="6">
                  <c:v>5.520920097259646E-3</c:v>
                </c:pt>
                <c:pt idx="7">
                  <c:v>-1.616223145225798E-2</c:v>
                </c:pt>
                <c:pt idx="8">
                  <c:v>-4.2761792661437379E-3</c:v>
                </c:pt>
                <c:pt idx="9">
                  <c:v>6.0779577515315906E-3</c:v>
                </c:pt>
                <c:pt idx="10">
                  <c:v>9.4659666662138837E-3</c:v>
                </c:pt>
                <c:pt idx="11">
                  <c:v>-1.967950992974369E-3</c:v>
                </c:pt>
                <c:pt idx="12">
                  <c:v>-6.4413161048069451E-3</c:v>
                </c:pt>
                <c:pt idx="13">
                  <c:v>-1.2297827949146361E-3</c:v>
                </c:pt>
                <c:pt idx="14">
                  <c:v>-6.6557972860516136E-3</c:v>
                </c:pt>
                <c:pt idx="15">
                  <c:v>-1.3238364071254352E-2</c:v>
                </c:pt>
                <c:pt idx="16">
                  <c:v>1.9527053719324051E-3</c:v>
                </c:pt>
                <c:pt idx="17">
                  <c:v>9.0994768924819325E-3</c:v>
                </c:pt>
                <c:pt idx="18">
                  <c:v>1.2664149831116669E-3</c:v>
                </c:pt>
                <c:pt idx="19">
                  <c:v>6.36171946135047E-3</c:v>
                </c:pt>
                <c:pt idx="20">
                  <c:v>1.9439006926953089E-2</c:v>
                </c:pt>
                <c:pt idx="21">
                  <c:v>-2.1170358828405986E-3</c:v>
                </c:pt>
                <c:pt idx="22">
                  <c:v>6.2107751515495403E-3</c:v>
                </c:pt>
                <c:pt idx="23">
                  <c:v>2.6434323748192323E-3</c:v>
                </c:pt>
                <c:pt idx="24">
                  <c:v>1.2892320949192865E-2</c:v>
                </c:pt>
                <c:pt idx="25">
                  <c:v>1.6343825665860695E-3</c:v>
                </c:pt>
                <c:pt idx="26">
                  <c:v>3.4463665333308484E-3</c:v>
                </c:pt>
                <c:pt idx="27">
                  <c:v>-1.1610664296678262E-2</c:v>
                </c:pt>
                <c:pt idx="28">
                  <c:v>7.1259650602092895E-3</c:v>
                </c:pt>
                <c:pt idx="29">
                  <c:v>4.4722938534165957E-3</c:v>
                </c:pt>
                <c:pt idx="30">
                  <c:v>-5.7970495443430622E-3</c:v>
                </c:pt>
                <c:pt idx="31">
                  <c:v>2.3496971592407551E-3</c:v>
                </c:pt>
                <c:pt idx="32">
                  <c:v>1.1141023798010474E-3</c:v>
                </c:pt>
                <c:pt idx="33">
                  <c:v>1.2970886080080377E-2</c:v>
                </c:pt>
                <c:pt idx="34">
                  <c:v>8.3539658785758749E-3</c:v>
                </c:pt>
                <c:pt idx="35">
                  <c:v>-5.5018699009055727E-3</c:v>
                </c:pt>
                <c:pt idx="36">
                  <c:v>-3.6737480422472817E-3</c:v>
                </c:pt>
                <c:pt idx="37">
                  <c:v>-1.4123610613990464E-3</c:v>
                </c:pt>
                <c:pt idx="38">
                  <c:v>4.3431789486601613E-3</c:v>
                </c:pt>
                <c:pt idx="39">
                  <c:v>-7.5845749229968371E-3</c:v>
                </c:pt>
                <c:pt idx="40">
                  <c:v>6.4697554322294898E-3</c:v>
                </c:pt>
                <c:pt idx="41">
                  <c:v>-3.3396209409522828E-3</c:v>
                </c:pt>
                <c:pt idx="42">
                  <c:v>1.889373164118675E-3</c:v>
                </c:pt>
                <c:pt idx="43">
                  <c:v>-7.8527069434884498E-3</c:v>
                </c:pt>
                <c:pt idx="44">
                  <c:v>-1.4950832668617329E-2</c:v>
                </c:pt>
                <c:pt idx="45">
                  <c:v>1.4645055314769918E-3</c:v>
                </c:pt>
                <c:pt idx="46">
                  <c:v>-6.5691098683212821E-3</c:v>
                </c:pt>
                <c:pt idx="47">
                  <c:v>1.9030347436455653E-3</c:v>
                </c:pt>
                <c:pt idx="48">
                  <c:v>2.4834752107479744E-3</c:v>
                </c:pt>
                <c:pt idx="49">
                  <c:v>-6.6298506674412894E-3</c:v>
                </c:pt>
                <c:pt idx="50">
                  <c:v>1.163024461727055E-4</c:v>
                </c:pt>
                <c:pt idx="51">
                  <c:v>-3.0716887975559028E-3</c:v>
                </c:pt>
                <c:pt idx="52">
                  <c:v>1.0816530578236937E-2</c:v>
                </c:pt>
                <c:pt idx="53">
                  <c:v>-2.8305728241929196E-3</c:v>
                </c:pt>
                <c:pt idx="54">
                  <c:v>-1.4465822634135374E-2</c:v>
                </c:pt>
                <c:pt idx="55">
                  <c:v>-5.468660882635523E-4</c:v>
                </c:pt>
                <c:pt idx="56">
                  <c:v>8.0396375952924565E-3</c:v>
                </c:pt>
                <c:pt idx="57">
                  <c:v>3.8079348904739838E-3</c:v>
                </c:pt>
                <c:pt idx="58">
                  <c:v>-1.4629898403482825E-3</c:v>
                </c:pt>
                <c:pt idx="59">
                  <c:v>-1.0697798811614935E-3</c:v>
                </c:pt>
                <c:pt idx="60">
                  <c:v>-6.9393979203423578E-3</c:v>
                </c:pt>
                <c:pt idx="61">
                  <c:v>8.7595616702612778E-3</c:v>
                </c:pt>
                <c:pt idx="62">
                  <c:v>-7.4119324642641336E-3</c:v>
                </c:pt>
                <c:pt idx="63">
                  <c:v>2.4199671540049462E-3</c:v>
                </c:pt>
                <c:pt idx="64">
                  <c:v>6.9904519435618601E-4</c:v>
                </c:pt>
                <c:pt idx="65">
                  <c:v>-3.5678083653435159E-3</c:v>
                </c:pt>
                <c:pt idx="66">
                  <c:v>-1.477576179417342E-2</c:v>
                </c:pt>
                <c:pt idx="67">
                  <c:v>-2.9415610771741593E-2</c:v>
                </c:pt>
                <c:pt idx="68">
                  <c:v>5.8073614736946144E-3</c:v>
                </c:pt>
                <c:pt idx="69">
                  <c:v>-9.6271103881983774E-3</c:v>
                </c:pt>
                <c:pt idx="70">
                  <c:v>5.0904530292410453E-3</c:v>
                </c:pt>
                <c:pt idx="71">
                  <c:v>4.3865857857144745E-3</c:v>
                </c:pt>
                <c:pt idx="72">
                  <c:v>1.9522923775337178E-3</c:v>
                </c:pt>
                <c:pt idx="73">
                  <c:v>8.1516972861828546E-3</c:v>
                </c:pt>
                <c:pt idx="74">
                  <c:v>-4.6475173334480967E-3</c:v>
                </c:pt>
                <c:pt idx="75">
                  <c:v>1.1075979488670484E-2</c:v>
                </c:pt>
                <c:pt idx="76">
                  <c:v>-4.1422255390457345E-3</c:v>
                </c:pt>
                <c:pt idx="77">
                  <c:v>2.5781745493014985E-5</c:v>
                </c:pt>
                <c:pt idx="78">
                  <c:v>-2.4990461000099621E-3</c:v>
                </c:pt>
                <c:pt idx="79">
                  <c:v>2.1334739337799415E-2</c:v>
                </c:pt>
                <c:pt idx="80">
                  <c:v>6.8258118937157379E-3</c:v>
                </c:pt>
                <c:pt idx="81">
                  <c:v>-1.8599320370774478E-4</c:v>
                </c:pt>
                <c:pt idx="82">
                  <c:v>-2.8574541005723592E-3</c:v>
                </c:pt>
                <c:pt idx="83">
                  <c:v>-5.4909408719620951E-3</c:v>
                </c:pt>
                <c:pt idx="84">
                  <c:v>2.9524448507976427E-3</c:v>
                </c:pt>
                <c:pt idx="85">
                  <c:v>7.8994371988001209E-3</c:v>
                </c:pt>
                <c:pt idx="86">
                  <c:v>-9.2953583394075473E-3</c:v>
                </c:pt>
                <c:pt idx="87">
                  <c:v>-5.3781041803073791E-3</c:v>
                </c:pt>
                <c:pt idx="88">
                  <c:v>-5.3953081179032461E-4</c:v>
                </c:pt>
                <c:pt idx="89">
                  <c:v>1.3560058599552205E-2</c:v>
                </c:pt>
                <c:pt idx="90">
                  <c:v>-2.6830979900213602E-3</c:v>
                </c:pt>
                <c:pt idx="91">
                  <c:v>-1.1627809340200714E-2</c:v>
                </c:pt>
                <c:pt idx="92">
                  <c:v>4.0183843206552678E-3</c:v>
                </c:pt>
                <c:pt idx="93">
                  <c:v>-3.4810715675823081E-3</c:v>
                </c:pt>
                <c:pt idx="94">
                  <c:v>8.642224799737851E-3</c:v>
                </c:pt>
                <c:pt idx="95">
                  <c:v>8.776951284805606E-3</c:v>
                </c:pt>
                <c:pt idx="96">
                  <c:v>2.9992239070024043E-3</c:v>
                </c:pt>
                <c:pt idx="97">
                  <c:v>3.3946138793114315E-4</c:v>
                </c:pt>
                <c:pt idx="98">
                  <c:v>-6.6438661512154091E-3</c:v>
                </c:pt>
                <c:pt idx="99">
                  <c:v>1.1363750540054403E-2</c:v>
                </c:pt>
                <c:pt idx="100">
                  <c:v>1.1337068754263655E-2</c:v>
                </c:pt>
                <c:pt idx="101">
                  <c:v>4.849417562357238E-3</c:v>
                </c:pt>
                <c:pt idx="102">
                  <c:v>-5.1779450173276634E-3</c:v>
                </c:pt>
                <c:pt idx="103">
                  <c:v>9.1503310791887522E-3</c:v>
                </c:pt>
                <c:pt idx="104">
                  <c:v>-2.5545064154789102E-3</c:v>
                </c:pt>
                <c:pt idx="105">
                  <c:v>7.5546053316672343E-3</c:v>
                </c:pt>
                <c:pt idx="106">
                  <c:v>6.2496467415439723E-3</c:v>
                </c:pt>
                <c:pt idx="107">
                  <c:v>-4.0587059965816298E-3</c:v>
                </c:pt>
                <c:pt idx="108">
                  <c:v>7.467256226473493E-3</c:v>
                </c:pt>
                <c:pt idx="109">
                  <c:v>4.8479710817164613E-3</c:v>
                </c:pt>
                <c:pt idx="110">
                  <c:v>1.7747966146750285E-3</c:v>
                </c:pt>
                <c:pt idx="111">
                  <c:v>5.2911229892142557E-4</c:v>
                </c:pt>
                <c:pt idx="112">
                  <c:v>-2.9268416631067543E-3</c:v>
                </c:pt>
                <c:pt idx="113">
                  <c:v>1.2641635050633418E-2</c:v>
                </c:pt>
                <c:pt idx="114">
                  <c:v>2.5213005066193569E-3</c:v>
                </c:pt>
                <c:pt idx="115">
                  <c:v>-5.2040678646848339E-3</c:v>
                </c:pt>
                <c:pt idx="116">
                  <c:v>-5.9457251497865094E-3</c:v>
                </c:pt>
                <c:pt idx="117">
                  <c:v>2.1973698197205395E-3</c:v>
                </c:pt>
                <c:pt idx="118">
                  <c:v>-1.3486173466480155E-2</c:v>
                </c:pt>
                <c:pt idx="119">
                  <c:v>1.6512480643168285E-3</c:v>
                </c:pt>
                <c:pt idx="120">
                  <c:v>4.8382393935220026E-3</c:v>
                </c:pt>
                <c:pt idx="121">
                  <c:v>-1.4986910368718003E-4</c:v>
                </c:pt>
                <c:pt idx="122">
                  <c:v>-6.2444189309860719E-3</c:v>
                </c:pt>
                <c:pt idx="123">
                  <c:v>-1.6030063991886736E-3</c:v>
                </c:pt>
                <c:pt idx="124">
                  <c:v>-1.5187920379938795E-3</c:v>
                </c:pt>
                <c:pt idx="125">
                  <c:v>-1.802787882690134E-3</c:v>
                </c:pt>
                <c:pt idx="126">
                  <c:v>1.5715806108298133E-2</c:v>
                </c:pt>
                <c:pt idx="127">
                  <c:v>9.5175952473940881E-3</c:v>
                </c:pt>
                <c:pt idx="128">
                  <c:v>2.8747517224134303E-3</c:v>
                </c:pt>
                <c:pt idx="129">
                  <c:v>6.4700357059411448E-3</c:v>
                </c:pt>
                <c:pt idx="130">
                  <c:v>-1.2090334743353381E-3</c:v>
                </c:pt>
                <c:pt idx="131">
                  <c:v>8.9695332254909456E-4</c:v>
                </c:pt>
                <c:pt idx="132">
                  <c:v>1.1642151132889239E-3</c:v>
                </c:pt>
                <c:pt idx="133">
                  <c:v>-4.6358780848126972E-3</c:v>
                </c:pt>
                <c:pt idx="134">
                  <c:v>-2.0800653109228737E-3</c:v>
                </c:pt>
                <c:pt idx="135">
                  <c:v>6.2249930650568599E-3</c:v>
                </c:pt>
                <c:pt idx="136">
                  <c:v>-8.4557935970220096E-3</c:v>
                </c:pt>
                <c:pt idx="137">
                  <c:v>-6.1120047249833267E-3</c:v>
                </c:pt>
                <c:pt idx="138">
                  <c:v>7.6478722983919284E-3</c:v>
                </c:pt>
                <c:pt idx="139">
                  <c:v>-9.9848799493071697E-3</c:v>
                </c:pt>
                <c:pt idx="140">
                  <c:v>-6.4163701405886466E-4</c:v>
                </c:pt>
                <c:pt idx="141">
                  <c:v>5.6452750743904373E-3</c:v>
                </c:pt>
                <c:pt idx="142">
                  <c:v>1.7660486100820636E-2</c:v>
                </c:pt>
                <c:pt idx="143">
                  <c:v>-1.4808916950787446E-3</c:v>
                </c:pt>
                <c:pt idx="144">
                  <c:v>-1.023578927119264E-2</c:v>
                </c:pt>
                <c:pt idx="145">
                  <c:v>-4.7021722467990502E-6</c:v>
                </c:pt>
                <c:pt idx="146">
                  <c:v>-3.6300940438871243E-3</c:v>
                </c:pt>
                <c:pt idx="147">
                  <c:v>-4.9238300790960742E-4</c:v>
                </c:pt>
                <c:pt idx="148">
                  <c:v>-4.4226129300839982E-4</c:v>
                </c:pt>
                <c:pt idx="149">
                  <c:v>-1.6654332456817071E-2</c:v>
                </c:pt>
                <c:pt idx="150">
                  <c:v>-4.3714061997115718E-4</c:v>
                </c:pt>
                <c:pt idx="151">
                  <c:v>-7.6893502498968905E-5</c:v>
                </c:pt>
                <c:pt idx="152">
                  <c:v>-5.9004280734132972E-3</c:v>
                </c:pt>
                <c:pt idx="153">
                  <c:v>-7.4374424867327538E-3</c:v>
                </c:pt>
                <c:pt idx="154">
                  <c:v>7.7464628653632021E-3</c:v>
                </c:pt>
                <c:pt idx="155">
                  <c:v>-1.8480178518201196E-3</c:v>
                </c:pt>
                <c:pt idx="156">
                  <c:v>-1.096659015557264E-2</c:v>
                </c:pt>
                <c:pt idx="157">
                  <c:v>-2.8691547907377427E-3</c:v>
                </c:pt>
                <c:pt idx="158">
                  <c:v>4.4012269095171138E-3</c:v>
                </c:pt>
                <c:pt idx="159">
                  <c:v>-1.4195272588017791E-2</c:v>
                </c:pt>
                <c:pt idx="160">
                  <c:v>-2.8630749292496015E-3</c:v>
                </c:pt>
                <c:pt idx="161">
                  <c:v>2.238019137550917E-4</c:v>
                </c:pt>
                <c:pt idx="162">
                  <c:v>1.3686982781053013E-2</c:v>
                </c:pt>
                <c:pt idx="163">
                  <c:v>-2.8237179225154203E-3</c:v>
                </c:pt>
                <c:pt idx="164">
                  <c:v>6.7816842056936935E-3</c:v>
                </c:pt>
                <c:pt idx="165">
                  <c:v>1.6286273602882019E-4</c:v>
                </c:pt>
                <c:pt idx="166">
                  <c:v>1.4231885285142141E-3</c:v>
                </c:pt>
                <c:pt idx="167">
                  <c:v>-5.0114798987947254E-3</c:v>
                </c:pt>
                <c:pt idx="168">
                  <c:v>7.5044206136235239E-3</c:v>
                </c:pt>
                <c:pt idx="169">
                  <c:v>6.6504676414203521E-4</c:v>
                </c:pt>
                <c:pt idx="170">
                  <c:v>-3.3035720074954629E-3</c:v>
                </c:pt>
                <c:pt idx="171">
                  <c:v>-1.075674532828068E-2</c:v>
                </c:pt>
                <c:pt idx="172">
                  <c:v>-8.4372369528620539E-3</c:v>
                </c:pt>
                <c:pt idx="173">
                  <c:v>7.2124471916228897E-4</c:v>
                </c:pt>
                <c:pt idx="174">
                  <c:v>1.1558107823758774E-2</c:v>
                </c:pt>
                <c:pt idx="175">
                  <c:v>-6.2256873070340299E-3</c:v>
                </c:pt>
                <c:pt idx="176">
                  <c:v>-1.570375156163982E-2</c:v>
                </c:pt>
                <c:pt idx="177">
                  <c:v>-7.7896069363001096E-3</c:v>
                </c:pt>
                <c:pt idx="178">
                  <c:v>7.864262160072929E-4</c:v>
                </c:pt>
                <c:pt idx="179">
                  <c:v>2.5041313952312511E-3</c:v>
                </c:pt>
                <c:pt idx="180">
                  <c:v>-2.299391931102358E-3</c:v>
                </c:pt>
                <c:pt idx="181">
                  <c:v>1.3253239549649435E-2</c:v>
                </c:pt>
                <c:pt idx="182">
                  <c:v>1.8073241386424917E-2</c:v>
                </c:pt>
                <c:pt idx="183">
                  <c:v>8.6784416722105189E-4</c:v>
                </c:pt>
                <c:pt idx="184">
                  <c:v>2.9719526055206171E-3</c:v>
                </c:pt>
                <c:pt idx="185">
                  <c:v>-1.1575807701574819E-3</c:v>
                </c:pt>
                <c:pt idx="186">
                  <c:v>-6.3895576372328356E-3</c:v>
                </c:pt>
                <c:pt idx="187">
                  <c:v>-2.2917380955115485E-3</c:v>
                </c:pt>
                <c:pt idx="188">
                  <c:v>-2.5074648461649762E-3</c:v>
                </c:pt>
                <c:pt idx="189">
                  <c:v>-1.3053461664625515E-2</c:v>
                </c:pt>
                <c:pt idx="190">
                  <c:v>-4.5579049336940854E-3</c:v>
                </c:pt>
                <c:pt idx="191">
                  <c:v>1.5033279587121776E-3</c:v>
                </c:pt>
                <c:pt idx="192">
                  <c:v>-2.3923324739029576E-2</c:v>
                </c:pt>
                <c:pt idx="193">
                  <c:v>7.7579652161666494E-4</c:v>
                </c:pt>
                <c:pt idx="194">
                  <c:v>-2.3432502285282115E-2</c:v>
                </c:pt>
                <c:pt idx="195">
                  <c:v>9.4553015721370922E-3</c:v>
                </c:pt>
                <c:pt idx="196">
                  <c:v>-1.6075156576200037E-3</c:v>
                </c:pt>
                <c:pt idx="197">
                  <c:v>-3.7429688643540542E-3</c:v>
                </c:pt>
                <c:pt idx="198">
                  <c:v>7.0488064254342186E-4</c:v>
                </c:pt>
                <c:pt idx="199">
                  <c:v>-3.5988261429637869E-3</c:v>
                </c:pt>
                <c:pt idx="200">
                  <c:v>-6.9359659832442149E-3</c:v>
                </c:pt>
                <c:pt idx="201">
                  <c:v>-4.9830600687489242E-3</c:v>
                </c:pt>
                <c:pt idx="202">
                  <c:v>2.3314521469136162E-2</c:v>
                </c:pt>
                <c:pt idx="203">
                  <c:v>5.9174574536369848E-3</c:v>
                </c:pt>
                <c:pt idx="204">
                  <c:v>1.2410298685329261E-2</c:v>
                </c:pt>
                <c:pt idx="205">
                  <c:v>-2.1054890918289089E-3</c:v>
                </c:pt>
                <c:pt idx="206">
                  <c:v>9.1720567223339596E-3</c:v>
                </c:pt>
                <c:pt idx="207">
                  <c:v>-8.6861059518854779E-3</c:v>
                </c:pt>
                <c:pt idx="208">
                  <c:v>-1.83605527959747E-3</c:v>
                </c:pt>
                <c:pt idx="209">
                  <c:v>2.0758577892960799E-2</c:v>
                </c:pt>
                <c:pt idx="210">
                  <c:v>2.8989827601798492E-3</c:v>
                </c:pt>
                <c:pt idx="211">
                  <c:v>1.4509791479150476E-2</c:v>
                </c:pt>
                <c:pt idx="212">
                  <c:v>1.3760727935923191E-3</c:v>
                </c:pt>
                <c:pt idx="213">
                  <c:v>-8.6921931350084514E-3</c:v>
                </c:pt>
                <c:pt idx="214">
                  <c:v>2.5635328334499643E-3</c:v>
                </c:pt>
                <c:pt idx="215">
                  <c:v>-4.1778307035824514E-3</c:v>
                </c:pt>
                <c:pt idx="216">
                  <c:v>1.4250266569671877E-2</c:v>
                </c:pt>
                <c:pt idx="217">
                  <c:v>-5.4366159358343552E-4</c:v>
                </c:pt>
                <c:pt idx="218">
                  <c:v>-7.2467567363872177E-3</c:v>
                </c:pt>
                <c:pt idx="219">
                  <c:v>1.061693064584554E-2</c:v>
                </c:pt>
                <c:pt idx="220">
                  <c:v>-1.8992344272575428E-3</c:v>
                </c:pt>
                <c:pt idx="221">
                  <c:v>2.6685689696639646E-3</c:v>
                </c:pt>
                <c:pt idx="222">
                  <c:v>1.2342939199112354E-2</c:v>
                </c:pt>
                <c:pt idx="223">
                  <c:v>-1.0369384123381635E-2</c:v>
                </c:pt>
                <c:pt idx="224">
                  <c:v>1.0417769496262736E-2</c:v>
                </c:pt>
                <c:pt idx="225">
                  <c:v>-3.8123824246753101E-3</c:v>
                </c:pt>
                <c:pt idx="226">
                  <c:v>7.9500697431316956E-3</c:v>
                </c:pt>
                <c:pt idx="227">
                  <c:v>1.9162138081057094E-2</c:v>
                </c:pt>
                <c:pt idx="228">
                  <c:v>3.4812414642637743E-4</c:v>
                </c:pt>
                <c:pt idx="229">
                  <c:v>-3.3068158198068819E-3</c:v>
                </c:pt>
                <c:pt idx="230">
                  <c:v>-1.2691325724541645E-2</c:v>
                </c:pt>
                <c:pt idx="231">
                  <c:v>2.4275146058929356E-3</c:v>
                </c:pt>
                <c:pt idx="232">
                  <c:v>3.0809212752783859E-4</c:v>
                </c:pt>
                <c:pt idx="233">
                  <c:v>-8.1547454714028117E-4</c:v>
                </c:pt>
                <c:pt idx="234">
                  <c:v>-4.1254204479027794E-3</c:v>
                </c:pt>
                <c:pt idx="235">
                  <c:v>3.7078912972006205E-3</c:v>
                </c:pt>
                <c:pt idx="236">
                  <c:v>1.4735230815199138E-2</c:v>
                </c:pt>
                <c:pt idx="237">
                  <c:v>1.2712004522343317E-2</c:v>
                </c:pt>
                <c:pt idx="238">
                  <c:v>-5.5664223452984367E-4</c:v>
                </c:pt>
                <c:pt idx="239">
                  <c:v>6.8530019415542669E-3</c:v>
                </c:pt>
                <c:pt idx="240">
                  <c:v>-8.4503908440966245E-3</c:v>
                </c:pt>
                <c:pt idx="241">
                  <c:v>1.4870971763385947E-2</c:v>
                </c:pt>
                <c:pt idx="242">
                  <c:v>3.3995482623763867E-3</c:v>
                </c:pt>
                <c:pt idx="243">
                  <c:v>-4.8662768544268444E-4</c:v>
                </c:pt>
                <c:pt idx="244">
                  <c:v>-1.1008039390103344E-3</c:v>
                </c:pt>
                <c:pt idx="245">
                  <c:v>7.8367359450677628E-3</c:v>
                </c:pt>
                <c:pt idx="246">
                  <c:v>-4.13502789889174E-3</c:v>
                </c:pt>
              </c:numCache>
            </c:numRef>
          </c:xVal>
          <c:yVal>
            <c:numRef>
              <c:f>beta!$I$252:$I$498</c:f>
              <c:numCache>
                <c:formatCode>0.0000</c:formatCode>
                <c:ptCount val="247"/>
                <c:pt idx="0">
                  <c:v>-4.819277108433803E-3</c:v>
                </c:pt>
                <c:pt idx="1">
                  <c:v>-9.6852300242130408E-3</c:v>
                </c:pt>
                <c:pt idx="2">
                  <c:v>-1.4669926650366783E-2</c:v>
                </c:pt>
                <c:pt idx="3">
                  <c:v>0</c:v>
                </c:pt>
                <c:pt idx="4">
                  <c:v>-5.45905707196027E-3</c:v>
                </c:pt>
                <c:pt idx="5">
                  <c:v>1.0479041916167707E-2</c:v>
                </c:pt>
                <c:pt idx="6">
                  <c:v>-1.0370370370370412E-2</c:v>
                </c:pt>
                <c:pt idx="7">
                  <c:v>-1.9960079840319292E-2</c:v>
                </c:pt>
                <c:pt idx="8">
                  <c:v>-2.5967413441955273E-2</c:v>
                </c:pt>
                <c:pt idx="9">
                  <c:v>5.2273915316257934E-3</c:v>
                </c:pt>
                <c:pt idx="10">
                  <c:v>2.132085283411337E-2</c:v>
                </c:pt>
                <c:pt idx="11">
                  <c:v>0</c:v>
                </c:pt>
                <c:pt idx="12">
                  <c:v>-1.0183299389002001E-2</c:v>
                </c:pt>
                <c:pt idx="13">
                  <c:v>0</c:v>
                </c:pt>
                <c:pt idx="14">
                  <c:v>5.1440329218105894E-3</c:v>
                </c:pt>
                <c:pt idx="15">
                  <c:v>-1.5864892528147326E-2</c:v>
                </c:pt>
                <c:pt idx="16">
                  <c:v>0</c:v>
                </c:pt>
                <c:pt idx="17">
                  <c:v>1.0920436817472743E-2</c:v>
                </c:pt>
                <c:pt idx="18">
                  <c:v>1.5432098765431952E-2</c:v>
                </c:pt>
                <c:pt idx="19">
                  <c:v>0</c:v>
                </c:pt>
                <c:pt idx="20">
                  <c:v>4.1033434650456044E-2</c:v>
                </c:pt>
                <c:pt idx="21">
                  <c:v>4.8661800486616965E-3</c:v>
                </c:pt>
                <c:pt idx="22">
                  <c:v>2.4697336561743419E-2</c:v>
                </c:pt>
                <c:pt idx="23">
                  <c:v>-2.410207939508514E-2</c:v>
                </c:pt>
                <c:pt idx="24">
                  <c:v>2.9539951573850025E-2</c:v>
                </c:pt>
                <c:pt idx="25">
                  <c:v>0</c:v>
                </c:pt>
                <c:pt idx="26">
                  <c:v>-9.4073377234244037E-3</c:v>
                </c:pt>
                <c:pt idx="27">
                  <c:v>-4.3209876543209888E-2</c:v>
                </c:pt>
                <c:pt idx="28">
                  <c:v>2.4813895781637719E-2</c:v>
                </c:pt>
                <c:pt idx="29">
                  <c:v>-4.8426150121064345E-3</c:v>
                </c:pt>
                <c:pt idx="30">
                  <c:v>-1.4598540145985436E-2</c:v>
                </c:pt>
                <c:pt idx="31">
                  <c:v>1.481481481481485E-2</c:v>
                </c:pt>
                <c:pt idx="32">
                  <c:v>-4.8661800486618691E-3</c:v>
                </c:pt>
                <c:pt idx="33">
                  <c:v>2.9828850855745694E-2</c:v>
                </c:pt>
                <c:pt idx="34">
                  <c:v>-1.9468186134852808E-2</c:v>
                </c:pt>
                <c:pt idx="35">
                  <c:v>4.8426150121066063E-3</c:v>
                </c:pt>
                <c:pt idx="36">
                  <c:v>-2.4096385542169015E-3</c:v>
                </c:pt>
                <c:pt idx="37">
                  <c:v>-1.9323671497584474E-2</c:v>
                </c:pt>
                <c:pt idx="38">
                  <c:v>0</c:v>
                </c:pt>
                <c:pt idx="39">
                  <c:v>4.9261083743841316E-3</c:v>
                </c:pt>
                <c:pt idx="40">
                  <c:v>0</c:v>
                </c:pt>
                <c:pt idx="41">
                  <c:v>-9.8039215686274161E-3</c:v>
                </c:pt>
                <c:pt idx="42">
                  <c:v>7.4257425742575312E-3</c:v>
                </c:pt>
                <c:pt idx="43">
                  <c:v>-9.8280098280099665E-3</c:v>
                </c:pt>
                <c:pt idx="44">
                  <c:v>-1.7866004962779129E-2</c:v>
                </c:pt>
                <c:pt idx="45">
                  <c:v>-2.5265285497726485E-3</c:v>
                </c:pt>
                <c:pt idx="46">
                  <c:v>-1.5197568389057607E-2</c:v>
                </c:pt>
                <c:pt idx="47">
                  <c:v>-1.5946502057613283E-2</c:v>
                </c:pt>
                <c:pt idx="48">
                  <c:v>5.2273915316257934E-3</c:v>
                </c:pt>
                <c:pt idx="49">
                  <c:v>-2.0800832033281442E-2</c:v>
                </c:pt>
                <c:pt idx="50">
                  <c:v>2.655337227827972E-3</c:v>
                </c:pt>
                <c:pt idx="51">
                  <c:v>1.3241525423728815E-2</c:v>
                </c:pt>
                <c:pt idx="52">
                  <c:v>7.8410872974386901E-3</c:v>
                </c:pt>
                <c:pt idx="53">
                  <c:v>-7.7800829875519775E-3</c:v>
                </c:pt>
                <c:pt idx="54">
                  <c:v>-1.5682174594877193E-2</c:v>
                </c:pt>
                <c:pt idx="55">
                  <c:v>0</c:v>
                </c:pt>
                <c:pt idx="56">
                  <c:v>2.3898035050451561E-2</c:v>
                </c:pt>
                <c:pt idx="57">
                  <c:v>5.7053941908713395E-3</c:v>
                </c:pt>
                <c:pt idx="58">
                  <c:v>-8.25167612171223E-3</c:v>
                </c:pt>
                <c:pt idx="59">
                  <c:v>-7.8003120124806096E-3</c:v>
                </c:pt>
                <c:pt idx="60">
                  <c:v>-1.5723270440251423E-2</c:v>
                </c:pt>
                <c:pt idx="61">
                  <c:v>1.5974440894568537E-2</c:v>
                </c:pt>
                <c:pt idx="62">
                  <c:v>-1.3102725366876311E-2</c:v>
                </c:pt>
                <c:pt idx="63">
                  <c:v>5.310674455655944E-3</c:v>
                </c:pt>
                <c:pt idx="64">
                  <c:v>7.9239302694135549E-3</c:v>
                </c:pt>
                <c:pt idx="65">
                  <c:v>-7.8616352201257116E-3</c:v>
                </c:pt>
                <c:pt idx="66">
                  <c:v>-1.8489170628631878E-2</c:v>
                </c:pt>
                <c:pt idx="67">
                  <c:v>-2.7448869752421855E-2</c:v>
                </c:pt>
                <c:pt idx="68">
                  <c:v>0</c:v>
                </c:pt>
                <c:pt idx="69">
                  <c:v>0</c:v>
                </c:pt>
                <c:pt idx="70">
                  <c:v>1.9369120088544627E-2</c:v>
                </c:pt>
                <c:pt idx="71">
                  <c:v>0</c:v>
                </c:pt>
                <c:pt idx="72">
                  <c:v>0</c:v>
                </c:pt>
                <c:pt idx="73">
                  <c:v>1.1400651465797898E-2</c:v>
                </c:pt>
                <c:pt idx="74">
                  <c:v>2.6838432635534469E-3</c:v>
                </c:pt>
                <c:pt idx="75">
                  <c:v>0</c:v>
                </c:pt>
                <c:pt idx="76">
                  <c:v>-2.6766595289079609E-3</c:v>
                </c:pt>
                <c:pt idx="77">
                  <c:v>0</c:v>
                </c:pt>
                <c:pt idx="78">
                  <c:v>5.3676865271068937E-3</c:v>
                </c:pt>
                <c:pt idx="79">
                  <c:v>3.2568072610784808E-2</c:v>
                </c:pt>
                <c:pt idx="80">
                  <c:v>2.3267838676318476E-2</c:v>
                </c:pt>
                <c:pt idx="81">
                  <c:v>0</c:v>
                </c:pt>
                <c:pt idx="82">
                  <c:v>-7.579585649317766E-3</c:v>
                </c:pt>
                <c:pt idx="83">
                  <c:v>-1.2729124236252545E-2</c:v>
                </c:pt>
                <c:pt idx="84">
                  <c:v>1.5471892728210455E-2</c:v>
                </c:pt>
                <c:pt idx="85">
                  <c:v>7.618080243778495E-3</c:v>
                </c:pt>
                <c:pt idx="86">
                  <c:v>1.5624999999999936E-2</c:v>
                </c:pt>
                <c:pt idx="87">
                  <c:v>1.7369727047146472E-2</c:v>
                </c:pt>
                <c:pt idx="88">
                  <c:v>-7.3170731707316384E-3</c:v>
                </c:pt>
                <c:pt idx="89">
                  <c:v>1.4742014742014602E-2</c:v>
                </c:pt>
                <c:pt idx="90">
                  <c:v>4.8426150121066063E-3</c:v>
                </c:pt>
                <c:pt idx="91">
                  <c:v>-1.6867469879518142E-2</c:v>
                </c:pt>
                <c:pt idx="92">
                  <c:v>2.9901960784313873E-2</c:v>
                </c:pt>
                <c:pt idx="93">
                  <c:v>7.1394574012374375E-3</c:v>
                </c:pt>
                <c:pt idx="94">
                  <c:v>4.7258979206049817E-3</c:v>
                </c:pt>
                <c:pt idx="95">
                  <c:v>1.8814675446848474E-2</c:v>
                </c:pt>
                <c:pt idx="96">
                  <c:v>9.695290858725801E-3</c:v>
                </c:pt>
                <c:pt idx="97">
                  <c:v>-1.8747142203932334E-2</c:v>
                </c:pt>
                <c:pt idx="98">
                  <c:v>-2.3299161230196045E-3</c:v>
                </c:pt>
                <c:pt idx="99">
                  <c:v>1.6814572629612303E-2</c:v>
                </c:pt>
                <c:pt idx="100">
                  <c:v>3.2154340836012832E-2</c:v>
                </c:pt>
                <c:pt idx="101">
                  <c:v>9.3457943925234037E-3</c:v>
                </c:pt>
                <c:pt idx="102">
                  <c:v>1.322751322751326E-2</c:v>
                </c:pt>
                <c:pt idx="103">
                  <c:v>2.2193211488250566E-2</c:v>
                </c:pt>
                <c:pt idx="104">
                  <c:v>4.2571306939123638E-3</c:v>
                </c:pt>
                <c:pt idx="105">
                  <c:v>4.2390843577787803E-3</c:v>
                </c:pt>
                <c:pt idx="106">
                  <c:v>4.2211903756858536E-3</c:v>
                </c:pt>
                <c:pt idx="107">
                  <c:v>-1.4712063892391672E-2</c:v>
                </c:pt>
                <c:pt idx="108">
                  <c:v>-2.3890784982935249E-2</c:v>
                </c:pt>
                <c:pt idx="109">
                  <c:v>2.8846153846153855E-2</c:v>
                </c:pt>
                <c:pt idx="110">
                  <c:v>2.5488530161427419E-2</c:v>
                </c:pt>
                <c:pt idx="111">
                  <c:v>2.734051367025684E-2</c:v>
                </c:pt>
                <c:pt idx="112">
                  <c:v>-1.0080645161290322E-2</c:v>
                </c:pt>
                <c:pt idx="113">
                  <c:v>1.2219959266802473E-2</c:v>
                </c:pt>
                <c:pt idx="114">
                  <c:v>-1.2072434607645902E-2</c:v>
                </c:pt>
                <c:pt idx="115">
                  <c:v>-1.4663951120162909E-2</c:v>
                </c:pt>
                <c:pt idx="116">
                  <c:v>-2.893757751136845E-2</c:v>
                </c:pt>
                <c:pt idx="117">
                  <c:v>8.5142613878247276E-3</c:v>
                </c:pt>
                <c:pt idx="118">
                  <c:v>-1.7306880540312375E-2</c:v>
                </c:pt>
                <c:pt idx="119">
                  <c:v>0</c:v>
                </c:pt>
                <c:pt idx="120">
                  <c:v>1.9759450171821191E-2</c:v>
                </c:pt>
                <c:pt idx="121">
                  <c:v>2.106149957877031E-3</c:v>
                </c:pt>
                <c:pt idx="122">
                  <c:v>-1.7234131988230355E-2</c:v>
                </c:pt>
                <c:pt idx="123">
                  <c:v>4.7048759623609685E-3</c:v>
                </c:pt>
                <c:pt idx="124">
                  <c:v>1.7028522775649306E-2</c:v>
                </c:pt>
                <c:pt idx="125">
                  <c:v>0</c:v>
                </c:pt>
                <c:pt idx="126">
                  <c:v>2.7626622017580583E-2</c:v>
                </c:pt>
                <c:pt idx="127">
                  <c:v>2.4847250509164944E-2</c:v>
                </c:pt>
                <c:pt idx="128">
                  <c:v>-1.987281399046133E-3</c:v>
                </c:pt>
                <c:pt idx="129">
                  <c:v>1.5929908403026768E-2</c:v>
                </c:pt>
                <c:pt idx="130">
                  <c:v>-2.5872206977655826E-2</c:v>
                </c:pt>
                <c:pt idx="131">
                  <c:v>-1.4084507042253577E-2</c:v>
                </c:pt>
                <c:pt idx="132">
                  <c:v>4.0816326530612821E-3</c:v>
                </c:pt>
                <c:pt idx="133">
                  <c:v>-2.0325203252032809E-3</c:v>
                </c:pt>
                <c:pt idx="134">
                  <c:v>-1.8737270875763781E-2</c:v>
                </c:pt>
                <c:pt idx="135">
                  <c:v>-1.03777501037775E-2</c:v>
                </c:pt>
                <c:pt idx="136">
                  <c:v>-1.2583892617449695E-2</c:v>
                </c:pt>
                <c:pt idx="137">
                  <c:v>-3.2285471537807905E-2</c:v>
                </c:pt>
                <c:pt idx="138">
                  <c:v>1.0974539069359086E-2</c:v>
                </c:pt>
                <c:pt idx="139">
                  <c:v>-8.6843247937474083E-3</c:v>
                </c:pt>
                <c:pt idx="140">
                  <c:v>2.1901007446342843E-3</c:v>
                </c:pt>
                <c:pt idx="141">
                  <c:v>5.0262237762237857E-2</c:v>
                </c:pt>
                <c:pt idx="142">
                  <c:v>4.7024552642530124E-2</c:v>
                </c:pt>
                <c:pt idx="143">
                  <c:v>-6.7567567567568248E-3</c:v>
                </c:pt>
                <c:pt idx="144">
                  <c:v>-1.1204481792716992E-2</c:v>
                </c:pt>
                <c:pt idx="145">
                  <c:v>-1.8615944961554061E-2</c:v>
                </c:pt>
                <c:pt idx="146">
                  <c:v>4.2061855670103072E-2</c:v>
                </c:pt>
                <c:pt idx="147">
                  <c:v>1.7807677087455454E-2</c:v>
                </c:pt>
                <c:pt idx="148">
                  <c:v>-8.5536547433903137E-3</c:v>
                </c:pt>
                <c:pt idx="149">
                  <c:v>-2.6666666666666655E-2</c:v>
                </c:pt>
                <c:pt idx="150">
                  <c:v>-4.4319097502014274E-3</c:v>
                </c:pt>
                <c:pt idx="151">
                  <c:v>-6.8798057466613396E-3</c:v>
                </c:pt>
                <c:pt idx="152">
                  <c:v>-2.3227383863080698E-2</c:v>
                </c:pt>
                <c:pt idx="153">
                  <c:v>-2.0859407592824366E-2</c:v>
                </c:pt>
                <c:pt idx="154">
                  <c:v>1.406050276949305E-2</c:v>
                </c:pt>
                <c:pt idx="155">
                  <c:v>9.6638655462185051E-3</c:v>
                </c:pt>
                <c:pt idx="156">
                  <c:v>-3.0378693300041632E-2</c:v>
                </c:pt>
                <c:pt idx="157">
                  <c:v>-1.4592274678111581E-2</c:v>
                </c:pt>
                <c:pt idx="158">
                  <c:v>9.5818815331009961E-3</c:v>
                </c:pt>
                <c:pt idx="159">
                  <c:v>-4.1415012942191583E-2</c:v>
                </c:pt>
                <c:pt idx="160">
                  <c:v>-4.9504950495049254E-3</c:v>
                </c:pt>
                <c:pt idx="161">
                  <c:v>0</c:v>
                </c:pt>
                <c:pt idx="162">
                  <c:v>4.6132971506105819E-2</c:v>
                </c:pt>
                <c:pt idx="163">
                  <c:v>-2.9399048854301762E-2</c:v>
                </c:pt>
                <c:pt idx="164">
                  <c:v>1.5144766146993312E-2</c:v>
                </c:pt>
                <c:pt idx="165">
                  <c:v>9.6533567354103733E-3</c:v>
                </c:pt>
                <c:pt idx="166">
                  <c:v>9.9956540634505379E-3</c:v>
                </c:pt>
                <c:pt idx="167">
                  <c:v>-9.8967297762477154E-3</c:v>
                </c:pt>
                <c:pt idx="168">
                  <c:v>1.7383746197305455E-2</c:v>
                </c:pt>
                <c:pt idx="169">
                  <c:v>2.5630072618538541E-3</c:v>
                </c:pt>
                <c:pt idx="170">
                  <c:v>-9.7997443544951181E-3</c:v>
                </c:pt>
                <c:pt idx="171">
                  <c:v>-4.7332185886402511E-3</c:v>
                </c:pt>
                <c:pt idx="172">
                  <c:v>0</c:v>
                </c:pt>
                <c:pt idx="173">
                  <c:v>2.4210981409425087E-2</c:v>
                </c:pt>
                <c:pt idx="174">
                  <c:v>0</c:v>
                </c:pt>
                <c:pt idx="175">
                  <c:v>-1.8995356690586863E-2</c:v>
                </c:pt>
                <c:pt idx="176">
                  <c:v>-3.3993115318416492E-2</c:v>
                </c:pt>
                <c:pt idx="177">
                  <c:v>2.6726057906459812E-3</c:v>
                </c:pt>
                <c:pt idx="178">
                  <c:v>0</c:v>
                </c:pt>
                <c:pt idx="179">
                  <c:v>0</c:v>
                </c:pt>
                <c:pt idx="180">
                  <c:v>-1.2883163038649607E-2</c:v>
                </c:pt>
                <c:pt idx="181">
                  <c:v>1.3051305130513174E-2</c:v>
                </c:pt>
                <c:pt idx="182">
                  <c:v>6.7525544202576615E-2</c:v>
                </c:pt>
                <c:pt idx="183">
                  <c:v>2.1223470661672825E-2</c:v>
                </c:pt>
                <c:pt idx="184">
                  <c:v>1.3854930725346368E-2</c:v>
                </c:pt>
                <c:pt idx="185">
                  <c:v>-9.2443729903537147E-3</c:v>
                </c:pt>
                <c:pt idx="186">
                  <c:v>-1.3793103448275857E-2</c:v>
                </c:pt>
                <c:pt idx="187">
                  <c:v>-1.1517893870834949E-2</c:v>
                </c:pt>
                <c:pt idx="188">
                  <c:v>-2.8297960882230532E-2</c:v>
                </c:pt>
                <c:pt idx="189">
                  <c:v>-4.3254817987152097E-2</c:v>
                </c:pt>
                <c:pt idx="190">
                  <c:v>1.7457475380483464E-2</c:v>
                </c:pt>
                <c:pt idx="191">
                  <c:v>-4.8394192696876127E-3</c:v>
                </c:pt>
                <c:pt idx="192">
                  <c:v>-1.5030946065428817E-2</c:v>
                </c:pt>
                <c:pt idx="193">
                  <c:v>4.9371633752243911E-3</c:v>
                </c:pt>
                <c:pt idx="194">
                  <c:v>-4.0196516301920594E-2</c:v>
                </c:pt>
                <c:pt idx="195">
                  <c:v>1.8613308515588747E-2</c:v>
                </c:pt>
                <c:pt idx="196">
                  <c:v>-1.8273184102329927E-2</c:v>
                </c:pt>
                <c:pt idx="197">
                  <c:v>-1.0237319683573703E-2</c:v>
                </c:pt>
                <c:pt idx="198">
                  <c:v>2.3507287259050642E-3</c:v>
                </c:pt>
                <c:pt idx="199">
                  <c:v>-1.3133208255159528E-2</c:v>
                </c:pt>
                <c:pt idx="200">
                  <c:v>-6.98669201520912E-2</c:v>
                </c:pt>
                <c:pt idx="201">
                  <c:v>-3.4236075625958186E-2</c:v>
                </c:pt>
                <c:pt idx="202">
                  <c:v>6.2433862433862425E-2</c:v>
                </c:pt>
                <c:pt idx="203">
                  <c:v>-3.9342629482071671E-2</c:v>
                </c:pt>
                <c:pt idx="204">
                  <c:v>2.3328149300155487E-2</c:v>
                </c:pt>
                <c:pt idx="205">
                  <c:v>6.0790273556231515E-3</c:v>
                </c:pt>
                <c:pt idx="206">
                  <c:v>1.6616314199395864E-2</c:v>
                </c:pt>
                <c:pt idx="207">
                  <c:v>-3.6156513125309576E-2</c:v>
                </c:pt>
                <c:pt idx="208">
                  <c:v>-8.7358684480987516E-3</c:v>
                </c:pt>
                <c:pt idx="209">
                  <c:v>3.784344219803009E-2</c:v>
                </c:pt>
                <c:pt idx="210">
                  <c:v>4.5454545454545463E-2</c:v>
                </c:pt>
                <c:pt idx="211">
                  <c:v>3.4878165312947941E-2</c:v>
                </c:pt>
                <c:pt idx="212">
                  <c:v>-1.061865189289014E-2</c:v>
                </c:pt>
                <c:pt idx="213">
                  <c:v>-2.6131591227251456E-2</c:v>
                </c:pt>
                <c:pt idx="214">
                  <c:v>-5.2707235265931681E-3</c:v>
                </c:pt>
                <c:pt idx="215">
                  <c:v>-1.1078998073217746E-2</c:v>
                </c:pt>
                <c:pt idx="216">
                  <c:v>8.2805650267899732E-3</c:v>
                </c:pt>
                <c:pt idx="217">
                  <c:v>2.8985507246377909E-3</c:v>
                </c:pt>
                <c:pt idx="218">
                  <c:v>-1.3487475915221633E-2</c:v>
                </c:pt>
                <c:pt idx="219">
                  <c:v>3.8574218749999958E-2</c:v>
                </c:pt>
                <c:pt idx="220">
                  <c:v>2.3507287259050307E-2</c:v>
                </c:pt>
                <c:pt idx="221">
                  <c:v>5.5121727147451078E-3</c:v>
                </c:pt>
                <c:pt idx="222">
                  <c:v>-1.3248058474189087E-2</c:v>
                </c:pt>
                <c:pt idx="223">
                  <c:v>-3.1018518518518595E-2</c:v>
                </c:pt>
                <c:pt idx="224">
                  <c:v>8.1223124701386394E-3</c:v>
                </c:pt>
                <c:pt idx="225">
                  <c:v>5.2132701421800671E-3</c:v>
                </c:pt>
                <c:pt idx="226">
                  <c:v>2.1216407355021182E-2</c:v>
                </c:pt>
                <c:pt idx="227">
                  <c:v>2.8624192059095152E-2</c:v>
                </c:pt>
                <c:pt idx="228">
                  <c:v>-9.8743267504489418E-3</c:v>
                </c:pt>
                <c:pt idx="229">
                  <c:v>9.9728014505894112E-3</c:v>
                </c:pt>
                <c:pt idx="230">
                  <c:v>-2.2890484739676909E-2</c:v>
                </c:pt>
                <c:pt idx="231">
                  <c:v>-1.2861736334405197E-2</c:v>
                </c:pt>
                <c:pt idx="232">
                  <c:v>-1.302931596091194E-2</c:v>
                </c:pt>
                <c:pt idx="233">
                  <c:v>-5.1862329090051592E-3</c:v>
                </c:pt>
                <c:pt idx="234">
                  <c:v>-4.3127962085308058E-2</c:v>
                </c:pt>
                <c:pt idx="235">
                  <c:v>1.1391778107974265E-2</c:v>
                </c:pt>
                <c:pt idx="236">
                  <c:v>1.3712047012732495E-2</c:v>
                </c:pt>
                <c:pt idx="237">
                  <c:v>1.9323671497584644E-2</c:v>
                </c:pt>
                <c:pt idx="238">
                  <c:v>1.327014218009467E-2</c:v>
                </c:pt>
                <c:pt idx="239">
                  <c:v>2.3386342376052719E-3</c:v>
                </c:pt>
                <c:pt idx="240">
                  <c:v>-1.0265982267848757E-2</c:v>
                </c:pt>
                <c:pt idx="241">
                  <c:v>4.5261669024045298E-2</c:v>
                </c:pt>
                <c:pt idx="242">
                  <c:v>-1.8042399639152103E-2</c:v>
                </c:pt>
                <c:pt idx="243">
                  <c:v>7.8089113458889164E-3</c:v>
                </c:pt>
                <c:pt idx="244">
                  <c:v>-3.0537830446672819E-2</c:v>
                </c:pt>
                <c:pt idx="245">
                  <c:v>2.3507287259050642E-3</c:v>
                </c:pt>
                <c:pt idx="246">
                  <c:v>-1.5947467166979354E-2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A1-4BC1-A452-FBB60DC2B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392528"/>
        <c:axId val="1"/>
      </c:scatterChart>
      <c:valAx>
        <c:axId val="330392528"/>
        <c:scaling>
          <c:orientation val="minMax"/>
          <c:max val="0.08"/>
          <c:min val="-0.08"/>
        </c:scaling>
        <c:delete val="0"/>
        <c:axPos val="b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市場報酬率</a:t>
                </a:r>
                <a:r>
                  <a:rPr lang="en-US" altLang="zh-TW"/>
                  <a:t>(</a:t>
                </a:r>
                <a:r>
                  <a:rPr lang="zh-TW" altLang="en-US"/>
                  <a:t>每日</a:t>
                </a:r>
                <a:r>
                  <a:rPr lang="en-US" altLang="zh-TW"/>
                  <a:t>)</a:t>
                </a:r>
              </a:p>
            </c:rich>
          </c:tx>
          <c:layout>
            <c:manualLayout>
              <c:xMode val="edge"/>
              <c:yMode val="edge"/>
              <c:x val="0.40516549198930824"/>
              <c:y val="0.89870907248975374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crossBetween val="midCat"/>
        <c:majorUnit val="0.02"/>
      </c:valAx>
      <c:valAx>
        <c:axId val="1"/>
        <c:scaling>
          <c:orientation val="minMax"/>
          <c:min val="-0.08"/>
        </c:scaling>
        <c:delete val="0"/>
        <c:axPos val="l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個股報酬率</a:t>
                </a:r>
                <a:r>
                  <a:rPr lang="en-US" altLang="zh-TW"/>
                  <a:t>(</a:t>
                </a:r>
                <a:r>
                  <a:rPr lang="zh-TW" altLang="en-US"/>
                  <a:t>每日</a:t>
                </a:r>
                <a:r>
                  <a:rPr lang="en-US" altLang="zh-TW"/>
                  <a:t>)</a:t>
                </a:r>
              </a:p>
            </c:rich>
          </c:tx>
          <c:layout>
            <c:manualLayout>
              <c:xMode val="edge"/>
              <c:yMode val="edge"/>
              <c:x val="4.4497944206918251E-2"/>
              <c:y val="0.3480294937582869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33039252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54581500188682"/>
          <c:y val="7.0486986077627739E-2"/>
          <c:w val="0.77520102802578628"/>
          <c:h val="0.79738403000316382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1309051486614305"/>
                  <c:y val="0.40160803122174693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00"/>
                      </a:solidFill>
                      <a:latin typeface="新細明體"/>
                      <a:ea typeface="新細明體"/>
                      <a:cs typeface="新細明體"/>
                    </a:defRPr>
                  </a:pPr>
                  <a:endParaRPr lang="zh-TW"/>
                </a:p>
              </c:txPr>
            </c:trendlineLbl>
          </c:trendline>
          <c:xVal>
            <c:numRef>
              <c:f>beta!$F$499:$F$746</c:f>
              <c:numCache>
                <c:formatCode>0.0000</c:formatCode>
                <c:ptCount val="248"/>
                <c:pt idx="0">
                  <c:v>-1.3175858309128687E-2</c:v>
                </c:pt>
                <c:pt idx="1">
                  <c:v>2.0072546525411405E-2</c:v>
                </c:pt>
                <c:pt idx="2">
                  <c:v>3.7425456288673847E-3</c:v>
                </c:pt>
                <c:pt idx="3">
                  <c:v>1.4120886760856335E-2</c:v>
                </c:pt>
                <c:pt idx="4">
                  <c:v>-2.2429644687602269E-3</c:v>
                </c:pt>
                <c:pt idx="5">
                  <c:v>7.1054935009456002E-3</c:v>
                </c:pt>
                <c:pt idx="6">
                  <c:v>-5.1895544458271754E-3</c:v>
                </c:pt>
                <c:pt idx="7">
                  <c:v>4.2475474848675627E-3</c:v>
                </c:pt>
                <c:pt idx="8">
                  <c:v>-1.5261531883686722E-3</c:v>
                </c:pt>
                <c:pt idx="9">
                  <c:v>-6.4321303197775832E-3</c:v>
                </c:pt>
                <c:pt idx="10">
                  <c:v>6.2597738819427182E-3</c:v>
                </c:pt>
                <c:pt idx="11">
                  <c:v>-1.9541416202422195E-3</c:v>
                </c:pt>
                <c:pt idx="12">
                  <c:v>-3.1607619683387357E-2</c:v>
                </c:pt>
                <c:pt idx="13">
                  <c:v>2.0572648993986524E-3</c:v>
                </c:pt>
                <c:pt idx="14">
                  <c:v>-3.9402422189429298E-3</c:v>
                </c:pt>
                <c:pt idx="15">
                  <c:v>-1.6134726352512761E-2</c:v>
                </c:pt>
                <c:pt idx="16">
                  <c:v>1.0963699296612072E-2</c:v>
                </c:pt>
                <c:pt idx="17">
                  <c:v>1.2436569465928185E-2</c:v>
                </c:pt>
                <c:pt idx="18">
                  <c:v>9.5557685183200822E-3</c:v>
                </c:pt>
                <c:pt idx="19">
                  <c:v>1.9009492615169935E-2</c:v>
                </c:pt>
                <c:pt idx="20">
                  <c:v>1.785724915027632E-5</c:v>
                </c:pt>
                <c:pt idx="21">
                  <c:v>-1.4281079987143048E-2</c:v>
                </c:pt>
                <c:pt idx="22">
                  <c:v>9.0880133331125792E-4</c:v>
                </c:pt>
                <c:pt idx="23">
                  <c:v>-5.3106047694389154E-3</c:v>
                </c:pt>
                <c:pt idx="24">
                  <c:v>-4.947747660320384E-3</c:v>
                </c:pt>
                <c:pt idx="25">
                  <c:v>7.7229137999083085E-3</c:v>
                </c:pt>
                <c:pt idx="26">
                  <c:v>-2.1896364265981054E-3</c:v>
                </c:pt>
                <c:pt idx="27">
                  <c:v>1.2948416986310583E-2</c:v>
                </c:pt>
                <c:pt idx="28">
                  <c:v>-1.5230560463679738E-3</c:v>
                </c:pt>
                <c:pt idx="29">
                  <c:v>1.9179621651995028E-3</c:v>
                </c:pt>
                <c:pt idx="30">
                  <c:v>-8.231449701265969E-3</c:v>
                </c:pt>
                <c:pt idx="31">
                  <c:v>-1.5201665985574989E-2</c:v>
                </c:pt>
                <c:pt idx="32">
                  <c:v>-8.576416004409974E-3</c:v>
                </c:pt>
                <c:pt idx="33">
                  <c:v>9.8120527778164917E-3</c:v>
                </c:pt>
                <c:pt idx="34">
                  <c:v>3.5804852085123862E-3</c:v>
                </c:pt>
                <c:pt idx="35">
                  <c:v>7.8882838562979347E-3</c:v>
                </c:pt>
                <c:pt idx="36">
                  <c:v>4.4712318493238274E-3</c:v>
                </c:pt>
                <c:pt idx="37">
                  <c:v>-1.3442802606067202E-2</c:v>
                </c:pt>
                <c:pt idx="38">
                  <c:v>3.3752132396248648E-3</c:v>
                </c:pt>
                <c:pt idx="39">
                  <c:v>-1.2413736469285791E-2</c:v>
                </c:pt>
                <c:pt idx="40">
                  <c:v>-5.3247923130817628E-3</c:v>
                </c:pt>
                <c:pt idx="41">
                  <c:v>4.1643638818064585E-3</c:v>
                </c:pt>
                <c:pt idx="42">
                  <c:v>6.4904331631843453E-4</c:v>
                </c:pt>
                <c:pt idx="43">
                  <c:v>8.3119180116720918E-3</c:v>
                </c:pt>
                <c:pt idx="44">
                  <c:v>-1.2929684336624055E-2</c:v>
                </c:pt>
                <c:pt idx="45">
                  <c:v>9.0851252552240011E-3</c:v>
                </c:pt>
                <c:pt idx="46">
                  <c:v>-2.1047141301180072E-3</c:v>
                </c:pt>
                <c:pt idx="47">
                  <c:v>3.626452348815853E-3</c:v>
                </c:pt>
                <c:pt idx="48">
                  <c:v>-1.8457334454557849E-3</c:v>
                </c:pt>
                <c:pt idx="49">
                  <c:v>-8.9756495798371961E-3</c:v>
                </c:pt>
                <c:pt idx="50">
                  <c:v>-1.0339066247756596E-2</c:v>
                </c:pt>
                <c:pt idx="51">
                  <c:v>-4.171321460869978E-3</c:v>
                </c:pt>
                <c:pt idx="52">
                  <c:v>1.888571159224386E-3</c:v>
                </c:pt>
                <c:pt idx="53">
                  <c:v>7.0930994790344218E-3</c:v>
                </c:pt>
                <c:pt idx="54">
                  <c:v>4.9829877683222118E-3</c:v>
                </c:pt>
                <c:pt idx="55">
                  <c:v>6.8455263137506108E-3</c:v>
                </c:pt>
                <c:pt idx="56">
                  <c:v>7.3914709535044705E-3</c:v>
                </c:pt>
                <c:pt idx="57">
                  <c:v>1.0374179277305716E-2</c:v>
                </c:pt>
                <c:pt idx="58">
                  <c:v>7.0744197509211501E-3</c:v>
                </c:pt>
                <c:pt idx="59">
                  <c:v>7.266438064125033E-4</c:v>
                </c:pt>
                <c:pt idx="60">
                  <c:v>1.4285285645703213E-2</c:v>
                </c:pt>
                <c:pt idx="61">
                  <c:v>3.1238814226676485E-3</c:v>
                </c:pt>
                <c:pt idx="62">
                  <c:v>-1.9168556489725249E-4</c:v>
                </c:pt>
                <c:pt idx="63">
                  <c:v>-3.4613251846433747E-3</c:v>
                </c:pt>
                <c:pt idx="64">
                  <c:v>7.5963754056801776E-3</c:v>
                </c:pt>
                <c:pt idx="65">
                  <c:v>6.9383858412278452E-3</c:v>
                </c:pt>
                <c:pt idx="66">
                  <c:v>1.4119555292353588E-2</c:v>
                </c:pt>
                <c:pt idx="67">
                  <c:v>6.8392271026128841E-3</c:v>
                </c:pt>
                <c:pt idx="68">
                  <c:v>-1.5185519043326742E-3</c:v>
                </c:pt>
                <c:pt idx="69">
                  <c:v>7.0563391163265413E-3</c:v>
                </c:pt>
                <c:pt idx="70">
                  <c:v>9.0868019742057632E-3</c:v>
                </c:pt>
                <c:pt idx="71">
                  <c:v>-1.3642622424584879E-3</c:v>
                </c:pt>
                <c:pt idx="72">
                  <c:v>4.2153939419569601E-4</c:v>
                </c:pt>
                <c:pt idx="73">
                  <c:v>-5.0873444907300926E-3</c:v>
                </c:pt>
                <c:pt idx="74">
                  <c:v>1.5444890466491213E-2</c:v>
                </c:pt>
                <c:pt idx="75">
                  <c:v>-4.5710826365814288E-3</c:v>
                </c:pt>
                <c:pt idx="76">
                  <c:v>4.9830372144318066E-3</c:v>
                </c:pt>
                <c:pt idx="77">
                  <c:v>3.8804925422873189E-3</c:v>
                </c:pt>
                <c:pt idx="78">
                  <c:v>5.9406078115450201E-3</c:v>
                </c:pt>
                <c:pt idx="79">
                  <c:v>1.4176298642571434E-2</c:v>
                </c:pt>
                <c:pt idx="80">
                  <c:v>3.4581159530784906E-3</c:v>
                </c:pt>
                <c:pt idx="81">
                  <c:v>1.4057505386381354E-2</c:v>
                </c:pt>
                <c:pt idx="82">
                  <c:v>-1.1387400405402771E-2</c:v>
                </c:pt>
                <c:pt idx="83">
                  <c:v>-8.6927218247813045E-3</c:v>
                </c:pt>
                <c:pt idx="84">
                  <c:v>5.0158982403398604E-3</c:v>
                </c:pt>
                <c:pt idx="85">
                  <c:v>-1.1205672795441086E-2</c:v>
                </c:pt>
                <c:pt idx="86">
                  <c:v>-1.4096794047501247E-2</c:v>
                </c:pt>
                <c:pt idx="87">
                  <c:v>-1.4833445971838152E-2</c:v>
                </c:pt>
                <c:pt idx="88">
                  <c:v>6.6380005374899638E-3</c:v>
                </c:pt>
                <c:pt idx="89">
                  <c:v>-1.1634393402680713E-2</c:v>
                </c:pt>
                <c:pt idx="90">
                  <c:v>5.703700439150799E-3</c:v>
                </c:pt>
                <c:pt idx="91">
                  <c:v>-1.9209374977912461E-2</c:v>
                </c:pt>
                <c:pt idx="92">
                  <c:v>-1.3588421304477009E-2</c:v>
                </c:pt>
                <c:pt idx="93">
                  <c:v>4.8261391763273209E-3</c:v>
                </c:pt>
                <c:pt idx="94">
                  <c:v>-2.2335288155754581E-3</c:v>
                </c:pt>
                <c:pt idx="95">
                  <c:v>2.6028724869383577E-3</c:v>
                </c:pt>
                <c:pt idx="96">
                  <c:v>-9.1576289590408205E-5</c:v>
                </c:pt>
                <c:pt idx="97">
                  <c:v>-4.6417440048380394E-3</c:v>
                </c:pt>
                <c:pt idx="98">
                  <c:v>3.7812456641278711E-3</c:v>
                </c:pt>
                <c:pt idx="99">
                  <c:v>1.2629422480372042E-2</c:v>
                </c:pt>
                <c:pt idx="100">
                  <c:v>-3.5112448345029322E-2</c:v>
                </c:pt>
                <c:pt idx="101">
                  <c:v>2.2337151000629907E-3</c:v>
                </c:pt>
                <c:pt idx="102">
                  <c:v>-1.7462895247887626E-2</c:v>
                </c:pt>
                <c:pt idx="103">
                  <c:v>-4.248314616936389E-2</c:v>
                </c:pt>
                <c:pt idx="104">
                  <c:v>1.7817969901181448E-2</c:v>
                </c:pt>
                <c:pt idx="105">
                  <c:v>-2.6844054662571366E-4</c:v>
                </c:pt>
                <c:pt idx="106">
                  <c:v>-1.6404103742103649E-2</c:v>
                </c:pt>
                <c:pt idx="107">
                  <c:v>2.0797795875472043E-2</c:v>
                </c:pt>
                <c:pt idx="108">
                  <c:v>-6.5883342273392511E-3</c:v>
                </c:pt>
                <c:pt idx="109">
                  <c:v>2.3244776616420743E-2</c:v>
                </c:pt>
                <c:pt idx="110">
                  <c:v>1.1055739479938511E-3</c:v>
                </c:pt>
                <c:pt idx="111">
                  <c:v>-3.3341738771145213E-2</c:v>
                </c:pt>
                <c:pt idx="112">
                  <c:v>-1.0050993549198172E-2</c:v>
                </c:pt>
                <c:pt idx="113">
                  <c:v>2.9455885224276418E-2</c:v>
                </c:pt>
                <c:pt idx="114">
                  <c:v>-5.0638767029288819E-3</c:v>
                </c:pt>
                <c:pt idx="115">
                  <c:v>1.1061154842219281E-2</c:v>
                </c:pt>
                <c:pt idx="116">
                  <c:v>7.466644593235725E-3</c:v>
                </c:pt>
                <c:pt idx="117">
                  <c:v>-4.7866909906442E-3</c:v>
                </c:pt>
                <c:pt idx="118">
                  <c:v>1.0160634649812799E-2</c:v>
                </c:pt>
                <c:pt idx="119">
                  <c:v>1.4683558863635947E-2</c:v>
                </c:pt>
                <c:pt idx="120">
                  <c:v>2.1016017815139805E-3</c:v>
                </c:pt>
                <c:pt idx="121">
                  <c:v>2.3829723896703456E-3</c:v>
                </c:pt>
                <c:pt idx="122">
                  <c:v>-1.1069847694932546E-2</c:v>
                </c:pt>
                <c:pt idx="123">
                  <c:v>-1.3363443624290949E-4</c:v>
                </c:pt>
                <c:pt idx="124">
                  <c:v>2.3126352478648876E-4</c:v>
                </c:pt>
                <c:pt idx="125">
                  <c:v>3.2804803163674744E-3</c:v>
                </c:pt>
                <c:pt idx="126">
                  <c:v>-6.4841390745324218E-3</c:v>
                </c:pt>
                <c:pt idx="127">
                  <c:v>-7.5913560963559437E-4</c:v>
                </c:pt>
                <c:pt idx="128">
                  <c:v>-1.0022474823223649E-2</c:v>
                </c:pt>
                <c:pt idx="129">
                  <c:v>-2.125129423229195E-2</c:v>
                </c:pt>
                <c:pt idx="130">
                  <c:v>-2.648245263323282E-2</c:v>
                </c:pt>
                <c:pt idx="131">
                  <c:v>4.3961136501646297E-3</c:v>
                </c:pt>
                <c:pt idx="132">
                  <c:v>-1.2839462174499933E-3</c:v>
                </c:pt>
                <c:pt idx="133">
                  <c:v>2.6524396072159104E-2</c:v>
                </c:pt>
                <c:pt idx="134">
                  <c:v>-3.6826439303881851E-3</c:v>
                </c:pt>
                <c:pt idx="135">
                  <c:v>-9.4049697741904002E-3</c:v>
                </c:pt>
                <c:pt idx="136">
                  <c:v>4.9311044824934267E-3</c:v>
                </c:pt>
                <c:pt idx="137">
                  <c:v>-2.2844660999312241E-3</c:v>
                </c:pt>
                <c:pt idx="138">
                  <c:v>1.2994813679840735E-2</c:v>
                </c:pt>
                <c:pt idx="139">
                  <c:v>3.2232844370475998E-3</c:v>
                </c:pt>
                <c:pt idx="140">
                  <c:v>-3.9335994827216034E-3</c:v>
                </c:pt>
                <c:pt idx="141">
                  <c:v>-2.0326651772849496E-3</c:v>
                </c:pt>
                <c:pt idx="142">
                  <c:v>4.6511194667047586E-3</c:v>
                </c:pt>
                <c:pt idx="143">
                  <c:v>-1.4061828779464729E-3</c:v>
                </c:pt>
                <c:pt idx="144">
                  <c:v>-3.0499882395177021E-3</c:v>
                </c:pt>
                <c:pt idx="145">
                  <c:v>-4.0356315220073857E-3</c:v>
                </c:pt>
                <c:pt idx="146">
                  <c:v>1.3329468364136305E-2</c:v>
                </c:pt>
                <c:pt idx="147">
                  <c:v>1.0931785535223776E-2</c:v>
                </c:pt>
                <c:pt idx="148">
                  <c:v>8.199938538493186E-4</c:v>
                </c:pt>
                <c:pt idx="149">
                  <c:v>-1.1415785401474338E-3</c:v>
                </c:pt>
                <c:pt idx="150">
                  <c:v>6.2090061024789259E-3</c:v>
                </c:pt>
                <c:pt idx="151">
                  <c:v>4.8851313540744306E-4</c:v>
                </c:pt>
                <c:pt idx="152">
                  <c:v>1.2320241627904516E-2</c:v>
                </c:pt>
                <c:pt idx="153">
                  <c:v>5.4997812332471599E-3</c:v>
                </c:pt>
                <c:pt idx="154">
                  <c:v>-1.8385792742512926E-3</c:v>
                </c:pt>
                <c:pt idx="155">
                  <c:v>-3.2012712242675261E-2</c:v>
                </c:pt>
                <c:pt idx="156">
                  <c:v>1.2954355417834794E-2</c:v>
                </c:pt>
                <c:pt idx="157">
                  <c:v>-5.1394494855998138E-3</c:v>
                </c:pt>
                <c:pt idx="158">
                  <c:v>-8.678635761164554E-4</c:v>
                </c:pt>
                <c:pt idx="159">
                  <c:v>-3.7278800239366034E-3</c:v>
                </c:pt>
                <c:pt idx="160">
                  <c:v>-1.2481957396471469E-2</c:v>
                </c:pt>
                <c:pt idx="161">
                  <c:v>5.454043284777034E-3</c:v>
                </c:pt>
                <c:pt idx="162">
                  <c:v>1.6544982877848616E-2</c:v>
                </c:pt>
                <c:pt idx="163">
                  <c:v>3.7421513499071744E-3</c:v>
                </c:pt>
                <c:pt idx="164">
                  <c:v>6.0029311364429797E-3</c:v>
                </c:pt>
                <c:pt idx="165">
                  <c:v>1.4932060028925937E-2</c:v>
                </c:pt>
                <c:pt idx="166">
                  <c:v>-2.3775030440927095E-3</c:v>
                </c:pt>
                <c:pt idx="167">
                  <c:v>-6.879266132421037E-3</c:v>
                </c:pt>
                <c:pt idx="168">
                  <c:v>-4.7395490700318058E-4</c:v>
                </c:pt>
                <c:pt idx="169">
                  <c:v>1.1787178601185165E-3</c:v>
                </c:pt>
                <c:pt idx="170">
                  <c:v>1.1504367924633491E-4</c:v>
                </c:pt>
                <c:pt idx="171">
                  <c:v>-1.0180941397216644E-2</c:v>
                </c:pt>
                <c:pt idx="172">
                  <c:v>5.9072736136245108E-3</c:v>
                </c:pt>
                <c:pt idx="173">
                  <c:v>-9.9026687692333089E-3</c:v>
                </c:pt>
                <c:pt idx="174">
                  <c:v>1.2459709010785219E-2</c:v>
                </c:pt>
                <c:pt idx="175">
                  <c:v>3.0143285002896147E-2</c:v>
                </c:pt>
                <c:pt idx="176">
                  <c:v>-8.8630842370725755E-5</c:v>
                </c:pt>
                <c:pt idx="177">
                  <c:v>-5.9576830134824604E-4</c:v>
                </c:pt>
                <c:pt idx="178">
                  <c:v>1.7621990848777859E-3</c:v>
                </c:pt>
                <c:pt idx="179">
                  <c:v>-6.226514501682847E-4</c:v>
                </c:pt>
                <c:pt idx="180">
                  <c:v>3.7193563378644812E-3</c:v>
                </c:pt>
                <c:pt idx="181">
                  <c:v>-1.3687907037986165E-3</c:v>
                </c:pt>
                <c:pt idx="182">
                  <c:v>6.4505379070526224E-3</c:v>
                </c:pt>
                <c:pt idx="183">
                  <c:v>-8.8032857922310161E-3</c:v>
                </c:pt>
                <c:pt idx="184">
                  <c:v>-3.0064835471272961E-4</c:v>
                </c:pt>
                <c:pt idx="185">
                  <c:v>1.1317657143272188E-2</c:v>
                </c:pt>
                <c:pt idx="186">
                  <c:v>-5.8469030807572369E-4</c:v>
                </c:pt>
                <c:pt idx="187">
                  <c:v>-1.1772518715286241E-2</c:v>
                </c:pt>
                <c:pt idx="188">
                  <c:v>1.7783324460580282E-2</c:v>
                </c:pt>
                <c:pt idx="189">
                  <c:v>1.3476742258376577E-3</c:v>
                </c:pt>
                <c:pt idx="190">
                  <c:v>-3.1527102032777548E-3</c:v>
                </c:pt>
                <c:pt idx="191">
                  <c:v>1.205799060215507E-2</c:v>
                </c:pt>
                <c:pt idx="192">
                  <c:v>1.1388071525577441E-3</c:v>
                </c:pt>
                <c:pt idx="193">
                  <c:v>1.0537174025166523E-2</c:v>
                </c:pt>
                <c:pt idx="194">
                  <c:v>-1.0667811427660516E-2</c:v>
                </c:pt>
                <c:pt idx="195">
                  <c:v>-8.1312993542167773E-3</c:v>
                </c:pt>
                <c:pt idx="196">
                  <c:v>-3.102200182398603E-3</c:v>
                </c:pt>
                <c:pt idx="197">
                  <c:v>6.2237075514985302E-3</c:v>
                </c:pt>
                <c:pt idx="198">
                  <c:v>1.2643176875207972E-4</c:v>
                </c:pt>
                <c:pt idx="199">
                  <c:v>8.1190183317093201E-3</c:v>
                </c:pt>
                <c:pt idx="200">
                  <c:v>-5.2878369886521781E-3</c:v>
                </c:pt>
                <c:pt idx="201">
                  <c:v>2.9674683316595323E-3</c:v>
                </c:pt>
                <c:pt idx="202">
                  <c:v>8.3323447500573892E-4</c:v>
                </c:pt>
                <c:pt idx="203">
                  <c:v>-1.291708176114828E-2</c:v>
                </c:pt>
                <c:pt idx="204">
                  <c:v>3.7339890210429856E-3</c:v>
                </c:pt>
                <c:pt idx="205">
                  <c:v>-1.0439632433787275E-3</c:v>
                </c:pt>
                <c:pt idx="206">
                  <c:v>9.1403038783916986E-3</c:v>
                </c:pt>
                <c:pt idx="207">
                  <c:v>1.1798363967731354E-2</c:v>
                </c:pt>
                <c:pt idx="208">
                  <c:v>-5.7487073437397559E-3</c:v>
                </c:pt>
                <c:pt idx="209">
                  <c:v>9.0177011532995201E-3</c:v>
                </c:pt>
                <c:pt idx="210">
                  <c:v>-8.7826129317357014E-4</c:v>
                </c:pt>
                <c:pt idx="211">
                  <c:v>-3.7905699646436412E-3</c:v>
                </c:pt>
                <c:pt idx="212">
                  <c:v>3.2260635731695144E-3</c:v>
                </c:pt>
                <c:pt idx="213">
                  <c:v>-5.3162721975968637E-3</c:v>
                </c:pt>
                <c:pt idx="214">
                  <c:v>9.5262651939585097E-3</c:v>
                </c:pt>
                <c:pt idx="215">
                  <c:v>4.5543889262136799E-3</c:v>
                </c:pt>
                <c:pt idx="216">
                  <c:v>2.850687799249563E-3</c:v>
                </c:pt>
                <c:pt idx="217">
                  <c:v>2.8384508121281774E-4</c:v>
                </c:pt>
                <c:pt idx="218">
                  <c:v>2.6723456307143424E-4</c:v>
                </c:pt>
                <c:pt idx="219">
                  <c:v>6.6391424337738369E-3</c:v>
                </c:pt>
                <c:pt idx="220">
                  <c:v>5.3463279564524404E-3</c:v>
                </c:pt>
                <c:pt idx="221">
                  <c:v>4.8878928038296422E-3</c:v>
                </c:pt>
                <c:pt idx="222">
                  <c:v>5.7781707830660564E-3</c:v>
                </c:pt>
                <c:pt idx="223">
                  <c:v>9.5309773593847576E-3</c:v>
                </c:pt>
                <c:pt idx="224">
                  <c:v>-7.0964171162220067E-3</c:v>
                </c:pt>
                <c:pt idx="225">
                  <c:v>3.9288429456785416E-3</c:v>
                </c:pt>
                <c:pt idx="226">
                  <c:v>1.2513730584852761E-2</c:v>
                </c:pt>
                <c:pt idx="227">
                  <c:v>6.0586279619224094E-3</c:v>
                </c:pt>
                <c:pt idx="228">
                  <c:v>4.3921576868670691E-3</c:v>
                </c:pt>
                <c:pt idx="229">
                  <c:v>-4.8528771376002621E-3</c:v>
                </c:pt>
                <c:pt idx="230">
                  <c:v>1.0963350372541071E-2</c:v>
                </c:pt>
                <c:pt idx="231">
                  <c:v>-8.8518235926438754E-4</c:v>
                </c:pt>
                <c:pt idx="232">
                  <c:v>-6.5335158173009701E-3</c:v>
                </c:pt>
                <c:pt idx="233">
                  <c:v>-3.1664549585532641E-3</c:v>
                </c:pt>
                <c:pt idx="234">
                  <c:v>-2.0173092384250312E-2</c:v>
                </c:pt>
                <c:pt idx="235">
                  <c:v>-1.1074523768663412E-3</c:v>
                </c:pt>
                <c:pt idx="236">
                  <c:v>4.0414479953826922E-3</c:v>
                </c:pt>
                <c:pt idx="237">
                  <c:v>7.8083955291220475E-3</c:v>
                </c:pt>
                <c:pt idx="238">
                  <c:v>1.1381091470548466E-2</c:v>
                </c:pt>
                <c:pt idx="239">
                  <c:v>-3.3759059467881394E-3</c:v>
                </c:pt>
                <c:pt idx="240">
                  <c:v>6.5101699197776851E-3</c:v>
                </c:pt>
                <c:pt idx="241">
                  <c:v>-3.5837795079985569E-3</c:v>
                </c:pt>
                <c:pt idx="242">
                  <c:v>4.1372849018625861E-3</c:v>
                </c:pt>
                <c:pt idx="243">
                  <c:v>-7.3963047225273075E-4</c:v>
                </c:pt>
                <c:pt idx="244">
                  <c:v>1.0563882194012894E-2</c:v>
                </c:pt>
                <c:pt idx="245">
                  <c:v>7.2338206348941203E-4</c:v>
                </c:pt>
                <c:pt idx="246">
                  <c:v>-3.2328227197608227E-5</c:v>
                </c:pt>
                <c:pt idx="247">
                  <c:v>1.1740698545053422E-2</c:v>
                </c:pt>
              </c:numCache>
            </c:numRef>
          </c:xVal>
          <c:yVal>
            <c:numRef>
              <c:f>beta!$G$499:$G$746</c:f>
              <c:numCache>
                <c:formatCode>0.0000</c:formatCode>
                <c:ptCount val="248"/>
                <c:pt idx="0">
                  <c:v>-1.951219512195115E-2</c:v>
                </c:pt>
                <c:pt idx="1">
                  <c:v>2.6368159203979977E-2</c:v>
                </c:pt>
                <c:pt idx="2">
                  <c:v>-4.3625787687833189E-3</c:v>
                </c:pt>
                <c:pt idx="3">
                  <c:v>6.3291139240507577E-3</c:v>
                </c:pt>
                <c:pt idx="4">
                  <c:v>1.9351717464924597E-3</c:v>
                </c:pt>
                <c:pt idx="5">
                  <c:v>-2.5108643167551885E-2</c:v>
                </c:pt>
                <c:pt idx="6">
                  <c:v>4.4576523031203494E-3</c:v>
                </c:pt>
                <c:pt idx="7">
                  <c:v>1.9723865877711612E-3</c:v>
                </c:pt>
                <c:pt idx="8">
                  <c:v>-1.9685039370078319E-3</c:v>
                </c:pt>
                <c:pt idx="9">
                  <c:v>2.5641025641025619E-2</c:v>
                </c:pt>
                <c:pt idx="10">
                  <c:v>1.4903846153846092E-2</c:v>
                </c:pt>
                <c:pt idx="11">
                  <c:v>-6.1582188536238279E-3</c:v>
                </c:pt>
                <c:pt idx="12">
                  <c:v>-1.6682554814108741E-2</c:v>
                </c:pt>
                <c:pt idx="13">
                  <c:v>1.6965584100824112E-2</c:v>
                </c:pt>
                <c:pt idx="14">
                  <c:v>-6.1963775023831744E-3</c:v>
                </c:pt>
                <c:pt idx="15">
                  <c:v>-2.3980815347722164E-3</c:v>
                </c:pt>
                <c:pt idx="16">
                  <c:v>-1.0576923076923192E-2</c:v>
                </c:pt>
                <c:pt idx="17">
                  <c:v>1.5063168124392725E-2</c:v>
                </c:pt>
                <c:pt idx="18">
                  <c:v>3.9731929152704563E-2</c:v>
                </c:pt>
                <c:pt idx="19">
                  <c:v>1.6114180478821429E-2</c:v>
                </c:pt>
                <c:pt idx="20">
                  <c:v>-2.1748980516538306E-2</c:v>
                </c:pt>
                <c:pt idx="21">
                  <c:v>-8.337193144974513E-3</c:v>
                </c:pt>
                <c:pt idx="22">
                  <c:v>-1.6347501167678722E-2</c:v>
                </c:pt>
                <c:pt idx="23">
                  <c:v>-3.7986704653370511E-3</c:v>
                </c:pt>
                <c:pt idx="24">
                  <c:v>-4.2897998093422238E-3</c:v>
                </c:pt>
                <c:pt idx="25">
                  <c:v>1.8669219722355222E-2</c:v>
                </c:pt>
                <c:pt idx="26">
                  <c:v>-1.4097744360902288E-2</c:v>
                </c:pt>
                <c:pt idx="27">
                  <c:v>1.2392755004766349E-2</c:v>
                </c:pt>
                <c:pt idx="28">
                  <c:v>-4.2372881355932143E-3</c:v>
                </c:pt>
                <c:pt idx="29">
                  <c:v>2.5059101654846393E-2</c:v>
                </c:pt>
                <c:pt idx="30">
                  <c:v>-1.2453874538745368E-2</c:v>
                </c:pt>
                <c:pt idx="31">
                  <c:v>4.2036431574030758E-3</c:v>
                </c:pt>
                <c:pt idx="32">
                  <c:v>-4.1860465116279003E-3</c:v>
                </c:pt>
                <c:pt idx="33">
                  <c:v>4.2036431574030758E-3</c:v>
                </c:pt>
                <c:pt idx="34">
                  <c:v>-4.1860465116279003E-3</c:v>
                </c:pt>
                <c:pt idx="35">
                  <c:v>-1.8682858477346636E-3</c:v>
                </c:pt>
                <c:pt idx="36">
                  <c:v>2.2461394478240543E-2</c:v>
                </c:pt>
                <c:pt idx="37">
                  <c:v>3.9816933638443817E-2</c:v>
                </c:pt>
                <c:pt idx="38">
                  <c:v>2.200704225352144E-3</c:v>
                </c:pt>
                <c:pt idx="39">
                  <c:v>7.4659639877031935E-3</c:v>
                </c:pt>
                <c:pt idx="40">
                  <c:v>0</c:v>
                </c:pt>
                <c:pt idx="41">
                  <c:v>-9.5902353966871145E-3</c:v>
                </c:pt>
                <c:pt idx="42">
                  <c:v>-1.14436619718309E-2</c:v>
                </c:pt>
                <c:pt idx="43">
                  <c:v>-7.5690115761354272E-3</c:v>
                </c:pt>
                <c:pt idx="44">
                  <c:v>-2.1534320323014826E-2</c:v>
                </c:pt>
                <c:pt idx="45">
                  <c:v>-8.2530949105914589E-3</c:v>
                </c:pt>
                <c:pt idx="46">
                  <c:v>-1.0171058714747983E-2</c:v>
                </c:pt>
                <c:pt idx="47">
                  <c:v>1.6347501167678722E-2</c:v>
                </c:pt>
                <c:pt idx="48">
                  <c:v>-7.8125000000000781E-3</c:v>
                </c:pt>
                <c:pt idx="49">
                  <c:v>1.018990273274659E-2</c:v>
                </c:pt>
                <c:pt idx="50">
                  <c:v>0</c:v>
                </c:pt>
                <c:pt idx="51">
                  <c:v>-8.2530949105914589E-3</c:v>
                </c:pt>
                <c:pt idx="52">
                  <c:v>1.0171058714748148E-2</c:v>
                </c:pt>
                <c:pt idx="53">
                  <c:v>0</c:v>
                </c:pt>
                <c:pt idx="54">
                  <c:v>-1.4187643020595069E-2</c:v>
                </c:pt>
                <c:pt idx="55">
                  <c:v>-1.810584958217273E-2</c:v>
                </c:pt>
                <c:pt idx="56">
                  <c:v>2.8841607565011963E-2</c:v>
                </c:pt>
                <c:pt idx="57">
                  <c:v>4.136029411764699E-3</c:v>
                </c:pt>
                <c:pt idx="58">
                  <c:v>-1.1899313501144235E-2</c:v>
                </c:pt>
                <c:pt idx="59">
                  <c:v>1.6211208893006087E-2</c:v>
                </c:pt>
                <c:pt idx="60">
                  <c:v>-5.9252506836828872E-3</c:v>
                </c:pt>
                <c:pt idx="61">
                  <c:v>1.8340210912426733E-3</c:v>
                </c:pt>
                <c:pt idx="62">
                  <c:v>-1.6018306636155669E-2</c:v>
                </c:pt>
                <c:pt idx="63">
                  <c:v>-4.1860465116279003E-3</c:v>
                </c:pt>
                <c:pt idx="64">
                  <c:v>1.2610929472209228E-2</c:v>
                </c:pt>
                <c:pt idx="65">
                  <c:v>5.9963099630995853E-3</c:v>
                </c:pt>
                <c:pt idx="66">
                  <c:v>1.8340210912426733E-3</c:v>
                </c:pt>
                <c:pt idx="67">
                  <c:v>2.3798627002288308E-2</c:v>
                </c:pt>
                <c:pt idx="68">
                  <c:v>-1.564595440321866E-2</c:v>
                </c:pt>
                <c:pt idx="69">
                  <c:v>-1.8165304268846117E-3</c:v>
                </c:pt>
                <c:pt idx="70">
                  <c:v>0</c:v>
                </c:pt>
                <c:pt idx="71">
                  <c:v>-1.1828935395814448E-2</c:v>
                </c:pt>
                <c:pt idx="72">
                  <c:v>7.8268876611418837E-3</c:v>
                </c:pt>
                <c:pt idx="73">
                  <c:v>-1.8273184102329441E-3</c:v>
                </c:pt>
                <c:pt idx="74">
                  <c:v>0</c:v>
                </c:pt>
                <c:pt idx="75">
                  <c:v>1.7848970251716108E-2</c:v>
                </c:pt>
                <c:pt idx="76">
                  <c:v>-1.7535971223021449E-2</c:v>
                </c:pt>
                <c:pt idx="77">
                  <c:v>5.9954233409610924E-2</c:v>
                </c:pt>
                <c:pt idx="78">
                  <c:v>3.5837651122625144E-2</c:v>
                </c:pt>
                <c:pt idx="79">
                  <c:v>4.9187161317215643E-2</c:v>
                </c:pt>
                <c:pt idx="80">
                  <c:v>0</c:v>
                </c:pt>
                <c:pt idx="81">
                  <c:v>0</c:v>
                </c:pt>
                <c:pt idx="82">
                  <c:v>-4.8470401271354879E-2</c:v>
                </c:pt>
                <c:pt idx="83">
                  <c:v>-2.0041753653444693E-2</c:v>
                </c:pt>
                <c:pt idx="84">
                  <c:v>-9.373668512995266E-3</c:v>
                </c:pt>
                <c:pt idx="85">
                  <c:v>0</c:v>
                </c:pt>
                <c:pt idx="86">
                  <c:v>-2.6236559139784923E-2</c:v>
                </c:pt>
                <c:pt idx="87">
                  <c:v>-4.0636042402826929E-2</c:v>
                </c:pt>
                <c:pt idx="88">
                  <c:v>2.0257826887661201E-2</c:v>
                </c:pt>
                <c:pt idx="89">
                  <c:v>5.8664259927797384E-3</c:v>
                </c:pt>
                <c:pt idx="90">
                  <c:v>-9.8698968147150675E-3</c:v>
                </c:pt>
                <c:pt idx="91">
                  <c:v>-3.3529678296329947E-2</c:v>
                </c:pt>
                <c:pt idx="92">
                  <c:v>-3.2817627754336581E-2</c:v>
                </c:pt>
                <c:pt idx="93">
                  <c:v>6.3015026660204832E-3</c:v>
                </c:pt>
                <c:pt idx="94">
                  <c:v>2.9383429672446983E-2</c:v>
                </c:pt>
                <c:pt idx="95">
                  <c:v>3.4627983153954066E-2</c:v>
                </c:pt>
                <c:pt idx="96">
                  <c:v>5.879692446856581E-3</c:v>
                </c:pt>
                <c:pt idx="97">
                  <c:v>6.8794964028777036E-2</c:v>
                </c:pt>
                <c:pt idx="98">
                  <c:v>-4.5856121161127465E-2</c:v>
                </c:pt>
                <c:pt idx="99">
                  <c:v>-7.4955908289240812E-3</c:v>
                </c:pt>
                <c:pt idx="100">
                  <c:v>-4.8867170146601573E-2</c:v>
                </c:pt>
                <c:pt idx="101">
                  <c:v>-1.0275572162540816E-2</c:v>
                </c:pt>
                <c:pt idx="102">
                  <c:v>-2.2652194431335555E-2</c:v>
                </c:pt>
                <c:pt idx="103">
                  <c:v>-6.9531627233220719E-2</c:v>
                </c:pt>
                <c:pt idx="104">
                  <c:v>1.1416709911779911E-2</c:v>
                </c:pt>
                <c:pt idx="105">
                  <c:v>-1.7957927142124058E-2</c:v>
                </c:pt>
                <c:pt idx="106">
                  <c:v>-2.9780564263322897E-2</c:v>
                </c:pt>
                <c:pt idx="107">
                  <c:v>2.5848142164781929E-2</c:v>
                </c:pt>
                <c:pt idx="108">
                  <c:v>0</c:v>
                </c:pt>
                <c:pt idx="109">
                  <c:v>4.146981627296583E-2</c:v>
                </c:pt>
                <c:pt idx="110">
                  <c:v>1.9657258064516157E-2</c:v>
                </c:pt>
                <c:pt idx="111">
                  <c:v>-2.7681660899653914E-2</c:v>
                </c:pt>
                <c:pt idx="112">
                  <c:v>-4.5754956786986985E-3</c:v>
                </c:pt>
                <c:pt idx="113">
                  <c:v>2.9111338100102163E-2</c:v>
                </c:pt>
                <c:pt idx="114">
                  <c:v>-1.9851116625310104E-2</c:v>
                </c:pt>
                <c:pt idx="115">
                  <c:v>1.7721518987341846E-2</c:v>
                </c:pt>
                <c:pt idx="116">
                  <c:v>8.9552238805969998E-3</c:v>
                </c:pt>
                <c:pt idx="117">
                  <c:v>0</c:v>
                </c:pt>
                <c:pt idx="118">
                  <c:v>1.9230769230769256E-2</c:v>
                </c:pt>
                <c:pt idx="119">
                  <c:v>6.2893081761005807E-3</c:v>
                </c:pt>
                <c:pt idx="120">
                  <c:v>1.4903846153846092E-2</c:v>
                </c:pt>
                <c:pt idx="121">
                  <c:v>3.789673140691703E-3</c:v>
                </c:pt>
                <c:pt idx="122">
                  <c:v>-1.8876828692780886E-3</c:v>
                </c:pt>
                <c:pt idx="123">
                  <c:v>-8.0378250591015676E-3</c:v>
                </c:pt>
                <c:pt idx="124">
                  <c:v>-6.1963775023831744E-3</c:v>
                </c:pt>
                <c:pt idx="125">
                  <c:v>-6.7146282973621369E-3</c:v>
                </c:pt>
                <c:pt idx="126">
                  <c:v>1.6900048285852141E-2</c:v>
                </c:pt>
                <c:pt idx="127">
                  <c:v>2.2792022792022814E-2</c:v>
                </c:pt>
                <c:pt idx="128">
                  <c:v>-6.0352831940575216E-3</c:v>
                </c:pt>
                <c:pt idx="129">
                  <c:v>-3.0359645025688865E-2</c:v>
                </c:pt>
                <c:pt idx="130">
                  <c:v>-1.9267822736030931E-2</c:v>
                </c:pt>
                <c:pt idx="131">
                  <c:v>-8.3497053045185742E-3</c:v>
                </c:pt>
                <c:pt idx="132">
                  <c:v>1.0896483407627481E-2</c:v>
                </c:pt>
                <c:pt idx="133">
                  <c:v>-6.3694267515923076E-3</c:v>
                </c:pt>
                <c:pt idx="134">
                  <c:v>-6.4102564102565358E-3</c:v>
                </c:pt>
                <c:pt idx="135">
                  <c:v>8.4367245657569097E-3</c:v>
                </c:pt>
                <c:pt idx="136">
                  <c:v>6.3976377952755419E-3</c:v>
                </c:pt>
                <c:pt idx="137">
                  <c:v>-1.7114914425427768E-2</c:v>
                </c:pt>
                <c:pt idx="138">
                  <c:v>1.542288557213924E-2</c:v>
                </c:pt>
                <c:pt idx="139">
                  <c:v>2.9887310142087183E-2</c:v>
                </c:pt>
                <c:pt idx="140">
                  <c:v>4.281636536631773E-3</c:v>
                </c:pt>
                <c:pt idx="141">
                  <c:v>1.8948365703457674E-3</c:v>
                </c:pt>
                <c:pt idx="142">
                  <c:v>-1.040189125295503E-2</c:v>
                </c:pt>
                <c:pt idx="143">
                  <c:v>6.2111801242235552E-3</c:v>
                </c:pt>
                <c:pt idx="144">
                  <c:v>0</c:v>
                </c:pt>
                <c:pt idx="145">
                  <c:v>-1.4245014245014112E-2</c:v>
                </c:pt>
                <c:pt idx="146">
                  <c:v>8.1888246628130119E-3</c:v>
                </c:pt>
                <c:pt idx="147">
                  <c:v>1.0511227902532196E-2</c:v>
                </c:pt>
                <c:pt idx="148">
                  <c:v>-8.0378250591015676E-3</c:v>
                </c:pt>
                <c:pt idx="149">
                  <c:v>3.8131553860819016E-3</c:v>
                </c:pt>
                <c:pt idx="150">
                  <c:v>1.4719848053181495E-2</c:v>
                </c:pt>
                <c:pt idx="151">
                  <c:v>-4.2115114646700917E-3</c:v>
                </c:pt>
                <c:pt idx="152">
                  <c:v>1.03383458646616E-2</c:v>
                </c:pt>
                <c:pt idx="153">
                  <c:v>1.8604651162790302E-3</c:v>
                </c:pt>
                <c:pt idx="154">
                  <c:v>2.3212627669452514E-3</c:v>
                </c:pt>
                <c:pt idx="155">
                  <c:v>-3.4275127373784089E-2</c:v>
                </c:pt>
                <c:pt idx="156">
                  <c:v>-1.2949640287769933E-2</c:v>
                </c:pt>
                <c:pt idx="157">
                  <c:v>-2.3323615160349705E-2</c:v>
                </c:pt>
                <c:pt idx="158">
                  <c:v>1.9900497512437738E-2</c:v>
                </c:pt>
                <c:pt idx="159">
                  <c:v>5.8536585365854144E-3</c:v>
                </c:pt>
                <c:pt idx="160">
                  <c:v>-6.7895247332686983E-3</c:v>
                </c:pt>
                <c:pt idx="161">
                  <c:v>0</c:v>
                </c:pt>
                <c:pt idx="162">
                  <c:v>1.3671875000000056E-2</c:v>
                </c:pt>
                <c:pt idx="163">
                  <c:v>0</c:v>
                </c:pt>
                <c:pt idx="164">
                  <c:v>-6.7437379576108167E-3</c:v>
                </c:pt>
                <c:pt idx="165">
                  <c:v>1.6003879728418928E-2</c:v>
                </c:pt>
                <c:pt idx="166">
                  <c:v>6.6825775656324856E-3</c:v>
                </c:pt>
                <c:pt idx="167">
                  <c:v>0</c:v>
                </c:pt>
                <c:pt idx="168">
                  <c:v>2.7027027027027042E-2</c:v>
                </c:pt>
                <c:pt idx="169">
                  <c:v>-1.2927054478301067E-2</c:v>
                </c:pt>
                <c:pt idx="170">
                  <c:v>-1.5902712815715616E-2</c:v>
                </c:pt>
                <c:pt idx="171">
                  <c:v>-9.0304182509504619E-3</c:v>
                </c:pt>
                <c:pt idx="172">
                  <c:v>2.3980815347720459E-3</c:v>
                </c:pt>
                <c:pt idx="173">
                  <c:v>-1.3397129186602756E-2</c:v>
                </c:pt>
                <c:pt idx="174">
                  <c:v>3.2007759456838029E-2</c:v>
                </c:pt>
                <c:pt idx="175">
                  <c:v>3.9943609022556288E-2</c:v>
                </c:pt>
                <c:pt idx="176">
                  <c:v>4.5187528242205798E-3</c:v>
                </c:pt>
                <c:pt idx="177">
                  <c:v>1.2595591542960015E-2</c:v>
                </c:pt>
                <c:pt idx="178">
                  <c:v>1.2438916037316641E-2</c:v>
                </c:pt>
                <c:pt idx="179">
                  <c:v>-1.4480035103115328E-2</c:v>
                </c:pt>
                <c:pt idx="180">
                  <c:v>1.4692787177203842E-2</c:v>
                </c:pt>
                <c:pt idx="181">
                  <c:v>2.7204914436156254E-2</c:v>
                </c:pt>
                <c:pt idx="182">
                  <c:v>1.7941050832977281E-2</c:v>
                </c:pt>
                <c:pt idx="183">
                  <c:v>-3.7767519932857684E-3</c:v>
                </c:pt>
                <c:pt idx="184">
                  <c:v>-1.1794439764111105E-2</c:v>
                </c:pt>
                <c:pt idx="185">
                  <c:v>3.1969309462915603E-2</c:v>
                </c:pt>
                <c:pt idx="186">
                  <c:v>-1.3630731102850138E-2</c:v>
                </c:pt>
                <c:pt idx="187">
                  <c:v>2.0938023450586562E-3</c:v>
                </c:pt>
                <c:pt idx="188">
                  <c:v>2.9669870455495229E-2</c:v>
                </c:pt>
                <c:pt idx="189">
                  <c:v>-5.6818181818182045E-3</c:v>
                </c:pt>
                <c:pt idx="190">
                  <c:v>0</c:v>
                </c:pt>
                <c:pt idx="191">
                  <c:v>0</c:v>
                </c:pt>
                <c:pt idx="192">
                  <c:v>-2.0408163265306411E-3</c:v>
                </c:pt>
                <c:pt idx="193">
                  <c:v>5.7259713701431729E-3</c:v>
                </c:pt>
                <c:pt idx="194">
                  <c:v>-1.3420089467263046E-2</c:v>
                </c:pt>
                <c:pt idx="195">
                  <c:v>9.8928276999174954E-3</c:v>
                </c:pt>
                <c:pt idx="196">
                  <c:v>1.3469387755101972E-2</c:v>
                </c:pt>
                <c:pt idx="197">
                  <c:v>3.6246476037052042E-2</c:v>
                </c:pt>
                <c:pt idx="198">
                  <c:v>0</c:v>
                </c:pt>
                <c:pt idx="199">
                  <c:v>1.5546055188495587E-3</c:v>
                </c:pt>
                <c:pt idx="200">
                  <c:v>-1.5521924718664784E-3</c:v>
                </c:pt>
                <c:pt idx="201">
                  <c:v>-3.886513797124035E-3</c:v>
                </c:pt>
                <c:pt idx="202">
                  <c:v>-3.5115099492781842E-3</c:v>
                </c:pt>
                <c:pt idx="203">
                  <c:v>-2.2317932654659371E-2</c:v>
                </c:pt>
                <c:pt idx="204">
                  <c:v>-5.6067280736884495E-3</c:v>
                </c:pt>
                <c:pt idx="205">
                  <c:v>-2.0136931131694387E-3</c:v>
                </c:pt>
                <c:pt idx="206">
                  <c:v>7.6674737691685927E-3</c:v>
                </c:pt>
                <c:pt idx="207">
                  <c:v>2.0824989987985567E-2</c:v>
                </c:pt>
                <c:pt idx="208">
                  <c:v>-1.6869360533542557E-2</c:v>
                </c:pt>
                <c:pt idx="209">
                  <c:v>1.9154030327214702E-2</c:v>
                </c:pt>
                <c:pt idx="210">
                  <c:v>-1.1354737666405604E-2</c:v>
                </c:pt>
                <c:pt idx="211">
                  <c:v>1.1485148514851452E-2</c:v>
                </c:pt>
                <c:pt idx="212">
                  <c:v>-7.439310884886364E-3</c:v>
                </c:pt>
                <c:pt idx="213">
                  <c:v>-7.4950690335306219E-3</c:v>
                </c:pt>
                <c:pt idx="214">
                  <c:v>1.3116057233704225E-2</c:v>
                </c:pt>
                <c:pt idx="215">
                  <c:v>5.4923499411534162E-3</c:v>
                </c:pt>
                <c:pt idx="216">
                  <c:v>-1.9508388607101333E-3</c:v>
                </c:pt>
                <c:pt idx="217">
                  <c:v>-5.4730258014072334E-3</c:v>
                </c:pt>
                <c:pt idx="218">
                  <c:v>-5.5031446540880725E-3</c:v>
                </c:pt>
                <c:pt idx="219">
                  <c:v>-3.5573122529644211E-3</c:v>
                </c:pt>
                <c:pt idx="220">
                  <c:v>4.6806822689408951E-2</c:v>
                </c:pt>
                <c:pt idx="221">
                  <c:v>5.5323986358469149E-2</c:v>
                </c:pt>
                <c:pt idx="222">
                  <c:v>-2.0107719928186794E-2</c:v>
                </c:pt>
                <c:pt idx="223">
                  <c:v>8.4279956027849181E-3</c:v>
                </c:pt>
                <c:pt idx="224">
                  <c:v>-8.3575581395348986E-3</c:v>
                </c:pt>
                <c:pt idx="225">
                  <c:v>0</c:v>
                </c:pt>
                <c:pt idx="226">
                  <c:v>1.7222425796995327E-2</c:v>
                </c:pt>
                <c:pt idx="227">
                  <c:v>1.6930835734870274E-2</c:v>
                </c:pt>
                <c:pt idx="228">
                  <c:v>3.8611406305348914E-2</c:v>
                </c:pt>
                <c:pt idx="229">
                  <c:v>-6.4802182810368781E-3</c:v>
                </c:pt>
                <c:pt idx="230">
                  <c:v>-3.0895983522142073E-3</c:v>
                </c:pt>
                <c:pt idx="231">
                  <c:v>3.0991735537190036E-3</c:v>
                </c:pt>
                <c:pt idx="232">
                  <c:v>-3.0895983522142073E-3</c:v>
                </c:pt>
                <c:pt idx="233">
                  <c:v>-9.9862258953167752E-3</c:v>
                </c:pt>
                <c:pt idx="234">
                  <c:v>0</c:v>
                </c:pt>
                <c:pt idx="235">
                  <c:v>-6.6086956521739576E-3</c:v>
                </c:pt>
                <c:pt idx="236">
                  <c:v>-3.781512605042011E-2</c:v>
                </c:pt>
                <c:pt idx="237">
                  <c:v>1.4556040756913808E-3</c:v>
                </c:pt>
                <c:pt idx="238">
                  <c:v>-3.2703488372092973E-3</c:v>
                </c:pt>
                <c:pt idx="239">
                  <c:v>-3.6456434560700481E-3</c:v>
                </c:pt>
                <c:pt idx="240">
                  <c:v>6.9520673252836188E-3</c:v>
                </c:pt>
                <c:pt idx="241">
                  <c:v>-1.5261627906976678E-2</c:v>
                </c:pt>
                <c:pt idx="242">
                  <c:v>0</c:v>
                </c:pt>
                <c:pt idx="243">
                  <c:v>1.4022140221402177E-2</c:v>
                </c:pt>
                <c:pt idx="244">
                  <c:v>1.2008733624454086E-2</c:v>
                </c:pt>
                <c:pt idx="245">
                  <c:v>-1.7979144192735404E-3</c:v>
                </c:pt>
                <c:pt idx="246">
                  <c:v>-6.8443804034582587E-3</c:v>
                </c:pt>
                <c:pt idx="247">
                  <c:v>1.0155966630395398E-2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1-41B1-BE24-D63B82A94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392944"/>
        <c:axId val="1"/>
      </c:scatterChart>
      <c:valAx>
        <c:axId val="330392944"/>
        <c:scaling>
          <c:orientation val="minMax"/>
          <c:max val="0.08"/>
          <c:min val="-0.08"/>
        </c:scaling>
        <c:delete val="0"/>
        <c:axPos val="b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市場報酬率</a:t>
                </a:r>
                <a:r>
                  <a:rPr lang="en-US" altLang="zh-TW"/>
                  <a:t>(</a:t>
                </a:r>
                <a:r>
                  <a:rPr lang="zh-TW" altLang="en-US"/>
                  <a:t>每日</a:t>
                </a:r>
                <a:r>
                  <a:rPr lang="en-US" altLang="zh-TW"/>
                  <a:t>)</a:t>
                </a:r>
              </a:p>
            </c:rich>
          </c:tx>
          <c:layout>
            <c:manualLayout>
              <c:xMode val="edge"/>
              <c:yMode val="edge"/>
              <c:x val="0.40516549198930824"/>
              <c:y val="0.89870907248975374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crossBetween val="midCat"/>
        <c:majorUnit val="0.02"/>
      </c:valAx>
      <c:valAx>
        <c:axId val="1"/>
        <c:scaling>
          <c:orientation val="minMax"/>
          <c:min val="-0.08"/>
        </c:scaling>
        <c:delete val="0"/>
        <c:axPos val="l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個股報酬率</a:t>
                </a:r>
                <a:r>
                  <a:rPr lang="en-US" altLang="zh-TW"/>
                  <a:t>(</a:t>
                </a:r>
                <a:r>
                  <a:rPr lang="zh-TW" altLang="en-US"/>
                  <a:t>每日</a:t>
                </a:r>
                <a:r>
                  <a:rPr lang="en-US" altLang="zh-TW"/>
                  <a:t>)</a:t>
                </a:r>
              </a:p>
            </c:rich>
          </c:tx>
          <c:layout>
            <c:manualLayout>
              <c:xMode val="edge"/>
              <c:yMode val="edge"/>
              <c:x val="4.4497944206918251E-2"/>
              <c:y val="0.3480294937582869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33039294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20116324331944"/>
          <c:y val="7.0331822976263239E-2"/>
          <c:w val="0.77572676502828641"/>
          <c:h val="0.79782661688698608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0163832475590027"/>
                  <c:y val="0.4030717225016674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00"/>
                      </a:solidFill>
                      <a:latin typeface="新細明體"/>
                      <a:ea typeface="新細明體"/>
                      <a:cs typeface="新細明體"/>
                    </a:defRPr>
                  </a:pPr>
                  <a:endParaRPr lang="zh-TW"/>
                </a:p>
              </c:txPr>
            </c:trendlineLbl>
          </c:trendline>
          <c:xVal>
            <c:numRef>
              <c:f>beta!$F$499:$F$746</c:f>
              <c:numCache>
                <c:formatCode>0.0000</c:formatCode>
                <c:ptCount val="248"/>
                <c:pt idx="0">
                  <c:v>-1.3175858309128687E-2</c:v>
                </c:pt>
                <c:pt idx="1">
                  <c:v>2.0072546525411405E-2</c:v>
                </c:pt>
                <c:pt idx="2">
                  <c:v>3.7425456288673847E-3</c:v>
                </c:pt>
                <c:pt idx="3">
                  <c:v>1.4120886760856335E-2</c:v>
                </c:pt>
                <c:pt idx="4">
                  <c:v>-2.2429644687602269E-3</c:v>
                </c:pt>
                <c:pt idx="5">
                  <c:v>7.1054935009456002E-3</c:v>
                </c:pt>
                <c:pt idx="6">
                  <c:v>-5.1895544458271754E-3</c:v>
                </c:pt>
                <c:pt idx="7">
                  <c:v>4.2475474848675627E-3</c:v>
                </c:pt>
                <c:pt idx="8">
                  <c:v>-1.5261531883686722E-3</c:v>
                </c:pt>
                <c:pt idx="9">
                  <c:v>-6.4321303197775832E-3</c:v>
                </c:pt>
                <c:pt idx="10">
                  <c:v>6.2597738819427182E-3</c:v>
                </c:pt>
                <c:pt idx="11">
                  <c:v>-1.9541416202422195E-3</c:v>
                </c:pt>
                <c:pt idx="12">
                  <c:v>-3.1607619683387357E-2</c:v>
                </c:pt>
                <c:pt idx="13">
                  <c:v>2.0572648993986524E-3</c:v>
                </c:pt>
                <c:pt idx="14">
                  <c:v>-3.9402422189429298E-3</c:v>
                </c:pt>
                <c:pt idx="15">
                  <c:v>-1.6134726352512761E-2</c:v>
                </c:pt>
                <c:pt idx="16">
                  <c:v>1.0963699296612072E-2</c:v>
                </c:pt>
                <c:pt idx="17">
                  <c:v>1.2436569465928185E-2</c:v>
                </c:pt>
                <c:pt idx="18">
                  <c:v>9.5557685183200822E-3</c:v>
                </c:pt>
                <c:pt idx="19">
                  <c:v>1.9009492615169935E-2</c:v>
                </c:pt>
                <c:pt idx="20">
                  <c:v>1.785724915027632E-5</c:v>
                </c:pt>
                <c:pt idx="21">
                  <c:v>-1.4281079987143048E-2</c:v>
                </c:pt>
                <c:pt idx="22">
                  <c:v>9.0880133331125792E-4</c:v>
                </c:pt>
                <c:pt idx="23">
                  <c:v>-5.3106047694389154E-3</c:v>
                </c:pt>
                <c:pt idx="24">
                  <c:v>-4.947747660320384E-3</c:v>
                </c:pt>
                <c:pt idx="25">
                  <c:v>7.7229137999083085E-3</c:v>
                </c:pt>
                <c:pt idx="26">
                  <c:v>-2.1896364265981054E-3</c:v>
                </c:pt>
                <c:pt idx="27">
                  <c:v>1.2948416986310583E-2</c:v>
                </c:pt>
                <c:pt idx="28">
                  <c:v>-1.5230560463679738E-3</c:v>
                </c:pt>
                <c:pt idx="29">
                  <c:v>1.9179621651995028E-3</c:v>
                </c:pt>
                <c:pt idx="30">
                  <c:v>-8.231449701265969E-3</c:v>
                </c:pt>
                <c:pt idx="31">
                  <c:v>-1.5201665985574989E-2</c:v>
                </c:pt>
                <c:pt idx="32">
                  <c:v>-8.576416004409974E-3</c:v>
                </c:pt>
                <c:pt idx="33">
                  <c:v>9.8120527778164917E-3</c:v>
                </c:pt>
                <c:pt idx="34">
                  <c:v>3.5804852085123862E-3</c:v>
                </c:pt>
                <c:pt idx="35">
                  <c:v>7.8882838562979347E-3</c:v>
                </c:pt>
                <c:pt idx="36">
                  <c:v>4.4712318493238274E-3</c:v>
                </c:pt>
                <c:pt idx="37">
                  <c:v>-1.3442802606067202E-2</c:v>
                </c:pt>
                <c:pt idx="38">
                  <c:v>3.3752132396248648E-3</c:v>
                </c:pt>
                <c:pt idx="39">
                  <c:v>-1.2413736469285791E-2</c:v>
                </c:pt>
                <c:pt idx="40">
                  <c:v>-5.3247923130817628E-3</c:v>
                </c:pt>
                <c:pt idx="41">
                  <c:v>4.1643638818064585E-3</c:v>
                </c:pt>
                <c:pt idx="42">
                  <c:v>6.4904331631843453E-4</c:v>
                </c:pt>
                <c:pt idx="43">
                  <c:v>8.3119180116720918E-3</c:v>
                </c:pt>
                <c:pt idx="44">
                  <c:v>-1.2929684336624055E-2</c:v>
                </c:pt>
                <c:pt idx="45">
                  <c:v>9.0851252552240011E-3</c:v>
                </c:pt>
                <c:pt idx="46">
                  <c:v>-2.1047141301180072E-3</c:v>
                </c:pt>
                <c:pt idx="47">
                  <c:v>3.626452348815853E-3</c:v>
                </c:pt>
                <c:pt idx="48">
                  <c:v>-1.8457334454557849E-3</c:v>
                </c:pt>
                <c:pt idx="49">
                  <c:v>-8.9756495798371961E-3</c:v>
                </c:pt>
                <c:pt idx="50">
                  <c:v>-1.0339066247756596E-2</c:v>
                </c:pt>
                <c:pt idx="51">
                  <c:v>-4.171321460869978E-3</c:v>
                </c:pt>
                <c:pt idx="52">
                  <c:v>1.888571159224386E-3</c:v>
                </c:pt>
                <c:pt idx="53">
                  <c:v>7.0930994790344218E-3</c:v>
                </c:pt>
                <c:pt idx="54">
                  <c:v>4.9829877683222118E-3</c:v>
                </c:pt>
                <c:pt idx="55">
                  <c:v>6.8455263137506108E-3</c:v>
                </c:pt>
                <c:pt idx="56">
                  <c:v>7.3914709535044705E-3</c:v>
                </c:pt>
                <c:pt idx="57">
                  <c:v>1.0374179277305716E-2</c:v>
                </c:pt>
                <c:pt idx="58">
                  <c:v>7.0744197509211501E-3</c:v>
                </c:pt>
                <c:pt idx="59">
                  <c:v>7.266438064125033E-4</c:v>
                </c:pt>
                <c:pt idx="60">
                  <c:v>1.4285285645703213E-2</c:v>
                </c:pt>
                <c:pt idx="61">
                  <c:v>3.1238814226676485E-3</c:v>
                </c:pt>
                <c:pt idx="62">
                  <c:v>-1.9168556489725249E-4</c:v>
                </c:pt>
                <c:pt idx="63">
                  <c:v>-3.4613251846433747E-3</c:v>
                </c:pt>
                <c:pt idx="64">
                  <c:v>7.5963754056801776E-3</c:v>
                </c:pt>
                <c:pt idx="65">
                  <c:v>6.9383858412278452E-3</c:v>
                </c:pt>
                <c:pt idx="66">
                  <c:v>1.4119555292353588E-2</c:v>
                </c:pt>
                <c:pt idx="67">
                  <c:v>6.8392271026128841E-3</c:v>
                </c:pt>
                <c:pt idx="68">
                  <c:v>-1.5185519043326742E-3</c:v>
                </c:pt>
                <c:pt idx="69">
                  <c:v>7.0563391163265413E-3</c:v>
                </c:pt>
                <c:pt idx="70">
                  <c:v>9.0868019742057632E-3</c:v>
                </c:pt>
                <c:pt idx="71">
                  <c:v>-1.3642622424584879E-3</c:v>
                </c:pt>
                <c:pt idx="72">
                  <c:v>4.2153939419569601E-4</c:v>
                </c:pt>
                <c:pt idx="73">
                  <c:v>-5.0873444907300926E-3</c:v>
                </c:pt>
                <c:pt idx="74">
                  <c:v>1.5444890466491213E-2</c:v>
                </c:pt>
                <c:pt idx="75">
                  <c:v>-4.5710826365814288E-3</c:v>
                </c:pt>
                <c:pt idx="76">
                  <c:v>4.9830372144318066E-3</c:v>
                </c:pt>
                <c:pt idx="77">
                  <c:v>3.8804925422873189E-3</c:v>
                </c:pt>
                <c:pt idx="78">
                  <c:v>5.9406078115450201E-3</c:v>
                </c:pt>
                <c:pt idx="79">
                  <c:v>1.4176298642571434E-2</c:v>
                </c:pt>
                <c:pt idx="80">
                  <c:v>3.4581159530784906E-3</c:v>
                </c:pt>
                <c:pt idx="81">
                  <c:v>1.4057505386381354E-2</c:v>
                </c:pt>
                <c:pt idx="82">
                  <c:v>-1.1387400405402771E-2</c:v>
                </c:pt>
                <c:pt idx="83">
                  <c:v>-8.6927218247813045E-3</c:v>
                </c:pt>
                <c:pt idx="84">
                  <c:v>5.0158982403398604E-3</c:v>
                </c:pt>
                <c:pt idx="85">
                  <c:v>-1.1205672795441086E-2</c:v>
                </c:pt>
                <c:pt idx="86">
                  <c:v>-1.4096794047501247E-2</c:v>
                </c:pt>
                <c:pt idx="87">
                  <c:v>-1.4833445971838152E-2</c:v>
                </c:pt>
                <c:pt idx="88">
                  <c:v>6.6380005374899638E-3</c:v>
                </c:pt>
                <c:pt idx="89">
                  <c:v>-1.1634393402680713E-2</c:v>
                </c:pt>
                <c:pt idx="90">
                  <c:v>5.703700439150799E-3</c:v>
                </c:pt>
                <c:pt idx="91">
                  <c:v>-1.9209374977912461E-2</c:v>
                </c:pt>
                <c:pt idx="92">
                  <c:v>-1.3588421304477009E-2</c:v>
                </c:pt>
                <c:pt idx="93">
                  <c:v>4.8261391763273209E-3</c:v>
                </c:pt>
                <c:pt idx="94">
                  <c:v>-2.2335288155754581E-3</c:v>
                </c:pt>
                <c:pt idx="95">
                  <c:v>2.6028724869383577E-3</c:v>
                </c:pt>
                <c:pt idx="96">
                  <c:v>-9.1576289590408205E-5</c:v>
                </c:pt>
                <c:pt idx="97">
                  <c:v>-4.6417440048380394E-3</c:v>
                </c:pt>
                <c:pt idx="98">
                  <c:v>3.7812456641278711E-3</c:v>
                </c:pt>
                <c:pt idx="99">
                  <c:v>1.2629422480372042E-2</c:v>
                </c:pt>
                <c:pt idx="100">
                  <c:v>-3.5112448345029322E-2</c:v>
                </c:pt>
                <c:pt idx="101">
                  <c:v>2.2337151000629907E-3</c:v>
                </c:pt>
                <c:pt idx="102">
                  <c:v>-1.7462895247887626E-2</c:v>
                </c:pt>
                <c:pt idx="103">
                  <c:v>-4.248314616936389E-2</c:v>
                </c:pt>
                <c:pt idx="104">
                  <c:v>1.7817969901181448E-2</c:v>
                </c:pt>
                <c:pt idx="105">
                  <c:v>-2.6844054662571366E-4</c:v>
                </c:pt>
                <c:pt idx="106">
                  <c:v>-1.6404103742103649E-2</c:v>
                </c:pt>
                <c:pt idx="107">
                  <c:v>2.0797795875472043E-2</c:v>
                </c:pt>
                <c:pt idx="108">
                  <c:v>-6.5883342273392511E-3</c:v>
                </c:pt>
                <c:pt idx="109">
                  <c:v>2.3244776616420743E-2</c:v>
                </c:pt>
                <c:pt idx="110">
                  <c:v>1.1055739479938511E-3</c:v>
                </c:pt>
                <c:pt idx="111">
                  <c:v>-3.3341738771145213E-2</c:v>
                </c:pt>
                <c:pt idx="112">
                  <c:v>-1.0050993549198172E-2</c:v>
                </c:pt>
                <c:pt idx="113">
                  <c:v>2.9455885224276418E-2</c:v>
                </c:pt>
                <c:pt idx="114">
                  <c:v>-5.0638767029288819E-3</c:v>
                </c:pt>
                <c:pt idx="115">
                  <c:v>1.1061154842219281E-2</c:v>
                </c:pt>
                <c:pt idx="116">
                  <c:v>7.466644593235725E-3</c:v>
                </c:pt>
                <c:pt idx="117">
                  <c:v>-4.7866909906442E-3</c:v>
                </c:pt>
                <c:pt idx="118">
                  <c:v>1.0160634649812799E-2</c:v>
                </c:pt>
                <c:pt idx="119">
                  <c:v>1.4683558863635947E-2</c:v>
                </c:pt>
                <c:pt idx="120">
                  <c:v>2.1016017815139805E-3</c:v>
                </c:pt>
                <c:pt idx="121">
                  <c:v>2.3829723896703456E-3</c:v>
                </c:pt>
                <c:pt idx="122">
                  <c:v>-1.1069847694932546E-2</c:v>
                </c:pt>
                <c:pt idx="123">
                  <c:v>-1.3363443624290949E-4</c:v>
                </c:pt>
                <c:pt idx="124">
                  <c:v>2.3126352478648876E-4</c:v>
                </c:pt>
                <c:pt idx="125">
                  <c:v>3.2804803163674744E-3</c:v>
                </c:pt>
                <c:pt idx="126">
                  <c:v>-6.4841390745324218E-3</c:v>
                </c:pt>
                <c:pt idx="127">
                  <c:v>-7.5913560963559437E-4</c:v>
                </c:pt>
                <c:pt idx="128">
                  <c:v>-1.0022474823223649E-2</c:v>
                </c:pt>
                <c:pt idx="129">
                  <c:v>-2.125129423229195E-2</c:v>
                </c:pt>
                <c:pt idx="130">
                  <c:v>-2.648245263323282E-2</c:v>
                </c:pt>
                <c:pt idx="131">
                  <c:v>4.3961136501646297E-3</c:v>
                </c:pt>
                <c:pt idx="132">
                  <c:v>-1.2839462174499933E-3</c:v>
                </c:pt>
                <c:pt idx="133">
                  <c:v>2.6524396072159104E-2</c:v>
                </c:pt>
                <c:pt idx="134">
                  <c:v>-3.6826439303881851E-3</c:v>
                </c:pt>
                <c:pt idx="135">
                  <c:v>-9.4049697741904002E-3</c:v>
                </c:pt>
                <c:pt idx="136">
                  <c:v>4.9311044824934267E-3</c:v>
                </c:pt>
                <c:pt idx="137">
                  <c:v>-2.2844660999312241E-3</c:v>
                </c:pt>
                <c:pt idx="138">
                  <c:v>1.2994813679840735E-2</c:v>
                </c:pt>
                <c:pt idx="139">
                  <c:v>3.2232844370475998E-3</c:v>
                </c:pt>
                <c:pt idx="140">
                  <c:v>-3.9335994827216034E-3</c:v>
                </c:pt>
                <c:pt idx="141">
                  <c:v>-2.0326651772849496E-3</c:v>
                </c:pt>
                <c:pt idx="142">
                  <c:v>4.6511194667047586E-3</c:v>
                </c:pt>
                <c:pt idx="143">
                  <c:v>-1.4061828779464729E-3</c:v>
                </c:pt>
                <c:pt idx="144">
                  <c:v>-3.0499882395177021E-3</c:v>
                </c:pt>
                <c:pt idx="145">
                  <c:v>-4.0356315220073857E-3</c:v>
                </c:pt>
                <c:pt idx="146">
                  <c:v>1.3329468364136305E-2</c:v>
                </c:pt>
                <c:pt idx="147">
                  <c:v>1.0931785535223776E-2</c:v>
                </c:pt>
                <c:pt idx="148">
                  <c:v>8.199938538493186E-4</c:v>
                </c:pt>
                <c:pt idx="149">
                  <c:v>-1.1415785401474338E-3</c:v>
                </c:pt>
                <c:pt idx="150">
                  <c:v>6.2090061024789259E-3</c:v>
                </c:pt>
                <c:pt idx="151">
                  <c:v>4.8851313540744306E-4</c:v>
                </c:pt>
                <c:pt idx="152">
                  <c:v>1.2320241627904516E-2</c:v>
                </c:pt>
                <c:pt idx="153">
                  <c:v>5.4997812332471599E-3</c:v>
                </c:pt>
                <c:pt idx="154">
                  <c:v>-1.8385792742512926E-3</c:v>
                </c:pt>
                <c:pt idx="155">
                  <c:v>-3.2012712242675261E-2</c:v>
                </c:pt>
                <c:pt idx="156">
                  <c:v>1.2954355417834794E-2</c:v>
                </c:pt>
                <c:pt idx="157">
                  <c:v>-5.1394494855998138E-3</c:v>
                </c:pt>
                <c:pt idx="158">
                  <c:v>-8.678635761164554E-4</c:v>
                </c:pt>
                <c:pt idx="159">
                  <c:v>-3.7278800239366034E-3</c:v>
                </c:pt>
                <c:pt idx="160">
                  <c:v>-1.2481957396471469E-2</c:v>
                </c:pt>
                <c:pt idx="161">
                  <c:v>5.454043284777034E-3</c:v>
                </c:pt>
                <c:pt idx="162">
                  <c:v>1.6544982877848616E-2</c:v>
                </c:pt>
                <c:pt idx="163">
                  <c:v>3.7421513499071744E-3</c:v>
                </c:pt>
                <c:pt idx="164">
                  <c:v>6.0029311364429797E-3</c:v>
                </c:pt>
                <c:pt idx="165">
                  <c:v>1.4932060028925937E-2</c:v>
                </c:pt>
                <c:pt idx="166">
                  <c:v>-2.3775030440927095E-3</c:v>
                </c:pt>
                <c:pt idx="167">
                  <c:v>-6.879266132421037E-3</c:v>
                </c:pt>
                <c:pt idx="168">
                  <c:v>-4.7395490700318058E-4</c:v>
                </c:pt>
                <c:pt idx="169">
                  <c:v>1.1787178601185165E-3</c:v>
                </c:pt>
                <c:pt idx="170">
                  <c:v>1.1504367924633491E-4</c:v>
                </c:pt>
                <c:pt idx="171">
                  <c:v>-1.0180941397216644E-2</c:v>
                </c:pt>
                <c:pt idx="172">
                  <c:v>5.9072736136245108E-3</c:v>
                </c:pt>
                <c:pt idx="173">
                  <c:v>-9.9026687692333089E-3</c:v>
                </c:pt>
                <c:pt idx="174">
                  <c:v>1.2459709010785219E-2</c:v>
                </c:pt>
                <c:pt idx="175">
                  <c:v>3.0143285002896147E-2</c:v>
                </c:pt>
                <c:pt idx="176">
                  <c:v>-8.8630842370725755E-5</c:v>
                </c:pt>
                <c:pt idx="177">
                  <c:v>-5.9576830134824604E-4</c:v>
                </c:pt>
                <c:pt idx="178">
                  <c:v>1.7621990848777859E-3</c:v>
                </c:pt>
                <c:pt idx="179">
                  <c:v>-6.226514501682847E-4</c:v>
                </c:pt>
                <c:pt idx="180">
                  <c:v>3.7193563378644812E-3</c:v>
                </c:pt>
                <c:pt idx="181">
                  <c:v>-1.3687907037986165E-3</c:v>
                </c:pt>
                <c:pt idx="182">
                  <c:v>6.4505379070526224E-3</c:v>
                </c:pt>
                <c:pt idx="183">
                  <c:v>-8.8032857922310161E-3</c:v>
                </c:pt>
                <c:pt idx="184">
                  <c:v>-3.0064835471272961E-4</c:v>
                </c:pt>
                <c:pt idx="185">
                  <c:v>1.1317657143272188E-2</c:v>
                </c:pt>
                <c:pt idx="186">
                  <c:v>-5.8469030807572369E-4</c:v>
                </c:pt>
                <c:pt idx="187">
                  <c:v>-1.1772518715286241E-2</c:v>
                </c:pt>
                <c:pt idx="188">
                  <c:v>1.7783324460580282E-2</c:v>
                </c:pt>
                <c:pt idx="189">
                  <c:v>1.3476742258376577E-3</c:v>
                </c:pt>
                <c:pt idx="190">
                  <c:v>-3.1527102032777548E-3</c:v>
                </c:pt>
                <c:pt idx="191">
                  <c:v>1.205799060215507E-2</c:v>
                </c:pt>
                <c:pt idx="192">
                  <c:v>1.1388071525577441E-3</c:v>
                </c:pt>
                <c:pt idx="193">
                  <c:v>1.0537174025166523E-2</c:v>
                </c:pt>
                <c:pt idx="194">
                  <c:v>-1.0667811427660516E-2</c:v>
                </c:pt>
                <c:pt idx="195">
                  <c:v>-8.1312993542167773E-3</c:v>
                </c:pt>
                <c:pt idx="196">
                  <c:v>-3.102200182398603E-3</c:v>
                </c:pt>
                <c:pt idx="197">
                  <c:v>6.2237075514985302E-3</c:v>
                </c:pt>
                <c:pt idx="198">
                  <c:v>1.2643176875207972E-4</c:v>
                </c:pt>
                <c:pt idx="199">
                  <c:v>8.1190183317093201E-3</c:v>
                </c:pt>
                <c:pt idx="200">
                  <c:v>-5.2878369886521781E-3</c:v>
                </c:pt>
                <c:pt idx="201">
                  <c:v>2.9674683316595323E-3</c:v>
                </c:pt>
                <c:pt idx="202">
                  <c:v>8.3323447500573892E-4</c:v>
                </c:pt>
                <c:pt idx="203">
                  <c:v>-1.291708176114828E-2</c:v>
                </c:pt>
                <c:pt idx="204">
                  <c:v>3.7339890210429856E-3</c:v>
                </c:pt>
                <c:pt idx="205">
                  <c:v>-1.0439632433787275E-3</c:v>
                </c:pt>
                <c:pt idx="206">
                  <c:v>9.1403038783916986E-3</c:v>
                </c:pt>
                <c:pt idx="207">
                  <c:v>1.1798363967731354E-2</c:v>
                </c:pt>
                <c:pt idx="208">
                  <c:v>-5.7487073437397559E-3</c:v>
                </c:pt>
                <c:pt idx="209">
                  <c:v>9.0177011532995201E-3</c:v>
                </c:pt>
                <c:pt idx="210">
                  <c:v>-8.7826129317357014E-4</c:v>
                </c:pt>
                <c:pt idx="211">
                  <c:v>-3.7905699646436412E-3</c:v>
                </c:pt>
                <c:pt idx="212">
                  <c:v>3.2260635731695144E-3</c:v>
                </c:pt>
                <c:pt idx="213">
                  <c:v>-5.3162721975968637E-3</c:v>
                </c:pt>
                <c:pt idx="214">
                  <c:v>9.5262651939585097E-3</c:v>
                </c:pt>
                <c:pt idx="215">
                  <c:v>4.5543889262136799E-3</c:v>
                </c:pt>
                <c:pt idx="216">
                  <c:v>2.850687799249563E-3</c:v>
                </c:pt>
                <c:pt idx="217">
                  <c:v>2.8384508121281774E-4</c:v>
                </c:pt>
                <c:pt idx="218">
                  <c:v>2.6723456307143424E-4</c:v>
                </c:pt>
                <c:pt idx="219">
                  <c:v>6.6391424337738369E-3</c:v>
                </c:pt>
                <c:pt idx="220">
                  <c:v>5.3463279564524404E-3</c:v>
                </c:pt>
                <c:pt idx="221">
                  <c:v>4.8878928038296422E-3</c:v>
                </c:pt>
                <c:pt idx="222">
                  <c:v>5.7781707830660564E-3</c:v>
                </c:pt>
                <c:pt idx="223">
                  <c:v>9.5309773593847576E-3</c:v>
                </c:pt>
                <c:pt idx="224">
                  <c:v>-7.0964171162220067E-3</c:v>
                </c:pt>
                <c:pt idx="225">
                  <c:v>3.9288429456785416E-3</c:v>
                </c:pt>
                <c:pt idx="226">
                  <c:v>1.2513730584852761E-2</c:v>
                </c:pt>
                <c:pt idx="227">
                  <c:v>6.0586279619224094E-3</c:v>
                </c:pt>
                <c:pt idx="228">
                  <c:v>4.3921576868670691E-3</c:v>
                </c:pt>
                <c:pt idx="229">
                  <c:v>-4.8528771376002621E-3</c:v>
                </c:pt>
                <c:pt idx="230">
                  <c:v>1.0963350372541071E-2</c:v>
                </c:pt>
                <c:pt idx="231">
                  <c:v>-8.8518235926438754E-4</c:v>
                </c:pt>
                <c:pt idx="232">
                  <c:v>-6.5335158173009701E-3</c:v>
                </c:pt>
                <c:pt idx="233">
                  <c:v>-3.1664549585532641E-3</c:v>
                </c:pt>
                <c:pt idx="234">
                  <c:v>-2.0173092384250312E-2</c:v>
                </c:pt>
                <c:pt idx="235">
                  <c:v>-1.1074523768663412E-3</c:v>
                </c:pt>
                <c:pt idx="236">
                  <c:v>4.0414479953826922E-3</c:v>
                </c:pt>
                <c:pt idx="237">
                  <c:v>7.8083955291220475E-3</c:v>
                </c:pt>
                <c:pt idx="238">
                  <c:v>1.1381091470548466E-2</c:v>
                </c:pt>
                <c:pt idx="239">
                  <c:v>-3.3759059467881394E-3</c:v>
                </c:pt>
                <c:pt idx="240">
                  <c:v>6.5101699197776851E-3</c:v>
                </c:pt>
                <c:pt idx="241">
                  <c:v>-3.5837795079985569E-3</c:v>
                </c:pt>
                <c:pt idx="242">
                  <c:v>4.1372849018625861E-3</c:v>
                </c:pt>
                <c:pt idx="243">
                  <c:v>-7.3963047225273075E-4</c:v>
                </c:pt>
                <c:pt idx="244">
                  <c:v>1.0563882194012894E-2</c:v>
                </c:pt>
                <c:pt idx="245">
                  <c:v>7.2338206348941203E-4</c:v>
                </c:pt>
                <c:pt idx="246">
                  <c:v>-3.2328227197608227E-5</c:v>
                </c:pt>
                <c:pt idx="247">
                  <c:v>1.1740698545053422E-2</c:v>
                </c:pt>
              </c:numCache>
            </c:numRef>
          </c:xVal>
          <c:yVal>
            <c:numRef>
              <c:f>beta!$H$499:$H$746</c:f>
              <c:numCache>
                <c:formatCode>0.0000</c:formatCode>
                <c:ptCount val="248"/>
                <c:pt idx="0">
                  <c:v>-1.4145810663764854E-2</c:v>
                </c:pt>
                <c:pt idx="1">
                  <c:v>4.4150110375274993E-3</c:v>
                </c:pt>
                <c:pt idx="2">
                  <c:v>1.4285714285714372E-2</c:v>
                </c:pt>
                <c:pt idx="3">
                  <c:v>9.7508125677139602E-3</c:v>
                </c:pt>
                <c:pt idx="4">
                  <c:v>1.8240343347639475E-2</c:v>
                </c:pt>
                <c:pt idx="5">
                  <c:v>4.2149631190726185E-3</c:v>
                </c:pt>
                <c:pt idx="6">
                  <c:v>9.4438614900314646E-3</c:v>
                </c:pt>
                <c:pt idx="7">
                  <c:v>4.1580041580042545E-3</c:v>
                </c:pt>
                <c:pt idx="8">
                  <c:v>0</c:v>
                </c:pt>
                <c:pt idx="9">
                  <c:v>0</c:v>
                </c:pt>
                <c:pt idx="10">
                  <c:v>-9.3167701863353884E-3</c:v>
                </c:pt>
                <c:pt idx="11">
                  <c:v>-8.3594566353187121E-3</c:v>
                </c:pt>
                <c:pt idx="12">
                  <c:v>-3.1612223393045383E-2</c:v>
                </c:pt>
                <c:pt idx="13">
                  <c:v>0</c:v>
                </c:pt>
                <c:pt idx="14">
                  <c:v>4.3525571273123967E-3</c:v>
                </c:pt>
                <c:pt idx="15">
                  <c:v>0</c:v>
                </c:pt>
                <c:pt idx="16">
                  <c:v>4.3336944745394528E-3</c:v>
                </c:pt>
                <c:pt idx="17">
                  <c:v>5.3937432578210045E-3</c:v>
                </c:pt>
                <c:pt idx="18">
                  <c:v>2.2532188841201617E-2</c:v>
                </c:pt>
                <c:pt idx="19">
                  <c:v>6.8205666316894065E-2</c:v>
                </c:pt>
                <c:pt idx="20">
                  <c:v>-4.9115913555991099E-3</c:v>
                </c:pt>
                <c:pt idx="21">
                  <c:v>-1.6781836130306014E-2</c:v>
                </c:pt>
                <c:pt idx="22">
                  <c:v>-8.0321285140562311E-3</c:v>
                </c:pt>
                <c:pt idx="23">
                  <c:v>-9.1093117408908523E-3</c:v>
                </c:pt>
                <c:pt idx="24">
                  <c:v>-3.4729315628192023E-2</c:v>
                </c:pt>
                <c:pt idx="25">
                  <c:v>0</c:v>
                </c:pt>
                <c:pt idx="26">
                  <c:v>4.2328042328043311E-3</c:v>
                </c:pt>
                <c:pt idx="27">
                  <c:v>-1.3698630136986384E-2</c:v>
                </c:pt>
                <c:pt idx="28">
                  <c:v>1.3888888888888973E-2</c:v>
                </c:pt>
                <c:pt idx="29">
                  <c:v>-9.4836670179135781E-3</c:v>
                </c:pt>
                <c:pt idx="30">
                  <c:v>-8.5106382978723475E-3</c:v>
                </c:pt>
                <c:pt idx="31">
                  <c:v>-9.6566523605150067E-3</c:v>
                </c:pt>
                <c:pt idx="32">
                  <c:v>-4.3336944745396445E-3</c:v>
                </c:pt>
                <c:pt idx="33">
                  <c:v>8.7051142546246008E-3</c:v>
                </c:pt>
                <c:pt idx="34">
                  <c:v>-4.3149946062566507E-3</c:v>
                </c:pt>
                <c:pt idx="35">
                  <c:v>1.4084507042253412E-2</c:v>
                </c:pt>
                <c:pt idx="36">
                  <c:v>-4.2735042735041829E-3</c:v>
                </c:pt>
                <c:pt idx="37">
                  <c:v>-1.8240343347639475E-2</c:v>
                </c:pt>
                <c:pt idx="38">
                  <c:v>0</c:v>
                </c:pt>
                <c:pt idx="39">
                  <c:v>-5.4644808743170171E-3</c:v>
                </c:pt>
                <c:pt idx="40">
                  <c:v>5.494505494505573E-3</c:v>
                </c:pt>
                <c:pt idx="41">
                  <c:v>-5.4644808743170171E-3</c:v>
                </c:pt>
                <c:pt idx="42">
                  <c:v>-1.8681318681318674E-2</c:v>
                </c:pt>
                <c:pt idx="43">
                  <c:v>1.0078387458006703E-2</c:v>
                </c:pt>
                <c:pt idx="44">
                  <c:v>-9.9778270509977667E-3</c:v>
                </c:pt>
                <c:pt idx="45">
                  <c:v>0</c:v>
                </c:pt>
                <c:pt idx="46">
                  <c:v>0</c:v>
                </c:pt>
                <c:pt idx="47">
                  <c:v>4.4792833146697561E-3</c:v>
                </c:pt>
                <c:pt idx="48">
                  <c:v>2.8985507246376784E-2</c:v>
                </c:pt>
                <c:pt idx="49">
                  <c:v>-1.4084507042253605E-2</c:v>
                </c:pt>
                <c:pt idx="50">
                  <c:v>5.494505494505573E-3</c:v>
                </c:pt>
                <c:pt idx="51">
                  <c:v>-5.4644808743170171E-3</c:v>
                </c:pt>
                <c:pt idx="52">
                  <c:v>3.8461538461538422E-2</c:v>
                </c:pt>
                <c:pt idx="53">
                  <c:v>-5.2910052910051788E-3</c:v>
                </c:pt>
                <c:pt idx="54">
                  <c:v>-4.2553191489362683E-3</c:v>
                </c:pt>
                <c:pt idx="55">
                  <c:v>0</c:v>
                </c:pt>
                <c:pt idx="56">
                  <c:v>4.2735042735043728E-3</c:v>
                </c:pt>
                <c:pt idx="57">
                  <c:v>9.5744680851063673E-3</c:v>
                </c:pt>
                <c:pt idx="58">
                  <c:v>8.4299262381454243E-3</c:v>
                </c:pt>
                <c:pt idx="59">
                  <c:v>-4.1797283176594488E-3</c:v>
                </c:pt>
                <c:pt idx="60">
                  <c:v>3.1479538300105012E-2</c:v>
                </c:pt>
                <c:pt idx="61">
                  <c:v>5.0864699898271323E-3</c:v>
                </c:pt>
                <c:pt idx="62">
                  <c:v>8.097165991902841E-3</c:v>
                </c:pt>
                <c:pt idx="63">
                  <c:v>-4.0160642570282049E-3</c:v>
                </c:pt>
                <c:pt idx="64">
                  <c:v>2.1169354838709763E-2</c:v>
                </c:pt>
                <c:pt idx="65">
                  <c:v>3.8499506416584284E-2</c:v>
                </c:pt>
                <c:pt idx="66">
                  <c:v>-1.2357414448669108E-2</c:v>
                </c:pt>
                <c:pt idx="67">
                  <c:v>3.272377285851779E-2</c:v>
                </c:pt>
                <c:pt idx="68">
                  <c:v>-2.3299161230195712E-2</c:v>
                </c:pt>
                <c:pt idx="69">
                  <c:v>2.3854961832061067E-2</c:v>
                </c:pt>
                <c:pt idx="70">
                  <c:v>4.6598322460390433E-3</c:v>
                </c:pt>
                <c:pt idx="71">
                  <c:v>-4.638218923933111E-3</c:v>
                </c:pt>
                <c:pt idx="72">
                  <c:v>4.8462255358807042E-2</c:v>
                </c:pt>
                <c:pt idx="73">
                  <c:v>-3.5555555555554798E-3</c:v>
                </c:pt>
                <c:pt idx="74">
                  <c:v>3.5682426404994778E-3</c:v>
                </c:pt>
                <c:pt idx="75">
                  <c:v>-1.1555555555555624E-2</c:v>
                </c:pt>
                <c:pt idx="76">
                  <c:v>-1.8884892086330853E-2</c:v>
                </c:pt>
                <c:pt idx="77">
                  <c:v>3.116406966086158E-2</c:v>
                </c:pt>
                <c:pt idx="78">
                  <c:v>6.8444444444444405E-2</c:v>
                </c:pt>
                <c:pt idx="79">
                  <c:v>-2.8286189683860222E-2</c:v>
                </c:pt>
                <c:pt idx="80">
                  <c:v>-3.4246575342465023E-3</c:v>
                </c:pt>
                <c:pt idx="81">
                  <c:v>4.3814432989690698E-2</c:v>
                </c:pt>
                <c:pt idx="82">
                  <c:v>-3.2098765432098809E-2</c:v>
                </c:pt>
                <c:pt idx="83">
                  <c:v>2.9761904761904732E-2</c:v>
                </c:pt>
                <c:pt idx="84">
                  <c:v>-2.8901734104046214E-2</c:v>
                </c:pt>
                <c:pt idx="85">
                  <c:v>-6.80272108843538E-3</c:v>
                </c:pt>
                <c:pt idx="86">
                  <c:v>6.8493150684931572E-3</c:v>
                </c:pt>
                <c:pt idx="87">
                  <c:v>0</c:v>
                </c:pt>
                <c:pt idx="88">
                  <c:v>-2.1258503401360544E-2</c:v>
                </c:pt>
                <c:pt idx="89">
                  <c:v>0</c:v>
                </c:pt>
                <c:pt idx="90">
                  <c:v>-4.3440486533448249E-3</c:v>
                </c:pt>
                <c:pt idx="91">
                  <c:v>-2.6178010471204247E-2</c:v>
                </c:pt>
                <c:pt idx="92">
                  <c:v>-1.1648745519713332E-2</c:v>
                </c:pt>
                <c:pt idx="93">
                  <c:v>-3.6264732547596689E-3</c:v>
                </c:pt>
                <c:pt idx="94">
                  <c:v>2.3657870791628732E-2</c:v>
                </c:pt>
                <c:pt idx="95">
                  <c:v>0</c:v>
                </c:pt>
                <c:pt idx="96">
                  <c:v>-1.9555555555555611E-2</c:v>
                </c:pt>
                <c:pt idx="97">
                  <c:v>-1.5412511332728916E-2</c:v>
                </c:pt>
                <c:pt idx="98">
                  <c:v>0</c:v>
                </c:pt>
                <c:pt idx="99">
                  <c:v>0</c:v>
                </c:pt>
                <c:pt idx="100">
                  <c:v>-1.1970534069981493E-2</c:v>
                </c:pt>
                <c:pt idx="101">
                  <c:v>-3.7278657968313998E-3</c:v>
                </c:pt>
                <c:pt idx="102">
                  <c:v>-3.7418147801683019E-3</c:v>
                </c:pt>
                <c:pt idx="103">
                  <c:v>-4.413145539906109E-2</c:v>
                </c:pt>
                <c:pt idx="104">
                  <c:v>2.0628683693516784E-2</c:v>
                </c:pt>
                <c:pt idx="105">
                  <c:v>2.1174205967276115E-2</c:v>
                </c:pt>
                <c:pt idx="106">
                  <c:v>-4.71253534401498E-3</c:v>
                </c:pt>
                <c:pt idx="107">
                  <c:v>4.071969696969694E-2</c:v>
                </c:pt>
                <c:pt idx="108">
                  <c:v>-1.5468607825295716E-2</c:v>
                </c:pt>
                <c:pt idx="109">
                  <c:v>1.571164510166358E-2</c:v>
                </c:pt>
                <c:pt idx="110">
                  <c:v>2.0018198362147466E-2</c:v>
                </c:pt>
                <c:pt idx="111">
                  <c:v>-3.8358608385370335E-2</c:v>
                </c:pt>
                <c:pt idx="112">
                  <c:v>-1.5769944341372907E-2</c:v>
                </c:pt>
                <c:pt idx="113">
                  <c:v>1.1310084825636287E-2</c:v>
                </c:pt>
                <c:pt idx="114">
                  <c:v>1.2115563839701677E-2</c:v>
                </c:pt>
                <c:pt idx="115">
                  <c:v>1.5653775322283604E-2</c:v>
                </c:pt>
                <c:pt idx="116">
                  <c:v>0</c:v>
                </c:pt>
                <c:pt idx="117">
                  <c:v>1.1786038077969246E-2</c:v>
                </c:pt>
                <c:pt idx="118">
                  <c:v>3.1362007168458751E-2</c:v>
                </c:pt>
                <c:pt idx="119">
                  <c:v>1.4769765421372713E-2</c:v>
                </c:pt>
                <c:pt idx="120">
                  <c:v>-1.4554794520547939E-2</c:v>
                </c:pt>
                <c:pt idx="121">
                  <c:v>-7.8192875760208398E-3</c:v>
                </c:pt>
                <c:pt idx="122">
                  <c:v>-1.8388791593695192E-2</c:v>
                </c:pt>
                <c:pt idx="123">
                  <c:v>-4.4603033006245059E-3</c:v>
                </c:pt>
                <c:pt idx="124">
                  <c:v>8.0645161290322457E-3</c:v>
                </c:pt>
                <c:pt idx="125">
                  <c:v>1.5111111111111105E-2</c:v>
                </c:pt>
                <c:pt idx="126">
                  <c:v>-2.2767075306479843E-2</c:v>
                </c:pt>
                <c:pt idx="127">
                  <c:v>-3.5842293906810864E-3</c:v>
                </c:pt>
                <c:pt idx="128">
                  <c:v>-3.5971223021581968E-3</c:v>
                </c:pt>
                <c:pt idx="129">
                  <c:v>0</c:v>
                </c:pt>
                <c:pt idx="130">
                  <c:v>-1.9855595667870093E-2</c:v>
                </c:pt>
                <c:pt idx="131">
                  <c:v>0</c:v>
                </c:pt>
                <c:pt idx="132">
                  <c:v>3.5911602209944805E-2</c:v>
                </c:pt>
                <c:pt idx="133">
                  <c:v>7.999999999999988E-3</c:v>
                </c:pt>
                <c:pt idx="134">
                  <c:v>7.0546737213403946E-3</c:v>
                </c:pt>
                <c:pt idx="135">
                  <c:v>1.1383537653239998E-2</c:v>
                </c:pt>
                <c:pt idx="136">
                  <c:v>7.7922077922077792E-3</c:v>
                </c:pt>
                <c:pt idx="137">
                  <c:v>-7.7319587628865852E-3</c:v>
                </c:pt>
                <c:pt idx="138">
                  <c:v>1.1255411255411168E-2</c:v>
                </c:pt>
                <c:pt idx="139">
                  <c:v>-3.4246575342465023E-3</c:v>
                </c:pt>
                <c:pt idx="140">
                  <c:v>3.4364261168384146E-3</c:v>
                </c:pt>
                <c:pt idx="141">
                  <c:v>3.4246575342466545E-3</c:v>
                </c:pt>
                <c:pt idx="142">
                  <c:v>3.4982935153583625E-2</c:v>
                </c:pt>
                <c:pt idx="143">
                  <c:v>1.566364385820276E-2</c:v>
                </c:pt>
                <c:pt idx="144">
                  <c:v>0</c:v>
                </c:pt>
                <c:pt idx="145">
                  <c:v>-8.1168831168830884E-3</c:v>
                </c:pt>
                <c:pt idx="146">
                  <c:v>0</c:v>
                </c:pt>
                <c:pt idx="147">
                  <c:v>-3.2733224222586681E-3</c:v>
                </c:pt>
                <c:pt idx="148">
                  <c:v>7.3891625615763431E-3</c:v>
                </c:pt>
                <c:pt idx="149">
                  <c:v>-2.6894865525672378E-2</c:v>
                </c:pt>
                <c:pt idx="150">
                  <c:v>1.1725293132328356E-2</c:v>
                </c:pt>
                <c:pt idx="151">
                  <c:v>-7.4503311258278032E-3</c:v>
                </c:pt>
                <c:pt idx="152">
                  <c:v>1.9182652210175181E-2</c:v>
                </c:pt>
                <c:pt idx="153">
                  <c:v>8.1833060556464523E-3</c:v>
                </c:pt>
                <c:pt idx="154">
                  <c:v>-8.1168831168830884E-3</c:v>
                </c:pt>
                <c:pt idx="155">
                  <c:v>-3.764320785597388E-2</c:v>
                </c:pt>
                <c:pt idx="156">
                  <c:v>2.3809523809523756E-2</c:v>
                </c:pt>
                <c:pt idx="157">
                  <c:v>0</c:v>
                </c:pt>
                <c:pt idx="158">
                  <c:v>3.3222591362127014E-3</c:v>
                </c:pt>
                <c:pt idx="159">
                  <c:v>-1.1589403973509981E-2</c:v>
                </c:pt>
                <c:pt idx="160">
                  <c:v>0</c:v>
                </c:pt>
                <c:pt idx="161">
                  <c:v>-3.3500837520937313E-3</c:v>
                </c:pt>
                <c:pt idx="162">
                  <c:v>0</c:v>
                </c:pt>
                <c:pt idx="163">
                  <c:v>7.5630252100840215E-3</c:v>
                </c:pt>
                <c:pt idx="164">
                  <c:v>0</c:v>
                </c:pt>
                <c:pt idx="165">
                  <c:v>7.5062552126772195E-3</c:v>
                </c:pt>
                <c:pt idx="166">
                  <c:v>0</c:v>
                </c:pt>
                <c:pt idx="167">
                  <c:v>-3.3112582781457717E-3</c:v>
                </c:pt>
                <c:pt idx="168">
                  <c:v>-8.3056478405315326E-3</c:v>
                </c:pt>
                <c:pt idx="169">
                  <c:v>4.1876046901173124E-3</c:v>
                </c:pt>
                <c:pt idx="170">
                  <c:v>0</c:v>
                </c:pt>
                <c:pt idx="171">
                  <c:v>-7.5062552126772195E-3</c:v>
                </c:pt>
                <c:pt idx="172">
                  <c:v>3.3613445378150543E-3</c:v>
                </c:pt>
                <c:pt idx="173">
                  <c:v>-3.3500837520937313E-3</c:v>
                </c:pt>
                <c:pt idx="174">
                  <c:v>0</c:v>
                </c:pt>
                <c:pt idx="175">
                  <c:v>2.3529411764705827E-2</c:v>
                </c:pt>
                <c:pt idx="176">
                  <c:v>1.1494252873563265E-2</c:v>
                </c:pt>
                <c:pt idx="177">
                  <c:v>-8.1168831168830884E-3</c:v>
                </c:pt>
                <c:pt idx="178">
                  <c:v>3.4369885433715212E-2</c:v>
                </c:pt>
                <c:pt idx="179">
                  <c:v>1.5031645569620214E-2</c:v>
                </c:pt>
                <c:pt idx="180">
                  <c:v>1.7926734216679691E-2</c:v>
                </c:pt>
                <c:pt idx="181">
                  <c:v>-1.071975497702914E-2</c:v>
                </c:pt>
                <c:pt idx="182">
                  <c:v>3.8699690402477331E-3</c:v>
                </c:pt>
                <c:pt idx="183">
                  <c:v>-3.238242097147262E-2</c:v>
                </c:pt>
                <c:pt idx="184">
                  <c:v>1.5139442231075656E-2</c:v>
                </c:pt>
                <c:pt idx="185">
                  <c:v>2.5117739403453711E-2</c:v>
                </c:pt>
                <c:pt idx="186">
                  <c:v>3.8284839203674525E-3</c:v>
                </c:pt>
                <c:pt idx="187">
                  <c:v>3.813882532418056E-3</c:v>
                </c:pt>
                <c:pt idx="188">
                  <c:v>1.3677811550151953E-2</c:v>
                </c:pt>
                <c:pt idx="189">
                  <c:v>5.2473763118440729E-2</c:v>
                </c:pt>
                <c:pt idx="190">
                  <c:v>-2.9914529914529912E-2</c:v>
                </c:pt>
                <c:pt idx="191">
                  <c:v>-2.7165932452276009E-2</c:v>
                </c:pt>
                <c:pt idx="192">
                  <c:v>2.7924528301886735E-2</c:v>
                </c:pt>
                <c:pt idx="193">
                  <c:v>6.9016152716593338E-2</c:v>
                </c:pt>
                <c:pt idx="194">
                  <c:v>4.120879120879118E-2</c:v>
                </c:pt>
                <c:pt idx="195">
                  <c:v>-9.2348284960422546E-3</c:v>
                </c:pt>
                <c:pt idx="196">
                  <c:v>-5.9920106524633731E-3</c:v>
                </c:pt>
                <c:pt idx="197">
                  <c:v>0</c:v>
                </c:pt>
                <c:pt idx="198">
                  <c:v>3.3489618218352788E-3</c:v>
                </c:pt>
                <c:pt idx="199">
                  <c:v>-6.6755674232309506E-3</c:v>
                </c:pt>
                <c:pt idx="200">
                  <c:v>-2.1505376344086041E-2</c:v>
                </c:pt>
                <c:pt idx="201">
                  <c:v>1.5796703296703202E-2</c:v>
                </c:pt>
                <c:pt idx="202">
                  <c:v>-2.2312373225152015E-2</c:v>
                </c:pt>
                <c:pt idx="203">
                  <c:v>-1.2448132780083091E-2</c:v>
                </c:pt>
                <c:pt idx="204">
                  <c:v>4.5518207282913191E-2</c:v>
                </c:pt>
                <c:pt idx="205">
                  <c:v>-9.3770931011386855E-3</c:v>
                </c:pt>
                <c:pt idx="206">
                  <c:v>-1.2846517917511799E-2</c:v>
                </c:pt>
                <c:pt idx="207">
                  <c:v>2.8767123287671229E-2</c:v>
                </c:pt>
                <c:pt idx="208">
                  <c:v>6.5246338215712407E-2</c:v>
                </c:pt>
                <c:pt idx="209">
                  <c:v>6.7499999999999893E-2</c:v>
                </c:pt>
                <c:pt idx="210">
                  <c:v>-1.6393442622950678E-2</c:v>
                </c:pt>
                <c:pt idx="211">
                  <c:v>-5.9523809523810371E-3</c:v>
                </c:pt>
                <c:pt idx="212">
                  <c:v>1.976047904191628E-2</c:v>
                </c:pt>
                <c:pt idx="213">
                  <c:v>1.9377568995889504E-2</c:v>
                </c:pt>
                <c:pt idx="214">
                  <c:v>-1.0944700460829362E-2</c:v>
                </c:pt>
                <c:pt idx="215">
                  <c:v>-2.1549213744903959E-2</c:v>
                </c:pt>
                <c:pt idx="216">
                  <c:v>-5.9523809523810371E-3</c:v>
                </c:pt>
                <c:pt idx="217">
                  <c:v>5.9880239520958937E-3</c:v>
                </c:pt>
                <c:pt idx="218">
                  <c:v>-1.1309523809523886E-2</c:v>
                </c:pt>
                <c:pt idx="219">
                  <c:v>0</c:v>
                </c:pt>
                <c:pt idx="220">
                  <c:v>0</c:v>
                </c:pt>
                <c:pt idx="221">
                  <c:v>1.3847080072245662E-2</c:v>
                </c:pt>
                <c:pt idx="222">
                  <c:v>1.1282660332541643E-2</c:v>
                </c:pt>
                <c:pt idx="223">
                  <c:v>1.1156782149148427E-2</c:v>
                </c:pt>
                <c:pt idx="224">
                  <c:v>1.0452961672473851E-2</c:v>
                </c:pt>
                <c:pt idx="225">
                  <c:v>-3.4482758620689537E-2</c:v>
                </c:pt>
                <c:pt idx="226">
                  <c:v>5.3571428571428485E-3</c:v>
                </c:pt>
                <c:pt idx="227">
                  <c:v>2.9603315571344411E-3</c:v>
                </c:pt>
                <c:pt idx="228">
                  <c:v>2.1841794569067145E-2</c:v>
                </c:pt>
                <c:pt idx="229">
                  <c:v>-2.9462738301559679E-2</c:v>
                </c:pt>
                <c:pt idx="230">
                  <c:v>5.3571428571428485E-3</c:v>
                </c:pt>
                <c:pt idx="231">
                  <c:v>-1.65778567199527E-2</c:v>
                </c:pt>
                <c:pt idx="232">
                  <c:v>-1.3847080072245662E-2</c:v>
                </c:pt>
                <c:pt idx="233">
                  <c:v>8.5470085470085826E-3</c:v>
                </c:pt>
                <c:pt idx="234">
                  <c:v>-2.3002421307505995E-2</c:v>
                </c:pt>
                <c:pt idx="235">
                  <c:v>-1.7348203221809241E-2</c:v>
                </c:pt>
                <c:pt idx="236">
                  <c:v>-1.4501891551071793E-2</c:v>
                </c:pt>
                <c:pt idx="237">
                  <c:v>3.9027511196416995E-2</c:v>
                </c:pt>
                <c:pt idx="238">
                  <c:v>2.4630541871922848E-3</c:v>
                </c:pt>
                <c:pt idx="239">
                  <c:v>-2.5798525798525901E-2</c:v>
                </c:pt>
                <c:pt idx="240">
                  <c:v>3.5308953341740369E-2</c:v>
                </c:pt>
                <c:pt idx="241">
                  <c:v>6.0901339829474944E-3</c:v>
                </c:pt>
                <c:pt idx="242">
                  <c:v>2.4213075060532173E-3</c:v>
                </c:pt>
                <c:pt idx="243">
                  <c:v>5.9178743961352684E-2</c:v>
                </c:pt>
                <c:pt idx="244">
                  <c:v>-1.824401368301028E-2</c:v>
                </c:pt>
                <c:pt idx="245">
                  <c:v>0</c:v>
                </c:pt>
                <c:pt idx="246">
                  <c:v>8.130081300813042E-3</c:v>
                </c:pt>
                <c:pt idx="247">
                  <c:v>6.9700460829493133E-2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9C-4CCE-8059-83E88D66A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388368"/>
        <c:axId val="1"/>
      </c:scatterChart>
      <c:valAx>
        <c:axId val="330388368"/>
        <c:scaling>
          <c:orientation val="minMax"/>
          <c:max val="0.08"/>
          <c:min val="-0.08"/>
        </c:scaling>
        <c:delete val="0"/>
        <c:axPos val="b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市場報酬率</a:t>
                </a:r>
                <a:r>
                  <a:rPr lang="en-US" altLang="zh-TW"/>
                  <a:t>(</a:t>
                </a:r>
                <a:r>
                  <a:rPr lang="zh-TW" altLang="en-US"/>
                  <a:t>每日</a:t>
                </a:r>
                <a:r>
                  <a:rPr lang="en-US" altLang="zh-TW"/>
                  <a:t>)</a:t>
                </a:r>
              </a:p>
            </c:rich>
          </c:tx>
          <c:layout>
            <c:manualLayout>
              <c:xMode val="edge"/>
              <c:yMode val="edge"/>
              <c:x val="0.40655559371964406"/>
              <c:y val="0.89892861241536459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crossBetween val="midCat"/>
        <c:majorUnit val="0.02"/>
      </c:valAx>
      <c:valAx>
        <c:axId val="1"/>
        <c:scaling>
          <c:orientation val="minMax"/>
          <c:min val="-0.08"/>
        </c:scaling>
        <c:delete val="0"/>
        <c:axPos val="l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個股報酬率</a:t>
                </a:r>
                <a:r>
                  <a:rPr lang="en-US" altLang="zh-TW"/>
                  <a:t>(</a:t>
                </a:r>
                <a:r>
                  <a:rPr lang="zh-TW" altLang="en-US"/>
                  <a:t>每日</a:t>
                </a:r>
                <a:r>
                  <a:rPr lang="en-US" altLang="zh-TW"/>
                  <a:t>)</a:t>
                </a:r>
              </a:p>
            </c:rich>
          </c:tx>
          <c:layout>
            <c:manualLayout>
              <c:xMode val="edge"/>
              <c:yMode val="edge"/>
              <c:x val="4.4394001613064588E-2"/>
              <c:y val="0.34726337594529977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33038836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20116324331944"/>
          <c:y val="7.0331822976263239E-2"/>
          <c:w val="0.77572676502828641"/>
          <c:h val="0.79782661688698608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9466791977147657"/>
                  <c:y val="0.4068998886532590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25" b="0" i="0" u="none" strike="noStrike" baseline="0">
                      <a:solidFill>
                        <a:srgbClr val="000000"/>
                      </a:solidFill>
                      <a:latin typeface="新細明體"/>
                      <a:ea typeface="新細明體"/>
                      <a:cs typeface="新細明體"/>
                    </a:defRPr>
                  </a:pPr>
                  <a:endParaRPr lang="zh-TW"/>
                </a:p>
              </c:txPr>
            </c:trendlineLbl>
          </c:trendline>
          <c:xVal>
            <c:numRef>
              <c:f>beta!$F$499:$F$746</c:f>
              <c:numCache>
                <c:formatCode>0.0000</c:formatCode>
                <c:ptCount val="248"/>
                <c:pt idx="0">
                  <c:v>-1.3175858309128687E-2</c:v>
                </c:pt>
                <c:pt idx="1">
                  <c:v>2.0072546525411405E-2</c:v>
                </c:pt>
                <c:pt idx="2">
                  <c:v>3.7425456288673847E-3</c:v>
                </c:pt>
                <c:pt idx="3">
                  <c:v>1.4120886760856335E-2</c:v>
                </c:pt>
                <c:pt idx="4">
                  <c:v>-2.2429644687602269E-3</c:v>
                </c:pt>
                <c:pt idx="5">
                  <c:v>7.1054935009456002E-3</c:v>
                </c:pt>
                <c:pt idx="6">
                  <c:v>-5.1895544458271754E-3</c:v>
                </c:pt>
                <c:pt idx="7">
                  <c:v>4.2475474848675627E-3</c:v>
                </c:pt>
                <c:pt idx="8">
                  <c:v>-1.5261531883686722E-3</c:v>
                </c:pt>
                <c:pt idx="9">
                  <c:v>-6.4321303197775832E-3</c:v>
                </c:pt>
                <c:pt idx="10">
                  <c:v>6.2597738819427182E-3</c:v>
                </c:pt>
                <c:pt idx="11">
                  <c:v>-1.9541416202422195E-3</c:v>
                </c:pt>
                <c:pt idx="12">
                  <c:v>-3.1607619683387357E-2</c:v>
                </c:pt>
                <c:pt idx="13">
                  <c:v>2.0572648993986524E-3</c:v>
                </c:pt>
                <c:pt idx="14">
                  <c:v>-3.9402422189429298E-3</c:v>
                </c:pt>
                <c:pt idx="15">
                  <c:v>-1.6134726352512761E-2</c:v>
                </c:pt>
                <c:pt idx="16">
                  <c:v>1.0963699296612072E-2</c:v>
                </c:pt>
                <c:pt idx="17">
                  <c:v>1.2436569465928185E-2</c:v>
                </c:pt>
                <c:pt idx="18">
                  <c:v>9.5557685183200822E-3</c:v>
                </c:pt>
                <c:pt idx="19">
                  <c:v>1.9009492615169935E-2</c:v>
                </c:pt>
                <c:pt idx="20">
                  <c:v>1.785724915027632E-5</c:v>
                </c:pt>
                <c:pt idx="21">
                  <c:v>-1.4281079987143048E-2</c:v>
                </c:pt>
                <c:pt idx="22">
                  <c:v>9.0880133331125792E-4</c:v>
                </c:pt>
                <c:pt idx="23">
                  <c:v>-5.3106047694389154E-3</c:v>
                </c:pt>
                <c:pt idx="24">
                  <c:v>-4.947747660320384E-3</c:v>
                </c:pt>
                <c:pt idx="25">
                  <c:v>7.7229137999083085E-3</c:v>
                </c:pt>
                <c:pt idx="26">
                  <c:v>-2.1896364265981054E-3</c:v>
                </c:pt>
                <c:pt idx="27">
                  <c:v>1.2948416986310583E-2</c:v>
                </c:pt>
                <c:pt idx="28">
                  <c:v>-1.5230560463679738E-3</c:v>
                </c:pt>
                <c:pt idx="29">
                  <c:v>1.9179621651995028E-3</c:v>
                </c:pt>
                <c:pt idx="30">
                  <c:v>-8.231449701265969E-3</c:v>
                </c:pt>
                <c:pt idx="31">
                  <c:v>-1.5201665985574989E-2</c:v>
                </c:pt>
                <c:pt idx="32">
                  <c:v>-8.576416004409974E-3</c:v>
                </c:pt>
                <c:pt idx="33">
                  <c:v>9.8120527778164917E-3</c:v>
                </c:pt>
                <c:pt idx="34">
                  <c:v>3.5804852085123862E-3</c:v>
                </c:pt>
                <c:pt idx="35">
                  <c:v>7.8882838562979347E-3</c:v>
                </c:pt>
                <c:pt idx="36">
                  <c:v>4.4712318493238274E-3</c:v>
                </c:pt>
                <c:pt idx="37">
                  <c:v>-1.3442802606067202E-2</c:v>
                </c:pt>
                <c:pt idx="38">
                  <c:v>3.3752132396248648E-3</c:v>
                </c:pt>
                <c:pt idx="39">
                  <c:v>-1.2413736469285791E-2</c:v>
                </c:pt>
                <c:pt idx="40">
                  <c:v>-5.3247923130817628E-3</c:v>
                </c:pt>
                <c:pt idx="41">
                  <c:v>4.1643638818064585E-3</c:v>
                </c:pt>
                <c:pt idx="42">
                  <c:v>6.4904331631843453E-4</c:v>
                </c:pt>
                <c:pt idx="43">
                  <c:v>8.3119180116720918E-3</c:v>
                </c:pt>
                <c:pt idx="44">
                  <c:v>-1.2929684336624055E-2</c:v>
                </c:pt>
                <c:pt idx="45">
                  <c:v>9.0851252552240011E-3</c:v>
                </c:pt>
                <c:pt idx="46">
                  <c:v>-2.1047141301180072E-3</c:v>
                </c:pt>
                <c:pt idx="47">
                  <c:v>3.626452348815853E-3</c:v>
                </c:pt>
                <c:pt idx="48">
                  <c:v>-1.8457334454557849E-3</c:v>
                </c:pt>
                <c:pt idx="49">
                  <c:v>-8.9756495798371961E-3</c:v>
                </c:pt>
                <c:pt idx="50">
                  <c:v>-1.0339066247756596E-2</c:v>
                </c:pt>
                <c:pt idx="51">
                  <c:v>-4.171321460869978E-3</c:v>
                </c:pt>
                <c:pt idx="52">
                  <c:v>1.888571159224386E-3</c:v>
                </c:pt>
                <c:pt idx="53">
                  <c:v>7.0930994790344218E-3</c:v>
                </c:pt>
                <c:pt idx="54">
                  <c:v>4.9829877683222118E-3</c:v>
                </c:pt>
                <c:pt idx="55">
                  <c:v>6.8455263137506108E-3</c:v>
                </c:pt>
                <c:pt idx="56">
                  <c:v>7.3914709535044705E-3</c:v>
                </c:pt>
                <c:pt idx="57">
                  <c:v>1.0374179277305716E-2</c:v>
                </c:pt>
                <c:pt idx="58">
                  <c:v>7.0744197509211501E-3</c:v>
                </c:pt>
                <c:pt idx="59">
                  <c:v>7.266438064125033E-4</c:v>
                </c:pt>
                <c:pt idx="60">
                  <c:v>1.4285285645703213E-2</c:v>
                </c:pt>
                <c:pt idx="61">
                  <c:v>3.1238814226676485E-3</c:v>
                </c:pt>
                <c:pt idx="62">
                  <c:v>-1.9168556489725249E-4</c:v>
                </c:pt>
                <c:pt idx="63">
                  <c:v>-3.4613251846433747E-3</c:v>
                </c:pt>
                <c:pt idx="64">
                  <c:v>7.5963754056801776E-3</c:v>
                </c:pt>
                <c:pt idx="65">
                  <c:v>6.9383858412278452E-3</c:v>
                </c:pt>
                <c:pt idx="66">
                  <c:v>1.4119555292353588E-2</c:v>
                </c:pt>
                <c:pt idx="67">
                  <c:v>6.8392271026128841E-3</c:v>
                </c:pt>
                <c:pt idx="68">
                  <c:v>-1.5185519043326742E-3</c:v>
                </c:pt>
                <c:pt idx="69">
                  <c:v>7.0563391163265413E-3</c:v>
                </c:pt>
                <c:pt idx="70">
                  <c:v>9.0868019742057632E-3</c:v>
                </c:pt>
                <c:pt idx="71">
                  <c:v>-1.3642622424584879E-3</c:v>
                </c:pt>
                <c:pt idx="72">
                  <c:v>4.2153939419569601E-4</c:v>
                </c:pt>
                <c:pt idx="73">
                  <c:v>-5.0873444907300926E-3</c:v>
                </c:pt>
                <c:pt idx="74">
                  <c:v>1.5444890466491213E-2</c:v>
                </c:pt>
                <c:pt idx="75">
                  <c:v>-4.5710826365814288E-3</c:v>
                </c:pt>
                <c:pt idx="76">
                  <c:v>4.9830372144318066E-3</c:v>
                </c:pt>
                <c:pt idx="77">
                  <c:v>3.8804925422873189E-3</c:v>
                </c:pt>
                <c:pt idx="78">
                  <c:v>5.9406078115450201E-3</c:v>
                </c:pt>
                <c:pt idx="79">
                  <c:v>1.4176298642571434E-2</c:v>
                </c:pt>
                <c:pt idx="80">
                  <c:v>3.4581159530784906E-3</c:v>
                </c:pt>
                <c:pt idx="81">
                  <c:v>1.4057505386381354E-2</c:v>
                </c:pt>
                <c:pt idx="82">
                  <c:v>-1.1387400405402771E-2</c:v>
                </c:pt>
                <c:pt idx="83">
                  <c:v>-8.6927218247813045E-3</c:v>
                </c:pt>
                <c:pt idx="84">
                  <c:v>5.0158982403398604E-3</c:v>
                </c:pt>
                <c:pt idx="85">
                  <c:v>-1.1205672795441086E-2</c:v>
                </c:pt>
                <c:pt idx="86">
                  <c:v>-1.4096794047501247E-2</c:v>
                </c:pt>
                <c:pt idx="87">
                  <c:v>-1.4833445971838152E-2</c:v>
                </c:pt>
                <c:pt idx="88">
                  <c:v>6.6380005374899638E-3</c:v>
                </c:pt>
                <c:pt idx="89">
                  <c:v>-1.1634393402680713E-2</c:v>
                </c:pt>
                <c:pt idx="90">
                  <c:v>5.703700439150799E-3</c:v>
                </c:pt>
                <c:pt idx="91">
                  <c:v>-1.9209374977912461E-2</c:v>
                </c:pt>
                <c:pt idx="92">
                  <c:v>-1.3588421304477009E-2</c:v>
                </c:pt>
                <c:pt idx="93">
                  <c:v>4.8261391763273209E-3</c:v>
                </c:pt>
                <c:pt idx="94">
                  <c:v>-2.2335288155754581E-3</c:v>
                </c:pt>
                <c:pt idx="95">
                  <c:v>2.6028724869383577E-3</c:v>
                </c:pt>
                <c:pt idx="96">
                  <c:v>-9.1576289590408205E-5</c:v>
                </c:pt>
                <c:pt idx="97">
                  <c:v>-4.6417440048380394E-3</c:v>
                </c:pt>
                <c:pt idx="98">
                  <c:v>3.7812456641278711E-3</c:v>
                </c:pt>
                <c:pt idx="99">
                  <c:v>1.2629422480372042E-2</c:v>
                </c:pt>
                <c:pt idx="100">
                  <c:v>-3.5112448345029322E-2</c:v>
                </c:pt>
                <c:pt idx="101">
                  <c:v>2.2337151000629907E-3</c:v>
                </c:pt>
                <c:pt idx="102">
                  <c:v>-1.7462895247887626E-2</c:v>
                </c:pt>
                <c:pt idx="103">
                  <c:v>-4.248314616936389E-2</c:v>
                </c:pt>
                <c:pt idx="104">
                  <c:v>1.7817969901181448E-2</c:v>
                </c:pt>
                <c:pt idx="105">
                  <c:v>-2.6844054662571366E-4</c:v>
                </c:pt>
                <c:pt idx="106">
                  <c:v>-1.6404103742103649E-2</c:v>
                </c:pt>
                <c:pt idx="107">
                  <c:v>2.0797795875472043E-2</c:v>
                </c:pt>
                <c:pt idx="108">
                  <c:v>-6.5883342273392511E-3</c:v>
                </c:pt>
                <c:pt idx="109">
                  <c:v>2.3244776616420743E-2</c:v>
                </c:pt>
                <c:pt idx="110">
                  <c:v>1.1055739479938511E-3</c:v>
                </c:pt>
                <c:pt idx="111">
                  <c:v>-3.3341738771145213E-2</c:v>
                </c:pt>
                <c:pt idx="112">
                  <c:v>-1.0050993549198172E-2</c:v>
                </c:pt>
                <c:pt idx="113">
                  <c:v>2.9455885224276418E-2</c:v>
                </c:pt>
                <c:pt idx="114">
                  <c:v>-5.0638767029288819E-3</c:v>
                </c:pt>
                <c:pt idx="115">
                  <c:v>1.1061154842219281E-2</c:v>
                </c:pt>
                <c:pt idx="116">
                  <c:v>7.466644593235725E-3</c:v>
                </c:pt>
                <c:pt idx="117">
                  <c:v>-4.7866909906442E-3</c:v>
                </c:pt>
                <c:pt idx="118">
                  <c:v>1.0160634649812799E-2</c:v>
                </c:pt>
                <c:pt idx="119">
                  <c:v>1.4683558863635947E-2</c:v>
                </c:pt>
                <c:pt idx="120">
                  <c:v>2.1016017815139805E-3</c:v>
                </c:pt>
                <c:pt idx="121">
                  <c:v>2.3829723896703456E-3</c:v>
                </c:pt>
                <c:pt idx="122">
                  <c:v>-1.1069847694932546E-2</c:v>
                </c:pt>
                <c:pt idx="123">
                  <c:v>-1.3363443624290949E-4</c:v>
                </c:pt>
                <c:pt idx="124">
                  <c:v>2.3126352478648876E-4</c:v>
                </c:pt>
                <c:pt idx="125">
                  <c:v>3.2804803163674744E-3</c:v>
                </c:pt>
                <c:pt idx="126">
                  <c:v>-6.4841390745324218E-3</c:v>
                </c:pt>
                <c:pt idx="127">
                  <c:v>-7.5913560963559437E-4</c:v>
                </c:pt>
                <c:pt idx="128">
                  <c:v>-1.0022474823223649E-2</c:v>
                </c:pt>
                <c:pt idx="129">
                  <c:v>-2.125129423229195E-2</c:v>
                </c:pt>
                <c:pt idx="130">
                  <c:v>-2.648245263323282E-2</c:v>
                </c:pt>
                <c:pt idx="131">
                  <c:v>4.3961136501646297E-3</c:v>
                </c:pt>
                <c:pt idx="132">
                  <c:v>-1.2839462174499933E-3</c:v>
                </c:pt>
                <c:pt idx="133">
                  <c:v>2.6524396072159104E-2</c:v>
                </c:pt>
                <c:pt idx="134">
                  <c:v>-3.6826439303881851E-3</c:v>
                </c:pt>
                <c:pt idx="135">
                  <c:v>-9.4049697741904002E-3</c:v>
                </c:pt>
                <c:pt idx="136">
                  <c:v>4.9311044824934267E-3</c:v>
                </c:pt>
                <c:pt idx="137">
                  <c:v>-2.2844660999312241E-3</c:v>
                </c:pt>
                <c:pt idx="138">
                  <c:v>1.2994813679840735E-2</c:v>
                </c:pt>
                <c:pt idx="139">
                  <c:v>3.2232844370475998E-3</c:v>
                </c:pt>
                <c:pt idx="140">
                  <c:v>-3.9335994827216034E-3</c:v>
                </c:pt>
                <c:pt idx="141">
                  <c:v>-2.0326651772849496E-3</c:v>
                </c:pt>
                <c:pt idx="142">
                  <c:v>4.6511194667047586E-3</c:v>
                </c:pt>
                <c:pt idx="143">
                  <c:v>-1.4061828779464729E-3</c:v>
                </c:pt>
                <c:pt idx="144">
                  <c:v>-3.0499882395177021E-3</c:v>
                </c:pt>
                <c:pt idx="145">
                  <c:v>-4.0356315220073857E-3</c:v>
                </c:pt>
                <c:pt idx="146">
                  <c:v>1.3329468364136305E-2</c:v>
                </c:pt>
                <c:pt idx="147">
                  <c:v>1.0931785535223776E-2</c:v>
                </c:pt>
                <c:pt idx="148">
                  <c:v>8.199938538493186E-4</c:v>
                </c:pt>
                <c:pt idx="149">
                  <c:v>-1.1415785401474338E-3</c:v>
                </c:pt>
                <c:pt idx="150">
                  <c:v>6.2090061024789259E-3</c:v>
                </c:pt>
                <c:pt idx="151">
                  <c:v>4.8851313540744306E-4</c:v>
                </c:pt>
                <c:pt idx="152">
                  <c:v>1.2320241627904516E-2</c:v>
                </c:pt>
                <c:pt idx="153">
                  <c:v>5.4997812332471599E-3</c:v>
                </c:pt>
                <c:pt idx="154">
                  <c:v>-1.8385792742512926E-3</c:v>
                </c:pt>
                <c:pt idx="155">
                  <c:v>-3.2012712242675261E-2</c:v>
                </c:pt>
                <c:pt idx="156">
                  <c:v>1.2954355417834794E-2</c:v>
                </c:pt>
                <c:pt idx="157">
                  <c:v>-5.1394494855998138E-3</c:v>
                </c:pt>
                <c:pt idx="158">
                  <c:v>-8.678635761164554E-4</c:v>
                </c:pt>
                <c:pt idx="159">
                  <c:v>-3.7278800239366034E-3</c:v>
                </c:pt>
                <c:pt idx="160">
                  <c:v>-1.2481957396471469E-2</c:v>
                </c:pt>
                <c:pt idx="161">
                  <c:v>5.454043284777034E-3</c:v>
                </c:pt>
                <c:pt idx="162">
                  <c:v>1.6544982877848616E-2</c:v>
                </c:pt>
                <c:pt idx="163">
                  <c:v>3.7421513499071744E-3</c:v>
                </c:pt>
                <c:pt idx="164">
                  <c:v>6.0029311364429797E-3</c:v>
                </c:pt>
                <c:pt idx="165">
                  <c:v>1.4932060028925937E-2</c:v>
                </c:pt>
                <c:pt idx="166">
                  <c:v>-2.3775030440927095E-3</c:v>
                </c:pt>
                <c:pt idx="167">
                  <c:v>-6.879266132421037E-3</c:v>
                </c:pt>
                <c:pt idx="168">
                  <c:v>-4.7395490700318058E-4</c:v>
                </c:pt>
                <c:pt idx="169">
                  <c:v>1.1787178601185165E-3</c:v>
                </c:pt>
                <c:pt idx="170">
                  <c:v>1.1504367924633491E-4</c:v>
                </c:pt>
                <c:pt idx="171">
                  <c:v>-1.0180941397216644E-2</c:v>
                </c:pt>
                <c:pt idx="172">
                  <c:v>5.9072736136245108E-3</c:v>
                </c:pt>
                <c:pt idx="173">
                  <c:v>-9.9026687692333089E-3</c:v>
                </c:pt>
                <c:pt idx="174">
                  <c:v>1.2459709010785219E-2</c:v>
                </c:pt>
                <c:pt idx="175">
                  <c:v>3.0143285002896147E-2</c:v>
                </c:pt>
                <c:pt idx="176">
                  <c:v>-8.8630842370725755E-5</c:v>
                </c:pt>
                <c:pt idx="177">
                  <c:v>-5.9576830134824604E-4</c:v>
                </c:pt>
                <c:pt idx="178">
                  <c:v>1.7621990848777859E-3</c:v>
                </c:pt>
                <c:pt idx="179">
                  <c:v>-6.226514501682847E-4</c:v>
                </c:pt>
                <c:pt idx="180">
                  <c:v>3.7193563378644812E-3</c:v>
                </c:pt>
                <c:pt idx="181">
                  <c:v>-1.3687907037986165E-3</c:v>
                </c:pt>
                <c:pt idx="182">
                  <c:v>6.4505379070526224E-3</c:v>
                </c:pt>
                <c:pt idx="183">
                  <c:v>-8.8032857922310161E-3</c:v>
                </c:pt>
                <c:pt idx="184">
                  <c:v>-3.0064835471272961E-4</c:v>
                </c:pt>
                <c:pt idx="185">
                  <c:v>1.1317657143272188E-2</c:v>
                </c:pt>
                <c:pt idx="186">
                  <c:v>-5.8469030807572369E-4</c:v>
                </c:pt>
                <c:pt idx="187">
                  <c:v>-1.1772518715286241E-2</c:v>
                </c:pt>
                <c:pt idx="188">
                  <c:v>1.7783324460580282E-2</c:v>
                </c:pt>
                <c:pt idx="189">
                  <c:v>1.3476742258376577E-3</c:v>
                </c:pt>
                <c:pt idx="190">
                  <c:v>-3.1527102032777548E-3</c:v>
                </c:pt>
                <c:pt idx="191">
                  <c:v>1.205799060215507E-2</c:v>
                </c:pt>
                <c:pt idx="192">
                  <c:v>1.1388071525577441E-3</c:v>
                </c:pt>
                <c:pt idx="193">
                  <c:v>1.0537174025166523E-2</c:v>
                </c:pt>
                <c:pt idx="194">
                  <c:v>-1.0667811427660516E-2</c:v>
                </c:pt>
                <c:pt idx="195">
                  <c:v>-8.1312993542167773E-3</c:v>
                </c:pt>
                <c:pt idx="196">
                  <c:v>-3.102200182398603E-3</c:v>
                </c:pt>
                <c:pt idx="197">
                  <c:v>6.2237075514985302E-3</c:v>
                </c:pt>
                <c:pt idx="198">
                  <c:v>1.2643176875207972E-4</c:v>
                </c:pt>
                <c:pt idx="199">
                  <c:v>8.1190183317093201E-3</c:v>
                </c:pt>
                <c:pt idx="200">
                  <c:v>-5.2878369886521781E-3</c:v>
                </c:pt>
                <c:pt idx="201">
                  <c:v>2.9674683316595323E-3</c:v>
                </c:pt>
                <c:pt idx="202">
                  <c:v>8.3323447500573892E-4</c:v>
                </c:pt>
                <c:pt idx="203">
                  <c:v>-1.291708176114828E-2</c:v>
                </c:pt>
                <c:pt idx="204">
                  <c:v>3.7339890210429856E-3</c:v>
                </c:pt>
                <c:pt idx="205">
                  <c:v>-1.0439632433787275E-3</c:v>
                </c:pt>
                <c:pt idx="206">
                  <c:v>9.1403038783916986E-3</c:v>
                </c:pt>
                <c:pt idx="207">
                  <c:v>1.1798363967731354E-2</c:v>
                </c:pt>
                <c:pt idx="208">
                  <c:v>-5.7487073437397559E-3</c:v>
                </c:pt>
                <c:pt idx="209">
                  <c:v>9.0177011532995201E-3</c:v>
                </c:pt>
                <c:pt idx="210">
                  <c:v>-8.7826129317357014E-4</c:v>
                </c:pt>
                <c:pt idx="211">
                  <c:v>-3.7905699646436412E-3</c:v>
                </c:pt>
                <c:pt idx="212">
                  <c:v>3.2260635731695144E-3</c:v>
                </c:pt>
                <c:pt idx="213">
                  <c:v>-5.3162721975968637E-3</c:v>
                </c:pt>
                <c:pt idx="214">
                  <c:v>9.5262651939585097E-3</c:v>
                </c:pt>
                <c:pt idx="215">
                  <c:v>4.5543889262136799E-3</c:v>
                </c:pt>
                <c:pt idx="216">
                  <c:v>2.850687799249563E-3</c:v>
                </c:pt>
                <c:pt idx="217">
                  <c:v>2.8384508121281774E-4</c:v>
                </c:pt>
                <c:pt idx="218">
                  <c:v>2.6723456307143424E-4</c:v>
                </c:pt>
                <c:pt idx="219">
                  <c:v>6.6391424337738369E-3</c:v>
                </c:pt>
                <c:pt idx="220">
                  <c:v>5.3463279564524404E-3</c:v>
                </c:pt>
                <c:pt idx="221">
                  <c:v>4.8878928038296422E-3</c:v>
                </c:pt>
                <c:pt idx="222">
                  <c:v>5.7781707830660564E-3</c:v>
                </c:pt>
                <c:pt idx="223">
                  <c:v>9.5309773593847576E-3</c:v>
                </c:pt>
                <c:pt idx="224">
                  <c:v>-7.0964171162220067E-3</c:v>
                </c:pt>
                <c:pt idx="225">
                  <c:v>3.9288429456785416E-3</c:v>
                </c:pt>
                <c:pt idx="226">
                  <c:v>1.2513730584852761E-2</c:v>
                </c:pt>
                <c:pt idx="227">
                  <c:v>6.0586279619224094E-3</c:v>
                </c:pt>
                <c:pt idx="228">
                  <c:v>4.3921576868670691E-3</c:v>
                </c:pt>
                <c:pt idx="229">
                  <c:v>-4.8528771376002621E-3</c:v>
                </c:pt>
                <c:pt idx="230">
                  <c:v>1.0963350372541071E-2</c:v>
                </c:pt>
                <c:pt idx="231">
                  <c:v>-8.8518235926438754E-4</c:v>
                </c:pt>
                <c:pt idx="232">
                  <c:v>-6.5335158173009701E-3</c:v>
                </c:pt>
                <c:pt idx="233">
                  <c:v>-3.1664549585532641E-3</c:v>
                </c:pt>
                <c:pt idx="234">
                  <c:v>-2.0173092384250312E-2</c:v>
                </c:pt>
                <c:pt idx="235">
                  <c:v>-1.1074523768663412E-3</c:v>
                </c:pt>
                <c:pt idx="236">
                  <c:v>4.0414479953826922E-3</c:v>
                </c:pt>
                <c:pt idx="237">
                  <c:v>7.8083955291220475E-3</c:v>
                </c:pt>
                <c:pt idx="238">
                  <c:v>1.1381091470548466E-2</c:v>
                </c:pt>
                <c:pt idx="239">
                  <c:v>-3.3759059467881394E-3</c:v>
                </c:pt>
                <c:pt idx="240">
                  <c:v>6.5101699197776851E-3</c:v>
                </c:pt>
                <c:pt idx="241">
                  <c:v>-3.5837795079985569E-3</c:v>
                </c:pt>
                <c:pt idx="242">
                  <c:v>4.1372849018625861E-3</c:v>
                </c:pt>
                <c:pt idx="243">
                  <c:v>-7.3963047225273075E-4</c:v>
                </c:pt>
                <c:pt idx="244">
                  <c:v>1.0563882194012894E-2</c:v>
                </c:pt>
                <c:pt idx="245">
                  <c:v>7.2338206348941203E-4</c:v>
                </c:pt>
                <c:pt idx="246">
                  <c:v>-3.2328227197608227E-5</c:v>
                </c:pt>
                <c:pt idx="247">
                  <c:v>1.1740698545053422E-2</c:v>
                </c:pt>
              </c:numCache>
            </c:numRef>
          </c:xVal>
          <c:yVal>
            <c:numRef>
              <c:f>beta!$I$499:$I$746</c:f>
              <c:numCache>
                <c:formatCode>0.0000</c:formatCode>
                <c:ptCount val="248"/>
                <c:pt idx="0">
                  <c:v>-2.1448999046711117E-2</c:v>
                </c:pt>
                <c:pt idx="1">
                  <c:v>1.1203117389186576E-2</c:v>
                </c:pt>
                <c:pt idx="2">
                  <c:v>-5.780346820809296E-3</c:v>
                </c:pt>
                <c:pt idx="3">
                  <c:v>-1.0658914728682115E-2</c:v>
                </c:pt>
                <c:pt idx="4">
                  <c:v>8.3251714005875676E-3</c:v>
                </c:pt>
                <c:pt idx="5">
                  <c:v>3.3025740650801348E-2</c:v>
                </c:pt>
                <c:pt idx="6">
                  <c:v>-1.59849553361542E-2</c:v>
                </c:pt>
                <c:pt idx="7">
                  <c:v>0</c:v>
                </c:pt>
                <c:pt idx="8">
                  <c:v>-2.8666985188723708E-3</c:v>
                </c:pt>
                <c:pt idx="9">
                  <c:v>-1.3416387158600915E-2</c:v>
                </c:pt>
                <c:pt idx="10">
                  <c:v>1.6512870325400674E-2</c:v>
                </c:pt>
                <c:pt idx="11">
                  <c:v>1.0511227902532196E-2</c:v>
                </c:pt>
                <c:pt idx="12">
                  <c:v>-4.7754137115839153E-2</c:v>
                </c:pt>
                <c:pt idx="13">
                  <c:v>1.9364448857994071E-2</c:v>
                </c:pt>
                <c:pt idx="14">
                  <c:v>-2.4354603019971117E-3</c:v>
                </c:pt>
                <c:pt idx="15">
                  <c:v>-1.4160156249999958E-2</c:v>
                </c:pt>
                <c:pt idx="16">
                  <c:v>8.4200099058939146E-3</c:v>
                </c:pt>
                <c:pt idx="17">
                  <c:v>5.8939096267191064E-3</c:v>
                </c:pt>
                <c:pt idx="18">
                  <c:v>-1.9531250000000104E-2</c:v>
                </c:pt>
                <c:pt idx="19">
                  <c:v>1.1454183266932294E-2</c:v>
                </c:pt>
                <c:pt idx="20">
                  <c:v>3.0526834071885823E-2</c:v>
                </c:pt>
                <c:pt idx="21">
                  <c:v>-1.9111323459149478E-2</c:v>
                </c:pt>
                <c:pt idx="22">
                  <c:v>0</c:v>
                </c:pt>
                <c:pt idx="23">
                  <c:v>5.3580126643935425E-3</c:v>
                </c:pt>
                <c:pt idx="24">
                  <c:v>-2.1802325581395315E-2</c:v>
                </c:pt>
                <c:pt idx="25">
                  <c:v>0</c:v>
                </c:pt>
                <c:pt idx="26">
                  <c:v>-1.6344725111441399E-2</c:v>
                </c:pt>
                <c:pt idx="27">
                  <c:v>6.7975830815710042E-2</c:v>
                </c:pt>
                <c:pt idx="28">
                  <c:v>1.6030174446016024E-2</c:v>
                </c:pt>
                <c:pt idx="29">
                  <c:v>2.3201856148492208E-3</c:v>
                </c:pt>
                <c:pt idx="30">
                  <c:v>-7.8703703703704494E-3</c:v>
                </c:pt>
                <c:pt idx="31">
                  <c:v>-1.5398973401773135E-2</c:v>
                </c:pt>
                <c:pt idx="32">
                  <c:v>2.3696682464453629E-3</c:v>
                </c:pt>
                <c:pt idx="33">
                  <c:v>1.6075650118203305E-2</c:v>
                </c:pt>
                <c:pt idx="34">
                  <c:v>5.1186598417870171E-3</c:v>
                </c:pt>
                <c:pt idx="35">
                  <c:v>2.7777777777777185E-3</c:v>
                </c:pt>
                <c:pt idx="36">
                  <c:v>1.061865189289014E-2</c:v>
                </c:pt>
                <c:pt idx="37">
                  <c:v>7.7661032434900934E-3</c:v>
                </c:pt>
                <c:pt idx="38">
                  <c:v>7.2529465095194992E-3</c:v>
                </c:pt>
                <c:pt idx="39">
                  <c:v>-2.5202520252025146E-2</c:v>
                </c:pt>
                <c:pt idx="40">
                  <c:v>-2.0775623268698029E-2</c:v>
                </c:pt>
                <c:pt idx="41">
                  <c:v>0</c:v>
                </c:pt>
                <c:pt idx="42">
                  <c:v>1.8387553041018415E-2</c:v>
                </c:pt>
                <c:pt idx="43">
                  <c:v>1.3425925925925886E-2</c:v>
                </c:pt>
                <c:pt idx="44">
                  <c:v>-2.1014161717679343E-2</c:v>
                </c:pt>
                <c:pt idx="45">
                  <c:v>7.932804479701433E-3</c:v>
                </c:pt>
                <c:pt idx="46">
                  <c:v>-2.3148148148148476E-3</c:v>
                </c:pt>
                <c:pt idx="47">
                  <c:v>7.8886310904871526E-3</c:v>
                </c:pt>
                <c:pt idx="48">
                  <c:v>0</c:v>
                </c:pt>
                <c:pt idx="49">
                  <c:v>-7.8268876611417206E-3</c:v>
                </c:pt>
                <c:pt idx="50">
                  <c:v>-7.8886310904873174E-3</c:v>
                </c:pt>
                <c:pt idx="51">
                  <c:v>0</c:v>
                </c:pt>
                <c:pt idx="52">
                  <c:v>0</c:v>
                </c:pt>
                <c:pt idx="53">
                  <c:v>2.1047708138447113E-2</c:v>
                </c:pt>
                <c:pt idx="54">
                  <c:v>7.7874484654146458E-3</c:v>
                </c:pt>
                <c:pt idx="55">
                  <c:v>9.9999999999999482E-3</c:v>
                </c:pt>
                <c:pt idx="56">
                  <c:v>1.035103510351037E-2</c:v>
                </c:pt>
                <c:pt idx="57">
                  <c:v>3.0289532293986624E-2</c:v>
                </c:pt>
                <c:pt idx="58">
                  <c:v>3.1560743623000452E-2</c:v>
                </c:pt>
                <c:pt idx="59">
                  <c:v>0</c:v>
                </c:pt>
                <c:pt idx="60">
                  <c:v>1.4249790444258167E-2</c:v>
                </c:pt>
                <c:pt idx="61">
                  <c:v>2.0661157024793684E-3</c:v>
                </c:pt>
                <c:pt idx="62">
                  <c:v>9.4845360824742445E-3</c:v>
                </c:pt>
                <c:pt idx="63">
                  <c:v>-3.9215686274509838E-2</c:v>
                </c:pt>
                <c:pt idx="64">
                  <c:v>-2.3809523809523756E-2</c:v>
                </c:pt>
                <c:pt idx="65">
                  <c:v>-5.2264808362369767E-3</c:v>
                </c:pt>
                <c:pt idx="66">
                  <c:v>4.2031523642732084E-2</c:v>
                </c:pt>
                <c:pt idx="67">
                  <c:v>-4.6218487394957741E-3</c:v>
                </c:pt>
                <c:pt idx="68">
                  <c:v>4.6433094132545139E-3</c:v>
                </c:pt>
                <c:pt idx="69">
                  <c:v>1.8907563025210055E-2</c:v>
                </c:pt>
                <c:pt idx="70">
                  <c:v>-2.0618556701031219E-3</c:v>
                </c:pt>
                <c:pt idx="71">
                  <c:v>3.4710743801652885E-2</c:v>
                </c:pt>
                <c:pt idx="72">
                  <c:v>1.3578274760383381E-2</c:v>
                </c:pt>
                <c:pt idx="73">
                  <c:v>-2.8762805358550057E-2</c:v>
                </c:pt>
                <c:pt idx="74">
                  <c:v>2.0689655172413859E-2</c:v>
                </c:pt>
                <c:pt idx="75">
                  <c:v>-3.3783783783783841E-2</c:v>
                </c:pt>
                <c:pt idx="76">
                  <c:v>3.0028794734677108E-2</c:v>
                </c:pt>
                <c:pt idx="77">
                  <c:v>0</c:v>
                </c:pt>
                <c:pt idx="78">
                  <c:v>0</c:v>
                </c:pt>
                <c:pt idx="79">
                  <c:v>6.7891373801917615E-3</c:v>
                </c:pt>
                <c:pt idx="80">
                  <c:v>4.7600158667194543E-3</c:v>
                </c:pt>
                <c:pt idx="81">
                  <c:v>6.7114093959732219E-3</c:v>
                </c:pt>
                <c:pt idx="82">
                  <c:v>-1.1372549019607809E-2</c:v>
                </c:pt>
                <c:pt idx="83">
                  <c:v>-4.6806822689408951E-2</c:v>
                </c:pt>
                <c:pt idx="84">
                  <c:v>-1.4148980441115266E-2</c:v>
                </c:pt>
                <c:pt idx="85">
                  <c:v>-1.8995356690586863E-2</c:v>
                </c:pt>
                <c:pt idx="86">
                  <c:v>-1.4629948364888118E-2</c:v>
                </c:pt>
                <c:pt idx="87">
                  <c:v>2.6200873362446407E-3</c:v>
                </c:pt>
                <c:pt idx="88">
                  <c:v>3.6585365853658527E-2</c:v>
                </c:pt>
                <c:pt idx="89">
                  <c:v>-2.3529411764705976E-2</c:v>
                </c:pt>
                <c:pt idx="90">
                  <c:v>9.896729776247868E-3</c:v>
                </c:pt>
                <c:pt idx="91">
                  <c:v>-4.8146570089475885E-2</c:v>
                </c:pt>
                <c:pt idx="92">
                  <c:v>1.5219337511190683E-2</c:v>
                </c:pt>
                <c:pt idx="93">
                  <c:v>0</c:v>
                </c:pt>
                <c:pt idx="94">
                  <c:v>-1.0141093474426826E-2</c:v>
                </c:pt>
                <c:pt idx="95">
                  <c:v>-7.5723830734965771E-3</c:v>
                </c:pt>
                <c:pt idx="96">
                  <c:v>2.692998204667806E-3</c:v>
                </c:pt>
                <c:pt idx="97">
                  <c:v>2.0143240823634705E-2</c:v>
                </c:pt>
                <c:pt idx="98">
                  <c:v>-1.0092145677928935E-2</c:v>
                </c:pt>
                <c:pt idx="99">
                  <c:v>1.5070921985815597E-2</c:v>
                </c:pt>
                <c:pt idx="100">
                  <c:v>-3.4497816593886427E-2</c:v>
                </c:pt>
                <c:pt idx="101">
                  <c:v>-4.9751243781094275E-3</c:v>
                </c:pt>
                <c:pt idx="102">
                  <c:v>-2.0454545454545423E-2</c:v>
                </c:pt>
                <c:pt idx="103">
                  <c:v>-1.5777262180974472E-2</c:v>
                </c:pt>
                <c:pt idx="104">
                  <c:v>2.1216407355021182E-2</c:v>
                </c:pt>
                <c:pt idx="105">
                  <c:v>-5.0784856879039445E-3</c:v>
                </c:pt>
                <c:pt idx="106">
                  <c:v>-4.4547563805104447E-2</c:v>
                </c:pt>
                <c:pt idx="107">
                  <c:v>1.6512870325400674E-2</c:v>
                </c:pt>
                <c:pt idx="108">
                  <c:v>-2.8666985188723708E-3</c:v>
                </c:pt>
                <c:pt idx="109">
                  <c:v>1.3416387158600745E-2</c:v>
                </c:pt>
                <c:pt idx="110">
                  <c:v>-2.3640661938532938E-3</c:v>
                </c:pt>
                <c:pt idx="111">
                  <c:v>-2.4170616113744148E-2</c:v>
                </c:pt>
                <c:pt idx="112">
                  <c:v>1.3598834385624144E-2</c:v>
                </c:pt>
                <c:pt idx="113">
                  <c:v>3.258265452803065E-2</c:v>
                </c:pt>
                <c:pt idx="114">
                  <c:v>-2.0881670533642659E-2</c:v>
                </c:pt>
                <c:pt idx="115">
                  <c:v>1.0426540284360134E-2</c:v>
                </c:pt>
                <c:pt idx="116">
                  <c:v>5.1594746716697665E-3</c:v>
                </c:pt>
                <c:pt idx="117">
                  <c:v>-7.466168922071869E-3</c:v>
                </c:pt>
                <c:pt idx="118">
                  <c:v>7.5223319228961043E-3</c:v>
                </c:pt>
                <c:pt idx="119">
                  <c:v>2.1465235650956642E-2</c:v>
                </c:pt>
                <c:pt idx="120">
                  <c:v>0</c:v>
                </c:pt>
                <c:pt idx="121">
                  <c:v>0</c:v>
                </c:pt>
                <c:pt idx="122">
                  <c:v>-1.3248058474189087E-2</c:v>
                </c:pt>
                <c:pt idx="123">
                  <c:v>0</c:v>
                </c:pt>
                <c:pt idx="124">
                  <c:v>2.7777777777777185E-3</c:v>
                </c:pt>
                <c:pt idx="125">
                  <c:v>1.061865189289014E-2</c:v>
                </c:pt>
                <c:pt idx="126">
                  <c:v>-1.0507080858839671E-2</c:v>
                </c:pt>
                <c:pt idx="127">
                  <c:v>-5.0784856879039445E-3</c:v>
                </c:pt>
                <c:pt idx="128">
                  <c:v>-2.6450116009280756E-2</c:v>
                </c:pt>
                <c:pt idx="129">
                  <c:v>-2.6692087702573818E-2</c:v>
                </c:pt>
                <c:pt idx="130">
                  <c:v>-2.7424094025465338E-2</c:v>
                </c:pt>
                <c:pt idx="131">
                  <c:v>5.5387713997985619E-3</c:v>
                </c:pt>
                <c:pt idx="132">
                  <c:v>1.4021031547321039E-2</c:v>
                </c:pt>
                <c:pt idx="133">
                  <c:v>2.5185185185185262E-2</c:v>
                </c:pt>
                <c:pt idx="134">
                  <c:v>-8.1888246628131836E-3</c:v>
                </c:pt>
                <c:pt idx="135">
                  <c:v>-1.6512870325400674E-2</c:v>
                </c:pt>
                <c:pt idx="136">
                  <c:v>2.9629629629628999E-3</c:v>
                </c:pt>
                <c:pt idx="137">
                  <c:v>-1.1324470704086679E-2</c:v>
                </c:pt>
                <c:pt idx="138">
                  <c:v>0</c:v>
                </c:pt>
                <c:pt idx="139">
                  <c:v>8.4661354581674168E-3</c:v>
                </c:pt>
                <c:pt idx="140">
                  <c:v>2.9629629629628999E-3</c:v>
                </c:pt>
                <c:pt idx="141">
                  <c:v>-8.370260955194395E-3</c:v>
                </c:pt>
                <c:pt idx="142">
                  <c:v>2.0854021847070414E-2</c:v>
                </c:pt>
                <c:pt idx="143">
                  <c:v>2.5291828793774299E-2</c:v>
                </c:pt>
                <c:pt idx="144">
                  <c:v>-8.0645161290321711E-3</c:v>
                </c:pt>
                <c:pt idx="145">
                  <c:v>-5.7388809182209941E-3</c:v>
                </c:pt>
                <c:pt idx="146">
                  <c:v>1.6835016835016904E-2</c:v>
                </c:pt>
                <c:pt idx="147">
                  <c:v>1.3718070009460697E-2</c:v>
                </c:pt>
                <c:pt idx="148">
                  <c:v>8.3994400373308322E-3</c:v>
                </c:pt>
                <c:pt idx="149">
                  <c:v>-5.5529847292920403E-3</c:v>
                </c:pt>
                <c:pt idx="150">
                  <c:v>0</c:v>
                </c:pt>
                <c:pt idx="151">
                  <c:v>2.7919962773384028E-3</c:v>
                </c:pt>
                <c:pt idx="152">
                  <c:v>1.9025522041763346E-2</c:v>
                </c:pt>
                <c:pt idx="153">
                  <c:v>2.140255009107463E-2</c:v>
                </c:pt>
                <c:pt idx="154">
                  <c:v>-8.0249665626393098E-3</c:v>
                </c:pt>
                <c:pt idx="155">
                  <c:v>-3.4157303370786589E-2</c:v>
                </c:pt>
                <c:pt idx="156">
                  <c:v>8.3759888320150428E-3</c:v>
                </c:pt>
                <c:pt idx="157">
                  <c:v>-8.3064143977851067E-3</c:v>
                </c:pt>
                <c:pt idx="158">
                  <c:v>-2.7919962773382376E-3</c:v>
                </c:pt>
                <c:pt idx="159">
                  <c:v>-5.1329911339243785E-3</c:v>
                </c:pt>
                <c:pt idx="160">
                  <c:v>-1.3602251407129416E-2</c:v>
                </c:pt>
                <c:pt idx="161">
                  <c:v>2.37755587256287E-3</c:v>
                </c:pt>
                <c:pt idx="162">
                  <c:v>1.6603415559772364E-2</c:v>
                </c:pt>
                <c:pt idx="163">
                  <c:v>-1.8665422305179587E-2</c:v>
                </c:pt>
                <c:pt idx="164">
                  <c:v>5.2306229196385839E-3</c:v>
                </c:pt>
                <c:pt idx="165">
                  <c:v>1.1352885525070881E-2</c:v>
                </c:pt>
                <c:pt idx="166">
                  <c:v>-5.6127221702524533E-3</c:v>
                </c:pt>
                <c:pt idx="167">
                  <c:v>-5.6444026340546089E-3</c:v>
                </c:pt>
                <c:pt idx="168">
                  <c:v>-2.8382213812678464E-3</c:v>
                </c:pt>
                <c:pt idx="169">
                  <c:v>0</c:v>
                </c:pt>
                <c:pt idx="170">
                  <c:v>-2.3719165085387649E-3</c:v>
                </c:pt>
                <c:pt idx="171">
                  <c:v>-1.4265335235378065E-2</c:v>
                </c:pt>
                <c:pt idx="172">
                  <c:v>1.1577424023154773E-2</c:v>
                </c:pt>
                <c:pt idx="173">
                  <c:v>-2.8612303290414271E-3</c:v>
                </c:pt>
                <c:pt idx="174">
                  <c:v>-2.8694404591104125E-3</c:v>
                </c:pt>
                <c:pt idx="175">
                  <c:v>3.3573141486810516E-2</c:v>
                </c:pt>
                <c:pt idx="176">
                  <c:v>2.7842227378189659E-3</c:v>
                </c:pt>
                <c:pt idx="177">
                  <c:v>-2.7764923646459382E-3</c:v>
                </c:pt>
                <c:pt idx="178">
                  <c:v>5.5684454756380966E-3</c:v>
                </c:pt>
                <c:pt idx="179">
                  <c:v>-5.5376095985233496E-3</c:v>
                </c:pt>
                <c:pt idx="180">
                  <c:v>8.3526682134570634E-3</c:v>
                </c:pt>
                <c:pt idx="181">
                  <c:v>-2.7611596870685097E-3</c:v>
                </c:pt>
                <c:pt idx="182">
                  <c:v>1.3382556529764611E-2</c:v>
                </c:pt>
                <c:pt idx="183">
                  <c:v>-5.464480874316985E-3</c:v>
                </c:pt>
                <c:pt idx="184">
                  <c:v>-7.783882783882699E-3</c:v>
                </c:pt>
                <c:pt idx="185">
                  <c:v>5.076142131979669E-3</c:v>
                </c:pt>
                <c:pt idx="186">
                  <c:v>5.5096418732781191E-3</c:v>
                </c:pt>
                <c:pt idx="187">
                  <c:v>-1.8721461187214621E-2</c:v>
                </c:pt>
                <c:pt idx="188">
                  <c:v>1.9078641228478369E-2</c:v>
                </c:pt>
                <c:pt idx="189">
                  <c:v>-2.1461187214611821E-2</c:v>
                </c:pt>
                <c:pt idx="190">
                  <c:v>-7.9328044797012665E-3</c:v>
                </c:pt>
                <c:pt idx="191">
                  <c:v>1.0818438381937764E-2</c:v>
                </c:pt>
                <c:pt idx="192">
                  <c:v>2.7919962773384028E-3</c:v>
                </c:pt>
                <c:pt idx="193">
                  <c:v>2.6914153132250498E-2</c:v>
                </c:pt>
                <c:pt idx="194">
                  <c:v>-4.9706281066425415E-3</c:v>
                </c:pt>
                <c:pt idx="195">
                  <c:v>-1.8619436875567674E-2</c:v>
                </c:pt>
                <c:pt idx="196">
                  <c:v>-1.0643220731143009E-2</c:v>
                </c:pt>
                <c:pt idx="197">
                  <c:v>2.3386342376052719E-3</c:v>
                </c:pt>
                <c:pt idx="198">
                  <c:v>-7.9328044797012665E-3</c:v>
                </c:pt>
                <c:pt idx="199">
                  <c:v>7.996237064910542E-3</c:v>
                </c:pt>
                <c:pt idx="200">
                  <c:v>-1.3532431171255211E-2</c:v>
                </c:pt>
                <c:pt idx="201">
                  <c:v>-2.8382213812678464E-3</c:v>
                </c:pt>
                <c:pt idx="202">
                  <c:v>1.1385199240986812E-2</c:v>
                </c:pt>
                <c:pt idx="203">
                  <c:v>-2.8142589118198276E-3</c:v>
                </c:pt>
                <c:pt idx="204">
                  <c:v>1.928504233301976E-2</c:v>
                </c:pt>
                <c:pt idx="205">
                  <c:v>-1.6151361329026368E-2</c:v>
                </c:pt>
                <c:pt idx="206">
                  <c:v>5.1594746716697665E-3</c:v>
                </c:pt>
                <c:pt idx="207">
                  <c:v>0</c:v>
                </c:pt>
                <c:pt idx="208">
                  <c:v>-1.3532431171255211E-2</c:v>
                </c:pt>
                <c:pt idx="209">
                  <c:v>1.6556291390728374E-2</c:v>
                </c:pt>
                <c:pt idx="210">
                  <c:v>-1.0702652396463327E-2</c:v>
                </c:pt>
                <c:pt idx="211">
                  <c:v>2.8222013170272208E-3</c:v>
                </c:pt>
                <c:pt idx="212">
                  <c:v>1.3602251407129416E-2</c:v>
                </c:pt>
                <c:pt idx="213">
                  <c:v>-1.0643220731143009E-2</c:v>
                </c:pt>
                <c:pt idx="214">
                  <c:v>1.0757717492984117E-2</c:v>
                </c:pt>
                <c:pt idx="215">
                  <c:v>2.1749190189726927E-2</c:v>
                </c:pt>
                <c:pt idx="216">
                  <c:v>1.5851449275362386E-2</c:v>
                </c:pt>
                <c:pt idx="217">
                  <c:v>-5.3499777084262592E-3</c:v>
                </c:pt>
                <c:pt idx="218">
                  <c:v>-5.3787539220079535E-3</c:v>
                </c:pt>
                <c:pt idx="219">
                  <c:v>1.081568273997289E-2</c:v>
                </c:pt>
                <c:pt idx="220">
                  <c:v>-8.0249665626393098E-3</c:v>
                </c:pt>
                <c:pt idx="221">
                  <c:v>8.0898876404494249E-3</c:v>
                </c:pt>
                <c:pt idx="222">
                  <c:v>3.6112349531876892E-2</c:v>
                </c:pt>
                <c:pt idx="223">
                  <c:v>6.7986230636833136E-2</c:v>
                </c:pt>
                <c:pt idx="224">
                  <c:v>-2.5785656728444826E-2</c:v>
                </c:pt>
                <c:pt idx="225">
                  <c:v>1.1993382961124862E-2</c:v>
                </c:pt>
                <c:pt idx="226">
                  <c:v>9.3992644053943787E-3</c:v>
                </c:pt>
                <c:pt idx="227">
                  <c:v>-6.8825910931173346E-3</c:v>
                </c:pt>
                <c:pt idx="228">
                  <c:v>-2.4459845087648705E-3</c:v>
                </c:pt>
                <c:pt idx="229">
                  <c:v>-1.4303228442991332E-2</c:v>
                </c:pt>
                <c:pt idx="230">
                  <c:v>4.9751243781093468E-3</c:v>
                </c:pt>
                <c:pt idx="231">
                  <c:v>-7.4257425742574141E-3</c:v>
                </c:pt>
                <c:pt idx="232">
                  <c:v>-1.7040731504571912E-2</c:v>
                </c:pt>
                <c:pt idx="233">
                  <c:v>-9.7251585623677334E-3</c:v>
                </c:pt>
                <c:pt idx="234">
                  <c:v>-3.501280956447482E-2</c:v>
                </c:pt>
                <c:pt idx="235">
                  <c:v>-1.5486725663716876E-2</c:v>
                </c:pt>
                <c:pt idx="236">
                  <c:v>8.0898876404494249E-3</c:v>
                </c:pt>
                <c:pt idx="237">
                  <c:v>0</c:v>
                </c:pt>
                <c:pt idx="238">
                  <c:v>1.0254123941150264E-2</c:v>
                </c:pt>
                <c:pt idx="239">
                  <c:v>-2.6478375992938534E-3</c:v>
                </c:pt>
                <c:pt idx="240">
                  <c:v>1.2831858407079608E-2</c:v>
                </c:pt>
                <c:pt idx="241">
                  <c:v>2.6212319790300882E-3</c:v>
                </c:pt>
                <c:pt idx="242">
                  <c:v>7.8431372549019485E-3</c:v>
                </c:pt>
                <c:pt idx="243">
                  <c:v>-1.2537829658452191E-2</c:v>
                </c:pt>
                <c:pt idx="244">
                  <c:v>1.7513134851138291E-2</c:v>
                </c:pt>
                <c:pt idx="245">
                  <c:v>2.5817555938038848E-3</c:v>
                </c:pt>
                <c:pt idx="246">
                  <c:v>1.0300429184549289E-2</c:v>
                </c:pt>
                <c:pt idx="247">
                  <c:v>4.6728971962616585E-3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E2-4222-935F-CE85BC3D6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096944"/>
        <c:axId val="1"/>
      </c:scatterChart>
      <c:valAx>
        <c:axId val="331096944"/>
        <c:scaling>
          <c:orientation val="minMax"/>
          <c:max val="0.08"/>
          <c:min val="-0.08"/>
        </c:scaling>
        <c:delete val="0"/>
        <c:axPos val="b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市場報酬率</a:t>
                </a:r>
                <a:r>
                  <a:rPr lang="en-US" altLang="zh-TW"/>
                  <a:t>(</a:t>
                </a:r>
                <a:r>
                  <a:rPr lang="zh-TW" altLang="en-US"/>
                  <a:t>每日</a:t>
                </a:r>
                <a:r>
                  <a:rPr lang="en-US" altLang="zh-TW"/>
                  <a:t>)</a:t>
                </a:r>
              </a:p>
            </c:rich>
          </c:tx>
          <c:layout>
            <c:manualLayout>
              <c:xMode val="edge"/>
              <c:yMode val="edge"/>
              <c:x val="0.40655559371964406"/>
              <c:y val="0.89892861241536459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crossBetween val="midCat"/>
        <c:majorUnit val="0.02"/>
      </c:valAx>
      <c:valAx>
        <c:axId val="1"/>
        <c:scaling>
          <c:orientation val="minMax"/>
          <c:min val="-0.08"/>
        </c:scaling>
        <c:delete val="0"/>
        <c:axPos val="l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個股報酬率</a:t>
                </a:r>
                <a:r>
                  <a:rPr lang="en-US" altLang="zh-TW"/>
                  <a:t>(</a:t>
                </a:r>
                <a:r>
                  <a:rPr lang="zh-TW" altLang="en-US"/>
                  <a:t>每日</a:t>
                </a:r>
                <a:r>
                  <a:rPr lang="en-US" altLang="zh-TW"/>
                  <a:t>)</a:t>
                </a:r>
              </a:p>
            </c:rich>
          </c:tx>
          <c:layout>
            <c:manualLayout>
              <c:xMode val="edge"/>
              <c:yMode val="edge"/>
              <c:x val="4.4394001613064588E-2"/>
              <c:y val="0.34726337594529977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33109694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299092</xdr:colOff>
      <xdr:row>2</xdr:row>
      <xdr:rowOff>138688</xdr:rowOff>
    </xdr:from>
    <xdr:to>
      <xdr:col>13</xdr:col>
      <xdr:colOff>375335</xdr:colOff>
      <xdr:row>19</xdr:row>
      <xdr:rowOff>77728</xdr:rowOff>
    </xdr:to>
    <xdr:graphicFrame macro="">
      <xdr:nvGraphicFramePr>
        <xdr:cNvPr id="1025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307043</xdr:colOff>
      <xdr:row>20</xdr:row>
      <xdr:rowOff>123116</xdr:rowOff>
    </xdr:from>
    <xdr:to>
      <xdr:col>13</xdr:col>
      <xdr:colOff>391569</xdr:colOff>
      <xdr:row>37</xdr:row>
      <xdr:rowOff>77727</xdr:rowOff>
    </xdr:to>
    <xdr:graphicFrame macro="">
      <xdr:nvGraphicFramePr>
        <xdr:cNvPr id="1028" name="圖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353426</xdr:colOff>
      <xdr:row>38</xdr:row>
      <xdr:rowOff>116491</xdr:rowOff>
    </xdr:from>
    <xdr:to>
      <xdr:col>13</xdr:col>
      <xdr:colOff>437952</xdr:colOff>
      <xdr:row>55</xdr:row>
      <xdr:rowOff>71102</xdr:rowOff>
    </xdr:to>
    <xdr:graphicFrame macro="">
      <xdr:nvGraphicFramePr>
        <xdr:cNvPr id="1029" name="圖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368709</xdr:colOff>
      <xdr:row>2</xdr:row>
      <xdr:rowOff>159773</xdr:rowOff>
    </xdr:from>
    <xdr:to>
      <xdr:col>18</xdr:col>
      <xdr:colOff>566829</xdr:colOff>
      <xdr:row>19</xdr:row>
      <xdr:rowOff>110858</xdr:rowOff>
    </xdr:to>
    <xdr:graphicFrame macro="">
      <xdr:nvGraphicFramePr>
        <xdr:cNvPr id="1030" name="圖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368709</xdr:colOff>
      <xdr:row>20</xdr:row>
      <xdr:rowOff>159773</xdr:rowOff>
    </xdr:from>
    <xdr:to>
      <xdr:col>18</xdr:col>
      <xdr:colOff>574449</xdr:colOff>
      <xdr:row>37</xdr:row>
      <xdr:rowOff>118478</xdr:rowOff>
    </xdr:to>
    <xdr:graphicFrame macro="">
      <xdr:nvGraphicFramePr>
        <xdr:cNvPr id="1031" name="圖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368709</xdr:colOff>
      <xdr:row>38</xdr:row>
      <xdr:rowOff>159774</xdr:rowOff>
    </xdr:from>
    <xdr:to>
      <xdr:col>18</xdr:col>
      <xdr:colOff>574449</xdr:colOff>
      <xdr:row>55</xdr:row>
      <xdr:rowOff>118478</xdr:rowOff>
    </xdr:to>
    <xdr:graphicFrame macro="">
      <xdr:nvGraphicFramePr>
        <xdr:cNvPr id="1032" name="圖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0</xdr:colOff>
      <xdr:row>3</xdr:row>
      <xdr:rowOff>0</xdr:rowOff>
    </xdr:from>
    <xdr:to>
      <xdr:col>24</xdr:col>
      <xdr:colOff>205740</xdr:colOff>
      <xdr:row>19</xdr:row>
      <xdr:rowOff>167640</xdr:rowOff>
    </xdr:to>
    <xdr:graphicFrame macro="">
      <xdr:nvGraphicFramePr>
        <xdr:cNvPr id="1033" name="圖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0</xdr:colOff>
      <xdr:row>21</xdr:row>
      <xdr:rowOff>0</xdr:rowOff>
    </xdr:from>
    <xdr:to>
      <xdr:col>24</xdr:col>
      <xdr:colOff>213360</xdr:colOff>
      <xdr:row>37</xdr:row>
      <xdr:rowOff>175260</xdr:rowOff>
    </xdr:to>
    <xdr:graphicFrame macro="">
      <xdr:nvGraphicFramePr>
        <xdr:cNvPr id="1034" name="圖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0</xdr:colOff>
      <xdr:row>39</xdr:row>
      <xdr:rowOff>0</xdr:rowOff>
    </xdr:from>
    <xdr:to>
      <xdr:col>24</xdr:col>
      <xdr:colOff>213360</xdr:colOff>
      <xdr:row>55</xdr:row>
      <xdr:rowOff>175260</xdr:rowOff>
    </xdr:to>
    <xdr:graphicFrame macro="">
      <xdr:nvGraphicFramePr>
        <xdr:cNvPr id="1035" name="圖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9"/>
  <sheetViews>
    <sheetView tabSelected="1" zoomScaleNormal="100" workbookViewId="0">
      <selection activeCell="AB17" sqref="AB17"/>
    </sheetView>
  </sheetViews>
  <sheetFormatPr defaultRowHeight="16.2"/>
  <cols>
    <col min="1" max="1" width="10.6640625" customWidth="1"/>
    <col min="2" max="2" width="9.44140625" customWidth="1"/>
    <col min="3" max="3" width="10.44140625" bestFit="1" customWidth="1"/>
    <col min="4" max="4" width="9.44140625" bestFit="1" customWidth="1"/>
    <col min="5" max="10" width="9.44140625" customWidth="1"/>
    <col min="11" max="11" width="9.44140625" bestFit="1" customWidth="1"/>
    <col min="12" max="12" width="16.44140625" bestFit="1" customWidth="1"/>
    <col min="13" max="13" width="11.109375" bestFit="1" customWidth="1"/>
  </cols>
  <sheetData>
    <row r="1" spans="1:9">
      <c r="A1" t="s">
        <v>0</v>
      </c>
      <c r="B1" s="2" t="s">
        <v>7</v>
      </c>
      <c r="C1" s="2" t="s">
        <v>1</v>
      </c>
      <c r="D1" s="2" t="s">
        <v>2</v>
      </c>
      <c r="E1" s="2" t="s">
        <v>3</v>
      </c>
      <c r="F1" s="3" t="s">
        <v>7</v>
      </c>
      <c r="G1" s="3" t="s">
        <v>4</v>
      </c>
      <c r="H1" s="3" t="s">
        <v>5</v>
      </c>
      <c r="I1" s="3" t="s">
        <v>6</v>
      </c>
    </row>
    <row r="2" spans="1:9">
      <c r="A2" s="1">
        <v>37988</v>
      </c>
      <c r="B2">
        <v>6041.56</v>
      </c>
      <c r="C2">
        <v>12.95</v>
      </c>
      <c r="D2">
        <v>7.09</v>
      </c>
      <c r="E2">
        <v>28.02</v>
      </c>
    </row>
    <row r="3" spans="1:9">
      <c r="A3" s="1">
        <v>37991</v>
      </c>
      <c r="B3">
        <v>6125.42</v>
      </c>
      <c r="C3">
        <v>13.78</v>
      </c>
      <c r="D3">
        <v>7.21</v>
      </c>
      <c r="E3">
        <v>28.58</v>
      </c>
      <c r="F3" s="4">
        <f>(B3-B2)/B2</f>
        <v>1.3880520925059035E-2</v>
      </c>
      <c r="G3" s="4">
        <f>(C3-C2)/C2</f>
        <v>6.4092664092664106E-2</v>
      </c>
      <c r="H3" s="4">
        <f>(D3-D2)/D2</f>
        <v>1.6925246826516235E-2</v>
      </c>
      <c r="I3" s="4">
        <f>(E3-E2)/E2</f>
        <v>1.9985724482512447E-2</v>
      </c>
    </row>
    <row r="4" spans="1:9">
      <c r="A4" s="1">
        <v>37992</v>
      </c>
      <c r="B4">
        <v>6144.01</v>
      </c>
      <c r="C4">
        <v>13.93</v>
      </c>
      <c r="D4">
        <v>7.13</v>
      </c>
      <c r="E4">
        <v>28.77</v>
      </c>
      <c r="F4" s="4">
        <f t="shared" ref="F4:F67" si="0">(B4-B3)/B3</f>
        <v>3.0348939338037464E-3</v>
      </c>
      <c r="G4" s="4">
        <f t="shared" ref="G4:G67" si="1">(C4-C3)/C3</f>
        <v>1.0885341074020345E-2</v>
      </c>
      <c r="H4" s="4">
        <f t="shared" ref="H4:H67" si="2">(D4-D3)/D3</f>
        <v>-1.1095700416088776E-2</v>
      </c>
      <c r="I4" s="4">
        <f t="shared" ref="I4:I67" si="3">(E4-E3)/E3</f>
        <v>6.6480055983205487E-3</v>
      </c>
    </row>
    <row r="5" spans="1:9">
      <c r="A5" s="1">
        <v>37993</v>
      </c>
      <c r="B5">
        <v>6141.25</v>
      </c>
      <c r="C5">
        <v>13.63</v>
      </c>
      <c r="D5">
        <v>7.09</v>
      </c>
      <c r="E5">
        <v>29.05</v>
      </c>
      <c r="F5" s="4">
        <f t="shared" si="0"/>
        <v>-4.4921801885091631E-4</v>
      </c>
      <c r="G5" s="4">
        <f t="shared" si="1"/>
        <v>-2.1536252692031511E-2</v>
      </c>
      <c r="H5" s="4">
        <f t="shared" si="2"/>
        <v>-5.6100981767180976E-3</v>
      </c>
      <c r="I5" s="4">
        <f t="shared" si="3"/>
        <v>9.7323600973236411E-3</v>
      </c>
    </row>
    <row r="6" spans="1:9">
      <c r="A6" s="1">
        <v>37994</v>
      </c>
      <c r="B6">
        <v>6169.17</v>
      </c>
      <c r="C6">
        <v>13.63</v>
      </c>
      <c r="D6">
        <v>7.17</v>
      </c>
      <c r="E6">
        <v>29.14</v>
      </c>
      <c r="F6" s="4">
        <f t="shared" si="0"/>
        <v>4.5463057195196535E-3</v>
      </c>
      <c r="G6" s="4">
        <f t="shared" si="1"/>
        <v>0</v>
      </c>
      <c r="H6" s="4">
        <f t="shared" si="2"/>
        <v>1.1283497884344157E-2</v>
      </c>
      <c r="I6" s="4">
        <f t="shared" si="3"/>
        <v>3.0981067125645388E-3</v>
      </c>
    </row>
    <row r="7" spans="1:9">
      <c r="A7" s="1">
        <v>37995</v>
      </c>
      <c r="B7">
        <v>6226.98</v>
      </c>
      <c r="C7">
        <v>13.4</v>
      </c>
      <c r="D7">
        <v>7.17</v>
      </c>
      <c r="E7">
        <v>29.52</v>
      </c>
      <c r="F7" s="4">
        <f t="shared" si="0"/>
        <v>9.3707905601563071E-3</v>
      </c>
      <c r="G7" s="4">
        <f t="shared" si="1"/>
        <v>-1.6874541452677947E-2</v>
      </c>
      <c r="H7" s="4">
        <f t="shared" si="2"/>
        <v>0</v>
      </c>
      <c r="I7" s="4">
        <f t="shared" si="3"/>
        <v>1.3040494166094681E-2</v>
      </c>
    </row>
    <row r="8" spans="1:9">
      <c r="A8" s="1">
        <v>37998</v>
      </c>
      <c r="B8">
        <v>6219.71</v>
      </c>
      <c r="C8">
        <v>13.63</v>
      </c>
      <c r="D8">
        <v>7.13</v>
      </c>
      <c r="E8">
        <v>29.42</v>
      </c>
      <c r="F8" s="4">
        <f t="shared" si="0"/>
        <v>-1.1675001365026912E-3</v>
      </c>
      <c r="G8" s="4">
        <f t="shared" si="1"/>
        <v>1.7164179104477643E-2</v>
      </c>
      <c r="H8" s="4">
        <f t="shared" si="2"/>
        <v>-5.5788005578800608E-3</v>
      </c>
      <c r="I8" s="4">
        <f t="shared" si="3"/>
        <v>-3.3875338753386812E-3</v>
      </c>
    </row>
    <row r="9" spans="1:9">
      <c r="A9" s="1">
        <v>37999</v>
      </c>
      <c r="B9">
        <v>6210.22</v>
      </c>
      <c r="C9">
        <v>13.78</v>
      </c>
      <c r="D9">
        <v>7.09</v>
      </c>
      <c r="E9">
        <v>28.96</v>
      </c>
      <c r="F9" s="4">
        <f t="shared" si="0"/>
        <v>-1.5257946110027287E-3</v>
      </c>
      <c r="G9" s="4">
        <f t="shared" si="1"/>
        <v>1.1005135730007233E-2</v>
      </c>
      <c r="H9" s="4">
        <f t="shared" si="2"/>
        <v>-5.6100981767180976E-3</v>
      </c>
      <c r="I9" s="4">
        <f t="shared" si="3"/>
        <v>-1.5635622025832796E-2</v>
      </c>
    </row>
    <row r="10" spans="1:9">
      <c r="A10" s="1">
        <v>38000</v>
      </c>
      <c r="B10">
        <v>6274.97</v>
      </c>
      <c r="C10">
        <v>14.08</v>
      </c>
      <c r="D10">
        <v>7.05</v>
      </c>
      <c r="E10">
        <v>29.14</v>
      </c>
      <c r="F10" s="4">
        <f t="shared" si="0"/>
        <v>1.0426361706992666E-2</v>
      </c>
      <c r="G10" s="4">
        <f t="shared" si="1"/>
        <v>2.177068214804069E-2</v>
      </c>
      <c r="H10" s="4">
        <f t="shared" si="2"/>
        <v>-5.6417489421720785E-3</v>
      </c>
      <c r="I10" s="4">
        <f t="shared" si="3"/>
        <v>6.2154696132596587E-3</v>
      </c>
    </row>
    <row r="11" spans="1:9">
      <c r="A11" s="1">
        <v>38001</v>
      </c>
      <c r="B11">
        <v>6264.37</v>
      </c>
      <c r="C11">
        <v>13.78</v>
      </c>
      <c r="D11">
        <v>7.05</v>
      </c>
      <c r="E11">
        <v>28.86</v>
      </c>
      <c r="F11" s="4">
        <f t="shared" si="0"/>
        <v>-1.6892511039893997E-3</v>
      </c>
      <c r="G11" s="4">
        <f t="shared" si="1"/>
        <v>-2.1306818181818232E-2</v>
      </c>
      <c r="H11" s="4">
        <f t="shared" si="2"/>
        <v>0</v>
      </c>
      <c r="I11" s="4">
        <f t="shared" si="3"/>
        <v>-9.6087851750171968E-3</v>
      </c>
    </row>
    <row r="12" spans="1:9">
      <c r="A12" s="1">
        <v>38002</v>
      </c>
      <c r="B12">
        <v>6269.71</v>
      </c>
      <c r="C12">
        <v>14.01</v>
      </c>
      <c r="D12">
        <v>6.93</v>
      </c>
      <c r="E12">
        <v>28.86</v>
      </c>
      <c r="F12" s="4">
        <f t="shared" si="0"/>
        <v>8.5244006979155859E-4</v>
      </c>
      <c r="G12" s="4">
        <f t="shared" si="1"/>
        <v>1.6690856313497853E-2</v>
      </c>
      <c r="H12" s="4">
        <f t="shared" si="2"/>
        <v>-1.7021276595744695E-2</v>
      </c>
      <c r="I12" s="4">
        <f t="shared" si="3"/>
        <v>0</v>
      </c>
    </row>
    <row r="13" spans="1:9">
      <c r="A13" s="1">
        <v>38013</v>
      </c>
      <c r="B13">
        <v>6384.63</v>
      </c>
      <c r="C13">
        <v>14.31</v>
      </c>
      <c r="D13">
        <v>6.89</v>
      </c>
      <c r="E13">
        <v>29.61</v>
      </c>
      <c r="F13" s="4">
        <f t="shared" si="0"/>
        <v>1.8329396415464203E-2</v>
      </c>
      <c r="G13" s="4">
        <f t="shared" si="1"/>
        <v>2.1413276231263434E-2</v>
      </c>
      <c r="H13" s="4">
        <f t="shared" si="2"/>
        <v>-5.7720057720057772E-3</v>
      </c>
      <c r="I13" s="4">
        <f t="shared" si="3"/>
        <v>2.5987525987525989E-2</v>
      </c>
    </row>
    <row r="14" spans="1:9">
      <c r="A14" s="1">
        <v>38014</v>
      </c>
      <c r="B14">
        <v>6386.25</v>
      </c>
      <c r="C14">
        <v>14.16</v>
      </c>
      <c r="D14">
        <v>7.21</v>
      </c>
      <c r="E14">
        <v>29.52</v>
      </c>
      <c r="F14" s="4">
        <f t="shared" si="0"/>
        <v>2.5373435892132997E-4</v>
      </c>
      <c r="G14" s="4">
        <f t="shared" si="1"/>
        <v>-1.0482180293501073E-2</v>
      </c>
      <c r="H14" s="4">
        <f t="shared" si="2"/>
        <v>4.644412191582007E-2</v>
      </c>
      <c r="I14" s="4">
        <f t="shared" si="3"/>
        <v>-3.0395136778115454E-3</v>
      </c>
    </row>
    <row r="15" spans="1:9">
      <c r="A15" s="1">
        <v>38015</v>
      </c>
      <c r="B15">
        <v>6312.65</v>
      </c>
      <c r="C15">
        <v>13.48</v>
      </c>
      <c r="D15">
        <v>7.09</v>
      </c>
      <c r="E15">
        <v>29.61</v>
      </c>
      <c r="F15" s="4">
        <f t="shared" si="0"/>
        <v>-1.152476022705036E-2</v>
      </c>
      <c r="G15" s="4">
        <f t="shared" si="1"/>
        <v>-4.8022598870056478E-2</v>
      </c>
      <c r="H15" s="4">
        <f t="shared" si="2"/>
        <v>-1.6643550624133162E-2</v>
      </c>
      <c r="I15" s="4">
        <f t="shared" si="3"/>
        <v>3.0487804878048734E-3</v>
      </c>
    </row>
    <row r="16" spans="1:9">
      <c r="A16" s="1">
        <v>38016</v>
      </c>
      <c r="B16">
        <v>6375.38</v>
      </c>
      <c r="C16">
        <v>13.93</v>
      </c>
      <c r="D16">
        <v>7.13</v>
      </c>
      <c r="E16">
        <v>29.52</v>
      </c>
      <c r="F16" s="4">
        <f t="shared" si="0"/>
        <v>9.9371896113360433E-3</v>
      </c>
      <c r="G16" s="4">
        <f t="shared" si="1"/>
        <v>3.3382789317507364E-2</v>
      </c>
      <c r="H16" s="4">
        <f t="shared" si="2"/>
        <v>5.6417489421720785E-3</v>
      </c>
      <c r="I16" s="4">
        <f t="shared" si="3"/>
        <v>-3.0395136778115454E-3</v>
      </c>
    </row>
    <row r="17" spans="1:9">
      <c r="A17" s="1">
        <v>38019</v>
      </c>
      <c r="B17">
        <v>6319.96</v>
      </c>
      <c r="C17">
        <v>13.86</v>
      </c>
      <c r="D17">
        <v>7.32</v>
      </c>
      <c r="E17">
        <v>28.96</v>
      </c>
      <c r="F17" s="4">
        <f t="shared" si="0"/>
        <v>-8.6928151733700696E-3</v>
      </c>
      <c r="G17" s="4">
        <f t="shared" si="1"/>
        <v>-5.0251256281407244E-3</v>
      </c>
      <c r="H17" s="4">
        <f t="shared" si="2"/>
        <v>2.6647966339410994E-2</v>
      </c>
      <c r="I17" s="4">
        <f t="shared" si="3"/>
        <v>-1.8970189701896976E-2</v>
      </c>
    </row>
    <row r="18" spans="1:9">
      <c r="A18" s="1">
        <v>38020</v>
      </c>
      <c r="B18">
        <v>6252.23</v>
      </c>
      <c r="C18">
        <v>13.48</v>
      </c>
      <c r="D18">
        <v>7.21</v>
      </c>
      <c r="E18">
        <v>28.3</v>
      </c>
      <c r="F18" s="4">
        <f t="shared" si="0"/>
        <v>-1.0716839979999948E-2</v>
      </c>
      <c r="G18" s="4">
        <f t="shared" si="1"/>
        <v>-2.7417027417027347E-2</v>
      </c>
      <c r="H18" s="4">
        <f t="shared" si="2"/>
        <v>-1.5027322404371627E-2</v>
      </c>
      <c r="I18" s="4">
        <f t="shared" si="3"/>
        <v>-2.2790055248618789E-2</v>
      </c>
    </row>
    <row r="19" spans="1:9">
      <c r="A19" s="1">
        <v>38021</v>
      </c>
      <c r="B19">
        <v>6241.39</v>
      </c>
      <c r="C19">
        <v>13.55</v>
      </c>
      <c r="D19">
        <v>7.13</v>
      </c>
      <c r="E19">
        <v>27.84</v>
      </c>
      <c r="F19" s="4">
        <f t="shared" si="0"/>
        <v>-1.7337813868010673E-3</v>
      </c>
      <c r="G19" s="4">
        <f t="shared" si="1"/>
        <v>5.1928783382789523E-3</v>
      </c>
      <c r="H19" s="4">
        <f t="shared" si="2"/>
        <v>-1.1095700416088776E-2</v>
      </c>
      <c r="I19" s="4">
        <f t="shared" si="3"/>
        <v>-1.6254416961130773E-2</v>
      </c>
    </row>
    <row r="20" spans="1:9">
      <c r="A20" s="1">
        <v>38022</v>
      </c>
      <c r="B20">
        <v>6268.14</v>
      </c>
      <c r="C20">
        <v>13.55</v>
      </c>
      <c r="D20">
        <v>7.28</v>
      </c>
      <c r="E20">
        <v>27.74</v>
      </c>
      <c r="F20" s="4">
        <f t="shared" si="0"/>
        <v>4.2859042617109325E-3</v>
      </c>
      <c r="G20" s="4">
        <f t="shared" si="1"/>
        <v>0</v>
      </c>
      <c r="H20" s="4">
        <f t="shared" si="2"/>
        <v>2.1037868162692899E-2</v>
      </c>
      <c r="I20" s="4">
        <f t="shared" si="3"/>
        <v>-3.5919540229885569E-3</v>
      </c>
    </row>
    <row r="21" spans="1:9">
      <c r="A21" s="1">
        <v>38023</v>
      </c>
      <c r="B21">
        <v>6353.35</v>
      </c>
      <c r="C21">
        <v>14.24</v>
      </c>
      <c r="D21">
        <v>7.76</v>
      </c>
      <c r="E21">
        <v>28.49</v>
      </c>
      <c r="F21" s="4">
        <f t="shared" si="0"/>
        <v>1.3594144355422826E-2</v>
      </c>
      <c r="G21" s="4">
        <f t="shared" si="1"/>
        <v>5.0922509225092213E-2</v>
      </c>
      <c r="H21" s="4">
        <f t="shared" si="2"/>
        <v>6.5934065934065866E-2</v>
      </c>
      <c r="I21" s="4">
        <f t="shared" si="3"/>
        <v>2.7036770007209807E-2</v>
      </c>
    </row>
    <row r="22" spans="1:9">
      <c r="A22" s="1">
        <v>38026</v>
      </c>
      <c r="B22">
        <v>6463.09</v>
      </c>
      <c r="C22">
        <v>14.24</v>
      </c>
      <c r="D22">
        <v>8.19</v>
      </c>
      <c r="E22">
        <v>29.14</v>
      </c>
      <c r="F22" s="4">
        <f t="shared" si="0"/>
        <v>1.7272777353679519E-2</v>
      </c>
      <c r="G22" s="4">
        <f t="shared" si="1"/>
        <v>0</v>
      </c>
      <c r="H22" s="4">
        <f t="shared" si="2"/>
        <v>5.5412371134020581E-2</v>
      </c>
      <c r="I22" s="4">
        <f t="shared" si="3"/>
        <v>2.281502281502289E-2</v>
      </c>
    </row>
    <row r="23" spans="1:9">
      <c r="A23" s="1">
        <v>38027</v>
      </c>
      <c r="B23">
        <v>6488.34</v>
      </c>
      <c r="C23">
        <v>14.92</v>
      </c>
      <c r="D23">
        <v>8.27</v>
      </c>
      <c r="E23">
        <v>28.86</v>
      </c>
      <c r="F23" s="4">
        <f t="shared" si="0"/>
        <v>3.9067999981433031E-3</v>
      </c>
      <c r="G23" s="4">
        <f t="shared" si="1"/>
        <v>4.7752808988764023E-2</v>
      </c>
      <c r="H23" s="4">
        <f t="shared" si="2"/>
        <v>9.7680097680097767E-3</v>
      </c>
      <c r="I23" s="4">
        <f t="shared" si="3"/>
        <v>-9.6087851750171968E-3</v>
      </c>
    </row>
    <row r="24" spans="1:9">
      <c r="A24" s="1">
        <v>38028</v>
      </c>
      <c r="B24">
        <v>6454.39</v>
      </c>
      <c r="C24">
        <v>14.61</v>
      </c>
      <c r="D24">
        <v>7.99</v>
      </c>
      <c r="E24">
        <v>28.58</v>
      </c>
      <c r="F24" s="4">
        <f t="shared" si="0"/>
        <v>-5.2324631569861963E-3</v>
      </c>
      <c r="G24" s="4">
        <f t="shared" si="1"/>
        <v>-2.0777479892761429E-2</v>
      </c>
      <c r="H24" s="4">
        <f t="shared" si="2"/>
        <v>-3.3857315598548897E-2</v>
      </c>
      <c r="I24" s="4">
        <f t="shared" si="3"/>
        <v>-9.7020097020097413E-3</v>
      </c>
    </row>
    <row r="25" spans="1:9">
      <c r="A25" s="1">
        <v>38029</v>
      </c>
      <c r="B25">
        <v>6436.95</v>
      </c>
      <c r="C25">
        <v>14.16</v>
      </c>
      <c r="D25">
        <v>7.48</v>
      </c>
      <c r="E25">
        <v>28.68</v>
      </c>
      <c r="F25" s="4">
        <f t="shared" si="0"/>
        <v>-2.7020369082129386E-3</v>
      </c>
      <c r="G25" s="4">
        <f t="shared" si="1"/>
        <v>-3.0800821355236093E-2</v>
      </c>
      <c r="H25" s="4">
        <f t="shared" si="2"/>
        <v>-6.382978723404252E-2</v>
      </c>
      <c r="I25" s="4">
        <f t="shared" si="3"/>
        <v>3.4989503149055784E-3</v>
      </c>
    </row>
    <row r="26" spans="1:9">
      <c r="A26" s="1">
        <v>38030</v>
      </c>
      <c r="B26">
        <v>6549.18</v>
      </c>
      <c r="C26">
        <v>15.15</v>
      </c>
      <c r="D26">
        <v>7.68</v>
      </c>
      <c r="E26">
        <v>28.68</v>
      </c>
      <c r="F26" s="4">
        <f t="shared" si="0"/>
        <v>1.743527602358267E-2</v>
      </c>
      <c r="G26" s="4">
        <f t="shared" si="1"/>
        <v>6.9915254237288144E-2</v>
      </c>
      <c r="H26" s="4">
        <f t="shared" si="2"/>
        <v>2.6737967914438405E-2</v>
      </c>
      <c r="I26" s="4">
        <f t="shared" si="3"/>
        <v>0</v>
      </c>
    </row>
    <row r="27" spans="1:9">
      <c r="A27" s="1">
        <v>38033</v>
      </c>
      <c r="B27">
        <v>6565.37</v>
      </c>
      <c r="C27">
        <v>15.9</v>
      </c>
      <c r="D27">
        <v>7.8</v>
      </c>
      <c r="E27">
        <v>28.12</v>
      </c>
      <c r="F27" s="4">
        <f t="shared" si="0"/>
        <v>2.4720652051095863E-3</v>
      </c>
      <c r="G27" s="4">
        <f t="shared" si="1"/>
        <v>4.95049504950495E-2</v>
      </c>
      <c r="H27" s="4">
        <f t="shared" si="2"/>
        <v>1.5625000000000014E-2</v>
      </c>
      <c r="I27" s="4">
        <f t="shared" si="3"/>
        <v>-1.9525801952580153E-2</v>
      </c>
    </row>
    <row r="28" spans="1:9">
      <c r="A28" s="1">
        <v>38034</v>
      </c>
      <c r="B28">
        <v>6600.47</v>
      </c>
      <c r="C28">
        <v>15.9</v>
      </c>
      <c r="D28">
        <v>8.31</v>
      </c>
      <c r="E28">
        <v>28.21</v>
      </c>
      <c r="F28" s="4">
        <f t="shared" si="0"/>
        <v>5.3462333425230209E-3</v>
      </c>
      <c r="G28" s="4">
        <f t="shared" si="1"/>
        <v>0</v>
      </c>
      <c r="H28" s="4">
        <f t="shared" si="2"/>
        <v>6.5384615384615472E-2</v>
      </c>
      <c r="I28" s="4">
        <f t="shared" si="3"/>
        <v>3.2005689900426689E-3</v>
      </c>
    </row>
    <row r="29" spans="1:9">
      <c r="A29" s="1">
        <v>38035</v>
      </c>
      <c r="B29">
        <v>6605.85</v>
      </c>
      <c r="C29">
        <v>15.37</v>
      </c>
      <c r="D29">
        <v>8.0299999999999994</v>
      </c>
      <c r="E29">
        <v>28.68</v>
      </c>
      <c r="F29" s="4">
        <f t="shared" si="0"/>
        <v>8.1509347061650293E-4</v>
      </c>
      <c r="G29" s="4">
        <f t="shared" si="1"/>
        <v>-3.3333333333333402E-2</v>
      </c>
      <c r="H29" s="4">
        <f t="shared" si="2"/>
        <v>-3.369434416365838E-2</v>
      </c>
      <c r="I29" s="4">
        <f t="shared" si="3"/>
        <v>1.6660758596242425E-2</v>
      </c>
    </row>
    <row r="30" spans="1:9">
      <c r="A30" s="1">
        <v>38036</v>
      </c>
      <c r="B30">
        <v>6681.52</v>
      </c>
      <c r="C30">
        <v>15.52</v>
      </c>
      <c r="D30">
        <v>8.19</v>
      </c>
      <c r="E30">
        <v>28.86</v>
      </c>
      <c r="F30" s="4">
        <f t="shared" si="0"/>
        <v>1.1454998221273579E-2</v>
      </c>
      <c r="G30" s="4">
        <f t="shared" si="1"/>
        <v>9.7592713077423784E-3</v>
      </c>
      <c r="H30" s="4">
        <f t="shared" si="2"/>
        <v>1.9925280199252823E-2</v>
      </c>
      <c r="I30" s="4">
        <f t="shared" si="3"/>
        <v>6.2761506276150531E-3</v>
      </c>
    </row>
    <row r="31" spans="1:9">
      <c r="A31" s="1">
        <v>38037</v>
      </c>
      <c r="B31">
        <v>6665.54</v>
      </c>
      <c r="C31">
        <v>15.52</v>
      </c>
      <c r="D31">
        <v>8.0299999999999994</v>
      </c>
      <c r="E31">
        <v>28.77</v>
      </c>
      <c r="F31" s="4">
        <f t="shared" si="0"/>
        <v>-2.391671356218416E-3</v>
      </c>
      <c r="G31" s="4">
        <f t="shared" si="1"/>
        <v>0</v>
      </c>
      <c r="H31" s="4">
        <f t="shared" si="2"/>
        <v>-1.9536019536019553E-2</v>
      </c>
      <c r="I31" s="4">
        <f t="shared" si="3"/>
        <v>-3.1185031185031135E-3</v>
      </c>
    </row>
    <row r="32" spans="1:9">
      <c r="A32" s="1">
        <v>38040</v>
      </c>
      <c r="B32">
        <v>6665.89</v>
      </c>
      <c r="C32">
        <v>15.68</v>
      </c>
      <c r="D32">
        <v>8.07</v>
      </c>
      <c r="E32">
        <v>28.4</v>
      </c>
      <c r="F32" s="4">
        <f t="shared" si="0"/>
        <v>5.250887399976053E-5</v>
      </c>
      <c r="G32" s="4">
        <f t="shared" si="1"/>
        <v>1.0309278350515474E-2</v>
      </c>
      <c r="H32" s="4">
        <f t="shared" si="2"/>
        <v>4.9813200498133158E-3</v>
      </c>
      <c r="I32" s="4">
        <f t="shared" si="3"/>
        <v>-1.2860618700034793E-2</v>
      </c>
    </row>
    <row r="33" spans="1:9">
      <c r="A33" s="1">
        <v>38041</v>
      </c>
      <c r="B33">
        <v>6589.23</v>
      </c>
      <c r="C33">
        <v>15.15</v>
      </c>
      <c r="D33">
        <v>8.11</v>
      </c>
      <c r="E33">
        <v>28.12</v>
      </c>
      <c r="F33" s="4">
        <f t="shared" si="0"/>
        <v>-1.15003397895856E-2</v>
      </c>
      <c r="G33" s="4">
        <f t="shared" si="1"/>
        <v>-3.3801020408163227E-2</v>
      </c>
      <c r="H33" s="4">
        <f t="shared" si="2"/>
        <v>4.9566294919453713E-3</v>
      </c>
      <c r="I33" s="4">
        <f t="shared" si="3"/>
        <v>-9.8591549295773805E-3</v>
      </c>
    </row>
    <row r="34" spans="1:9">
      <c r="A34" s="1">
        <v>38042</v>
      </c>
      <c r="B34">
        <v>6644.28</v>
      </c>
      <c r="C34">
        <v>14.92</v>
      </c>
      <c r="D34">
        <v>8.0299999999999994</v>
      </c>
      <c r="E34">
        <v>28.12</v>
      </c>
      <c r="F34" s="4">
        <f t="shared" si="0"/>
        <v>8.3545421847469568E-3</v>
      </c>
      <c r="G34" s="4">
        <f t="shared" si="1"/>
        <v>-1.5181518151815209E-2</v>
      </c>
      <c r="H34" s="4">
        <f t="shared" si="2"/>
        <v>-9.8643649815043245E-3</v>
      </c>
      <c r="I34" s="4">
        <f t="shared" si="3"/>
        <v>0</v>
      </c>
    </row>
    <row r="35" spans="1:9">
      <c r="A35" s="1">
        <v>38043</v>
      </c>
      <c r="B35">
        <v>6693.25</v>
      </c>
      <c r="C35">
        <v>14.99</v>
      </c>
      <c r="D35">
        <v>7.99</v>
      </c>
      <c r="E35">
        <v>28.3</v>
      </c>
      <c r="F35" s="4">
        <f t="shared" si="0"/>
        <v>7.3702492971398342E-3</v>
      </c>
      <c r="G35" s="4">
        <f t="shared" si="1"/>
        <v>4.6916890080429142E-3</v>
      </c>
      <c r="H35" s="4">
        <f t="shared" si="2"/>
        <v>-4.9813200498130946E-3</v>
      </c>
      <c r="I35" s="4">
        <f t="shared" si="3"/>
        <v>6.4011379800853379E-3</v>
      </c>
    </row>
    <row r="36" spans="1:9">
      <c r="A36" s="1">
        <v>38044</v>
      </c>
      <c r="B36">
        <v>6750.54</v>
      </c>
      <c r="C36">
        <v>15.15</v>
      </c>
      <c r="D36">
        <v>8.0299999999999994</v>
      </c>
      <c r="E36">
        <v>28.4</v>
      </c>
      <c r="F36" s="4">
        <f t="shared" si="0"/>
        <v>8.5593695140626699E-3</v>
      </c>
      <c r="G36" s="4">
        <f t="shared" si="1"/>
        <v>1.067378252168113E-2</v>
      </c>
      <c r="H36" s="4">
        <f t="shared" si="2"/>
        <v>5.0062578222777408E-3</v>
      </c>
      <c r="I36" s="4">
        <f t="shared" si="3"/>
        <v>3.5335689045935641E-3</v>
      </c>
    </row>
    <row r="37" spans="1:9">
      <c r="A37" s="1">
        <v>38047</v>
      </c>
      <c r="B37">
        <v>6888.43</v>
      </c>
      <c r="C37">
        <v>15.6</v>
      </c>
      <c r="D37">
        <v>7.99</v>
      </c>
      <c r="E37">
        <v>29.14</v>
      </c>
      <c r="F37" s="4">
        <f t="shared" si="0"/>
        <v>2.0426514027026034E-2</v>
      </c>
      <c r="G37" s="4">
        <f t="shared" si="1"/>
        <v>2.9702970297029656E-2</v>
      </c>
      <c r="H37" s="4">
        <f t="shared" si="2"/>
        <v>-4.9813200498130946E-3</v>
      </c>
      <c r="I37" s="4">
        <f t="shared" si="3"/>
        <v>2.6056338028169087E-2</v>
      </c>
    </row>
    <row r="38" spans="1:9">
      <c r="A38" s="1">
        <v>38048</v>
      </c>
      <c r="B38">
        <v>6975.26</v>
      </c>
      <c r="C38">
        <v>16.21</v>
      </c>
      <c r="D38">
        <v>8.11</v>
      </c>
      <c r="E38">
        <v>31.1</v>
      </c>
      <c r="F38" s="4">
        <f t="shared" si="0"/>
        <v>1.2605194507311525E-2</v>
      </c>
      <c r="G38" s="4">
        <f t="shared" si="1"/>
        <v>3.9102564102564179E-2</v>
      </c>
      <c r="H38" s="4">
        <f t="shared" si="2"/>
        <v>1.5018773466833444E-2</v>
      </c>
      <c r="I38" s="4">
        <f t="shared" si="3"/>
        <v>6.7261496225120135E-2</v>
      </c>
    </row>
    <row r="39" spans="1:9">
      <c r="A39" s="1">
        <v>38049</v>
      </c>
      <c r="B39">
        <v>6932.17</v>
      </c>
      <c r="C39">
        <v>15.75</v>
      </c>
      <c r="D39">
        <v>7.95</v>
      </c>
      <c r="E39">
        <v>31.38</v>
      </c>
      <c r="F39" s="4">
        <f t="shared" si="0"/>
        <v>-6.177547503605621E-3</v>
      </c>
      <c r="G39" s="4">
        <f t="shared" si="1"/>
        <v>-2.8377544725478151E-2</v>
      </c>
      <c r="H39" s="4">
        <f t="shared" si="2"/>
        <v>-1.9728729963008541E-2</v>
      </c>
      <c r="I39" s="4">
        <f t="shared" si="3"/>
        <v>9.0032154340835228E-3</v>
      </c>
    </row>
    <row r="40" spans="1:9">
      <c r="A40" s="1">
        <v>38050</v>
      </c>
      <c r="B40">
        <v>7034.1</v>
      </c>
      <c r="C40">
        <v>15.83</v>
      </c>
      <c r="D40">
        <v>8.07</v>
      </c>
      <c r="E40">
        <v>31.85</v>
      </c>
      <c r="F40" s="4">
        <f t="shared" si="0"/>
        <v>1.4703909454038244E-2</v>
      </c>
      <c r="G40" s="4">
        <f t="shared" si="1"/>
        <v>5.0793650793650837E-3</v>
      </c>
      <c r="H40" s="4">
        <f t="shared" si="2"/>
        <v>1.5094339622641522E-2</v>
      </c>
      <c r="I40" s="4">
        <f t="shared" si="3"/>
        <v>1.4977692797960561E-2</v>
      </c>
    </row>
    <row r="41" spans="1:9">
      <c r="A41" s="1">
        <v>38051</v>
      </c>
      <c r="B41">
        <v>6943.68</v>
      </c>
      <c r="C41">
        <v>15.37</v>
      </c>
      <c r="D41">
        <v>8.0299999999999994</v>
      </c>
      <c r="E41">
        <v>31.76</v>
      </c>
      <c r="F41" s="4">
        <f t="shared" si="0"/>
        <v>-1.2854522966690844E-2</v>
      </c>
      <c r="G41" s="4">
        <f t="shared" si="1"/>
        <v>-2.905874921036013E-2</v>
      </c>
      <c r="H41" s="4">
        <f t="shared" si="2"/>
        <v>-4.9566294919455916E-3</v>
      </c>
      <c r="I41" s="4">
        <f t="shared" si="3"/>
        <v>-2.8257456828885354E-3</v>
      </c>
    </row>
    <row r="42" spans="1:9">
      <c r="A42" s="1">
        <v>38054</v>
      </c>
      <c r="B42">
        <v>6901.48</v>
      </c>
      <c r="C42">
        <v>15.07</v>
      </c>
      <c r="D42">
        <v>8.27</v>
      </c>
      <c r="E42">
        <v>31.2</v>
      </c>
      <c r="F42" s="4">
        <f t="shared" si="0"/>
        <v>-6.0774690077884819E-3</v>
      </c>
      <c r="G42" s="4">
        <f t="shared" si="1"/>
        <v>-1.9518542615484642E-2</v>
      </c>
      <c r="H42" s="4">
        <f t="shared" si="2"/>
        <v>2.9887920298879232E-2</v>
      </c>
      <c r="I42" s="4">
        <f t="shared" si="3"/>
        <v>-1.7632241813602085E-2</v>
      </c>
    </row>
    <row r="43" spans="1:9">
      <c r="A43" s="1">
        <v>38055</v>
      </c>
      <c r="B43">
        <v>6973.9</v>
      </c>
      <c r="C43">
        <v>15.45</v>
      </c>
      <c r="D43">
        <v>8.31</v>
      </c>
      <c r="E43">
        <v>31.29</v>
      </c>
      <c r="F43" s="4">
        <f t="shared" si="0"/>
        <v>1.0493401415348604E-2</v>
      </c>
      <c r="G43" s="4">
        <f t="shared" si="1"/>
        <v>2.5215660252156536E-2</v>
      </c>
      <c r="H43" s="4">
        <f t="shared" si="2"/>
        <v>4.8367593712213934E-3</v>
      </c>
      <c r="I43" s="4">
        <f t="shared" si="3"/>
        <v>2.88461538461538E-3</v>
      </c>
    </row>
    <row r="44" spans="1:9">
      <c r="A44" s="1">
        <v>38056</v>
      </c>
      <c r="B44">
        <v>6874.91</v>
      </c>
      <c r="C44">
        <v>15.22</v>
      </c>
      <c r="D44">
        <v>8.19</v>
      </c>
      <c r="E44">
        <v>30.45</v>
      </c>
      <c r="F44" s="4">
        <f t="shared" si="0"/>
        <v>-1.4194353231333943E-2</v>
      </c>
      <c r="G44" s="4">
        <f t="shared" si="1"/>
        <v>-1.4886731391585674E-2</v>
      </c>
      <c r="H44" s="4">
        <f t="shared" si="2"/>
        <v>-1.4440433212996508E-2</v>
      </c>
      <c r="I44" s="4">
        <f t="shared" si="3"/>
        <v>-2.6845637583892613E-2</v>
      </c>
    </row>
    <row r="45" spans="1:9">
      <c r="A45" s="1">
        <v>38057</v>
      </c>
      <c r="B45">
        <v>6879.11</v>
      </c>
      <c r="C45">
        <v>15.3</v>
      </c>
      <c r="D45">
        <v>8.27</v>
      </c>
      <c r="E45">
        <v>30.36</v>
      </c>
      <c r="F45" s="4">
        <f t="shared" si="0"/>
        <v>6.1091708836913036E-4</v>
      </c>
      <c r="G45" s="4">
        <f t="shared" si="1"/>
        <v>5.2562417871222121E-3</v>
      </c>
      <c r="H45" s="4">
        <f t="shared" si="2"/>
        <v>9.7680097680097767E-3</v>
      </c>
      <c r="I45" s="4">
        <f t="shared" si="3"/>
        <v>-2.9556650246305373E-3</v>
      </c>
    </row>
    <row r="46" spans="1:9">
      <c r="A46" s="1">
        <v>38058</v>
      </c>
      <c r="B46">
        <v>6800.24</v>
      </c>
      <c r="C46">
        <v>15.37</v>
      </c>
      <c r="D46">
        <v>8.43</v>
      </c>
      <c r="E46">
        <v>29.61</v>
      </c>
      <c r="F46" s="4">
        <f t="shared" si="0"/>
        <v>-1.1465145927307442E-2</v>
      </c>
      <c r="G46" s="4">
        <f t="shared" si="1"/>
        <v>4.5751633986927127E-3</v>
      </c>
      <c r="H46" s="4">
        <f t="shared" si="2"/>
        <v>1.9347037484885147E-2</v>
      </c>
      <c r="I46" s="4">
        <f t="shared" si="3"/>
        <v>-2.4703557312252964E-2</v>
      </c>
    </row>
    <row r="47" spans="1:9">
      <c r="A47" s="1">
        <v>38061</v>
      </c>
      <c r="B47">
        <v>6635.98</v>
      </c>
      <c r="C47">
        <v>15.22</v>
      </c>
      <c r="D47">
        <v>8.43</v>
      </c>
      <c r="E47">
        <v>28.96</v>
      </c>
      <c r="F47" s="4">
        <f t="shared" si="0"/>
        <v>-2.4155029822476887E-2</v>
      </c>
      <c r="G47" s="4">
        <f t="shared" si="1"/>
        <v>-9.7592713077422639E-3</v>
      </c>
      <c r="H47" s="4">
        <f t="shared" si="2"/>
        <v>0</v>
      </c>
      <c r="I47" s="4">
        <f t="shared" si="3"/>
        <v>-2.1952043228638925E-2</v>
      </c>
    </row>
    <row r="48" spans="1:9">
      <c r="A48" s="1">
        <v>38062</v>
      </c>
      <c r="B48">
        <v>6589.72</v>
      </c>
      <c r="C48">
        <v>15.15</v>
      </c>
      <c r="D48">
        <v>8.23</v>
      </c>
      <c r="E48">
        <v>28.77</v>
      </c>
      <c r="F48" s="4">
        <f t="shared" si="0"/>
        <v>-6.9710879176850008E-3</v>
      </c>
      <c r="G48" s="4">
        <f t="shared" si="1"/>
        <v>-4.5992115637319498E-3</v>
      </c>
      <c r="H48" s="4">
        <f t="shared" si="2"/>
        <v>-2.3724792408066346E-2</v>
      </c>
      <c r="I48" s="4">
        <f t="shared" si="3"/>
        <v>-6.5607734806630274E-3</v>
      </c>
    </row>
    <row r="49" spans="1:9">
      <c r="A49" s="1">
        <v>38063</v>
      </c>
      <c r="B49">
        <v>6577.98</v>
      </c>
      <c r="C49">
        <v>14.77</v>
      </c>
      <c r="D49">
        <v>8.6199999999999992</v>
      </c>
      <c r="E49">
        <v>28.86</v>
      </c>
      <c r="F49" s="4">
        <f t="shared" si="0"/>
        <v>-1.781562797812455E-3</v>
      </c>
      <c r="G49" s="4">
        <f t="shared" si="1"/>
        <v>-2.5082508250825135E-2</v>
      </c>
      <c r="H49" s="4">
        <f t="shared" si="2"/>
        <v>4.7387606318347361E-2</v>
      </c>
      <c r="I49" s="4">
        <f t="shared" si="3"/>
        <v>3.1282586027111528E-3</v>
      </c>
    </row>
    <row r="50" spans="1:9">
      <c r="A50" s="1">
        <v>38064</v>
      </c>
      <c r="B50">
        <v>6787.03</v>
      </c>
      <c r="C50">
        <v>15.3</v>
      </c>
      <c r="D50">
        <v>8.58</v>
      </c>
      <c r="E50">
        <v>29.8</v>
      </c>
      <c r="F50" s="4">
        <f t="shared" si="0"/>
        <v>3.1780272971337738E-2</v>
      </c>
      <c r="G50" s="4">
        <f t="shared" si="1"/>
        <v>3.5883547731889044E-2</v>
      </c>
      <c r="H50" s="4">
        <f t="shared" si="2"/>
        <v>-4.6403712296982777E-3</v>
      </c>
      <c r="I50" s="4">
        <f t="shared" si="3"/>
        <v>3.2571032571032617E-2</v>
      </c>
    </row>
    <row r="51" spans="1:9">
      <c r="A51" s="1">
        <v>38065</v>
      </c>
      <c r="B51">
        <v>6815.09</v>
      </c>
      <c r="C51">
        <v>15.15</v>
      </c>
      <c r="D51">
        <v>8.43</v>
      </c>
      <c r="E51">
        <v>29.98</v>
      </c>
      <c r="F51" s="4">
        <f t="shared" si="0"/>
        <v>4.1343562648169232E-3</v>
      </c>
      <c r="G51" s="4">
        <f t="shared" si="1"/>
        <v>-9.8039215686274734E-3</v>
      </c>
      <c r="H51" s="4">
        <f t="shared" si="2"/>
        <v>-1.7482517482517525E-2</v>
      </c>
      <c r="I51" s="4">
        <f t="shared" si="3"/>
        <v>6.0402684563758292E-3</v>
      </c>
    </row>
    <row r="52" spans="1:9">
      <c r="A52" s="1">
        <v>38068</v>
      </c>
      <c r="B52">
        <v>6359.92</v>
      </c>
      <c r="C52">
        <v>14.08</v>
      </c>
      <c r="D52">
        <v>7.87</v>
      </c>
      <c r="E52">
        <v>27.93</v>
      </c>
      <c r="F52" s="4">
        <f t="shared" si="0"/>
        <v>-6.6788553049189375E-2</v>
      </c>
      <c r="G52" s="4">
        <f t="shared" si="1"/>
        <v>-7.0627062706270644E-2</v>
      </c>
      <c r="H52" s="4">
        <f t="shared" si="2"/>
        <v>-6.6429418742585955E-2</v>
      </c>
      <c r="I52" s="4">
        <f t="shared" si="3"/>
        <v>-6.8378919279519709E-2</v>
      </c>
    </row>
    <row r="53" spans="1:9">
      <c r="A53" s="1">
        <v>38069</v>
      </c>
      <c r="B53">
        <v>6172.89</v>
      </c>
      <c r="C53">
        <v>13.1</v>
      </c>
      <c r="D53">
        <v>7.32</v>
      </c>
      <c r="E53">
        <v>26.06</v>
      </c>
      <c r="F53" s="4">
        <f t="shared" si="0"/>
        <v>-2.9407602611353563E-2</v>
      </c>
      <c r="G53" s="4">
        <f t="shared" si="1"/>
        <v>-6.9602272727272763E-2</v>
      </c>
      <c r="H53" s="4">
        <f t="shared" si="2"/>
        <v>-6.9885641677255375E-2</v>
      </c>
      <c r="I53" s="4">
        <f t="shared" si="3"/>
        <v>-6.695309702828503E-2</v>
      </c>
    </row>
    <row r="54" spans="1:9">
      <c r="A54" s="1">
        <v>38070</v>
      </c>
      <c r="B54">
        <v>6213.56</v>
      </c>
      <c r="C54">
        <v>13.18</v>
      </c>
      <c r="D54">
        <v>7.09</v>
      </c>
      <c r="E54">
        <v>26.9</v>
      </c>
      <c r="F54" s="4">
        <f t="shared" si="0"/>
        <v>6.5884861061836627E-3</v>
      </c>
      <c r="G54" s="4">
        <f t="shared" si="1"/>
        <v>6.1068702290076396E-3</v>
      </c>
      <c r="H54" s="4">
        <f t="shared" si="2"/>
        <v>-3.142076502732246E-2</v>
      </c>
      <c r="I54" s="4">
        <f t="shared" si="3"/>
        <v>3.2233307751343053E-2</v>
      </c>
    </row>
    <row r="55" spans="1:9">
      <c r="A55" s="1">
        <v>38071</v>
      </c>
      <c r="B55">
        <v>6156.73</v>
      </c>
      <c r="C55">
        <v>13.02</v>
      </c>
      <c r="D55">
        <v>7.13</v>
      </c>
      <c r="E55">
        <v>26.62</v>
      </c>
      <c r="F55" s="4">
        <f t="shared" si="0"/>
        <v>-9.146125570526532E-3</v>
      </c>
      <c r="G55" s="4">
        <f t="shared" si="1"/>
        <v>-1.2139605462822469E-2</v>
      </c>
      <c r="H55" s="4">
        <f t="shared" si="2"/>
        <v>5.6417489421720785E-3</v>
      </c>
      <c r="I55" s="4">
        <f t="shared" si="3"/>
        <v>-1.0408921933085413E-2</v>
      </c>
    </row>
    <row r="56" spans="1:9">
      <c r="A56" s="1">
        <v>38072</v>
      </c>
      <c r="B56">
        <v>6132.62</v>
      </c>
      <c r="C56">
        <v>12.95</v>
      </c>
      <c r="D56">
        <v>7.09</v>
      </c>
      <c r="E56">
        <v>26.71</v>
      </c>
      <c r="F56" s="4">
        <f t="shared" si="0"/>
        <v>-3.9160398458271961E-3</v>
      </c>
      <c r="G56" s="4">
        <f t="shared" si="1"/>
        <v>-5.3763440860215275E-3</v>
      </c>
      <c r="H56" s="4">
        <f t="shared" si="2"/>
        <v>-5.6100981767180976E-3</v>
      </c>
      <c r="I56" s="4">
        <f t="shared" si="3"/>
        <v>3.3809166040570946E-3</v>
      </c>
    </row>
    <row r="57" spans="1:9">
      <c r="A57" s="1">
        <v>38075</v>
      </c>
      <c r="B57">
        <v>6474.11</v>
      </c>
      <c r="C57">
        <v>13.78</v>
      </c>
      <c r="D57">
        <v>7.52</v>
      </c>
      <c r="E57">
        <v>28.58</v>
      </c>
      <c r="F57" s="4">
        <f t="shared" si="0"/>
        <v>5.5684193705137414E-2</v>
      </c>
      <c r="G57" s="4">
        <f t="shared" si="1"/>
        <v>6.4092664092664106E-2</v>
      </c>
      <c r="H57" s="4">
        <f t="shared" si="2"/>
        <v>6.064880112834975E-2</v>
      </c>
      <c r="I57" s="4">
        <f t="shared" si="3"/>
        <v>7.0011231748408731E-2</v>
      </c>
    </row>
    <row r="58" spans="1:9">
      <c r="A58" s="1">
        <v>38076</v>
      </c>
      <c r="B58">
        <v>6494.71</v>
      </c>
      <c r="C58">
        <v>13.93</v>
      </c>
      <c r="D58">
        <v>7.6</v>
      </c>
      <c r="E58">
        <v>27.93</v>
      </c>
      <c r="F58" s="4">
        <f t="shared" si="0"/>
        <v>3.1819045397746353E-3</v>
      </c>
      <c r="G58" s="4">
        <f t="shared" si="1"/>
        <v>1.0885341074020345E-2</v>
      </c>
      <c r="H58" s="4">
        <f t="shared" si="2"/>
        <v>1.0638297872340436E-2</v>
      </c>
      <c r="I58" s="4">
        <f t="shared" si="3"/>
        <v>-2.2743177046885887E-2</v>
      </c>
    </row>
    <row r="59" spans="1:9">
      <c r="A59" s="1">
        <v>38077</v>
      </c>
      <c r="B59">
        <v>6522.19</v>
      </c>
      <c r="C59">
        <v>13.93</v>
      </c>
      <c r="D59">
        <v>7.48</v>
      </c>
      <c r="E59">
        <v>27.65</v>
      </c>
      <c r="F59" s="4">
        <f t="shared" si="0"/>
        <v>4.2311358012905214E-3</v>
      </c>
      <c r="G59" s="4">
        <f t="shared" si="1"/>
        <v>0</v>
      </c>
      <c r="H59" s="4">
        <f t="shared" si="2"/>
        <v>-1.5789473684210423E-2</v>
      </c>
      <c r="I59" s="4">
        <f t="shared" si="3"/>
        <v>-1.0025062656641645E-2</v>
      </c>
    </row>
    <row r="60" spans="1:9">
      <c r="A60" s="1">
        <v>38078</v>
      </c>
      <c r="B60">
        <v>6523.49</v>
      </c>
      <c r="C60">
        <v>13.71</v>
      </c>
      <c r="D60">
        <v>7.28</v>
      </c>
      <c r="E60">
        <v>27.37</v>
      </c>
      <c r="F60" s="4">
        <f t="shared" si="0"/>
        <v>1.9931955370821488E-4</v>
      </c>
      <c r="G60" s="4">
        <f t="shared" si="1"/>
        <v>-1.5793251974156416E-2</v>
      </c>
      <c r="H60" s="4">
        <f t="shared" si="2"/>
        <v>-2.6737967914438526E-2</v>
      </c>
      <c r="I60" s="4">
        <f t="shared" si="3"/>
        <v>-1.0126582278480926E-2</v>
      </c>
    </row>
    <row r="61" spans="1:9">
      <c r="A61" s="1">
        <v>38079</v>
      </c>
      <c r="B61">
        <v>6545.54</v>
      </c>
      <c r="C61">
        <v>13.78</v>
      </c>
      <c r="D61">
        <v>7.52</v>
      </c>
      <c r="E61">
        <v>27.55</v>
      </c>
      <c r="F61" s="4">
        <f t="shared" si="0"/>
        <v>3.3800925578180057E-3</v>
      </c>
      <c r="G61" s="4">
        <f t="shared" si="1"/>
        <v>5.1057622173594826E-3</v>
      </c>
      <c r="H61" s="4">
        <f t="shared" si="2"/>
        <v>3.2967032967032871E-2</v>
      </c>
      <c r="I61" s="4">
        <f t="shared" si="3"/>
        <v>6.5765436609426277E-3</v>
      </c>
    </row>
    <row r="62" spans="1:9">
      <c r="A62" s="1">
        <v>38082</v>
      </c>
      <c r="B62">
        <v>6682.73</v>
      </c>
      <c r="C62">
        <v>13.93</v>
      </c>
      <c r="D62">
        <v>7.48</v>
      </c>
      <c r="E62">
        <v>29.42</v>
      </c>
      <c r="F62" s="4">
        <f t="shared" si="0"/>
        <v>2.0959309697901104E-2</v>
      </c>
      <c r="G62" s="4">
        <f t="shared" si="1"/>
        <v>1.0885341074020345E-2</v>
      </c>
      <c r="H62" s="4">
        <f t="shared" si="2"/>
        <v>-5.3191489361700999E-3</v>
      </c>
      <c r="I62" s="4">
        <f t="shared" si="3"/>
        <v>6.7876588021778622E-2</v>
      </c>
    </row>
    <row r="63" spans="1:9">
      <c r="A63" s="1">
        <v>38083</v>
      </c>
      <c r="B63">
        <v>6635.54</v>
      </c>
      <c r="C63">
        <v>13.55</v>
      </c>
      <c r="D63">
        <v>7.48</v>
      </c>
      <c r="E63">
        <v>29.8</v>
      </c>
      <c r="F63" s="4">
        <f t="shared" si="0"/>
        <v>-7.0614853510465939E-3</v>
      </c>
      <c r="G63" s="4">
        <f t="shared" si="1"/>
        <v>-2.7279253409906605E-2</v>
      </c>
      <c r="H63" s="4">
        <f t="shared" si="2"/>
        <v>0</v>
      </c>
      <c r="I63" s="4">
        <f t="shared" si="3"/>
        <v>1.2916383412644426E-2</v>
      </c>
    </row>
    <row r="64" spans="1:9">
      <c r="A64" s="1">
        <v>38084</v>
      </c>
      <c r="B64">
        <v>6646.74</v>
      </c>
      <c r="C64">
        <v>13.4</v>
      </c>
      <c r="D64">
        <v>7.52</v>
      </c>
      <c r="E64">
        <v>29.52</v>
      </c>
      <c r="F64" s="4">
        <f t="shared" si="0"/>
        <v>1.6878807150585812E-3</v>
      </c>
      <c r="G64" s="4">
        <f t="shared" si="1"/>
        <v>-1.1070110701107036E-2</v>
      </c>
      <c r="H64" s="4">
        <f t="shared" si="2"/>
        <v>5.3475935828875866E-3</v>
      </c>
      <c r="I64" s="4">
        <f t="shared" si="3"/>
        <v>-9.3959731543624535E-3</v>
      </c>
    </row>
    <row r="65" spans="1:9">
      <c r="A65" s="1">
        <v>38085</v>
      </c>
      <c r="B65">
        <v>6672.86</v>
      </c>
      <c r="C65">
        <v>13.48</v>
      </c>
      <c r="D65">
        <v>7.64</v>
      </c>
      <c r="E65">
        <v>29.89</v>
      </c>
      <c r="F65" s="4">
        <f t="shared" si="0"/>
        <v>3.9297460108263437E-3</v>
      </c>
      <c r="G65" s="4">
        <f t="shared" si="1"/>
        <v>5.9701492537313485E-3</v>
      </c>
      <c r="H65" s="4">
        <f t="shared" si="2"/>
        <v>1.5957446808510654E-2</v>
      </c>
      <c r="I65" s="4">
        <f t="shared" si="3"/>
        <v>1.2533875338753421E-2</v>
      </c>
    </row>
    <row r="66" spans="1:9">
      <c r="A66" s="1">
        <v>38086</v>
      </c>
      <c r="B66">
        <v>6620.36</v>
      </c>
      <c r="C66">
        <v>13.33</v>
      </c>
      <c r="D66">
        <v>7.72</v>
      </c>
      <c r="E66">
        <v>29.33</v>
      </c>
      <c r="F66" s="4">
        <f t="shared" si="0"/>
        <v>-7.8676909151398355E-3</v>
      </c>
      <c r="G66" s="4">
        <f t="shared" si="1"/>
        <v>-1.1127596439169166E-2</v>
      </c>
      <c r="H66" s="4">
        <f t="shared" si="2"/>
        <v>1.0471204188481685E-2</v>
      </c>
      <c r="I66" s="4">
        <f t="shared" si="3"/>
        <v>-1.8735362997658156E-2</v>
      </c>
    </row>
    <row r="67" spans="1:9">
      <c r="A67" s="1">
        <v>38089</v>
      </c>
      <c r="B67">
        <v>6777.78</v>
      </c>
      <c r="C67">
        <v>13.86</v>
      </c>
      <c r="D67">
        <v>8.07</v>
      </c>
      <c r="E67">
        <v>29.8</v>
      </c>
      <c r="F67" s="4">
        <f t="shared" si="0"/>
        <v>2.3778163121038746E-2</v>
      </c>
      <c r="G67" s="4">
        <f t="shared" si="1"/>
        <v>3.9759939984996204E-2</v>
      </c>
      <c r="H67" s="4">
        <f t="shared" si="2"/>
        <v>4.533678756476691E-2</v>
      </c>
      <c r="I67" s="4">
        <f t="shared" si="3"/>
        <v>1.6024548244118732E-2</v>
      </c>
    </row>
    <row r="68" spans="1:9">
      <c r="A68" s="1">
        <v>38090</v>
      </c>
      <c r="B68">
        <v>6794.33</v>
      </c>
      <c r="C68">
        <v>14.16</v>
      </c>
      <c r="D68">
        <v>8.0299999999999994</v>
      </c>
      <c r="E68">
        <v>29.61</v>
      </c>
      <c r="F68" s="4">
        <f t="shared" ref="F68:F131" si="4">(B68-B67)/B67</f>
        <v>2.4418024780975753E-3</v>
      </c>
      <c r="G68" s="4">
        <f t="shared" ref="G68:G131" si="5">(C68-C67)/C67</f>
        <v>2.1645021645021696E-2</v>
      </c>
      <c r="H68" s="4">
        <f t="shared" ref="H68:H131" si="6">(D68-D67)/D67</f>
        <v>-4.9566294919455916E-3</v>
      </c>
      <c r="I68" s="4">
        <f t="shared" ref="I68:I131" si="7">(E68-E67)/E67</f>
        <v>-6.3758389261745398E-3</v>
      </c>
    </row>
    <row r="69" spans="1:9">
      <c r="A69" s="1">
        <v>38091</v>
      </c>
      <c r="B69">
        <v>6880.18</v>
      </c>
      <c r="C69">
        <v>14.16</v>
      </c>
      <c r="D69">
        <v>7.99</v>
      </c>
      <c r="E69">
        <v>31.38</v>
      </c>
      <c r="F69" s="4">
        <f t="shared" si="4"/>
        <v>1.2635535807062708E-2</v>
      </c>
      <c r="G69" s="4">
        <f t="shared" si="5"/>
        <v>0</v>
      </c>
      <c r="H69" s="4">
        <f t="shared" si="6"/>
        <v>-4.9813200498130946E-3</v>
      </c>
      <c r="I69" s="4">
        <f t="shared" si="7"/>
        <v>5.9777102330293805E-2</v>
      </c>
    </row>
    <row r="70" spans="1:9">
      <c r="A70" s="1">
        <v>38092</v>
      </c>
      <c r="B70">
        <v>6736.79</v>
      </c>
      <c r="C70">
        <v>13.78</v>
      </c>
      <c r="D70">
        <v>7.64</v>
      </c>
      <c r="E70">
        <v>29.7</v>
      </c>
      <c r="F70" s="4">
        <f t="shared" si="4"/>
        <v>-2.0841024508079776E-2</v>
      </c>
      <c r="G70" s="4">
        <f t="shared" si="5"/>
        <v>-2.683615819209045E-2</v>
      </c>
      <c r="H70" s="4">
        <f t="shared" si="6"/>
        <v>-4.3804755944931231E-2</v>
      </c>
      <c r="I70" s="4">
        <f t="shared" si="7"/>
        <v>-5.3537284894837465E-2</v>
      </c>
    </row>
    <row r="71" spans="1:9">
      <c r="A71" s="1">
        <v>38093</v>
      </c>
      <c r="B71">
        <v>6818.2</v>
      </c>
      <c r="C71">
        <v>13.78</v>
      </c>
      <c r="D71">
        <v>7.64</v>
      </c>
      <c r="E71">
        <v>30.08</v>
      </c>
      <c r="F71" s="4">
        <f t="shared" si="4"/>
        <v>1.2084390340206516E-2</v>
      </c>
      <c r="G71" s="4">
        <f t="shared" si="5"/>
        <v>0</v>
      </c>
      <c r="H71" s="4">
        <f t="shared" si="6"/>
        <v>0</v>
      </c>
      <c r="I71" s="4">
        <f t="shared" si="7"/>
        <v>1.2794612794612761E-2</v>
      </c>
    </row>
    <row r="72" spans="1:9">
      <c r="A72" s="1">
        <v>38096</v>
      </c>
      <c r="B72">
        <v>6779.18</v>
      </c>
      <c r="C72">
        <v>13.71</v>
      </c>
      <c r="D72">
        <v>7.68</v>
      </c>
      <c r="E72">
        <v>29.42</v>
      </c>
      <c r="F72" s="4">
        <f t="shared" si="4"/>
        <v>-5.7229180722184044E-3</v>
      </c>
      <c r="G72" s="4">
        <f t="shared" si="5"/>
        <v>-5.079825834542708E-3</v>
      </c>
      <c r="H72" s="4">
        <f t="shared" si="6"/>
        <v>5.2356020942408424E-3</v>
      </c>
      <c r="I72" s="4">
        <f t="shared" si="7"/>
        <v>-2.1941489361702017E-2</v>
      </c>
    </row>
    <row r="73" spans="1:9">
      <c r="A73" s="1">
        <v>38097</v>
      </c>
      <c r="B73">
        <v>6799.97</v>
      </c>
      <c r="C73">
        <v>13.48</v>
      </c>
      <c r="D73">
        <v>7.64</v>
      </c>
      <c r="E73">
        <v>29.98</v>
      </c>
      <c r="F73" s="4">
        <f t="shared" si="4"/>
        <v>3.0667425853864276E-3</v>
      </c>
      <c r="G73" s="4">
        <f t="shared" si="5"/>
        <v>-1.6776075857038688E-2</v>
      </c>
      <c r="H73" s="4">
        <f t="shared" si="6"/>
        <v>-5.2083333333333382E-3</v>
      </c>
      <c r="I73" s="4">
        <f t="shared" si="7"/>
        <v>1.9034670292318107E-2</v>
      </c>
    </row>
    <row r="74" spans="1:9">
      <c r="A74" s="1">
        <v>38098</v>
      </c>
      <c r="B74">
        <v>6810.25</v>
      </c>
      <c r="C74">
        <v>13.48</v>
      </c>
      <c r="D74">
        <v>7.56</v>
      </c>
      <c r="E74">
        <v>30.45</v>
      </c>
      <c r="F74" s="4">
        <f t="shared" si="4"/>
        <v>1.5117713754619132E-3</v>
      </c>
      <c r="G74" s="4">
        <f t="shared" si="5"/>
        <v>0</v>
      </c>
      <c r="H74" s="4">
        <f t="shared" si="6"/>
        <v>-1.0471204188481685E-2</v>
      </c>
      <c r="I74" s="4">
        <f t="shared" si="7"/>
        <v>1.5677118078719108E-2</v>
      </c>
    </row>
    <row r="75" spans="1:9">
      <c r="A75" s="1">
        <v>38099</v>
      </c>
      <c r="B75">
        <v>6732.09</v>
      </c>
      <c r="C75">
        <v>13.4</v>
      </c>
      <c r="D75">
        <v>7.48</v>
      </c>
      <c r="E75">
        <v>30.82</v>
      </c>
      <c r="F75" s="4">
        <f t="shared" si="4"/>
        <v>-1.1476818031643457E-2</v>
      </c>
      <c r="G75" s="4">
        <f t="shared" si="5"/>
        <v>-5.9347181008902131E-3</v>
      </c>
      <c r="H75" s="4">
        <f t="shared" si="6"/>
        <v>-1.0582010582010474E-2</v>
      </c>
      <c r="I75" s="4">
        <f t="shared" si="7"/>
        <v>1.215106732348115E-2</v>
      </c>
    </row>
    <row r="76" spans="1:9">
      <c r="A76" s="1">
        <v>38100</v>
      </c>
      <c r="B76">
        <v>6748.1</v>
      </c>
      <c r="C76">
        <v>13.25</v>
      </c>
      <c r="D76">
        <v>7.36</v>
      </c>
      <c r="E76">
        <v>31.76</v>
      </c>
      <c r="F76" s="4">
        <f t="shared" si="4"/>
        <v>2.3781619081147485E-3</v>
      </c>
      <c r="G76" s="4">
        <f t="shared" si="5"/>
        <v>-1.1194029850746294E-2</v>
      </c>
      <c r="H76" s="4">
        <f t="shared" si="6"/>
        <v>-1.6042780748663114E-2</v>
      </c>
      <c r="I76" s="4">
        <f t="shared" si="7"/>
        <v>3.0499675535366685E-2</v>
      </c>
    </row>
    <row r="77" spans="1:9">
      <c r="A77" s="1">
        <v>38103</v>
      </c>
      <c r="B77">
        <v>6710.7</v>
      </c>
      <c r="C77">
        <v>13.02</v>
      </c>
      <c r="D77">
        <v>7.32</v>
      </c>
      <c r="E77">
        <v>31.57</v>
      </c>
      <c r="F77" s="4">
        <f t="shared" si="4"/>
        <v>-5.5423007957796332E-3</v>
      </c>
      <c r="G77" s="4">
        <f t="shared" si="5"/>
        <v>-1.7358490566037769E-2</v>
      </c>
      <c r="H77" s="4">
        <f t="shared" si="6"/>
        <v>-5.4347826086956564E-3</v>
      </c>
      <c r="I77" s="4">
        <f t="shared" si="7"/>
        <v>-5.9823677581864378E-3</v>
      </c>
    </row>
    <row r="78" spans="1:9">
      <c r="A78" s="1">
        <v>38104</v>
      </c>
      <c r="B78">
        <v>6646.8</v>
      </c>
      <c r="C78">
        <v>12.42</v>
      </c>
      <c r="D78">
        <v>7.32</v>
      </c>
      <c r="E78">
        <v>31.2</v>
      </c>
      <c r="F78" s="4">
        <f t="shared" si="4"/>
        <v>-9.5221064866555863E-3</v>
      </c>
      <c r="G78" s="4">
        <f t="shared" si="5"/>
        <v>-4.6082949308755734E-2</v>
      </c>
      <c r="H78" s="4">
        <f t="shared" si="6"/>
        <v>0</v>
      </c>
      <c r="I78" s="4">
        <f t="shared" si="7"/>
        <v>-1.1719987329743459E-2</v>
      </c>
    </row>
    <row r="79" spans="1:9">
      <c r="A79" s="1">
        <v>38105</v>
      </c>
      <c r="B79">
        <v>6574.75</v>
      </c>
      <c r="C79">
        <v>12.19</v>
      </c>
      <c r="D79">
        <v>7.32</v>
      </c>
      <c r="E79">
        <v>30.36</v>
      </c>
      <c r="F79" s="4">
        <f t="shared" si="4"/>
        <v>-1.0839802611783141E-2</v>
      </c>
      <c r="G79" s="4">
        <f t="shared" si="5"/>
        <v>-1.8518518518518552E-2</v>
      </c>
      <c r="H79" s="4">
        <f t="shared" si="6"/>
        <v>0</v>
      </c>
      <c r="I79" s="4">
        <f t="shared" si="7"/>
        <v>-2.6923076923076918E-2</v>
      </c>
    </row>
    <row r="80" spans="1:9">
      <c r="A80" s="1">
        <v>38106</v>
      </c>
      <c r="B80">
        <v>6402.21</v>
      </c>
      <c r="C80">
        <v>11.36</v>
      </c>
      <c r="D80">
        <v>7.28</v>
      </c>
      <c r="E80">
        <v>29.33</v>
      </c>
      <c r="F80" s="4">
        <f t="shared" si="4"/>
        <v>-2.6242822921023607E-2</v>
      </c>
      <c r="G80" s="4">
        <f t="shared" si="5"/>
        <v>-6.808859721082855E-2</v>
      </c>
      <c r="H80" s="4">
        <f t="shared" si="6"/>
        <v>-5.4644808743169442E-3</v>
      </c>
      <c r="I80" s="4">
        <f t="shared" si="7"/>
        <v>-3.3926218708827442E-2</v>
      </c>
    </row>
    <row r="81" spans="1:9">
      <c r="A81" s="1">
        <v>38107</v>
      </c>
      <c r="B81">
        <v>6117.81</v>
      </c>
      <c r="C81">
        <v>10.79</v>
      </c>
      <c r="D81">
        <v>7.01</v>
      </c>
      <c r="E81">
        <v>27.84</v>
      </c>
      <c r="F81" s="4">
        <f t="shared" si="4"/>
        <v>-4.4422160472711712E-2</v>
      </c>
      <c r="G81" s="4">
        <f t="shared" si="5"/>
        <v>-5.0176056338028199E-2</v>
      </c>
      <c r="H81" s="4">
        <f t="shared" si="6"/>
        <v>-3.708791208791215E-2</v>
      </c>
      <c r="I81" s="4">
        <f t="shared" si="7"/>
        <v>-5.0801227412205885E-2</v>
      </c>
    </row>
    <row r="82" spans="1:9">
      <c r="A82" s="1">
        <v>38110</v>
      </c>
      <c r="B82">
        <v>6029.77</v>
      </c>
      <c r="C82">
        <v>11.02</v>
      </c>
      <c r="D82">
        <v>6.93</v>
      </c>
      <c r="E82">
        <v>27.55</v>
      </c>
      <c r="F82" s="4">
        <f t="shared" si="4"/>
        <v>-1.4390770553515057E-2</v>
      </c>
      <c r="G82" s="4">
        <f t="shared" si="5"/>
        <v>2.1316033364226175E-2</v>
      </c>
      <c r="H82" s="4">
        <f t="shared" si="6"/>
        <v>-1.1412268188302436E-2</v>
      </c>
      <c r="I82" s="4">
        <f t="shared" si="7"/>
        <v>-1.0416666666666637E-2</v>
      </c>
    </row>
    <row r="83" spans="1:9">
      <c r="A83" s="1">
        <v>38111</v>
      </c>
      <c r="B83">
        <v>6188.15</v>
      </c>
      <c r="C83">
        <v>11.51</v>
      </c>
      <c r="D83">
        <v>7.13</v>
      </c>
      <c r="E83">
        <v>28.21</v>
      </c>
      <c r="F83" s="4">
        <f t="shared" si="4"/>
        <v>2.626634183393383E-2</v>
      </c>
      <c r="G83" s="4">
        <f t="shared" si="5"/>
        <v>4.4464609800363E-2</v>
      </c>
      <c r="H83" s="4">
        <f t="shared" si="6"/>
        <v>2.8860028860028888E-2</v>
      </c>
      <c r="I83" s="4">
        <f t="shared" si="7"/>
        <v>2.3956442831215976E-2</v>
      </c>
    </row>
    <row r="84" spans="1:9">
      <c r="A84" s="1">
        <v>38112</v>
      </c>
      <c r="B84">
        <v>5854.23</v>
      </c>
      <c r="C84">
        <v>10.75</v>
      </c>
      <c r="D84">
        <v>6.65</v>
      </c>
      <c r="E84">
        <v>26.53</v>
      </c>
      <c r="F84" s="4">
        <f t="shared" si="4"/>
        <v>-5.3961200035551833E-2</v>
      </c>
      <c r="G84" s="4">
        <f t="shared" si="5"/>
        <v>-6.6029539530842729E-2</v>
      </c>
      <c r="H84" s="4">
        <f t="shared" si="6"/>
        <v>-6.7321178120617053E-2</v>
      </c>
      <c r="I84" s="4">
        <f t="shared" si="7"/>
        <v>-5.9553349875930507E-2</v>
      </c>
    </row>
    <row r="85" spans="1:9">
      <c r="A85" s="1">
        <v>38113</v>
      </c>
      <c r="B85">
        <v>5909.79</v>
      </c>
      <c r="C85">
        <v>10.98</v>
      </c>
      <c r="D85">
        <v>6.77</v>
      </c>
      <c r="E85">
        <v>26.71</v>
      </c>
      <c r="F85" s="4">
        <f t="shared" si="4"/>
        <v>9.4905734827638137E-3</v>
      </c>
      <c r="G85" s="4">
        <f t="shared" si="5"/>
        <v>2.1395348837209342E-2</v>
      </c>
      <c r="H85" s="4">
        <f t="shared" si="6"/>
        <v>1.804511278195477E-2</v>
      </c>
      <c r="I85" s="4">
        <f t="shared" si="7"/>
        <v>6.7847719562759033E-3</v>
      </c>
    </row>
    <row r="86" spans="1:9">
      <c r="A86" s="1">
        <v>38114</v>
      </c>
      <c r="B86">
        <v>6040.26</v>
      </c>
      <c r="C86">
        <v>11.43</v>
      </c>
      <c r="D86">
        <v>6.93</v>
      </c>
      <c r="E86">
        <v>27.09</v>
      </c>
      <c r="F86" s="4">
        <f t="shared" si="4"/>
        <v>2.2076926591300242E-2</v>
      </c>
      <c r="G86" s="4">
        <f t="shared" si="5"/>
        <v>4.0983606557376984E-2</v>
      </c>
      <c r="H86" s="4">
        <f t="shared" si="6"/>
        <v>2.3633677991137393E-2</v>
      </c>
      <c r="I86" s="4">
        <f t="shared" si="7"/>
        <v>1.4226881317858443E-2</v>
      </c>
    </row>
    <row r="87" spans="1:9">
      <c r="A87" s="1">
        <v>38117</v>
      </c>
      <c r="B87">
        <v>5825.05</v>
      </c>
      <c r="C87">
        <v>10.9</v>
      </c>
      <c r="D87">
        <v>6.73</v>
      </c>
      <c r="E87">
        <v>26.15</v>
      </c>
      <c r="F87" s="4">
        <f t="shared" si="4"/>
        <v>-3.5629260992076507E-2</v>
      </c>
      <c r="G87" s="4">
        <f t="shared" si="5"/>
        <v>-4.6369203849518759E-2</v>
      </c>
      <c r="H87" s="4">
        <f t="shared" si="6"/>
        <v>-2.8860028860028759E-2</v>
      </c>
      <c r="I87" s="4">
        <f t="shared" si="7"/>
        <v>-3.4699150978220794E-2</v>
      </c>
    </row>
    <row r="88" spans="1:9">
      <c r="A88" s="1">
        <v>38118</v>
      </c>
      <c r="B88">
        <v>5886.36</v>
      </c>
      <c r="C88">
        <v>11.17</v>
      </c>
      <c r="D88">
        <v>6.81</v>
      </c>
      <c r="E88">
        <v>25.87</v>
      </c>
      <c r="F88" s="4">
        <f t="shared" si="4"/>
        <v>1.0525231543076797E-2</v>
      </c>
      <c r="G88" s="4">
        <f t="shared" si="5"/>
        <v>2.4770642201834822E-2</v>
      </c>
      <c r="H88" s="4">
        <f t="shared" si="6"/>
        <v>1.1887072808320829E-2</v>
      </c>
      <c r="I88" s="4">
        <f t="shared" si="7"/>
        <v>-1.0707456978967404E-2</v>
      </c>
    </row>
    <row r="89" spans="1:9">
      <c r="A89" s="1">
        <v>38119</v>
      </c>
      <c r="B89">
        <v>5958.79</v>
      </c>
      <c r="C89">
        <v>11.17</v>
      </c>
      <c r="D89">
        <v>6.93</v>
      </c>
      <c r="E89">
        <v>26.15</v>
      </c>
      <c r="F89" s="4">
        <f t="shared" si="4"/>
        <v>1.2304718026080684E-2</v>
      </c>
      <c r="G89" s="4">
        <f t="shared" si="5"/>
        <v>0</v>
      </c>
      <c r="H89" s="4">
        <f t="shared" si="6"/>
        <v>1.7621145374449355E-2</v>
      </c>
      <c r="I89" s="4">
        <f t="shared" si="7"/>
        <v>1.0823347506764499E-2</v>
      </c>
    </row>
    <row r="90" spans="1:9">
      <c r="A90" s="1">
        <v>38120</v>
      </c>
      <c r="B90">
        <v>5918.09</v>
      </c>
      <c r="C90">
        <v>11.25</v>
      </c>
      <c r="D90">
        <v>6.85</v>
      </c>
      <c r="E90">
        <v>25.87</v>
      </c>
      <c r="F90" s="4">
        <f t="shared" si="4"/>
        <v>-6.8302457378091553E-3</v>
      </c>
      <c r="G90" s="4">
        <f t="shared" si="5"/>
        <v>7.162041181736801E-3</v>
      </c>
      <c r="H90" s="4">
        <f t="shared" si="6"/>
        <v>-1.1544011544011554E-2</v>
      </c>
      <c r="I90" s="4">
        <f t="shared" si="7"/>
        <v>-1.0707456978967404E-2</v>
      </c>
    </row>
    <row r="91" spans="1:9">
      <c r="A91" s="1">
        <v>38121</v>
      </c>
      <c r="B91">
        <v>5777.32</v>
      </c>
      <c r="C91">
        <v>10.94</v>
      </c>
      <c r="D91">
        <v>6.73</v>
      </c>
      <c r="E91">
        <v>25.13</v>
      </c>
      <c r="F91" s="4">
        <f t="shared" si="4"/>
        <v>-2.3786390541543037E-2</v>
      </c>
      <c r="G91" s="4">
        <f t="shared" si="5"/>
        <v>-2.75555555555556E-2</v>
      </c>
      <c r="H91" s="4">
        <f t="shared" si="6"/>
        <v>-1.7518248175182369E-2</v>
      </c>
      <c r="I91" s="4">
        <f t="shared" si="7"/>
        <v>-2.8604561267877925E-2</v>
      </c>
    </row>
    <row r="92" spans="1:9">
      <c r="A92" s="1">
        <v>38124</v>
      </c>
      <c r="B92">
        <v>5482.96</v>
      </c>
      <c r="C92">
        <v>10.19</v>
      </c>
      <c r="D92">
        <v>6.46</v>
      </c>
      <c r="E92">
        <v>23.45</v>
      </c>
      <c r="F92" s="4">
        <f t="shared" si="4"/>
        <v>-5.0950959960673753E-2</v>
      </c>
      <c r="G92" s="4">
        <f t="shared" si="5"/>
        <v>-6.8555758683729442E-2</v>
      </c>
      <c r="H92" s="4">
        <f t="shared" si="6"/>
        <v>-4.0118870728083275E-2</v>
      </c>
      <c r="I92" s="4">
        <f t="shared" si="7"/>
        <v>-6.6852367688022274E-2</v>
      </c>
    </row>
    <row r="93" spans="1:9">
      <c r="A93" s="1">
        <v>38125</v>
      </c>
      <c r="B93">
        <v>5557.68</v>
      </c>
      <c r="C93">
        <v>10.53</v>
      </c>
      <c r="D93">
        <v>6.5</v>
      </c>
      <c r="E93">
        <v>24.01</v>
      </c>
      <c r="F93" s="4">
        <f t="shared" si="4"/>
        <v>1.3627675562105186E-2</v>
      </c>
      <c r="G93" s="4">
        <f t="shared" si="5"/>
        <v>3.3366045142296359E-2</v>
      </c>
      <c r="H93" s="4">
        <f t="shared" si="6"/>
        <v>6.1919504643962904E-3</v>
      </c>
      <c r="I93" s="4">
        <f t="shared" si="7"/>
        <v>2.3880597014925471E-2</v>
      </c>
    </row>
    <row r="94" spans="1:9">
      <c r="A94" s="1">
        <v>38126</v>
      </c>
      <c r="B94">
        <v>5860.58</v>
      </c>
      <c r="C94">
        <v>11.25</v>
      </c>
      <c r="D94">
        <v>6.85</v>
      </c>
      <c r="E94">
        <v>25.59</v>
      </c>
      <c r="F94" s="4">
        <f t="shared" si="4"/>
        <v>5.4501158756891294E-2</v>
      </c>
      <c r="G94" s="4">
        <f t="shared" si="5"/>
        <v>6.8376068376068438E-2</v>
      </c>
      <c r="H94" s="4">
        <f t="shared" si="6"/>
        <v>5.3846153846153794E-2</v>
      </c>
      <c r="I94" s="4">
        <f t="shared" si="7"/>
        <v>6.5805914202415591E-2</v>
      </c>
    </row>
    <row r="95" spans="1:9">
      <c r="A95" s="1">
        <v>38127</v>
      </c>
      <c r="B95">
        <v>5815.33</v>
      </c>
      <c r="C95">
        <v>10.94</v>
      </c>
      <c r="D95">
        <v>6.69</v>
      </c>
      <c r="E95">
        <v>25.59</v>
      </c>
      <c r="F95" s="4">
        <f t="shared" si="4"/>
        <v>-7.7210788010742964E-3</v>
      </c>
      <c r="G95" s="4">
        <f t="shared" si="5"/>
        <v>-2.75555555555556E-2</v>
      </c>
      <c r="H95" s="4">
        <f t="shared" si="6"/>
        <v>-2.3357664233576533E-2</v>
      </c>
      <c r="I95" s="4">
        <f t="shared" si="7"/>
        <v>0</v>
      </c>
    </row>
    <row r="96" spans="1:9">
      <c r="A96" s="1">
        <v>38128</v>
      </c>
      <c r="B96">
        <v>5964.94</v>
      </c>
      <c r="C96">
        <v>11.59</v>
      </c>
      <c r="D96">
        <v>6.89</v>
      </c>
      <c r="E96">
        <v>25.69</v>
      </c>
      <c r="F96" s="4">
        <f t="shared" si="4"/>
        <v>2.5726828915985794E-2</v>
      </c>
      <c r="G96" s="4">
        <f t="shared" si="5"/>
        <v>5.9414990859232214E-2</v>
      </c>
      <c r="H96" s="4">
        <f t="shared" si="6"/>
        <v>2.9895366218236064E-2</v>
      </c>
      <c r="I96" s="4">
        <f t="shared" si="7"/>
        <v>3.9077764751856746E-3</v>
      </c>
    </row>
    <row r="97" spans="1:9">
      <c r="A97" s="1">
        <v>38131</v>
      </c>
      <c r="B97">
        <v>5942.08</v>
      </c>
      <c r="C97">
        <v>11.21</v>
      </c>
      <c r="D97">
        <v>6.89</v>
      </c>
      <c r="E97">
        <v>25.31</v>
      </c>
      <c r="F97" s="4">
        <f t="shared" si="4"/>
        <v>-3.8323939553456822E-3</v>
      </c>
      <c r="G97" s="4">
        <f t="shared" si="5"/>
        <v>-3.2786885245901551E-2</v>
      </c>
      <c r="H97" s="4">
        <f t="shared" si="6"/>
        <v>0</v>
      </c>
      <c r="I97" s="4">
        <f t="shared" si="7"/>
        <v>-1.4791747761775109E-2</v>
      </c>
    </row>
    <row r="98" spans="1:9">
      <c r="A98" s="1">
        <v>38132</v>
      </c>
      <c r="B98">
        <v>5958.38</v>
      </c>
      <c r="C98">
        <v>11.25</v>
      </c>
      <c r="D98">
        <v>6.85</v>
      </c>
      <c r="E98">
        <v>25.5</v>
      </c>
      <c r="F98" s="4">
        <f t="shared" si="4"/>
        <v>2.7431471807852102E-3</v>
      </c>
      <c r="G98" s="4">
        <f t="shared" si="5"/>
        <v>3.5682426404994778E-3</v>
      </c>
      <c r="H98" s="4">
        <f t="shared" si="6"/>
        <v>-5.8055152394775088E-3</v>
      </c>
      <c r="I98" s="4">
        <f t="shared" si="7"/>
        <v>7.5069142631371509E-3</v>
      </c>
    </row>
    <row r="99" spans="1:9">
      <c r="A99" s="1">
        <v>38133</v>
      </c>
      <c r="B99">
        <v>6027.27</v>
      </c>
      <c r="C99">
        <v>11.43</v>
      </c>
      <c r="D99">
        <v>6.93</v>
      </c>
      <c r="E99">
        <v>26.15</v>
      </c>
      <c r="F99" s="4">
        <f t="shared" si="4"/>
        <v>1.1561867487471482E-2</v>
      </c>
      <c r="G99" s="4">
        <f t="shared" si="5"/>
        <v>1.5999999999999976E-2</v>
      </c>
      <c r="H99" s="4">
        <f t="shared" si="6"/>
        <v>1.1678832116788333E-2</v>
      </c>
      <c r="I99" s="4">
        <f t="shared" si="7"/>
        <v>2.5490196078431317E-2</v>
      </c>
    </row>
    <row r="100" spans="1:9">
      <c r="A100" s="1">
        <v>38134</v>
      </c>
      <c r="B100">
        <v>6033.05</v>
      </c>
      <c r="C100">
        <v>11.51</v>
      </c>
      <c r="D100">
        <v>6.81</v>
      </c>
      <c r="E100">
        <v>26.43</v>
      </c>
      <c r="F100" s="4">
        <f t="shared" si="4"/>
        <v>9.5897479289956233E-4</v>
      </c>
      <c r="G100" s="4">
        <f t="shared" si="5"/>
        <v>6.9991251093613361E-3</v>
      </c>
      <c r="H100" s="4">
        <f t="shared" si="6"/>
        <v>-1.7316017316017333E-2</v>
      </c>
      <c r="I100" s="4">
        <f t="shared" si="7"/>
        <v>1.070745697896754E-2</v>
      </c>
    </row>
    <row r="101" spans="1:9">
      <c r="A101" s="1">
        <v>38135</v>
      </c>
      <c r="B101">
        <v>6137.26</v>
      </c>
      <c r="C101">
        <v>11.59</v>
      </c>
      <c r="D101">
        <v>6.81</v>
      </c>
      <c r="E101">
        <v>27.09</v>
      </c>
      <c r="F101" s="4">
        <f t="shared" si="4"/>
        <v>1.7273186862366469E-2</v>
      </c>
      <c r="G101" s="4">
        <f t="shared" si="5"/>
        <v>6.9504778453518745E-3</v>
      </c>
      <c r="H101" s="4">
        <f t="shared" si="6"/>
        <v>0</v>
      </c>
      <c r="I101" s="4">
        <f t="shared" si="7"/>
        <v>2.4971623155505114E-2</v>
      </c>
    </row>
    <row r="102" spans="1:9">
      <c r="A102" s="1">
        <v>38138</v>
      </c>
      <c r="B102">
        <v>5977.84</v>
      </c>
      <c r="C102">
        <v>11.59</v>
      </c>
      <c r="D102">
        <v>6.85</v>
      </c>
      <c r="E102">
        <v>25.97</v>
      </c>
      <c r="F102" s="4">
        <f t="shared" si="4"/>
        <v>-2.5975761170294247E-2</v>
      </c>
      <c r="G102" s="4">
        <f t="shared" si="5"/>
        <v>0</v>
      </c>
      <c r="H102" s="4">
        <f t="shared" si="6"/>
        <v>5.8737151248164522E-3</v>
      </c>
      <c r="I102" s="4">
        <f t="shared" si="7"/>
        <v>-4.1343669250646031E-2</v>
      </c>
    </row>
    <row r="103" spans="1:9">
      <c r="A103" s="1">
        <v>38139</v>
      </c>
      <c r="B103">
        <v>5986.2</v>
      </c>
      <c r="C103">
        <v>11.36</v>
      </c>
      <c r="D103">
        <v>6.81</v>
      </c>
      <c r="E103">
        <v>26.15</v>
      </c>
      <c r="F103" s="4">
        <f t="shared" si="4"/>
        <v>1.3984984542911273E-3</v>
      </c>
      <c r="G103" s="4">
        <f t="shared" si="5"/>
        <v>-1.9844693701466819E-2</v>
      </c>
      <c r="H103" s="4">
        <f t="shared" si="6"/>
        <v>-5.8394160583941663E-3</v>
      </c>
      <c r="I103" s="4">
        <f t="shared" si="7"/>
        <v>6.9310743165190494E-3</v>
      </c>
    </row>
    <row r="104" spans="1:9">
      <c r="A104" s="1">
        <v>38140</v>
      </c>
      <c r="B104">
        <v>5875.67</v>
      </c>
      <c r="C104">
        <v>11.06</v>
      </c>
      <c r="D104">
        <v>6.77</v>
      </c>
      <c r="E104">
        <v>25.41</v>
      </c>
      <c r="F104" s="4">
        <f t="shared" si="4"/>
        <v>-1.8464134175269747E-2</v>
      </c>
      <c r="G104" s="4">
        <f t="shared" si="5"/>
        <v>-2.6408450704225258E-2</v>
      </c>
      <c r="H104" s="4">
        <f t="shared" si="6"/>
        <v>-5.8737151248164522E-3</v>
      </c>
      <c r="I104" s="4">
        <f t="shared" si="7"/>
        <v>-2.829827915869975E-2</v>
      </c>
    </row>
    <row r="105" spans="1:9">
      <c r="A105" s="1">
        <v>38141</v>
      </c>
      <c r="B105">
        <v>5671.45</v>
      </c>
      <c r="C105">
        <v>10.68</v>
      </c>
      <c r="D105">
        <v>6.69</v>
      </c>
      <c r="E105">
        <v>23.91</v>
      </c>
      <c r="F105" s="4">
        <f t="shared" si="4"/>
        <v>-3.4756887299661185E-2</v>
      </c>
      <c r="G105" s="4">
        <f t="shared" si="5"/>
        <v>-3.4358047016274935E-2</v>
      </c>
      <c r="H105" s="4">
        <f t="shared" si="6"/>
        <v>-1.1816838995568565E-2</v>
      </c>
      <c r="I105" s="4">
        <f t="shared" si="7"/>
        <v>-5.9031877213695398E-2</v>
      </c>
    </row>
    <row r="106" spans="1:9">
      <c r="A106" s="1">
        <v>38142</v>
      </c>
      <c r="B106">
        <v>5724.89</v>
      </c>
      <c r="C106">
        <v>10.56</v>
      </c>
      <c r="D106">
        <v>6.69</v>
      </c>
      <c r="E106">
        <v>24.1</v>
      </c>
      <c r="F106" s="4">
        <f t="shared" si="4"/>
        <v>9.4226344232957206E-3</v>
      </c>
      <c r="G106" s="4">
        <f t="shared" si="5"/>
        <v>-1.1235955056179702E-2</v>
      </c>
      <c r="H106" s="4">
        <f t="shared" si="6"/>
        <v>0</v>
      </c>
      <c r="I106" s="4">
        <f t="shared" si="7"/>
        <v>7.9464659138436342E-3</v>
      </c>
    </row>
    <row r="107" spans="1:9">
      <c r="A107" s="1">
        <v>38145</v>
      </c>
      <c r="B107">
        <v>5935.82</v>
      </c>
      <c r="C107">
        <v>10.98</v>
      </c>
      <c r="D107">
        <v>6.85</v>
      </c>
      <c r="E107">
        <v>25.22</v>
      </c>
      <c r="F107" s="4">
        <f t="shared" si="4"/>
        <v>3.6844376049146685E-2</v>
      </c>
      <c r="G107" s="4">
        <f t="shared" si="5"/>
        <v>3.9772727272727265E-2</v>
      </c>
      <c r="H107" s="4">
        <f t="shared" si="6"/>
        <v>2.3916292974588825E-2</v>
      </c>
      <c r="I107" s="4">
        <f t="shared" si="7"/>
        <v>4.6473029045643044E-2</v>
      </c>
    </row>
    <row r="108" spans="1:9">
      <c r="A108" s="1">
        <v>38146</v>
      </c>
      <c r="B108">
        <v>5986.76</v>
      </c>
      <c r="C108">
        <v>11.25</v>
      </c>
      <c r="D108">
        <v>6.85</v>
      </c>
      <c r="E108">
        <v>25.31</v>
      </c>
      <c r="F108" s="4">
        <f t="shared" si="4"/>
        <v>8.5817966178220548E-3</v>
      </c>
      <c r="G108" s="4">
        <f t="shared" si="5"/>
        <v>2.4590163934426191E-2</v>
      </c>
      <c r="H108" s="4">
        <f t="shared" si="6"/>
        <v>0</v>
      </c>
      <c r="I108" s="4">
        <f t="shared" si="7"/>
        <v>3.5685963521015014E-3</v>
      </c>
    </row>
    <row r="109" spans="1:9">
      <c r="A109" s="1">
        <v>38147</v>
      </c>
      <c r="B109">
        <v>5965.7</v>
      </c>
      <c r="C109">
        <v>11.21</v>
      </c>
      <c r="D109">
        <v>6.77</v>
      </c>
      <c r="E109">
        <v>24.85</v>
      </c>
      <c r="F109" s="4">
        <f t="shared" si="4"/>
        <v>-3.5177625293147546E-3</v>
      </c>
      <c r="G109" s="4">
        <f t="shared" si="5"/>
        <v>-3.5555555555554798E-3</v>
      </c>
      <c r="H109" s="4">
        <f t="shared" si="6"/>
        <v>-1.1678832116788333E-2</v>
      </c>
      <c r="I109" s="4">
        <f t="shared" si="7"/>
        <v>-1.8174634531805504E-2</v>
      </c>
    </row>
    <row r="110" spans="1:9">
      <c r="A110" s="1">
        <v>38148</v>
      </c>
      <c r="B110">
        <v>5867.51</v>
      </c>
      <c r="C110">
        <v>10.98</v>
      </c>
      <c r="D110">
        <v>6.77</v>
      </c>
      <c r="E110">
        <v>23.91</v>
      </c>
      <c r="F110" s="4">
        <f t="shared" si="4"/>
        <v>-1.6459091137670284E-2</v>
      </c>
      <c r="G110" s="4">
        <f t="shared" si="5"/>
        <v>-2.0517395182872471E-2</v>
      </c>
      <c r="H110" s="4">
        <f t="shared" si="6"/>
        <v>0</v>
      </c>
      <c r="I110" s="4">
        <f t="shared" si="7"/>
        <v>-3.7826961770623793E-2</v>
      </c>
    </row>
    <row r="111" spans="1:9">
      <c r="A111" s="1">
        <v>38149</v>
      </c>
      <c r="B111">
        <v>5735.07</v>
      </c>
      <c r="C111">
        <v>10.83</v>
      </c>
      <c r="D111">
        <v>6.73</v>
      </c>
      <c r="E111">
        <v>22.7</v>
      </c>
      <c r="F111" s="4">
        <f t="shared" si="4"/>
        <v>-2.257175531017425E-2</v>
      </c>
      <c r="G111" s="4">
        <f t="shared" si="5"/>
        <v>-1.3661202185792382E-2</v>
      </c>
      <c r="H111" s="4">
        <f t="shared" si="6"/>
        <v>-5.9084194977842173E-3</v>
      </c>
      <c r="I111" s="4">
        <f t="shared" si="7"/>
        <v>-5.0606440819740729E-2</v>
      </c>
    </row>
    <row r="112" spans="1:9">
      <c r="A112" s="1">
        <v>38152</v>
      </c>
      <c r="B112">
        <v>5574.08</v>
      </c>
      <c r="C112">
        <v>10.41</v>
      </c>
      <c r="D112">
        <v>6.58</v>
      </c>
      <c r="E112">
        <v>21.86</v>
      </c>
      <c r="F112" s="4">
        <f t="shared" si="4"/>
        <v>-2.8071148216150768E-2</v>
      </c>
      <c r="G112" s="4">
        <f t="shared" si="5"/>
        <v>-3.8781163434903038E-2</v>
      </c>
      <c r="H112" s="4">
        <f t="shared" si="6"/>
        <v>-2.2288261515601836E-2</v>
      </c>
      <c r="I112" s="4">
        <f t="shared" si="7"/>
        <v>-3.7004405286343606E-2</v>
      </c>
    </row>
    <row r="113" spans="1:9">
      <c r="A113" s="1">
        <v>38153</v>
      </c>
      <c r="B113">
        <v>5646.49</v>
      </c>
      <c r="C113">
        <v>10.56</v>
      </c>
      <c r="D113">
        <v>6.58</v>
      </c>
      <c r="E113">
        <v>21.95</v>
      </c>
      <c r="F113" s="4">
        <f t="shared" si="4"/>
        <v>1.2990484528388515E-2</v>
      </c>
      <c r="G113" s="4">
        <f t="shared" si="5"/>
        <v>1.4409221902017325E-2</v>
      </c>
      <c r="H113" s="4">
        <f t="shared" si="6"/>
        <v>0</v>
      </c>
      <c r="I113" s="4">
        <f t="shared" si="7"/>
        <v>4.1171088746569011E-3</v>
      </c>
    </row>
    <row r="114" spans="1:9">
      <c r="A114" s="1">
        <v>38154</v>
      </c>
      <c r="B114">
        <v>5560.16</v>
      </c>
      <c r="C114">
        <v>10.3</v>
      </c>
      <c r="D114">
        <v>6.54</v>
      </c>
      <c r="E114">
        <v>21.58</v>
      </c>
      <c r="F114" s="4">
        <f t="shared" si="4"/>
        <v>-1.5289144229423931E-2</v>
      </c>
      <c r="G114" s="4">
        <f t="shared" si="5"/>
        <v>-2.4621212121212099E-2</v>
      </c>
      <c r="H114" s="4">
        <f t="shared" si="6"/>
        <v>-6.0790273556231055E-3</v>
      </c>
      <c r="I114" s="4">
        <f t="shared" si="7"/>
        <v>-1.6856492027334899E-2</v>
      </c>
    </row>
    <row r="115" spans="1:9">
      <c r="A115" s="1">
        <v>38155</v>
      </c>
      <c r="B115">
        <v>5664.35</v>
      </c>
      <c r="C115">
        <v>10.45</v>
      </c>
      <c r="D115">
        <v>6.58</v>
      </c>
      <c r="E115">
        <v>22.23</v>
      </c>
      <c r="F115" s="4">
        <f t="shared" si="4"/>
        <v>1.8738669390808989E-2</v>
      </c>
      <c r="G115" s="4">
        <f t="shared" si="5"/>
        <v>1.4563106796116367E-2</v>
      </c>
      <c r="H115" s="4">
        <f t="shared" si="6"/>
        <v>6.1162079510703416E-3</v>
      </c>
      <c r="I115" s="4">
        <f t="shared" si="7"/>
        <v>3.0120481927710944E-2</v>
      </c>
    </row>
    <row r="116" spans="1:9">
      <c r="A116" s="1">
        <v>38156</v>
      </c>
      <c r="B116">
        <v>5569.29</v>
      </c>
      <c r="C116">
        <v>10.220000000000001</v>
      </c>
      <c r="D116">
        <v>6.54</v>
      </c>
      <c r="E116">
        <v>21.39</v>
      </c>
      <c r="F116" s="4">
        <f t="shared" si="4"/>
        <v>-1.6782155057508876E-2</v>
      </c>
      <c r="G116" s="4">
        <f t="shared" si="5"/>
        <v>-2.2009569377990302E-2</v>
      </c>
      <c r="H116" s="4">
        <f t="shared" si="6"/>
        <v>-6.0790273556231055E-3</v>
      </c>
      <c r="I116" s="4">
        <f t="shared" si="7"/>
        <v>-3.7786774628879888E-2</v>
      </c>
    </row>
    <row r="117" spans="1:9">
      <c r="A117" s="1">
        <v>38159</v>
      </c>
      <c r="B117">
        <v>5556.54</v>
      </c>
      <c r="C117">
        <v>10.26</v>
      </c>
      <c r="D117">
        <v>6.42</v>
      </c>
      <c r="E117">
        <v>21.58</v>
      </c>
      <c r="F117" s="4">
        <f t="shared" si="4"/>
        <v>-2.2893402929278239E-3</v>
      </c>
      <c r="G117" s="4">
        <f t="shared" si="5"/>
        <v>3.9138943248531455E-3</v>
      </c>
      <c r="H117" s="4">
        <f t="shared" si="6"/>
        <v>-1.8348623853211024E-2</v>
      </c>
      <c r="I117" s="4">
        <f t="shared" si="7"/>
        <v>8.882655446470206E-3</v>
      </c>
    </row>
    <row r="118" spans="1:9">
      <c r="A118" s="1">
        <v>38161</v>
      </c>
      <c r="B118">
        <v>5729.3</v>
      </c>
      <c r="C118">
        <v>10.68</v>
      </c>
      <c r="D118">
        <v>6.54</v>
      </c>
      <c r="E118">
        <v>22.23</v>
      </c>
      <c r="F118" s="4">
        <f t="shared" si="4"/>
        <v>3.1091290623301591E-2</v>
      </c>
      <c r="G118" s="4">
        <f t="shared" si="5"/>
        <v>4.0935672514619874E-2</v>
      </c>
      <c r="H118" s="4">
        <f t="shared" si="6"/>
        <v>1.8691588785046745E-2</v>
      </c>
      <c r="I118" s="4">
        <f t="shared" si="7"/>
        <v>3.0120481927710944E-2</v>
      </c>
    </row>
    <row r="119" spans="1:9">
      <c r="A119" s="1">
        <v>38162</v>
      </c>
      <c r="B119">
        <v>5779.09</v>
      </c>
      <c r="C119">
        <v>10.79</v>
      </c>
      <c r="D119">
        <v>6.58</v>
      </c>
      <c r="E119">
        <v>22.51</v>
      </c>
      <c r="F119" s="4">
        <f t="shared" si="4"/>
        <v>8.6904159321383005E-3</v>
      </c>
      <c r="G119" s="4">
        <f t="shared" si="5"/>
        <v>1.0299625468164741E-2</v>
      </c>
      <c r="H119" s="4">
        <f t="shared" si="6"/>
        <v>6.1162079510703416E-3</v>
      </c>
      <c r="I119" s="4">
        <f t="shared" si="7"/>
        <v>1.2595591542960015E-2</v>
      </c>
    </row>
    <row r="120" spans="1:9">
      <c r="A120" s="1">
        <v>38163</v>
      </c>
      <c r="B120">
        <v>5802.55</v>
      </c>
      <c r="C120">
        <v>11.17</v>
      </c>
      <c r="D120">
        <v>6.58</v>
      </c>
      <c r="E120">
        <v>22.51</v>
      </c>
      <c r="F120" s="4">
        <f t="shared" si="4"/>
        <v>4.0594626489637705E-3</v>
      </c>
      <c r="G120" s="4">
        <f t="shared" si="5"/>
        <v>3.5217794253938908E-2</v>
      </c>
      <c r="H120" s="4">
        <f t="shared" si="6"/>
        <v>0</v>
      </c>
      <c r="I120" s="4">
        <f t="shared" si="7"/>
        <v>0</v>
      </c>
    </row>
    <row r="121" spans="1:9">
      <c r="A121" s="1">
        <v>38166</v>
      </c>
      <c r="B121">
        <v>5709.84</v>
      </c>
      <c r="C121">
        <v>11.21</v>
      </c>
      <c r="D121">
        <v>6.58</v>
      </c>
      <c r="E121">
        <v>22.04</v>
      </c>
      <c r="F121" s="4">
        <f t="shared" si="4"/>
        <v>-1.5977458186486982E-2</v>
      </c>
      <c r="G121" s="4">
        <f t="shared" si="5"/>
        <v>3.5810205908684803E-3</v>
      </c>
      <c r="H121" s="4">
        <f t="shared" si="6"/>
        <v>0</v>
      </c>
      <c r="I121" s="4">
        <f t="shared" si="7"/>
        <v>-2.0879609062638933E-2</v>
      </c>
    </row>
    <row r="122" spans="1:9">
      <c r="A122" s="1">
        <v>38167</v>
      </c>
      <c r="B122">
        <v>5741.52</v>
      </c>
      <c r="C122">
        <v>11.28</v>
      </c>
      <c r="D122">
        <v>6.58</v>
      </c>
      <c r="E122">
        <v>22.23</v>
      </c>
      <c r="F122" s="4">
        <f t="shared" si="4"/>
        <v>5.5483165903073102E-3</v>
      </c>
      <c r="G122" s="4">
        <f t="shared" si="5"/>
        <v>6.2444246208740858E-3</v>
      </c>
      <c r="H122" s="4">
        <f t="shared" si="6"/>
        <v>0</v>
      </c>
      <c r="I122" s="4">
        <f t="shared" si="7"/>
        <v>8.6206896551724727E-3</v>
      </c>
    </row>
    <row r="123" spans="1:9">
      <c r="A123" s="1">
        <v>38168</v>
      </c>
      <c r="B123">
        <v>5839.44</v>
      </c>
      <c r="C123">
        <v>11.51</v>
      </c>
      <c r="D123">
        <v>6.65</v>
      </c>
      <c r="E123">
        <v>23.35</v>
      </c>
      <c r="F123" s="4">
        <f t="shared" si="4"/>
        <v>1.7054717217740104E-2</v>
      </c>
      <c r="G123" s="4">
        <f t="shared" si="5"/>
        <v>2.0390070921985855E-2</v>
      </c>
      <c r="H123" s="4">
        <f t="shared" si="6"/>
        <v>1.0638297872340469E-2</v>
      </c>
      <c r="I123" s="4">
        <f t="shared" si="7"/>
        <v>5.0382366171839901E-2</v>
      </c>
    </row>
    <row r="124" spans="1:9">
      <c r="A124" s="1">
        <v>38169</v>
      </c>
      <c r="B124">
        <v>5836.91</v>
      </c>
      <c r="C124">
        <v>11.59</v>
      </c>
      <c r="D124">
        <v>6.65</v>
      </c>
      <c r="E124">
        <v>23.54</v>
      </c>
      <c r="F124" s="4">
        <f t="shared" si="4"/>
        <v>-4.3326072363098953E-4</v>
      </c>
      <c r="G124" s="4">
        <f t="shared" si="5"/>
        <v>6.9504778453518745E-3</v>
      </c>
      <c r="H124" s="4">
        <f t="shared" si="6"/>
        <v>0</v>
      </c>
      <c r="I124" s="4">
        <f t="shared" si="7"/>
        <v>8.1370449678799875E-3</v>
      </c>
    </row>
    <row r="125" spans="1:9">
      <c r="A125" s="1">
        <v>38170</v>
      </c>
      <c r="B125">
        <v>5746.7</v>
      </c>
      <c r="C125">
        <v>11.51</v>
      </c>
      <c r="D125">
        <v>6.61</v>
      </c>
      <c r="E125">
        <v>22.79</v>
      </c>
      <c r="F125" s="4">
        <f t="shared" si="4"/>
        <v>-1.5455095247314083E-2</v>
      </c>
      <c r="G125" s="4">
        <f t="shared" si="5"/>
        <v>-6.9025021570319305E-3</v>
      </c>
      <c r="H125" s="4">
        <f t="shared" si="6"/>
        <v>-6.0150375939849671E-3</v>
      </c>
      <c r="I125" s="4">
        <f t="shared" si="7"/>
        <v>-3.1860662701784198E-2</v>
      </c>
    </row>
    <row r="126" spans="1:9">
      <c r="A126" s="1">
        <v>38173</v>
      </c>
      <c r="B126">
        <v>5659.78</v>
      </c>
      <c r="C126">
        <v>11.81</v>
      </c>
      <c r="D126">
        <v>6.54</v>
      </c>
      <c r="E126">
        <v>22.23</v>
      </c>
      <c r="F126" s="4">
        <f t="shared" si="4"/>
        <v>-1.5125202290009932E-2</v>
      </c>
      <c r="G126" s="4">
        <f t="shared" si="5"/>
        <v>2.6064291920069566E-2</v>
      </c>
      <c r="H126" s="4">
        <f t="shared" si="6"/>
        <v>-1.0590015128593084E-2</v>
      </c>
      <c r="I126" s="4">
        <f t="shared" si="7"/>
        <v>-2.4572180781044263E-2</v>
      </c>
    </row>
    <row r="127" spans="1:9">
      <c r="A127" s="1">
        <v>38174</v>
      </c>
      <c r="B127">
        <v>5733.57</v>
      </c>
      <c r="C127">
        <v>11.66</v>
      </c>
      <c r="D127">
        <v>6.61</v>
      </c>
      <c r="E127">
        <v>22.7</v>
      </c>
      <c r="F127" s="4">
        <f t="shared" si="4"/>
        <v>1.3037609235694667E-2</v>
      </c>
      <c r="G127" s="4">
        <f t="shared" si="5"/>
        <v>-1.2701100762066075E-2</v>
      </c>
      <c r="H127" s="4">
        <f t="shared" si="6"/>
        <v>1.0703363914373131E-2</v>
      </c>
      <c r="I127" s="4">
        <f t="shared" si="7"/>
        <v>2.1142600089968461E-2</v>
      </c>
    </row>
    <row r="128" spans="1:9">
      <c r="A128" s="1">
        <v>38175</v>
      </c>
      <c r="B128">
        <v>5727.78</v>
      </c>
      <c r="C128">
        <v>11.74</v>
      </c>
      <c r="D128">
        <v>6.58</v>
      </c>
      <c r="E128">
        <v>22.23</v>
      </c>
      <c r="F128" s="4">
        <f t="shared" si="4"/>
        <v>-1.009842035590385E-3</v>
      </c>
      <c r="G128" s="4">
        <f t="shared" si="5"/>
        <v>6.8610634648370557E-3</v>
      </c>
      <c r="H128" s="4">
        <f t="shared" si="6"/>
        <v>-4.5385779122541978E-3</v>
      </c>
      <c r="I128" s="4">
        <f t="shared" si="7"/>
        <v>-2.0704845814977925E-2</v>
      </c>
    </row>
    <row r="129" spans="1:9">
      <c r="A129" s="1">
        <v>38176</v>
      </c>
      <c r="B129">
        <v>5713.39</v>
      </c>
      <c r="C129">
        <v>11.89</v>
      </c>
      <c r="D129">
        <v>6.58</v>
      </c>
      <c r="E129">
        <v>22.23</v>
      </c>
      <c r="F129" s="4">
        <f t="shared" si="4"/>
        <v>-2.5123171630194278E-3</v>
      </c>
      <c r="G129" s="4">
        <f t="shared" si="5"/>
        <v>1.2776831345826266E-2</v>
      </c>
      <c r="H129" s="4">
        <f t="shared" si="6"/>
        <v>0</v>
      </c>
      <c r="I129" s="4">
        <f t="shared" si="7"/>
        <v>0</v>
      </c>
    </row>
    <row r="130" spans="1:9">
      <c r="A130" s="1">
        <v>38177</v>
      </c>
      <c r="B130">
        <v>5777.72</v>
      </c>
      <c r="C130">
        <v>12.04</v>
      </c>
      <c r="D130">
        <v>6.65</v>
      </c>
      <c r="E130">
        <v>22.7</v>
      </c>
      <c r="F130" s="4">
        <f t="shared" si="4"/>
        <v>1.1259514928965103E-2</v>
      </c>
      <c r="G130" s="4">
        <f t="shared" si="5"/>
        <v>1.2615643397813169E-2</v>
      </c>
      <c r="H130" s="4">
        <f t="shared" si="6"/>
        <v>1.0638297872340469E-2</v>
      </c>
      <c r="I130" s="4">
        <f t="shared" si="7"/>
        <v>2.1142600089968461E-2</v>
      </c>
    </row>
    <row r="131" spans="1:9">
      <c r="A131" s="1">
        <v>38180</v>
      </c>
      <c r="B131">
        <v>5758.74</v>
      </c>
      <c r="C131">
        <v>12.12</v>
      </c>
      <c r="D131">
        <v>6.73</v>
      </c>
      <c r="E131">
        <v>22.23</v>
      </c>
      <c r="F131" s="4">
        <f t="shared" si="4"/>
        <v>-3.2850328503285851E-3</v>
      </c>
      <c r="G131" s="4">
        <f t="shared" si="5"/>
        <v>6.6445182724252554E-3</v>
      </c>
      <c r="H131" s="4">
        <f t="shared" si="6"/>
        <v>1.2030075187969934E-2</v>
      </c>
      <c r="I131" s="4">
        <f t="shared" si="7"/>
        <v>-2.0704845814977925E-2</v>
      </c>
    </row>
    <row r="132" spans="1:9">
      <c r="A132" s="1">
        <v>38181</v>
      </c>
      <c r="B132">
        <v>5685.57</v>
      </c>
      <c r="C132">
        <v>12.19</v>
      </c>
      <c r="D132">
        <v>6.65</v>
      </c>
      <c r="E132">
        <v>22.37</v>
      </c>
      <c r="F132" s="4">
        <f t="shared" ref="F132:F195" si="8">(B132-B131)/B131</f>
        <v>-1.2705904416591142E-2</v>
      </c>
      <c r="G132" s="4">
        <f t="shared" ref="G132:G195" si="9">(C132-C131)/C131</f>
        <v>5.7755775577557995E-3</v>
      </c>
      <c r="H132" s="4">
        <f t="shared" ref="H132:H195" si="10">(D132-D131)/D131</f>
        <v>-1.1887072808320961E-2</v>
      </c>
      <c r="I132" s="4">
        <f t="shared" ref="I132:I195" si="11">(E132-E131)/E131</f>
        <v>6.2977957714800076E-3</v>
      </c>
    </row>
    <row r="133" spans="1:9">
      <c r="A133" s="1">
        <v>38182</v>
      </c>
      <c r="B133">
        <v>5623.65</v>
      </c>
      <c r="C133">
        <v>11.66</v>
      </c>
      <c r="D133">
        <v>6.58</v>
      </c>
      <c r="E133">
        <v>22.27</v>
      </c>
      <c r="F133" s="4">
        <f t="shared" si="8"/>
        <v>-1.0890728634068366E-2</v>
      </c>
      <c r="G133" s="4">
        <f t="shared" si="9"/>
        <v>-4.3478260869565168E-2</v>
      </c>
      <c r="H133" s="4">
        <f t="shared" si="10"/>
        <v>-1.0526315789473726E-2</v>
      </c>
      <c r="I133" s="4">
        <f t="shared" si="11"/>
        <v>-4.4702726866339476E-3</v>
      </c>
    </row>
    <row r="134" spans="1:9">
      <c r="A134" s="1">
        <v>38183</v>
      </c>
      <c r="B134">
        <v>5542.8</v>
      </c>
      <c r="C134">
        <v>11.66</v>
      </c>
      <c r="D134">
        <v>6.5</v>
      </c>
      <c r="E134">
        <v>21.66</v>
      </c>
      <c r="F134" s="4">
        <f t="shared" si="8"/>
        <v>-1.4376783761435983E-2</v>
      </c>
      <c r="G134" s="4">
        <f t="shared" si="9"/>
        <v>0</v>
      </c>
      <c r="H134" s="4">
        <f t="shared" si="10"/>
        <v>-1.2158054711246211E-2</v>
      </c>
      <c r="I134" s="4">
        <f t="shared" si="11"/>
        <v>-2.7391109115401862E-2</v>
      </c>
    </row>
    <row r="135" spans="1:9">
      <c r="A135" s="1">
        <v>38184</v>
      </c>
      <c r="B135">
        <v>5502.14</v>
      </c>
      <c r="C135">
        <v>11.74</v>
      </c>
      <c r="D135">
        <v>6.54</v>
      </c>
      <c r="E135">
        <v>21.87</v>
      </c>
      <c r="F135" s="4">
        <f t="shared" si="8"/>
        <v>-7.3356426354910607E-3</v>
      </c>
      <c r="G135" s="4">
        <f t="shared" si="9"/>
        <v>6.8610634648370557E-3</v>
      </c>
      <c r="H135" s="4">
        <f t="shared" si="10"/>
        <v>6.153846153846159E-3</v>
      </c>
      <c r="I135" s="4">
        <f t="shared" si="11"/>
        <v>9.695290858725801E-3</v>
      </c>
    </row>
    <row r="136" spans="1:9">
      <c r="A136" s="1">
        <v>38187</v>
      </c>
      <c r="B136">
        <v>5489.1</v>
      </c>
      <c r="C136">
        <v>11.74</v>
      </c>
      <c r="D136">
        <v>6.5</v>
      </c>
      <c r="E136">
        <v>21.97</v>
      </c>
      <c r="F136" s="4">
        <f t="shared" si="8"/>
        <v>-2.3699869505319679E-3</v>
      </c>
      <c r="G136" s="4">
        <f t="shared" si="9"/>
        <v>0</v>
      </c>
      <c r="H136" s="4">
        <f t="shared" si="10"/>
        <v>-6.1162079510703416E-3</v>
      </c>
      <c r="I136" s="4">
        <f t="shared" si="11"/>
        <v>4.5724737082760798E-3</v>
      </c>
    </row>
    <row r="137" spans="1:9">
      <c r="A137" s="1">
        <v>38188</v>
      </c>
      <c r="B137">
        <v>5325.68</v>
      </c>
      <c r="C137">
        <v>11.51</v>
      </c>
      <c r="D137">
        <v>6.46</v>
      </c>
      <c r="E137">
        <v>21.26</v>
      </c>
      <c r="F137" s="4">
        <f t="shared" si="8"/>
        <v>-2.9771729427410697E-2</v>
      </c>
      <c r="G137" s="4">
        <f t="shared" si="9"/>
        <v>-1.9591141396933597E-2</v>
      </c>
      <c r="H137" s="4">
        <f t="shared" si="10"/>
        <v>-6.153846153846159E-3</v>
      </c>
      <c r="I137" s="4">
        <f t="shared" si="11"/>
        <v>-3.2316795630404974E-2</v>
      </c>
    </row>
    <row r="138" spans="1:9">
      <c r="A138" s="1">
        <v>38189</v>
      </c>
      <c r="B138">
        <v>5409.13</v>
      </c>
      <c r="C138">
        <v>11.43</v>
      </c>
      <c r="D138">
        <v>6.5</v>
      </c>
      <c r="E138">
        <v>21.97</v>
      </c>
      <c r="F138" s="4">
        <f t="shared" si="8"/>
        <v>1.5669360532363907E-2</v>
      </c>
      <c r="G138" s="4">
        <f t="shared" si="9"/>
        <v>-6.9504778453518745E-3</v>
      </c>
      <c r="H138" s="4">
        <f t="shared" si="10"/>
        <v>6.1919504643962904E-3</v>
      </c>
      <c r="I138" s="4">
        <f t="shared" si="11"/>
        <v>3.3396048918156035E-2</v>
      </c>
    </row>
    <row r="139" spans="1:9">
      <c r="A139" s="1">
        <v>38190</v>
      </c>
      <c r="B139">
        <v>5387.96</v>
      </c>
      <c r="C139">
        <v>11.43</v>
      </c>
      <c r="D139">
        <v>6.46</v>
      </c>
      <c r="E139">
        <v>21.77</v>
      </c>
      <c r="F139" s="4">
        <f t="shared" si="8"/>
        <v>-3.9137532283380272E-3</v>
      </c>
      <c r="G139" s="4">
        <f t="shared" si="9"/>
        <v>0</v>
      </c>
      <c r="H139" s="4">
        <f t="shared" si="10"/>
        <v>-6.153846153846159E-3</v>
      </c>
      <c r="I139" s="4">
        <f t="shared" si="11"/>
        <v>-9.1033227127901364E-3</v>
      </c>
    </row>
    <row r="140" spans="1:9">
      <c r="A140" s="1">
        <v>38191</v>
      </c>
      <c r="B140">
        <v>5373.85</v>
      </c>
      <c r="C140">
        <v>11.43</v>
      </c>
      <c r="D140">
        <v>6.42</v>
      </c>
      <c r="E140">
        <v>21.77</v>
      </c>
      <c r="F140" s="4">
        <f t="shared" si="8"/>
        <v>-2.61880192132081E-3</v>
      </c>
      <c r="G140" s="4">
        <f t="shared" si="9"/>
        <v>0</v>
      </c>
      <c r="H140" s="4">
        <f t="shared" si="10"/>
        <v>-6.1919504643962904E-3</v>
      </c>
      <c r="I140" s="4">
        <f t="shared" si="11"/>
        <v>0</v>
      </c>
    </row>
    <row r="141" spans="1:9">
      <c r="A141" s="1">
        <v>38194</v>
      </c>
      <c r="B141">
        <v>5331.71</v>
      </c>
      <c r="C141">
        <v>11.13</v>
      </c>
      <c r="D141">
        <v>6.42</v>
      </c>
      <c r="E141">
        <v>21.26</v>
      </c>
      <c r="F141" s="4">
        <f t="shared" si="8"/>
        <v>-7.8416777543102844E-3</v>
      </c>
      <c r="G141" s="4">
        <f t="shared" si="9"/>
        <v>-2.6246719160104893E-2</v>
      </c>
      <c r="H141" s="4">
        <f t="shared" si="10"/>
        <v>0</v>
      </c>
      <c r="I141" s="4">
        <f t="shared" si="11"/>
        <v>-2.3426734037666423E-2</v>
      </c>
    </row>
    <row r="142" spans="1:9">
      <c r="A142" s="1">
        <v>38195</v>
      </c>
      <c r="B142">
        <v>5398.61</v>
      </c>
      <c r="C142">
        <v>11.28</v>
      </c>
      <c r="D142">
        <v>6.5</v>
      </c>
      <c r="E142">
        <v>21.56</v>
      </c>
      <c r="F142" s="4">
        <f t="shared" si="8"/>
        <v>1.2547569166364944E-2</v>
      </c>
      <c r="G142" s="4">
        <f t="shared" si="9"/>
        <v>1.3477088948786933E-2</v>
      </c>
      <c r="H142" s="4">
        <f t="shared" si="10"/>
        <v>1.2461059190031164E-2</v>
      </c>
      <c r="I142" s="4">
        <f t="shared" si="11"/>
        <v>1.4111006585136272E-2</v>
      </c>
    </row>
    <row r="143" spans="1:9">
      <c r="A143" s="1">
        <v>38196</v>
      </c>
      <c r="B143">
        <v>5383.57</v>
      </c>
      <c r="C143">
        <v>11.43</v>
      </c>
      <c r="D143">
        <v>6.5</v>
      </c>
      <c r="E143">
        <v>21.66</v>
      </c>
      <c r="F143" s="4">
        <f t="shared" si="8"/>
        <v>-2.7859022970727586E-3</v>
      </c>
      <c r="G143" s="4">
        <f t="shared" si="9"/>
        <v>1.3297872340425565E-2</v>
      </c>
      <c r="H143" s="4">
        <f t="shared" si="10"/>
        <v>0</v>
      </c>
      <c r="I143" s="4">
        <f t="shared" si="11"/>
        <v>4.6382189239332757E-3</v>
      </c>
    </row>
    <row r="144" spans="1:9">
      <c r="A144" s="1">
        <v>38197</v>
      </c>
      <c r="B144">
        <v>5349.66</v>
      </c>
      <c r="C144">
        <v>11.13</v>
      </c>
      <c r="D144">
        <v>6.46</v>
      </c>
      <c r="E144">
        <v>21.56</v>
      </c>
      <c r="F144" s="4">
        <f t="shared" si="8"/>
        <v>-6.2987942944922898E-3</v>
      </c>
      <c r="G144" s="4">
        <f t="shared" si="9"/>
        <v>-2.6246719160104893E-2</v>
      </c>
      <c r="H144" s="4">
        <f t="shared" si="10"/>
        <v>-6.153846153846159E-3</v>
      </c>
      <c r="I144" s="4">
        <f t="shared" si="11"/>
        <v>-4.6168051708218565E-3</v>
      </c>
    </row>
    <row r="145" spans="1:9">
      <c r="A145" s="1">
        <v>38198</v>
      </c>
      <c r="B145">
        <v>5420.57</v>
      </c>
      <c r="C145">
        <v>11.32</v>
      </c>
      <c r="D145">
        <v>6.54</v>
      </c>
      <c r="E145">
        <v>21.97</v>
      </c>
      <c r="F145" s="4">
        <f t="shared" si="8"/>
        <v>1.3255047984357858E-2</v>
      </c>
      <c r="G145" s="4">
        <f t="shared" si="9"/>
        <v>1.7070979335130233E-2</v>
      </c>
      <c r="H145" s="4">
        <f t="shared" si="10"/>
        <v>1.2383900928792581E-2</v>
      </c>
      <c r="I145" s="4">
        <f t="shared" si="11"/>
        <v>1.9016697588126168E-2</v>
      </c>
    </row>
    <row r="146" spans="1:9">
      <c r="A146" s="1">
        <v>38201</v>
      </c>
      <c r="B146">
        <v>5350.4</v>
      </c>
      <c r="C146">
        <v>11.36</v>
      </c>
      <c r="D146">
        <v>6.46</v>
      </c>
      <c r="E146">
        <v>21.77</v>
      </c>
      <c r="F146" s="4">
        <f t="shared" si="8"/>
        <v>-1.2945133076410797E-2</v>
      </c>
      <c r="G146" s="4">
        <f t="shared" si="9"/>
        <v>3.5335689045935641E-3</v>
      </c>
      <c r="H146" s="4">
        <f t="shared" si="10"/>
        <v>-1.2232415902140683E-2</v>
      </c>
      <c r="I146" s="4">
        <f t="shared" si="11"/>
        <v>-9.1033227127901364E-3</v>
      </c>
    </row>
    <row r="147" spans="1:9">
      <c r="A147" s="1">
        <v>38202</v>
      </c>
      <c r="B147">
        <v>5367.22</v>
      </c>
      <c r="C147">
        <v>11.89</v>
      </c>
      <c r="D147">
        <v>6.46</v>
      </c>
      <c r="E147">
        <v>22.07</v>
      </c>
      <c r="F147" s="4">
        <f t="shared" si="8"/>
        <v>3.1436901913876754E-3</v>
      </c>
      <c r="G147" s="4">
        <f t="shared" si="9"/>
        <v>4.6654929577464893E-2</v>
      </c>
      <c r="H147" s="4">
        <f t="shared" si="10"/>
        <v>0</v>
      </c>
      <c r="I147" s="4">
        <f t="shared" si="11"/>
        <v>1.3780431786862687E-2</v>
      </c>
    </row>
    <row r="148" spans="1:9">
      <c r="A148" s="1">
        <v>38203</v>
      </c>
      <c r="B148">
        <v>5316.87</v>
      </c>
      <c r="C148">
        <v>11.74</v>
      </c>
      <c r="D148">
        <v>6.38</v>
      </c>
      <c r="E148">
        <v>21.87</v>
      </c>
      <c r="F148" s="4">
        <f t="shared" si="8"/>
        <v>-9.3810203420020728E-3</v>
      </c>
      <c r="G148" s="4">
        <f t="shared" si="9"/>
        <v>-1.2615643397813318E-2</v>
      </c>
      <c r="H148" s="4">
        <f t="shared" si="10"/>
        <v>-1.2383900928792581E-2</v>
      </c>
      <c r="I148" s="4">
        <f t="shared" si="11"/>
        <v>-9.0620752152242544E-3</v>
      </c>
    </row>
    <row r="149" spans="1:9">
      <c r="A149" s="1">
        <v>38204</v>
      </c>
      <c r="B149">
        <v>5427.61</v>
      </c>
      <c r="C149">
        <v>11.74</v>
      </c>
      <c r="D149">
        <v>6.46</v>
      </c>
      <c r="E149">
        <v>22.88</v>
      </c>
      <c r="F149" s="4">
        <f t="shared" si="8"/>
        <v>2.08280435669858E-2</v>
      </c>
      <c r="G149" s="4">
        <f t="shared" si="9"/>
        <v>0</v>
      </c>
      <c r="H149" s="4">
        <f t="shared" si="10"/>
        <v>1.2539184952978068E-2</v>
      </c>
      <c r="I149" s="4">
        <f t="shared" si="11"/>
        <v>4.61819844535893E-2</v>
      </c>
    </row>
    <row r="150" spans="1:9">
      <c r="A150" s="1">
        <v>38205</v>
      </c>
      <c r="B150">
        <v>5399.16</v>
      </c>
      <c r="C150">
        <v>11.43</v>
      </c>
      <c r="D150">
        <v>6.42</v>
      </c>
      <c r="E150">
        <v>22.27</v>
      </c>
      <c r="F150" s="4">
        <f t="shared" si="8"/>
        <v>-5.2417178094962278E-3</v>
      </c>
      <c r="G150" s="4">
        <f t="shared" si="9"/>
        <v>-2.6405451448040927E-2</v>
      </c>
      <c r="H150" s="4">
        <f t="shared" si="10"/>
        <v>-6.1919504643962904E-3</v>
      </c>
      <c r="I150" s="4">
        <f t="shared" si="11"/>
        <v>-2.6660839160839136E-2</v>
      </c>
    </row>
    <row r="151" spans="1:9">
      <c r="A151" s="1">
        <v>38208</v>
      </c>
      <c r="B151">
        <v>5399.45</v>
      </c>
      <c r="C151">
        <v>11.36</v>
      </c>
      <c r="D151">
        <v>6.42</v>
      </c>
      <c r="E151">
        <v>22.17</v>
      </c>
      <c r="F151" s="4">
        <f t="shared" si="8"/>
        <v>5.3712058912861192E-5</v>
      </c>
      <c r="G151" s="4">
        <f t="shared" si="9"/>
        <v>-6.1242344706911884E-3</v>
      </c>
      <c r="H151" s="4">
        <f t="shared" si="10"/>
        <v>0</v>
      </c>
      <c r="I151" s="4">
        <f t="shared" si="11"/>
        <v>-4.490345756623164E-3</v>
      </c>
    </row>
    <row r="152" spans="1:9">
      <c r="A152" s="1">
        <v>38209</v>
      </c>
      <c r="B152">
        <v>5393.73</v>
      </c>
      <c r="C152">
        <v>11.43</v>
      </c>
      <c r="D152">
        <v>6.46</v>
      </c>
      <c r="E152">
        <v>22.17</v>
      </c>
      <c r="F152" s="4">
        <f t="shared" si="8"/>
        <v>-1.059367157766116E-3</v>
      </c>
      <c r="G152" s="4">
        <f t="shared" si="9"/>
        <v>6.1619718309859411E-3</v>
      </c>
      <c r="H152" s="4">
        <f t="shared" si="10"/>
        <v>6.2305295950155822E-3</v>
      </c>
      <c r="I152" s="4">
        <f t="shared" si="11"/>
        <v>0</v>
      </c>
    </row>
    <row r="153" spans="1:9">
      <c r="A153" s="1">
        <v>38210</v>
      </c>
      <c r="B153">
        <v>5367.34</v>
      </c>
      <c r="C153">
        <v>11.36</v>
      </c>
      <c r="D153">
        <v>6.46</v>
      </c>
      <c r="E153">
        <v>22.27</v>
      </c>
      <c r="F153" s="4">
        <f t="shared" si="8"/>
        <v>-4.8927180263008008E-3</v>
      </c>
      <c r="G153" s="4">
        <f t="shared" si="9"/>
        <v>-6.1242344706911884E-3</v>
      </c>
      <c r="H153" s="4">
        <f t="shared" si="10"/>
        <v>0</v>
      </c>
      <c r="I153" s="4">
        <f t="shared" si="11"/>
        <v>4.5105999097879053E-3</v>
      </c>
    </row>
    <row r="154" spans="1:9">
      <c r="A154" s="1">
        <v>38211</v>
      </c>
      <c r="B154">
        <v>5368.02</v>
      </c>
      <c r="C154">
        <v>11.43</v>
      </c>
      <c r="D154">
        <v>6.42</v>
      </c>
      <c r="E154">
        <v>22.07</v>
      </c>
      <c r="F154" s="4">
        <f t="shared" si="8"/>
        <v>1.2669217899374569E-4</v>
      </c>
      <c r="G154" s="4">
        <f t="shared" si="9"/>
        <v>6.1619718309859411E-3</v>
      </c>
      <c r="H154" s="4">
        <f t="shared" si="10"/>
        <v>-6.1919504643962904E-3</v>
      </c>
      <c r="I154" s="4">
        <f t="shared" si="11"/>
        <v>-8.9806915132464877E-3</v>
      </c>
    </row>
    <row r="155" spans="1:9">
      <c r="A155" s="1">
        <v>38212</v>
      </c>
      <c r="B155">
        <v>5389.93</v>
      </c>
      <c r="C155">
        <v>11.74</v>
      </c>
      <c r="D155">
        <v>6.42</v>
      </c>
      <c r="E155">
        <v>21.97</v>
      </c>
      <c r="F155" s="4">
        <f t="shared" si="8"/>
        <v>4.0815794277964416E-3</v>
      </c>
      <c r="G155" s="4">
        <f t="shared" si="9"/>
        <v>2.7121609798775197E-2</v>
      </c>
      <c r="H155" s="4">
        <f t="shared" si="10"/>
        <v>0</v>
      </c>
      <c r="I155" s="4">
        <f t="shared" si="11"/>
        <v>-4.5310376076122079E-3</v>
      </c>
    </row>
    <row r="156" spans="1:9">
      <c r="A156" s="1">
        <v>38215</v>
      </c>
      <c r="B156">
        <v>5352.01</v>
      </c>
      <c r="C156">
        <v>11.81</v>
      </c>
      <c r="D156">
        <v>6.46</v>
      </c>
      <c r="E156">
        <v>21.87</v>
      </c>
      <c r="F156" s="4">
        <f t="shared" si="8"/>
        <v>-7.0353418318976442E-3</v>
      </c>
      <c r="G156" s="4">
        <f t="shared" si="9"/>
        <v>5.9625212947189334E-3</v>
      </c>
      <c r="H156" s="4">
        <f t="shared" si="10"/>
        <v>6.2305295950155822E-3</v>
      </c>
      <c r="I156" s="4">
        <f t="shared" si="11"/>
        <v>-4.5516613563949876E-3</v>
      </c>
    </row>
    <row r="157" spans="1:9">
      <c r="A157" s="1">
        <v>38216</v>
      </c>
      <c r="B157">
        <v>5342.49</v>
      </c>
      <c r="C157">
        <v>11.66</v>
      </c>
      <c r="D157">
        <v>6.49</v>
      </c>
      <c r="E157">
        <v>21.97</v>
      </c>
      <c r="F157" s="4">
        <f t="shared" si="8"/>
        <v>-1.7787709664220427E-3</v>
      </c>
      <c r="G157" s="4">
        <f t="shared" si="9"/>
        <v>-1.2701100762066075E-2</v>
      </c>
      <c r="H157" s="4">
        <f t="shared" si="10"/>
        <v>4.6439628482972525E-3</v>
      </c>
      <c r="I157" s="4">
        <f t="shared" si="11"/>
        <v>4.5724737082760798E-3</v>
      </c>
    </row>
    <row r="158" spans="1:9">
      <c r="A158" s="1">
        <v>38217</v>
      </c>
      <c r="B158">
        <v>5427.75</v>
      </c>
      <c r="C158">
        <v>11.81</v>
      </c>
      <c r="D158">
        <v>6.41</v>
      </c>
      <c r="E158">
        <v>22.57</v>
      </c>
      <c r="F158" s="4">
        <f t="shared" si="8"/>
        <v>1.5958850648293253E-2</v>
      </c>
      <c r="G158" s="4">
        <f t="shared" si="9"/>
        <v>1.2864493996569498E-2</v>
      </c>
      <c r="H158" s="4">
        <f t="shared" si="10"/>
        <v>-1.2326656394453015E-2</v>
      </c>
      <c r="I158" s="4">
        <f t="shared" si="11"/>
        <v>2.7309968138370572E-2</v>
      </c>
    </row>
    <row r="159" spans="1:9">
      <c r="A159" s="1">
        <v>38218</v>
      </c>
      <c r="B159">
        <v>5602.99</v>
      </c>
      <c r="C159">
        <v>12.04</v>
      </c>
      <c r="D159">
        <v>6.62</v>
      </c>
      <c r="E159">
        <v>23.59</v>
      </c>
      <c r="F159" s="4">
        <f t="shared" si="8"/>
        <v>3.2285938003776847E-2</v>
      </c>
      <c r="G159" s="4">
        <f t="shared" si="9"/>
        <v>1.9475021168501156E-2</v>
      </c>
      <c r="H159" s="4">
        <f t="shared" si="10"/>
        <v>3.2761310452418091E-2</v>
      </c>
      <c r="I159" s="4">
        <f t="shared" si="11"/>
        <v>4.5192733717323859E-2</v>
      </c>
    </row>
    <row r="160" spans="1:9">
      <c r="A160" s="1">
        <v>38219</v>
      </c>
      <c r="B160">
        <v>5622.86</v>
      </c>
      <c r="C160">
        <v>12.12</v>
      </c>
      <c r="D160">
        <v>6.53</v>
      </c>
      <c r="E160">
        <v>23.28</v>
      </c>
      <c r="F160" s="4">
        <f t="shared" si="8"/>
        <v>3.5463208037137123E-3</v>
      </c>
      <c r="G160" s="4">
        <f t="shared" si="9"/>
        <v>6.6445182724252554E-3</v>
      </c>
      <c r="H160" s="4">
        <f t="shared" si="10"/>
        <v>-1.3595166163141973E-2</v>
      </c>
      <c r="I160" s="4">
        <f t="shared" si="11"/>
        <v>-1.3141161509113977E-2</v>
      </c>
    </row>
    <row r="161" spans="1:9">
      <c r="A161" s="1">
        <v>38222</v>
      </c>
      <c r="B161">
        <v>5660.97</v>
      </c>
      <c r="C161">
        <v>12.42</v>
      </c>
      <c r="D161">
        <v>6.57</v>
      </c>
      <c r="E161">
        <v>23.38</v>
      </c>
      <c r="F161" s="4">
        <f t="shared" si="8"/>
        <v>6.7776896454830073E-3</v>
      </c>
      <c r="G161" s="4">
        <f t="shared" si="9"/>
        <v>2.4752475247524813E-2</v>
      </c>
      <c r="H161" s="4">
        <f t="shared" si="10"/>
        <v>6.1255742725880606E-3</v>
      </c>
      <c r="I161" s="4">
        <f t="shared" si="11"/>
        <v>4.2955326460480184E-3</v>
      </c>
    </row>
    <row r="162" spans="1:9">
      <c r="A162" s="1">
        <v>38225</v>
      </c>
      <c r="B162">
        <v>5813.39</v>
      </c>
      <c r="C162">
        <v>13.24</v>
      </c>
      <c r="D162">
        <v>6.74</v>
      </c>
      <c r="E162">
        <v>24.19</v>
      </c>
      <c r="F162" s="4">
        <f t="shared" si="8"/>
        <v>2.6924714315744485E-2</v>
      </c>
      <c r="G162" s="4">
        <f t="shared" si="9"/>
        <v>6.6022544283413878E-2</v>
      </c>
      <c r="H162" s="4">
        <f t="shared" si="10"/>
        <v>2.5875190258751891E-2</v>
      </c>
      <c r="I162" s="4">
        <f t="shared" si="11"/>
        <v>3.4644995722840133E-2</v>
      </c>
    </row>
    <row r="163" spans="1:9">
      <c r="A163" s="1">
        <v>38226</v>
      </c>
      <c r="B163">
        <v>5797.71</v>
      </c>
      <c r="C163">
        <v>13.24</v>
      </c>
      <c r="D163">
        <v>6.74</v>
      </c>
      <c r="E163">
        <v>24.09</v>
      </c>
      <c r="F163" s="4">
        <f t="shared" si="8"/>
        <v>-2.6972214146995625E-3</v>
      </c>
      <c r="G163" s="4">
        <f t="shared" si="9"/>
        <v>0</v>
      </c>
      <c r="H163" s="4">
        <f t="shared" si="10"/>
        <v>0</v>
      </c>
      <c r="I163" s="4">
        <f t="shared" si="11"/>
        <v>-4.1339396444812493E-3</v>
      </c>
    </row>
    <row r="164" spans="1:9">
      <c r="A164" s="1">
        <v>38229</v>
      </c>
      <c r="B164">
        <v>5788.94</v>
      </c>
      <c r="C164">
        <v>13.48</v>
      </c>
      <c r="D164">
        <v>6.74</v>
      </c>
      <c r="E164">
        <v>23.69</v>
      </c>
      <c r="F164" s="4">
        <f t="shared" si="8"/>
        <v>-1.5126662078649047E-3</v>
      </c>
      <c r="G164" s="4">
        <f t="shared" si="9"/>
        <v>1.8126888217522674E-2</v>
      </c>
      <c r="H164" s="4">
        <f t="shared" si="10"/>
        <v>0</v>
      </c>
      <c r="I164" s="4">
        <f t="shared" si="11"/>
        <v>-1.6604400166043944E-2</v>
      </c>
    </row>
    <row r="165" spans="1:9">
      <c r="A165" s="1">
        <v>38230</v>
      </c>
      <c r="B165">
        <v>5765.54</v>
      </c>
      <c r="C165">
        <v>13.64</v>
      </c>
      <c r="D165">
        <v>6.66</v>
      </c>
      <c r="E165">
        <v>23.38</v>
      </c>
      <c r="F165" s="4">
        <f t="shared" si="8"/>
        <v>-4.0421907983153454E-3</v>
      </c>
      <c r="G165" s="4">
        <f t="shared" si="9"/>
        <v>1.1869436201780426E-2</v>
      </c>
      <c r="H165" s="4">
        <f t="shared" si="10"/>
        <v>-1.1869436201780426E-2</v>
      </c>
      <c r="I165" s="4">
        <f t="shared" si="11"/>
        <v>-1.308569016462652E-2</v>
      </c>
    </row>
    <row r="166" spans="1:9">
      <c r="A166" s="1">
        <v>38231</v>
      </c>
      <c r="B166">
        <v>5858.14</v>
      </c>
      <c r="C166">
        <v>13.8</v>
      </c>
      <c r="D166">
        <v>6.74</v>
      </c>
      <c r="E166">
        <v>23.59</v>
      </c>
      <c r="F166" s="4">
        <f t="shared" si="8"/>
        <v>1.6060941386236219E-2</v>
      </c>
      <c r="G166" s="4">
        <f t="shared" si="9"/>
        <v>1.1730205278592386E-2</v>
      </c>
      <c r="H166" s="4">
        <f t="shared" si="10"/>
        <v>1.2012012012012022E-2</v>
      </c>
      <c r="I166" s="4">
        <f t="shared" si="11"/>
        <v>8.9820359281437487E-3</v>
      </c>
    </row>
    <row r="167" spans="1:9">
      <c r="A167" s="1">
        <v>38232</v>
      </c>
      <c r="B167">
        <v>5852.85</v>
      </c>
      <c r="C167">
        <v>14.2</v>
      </c>
      <c r="D167">
        <v>6.74</v>
      </c>
      <c r="E167">
        <v>22.88</v>
      </c>
      <c r="F167" s="4">
        <f t="shared" si="8"/>
        <v>-9.030169985695056E-4</v>
      </c>
      <c r="G167" s="4">
        <f t="shared" si="9"/>
        <v>2.8985507246376708E-2</v>
      </c>
      <c r="H167" s="4">
        <f t="shared" si="10"/>
        <v>0</v>
      </c>
      <c r="I167" s="4">
        <f t="shared" si="11"/>
        <v>-3.0097498940228947E-2</v>
      </c>
    </row>
    <row r="168" spans="1:9">
      <c r="A168" s="1">
        <v>38233</v>
      </c>
      <c r="B168">
        <v>5761.14</v>
      </c>
      <c r="C168">
        <v>14.36</v>
      </c>
      <c r="D168">
        <v>6.74</v>
      </c>
      <c r="E168">
        <v>21.87</v>
      </c>
      <c r="F168" s="4">
        <f t="shared" si="8"/>
        <v>-1.566928932058741E-2</v>
      </c>
      <c r="G168" s="4">
        <f t="shared" si="9"/>
        <v>1.1267605633802828E-2</v>
      </c>
      <c r="H168" s="4">
        <f t="shared" si="10"/>
        <v>0</v>
      </c>
      <c r="I168" s="4">
        <f t="shared" si="11"/>
        <v>-4.4143356643356557E-2</v>
      </c>
    </row>
    <row r="169" spans="1:9">
      <c r="A169" s="1">
        <v>38236</v>
      </c>
      <c r="B169">
        <v>5775.99</v>
      </c>
      <c r="C169">
        <v>14.52</v>
      </c>
      <c r="D169">
        <v>6.7</v>
      </c>
      <c r="E169">
        <v>21.97</v>
      </c>
      <c r="F169" s="4">
        <f t="shared" si="8"/>
        <v>2.5776148470614242E-3</v>
      </c>
      <c r="G169" s="4">
        <f t="shared" si="9"/>
        <v>1.1142061281337058E-2</v>
      </c>
      <c r="H169" s="4">
        <f t="shared" si="10"/>
        <v>-5.9347181008902131E-3</v>
      </c>
      <c r="I169" s="4">
        <f t="shared" si="11"/>
        <v>4.5724737082760798E-3</v>
      </c>
    </row>
    <row r="170" spans="1:9">
      <c r="A170" s="1">
        <v>38237</v>
      </c>
      <c r="B170">
        <v>5846.83</v>
      </c>
      <c r="C170">
        <v>14.76</v>
      </c>
      <c r="D170">
        <v>6.74</v>
      </c>
      <c r="E170">
        <v>22.27</v>
      </c>
      <c r="F170" s="4">
        <f t="shared" si="8"/>
        <v>1.2264564169951843E-2</v>
      </c>
      <c r="G170" s="4">
        <f t="shared" si="9"/>
        <v>1.6528925619834725E-2</v>
      </c>
      <c r="H170" s="4">
        <f t="shared" si="10"/>
        <v>5.9701492537313485E-3</v>
      </c>
      <c r="I170" s="4">
        <f t="shared" si="11"/>
        <v>1.3654984069185286E-2</v>
      </c>
    </row>
    <row r="171" spans="1:9">
      <c r="A171" s="1">
        <v>38238</v>
      </c>
      <c r="B171">
        <v>5846.02</v>
      </c>
      <c r="C171">
        <v>14.44</v>
      </c>
      <c r="D171">
        <v>6.91</v>
      </c>
      <c r="E171">
        <v>21.97</v>
      </c>
      <c r="F171" s="4">
        <f t="shared" si="8"/>
        <v>-1.3853660872635099E-4</v>
      </c>
      <c r="G171" s="4">
        <f t="shared" si="9"/>
        <v>-2.1680216802168042E-2</v>
      </c>
      <c r="H171" s="4">
        <f t="shared" si="10"/>
        <v>2.5222551928783372E-2</v>
      </c>
      <c r="I171" s="4">
        <f t="shared" si="11"/>
        <v>-1.3471037269869812E-2</v>
      </c>
    </row>
    <row r="172" spans="1:9">
      <c r="A172" s="1">
        <v>38239</v>
      </c>
      <c r="B172">
        <v>5842.93</v>
      </c>
      <c r="C172">
        <v>14.28</v>
      </c>
      <c r="D172">
        <v>6.86</v>
      </c>
      <c r="E172">
        <v>21.97</v>
      </c>
      <c r="F172" s="4">
        <f t="shared" si="8"/>
        <v>-5.2856473292943668E-4</v>
      </c>
      <c r="G172" s="4">
        <f t="shared" si="9"/>
        <v>-1.108033240997231E-2</v>
      </c>
      <c r="H172" s="4">
        <f t="shared" si="10"/>
        <v>-7.2358900144717546E-3</v>
      </c>
      <c r="I172" s="4">
        <f t="shared" si="11"/>
        <v>0</v>
      </c>
    </row>
    <row r="173" spans="1:9">
      <c r="A173" s="1">
        <v>38240</v>
      </c>
      <c r="B173">
        <v>5846.19</v>
      </c>
      <c r="C173">
        <v>14.28</v>
      </c>
      <c r="D173">
        <v>6.78</v>
      </c>
      <c r="E173">
        <v>22.07</v>
      </c>
      <c r="F173" s="4">
        <f t="shared" si="8"/>
        <v>5.5793925308009998E-4</v>
      </c>
      <c r="G173" s="4">
        <f t="shared" si="9"/>
        <v>0</v>
      </c>
      <c r="H173" s="4">
        <f t="shared" si="10"/>
        <v>-1.1661807580174937E-2</v>
      </c>
      <c r="I173" s="4">
        <f t="shared" si="11"/>
        <v>4.5516613563951489E-3</v>
      </c>
    </row>
    <row r="174" spans="1:9">
      <c r="A174" s="1">
        <v>38243</v>
      </c>
      <c r="B174">
        <v>5928.22</v>
      </c>
      <c r="C174">
        <v>14.36</v>
      </c>
      <c r="D174">
        <v>6.74</v>
      </c>
      <c r="E174">
        <v>22.47</v>
      </c>
      <c r="F174" s="4">
        <f t="shared" si="8"/>
        <v>1.4031360595533272E-2</v>
      </c>
      <c r="G174" s="4">
        <f t="shared" si="9"/>
        <v>5.6022408963585487E-3</v>
      </c>
      <c r="H174" s="4">
        <f t="shared" si="10"/>
        <v>-5.8997050147492677E-3</v>
      </c>
      <c r="I174" s="4">
        <f t="shared" si="11"/>
        <v>1.8124150430448509E-2</v>
      </c>
    </row>
    <row r="175" spans="1:9">
      <c r="A175" s="1">
        <v>38244</v>
      </c>
      <c r="B175">
        <v>5919.77</v>
      </c>
      <c r="C175">
        <v>14.2</v>
      </c>
      <c r="D175">
        <v>6.74</v>
      </c>
      <c r="E175">
        <v>22.27</v>
      </c>
      <c r="F175" s="4">
        <f t="shared" si="8"/>
        <v>-1.4253856975618006E-3</v>
      </c>
      <c r="G175" s="4">
        <f t="shared" si="9"/>
        <v>-1.1142061281337058E-2</v>
      </c>
      <c r="H175" s="4">
        <f t="shared" si="10"/>
        <v>0</v>
      </c>
      <c r="I175" s="4">
        <f t="shared" si="11"/>
        <v>-8.9007565643079347E-3</v>
      </c>
    </row>
    <row r="176" spans="1:9">
      <c r="A176" s="1">
        <v>38245</v>
      </c>
      <c r="B176">
        <v>5871.07</v>
      </c>
      <c r="C176">
        <v>13.96</v>
      </c>
      <c r="D176">
        <v>6.82</v>
      </c>
      <c r="E176">
        <v>21.87</v>
      </c>
      <c r="F176" s="4">
        <f t="shared" si="8"/>
        <v>-8.2266709686357273E-3</v>
      </c>
      <c r="G176" s="4">
        <f t="shared" si="9"/>
        <v>-1.6901408450704116E-2</v>
      </c>
      <c r="H176" s="4">
        <f t="shared" si="10"/>
        <v>1.1869436201780426E-2</v>
      </c>
      <c r="I176" s="4">
        <f t="shared" si="11"/>
        <v>-1.7961383026492975E-2</v>
      </c>
    </row>
    <row r="177" spans="1:9">
      <c r="A177" s="1">
        <v>38246</v>
      </c>
      <c r="B177">
        <v>5891.05</v>
      </c>
      <c r="C177">
        <v>14.2</v>
      </c>
      <c r="D177">
        <v>6.74</v>
      </c>
      <c r="E177">
        <v>21.87</v>
      </c>
      <c r="F177" s="4">
        <f t="shared" si="8"/>
        <v>3.4031275389325068E-3</v>
      </c>
      <c r="G177" s="4">
        <f t="shared" si="9"/>
        <v>1.7191977077363783E-2</v>
      </c>
      <c r="H177" s="4">
        <f t="shared" si="10"/>
        <v>-1.1730205278592386E-2</v>
      </c>
      <c r="I177" s="4">
        <f t="shared" si="11"/>
        <v>0</v>
      </c>
    </row>
    <row r="178" spans="1:9">
      <c r="A178" s="1">
        <v>38247</v>
      </c>
      <c r="B178">
        <v>5818.39</v>
      </c>
      <c r="C178">
        <v>14.04</v>
      </c>
      <c r="D178">
        <v>6.7</v>
      </c>
      <c r="E178">
        <v>21.36</v>
      </c>
      <c r="F178" s="4">
        <f t="shared" si="8"/>
        <v>-1.2333964233880184E-2</v>
      </c>
      <c r="G178" s="4">
        <f t="shared" si="9"/>
        <v>-1.1267605633802828E-2</v>
      </c>
      <c r="H178" s="4">
        <f t="shared" si="10"/>
        <v>-5.9347181008902131E-3</v>
      </c>
      <c r="I178" s="4">
        <f t="shared" si="11"/>
        <v>-2.3319615912208574E-2</v>
      </c>
    </row>
    <row r="179" spans="1:9">
      <c r="A179" s="1">
        <v>38250</v>
      </c>
      <c r="B179">
        <v>5864.54</v>
      </c>
      <c r="C179">
        <v>14.68</v>
      </c>
      <c r="D179">
        <v>6.66</v>
      </c>
      <c r="E179">
        <v>21.16</v>
      </c>
      <c r="F179" s="4">
        <f t="shared" si="8"/>
        <v>7.9317474421617719E-3</v>
      </c>
      <c r="G179" s="4">
        <f t="shared" si="9"/>
        <v>4.5584045584045628E-2</v>
      </c>
      <c r="H179" s="4">
        <f t="shared" si="10"/>
        <v>-5.9701492537313485E-3</v>
      </c>
      <c r="I179" s="4">
        <f t="shared" si="11"/>
        <v>-9.3632958801497801E-3</v>
      </c>
    </row>
    <row r="180" spans="1:9">
      <c r="A180" s="1">
        <v>38251</v>
      </c>
      <c r="B180">
        <v>5949.26</v>
      </c>
      <c r="C180">
        <v>15.4</v>
      </c>
      <c r="D180">
        <v>6.7</v>
      </c>
      <c r="E180">
        <v>21.46</v>
      </c>
      <c r="F180" s="4">
        <f t="shared" si="8"/>
        <v>1.4446145818768437E-2</v>
      </c>
      <c r="G180" s="4">
        <f t="shared" si="9"/>
        <v>4.9046321525885603E-2</v>
      </c>
      <c r="H180" s="4">
        <f t="shared" si="10"/>
        <v>6.0060060060060112E-3</v>
      </c>
      <c r="I180" s="4">
        <f t="shared" si="11"/>
        <v>1.4177693761814778E-2</v>
      </c>
    </row>
    <row r="181" spans="1:9">
      <c r="A181" s="1">
        <v>38252</v>
      </c>
      <c r="B181">
        <v>5970.18</v>
      </c>
      <c r="C181">
        <v>15.32</v>
      </c>
      <c r="D181">
        <v>6.62</v>
      </c>
      <c r="E181">
        <v>21.46</v>
      </c>
      <c r="F181" s="4">
        <f t="shared" si="8"/>
        <v>3.5164037207989014E-3</v>
      </c>
      <c r="G181" s="4">
        <f t="shared" si="9"/>
        <v>-5.1948051948051991E-3</v>
      </c>
      <c r="H181" s="4">
        <f t="shared" si="10"/>
        <v>-1.1940298507462697E-2</v>
      </c>
      <c r="I181" s="4">
        <f t="shared" si="11"/>
        <v>0</v>
      </c>
    </row>
    <row r="182" spans="1:9">
      <c r="A182" s="1">
        <v>38253</v>
      </c>
      <c r="B182">
        <v>5937.25</v>
      </c>
      <c r="C182">
        <v>14.92</v>
      </c>
      <c r="D182">
        <v>6.53</v>
      </c>
      <c r="E182">
        <v>21.56</v>
      </c>
      <c r="F182" s="4">
        <f t="shared" si="8"/>
        <v>-5.5157465939050902E-3</v>
      </c>
      <c r="G182" s="4">
        <f t="shared" si="9"/>
        <v>-2.6109660574412556E-2</v>
      </c>
      <c r="H182" s="4">
        <f t="shared" si="10"/>
        <v>-1.3595166163141973E-2</v>
      </c>
      <c r="I182" s="4">
        <f t="shared" si="11"/>
        <v>4.6598322460390433E-3</v>
      </c>
    </row>
    <row r="183" spans="1:9">
      <c r="A183" s="1">
        <v>38254</v>
      </c>
      <c r="B183">
        <v>5892.21</v>
      </c>
      <c r="C183">
        <v>15</v>
      </c>
      <c r="D183">
        <v>6.57</v>
      </c>
      <c r="E183">
        <v>21.26</v>
      </c>
      <c r="F183" s="4">
        <f t="shared" si="8"/>
        <v>-7.5860036212050969E-3</v>
      </c>
      <c r="G183" s="4">
        <f t="shared" si="9"/>
        <v>5.3619302949061707E-3</v>
      </c>
      <c r="H183" s="4">
        <f t="shared" si="10"/>
        <v>6.1255742725880606E-3</v>
      </c>
      <c r="I183" s="4">
        <f t="shared" si="11"/>
        <v>-1.3914656771799499E-2</v>
      </c>
    </row>
    <row r="184" spans="1:9">
      <c r="A184" s="1">
        <v>38257</v>
      </c>
      <c r="B184">
        <v>5849.22</v>
      </c>
      <c r="C184">
        <v>15.08</v>
      </c>
      <c r="D184">
        <v>6.57</v>
      </c>
      <c r="E184">
        <v>20.75</v>
      </c>
      <c r="F184" s="4">
        <f t="shared" si="8"/>
        <v>-7.2960739688503603E-3</v>
      </c>
      <c r="G184" s="4">
        <f t="shared" si="9"/>
        <v>5.3333333333333384E-3</v>
      </c>
      <c r="H184" s="4">
        <f t="shared" si="10"/>
        <v>0</v>
      </c>
      <c r="I184" s="4">
        <f t="shared" si="11"/>
        <v>-2.3988711194731963E-2</v>
      </c>
    </row>
    <row r="185" spans="1:9">
      <c r="A185" s="1">
        <v>38259</v>
      </c>
      <c r="B185">
        <v>5809.75</v>
      </c>
      <c r="C185">
        <v>14.92</v>
      </c>
      <c r="D185">
        <v>6.62</v>
      </c>
      <c r="E185">
        <v>20.75</v>
      </c>
      <c r="F185" s="4">
        <f t="shared" si="8"/>
        <v>-6.7479082681110051E-3</v>
      </c>
      <c r="G185" s="4">
        <f t="shared" si="9"/>
        <v>-1.0610079575596827E-2</v>
      </c>
      <c r="H185" s="4">
        <f t="shared" si="10"/>
        <v>7.6103500761034735E-3</v>
      </c>
      <c r="I185" s="4">
        <f t="shared" si="11"/>
        <v>0</v>
      </c>
    </row>
    <row r="186" spans="1:9">
      <c r="A186" s="1">
        <v>38260</v>
      </c>
      <c r="B186">
        <v>5845.69</v>
      </c>
      <c r="C186">
        <v>15.08</v>
      </c>
      <c r="D186">
        <v>6.57</v>
      </c>
      <c r="E186">
        <v>20.75</v>
      </c>
      <c r="F186" s="4">
        <f t="shared" si="8"/>
        <v>6.1861525883212878E-3</v>
      </c>
      <c r="G186" s="4">
        <f t="shared" si="9"/>
        <v>1.0723860589812341E-2</v>
      </c>
      <c r="H186" s="4">
        <f t="shared" si="10"/>
        <v>-7.5528700906344138E-3</v>
      </c>
      <c r="I186" s="4">
        <f t="shared" si="11"/>
        <v>0</v>
      </c>
    </row>
    <row r="187" spans="1:9">
      <c r="A187" s="1">
        <v>38261</v>
      </c>
      <c r="B187">
        <v>5945.35</v>
      </c>
      <c r="C187">
        <v>15.48</v>
      </c>
      <c r="D187">
        <v>6.57</v>
      </c>
      <c r="E187">
        <v>21.16</v>
      </c>
      <c r="F187" s="4">
        <f t="shared" si="8"/>
        <v>1.7048457923701184E-2</v>
      </c>
      <c r="G187" s="4">
        <f t="shared" si="9"/>
        <v>2.6525198938992064E-2</v>
      </c>
      <c r="H187" s="4">
        <f t="shared" si="10"/>
        <v>0</v>
      </c>
      <c r="I187" s="4">
        <f t="shared" si="11"/>
        <v>1.9759036144578319E-2</v>
      </c>
    </row>
    <row r="188" spans="1:9">
      <c r="A188" s="1">
        <v>38264</v>
      </c>
      <c r="B188">
        <v>6077.96</v>
      </c>
      <c r="C188">
        <v>15.4</v>
      </c>
      <c r="D188">
        <v>6.74</v>
      </c>
      <c r="E188">
        <v>21.66</v>
      </c>
      <c r="F188" s="4">
        <f t="shared" si="8"/>
        <v>2.2304826461015694E-2</v>
      </c>
      <c r="G188" s="4">
        <f t="shared" si="9"/>
        <v>-5.1679586563307539E-3</v>
      </c>
      <c r="H188" s="4">
        <f t="shared" si="10"/>
        <v>2.5875190258751891E-2</v>
      </c>
      <c r="I188" s="4">
        <f t="shared" si="11"/>
        <v>2.3629489603024575E-2</v>
      </c>
    </row>
    <row r="189" spans="1:9">
      <c r="A189" s="1">
        <v>38265</v>
      </c>
      <c r="B189">
        <v>6081.01</v>
      </c>
      <c r="C189">
        <v>15.32</v>
      </c>
      <c r="D189">
        <v>6.78</v>
      </c>
      <c r="E189">
        <v>21.66</v>
      </c>
      <c r="F189" s="4">
        <f t="shared" si="8"/>
        <v>5.0181310834559328E-4</v>
      </c>
      <c r="G189" s="4">
        <f t="shared" si="9"/>
        <v>-5.1948051948051991E-3</v>
      </c>
      <c r="H189" s="4">
        <f t="shared" si="10"/>
        <v>5.9347181008902131E-3</v>
      </c>
      <c r="I189" s="4">
        <f t="shared" si="11"/>
        <v>0</v>
      </c>
    </row>
    <row r="190" spans="1:9">
      <c r="A190" s="1">
        <v>38266</v>
      </c>
      <c r="B190">
        <v>6060.61</v>
      </c>
      <c r="C190">
        <v>15.24</v>
      </c>
      <c r="D190">
        <v>6.78</v>
      </c>
      <c r="E190">
        <v>21.56</v>
      </c>
      <c r="F190" s="4">
        <f t="shared" si="8"/>
        <v>-3.3547058794510362E-3</v>
      </c>
      <c r="G190" s="4">
        <f t="shared" si="9"/>
        <v>-5.2219321148825109E-3</v>
      </c>
      <c r="H190" s="4">
        <f t="shared" si="10"/>
        <v>0</v>
      </c>
      <c r="I190" s="4">
        <f t="shared" si="11"/>
        <v>-4.6168051708218565E-3</v>
      </c>
    </row>
    <row r="191" spans="1:9">
      <c r="A191" s="1">
        <v>38267</v>
      </c>
      <c r="B191">
        <v>6103</v>
      </c>
      <c r="C191">
        <v>15.16</v>
      </c>
      <c r="D191">
        <v>6.78</v>
      </c>
      <c r="E191">
        <v>21.46</v>
      </c>
      <c r="F191" s="4">
        <f t="shared" si="8"/>
        <v>6.9943454536755094E-3</v>
      </c>
      <c r="G191" s="4">
        <f t="shared" si="9"/>
        <v>-5.2493438320210016E-3</v>
      </c>
      <c r="H191" s="4">
        <f t="shared" si="10"/>
        <v>0</v>
      </c>
      <c r="I191" s="4">
        <f t="shared" si="11"/>
        <v>-4.638218923933111E-3</v>
      </c>
    </row>
    <row r="192" spans="1:9">
      <c r="A192" s="1">
        <v>38268</v>
      </c>
      <c r="B192">
        <v>6102.16</v>
      </c>
      <c r="C192">
        <v>15.32</v>
      </c>
      <c r="D192">
        <v>6.78</v>
      </c>
      <c r="E192">
        <v>20.96</v>
      </c>
      <c r="F192" s="4">
        <f t="shared" si="8"/>
        <v>-1.3763722759301089E-4</v>
      </c>
      <c r="G192" s="4">
        <f t="shared" si="9"/>
        <v>1.0554089709762543E-2</v>
      </c>
      <c r="H192" s="4">
        <f t="shared" si="10"/>
        <v>0</v>
      </c>
      <c r="I192" s="4">
        <f t="shared" si="11"/>
        <v>-2.3299161230195712E-2</v>
      </c>
    </row>
    <row r="193" spans="1:9">
      <c r="A193" s="1">
        <v>38271</v>
      </c>
      <c r="B193">
        <v>6089.28</v>
      </c>
      <c r="C193">
        <v>15.4</v>
      </c>
      <c r="D193">
        <v>6.82</v>
      </c>
      <c r="E193">
        <v>20.85</v>
      </c>
      <c r="F193" s="4">
        <f t="shared" si="8"/>
        <v>-2.1107280045098964E-3</v>
      </c>
      <c r="G193" s="4">
        <f t="shared" si="9"/>
        <v>5.2219321148825109E-3</v>
      </c>
      <c r="H193" s="4">
        <f t="shared" si="10"/>
        <v>5.8997050147492677E-3</v>
      </c>
      <c r="I193" s="4">
        <f t="shared" si="11"/>
        <v>-5.2480916030534074E-3</v>
      </c>
    </row>
    <row r="194" spans="1:9">
      <c r="A194" s="1">
        <v>38272</v>
      </c>
      <c r="B194">
        <v>5979.56</v>
      </c>
      <c r="C194">
        <v>15.08</v>
      </c>
      <c r="D194">
        <v>6.86</v>
      </c>
      <c r="E194">
        <v>20.350000000000001</v>
      </c>
      <c r="F194" s="4">
        <f t="shared" si="8"/>
        <v>-1.8018550633243889E-2</v>
      </c>
      <c r="G194" s="4">
        <f t="shared" si="9"/>
        <v>-2.0779220779220797E-2</v>
      </c>
      <c r="H194" s="4">
        <f t="shared" si="10"/>
        <v>5.8651026392961929E-3</v>
      </c>
      <c r="I194" s="4">
        <f t="shared" si="11"/>
        <v>-2.3980815347721823E-2</v>
      </c>
    </row>
    <row r="195" spans="1:9">
      <c r="A195" s="1">
        <v>38273</v>
      </c>
      <c r="B195">
        <v>5963.07</v>
      </c>
      <c r="C195">
        <v>14.84</v>
      </c>
      <c r="D195">
        <v>6.91</v>
      </c>
      <c r="E195">
        <v>20.25</v>
      </c>
      <c r="F195" s="4">
        <f t="shared" si="8"/>
        <v>-2.7577279933641758E-3</v>
      </c>
      <c r="G195" s="4">
        <f t="shared" si="9"/>
        <v>-1.5915119363395239E-2</v>
      </c>
      <c r="H195" s="4">
        <f t="shared" si="10"/>
        <v>7.2886297376093031E-3</v>
      </c>
      <c r="I195" s="4">
        <f t="shared" si="11"/>
        <v>-4.9140049140049833E-3</v>
      </c>
    </row>
    <row r="196" spans="1:9">
      <c r="A196" s="1">
        <v>38274</v>
      </c>
      <c r="B196">
        <v>5831.07</v>
      </c>
      <c r="C196">
        <v>13.88</v>
      </c>
      <c r="D196">
        <v>6.74</v>
      </c>
      <c r="E196">
        <v>20.45</v>
      </c>
      <c r="F196" s="4">
        <f t="shared" ref="F196:F259" si="12">(B196-B195)/B195</f>
        <v>-2.2136248610195756E-2</v>
      </c>
      <c r="G196" s="4">
        <f t="shared" ref="G196:G259" si="13">(C196-C195)/C195</f>
        <v>-6.4690026954177832E-2</v>
      </c>
      <c r="H196" s="4">
        <f t="shared" ref="H196:H259" si="14">(D196-D195)/D195</f>
        <v>-2.4602026049204043E-2</v>
      </c>
      <c r="I196" s="4">
        <f t="shared" ref="I196:I259" si="15">(E196-E195)/E195</f>
        <v>9.8765432098765083E-3</v>
      </c>
    </row>
    <row r="197" spans="1:9">
      <c r="A197" s="1">
        <v>38275</v>
      </c>
      <c r="B197">
        <v>5820.82</v>
      </c>
      <c r="C197">
        <v>13.96</v>
      </c>
      <c r="D197">
        <v>6.7</v>
      </c>
      <c r="E197">
        <v>20.25</v>
      </c>
      <c r="F197" s="4">
        <f t="shared" si="12"/>
        <v>-1.7578248932014194E-3</v>
      </c>
      <c r="G197" s="4">
        <f t="shared" si="13"/>
        <v>5.7636887608069213E-3</v>
      </c>
      <c r="H197" s="4">
        <f t="shared" si="14"/>
        <v>-5.9347181008902131E-3</v>
      </c>
      <c r="I197" s="4">
        <f t="shared" si="15"/>
        <v>-9.779951100244464E-3</v>
      </c>
    </row>
    <row r="198" spans="1:9">
      <c r="A198" s="1">
        <v>38278</v>
      </c>
      <c r="B198">
        <v>5772.12</v>
      </c>
      <c r="C198">
        <v>14.36</v>
      </c>
      <c r="D198">
        <v>6.7</v>
      </c>
      <c r="E198">
        <v>20.04</v>
      </c>
      <c r="F198" s="4">
        <f t="shared" si="12"/>
        <v>-8.3665188066285884E-3</v>
      </c>
      <c r="G198" s="4">
        <f t="shared" si="13"/>
        <v>2.8653295128939726E-2</v>
      </c>
      <c r="H198" s="4">
        <f t="shared" si="14"/>
        <v>0</v>
      </c>
      <c r="I198" s="4">
        <f t="shared" si="15"/>
        <v>-1.0370370370370412E-2</v>
      </c>
    </row>
    <row r="199" spans="1:9">
      <c r="A199" s="1">
        <v>38279</v>
      </c>
      <c r="B199">
        <v>5807.79</v>
      </c>
      <c r="C199">
        <v>14.04</v>
      </c>
      <c r="D199">
        <v>6.7</v>
      </c>
      <c r="E199">
        <v>20.350000000000001</v>
      </c>
      <c r="F199" s="4">
        <f t="shared" si="12"/>
        <v>6.179705203634033E-3</v>
      </c>
      <c r="G199" s="4">
        <f t="shared" si="13"/>
        <v>-2.2284122562674116E-2</v>
      </c>
      <c r="H199" s="4">
        <f t="shared" si="14"/>
        <v>0</v>
      </c>
      <c r="I199" s="4">
        <f t="shared" si="15"/>
        <v>1.5469061876247619E-2</v>
      </c>
    </row>
    <row r="200" spans="1:9">
      <c r="A200" s="1">
        <v>38280</v>
      </c>
      <c r="B200">
        <v>5788.34</v>
      </c>
      <c r="C200">
        <v>14.6</v>
      </c>
      <c r="D200">
        <v>6.7</v>
      </c>
      <c r="E200">
        <v>20.25</v>
      </c>
      <c r="F200" s="4">
        <f t="shared" si="12"/>
        <v>-3.3489502891805348E-3</v>
      </c>
      <c r="G200" s="4">
        <f t="shared" si="13"/>
        <v>3.9886039886039927E-2</v>
      </c>
      <c r="H200" s="4">
        <f t="shared" si="14"/>
        <v>0</v>
      </c>
      <c r="I200" s="4">
        <f t="shared" si="15"/>
        <v>-4.9140049140049833E-3</v>
      </c>
    </row>
    <row r="201" spans="1:9">
      <c r="A201" s="1">
        <v>38281</v>
      </c>
      <c r="B201">
        <v>5797.24</v>
      </c>
      <c r="C201">
        <v>14.84</v>
      </c>
      <c r="D201">
        <v>6.7</v>
      </c>
      <c r="E201">
        <v>20.25</v>
      </c>
      <c r="F201" s="4">
        <f t="shared" si="12"/>
        <v>1.537573812180977E-3</v>
      </c>
      <c r="G201" s="4">
        <f t="shared" si="13"/>
        <v>1.6438356164383577E-2</v>
      </c>
      <c r="H201" s="4">
        <f t="shared" si="14"/>
        <v>0</v>
      </c>
      <c r="I201" s="4">
        <f t="shared" si="15"/>
        <v>0</v>
      </c>
    </row>
    <row r="202" spans="1:9">
      <c r="A202" s="1">
        <v>38282</v>
      </c>
      <c r="B202">
        <v>5774.67</v>
      </c>
      <c r="C202">
        <v>14.6</v>
      </c>
      <c r="D202">
        <v>6.7</v>
      </c>
      <c r="E202">
        <v>20.55</v>
      </c>
      <c r="F202" s="4">
        <f t="shared" si="12"/>
        <v>-3.8932319517563031E-3</v>
      </c>
      <c r="G202" s="4">
        <f t="shared" si="13"/>
        <v>-1.6172506738544489E-2</v>
      </c>
      <c r="H202" s="4">
        <f t="shared" si="14"/>
        <v>0</v>
      </c>
      <c r="I202" s="4">
        <f t="shared" si="15"/>
        <v>1.481481481481485E-2</v>
      </c>
    </row>
    <row r="203" spans="1:9">
      <c r="A203" s="1">
        <v>38286</v>
      </c>
      <c r="B203">
        <v>5662.88</v>
      </c>
      <c r="C203">
        <v>14.68</v>
      </c>
      <c r="D203">
        <v>6.7</v>
      </c>
      <c r="E203">
        <v>20.04</v>
      </c>
      <c r="F203" s="4">
        <f t="shared" si="12"/>
        <v>-1.9358681967973922E-2</v>
      </c>
      <c r="G203" s="4">
        <f t="shared" si="13"/>
        <v>5.4794520547945258E-3</v>
      </c>
      <c r="H203" s="4">
        <f t="shared" si="14"/>
        <v>0</v>
      </c>
      <c r="I203" s="4">
        <f t="shared" si="15"/>
        <v>-2.4817518248175258E-2</v>
      </c>
    </row>
    <row r="204" spans="1:9">
      <c r="A204" s="1">
        <v>38287</v>
      </c>
      <c r="B204">
        <v>5650.97</v>
      </c>
      <c r="C204">
        <v>14.68</v>
      </c>
      <c r="D204">
        <v>6.66</v>
      </c>
      <c r="E204">
        <v>19.64</v>
      </c>
      <c r="F204" s="4">
        <f t="shared" si="12"/>
        <v>-2.1031701183849656E-3</v>
      </c>
      <c r="G204" s="4">
        <f t="shared" si="13"/>
        <v>0</v>
      </c>
      <c r="H204" s="4">
        <f t="shared" si="14"/>
        <v>-5.9701492537313485E-3</v>
      </c>
      <c r="I204" s="4">
        <f t="shared" si="15"/>
        <v>-1.9960079840319292E-2</v>
      </c>
    </row>
    <row r="205" spans="1:9">
      <c r="A205" s="1">
        <v>38288</v>
      </c>
      <c r="B205">
        <v>5695.56</v>
      </c>
      <c r="C205">
        <v>14.6</v>
      </c>
      <c r="D205">
        <v>6.66</v>
      </c>
      <c r="E205">
        <v>20.149999999999999</v>
      </c>
      <c r="F205" s="4">
        <f t="shared" si="12"/>
        <v>7.8906807149923194E-3</v>
      </c>
      <c r="G205" s="4">
        <f t="shared" si="13"/>
        <v>-5.449591280653956E-3</v>
      </c>
      <c r="H205" s="4">
        <f t="shared" si="14"/>
        <v>0</v>
      </c>
      <c r="I205" s="4">
        <f t="shared" si="15"/>
        <v>2.5967413441955092E-2</v>
      </c>
    </row>
    <row r="206" spans="1:9">
      <c r="A206" s="1">
        <v>38289</v>
      </c>
      <c r="B206">
        <v>5705.93</v>
      </c>
      <c r="C206">
        <v>14.52</v>
      </c>
      <c r="D206">
        <v>6.53</v>
      </c>
      <c r="E206">
        <v>20.45</v>
      </c>
      <c r="F206" s="4">
        <f t="shared" si="12"/>
        <v>1.8207164879309305E-3</v>
      </c>
      <c r="G206" s="4">
        <f t="shared" si="13"/>
        <v>-5.4794520547945258E-3</v>
      </c>
      <c r="H206" s="4">
        <f t="shared" si="14"/>
        <v>-1.9519519519519503E-2</v>
      </c>
      <c r="I206" s="4">
        <f t="shared" si="15"/>
        <v>1.4888337468982667E-2</v>
      </c>
    </row>
    <row r="207" spans="1:9">
      <c r="A207" s="1">
        <v>38292</v>
      </c>
      <c r="B207">
        <v>5656.17</v>
      </c>
      <c r="C207">
        <v>14.52</v>
      </c>
      <c r="D207">
        <v>6.49</v>
      </c>
      <c r="E207">
        <v>20.04</v>
      </c>
      <c r="F207" s="4">
        <f t="shared" si="12"/>
        <v>-8.720751919494318E-3</v>
      </c>
      <c r="G207" s="4">
        <f t="shared" si="13"/>
        <v>0</v>
      </c>
      <c r="H207" s="4">
        <f t="shared" si="14"/>
        <v>-6.1255742725880606E-3</v>
      </c>
      <c r="I207" s="4">
        <f t="shared" si="15"/>
        <v>-2.004889975550123E-2</v>
      </c>
    </row>
    <row r="208" spans="1:9">
      <c r="A208" s="1">
        <v>38293</v>
      </c>
      <c r="B208">
        <v>5759.61</v>
      </c>
      <c r="C208">
        <v>14.76</v>
      </c>
      <c r="D208">
        <v>6.49</v>
      </c>
      <c r="E208">
        <v>20.55</v>
      </c>
      <c r="F208" s="4">
        <f t="shared" si="12"/>
        <v>1.8287993465542867E-2</v>
      </c>
      <c r="G208" s="4">
        <f t="shared" si="13"/>
        <v>1.6528925619834725E-2</v>
      </c>
      <c r="H208" s="4">
        <f t="shared" si="14"/>
        <v>0</v>
      </c>
      <c r="I208" s="4">
        <f t="shared" si="15"/>
        <v>2.5449101796407265E-2</v>
      </c>
    </row>
    <row r="209" spans="1:9">
      <c r="A209" s="1">
        <v>38294</v>
      </c>
      <c r="B209">
        <v>5862.85</v>
      </c>
      <c r="C209">
        <v>14.92</v>
      </c>
      <c r="D209">
        <v>6.49</v>
      </c>
      <c r="E209">
        <v>21.26</v>
      </c>
      <c r="F209" s="4">
        <f t="shared" si="12"/>
        <v>1.7924824771121776E-2</v>
      </c>
      <c r="G209" s="4">
        <f t="shared" si="13"/>
        <v>1.0840108401084021E-2</v>
      </c>
      <c r="H209" s="4">
        <f t="shared" si="14"/>
        <v>0</v>
      </c>
      <c r="I209" s="4">
        <f t="shared" si="15"/>
        <v>3.4549878345498823E-2</v>
      </c>
    </row>
    <row r="210" spans="1:9">
      <c r="A210" s="1">
        <v>38295</v>
      </c>
      <c r="B210">
        <v>5860.73</v>
      </c>
      <c r="C210">
        <v>14.76</v>
      </c>
      <c r="D210">
        <v>6.49</v>
      </c>
      <c r="E210">
        <v>21.16</v>
      </c>
      <c r="F210" s="4">
        <f t="shared" si="12"/>
        <v>-3.6159888109039122E-4</v>
      </c>
      <c r="G210" s="4">
        <f t="shared" si="13"/>
        <v>-1.0723860589812341E-2</v>
      </c>
      <c r="H210" s="4">
        <f t="shared" si="14"/>
        <v>0</v>
      </c>
      <c r="I210" s="4">
        <f t="shared" si="15"/>
        <v>-4.7036688617122019E-3</v>
      </c>
    </row>
    <row r="211" spans="1:9">
      <c r="A211" s="1">
        <v>38296</v>
      </c>
      <c r="B211">
        <v>5931.31</v>
      </c>
      <c r="C211">
        <v>14.76</v>
      </c>
      <c r="D211">
        <v>6.57</v>
      </c>
      <c r="E211">
        <v>21.46</v>
      </c>
      <c r="F211" s="4">
        <f t="shared" si="12"/>
        <v>1.2042868379877735E-2</v>
      </c>
      <c r="G211" s="4">
        <f t="shared" si="13"/>
        <v>0</v>
      </c>
      <c r="H211" s="4">
        <f t="shared" si="14"/>
        <v>1.2326656394453015E-2</v>
      </c>
      <c r="I211" s="4">
        <f t="shared" si="15"/>
        <v>1.4177693761814778E-2</v>
      </c>
    </row>
    <row r="212" spans="1:9">
      <c r="A212" s="1">
        <v>38299</v>
      </c>
      <c r="B212">
        <v>5937.46</v>
      </c>
      <c r="C212">
        <v>14.84</v>
      </c>
      <c r="D212">
        <v>6.66</v>
      </c>
      <c r="E212">
        <v>21.26</v>
      </c>
      <c r="F212" s="4">
        <f t="shared" si="12"/>
        <v>1.0368704384022477E-3</v>
      </c>
      <c r="G212" s="4">
        <f t="shared" si="13"/>
        <v>5.4200542005420106E-3</v>
      </c>
      <c r="H212" s="4">
        <f t="shared" si="14"/>
        <v>1.369863013698628E-2</v>
      </c>
      <c r="I212" s="4">
        <f t="shared" si="15"/>
        <v>-9.3196644920782515E-3</v>
      </c>
    </row>
    <row r="213" spans="1:9">
      <c r="A213" s="1">
        <v>38300</v>
      </c>
      <c r="B213">
        <v>5945.2</v>
      </c>
      <c r="C213">
        <v>14.84</v>
      </c>
      <c r="D213">
        <v>6.57</v>
      </c>
      <c r="E213">
        <v>21.26</v>
      </c>
      <c r="F213" s="4">
        <f t="shared" si="12"/>
        <v>1.3035877294330879E-3</v>
      </c>
      <c r="G213" s="4">
        <f t="shared" si="13"/>
        <v>0</v>
      </c>
      <c r="H213" s="4">
        <f t="shared" si="14"/>
        <v>-1.3513513513513492E-2</v>
      </c>
      <c r="I213" s="4">
        <f t="shared" si="15"/>
        <v>0</v>
      </c>
    </row>
    <row r="214" spans="1:9">
      <c r="A214" s="1">
        <v>38301</v>
      </c>
      <c r="B214">
        <v>5948.49</v>
      </c>
      <c r="C214">
        <v>15.24</v>
      </c>
      <c r="D214">
        <v>6.57</v>
      </c>
      <c r="E214">
        <v>20.85</v>
      </c>
      <c r="F214" s="4">
        <f t="shared" si="12"/>
        <v>5.5338760680884809E-4</v>
      </c>
      <c r="G214" s="4">
        <f t="shared" si="13"/>
        <v>2.695417789757415E-2</v>
      </c>
      <c r="H214" s="4">
        <f t="shared" si="14"/>
        <v>0</v>
      </c>
      <c r="I214" s="4">
        <f t="shared" si="15"/>
        <v>-1.928504233301976E-2</v>
      </c>
    </row>
    <row r="215" spans="1:9">
      <c r="A215" s="1">
        <v>38302</v>
      </c>
      <c r="B215">
        <v>5874.52</v>
      </c>
      <c r="C215">
        <v>15.08</v>
      </c>
      <c r="D215">
        <v>6.62</v>
      </c>
      <c r="E215">
        <v>20.45</v>
      </c>
      <c r="F215" s="4">
        <f t="shared" si="12"/>
        <v>-1.2435088568695475E-2</v>
      </c>
      <c r="G215" s="4">
        <f t="shared" si="13"/>
        <v>-1.0498687664042003E-2</v>
      </c>
      <c r="H215" s="4">
        <f t="shared" si="14"/>
        <v>7.6103500761034735E-3</v>
      </c>
      <c r="I215" s="4">
        <f t="shared" si="15"/>
        <v>-1.9184652278177557E-2</v>
      </c>
    </row>
    <row r="216" spans="1:9">
      <c r="A216" s="1">
        <v>38303</v>
      </c>
      <c r="B216">
        <v>5917.16</v>
      </c>
      <c r="C216">
        <v>15.24</v>
      </c>
      <c r="D216">
        <v>6.7</v>
      </c>
      <c r="E216">
        <v>20.75</v>
      </c>
      <c r="F216" s="4">
        <f t="shared" si="12"/>
        <v>7.2584653724899082E-3</v>
      </c>
      <c r="G216" s="4">
        <f t="shared" si="13"/>
        <v>1.0610079575596827E-2</v>
      </c>
      <c r="H216" s="4">
        <f t="shared" si="14"/>
        <v>1.2084592145015116E-2</v>
      </c>
      <c r="I216" s="4">
        <f t="shared" si="15"/>
        <v>1.4669926650366783E-2</v>
      </c>
    </row>
    <row r="217" spans="1:9">
      <c r="A217" s="1">
        <v>38306</v>
      </c>
      <c r="B217">
        <v>5906.69</v>
      </c>
      <c r="C217">
        <v>15.32</v>
      </c>
      <c r="D217">
        <v>6.66</v>
      </c>
      <c r="E217">
        <v>20.75</v>
      </c>
      <c r="F217" s="4">
        <f t="shared" si="12"/>
        <v>-1.7694299292228459E-3</v>
      </c>
      <c r="G217" s="4">
        <f t="shared" si="13"/>
        <v>5.2493438320210016E-3</v>
      </c>
      <c r="H217" s="4">
        <f t="shared" si="14"/>
        <v>-5.9701492537313485E-3</v>
      </c>
      <c r="I217" s="4">
        <f t="shared" si="15"/>
        <v>0</v>
      </c>
    </row>
    <row r="218" spans="1:9">
      <c r="A218" s="1">
        <v>38307</v>
      </c>
      <c r="B218">
        <v>5910.85</v>
      </c>
      <c r="C218">
        <v>15.48</v>
      </c>
      <c r="D218">
        <v>6.62</v>
      </c>
      <c r="E218">
        <v>20.85</v>
      </c>
      <c r="F218" s="4">
        <f t="shared" si="12"/>
        <v>7.0428615688325686E-4</v>
      </c>
      <c r="G218" s="4">
        <f t="shared" si="13"/>
        <v>1.0443864229765022E-2</v>
      </c>
      <c r="H218" s="4">
        <f t="shared" si="14"/>
        <v>-6.0060060060060112E-3</v>
      </c>
      <c r="I218" s="4">
        <f t="shared" si="15"/>
        <v>4.819277108433803E-3</v>
      </c>
    </row>
    <row r="219" spans="1:9">
      <c r="A219" s="1">
        <v>38308</v>
      </c>
      <c r="B219">
        <v>6028.68</v>
      </c>
      <c r="C219">
        <v>15.48</v>
      </c>
      <c r="D219">
        <v>6.7</v>
      </c>
      <c r="E219">
        <v>21.36</v>
      </c>
      <c r="F219" s="4">
        <f t="shared" si="12"/>
        <v>1.9934527183061643E-2</v>
      </c>
      <c r="G219" s="4">
        <f t="shared" si="13"/>
        <v>0</v>
      </c>
      <c r="H219" s="4">
        <f t="shared" si="14"/>
        <v>1.2084592145015116E-2</v>
      </c>
      <c r="I219" s="4">
        <f t="shared" si="15"/>
        <v>2.4460431654676162E-2</v>
      </c>
    </row>
    <row r="220" spans="1:9">
      <c r="A220" s="1">
        <v>38309</v>
      </c>
      <c r="B220">
        <v>6049.49</v>
      </c>
      <c r="C220">
        <v>15.16</v>
      </c>
      <c r="D220">
        <v>6.7</v>
      </c>
      <c r="E220">
        <v>21.97</v>
      </c>
      <c r="F220" s="4">
        <f t="shared" si="12"/>
        <v>3.4518335688740304E-3</v>
      </c>
      <c r="G220" s="4">
        <f t="shared" si="13"/>
        <v>-2.0671834625323016E-2</v>
      </c>
      <c r="H220" s="4">
        <f t="shared" si="14"/>
        <v>0</v>
      </c>
      <c r="I220" s="4">
        <f t="shared" si="15"/>
        <v>2.8558052434456901E-2</v>
      </c>
    </row>
    <row r="221" spans="1:9">
      <c r="A221" s="1">
        <v>38310</v>
      </c>
      <c r="B221">
        <v>6026.55</v>
      </c>
      <c r="C221">
        <v>15.16</v>
      </c>
      <c r="D221">
        <v>6.7</v>
      </c>
      <c r="E221">
        <v>21.77</v>
      </c>
      <c r="F221" s="4">
        <f t="shared" si="12"/>
        <v>-3.7920551980414217E-3</v>
      </c>
      <c r="G221" s="4">
        <f t="shared" si="13"/>
        <v>0</v>
      </c>
      <c r="H221" s="4">
        <f t="shared" si="14"/>
        <v>0</v>
      </c>
      <c r="I221" s="4">
        <f t="shared" si="15"/>
        <v>-9.1033227127901364E-3</v>
      </c>
    </row>
    <row r="222" spans="1:9">
      <c r="A222" s="1">
        <v>38313</v>
      </c>
      <c r="B222">
        <v>5838.42</v>
      </c>
      <c r="C222">
        <v>15.08</v>
      </c>
      <c r="D222">
        <v>6.62</v>
      </c>
      <c r="E222">
        <v>20.85</v>
      </c>
      <c r="F222" s="4">
        <f t="shared" si="12"/>
        <v>-3.1216865370734516E-2</v>
      </c>
      <c r="G222" s="4">
        <f t="shared" si="13"/>
        <v>-5.2770448548812715E-3</v>
      </c>
      <c r="H222" s="4">
        <f t="shared" si="14"/>
        <v>-1.1940298507462697E-2</v>
      </c>
      <c r="I222" s="4">
        <f t="shared" si="15"/>
        <v>-4.2259990813045392E-2</v>
      </c>
    </row>
    <row r="223" spans="1:9">
      <c r="A223" s="1">
        <v>38314</v>
      </c>
      <c r="B223">
        <v>5851.1</v>
      </c>
      <c r="C223">
        <v>15.08</v>
      </c>
      <c r="D223">
        <v>6.62</v>
      </c>
      <c r="E223">
        <v>20.65</v>
      </c>
      <c r="F223" s="4">
        <f t="shared" si="12"/>
        <v>2.1718204582747199E-3</v>
      </c>
      <c r="G223" s="4">
        <f t="shared" si="13"/>
        <v>0</v>
      </c>
      <c r="H223" s="4">
        <f t="shared" si="14"/>
        <v>0</v>
      </c>
      <c r="I223" s="4">
        <f t="shared" si="15"/>
        <v>-9.5923261390888654E-3</v>
      </c>
    </row>
    <row r="224" spans="1:9">
      <c r="A224" s="1">
        <v>38315</v>
      </c>
      <c r="B224">
        <v>5911.31</v>
      </c>
      <c r="C224">
        <v>15.24</v>
      </c>
      <c r="D224">
        <v>6.66</v>
      </c>
      <c r="E224">
        <v>20.96</v>
      </c>
      <c r="F224" s="4">
        <f t="shared" si="12"/>
        <v>1.0290372750423002E-2</v>
      </c>
      <c r="G224" s="4">
        <f t="shared" si="13"/>
        <v>1.0610079575596827E-2</v>
      </c>
      <c r="H224" s="4">
        <f t="shared" si="14"/>
        <v>6.0422960725075581E-3</v>
      </c>
      <c r="I224" s="4">
        <f t="shared" si="15"/>
        <v>1.5012106537530377E-2</v>
      </c>
    </row>
    <row r="225" spans="1:9">
      <c r="A225" s="1">
        <v>38316</v>
      </c>
      <c r="B225">
        <v>5855.24</v>
      </c>
      <c r="C225">
        <v>15.24</v>
      </c>
      <c r="D225">
        <v>6.62</v>
      </c>
      <c r="E225">
        <v>20.65</v>
      </c>
      <c r="F225" s="4">
        <f t="shared" si="12"/>
        <v>-9.4852071706610919E-3</v>
      </c>
      <c r="G225" s="4">
        <f t="shared" si="13"/>
        <v>0</v>
      </c>
      <c r="H225" s="4">
        <f t="shared" si="14"/>
        <v>-6.0060060060060112E-3</v>
      </c>
      <c r="I225" s="4">
        <f t="shared" si="15"/>
        <v>-1.479007633587797E-2</v>
      </c>
    </row>
    <row r="226" spans="1:9">
      <c r="A226" s="1">
        <v>38317</v>
      </c>
      <c r="B226">
        <v>5778.65</v>
      </c>
      <c r="C226">
        <v>15.24</v>
      </c>
      <c r="D226">
        <v>6.62</v>
      </c>
      <c r="E226">
        <v>20.25</v>
      </c>
      <c r="F226" s="4">
        <f t="shared" si="12"/>
        <v>-1.3080591060315231E-2</v>
      </c>
      <c r="G226" s="4">
        <f t="shared" si="13"/>
        <v>0</v>
      </c>
      <c r="H226" s="4">
        <f t="shared" si="14"/>
        <v>0</v>
      </c>
      <c r="I226" s="4">
        <f t="shared" si="15"/>
        <v>-1.9370460048426082E-2</v>
      </c>
    </row>
    <row r="227" spans="1:9">
      <c r="A227" s="1">
        <v>38320</v>
      </c>
      <c r="B227">
        <v>5785.26</v>
      </c>
      <c r="C227">
        <v>15.32</v>
      </c>
      <c r="D227">
        <v>6.66</v>
      </c>
      <c r="E227">
        <v>20.25</v>
      </c>
      <c r="F227" s="4">
        <f t="shared" si="12"/>
        <v>1.1438657818003482E-3</v>
      </c>
      <c r="G227" s="4">
        <f t="shared" si="13"/>
        <v>5.2493438320210016E-3</v>
      </c>
      <c r="H227" s="4">
        <f t="shared" si="14"/>
        <v>6.0422960725075581E-3</v>
      </c>
      <c r="I227" s="4">
        <f t="shared" si="15"/>
        <v>0</v>
      </c>
    </row>
    <row r="228" spans="1:9">
      <c r="A228" s="1">
        <v>38321</v>
      </c>
      <c r="B228">
        <v>5844.76</v>
      </c>
      <c r="C228">
        <v>15.56</v>
      </c>
      <c r="D228">
        <v>6.62</v>
      </c>
      <c r="E228">
        <v>20.45</v>
      </c>
      <c r="F228" s="4">
        <f t="shared" si="12"/>
        <v>1.0284758161258093E-2</v>
      </c>
      <c r="G228" s="4">
        <f t="shared" si="13"/>
        <v>1.5665796344647532E-2</v>
      </c>
      <c r="H228" s="4">
        <f t="shared" si="14"/>
        <v>-6.0060060060060112E-3</v>
      </c>
      <c r="I228" s="4">
        <f t="shared" si="15"/>
        <v>9.8765432098765083E-3</v>
      </c>
    </row>
    <row r="229" spans="1:9">
      <c r="A229" s="1">
        <v>38322</v>
      </c>
      <c r="B229">
        <v>5798.62</v>
      </c>
      <c r="C229">
        <v>15.4</v>
      </c>
      <c r="D229">
        <v>6.66</v>
      </c>
      <c r="E229">
        <v>20.149999999999999</v>
      </c>
      <c r="F229" s="4">
        <f t="shared" si="12"/>
        <v>-7.8942505765848946E-3</v>
      </c>
      <c r="G229" s="4">
        <f t="shared" si="13"/>
        <v>-1.0282776349614406E-2</v>
      </c>
      <c r="H229" s="4">
        <f t="shared" si="14"/>
        <v>6.0422960725075581E-3</v>
      </c>
      <c r="I229" s="4">
        <f t="shared" si="15"/>
        <v>-1.4669926650366783E-2</v>
      </c>
    </row>
    <row r="230" spans="1:9">
      <c r="A230" s="1">
        <v>38323</v>
      </c>
      <c r="B230">
        <v>5867.95</v>
      </c>
      <c r="C230">
        <v>15.4</v>
      </c>
      <c r="D230">
        <v>6.62</v>
      </c>
      <c r="E230">
        <v>20.55</v>
      </c>
      <c r="F230" s="4">
        <f t="shared" si="12"/>
        <v>1.1956293049035793E-2</v>
      </c>
      <c r="G230" s="4">
        <f t="shared" si="13"/>
        <v>0</v>
      </c>
      <c r="H230" s="4">
        <f t="shared" si="14"/>
        <v>-6.0060060060060112E-3</v>
      </c>
      <c r="I230" s="4">
        <f t="shared" si="15"/>
        <v>1.9851116625310281E-2</v>
      </c>
    </row>
    <row r="231" spans="1:9">
      <c r="A231" s="1">
        <v>38324</v>
      </c>
      <c r="B231">
        <v>5893.27</v>
      </c>
      <c r="C231">
        <v>15.4</v>
      </c>
      <c r="D231">
        <v>6.62</v>
      </c>
      <c r="E231">
        <v>20.65</v>
      </c>
      <c r="F231" s="4">
        <f t="shared" si="12"/>
        <v>4.3149651922733869E-3</v>
      </c>
      <c r="G231" s="4">
        <f t="shared" si="13"/>
        <v>0</v>
      </c>
      <c r="H231" s="4">
        <f t="shared" si="14"/>
        <v>0</v>
      </c>
      <c r="I231" s="4">
        <f t="shared" si="15"/>
        <v>4.8661800486616965E-3</v>
      </c>
    </row>
    <row r="232" spans="1:9">
      <c r="A232" s="1">
        <v>38327</v>
      </c>
      <c r="B232">
        <v>5919.17</v>
      </c>
      <c r="C232">
        <v>15.56</v>
      </c>
      <c r="D232">
        <v>6.62</v>
      </c>
      <c r="E232">
        <v>20.75</v>
      </c>
      <c r="F232" s="4">
        <f t="shared" si="12"/>
        <v>4.3948436097446131E-3</v>
      </c>
      <c r="G232" s="4">
        <f t="shared" si="13"/>
        <v>1.0389610389610398E-2</v>
      </c>
      <c r="H232" s="4">
        <f t="shared" si="14"/>
        <v>0</v>
      </c>
      <c r="I232" s="4">
        <f t="shared" si="15"/>
        <v>4.8426150121066063E-3</v>
      </c>
    </row>
    <row r="233" spans="1:9">
      <c r="A233" s="1">
        <v>38328</v>
      </c>
      <c r="B233">
        <v>5925.28</v>
      </c>
      <c r="C233">
        <v>15.56</v>
      </c>
      <c r="D233">
        <v>6.62</v>
      </c>
      <c r="E233">
        <v>20.65</v>
      </c>
      <c r="F233" s="4">
        <f t="shared" si="12"/>
        <v>1.032239317336666E-3</v>
      </c>
      <c r="G233" s="4">
        <f t="shared" si="13"/>
        <v>0</v>
      </c>
      <c r="H233" s="4">
        <f t="shared" si="14"/>
        <v>0</v>
      </c>
      <c r="I233" s="4">
        <f t="shared" si="15"/>
        <v>-4.819277108433803E-3</v>
      </c>
    </row>
    <row r="234" spans="1:9">
      <c r="A234" s="1">
        <v>38329</v>
      </c>
      <c r="B234">
        <v>5892.51</v>
      </c>
      <c r="C234">
        <v>15.64</v>
      </c>
      <c r="D234">
        <v>6.62</v>
      </c>
      <c r="E234">
        <v>20.45</v>
      </c>
      <c r="F234" s="4">
        <f t="shared" si="12"/>
        <v>-5.5305403288957704E-3</v>
      </c>
      <c r="G234" s="4">
        <f t="shared" si="13"/>
        <v>5.1413881748072028E-3</v>
      </c>
      <c r="H234" s="4">
        <f t="shared" si="14"/>
        <v>0</v>
      </c>
      <c r="I234" s="4">
        <f t="shared" si="15"/>
        <v>-9.6852300242130408E-3</v>
      </c>
    </row>
    <row r="235" spans="1:9">
      <c r="A235" s="1">
        <v>38330</v>
      </c>
      <c r="B235">
        <v>5913.97</v>
      </c>
      <c r="C235">
        <v>15.64</v>
      </c>
      <c r="D235">
        <v>6.66</v>
      </c>
      <c r="E235">
        <v>20.149999999999999</v>
      </c>
      <c r="F235" s="4">
        <f t="shared" si="12"/>
        <v>3.6419115113932835E-3</v>
      </c>
      <c r="G235" s="4">
        <f t="shared" si="13"/>
        <v>0</v>
      </c>
      <c r="H235" s="4">
        <f t="shared" si="14"/>
        <v>6.0422960725075581E-3</v>
      </c>
      <c r="I235" s="4">
        <f t="shared" si="15"/>
        <v>-1.4669926650366783E-2</v>
      </c>
    </row>
    <row r="236" spans="1:9">
      <c r="A236" s="1">
        <v>38331</v>
      </c>
      <c r="B236">
        <v>5911.63</v>
      </c>
      <c r="C236">
        <v>15.64</v>
      </c>
      <c r="D236">
        <v>6.62</v>
      </c>
      <c r="E236">
        <v>20.149999999999999</v>
      </c>
      <c r="F236" s="4">
        <f t="shared" si="12"/>
        <v>-3.9567329560348557E-4</v>
      </c>
      <c r="G236" s="4">
        <f t="shared" si="13"/>
        <v>0</v>
      </c>
      <c r="H236" s="4">
        <f t="shared" si="14"/>
        <v>-6.0060060060060112E-3</v>
      </c>
      <c r="I236" s="4">
        <f t="shared" si="15"/>
        <v>0</v>
      </c>
    </row>
    <row r="237" spans="1:9">
      <c r="A237" s="1">
        <v>38334</v>
      </c>
      <c r="B237">
        <v>5878.89</v>
      </c>
      <c r="C237">
        <v>15.72</v>
      </c>
      <c r="D237">
        <v>6.7</v>
      </c>
      <c r="E237">
        <v>20.04</v>
      </c>
      <c r="F237" s="4">
        <f t="shared" si="12"/>
        <v>-5.5382356473594897E-3</v>
      </c>
      <c r="G237" s="4">
        <f t="shared" si="13"/>
        <v>5.1150895140665009E-3</v>
      </c>
      <c r="H237" s="4">
        <f t="shared" si="14"/>
        <v>1.2084592145015116E-2</v>
      </c>
      <c r="I237" s="4">
        <f t="shared" si="15"/>
        <v>-5.45905707196027E-3</v>
      </c>
    </row>
    <row r="238" spans="1:9">
      <c r="A238" s="1">
        <v>38335</v>
      </c>
      <c r="B238">
        <v>5909.65</v>
      </c>
      <c r="C238">
        <v>15.72</v>
      </c>
      <c r="D238">
        <v>6.66</v>
      </c>
      <c r="E238">
        <v>20.25</v>
      </c>
      <c r="F238" s="4">
        <f t="shared" si="12"/>
        <v>5.2322802433791595E-3</v>
      </c>
      <c r="G238" s="4">
        <f t="shared" si="13"/>
        <v>0</v>
      </c>
      <c r="H238" s="4">
        <f t="shared" si="14"/>
        <v>-5.9701492537313485E-3</v>
      </c>
      <c r="I238" s="4">
        <f t="shared" si="15"/>
        <v>1.0479041916167707E-2</v>
      </c>
    </row>
    <row r="239" spans="1:9">
      <c r="A239" s="1">
        <v>38336</v>
      </c>
      <c r="B239">
        <v>6002.58</v>
      </c>
      <c r="C239">
        <v>16.13</v>
      </c>
      <c r="D239">
        <v>6.7</v>
      </c>
      <c r="E239">
        <v>20.55</v>
      </c>
      <c r="F239" s="4">
        <f t="shared" si="12"/>
        <v>1.5725127545624579E-2</v>
      </c>
      <c r="G239" s="4">
        <f t="shared" si="13"/>
        <v>2.6081424936386665E-2</v>
      </c>
      <c r="H239" s="4">
        <f t="shared" si="14"/>
        <v>6.0060060060060112E-3</v>
      </c>
      <c r="I239" s="4">
        <f t="shared" si="15"/>
        <v>1.481481481481485E-2</v>
      </c>
    </row>
    <row r="240" spans="1:9">
      <c r="A240" s="1">
        <v>38337</v>
      </c>
      <c r="B240">
        <v>6019.23</v>
      </c>
      <c r="C240">
        <v>16.21</v>
      </c>
      <c r="D240">
        <v>6.7</v>
      </c>
      <c r="E240">
        <v>20.45</v>
      </c>
      <c r="F240" s="4">
        <f t="shared" si="12"/>
        <v>2.7738072628769022E-3</v>
      </c>
      <c r="G240" s="4">
        <f t="shared" si="13"/>
        <v>4.9597024178550438E-3</v>
      </c>
      <c r="H240" s="4">
        <f t="shared" si="14"/>
        <v>0</v>
      </c>
      <c r="I240" s="4">
        <f t="shared" si="15"/>
        <v>-4.8661800486618691E-3</v>
      </c>
    </row>
    <row r="241" spans="1:9">
      <c r="A241" s="1">
        <v>38338</v>
      </c>
      <c r="B241">
        <v>6009.32</v>
      </c>
      <c r="C241">
        <v>16.77</v>
      </c>
      <c r="D241">
        <v>6.74</v>
      </c>
      <c r="E241">
        <v>20.350000000000001</v>
      </c>
      <c r="F241" s="4">
        <f t="shared" si="12"/>
        <v>-1.6463899867590797E-3</v>
      </c>
      <c r="G241" s="4">
        <f t="shared" si="13"/>
        <v>3.4546576187538473E-2</v>
      </c>
      <c r="H241" s="4">
        <f t="shared" si="14"/>
        <v>5.9701492537313485E-3</v>
      </c>
      <c r="I241" s="4">
        <f t="shared" si="15"/>
        <v>-4.8899755501221453E-3</v>
      </c>
    </row>
    <row r="242" spans="1:9">
      <c r="A242" s="1">
        <v>38341</v>
      </c>
      <c r="B242">
        <v>5985.94</v>
      </c>
      <c r="C242">
        <v>16.850000000000001</v>
      </c>
      <c r="D242">
        <v>6.62</v>
      </c>
      <c r="E242">
        <v>20.04</v>
      </c>
      <c r="F242" s="4">
        <f t="shared" si="12"/>
        <v>-3.8906232319131135E-3</v>
      </c>
      <c r="G242" s="4">
        <f t="shared" si="13"/>
        <v>4.7704233750746478E-3</v>
      </c>
      <c r="H242" s="4">
        <f t="shared" si="14"/>
        <v>-1.7804154302670638E-2</v>
      </c>
      <c r="I242" s="4">
        <f t="shared" si="15"/>
        <v>-1.5233415233415344E-2</v>
      </c>
    </row>
    <row r="243" spans="1:9">
      <c r="A243" s="1">
        <v>38342</v>
      </c>
      <c r="B243">
        <v>5987.85</v>
      </c>
      <c r="C243">
        <v>16.850000000000001</v>
      </c>
      <c r="D243">
        <v>6.74</v>
      </c>
      <c r="E243">
        <v>20.04</v>
      </c>
      <c r="F243" s="4">
        <f t="shared" si="12"/>
        <v>3.1908104658596043E-4</v>
      </c>
      <c r="G243" s="4">
        <f t="shared" si="13"/>
        <v>0</v>
      </c>
      <c r="H243" s="4">
        <f t="shared" si="14"/>
        <v>1.8126888217522674E-2</v>
      </c>
      <c r="I243" s="4">
        <f t="shared" si="15"/>
        <v>0</v>
      </c>
    </row>
    <row r="244" spans="1:9">
      <c r="A244" s="1">
        <v>38343</v>
      </c>
      <c r="B244">
        <v>6001.52</v>
      </c>
      <c r="C244">
        <v>16.61</v>
      </c>
      <c r="D244">
        <v>6.78</v>
      </c>
      <c r="E244">
        <v>20.149999999999999</v>
      </c>
      <c r="F244" s="4">
        <f t="shared" si="12"/>
        <v>2.2829563198811047E-3</v>
      </c>
      <c r="G244" s="4">
        <f t="shared" si="13"/>
        <v>-1.4243323442136616E-2</v>
      </c>
      <c r="H244" s="4">
        <f t="shared" si="14"/>
        <v>5.9347181008902131E-3</v>
      </c>
      <c r="I244" s="4">
        <f t="shared" si="15"/>
        <v>5.4890219560877959E-3</v>
      </c>
    </row>
    <row r="245" spans="1:9">
      <c r="A245" s="1">
        <v>38344</v>
      </c>
      <c r="B245">
        <v>5997.67</v>
      </c>
      <c r="C245">
        <v>16.690000000000001</v>
      </c>
      <c r="D245">
        <v>6.74</v>
      </c>
      <c r="E245">
        <v>20.149999999999999</v>
      </c>
      <c r="F245" s="4">
        <f t="shared" si="12"/>
        <v>-6.4150415228148266E-4</v>
      </c>
      <c r="G245" s="4">
        <f t="shared" si="13"/>
        <v>4.8163756773029406E-3</v>
      </c>
      <c r="H245" s="4">
        <f t="shared" si="14"/>
        <v>-5.8997050147492677E-3</v>
      </c>
      <c r="I245" s="4">
        <f t="shared" si="15"/>
        <v>0</v>
      </c>
    </row>
    <row r="246" spans="1:9">
      <c r="A246" s="1">
        <v>38345</v>
      </c>
      <c r="B246">
        <v>6019.42</v>
      </c>
      <c r="C246">
        <v>16.690000000000001</v>
      </c>
      <c r="D246">
        <v>6.82</v>
      </c>
      <c r="E246">
        <v>20.25</v>
      </c>
      <c r="F246" s="4">
        <f t="shared" si="12"/>
        <v>3.6264082552057717E-3</v>
      </c>
      <c r="G246" s="4">
        <f t="shared" si="13"/>
        <v>0</v>
      </c>
      <c r="H246" s="4">
        <f t="shared" si="14"/>
        <v>1.1869436201780426E-2</v>
      </c>
      <c r="I246" s="4">
        <f t="shared" si="15"/>
        <v>4.9627791563276145E-3</v>
      </c>
    </row>
    <row r="247" spans="1:9">
      <c r="A247" s="1">
        <v>38348</v>
      </c>
      <c r="B247">
        <v>5985.94</v>
      </c>
      <c r="C247">
        <v>16.690000000000001</v>
      </c>
      <c r="D247">
        <v>6.91</v>
      </c>
      <c r="E247">
        <v>20.149999999999999</v>
      </c>
      <c r="F247" s="4">
        <f t="shared" si="12"/>
        <v>-5.5619976675494436E-3</v>
      </c>
      <c r="G247" s="4">
        <f t="shared" si="13"/>
        <v>0</v>
      </c>
      <c r="H247" s="4">
        <f t="shared" si="14"/>
        <v>1.31964809384164E-2</v>
      </c>
      <c r="I247" s="4">
        <f t="shared" si="15"/>
        <v>-4.9382716049383418E-3</v>
      </c>
    </row>
    <row r="248" spans="1:9">
      <c r="A248" s="1">
        <v>38349</v>
      </c>
      <c r="B248">
        <v>6000.57</v>
      </c>
      <c r="C248">
        <v>16.850000000000001</v>
      </c>
      <c r="D248">
        <v>6.82</v>
      </c>
      <c r="E248">
        <v>20.04</v>
      </c>
      <c r="F248" s="4">
        <f t="shared" si="12"/>
        <v>2.4440605819637533E-3</v>
      </c>
      <c r="G248" s="4">
        <f t="shared" si="13"/>
        <v>9.586578789694435E-3</v>
      </c>
      <c r="H248" s="4">
        <f t="shared" si="14"/>
        <v>-1.3024602026049183E-2</v>
      </c>
      <c r="I248" s="4">
        <f t="shared" si="15"/>
        <v>-5.45905707196027E-3</v>
      </c>
    </row>
    <row r="249" spans="1:9">
      <c r="A249" s="1">
        <v>38350</v>
      </c>
      <c r="B249">
        <v>6088.49</v>
      </c>
      <c r="C249">
        <v>16.77</v>
      </c>
      <c r="D249">
        <v>6.82</v>
      </c>
      <c r="E249">
        <v>20.45</v>
      </c>
      <c r="F249" s="4">
        <f t="shared" si="12"/>
        <v>1.4651941398900451E-2</v>
      </c>
      <c r="G249" s="4">
        <f t="shared" si="13"/>
        <v>-4.7477744807122753E-3</v>
      </c>
      <c r="H249" s="4">
        <f t="shared" si="14"/>
        <v>0</v>
      </c>
      <c r="I249" s="4">
        <f t="shared" si="15"/>
        <v>2.0459081836327352E-2</v>
      </c>
    </row>
    <row r="250" spans="1:9">
      <c r="A250" s="1">
        <v>38351</v>
      </c>
      <c r="B250">
        <v>6100.86</v>
      </c>
      <c r="C250">
        <v>16.850000000000001</v>
      </c>
      <c r="D250">
        <v>6.91</v>
      </c>
      <c r="E250">
        <v>20.45</v>
      </c>
      <c r="F250" s="4">
        <f t="shared" si="12"/>
        <v>2.0317024418205322E-3</v>
      </c>
      <c r="G250" s="4">
        <f t="shared" si="13"/>
        <v>4.7704233750746478E-3</v>
      </c>
      <c r="H250" s="4">
        <f t="shared" si="14"/>
        <v>1.31964809384164E-2</v>
      </c>
      <c r="I250" s="4">
        <f t="shared" si="15"/>
        <v>0</v>
      </c>
    </row>
    <row r="251" spans="1:9">
      <c r="A251" s="1">
        <v>38352</v>
      </c>
      <c r="B251">
        <v>6139.69</v>
      </c>
      <c r="C251">
        <v>16.77</v>
      </c>
      <c r="D251">
        <v>6.95</v>
      </c>
      <c r="E251">
        <v>20.75</v>
      </c>
      <c r="F251" s="4">
        <f t="shared" si="12"/>
        <v>6.3646764554505311E-3</v>
      </c>
      <c r="G251" s="4">
        <f t="shared" si="13"/>
        <v>-4.7477744807122753E-3</v>
      </c>
      <c r="H251" s="4">
        <f t="shared" si="14"/>
        <v>5.7887120115774288E-3</v>
      </c>
      <c r="I251" s="4">
        <f t="shared" si="15"/>
        <v>1.4669926650366783E-2</v>
      </c>
    </row>
    <row r="252" spans="1:9">
      <c r="A252" s="1">
        <v>38355</v>
      </c>
      <c r="B252">
        <v>6143.12</v>
      </c>
      <c r="C252">
        <v>17.170000000000002</v>
      </c>
      <c r="D252">
        <v>7.2</v>
      </c>
      <c r="E252">
        <v>20.65</v>
      </c>
      <c r="F252" s="4">
        <f t="shared" si="12"/>
        <v>5.5866012779151575E-4</v>
      </c>
      <c r="G252" s="4">
        <f t="shared" si="13"/>
        <v>2.3852116875372815E-2</v>
      </c>
      <c r="H252" s="4">
        <f t="shared" si="14"/>
        <v>3.5971223021582732E-2</v>
      </c>
      <c r="I252" s="4">
        <f t="shared" si="15"/>
        <v>-4.819277108433803E-3</v>
      </c>
    </row>
    <row r="253" spans="1:9">
      <c r="A253" s="1">
        <v>38356</v>
      </c>
      <c r="B253">
        <v>6060.46</v>
      </c>
      <c r="C253">
        <v>16.93</v>
      </c>
      <c r="D253">
        <v>7.03</v>
      </c>
      <c r="E253">
        <v>20.45</v>
      </c>
      <c r="F253" s="4">
        <f t="shared" si="12"/>
        <v>-1.3455703290835903E-2</v>
      </c>
      <c r="G253" s="4">
        <f t="shared" si="13"/>
        <v>-1.3977868375072916E-2</v>
      </c>
      <c r="H253" s="4">
        <f t="shared" si="14"/>
        <v>-2.36111111111111E-2</v>
      </c>
      <c r="I253" s="4">
        <f t="shared" si="15"/>
        <v>-9.6852300242130408E-3</v>
      </c>
    </row>
    <row r="254" spans="1:9">
      <c r="A254" s="1">
        <v>38357</v>
      </c>
      <c r="B254">
        <v>5988.37</v>
      </c>
      <c r="C254">
        <v>16.850000000000001</v>
      </c>
      <c r="D254">
        <v>6.95</v>
      </c>
      <c r="E254">
        <v>20.149999999999999</v>
      </c>
      <c r="F254" s="4">
        <f t="shared" si="12"/>
        <v>-1.1895136672793839E-2</v>
      </c>
      <c r="G254" s="4">
        <f t="shared" si="13"/>
        <v>-4.7253396337860777E-3</v>
      </c>
      <c r="H254" s="4">
        <f t="shared" si="14"/>
        <v>-1.1379800853485073E-2</v>
      </c>
      <c r="I254" s="4">
        <f t="shared" si="15"/>
        <v>-1.4669926650366783E-2</v>
      </c>
    </row>
    <row r="255" spans="1:9">
      <c r="A255" s="1">
        <v>38358</v>
      </c>
      <c r="B255">
        <v>5982.12</v>
      </c>
      <c r="C255">
        <v>16.690000000000001</v>
      </c>
      <c r="D255">
        <v>6.95</v>
      </c>
      <c r="E255">
        <v>20.149999999999999</v>
      </c>
      <c r="F255" s="4">
        <f t="shared" si="12"/>
        <v>-1.0436896851730938E-3</v>
      </c>
      <c r="G255" s="4">
        <f t="shared" si="13"/>
        <v>-9.4955489614243407E-3</v>
      </c>
      <c r="H255" s="4">
        <f t="shared" si="14"/>
        <v>0</v>
      </c>
      <c r="I255" s="4">
        <f t="shared" si="15"/>
        <v>0</v>
      </c>
    </row>
    <row r="256" spans="1:9">
      <c r="A256" s="1">
        <v>38359</v>
      </c>
      <c r="B256">
        <v>5935.99</v>
      </c>
      <c r="C256">
        <v>16.05</v>
      </c>
      <c r="D256">
        <v>6.82</v>
      </c>
      <c r="E256">
        <v>20.04</v>
      </c>
      <c r="F256" s="4">
        <f t="shared" si="12"/>
        <v>-7.711313046211061E-3</v>
      </c>
      <c r="G256" s="4">
        <f t="shared" si="13"/>
        <v>-3.834631515877774E-2</v>
      </c>
      <c r="H256" s="4">
        <f t="shared" si="14"/>
        <v>-1.8705035971223007E-2</v>
      </c>
      <c r="I256" s="4">
        <f t="shared" si="15"/>
        <v>-5.45905707196027E-3</v>
      </c>
    </row>
    <row r="257" spans="1:9">
      <c r="A257" s="1">
        <v>38362</v>
      </c>
      <c r="B257">
        <v>5942.85</v>
      </c>
      <c r="C257">
        <v>16.61</v>
      </c>
      <c r="D257">
        <v>6.82</v>
      </c>
      <c r="E257">
        <v>20.25</v>
      </c>
      <c r="F257" s="4">
        <f t="shared" si="12"/>
        <v>1.1556623242290809E-3</v>
      </c>
      <c r="G257" s="4">
        <f t="shared" si="13"/>
        <v>3.4890965732087144E-2</v>
      </c>
      <c r="H257" s="4">
        <f t="shared" si="14"/>
        <v>0</v>
      </c>
      <c r="I257" s="4">
        <f t="shared" si="15"/>
        <v>1.0479041916167707E-2</v>
      </c>
    </row>
    <row r="258" spans="1:9">
      <c r="A258" s="1">
        <v>38363</v>
      </c>
      <c r="B258">
        <v>5975.66</v>
      </c>
      <c r="C258">
        <v>16.690000000000001</v>
      </c>
      <c r="D258">
        <v>6.86</v>
      </c>
      <c r="E258">
        <v>20.04</v>
      </c>
      <c r="F258" s="4">
        <f t="shared" si="12"/>
        <v>5.520920097259646E-3</v>
      </c>
      <c r="G258" s="4">
        <f t="shared" si="13"/>
        <v>4.8163756773029406E-3</v>
      </c>
      <c r="H258" s="4">
        <f t="shared" si="14"/>
        <v>5.8651026392961929E-3</v>
      </c>
      <c r="I258" s="4">
        <f t="shared" si="15"/>
        <v>-1.0370370370370412E-2</v>
      </c>
    </row>
    <row r="259" spans="1:9">
      <c r="A259" s="1">
        <v>38364</v>
      </c>
      <c r="B259">
        <v>5879.08</v>
      </c>
      <c r="C259">
        <v>16.690000000000001</v>
      </c>
      <c r="D259">
        <v>6.78</v>
      </c>
      <c r="E259">
        <v>19.64</v>
      </c>
      <c r="F259" s="4">
        <f t="shared" si="12"/>
        <v>-1.616223145225798E-2</v>
      </c>
      <c r="G259" s="4">
        <f t="shared" si="13"/>
        <v>0</v>
      </c>
      <c r="H259" s="4">
        <f t="shared" si="14"/>
        <v>-1.1661807580174937E-2</v>
      </c>
      <c r="I259" s="4">
        <f t="shared" si="15"/>
        <v>-1.9960079840319292E-2</v>
      </c>
    </row>
    <row r="260" spans="1:9">
      <c r="A260" s="1">
        <v>38365</v>
      </c>
      <c r="B260">
        <v>5853.94</v>
      </c>
      <c r="C260">
        <v>16.45</v>
      </c>
      <c r="D260">
        <v>6.82</v>
      </c>
      <c r="E260">
        <v>19.13</v>
      </c>
      <c r="F260" s="4">
        <f t="shared" ref="F260:F323" si="16">(B260-B259)/B259</f>
        <v>-4.2761792661437379E-3</v>
      </c>
      <c r="G260" s="4">
        <f t="shared" ref="G260:G323" si="17">(C260-C259)/C259</f>
        <v>-1.4379868184541759E-2</v>
      </c>
      <c r="H260" s="4">
        <f t="shared" ref="H260:H323" si="18">(D260-D259)/D259</f>
        <v>5.8997050147492677E-3</v>
      </c>
      <c r="I260" s="4">
        <f t="shared" ref="I260:I323" si="19">(E260-E259)/E259</f>
        <v>-2.5967413441955273E-2</v>
      </c>
    </row>
    <row r="261" spans="1:9">
      <c r="A261" s="1">
        <v>38366</v>
      </c>
      <c r="B261">
        <v>5889.52</v>
      </c>
      <c r="C261">
        <v>16.53</v>
      </c>
      <c r="D261">
        <v>6.86</v>
      </c>
      <c r="E261">
        <v>19.23</v>
      </c>
      <c r="F261" s="4">
        <f t="shared" si="16"/>
        <v>6.0779577515315906E-3</v>
      </c>
      <c r="G261" s="4">
        <f t="shared" si="17"/>
        <v>4.8632218844985925E-3</v>
      </c>
      <c r="H261" s="4">
        <f t="shared" si="18"/>
        <v>5.8651026392961929E-3</v>
      </c>
      <c r="I261" s="4">
        <f t="shared" si="19"/>
        <v>5.2273915316257934E-3</v>
      </c>
    </row>
    <row r="262" spans="1:9">
      <c r="A262" s="1">
        <v>38369</v>
      </c>
      <c r="B262">
        <v>5945.27</v>
      </c>
      <c r="C262">
        <v>16.690000000000001</v>
      </c>
      <c r="D262">
        <v>6.91</v>
      </c>
      <c r="E262">
        <v>19.64</v>
      </c>
      <c r="F262" s="4">
        <f t="shared" si="16"/>
        <v>9.4659666662138837E-3</v>
      </c>
      <c r="G262" s="4">
        <f t="shared" si="17"/>
        <v>9.6793708408953495E-3</v>
      </c>
      <c r="H262" s="4">
        <f t="shared" si="18"/>
        <v>7.2886297376093031E-3</v>
      </c>
      <c r="I262" s="4">
        <f t="shared" si="19"/>
        <v>2.132085283411337E-2</v>
      </c>
    </row>
    <row r="263" spans="1:9">
      <c r="A263" s="1">
        <v>38370</v>
      </c>
      <c r="B263">
        <v>5933.57</v>
      </c>
      <c r="C263">
        <v>16.690000000000001</v>
      </c>
      <c r="D263">
        <v>6.86</v>
      </c>
      <c r="E263">
        <v>19.64</v>
      </c>
      <c r="F263" s="4">
        <f t="shared" si="16"/>
        <v>-1.967950992974369E-3</v>
      </c>
      <c r="G263" s="4">
        <f t="shared" si="17"/>
        <v>0</v>
      </c>
      <c r="H263" s="4">
        <f t="shared" si="18"/>
        <v>-7.2358900144717546E-3</v>
      </c>
      <c r="I263" s="4">
        <f t="shared" si="19"/>
        <v>0</v>
      </c>
    </row>
    <row r="264" spans="1:9">
      <c r="A264" s="1">
        <v>38371</v>
      </c>
      <c r="B264">
        <v>5895.35</v>
      </c>
      <c r="C264">
        <v>16.690000000000001</v>
      </c>
      <c r="D264">
        <v>6.82</v>
      </c>
      <c r="E264">
        <v>19.440000000000001</v>
      </c>
      <c r="F264" s="4">
        <f t="shared" si="16"/>
        <v>-6.4413161048069451E-3</v>
      </c>
      <c r="G264" s="4">
        <f t="shared" si="17"/>
        <v>0</v>
      </c>
      <c r="H264" s="4">
        <f t="shared" si="18"/>
        <v>-5.8309037900874687E-3</v>
      </c>
      <c r="I264" s="4">
        <f t="shared" si="19"/>
        <v>-1.0183299389002001E-2</v>
      </c>
    </row>
    <row r="265" spans="1:9">
      <c r="A265" s="1">
        <v>38372</v>
      </c>
      <c r="B265">
        <v>5888.1</v>
      </c>
      <c r="C265">
        <v>16.29</v>
      </c>
      <c r="D265">
        <v>6.82</v>
      </c>
      <c r="E265">
        <v>19.440000000000001</v>
      </c>
      <c r="F265" s="4">
        <f t="shared" si="16"/>
        <v>-1.2297827949146361E-3</v>
      </c>
      <c r="G265" s="4">
        <f t="shared" si="17"/>
        <v>-2.3966446974236194E-2</v>
      </c>
      <c r="H265" s="4">
        <f t="shared" si="18"/>
        <v>0</v>
      </c>
      <c r="I265" s="4">
        <f t="shared" si="19"/>
        <v>0</v>
      </c>
    </row>
    <row r="266" spans="1:9">
      <c r="A266" s="1">
        <v>38373</v>
      </c>
      <c r="B266">
        <v>5848.91</v>
      </c>
      <c r="C266">
        <v>16.37</v>
      </c>
      <c r="D266">
        <v>6.82</v>
      </c>
      <c r="E266">
        <v>19.54</v>
      </c>
      <c r="F266" s="4">
        <f t="shared" si="16"/>
        <v>-6.6557972860516136E-3</v>
      </c>
      <c r="G266" s="4">
        <f t="shared" si="17"/>
        <v>4.9109883364028151E-3</v>
      </c>
      <c r="H266" s="4">
        <f t="shared" si="18"/>
        <v>0</v>
      </c>
      <c r="I266" s="4">
        <f t="shared" si="19"/>
        <v>5.1440329218105894E-3</v>
      </c>
    </row>
    <row r="267" spans="1:9">
      <c r="A267" s="1">
        <v>38376</v>
      </c>
      <c r="B267">
        <v>5771.48</v>
      </c>
      <c r="C267">
        <v>16.13</v>
      </c>
      <c r="D267">
        <v>6.78</v>
      </c>
      <c r="E267">
        <v>19.23</v>
      </c>
      <c r="F267" s="4">
        <f t="shared" si="16"/>
        <v>-1.3238364071254352E-2</v>
      </c>
      <c r="G267" s="4">
        <f t="shared" si="17"/>
        <v>-1.4660965180207817E-2</v>
      </c>
      <c r="H267" s="4">
        <f t="shared" si="18"/>
        <v>-5.8651026392961929E-3</v>
      </c>
      <c r="I267" s="4">
        <f t="shared" si="19"/>
        <v>-1.5864892528147326E-2</v>
      </c>
    </row>
    <row r="268" spans="1:9">
      <c r="A268" s="1">
        <v>38377</v>
      </c>
      <c r="B268">
        <v>5782.75</v>
      </c>
      <c r="C268">
        <v>15.32</v>
      </c>
      <c r="D268">
        <v>6.74</v>
      </c>
      <c r="E268">
        <v>19.23</v>
      </c>
      <c r="F268" s="4">
        <f t="shared" si="16"/>
        <v>1.9527053719324051E-3</v>
      </c>
      <c r="G268" s="4">
        <f t="shared" si="17"/>
        <v>-5.021698698078108E-2</v>
      </c>
      <c r="H268" s="4">
        <f t="shared" si="18"/>
        <v>-5.8997050147492677E-3</v>
      </c>
      <c r="I268" s="4">
        <f t="shared" si="19"/>
        <v>0</v>
      </c>
    </row>
    <row r="269" spans="1:9">
      <c r="A269" s="1">
        <v>38378</v>
      </c>
      <c r="B269">
        <v>5835.37</v>
      </c>
      <c r="C269">
        <v>15.56</v>
      </c>
      <c r="D269">
        <v>6.74</v>
      </c>
      <c r="E269">
        <v>19.440000000000001</v>
      </c>
      <c r="F269" s="4">
        <f t="shared" si="16"/>
        <v>9.0994768924819325E-3</v>
      </c>
      <c r="G269" s="4">
        <f t="shared" si="17"/>
        <v>1.5665796344647532E-2</v>
      </c>
      <c r="H269" s="4">
        <f t="shared" si="18"/>
        <v>0</v>
      </c>
      <c r="I269" s="4">
        <f t="shared" si="19"/>
        <v>1.0920436817472743E-2</v>
      </c>
    </row>
    <row r="270" spans="1:9">
      <c r="A270" s="1">
        <v>38379</v>
      </c>
      <c r="B270">
        <v>5842.76</v>
      </c>
      <c r="C270">
        <v>15.72</v>
      </c>
      <c r="D270">
        <v>6.66</v>
      </c>
      <c r="E270">
        <v>19.739999999999998</v>
      </c>
      <c r="F270" s="4">
        <f t="shared" si="16"/>
        <v>1.2664149831116669E-3</v>
      </c>
      <c r="G270" s="4">
        <f t="shared" si="17"/>
        <v>1.0282776349614406E-2</v>
      </c>
      <c r="H270" s="4">
        <f t="shared" si="18"/>
        <v>-1.1869436201780426E-2</v>
      </c>
      <c r="I270" s="4">
        <f t="shared" si="19"/>
        <v>1.5432098765431952E-2</v>
      </c>
    </row>
    <row r="271" spans="1:9">
      <c r="A271" s="1">
        <v>38380</v>
      </c>
      <c r="B271">
        <v>5879.93</v>
      </c>
      <c r="C271">
        <v>15.88</v>
      </c>
      <c r="D271">
        <v>6.74</v>
      </c>
      <c r="E271">
        <v>19.739999999999998</v>
      </c>
      <c r="F271" s="4">
        <f t="shared" si="16"/>
        <v>6.36171946135047E-3</v>
      </c>
      <c r="G271" s="4">
        <f t="shared" si="17"/>
        <v>1.0178117048346065E-2</v>
      </c>
      <c r="H271" s="4">
        <f t="shared" si="18"/>
        <v>1.2012012012012022E-2</v>
      </c>
      <c r="I271" s="4">
        <f t="shared" si="19"/>
        <v>0</v>
      </c>
    </row>
    <row r="272" spans="1:9">
      <c r="A272" s="1">
        <v>38383</v>
      </c>
      <c r="B272">
        <v>5994.23</v>
      </c>
      <c r="C272">
        <v>16.13</v>
      </c>
      <c r="D272">
        <v>6.66</v>
      </c>
      <c r="E272">
        <v>20.55</v>
      </c>
      <c r="F272" s="4">
        <f t="shared" si="16"/>
        <v>1.9439006926953089E-2</v>
      </c>
      <c r="G272" s="4">
        <f t="shared" si="17"/>
        <v>1.5743073047858828E-2</v>
      </c>
      <c r="H272" s="4">
        <f t="shared" si="18"/>
        <v>-1.1869436201780426E-2</v>
      </c>
      <c r="I272" s="4">
        <f t="shared" si="19"/>
        <v>4.1033434650456044E-2</v>
      </c>
    </row>
    <row r="273" spans="1:9">
      <c r="A273" s="1">
        <v>38384</v>
      </c>
      <c r="B273">
        <v>5981.54</v>
      </c>
      <c r="C273">
        <v>16.13</v>
      </c>
      <c r="D273">
        <v>6.7</v>
      </c>
      <c r="E273">
        <v>20.65</v>
      </c>
      <c r="F273" s="4">
        <f t="shared" si="16"/>
        <v>-2.1170358828405986E-3</v>
      </c>
      <c r="G273" s="4">
        <f t="shared" si="17"/>
        <v>0</v>
      </c>
      <c r="H273" s="4">
        <f t="shared" si="18"/>
        <v>6.0060060060060112E-3</v>
      </c>
      <c r="I273" s="4">
        <f t="shared" si="19"/>
        <v>4.8661800486616965E-3</v>
      </c>
    </row>
    <row r="274" spans="1:9">
      <c r="A274" s="1">
        <v>38385</v>
      </c>
      <c r="B274">
        <v>6018.69</v>
      </c>
      <c r="C274">
        <v>16.45</v>
      </c>
      <c r="D274">
        <v>6.82</v>
      </c>
      <c r="E274">
        <v>21.16</v>
      </c>
      <c r="F274" s="4">
        <f t="shared" si="16"/>
        <v>6.2107751515495403E-3</v>
      </c>
      <c r="G274" s="4">
        <f t="shared" si="17"/>
        <v>1.9838809671419735E-2</v>
      </c>
      <c r="H274" s="4">
        <f t="shared" si="18"/>
        <v>1.7910447761194045E-2</v>
      </c>
      <c r="I274" s="4">
        <f t="shared" si="19"/>
        <v>2.4697336561743419E-2</v>
      </c>
    </row>
    <row r="275" spans="1:9">
      <c r="A275" s="1">
        <v>38386</v>
      </c>
      <c r="B275">
        <v>6034.6</v>
      </c>
      <c r="C275">
        <v>16.690000000000001</v>
      </c>
      <c r="D275">
        <v>6.78</v>
      </c>
      <c r="E275">
        <v>20.65</v>
      </c>
      <c r="F275" s="4">
        <f t="shared" si="16"/>
        <v>2.6434323748192323E-3</v>
      </c>
      <c r="G275" s="4">
        <f t="shared" si="17"/>
        <v>1.4589665653495563E-2</v>
      </c>
      <c r="H275" s="4">
        <f t="shared" si="18"/>
        <v>-5.8651026392961929E-3</v>
      </c>
      <c r="I275" s="4">
        <f t="shared" si="19"/>
        <v>-2.410207939508514E-2</v>
      </c>
    </row>
    <row r="276" spans="1:9">
      <c r="A276" s="1">
        <v>38397</v>
      </c>
      <c r="B276">
        <v>6112.4</v>
      </c>
      <c r="C276">
        <v>16.77</v>
      </c>
      <c r="D276">
        <v>6.74</v>
      </c>
      <c r="E276">
        <v>21.26</v>
      </c>
      <c r="F276" s="4">
        <f t="shared" si="16"/>
        <v>1.2892320949192865E-2</v>
      </c>
      <c r="G276" s="4">
        <f t="shared" si="17"/>
        <v>4.7932893948471117E-3</v>
      </c>
      <c r="H276" s="4">
        <f t="shared" si="18"/>
        <v>-5.8997050147492677E-3</v>
      </c>
      <c r="I276" s="4">
        <f t="shared" si="19"/>
        <v>2.9539951573850025E-2</v>
      </c>
    </row>
    <row r="277" spans="1:9">
      <c r="A277" s="1">
        <v>38398</v>
      </c>
      <c r="B277">
        <v>6122.39</v>
      </c>
      <c r="C277">
        <v>16.53</v>
      </c>
      <c r="D277">
        <v>6.74</v>
      </c>
      <c r="E277">
        <v>21.26</v>
      </c>
      <c r="F277" s="4">
        <f t="shared" si="16"/>
        <v>1.6343825665860695E-3</v>
      </c>
      <c r="G277" s="4">
        <f t="shared" si="17"/>
        <v>-1.431127012522352E-2</v>
      </c>
      <c r="H277" s="4">
        <f t="shared" si="18"/>
        <v>0</v>
      </c>
      <c r="I277" s="4">
        <f t="shared" si="19"/>
        <v>0</v>
      </c>
    </row>
    <row r="278" spans="1:9">
      <c r="A278" s="1">
        <v>38399</v>
      </c>
      <c r="B278">
        <v>6143.49</v>
      </c>
      <c r="C278">
        <v>16.29</v>
      </c>
      <c r="D278">
        <v>6.95</v>
      </c>
      <c r="E278">
        <v>21.06</v>
      </c>
      <c r="F278" s="4">
        <f t="shared" si="16"/>
        <v>3.4463665333308484E-3</v>
      </c>
      <c r="G278" s="4">
        <f t="shared" si="17"/>
        <v>-1.4519056261343132E-2</v>
      </c>
      <c r="H278" s="4">
        <f t="shared" si="18"/>
        <v>3.1157270029673584E-2</v>
      </c>
      <c r="I278" s="4">
        <f t="shared" si="19"/>
        <v>-9.4073377234244037E-3</v>
      </c>
    </row>
    <row r="279" spans="1:9">
      <c r="A279" s="1">
        <v>38400</v>
      </c>
      <c r="B279">
        <v>6072.16</v>
      </c>
      <c r="C279">
        <v>16.13</v>
      </c>
      <c r="D279">
        <v>6.82</v>
      </c>
      <c r="E279">
        <v>20.149999999999999</v>
      </c>
      <c r="F279" s="4">
        <f t="shared" si="16"/>
        <v>-1.1610664296678262E-2</v>
      </c>
      <c r="G279" s="4">
        <f t="shared" si="17"/>
        <v>-9.8219766728054117E-3</v>
      </c>
      <c r="H279" s="4">
        <f t="shared" si="18"/>
        <v>-1.8705035971223007E-2</v>
      </c>
      <c r="I279" s="4">
        <f t="shared" si="19"/>
        <v>-4.3209876543209888E-2</v>
      </c>
    </row>
    <row r="280" spans="1:9">
      <c r="A280" s="1">
        <v>38401</v>
      </c>
      <c r="B280">
        <v>6115.43</v>
      </c>
      <c r="C280">
        <v>16.13</v>
      </c>
      <c r="D280">
        <v>6.91</v>
      </c>
      <c r="E280">
        <v>20.65</v>
      </c>
      <c r="F280" s="4">
        <f t="shared" si="16"/>
        <v>7.1259650602092895E-3</v>
      </c>
      <c r="G280" s="4">
        <f t="shared" si="17"/>
        <v>0</v>
      </c>
      <c r="H280" s="4">
        <f t="shared" si="18"/>
        <v>1.31964809384164E-2</v>
      </c>
      <c r="I280" s="4">
        <f t="shared" si="19"/>
        <v>2.4813895781637719E-2</v>
      </c>
    </row>
    <row r="281" spans="1:9">
      <c r="A281" s="1">
        <v>38404</v>
      </c>
      <c r="B281">
        <v>6142.78</v>
      </c>
      <c r="C281">
        <v>16.13</v>
      </c>
      <c r="D281">
        <v>6.91</v>
      </c>
      <c r="E281">
        <v>20.55</v>
      </c>
      <c r="F281" s="4">
        <f t="shared" si="16"/>
        <v>4.4722938534165957E-3</v>
      </c>
      <c r="G281" s="4">
        <f t="shared" si="17"/>
        <v>0</v>
      </c>
      <c r="H281" s="4">
        <f t="shared" si="18"/>
        <v>0</v>
      </c>
      <c r="I281" s="4">
        <f t="shared" si="19"/>
        <v>-4.8426150121064345E-3</v>
      </c>
    </row>
    <row r="282" spans="1:9">
      <c r="A282" s="1">
        <v>38405</v>
      </c>
      <c r="B282">
        <v>6107.17</v>
      </c>
      <c r="C282">
        <v>16.13</v>
      </c>
      <c r="D282">
        <v>6.91</v>
      </c>
      <c r="E282">
        <v>20.25</v>
      </c>
      <c r="F282" s="4">
        <f t="shared" si="16"/>
        <v>-5.7970495443430622E-3</v>
      </c>
      <c r="G282" s="4">
        <f t="shared" si="17"/>
        <v>0</v>
      </c>
      <c r="H282" s="4">
        <f t="shared" si="18"/>
        <v>0</v>
      </c>
      <c r="I282" s="4">
        <f t="shared" si="19"/>
        <v>-1.4598540145985436E-2</v>
      </c>
    </row>
    <row r="283" spans="1:9">
      <c r="A283" s="1">
        <v>38406</v>
      </c>
      <c r="B283">
        <v>6121.52</v>
      </c>
      <c r="C283">
        <v>15.96</v>
      </c>
      <c r="D283">
        <v>6.91</v>
      </c>
      <c r="E283">
        <v>20.55</v>
      </c>
      <c r="F283" s="4">
        <f t="shared" si="16"/>
        <v>2.3496971592407551E-3</v>
      </c>
      <c r="G283" s="4">
        <f t="shared" si="17"/>
        <v>-1.053936763794161E-2</v>
      </c>
      <c r="H283" s="4">
        <f t="shared" si="18"/>
        <v>0</v>
      </c>
      <c r="I283" s="4">
        <f t="shared" si="19"/>
        <v>1.481481481481485E-2</v>
      </c>
    </row>
    <row r="284" spans="1:9">
      <c r="A284" s="1">
        <v>38407</v>
      </c>
      <c r="B284">
        <v>6128.34</v>
      </c>
      <c r="C284">
        <v>16.05</v>
      </c>
      <c r="D284">
        <v>7.03</v>
      </c>
      <c r="E284">
        <v>20.45</v>
      </c>
      <c r="F284" s="4">
        <f t="shared" si="16"/>
        <v>1.1141023798010474E-3</v>
      </c>
      <c r="G284" s="4">
        <f t="shared" si="17"/>
        <v>5.6390977443608933E-3</v>
      </c>
      <c r="H284" s="4">
        <f t="shared" si="18"/>
        <v>1.7366136034732287E-2</v>
      </c>
      <c r="I284" s="4">
        <f t="shared" si="19"/>
        <v>-4.8661800486618691E-3</v>
      </c>
    </row>
    <row r="285" spans="1:9">
      <c r="A285" s="1">
        <v>38408</v>
      </c>
      <c r="B285">
        <v>6207.83</v>
      </c>
      <c r="C285">
        <v>16.21</v>
      </c>
      <c r="D285">
        <v>7.16</v>
      </c>
      <c r="E285">
        <v>21.06</v>
      </c>
      <c r="F285" s="4">
        <f t="shared" si="16"/>
        <v>1.2970886080080377E-2</v>
      </c>
      <c r="G285" s="4">
        <f t="shared" si="17"/>
        <v>9.9688473520249312E-3</v>
      </c>
      <c r="H285" s="4">
        <f t="shared" si="18"/>
        <v>1.8492176386913212E-2</v>
      </c>
      <c r="I285" s="4">
        <f t="shared" si="19"/>
        <v>2.9828850855745694E-2</v>
      </c>
    </row>
    <row r="286" spans="1:9">
      <c r="A286" s="1">
        <v>38412</v>
      </c>
      <c r="B286">
        <v>6259.69</v>
      </c>
      <c r="C286">
        <v>16.41</v>
      </c>
      <c r="D286">
        <v>7.42</v>
      </c>
      <c r="E286">
        <v>20.65</v>
      </c>
      <c r="F286" s="4">
        <f t="shared" si="16"/>
        <v>8.3539658785758749E-3</v>
      </c>
      <c r="G286" s="4">
        <f t="shared" si="17"/>
        <v>1.2338062924120869E-2</v>
      </c>
      <c r="H286" s="4">
        <f t="shared" si="18"/>
        <v>3.6312849162011142E-2</v>
      </c>
      <c r="I286" s="4">
        <f t="shared" si="19"/>
        <v>-1.9468186134852808E-2</v>
      </c>
    </row>
    <row r="287" spans="1:9">
      <c r="A287" s="1">
        <v>38413</v>
      </c>
      <c r="B287">
        <v>6225.25</v>
      </c>
      <c r="C287">
        <v>16.489999999999998</v>
      </c>
      <c r="D287">
        <v>7.24</v>
      </c>
      <c r="E287">
        <v>20.75</v>
      </c>
      <c r="F287" s="4">
        <f t="shared" si="16"/>
        <v>-5.5018699009055727E-3</v>
      </c>
      <c r="G287" s="4">
        <f t="shared" si="17"/>
        <v>4.8750761730651003E-3</v>
      </c>
      <c r="H287" s="4">
        <f t="shared" si="18"/>
        <v>-2.4258760107816673E-2</v>
      </c>
      <c r="I287" s="4">
        <f t="shared" si="19"/>
        <v>4.8426150121066063E-3</v>
      </c>
    </row>
    <row r="288" spans="1:9">
      <c r="A288" s="1">
        <v>38414</v>
      </c>
      <c r="B288">
        <v>6202.38</v>
      </c>
      <c r="C288">
        <v>16.37</v>
      </c>
      <c r="D288">
        <v>7.32</v>
      </c>
      <c r="E288">
        <v>20.7</v>
      </c>
      <c r="F288" s="4">
        <f t="shared" si="16"/>
        <v>-3.6737480422472817E-3</v>
      </c>
      <c r="G288" s="4">
        <f t="shared" si="17"/>
        <v>-7.2771376591872321E-3</v>
      </c>
      <c r="H288" s="4">
        <f t="shared" si="18"/>
        <v>1.1049723756906087E-2</v>
      </c>
      <c r="I288" s="4">
        <f t="shared" si="19"/>
        <v>-2.4096385542169015E-3</v>
      </c>
    </row>
    <row r="289" spans="1:9">
      <c r="A289" s="1">
        <v>38415</v>
      </c>
      <c r="B289">
        <v>6193.62</v>
      </c>
      <c r="C289">
        <v>16.57</v>
      </c>
      <c r="D289">
        <v>7.16</v>
      </c>
      <c r="E289">
        <v>20.3</v>
      </c>
      <c r="F289" s="4">
        <f t="shared" si="16"/>
        <v>-1.4123610613990464E-3</v>
      </c>
      <c r="G289" s="4">
        <f t="shared" si="17"/>
        <v>1.2217470983506369E-2</v>
      </c>
      <c r="H289" s="4">
        <f t="shared" si="18"/>
        <v>-2.1857923497267777E-2</v>
      </c>
      <c r="I289" s="4">
        <f t="shared" si="19"/>
        <v>-1.9323671497584474E-2</v>
      </c>
    </row>
    <row r="290" spans="1:9">
      <c r="A290" s="1">
        <v>38418</v>
      </c>
      <c r="B290">
        <v>6220.52</v>
      </c>
      <c r="C290">
        <v>16.850000000000001</v>
      </c>
      <c r="D290">
        <v>7.21</v>
      </c>
      <c r="E290">
        <v>20.3</v>
      </c>
      <c r="F290" s="4">
        <f t="shared" si="16"/>
        <v>4.3431789486601613E-3</v>
      </c>
      <c r="G290" s="4">
        <f t="shared" si="17"/>
        <v>1.6898008449004291E-2</v>
      </c>
      <c r="H290" s="4">
        <f t="shared" si="18"/>
        <v>6.9832402234636624E-3</v>
      </c>
      <c r="I290" s="4">
        <f t="shared" si="19"/>
        <v>0</v>
      </c>
    </row>
    <row r="291" spans="1:9">
      <c r="A291" s="1">
        <v>38419</v>
      </c>
      <c r="B291">
        <v>6173.34</v>
      </c>
      <c r="C291">
        <v>16.690000000000001</v>
      </c>
      <c r="D291">
        <v>7.08</v>
      </c>
      <c r="E291">
        <v>20.399999999999999</v>
      </c>
      <c r="F291" s="4">
        <f t="shared" si="16"/>
        <v>-7.5845749229968371E-3</v>
      </c>
      <c r="G291" s="4">
        <f t="shared" si="17"/>
        <v>-9.4955489614243407E-3</v>
      </c>
      <c r="H291" s="4">
        <f t="shared" si="18"/>
        <v>-1.8030513176144229E-2</v>
      </c>
      <c r="I291" s="4">
        <f t="shared" si="19"/>
        <v>4.9261083743841316E-3</v>
      </c>
    </row>
    <row r="292" spans="1:9">
      <c r="A292" s="1">
        <v>38420</v>
      </c>
      <c r="B292">
        <v>6213.28</v>
      </c>
      <c r="C292">
        <v>16.93</v>
      </c>
      <c r="D292">
        <v>7.09</v>
      </c>
      <c r="E292">
        <v>20.399999999999999</v>
      </c>
      <c r="F292" s="4">
        <f t="shared" si="16"/>
        <v>6.4697554322294898E-3</v>
      </c>
      <c r="G292" s="4">
        <f t="shared" si="17"/>
        <v>1.4379868184541547E-2</v>
      </c>
      <c r="H292" s="4">
        <f t="shared" si="18"/>
        <v>1.4124293785310433E-3</v>
      </c>
      <c r="I292" s="4">
        <f t="shared" si="19"/>
        <v>0</v>
      </c>
    </row>
    <row r="293" spans="1:9">
      <c r="A293" s="1">
        <v>38421</v>
      </c>
      <c r="B293">
        <v>6192.53</v>
      </c>
      <c r="C293">
        <v>16.93</v>
      </c>
      <c r="D293">
        <v>7.05</v>
      </c>
      <c r="E293">
        <v>20.2</v>
      </c>
      <c r="F293" s="4">
        <f t="shared" si="16"/>
        <v>-3.3396209409522828E-3</v>
      </c>
      <c r="G293" s="4">
        <f t="shared" si="17"/>
        <v>0</v>
      </c>
      <c r="H293" s="4">
        <f t="shared" si="18"/>
        <v>-5.6417489421720785E-3</v>
      </c>
      <c r="I293" s="4">
        <f t="shared" si="19"/>
        <v>-9.8039215686274161E-3</v>
      </c>
    </row>
    <row r="294" spans="1:9">
      <c r="A294" s="1">
        <v>38422</v>
      </c>
      <c r="B294">
        <v>6204.23</v>
      </c>
      <c r="C294">
        <v>16.850000000000001</v>
      </c>
      <c r="D294">
        <v>7.07</v>
      </c>
      <c r="E294">
        <v>20.350000000000001</v>
      </c>
      <c r="F294" s="4">
        <f t="shared" si="16"/>
        <v>1.889373164118675E-3</v>
      </c>
      <c r="G294" s="4">
        <f t="shared" si="17"/>
        <v>-4.7253396337860777E-3</v>
      </c>
      <c r="H294" s="4">
        <f t="shared" si="18"/>
        <v>2.8368794326241792E-3</v>
      </c>
      <c r="I294" s="4">
        <f t="shared" si="19"/>
        <v>7.4257425742575312E-3</v>
      </c>
    </row>
    <row r="295" spans="1:9">
      <c r="A295" s="1">
        <v>38425</v>
      </c>
      <c r="B295">
        <v>6155.51</v>
      </c>
      <c r="C295">
        <v>16.61</v>
      </c>
      <c r="D295">
        <v>7</v>
      </c>
      <c r="E295">
        <v>20.149999999999999</v>
      </c>
      <c r="F295" s="4">
        <f t="shared" si="16"/>
        <v>-7.8527069434884498E-3</v>
      </c>
      <c r="G295" s="4">
        <f t="shared" si="17"/>
        <v>-1.4243323442136616E-2</v>
      </c>
      <c r="H295" s="4">
        <f t="shared" si="18"/>
        <v>-9.900990099009941E-3</v>
      </c>
      <c r="I295" s="4">
        <f t="shared" si="19"/>
        <v>-9.8280098280099665E-3</v>
      </c>
    </row>
    <row r="296" spans="1:9">
      <c r="A296" s="1">
        <v>38426</v>
      </c>
      <c r="B296">
        <v>6063.48</v>
      </c>
      <c r="C296">
        <v>16.010000000000002</v>
      </c>
      <c r="D296">
        <v>7.03</v>
      </c>
      <c r="E296">
        <v>19.79</v>
      </c>
      <c r="F296" s="4">
        <f t="shared" si="16"/>
        <v>-1.4950832668617329E-2</v>
      </c>
      <c r="G296" s="4">
        <f t="shared" si="17"/>
        <v>-3.6122817579771094E-2</v>
      </c>
      <c r="H296" s="4">
        <f t="shared" si="18"/>
        <v>4.2857142857143215E-3</v>
      </c>
      <c r="I296" s="4">
        <f t="shared" si="19"/>
        <v>-1.7866004962779129E-2</v>
      </c>
    </row>
    <row r="297" spans="1:9">
      <c r="A297" s="1">
        <v>38427</v>
      </c>
      <c r="B297">
        <v>6072.36</v>
      </c>
      <c r="C297">
        <v>15.92</v>
      </c>
      <c r="D297">
        <v>7.07</v>
      </c>
      <c r="E297">
        <v>19.739999999999998</v>
      </c>
      <c r="F297" s="4">
        <f t="shared" si="16"/>
        <v>1.4645055314769918E-3</v>
      </c>
      <c r="G297" s="4">
        <f t="shared" si="17"/>
        <v>-5.6214865708932929E-3</v>
      </c>
      <c r="H297" s="4">
        <f t="shared" si="18"/>
        <v>5.6899004267425366E-3</v>
      </c>
      <c r="I297" s="4">
        <f t="shared" si="19"/>
        <v>-2.5265285497726485E-3</v>
      </c>
    </row>
    <row r="298" spans="1:9">
      <c r="A298" s="1">
        <v>38428</v>
      </c>
      <c r="B298">
        <v>6032.47</v>
      </c>
      <c r="C298">
        <v>15.56</v>
      </c>
      <c r="D298">
        <v>7.16</v>
      </c>
      <c r="E298">
        <v>19.440000000000001</v>
      </c>
      <c r="F298" s="4">
        <f t="shared" si="16"/>
        <v>-6.5691098683212821E-3</v>
      </c>
      <c r="G298" s="4">
        <f t="shared" si="17"/>
        <v>-2.2613065326633132E-2</v>
      </c>
      <c r="H298" s="4">
        <f t="shared" si="18"/>
        <v>1.272984441301271E-2</v>
      </c>
      <c r="I298" s="4">
        <f t="shared" si="19"/>
        <v>-1.5197568389057607E-2</v>
      </c>
    </row>
    <row r="299" spans="1:9">
      <c r="A299" s="1">
        <v>38429</v>
      </c>
      <c r="B299">
        <v>6043.95</v>
      </c>
      <c r="C299">
        <v>15.52</v>
      </c>
      <c r="D299">
        <v>7.19</v>
      </c>
      <c r="E299">
        <v>19.13</v>
      </c>
      <c r="F299" s="4">
        <f t="shared" si="16"/>
        <v>1.9030347436455653E-3</v>
      </c>
      <c r="G299" s="4">
        <f t="shared" si="17"/>
        <v>-2.5706940874036582E-3</v>
      </c>
      <c r="H299" s="4">
        <f t="shared" si="18"/>
        <v>4.1899441340782469E-3</v>
      </c>
      <c r="I299" s="4">
        <f t="shared" si="19"/>
        <v>-1.5946502057613283E-2</v>
      </c>
    </row>
    <row r="300" spans="1:9">
      <c r="A300" s="1">
        <v>38432</v>
      </c>
      <c r="B300">
        <v>6058.96</v>
      </c>
      <c r="C300">
        <v>15.52</v>
      </c>
      <c r="D300">
        <v>7.33</v>
      </c>
      <c r="E300">
        <v>19.23</v>
      </c>
      <c r="F300" s="4">
        <f t="shared" si="16"/>
        <v>2.4834752107479744E-3</v>
      </c>
      <c r="G300" s="4">
        <f t="shared" si="17"/>
        <v>0</v>
      </c>
      <c r="H300" s="4">
        <f t="shared" si="18"/>
        <v>1.9471488178024989E-2</v>
      </c>
      <c r="I300" s="4">
        <f t="shared" si="19"/>
        <v>5.2273915316257934E-3</v>
      </c>
    </row>
    <row r="301" spans="1:9">
      <c r="A301" s="1">
        <v>38433</v>
      </c>
      <c r="B301">
        <v>6018.79</v>
      </c>
      <c r="C301">
        <v>15.8</v>
      </c>
      <c r="D301">
        <v>7.18</v>
      </c>
      <c r="E301">
        <v>18.829999999999998</v>
      </c>
      <c r="F301" s="4">
        <f t="shared" si="16"/>
        <v>-6.6298506674412894E-3</v>
      </c>
      <c r="G301" s="4">
        <f t="shared" si="17"/>
        <v>1.8041237113402137E-2</v>
      </c>
      <c r="H301" s="4">
        <f t="shared" si="18"/>
        <v>-2.0463847203274262E-2</v>
      </c>
      <c r="I301" s="4">
        <f t="shared" si="19"/>
        <v>-2.0800832033281442E-2</v>
      </c>
    </row>
    <row r="302" spans="1:9">
      <c r="A302" s="1">
        <v>38434</v>
      </c>
      <c r="B302">
        <v>6019.49</v>
      </c>
      <c r="C302">
        <v>15.84</v>
      </c>
      <c r="D302">
        <v>7.23</v>
      </c>
      <c r="E302">
        <v>18.88</v>
      </c>
      <c r="F302" s="4">
        <f t="shared" si="16"/>
        <v>1.163024461727055E-4</v>
      </c>
      <c r="G302" s="4">
        <f t="shared" si="17"/>
        <v>2.531645569620199E-3</v>
      </c>
      <c r="H302" s="4">
        <f t="shared" si="18"/>
        <v>6.9637883008357541E-3</v>
      </c>
      <c r="I302" s="4">
        <f t="shared" si="19"/>
        <v>2.655337227827972E-3</v>
      </c>
    </row>
    <row r="303" spans="1:9">
      <c r="A303" s="1">
        <v>38435</v>
      </c>
      <c r="B303">
        <v>6001</v>
      </c>
      <c r="C303">
        <v>15.48</v>
      </c>
      <c r="D303">
        <v>7.13</v>
      </c>
      <c r="E303">
        <v>19.13</v>
      </c>
      <c r="F303" s="4">
        <f t="shared" si="16"/>
        <v>-3.0716887975559028E-3</v>
      </c>
      <c r="G303" s="4">
        <f t="shared" si="17"/>
        <v>-2.2727272727272693E-2</v>
      </c>
      <c r="H303" s="4">
        <f t="shared" si="18"/>
        <v>-1.3831258644536725E-2</v>
      </c>
      <c r="I303" s="4">
        <f t="shared" si="19"/>
        <v>1.3241525423728815E-2</v>
      </c>
    </row>
    <row r="304" spans="1:9">
      <c r="A304" s="1">
        <v>38436</v>
      </c>
      <c r="B304">
        <v>6065.91</v>
      </c>
      <c r="C304">
        <v>15.68</v>
      </c>
      <c r="D304">
        <v>7.16</v>
      </c>
      <c r="E304">
        <v>19.28</v>
      </c>
      <c r="F304" s="4">
        <f t="shared" si="16"/>
        <v>1.0816530578236937E-2</v>
      </c>
      <c r="G304" s="4">
        <f t="shared" si="17"/>
        <v>1.2919896640826828E-2</v>
      </c>
      <c r="H304" s="4">
        <f t="shared" si="18"/>
        <v>4.207573632538604E-3</v>
      </c>
      <c r="I304" s="4">
        <f t="shared" si="19"/>
        <v>7.8410872974386901E-3</v>
      </c>
    </row>
    <row r="305" spans="1:9">
      <c r="A305" s="1">
        <v>38439</v>
      </c>
      <c r="B305">
        <v>6048.74</v>
      </c>
      <c r="C305">
        <v>15.56</v>
      </c>
      <c r="D305">
        <v>7.08</v>
      </c>
      <c r="E305">
        <v>19.13</v>
      </c>
      <c r="F305" s="4">
        <f t="shared" si="16"/>
        <v>-2.8305728241929196E-3</v>
      </c>
      <c r="G305" s="4">
        <f t="shared" si="17"/>
        <v>-7.6530612244897463E-3</v>
      </c>
      <c r="H305" s="4">
        <f t="shared" si="18"/>
        <v>-1.1173184357541908E-2</v>
      </c>
      <c r="I305" s="4">
        <f t="shared" si="19"/>
        <v>-7.7800829875519775E-3</v>
      </c>
    </row>
    <row r="306" spans="1:9">
      <c r="A306" s="1">
        <v>38440</v>
      </c>
      <c r="B306">
        <v>5961.24</v>
      </c>
      <c r="C306">
        <v>15.48</v>
      </c>
      <c r="D306">
        <v>7.03</v>
      </c>
      <c r="E306">
        <v>18.829999999999998</v>
      </c>
      <c r="F306" s="4">
        <f t="shared" si="16"/>
        <v>-1.4465822634135374E-2</v>
      </c>
      <c r="G306" s="4">
        <f t="shared" si="17"/>
        <v>-5.1413881748072028E-3</v>
      </c>
      <c r="H306" s="4">
        <f t="shared" si="18"/>
        <v>-7.0621468926553421E-3</v>
      </c>
      <c r="I306" s="4">
        <f t="shared" si="19"/>
        <v>-1.5682174594877193E-2</v>
      </c>
    </row>
    <row r="307" spans="1:9">
      <c r="A307" s="1">
        <v>38441</v>
      </c>
      <c r="B307">
        <v>5957.98</v>
      </c>
      <c r="C307">
        <v>14.92</v>
      </c>
      <c r="D307">
        <v>6.99</v>
      </c>
      <c r="E307">
        <v>18.829999999999998</v>
      </c>
      <c r="F307" s="4">
        <f t="shared" si="16"/>
        <v>-5.468660882635523E-4</v>
      </c>
      <c r="G307" s="4">
        <f t="shared" si="17"/>
        <v>-3.6175710594315277E-2</v>
      </c>
      <c r="H307" s="4">
        <f t="shared" si="18"/>
        <v>-5.6899004267425366E-3</v>
      </c>
      <c r="I307" s="4">
        <f t="shared" si="19"/>
        <v>0</v>
      </c>
    </row>
    <row r="308" spans="1:9">
      <c r="A308" s="1">
        <v>38442</v>
      </c>
      <c r="B308">
        <v>6005.88</v>
      </c>
      <c r="C308">
        <v>14.68</v>
      </c>
      <c r="D308">
        <v>6.96</v>
      </c>
      <c r="E308">
        <v>19.28</v>
      </c>
      <c r="F308" s="4">
        <f t="shared" si="16"/>
        <v>8.0396375952924565E-3</v>
      </c>
      <c r="G308" s="4">
        <f t="shared" si="17"/>
        <v>-1.6085790884718513E-2</v>
      </c>
      <c r="H308" s="4">
        <f t="shared" si="18"/>
        <v>-4.2918454935622673E-3</v>
      </c>
      <c r="I308" s="4">
        <f t="shared" si="19"/>
        <v>2.3898035050451561E-2</v>
      </c>
    </row>
    <row r="309" spans="1:9">
      <c r="A309" s="1">
        <v>38443</v>
      </c>
      <c r="B309">
        <v>6028.75</v>
      </c>
      <c r="C309">
        <v>14.28</v>
      </c>
      <c r="D309">
        <v>6.95</v>
      </c>
      <c r="E309">
        <v>19.39</v>
      </c>
      <c r="F309" s="4">
        <f t="shared" si="16"/>
        <v>3.8079348904739838E-3</v>
      </c>
      <c r="G309" s="4">
        <f t="shared" si="17"/>
        <v>-2.7247956403269779E-2</v>
      </c>
      <c r="H309" s="4">
        <f t="shared" si="18"/>
        <v>-1.4367816091953717E-3</v>
      </c>
      <c r="I309" s="4">
        <f t="shared" si="19"/>
        <v>5.7053941908713395E-3</v>
      </c>
    </row>
    <row r="310" spans="1:9">
      <c r="A310" s="1">
        <v>38446</v>
      </c>
      <c r="B310">
        <v>6019.93</v>
      </c>
      <c r="C310">
        <v>15.16</v>
      </c>
      <c r="D310">
        <v>6.95</v>
      </c>
      <c r="E310">
        <v>19.23</v>
      </c>
      <c r="F310" s="4">
        <f t="shared" si="16"/>
        <v>-1.4629898403482825E-3</v>
      </c>
      <c r="G310" s="4">
        <f t="shared" si="17"/>
        <v>6.1624649859944036E-2</v>
      </c>
      <c r="H310" s="4">
        <f t="shared" si="18"/>
        <v>0</v>
      </c>
      <c r="I310" s="4">
        <f t="shared" si="19"/>
        <v>-8.25167612171223E-3</v>
      </c>
    </row>
    <row r="311" spans="1:9">
      <c r="A311" s="1">
        <v>38448</v>
      </c>
      <c r="B311">
        <v>6013.49</v>
      </c>
      <c r="C311">
        <v>14.92</v>
      </c>
      <c r="D311">
        <v>6.97</v>
      </c>
      <c r="E311">
        <v>19.079999999999998</v>
      </c>
      <c r="F311" s="4">
        <f t="shared" si="16"/>
        <v>-1.0697798811614935E-3</v>
      </c>
      <c r="G311" s="4">
        <f t="shared" si="17"/>
        <v>-1.5831134564643815E-2</v>
      </c>
      <c r="H311" s="4">
        <f t="shared" si="18"/>
        <v>2.8776978417265572E-3</v>
      </c>
      <c r="I311" s="4">
        <f t="shared" si="19"/>
        <v>-7.8003120124806096E-3</v>
      </c>
    </row>
    <row r="312" spans="1:9">
      <c r="A312" s="1">
        <v>38449</v>
      </c>
      <c r="B312">
        <v>5971.76</v>
      </c>
      <c r="C312">
        <v>14.44</v>
      </c>
      <c r="D312">
        <v>6.93</v>
      </c>
      <c r="E312">
        <v>18.78</v>
      </c>
      <c r="F312" s="4">
        <f t="shared" si="16"/>
        <v>-6.9393979203423578E-3</v>
      </c>
      <c r="G312" s="4">
        <f t="shared" si="17"/>
        <v>-3.2171581769437026E-2</v>
      </c>
      <c r="H312" s="4">
        <f t="shared" si="18"/>
        <v>-5.7388809182209524E-3</v>
      </c>
      <c r="I312" s="4">
        <f t="shared" si="19"/>
        <v>-1.5723270440251423E-2</v>
      </c>
    </row>
    <row r="313" spans="1:9">
      <c r="A313" s="1">
        <v>38450</v>
      </c>
      <c r="B313">
        <v>6024.07</v>
      </c>
      <c r="C313">
        <v>14.76</v>
      </c>
      <c r="D313">
        <v>6.98</v>
      </c>
      <c r="E313">
        <v>19.079999999999998</v>
      </c>
      <c r="F313" s="4">
        <f t="shared" si="16"/>
        <v>8.7595616702612778E-3</v>
      </c>
      <c r="G313" s="4">
        <f t="shared" si="17"/>
        <v>2.2160664819944619E-2</v>
      </c>
      <c r="H313" s="4">
        <f t="shared" si="18"/>
        <v>7.2150072150073182E-3</v>
      </c>
      <c r="I313" s="4">
        <f t="shared" si="19"/>
        <v>1.5974440894568537E-2</v>
      </c>
    </row>
    <row r="314" spans="1:9">
      <c r="A314" s="1">
        <v>38453</v>
      </c>
      <c r="B314">
        <v>5979.42</v>
      </c>
      <c r="C314">
        <v>14.84</v>
      </c>
      <c r="D314">
        <v>6.96</v>
      </c>
      <c r="E314">
        <v>18.829999999999998</v>
      </c>
      <c r="F314" s="4">
        <f t="shared" si="16"/>
        <v>-7.4119324642641336E-3</v>
      </c>
      <c r="G314" s="4">
        <f t="shared" si="17"/>
        <v>5.4200542005420106E-3</v>
      </c>
      <c r="H314" s="4">
        <f t="shared" si="18"/>
        <v>-2.8653295128940486E-3</v>
      </c>
      <c r="I314" s="4">
        <f t="shared" si="19"/>
        <v>-1.3102725366876311E-2</v>
      </c>
    </row>
    <row r="315" spans="1:9">
      <c r="A315" s="1">
        <v>38454</v>
      </c>
      <c r="B315">
        <v>5993.89</v>
      </c>
      <c r="C315">
        <v>14.72</v>
      </c>
      <c r="D315">
        <v>6.96</v>
      </c>
      <c r="E315">
        <v>18.93</v>
      </c>
      <c r="F315" s="4">
        <f t="shared" si="16"/>
        <v>2.4199671540049462E-3</v>
      </c>
      <c r="G315" s="4">
        <f t="shared" si="17"/>
        <v>-8.0862533692721839E-3</v>
      </c>
      <c r="H315" s="4">
        <f t="shared" si="18"/>
        <v>0</v>
      </c>
      <c r="I315" s="4">
        <f t="shared" si="19"/>
        <v>5.310674455655944E-3</v>
      </c>
    </row>
    <row r="316" spans="1:9">
      <c r="A316" s="1">
        <v>38455</v>
      </c>
      <c r="B316">
        <v>5998.08</v>
      </c>
      <c r="C316">
        <v>14.72</v>
      </c>
      <c r="D316">
        <v>6.99</v>
      </c>
      <c r="E316">
        <v>19.079999999999998</v>
      </c>
      <c r="F316" s="4">
        <f t="shared" si="16"/>
        <v>6.9904519435618601E-4</v>
      </c>
      <c r="G316" s="4">
        <f t="shared" si="17"/>
        <v>0</v>
      </c>
      <c r="H316" s="4">
        <f t="shared" si="18"/>
        <v>4.3103448275862424E-3</v>
      </c>
      <c r="I316" s="4">
        <f t="shared" si="19"/>
        <v>7.9239302694135549E-3</v>
      </c>
    </row>
    <row r="317" spans="1:9">
      <c r="A317" s="1">
        <v>38456</v>
      </c>
      <c r="B317">
        <v>5976.68</v>
      </c>
      <c r="C317">
        <v>14.6</v>
      </c>
      <c r="D317">
        <v>7.06</v>
      </c>
      <c r="E317">
        <v>18.93</v>
      </c>
      <c r="F317" s="4">
        <f t="shared" si="16"/>
        <v>-3.5678083653435159E-3</v>
      </c>
      <c r="G317" s="4">
        <f t="shared" si="17"/>
        <v>-8.1521739130435457E-3</v>
      </c>
      <c r="H317" s="4">
        <f t="shared" si="18"/>
        <v>1.0014306151645121E-2</v>
      </c>
      <c r="I317" s="4">
        <f t="shared" si="19"/>
        <v>-7.8616352201257116E-3</v>
      </c>
    </row>
    <row r="318" spans="1:9">
      <c r="A318" s="1">
        <v>38457</v>
      </c>
      <c r="B318">
        <v>5888.37</v>
      </c>
      <c r="C318">
        <v>14.4</v>
      </c>
      <c r="D318">
        <v>6.99</v>
      </c>
      <c r="E318">
        <v>18.579999999999998</v>
      </c>
      <c r="F318" s="4">
        <f t="shared" si="16"/>
        <v>-1.477576179417342E-2</v>
      </c>
      <c r="G318" s="4">
        <f t="shared" si="17"/>
        <v>-1.3698630136986254E-2</v>
      </c>
      <c r="H318" s="4">
        <f t="shared" si="18"/>
        <v>-9.9150141643058638E-3</v>
      </c>
      <c r="I318" s="4">
        <f t="shared" si="19"/>
        <v>-1.8489170628631878E-2</v>
      </c>
    </row>
    <row r="319" spans="1:9">
      <c r="A319" s="1">
        <v>38460</v>
      </c>
      <c r="B319">
        <v>5715.16</v>
      </c>
      <c r="C319">
        <v>14.4</v>
      </c>
      <c r="D319">
        <v>6.83</v>
      </c>
      <c r="E319">
        <v>18.07</v>
      </c>
      <c r="F319" s="4">
        <f t="shared" si="16"/>
        <v>-2.9415610771741593E-2</v>
      </c>
      <c r="G319" s="4">
        <f t="shared" si="17"/>
        <v>0</v>
      </c>
      <c r="H319" s="4">
        <f t="shared" si="18"/>
        <v>-2.2889842632331923E-2</v>
      </c>
      <c r="I319" s="4">
        <f t="shared" si="19"/>
        <v>-2.7448869752421855E-2</v>
      </c>
    </row>
    <row r="320" spans="1:9">
      <c r="A320" s="1">
        <v>38461</v>
      </c>
      <c r="B320">
        <v>5748.35</v>
      </c>
      <c r="C320">
        <v>14.64</v>
      </c>
      <c r="D320">
        <v>6.9</v>
      </c>
      <c r="E320">
        <v>18.07</v>
      </c>
      <c r="F320" s="4">
        <f t="shared" si="16"/>
        <v>5.8073614736946144E-3</v>
      </c>
      <c r="G320" s="4">
        <f t="shared" si="17"/>
        <v>1.666666666666668E-2</v>
      </c>
      <c r="H320" s="4">
        <f t="shared" si="18"/>
        <v>1.0248901903367538E-2</v>
      </c>
      <c r="I320" s="4">
        <f t="shared" si="19"/>
        <v>0</v>
      </c>
    </row>
    <row r="321" spans="1:9">
      <c r="A321" s="1">
        <v>38462</v>
      </c>
      <c r="B321">
        <v>5693.01</v>
      </c>
      <c r="C321">
        <v>14.6</v>
      </c>
      <c r="D321">
        <v>6.85</v>
      </c>
      <c r="E321">
        <v>18.07</v>
      </c>
      <c r="F321" s="4">
        <f t="shared" si="16"/>
        <v>-9.6271103881983774E-3</v>
      </c>
      <c r="G321" s="4">
        <f t="shared" si="17"/>
        <v>-2.7322404371585328E-3</v>
      </c>
      <c r="H321" s="4">
        <f t="shared" si="18"/>
        <v>-7.2463768115943053E-3</v>
      </c>
      <c r="I321" s="4">
        <f t="shared" si="19"/>
        <v>0</v>
      </c>
    </row>
    <row r="322" spans="1:9">
      <c r="A322" s="1">
        <v>38463</v>
      </c>
      <c r="B322">
        <v>5721.99</v>
      </c>
      <c r="C322">
        <v>14.84</v>
      </c>
      <c r="D322">
        <v>6.81</v>
      </c>
      <c r="E322">
        <v>18.420000000000002</v>
      </c>
      <c r="F322" s="4">
        <f t="shared" si="16"/>
        <v>5.0904530292410453E-3</v>
      </c>
      <c r="G322" s="4">
        <f t="shared" si="17"/>
        <v>1.6438356164383577E-2</v>
      </c>
      <c r="H322" s="4">
        <f t="shared" si="18"/>
        <v>-5.8394160583941663E-3</v>
      </c>
      <c r="I322" s="4">
        <f t="shared" si="19"/>
        <v>1.9369120088544627E-2</v>
      </c>
    </row>
    <row r="323" spans="1:9">
      <c r="A323" s="1">
        <v>38464</v>
      </c>
      <c r="B323">
        <v>5747.09</v>
      </c>
      <c r="C323">
        <v>14.96</v>
      </c>
      <c r="D323">
        <v>6.86</v>
      </c>
      <c r="E323">
        <v>18.420000000000002</v>
      </c>
      <c r="F323" s="4">
        <f t="shared" si="16"/>
        <v>4.3865857857144745E-3</v>
      </c>
      <c r="G323" s="4">
        <f t="shared" si="17"/>
        <v>8.0862533692723036E-3</v>
      </c>
      <c r="H323" s="4">
        <f t="shared" si="18"/>
        <v>7.3421439060206628E-3</v>
      </c>
      <c r="I323" s="4">
        <f t="shared" si="19"/>
        <v>0</v>
      </c>
    </row>
    <row r="324" spans="1:9">
      <c r="A324" s="1">
        <v>38467</v>
      </c>
      <c r="B324">
        <v>5758.31</v>
      </c>
      <c r="C324">
        <v>14.92</v>
      </c>
      <c r="D324">
        <v>6.8</v>
      </c>
      <c r="E324">
        <v>18.420000000000002</v>
      </c>
      <c r="F324" s="4">
        <f t="shared" ref="F324:F387" si="20">(B324-B323)/B323</f>
        <v>1.9522923775337178E-3</v>
      </c>
      <c r="G324" s="4">
        <f t="shared" ref="G324:G387" si="21">(C324-C323)/C323</f>
        <v>-2.6737967914439117E-3</v>
      </c>
      <c r="H324" s="4">
        <f t="shared" ref="H324:H387" si="22">(D324-D323)/D323</f>
        <v>-8.7463556851312668E-3</v>
      </c>
      <c r="I324" s="4">
        <f t="shared" ref="I324:I387" si="23">(E324-E323)/E323</f>
        <v>0</v>
      </c>
    </row>
    <row r="325" spans="1:9">
      <c r="A325" s="1">
        <v>38468</v>
      </c>
      <c r="B325">
        <v>5805.25</v>
      </c>
      <c r="C325">
        <v>15.08</v>
      </c>
      <c r="D325">
        <v>6.78</v>
      </c>
      <c r="E325">
        <v>18.63</v>
      </c>
      <c r="F325" s="4">
        <f t="shared" si="20"/>
        <v>8.1516972861828546E-3</v>
      </c>
      <c r="G325" s="4">
        <f t="shared" si="21"/>
        <v>1.0723860589812341E-2</v>
      </c>
      <c r="H325" s="4">
        <f t="shared" si="22"/>
        <v>-2.9411764705881728E-3</v>
      </c>
      <c r="I325" s="4">
        <f t="shared" si="23"/>
        <v>1.1400651465797898E-2</v>
      </c>
    </row>
    <row r="326" spans="1:9">
      <c r="A326" s="1">
        <v>38469</v>
      </c>
      <c r="B326">
        <v>5778.27</v>
      </c>
      <c r="C326">
        <v>15.32</v>
      </c>
      <c r="D326">
        <v>6.95</v>
      </c>
      <c r="E326">
        <v>18.68</v>
      </c>
      <c r="F326" s="4">
        <f t="shared" si="20"/>
        <v>-4.6475173334480967E-3</v>
      </c>
      <c r="G326" s="4">
        <f t="shared" si="21"/>
        <v>1.5915119363395239E-2</v>
      </c>
      <c r="H326" s="4">
        <f t="shared" si="22"/>
        <v>2.5073746312684355E-2</v>
      </c>
      <c r="I326" s="4">
        <f t="shared" si="23"/>
        <v>2.6838432635534469E-3</v>
      </c>
    </row>
    <row r="327" spans="1:9">
      <c r="A327" s="1">
        <v>38470</v>
      </c>
      <c r="B327">
        <v>5842.27</v>
      </c>
      <c r="C327">
        <v>15.4</v>
      </c>
      <c r="D327">
        <v>6.95</v>
      </c>
      <c r="E327">
        <v>18.68</v>
      </c>
      <c r="F327" s="4">
        <f t="shared" si="20"/>
        <v>1.1075979488670484E-2</v>
      </c>
      <c r="G327" s="4">
        <f t="shared" si="21"/>
        <v>5.2219321148825109E-3</v>
      </c>
      <c r="H327" s="4">
        <f t="shared" si="22"/>
        <v>0</v>
      </c>
      <c r="I327" s="4">
        <f t="shared" si="23"/>
        <v>0</v>
      </c>
    </row>
    <row r="328" spans="1:9">
      <c r="A328" s="1">
        <v>38471</v>
      </c>
      <c r="B328">
        <v>5818.07</v>
      </c>
      <c r="C328">
        <v>15.24</v>
      </c>
      <c r="D328">
        <v>7.07</v>
      </c>
      <c r="E328">
        <v>18.63</v>
      </c>
      <c r="F328" s="4">
        <f t="shared" si="20"/>
        <v>-4.1422255390457345E-3</v>
      </c>
      <c r="G328" s="4">
        <f t="shared" si="21"/>
        <v>-1.0389610389610398E-2</v>
      </c>
      <c r="H328" s="4">
        <f t="shared" si="22"/>
        <v>1.7266187050359726E-2</v>
      </c>
      <c r="I328" s="4">
        <f t="shared" si="23"/>
        <v>-2.6766595289079609E-3</v>
      </c>
    </row>
    <row r="329" spans="1:9">
      <c r="A329" s="1">
        <v>38475</v>
      </c>
      <c r="B329">
        <v>5818.22</v>
      </c>
      <c r="C329">
        <v>14.92</v>
      </c>
      <c r="D329">
        <v>7.56</v>
      </c>
      <c r="E329">
        <v>18.63</v>
      </c>
      <c r="F329" s="4">
        <f t="shared" si="20"/>
        <v>2.5781745493014985E-5</v>
      </c>
      <c r="G329" s="4">
        <f t="shared" si="21"/>
        <v>-2.0997375328084007E-2</v>
      </c>
      <c r="H329" s="4">
        <f t="shared" si="22"/>
        <v>6.9306930693069202E-2</v>
      </c>
      <c r="I329" s="4">
        <f t="shared" si="23"/>
        <v>0</v>
      </c>
    </row>
    <row r="330" spans="1:9">
      <c r="A330" s="1">
        <v>38476</v>
      </c>
      <c r="B330">
        <v>5803.68</v>
      </c>
      <c r="C330">
        <v>14.64</v>
      </c>
      <c r="D330">
        <v>7.41</v>
      </c>
      <c r="E330">
        <v>18.73</v>
      </c>
      <c r="F330" s="4">
        <f t="shared" si="20"/>
        <v>-2.4990461000099621E-3</v>
      </c>
      <c r="G330" s="4">
        <f t="shared" si="21"/>
        <v>-1.8766756032171539E-2</v>
      </c>
      <c r="H330" s="4">
        <f t="shared" si="22"/>
        <v>-1.9841269841269771E-2</v>
      </c>
      <c r="I330" s="4">
        <f t="shared" si="23"/>
        <v>5.3676865271068937E-3</v>
      </c>
    </row>
    <row r="331" spans="1:9">
      <c r="A331" s="1">
        <v>38477</v>
      </c>
      <c r="B331">
        <v>5927.5</v>
      </c>
      <c r="C331">
        <v>15.04</v>
      </c>
      <c r="D331">
        <v>7.61</v>
      </c>
      <c r="E331">
        <v>19.34</v>
      </c>
      <c r="F331" s="4">
        <f t="shared" si="20"/>
        <v>2.1334739337799415E-2</v>
      </c>
      <c r="G331" s="4">
        <f t="shared" si="21"/>
        <v>2.7322404371584601E-2</v>
      </c>
      <c r="H331" s="4">
        <f t="shared" si="22"/>
        <v>2.6990553306342802E-2</v>
      </c>
      <c r="I331" s="4">
        <f t="shared" si="23"/>
        <v>3.2568072610784808E-2</v>
      </c>
    </row>
    <row r="332" spans="1:9">
      <c r="A332" s="1">
        <v>38478</v>
      </c>
      <c r="B332">
        <v>5967.96</v>
      </c>
      <c r="C332">
        <v>15.2</v>
      </c>
      <c r="D332">
        <v>7.59</v>
      </c>
      <c r="E332">
        <v>19.79</v>
      </c>
      <c r="F332" s="4">
        <f t="shared" si="20"/>
        <v>6.8258118937157379E-3</v>
      </c>
      <c r="G332" s="4">
        <f t="shared" si="21"/>
        <v>1.0638297872340436E-2</v>
      </c>
      <c r="H332" s="4">
        <f t="shared" si="22"/>
        <v>-2.6281208935611646E-3</v>
      </c>
      <c r="I332" s="4">
        <f t="shared" si="23"/>
        <v>2.3267838676318476E-2</v>
      </c>
    </row>
    <row r="333" spans="1:9">
      <c r="A333" s="1">
        <v>38481</v>
      </c>
      <c r="B333">
        <v>5966.85</v>
      </c>
      <c r="C333">
        <v>15</v>
      </c>
      <c r="D333">
        <v>7.66</v>
      </c>
      <c r="E333">
        <v>19.79</v>
      </c>
      <c r="F333" s="4">
        <f t="shared" si="20"/>
        <v>-1.8599320370774478E-4</v>
      </c>
      <c r="G333" s="4">
        <f t="shared" si="21"/>
        <v>-1.3157894736842059E-2</v>
      </c>
      <c r="H333" s="4">
        <f t="shared" si="22"/>
        <v>9.2226613965744782E-3</v>
      </c>
      <c r="I333" s="4">
        <f t="shared" si="23"/>
        <v>0</v>
      </c>
    </row>
    <row r="334" spans="1:9">
      <c r="A334" s="1">
        <v>38482</v>
      </c>
      <c r="B334">
        <v>5949.8</v>
      </c>
      <c r="C334">
        <v>14.88</v>
      </c>
      <c r="D334">
        <v>7.65</v>
      </c>
      <c r="E334">
        <v>19.64</v>
      </c>
      <c r="F334" s="4">
        <f t="shared" si="20"/>
        <v>-2.8574541005723592E-3</v>
      </c>
      <c r="G334" s="4">
        <f t="shared" si="21"/>
        <v>-7.9999999999999481E-3</v>
      </c>
      <c r="H334" s="4">
        <f t="shared" si="22"/>
        <v>-1.3054830287205987E-3</v>
      </c>
      <c r="I334" s="4">
        <f t="shared" si="23"/>
        <v>-7.579585649317766E-3</v>
      </c>
    </row>
    <row r="335" spans="1:9">
      <c r="A335" s="1">
        <v>38483</v>
      </c>
      <c r="B335">
        <v>5917.13</v>
      </c>
      <c r="C335">
        <v>14.68</v>
      </c>
      <c r="D335">
        <v>7.5</v>
      </c>
      <c r="E335">
        <v>19.39</v>
      </c>
      <c r="F335" s="4">
        <f t="shared" si="20"/>
        <v>-5.4909408719620951E-3</v>
      </c>
      <c r="G335" s="4">
        <f t="shared" si="21"/>
        <v>-1.3440860215053835E-2</v>
      </c>
      <c r="H335" s="4">
        <f t="shared" si="22"/>
        <v>-1.9607843137254947E-2</v>
      </c>
      <c r="I335" s="4">
        <f t="shared" si="23"/>
        <v>-1.2729124236252545E-2</v>
      </c>
    </row>
    <row r="336" spans="1:9">
      <c r="A336" s="1">
        <v>38484</v>
      </c>
      <c r="B336">
        <v>5934.6</v>
      </c>
      <c r="C336">
        <v>15</v>
      </c>
      <c r="D336">
        <v>7.47</v>
      </c>
      <c r="E336">
        <v>19.690000000000001</v>
      </c>
      <c r="F336" s="4">
        <f t="shared" si="20"/>
        <v>2.9524448507976427E-3</v>
      </c>
      <c r="G336" s="4">
        <f t="shared" si="21"/>
        <v>2.1798365122615824E-2</v>
      </c>
      <c r="H336" s="4">
        <f t="shared" si="22"/>
        <v>-4.000000000000033E-3</v>
      </c>
      <c r="I336" s="4">
        <f t="shared" si="23"/>
        <v>1.5471892728210455E-2</v>
      </c>
    </row>
    <row r="337" spans="1:9">
      <c r="A337" s="1">
        <v>38485</v>
      </c>
      <c r="B337">
        <v>5981.48</v>
      </c>
      <c r="C337">
        <v>15</v>
      </c>
      <c r="D337">
        <v>7.51</v>
      </c>
      <c r="E337">
        <v>19.84</v>
      </c>
      <c r="F337" s="4">
        <f t="shared" si="20"/>
        <v>7.8994371988001209E-3</v>
      </c>
      <c r="G337" s="4">
        <f t="shared" si="21"/>
        <v>0</v>
      </c>
      <c r="H337" s="4">
        <f t="shared" si="22"/>
        <v>5.3547523427041549E-3</v>
      </c>
      <c r="I337" s="4">
        <f t="shared" si="23"/>
        <v>7.618080243778495E-3</v>
      </c>
    </row>
    <row r="338" spans="1:9">
      <c r="A338" s="1">
        <v>38488</v>
      </c>
      <c r="B338">
        <v>5925.88</v>
      </c>
      <c r="C338">
        <v>14.72</v>
      </c>
      <c r="D338">
        <v>7.53</v>
      </c>
      <c r="E338">
        <v>20.149999999999999</v>
      </c>
      <c r="F338" s="4">
        <f t="shared" si="20"/>
        <v>-9.2953583394075473E-3</v>
      </c>
      <c r="G338" s="4">
        <f t="shared" si="21"/>
        <v>-1.8666666666666623E-2</v>
      </c>
      <c r="H338" s="4">
        <f t="shared" si="22"/>
        <v>2.6631158455393427E-3</v>
      </c>
      <c r="I338" s="4">
        <f t="shared" si="23"/>
        <v>1.5624999999999936E-2</v>
      </c>
    </row>
    <row r="339" spans="1:9">
      <c r="A339" s="1">
        <v>38489</v>
      </c>
      <c r="B339">
        <v>5894.01</v>
      </c>
      <c r="C339">
        <v>14.8</v>
      </c>
      <c r="D339">
        <v>7.52</v>
      </c>
      <c r="E339">
        <v>20.5</v>
      </c>
      <c r="F339" s="4">
        <f t="shared" si="20"/>
        <v>-5.3781041803073791E-3</v>
      </c>
      <c r="G339" s="4">
        <f t="shared" si="21"/>
        <v>5.4347826086956564E-3</v>
      </c>
      <c r="H339" s="4">
        <f t="shared" si="22"/>
        <v>-1.3280212483400631E-3</v>
      </c>
      <c r="I339" s="4">
        <f t="shared" si="23"/>
        <v>1.7369727047146472E-2</v>
      </c>
    </row>
    <row r="340" spans="1:9">
      <c r="A340" s="1">
        <v>38490</v>
      </c>
      <c r="B340">
        <v>5890.83</v>
      </c>
      <c r="C340">
        <v>14.84</v>
      </c>
      <c r="D340">
        <v>7.52</v>
      </c>
      <c r="E340">
        <v>20.350000000000001</v>
      </c>
      <c r="F340" s="4">
        <f t="shared" si="20"/>
        <v>-5.3953081179032461E-4</v>
      </c>
      <c r="G340" s="4">
        <f t="shared" si="21"/>
        <v>2.7027027027026452E-3</v>
      </c>
      <c r="H340" s="4">
        <f t="shared" si="22"/>
        <v>0</v>
      </c>
      <c r="I340" s="4">
        <f t="shared" si="23"/>
        <v>-7.3170731707316384E-3</v>
      </c>
    </row>
    <row r="341" spans="1:9">
      <c r="A341" s="1">
        <v>38491</v>
      </c>
      <c r="B341">
        <v>5970.71</v>
      </c>
      <c r="C341">
        <v>14.44</v>
      </c>
      <c r="D341">
        <v>7.54</v>
      </c>
      <c r="E341">
        <v>20.65</v>
      </c>
      <c r="F341" s="4">
        <f t="shared" si="20"/>
        <v>1.3560058599552205E-2</v>
      </c>
      <c r="G341" s="4">
        <f t="shared" si="21"/>
        <v>-2.695417789757415E-2</v>
      </c>
      <c r="H341" s="4">
        <f t="shared" si="22"/>
        <v>2.6595744680851679E-3</v>
      </c>
      <c r="I341" s="4">
        <f t="shared" si="23"/>
        <v>1.4742014742014602E-2</v>
      </c>
    </row>
    <row r="342" spans="1:9">
      <c r="A342" s="1">
        <v>38492</v>
      </c>
      <c r="B342">
        <v>5954.69</v>
      </c>
      <c r="C342">
        <v>14.32</v>
      </c>
      <c r="D342">
        <v>7.51</v>
      </c>
      <c r="E342">
        <v>20.75</v>
      </c>
      <c r="F342" s="4">
        <f t="shared" si="20"/>
        <v>-2.6830979900213602E-3</v>
      </c>
      <c r="G342" s="4">
        <f t="shared" si="21"/>
        <v>-8.3102493074791711E-3</v>
      </c>
      <c r="H342" s="4">
        <f t="shared" si="22"/>
        <v>-3.9787798408488393E-3</v>
      </c>
      <c r="I342" s="4">
        <f t="shared" si="23"/>
        <v>4.8426150121066063E-3</v>
      </c>
    </row>
    <row r="343" spans="1:9">
      <c r="A343" s="1">
        <v>38495</v>
      </c>
      <c r="B343">
        <v>5885.45</v>
      </c>
      <c r="C343">
        <v>14.28</v>
      </c>
      <c r="D343">
        <v>7.46</v>
      </c>
      <c r="E343">
        <v>20.399999999999999</v>
      </c>
      <c r="F343" s="4">
        <f t="shared" si="20"/>
        <v>-1.1627809340200714E-2</v>
      </c>
      <c r="G343" s="4">
        <f t="shared" si="21"/>
        <v>-2.7932960893855391E-3</v>
      </c>
      <c r="H343" s="4">
        <f t="shared" si="22"/>
        <v>-6.6577896138481788E-3</v>
      </c>
      <c r="I343" s="4">
        <f t="shared" si="23"/>
        <v>-1.6867469879518142E-2</v>
      </c>
    </row>
    <row r="344" spans="1:9">
      <c r="A344" s="1">
        <v>38496</v>
      </c>
      <c r="B344">
        <v>5909.1</v>
      </c>
      <c r="C344">
        <v>14.4</v>
      </c>
      <c r="D344">
        <v>7.51</v>
      </c>
      <c r="E344">
        <v>21.01</v>
      </c>
      <c r="F344" s="4">
        <f t="shared" si="20"/>
        <v>4.0183843206552678E-3</v>
      </c>
      <c r="G344" s="4">
        <f t="shared" si="21"/>
        <v>8.4033613445378859E-3</v>
      </c>
      <c r="H344" s="4">
        <f t="shared" si="22"/>
        <v>6.7024128686326836E-3</v>
      </c>
      <c r="I344" s="4">
        <f t="shared" si="23"/>
        <v>2.9901960784313873E-2</v>
      </c>
    </row>
    <row r="345" spans="1:9">
      <c r="A345" s="1">
        <v>38497</v>
      </c>
      <c r="B345">
        <v>5888.53</v>
      </c>
      <c r="C345">
        <v>14.44</v>
      </c>
      <c r="D345">
        <v>7.52</v>
      </c>
      <c r="E345">
        <v>21.16</v>
      </c>
      <c r="F345" s="4">
        <f t="shared" si="20"/>
        <v>-3.4810715675823081E-3</v>
      </c>
      <c r="G345" s="4">
        <f t="shared" si="21"/>
        <v>2.7777777777777185E-3</v>
      </c>
      <c r="H345" s="4">
        <f t="shared" si="22"/>
        <v>1.3315579227696122E-3</v>
      </c>
      <c r="I345" s="4">
        <f t="shared" si="23"/>
        <v>7.1394574012374375E-3</v>
      </c>
    </row>
    <row r="346" spans="1:9">
      <c r="A346" s="1">
        <v>38498</v>
      </c>
      <c r="B346">
        <v>5939.42</v>
      </c>
      <c r="C346">
        <v>14.56</v>
      </c>
      <c r="D346">
        <v>7.57</v>
      </c>
      <c r="E346">
        <v>21.26</v>
      </c>
      <c r="F346" s="4">
        <f t="shared" si="20"/>
        <v>8.642224799737851E-3</v>
      </c>
      <c r="G346" s="4">
        <f t="shared" si="21"/>
        <v>8.3102493074792942E-3</v>
      </c>
      <c r="H346" s="4">
        <f t="shared" si="22"/>
        <v>6.6489361702128606E-3</v>
      </c>
      <c r="I346" s="4">
        <f t="shared" si="23"/>
        <v>4.7258979206049817E-3</v>
      </c>
    </row>
    <row r="347" spans="1:9">
      <c r="A347" s="1">
        <v>38499</v>
      </c>
      <c r="B347">
        <v>5991.55</v>
      </c>
      <c r="C347">
        <v>14.48</v>
      </c>
      <c r="D347">
        <v>7.56</v>
      </c>
      <c r="E347">
        <v>21.66</v>
      </c>
      <c r="F347" s="4">
        <f t="shared" si="20"/>
        <v>8.776951284805606E-3</v>
      </c>
      <c r="G347" s="4">
        <f t="shared" si="21"/>
        <v>-5.4945054945054993E-3</v>
      </c>
      <c r="H347" s="4">
        <f t="shared" si="22"/>
        <v>-1.3210039630119782E-3</v>
      </c>
      <c r="I347" s="4">
        <f t="shared" si="23"/>
        <v>1.8814675446848474E-2</v>
      </c>
    </row>
    <row r="348" spans="1:9">
      <c r="A348" s="1">
        <v>38502</v>
      </c>
      <c r="B348">
        <v>6009.52</v>
      </c>
      <c r="C348">
        <v>14.48</v>
      </c>
      <c r="D348">
        <v>7.6</v>
      </c>
      <c r="E348">
        <v>21.87</v>
      </c>
      <c r="F348" s="4">
        <f t="shared" si="20"/>
        <v>2.9992239070024043E-3</v>
      </c>
      <c r="G348" s="4">
        <f t="shared" si="21"/>
        <v>0</v>
      </c>
      <c r="H348" s="4">
        <f t="shared" si="22"/>
        <v>5.2910052910052959E-3</v>
      </c>
      <c r="I348" s="4">
        <f t="shared" si="23"/>
        <v>9.695290858725801E-3</v>
      </c>
    </row>
    <row r="349" spans="1:9">
      <c r="A349" s="1">
        <v>38503</v>
      </c>
      <c r="B349">
        <v>6011.56</v>
      </c>
      <c r="C349">
        <v>14.32</v>
      </c>
      <c r="D349">
        <v>7.57</v>
      </c>
      <c r="E349">
        <v>21.46</v>
      </c>
      <c r="F349" s="4">
        <f t="shared" si="20"/>
        <v>3.3946138793114315E-4</v>
      </c>
      <c r="G349" s="4">
        <f t="shared" si="21"/>
        <v>-1.1049723756906087E-2</v>
      </c>
      <c r="H349" s="4">
        <f t="shared" si="22"/>
        <v>-3.9473684210525476E-3</v>
      </c>
      <c r="I349" s="4">
        <f t="shared" si="23"/>
        <v>-1.8747142203932334E-2</v>
      </c>
    </row>
    <row r="350" spans="1:9">
      <c r="A350" s="1">
        <v>38504</v>
      </c>
      <c r="B350">
        <v>5971.62</v>
      </c>
      <c r="C350">
        <v>14.16</v>
      </c>
      <c r="D350">
        <v>7.71</v>
      </c>
      <c r="E350">
        <v>21.41</v>
      </c>
      <c r="F350" s="4">
        <f t="shared" si="20"/>
        <v>-6.6438661512154091E-3</v>
      </c>
      <c r="G350" s="4">
        <f t="shared" si="21"/>
        <v>-1.1173184357541908E-2</v>
      </c>
      <c r="H350" s="4">
        <f t="shared" si="22"/>
        <v>1.8494055482166403E-2</v>
      </c>
      <c r="I350" s="4">
        <f t="shared" si="23"/>
        <v>-2.3299161230196045E-3</v>
      </c>
    </row>
    <row r="351" spans="1:9">
      <c r="A351" s="1">
        <v>38505</v>
      </c>
      <c r="B351">
        <v>6039.48</v>
      </c>
      <c r="C351">
        <v>14.44</v>
      </c>
      <c r="D351">
        <v>7.87</v>
      </c>
      <c r="E351">
        <v>21.77</v>
      </c>
      <c r="F351" s="4">
        <f t="shared" si="20"/>
        <v>1.1363750540054403E-2</v>
      </c>
      <c r="G351" s="4">
        <f t="shared" si="21"/>
        <v>1.9774011299434981E-2</v>
      </c>
      <c r="H351" s="4">
        <f t="shared" si="22"/>
        <v>2.0752269779507154E-2</v>
      </c>
      <c r="I351" s="4">
        <f t="shared" si="23"/>
        <v>1.6814572629612303E-2</v>
      </c>
    </row>
    <row r="352" spans="1:9">
      <c r="A352" s="1">
        <v>38506</v>
      </c>
      <c r="B352">
        <v>6107.95</v>
      </c>
      <c r="C352">
        <v>14.48</v>
      </c>
      <c r="D352">
        <v>7.96</v>
      </c>
      <c r="E352">
        <v>22.47</v>
      </c>
      <c r="F352" s="4">
        <f t="shared" si="20"/>
        <v>1.1337068754263655E-2</v>
      </c>
      <c r="G352" s="4">
        <f t="shared" si="21"/>
        <v>2.770083102493139E-3</v>
      </c>
      <c r="H352" s="4">
        <f t="shared" si="22"/>
        <v>1.1435832274459956E-2</v>
      </c>
      <c r="I352" s="4">
        <f t="shared" si="23"/>
        <v>3.2154340836012832E-2</v>
      </c>
    </row>
    <row r="353" spans="1:9">
      <c r="A353" s="1">
        <v>38509</v>
      </c>
      <c r="B353">
        <v>6137.57</v>
      </c>
      <c r="C353">
        <v>14.72</v>
      </c>
      <c r="D353">
        <v>7.95</v>
      </c>
      <c r="E353">
        <v>22.68</v>
      </c>
      <c r="F353" s="4">
        <f t="shared" si="20"/>
        <v>4.849417562357238E-3</v>
      </c>
      <c r="G353" s="4">
        <f t="shared" si="21"/>
        <v>1.6574585635359129E-2</v>
      </c>
      <c r="H353" s="4">
        <f t="shared" si="22"/>
        <v>-1.256281407035149E-3</v>
      </c>
      <c r="I353" s="4">
        <f t="shared" si="23"/>
        <v>9.3457943925234037E-3</v>
      </c>
    </row>
    <row r="354" spans="1:9">
      <c r="A354" s="1">
        <v>38510</v>
      </c>
      <c r="B354">
        <v>6105.79</v>
      </c>
      <c r="C354">
        <v>14.72</v>
      </c>
      <c r="D354">
        <v>7.84</v>
      </c>
      <c r="E354">
        <v>22.98</v>
      </c>
      <c r="F354" s="4">
        <f t="shared" si="20"/>
        <v>-5.1779450173276634E-3</v>
      </c>
      <c r="G354" s="4">
        <f t="shared" si="21"/>
        <v>0</v>
      </c>
      <c r="H354" s="4">
        <f t="shared" si="22"/>
        <v>-1.3836477987421424E-2</v>
      </c>
      <c r="I354" s="4">
        <f t="shared" si="23"/>
        <v>1.322751322751326E-2</v>
      </c>
    </row>
    <row r="355" spans="1:9">
      <c r="A355" s="1">
        <v>38511</v>
      </c>
      <c r="B355">
        <v>6161.66</v>
      </c>
      <c r="C355">
        <v>14.84</v>
      </c>
      <c r="D355">
        <v>8.07</v>
      </c>
      <c r="E355">
        <v>23.49</v>
      </c>
      <c r="F355" s="4">
        <f t="shared" si="20"/>
        <v>9.1503310791887522E-3</v>
      </c>
      <c r="G355" s="4">
        <f t="shared" si="21"/>
        <v>8.1521739130434243E-3</v>
      </c>
      <c r="H355" s="4">
        <f t="shared" si="22"/>
        <v>2.9336734693877604E-2</v>
      </c>
      <c r="I355" s="4">
        <f t="shared" si="23"/>
        <v>2.2193211488250566E-2</v>
      </c>
    </row>
    <row r="356" spans="1:9">
      <c r="A356" s="1">
        <v>38512</v>
      </c>
      <c r="B356">
        <v>6145.92</v>
      </c>
      <c r="C356">
        <v>15.36</v>
      </c>
      <c r="D356">
        <v>8.11</v>
      </c>
      <c r="E356">
        <v>23.59</v>
      </c>
      <c r="F356" s="4">
        <f t="shared" si="20"/>
        <v>-2.5545064154789102E-3</v>
      </c>
      <c r="G356" s="4">
        <f t="shared" si="21"/>
        <v>3.5040431266846334E-2</v>
      </c>
      <c r="H356" s="4">
        <f t="shared" si="22"/>
        <v>4.9566294919453713E-3</v>
      </c>
      <c r="I356" s="4">
        <f t="shared" si="23"/>
        <v>4.2571306939123638E-3</v>
      </c>
    </row>
    <row r="357" spans="1:9">
      <c r="A357" s="1">
        <v>38513</v>
      </c>
      <c r="B357">
        <v>6192.35</v>
      </c>
      <c r="C357">
        <v>16.13</v>
      </c>
      <c r="D357">
        <v>8.1199999999999992</v>
      </c>
      <c r="E357">
        <v>23.69</v>
      </c>
      <c r="F357" s="4">
        <f t="shared" si="20"/>
        <v>7.5546053316672343E-3</v>
      </c>
      <c r="G357" s="4">
        <f t="shared" si="21"/>
        <v>5.0130208333333308E-2</v>
      </c>
      <c r="H357" s="4">
        <f t="shared" si="22"/>
        <v>1.2330456226880132E-3</v>
      </c>
      <c r="I357" s="4">
        <f t="shared" si="23"/>
        <v>4.2390843577787803E-3</v>
      </c>
    </row>
    <row r="358" spans="1:9">
      <c r="A358" s="1">
        <v>38516</v>
      </c>
      <c r="B358">
        <v>6231.05</v>
      </c>
      <c r="C358">
        <v>16.05</v>
      </c>
      <c r="D358">
        <v>8.0500000000000007</v>
      </c>
      <c r="E358">
        <v>23.79</v>
      </c>
      <c r="F358" s="4">
        <f t="shared" si="20"/>
        <v>6.2496467415439723E-3</v>
      </c>
      <c r="G358" s="4">
        <f t="shared" si="21"/>
        <v>-4.9597024178548235E-3</v>
      </c>
      <c r="H358" s="4">
        <f t="shared" si="22"/>
        <v>-8.6206896551722315E-3</v>
      </c>
      <c r="I358" s="4">
        <f t="shared" si="23"/>
        <v>4.2211903756858536E-3</v>
      </c>
    </row>
    <row r="359" spans="1:9">
      <c r="A359" s="1">
        <v>38517</v>
      </c>
      <c r="B359">
        <v>6205.76</v>
      </c>
      <c r="C359">
        <v>15.36</v>
      </c>
      <c r="D359">
        <v>7.9</v>
      </c>
      <c r="E359">
        <v>23.44</v>
      </c>
      <c r="F359" s="4">
        <f t="shared" si="20"/>
        <v>-4.0587059965816298E-3</v>
      </c>
      <c r="G359" s="4">
        <f t="shared" si="21"/>
        <v>-4.2990654205607555E-2</v>
      </c>
      <c r="H359" s="4">
        <f t="shared" si="22"/>
        <v>-1.863354037267085E-2</v>
      </c>
      <c r="I359" s="4">
        <f t="shared" si="23"/>
        <v>-1.4712063892391672E-2</v>
      </c>
    </row>
    <row r="360" spans="1:9">
      <c r="A360" s="1">
        <v>38518</v>
      </c>
      <c r="B360">
        <v>6252.1</v>
      </c>
      <c r="C360">
        <v>15.72</v>
      </c>
      <c r="D360">
        <v>7.92</v>
      </c>
      <c r="E360">
        <v>22.88</v>
      </c>
      <c r="F360" s="4">
        <f t="shared" si="20"/>
        <v>7.467256226473493E-3</v>
      </c>
      <c r="G360" s="4">
        <f t="shared" si="21"/>
        <v>2.343750000000008E-2</v>
      </c>
      <c r="H360" s="4">
        <f t="shared" si="22"/>
        <v>2.531645569620199E-3</v>
      </c>
      <c r="I360" s="4">
        <f t="shared" si="23"/>
        <v>-2.3890784982935249E-2</v>
      </c>
    </row>
    <row r="361" spans="1:9">
      <c r="A361" s="1">
        <v>38519</v>
      </c>
      <c r="B361">
        <v>6282.41</v>
      </c>
      <c r="C361">
        <v>15.72</v>
      </c>
      <c r="D361">
        <v>7.94</v>
      </c>
      <c r="E361">
        <v>23.54</v>
      </c>
      <c r="F361" s="4">
        <f t="shared" si="20"/>
        <v>4.8479710817164613E-3</v>
      </c>
      <c r="G361" s="4">
        <f t="shared" si="21"/>
        <v>0</v>
      </c>
      <c r="H361" s="4">
        <f t="shared" si="22"/>
        <v>2.5252525252525836E-3</v>
      </c>
      <c r="I361" s="4">
        <f t="shared" si="23"/>
        <v>2.8846153846153855E-2</v>
      </c>
    </row>
    <row r="362" spans="1:9">
      <c r="A362" s="1">
        <v>38520</v>
      </c>
      <c r="B362">
        <v>6293.56</v>
      </c>
      <c r="C362">
        <v>15.76</v>
      </c>
      <c r="D362">
        <v>7.9</v>
      </c>
      <c r="E362">
        <v>24.14</v>
      </c>
      <c r="F362" s="4">
        <f t="shared" si="20"/>
        <v>1.7747966146750285E-3</v>
      </c>
      <c r="G362" s="4">
        <f t="shared" si="21"/>
        <v>2.5445292620864595E-3</v>
      </c>
      <c r="H362" s="4">
        <f t="shared" si="22"/>
        <v>-5.0377833753148657E-3</v>
      </c>
      <c r="I362" s="4">
        <f t="shared" si="23"/>
        <v>2.5488530161427419E-2</v>
      </c>
    </row>
    <row r="363" spans="1:9">
      <c r="A363" s="1">
        <v>38523</v>
      </c>
      <c r="B363">
        <v>6296.89</v>
      </c>
      <c r="C363">
        <v>15.8</v>
      </c>
      <c r="D363">
        <v>7.88</v>
      </c>
      <c r="E363">
        <v>24.8</v>
      </c>
      <c r="F363" s="4">
        <f t="shared" si="20"/>
        <v>5.2911229892142557E-4</v>
      </c>
      <c r="G363" s="4">
        <f t="shared" si="21"/>
        <v>2.5380710659899065E-3</v>
      </c>
      <c r="H363" s="4">
        <f t="shared" si="22"/>
        <v>-2.5316455696203113E-3</v>
      </c>
      <c r="I363" s="4">
        <f t="shared" si="23"/>
        <v>2.734051367025684E-2</v>
      </c>
    </row>
    <row r="364" spans="1:9">
      <c r="A364" s="1">
        <v>38524</v>
      </c>
      <c r="B364">
        <v>6278.46</v>
      </c>
      <c r="C364">
        <v>15.68</v>
      </c>
      <c r="D364">
        <v>7.95</v>
      </c>
      <c r="E364">
        <v>24.55</v>
      </c>
      <c r="F364" s="4">
        <f t="shared" si="20"/>
        <v>-2.9268416631067543E-3</v>
      </c>
      <c r="G364" s="4">
        <f t="shared" si="21"/>
        <v>-7.5949367088608225E-3</v>
      </c>
      <c r="H364" s="4">
        <f t="shared" si="22"/>
        <v>8.883248730964504E-3</v>
      </c>
      <c r="I364" s="4">
        <f t="shared" si="23"/>
        <v>-1.0080645161290322E-2</v>
      </c>
    </row>
    <row r="365" spans="1:9">
      <c r="A365" s="1">
        <v>38525</v>
      </c>
      <c r="B365">
        <v>6357.83</v>
      </c>
      <c r="C365">
        <v>15.56</v>
      </c>
      <c r="D365">
        <v>8.18</v>
      </c>
      <c r="E365">
        <v>24.85</v>
      </c>
      <c r="F365" s="4">
        <f t="shared" si="20"/>
        <v>1.2641635050633418E-2</v>
      </c>
      <c r="G365" s="4">
        <f t="shared" si="21"/>
        <v>-7.6530612244897463E-3</v>
      </c>
      <c r="H365" s="4">
        <f t="shared" si="22"/>
        <v>2.8930817610062835E-2</v>
      </c>
      <c r="I365" s="4">
        <f t="shared" si="23"/>
        <v>1.2219959266802473E-2</v>
      </c>
    </row>
    <row r="366" spans="1:9">
      <c r="A366" s="1">
        <v>38526</v>
      </c>
      <c r="B366">
        <v>6373.86</v>
      </c>
      <c r="C366">
        <v>15.76</v>
      </c>
      <c r="D366">
        <v>8.18</v>
      </c>
      <c r="E366">
        <v>24.55</v>
      </c>
      <c r="F366" s="4">
        <f t="shared" si="20"/>
        <v>2.5213005066193569E-3</v>
      </c>
      <c r="G366" s="4">
        <f t="shared" si="21"/>
        <v>1.2853470437017948E-2</v>
      </c>
      <c r="H366" s="4">
        <f t="shared" si="22"/>
        <v>0</v>
      </c>
      <c r="I366" s="4">
        <f t="shared" si="23"/>
        <v>-1.2072434607645902E-2</v>
      </c>
    </row>
    <row r="367" spans="1:9">
      <c r="A367" s="1">
        <v>38527</v>
      </c>
      <c r="B367">
        <v>6340.69</v>
      </c>
      <c r="C367">
        <v>15.52</v>
      </c>
      <c r="D367">
        <v>8.15</v>
      </c>
      <c r="E367">
        <v>24.19</v>
      </c>
      <c r="F367" s="4">
        <f t="shared" si="20"/>
        <v>-5.2040678646848339E-3</v>
      </c>
      <c r="G367" s="4">
        <f t="shared" si="21"/>
        <v>-1.5228426395939101E-2</v>
      </c>
      <c r="H367" s="4">
        <f t="shared" si="22"/>
        <v>-3.667481662591609E-3</v>
      </c>
      <c r="I367" s="4">
        <f t="shared" si="23"/>
        <v>-1.4663951120162909E-2</v>
      </c>
    </row>
    <row r="368" spans="1:9">
      <c r="A368" s="1">
        <v>38530</v>
      </c>
      <c r="B368">
        <v>6302.99</v>
      </c>
      <c r="C368">
        <v>15.48</v>
      </c>
      <c r="D368">
        <v>8.32</v>
      </c>
      <c r="E368">
        <v>23.49</v>
      </c>
      <c r="F368" s="4">
        <f t="shared" si="20"/>
        <v>-5.9457251497865094E-3</v>
      </c>
      <c r="G368" s="4">
        <f t="shared" si="21"/>
        <v>-2.5773195876288113E-3</v>
      </c>
      <c r="H368" s="4">
        <f t="shared" si="22"/>
        <v>2.0858895705521463E-2</v>
      </c>
      <c r="I368" s="4">
        <f t="shared" si="23"/>
        <v>-2.893757751136845E-2</v>
      </c>
    </row>
    <row r="369" spans="1:9">
      <c r="A369" s="1">
        <v>38531</v>
      </c>
      <c r="B369">
        <v>6316.84</v>
      </c>
      <c r="C369">
        <v>15.96</v>
      </c>
      <c r="D369">
        <v>8.36</v>
      </c>
      <c r="E369">
        <v>23.69</v>
      </c>
      <c r="F369" s="4">
        <f t="shared" si="20"/>
        <v>2.1973698197205395E-3</v>
      </c>
      <c r="G369" s="4">
        <f t="shared" si="21"/>
        <v>3.1007751937984523E-2</v>
      </c>
      <c r="H369" s="4">
        <f t="shared" si="22"/>
        <v>4.8076923076922047E-3</v>
      </c>
      <c r="I369" s="4">
        <f t="shared" si="23"/>
        <v>8.5142613878247276E-3</v>
      </c>
    </row>
    <row r="370" spans="1:9">
      <c r="A370" s="1">
        <v>38532</v>
      </c>
      <c r="B370">
        <v>6231.65</v>
      </c>
      <c r="C370">
        <v>15.72</v>
      </c>
      <c r="D370">
        <v>8.32</v>
      </c>
      <c r="E370">
        <v>23.28</v>
      </c>
      <c r="F370" s="4">
        <f t="shared" si="20"/>
        <v>-1.3486173466480155E-2</v>
      </c>
      <c r="G370" s="4">
        <f t="shared" si="21"/>
        <v>-1.5037593984962419E-2</v>
      </c>
      <c r="H370" s="4">
        <f t="shared" si="22"/>
        <v>-4.7846889952152093E-3</v>
      </c>
      <c r="I370" s="4">
        <f t="shared" si="23"/>
        <v>-1.7306880540312375E-2</v>
      </c>
    </row>
    <row r="371" spans="1:9">
      <c r="A371" s="1">
        <v>38533</v>
      </c>
      <c r="B371">
        <v>6241.94</v>
      </c>
      <c r="C371">
        <v>15.76</v>
      </c>
      <c r="D371">
        <v>8.3000000000000007</v>
      </c>
      <c r="E371">
        <v>23.28</v>
      </c>
      <c r="F371" s="4">
        <f t="shared" si="20"/>
        <v>1.6512480643168285E-3</v>
      </c>
      <c r="G371" s="4">
        <f t="shared" si="21"/>
        <v>2.5445292620864595E-3</v>
      </c>
      <c r="H371" s="4">
        <f t="shared" si="22"/>
        <v>-2.4038461538461024E-3</v>
      </c>
      <c r="I371" s="4">
        <f t="shared" si="23"/>
        <v>0</v>
      </c>
    </row>
    <row r="372" spans="1:9">
      <c r="A372" s="1">
        <v>38534</v>
      </c>
      <c r="B372">
        <v>6272.14</v>
      </c>
      <c r="C372">
        <v>15.68</v>
      </c>
      <c r="D372">
        <v>8.31</v>
      </c>
      <c r="E372">
        <v>23.74</v>
      </c>
      <c r="F372" s="4">
        <f t="shared" si="20"/>
        <v>4.8382393935220026E-3</v>
      </c>
      <c r="G372" s="4">
        <f t="shared" si="21"/>
        <v>-5.0761421319797002E-3</v>
      </c>
      <c r="H372" s="4">
        <f t="shared" si="22"/>
        <v>1.204819277108408E-3</v>
      </c>
      <c r="I372" s="4">
        <f t="shared" si="23"/>
        <v>1.9759450171821191E-2</v>
      </c>
    </row>
    <row r="373" spans="1:9">
      <c r="A373" s="1">
        <v>38537</v>
      </c>
      <c r="B373">
        <v>6271.2</v>
      </c>
      <c r="C373">
        <v>15.72</v>
      </c>
      <c r="D373">
        <v>8.2799999999999994</v>
      </c>
      <c r="E373">
        <v>23.79</v>
      </c>
      <c r="F373" s="4">
        <f t="shared" si="20"/>
        <v>-1.4986910368718003E-4</v>
      </c>
      <c r="G373" s="4">
        <f t="shared" si="21"/>
        <v>2.5510204081633241E-3</v>
      </c>
      <c r="H373" s="4">
        <f t="shared" si="22"/>
        <v>-3.6101083032492342E-3</v>
      </c>
      <c r="I373" s="4">
        <f t="shared" si="23"/>
        <v>2.106149957877031E-3</v>
      </c>
    </row>
    <row r="374" spans="1:9">
      <c r="A374" s="1">
        <v>38538</v>
      </c>
      <c r="B374">
        <v>6232.04</v>
      </c>
      <c r="C374">
        <v>15.56</v>
      </c>
      <c r="D374">
        <v>8.1300000000000008</v>
      </c>
      <c r="E374">
        <v>23.38</v>
      </c>
      <c r="F374" s="4">
        <f t="shared" si="20"/>
        <v>-6.2444189309860719E-3</v>
      </c>
      <c r="G374" s="4">
        <f t="shared" si="21"/>
        <v>-1.0178117048346065E-2</v>
      </c>
      <c r="H374" s="4">
        <f t="shared" si="22"/>
        <v>-1.8115942028985338E-2</v>
      </c>
      <c r="I374" s="4">
        <f t="shared" si="23"/>
        <v>-1.7234131988230355E-2</v>
      </c>
    </row>
    <row r="375" spans="1:9">
      <c r="A375" s="1">
        <v>38539</v>
      </c>
      <c r="B375">
        <v>6222.05</v>
      </c>
      <c r="C375">
        <v>15.64</v>
      </c>
      <c r="D375">
        <v>8.15</v>
      </c>
      <c r="E375">
        <v>23.49</v>
      </c>
      <c r="F375" s="4">
        <f t="shared" si="20"/>
        <v>-1.6030063991886736E-3</v>
      </c>
      <c r="G375" s="4">
        <f t="shared" si="21"/>
        <v>5.1413881748072028E-3</v>
      </c>
      <c r="H375" s="4">
        <f t="shared" si="22"/>
        <v>2.4600246002459496E-3</v>
      </c>
      <c r="I375" s="4">
        <f t="shared" si="23"/>
        <v>4.7048759623609685E-3</v>
      </c>
    </row>
    <row r="376" spans="1:9">
      <c r="A376" s="1">
        <v>38540</v>
      </c>
      <c r="B376">
        <v>6212.6</v>
      </c>
      <c r="C376">
        <v>15.32</v>
      </c>
      <c r="D376">
        <v>7.95</v>
      </c>
      <c r="E376">
        <v>23.89</v>
      </c>
      <c r="F376" s="4">
        <f t="shared" si="20"/>
        <v>-1.5187920379938795E-3</v>
      </c>
      <c r="G376" s="4">
        <f t="shared" si="21"/>
        <v>-2.0460358056266004E-2</v>
      </c>
      <c r="H376" s="4">
        <f t="shared" si="22"/>
        <v>-2.4539877300613518E-2</v>
      </c>
      <c r="I376" s="4">
        <f t="shared" si="23"/>
        <v>1.7028522775649306E-2</v>
      </c>
    </row>
    <row r="377" spans="1:9">
      <c r="A377" s="1">
        <v>38541</v>
      </c>
      <c r="B377">
        <v>6201.4</v>
      </c>
      <c r="C377">
        <v>15.44</v>
      </c>
      <c r="D377">
        <v>7.95</v>
      </c>
      <c r="E377">
        <v>23.89</v>
      </c>
      <c r="F377" s="4">
        <f t="shared" si="20"/>
        <v>-1.802787882690134E-3</v>
      </c>
      <c r="G377" s="4">
        <f t="shared" si="21"/>
        <v>7.8328981723237087E-3</v>
      </c>
      <c r="H377" s="4">
        <f t="shared" si="22"/>
        <v>0</v>
      </c>
      <c r="I377" s="4">
        <f t="shared" si="23"/>
        <v>0</v>
      </c>
    </row>
    <row r="378" spans="1:9">
      <c r="A378" s="1">
        <v>38544</v>
      </c>
      <c r="B378">
        <v>6298.86</v>
      </c>
      <c r="C378">
        <v>15.68</v>
      </c>
      <c r="D378">
        <v>8.0299999999999994</v>
      </c>
      <c r="E378">
        <v>24.55</v>
      </c>
      <c r="F378" s="4">
        <f t="shared" si="20"/>
        <v>1.5715806108298133E-2</v>
      </c>
      <c r="G378" s="4">
        <f t="shared" si="21"/>
        <v>1.5544041450777216E-2</v>
      </c>
      <c r="H378" s="4">
        <f t="shared" si="22"/>
        <v>1.0062893081760903E-2</v>
      </c>
      <c r="I378" s="4">
        <f t="shared" si="23"/>
        <v>2.7626622017580583E-2</v>
      </c>
    </row>
    <row r="379" spans="1:9">
      <c r="A379" s="1">
        <v>38545</v>
      </c>
      <c r="B379">
        <v>6358.81</v>
      </c>
      <c r="C379">
        <v>15.68</v>
      </c>
      <c r="D379">
        <v>8.07</v>
      </c>
      <c r="E379">
        <v>25.16</v>
      </c>
      <c r="F379" s="4">
        <f t="shared" si="20"/>
        <v>9.5175952473940881E-3</v>
      </c>
      <c r="G379" s="4">
        <f t="shared" si="21"/>
        <v>0</v>
      </c>
      <c r="H379" s="4">
        <f t="shared" si="22"/>
        <v>4.9813200498133158E-3</v>
      </c>
      <c r="I379" s="4">
        <f t="shared" si="23"/>
        <v>2.4847250509164944E-2</v>
      </c>
    </row>
    <row r="380" spans="1:9">
      <c r="A380" s="1">
        <v>38546</v>
      </c>
      <c r="B380">
        <v>6377.09</v>
      </c>
      <c r="C380">
        <v>15.72</v>
      </c>
      <c r="D380">
        <v>8.07</v>
      </c>
      <c r="E380">
        <v>25.11</v>
      </c>
      <c r="F380" s="4">
        <f t="shared" si="20"/>
        <v>2.8747517224134303E-3</v>
      </c>
      <c r="G380" s="4">
        <f t="shared" si="21"/>
        <v>2.5510204081633241E-3</v>
      </c>
      <c r="H380" s="4">
        <f t="shared" si="22"/>
        <v>0</v>
      </c>
      <c r="I380" s="4">
        <f t="shared" si="23"/>
        <v>-1.987281399046133E-3</v>
      </c>
    </row>
    <row r="381" spans="1:9">
      <c r="A381" s="1">
        <v>38547</v>
      </c>
      <c r="B381">
        <v>6418.35</v>
      </c>
      <c r="C381">
        <v>15.88</v>
      </c>
      <c r="D381">
        <v>8.07</v>
      </c>
      <c r="E381">
        <v>25.51</v>
      </c>
      <c r="F381" s="4">
        <f t="shared" si="20"/>
        <v>6.4700357059411448E-3</v>
      </c>
      <c r="G381" s="4">
        <f t="shared" si="21"/>
        <v>1.0178117048346065E-2</v>
      </c>
      <c r="H381" s="4">
        <f t="shared" si="22"/>
        <v>0</v>
      </c>
      <c r="I381" s="4">
        <f t="shared" si="23"/>
        <v>1.5929908403026768E-2</v>
      </c>
    </row>
    <row r="382" spans="1:9">
      <c r="A382" s="1">
        <v>38548</v>
      </c>
      <c r="B382">
        <v>6410.59</v>
      </c>
      <c r="C382">
        <v>16.41</v>
      </c>
      <c r="D382">
        <v>8.06</v>
      </c>
      <c r="E382">
        <v>24.85</v>
      </c>
      <c r="F382" s="4">
        <f t="shared" si="20"/>
        <v>-1.2090334743353381E-3</v>
      </c>
      <c r="G382" s="4">
        <f t="shared" si="21"/>
        <v>3.3375314861460913E-2</v>
      </c>
      <c r="H382" s="4">
        <f t="shared" si="22"/>
        <v>-1.2391573729863428E-3</v>
      </c>
      <c r="I382" s="4">
        <f t="shared" si="23"/>
        <v>-2.5872206977655826E-2</v>
      </c>
    </row>
    <row r="383" spans="1:9">
      <c r="A383" s="1">
        <v>38552</v>
      </c>
      <c r="B383">
        <v>6416.34</v>
      </c>
      <c r="C383">
        <v>16.25</v>
      </c>
      <c r="D383">
        <v>8.15</v>
      </c>
      <c r="E383">
        <v>24.5</v>
      </c>
      <c r="F383" s="4">
        <f t="shared" si="20"/>
        <v>8.9695332254909456E-4</v>
      </c>
      <c r="G383" s="4">
        <f t="shared" si="21"/>
        <v>-9.7501523461304175E-3</v>
      </c>
      <c r="H383" s="4">
        <f t="shared" si="22"/>
        <v>1.1166253101736955E-2</v>
      </c>
      <c r="I383" s="4">
        <f t="shared" si="23"/>
        <v>-1.4084507042253577E-2</v>
      </c>
    </row>
    <row r="384" spans="1:9">
      <c r="A384" s="1">
        <v>38553</v>
      </c>
      <c r="B384">
        <v>6423.81</v>
      </c>
      <c r="C384">
        <v>15.96</v>
      </c>
      <c r="D384">
        <v>8.36</v>
      </c>
      <c r="E384">
        <v>24.6</v>
      </c>
      <c r="F384" s="4">
        <f t="shared" si="20"/>
        <v>1.1642151132889239E-3</v>
      </c>
      <c r="G384" s="4">
        <f t="shared" si="21"/>
        <v>-1.7846153846153793E-2</v>
      </c>
      <c r="H384" s="4">
        <f t="shared" si="22"/>
        <v>2.5766871165644058E-2</v>
      </c>
      <c r="I384" s="4">
        <f t="shared" si="23"/>
        <v>4.0816326530612821E-3</v>
      </c>
    </row>
    <row r="385" spans="1:9">
      <c r="A385" s="1">
        <v>38554</v>
      </c>
      <c r="B385">
        <v>6394.03</v>
      </c>
      <c r="C385">
        <v>15.68</v>
      </c>
      <c r="D385">
        <v>8.32</v>
      </c>
      <c r="E385">
        <v>24.55</v>
      </c>
      <c r="F385" s="4">
        <f t="shared" si="20"/>
        <v>-4.6358780848126972E-3</v>
      </c>
      <c r="G385" s="4">
        <f t="shared" si="21"/>
        <v>-1.7543859649122879E-2</v>
      </c>
      <c r="H385" s="4">
        <f t="shared" si="22"/>
        <v>-4.7846889952152093E-3</v>
      </c>
      <c r="I385" s="4">
        <f t="shared" si="23"/>
        <v>-2.0325203252032809E-3</v>
      </c>
    </row>
    <row r="386" spans="1:9">
      <c r="A386" s="1">
        <v>38555</v>
      </c>
      <c r="B386">
        <v>6380.73</v>
      </c>
      <c r="C386">
        <v>16.45</v>
      </c>
      <c r="D386">
        <v>8.6999999999999993</v>
      </c>
      <c r="E386">
        <v>24.09</v>
      </c>
      <c r="F386" s="4">
        <f t="shared" si="20"/>
        <v>-2.0800653109228737E-3</v>
      </c>
      <c r="G386" s="4">
        <f t="shared" si="21"/>
        <v>4.9107142857142828E-2</v>
      </c>
      <c r="H386" s="4">
        <f t="shared" si="22"/>
        <v>4.5673076923076802E-2</v>
      </c>
      <c r="I386" s="4">
        <f t="shared" si="23"/>
        <v>-1.8737270875763781E-2</v>
      </c>
    </row>
    <row r="387" spans="1:9">
      <c r="A387" s="1">
        <v>38558</v>
      </c>
      <c r="B387">
        <v>6420.45</v>
      </c>
      <c r="C387">
        <v>16.329999999999998</v>
      </c>
      <c r="D387">
        <v>8.49</v>
      </c>
      <c r="E387">
        <v>23.84</v>
      </c>
      <c r="F387" s="4">
        <f t="shared" si="20"/>
        <v>6.2249930650568599E-3</v>
      </c>
      <c r="G387" s="4">
        <f t="shared" si="21"/>
        <v>-7.2948328267477816E-3</v>
      </c>
      <c r="H387" s="4">
        <f t="shared" si="22"/>
        <v>-2.4137931034482654E-2</v>
      </c>
      <c r="I387" s="4">
        <f t="shared" si="23"/>
        <v>-1.03777501037775E-2</v>
      </c>
    </row>
    <row r="388" spans="1:9">
      <c r="A388" s="1">
        <v>38559</v>
      </c>
      <c r="B388">
        <v>6366.16</v>
      </c>
      <c r="C388">
        <v>16.25</v>
      </c>
      <c r="D388">
        <v>8.2799999999999994</v>
      </c>
      <c r="E388">
        <v>23.54</v>
      </c>
      <c r="F388" s="4">
        <f t="shared" ref="F388:F451" si="24">(B388-B387)/B387</f>
        <v>-8.4557935970220096E-3</v>
      </c>
      <c r="G388" s="4">
        <f t="shared" ref="G388:G451" si="25">(C388-C387)/C387</f>
        <v>-4.898958971218512E-3</v>
      </c>
      <c r="H388" s="4">
        <f t="shared" ref="H388:H451" si="26">(D388-D387)/D387</f>
        <v>-2.4734982332155576E-2</v>
      </c>
      <c r="I388" s="4">
        <f t="shared" ref="I388:I451" si="27">(E388-E387)/E387</f>
        <v>-1.2583892617449695E-2</v>
      </c>
    </row>
    <row r="389" spans="1:9">
      <c r="A389" s="1">
        <v>38560</v>
      </c>
      <c r="B389">
        <v>6327.25</v>
      </c>
      <c r="C389">
        <v>15.92</v>
      </c>
      <c r="D389">
        <v>8.4</v>
      </c>
      <c r="E389">
        <v>22.78</v>
      </c>
      <c r="F389" s="4">
        <f t="shared" si="24"/>
        <v>-6.1120047249833267E-3</v>
      </c>
      <c r="G389" s="4">
        <f t="shared" si="25"/>
        <v>-2.0307692307692311E-2</v>
      </c>
      <c r="H389" s="4">
        <f t="shared" si="26"/>
        <v>1.4492753623188527E-2</v>
      </c>
      <c r="I389" s="4">
        <f t="shared" si="27"/>
        <v>-3.2285471537807905E-2</v>
      </c>
    </row>
    <row r="390" spans="1:9">
      <c r="A390" s="1">
        <v>38561</v>
      </c>
      <c r="B390">
        <v>6375.64</v>
      </c>
      <c r="C390">
        <v>15.88</v>
      </c>
      <c r="D390">
        <v>8.4499999999999993</v>
      </c>
      <c r="E390">
        <v>23.03</v>
      </c>
      <c r="F390" s="4">
        <f t="shared" si="24"/>
        <v>7.6478722983919284E-3</v>
      </c>
      <c r="G390" s="4">
        <f t="shared" si="25"/>
        <v>-2.512562814070298E-3</v>
      </c>
      <c r="H390" s="4">
        <f t="shared" si="26"/>
        <v>5.9523809523808254E-3</v>
      </c>
      <c r="I390" s="4">
        <f t="shared" si="27"/>
        <v>1.0974539069359086E-2</v>
      </c>
    </row>
    <row r="391" spans="1:9">
      <c r="A391" s="1">
        <v>38562</v>
      </c>
      <c r="B391">
        <v>6311.98</v>
      </c>
      <c r="C391">
        <v>15.88</v>
      </c>
      <c r="D391">
        <v>8.65</v>
      </c>
      <c r="E391">
        <v>22.83</v>
      </c>
      <c r="F391" s="4">
        <f t="shared" si="24"/>
        <v>-9.9848799493071697E-3</v>
      </c>
      <c r="G391" s="4">
        <f t="shared" si="25"/>
        <v>0</v>
      </c>
      <c r="H391" s="4">
        <f t="shared" si="26"/>
        <v>2.3668639053254566E-2</v>
      </c>
      <c r="I391" s="4">
        <f t="shared" si="27"/>
        <v>-8.6843247937474083E-3</v>
      </c>
    </row>
    <row r="392" spans="1:9">
      <c r="A392" s="1">
        <v>38565</v>
      </c>
      <c r="B392">
        <v>6307.93</v>
      </c>
      <c r="C392">
        <v>15.96</v>
      </c>
      <c r="D392">
        <v>8.36</v>
      </c>
      <c r="E392">
        <v>22.88</v>
      </c>
      <c r="F392" s="4">
        <f t="shared" si="24"/>
        <v>-6.4163701405886466E-4</v>
      </c>
      <c r="G392" s="4">
        <f t="shared" si="25"/>
        <v>5.0377833753148657E-3</v>
      </c>
      <c r="H392" s="4">
        <f t="shared" si="26"/>
        <v>-3.352601156069375E-2</v>
      </c>
      <c r="I392" s="4">
        <f t="shared" si="27"/>
        <v>2.1901007446342843E-3</v>
      </c>
    </row>
    <row r="393" spans="1:9">
      <c r="A393" s="1">
        <v>38566</v>
      </c>
      <c r="B393">
        <v>6343.54</v>
      </c>
      <c r="C393">
        <v>16.09</v>
      </c>
      <c r="D393">
        <v>8.4499999999999993</v>
      </c>
      <c r="E393">
        <v>24.03</v>
      </c>
      <c r="F393" s="4">
        <f t="shared" si="24"/>
        <v>5.6452750743904373E-3</v>
      </c>
      <c r="G393" s="4">
        <f t="shared" si="25"/>
        <v>8.1453634085212404E-3</v>
      </c>
      <c r="H393" s="4">
        <f t="shared" si="26"/>
        <v>1.0765550239234433E-2</v>
      </c>
      <c r="I393" s="4">
        <f t="shared" si="27"/>
        <v>5.0262237762237857E-2</v>
      </c>
    </row>
    <row r="394" spans="1:9">
      <c r="A394" s="1">
        <v>38567</v>
      </c>
      <c r="B394">
        <v>6455.57</v>
      </c>
      <c r="C394">
        <v>16.53</v>
      </c>
      <c r="D394">
        <v>8.4499999999999993</v>
      </c>
      <c r="E394">
        <v>25.16</v>
      </c>
      <c r="F394" s="4">
        <f t="shared" si="24"/>
        <v>1.7660486100820636E-2</v>
      </c>
      <c r="G394" s="4">
        <f t="shared" si="25"/>
        <v>2.7346177750155454E-2</v>
      </c>
      <c r="H394" s="4">
        <f t="shared" si="26"/>
        <v>0</v>
      </c>
      <c r="I394" s="4">
        <f t="shared" si="27"/>
        <v>4.7024552642530124E-2</v>
      </c>
    </row>
    <row r="395" spans="1:9">
      <c r="A395" s="1">
        <v>38568</v>
      </c>
      <c r="B395">
        <v>6446.01</v>
      </c>
      <c r="C395">
        <v>16.57</v>
      </c>
      <c r="D395">
        <v>8.32</v>
      </c>
      <c r="E395">
        <v>24.99</v>
      </c>
      <c r="F395" s="4">
        <f t="shared" si="24"/>
        <v>-1.4808916950787446E-3</v>
      </c>
      <c r="G395" s="4">
        <f t="shared" si="25"/>
        <v>2.4198427102237836E-3</v>
      </c>
      <c r="H395" s="4">
        <f t="shared" si="26"/>
        <v>-1.5384615384615268E-2</v>
      </c>
      <c r="I395" s="4">
        <f t="shared" si="27"/>
        <v>-6.7567567567568248E-3</v>
      </c>
    </row>
    <row r="396" spans="1:9">
      <c r="A396" s="1">
        <v>38572</v>
      </c>
      <c r="B396">
        <v>6380.03</v>
      </c>
      <c r="C396">
        <v>16.53</v>
      </c>
      <c r="D396">
        <v>8.32</v>
      </c>
      <c r="E396">
        <v>24.71</v>
      </c>
      <c r="F396" s="4">
        <f t="shared" si="24"/>
        <v>-1.023578927119264E-2</v>
      </c>
      <c r="G396" s="4">
        <f t="shared" si="25"/>
        <v>-2.4140012070005519E-3</v>
      </c>
      <c r="H396" s="4">
        <f t="shared" si="26"/>
        <v>0</v>
      </c>
      <c r="I396" s="4">
        <f t="shared" si="27"/>
        <v>-1.1204481792716992E-2</v>
      </c>
    </row>
    <row r="397" spans="1:9">
      <c r="A397" s="1">
        <v>38573</v>
      </c>
      <c r="B397">
        <v>6380</v>
      </c>
      <c r="C397">
        <v>16.37</v>
      </c>
      <c r="D397">
        <v>8.27</v>
      </c>
      <c r="E397">
        <v>24.25</v>
      </c>
      <c r="F397" s="4">
        <f t="shared" si="24"/>
        <v>-4.7021722467990502E-6</v>
      </c>
      <c r="G397" s="4">
        <f t="shared" si="25"/>
        <v>-9.6793708408953495E-3</v>
      </c>
      <c r="H397" s="4">
        <f t="shared" si="26"/>
        <v>-6.00961538461547E-3</v>
      </c>
      <c r="I397" s="4">
        <f t="shared" si="27"/>
        <v>-1.8615944961554061E-2</v>
      </c>
    </row>
    <row r="398" spans="1:9">
      <c r="A398" s="1">
        <v>38574</v>
      </c>
      <c r="B398">
        <v>6356.84</v>
      </c>
      <c r="C398">
        <v>15.72</v>
      </c>
      <c r="D398">
        <v>8.3000000000000007</v>
      </c>
      <c r="E398">
        <v>25.27</v>
      </c>
      <c r="F398" s="4">
        <f t="shared" si="24"/>
        <v>-3.6300940438871243E-3</v>
      </c>
      <c r="G398" s="4">
        <f t="shared" si="25"/>
        <v>-3.9706780696395869E-2</v>
      </c>
      <c r="H398" s="4">
        <f t="shared" si="26"/>
        <v>3.6275695284160988E-3</v>
      </c>
      <c r="I398" s="4">
        <f t="shared" si="27"/>
        <v>4.2061855670103072E-2</v>
      </c>
    </row>
    <row r="399" spans="1:9">
      <c r="A399" s="1">
        <v>38575</v>
      </c>
      <c r="B399">
        <v>6353.71</v>
      </c>
      <c r="C399">
        <v>15.8</v>
      </c>
      <c r="D399">
        <v>8.3000000000000007</v>
      </c>
      <c r="E399">
        <v>25.72</v>
      </c>
      <c r="F399" s="4">
        <f t="shared" si="24"/>
        <v>-4.9238300790960742E-4</v>
      </c>
      <c r="G399" s="4">
        <f t="shared" si="25"/>
        <v>5.0890585241730327E-3</v>
      </c>
      <c r="H399" s="4">
        <f t="shared" si="26"/>
        <v>0</v>
      </c>
      <c r="I399" s="4">
        <f t="shared" si="27"/>
        <v>1.7807677087455454E-2</v>
      </c>
    </row>
    <row r="400" spans="1:9">
      <c r="A400" s="1">
        <v>38576</v>
      </c>
      <c r="B400">
        <v>6350.9</v>
      </c>
      <c r="C400">
        <v>16.21</v>
      </c>
      <c r="D400">
        <v>8.4</v>
      </c>
      <c r="E400">
        <v>25.5</v>
      </c>
      <c r="F400" s="4">
        <f t="shared" si="24"/>
        <v>-4.4226129300839982E-4</v>
      </c>
      <c r="G400" s="4">
        <f t="shared" si="25"/>
        <v>2.5949367088607601E-2</v>
      </c>
      <c r="H400" s="4">
        <f t="shared" si="26"/>
        <v>1.2048192771084293E-2</v>
      </c>
      <c r="I400" s="4">
        <f t="shared" si="27"/>
        <v>-8.5536547433903137E-3</v>
      </c>
    </row>
    <row r="401" spans="1:9">
      <c r="A401" s="1">
        <v>38579</v>
      </c>
      <c r="B401">
        <v>6245.13</v>
      </c>
      <c r="C401">
        <v>16.45</v>
      </c>
      <c r="D401">
        <v>8.36</v>
      </c>
      <c r="E401">
        <v>24.82</v>
      </c>
      <c r="F401" s="4">
        <f t="shared" si="24"/>
        <v>-1.6654332456817071E-2</v>
      </c>
      <c r="G401" s="4">
        <f t="shared" si="25"/>
        <v>1.4805675508944998E-2</v>
      </c>
      <c r="H401" s="4">
        <f t="shared" si="26"/>
        <v>-4.7619047619048716E-3</v>
      </c>
      <c r="I401" s="4">
        <f t="shared" si="27"/>
        <v>-2.6666666666666655E-2</v>
      </c>
    </row>
    <row r="402" spans="1:9">
      <c r="A402" s="1">
        <v>38580</v>
      </c>
      <c r="B402">
        <v>6242.4</v>
      </c>
      <c r="C402">
        <v>16.25</v>
      </c>
      <c r="D402">
        <v>8.32</v>
      </c>
      <c r="E402">
        <v>24.71</v>
      </c>
      <c r="F402" s="4">
        <f t="shared" si="24"/>
        <v>-4.3714061997115718E-4</v>
      </c>
      <c r="G402" s="4">
        <f t="shared" si="25"/>
        <v>-1.2158054711246157E-2</v>
      </c>
      <c r="H402" s="4">
        <f t="shared" si="26"/>
        <v>-4.7846889952152093E-3</v>
      </c>
      <c r="I402" s="4">
        <f t="shared" si="27"/>
        <v>-4.4319097502014274E-3</v>
      </c>
    </row>
    <row r="403" spans="1:9">
      <c r="A403" s="1">
        <v>38581</v>
      </c>
      <c r="B403">
        <v>6241.92</v>
      </c>
      <c r="C403">
        <v>16.13</v>
      </c>
      <c r="D403">
        <v>8.32</v>
      </c>
      <c r="E403">
        <v>24.54</v>
      </c>
      <c r="F403" s="4">
        <f t="shared" si="24"/>
        <v>-7.6893502498968905E-5</v>
      </c>
      <c r="G403" s="4">
        <f t="shared" si="25"/>
        <v>-7.384615384615446E-3</v>
      </c>
      <c r="H403" s="4">
        <f t="shared" si="26"/>
        <v>0</v>
      </c>
      <c r="I403" s="4">
        <f t="shared" si="27"/>
        <v>-6.8798057466613396E-3</v>
      </c>
    </row>
    <row r="404" spans="1:9">
      <c r="A404" s="1">
        <v>38582</v>
      </c>
      <c r="B404">
        <v>6205.09</v>
      </c>
      <c r="C404">
        <v>16.13</v>
      </c>
      <c r="D404">
        <v>8.2899999999999991</v>
      </c>
      <c r="E404">
        <v>23.97</v>
      </c>
      <c r="F404" s="4">
        <f t="shared" si="24"/>
        <v>-5.9004280734132972E-3</v>
      </c>
      <c r="G404" s="4">
        <f t="shared" si="25"/>
        <v>0</v>
      </c>
      <c r="H404" s="4">
        <f t="shared" si="26"/>
        <v>-3.6057692307693671E-3</v>
      </c>
      <c r="I404" s="4">
        <f t="shared" si="27"/>
        <v>-2.3227383863080698E-2</v>
      </c>
    </row>
    <row r="405" spans="1:9">
      <c r="A405" s="1">
        <v>38583</v>
      </c>
      <c r="B405">
        <v>6158.94</v>
      </c>
      <c r="C405">
        <v>15.96</v>
      </c>
      <c r="D405">
        <v>8.2799999999999994</v>
      </c>
      <c r="E405">
        <v>23.47</v>
      </c>
      <c r="F405" s="4">
        <f t="shared" si="24"/>
        <v>-7.4374424867327538E-3</v>
      </c>
      <c r="G405" s="4">
        <f t="shared" si="25"/>
        <v>-1.053936763794161E-2</v>
      </c>
      <c r="H405" s="4">
        <f t="shared" si="26"/>
        <v>-1.2062726176115546E-3</v>
      </c>
      <c r="I405" s="4">
        <f t="shared" si="27"/>
        <v>-2.0859407592824366E-2</v>
      </c>
    </row>
    <row r="406" spans="1:9">
      <c r="A406" s="1">
        <v>38586</v>
      </c>
      <c r="B406">
        <v>6206.65</v>
      </c>
      <c r="C406">
        <v>16.170000000000002</v>
      </c>
      <c r="D406">
        <v>8.2799999999999994</v>
      </c>
      <c r="E406">
        <v>23.8</v>
      </c>
      <c r="F406" s="4">
        <f t="shared" si="24"/>
        <v>7.7464628653632021E-3</v>
      </c>
      <c r="G406" s="4">
        <f t="shared" si="25"/>
        <v>1.3157894736842158E-2</v>
      </c>
      <c r="H406" s="4">
        <f t="shared" si="26"/>
        <v>0</v>
      </c>
      <c r="I406" s="4">
        <f t="shared" si="27"/>
        <v>1.406050276949305E-2</v>
      </c>
    </row>
    <row r="407" spans="1:9">
      <c r="A407" s="1">
        <v>38587</v>
      </c>
      <c r="B407">
        <v>6195.18</v>
      </c>
      <c r="C407">
        <v>16.29</v>
      </c>
      <c r="D407">
        <v>8.24</v>
      </c>
      <c r="E407">
        <v>24.03</v>
      </c>
      <c r="F407" s="4">
        <f t="shared" si="24"/>
        <v>-1.8480178518201196E-3</v>
      </c>
      <c r="G407" s="4">
        <f t="shared" si="25"/>
        <v>7.4211502782929768E-3</v>
      </c>
      <c r="H407" s="4">
        <f t="shared" si="26"/>
        <v>-4.8309178743960327E-3</v>
      </c>
      <c r="I407" s="4">
        <f t="shared" si="27"/>
        <v>9.6638655462185051E-3</v>
      </c>
    </row>
    <row r="408" spans="1:9">
      <c r="A408" s="1">
        <v>38588</v>
      </c>
      <c r="B408">
        <v>6127.24</v>
      </c>
      <c r="C408">
        <v>16.37</v>
      </c>
      <c r="D408">
        <v>8.2100000000000009</v>
      </c>
      <c r="E408">
        <v>23.3</v>
      </c>
      <c r="F408" s="4">
        <f t="shared" si="24"/>
        <v>-1.096659015557264E-2</v>
      </c>
      <c r="G408" s="4">
        <f t="shared" si="25"/>
        <v>4.9109883364028151E-3</v>
      </c>
      <c r="H408" s="4">
        <f t="shared" si="26"/>
        <v>-3.6407766990290487E-3</v>
      </c>
      <c r="I408" s="4">
        <f t="shared" si="27"/>
        <v>-3.0378693300041632E-2</v>
      </c>
    </row>
    <row r="409" spans="1:9">
      <c r="A409" s="1">
        <v>38589</v>
      </c>
      <c r="B409">
        <v>6109.66</v>
      </c>
      <c r="C409">
        <v>16.45</v>
      </c>
      <c r="D409">
        <v>8.15</v>
      </c>
      <c r="E409">
        <v>22.96</v>
      </c>
      <c r="F409" s="4">
        <f t="shared" si="24"/>
        <v>-2.8691547907377427E-3</v>
      </c>
      <c r="G409" s="4">
        <f t="shared" si="25"/>
        <v>4.8869883934024609E-3</v>
      </c>
      <c r="H409" s="4">
        <f t="shared" si="26"/>
        <v>-7.3081607795372093E-3</v>
      </c>
      <c r="I409" s="4">
        <f t="shared" si="27"/>
        <v>-1.4592274678111581E-2</v>
      </c>
    </row>
    <row r="410" spans="1:9">
      <c r="A410" s="1">
        <v>38590</v>
      </c>
      <c r="B410">
        <v>6136.55</v>
      </c>
      <c r="C410">
        <v>16.37</v>
      </c>
      <c r="D410">
        <v>8.1999999999999993</v>
      </c>
      <c r="E410">
        <v>23.18</v>
      </c>
      <c r="F410" s="4">
        <f t="shared" si="24"/>
        <v>4.4012269095171138E-3</v>
      </c>
      <c r="G410" s="4">
        <f t="shared" si="25"/>
        <v>-4.8632218844983765E-3</v>
      </c>
      <c r="H410" s="4">
        <f t="shared" si="26"/>
        <v>6.1349693251532434E-3</v>
      </c>
      <c r="I410" s="4">
        <f t="shared" si="27"/>
        <v>9.5818815331009961E-3</v>
      </c>
    </row>
    <row r="411" spans="1:9">
      <c r="A411" s="1">
        <v>38593</v>
      </c>
      <c r="B411">
        <v>6049.44</v>
      </c>
      <c r="C411">
        <v>16.29</v>
      </c>
      <c r="D411">
        <v>8.19</v>
      </c>
      <c r="E411">
        <v>22.22</v>
      </c>
      <c r="F411" s="4">
        <f t="shared" si="24"/>
        <v>-1.4195272588017791E-2</v>
      </c>
      <c r="G411" s="4">
        <f t="shared" si="25"/>
        <v>-4.8869883934026786E-3</v>
      </c>
      <c r="H411" s="4">
        <f t="shared" si="26"/>
        <v>-1.2195121951219254E-3</v>
      </c>
      <c r="I411" s="4">
        <f t="shared" si="27"/>
        <v>-4.1415012942191583E-2</v>
      </c>
    </row>
    <row r="412" spans="1:9">
      <c r="A412" s="1">
        <v>38594</v>
      </c>
      <c r="B412">
        <v>6032.12</v>
      </c>
      <c r="C412">
        <v>16.29</v>
      </c>
      <c r="D412">
        <v>8.2899999999999991</v>
      </c>
      <c r="E412">
        <v>22.11</v>
      </c>
      <c r="F412" s="4">
        <f t="shared" si="24"/>
        <v>-2.8630749292496015E-3</v>
      </c>
      <c r="G412" s="4">
        <f t="shared" si="25"/>
        <v>0</v>
      </c>
      <c r="H412" s="4">
        <f t="shared" si="26"/>
        <v>1.2210012210012167E-2</v>
      </c>
      <c r="I412" s="4">
        <f t="shared" si="27"/>
        <v>-4.9504950495049254E-3</v>
      </c>
    </row>
    <row r="413" spans="1:9">
      <c r="A413" s="1">
        <v>38595</v>
      </c>
      <c r="B413">
        <v>6033.47</v>
      </c>
      <c r="C413">
        <v>16.29</v>
      </c>
      <c r="D413">
        <v>8.5</v>
      </c>
      <c r="E413">
        <v>22.11</v>
      </c>
      <c r="F413" s="4">
        <f t="shared" si="24"/>
        <v>2.238019137550917E-4</v>
      </c>
      <c r="G413" s="4">
        <f t="shared" si="25"/>
        <v>0</v>
      </c>
      <c r="H413" s="4">
        <f t="shared" si="26"/>
        <v>2.5331724969843289E-2</v>
      </c>
      <c r="I413" s="4">
        <f t="shared" si="27"/>
        <v>0</v>
      </c>
    </row>
    <row r="414" spans="1:9">
      <c r="A414" s="1">
        <v>38597</v>
      </c>
      <c r="B414">
        <v>6116.05</v>
      </c>
      <c r="C414">
        <v>16.29</v>
      </c>
      <c r="D414">
        <v>9.06</v>
      </c>
      <c r="E414">
        <v>23.13</v>
      </c>
      <c r="F414" s="4">
        <f t="shared" si="24"/>
        <v>1.3686982781053013E-2</v>
      </c>
      <c r="G414" s="4">
        <f t="shared" si="25"/>
        <v>0</v>
      </c>
      <c r="H414" s="4">
        <f t="shared" si="26"/>
        <v>6.5882352941176531E-2</v>
      </c>
      <c r="I414" s="4">
        <f t="shared" si="27"/>
        <v>4.6132971506105819E-2</v>
      </c>
    </row>
    <row r="415" spans="1:9">
      <c r="A415" s="1">
        <v>38600</v>
      </c>
      <c r="B415">
        <v>6098.78</v>
      </c>
      <c r="C415">
        <v>16.29</v>
      </c>
      <c r="D415">
        <v>9.66</v>
      </c>
      <c r="E415">
        <v>22.45</v>
      </c>
      <c r="F415" s="4">
        <f t="shared" si="24"/>
        <v>-2.8237179225154203E-3</v>
      </c>
      <c r="G415" s="4">
        <f t="shared" si="25"/>
        <v>0</v>
      </c>
      <c r="H415" s="4">
        <f t="shared" si="26"/>
        <v>6.6225165562913871E-2</v>
      </c>
      <c r="I415" s="4">
        <f t="shared" si="27"/>
        <v>-2.9399048854301762E-2</v>
      </c>
    </row>
    <row r="416" spans="1:9">
      <c r="A416" s="1">
        <v>38601</v>
      </c>
      <c r="B416">
        <v>6140.14</v>
      </c>
      <c r="C416">
        <v>16.329999999999998</v>
      </c>
      <c r="D416">
        <v>9.8800000000000008</v>
      </c>
      <c r="E416">
        <v>22.79</v>
      </c>
      <c r="F416" s="4">
        <f t="shared" si="24"/>
        <v>6.7816842056936935E-3</v>
      </c>
      <c r="G416" s="4">
        <f t="shared" si="25"/>
        <v>2.4554941682012983E-3</v>
      </c>
      <c r="H416" s="4">
        <f t="shared" si="26"/>
        <v>2.2774327122153274E-2</v>
      </c>
      <c r="I416" s="4">
        <f t="shared" si="27"/>
        <v>1.5144766146993312E-2</v>
      </c>
    </row>
    <row r="417" spans="1:9">
      <c r="A417" s="1">
        <v>38602</v>
      </c>
      <c r="B417">
        <v>6141.14</v>
      </c>
      <c r="C417">
        <v>16.41</v>
      </c>
      <c r="D417">
        <v>10.26</v>
      </c>
      <c r="E417">
        <v>23.01</v>
      </c>
      <c r="F417" s="4">
        <f t="shared" si="24"/>
        <v>1.6286273602882019E-4</v>
      </c>
      <c r="G417" s="4">
        <f t="shared" si="25"/>
        <v>4.8989589712187297E-3</v>
      </c>
      <c r="H417" s="4">
        <f t="shared" si="26"/>
        <v>3.846153846153836E-2</v>
      </c>
      <c r="I417" s="4">
        <f t="shared" si="27"/>
        <v>9.6533567354103733E-3</v>
      </c>
    </row>
    <row r="418" spans="1:9">
      <c r="A418" s="1">
        <v>38603</v>
      </c>
      <c r="B418">
        <v>6149.88</v>
      </c>
      <c r="C418">
        <v>16.41</v>
      </c>
      <c r="D418">
        <v>10</v>
      </c>
      <c r="E418">
        <v>23.24</v>
      </c>
      <c r="F418" s="4">
        <f t="shared" si="24"/>
        <v>1.4231885285142141E-3</v>
      </c>
      <c r="G418" s="4">
        <f t="shared" si="25"/>
        <v>0</v>
      </c>
      <c r="H418" s="4">
        <f t="shared" si="26"/>
        <v>-2.534113060428848E-2</v>
      </c>
      <c r="I418" s="4">
        <f t="shared" si="27"/>
        <v>9.9956540634505379E-3</v>
      </c>
    </row>
    <row r="419" spans="1:9">
      <c r="A419" s="1">
        <v>38604</v>
      </c>
      <c r="B419">
        <v>6119.06</v>
      </c>
      <c r="C419">
        <v>16.29</v>
      </c>
      <c r="D419">
        <v>10.050000000000001</v>
      </c>
      <c r="E419">
        <v>23.01</v>
      </c>
      <c r="F419" s="4">
        <f t="shared" si="24"/>
        <v>-5.0114798987947254E-3</v>
      </c>
      <c r="G419" s="4">
        <f t="shared" si="25"/>
        <v>-7.3126142595978669E-3</v>
      </c>
      <c r="H419" s="4">
        <f t="shared" si="26"/>
        <v>5.0000000000000712E-3</v>
      </c>
      <c r="I419" s="4">
        <f t="shared" si="27"/>
        <v>-9.8967297762477154E-3</v>
      </c>
    </row>
    <row r="420" spans="1:9">
      <c r="A420" s="1">
        <v>38607</v>
      </c>
      <c r="B420">
        <v>6164.98</v>
      </c>
      <c r="C420">
        <v>16.29</v>
      </c>
      <c r="D420">
        <v>10.09</v>
      </c>
      <c r="E420">
        <v>23.41</v>
      </c>
      <c r="F420" s="4">
        <f t="shared" si="24"/>
        <v>7.5044206136235239E-3</v>
      </c>
      <c r="G420" s="4">
        <f t="shared" si="25"/>
        <v>0</v>
      </c>
      <c r="H420" s="4">
        <f t="shared" si="26"/>
        <v>3.9800995024874769E-3</v>
      </c>
      <c r="I420" s="4">
        <f t="shared" si="27"/>
        <v>1.7383746197305455E-2</v>
      </c>
    </row>
    <row r="421" spans="1:9">
      <c r="A421" s="1">
        <v>38608</v>
      </c>
      <c r="B421">
        <v>6169.08</v>
      </c>
      <c r="C421">
        <v>16.29</v>
      </c>
      <c r="D421">
        <v>9.9600000000000009</v>
      </c>
      <c r="E421">
        <v>23.47</v>
      </c>
      <c r="F421" s="4">
        <f t="shared" si="24"/>
        <v>6.6504676414203521E-4</v>
      </c>
      <c r="G421" s="4">
        <f t="shared" si="25"/>
        <v>0</v>
      </c>
      <c r="H421" s="4">
        <f t="shared" si="26"/>
        <v>-1.2884043607532111E-2</v>
      </c>
      <c r="I421" s="4">
        <f t="shared" si="27"/>
        <v>2.5630072618538541E-3</v>
      </c>
    </row>
    <row r="422" spans="1:9">
      <c r="A422" s="1">
        <v>38609</v>
      </c>
      <c r="B422">
        <v>6148.7</v>
      </c>
      <c r="C422">
        <v>16.29</v>
      </c>
      <c r="D422">
        <v>9.7899999999999991</v>
      </c>
      <c r="E422">
        <v>23.24</v>
      </c>
      <c r="F422" s="4">
        <f t="shared" si="24"/>
        <v>-3.3035720074954629E-3</v>
      </c>
      <c r="G422" s="4">
        <f t="shared" si="25"/>
        <v>0</v>
      </c>
      <c r="H422" s="4">
        <f t="shared" si="26"/>
        <v>-1.7068273092369649E-2</v>
      </c>
      <c r="I422" s="4">
        <f t="shared" si="27"/>
        <v>-9.7997443544951181E-3</v>
      </c>
    </row>
    <row r="423" spans="1:9">
      <c r="A423" s="1">
        <v>38610</v>
      </c>
      <c r="B423">
        <v>6082.56</v>
      </c>
      <c r="C423">
        <v>16.170000000000002</v>
      </c>
      <c r="D423">
        <v>9.6999999999999993</v>
      </c>
      <c r="E423">
        <v>23.13</v>
      </c>
      <c r="F423" s="4">
        <f t="shared" si="24"/>
        <v>-1.075674532828068E-2</v>
      </c>
      <c r="G423" s="4">
        <f t="shared" si="25"/>
        <v>-7.3664825046038948E-3</v>
      </c>
      <c r="H423" s="4">
        <f t="shared" si="26"/>
        <v>-9.1930541368743478E-3</v>
      </c>
      <c r="I423" s="4">
        <f t="shared" si="27"/>
        <v>-4.7332185886402511E-3</v>
      </c>
    </row>
    <row r="424" spans="1:9">
      <c r="A424" s="1">
        <v>38611</v>
      </c>
      <c r="B424">
        <v>6031.24</v>
      </c>
      <c r="C424">
        <v>16.13</v>
      </c>
      <c r="D424">
        <v>9.8800000000000008</v>
      </c>
      <c r="E424">
        <v>23.13</v>
      </c>
      <c r="F424" s="4">
        <f t="shared" si="24"/>
        <v>-8.4372369528620539E-3</v>
      </c>
      <c r="G424" s="4">
        <f t="shared" si="25"/>
        <v>-2.4737167594312119E-3</v>
      </c>
      <c r="H424" s="4">
        <f t="shared" si="26"/>
        <v>1.8556701030927991E-2</v>
      </c>
      <c r="I424" s="4">
        <f t="shared" si="27"/>
        <v>0</v>
      </c>
    </row>
    <row r="425" spans="1:9">
      <c r="A425" s="1">
        <v>38614</v>
      </c>
      <c r="B425">
        <v>6035.59</v>
      </c>
      <c r="C425">
        <v>16.34</v>
      </c>
      <c r="D425">
        <v>10</v>
      </c>
      <c r="E425">
        <v>23.69</v>
      </c>
      <c r="F425" s="4">
        <f t="shared" si="24"/>
        <v>7.2124471916228897E-4</v>
      </c>
      <c r="G425" s="4">
        <f t="shared" si="25"/>
        <v>1.3019218846869242E-2</v>
      </c>
      <c r="H425" s="4">
        <f t="shared" si="26"/>
        <v>1.2145748987854171E-2</v>
      </c>
      <c r="I425" s="4">
        <f t="shared" si="27"/>
        <v>2.4210981409425087E-2</v>
      </c>
    </row>
    <row r="426" spans="1:9">
      <c r="A426" s="1">
        <v>38615</v>
      </c>
      <c r="B426">
        <v>6105.35</v>
      </c>
      <c r="C426">
        <v>16.48</v>
      </c>
      <c r="D426">
        <v>10.26</v>
      </c>
      <c r="E426">
        <v>23.69</v>
      </c>
      <c r="F426" s="4">
        <f t="shared" si="24"/>
        <v>1.1558107823758774E-2</v>
      </c>
      <c r="G426" s="4">
        <f t="shared" si="25"/>
        <v>8.5679314565483833E-3</v>
      </c>
      <c r="H426" s="4">
        <f t="shared" si="26"/>
        <v>2.5999999999999978E-2</v>
      </c>
      <c r="I426" s="4">
        <f t="shared" si="27"/>
        <v>0</v>
      </c>
    </row>
    <row r="427" spans="1:9">
      <c r="A427" s="1">
        <v>38616</v>
      </c>
      <c r="B427">
        <v>6067.34</v>
      </c>
      <c r="C427">
        <v>16.87</v>
      </c>
      <c r="D427">
        <v>10.220000000000001</v>
      </c>
      <c r="E427">
        <v>23.24</v>
      </c>
      <c r="F427" s="4">
        <f t="shared" si="24"/>
        <v>-6.2256873070340299E-3</v>
      </c>
      <c r="G427" s="4">
        <f t="shared" si="25"/>
        <v>2.3665048543689355E-2</v>
      </c>
      <c r="H427" s="4">
        <f t="shared" si="26"/>
        <v>-3.898635477582763E-3</v>
      </c>
      <c r="I427" s="4">
        <f t="shared" si="27"/>
        <v>-1.8995356690586863E-2</v>
      </c>
    </row>
    <row r="428" spans="1:9">
      <c r="A428" s="1">
        <v>38617</v>
      </c>
      <c r="B428">
        <v>5972.06</v>
      </c>
      <c r="C428">
        <v>16.96</v>
      </c>
      <c r="D428">
        <v>9.8800000000000008</v>
      </c>
      <c r="E428">
        <v>22.45</v>
      </c>
      <c r="F428" s="4">
        <f t="shared" si="24"/>
        <v>-1.570375156163982E-2</v>
      </c>
      <c r="G428" s="4">
        <f t="shared" si="25"/>
        <v>5.3349140486069861E-3</v>
      </c>
      <c r="H428" s="4">
        <f t="shared" si="26"/>
        <v>-3.326810176125243E-2</v>
      </c>
      <c r="I428" s="4">
        <f t="shared" si="27"/>
        <v>-3.3993115318416492E-2</v>
      </c>
    </row>
    <row r="429" spans="1:9">
      <c r="A429" s="1">
        <v>38618</v>
      </c>
      <c r="B429">
        <v>5925.54</v>
      </c>
      <c r="C429">
        <v>17.09</v>
      </c>
      <c r="D429">
        <v>9.8800000000000008</v>
      </c>
      <c r="E429">
        <v>22.51</v>
      </c>
      <c r="F429" s="4">
        <f t="shared" si="24"/>
        <v>-7.7896069363001096E-3</v>
      </c>
      <c r="G429" s="4">
        <f t="shared" si="25"/>
        <v>7.6650943396225826E-3</v>
      </c>
      <c r="H429" s="4">
        <f t="shared" si="26"/>
        <v>0</v>
      </c>
      <c r="I429" s="4">
        <f t="shared" si="27"/>
        <v>2.6726057906459812E-3</v>
      </c>
    </row>
    <row r="430" spans="1:9">
      <c r="A430" s="1">
        <v>38621</v>
      </c>
      <c r="B430">
        <v>5930.2</v>
      </c>
      <c r="C430">
        <v>17.309999999999999</v>
      </c>
      <c r="D430">
        <v>9.6199999999999992</v>
      </c>
      <c r="E430">
        <v>22.51</v>
      </c>
      <c r="F430" s="4">
        <f t="shared" si="24"/>
        <v>7.864262160072929E-4</v>
      </c>
      <c r="G430" s="4">
        <f t="shared" si="25"/>
        <v>1.2873025160912748E-2</v>
      </c>
      <c r="H430" s="4">
        <f t="shared" si="26"/>
        <v>-2.6315789473684365E-2</v>
      </c>
      <c r="I430" s="4">
        <f t="shared" si="27"/>
        <v>0</v>
      </c>
    </row>
    <row r="431" spans="1:9">
      <c r="A431" s="1">
        <v>38622</v>
      </c>
      <c r="B431">
        <v>5945.05</v>
      </c>
      <c r="C431">
        <v>17.829999999999998</v>
      </c>
      <c r="D431">
        <v>9.5299999999999994</v>
      </c>
      <c r="E431">
        <v>22.51</v>
      </c>
      <c r="F431" s="4">
        <f t="shared" si="24"/>
        <v>2.5041313952312511E-3</v>
      </c>
      <c r="G431" s="4">
        <f t="shared" si="25"/>
        <v>3.0040439052570745E-2</v>
      </c>
      <c r="H431" s="4">
        <f t="shared" si="26"/>
        <v>-9.3555093555093422E-3</v>
      </c>
      <c r="I431" s="4">
        <f t="shared" si="27"/>
        <v>0</v>
      </c>
    </row>
    <row r="432" spans="1:9">
      <c r="A432" s="1">
        <v>38623</v>
      </c>
      <c r="B432">
        <v>5931.38</v>
      </c>
      <c r="C432">
        <v>18.27</v>
      </c>
      <c r="D432">
        <v>9.5299999999999994</v>
      </c>
      <c r="E432">
        <v>22.22</v>
      </c>
      <c r="F432" s="4">
        <f t="shared" si="24"/>
        <v>-2.299391931102358E-3</v>
      </c>
      <c r="G432" s="4">
        <f t="shared" si="25"/>
        <v>2.4677509814918751E-2</v>
      </c>
      <c r="H432" s="4">
        <f t="shared" si="26"/>
        <v>0</v>
      </c>
      <c r="I432" s="4">
        <f t="shared" si="27"/>
        <v>-1.2883163038649607E-2</v>
      </c>
    </row>
    <row r="433" spans="1:9">
      <c r="A433" s="1">
        <v>38624</v>
      </c>
      <c r="B433">
        <v>6009.99</v>
      </c>
      <c r="C433">
        <v>18.18</v>
      </c>
      <c r="D433">
        <v>9.8800000000000008</v>
      </c>
      <c r="E433">
        <v>22.51</v>
      </c>
      <c r="F433" s="4">
        <f t="shared" si="24"/>
        <v>1.3253239549649435E-2</v>
      </c>
      <c r="G433" s="4">
        <f t="shared" si="25"/>
        <v>-4.9261083743842287E-3</v>
      </c>
      <c r="H433" s="4">
        <f t="shared" si="26"/>
        <v>3.672612801678924E-2</v>
      </c>
      <c r="I433" s="4">
        <f t="shared" si="27"/>
        <v>1.3051305130513174E-2</v>
      </c>
    </row>
    <row r="434" spans="1:9">
      <c r="A434" s="1">
        <v>38625</v>
      </c>
      <c r="B434">
        <v>6118.61</v>
      </c>
      <c r="C434">
        <v>18.309999999999999</v>
      </c>
      <c r="D434">
        <v>9.92</v>
      </c>
      <c r="E434">
        <v>24.03</v>
      </c>
      <c r="F434" s="4">
        <f t="shared" si="24"/>
        <v>1.8073241386424917E-2</v>
      </c>
      <c r="G434" s="4">
        <f t="shared" si="25"/>
        <v>7.1507150715070964E-3</v>
      </c>
      <c r="H434" s="4">
        <f t="shared" si="26"/>
        <v>4.0485829959513303E-3</v>
      </c>
      <c r="I434" s="4">
        <f t="shared" si="27"/>
        <v>6.7525544202576615E-2</v>
      </c>
    </row>
    <row r="435" spans="1:9">
      <c r="A435" s="1">
        <v>38628</v>
      </c>
      <c r="B435">
        <v>6123.92</v>
      </c>
      <c r="C435">
        <v>18.399999999999999</v>
      </c>
      <c r="D435">
        <v>9.75</v>
      </c>
      <c r="E435">
        <v>24.54</v>
      </c>
      <c r="F435" s="4">
        <f t="shared" si="24"/>
        <v>8.6784416722105189E-4</v>
      </c>
      <c r="G435" s="4">
        <f t="shared" si="25"/>
        <v>4.9153468050245697E-3</v>
      </c>
      <c r="H435" s="4">
        <f t="shared" si="26"/>
        <v>-1.713709677419354E-2</v>
      </c>
      <c r="I435" s="4">
        <f t="shared" si="27"/>
        <v>2.1223470661672825E-2</v>
      </c>
    </row>
    <row r="436" spans="1:9">
      <c r="A436" s="1">
        <v>38629</v>
      </c>
      <c r="B436">
        <v>6142.12</v>
      </c>
      <c r="C436">
        <v>18.350000000000001</v>
      </c>
      <c r="D436">
        <v>9.83</v>
      </c>
      <c r="E436">
        <v>24.88</v>
      </c>
      <c r="F436" s="4">
        <f t="shared" si="24"/>
        <v>2.9719526055206171E-3</v>
      </c>
      <c r="G436" s="4">
        <f t="shared" si="25"/>
        <v>-2.7173913043476716E-3</v>
      </c>
      <c r="H436" s="4">
        <f t="shared" si="26"/>
        <v>8.2051282051282121E-3</v>
      </c>
      <c r="I436" s="4">
        <f t="shared" si="27"/>
        <v>1.3854930725346368E-2</v>
      </c>
    </row>
    <row r="437" spans="1:9">
      <c r="A437" s="1">
        <v>38630</v>
      </c>
      <c r="B437">
        <v>6135.01</v>
      </c>
      <c r="C437">
        <v>18.27</v>
      </c>
      <c r="D437">
        <v>9.66</v>
      </c>
      <c r="E437">
        <v>24.65</v>
      </c>
      <c r="F437" s="4">
        <f t="shared" si="24"/>
        <v>-1.1575807701574819E-3</v>
      </c>
      <c r="G437" s="4">
        <f t="shared" si="25"/>
        <v>-4.3596730245232607E-3</v>
      </c>
      <c r="H437" s="4">
        <f t="shared" si="26"/>
        <v>-1.7293997965411995E-2</v>
      </c>
      <c r="I437" s="4">
        <f t="shared" si="27"/>
        <v>-9.2443729903537147E-3</v>
      </c>
    </row>
    <row r="438" spans="1:9">
      <c r="A438" s="1">
        <v>38631</v>
      </c>
      <c r="B438">
        <v>6095.81</v>
      </c>
      <c r="C438">
        <v>18.27</v>
      </c>
      <c r="D438">
        <v>9.6999999999999993</v>
      </c>
      <c r="E438">
        <v>24.31</v>
      </c>
      <c r="F438" s="4">
        <f t="shared" si="24"/>
        <v>-6.3895576372328356E-3</v>
      </c>
      <c r="G438" s="4">
        <f t="shared" si="25"/>
        <v>0</v>
      </c>
      <c r="H438" s="4">
        <f t="shared" si="26"/>
        <v>4.1407867494823135E-3</v>
      </c>
      <c r="I438" s="4">
        <f t="shared" si="27"/>
        <v>-1.3793103448275857E-2</v>
      </c>
    </row>
    <row r="439" spans="1:9">
      <c r="A439" s="1">
        <v>38632</v>
      </c>
      <c r="B439">
        <v>6081.84</v>
      </c>
      <c r="C439">
        <v>18.350000000000001</v>
      </c>
      <c r="D439">
        <v>9.57</v>
      </c>
      <c r="E439">
        <v>24.03</v>
      </c>
      <c r="F439" s="4">
        <f t="shared" si="24"/>
        <v>-2.2917380955115485E-3</v>
      </c>
      <c r="G439" s="4">
        <f t="shared" si="25"/>
        <v>4.3787629994527563E-3</v>
      </c>
      <c r="H439" s="4">
        <f t="shared" si="26"/>
        <v>-1.3402061855670002E-2</v>
      </c>
      <c r="I439" s="4">
        <f t="shared" si="27"/>
        <v>-1.1517893870834949E-2</v>
      </c>
    </row>
    <row r="440" spans="1:9">
      <c r="A440" s="1">
        <v>38636</v>
      </c>
      <c r="B440">
        <v>6066.59</v>
      </c>
      <c r="C440">
        <v>18.309999999999999</v>
      </c>
      <c r="D440">
        <v>9.4499999999999993</v>
      </c>
      <c r="E440">
        <v>23.35</v>
      </c>
      <c r="F440" s="4">
        <f t="shared" si="24"/>
        <v>-2.5074648461649762E-3</v>
      </c>
      <c r="G440" s="4">
        <f t="shared" si="25"/>
        <v>-2.1798365122617275E-3</v>
      </c>
      <c r="H440" s="4">
        <f t="shared" si="26"/>
        <v>-1.253918495297816E-2</v>
      </c>
      <c r="I440" s="4">
        <f t="shared" si="27"/>
        <v>-2.8297960882230532E-2</v>
      </c>
    </row>
    <row r="441" spans="1:9">
      <c r="A441" s="1">
        <v>38637</v>
      </c>
      <c r="B441">
        <v>5987.4</v>
      </c>
      <c r="C441">
        <v>18.309999999999999</v>
      </c>
      <c r="D441">
        <v>9.4499999999999993</v>
      </c>
      <c r="E441">
        <v>22.34</v>
      </c>
      <c r="F441" s="4">
        <f t="shared" si="24"/>
        <v>-1.3053461664625515E-2</v>
      </c>
      <c r="G441" s="4">
        <f t="shared" si="25"/>
        <v>0</v>
      </c>
      <c r="H441" s="4">
        <f t="shared" si="26"/>
        <v>0</v>
      </c>
      <c r="I441" s="4">
        <f t="shared" si="27"/>
        <v>-4.3254817987152097E-2</v>
      </c>
    </row>
    <row r="442" spans="1:9">
      <c r="A442" s="1">
        <v>38638</v>
      </c>
      <c r="B442">
        <v>5960.11</v>
      </c>
      <c r="C442">
        <v>18.440000000000001</v>
      </c>
      <c r="D442">
        <v>9.36</v>
      </c>
      <c r="E442">
        <v>22.73</v>
      </c>
      <c r="F442" s="4">
        <f t="shared" si="24"/>
        <v>-4.5579049336940854E-3</v>
      </c>
      <c r="G442" s="4">
        <f t="shared" si="25"/>
        <v>7.0999453850356395E-3</v>
      </c>
      <c r="H442" s="4">
        <f t="shared" si="26"/>
        <v>-9.5238095238095091E-3</v>
      </c>
      <c r="I442" s="4">
        <f t="shared" si="27"/>
        <v>1.7457475380483464E-2</v>
      </c>
    </row>
    <row r="443" spans="1:9">
      <c r="A443" s="1">
        <v>38639</v>
      </c>
      <c r="B443">
        <v>5969.07</v>
      </c>
      <c r="C443">
        <v>18.57</v>
      </c>
      <c r="D443">
        <v>9.32</v>
      </c>
      <c r="E443">
        <v>22.62</v>
      </c>
      <c r="F443" s="4">
        <f t="shared" si="24"/>
        <v>1.5033279587121776E-3</v>
      </c>
      <c r="G443" s="4">
        <f t="shared" si="25"/>
        <v>7.0498915401300977E-3</v>
      </c>
      <c r="H443" s="4">
        <f t="shared" si="26"/>
        <v>-4.2735042735041829E-3</v>
      </c>
      <c r="I443" s="4">
        <f t="shared" si="27"/>
        <v>-4.8394192696876127E-3</v>
      </c>
    </row>
    <row r="444" spans="1:9">
      <c r="A444" s="1">
        <v>38642</v>
      </c>
      <c r="B444">
        <v>5826.27</v>
      </c>
      <c r="C444">
        <v>18.440000000000001</v>
      </c>
      <c r="D444">
        <v>8.8000000000000007</v>
      </c>
      <c r="E444">
        <v>22.28</v>
      </c>
      <c r="F444" s="4">
        <f t="shared" si="24"/>
        <v>-2.3923324739029576E-2</v>
      </c>
      <c r="G444" s="4">
        <f t="shared" si="25"/>
        <v>-7.0005385029617128E-3</v>
      </c>
      <c r="H444" s="4">
        <f t="shared" si="26"/>
        <v>-5.5793991416308968E-2</v>
      </c>
      <c r="I444" s="4">
        <f t="shared" si="27"/>
        <v>-1.5030946065428817E-2</v>
      </c>
    </row>
    <row r="445" spans="1:9">
      <c r="A445" s="1">
        <v>38643</v>
      </c>
      <c r="B445">
        <v>5830.79</v>
      </c>
      <c r="C445">
        <v>18.18</v>
      </c>
      <c r="D445">
        <v>8.67</v>
      </c>
      <c r="E445">
        <v>22.39</v>
      </c>
      <c r="F445" s="4">
        <f t="shared" si="24"/>
        <v>7.7579652161666494E-4</v>
      </c>
      <c r="G445" s="4">
        <f t="shared" si="25"/>
        <v>-1.4099783080260388E-2</v>
      </c>
      <c r="H445" s="4">
        <f t="shared" si="26"/>
        <v>-1.4772727272727361E-2</v>
      </c>
      <c r="I445" s="4">
        <f t="shared" si="27"/>
        <v>4.9371633752243911E-3</v>
      </c>
    </row>
    <row r="446" spans="1:9">
      <c r="A446" s="1">
        <v>38644</v>
      </c>
      <c r="B446">
        <v>5694.16</v>
      </c>
      <c r="C446">
        <v>18.14</v>
      </c>
      <c r="D446">
        <v>8.27</v>
      </c>
      <c r="E446">
        <v>21.49</v>
      </c>
      <c r="F446" s="4">
        <f t="shared" si="24"/>
        <v>-2.3432502285282115E-2</v>
      </c>
      <c r="G446" s="4">
        <f t="shared" si="25"/>
        <v>-2.2002200220021533E-3</v>
      </c>
      <c r="H446" s="4">
        <f t="shared" si="26"/>
        <v>-4.6136101499423342E-2</v>
      </c>
      <c r="I446" s="4">
        <f t="shared" si="27"/>
        <v>-4.0196516301920594E-2</v>
      </c>
    </row>
    <row r="447" spans="1:9">
      <c r="A447" s="1">
        <v>38645</v>
      </c>
      <c r="B447">
        <v>5748</v>
      </c>
      <c r="C447">
        <v>17.739999999999998</v>
      </c>
      <c r="D447">
        <v>8.42</v>
      </c>
      <c r="E447">
        <v>21.89</v>
      </c>
      <c r="F447" s="4">
        <f t="shared" si="24"/>
        <v>9.4553015721370922E-3</v>
      </c>
      <c r="G447" s="4">
        <f t="shared" si="25"/>
        <v>-2.2050716648291186E-2</v>
      </c>
      <c r="H447" s="4">
        <f t="shared" si="26"/>
        <v>1.813784764207985E-2</v>
      </c>
      <c r="I447" s="4">
        <f t="shared" si="27"/>
        <v>1.8613308515588747E-2</v>
      </c>
    </row>
    <row r="448" spans="1:9">
      <c r="A448" s="1">
        <v>38646</v>
      </c>
      <c r="B448">
        <v>5738.76</v>
      </c>
      <c r="C448">
        <v>17.649999999999999</v>
      </c>
      <c r="D448">
        <v>8.33</v>
      </c>
      <c r="E448">
        <v>21.49</v>
      </c>
      <c r="F448" s="4">
        <f t="shared" si="24"/>
        <v>-1.6075156576200037E-3</v>
      </c>
      <c r="G448" s="4">
        <f t="shared" si="25"/>
        <v>-5.073280721533251E-3</v>
      </c>
      <c r="H448" s="4">
        <f t="shared" si="26"/>
        <v>-1.0688836104513048E-2</v>
      </c>
      <c r="I448" s="4">
        <f t="shared" si="27"/>
        <v>-1.8273184102329927E-2</v>
      </c>
    </row>
    <row r="449" spans="1:9">
      <c r="A449" s="1">
        <v>38649</v>
      </c>
      <c r="B449">
        <v>5717.28</v>
      </c>
      <c r="C449">
        <v>17.61</v>
      </c>
      <c r="D449">
        <v>8.19</v>
      </c>
      <c r="E449">
        <v>21.27</v>
      </c>
      <c r="F449" s="4">
        <f t="shared" si="24"/>
        <v>-3.7429688643540542E-3</v>
      </c>
      <c r="G449" s="4">
        <f t="shared" si="25"/>
        <v>-2.2662889518413115E-3</v>
      </c>
      <c r="H449" s="4">
        <f t="shared" si="26"/>
        <v>-1.6806722689075699E-2</v>
      </c>
      <c r="I449" s="4">
        <f t="shared" si="27"/>
        <v>-1.0237319683573703E-2</v>
      </c>
    </row>
    <row r="450" spans="1:9">
      <c r="A450" s="1">
        <v>38650</v>
      </c>
      <c r="B450">
        <v>5721.31</v>
      </c>
      <c r="C450">
        <v>17.57</v>
      </c>
      <c r="D450">
        <v>8.09</v>
      </c>
      <c r="E450">
        <v>21.32</v>
      </c>
      <c r="F450" s="4">
        <f t="shared" si="24"/>
        <v>7.0488064254342186E-4</v>
      </c>
      <c r="G450" s="4">
        <f t="shared" si="25"/>
        <v>-2.2714366837023933E-3</v>
      </c>
      <c r="H450" s="4">
        <f t="shared" si="26"/>
        <v>-1.2210012210012167E-2</v>
      </c>
      <c r="I450" s="4">
        <f t="shared" si="27"/>
        <v>2.3507287259050642E-3</v>
      </c>
    </row>
    <row r="451" spans="1:9">
      <c r="A451" s="1">
        <v>38651</v>
      </c>
      <c r="B451">
        <v>5700.72</v>
      </c>
      <c r="C451">
        <v>17.649999999999999</v>
      </c>
      <c r="D451">
        <v>8.0500000000000007</v>
      </c>
      <c r="E451">
        <v>21.04</v>
      </c>
      <c r="F451" s="4">
        <f t="shared" si="24"/>
        <v>-3.5988261429637869E-3</v>
      </c>
      <c r="G451" s="4">
        <f t="shared" si="25"/>
        <v>4.5532157085940977E-3</v>
      </c>
      <c r="H451" s="4">
        <f t="shared" si="26"/>
        <v>-4.9443757725586091E-3</v>
      </c>
      <c r="I451" s="4">
        <f t="shared" si="27"/>
        <v>-1.3133208255159528E-2</v>
      </c>
    </row>
    <row r="452" spans="1:9">
      <c r="A452" s="1">
        <v>38652</v>
      </c>
      <c r="B452">
        <v>5661.18</v>
      </c>
      <c r="C452">
        <v>17.61</v>
      </c>
      <c r="D452">
        <v>8.11</v>
      </c>
      <c r="E452">
        <v>19.57</v>
      </c>
      <c r="F452" s="4">
        <f t="shared" ref="F452:F515" si="28">(B452-B451)/B451</f>
        <v>-6.9359659832442149E-3</v>
      </c>
      <c r="G452" s="4">
        <f t="shared" ref="G452:G515" si="29">(C452-C451)/C451</f>
        <v>-2.2662889518413115E-3</v>
      </c>
      <c r="H452" s="4">
        <f t="shared" ref="H452:H515" si="30">(D452-D451)/D451</f>
        <v>7.4534161490681632E-3</v>
      </c>
      <c r="I452" s="4">
        <f t="shared" ref="I452:I515" si="31">(E452-E451)/E451</f>
        <v>-6.98669201520912E-2</v>
      </c>
    </row>
    <row r="453" spans="1:9">
      <c r="A453" s="1">
        <v>38653</v>
      </c>
      <c r="B453">
        <v>5632.97</v>
      </c>
      <c r="C453">
        <v>17.57</v>
      </c>
      <c r="D453">
        <v>8.18</v>
      </c>
      <c r="E453">
        <v>18.899999999999999</v>
      </c>
      <c r="F453" s="4">
        <f t="shared" si="28"/>
        <v>-4.9830600687489242E-3</v>
      </c>
      <c r="G453" s="4">
        <f t="shared" si="29"/>
        <v>-2.2714366837023933E-3</v>
      </c>
      <c r="H453" s="4">
        <f t="shared" si="30"/>
        <v>8.6313193588163119E-3</v>
      </c>
      <c r="I453" s="4">
        <f t="shared" si="31"/>
        <v>-3.4236075625958186E-2</v>
      </c>
    </row>
    <row r="454" spans="1:9">
      <c r="A454" s="1">
        <v>38656</v>
      </c>
      <c r="B454">
        <v>5764.3</v>
      </c>
      <c r="C454">
        <v>18</v>
      </c>
      <c r="D454">
        <v>8.6300000000000008</v>
      </c>
      <c r="E454">
        <v>20.079999999999998</v>
      </c>
      <c r="F454" s="4">
        <f t="shared" si="28"/>
        <v>2.3314521469136162E-2</v>
      </c>
      <c r="G454" s="4">
        <f t="shared" si="29"/>
        <v>2.447353443369378E-2</v>
      </c>
      <c r="H454" s="4">
        <f t="shared" si="30"/>
        <v>5.5012224938875441E-2</v>
      </c>
      <c r="I454" s="4">
        <f t="shared" si="31"/>
        <v>6.2433862433862425E-2</v>
      </c>
    </row>
    <row r="455" spans="1:9">
      <c r="A455" s="1">
        <v>38657</v>
      </c>
      <c r="B455">
        <v>5798.41</v>
      </c>
      <c r="C455">
        <v>18</v>
      </c>
      <c r="D455">
        <v>8.59</v>
      </c>
      <c r="E455">
        <v>19.29</v>
      </c>
      <c r="F455" s="4">
        <f t="shared" si="28"/>
        <v>5.9174574536369848E-3</v>
      </c>
      <c r="G455" s="4">
        <f t="shared" si="29"/>
        <v>0</v>
      </c>
      <c r="H455" s="4">
        <f t="shared" si="30"/>
        <v>-4.6349942062573488E-3</v>
      </c>
      <c r="I455" s="4">
        <f t="shared" si="31"/>
        <v>-3.9342629482071671E-2</v>
      </c>
    </row>
    <row r="456" spans="1:9">
      <c r="A456" s="1">
        <v>38658</v>
      </c>
      <c r="B456">
        <v>5870.37</v>
      </c>
      <c r="C456">
        <v>17.920000000000002</v>
      </c>
      <c r="D456">
        <v>8.59</v>
      </c>
      <c r="E456">
        <v>19.739999999999998</v>
      </c>
      <c r="F456" s="4">
        <f t="shared" si="28"/>
        <v>1.2410298685329261E-2</v>
      </c>
      <c r="G456" s="4">
        <f t="shared" si="29"/>
        <v>-4.4444444444443499E-3</v>
      </c>
      <c r="H456" s="4">
        <f t="shared" si="30"/>
        <v>0</v>
      </c>
      <c r="I456" s="4">
        <f t="shared" si="31"/>
        <v>2.3328149300155487E-2</v>
      </c>
    </row>
    <row r="457" spans="1:9">
      <c r="A457" s="1">
        <v>38659</v>
      </c>
      <c r="B457">
        <v>5858.01</v>
      </c>
      <c r="C457">
        <v>17.87</v>
      </c>
      <c r="D457">
        <v>8.42</v>
      </c>
      <c r="E457">
        <v>19.86</v>
      </c>
      <c r="F457" s="4">
        <f t="shared" si="28"/>
        <v>-2.1054890918289089E-3</v>
      </c>
      <c r="G457" s="4">
        <f t="shared" si="29"/>
        <v>-2.790178571428611E-3</v>
      </c>
      <c r="H457" s="4">
        <f t="shared" si="30"/>
        <v>-1.9790454016298014E-2</v>
      </c>
      <c r="I457" s="4">
        <f t="shared" si="31"/>
        <v>6.0790273556231515E-3</v>
      </c>
    </row>
    <row r="458" spans="1:9">
      <c r="A458" s="1">
        <v>38660</v>
      </c>
      <c r="B458">
        <v>5911.74</v>
      </c>
      <c r="C458">
        <v>18.27</v>
      </c>
      <c r="D458">
        <v>8.42</v>
      </c>
      <c r="E458">
        <v>20.190000000000001</v>
      </c>
      <c r="F458" s="4">
        <f t="shared" si="28"/>
        <v>9.1720567223339596E-3</v>
      </c>
      <c r="G458" s="4">
        <f t="shared" si="29"/>
        <v>2.238388360380518E-2</v>
      </c>
      <c r="H458" s="4">
        <f t="shared" si="30"/>
        <v>0</v>
      </c>
      <c r="I458" s="4">
        <f t="shared" si="31"/>
        <v>1.6616314199395864E-2</v>
      </c>
    </row>
    <row r="459" spans="1:9">
      <c r="A459" s="1">
        <v>38663</v>
      </c>
      <c r="B459">
        <v>5860.39</v>
      </c>
      <c r="C459">
        <v>17.7</v>
      </c>
      <c r="D459">
        <v>8.11</v>
      </c>
      <c r="E459">
        <v>19.46</v>
      </c>
      <c r="F459" s="4">
        <f t="shared" si="28"/>
        <v>-8.6861059518854779E-3</v>
      </c>
      <c r="G459" s="4">
        <f t="shared" si="29"/>
        <v>-3.1198686371100182E-2</v>
      </c>
      <c r="H459" s="4">
        <f t="shared" si="30"/>
        <v>-3.6817102137767281E-2</v>
      </c>
      <c r="I459" s="4">
        <f t="shared" si="31"/>
        <v>-3.6156513125309576E-2</v>
      </c>
    </row>
    <row r="460" spans="1:9">
      <c r="A460" s="1">
        <v>38664</v>
      </c>
      <c r="B460">
        <v>5849.63</v>
      </c>
      <c r="C460">
        <v>18.18</v>
      </c>
      <c r="D460">
        <v>8.16</v>
      </c>
      <c r="E460">
        <v>19.29</v>
      </c>
      <c r="F460" s="4">
        <f t="shared" si="28"/>
        <v>-1.83605527959747E-3</v>
      </c>
      <c r="G460" s="4">
        <f t="shared" si="29"/>
        <v>2.7118644067796634E-2</v>
      </c>
      <c r="H460" s="4">
        <f t="shared" si="30"/>
        <v>6.165228113440285E-3</v>
      </c>
      <c r="I460" s="4">
        <f t="shared" si="31"/>
        <v>-8.7358684480987516E-3</v>
      </c>
    </row>
    <row r="461" spans="1:9">
      <c r="A461" s="1">
        <v>38665</v>
      </c>
      <c r="B461">
        <v>5971.06</v>
      </c>
      <c r="C461">
        <v>18.27</v>
      </c>
      <c r="D461">
        <v>8.2100000000000009</v>
      </c>
      <c r="E461">
        <v>20.02</v>
      </c>
      <c r="F461" s="4">
        <f t="shared" si="28"/>
        <v>2.0758577892960799E-2</v>
      </c>
      <c r="G461" s="4">
        <f t="shared" si="29"/>
        <v>4.9504950495049427E-3</v>
      </c>
      <c r="H461" s="4">
        <f t="shared" si="30"/>
        <v>6.1274509803922435E-3</v>
      </c>
      <c r="I461" s="4">
        <f t="shared" si="31"/>
        <v>3.784344219803009E-2</v>
      </c>
    </row>
    <row r="462" spans="1:9">
      <c r="A462" s="1">
        <v>38666</v>
      </c>
      <c r="B462">
        <v>5988.37</v>
      </c>
      <c r="C462">
        <v>18.18</v>
      </c>
      <c r="D462">
        <v>8.35</v>
      </c>
      <c r="E462">
        <v>20.93</v>
      </c>
      <c r="F462" s="4">
        <f t="shared" si="28"/>
        <v>2.8989827601798492E-3</v>
      </c>
      <c r="G462" s="4">
        <f t="shared" si="29"/>
        <v>-4.9261083743842287E-3</v>
      </c>
      <c r="H462" s="4">
        <f t="shared" si="30"/>
        <v>1.7052375152253201E-2</v>
      </c>
      <c r="I462" s="4">
        <f t="shared" si="31"/>
        <v>4.5454545454545463E-2</v>
      </c>
    </row>
    <row r="463" spans="1:9">
      <c r="A463" s="1">
        <v>38667</v>
      </c>
      <c r="B463">
        <v>6075.26</v>
      </c>
      <c r="C463">
        <v>18.14</v>
      </c>
      <c r="D463">
        <v>8.5</v>
      </c>
      <c r="E463">
        <v>21.66</v>
      </c>
      <c r="F463" s="4">
        <f t="shared" si="28"/>
        <v>1.4509791479150476E-2</v>
      </c>
      <c r="G463" s="4">
        <f t="shared" si="29"/>
        <v>-2.2002200220021533E-3</v>
      </c>
      <c r="H463" s="4">
        <f t="shared" si="30"/>
        <v>1.796407185628747E-2</v>
      </c>
      <c r="I463" s="4">
        <f t="shared" si="31"/>
        <v>3.4878165312947941E-2</v>
      </c>
    </row>
    <row r="464" spans="1:9">
      <c r="A464" s="1">
        <v>38670</v>
      </c>
      <c r="B464">
        <v>6083.62</v>
      </c>
      <c r="C464">
        <v>18</v>
      </c>
      <c r="D464">
        <v>8.4499999999999993</v>
      </c>
      <c r="E464">
        <v>21.43</v>
      </c>
      <c r="F464" s="4">
        <f t="shared" si="28"/>
        <v>1.3760727935923191E-3</v>
      </c>
      <c r="G464" s="4">
        <f t="shared" si="29"/>
        <v>-7.7177508269019052E-3</v>
      </c>
      <c r="H464" s="4">
        <f t="shared" si="30"/>
        <v>-5.8823529411765538E-3</v>
      </c>
      <c r="I464" s="4">
        <f t="shared" si="31"/>
        <v>-1.061865189289014E-2</v>
      </c>
    </row>
    <row r="465" spans="1:9">
      <c r="A465" s="1">
        <v>38671</v>
      </c>
      <c r="B465">
        <v>6030.74</v>
      </c>
      <c r="C465">
        <v>17.61</v>
      </c>
      <c r="D465">
        <v>8.2100000000000009</v>
      </c>
      <c r="E465">
        <v>20.87</v>
      </c>
      <c r="F465" s="4">
        <f t="shared" si="28"/>
        <v>-8.6921931350084514E-3</v>
      </c>
      <c r="G465" s="4">
        <f t="shared" si="29"/>
        <v>-2.1666666666666699E-2</v>
      </c>
      <c r="H465" s="4">
        <f t="shared" si="30"/>
        <v>-2.8402366863905144E-2</v>
      </c>
      <c r="I465" s="4">
        <f t="shared" si="31"/>
        <v>-2.6131591227251456E-2</v>
      </c>
    </row>
    <row r="466" spans="1:9">
      <c r="A466" s="1">
        <v>38672</v>
      </c>
      <c r="B466">
        <v>6046.2</v>
      </c>
      <c r="C466">
        <v>17.7</v>
      </c>
      <c r="D466">
        <v>8.27</v>
      </c>
      <c r="E466">
        <v>20.76</v>
      </c>
      <c r="F466" s="4">
        <f t="shared" si="28"/>
        <v>2.5635328334499643E-3</v>
      </c>
      <c r="G466" s="4">
        <f t="shared" si="29"/>
        <v>5.1107325383304859E-3</v>
      </c>
      <c r="H466" s="4">
        <f t="shared" si="30"/>
        <v>7.3081607795369933E-3</v>
      </c>
      <c r="I466" s="4">
        <f t="shared" si="31"/>
        <v>-5.2707235265931681E-3</v>
      </c>
    </row>
    <row r="467" spans="1:9">
      <c r="A467" s="1">
        <v>38673</v>
      </c>
      <c r="B467">
        <v>6020.94</v>
      </c>
      <c r="C467">
        <v>17.7</v>
      </c>
      <c r="D467">
        <v>8.2899999999999991</v>
      </c>
      <c r="E467">
        <v>20.53</v>
      </c>
      <c r="F467" s="4">
        <f t="shared" si="28"/>
        <v>-4.1778307035824514E-3</v>
      </c>
      <c r="G467" s="4">
        <f t="shared" si="29"/>
        <v>0</v>
      </c>
      <c r="H467" s="4">
        <f t="shared" si="30"/>
        <v>2.4183796856105896E-3</v>
      </c>
      <c r="I467" s="4">
        <f t="shared" si="31"/>
        <v>-1.1078998073217746E-2</v>
      </c>
    </row>
    <row r="468" spans="1:9">
      <c r="A468" s="1">
        <v>38674</v>
      </c>
      <c r="B468">
        <v>6106.74</v>
      </c>
      <c r="C468">
        <v>18.05</v>
      </c>
      <c r="D468">
        <v>8.36</v>
      </c>
      <c r="E468">
        <v>20.7</v>
      </c>
      <c r="F468" s="4">
        <f t="shared" si="28"/>
        <v>1.4250266569671877E-2</v>
      </c>
      <c r="G468" s="4">
        <f t="shared" si="29"/>
        <v>1.977401129943511E-2</v>
      </c>
      <c r="H468" s="4">
        <f t="shared" si="30"/>
        <v>8.4439083232810963E-3</v>
      </c>
      <c r="I468" s="4">
        <f t="shared" si="31"/>
        <v>8.2805650267899732E-3</v>
      </c>
    </row>
    <row r="469" spans="1:9">
      <c r="A469" s="1">
        <v>38677</v>
      </c>
      <c r="B469">
        <v>6103.42</v>
      </c>
      <c r="C469">
        <v>17.79</v>
      </c>
      <c r="D469">
        <v>8.5</v>
      </c>
      <c r="E469">
        <v>20.76</v>
      </c>
      <c r="F469" s="4">
        <f t="shared" si="28"/>
        <v>-5.4366159358343552E-4</v>
      </c>
      <c r="G469" s="4">
        <f t="shared" si="29"/>
        <v>-1.4404432132964076E-2</v>
      </c>
      <c r="H469" s="4">
        <f t="shared" si="30"/>
        <v>1.6746411483253659E-2</v>
      </c>
      <c r="I469" s="4">
        <f t="shared" si="31"/>
        <v>2.8985507246377909E-3</v>
      </c>
    </row>
    <row r="470" spans="1:9">
      <c r="A470" s="1">
        <v>38678</v>
      </c>
      <c r="B470">
        <v>6059.19</v>
      </c>
      <c r="C470">
        <v>17.87</v>
      </c>
      <c r="D470">
        <v>8.56</v>
      </c>
      <c r="E470">
        <v>20.48</v>
      </c>
      <c r="F470" s="4">
        <f t="shared" si="28"/>
        <v>-7.2467567363872177E-3</v>
      </c>
      <c r="G470" s="4">
        <f t="shared" si="29"/>
        <v>4.4969083754919535E-3</v>
      </c>
      <c r="H470" s="4">
        <f t="shared" si="30"/>
        <v>7.0588235294118231E-3</v>
      </c>
      <c r="I470" s="4">
        <f t="shared" si="31"/>
        <v>-1.3487475915221633E-2</v>
      </c>
    </row>
    <row r="471" spans="1:9">
      <c r="A471" s="1">
        <v>38679</v>
      </c>
      <c r="B471">
        <v>6123.52</v>
      </c>
      <c r="C471">
        <v>17.96</v>
      </c>
      <c r="D471">
        <v>8.5299999999999994</v>
      </c>
      <c r="E471">
        <v>21.27</v>
      </c>
      <c r="F471" s="4">
        <f t="shared" si="28"/>
        <v>1.061693064584554E-2</v>
      </c>
      <c r="G471" s="4">
        <f t="shared" si="29"/>
        <v>5.036373810856175E-3</v>
      </c>
      <c r="H471" s="4">
        <f t="shared" si="30"/>
        <v>-3.5046728971963943E-3</v>
      </c>
      <c r="I471" s="4">
        <f t="shared" si="31"/>
        <v>3.8574218749999958E-2</v>
      </c>
    </row>
    <row r="472" spans="1:9">
      <c r="A472" s="1">
        <v>38680</v>
      </c>
      <c r="B472">
        <v>6111.89</v>
      </c>
      <c r="C472">
        <v>17.829999999999998</v>
      </c>
      <c r="D472">
        <v>8.5500000000000007</v>
      </c>
      <c r="E472">
        <v>21.77</v>
      </c>
      <c r="F472" s="4">
        <f t="shared" si="28"/>
        <v>-1.8992344272575428E-3</v>
      </c>
      <c r="G472" s="4">
        <f t="shared" si="29"/>
        <v>-7.2383073496660663E-3</v>
      </c>
      <c r="H472" s="4">
        <f t="shared" si="30"/>
        <v>2.3446658851115302E-3</v>
      </c>
      <c r="I472" s="4">
        <f t="shared" si="31"/>
        <v>2.3507287259050307E-2</v>
      </c>
    </row>
    <row r="473" spans="1:9">
      <c r="A473" s="1">
        <v>38681</v>
      </c>
      <c r="B473">
        <v>6128.2</v>
      </c>
      <c r="C473">
        <v>17.920000000000002</v>
      </c>
      <c r="D473">
        <v>8.5399999999999991</v>
      </c>
      <c r="E473">
        <v>21.89</v>
      </c>
      <c r="F473" s="4">
        <f t="shared" si="28"/>
        <v>2.6685689696639646E-3</v>
      </c>
      <c r="G473" s="4">
        <f t="shared" si="29"/>
        <v>5.0476724621426484E-3</v>
      </c>
      <c r="H473" s="4">
        <f t="shared" si="30"/>
        <v>-1.1695906432750366E-3</v>
      </c>
      <c r="I473" s="4">
        <f t="shared" si="31"/>
        <v>5.5121727147451078E-3</v>
      </c>
    </row>
    <row r="474" spans="1:9">
      <c r="A474" s="1">
        <v>38684</v>
      </c>
      <c r="B474">
        <v>6203.84</v>
      </c>
      <c r="C474">
        <v>17.920000000000002</v>
      </c>
      <c r="D474">
        <v>8.7200000000000006</v>
      </c>
      <c r="E474">
        <v>21.6</v>
      </c>
      <c r="F474" s="4">
        <f t="shared" si="28"/>
        <v>1.2342939199112354E-2</v>
      </c>
      <c r="G474" s="4">
        <f t="shared" si="29"/>
        <v>0</v>
      </c>
      <c r="H474" s="4">
        <f t="shared" si="30"/>
        <v>2.1077283372365516E-2</v>
      </c>
      <c r="I474" s="4">
        <f t="shared" si="31"/>
        <v>-1.3248058474189087E-2</v>
      </c>
    </row>
    <row r="475" spans="1:9">
      <c r="A475" s="1">
        <v>38685</v>
      </c>
      <c r="B475">
        <v>6139.51</v>
      </c>
      <c r="C475">
        <v>17.87</v>
      </c>
      <c r="D475">
        <v>8.6300000000000008</v>
      </c>
      <c r="E475">
        <v>20.93</v>
      </c>
      <c r="F475" s="4">
        <f t="shared" si="28"/>
        <v>-1.0369384123381635E-2</v>
      </c>
      <c r="G475" s="4">
        <f t="shared" si="29"/>
        <v>-2.790178571428611E-3</v>
      </c>
      <c r="H475" s="4">
        <f t="shared" si="30"/>
        <v>-1.0321100917431176E-2</v>
      </c>
      <c r="I475" s="4">
        <f t="shared" si="31"/>
        <v>-3.1018518518518595E-2</v>
      </c>
    </row>
    <row r="476" spans="1:9">
      <c r="A476" s="1">
        <v>38686</v>
      </c>
      <c r="B476">
        <v>6203.47</v>
      </c>
      <c r="C476">
        <v>18.309999999999999</v>
      </c>
      <c r="D476">
        <v>8.67</v>
      </c>
      <c r="E476">
        <v>21.1</v>
      </c>
      <c r="F476" s="4">
        <f t="shared" si="28"/>
        <v>1.0417769496262736E-2</v>
      </c>
      <c r="G476" s="4">
        <f t="shared" si="29"/>
        <v>2.4622271964185656E-2</v>
      </c>
      <c r="H476" s="4">
        <f t="shared" si="30"/>
        <v>4.6349942062571432E-3</v>
      </c>
      <c r="I476" s="4">
        <f t="shared" si="31"/>
        <v>8.1223124701386394E-3</v>
      </c>
    </row>
    <row r="477" spans="1:9">
      <c r="A477" s="1">
        <v>38687</v>
      </c>
      <c r="B477">
        <v>6179.82</v>
      </c>
      <c r="C477">
        <v>18.75</v>
      </c>
      <c r="D477">
        <v>8.5500000000000007</v>
      </c>
      <c r="E477">
        <v>21.21</v>
      </c>
      <c r="F477" s="4">
        <f t="shared" si="28"/>
        <v>-3.8123824246753101E-3</v>
      </c>
      <c r="G477" s="4">
        <f t="shared" si="29"/>
        <v>2.4030584380120224E-2</v>
      </c>
      <c r="H477" s="4">
        <f t="shared" si="30"/>
        <v>-1.38408304498269E-2</v>
      </c>
      <c r="I477" s="4">
        <f t="shared" si="31"/>
        <v>5.2132701421800671E-3</v>
      </c>
    </row>
    <row r="478" spans="1:9">
      <c r="A478" s="1">
        <v>38688</v>
      </c>
      <c r="B478">
        <v>6228.95</v>
      </c>
      <c r="C478">
        <v>18.88</v>
      </c>
      <c r="D478">
        <v>8.48</v>
      </c>
      <c r="E478">
        <v>21.66</v>
      </c>
      <c r="F478" s="4">
        <f t="shared" si="28"/>
        <v>7.9500697431316956E-3</v>
      </c>
      <c r="G478" s="4">
        <f t="shared" si="29"/>
        <v>6.9333333333332801E-3</v>
      </c>
      <c r="H478" s="4">
        <f t="shared" si="30"/>
        <v>-8.1871345029240084E-3</v>
      </c>
      <c r="I478" s="4">
        <f t="shared" si="31"/>
        <v>2.1216407355021182E-2</v>
      </c>
    </row>
    <row r="479" spans="1:9">
      <c r="A479" s="1">
        <v>38691</v>
      </c>
      <c r="B479">
        <v>6348.31</v>
      </c>
      <c r="C479">
        <v>18.88</v>
      </c>
      <c r="D479">
        <v>8.5500000000000007</v>
      </c>
      <c r="E479">
        <v>22.28</v>
      </c>
      <c r="F479" s="4">
        <f t="shared" si="28"/>
        <v>1.9162138081057094E-2</v>
      </c>
      <c r="G479" s="4">
        <f t="shared" si="29"/>
        <v>0</v>
      </c>
      <c r="H479" s="4">
        <f t="shared" si="30"/>
        <v>8.2547169811321083E-3</v>
      </c>
      <c r="I479" s="4">
        <f t="shared" si="31"/>
        <v>2.8624192059095152E-2</v>
      </c>
    </row>
    <row r="480" spans="1:9">
      <c r="A480" s="1">
        <v>38692</v>
      </c>
      <c r="B480">
        <v>6350.52</v>
      </c>
      <c r="C480">
        <v>18.75</v>
      </c>
      <c r="D480">
        <v>8.5</v>
      </c>
      <c r="E480">
        <v>22.06</v>
      </c>
      <c r="F480" s="4">
        <f t="shared" si="28"/>
        <v>3.4812414642637743E-4</v>
      </c>
      <c r="G480" s="4">
        <f t="shared" si="29"/>
        <v>-6.8855932203389309E-3</v>
      </c>
      <c r="H480" s="4">
        <f t="shared" si="30"/>
        <v>-5.8479532163743519E-3</v>
      </c>
      <c r="I480" s="4">
        <f t="shared" si="31"/>
        <v>-9.8743267504489418E-3</v>
      </c>
    </row>
    <row r="481" spans="1:9">
      <c r="A481" s="1">
        <v>38693</v>
      </c>
      <c r="B481">
        <v>6329.52</v>
      </c>
      <c r="C481">
        <v>18.88</v>
      </c>
      <c r="D481">
        <v>8.5</v>
      </c>
      <c r="E481">
        <v>22.28</v>
      </c>
      <c r="F481" s="4">
        <f t="shared" si="28"/>
        <v>-3.3068158198068819E-3</v>
      </c>
      <c r="G481" s="4">
        <f t="shared" si="29"/>
        <v>6.9333333333332801E-3</v>
      </c>
      <c r="H481" s="4">
        <f t="shared" si="30"/>
        <v>0</v>
      </c>
      <c r="I481" s="4">
        <f t="shared" si="31"/>
        <v>9.9728014505894112E-3</v>
      </c>
    </row>
    <row r="482" spans="1:9">
      <c r="A482" s="1">
        <v>38694</v>
      </c>
      <c r="B482">
        <v>6249.19</v>
      </c>
      <c r="C482">
        <v>18.62</v>
      </c>
      <c r="D482">
        <v>8.52</v>
      </c>
      <c r="E482">
        <v>21.77</v>
      </c>
      <c r="F482" s="4">
        <f t="shared" si="28"/>
        <v>-1.2691325724541645E-2</v>
      </c>
      <c r="G482" s="4">
        <f t="shared" si="29"/>
        <v>-1.3771186440677862E-2</v>
      </c>
      <c r="H482" s="4">
        <f t="shared" si="30"/>
        <v>2.3529411764705382E-3</v>
      </c>
      <c r="I482" s="4">
        <f t="shared" si="31"/>
        <v>-2.2890484739676909E-2</v>
      </c>
    </row>
    <row r="483" spans="1:9">
      <c r="A483" s="1">
        <v>38695</v>
      </c>
      <c r="B483">
        <v>6264.36</v>
      </c>
      <c r="C483">
        <v>18.920000000000002</v>
      </c>
      <c r="D483">
        <v>8.52</v>
      </c>
      <c r="E483">
        <v>21.49</v>
      </c>
      <c r="F483" s="4">
        <f t="shared" si="28"/>
        <v>2.4275146058929356E-3</v>
      </c>
      <c r="G483" s="4">
        <f t="shared" si="29"/>
        <v>1.6111707841031185E-2</v>
      </c>
      <c r="H483" s="4">
        <f t="shared" si="30"/>
        <v>0</v>
      </c>
      <c r="I483" s="4">
        <f t="shared" si="31"/>
        <v>-1.2861736334405197E-2</v>
      </c>
    </row>
    <row r="484" spans="1:9">
      <c r="A484" s="1">
        <v>38698</v>
      </c>
      <c r="B484">
        <v>6266.29</v>
      </c>
      <c r="C484">
        <v>18.79</v>
      </c>
      <c r="D484">
        <v>8.59</v>
      </c>
      <c r="E484">
        <v>21.21</v>
      </c>
      <c r="F484" s="4">
        <f t="shared" si="28"/>
        <v>3.0809212752783859E-4</v>
      </c>
      <c r="G484" s="4">
        <f t="shared" si="29"/>
        <v>-6.8710359408035169E-3</v>
      </c>
      <c r="H484" s="4">
        <f t="shared" si="30"/>
        <v>8.2159624413145876E-3</v>
      </c>
      <c r="I484" s="4">
        <f t="shared" si="31"/>
        <v>-1.302931596091194E-2</v>
      </c>
    </row>
    <row r="485" spans="1:9">
      <c r="A485" s="1">
        <v>38699</v>
      </c>
      <c r="B485">
        <v>6261.18</v>
      </c>
      <c r="C485">
        <v>18.53</v>
      </c>
      <c r="D485">
        <v>8.59</v>
      </c>
      <c r="E485">
        <v>21.1</v>
      </c>
      <c r="F485" s="4">
        <f t="shared" si="28"/>
        <v>-8.1547454714028117E-4</v>
      </c>
      <c r="G485" s="4">
        <f t="shared" si="29"/>
        <v>-1.3837147418839704E-2</v>
      </c>
      <c r="H485" s="4">
        <f t="shared" si="30"/>
        <v>0</v>
      </c>
      <c r="I485" s="4">
        <f t="shared" si="31"/>
        <v>-5.1862329090051592E-3</v>
      </c>
    </row>
    <row r="486" spans="1:9">
      <c r="A486" s="1">
        <v>38700</v>
      </c>
      <c r="B486">
        <v>6235.35</v>
      </c>
      <c r="C486">
        <v>18.66</v>
      </c>
      <c r="D486">
        <v>8.59</v>
      </c>
      <c r="E486">
        <v>20.190000000000001</v>
      </c>
      <c r="F486" s="4">
        <f t="shared" si="28"/>
        <v>-4.1254204479027794E-3</v>
      </c>
      <c r="G486" s="4">
        <f t="shared" si="29"/>
        <v>7.0156502968159199E-3</v>
      </c>
      <c r="H486" s="4">
        <f t="shared" si="30"/>
        <v>0</v>
      </c>
      <c r="I486" s="4">
        <f t="shared" si="31"/>
        <v>-4.3127962085308058E-2</v>
      </c>
    </row>
    <row r="487" spans="1:9">
      <c r="A487" s="1">
        <v>38701</v>
      </c>
      <c r="B487">
        <v>6258.47</v>
      </c>
      <c r="C487">
        <v>18.88</v>
      </c>
      <c r="D487">
        <v>8.7200000000000006</v>
      </c>
      <c r="E487">
        <v>20.420000000000002</v>
      </c>
      <c r="F487" s="4">
        <f t="shared" si="28"/>
        <v>3.7078912972006205E-3</v>
      </c>
      <c r="G487" s="4">
        <f t="shared" si="29"/>
        <v>1.1789924973204654E-2</v>
      </c>
      <c r="H487" s="4">
        <f t="shared" si="30"/>
        <v>1.5133876600698579E-2</v>
      </c>
      <c r="I487" s="4">
        <f t="shared" si="31"/>
        <v>1.1391778107974265E-2</v>
      </c>
    </row>
    <row r="488" spans="1:9">
      <c r="A488" s="1">
        <v>38702</v>
      </c>
      <c r="B488">
        <v>6350.69</v>
      </c>
      <c r="C488">
        <v>18.829999999999998</v>
      </c>
      <c r="D488">
        <v>8.84</v>
      </c>
      <c r="E488">
        <v>20.7</v>
      </c>
      <c r="F488" s="4">
        <f t="shared" si="28"/>
        <v>1.4735230815199138E-2</v>
      </c>
      <c r="G488" s="4">
        <f t="shared" si="29"/>
        <v>-2.6483050847458003E-3</v>
      </c>
      <c r="H488" s="4">
        <f t="shared" si="30"/>
        <v>1.3761467889908166E-2</v>
      </c>
      <c r="I488" s="4">
        <f t="shared" si="31"/>
        <v>1.3712047012732495E-2</v>
      </c>
    </row>
    <row r="489" spans="1:9">
      <c r="A489" s="1">
        <v>38705</v>
      </c>
      <c r="B489">
        <v>6431.42</v>
      </c>
      <c r="C489">
        <v>19.71</v>
      </c>
      <c r="D489">
        <v>8.9700000000000006</v>
      </c>
      <c r="E489">
        <v>21.1</v>
      </c>
      <c r="F489" s="4">
        <f t="shared" si="28"/>
        <v>1.2712004522343317E-2</v>
      </c>
      <c r="G489" s="4">
        <f t="shared" si="29"/>
        <v>4.6733935209771781E-2</v>
      </c>
      <c r="H489" s="4">
        <f t="shared" si="30"/>
        <v>1.4705882352941265E-2</v>
      </c>
      <c r="I489" s="4">
        <f t="shared" si="31"/>
        <v>1.9323671497584644E-2</v>
      </c>
    </row>
    <row r="490" spans="1:9">
      <c r="A490" s="1">
        <v>38706</v>
      </c>
      <c r="B490">
        <v>6427.84</v>
      </c>
      <c r="C490">
        <v>19.489999999999998</v>
      </c>
      <c r="D490">
        <v>8.93</v>
      </c>
      <c r="E490">
        <v>21.38</v>
      </c>
      <c r="F490" s="4">
        <f t="shared" si="28"/>
        <v>-5.5664223452984367E-4</v>
      </c>
      <c r="G490" s="4">
        <f t="shared" si="29"/>
        <v>-1.1161846778285257E-2</v>
      </c>
      <c r="H490" s="4">
        <f t="shared" si="30"/>
        <v>-4.4593088071349964E-3</v>
      </c>
      <c r="I490" s="4">
        <f t="shared" si="31"/>
        <v>1.327014218009467E-2</v>
      </c>
    </row>
    <row r="491" spans="1:9">
      <c r="A491" s="1">
        <v>38707</v>
      </c>
      <c r="B491">
        <v>6471.89</v>
      </c>
      <c r="C491">
        <v>19.489999999999998</v>
      </c>
      <c r="D491">
        <v>8.9700000000000006</v>
      </c>
      <c r="E491">
        <v>21.43</v>
      </c>
      <c r="F491" s="4">
        <f t="shared" si="28"/>
        <v>6.8530019415542669E-3</v>
      </c>
      <c r="G491" s="4">
        <f t="shared" si="29"/>
        <v>0</v>
      </c>
      <c r="H491" s="4">
        <f t="shared" si="30"/>
        <v>4.4792833146697561E-3</v>
      </c>
      <c r="I491" s="4">
        <f t="shared" si="31"/>
        <v>2.3386342376052719E-3</v>
      </c>
    </row>
    <row r="492" spans="1:9">
      <c r="A492" s="1">
        <v>38708</v>
      </c>
      <c r="B492">
        <v>6417.2</v>
      </c>
      <c r="C492">
        <v>19.53</v>
      </c>
      <c r="D492">
        <v>8.93</v>
      </c>
      <c r="E492">
        <v>21.21</v>
      </c>
      <c r="F492" s="4">
        <f t="shared" si="28"/>
        <v>-8.4503908440966245E-3</v>
      </c>
      <c r="G492" s="4">
        <f t="shared" si="29"/>
        <v>2.0523345305286148E-3</v>
      </c>
      <c r="H492" s="4">
        <f t="shared" si="30"/>
        <v>-4.4593088071349964E-3</v>
      </c>
      <c r="I492" s="4">
        <f t="shared" si="31"/>
        <v>-1.0265982267848757E-2</v>
      </c>
    </row>
    <row r="493" spans="1:9">
      <c r="A493" s="1">
        <v>38709</v>
      </c>
      <c r="B493">
        <v>6512.63</v>
      </c>
      <c r="C493">
        <v>19.88</v>
      </c>
      <c r="D493">
        <v>9.1</v>
      </c>
      <c r="E493">
        <v>22.17</v>
      </c>
      <c r="F493" s="4">
        <f t="shared" si="28"/>
        <v>1.4870971763385947E-2</v>
      </c>
      <c r="G493" s="4">
        <f t="shared" si="29"/>
        <v>1.7921146953404906E-2</v>
      </c>
      <c r="H493" s="4">
        <f t="shared" si="30"/>
        <v>1.9036954087346018E-2</v>
      </c>
      <c r="I493" s="4">
        <f t="shared" si="31"/>
        <v>4.5261669024045298E-2</v>
      </c>
    </row>
    <row r="494" spans="1:9">
      <c r="A494" s="1">
        <v>38712</v>
      </c>
      <c r="B494">
        <v>6534.77</v>
      </c>
      <c r="C494">
        <v>19.670000000000002</v>
      </c>
      <c r="D494">
        <v>9.23</v>
      </c>
      <c r="E494">
        <v>21.77</v>
      </c>
      <c r="F494" s="4">
        <f t="shared" si="28"/>
        <v>3.3995482623763867E-3</v>
      </c>
      <c r="G494" s="4">
        <f t="shared" si="29"/>
        <v>-1.0563380281690005E-2</v>
      </c>
      <c r="H494" s="4">
        <f t="shared" si="30"/>
        <v>1.4285714285714372E-2</v>
      </c>
      <c r="I494" s="4">
        <f t="shared" si="31"/>
        <v>-1.8042399639152103E-2</v>
      </c>
    </row>
    <row r="495" spans="1:9">
      <c r="A495" s="1">
        <v>38713</v>
      </c>
      <c r="B495">
        <v>6531.59</v>
      </c>
      <c r="C495">
        <v>20.36</v>
      </c>
      <c r="D495">
        <v>9.27</v>
      </c>
      <c r="E495">
        <v>21.94</v>
      </c>
      <c r="F495" s="4">
        <f t="shared" si="28"/>
        <v>-4.8662768544268444E-4</v>
      </c>
      <c r="G495" s="4">
        <f t="shared" si="29"/>
        <v>3.5078800203355243E-2</v>
      </c>
      <c r="H495" s="4">
        <f t="shared" si="30"/>
        <v>4.3336944745394528E-3</v>
      </c>
      <c r="I495" s="4">
        <f t="shared" si="31"/>
        <v>7.8089113458889164E-3</v>
      </c>
    </row>
    <row r="496" spans="1:9">
      <c r="A496" s="1">
        <v>38714</v>
      </c>
      <c r="B496">
        <v>6524.4</v>
      </c>
      <c r="C496">
        <v>21.11</v>
      </c>
      <c r="D496">
        <v>9.27</v>
      </c>
      <c r="E496">
        <v>21.27</v>
      </c>
      <c r="F496" s="4">
        <f t="shared" si="28"/>
        <v>-1.1008039390103344E-3</v>
      </c>
      <c r="G496" s="4">
        <f t="shared" si="29"/>
        <v>3.6836935166994107E-2</v>
      </c>
      <c r="H496" s="4">
        <f t="shared" si="30"/>
        <v>0</v>
      </c>
      <c r="I496" s="4">
        <f t="shared" si="31"/>
        <v>-3.0537830446672819E-2</v>
      </c>
    </row>
    <row r="497" spans="1:9">
      <c r="A497" s="1">
        <v>38715</v>
      </c>
      <c r="B497">
        <v>6575.53</v>
      </c>
      <c r="C497">
        <v>20.93</v>
      </c>
      <c r="D497">
        <v>9.1</v>
      </c>
      <c r="E497">
        <v>21.32</v>
      </c>
      <c r="F497" s="4">
        <f t="shared" si="28"/>
        <v>7.8367359450677628E-3</v>
      </c>
      <c r="G497" s="4">
        <f t="shared" si="29"/>
        <v>-8.5267645665561206E-3</v>
      </c>
      <c r="H497" s="4">
        <f t="shared" si="30"/>
        <v>-1.8338727076591146E-2</v>
      </c>
      <c r="I497" s="4">
        <f t="shared" si="31"/>
        <v>2.3507287259050642E-3</v>
      </c>
    </row>
    <row r="498" spans="1:9">
      <c r="A498" s="1">
        <v>38716</v>
      </c>
      <c r="B498">
        <v>6548.34</v>
      </c>
      <c r="C498">
        <v>20.5</v>
      </c>
      <c r="D498">
        <v>9.19</v>
      </c>
      <c r="E498">
        <v>20.98</v>
      </c>
      <c r="F498" s="4">
        <f t="shared" si="28"/>
        <v>-4.13502789889174E-3</v>
      </c>
      <c r="G498" s="4">
        <f t="shared" si="29"/>
        <v>-2.054467271858575E-2</v>
      </c>
      <c r="H498" s="4">
        <f t="shared" si="30"/>
        <v>9.8901098901098741E-3</v>
      </c>
      <c r="I498" s="4">
        <f t="shared" si="31"/>
        <v>-1.5947467166979354E-2</v>
      </c>
    </row>
    <row r="499" spans="1:9">
      <c r="A499" s="1">
        <v>38719</v>
      </c>
      <c r="B499">
        <v>6462.06</v>
      </c>
      <c r="C499">
        <v>20.100000000000001</v>
      </c>
      <c r="D499">
        <v>9.06</v>
      </c>
      <c r="E499">
        <v>20.53</v>
      </c>
      <c r="F499" s="4">
        <f t="shared" si="28"/>
        <v>-1.3175858309128687E-2</v>
      </c>
      <c r="G499" s="4">
        <f t="shared" si="29"/>
        <v>-1.951219512195115E-2</v>
      </c>
      <c r="H499" s="4">
        <f t="shared" si="30"/>
        <v>-1.4145810663764854E-2</v>
      </c>
      <c r="I499" s="4">
        <f t="shared" si="31"/>
        <v>-2.1448999046711117E-2</v>
      </c>
    </row>
    <row r="500" spans="1:9">
      <c r="A500" s="1">
        <v>38720</v>
      </c>
      <c r="B500">
        <v>6591.77</v>
      </c>
      <c r="C500">
        <v>20.63</v>
      </c>
      <c r="D500">
        <v>9.1</v>
      </c>
      <c r="E500">
        <v>20.76</v>
      </c>
      <c r="F500" s="4">
        <f t="shared" si="28"/>
        <v>2.0072546525411405E-2</v>
      </c>
      <c r="G500" s="4">
        <f t="shared" si="29"/>
        <v>2.6368159203979977E-2</v>
      </c>
      <c r="H500" s="4">
        <f t="shared" si="30"/>
        <v>4.4150110375274993E-3</v>
      </c>
      <c r="I500" s="4">
        <f t="shared" si="31"/>
        <v>1.1203117389186576E-2</v>
      </c>
    </row>
    <row r="501" spans="1:9">
      <c r="A501" s="1">
        <v>38721</v>
      </c>
      <c r="B501">
        <v>6616.44</v>
      </c>
      <c r="C501">
        <v>20.54</v>
      </c>
      <c r="D501">
        <v>9.23</v>
      </c>
      <c r="E501">
        <v>20.64</v>
      </c>
      <c r="F501" s="4">
        <f t="shared" si="28"/>
        <v>3.7425456288673847E-3</v>
      </c>
      <c r="G501" s="4">
        <f t="shared" si="29"/>
        <v>-4.3625787687833189E-3</v>
      </c>
      <c r="H501" s="4">
        <f t="shared" si="30"/>
        <v>1.4285714285714372E-2</v>
      </c>
      <c r="I501" s="4">
        <f t="shared" si="31"/>
        <v>-5.780346820809296E-3</v>
      </c>
    </row>
    <row r="502" spans="1:9">
      <c r="A502" s="1">
        <v>38722</v>
      </c>
      <c r="B502">
        <v>6709.87</v>
      </c>
      <c r="C502">
        <v>20.67</v>
      </c>
      <c r="D502">
        <v>9.32</v>
      </c>
      <c r="E502">
        <v>20.420000000000002</v>
      </c>
      <c r="F502" s="4">
        <f t="shared" si="28"/>
        <v>1.4120886760856335E-2</v>
      </c>
      <c r="G502" s="4">
        <f t="shared" si="29"/>
        <v>6.3291139240507577E-3</v>
      </c>
      <c r="H502" s="4">
        <f t="shared" si="30"/>
        <v>9.7508125677139602E-3</v>
      </c>
      <c r="I502" s="4">
        <f t="shared" si="31"/>
        <v>-1.0658914728682115E-2</v>
      </c>
    </row>
    <row r="503" spans="1:9">
      <c r="A503" s="1">
        <v>38723</v>
      </c>
      <c r="B503">
        <v>6694.82</v>
      </c>
      <c r="C503">
        <v>20.71</v>
      </c>
      <c r="D503">
        <v>9.49</v>
      </c>
      <c r="E503">
        <v>20.59</v>
      </c>
      <c r="F503" s="4">
        <f t="shared" si="28"/>
        <v>-2.2429644687602269E-3</v>
      </c>
      <c r="G503" s="4">
        <f t="shared" si="29"/>
        <v>1.9351717464924597E-3</v>
      </c>
      <c r="H503" s="4">
        <f t="shared" si="30"/>
        <v>1.8240343347639475E-2</v>
      </c>
      <c r="I503" s="4">
        <f t="shared" si="31"/>
        <v>8.3251714005875676E-3</v>
      </c>
    </row>
    <row r="504" spans="1:9">
      <c r="A504" s="1">
        <v>38726</v>
      </c>
      <c r="B504">
        <v>6742.39</v>
      </c>
      <c r="C504">
        <v>20.190000000000001</v>
      </c>
      <c r="D504">
        <v>9.5299999999999994</v>
      </c>
      <c r="E504">
        <v>21.27</v>
      </c>
      <c r="F504" s="4">
        <f t="shared" si="28"/>
        <v>7.1054935009456002E-3</v>
      </c>
      <c r="G504" s="4">
        <f t="shared" si="29"/>
        <v>-2.5108643167551885E-2</v>
      </c>
      <c r="H504" s="4">
        <f t="shared" si="30"/>
        <v>4.2149631190726185E-3</v>
      </c>
      <c r="I504" s="4">
        <f t="shared" si="31"/>
        <v>3.3025740650801348E-2</v>
      </c>
    </row>
    <row r="505" spans="1:9">
      <c r="A505" s="1">
        <v>38727</v>
      </c>
      <c r="B505">
        <v>6707.4</v>
      </c>
      <c r="C505">
        <v>20.28</v>
      </c>
      <c r="D505">
        <v>9.6199999999999992</v>
      </c>
      <c r="E505">
        <v>20.93</v>
      </c>
      <c r="F505" s="4">
        <f t="shared" si="28"/>
        <v>-5.1895544458271754E-3</v>
      </c>
      <c r="G505" s="4">
        <f t="shared" si="29"/>
        <v>4.4576523031203494E-3</v>
      </c>
      <c r="H505" s="4">
        <f t="shared" si="30"/>
        <v>9.4438614900314646E-3</v>
      </c>
      <c r="I505" s="4">
        <f t="shared" si="31"/>
        <v>-1.59849553361542E-2</v>
      </c>
    </row>
    <row r="506" spans="1:9">
      <c r="A506" s="1">
        <v>38728</v>
      </c>
      <c r="B506">
        <v>6735.89</v>
      </c>
      <c r="C506">
        <v>20.32</v>
      </c>
      <c r="D506">
        <v>9.66</v>
      </c>
      <c r="E506">
        <v>20.93</v>
      </c>
      <c r="F506" s="4">
        <f t="shared" si="28"/>
        <v>4.2475474848675627E-3</v>
      </c>
      <c r="G506" s="4">
        <f t="shared" si="29"/>
        <v>1.9723865877711612E-3</v>
      </c>
      <c r="H506" s="4">
        <f t="shared" si="30"/>
        <v>4.1580041580042545E-3</v>
      </c>
      <c r="I506" s="4">
        <f t="shared" si="31"/>
        <v>0</v>
      </c>
    </row>
    <row r="507" spans="1:9">
      <c r="A507" s="1">
        <v>38729</v>
      </c>
      <c r="B507">
        <v>6725.61</v>
      </c>
      <c r="C507">
        <v>20.28</v>
      </c>
      <c r="D507">
        <v>9.66</v>
      </c>
      <c r="E507">
        <v>20.87</v>
      </c>
      <c r="F507" s="4">
        <f t="shared" si="28"/>
        <v>-1.5261531883686722E-3</v>
      </c>
      <c r="G507" s="4">
        <f t="shared" si="29"/>
        <v>-1.9685039370078319E-3</v>
      </c>
      <c r="H507" s="4">
        <f t="shared" si="30"/>
        <v>0</v>
      </c>
      <c r="I507" s="4">
        <f t="shared" si="31"/>
        <v>-2.8666985188723708E-3</v>
      </c>
    </row>
    <row r="508" spans="1:9">
      <c r="A508" s="1">
        <v>38730</v>
      </c>
      <c r="B508">
        <v>6682.35</v>
      </c>
      <c r="C508">
        <v>20.8</v>
      </c>
      <c r="D508">
        <v>9.66</v>
      </c>
      <c r="E508">
        <v>20.59</v>
      </c>
      <c r="F508" s="4">
        <f t="shared" si="28"/>
        <v>-6.4321303197775832E-3</v>
      </c>
      <c r="G508" s="4">
        <f t="shared" si="29"/>
        <v>2.5641025641025619E-2</v>
      </c>
      <c r="H508" s="4">
        <f t="shared" si="30"/>
        <v>0</v>
      </c>
      <c r="I508" s="4">
        <f t="shared" si="31"/>
        <v>-1.3416387158600915E-2</v>
      </c>
    </row>
    <row r="509" spans="1:9">
      <c r="A509" s="1">
        <v>38733</v>
      </c>
      <c r="B509">
        <v>6724.18</v>
      </c>
      <c r="C509">
        <v>21.11</v>
      </c>
      <c r="D509">
        <v>9.57</v>
      </c>
      <c r="E509">
        <v>20.93</v>
      </c>
      <c r="F509" s="4">
        <f t="shared" si="28"/>
        <v>6.2597738819427182E-3</v>
      </c>
      <c r="G509" s="4">
        <f t="shared" si="29"/>
        <v>1.4903846153846092E-2</v>
      </c>
      <c r="H509" s="4">
        <f t="shared" si="30"/>
        <v>-9.3167701863353884E-3</v>
      </c>
      <c r="I509" s="4">
        <f t="shared" si="31"/>
        <v>1.6512870325400674E-2</v>
      </c>
    </row>
    <row r="510" spans="1:9">
      <c r="A510" s="1">
        <v>38734</v>
      </c>
      <c r="B510">
        <v>6711.04</v>
      </c>
      <c r="C510">
        <v>20.98</v>
      </c>
      <c r="D510">
        <v>9.49</v>
      </c>
      <c r="E510">
        <v>21.15</v>
      </c>
      <c r="F510" s="4">
        <f t="shared" si="28"/>
        <v>-1.9541416202422195E-3</v>
      </c>
      <c r="G510" s="4">
        <f t="shared" si="29"/>
        <v>-6.1582188536238279E-3</v>
      </c>
      <c r="H510" s="4">
        <f t="shared" si="30"/>
        <v>-8.3594566353187121E-3</v>
      </c>
      <c r="I510" s="4">
        <f t="shared" si="31"/>
        <v>1.0511227902532196E-2</v>
      </c>
    </row>
    <row r="511" spans="1:9">
      <c r="A511" s="1">
        <v>38735</v>
      </c>
      <c r="B511">
        <v>6498.92</v>
      </c>
      <c r="C511">
        <v>20.63</v>
      </c>
      <c r="D511">
        <v>9.19</v>
      </c>
      <c r="E511">
        <v>20.14</v>
      </c>
      <c r="F511" s="4">
        <f t="shared" si="28"/>
        <v>-3.1607619683387357E-2</v>
      </c>
      <c r="G511" s="4">
        <f t="shared" si="29"/>
        <v>-1.6682554814108741E-2</v>
      </c>
      <c r="H511" s="4">
        <f t="shared" si="30"/>
        <v>-3.1612223393045383E-2</v>
      </c>
      <c r="I511" s="4">
        <f t="shared" si="31"/>
        <v>-4.7754137115839153E-2</v>
      </c>
    </row>
    <row r="512" spans="1:9">
      <c r="A512" s="1">
        <v>38736</v>
      </c>
      <c r="B512">
        <v>6512.29</v>
      </c>
      <c r="C512">
        <v>20.98</v>
      </c>
      <c r="D512">
        <v>9.19</v>
      </c>
      <c r="E512">
        <v>20.53</v>
      </c>
      <c r="F512" s="4">
        <f t="shared" si="28"/>
        <v>2.0572648993986524E-3</v>
      </c>
      <c r="G512" s="4">
        <f t="shared" si="29"/>
        <v>1.6965584100824112E-2</v>
      </c>
      <c r="H512" s="4">
        <f t="shared" si="30"/>
        <v>0</v>
      </c>
      <c r="I512" s="4">
        <f t="shared" si="31"/>
        <v>1.9364448857994071E-2</v>
      </c>
    </row>
    <row r="513" spans="1:9">
      <c r="A513" s="1">
        <v>38737</v>
      </c>
      <c r="B513">
        <v>6486.63</v>
      </c>
      <c r="C513">
        <v>20.85</v>
      </c>
      <c r="D513">
        <v>9.23</v>
      </c>
      <c r="E513">
        <v>20.48</v>
      </c>
      <c r="F513" s="4">
        <f t="shared" si="28"/>
        <v>-3.9402422189429298E-3</v>
      </c>
      <c r="G513" s="4">
        <f t="shared" si="29"/>
        <v>-6.1963775023831744E-3</v>
      </c>
      <c r="H513" s="4">
        <f t="shared" si="30"/>
        <v>4.3525571273123967E-3</v>
      </c>
      <c r="I513" s="4">
        <f t="shared" si="31"/>
        <v>-2.4354603019971117E-3</v>
      </c>
    </row>
    <row r="514" spans="1:9">
      <c r="A514" s="1">
        <v>38740</v>
      </c>
      <c r="B514">
        <v>6381.97</v>
      </c>
      <c r="C514">
        <v>20.8</v>
      </c>
      <c r="D514">
        <v>9.23</v>
      </c>
      <c r="E514">
        <v>20.190000000000001</v>
      </c>
      <c r="F514" s="4">
        <f t="shared" si="28"/>
        <v>-1.6134726352512761E-2</v>
      </c>
      <c r="G514" s="4">
        <f t="shared" si="29"/>
        <v>-2.3980815347722164E-3</v>
      </c>
      <c r="H514" s="4">
        <f t="shared" si="30"/>
        <v>0</v>
      </c>
      <c r="I514" s="4">
        <f t="shared" si="31"/>
        <v>-1.4160156249999958E-2</v>
      </c>
    </row>
    <row r="515" spans="1:9">
      <c r="A515" s="1">
        <v>38741</v>
      </c>
      <c r="B515">
        <v>6451.94</v>
      </c>
      <c r="C515">
        <v>20.58</v>
      </c>
      <c r="D515">
        <v>9.27</v>
      </c>
      <c r="E515">
        <v>20.36</v>
      </c>
      <c r="F515" s="4">
        <f t="shared" si="28"/>
        <v>1.0963699296612072E-2</v>
      </c>
      <c r="G515" s="4">
        <f t="shared" si="29"/>
        <v>-1.0576923076923192E-2</v>
      </c>
      <c r="H515" s="4">
        <f t="shared" si="30"/>
        <v>4.3336944745394528E-3</v>
      </c>
      <c r="I515" s="4">
        <f t="shared" si="31"/>
        <v>8.4200099058939146E-3</v>
      </c>
    </row>
    <row r="516" spans="1:9">
      <c r="A516" s="1">
        <v>38742</v>
      </c>
      <c r="B516">
        <v>6532.18</v>
      </c>
      <c r="C516">
        <v>20.89</v>
      </c>
      <c r="D516">
        <v>9.32</v>
      </c>
      <c r="E516">
        <v>20.48</v>
      </c>
      <c r="F516" s="4">
        <f t="shared" ref="F516:F579" si="32">(B516-B515)/B515</f>
        <v>1.2436569465928185E-2</v>
      </c>
      <c r="G516" s="4">
        <f t="shared" ref="G516:G579" si="33">(C516-C515)/C515</f>
        <v>1.5063168124392725E-2</v>
      </c>
      <c r="H516" s="4">
        <f t="shared" ref="H516:H579" si="34">(D516-D515)/D515</f>
        <v>5.3937432578210045E-3</v>
      </c>
      <c r="I516" s="4">
        <f t="shared" ref="I516:I579" si="35">(E516-E515)/E515</f>
        <v>5.8939096267191064E-3</v>
      </c>
    </row>
    <row r="517" spans="1:9">
      <c r="A517" s="1">
        <v>38751</v>
      </c>
      <c r="B517">
        <v>6594.6</v>
      </c>
      <c r="C517">
        <v>21.72</v>
      </c>
      <c r="D517">
        <v>9.5299999999999994</v>
      </c>
      <c r="E517">
        <v>20.079999999999998</v>
      </c>
      <c r="F517" s="4">
        <f t="shared" si="32"/>
        <v>9.5557685183200822E-3</v>
      </c>
      <c r="G517" s="4">
        <f t="shared" si="33"/>
        <v>3.9731929152704563E-2</v>
      </c>
      <c r="H517" s="4">
        <f t="shared" si="34"/>
        <v>2.2532188841201617E-2</v>
      </c>
      <c r="I517" s="4">
        <f t="shared" si="35"/>
        <v>-1.9531250000000104E-2</v>
      </c>
    </row>
    <row r="518" spans="1:9">
      <c r="A518" s="1">
        <v>38754</v>
      </c>
      <c r="B518">
        <v>6719.96</v>
      </c>
      <c r="C518">
        <v>22.07</v>
      </c>
      <c r="D518">
        <v>10.18</v>
      </c>
      <c r="E518">
        <v>20.309999999999999</v>
      </c>
      <c r="F518" s="4">
        <f t="shared" si="32"/>
        <v>1.9009492615169935E-2</v>
      </c>
      <c r="G518" s="4">
        <f t="shared" si="33"/>
        <v>1.6114180478821429E-2</v>
      </c>
      <c r="H518" s="4">
        <f t="shared" si="34"/>
        <v>6.8205666316894065E-2</v>
      </c>
      <c r="I518" s="4">
        <f t="shared" si="35"/>
        <v>1.1454183266932294E-2</v>
      </c>
    </row>
    <row r="519" spans="1:9">
      <c r="A519" s="1">
        <v>38755</v>
      </c>
      <c r="B519">
        <v>6720.08</v>
      </c>
      <c r="C519">
        <v>21.59</v>
      </c>
      <c r="D519">
        <v>10.130000000000001</v>
      </c>
      <c r="E519">
        <v>20.93</v>
      </c>
      <c r="F519" s="4">
        <f t="shared" si="32"/>
        <v>1.785724915027632E-5</v>
      </c>
      <c r="G519" s="4">
        <f t="shared" si="33"/>
        <v>-2.1748980516538306E-2</v>
      </c>
      <c r="H519" s="4">
        <f t="shared" si="34"/>
        <v>-4.9115913555991099E-3</v>
      </c>
      <c r="I519" s="4">
        <f t="shared" si="35"/>
        <v>3.0526834071885823E-2</v>
      </c>
    </row>
    <row r="520" spans="1:9">
      <c r="A520" s="1">
        <v>38756</v>
      </c>
      <c r="B520">
        <v>6624.11</v>
      </c>
      <c r="C520">
        <v>21.41</v>
      </c>
      <c r="D520">
        <v>9.9600000000000009</v>
      </c>
      <c r="E520">
        <v>20.53</v>
      </c>
      <c r="F520" s="4">
        <f t="shared" si="32"/>
        <v>-1.4281079987143048E-2</v>
      </c>
      <c r="G520" s="4">
        <f t="shared" si="33"/>
        <v>-8.337193144974513E-3</v>
      </c>
      <c r="H520" s="4">
        <f t="shared" si="34"/>
        <v>-1.6781836130306014E-2</v>
      </c>
      <c r="I520" s="4">
        <f t="shared" si="35"/>
        <v>-1.9111323459149478E-2</v>
      </c>
    </row>
    <row r="521" spans="1:9">
      <c r="A521" s="1">
        <v>38757</v>
      </c>
      <c r="B521">
        <v>6630.13</v>
      </c>
      <c r="C521">
        <v>21.06</v>
      </c>
      <c r="D521">
        <v>9.8800000000000008</v>
      </c>
      <c r="E521">
        <v>20.53</v>
      </c>
      <c r="F521" s="4">
        <f t="shared" si="32"/>
        <v>9.0880133331125792E-4</v>
      </c>
      <c r="G521" s="4">
        <f t="shared" si="33"/>
        <v>-1.6347501167678722E-2</v>
      </c>
      <c r="H521" s="4">
        <f t="shared" si="34"/>
        <v>-8.0321285140562311E-3</v>
      </c>
      <c r="I521" s="4">
        <f t="shared" si="35"/>
        <v>0</v>
      </c>
    </row>
    <row r="522" spans="1:9">
      <c r="A522" s="1">
        <v>38758</v>
      </c>
      <c r="B522">
        <v>6594.92</v>
      </c>
      <c r="C522">
        <v>20.98</v>
      </c>
      <c r="D522">
        <v>9.7899999999999991</v>
      </c>
      <c r="E522">
        <v>20.64</v>
      </c>
      <c r="F522" s="4">
        <f t="shared" si="32"/>
        <v>-5.3106047694389154E-3</v>
      </c>
      <c r="G522" s="4">
        <f t="shared" si="33"/>
        <v>-3.7986704653370511E-3</v>
      </c>
      <c r="H522" s="4">
        <f t="shared" si="34"/>
        <v>-9.1093117408908523E-3</v>
      </c>
      <c r="I522" s="4">
        <f t="shared" si="35"/>
        <v>5.3580126643935425E-3</v>
      </c>
    </row>
    <row r="523" spans="1:9">
      <c r="A523" s="1">
        <v>38761</v>
      </c>
      <c r="B523">
        <v>6562.29</v>
      </c>
      <c r="C523">
        <v>20.89</v>
      </c>
      <c r="D523">
        <v>9.4499999999999993</v>
      </c>
      <c r="E523">
        <v>20.190000000000001</v>
      </c>
      <c r="F523" s="4">
        <f t="shared" si="32"/>
        <v>-4.947747660320384E-3</v>
      </c>
      <c r="G523" s="4">
        <f t="shared" si="33"/>
        <v>-4.2897998093422238E-3</v>
      </c>
      <c r="H523" s="4">
        <f t="shared" si="34"/>
        <v>-3.4729315628192023E-2</v>
      </c>
      <c r="I523" s="4">
        <f t="shared" si="35"/>
        <v>-2.1802325581395315E-2</v>
      </c>
    </row>
    <row r="524" spans="1:9">
      <c r="A524" s="1">
        <v>38762</v>
      </c>
      <c r="B524">
        <v>6612.97</v>
      </c>
      <c r="C524">
        <v>21.28</v>
      </c>
      <c r="D524">
        <v>9.4499999999999993</v>
      </c>
      <c r="E524">
        <v>20.190000000000001</v>
      </c>
      <c r="F524" s="4">
        <f t="shared" si="32"/>
        <v>7.7229137999083085E-3</v>
      </c>
      <c r="G524" s="4">
        <f t="shared" si="33"/>
        <v>1.8669219722355222E-2</v>
      </c>
      <c r="H524" s="4">
        <f t="shared" si="34"/>
        <v>0</v>
      </c>
      <c r="I524" s="4">
        <f t="shared" si="35"/>
        <v>0</v>
      </c>
    </row>
    <row r="525" spans="1:9">
      <c r="A525" s="1">
        <v>38763</v>
      </c>
      <c r="B525">
        <v>6598.49</v>
      </c>
      <c r="C525">
        <v>20.98</v>
      </c>
      <c r="D525">
        <v>9.49</v>
      </c>
      <c r="E525">
        <v>19.86</v>
      </c>
      <c r="F525" s="4">
        <f t="shared" si="32"/>
        <v>-2.1896364265981054E-3</v>
      </c>
      <c r="G525" s="4">
        <f t="shared" si="33"/>
        <v>-1.4097744360902288E-2</v>
      </c>
      <c r="H525" s="4">
        <f t="shared" si="34"/>
        <v>4.2328042328043311E-3</v>
      </c>
      <c r="I525" s="4">
        <f t="shared" si="35"/>
        <v>-1.6344725111441399E-2</v>
      </c>
    </row>
    <row r="526" spans="1:9">
      <c r="A526" s="1">
        <v>38764</v>
      </c>
      <c r="B526">
        <v>6683.93</v>
      </c>
      <c r="C526">
        <v>21.24</v>
      </c>
      <c r="D526">
        <v>9.36</v>
      </c>
      <c r="E526">
        <v>21.21</v>
      </c>
      <c r="F526" s="4">
        <f t="shared" si="32"/>
        <v>1.2948416986310583E-2</v>
      </c>
      <c r="G526" s="4">
        <f t="shared" si="33"/>
        <v>1.2392755004766349E-2</v>
      </c>
      <c r="H526" s="4">
        <f t="shared" si="34"/>
        <v>-1.3698630136986384E-2</v>
      </c>
      <c r="I526" s="4">
        <f t="shared" si="35"/>
        <v>6.7975830815710042E-2</v>
      </c>
    </row>
    <row r="527" spans="1:9">
      <c r="A527" s="1">
        <v>38765</v>
      </c>
      <c r="B527">
        <v>6673.75</v>
      </c>
      <c r="C527">
        <v>21.15</v>
      </c>
      <c r="D527">
        <v>9.49</v>
      </c>
      <c r="E527">
        <v>21.55</v>
      </c>
      <c r="F527" s="4">
        <f t="shared" si="32"/>
        <v>-1.5230560463679738E-3</v>
      </c>
      <c r="G527" s="4">
        <f t="shared" si="33"/>
        <v>-4.2372881355932143E-3</v>
      </c>
      <c r="H527" s="4">
        <f t="shared" si="34"/>
        <v>1.3888888888888973E-2</v>
      </c>
      <c r="I527" s="4">
        <f t="shared" si="35"/>
        <v>1.6030174446016024E-2</v>
      </c>
    </row>
    <row r="528" spans="1:9">
      <c r="A528" s="1">
        <v>38768</v>
      </c>
      <c r="B528">
        <v>6686.55</v>
      </c>
      <c r="C528">
        <v>21.68</v>
      </c>
      <c r="D528">
        <v>9.4</v>
      </c>
      <c r="E528">
        <v>21.6</v>
      </c>
      <c r="F528" s="4">
        <f t="shared" si="32"/>
        <v>1.9179621651995028E-3</v>
      </c>
      <c r="G528" s="4">
        <f t="shared" si="33"/>
        <v>2.5059101654846393E-2</v>
      </c>
      <c r="H528" s="4">
        <f t="shared" si="34"/>
        <v>-9.4836670179135781E-3</v>
      </c>
      <c r="I528" s="4">
        <f t="shared" si="35"/>
        <v>2.3201856148492208E-3</v>
      </c>
    </row>
    <row r="529" spans="1:9">
      <c r="A529" s="1">
        <v>38769</v>
      </c>
      <c r="B529">
        <v>6631.51</v>
      </c>
      <c r="C529">
        <v>21.41</v>
      </c>
      <c r="D529">
        <v>9.32</v>
      </c>
      <c r="E529">
        <v>21.43</v>
      </c>
      <c r="F529" s="4">
        <f t="shared" si="32"/>
        <v>-8.231449701265969E-3</v>
      </c>
      <c r="G529" s="4">
        <f t="shared" si="33"/>
        <v>-1.2453874538745368E-2</v>
      </c>
      <c r="H529" s="4">
        <f t="shared" si="34"/>
        <v>-8.5106382978723475E-3</v>
      </c>
      <c r="I529" s="4">
        <f t="shared" si="35"/>
        <v>-7.8703703703704494E-3</v>
      </c>
    </row>
    <row r="530" spans="1:9">
      <c r="A530" s="1">
        <v>38770</v>
      </c>
      <c r="B530">
        <v>6530.7</v>
      </c>
      <c r="C530">
        <v>21.5</v>
      </c>
      <c r="D530">
        <v>9.23</v>
      </c>
      <c r="E530">
        <v>21.1</v>
      </c>
      <c r="F530" s="4">
        <f t="shared" si="32"/>
        <v>-1.5201665985574989E-2</v>
      </c>
      <c r="G530" s="4">
        <f t="shared" si="33"/>
        <v>4.2036431574030758E-3</v>
      </c>
      <c r="H530" s="4">
        <f t="shared" si="34"/>
        <v>-9.6566523605150067E-3</v>
      </c>
      <c r="I530" s="4">
        <f t="shared" si="35"/>
        <v>-1.5398973401773135E-2</v>
      </c>
    </row>
    <row r="531" spans="1:9">
      <c r="A531" s="1">
        <v>38771</v>
      </c>
      <c r="B531">
        <v>6474.69</v>
      </c>
      <c r="C531">
        <v>21.41</v>
      </c>
      <c r="D531">
        <v>9.19</v>
      </c>
      <c r="E531">
        <v>21.15</v>
      </c>
      <c r="F531" s="4">
        <f t="shared" si="32"/>
        <v>-8.576416004409974E-3</v>
      </c>
      <c r="G531" s="4">
        <f t="shared" si="33"/>
        <v>-4.1860465116279003E-3</v>
      </c>
      <c r="H531" s="4">
        <f t="shared" si="34"/>
        <v>-4.3336944745396445E-3</v>
      </c>
      <c r="I531" s="4">
        <f t="shared" si="35"/>
        <v>2.3696682464453629E-3</v>
      </c>
    </row>
    <row r="532" spans="1:9">
      <c r="A532" s="1">
        <v>38772</v>
      </c>
      <c r="B532">
        <v>6538.22</v>
      </c>
      <c r="C532">
        <v>21.5</v>
      </c>
      <c r="D532">
        <v>9.27</v>
      </c>
      <c r="E532">
        <v>21.49</v>
      </c>
      <c r="F532" s="4">
        <f t="shared" si="32"/>
        <v>9.8120527778164917E-3</v>
      </c>
      <c r="G532" s="4">
        <f t="shared" si="33"/>
        <v>4.2036431574030758E-3</v>
      </c>
      <c r="H532" s="4">
        <f t="shared" si="34"/>
        <v>8.7051142546246008E-3</v>
      </c>
      <c r="I532" s="4">
        <f t="shared" si="35"/>
        <v>1.6075650118203305E-2</v>
      </c>
    </row>
    <row r="533" spans="1:9">
      <c r="A533" s="1">
        <v>38775</v>
      </c>
      <c r="B533">
        <v>6561.63</v>
      </c>
      <c r="C533">
        <v>21.41</v>
      </c>
      <c r="D533">
        <v>9.23</v>
      </c>
      <c r="E533">
        <v>21.6</v>
      </c>
      <c r="F533" s="4">
        <f t="shared" si="32"/>
        <v>3.5804852085123862E-3</v>
      </c>
      <c r="G533" s="4">
        <f t="shared" si="33"/>
        <v>-4.1860465116279003E-3</v>
      </c>
      <c r="H533" s="4">
        <f t="shared" si="34"/>
        <v>-4.3149946062566507E-3</v>
      </c>
      <c r="I533" s="4">
        <f t="shared" si="35"/>
        <v>5.1186598417870171E-3</v>
      </c>
    </row>
    <row r="534" spans="1:9">
      <c r="A534" s="1">
        <v>38777</v>
      </c>
      <c r="B534">
        <v>6613.39</v>
      </c>
      <c r="C534">
        <v>21.37</v>
      </c>
      <c r="D534">
        <v>9.36</v>
      </c>
      <c r="E534">
        <v>21.66</v>
      </c>
      <c r="F534" s="4">
        <f t="shared" si="32"/>
        <v>7.8882838562979347E-3</v>
      </c>
      <c r="G534" s="4">
        <f t="shared" si="33"/>
        <v>-1.8682858477346636E-3</v>
      </c>
      <c r="H534" s="4">
        <f t="shared" si="34"/>
        <v>1.4084507042253412E-2</v>
      </c>
      <c r="I534" s="4">
        <f t="shared" si="35"/>
        <v>2.7777777777777185E-3</v>
      </c>
    </row>
    <row r="535" spans="1:9">
      <c r="A535" s="1">
        <v>38778</v>
      </c>
      <c r="B535">
        <v>6642.96</v>
      </c>
      <c r="C535">
        <v>21.85</v>
      </c>
      <c r="D535">
        <v>9.32</v>
      </c>
      <c r="E535">
        <v>21.89</v>
      </c>
      <c r="F535" s="4">
        <f t="shared" si="32"/>
        <v>4.4712318493238274E-3</v>
      </c>
      <c r="G535" s="4">
        <f t="shared" si="33"/>
        <v>2.2461394478240543E-2</v>
      </c>
      <c r="H535" s="4">
        <f t="shared" si="34"/>
        <v>-4.2735042735041829E-3</v>
      </c>
      <c r="I535" s="4">
        <f t="shared" si="35"/>
        <v>1.061865189289014E-2</v>
      </c>
    </row>
    <row r="536" spans="1:9">
      <c r="A536" s="1">
        <v>38779</v>
      </c>
      <c r="B536">
        <v>6553.66</v>
      </c>
      <c r="C536">
        <v>22.72</v>
      </c>
      <c r="D536">
        <v>9.15</v>
      </c>
      <c r="E536">
        <v>22.06</v>
      </c>
      <c r="F536" s="4">
        <f t="shared" si="32"/>
        <v>-1.3442802606067202E-2</v>
      </c>
      <c r="G536" s="4">
        <f t="shared" si="33"/>
        <v>3.9816933638443817E-2</v>
      </c>
      <c r="H536" s="4">
        <f t="shared" si="34"/>
        <v>-1.8240343347639475E-2</v>
      </c>
      <c r="I536" s="4">
        <f t="shared" si="35"/>
        <v>7.7661032434900934E-3</v>
      </c>
    </row>
    <row r="537" spans="1:9">
      <c r="A537" s="1">
        <v>38782</v>
      </c>
      <c r="B537">
        <v>6575.78</v>
      </c>
      <c r="C537">
        <v>22.77</v>
      </c>
      <c r="D537">
        <v>9.15</v>
      </c>
      <c r="E537">
        <v>22.22</v>
      </c>
      <c r="F537" s="4">
        <f t="shared" si="32"/>
        <v>3.3752132396248648E-3</v>
      </c>
      <c r="G537" s="4">
        <f t="shared" si="33"/>
        <v>2.200704225352144E-3</v>
      </c>
      <c r="H537" s="4">
        <f t="shared" si="34"/>
        <v>0</v>
      </c>
      <c r="I537" s="4">
        <f t="shared" si="35"/>
        <v>7.2529465095194992E-3</v>
      </c>
    </row>
    <row r="538" spans="1:9">
      <c r="A538" s="1">
        <v>38783</v>
      </c>
      <c r="B538">
        <v>6494.15</v>
      </c>
      <c r="C538">
        <v>22.94</v>
      </c>
      <c r="D538">
        <v>9.1</v>
      </c>
      <c r="E538">
        <v>21.66</v>
      </c>
      <c r="F538" s="4">
        <f t="shared" si="32"/>
        <v>-1.2413736469285791E-2</v>
      </c>
      <c r="G538" s="4">
        <f t="shared" si="33"/>
        <v>7.4659639877031935E-3</v>
      </c>
      <c r="H538" s="4">
        <f t="shared" si="34"/>
        <v>-5.4644808743170171E-3</v>
      </c>
      <c r="I538" s="4">
        <f t="shared" si="35"/>
        <v>-2.5202520252025146E-2</v>
      </c>
    </row>
    <row r="539" spans="1:9">
      <c r="A539" s="1">
        <v>38784</v>
      </c>
      <c r="B539">
        <v>6459.57</v>
      </c>
      <c r="C539">
        <v>22.94</v>
      </c>
      <c r="D539">
        <v>9.15</v>
      </c>
      <c r="E539">
        <v>21.21</v>
      </c>
      <c r="F539" s="4">
        <f t="shared" si="32"/>
        <v>-5.3247923130817628E-3</v>
      </c>
      <c r="G539" s="4">
        <f t="shared" si="33"/>
        <v>0</v>
      </c>
      <c r="H539" s="4">
        <f t="shared" si="34"/>
        <v>5.494505494505573E-3</v>
      </c>
      <c r="I539" s="4">
        <f t="shared" si="35"/>
        <v>-2.0775623268698029E-2</v>
      </c>
    </row>
    <row r="540" spans="1:9">
      <c r="A540" s="1">
        <v>38785</v>
      </c>
      <c r="B540">
        <v>6486.47</v>
      </c>
      <c r="C540">
        <v>22.72</v>
      </c>
      <c r="D540">
        <v>9.1</v>
      </c>
      <c r="E540">
        <v>21.21</v>
      </c>
      <c r="F540" s="4">
        <f t="shared" si="32"/>
        <v>4.1643638818064585E-3</v>
      </c>
      <c r="G540" s="4">
        <f t="shared" si="33"/>
        <v>-9.5902353966871145E-3</v>
      </c>
      <c r="H540" s="4">
        <f t="shared" si="34"/>
        <v>-5.4644808743170171E-3</v>
      </c>
      <c r="I540" s="4">
        <f t="shared" si="35"/>
        <v>0</v>
      </c>
    </row>
    <row r="541" spans="1:9">
      <c r="A541" s="1">
        <v>38786</v>
      </c>
      <c r="B541">
        <v>6490.68</v>
      </c>
      <c r="C541">
        <v>22.46</v>
      </c>
      <c r="D541">
        <v>8.93</v>
      </c>
      <c r="E541">
        <v>21.6</v>
      </c>
      <c r="F541" s="4">
        <f t="shared" si="32"/>
        <v>6.4904331631843453E-4</v>
      </c>
      <c r="G541" s="4">
        <f t="shared" si="33"/>
        <v>-1.14436619718309E-2</v>
      </c>
      <c r="H541" s="4">
        <f t="shared" si="34"/>
        <v>-1.8681318681318674E-2</v>
      </c>
      <c r="I541" s="4">
        <f t="shared" si="35"/>
        <v>1.8387553041018415E-2</v>
      </c>
    </row>
    <row r="542" spans="1:9">
      <c r="A542" s="1">
        <v>38789</v>
      </c>
      <c r="B542">
        <v>6544.63</v>
      </c>
      <c r="C542">
        <v>22.29</v>
      </c>
      <c r="D542">
        <v>9.02</v>
      </c>
      <c r="E542">
        <v>21.89</v>
      </c>
      <c r="F542" s="4">
        <f t="shared" si="32"/>
        <v>8.3119180116720918E-3</v>
      </c>
      <c r="G542" s="4">
        <f t="shared" si="33"/>
        <v>-7.5690115761354272E-3</v>
      </c>
      <c r="H542" s="4">
        <f t="shared" si="34"/>
        <v>1.0078387458006703E-2</v>
      </c>
      <c r="I542" s="4">
        <f t="shared" si="35"/>
        <v>1.3425925925925886E-2</v>
      </c>
    </row>
    <row r="543" spans="1:9">
      <c r="A543" s="1">
        <v>38790</v>
      </c>
      <c r="B543">
        <v>6460.01</v>
      </c>
      <c r="C543">
        <v>21.81</v>
      </c>
      <c r="D543">
        <v>8.93</v>
      </c>
      <c r="E543">
        <v>21.43</v>
      </c>
      <c r="F543" s="4">
        <f t="shared" si="32"/>
        <v>-1.2929684336624055E-2</v>
      </c>
      <c r="G543" s="4">
        <f t="shared" si="33"/>
        <v>-2.1534320323014826E-2</v>
      </c>
      <c r="H543" s="4">
        <f t="shared" si="34"/>
        <v>-9.9778270509977667E-3</v>
      </c>
      <c r="I543" s="4">
        <f t="shared" si="35"/>
        <v>-2.1014161717679343E-2</v>
      </c>
    </row>
    <row r="544" spans="1:9">
      <c r="A544" s="1">
        <v>38791</v>
      </c>
      <c r="B544">
        <v>6518.7</v>
      </c>
      <c r="C544">
        <v>21.63</v>
      </c>
      <c r="D544">
        <v>8.93</v>
      </c>
      <c r="E544">
        <v>21.6</v>
      </c>
      <c r="F544" s="4">
        <f t="shared" si="32"/>
        <v>9.0851252552240011E-3</v>
      </c>
      <c r="G544" s="4">
        <f t="shared" si="33"/>
        <v>-8.2530949105914589E-3</v>
      </c>
      <c r="H544" s="4">
        <f t="shared" si="34"/>
        <v>0</v>
      </c>
      <c r="I544" s="4">
        <f t="shared" si="35"/>
        <v>7.932804479701433E-3</v>
      </c>
    </row>
    <row r="545" spans="1:9">
      <c r="A545" s="1">
        <v>38792</v>
      </c>
      <c r="B545">
        <v>6504.98</v>
      </c>
      <c r="C545">
        <v>21.41</v>
      </c>
      <c r="D545">
        <v>8.93</v>
      </c>
      <c r="E545">
        <v>21.55</v>
      </c>
      <c r="F545" s="4">
        <f t="shared" si="32"/>
        <v>-2.1047141301180072E-3</v>
      </c>
      <c r="G545" s="4">
        <f t="shared" si="33"/>
        <v>-1.0171058714747983E-2</v>
      </c>
      <c r="H545" s="4">
        <f t="shared" si="34"/>
        <v>0</v>
      </c>
      <c r="I545" s="4">
        <f t="shared" si="35"/>
        <v>-2.3148148148148476E-3</v>
      </c>
    </row>
    <row r="546" spans="1:9">
      <c r="A546" s="1">
        <v>38793</v>
      </c>
      <c r="B546">
        <v>6528.57</v>
      </c>
      <c r="C546">
        <v>21.76</v>
      </c>
      <c r="D546">
        <v>8.9700000000000006</v>
      </c>
      <c r="E546">
        <v>21.72</v>
      </c>
      <c r="F546" s="4">
        <f t="shared" si="32"/>
        <v>3.626452348815853E-3</v>
      </c>
      <c r="G546" s="4">
        <f t="shared" si="33"/>
        <v>1.6347501167678722E-2</v>
      </c>
      <c r="H546" s="4">
        <f t="shared" si="34"/>
        <v>4.4792833146697561E-3</v>
      </c>
      <c r="I546" s="4">
        <f t="shared" si="35"/>
        <v>7.8886310904871526E-3</v>
      </c>
    </row>
    <row r="547" spans="1:9">
      <c r="A547" s="1">
        <v>38796</v>
      </c>
      <c r="B547">
        <v>6516.52</v>
      </c>
      <c r="C547">
        <v>21.59</v>
      </c>
      <c r="D547">
        <v>9.23</v>
      </c>
      <c r="E547">
        <v>21.72</v>
      </c>
      <c r="F547" s="4">
        <f t="shared" si="32"/>
        <v>-1.8457334454557849E-3</v>
      </c>
      <c r="G547" s="4">
        <f t="shared" si="33"/>
        <v>-7.8125000000000781E-3</v>
      </c>
      <c r="H547" s="4">
        <f t="shared" si="34"/>
        <v>2.8985507246376784E-2</v>
      </c>
      <c r="I547" s="4">
        <f t="shared" si="35"/>
        <v>0</v>
      </c>
    </row>
    <row r="548" spans="1:9">
      <c r="A548" s="1">
        <v>38797</v>
      </c>
      <c r="B548">
        <v>6458.03</v>
      </c>
      <c r="C548">
        <v>21.81</v>
      </c>
      <c r="D548">
        <v>9.1</v>
      </c>
      <c r="E548">
        <v>21.55</v>
      </c>
      <c r="F548" s="4">
        <f t="shared" si="32"/>
        <v>-8.9756495798371961E-3</v>
      </c>
      <c r="G548" s="4">
        <f t="shared" si="33"/>
        <v>1.018990273274659E-2</v>
      </c>
      <c r="H548" s="4">
        <f t="shared" si="34"/>
        <v>-1.4084507042253605E-2</v>
      </c>
      <c r="I548" s="4">
        <f t="shared" si="35"/>
        <v>-7.8268876611417206E-3</v>
      </c>
    </row>
    <row r="549" spans="1:9">
      <c r="A549" s="1">
        <v>38798</v>
      </c>
      <c r="B549">
        <v>6391.26</v>
      </c>
      <c r="C549">
        <v>21.81</v>
      </c>
      <c r="D549">
        <v>9.15</v>
      </c>
      <c r="E549">
        <v>21.38</v>
      </c>
      <c r="F549" s="4">
        <f t="shared" si="32"/>
        <v>-1.0339066247756596E-2</v>
      </c>
      <c r="G549" s="4">
        <f t="shared" si="33"/>
        <v>0</v>
      </c>
      <c r="H549" s="4">
        <f t="shared" si="34"/>
        <v>5.494505494505573E-3</v>
      </c>
      <c r="I549" s="4">
        <f t="shared" si="35"/>
        <v>-7.8886310904873174E-3</v>
      </c>
    </row>
    <row r="550" spans="1:9">
      <c r="A550" s="1">
        <v>38799</v>
      </c>
      <c r="B550">
        <v>6364.6</v>
      </c>
      <c r="C550">
        <v>21.63</v>
      </c>
      <c r="D550">
        <v>9.1</v>
      </c>
      <c r="E550">
        <v>21.38</v>
      </c>
      <c r="F550" s="4">
        <f t="shared" si="32"/>
        <v>-4.171321460869978E-3</v>
      </c>
      <c r="G550" s="4">
        <f t="shared" si="33"/>
        <v>-8.2530949105914589E-3</v>
      </c>
      <c r="H550" s="4">
        <f t="shared" si="34"/>
        <v>-5.4644808743170171E-3</v>
      </c>
      <c r="I550" s="4">
        <f t="shared" si="35"/>
        <v>0</v>
      </c>
    </row>
    <row r="551" spans="1:9">
      <c r="A551" s="1">
        <v>38800</v>
      </c>
      <c r="B551">
        <v>6376.62</v>
      </c>
      <c r="C551">
        <v>21.85</v>
      </c>
      <c r="D551">
        <v>9.4499999999999993</v>
      </c>
      <c r="E551">
        <v>21.38</v>
      </c>
      <c r="F551" s="4">
        <f t="shared" si="32"/>
        <v>1.888571159224386E-3</v>
      </c>
      <c r="G551" s="4">
        <f t="shared" si="33"/>
        <v>1.0171058714748148E-2</v>
      </c>
      <c r="H551" s="4">
        <f t="shared" si="34"/>
        <v>3.8461538461538422E-2</v>
      </c>
      <c r="I551" s="4">
        <f t="shared" si="35"/>
        <v>0</v>
      </c>
    </row>
    <row r="552" spans="1:9">
      <c r="A552" s="1">
        <v>38803</v>
      </c>
      <c r="B552">
        <v>6421.85</v>
      </c>
      <c r="C552">
        <v>21.85</v>
      </c>
      <c r="D552">
        <v>9.4</v>
      </c>
      <c r="E552">
        <v>21.83</v>
      </c>
      <c r="F552" s="4">
        <f t="shared" si="32"/>
        <v>7.0930994790344218E-3</v>
      </c>
      <c r="G552" s="4">
        <f t="shared" si="33"/>
        <v>0</v>
      </c>
      <c r="H552" s="4">
        <f t="shared" si="34"/>
        <v>-5.2910052910051788E-3</v>
      </c>
      <c r="I552" s="4">
        <f t="shared" si="35"/>
        <v>2.1047708138447113E-2</v>
      </c>
    </row>
    <row r="553" spans="1:9">
      <c r="A553" s="1">
        <v>38804</v>
      </c>
      <c r="B553">
        <v>6453.85</v>
      </c>
      <c r="C553">
        <v>21.54</v>
      </c>
      <c r="D553">
        <v>9.36</v>
      </c>
      <c r="E553">
        <v>22</v>
      </c>
      <c r="F553" s="4">
        <f t="shared" si="32"/>
        <v>4.9829877683222118E-3</v>
      </c>
      <c r="G553" s="4">
        <f t="shared" si="33"/>
        <v>-1.4187643020595069E-2</v>
      </c>
      <c r="H553" s="4">
        <f t="shared" si="34"/>
        <v>-4.2553191489362683E-3</v>
      </c>
      <c r="I553" s="4">
        <f t="shared" si="35"/>
        <v>7.7874484654146458E-3</v>
      </c>
    </row>
    <row r="554" spans="1:9">
      <c r="A554" s="1">
        <v>38805</v>
      </c>
      <c r="B554">
        <v>6498.03</v>
      </c>
      <c r="C554">
        <v>21.15</v>
      </c>
      <c r="D554">
        <v>9.36</v>
      </c>
      <c r="E554">
        <v>22.22</v>
      </c>
      <c r="F554" s="4">
        <f t="shared" si="32"/>
        <v>6.8455263137506108E-3</v>
      </c>
      <c r="G554" s="4">
        <f t="shared" si="33"/>
        <v>-1.810584958217273E-2</v>
      </c>
      <c r="H554" s="4">
        <f t="shared" si="34"/>
        <v>0</v>
      </c>
      <c r="I554" s="4">
        <f t="shared" si="35"/>
        <v>9.9999999999999482E-3</v>
      </c>
    </row>
    <row r="555" spans="1:9">
      <c r="A555" s="1">
        <v>38806</v>
      </c>
      <c r="B555">
        <v>6546.06</v>
      </c>
      <c r="C555">
        <v>21.76</v>
      </c>
      <c r="D555">
        <v>9.4</v>
      </c>
      <c r="E555">
        <v>22.45</v>
      </c>
      <c r="F555" s="4">
        <f t="shared" si="32"/>
        <v>7.3914709535044705E-3</v>
      </c>
      <c r="G555" s="4">
        <f t="shared" si="33"/>
        <v>2.8841607565011963E-2</v>
      </c>
      <c r="H555" s="4">
        <f t="shared" si="34"/>
        <v>4.2735042735043728E-3</v>
      </c>
      <c r="I555" s="4">
        <f t="shared" si="35"/>
        <v>1.035103510351037E-2</v>
      </c>
    </row>
    <row r="556" spans="1:9">
      <c r="A556" s="1">
        <v>38807</v>
      </c>
      <c r="B556">
        <v>6613.97</v>
      </c>
      <c r="C556">
        <v>21.85</v>
      </c>
      <c r="D556">
        <v>9.49</v>
      </c>
      <c r="E556">
        <v>23.13</v>
      </c>
      <c r="F556" s="4">
        <f t="shared" si="32"/>
        <v>1.0374179277305716E-2</v>
      </c>
      <c r="G556" s="4">
        <f t="shared" si="33"/>
        <v>4.136029411764699E-3</v>
      </c>
      <c r="H556" s="4">
        <f t="shared" si="34"/>
        <v>9.5744680851063673E-3</v>
      </c>
      <c r="I556" s="4">
        <f t="shared" si="35"/>
        <v>3.0289532293986624E-2</v>
      </c>
    </row>
    <row r="557" spans="1:9">
      <c r="A557" s="1">
        <v>38810</v>
      </c>
      <c r="B557">
        <v>6660.76</v>
      </c>
      <c r="C557">
        <v>21.59</v>
      </c>
      <c r="D557">
        <v>9.57</v>
      </c>
      <c r="E557">
        <v>23.86</v>
      </c>
      <c r="F557" s="4">
        <f t="shared" si="32"/>
        <v>7.0744197509211501E-3</v>
      </c>
      <c r="G557" s="4">
        <f t="shared" si="33"/>
        <v>-1.1899313501144235E-2</v>
      </c>
      <c r="H557" s="4">
        <f t="shared" si="34"/>
        <v>8.4299262381454243E-3</v>
      </c>
      <c r="I557" s="4">
        <f t="shared" si="35"/>
        <v>3.1560743623000452E-2</v>
      </c>
    </row>
    <row r="558" spans="1:9">
      <c r="A558" s="1">
        <v>38811</v>
      </c>
      <c r="B558">
        <v>6665.6</v>
      </c>
      <c r="C558">
        <v>21.94</v>
      </c>
      <c r="D558">
        <v>9.5299999999999994</v>
      </c>
      <c r="E558">
        <v>23.86</v>
      </c>
      <c r="F558" s="4">
        <f t="shared" si="32"/>
        <v>7.266438064125033E-4</v>
      </c>
      <c r="G558" s="4">
        <f t="shared" si="33"/>
        <v>1.6211208893006087E-2</v>
      </c>
      <c r="H558" s="4">
        <f t="shared" si="34"/>
        <v>-4.1797283176594488E-3</v>
      </c>
      <c r="I558" s="4">
        <f t="shared" si="35"/>
        <v>0</v>
      </c>
    </row>
    <row r="559" spans="1:9">
      <c r="A559" s="1">
        <v>38813</v>
      </c>
      <c r="B559">
        <v>6760.82</v>
      </c>
      <c r="C559">
        <v>21.81</v>
      </c>
      <c r="D559">
        <v>9.83</v>
      </c>
      <c r="E559">
        <v>24.2</v>
      </c>
      <c r="F559" s="4">
        <f t="shared" si="32"/>
        <v>1.4285285645703213E-2</v>
      </c>
      <c r="G559" s="4">
        <f t="shared" si="33"/>
        <v>-5.9252506836828872E-3</v>
      </c>
      <c r="H559" s="4">
        <f t="shared" si="34"/>
        <v>3.1479538300105012E-2</v>
      </c>
      <c r="I559" s="4">
        <f t="shared" si="35"/>
        <v>1.4249790444258167E-2</v>
      </c>
    </row>
    <row r="560" spans="1:9">
      <c r="A560" s="1">
        <v>38814</v>
      </c>
      <c r="B560">
        <v>6781.94</v>
      </c>
      <c r="C560">
        <v>21.85</v>
      </c>
      <c r="D560">
        <v>9.8800000000000008</v>
      </c>
      <c r="E560">
        <v>24.25</v>
      </c>
      <c r="F560" s="4">
        <f t="shared" si="32"/>
        <v>3.1238814226676485E-3</v>
      </c>
      <c r="G560" s="4">
        <f t="shared" si="33"/>
        <v>1.8340210912426733E-3</v>
      </c>
      <c r="H560" s="4">
        <f t="shared" si="34"/>
        <v>5.0864699898271323E-3</v>
      </c>
      <c r="I560" s="4">
        <f t="shared" si="35"/>
        <v>2.0661157024793684E-3</v>
      </c>
    </row>
    <row r="561" spans="1:9">
      <c r="A561" s="1">
        <v>38817</v>
      </c>
      <c r="B561">
        <v>6780.64</v>
      </c>
      <c r="C561">
        <v>21.5</v>
      </c>
      <c r="D561">
        <v>9.9600000000000009</v>
      </c>
      <c r="E561">
        <v>24.48</v>
      </c>
      <c r="F561" s="4">
        <f t="shared" si="32"/>
        <v>-1.9168556489725249E-4</v>
      </c>
      <c r="G561" s="4">
        <f t="shared" si="33"/>
        <v>-1.6018306636155669E-2</v>
      </c>
      <c r="H561" s="4">
        <f t="shared" si="34"/>
        <v>8.097165991902841E-3</v>
      </c>
      <c r="I561" s="4">
        <f t="shared" si="35"/>
        <v>9.4845360824742445E-3</v>
      </c>
    </row>
    <row r="562" spans="1:9">
      <c r="A562" s="1">
        <v>38818</v>
      </c>
      <c r="B562">
        <v>6757.17</v>
      </c>
      <c r="C562">
        <v>21.41</v>
      </c>
      <c r="D562">
        <v>9.92</v>
      </c>
      <c r="E562">
        <v>23.52</v>
      </c>
      <c r="F562" s="4">
        <f t="shared" si="32"/>
        <v>-3.4613251846433747E-3</v>
      </c>
      <c r="G562" s="4">
        <f t="shared" si="33"/>
        <v>-4.1860465116279003E-3</v>
      </c>
      <c r="H562" s="4">
        <f t="shared" si="34"/>
        <v>-4.0160642570282049E-3</v>
      </c>
      <c r="I562" s="4">
        <f t="shared" si="35"/>
        <v>-3.9215686274509838E-2</v>
      </c>
    </row>
    <row r="563" spans="1:9">
      <c r="A563" s="1">
        <v>38819</v>
      </c>
      <c r="B563">
        <v>6808.5</v>
      </c>
      <c r="C563">
        <v>21.68</v>
      </c>
      <c r="D563">
        <v>10.130000000000001</v>
      </c>
      <c r="E563">
        <v>22.96</v>
      </c>
      <c r="F563" s="4">
        <f t="shared" si="32"/>
        <v>7.5963754056801776E-3</v>
      </c>
      <c r="G563" s="4">
        <f t="shared" si="33"/>
        <v>1.2610929472209228E-2</v>
      </c>
      <c r="H563" s="4">
        <f t="shared" si="34"/>
        <v>2.1169354838709763E-2</v>
      </c>
      <c r="I563" s="4">
        <f t="shared" si="35"/>
        <v>-2.3809523809523756E-2</v>
      </c>
    </row>
    <row r="564" spans="1:9">
      <c r="A564" s="1">
        <v>38820</v>
      </c>
      <c r="B564">
        <v>6855.74</v>
      </c>
      <c r="C564">
        <v>21.81</v>
      </c>
      <c r="D564">
        <v>10.52</v>
      </c>
      <c r="E564">
        <v>22.84</v>
      </c>
      <c r="F564" s="4">
        <f t="shared" si="32"/>
        <v>6.9383858412278452E-3</v>
      </c>
      <c r="G564" s="4">
        <f t="shared" si="33"/>
        <v>5.9963099630995853E-3</v>
      </c>
      <c r="H564" s="4">
        <f t="shared" si="34"/>
        <v>3.8499506416584284E-2</v>
      </c>
      <c r="I564" s="4">
        <f t="shared" si="35"/>
        <v>-5.2264808362369767E-3</v>
      </c>
    </row>
    <row r="565" spans="1:9">
      <c r="A565" s="1">
        <v>38821</v>
      </c>
      <c r="B565">
        <v>6952.54</v>
      </c>
      <c r="C565">
        <v>21.85</v>
      </c>
      <c r="D565">
        <v>10.39</v>
      </c>
      <c r="E565">
        <v>23.8</v>
      </c>
      <c r="F565" s="4">
        <f t="shared" si="32"/>
        <v>1.4119555292353588E-2</v>
      </c>
      <c r="G565" s="4">
        <f t="shared" si="33"/>
        <v>1.8340210912426733E-3</v>
      </c>
      <c r="H565" s="4">
        <f t="shared" si="34"/>
        <v>-1.2357414448669108E-2</v>
      </c>
      <c r="I565" s="4">
        <f t="shared" si="35"/>
        <v>4.2031523642732084E-2</v>
      </c>
    </row>
    <row r="566" spans="1:9">
      <c r="A566" s="1">
        <v>38824</v>
      </c>
      <c r="B566">
        <v>7000.09</v>
      </c>
      <c r="C566">
        <v>22.37</v>
      </c>
      <c r="D566">
        <v>10.73</v>
      </c>
      <c r="E566">
        <v>23.69</v>
      </c>
      <c r="F566" s="4">
        <f t="shared" si="32"/>
        <v>6.8392271026128841E-3</v>
      </c>
      <c r="G566" s="4">
        <f t="shared" si="33"/>
        <v>2.3798627002288308E-2</v>
      </c>
      <c r="H566" s="4">
        <f t="shared" si="34"/>
        <v>3.272377285851779E-2</v>
      </c>
      <c r="I566" s="4">
        <f t="shared" si="35"/>
        <v>-4.6218487394957741E-3</v>
      </c>
    </row>
    <row r="567" spans="1:9">
      <c r="A567" s="1">
        <v>38825</v>
      </c>
      <c r="B567">
        <v>6989.46</v>
      </c>
      <c r="C567">
        <v>22.02</v>
      </c>
      <c r="D567">
        <v>10.48</v>
      </c>
      <c r="E567">
        <v>23.8</v>
      </c>
      <c r="F567" s="4">
        <f t="shared" si="32"/>
        <v>-1.5185519043326742E-3</v>
      </c>
      <c r="G567" s="4">
        <f t="shared" si="33"/>
        <v>-1.564595440321866E-2</v>
      </c>
      <c r="H567" s="4">
        <f t="shared" si="34"/>
        <v>-2.3299161230195712E-2</v>
      </c>
      <c r="I567" s="4">
        <f t="shared" si="35"/>
        <v>4.6433094132545139E-3</v>
      </c>
    </row>
    <row r="568" spans="1:9">
      <c r="A568" s="1">
        <v>38826</v>
      </c>
      <c r="B568">
        <v>7038.78</v>
      </c>
      <c r="C568">
        <v>21.98</v>
      </c>
      <c r="D568">
        <v>10.73</v>
      </c>
      <c r="E568">
        <v>24.25</v>
      </c>
      <c r="F568" s="4">
        <f t="shared" si="32"/>
        <v>7.0563391163265413E-3</v>
      </c>
      <c r="G568" s="4">
        <f t="shared" si="33"/>
        <v>-1.8165304268846117E-3</v>
      </c>
      <c r="H568" s="4">
        <f t="shared" si="34"/>
        <v>2.3854961832061067E-2</v>
      </c>
      <c r="I568" s="4">
        <f t="shared" si="35"/>
        <v>1.8907563025210055E-2</v>
      </c>
    </row>
    <row r="569" spans="1:9">
      <c r="A569" s="1">
        <v>38827</v>
      </c>
      <c r="B569">
        <v>7102.74</v>
      </c>
      <c r="C569">
        <v>21.98</v>
      </c>
      <c r="D569">
        <v>10.78</v>
      </c>
      <c r="E569">
        <v>24.2</v>
      </c>
      <c r="F569" s="4">
        <f t="shared" si="32"/>
        <v>9.0868019742057632E-3</v>
      </c>
      <c r="G569" s="4">
        <f t="shared" si="33"/>
        <v>0</v>
      </c>
      <c r="H569" s="4">
        <f t="shared" si="34"/>
        <v>4.6598322460390433E-3</v>
      </c>
      <c r="I569" s="4">
        <f t="shared" si="35"/>
        <v>-2.0618556701031219E-3</v>
      </c>
    </row>
    <row r="570" spans="1:9">
      <c r="A570" s="1">
        <v>38828</v>
      </c>
      <c r="B570">
        <v>7093.05</v>
      </c>
      <c r="C570">
        <v>21.72</v>
      </c>
      <c r="D570">
        <v>10.73</v>
      </c>
      <c r="E570">
        <v>25.04</v>
      </c>
      <c r="F570" s="4">
        <f t="shared" si="32"/>
        <v>-1.3642622424584879E-3</v>
      </c>
      <c r="G570" s="4">
        <f t="shared" si="33"/>
        <v>-1.1828935395814448E-2</v>
      </c>
      <c r="H570" s="4">
        <f t="shared" si="34"/>
        <v>-4.638218923933111E-3</v>
      </c>
      <c r="I570" s="4">
        <f t="shared" si="35"/>
        <v>3.4710743801652885E-2</v>
      </c>
    </row>
    <row r="571" spans="1:9">
      <c r="A571" s="1">
        <v>38831</v>
      </c>
      <c r="B571">
        <v>7096.04</v>
      </c>
      <c r="C571">
        <v>21.89</v>
      </c>
      <c r="D571">
        <v>11.25</v>
      </c>
      <c r="E571">
        <v>25.38</v>
      </c>
      <c r="F571" s="4">
        <f t="shared" si="32"/>
        <v>4.2153939419569601E-4</v>
      </c>
      <c r="G571" s="4">
        <f t="shared" si="33"/>
        <v>7.8268876611418837E-3</v>
      </c>
      <c r="H571" s="4">
        <f t="shared" si="34"/>
        <v>4.8462255358807042E-2</v>
      </c>
      <c r="I571" s="4">
        <f t="shared" si="35"/>
        <v>1.3578274760383381E-2</v>
      </c>
    </row>
    <row r="572" spans="1:9">
      <c r="A572" s="1">
        <v>38832</v>
      </c>
      <c r="B572">
        <v>7059.94</v>
      </c>
      <c r="C572">
        <v>21.85</v>
      </c>
      <c r="D572">
        <v>11.21</v>
      </c>
      <c r="E572">
        <v>24.65</v>
      </c>
      <c r="F572" s="4">
        <f t="shared" si="32"/>
        <v>-5.0873444907300926E-3</v>
      </c>
      <c r="G572" s="4">
        <f t="shared" si="33"/>
        <v>-1.8273184102329441E-3</v>
      </c>
      <c r="H572" s="4">
        <f t="shared" si="34"/>
        <v>-3.5555555555554798E-3</v>
      </c>
      <c r="I572" s="4">
        <f t="shared" si="35"/>
        <v>-2.8762805358550057E-2</v>
      </c>
    </row>
    <row r="573" spans="1:9">
      <c r="A573" s="1">
        <v>38833</v>
      </c>
      <c r="B573">
        <v>7168.98</v>
      </c>
      <c r="C573">
        <v>21.85</v>
      </c>
      <c r="D573">
        <v>11.25</v>
      </c>
      <c r="E573">
        <v>25.16</v>
      </c>
      <c r="F573" s="4">
        <f t="shared" si="32"/>
        <v>1.5444890466491213E-2</v>
      </c>
      <c r="G573" s="4">
        <f t="shared" si="33"/>
        <v>0</v>
      </c>
      <c r="H573" s="4">
        <f t="shared" si="34"/>
        <v>3.5682426404994778E-3</v>
      </c>
      <c r="I573" s="4">
        <f t="shared" si="35"/>
        <v>2.0689655172413859E-2</v>
      </c>
    </row>
    <row r="574" spans="1:9">
      <c r="A574" s="1">
        <v>38834</v>
      </c>
      <c r="B574">
        <v>7136.21</v>
      </c>
      <c r="C574">
        <v>22.24</v>
      </c>
      <c r="D574">
        <v>11.12</v>
      </c>
      <c r="E574">
        <v>24.31</v>
      </c>
      <c r="F574" s="4">
        <f t="shared" si="32"/>
        <v>-4.5710826365814288E-3</v>
      </c>
      <c r="G574" s="4">
        <f t="shared" si="33"/>
        <v>1.7848970251716108E-2</v>
      </c>
      <c r="H574" s="4">
        <f t="shared" si="34"/>
        <v>-1.1555555555555624E-2</v>
      </c>
      <c r="I574" s="4">
        <f t="shared" si="35"/>
        <v>-3.3783783783783841E-2</v>
      </c>
    </row>
    <row r="575" spans="1:9">
      <c r="A575" s="1">
        <v>38835</v>
      </c>
      <c r="B575">
        <v>7171.77</v>
      </c>
      <c r="C575">
        <v>21.85</v>
      </c>
      <c r="D575">
        <v>10.91</v>
      </c>
      <c r="E575">
        <v>25.04</v>
      </c>
      <c r="F575" s="4">
        <f t="shared" si="32"/>
        <v>4.9830372144318066E-3</v>
      </c>
      <c r="G575" s="4">
        <f t="shared" si="33"/>
        <v>-1.7535971223021449E-2</v>
      </c>
      <c r="H575" s="4">
        <f t="shared" si="34"/>
        <v>-1.8884892086330853E-2</v>
      </c>
      <c r="I575" s="4">
        <f t="shared" si="35"/>
        <v>3.0028794734677108E-2</v>
      </c>
    </row>
    <row r="576" spans="1:9">
      <c r="A576" s="1">
        <v>38839</v>
      </c>
      <c r="B576">
        <v>7199.6</v>
      </c>
      <c r="C576">
        <v>23.16</v>
      </c>
      <c r="D576">
        <v>11.25</v>
      </c>
      <c r="E576">
        <v>25.04</v>
      </c>
      <c r="F576" s="4">
        <f t="shared" si="32"/>
        <v>3.8804925422873189E-3</v>
      </c>
      <c r="G576" s="4">
        <f t="shared" si="33"/>
        <v>5.9954233409610924E-2</v>
      </c>
      <c r="H576" s="4">
        <f t="shared" si="34"/>
        <v>3.116406966086158E-2</v>
      </c>
      <c r="I576" s="4">
        <f t="shared" si="35"/>
        <v>0</v>
      </c>
    </row>
    <row r="577" spans="1:9">
      <c r="A577" s="1">
        <v>38840</v>
      </c>
      <c r="B577">
        <v>7242.37</v>
      </c>
      <c r="C577">
        <v>23.99</v>
      </c>
      <c r="D577">
        <v>12.02</v>
      </c>
      <c r="E577">
        <v>25.04</v>
      </c>
      <c r="F577" s="4">
        <f t="shared" si="32"/>
        <v>5.9406078115450201E-3</v>
      </c>
      <c r="G577" s="4">
        <f t="shared" si="33"/>
        <v>3.5837651122625144E-2</v>
      </c>
      <c r="H577" s="4">
        <f t="shared" si="34"/>
        <v>6.8444444444444405E-2</v>
      </c>
      <c r="I577" s="4">
        <f t="shared" si="35"/>
        <v>0</v>
      </c>
    </row>
    <row r="578" spans="1:9">
      <c r="A578" s="1">
        <v>38841</v>
      </c>
      <c r="B578">
        <v>7345.04</v>
      </c>
      <c r="C578">
        <v>25.17</v>
      </c>
      <c r="D578">
        <v>11.68</v>
      </c>
      <c r="E578">
        <v>25.21</v>
      </c>
      <c r="F578" s="4">
        <f t="shared" si="32"/>
        <v>1.4176298642571434E-2</v>
      </c>
      <c r="G578" s="4">
        <f t="shared" si="33"/>
        <v>4.9187161317215643E-2</v>
      </c>
      <c r="H578" s="4">
        <f t="shared" si="34"/>
        <v>-2.8286189683860222E-2</v>
      </c>
      <c r="I578" s="4">
        <f t="shared" si="35"/>
        <v>6.7891373801917615E-3</v>
      </c>
    </row>
    <row r="579" spans="1:9">
      <c r="A579" s="1">
        <v>38842</v>
      </c>
      <c r="B579">
        <v>7370.44</v>
      </c>
      <c r="C579">
        <v>25.17</v>
      </c>
      <c r="D579">
        <v>11.64</v>
      </c>
      <c r="E579">
        <v>25.33</v>
      </c>
      <c r="F579" s="4">
        <f t="shared" si="32"/>
        <v>3.4581159530784906E-3</v>
      </c>
      <c r="G579" s="4">
        <f t="shared" si="33"/>
        <v>0</v>
      </c>
      <c r="H579" s="4">
        <f t="shared" si="34"/>
        <v>-3.4246575342465023E-3</v>
      </c>
      <c r="I579" s="4">
        <f t="shared" si="35"/>
        <v>4.7600158667194543E-3</v>
      </c>
    </row>
    <row r="580" spans="1:9">
      <c r="A580" s="1">
        <v>38845</v>
      </c>
      <c r="B580">
        <v>7474.05</v>
      </c>
      <c r="C580">
        <v>25.17</v>
      </c>
      <c r="D580">
        <v>12.15</v>
      </c>
      <c r="E580">
        <v>25.5</v>
      </c>
      <c r="F580" s="4">
        <f t="shared" ref="F580:F643" si="36">(B580-B579)/B579</f>
        <v>1.4057505386381354E-2</v>
      </c>
      <c r="G580" s="4">
        <f t="shared" ref="G580:G643" si="37">(C580-C579)/C579</f>
        <v>0</v>
      </c>
      <c r="H580" s="4">
        <f t="shared" ref="H580:H643" si="38">(D580-D579)/D579</f>
        <v>4.3814432989690698E-2</v>
      </c>
      <c r="I580" s="4">
        <f t="shared" ref="I580:I643" si="39">(E580-E579)/E579</f>
        <v>6.7114093959732219E-3</v>
      </c>
    </row>
    <row r="581" spans="1:9">
      <c r="A581" s="1">
        <v>38846</v>
      </c>
      <c r="B581">
        <v>7388.94</v>
      </c>
      <c r="C581">
        <v>23.95</v>
      </c>
      <c r="D581">
        <v>11.76</v>
      </c>
      <c r="E581">
        <v>25.21</v>
      </c>
      <c r="F581" s="4">
        <f t="shared" si="36"/>
        <v>-1.1387400405402771E-2</v>
      </c>
      <c r="G581" s="4">
        <f t="shared" si="37"/>
        <v>-4.8470401271354879E-2</v>
      </c>
      <c r="H581" s="4">
        <f t="shared" si="38"/>
        <v>-3.2098765432098809E-2</v>
      </c>
      <c r="I581" s="4">
        <f t="shared" si="39"/>
        <v>-1.1372549019607809E-2</v>
      </c>
    </row>
    <row r="582" spans="1:9">
      <c r="A582" s="1">
        <v>38847</v>
      </c>
      <c r="B582">
        <v>7324.71</v>
      </c>
      <c r="C582">
        <v>23.47</v>
      </c>
      <c r="D582">
        <v>12.11</v>
      </c>
      <c r="E582">
        <v>24.03</v>
      </c>
      <c r="F582" s="4">
        <f t="shared" si="36"/>
        <v>-8.6927218247813045E-3</v>
      </c>
      <c r="G582" s="4">
        <f t="shared" si="37"/>
        <v>-2.0041753653444693E-2</v>
      </c>
      <c r="H582" s="4">
        <f t="shared" si="38"/>
        <v>2.9761904761904732E-2</v>
      </c>
      <c r="I582" s="4">
        <f t="shared" si="39"/>
        <v>-4.6806822689408951E-2</v>
      </c>
    </row>
    <row r="583" spans="1:9">
      <c r="A583" s="1">
        <v>38848</v>
      </c>
      <c r="B583">
        <v>7361.45</v>
      </c>
      <c r="C583">
        <v>23.25</v>
      </c>
      <c r="D583">
        <v>11.76</v>
      </c>
      <c r="E583">
        <v>23.69</v>
      </c>
      <c r="F583" s="4">
        <f t="shared" si="36"/>
        <v>5.0158982403398604E-3</v>
      </c>
      <c r="G583" s="4">
        <f t="shared" si="37"/>
        <v>-9.373668512995266E-3</v>
      </c>
      <c r="H583" s="4">
        <f t="shared" si="38"/>
        <v>-2.8901734104046214E-2</v>
      </c>
      <c r="I583" s="4">
        <f t="shared" si="39"/>
        <v>-1.4148980441115266E-2</v>
      </c>
    </row>
    <row r="584" spans="1:9">
      <c r="A584" s="1">
        <v>38849</v>
      </c>
      <c r="B584">
        <v>7278.96</v>
      </c>
      <c r="C584">
        <v>23.25</v>
      </c>
      <c r="D584">
        <v>11.68</v>
      </c>
      <c r="E584">
        <v>23.24</v>
      </c>
      <c r="F584" s="4">
        <f t="shared" si="36"/>
        <v>-1.1205672795441086E-2</v>
      </c>
      <c r="G584" s="4">
        <f t="shared" si="37"/>
        <v>0</v>
      </c>
      <c r="H584" s="4">
        <f t="shared" si="38"/>
        <v>-6.80272108843538E-3</v>
      </c>
      <c r="I584" s="4">
        <f t="shared" si="39"/>
        <v>-1.8995356690586863E-2</v>
      </c>
    </row>
    <row r="585" spans="1:9">
      <c r="A585" s="1">
        <v>38852</v>
      </c>
      <c r="B585">
        <v>7176.35</v>
      </c>
      <c r="C585">
        <v>22.64</v>
      </c>
      <c r="D585">
        <v>11.76</v>
      </c>
      <c r="E585">
        <v>22.9</v>
      </c>
      <c r="F585" s="4">
        <f t="shared" si="36"/>
        <v>-1.4096794047501247E-2</v>
      </c>
      <c r="G585" s="4">
        <f t="shared" si="37"/>
        <v>-2.6236559139784923E-2</v>
      </c>
      <c r="H585" s="4">
        <f t="shared" si="38"/>
        <v>6.8493150684931572E-3</v>
      </c>
      <c r="I585" s="4">
        <f t="shared" si="39"/>
        <v>-1.4629948364888118E-2</v>
      </c>
    </row>
    <row r="586" spans="1:9">
      <c r="A586" s="1">
        <v>38853</v>
      </c>
      <c r="B586">
        <v>7069.9</v>
      </c>
      <c r="C586">
        <v>21.72</v>
      </c>
      <c r="D586">
        <v>11.76</v>
      </c>
      <c r="E586">
        <v>22.96</v>
      </c>
      <c r="F586" s="4">
        <f t="shared" si="36"/>
        <v>-1.4833445971838152E-2</v>
      </c>
      <c r="G586" s="4">
        <f t="shared" si="37"/>
        <v>-4.0636042402826929E-2</v>
      </c>
      <c r="H586" s="4">
        <f t="shared" si="38"/>
        <v>0</v>
      </c>
      <c r="I586" s="4">
        <f t="shared" si="39"/>
        <v>2.6200873362446407E-3</v>
      </c>
    </row>
    <row r="587" spans="1:9">
      <c r="A587" s="1">
        <v>38854</v>
      </c>
      <c r="B587">
        <v>7116.83</v>
      </c>
      <c r="C587">
        <v>22.16</v>
      </c>
      <c r="D587">
        <v>11.51</v>
      </c>
      <c r="E587">
        <v>23.8</v>
      </c>
      <c r="F587" s="4">
        <f t="shared" si="36"/>
        <v>6.6380005374899638E-3</v>
      </c>
      <c r="G587" s="4">
        <f t="shared" si="37"/>
        <v>2.0257826887661201E-2</v>
      </c>
      <c r="H587" s="4">
        <f t="shared" si="38"/>
        <v>-2.1258503401360544E-2</v>
      </c>
      <c r="I587" s="4">
        <f t="shared" si="39"/>
        <v>3.6585365853658527E-2</v>
      </c>
    </row>
    <row r="588" spans="1:9">
      <c r="A588" s="1">
        <v>38855</v>
      </c>
      <c r="B588">
        <v>7034.03</v>
      </c>
      <c r="C588">
        <v>22.29</v>
      </c>
      <c r="D588">
        <v>11.51</v>
      </c>
      <c r="E588">
        <v>23.24</v>
      </c>
      <c r="F588" s="4">
        <f t="shared" si="36"/>
        <v>-1.1634393402680713E-2</v>
      </c>
      <c r="G588" s="4">
        <f t="shared" si="37"/>
        <v>5.8664259927797384E-3</v>
      </c>
      <c r="H588" s="4">
        <f t="shared" si="38"/>
        <v>0</v>
      </c>
      <c r="I588" s="4">
        <f t="shared" si="39"/>
        <v>-2.3529411764705976E-2</v>
      </c>
    </row>
    <row r="589" spans="1:9">
      <c r="A589" s="1">
        <v>38856</v>
      </c>
      <c r="B589">
        <v>7074.15</v>
      </c>
      <c r="C589">
        <v>22.07</v>
      </c>
      <c r="D589">
        <v>11.46</v>
      </c>
      <c r="E589">
        <v>23.47</v>
      </c>
      <c r="F589" s="4">
        <f t="shared" si="36"/>
        <v>5.703700439150799E-3</v>
      </c>
      <c r="G589" s="4">
        <f t="shared" si="37"/>
        <v>-9.8698968147150675E-3</v>
      </c>
      <c r="H589" s="4">
        <f t="shared" si="38"/>
        <v>-4.3440486533448249E-3</v>
      </c>
      <c r="I589" s="4">
        <f t="shared" si="39"/>
        <v>9.896729776247868E-3</v>
      </c>
    </row>
    <row r="590" spans="1:9">
      <c r="A590" s="1">
        <v>38859</v>
      </c>
      <c r="B590">
        <v>6938.26</v>
      </c>
      <c r="C590">
        <v>21.33</v>
      </c>
      <c r="D590">
        <v>11.16</v>
      </c>
      <c r="E590">
        <v>22.34</v>
      </c>
      <c r="F590" s="4">
        <f t="shared" si="36"/>
        <v>-1.9209374977912461E-2</v>
      </c>
      <c r="G590" s="4">
        <f t="shared" si="37"/>
        <v>-3.3529678296329947E-2</v>
      </c>
      <c r="H590" s="4">
        <f t="shared" si="38"/>
        <v>-2.6178010471204247E-2</v>
      </c>
      <c r="I590" s="4">
        <f t="shared" si="39"/>
        <v>-4.8146570089475885E-2</v>
      </c>
    </row>
    <row r="591" spans="1:9">
      <c r="A591" s="1">
        <v>38860</v>
      </c>
      <c r="B591">
        <v>6843.98</v>
      </c>
      <c r="C591">
        <v>20.63</v>
      </c>
      <c r="D591">
        <v>11.03</v>
      </c>
      <c r="E591">
        <v>22.68</v>
      </c>
      <c r="F591" s="4">
        <f t="shared" si="36"/>
        <v>-1.3588421304477009E-2</v>
      </c>
      <c r="G591" s="4">
        <f t="shared" si="37"/>
        <v>-3.2817627754336581E-2</v>
      </c>
      <c r="H591" s="4">
        <f t="shared" si="38"/>
        <v>-1.1648745519713332E-2</v>
      </c>
      <c r="I591" s="4">
        <f t="shared" si="39"/>
        <v>1.5219337511190683E-2</v>
      </c>
    </row>
    <row r="592" spans="1:9">
      <c r="A592" s="1">
        <v>38861</v>
      </c>
      <c r="B592">
        <v>6877.01</v>
      </c>
      <c r="C592">
        <v>20.76</v>
      </c>
      <c r="D592">
        <v>10.99</v>
      </c>
      <c r="E592">
        <v>22.68</v>
      </c>
      <c r="F592" s="4">
        <f t="shared" si="36"/>
        <v>4.8261391763273209E-3</v>
      </c>
      <c r="G592" s="4">
        <f t="shared" si="37"/>
        <v>6.3015026660204832E-3</v>
      </c>
      <c r="H592" s="4">
        <f t="shared" si="38"/>
        <v>-3.6264732547596689E-3</v>
      </c>
      <c r="I592" s="4">
        <f t="shared" si="39"/>
        <v>0</v>
      </c>
    </row>
    <row r="593" spans="1:9">
      <c r="A593" s="1">
        <v>38862</v>
      </c>
      <c r="B593">
        <v>6861.65</v>
      </c>
      <c r="C593">
        <v>21.37</v>
      </c>
      <c r="D593">
        <v>11.25</v>
      </c>
      <c r="E593">
        <v>22.45</v>
      </c>
      <c r="F593" s="4">
        <f t="shared" si="36"/>
        <v>-2.2335288155754581E-3</v>
      </c>
      <c r="G593" s="4">
        <f t="shared" si="37"/>
        <v>2.9383429672446983E-2</v>
      </c>
      <c r="H593" s="4">
        <f t="shared" si="38"/>
        <v>2.3657870791628732E-2</v>
      </c>
      <c r="I593" s="4">
        <f t="shared" si="39"/>
        <v>-1.0141093474426826E-2</v>
      </c>
    </row>
    <row r="594" spans="1:9">
      <c r="A594" s="1">
        <v>38863</v>
      </c>
      <c r="B594">
        <v>6879.51</v>
      </c>
      <c r="C594">
        <v>22.11</v>
      </c>
      <c r="D594">
        <v>11.25</v>
      </c>
      <c r="E594">
        <v>22.28</v>
      </c>
      <c r="F594" s="4">
        <f t="shared" si="36"/>
        <v>2.6028724869383577E-3</v>
      </c>
      <c r="G594" s="4">
        <f t="shared" si="37"/>
        <v>3.4627983153954066E-2</v>
      </c>
      <c r="H594" s="4">
        <f t="shared" si="38"/>
        <v>0</v>
      </c>
      <c r="I594" s="4">
        <f t="shared" si="39"/>
        <v>-7.5723830734965771E-3</v>
      </c>
    </row>
    <row r="595" spans="1:9">
      <c r="A595" s="1">
        <v>38866</v>
      </c>
      <c r="B595">
        <v>6878.88</v>
      </c>
      <c r="C595">
        <v>22.24</v>
      </c>
      <c r="D595">
        <v>11.03</v>
      </c>
      <c r="E595">
        <v>22.34</v>
      </c>
      <c r="F595" s="4">
        <f t="shared" si="36"/>
        <v>-9.1576289590408205E-5</v>
      </c>
      <c r="G595" s="4">
        <f t="shared" si="37"/>
        <v>5.879692446856581E-3</v>
      </c>
      <c r="H595" s="4">
        <f t="shared" si="38"/>
        <v>-1.9555555555555611E-2</v>
      </c>
      <c r="I595" s="4">
        <f t="shared" si="39"/>
        <v>2.692998204667806E-3</v>
      </c>
    </row>
    <row r="596" spans="1:9">
      <c r="A596" s="1">
        <v>38867</v>
      </c>
      <c r="B596">
        <v>6846.95</v>
      </c>
      <c r="C596">
        <v>23.77</v>
      </c>
      <c r="D596">
        <v>10.86</v>
      </c>
      <c r="E596">
        <v>22.79</v>
      </c>
      <c r="F596" s="4">
        <f t="shared" si="36"/>
        <v>-4.6417440048380394E-3</v>
      </c>
      <c r="G596" s="4">
        <f t="shared" si="37"/>
        <v>6.8794964028777036E-2</v>
      </c>
      <c r="H596" s="4">
        <f t="shared" si="38"/>
        <v>-1.5412511332728916E-2</v>
      </c>
      <c r="I596" s="4">
        <f t="shared" si="39"/>
        <v>2.0143240823634705E-2</v>
      </c>
    </row>
    <row r="597" spans="1:9">
      <c r="A597" s="1">
        <v>38869</v>
      </c>
      <c r="B597">
        <v>6872.84</v>
      </c>
      <c r="C597">
        <v>22.68</v>
      </c>
      <c r="D597">
        <v>10.86</v>
      </c>
      <c r="E597">
        <v>22.56</v>
      </c>
      <c r="F597" s="4">
        <f t="shared" si="36"/>
        <v>3.7812456641278711E-3</v>
      </c>
      <c r="G597" s="4">
        <f t="shared" si="37"/>
        <v>-4.5856121161127465E-2</v>
      </c>
      <c r="H597" s="4">
        <f t="shared" si="38"/>
        <v>0</v>
      </c>
      <c r="I597" s="4">
        <f t="shared" si="39"/>
        <v>-1.0092145677928935E-2</v>
      </c>
    </row>
    <row r="598" spans="1:9">
      <c r="A598" s="1">
        <v>38870</v>
      </c>
      <c r="B598">
        <v>6959.64</v>
      </c>
      <c r="C598">
        <v>22.51</v>
      </c>
      <c r="D598">
        <v>10.86</v>
      </c>
      <c r="E598">
        <v>22.9</v>
      </c>
      <c r="F598" s="4">
        <f t="shared" si="36"/>
        <v>1.2629422480372042E-2</v>
      </c>
      <c r="G598" s="4">
        <f t="shared" si="37"/>
        <v>-7.4955908289240812E-3</v>
      </c>
      <c r="H598" s="4">
        <f t="shared" si="38"/>
        <v>0</v>
      </c>
      <c r="I598" s="4">
        <f t="shared" si="39"/>
        <v>1.5070921985815597E-2</v>
      </c>
    </row>
    <row r="599" spans="1:9">
      <c r="A599" s="1">
        <v>38873</v>
      </c>
      <c r="B599">
        <v>6715.27</v>
      </c>
      <c r="C599">
        <v>21.41</v>
      </c>
      <c r="D599">
        <v>10.73</v>
      </c>
      <c r="E599">
        <v>22.11</v>
      </c>
      <c r="F599" s="4">
        <f t="shared" si="36"/>
        <v>-3.5112448345029322E-2</v>
      </c>
      <c r="G599" s="4">
        <f t="shared" si="37"/>
        <v>-4.8867170146601573E-2</v>
      </c>
      <c r="H599" s="4">
        <f t="shared" si="38"/>
        <v>-1.1970534069981493E-2</v>
      </c>
      <c r="I599" s="4">
        <f t="shared" si="39"/>
        <v>-3.4497816593886427E-2</v>
      </c>
    </row>
    <row r="600" spans="1:9">
      <c r="A600" s="1">
        <v>38874</v>
      </c>
      <c r="B600">
        <v>6730.27</v>
      </c>
      <c r="C600">
        <v>21.19</v>
      </c>
      <c r="D600">
        <v>10.69</v>
      </c>
      <c r="E600">
        <v>22</v>
      </c>
      <c r="F600" s="4">
        <f t="shared" si="36"/>
        <v>2.2337151000629907E-3</v>
      </c>
      <c r="G600" s="4">
        <f t="shared" si="37"/>
        <v>-1.0275572162540816E-2</v>
      </c>
      <c r="H600" s="4">
        <f t="shared" si="38"/>
        <v>-3.7278657968313998E-3</v>
      </c>
      <c r="I600" s="4">
        <f t="shared" si="39"/>
        <v>-4.9751243781094275E-3</v>
      </c>
    </row>
    <row r="601" spans="1:9">
      <c r="A601" s="1">
        <v>38875</v>
      </c>
      <c r="B601">
        <v>6612.74</v>
      </c>
      <c r="C601">
        <v>20.71</v>
      </c>
      <c r="D601">
        <v>10.65</v>
      </c>
      <c r="E601">
        <v>21.55</v>
      </c>
      <c r="F601" s="4">
        <f t="shared" si="36"/>
        <v>-1.7462895247887626E-2</v>
      </c>
      <c r="G601" s="4">
        <f t="shared" si="37"/>
        <v>-2.2652194431335555E-2</v>
      </c>
      <c r="H601" s="4">
        <f t="shared" si="38"/>
        <v>-3.7418147801683019E-3</v>
      </c>
      <c r="I601" s="4">
        <f t="shared" si="39"/>
        <v>-2.0454545454545423E-2</v>
      </c>
    </row>
    <row r="602" spans="1:9">
      <c r="A602" s="1">
        <v>38876</v>
      </c>
      <c r="B602">
        <v>6331.81</v>
      </c>
      <c r="C602">
        <v>19.27</v>
      </c>
      <c r="D602">
        <v>10.18</v>
      </c>
      <c r="E602">
        <v>21.21</v>
      </c>
      <c r="F602" s="4">
        <f t="shared" si="36"/>
        <v>-4.248314616936389E-2</v>
      </c>
      <c r="G602" s="4">
        <f t="shared" si="37"/>
        <v>-6.9531627233220719E-2</v>
      </c>
      <c r="H602" s="4">
        <f t="shared" si="38"/>
        <v>-4.413145539906109E-2</v>
      </c>
      <c r="I602" s="4">
        <f t="shared" si="39"/>
        <v>-1.5777262180974472E-2</v>
      </c>
    </row>
    <row r="603" spans="1:9">
      <c r="A603" s="1">
        <v>38877</v>
      </c>
      <c r="B603">
        <v>6444.63</v>
      </c>
      <c r="C603">
        <v>19.489999999999998</v>
      </c>
      <c r="D603">
        <v>10.39</v>
      </c>
      <c r="E603">
        <v>21.66</v>
      </c>
      <c r="F603" s="4">
        <f t="shared" si="36"/>
        <v>1.7817969901181448E-2</v>
      </c>
      <c r="G603" s="4">
        <f t="shared" si="37"/>
        <v>1.1416709911779911E-2</v>
      </c>
      <c r="H603" s="4">
        <f t="shared" si="38"/>
        <v>2.0628683693516784E-2</v>
      </c>
      <c r="I603" s="4">
        <f t="shared" si="39"/>
        <v>2.1216407355021182E-2</v>
      </c>
    </row>
    <row r="604" spans="1:9">
      <c r="A604" s="1">
        <v>38880</v>
      </c>
      <c r="B604">
        <v>6442.9</v>
      </c>
      <c r="C604">
        <v>19.14</v>
      </c>
      <c r="D604">
        <v>10.61</v>
      </c>
      <c r="E604">
        <v>21.55</v>
      </c>
      <c r="F604" s="4">
        <f t="shared" si="36"/>
        <v>-2.6844054662571366E-4</v>
      </c>
      <c r="G604" s="4">
        <f t="shared" si="37"/>
        <v>-1.7957927142124058E-2</v>
      </c>
      <c r="H604" s="4">
        <f t="shared" si="38"/>
        <v>2.1174205967276115E-2</v>
      </c>
      <c r="I604" s="4">
        <f t="shared" si="39"/>
        <v>-5.0784856879039445E-3</v>
      </c>
    </row>
    <row r="605" spans="1:9">
      <c r="A605" s="1">
        <v>38881</v>
      </c>
      <c r="B605">
        <v>6337.21</v>
      </c>
      <c r="C605">
        <v>18.57</v>
      </c>
      <c r="D605">
        <v>10.56</v>
      </c>
      <c r="E605">
        <v>20.59</v>
      </c>
      <c r="F605" s="4">
        <f t="shared" si="36"/>
        <v>-1.6404103742103649E-2</v>
      </c>
      <c r="G605" s="4">
        <f t="shared" si="37"/>
        <v>-2.9780564263322897E-2</v>
      </c>
      <c r="H605" s="4">
        <f t="shared" si="38"/>
        <v>-4.71253534401498E-3</v>
      </c>
      <c r="I605" s="4">
        <f t="shared" si="39"/>
        <v>-4.4547563805104447E-2</v>
      </c>
    </row>
    <row r="606" spans="1:9">
      <c r="A606" s="1">
        <v>38882</v>
      </c>
      <c r="B606">
        <v>6469.01</v>
      </c>
      <c r="C606">
        <v>19.05</v>
      </c>
      <c r="D606">
        <v>10.99</v>
      </c>
      <c r="E606">
        <v>20.93</v>
      </c>
      <c r="F606" s="4">
        <f t="shared" si="36"/>
        <v>2.0797795875472043E-2</v>
      </c>
      <c r="G606" s="4">
        <f t="shared" si="37"/>
        <v>2.5848142164781929E-2</v>
      </c>
      <c r="H606" s="4">
        <f t="shared" si="38"/>
        <v>4.071969696969694E-2</v>
      </c>
      <c r="I606" s="4">
        <f t="shared" si="39"/>
        <v>1.6512870325400674E-2</v>
      </c>
    </row>
    <row r="607" spans="1:9">
      <c r="A607" s="1">
        <v>38883</v>
      </c>
      <c r="B607">
        <v>6426.39</v>
      </c>
      <c r="C607">
        <v>19.05</v>
      </c>
      <c r="D607">
        <v>10.82</v>
      </c>
      <c r="E607">
        <v>20.87</v>
      </c>
      <c r="F607" s="4">
        <f t="shared" si="36"/>
        <v>-6.5883342273392511E-3</v>
      </c>
      <c r="G607" s="4">
        <f t="shared" si="37"/>
        <v>0</v>
      </c>
      <c r="H607" s="4">
        <f t="shared" si="38"/>
        <v>-1.5468607825295716E-2</v>
      </c>
      <c r="I607" s="4">
        <f t="shared" si="39"/>
        <v>-2.8666985188723708E-3</v>
      </c>
    </row>
    <row r="608" spans="1:9">
      <c r="A608" s="1">
        <v>38884</v>
      </c>
      <c r="B608">
        <v>6575.77</v>
      </c>
      <c r="C608">
        <v>19.84</v>
      </c>
      <c r="D608">
        <v>10.99</v>
      </c>
      <c r="E608">
        <v>21.15</v>
      </c>
      <c r="F608" s="4">
        <f t="shared" si="36"/>
        <v>2.3244776616420743E-2</v>
      </c>
      <c r="G608" s="4">
        <f t="shared" si="37"/>
        <v>4.146981627296583E-2</v>
      </c>
      <c r="H608" s="4">
        <f t="shared" si="38"/>
        <v>1.571164510166358E-2</v>
      </c>
      <c r="I608" s="4">
        <f t="shared" si="39"/>
        <v>1.3416387158600745E-2</v>
      </c>
    </row>
    <row r="609" spans="1:9">
      <c r="A609" s="1">
        <v>38887</v>
      </c>
      <c r="B609">
        <v>6583.04</v>
      </c>
      <c r="C609">
        <v>20.23</v>
      </c>
      <c r="D609">
        <v>11.21</v>
      </c>
      <c r="E609">
        <v>21.1</v>
      </c>
      <c r="F609" s="4">
        <f t="shared" si="36"/>
        <v>1.1055739479938511E-3</v>
      </c>
      <c r="G609" s="4">
        <f t="shared" si="37"/>
        <v>1.9657258064516157E-2</v>
      </c>
      <c r="H609" s="4">
        <f t="shared" si="38"/>
        <v>2.0018198362147466E-2</v>
      </c>
      <c r="I609" s="4">
        <f t="shared" si="39"/>
        <v>-2.3640661938532938E-3</v>
      </c>
    </row>
    <row r="610" spans="1:9">
      <c r="A610" s="1">
        <v>38888</v>
      </c>
      <c r="B610">
        <v>6363.55</v>
      </c>
      <c r="C610">
        <v>19.670000000000002</v>
      </c>
      <c r="D610">
        <v>10.78</v>
      </c>
      <c r="E610">
        <v>20.59</v>
      </c>
      <c r="F610" s="4">
        <f t="shared" si="36"/>
        <v>-3.3341738771145213E-2</v>
      </c>
      <c r="G610" s="4">
        <f t="shared" si="37"/>
        <v>-2.7681660899653914E-2</v>
      </c>
      <c r="H610" s="4">
        <f t="shared" si="38"/>
        <v>-3.8358608385370335E-2</v>
      </c>
      <c r="I610" s="4">
        <f t="shared" si="39"/>
        <v>-2.4170616113744148E-2</v>
      </c>
    </row>
    <row r="611" spans="1:9">
      <c r="A611" s="1">
        <v>38889</v>
      </c>
      <c r="B611">
        <v>6299.59</v>
      </c>
      <c r="C611">
        <v>19.579999999999998</v>
      </c>
      <c r="D611">
        <v>10.61</v>
      </c>
      <c r="E611">
        <v>20.87</v>
      </c>
      <c r="F611" s="4">
        <f t="shared" si="36"/>
        <v>-1.0050993549198172E-2</v>
      </c>
      <c r="G611" s="4">
        <f t="shared" si="37"/>
        <v>-4.5754956786986985E-3</v>
      </c>
      <c r="H611" s="4">
        <f t="shared" si="38"/>
        <v>-1.5769944341372907E-2</v>
      </c>
      <c r="I611" s="4">
        <f t="shared" si="39"/>
        <v>1.3598834385624144E-2</v>
      </c>
    </row>
    <row r="612" spans="1:9">
      <c r="A612" s="1">
        <v>38890</v>
      </c>
      <c r="B612">
        <v>6485.15</v>
      </c>
      <c r="C612">
        <v>20.149999999999999</v>
      </c>
      <c r="D612">
        <v>10.73</v>
      </c>
      <c r="E612">
        <v>21.55</v>
      </c>
      <c r="F612" s="4">
        <f t="shared" si="36"/>
        <v>2.9455885224276418E-2</v>
      </c>
      <c r="G612" s="4">
        <f t="shared" si="37"/>
        <v>2.9111338100102163E-2</v>
      </c>
      <c r="H612" s="4">
        <f t="shared" si="38"/>
        <v>1.1310084825636287E-2</v>
      </c>
      <c r="I612" s="4">
        <f t="shared" si="39"/>
        <v>3.258265452803065E-2</v>
      </c>
    </row>
    <row r="613" spans="1:9">
      <c r="A613" s="1">
        <v>38891</v>
      </c>
      <c r="B613">
        <v>6452.31</v>
      </c>
      <c r="C613">
        <v>19.75</v>
      </c>
      <c r="D613">
        <v>10.86</v>
      </c>
      <c r="E613">
        <v>21.1</v>
      </c>
      <c r="F613" s="4">
        <f t="shared" si="36"/>
        <v>-5.0638767029288819E-3</v>
      </c>
      <c r="G613" s="4">
        <f t="shared" si="37"/>
        <v>-1.9851116625310104E-2</v>
      </c>
      <c r="H613" s="4">
        <f t="shared" si="38"/>
        <v>1.2115563839701677E-2</v>
      </c>
      <c r="I613" s="4">
        <f t="shared" si="39"/>
        <v>-2.0881670533642659E-2</v>
      </c>
    </row>
    <row r="614" spans="1:9">
      <c r="A614" s="1">
        <v>38894</v>
      </c>
      <c r="B614">
        <v>6523.68</v>
      </c>
      <c r="C614">
        <v>20.100000000000001</v>
      </c>
      <c r="D614">
        <v>11.03</v>
      </c>
      <c r="E614">
        <v>21.32</v>
      </c>
      <c r="F614" s="4">
        <f t="shared" si="36"/>
        <v>1.1061154842219281E-2</v>
      </c>
      <c r="G614" s="4">
        <f t="shared" si="37"/>
        <v>1.7721518987341846E-2</v>
      </c>
      <c r="H614" s="4">
        <f t="shared" si="38"/>
        <v>1.5653775322283604E-2</v>
      </c>
      <c r="I614" s="4">
        <f t="shared" si="39"/>
        <v>1.0426540284360134E-2</v>
      </c>
    </row>
    <row r="615" spans="1:9">
      <c r="A615" s="1">
        <v>38895</v>
      </c>
      <c r="B615">
        <v>6572.39</v>
      </c>
      <c r="C615">
        <v>20.28</v>
      </c>
      <c r="D615">
        <v>11.03</v>
      </c>
      <c r="E615">
        <v>21.43</v>
      </c>
      <c r="F615" s="4">
        <f t="shared" si="36"/>
        <v>7.466644593235725E-3</v>
      </c>
      <c r="G615" s="4">
        <f t="shared" si="37"/>
        <v>8.9552238805969998E-3</v>
      </c>
      <c r="H615" s="4">
        <f t="shared" si="38"/>
        <v>0</v>
      </c>
      <c r="I615" s="4">
        <f t="shared" si="39"/>
        <v>5.1594746716697665E-3</v>
      </c>
    </row>
    <row r="616" spans="1:9">
      <c r="A616" s="1">
        <v>38896</v>
      </c>
      <c r="B616">
        <v>6540.93</v>
      </c>
      <c r="C616">
        <v>20.28</v>
      </c>
      <c r="D616">
        <v>11.16</v>
      </c>
      <c r="E616">
        <v>21.27</v>
      </c>
      <c r="F616" s="4">
        <f t="shared" si="36"/>
        <v>-4.7866909906442E-3</v>
      </c>
      <c r="G616" s="4">
        <f t="shared" si="37"/>
        <v>0</v>
      </c>
      <c r="H616" s="4">
        <f t="shared" si="38"/>
        <v>1.1786038077969246E-2</v>
      </c>
      <c r="I616" s="4">
        <f t="shared" si="39"/>
        <v>-7.466168922071869E-3</v>
      </c>
    </row>
    <row r="617" spans="1:9">
      <c r="A617" s="1">
        <v>38897</v>
      </c>
      <c r="B617">
        <v>6607.39</v>
      </c>
      <c r="C617">
        <v>20.67</v>
      </c>
      <c r="D617">
        <v>11.51</v>
      </c>
      <c r="E617">
        <v>21.43</v>
      </c>
      <c r="F617" s="4">
        <f t="shared" si="36"/>
        <v>1.0160634649812799E-2</v>
      </c>
      <c r="G617" s="4">
        <f t="shared" si="37"/>
        <v>1.9230769230769256E-2</v>
      </c>
      <c r="H617" s="4">
        <f t="shared" si="38"/>
        <v>3.1362007168458751E-2</v>
      </c>
      <c r="I617" s="4">
        <f t="shared" si="39"/>
        <v>7.5223319228961043E-3</v>
      </c>
    </row>
    <row r="618" spans="1:9">
      <c r="A618" s="1">
        <v>38898</v>
      </c>
      <c r="B618">
        <v>6704.41</v>
      </c>
      <c r="C618">
        <v>20.8</v>
      </c>
      <c r="D618">
        <v>11.68</v>
      </c>
      <c r="E618">
        <v>21.89</v>
      </c>
      <c r="F618" s="4">
        <f t="shared" si="36"/>
        <v>1.4683558863635947E-2</v>
      </c>
      <c r="G618" s="4">
        <f t="shared" si="37"/>
        <v>6.2893081761005807E-3</v>
      </c>
      <c r="H618" s="4">
        <f t="shared" si="38"/>
        <v>1.4769765421372713E-2</v>
      </c>
      <c r="I618" s="4">
        <f t="shared" si="39"/>
        <v>2.1465235650956642E-2</v>
      </c>
    </row>
    <row r="619" spans="1:9">
      <c r="A619" s="1">
        <v>38901</v>
      </c>
      <c r="B619">
        <v>6718.5</v>
      </c>
      <c r="C619">
        <v>21.11</v>
      </c>
      <c r="D619">
        <v>11.51</v>
      </c>
      <c r="E619">
        <v>21.89</v>
      </c>
      <c r="F619" s="4">
        <f t="shared" si="36"/>
        <v>2.1016017815139805E-3</v>
      </c>
      <c r="G619" s="4">
        <f t="shared" si="37"/>
        <v>1.4903846153846092E-2</v>
      </c>
      <c r="H619" s="4">
        <f t="shared" si="38"/>
        <v>-1.4554794520547939E-2</v>
      </c>
      <c r="I619" s="4">
        <f t="shared" si="39"/>
        <v>0</v>
      </c>
    </row>
    <row r="620" spans="1:9">
      <c r="A620" s="1">
        <v>38902</v>
      </c>
      <c r="B620">
        <v>6734.51</v>
      </c>
      <c r="C620">
        <v>21.19</v>
      </c>
      <c r="D620">
        <v>11.42</v>
      </c>
      <c r="E620">
        <v>21.89</v>
      </c>
      <c r="F620" s="4">
        <f t="shared" si="36"/>
        <v>2.3829723896703456E-3</v>
      </c>
      <c r="G620" s="4">
        <f t="shared" si="37"/>
        <v>3.789673140691703E-3</v>
      </c>
      <c r="H620" s="4">
        <f t="shared" si="38"/>
        <v>-7.8192875760208398E-3</v>
      </c>
      <c r="I620" s="4">
        <f t="shared" si="39"/>
        <v>0</v>
      </c>
    </row>
    <row r="621" spans="1:9">
      <c r="A621" s="1">
        <v>38903</v>
      </c>
      <c r="B621">
        <v>6659.96</v>
      </c>
      <c r="C621">
        <v>21.15</v>
      </c>
      <c r="D621">
        <v>11.21</v>
      </c>
      <c r="E621">
        <v>21.6</v>
      </c>
      <c r="F621" s="4">
        <f t="shared" si="36"/>
        <v>-1.1069847694932546E-2</v>
      </c>
      <c r="G621" s="4">
        <f t="shared" si="37"/>
        <v>-1.8876828692780886E-3</v>
      </c>
      <c r="H621" s="4">
        <f t="shared" si="38"/>
        <v>-1.8388791593695192E-2</v>
      </c>
      <c r="I621" s="4">
        <f t="shared" si="39"/>
        <v>-1.3248058474189087E-2</v>
      </c>
    </row>
    <row r="622" spans="1:9">
      <c r="A622" s="1">
        <v>38904</v>
      </c>
      <c r="B622">
        <v>6659.07</v>
      </c>
      <c r="C622">
        <v>20.98</v>
      </c>
      <c r="D622">
        <v>11.16</v>
      </c>
      <c r="E622">
        <v>21.6</v>
      </c>
      <c r="F622" s="4">
        <f t="shared" si="36"/>
        <v>-1.3363443624290949E-4</v>
      </c>
      <c r="G622" s="4">
        <f t="shared" si="37"/>
        <v>-8.0378250591015676E-3</v>
      </c>
      <c r="H622" s="4">
        <f t="shared" si="38"/>
        <v>-4.4603033006245059E-3</v>
      </c>
      <c r="I622" s="4">
        <f t="shared" si="39"/>
        <v>0</v>
      </c>
    </row>
    <row r="623" spans="1:9">
      <c r="A623" s="1">
        <v>38905</v>
      </c>
      <c r="B623">
        <v>6660.61</v>
      </c>
      <c r="C623">
        <v>20.85</v>
      </c>
      <c r="D623">
        <v>11.25</v>
      </c>
      <c r="E623">
        <v>21.66</v>
      </c>
      <c r="F623" s="4">
        <f t="shared" si="36"/>
        <v>2.3126352478648876E-4</v>
      </c>
      <c r="G623" s="4">
        <f t="shared" si="37"/>
        <v>-6.1963775023831744E-3</v>
      </c>
      <c r="H623" s="4">
        <f t="shared" si="38"/>
        <v>8.0645161290322457E-3</v>
      </c>
      <c r="I623" s="4">
        <f t="shared" si="39"/>
        <v>2.7777777777777185E-3</v>
      </c>
    </row>
    <row r="624" spans="1:9">
      <c r="A624" s="1">
        <v>38908</v>
      </c>
      <c r="B624">
        <v>6682.46</v>
      </c>
      <c r="C624">
        <v>20.71</v>
      </c>
      <c r="D624">
        <v>11.42</v>
      </c>
      <c r="E624">
        <v>21.89</v>
      </c>
      <c r="F624" s="4">
        <f t="shared" si="36"/>
        <v>3.2804803163674744E-3</v>
      </c>
      <c r="G624" s="4">
        <f t="shared" si="37"/>
        <v>-6.7146282973621369E-3</v>
      </c>
      <c r="H624" s="4">
        <f t="shared" si="38"/>
        <v>1.5111111111111105E-2</v>
      </c>
      <c r="I624" s="4">
        <f t="shared" si="39"/>
        <v>1.061865189289014E-2</v>
      </c>
    </row>
    <row r="625" spans="1:9">
      <c r="A625" s="1">
        <v>38909</v>
      </c>
      <c r="B625">
        <v>6639.13</v>
      </c>
      <c r="C625">
        <v>21.06</v>
      </c>
      <c r="D625">
        <v>11.16</v>
      </c>
      <c r="E625">
        <v>21.66</v>
      </c>
      <c r="F625" s="4">
        <f t="shared" si="36"/>
        <v>-6.4841390745324218E-3</v>
      </c>
      <c r="G625" s="4">
        <f t="shared" si="37"/>
        <v>1.6900048285852141E-2</v>
      </c>
      <c r="H625" s="4">
        <f t="shared" si="38"/>
        <v>-2.2767075306479843E-2</v>
      </c>
      <c r="I625" s="4">
        <f t="shared" si="39"/>
        <v>-1.0507080858839671E-2</v>
      </c>
    </row>
    <row r="626" spans="1:9">
      <c r="A626" s="1">
        <v>38910</v>
      </c>
      <c r="B626">
        <v>6634.09</v>
      </c>
      <c r="C626">
        <v>21.54</v>
      </c>
      <c r="D626">
        <v>11.12</v>
      </c>
      <c r="E626">
        <v>21.55</v>
      </c>
      <c r="F626" s="4">
        <f t="shared" si="36"/>
        <v>-7.5913560963559437E-4</v>
      </c>
      <c r="G626" s="4">
        <f t="shared" si="37"/>
        <v>2.2792022792022814E-2</v>
      </c>
      <c r="H626" s="4">
        <f t="shared" si="38"/>
        <v>-3.5842293906810864E-3</v>
      </c>
      <c r="I626" s="4">
        <f t="shared" si="39"/>
        <v>-5.0784856879039445E-3</v>
      </c>
    </row>
    <row r="627" spans="1:9">
      <c r="A627" s="1">
        <v>38911</v>
      </c>
      <c r="B627">
        <v>6567.6</v>
      </c>
      <c r="C627">
        <v>21.41</v>
      </c>
      <c r="D627">
        <v>11.08</v>
      </c>
      <c r="E627">
        <v>20.98</v>
      </c>
      <c r="F627" s="4">
        <f t="shared" si="36"/>
        <v>-1.0022474823223649E-2</v>
      </c>
      <c r="G627" s="4">
        <f t="shared" si="37"/>
        <v>-6.0352831940575216E-3</v>
      </c>
      <c r="H627" s="4">
        <f t="shared" si="38"/>
        <v>-3.5971223021581968E-3</v>
      </c>
      <c r="I627" s="4">
        <f t="shared" si="39"/>
        <v>-2.6450116009280756E-2</v>
      </c>
    </row>
    <row r="628" spans="1:9">
      <c r="A628" s="1">
        <v>38912</v>
      </c>
      <c r="B628">
        <v>6428.03</v>
      </c>
      <c r="C628">
        <v>20.76</v>
      </c>
      <c r="D628">
        <v>11.08</v>
      </c>
      <c r="E628">
        <v>20.420000000000002</v>
      </c>
      <c r="F628" s="4">
        <f t="shared" si="36"/>
        <v>-2.125129423229195E-2</v>
      </c>
      <c r="G628" s="4">
        <f t="shared" si="37"/>
        <v>-3.0359645025688865E-2</v>
      </c>
      <c r="H628" s="4">
        <f t="shared" si="38"/>
        <v>0</v>
      </c>
      <c r="I628" s="4">
        <f t="shared" si="39"/>
        <v>-2.6692087702573818E-2</v>
      </c>
    </row>
    <row r="629" spans="1:9">
      <c r="A629" s="1">
        <v>38915</v>
      </c>
      <c r="B629">
        <v>6257.8</v>
      </c>
      <c r="C629">
        <v>20.36</v>
      </c>
      <c r="D629">
        <v>10.86</v>
      </c>
      <c r="E629">
        <v>19.86</v>
      </c>
      <c r="F629" s="4">
        <f t="shared" si="36"/>
        <v>-2.648245263323282E-2</v>
      </c>
      <c r="G629" s="4">
        <f t="shared" si="37"/>
        <v>-1.9267822736030931E-2</v>
      </c>
      <c r="H629" s="4">
        <f t="shared" si="38"/>
        <v>-1.9855595667870093E-2</v>
      </c>
      <c r="I629" s="4">
        <f t="shared" si="39"/>
        <v>-2.7424094025465338E-2</v>
      </c>
    </row>
    <row r="630" spans="1:9">
      <c r="A630" s="1">
        <v>38916</v>
      </c>
      <c r="B630">
        <v>6285.31</v>
      </c>
      <c r="C630">
        <v>20.190000000000001</v>
      </c>
      <c r="D630">
        <v>10.86</v>
      </c>
      <c r="E630">
        <v>19.97</v>
      </c>
      <c r="F630" s="4">
        <f t="shared" si="36"/>
        <v>4.3961136501646297E-3</v>
      </c>
      <c r="G630" s="4">
        <f t="shared" si="37"/>
        <v>-8.3497053045185742E-3</v>
      </c>
      <c r="H630" s="4">
        <f t="shared" si="38"/>
        <v>0</v>
      </c>
      <c r="I630" s="4">
        <f t="shared" si="39"/>
        <v>5.5387713997985619E-3</v>
      </c>
    </row>
    <row r="631" spans="1:9">
      <c r="A631" s="1">
        <v>38917</v>
      </c>
      <c r="B631">
        <v>6277.24</v>
      </c>
      <c r="C631">
        <v>20.41</v>
      </c>
      <c r="D631">
        <v>11.25</v>
      </c>
      <c r="E631">
        <v>20.25</v>
      </c>
      <c r="F631" s="4">
        <f t="shared" si="36"/>
        <v>-1.2839462174499933E-3</v>
      </c>
      <c r="G631" s="4">
        <f t="shared" si="37"/>
        <v>1.0896483407627481E-2</v>
      </c>
      <c r="H631" s="4">
        <f t="shared" si="38"/>
        <v>3.5911602209944805E-2</v>
      </c>
      <c r="I631" s="4">
        <f t="shared" si="39"/>
        <v>1.4021031547321039E-2</v>
      </c>
    </row>
    <row r="632" spans="1:9">
      <c r="A632" s="1">
        <v>38918</v>
      </c>
      <c r="B632">
        <v>6443.74</v>
      </c>
      <c r="C632">
        <v>20.28</v>
      </c>
      <c r="D632">
        <v>11.34</v>
      </c>
      <c r="E632">
        <v>20.76</v>
      </c>
      <c r="F632" s="4">
        <f t="shared" si="36"/>
        <v>2.6524396072159104E-2</v>
      </c>
      <c r="G632" s="4">
        <f t="shared" si="37"/>
        <v>-6.3694267515923076E-3</v>
      </c>
      <c r="H632" s="4">
        <f t="shared" si="38"/>
        <v>7.999999999999988E-3</v>
      </c>
      <c r="I632" s="4">
        <f t="shared" si="39"/>
        <v>2.5185185185185262E-2</v>
      </c>
    </row>
    <row r="633" spans="1:9">
      <c r="A633" s="1">
        <v>38919</v>
      </c>
      <c r="B633">
        <v>6420.01</v>
      </c>
      <c r="C633">
        <v>20.149999999999999</v>
      </c>
      <c r="D633">
        <v>11.42</v>
      </c>
      <c r="E633">
        <v>20.59</v>
      </c>
      <c r="F633" s="4">
        <f t="shared" si="36"/>
        <v>-3.6826439303881851E-3</v>
      </c>
      <c r="G633" s="4">
        <f t="shared" si="37"/>
        <v>-6.4102564102565358E-3</v>
      </c>
      <c r="H633" s="4">
        <f t="shared" si="38"/>
        <v>7.0546737213403946E-3</v>
      </c>
      <c r="I633" s="4">
        <f t="shared" si="39"/>
        <v>-8.1888246628131836E-3</v>
      </c>
    </row>
    <row r="634" spans="1:9">
      <c r="A634" s="1">
        <v>38922</v>
      </c>
      <c r="B634">
        <v>6359.63</v>
      </c>
      <c r="C634">
        <v>20.32</v>
      </c>
      <c r="D634">
        <v>11.55</v>
      </c>
      <c r="E634">
        <v>20.25</v>
      </c>
      <c r="F634" s="4">
        <f t="shared" si="36"/>
        <v>-9.4049697741904002E-3</v>
      </c>
      <c r="G634" s="4">
        <f t="shared" si="37"/>
        <v>8.4367245657569097E-3</v>
      </c>
      <c r="H634" s="4">
        <f t="shared" si="38"/>
        <v>1.1383537653239998E-2</v>
      </c>
      <c r="I634" s="4">
        <f t="shared" si="39"/>
        <v>-1.6512870325400674E-2</v>
      </c>
    </row>
    <row r="635" spans="1:9">
      <c r="A635" s="1">
        <v>38923</v>
      </c>
      <c r="B635">
        <v>6390.99</v>
      </c>
      <c r="C635">
        <v>20.45</v>
      </c>
      <c r="D635">
        <v>11.64</v>
      </c>
      <c r="E635">
        <v>20.309999999999999</v>
      </c>
      <c r="F635" s="4">
        <f t="shared" si="36"/>
        <v>4.9311044824934267E-3</v>
      </c>
      <c r="G635" s="4">
        <f t="shared" si="37"/>
        <v>6.3976377952755419E-3</v>
      </c>
      <c r="H635" s="4">
        <f t="shared" si="38"/>
        <v>7.7922077922077792E-3</v>
      </c>
      <c r="I635" s="4">
        <f t="shared" si="39"/>
        <v>2.9629629629628999E-3</v>
      </c>
    </row>
    <row r="636" spans="1:9">
      <c r="A636" s="1">
        <v>38924</v>
      </c>
      <c r="B636">
        <v>6376.39</v>
      </c>
      <c r="C636">
        <v>20.100000000000001</v>
      </c>
      <c r="D636">
        <v>11.55</v>
      </c>
      <c r="E636">
        <v>20.079999999999998</v>
      </c>
      <c r="F636" s="4">
        <f t="shared" si="36"/>
        <v>-2.2844660999312241E-3</v>
      </c>
      <c r="G636" s="4">
        <f t="shared" si="37"/>
        <v>-1.7114914425427768E-2</v>
      </c>
      <c r="H636" s="4">
        <f t="shared" si="38"/>
        <v>-7.7319587628865852E-3</v>
      </c>
      <c r="I636" s="4">
        <f t="shared" si="39"/>
        <v>-1.1324470704086679E-2</v>
      </c>
    </row>
    <row r="637" spans="1:9">
      <c r="A637" s="1">
        <v>38925</v>
      </c>
      <c r="B637">
        <v>6459.25</v>
      </c>
      <c r="C637">
        <v>20.41</v>
      </c>
      <c r="D637">
        <v>11.68</v>
      </c>
      <c r="E637">
        <v>20.079999999999998</v>
      </c>
      <c r="F637" s="4">
        <f t="shared" si="36"/>
        <v>1.2994813679840735E-2</v>
      </c>
      <c r="G637" s="4">
        <f t="shared" si="37"/>
        <v>1.542288557213924E-2</v>
      </c>
      <c r="H637" s="4">
        <f t="shared" si="38"/>
        <v>1.1255411255411168E-2</v>
      </c>
      <c r="I637" s="4">
        <f t="shared" si="39"/>
        <v>0</v>
      </c>
    </row>
    <row r="638" spans="1:9">
      <c r="A638" s="1">
        <v>38926</v>
      </c>
      <c r="B638">
        <v>6480.07</v>
      </c>
      <c r="C638">
        <v>21.02</v>
      </c>
      <c r="D638">
        <v>11.64</v>
      </c>
      <c r="E638">
        <v>20.25</v>
      </c>
      <c r="F638" s="4">
        <f t="shared" si="36"/>
        <v>3.2232844370475998E-3</v>
      </c>
      <c r="G638" s="4">
        <f t="shared" si="37"/>
        <v>2.9887310142087183E-2</v>
      </c>
      <c r="H638" s="4">
        <f t="shared" si="38"/>
        <v>-3.4246575342465023E-3</v>
      </c>
      <c r="I638" s="4">
        <f t="shared" si="39"/>
        <v>8.4661354581674168E-3</v>
      </c>
    </row>
    <row r="639" spans="1:9">
      <c r="A639" s="1">
        <v>38929</v>
      </c>
      <c r="B639">
        <v>6454.58</v>
      </c>
      <c r="C639">
        <v>21.11</v>
      </c>
      <c r="D639">
        <v>11.68</v>
      </c>
      <c r="E639">
        <v>20.309999999999999</v>
      </c>
      <c r="F639" s="4">
        <f t="shared" si="36"/>
        <v>-3.9335994827216034E-3</v>
      </c>
      <c r="G639" s="4">
        <f t="shared" si="37"/>
        <v>4.281636536631773E-3</v>
      </c>
      <c r="H639" s="4">
        <f t="shared" si="38"/>
        <v>3.4364261168384146E-3</v>
      </c>
      <c r="I639" s="4">
        <f t="shared" si="39"/>
        <v>2.9629629629628999E-3</v>
      </c>
    </row>
    <row r="640" spans="1:9">
      <c r="A640" s="1">
        <v>38930</v>
      </c>
      <c r="B640">
        <v>6441.46</v>
      </c>
      <c r="C640">
        <v>21.15</v>
      </c>
      <c r="D640">
        <v>11.72</v>
      </c>
      <c r="E640">
        <v>20.14</v>
      </c>
      <c r="F640" s="4">
        <f t="shared" si="36"/>
        <v>-2.0326651772849496E-3</v>
      </c>
      <c r="G640" s="4">
        <f t="shared" si="37"/>
        <v>1.8948365703457674E-3</v>
      </c>
      <c r="H640" s="4">
        <f t="shared" si="38"/>
        <v>3.4246575342466545E-3</v>
      </c>
      <c r="I640" s="4">
        <f t="shared" si="39"/>
        <v>-8.370260955194395E-3</v>
      </c>
    </row>
    <row r="641" spans="1:9">
      <c r="A641" s="1">
        <v>38931</v>
      </c>
      <c r="B641">
        <v>6471.42</v>
      </c>
      <c r="C641">
        <v>20.93</v>
      </c>
      <c r="D641">
        <v>12.13</v>
      </c>
      <c r="E641">
        <v>20.56</v>
      </c>
      <c r="F641" s="4">
        <f t="shared" si="36"/>
        <v>4.6511194667047586E-3</v>
      </c>
      <c r="G641" s="4">
        <f t="shared" si="37"/>
        <v>-1.040189125295503E-2</v>
      </c>
      <c r="H641" s="4">
        <f t="shared" si="38"/>
        <v>3.4982935153583625E-2</v>
      </c>
      <c r="I641" s="4">
        <f t="shared" si="39"/>
        <v>2.0854021847070414E-2</v>
      </c>
    </row>
    <row r="642" spans="1:9">
      <c r="A642" s="1">
        <v>38932</v>
      </c>
      <c r="B642">
        <v>6462.32</v>
      </c>
      <c r="C642">
        <v>21.06</v>
      </c>
      <c r="D642">
        <v>12.32</v>
      </c>
      <c r="E642">
        <v>21.08</v>
      </c>
      <c r="F642" s="4">
        <f t="shared" si="36"/>
        <v>-1.4061828779464729E-3</v>
      </c>
      <c r="G642" s="4">
        <f t="shared" si="37"/>
        <v>6.2111801242235552E-3</v>
      </c>
      <c r="H642" s="4">
        <f t="shared" si="38"/>
        <v>1.566364385820276E-2</v>
      </c>
      <c r="I642" s="4">
        <f t="shared" si="39"/>
        <v>2.5291828793774299E-2</v>
      </c>
    </row>
    <row r="643" spans="1:9">
      <c r="A643" s="1">
        <v>38933</v>
      </c>
      <c r="B643">
        <v>6442.61</v>
      </c>
      <c r="C643">
        <v>21.06</v>
      </c>
      <c r="D643">
        <v>12.32</v>
      </c>
      <c r="E643">
        <v>20.91</v>
      </c>
      <c r="F643" s="4">
        <f t="shared" si="36"/>
        <v>-3.0499882395177021E-3</v>
      </c>
      <c r="G643" s="4">
        <f t="shared" si="37"/>
        <v>0</v>
      </c>
      <c r="H643" s="4">
        <f t="shared" si="38"/>
        <v>0</v>
      </c>
      <c r="I643" s="4">
        <f t="shared" si="39"/>
        <v>-8.0645161290321711E-3</v>
      </c>
    </row>
    <row r="644" spans="1:9">
      <c r="A644" s="1">
        <v>38936</v>
      </c>
      <c r="B644">
        <v>6416.61</v>
      </c>
      <c r="C644">
        <v>20.76</v>
      </c>
      <c r="D644">
        <v>12.22</v>
      </c>
      <c r="E644">
        <v>20.79</v>
      </c>
      <c r="F644" s="4">
        <f t="shared" ref="F644:F707" si="40">(B644-B643)/B643</f>
        <v>-4.0356315220073857E-3</v>
      </c>
      <c r="G644" s="4">
        <f t="shared" ref="G644:G707" si="41">(C644-C643)/C643</f>
        <v>-1.4245014245014112E-2</v>
      </c>
      <c r="H644" s="4">
        <f t="shared" ref="H644:H707" si="42">(D644-D643)/D643</f>
        <v>-8.1168831168830884E-3</v>
      </c>
      <c r="I644" s="4">
        <f t="shared" ref="I644:I707" si="43">(E644-E643)/E643</f>
        <v>-5.7388809182209941E-3</v>
      </c>
    </row>
    <row r="645" spans="1:9">
      <c r="A645" s="1">
        <v>38937</v>
      </c>
      <c r="B645">
        <v>6502.14</v>
      </c>
      <c r="C645">
        <v>20.93</v>
      </c>
      <c r="D645">
        <v>12.22</v>
      </c>
      <c r="E645">
        <v>21.14</v>
      </c>
      <c r="F645" s="4">
        <f t="shared" si="40"/>
        <v>1.3329468364136305E-2</v>
      </c>
      <c r="G645" s="4">
        <f t="shared" si="41"/>
        <v>8.1888246628130119E-3</v>
      </c>
      <c r="H645" s="4">
        <f t="shared" si="42"/>
        <v>0</v>
      </c>
      <c r="I645" s="4">
        <f t="shared" si="43"/>
        <v>1.6835016835016904E-2</v>
      </c>
    </row>
    <row r="646" spans="1:9">
      <c r="A646" s="1">
        <v>38938</v>
      </c>
      <c r="B646">
        <v>6573.22</v>
      </c>
      <c r="C646">
        <v>21.15</v>
      </c>
      <c r="D646">
        <v>12.18</v>
      </c>
      <c r="E646">
        <v>21.43</v>
      </c>
      <c r="F646" s="4">
        <f t="shared" si="40"/>
        <v>1.0931785535223776E-2</v>
      </c>
      <c r="G646" s="4">
        <f t="shared" si="41"/>
        <v>1.0511227902532196E-2</v>
      </c>
      <c r="H646" s="4">
        <f t="shared" si="42"/>
        <v>-3.2733224222586681E-3</v>
      </c>
      <c r="I646" s="4">
        <f t="shared" si="43"/>
        <v>1.3718070009460697E-2</v>
      </c>
    </row>
    <row r="647" spans="1:9">
      <c r="A647" s="1">
        <v>38939</v>
      </c>
      <c r="B647">
        <v>6578.61</v>
      </c>
      <c r="C647">
        <v>20.98</v>
      </c>
      <c r="D647">
        <v>12.27</v>
      </c>
      <c r="E647">
        <v>21.61</v>
      </c>
      <c r="F647" s="4">
        <f t="shared" si="40"/>
        <v>8.199938538493186E-4</v>
      </c>
      <c r="G647" s="4">
        <f t="shared" si="41"/>
        <v>-8.0378250591015676E-3</v>
      </c>
      <c r="H647" s="4">
        <f t="shared" si="42"/>
        <v>7.3891625615763431E-3</v>
      </c>
      <c r="I647" s="4">
        <f t="shared" si="43"/>
        <v>8.3994400373308322E-3</v>
      </c>
    </row>
    <row r="648" spans="1:9">
      <c r="A648" s="1">
        <v>38940</v>
      </c>
      <c r="B648">
        <v>6571.1</v>
      </c>
      <c r="C648">
        <v>21.06</v>
      </c>
      <c r="D648">
        <v>11.94</v>
      </c>
      <c r="E648">
        <v>21.49</v>
      </c>
      <c r="F648" s="4">
        <f t="shared" si="40"/>
        <v>-1.1415785401474338E-3</v>
      </c>
      <c r="G648" s="4">
        <f t="shared" si="41"/>
        <v>3.8131553860819016E-3</v>
      </c>
      <c r="H648" s="4">
        <f t="shared" si="42"/>
        <v>-2.6894865525672378E-2</v>
      </c>
      <c r="I648" s="4">
        <f t="shared" si="43"/>
        <v>-5.5529847292920403E-3</v>
      </c>
    </row>
    <row r="649" spans="1:9">
      <c r="A649" s="1">
        <v>38943</v>
      </c>
      <c r="B649">
        <v>6611.9</v>
      </c>
      <c r="C649">
        <v>21.37</v>
      </c>
      <c r="D649">
        <v>12.08</v>
      </c>
      <c r="E649">
        <v>21.49</v>
      </c>
      <c r="F649" s="4">
        <f t="shared" si="40"/>
        <v>6.2090061024789259E-3</v>
      </c>
      <c r="G649" s="4">
        <f t="shared" si="41"/>
        <v>1.4719848053181495E-2</v>
      </c>
      <c r="H649" s="4">
        <f t="shared" si="42"/>
        <v>1.1725293132328356E-2</v>
      </c>
      <c r="I649" s="4">
        <f t="shared" si="43"/>
        <v>0</v>
      </c>
    </row>
    <row r="650" spans="1:9">
      <c r="A650" s="1">
        <v>38944</v>
      </c>
      <c r="B650">
        <v>6615.13</v>
      </c>
      <c r="C650">
        <v>21.28</v>
      </c>
      <c r="D650">
        <v>11.99</v>
      </c>
      <c r="E650">
        <v>21.55</v>
      </c>
      <c r="F650" s="4">
        <f t="shared" si="40"/>
        <v>4.8851313540744306E-4</v>
      </c>
      <c r="G650" s="4">
        <f t="shared" si="41"/>
        <v>-4.2115114646700917E-3</v>
      </c>
      <c r="H650" s="4">
        <f t="shared" si="42"/>
        <v>-7.4503311258278032E-3</v>
      </c>
      <c r="I650" s="4">
        <f t="shared" si="43"/>
        <v>2.7919962773384028E-3</v>
      </c>
    </row>
    <row r="651" spans="1:9">
      <c r="A651" s="1">
        <v>38945</v>
      </c>
      <c r="B651">
        <v>6696.63</v>
      </c>
      <c r="C651">
        <v>21.5</v>
      </c>
      <c r="D651">
        <v>12.22</v>
      </c>
      <c r="E651">
        <v>21.96</v>
      </c>
      <c r="F651" s="4">
        <f t="shared" si="40"/>
        <v>1.2320241627904516E-2</v>
      </c>
      <c r="G651" s="4">
        <f t="shared" si="41"/>
        <v>1.03383458646616E-2</v>
      </c>
      <c r="H651" s="4">
        <f t="shared" si="42"/>
        <v>1.9182652210175181E-2</v>
      </c>
      <c r="I651" s="4">
        <f t="shared" si="43"/>
        <v>1.9025522041763346E-2</v>
      </c>
    </row>
    <row r="652" spans="1:9">
      <c r="A652" s="1">
        <v>38946</v>
      </c>
      <c r="B652">
        <v>6733.46</v>
      </c>
      <c r="C652">
        <v>21.54</v>
      </c>
      <c r="D652">
        <v>12.32</v>
      </c>
      <c r="E652">
        <v>22.43</v>
      </c>
      <c r="F652" s="4">
        <f t="shared" si="40"/>
        <v>5.4997812332471599E-3</v>
      </c>
      <c r="G652" s="4">
        <f t="shared" si="41"/>
        <v>1.8604651162790302E-3</v>
      </c>
      <c r="H652" s="4">
        <f t="shared" si="42"/>
        <v>8.1833060556464523E-3</v>
      </c>
      <c r="I652" s="4">
        <f t="shared" si="43"/>
        <v>2.140255009107463E-2</v>
      </c>
    </row>
    <row r="653" spans="1:9">
      <c r="A653" s="1">
        <v>38947</v>
      </c>
      <c r="B653">
        <v>6721.08</v>
      </c>
      <c r="C653">
        <v>21.59</v>
      </c>
      <c r="D653">
        <v>12.22</v>
      </c>
      <c r="E653">
        <v>22.25</v>
      </c>
      <c r="F653" s="4">
        <f t="shared" si="40"/>
        <v>-1.8385792742512926E-3</v>
      </c>
      <c r="G653" s="4">
        <f t="shared" si="41"/>
        <v>2.3212627669452514E-3</v>
      </c>
      <c r="H653" s="4">
        <f t="shared" si="42"/>
        <v>-8.1168831168830884E-3</v>
      </c>
      <c r="I653" s="4">
        <f t="shared" si="43"/>
        <v>-8.0249665626393098E-3</v>
      </c>
    </row>
    <row r="654" spans="1:9">
      <c r="A654" s="1">
        <v>38950</v>
      </c>
      <c r="B654">
        <v>6505.92</v>
      </c>
      <c r="C654">
        <v>20.85</v>
      </c>
      <c r="D654">
        <v>11.76</v>
      </c>
      <c r="E654">
        <v>21.49</v>
      </c>
      <c r="F654" s="4">
        <f t="shared" si="40"/>
        <v>-3.2012712242675261E-2</v>
      </c>
      <c r="G654" s="4">
        <f t="shared" si="41"/>
        <v>-3.4275127373784089E-2</v>
      </c>
      <c r="H654" s="4">
        <f t="shared" si="42"/>
        <v>-3.764320785597388E-2</v>
      </c>
      <c r="I654" s="4">
        <f t="shared" si="43"/>
        <v>-3.4157303370786589E-2</v>
      </c>
    </row>
    <row r="655" spans="1:9">
      <c r="A655" s="1">
        <v>38951</v>
      </c>
      <c r="B655">
        <v>6590.2</v>
      </c>
      <c r="C655">
        <v>20.58</v>
      </c>
      <c r="D655">
        <v>12.04</v>
      </c>
      <c r="E655">
        <v>21.67</v>
      </c>
      <c r="F655" s="4">
        <f t="shared" si="40"/>
        <v>1.2954355417834794E-2</v>
      </c>
      <c r="G655" s="4">
        <f t="shared" si="41"/>
        <v>-1.2949640287769933E-2</v>
      </c>
      <c r="H655" s="4">
        <f t="shared" si="42"/>
        <v>2.3809523809523756E-2</v>
      </c>
      <c r="I655" s="4">
        <f t="shared" si="43"/>
        <v>8.3759888320150428E-3</v>
      </c>
    </row>
    <row r="656" spans="1:9">
      <c r="A656" s="1">
        <v>38952</v>
      </c>
      <c r="B656">
        <v>6556.33</v>
      </c>
      <c r="C656">
        <v>20.100000000000001</v>
      </c>
      <c r="D656">
        <v>12.04</v>
      </c>
      <c r="E656">
        <v>21.49</v>
      </c>
      <c r="F656" s="4">
        <f t="shared" si="40"/>
        <v>-5.1394494855998138E-3</v>
      </c>
      <c r="G656" s="4">
        <f t="shared" si="41"/>
        <v>-2.3323615160349705E-2</v>
      </c>
      <c r="H656" s="4">
        <f t="shared" si="42"/>
        <v>0</v>
      </c>
      <c r="I656" s="4">
        <f t="shared" si="43"/>
        <v>-8.3064143977851067E-3</v>
      </c>
    </row>
    <row r="657" spans="1:9">
      <c r="A657" s="1">
        <v>38953</v>
      </c>
      <c r="B657">
        <v>6550.64</v>
      </c>
      <c r="C657">
        <v>20.5</v>
      </c>
      <c r="D657">
        <v>12.08</v>
      </c>
      <c r="E657">
        <v>21.43</v>
      </c>
      <c r="F657" s="4">
        <f t="shared" si="40"/>
        <v>-8.678635761164554E-4</v>
      </c>
      <c r="G657" s="4">
        <f t="shared" si="41"/>
        <v>1.9900497512437738E-2</v>
      </c>
      <c r="H657" s="4">
        <f t="shared" si="42"/>
        <v>3.3222591362127014E-3</v>
      </c>
      <c r="I657" s="4">
        <f t="shared" si="43"/>
        <v>-2.7919962773382376E-3</v>
      </c>
    </row>
    <row r="658" spans="1:9">
      <c r="A658" s="1">
        <v>38954</v>
      </c>
      <c r="B658">
        <v>6526.22</v>
      </c>
      <c r="C658">
        <v>20.62</v>
      </c>
      <c r="D658">
        <v>11.94</v>
      </c>
      <c r="E658">
        <v>21.32</v>
      </c>
      <c r="F658" s="4">
        <f t="shared" si="40"/>
        <v>-3.7278800239366034E-3</v>
      </c>
      <c r="G658" s="4">
        <f t="shared" si="41"/>
        <v>5.8536585365854144E-3</v>
      </c>
      <c r="H658" s="4">
        <f t="shared" si="42"/>
        <v>-1.1589403973509981E-2</v>
      </c>
      <c r="I658" s="4">
        <f t="shared" si="43"/>
        <v>-5.1329911339243785E-3</v>
      </c>
    </row>
    <row r="659" spans="1:9">
      <c r="A659" s="1">
        <v>38957</v>
      </c>
      <c r="B659">
        <v>6444.76</v>
      </c>
      <c r="C659">
        <v>20.48</v>
      </c>
      <c r="D659">
        <v>11.94</v>
      </c>
      <c r="E659">
        <v>21.03</v>
      </c>
      <c r="F659" s="4">
        <f t="shared" si="40"/>
        <v>-1.2481957396471469E-2</v>
      </c>
      <c r="G659" s="4">
        <f t="shared" si="41"/>
        <v>-6.7895247332686983E-3</v>
      </c>
      <c r="H659" s="4">
        <f t="shared" si="42"/>
        <v>0</v>
      </c>
      <c r="I659" s="4">
        <f t="shared" si="43"/>
        <v>-1.3602251407129416E-2</v>
      </c>
    </row>
    <row r="660" spans="1:9">
      <c r="A660" s="1">
        <v>38958</v>
      </c>
      <c r="B660">
        <v>6479.91</v>
      </c>
      <c r="C660">
        <v>20.48</v>
      </c>
      <c r="D660">
        <v>11.9</v>
      </c>
      <c r="E660">
        <v>21.08</v>
      </c>
      <c r="F660" s="4">
        <f t="shared" si="40"/>
        <v>5.454043284777034E-3</v>
      </c>
      <c r="G660" s="4">
        <f t="shared" si="41"/>
        <v>0</v>
      </c>
      <c r="H660" s="4">
        <f t="shared" si="42"/>
        <v>-3.3500837520937313E-3</v>
      </c>
      <c r="I660" s="4">
        <f t="shared" si="43"/>
        <v>2.37755587256287E-3</v>
      </c>
    </row>
    <row r="661" spans="1:9">
      <c r="A661" s="1">
        <v>38959</v>
      </c>
      <c r="B661">
        <v>6587.12</v>
      </c>
      <c r="C661">
        <v>20.76</v>
      </c>
      <c r="D661">
        <v>11.9</v>
      </c>
      <c r="E661">
        <v>21.43</v>
      </c>
      <c r="F661" s="4">
        <f t="shared" si="40"/>
        <v>1.6544982877848616E-2</v>
      </c>
      <c r="G661" s="4">
        <f t="shared" si="41"/>
        <v>1.3671875000000056E-2</v>
      </c>
      <c r="H661" s="4">
        <f t="shared" si="42"/>
        <v>0</v>
      </c>
      <c r="I661" s="4">
        <f t="shared" si="43"/>
        <v>1.6603415559772364E-2</v>
      </c>
    </row>
    <row r="662" spans="1:9">
      <c r="A662" s="1">
        <v>38960</v>
      </c>
      <c r="B662">
        <v>6611.77</v>
      </c>
      <c r="C662">
        <v>20.76</v>
      </c>
      <c r="D662">
        <v>11.99</v>
      </c>
      <c r="E662">
        <v>21.03</v>
      </c>
      <c r="F662" s="4">
        <f t="shared" si="40"/>
        <v>3.7421513499071744E-3</v>
      </c>
      <c r="G662" s="4">
        <f t="shared" si="41"/>
        <v>0</v>
      </c>
      <c r="H662" s="4">
        <f t="shared" si="42"/>
        <v>7.5630252100840215E-3</v>
      </c>
      <c r="I662" s="4">
        <f t="shared" si="43"/>
        <v>-1.8665422305179587E-2</v>
      </c>
    </row>
    <row r="663" spans="1:9">
      <c r="A663" s="1">
        <v>38961</v>
      </c>
      <c r="B663">
        <v>6651.46</v>
      </c>
      <c r="C663">
        <v>20.62</v>
      </c>
      <c r="D663">
        <v>11.99</v>
      </c>
      <c r="E663">
        <v>21.14</v>
      </c>
      <c r="F663" s="4">
        <f t="shared" si="40"/>
        <v>6.0029311364429797E-3</v>
      </c>
      <c r="G663" s="4">
        <f t="shared" si="41"/>
        <v>-6.7437379576108167E-3</v>
      </c>
      <c r="H663" s="4">
        <f t="shared" si="42"/>
        <v>0</v>
      </c>
      <c r="I663" s="4">
        <f t="shared" si="43"/>
        <v>5.2306229196385839E-3</v>
      </c>
    </row>
    <row r="664" spans="1:9">
      <c r="A664" s="1">
        <v>38964</v>
      </c>
      <c r="B664">
        <v>6750.78</v>
      </c>
      <c r="C664">
        <v>20.95</v>
      </c>
      <c r="D664">
        <v>12.08</v>
      </c>
      <c r="E664">
        <v>21.38</v>
      </c>
      <c r="F664" s="4">
        <f t="shared" si="40"/>
        <v>1.4932060028925937E-2</v>
      </c>
      <c r="G664" s="4">
        <f t="shared" si="41"/>
        <v>1.6003879728418928E-2</v>
      </c>
      <c r="H664" s="4">
        <f t="shared" si="42"/>
        <v>7.5062552126772195E-3</v>
      </c>
      <c r="I664" s="4">
        <f t="shared" si="43"/>
        <v>1.1352885525070881E-2</v>
      </c>
    </row>
    <row r="665" spans="1:9">
      <c r="A665" s="1">
        <v>38965</v>
      </c>
      <c r="B665">
        <v>6734.73</v>
      </c>
      <c r="C665">
        <v>21.09</v>
      </c>
      <c r="D665">
        <v>12.08</v>
      </c>
      <c r="E665">
        <v>21.26</v>
      </c>
      <c r="F665" s="4">
        <f t="shared" si="40"/>
        <v>-2.3775030440927095E-3</v>
      </c>
      <c r="G665" s="4">
        <f t="shared" si="41"/>
        <v>6.6825775656324856E-3</v>
      </c>
      <c r="H665" s="4">
        <f t="shared" si="42"/>
        <v>0</v>
      </c>
      <c r="I665" s="4">
        <f t="shared" si="43"/>
        <v>-5.6127221702524533E-3</v>
      </c>
    </row>
    <row r="666" spans="1:9">
      <c r="A666" s="1">
        <v>38966</v>
      </c>
      <c r="B666">
        <v>6688.4</v>
      </c>
      <c r="C666">
        <v>21.09</v>
      </c>
      <c r="D666">
        <v>12.04</v>
      </c>
      <c r="E666">
        <v>21.14</v>
      </c>
      <c r="F666" s="4">
        <f t="shared" si="40"/>
        <v>-6.879266132421037E-3</v>
      </c>
      <c r="G666" s="4">
        <f t="shared" si="41"/>
        <v>0</v>
      </c>
      <c r="H666" s="4">
        <f t="shared" si="42"/>
        <v>-3.3112582781457717E-3</v>
      </c>
      <c r="I666" s="4">
        <f t="shared" si="43"/>
        <v>-5.6444026340546089E-3</v>
      </c>
    </row>
    <row r="667" spans="1:9">
      <c r="A667" s="1">
        <v>38967</v>
      </c>
      <c r="B667">
        <v>6685.23</v>
      </c>
      <c r="C667">
        <v>21.66</v>
      </c>
      <c r="D667">
        <v>11.94</v>
      </c>
      <c r="E667">
        <v>21.08</v>
      </c>
      <c r="F667" s="4">
        <f t="shared" si="40"/>
        <v>-4.7395490700318058E-4</v>
      </c>
      <c r="G667" s="4">
        <f t="shared" si="41"/>
        <v>2.7027027027027042E-2</v>
      </c>
      <c r="H667" s="4">
        <f t="shared" si="42"/>
        <v>-8.3056478405315326E-3</v>
      </c>
      <c r="I667" s="4">
        <f t="shared" si="43"/>
        <v>-2.8382213812678464E-3</v>
      </c>
    </row>
    <row r="668" spans="1:9">
      <c r="A668" s="1">
        <v>38968</v>
      </c>
      <c r="B668">
        <v>6693.11</v>
      </c>
      <c r="C668">
        <v>21.38</v>
      </c>
      <c r="D668">
        <v>11.99</v>
      </c>
      <c r="E668">
        <v>21.08</v>
      </c>
      <c r="F668" s="4">
        <f t="shared" si="40"/>
        <v>1.1787178601185165E-3</v>
      </c>
      <c r="G668" s="4">
        <f t="shared" si="41"/>
        <v>-1.2927054478301067E-2</v>
      </c>
      <c r="H668" s="4">
        <f t="shared" si="42"/>
        <v>4.1876046901173124E-3</v>
      </c>
      <c r="I668" s="4">
        <f t="shared" si="43"/>
        <v>0</v>
      </c>
    </row>
    <row r="669" spans="1:9">
      <c r="A669" s="1">
        <v>38971</v>
      </c>
      <c r="B669">
        <v>6693.88</v>
      </c>
      <c r="C669">
        <v>21.04</v>
      </c>
      <c r="D669">
        <v>11.99</v>
      </c>
      <c r="E669">
        <v>21.03</v>
      </c>
      <c r="F669" s="4">
        <f t="shared" si="40"/>
        <v>1.1504367924633491E-4</v>
      </c>
      <c r="G669" s="4">
        <f t="shared" si="41"/>
        <v>-1.5902712815715616E-2</v>
      </c>
      <c r="H669" s="4">
        <f t="shared" si="42"/>
        <v>0</v>
      </c>
      <c r="I669" s="4">
        <f t="shared" si="43"/>
        <v>-2.3719165085387649E-3</v>
      </c>
    </row>
    <row r="670" spans="1:9">
      <c r="A670" s="1">
        <v>38972</v>
      </c>
      <c r="B670">
        <v>6625.73</v>
      </c>
      <c r="C670">
        <v>20.85</v>
      </c>
      <c r="D670">
        <v>11.9</v>
      </c>
      <c r="E670">
        <v>20.73</v>
      </c>
      <c r="F670" s="4">
        <f t="shared" si="40"/>
        <v>-1.0180941397216644E-2</v>
      </c>
      <c r="G670" s="4">
        <f t="shared" si="41"/>
        <v>-9.0304182509504619E-3</v>
      </c>
      <c r="H670" s="4">
        <f t="shared" si="42"/>
        <v>-7.5062552126772195E-3</v>
      </c>
      <c r="I670" s="4">
        <f t="shared" si="43"/>
        <v>-1.4265335235378065E-2</v>
      </c>
    </row>
    <row r="671" spans="1:9">
      <c r="A671" s="1">
        <v>38973</v>
      </c>
      <c r="B671">
        <v>6664.87</v>
      </c>
      <c r="C671">
        <v>20.9</v>
      </c>
      <c r="D671">
        <v>11.94</v>
      </c>
      <c r="E671">
        <v>20.97</v>
      </c>
      <c r="F671" s="4">
        <f t="shared" si="40"/>
        <v>5.9072736136245108E-3</v>
      </c>
      <c r="G671" s="4">
        <f t="shared" si="41"/>
        <v>2.3980815347720459E-3</v>
      </c>
      <c r="H671" s="4">
        <f t="shared" si="42"/>
        <v>3.3613445378150543E-3</v>
      </c>
      <c r="I671" s="4">
        <f t="shared" si="43"/>
        <v>1.1577424023154773E-2</v>
      </c>
    </row>
    <row r="672" spans="1:9">
      <c r="A672" s="1">
        <v>38974</v>
      </c>
      <c r="B672">
        <v>6598.87</v>
      </c>
      <c r="C672">
        <v>20.62</v>
      </c>
      <c r="D672">
        <v>11.9</v>
      </c>
      <c r="E672">
        <v>20.91</v>
      </c>
      <c r="F672" s="4">
        <f t="shared" si="40"/>
        <v>-9.9026687692333089E-3</v>
      </c>
      <c r="G672" s="4">
        <f t="shared" si="41"/>
        <v>-1.3397129186602756E-2</v>
      </c>
      <c r="H672" s="4">
        <f t="shared" si="42"/>
        <v>-3.3500837520937313E-3</v>
      </c>
      <c r="I672" s="4">
        <f t="shared" si="43"/>
        <v>-2.8612303290414271E-3</v>
      </c>
    </row>
    <row r="673" spans="1:9">
      <c r="A673" s="1">
        <v>38975</v>
      </c>
      <c r="B673">
        <v>6681.09</v>
      </c>
      <c r="C673">
        <v>21.28</v>
      </c>
      <c r="D673">
        <v>11.9</v>
      </c>
      <c r="E673">
        <v>20.85</v>
      </c>
      <c r="F673" s="4">
        <f t="shared" si="40"/>
        <v>1.2459709010785219E-2</v>
      </c>
      <c r="G673" s="4">
        <f t="shared" si="41"/>
        <v>3.2007759456838029E-2</v>
      </c>
      <c r="H673" s="4">
        <f t="shared" si="42"/>
        <v>0</v>
      </c>
      <c r="I673" s="4">
        <f t="shared" si="43"/>
        <v>-2.8694404591104125E-3</v>
      </c>
    </row>
    <row r="674" spans="1:9">
      <c r="A674" s="1">
        <v>38978</v>
      </c>
      <c r="B674">
        <v>6882.48</v>
      </c>
      <c r="C674">
        <v>22.13</v>
      </c>
      <c r="D674">
        <v>12.18</v>
      </c>
      <c r="E674">
        <v>21.55</v>
      </c>
      <c r="F674" s="4">
        <f t="shared" si="40"/>
        <v>3.0143285002896147E-2</v>
      </c>
      <c r="G674" s="4">
        <f t="shared" si="41"/>
        <v>3.9943609022556288E-2</v>
      </c>
      <c r="H674" s="4">
        <f t="shared" si="42"/>
        <v>2.3529411764705827E-2</v>
      </c>
      <c r="I674" s="4">
        <f t="shared" si="43"/>
        <v>3.3573141486810516E-2</v>
      </c>
    </row>
    <row r="675" spans="1:9">
      <c r="A675" s="1">
        <v>38979</v>
      </c>
      <c r="B675">
        <v>6881.87</v>
      </c>
      <c r="C675">
        <v>22.23</v>
      </c>
      <c r="D675">
        <v>12.32</v>
      </c>
      <c r="E675">
        <v>21.61</v>
      </c>
      <c r="F675" s="4">
        <f t="shared" si="40"/>
        <v>-8.8630842370725755E-5</v>
      </c>
      <c r="G675" s="4">
        <f t="shared" si="41"/>
        <v>4.5187528242205798E-3</v>
      </c>
      <c r="H675" s="4">
        <f t="shared" si="42"/>
        <v>1.1494252873563265E-2</v>
      </c>
      <c r="I675" s="4">
        <f t="shared" si="43"/>
        <v>2.7842227378189659E-3</v>
      </c>
    </row>
    <row r="676" spans="1:9">
      <c r="A676" s="1">
        <v>38980</v>
      </c>
      <c r="B676">
        <v>6877.77</v>
      </c>
      <c r="C676">
        <v>22.51</v>
      </c>
      <c r="D676">
        <v>12.22</v>
      </c>
      <c r="E676">
        <v>21.55</v>
      </c>
      <c r="F676" s="4">
        <f t="shared" si="40"/>
        <v>-5.9576830134824604E-4</v>
      </c>
      <c r="G676" s="4">
        <f t="shared" si="41"/>
        <v>1.2595591542960015E-2</v>
      </c>
      <c r="H676" s="4">
        <f t="shared" si="42"/>
        <v>-8.1168831168830884E-3</v>
      </c>
      <c r="I676" s="4">
        <f t="shared" si="43"/>
        <v>-2.7764923646459382E-3</v>
      </c>
    </row>
    <row r="677" spans="1:9">
      <c r="A677" s="1">
        <v>38981</v>
      </c>
      <c r="B677">
        <v>6889.89</v>
      </c>
      <c r="C677">
        <v>22.79</v>
      </c>
      <c r="D677">
        <v>12.64</v>
      </c>
      <c r="E677">
        <v>21.67</v>
      </c>
      <c r="F677" s="4">
        <f t="shared" si="40"/>
        <v>1.7621990848777859E-3</v>
      </c>
      <c r="G677" s="4">
        <f t="shared" si="41"/>
        <v>1.2438916037316641E-2</v>
      </c>
      <c r="H677" s="4">
        <f t="shared" si="42"/>
        <v>3.4369885433715212E-2</v>
      </c>
      <c r="I677" s="4">
        <f t="shared" si="43"/>
        <v>5.5684454756380966E-3</v>
      </c>
    </row>
    <row r="678" spans="1:9">
      <c r="A678" s="1">
        <v>38982</v>
      </c>
      <c r="B678">
        <v>6885.6</v>
      </c>
      <c r="C678">
        <v>22.46</v>
      </c>
      <c r="D678">
        <v>12.83</v>
      </c>
      <c r="E678">
        <v>21.55</v>
      </c>
      <c r="F678" s="4">
        <f t="shared" si="40"/>
        <v>-6.226514501682847E-4</v>
      </c>
      <c r="G678" s="4">
        <f t="shared" si="41"/>
        <v>-1.4480035103115328E-2</v>
      </c>
      <c r="H678" s="4">
        <f t="shared" si="42"/>
        <v>1.5031645569620214E-2</v>
      </c>
      <c r="I678" s="4">
        <f t="shared" si="43"/>
        <v>-5.5376095985233496E-3</v>
      </c>
    </row>
    <row r="679" spans="1:9">
      <c r="A679" s="1">
        <v>38985</v>
      </c>
      <c r="B679">
        <v>6911.21</v>
      </c>
      <c r="C679">
        <v>22.79</v>
      </c>
      <c r="D679">
        <v>13.06</v>
      </c>
      <c r="E679">
        <v>21.73</v>
      </c>
      <c r="F679" s="4">
        <f t="shared" si="40"/>
        <v>3.7193563378644812E-3</v>
      </c>
      <c r="G679" s="4">
        <f t="shared" si="41"/>
        <v>1.4692787177203842E-2</v>
      </c>
      <c r="H679" s="4">
        <f t="shared" si="42"/>
        <v>1.7926734216679691E-2</v>
      </c>
      <c r="I679" s="4">
        <f t="shared" si="43"/>
        <v>8.3526682134570634E-3</v>
      </c>
    </row>
    <row r="680" spans="1:9">
      <c r="A680" s="1">
        <v>38986</v>
      </c>
      <c r="B680">
        <v>6901.75</v>
      </c>
      <c r="C680">
        <v>23.41</v>
      </c>
      <c r="D680">
        <v>12.92</v>
      </c>
      <c r="E680">
        <v>21.67</v>
      </c>
      <c r="F680" s="4">
        <f t="shared" si="40"/>
        <v>-1.3687907037986165E-3</v>
      </c>
      <c r="G680" s="4">
        <f t="shared" si="41"/>
        <v>2.7204914436156254E-2</v>
      </c>
      <c r="H680" s="4">
        <f t="shared" si="42"/>
        <v>-1.071975497702914E-2</v>
      </c>
      <c r="I680" s="4">
        <f t="shared" si="43"/>
        <v>-2.7611596870685097E-3</v>
      </c>
    </row>
    <row r="681" spans="1:9">
      <c r="A681" s="1">
        <v>38987</v>
      </c>
      <c r="B681">
        <v>6946.27</v>
      </c>
      <c r="C681">
        <v>23.83</v>
      </c>
      <c r="D681">
        <v>12.97</v>
      </c>
      <c r="E681">
        <v>21.96</v>
      </c>
      <c r="F681" s="4">
        <f t="shared" si="40"/>
        <v>6.4505379070526224E-3</v>
      </c>
      <c r="G681" s="4">
        <f t="shared" si="41"/>
        <v>1.7941050832977281E-2</v>
      </c>
      <c r="H681" s="4">
        <f t="shared" si="42"/>
        <v>3.8699690402477331E-3</v>
      </c>
      <c r="I681" s="4">
        <f t="shared" si="43"/>
        <v>1.3382556529764611E-2</v>
      </c>
    </row>
    <row r="682" spans="1:9">
      <c r="A682" s="1">
        <v>38988</v>
      </c>
      <c r="B682">
        <v>6885.12</v>
      </c>
      <c r="C682">
        <v>23.74</v>
      </c>
      <c r="D682">
        <v>12.55</v>
      </c>
      <c r="E682">
        <v>21.84</v>
      </c>
      <c r="F682" s="4">
        <f t="shared" si="40"/>
        <v>-8.8032857922310161E-3</v>
      </c>
      <c r="G682" s="4">
        <f t="shared" si="41"/>
        <v>-3.7767519932857684E-3</v>
      </c>
      <c r="H682" s="4">
        <f t="shared" si="42"/>
        <v>-3.238242097147262E-2</v>
      </c>
      <c r="I682" s="4">
        <f t="shared" si="43"/>
        <v>-5.464480874316985E-3</v>
      </c>
    </row>
    <row r="683" spans="1:9">
      <c r="A683" s="1">
        <v>38989</v>
      </c>
      <c r="B683">
        <v>6883.05</v>
      </c>
      <c r="C683">
        <v>23.46</v>
      </c>
      <c r="D683">
        <v>12.74</v>
      </c>
      <c r="E683">
        <v>21.67</v>
      </c>
      <c r="F683" s="4">
        <f t="shared" si="40"/>
        <v>-3.0064835471272961E-4</v>
      </c>
      <c r="G683" s="4">
        <f t="shared" si="41"/>
        <v>-1.1794439764111105E-2</v>
      </c>
      <c r="H683" s="4">
        <f t="shared" si="42"/>
        <v>1.5139442231075656E-2</v>
      </c>
      <c r="I683" s="4">
        <f t="shared" si="43"/>
        <v>-7.783882783882699E-3</v>
      </c>
    </row>
    <row r="684" spans="1:9">
      <c r="A684" s="1">
        <v>38992</v>
      </c>
      <c r="B684">
        <v>6960.95</v>
      </c>
      <c r="C684">
        <v>24.21</v>
      </c>
      <c r="D684">
        <v>13.06</v>
      </c>
      <c r="E684">
        <v>21.78</v>
      </c>
      <c r="F684" s="4">
        <f t="shared" si="40"/>
        <v>1.1317657143272188E-2</v>
      </c>
      <c r="G684" s="4">
        <f t="shared" si="41"/>
        <v>3.1969309462915603E-2</v>
      </c>
      <c r="H684" s="4">
        <f t="shared" si="42"/>
        <v>2.5117739403453711E-2</v>
      </c>
      <c r="I684" s="4">
        <f t="shared" si="43"/>
        <v>5.076142131979669E-3</v>
      </c>
    </row>
    <row r="685" spans="1:9">
      <c r="A685" s="1">
        <v>38993</v>
      </c>
      <c r="B685">
        <v>6956.88</v>
      </c>
      <c r="C685">
        <v>23.88</v>
      </c>
      <c r="D685">
        <v>13.11</v>
      </c>
      <c r="E685">
        <v>21.9</v>
      </c>
      <c r="F685" s="4">
        <f t="shared" si="40"/>
        <v>-5.8469030807572369E-4</v>
      </c>
      <c r="G685" s="4">
        <f t="shared" si="41"/>
        <v>-1.3630731102850138E-2</v>
      </c>
      <c r="H685" s="4">
        <f t="shared" si="42"/>
        <v>3.8284839203674525E-3</v>
      </c>
      <c r="I685" s="4">
        <f t="shared" si="43"/>
        <v>5.5096418732781191E-3</v>
      </c>
    </row>
    <row r="686" spans="1:9">
      <c r="A686" s="1">
        <v>38994</v>
      </c>
      <c r="B686">
        <v>6874.98</v>
      </c>
      <c r="C686">
        <v>23.93</v>
      </c>
      <c r="D686">
        <v>13.16</v>
      </c>
      <c r="E686">
        <v>21.49</v>
      </c>
      <c r="F686" s="4">
        <f t="shared" si="40"/>
        <v>-1.1772518715286241E-2</v>
      </c>
      <c r="G686" s="4">
        <f t="shared" si="41"/>
        <v>2.0938023450586562E-3</v>
      </c>
      <c r="H686" s="4">
        <f t="shared" si="42"/>
        <v>3.813882532418056E-3</v>
      </c>
      <c r="I686" s="4">
        <f t="shared" si="43"/>
        <v>-1.8721461187214621E-2</v>
      </c>
    </row>
    <row r="687" spans="1:9">
      <c r="A687" s="1">
        <v>38995</v>
      </c>
      <c r="B687">
        <v>6997.24</v>
      </c>
      <c r="C687">
        <v>24.64</v>
      </c>
      <c r="D687">
        <v>13.34</v>
      </c>
      <c r="E687">
        <v>21.9</v>
      </c>
      <c r="F687" s="4">
        <f t="shared" si="40"/>
        <v>1.7783324460580282E-2</v>
      </c>
      <c r="G687" s="4">
        <f t="shared" si="41"/>
        <v>2.9669870455495229E-2</v>
      </c>
      <c r="H687" s="4">
        <f t="shared" si="42"/>
        <v>1.3677811550151953E-2</v>
      </c>
      <c r="I687" s="4">
        <f t="shared" si="43"/>
        <v>1.9078641228478369E-2</v>
      </c>
    </row>
    <row r="688" spans="1:9">
      <c r="A688" s="1">
        <v>39001</v>
      </c>
      <c r="B688">
        <v>7006.67</v>
      </c>
      <c r="C688">
        <v>24.5</v>
      </c>
      <c r="D688">
        <v>14.04</v>
      </c>
      <c r="E688">
        <v>21.43</v>
      </c>
      <c r="F688" s="4">
        <f t="shared" si="40"/>
        <v>1.3476742258376577E-3</v>
      </c>
      <c r="G688" s="4">
        <f t="shared" si="41"/>
        <v>-5.6818181818182045E-3</v>
      </c>
      <c r="H688" s="4">
        <f t="shared" si="42"/>
        <v>5.2473763118440729E-2</v>
      </c>
      <c r="I688" s="4">
        <f t="shared" si="43"/>
        <v>-2.1461187214611821E-2</v>
      </c>
    </row>
    <row r="689" spans="1:9">
      <c r="A689" s="1">
        <v>39002</v>
      </c>
      <c r="B689">
        <v>6984.58</v>
      </c>
      <c r="C689">
        <v>24.5</v>
      </c>
      <c r="D689">
        <v>13.62</v>
      </c>
      <c r="E689">
        <v>21.26</v>
      </c>
      <c r="F689" s="4">
        <f t="shared" si="40"/>
        <v>-3.1527102032777548E-3</v>
      </c>
      <c r="G689" s="4">
        <f t="shared" si="41"/>
        <v>0</v>
      </c>
      <c r="H689" s="4">
        <f t="shared" si="42"/>
        <v>-2.9914529914529912E-2</v>
      </c>
      <c r="I689" s="4">
        <f t="shared" si="43"/>
        <v>-7.9328044797012665E-3</v>
      </c>
    </row>
    <row r="690" spans="1:9">
      <c r="A690" s="1">
        <v>39003</v>
      </c>
      <c r="B690">
        <v>7068.8</v>
      </c>
      <c r="C690">
        <v>24.5</v>
      </c>
      <c r="D690">
        <v>13.25</v>
      </c>
      <c r="E690">
        <v>21.49</v>
      </c>
      <c r="F690" s="4">
        <f t="shared" si="40"/>
        <v>1.205799060215507E-2</v>
      </c>
      <c r="G690" s="4">
        <f t="shared" si="41"/>
        <v>0</v>
      </c>
      <c r="H690" s="4">
        <f t="shared" si="42"/>
        <v>-2.7165932452276009E-2</v>
      </c>
      <c r="I690" s="4">
        <f t="shared" si="43"/>
        <v>1.0818438381937764E-2</v>
      </c>
    </row>
    <row r="691" spans="1:9">
      <c r="A691" s="1">
        <v>39004</v>
      </c>
      <c r="B691">
        <v>7076.85</v>
      </c>
      <c r="C691">
        <v>24.45</v>
      </c>
      <c r="D691">
        <v>13.62</v>
      </c>
      <c r="E691">
        <v>21.55</v>
      </c>
      <c r="F691" s="4">
        <f t="shared" si="40"/>
        <v>1.1388071525577441E-3</v>
      </c>
      <c r="G691" s="4">
        <f t="shared" si="41"/>
        <v>-2.0408163265306411E-3</v>
      </c>
      <c r="H691" s="4">
        <f t="shared" si="42"/>
        <v>2.7924528301886735E-2</v>
      </c>
      <c r="I691" s="4">
        <f t="shared" si="43"/>
        <v>2.7919962773384028E-3</v>
      </c>
    </row>
    <row r="692" spans="1:9">
      <c r="A692" s="1">
        <v>39006</v>
      </c>
      <c r="B692">
        <v>7151.42</v>
      </c>
      <c r="C692">
        <v>24.59</v>
      </c>
      <c r="D692">
        <v>14.56</v>
      </c>
      <c r="E692">
        <v>22.13</v>
      </c>
      <c r="F692" s="4">
        <f t="shared" si="40"/>
        <v>1.0537174025166523E-2</v>
      </c>
      <c r="G692" s="4">
        <f t="shared" si="41"/>
        <v>5.7259713701431729E-3</v>
      </c>
      <c r="H692" s="4">
        <f t="shared" si="42"/>
        <v>6.9016152716593338E-2</v>
      </c>
      <c r="I692" s="4">
        <f t="shared" si="43"/>
        <v>2.6914153132250498E-2</v>
      </c>
    </row>
    <row r="693" spans="1:9">
      <c r="A693" s="1">
        <v>39007</v>
      </c>
      <c r="B693">
        <v>7075.13</v>
      </c>
      <c r="C693">
        <v>24.26</v>
      </c>
      <c r="D693">
        <v>15.16</v>
      </c>
      <c r="E693">
        <v>22.02</v>
      </c>
      <c r="F693" s="4">
        <f t="shared" si="40"/>
        <v>-1.0667811427660516E-2</v>
      </c>
      <c r="G693" s="4">
        <f t="shared" si="41"/>
        <v>-1.3420089467263046E-2</v>
      </c>
      <c r="H693" s="4">
        <f t="shared" si="42"/>
        <v>4.120879120879118E-2</v>
      </c>
      <c r="I693" s="4">
        <f t="shared" si="43"/>
        <v>-4.9706281066425415E-3</v>
      </c>
    </row>
    <row r="694" spans="1:9">
      <c r="A694" s="1">
        <v>39008</v>
      </c>
      <c r="B694">
        <v>7017.6</v>
      </c>
      <c r="C694">
        <v>24.5</v>
      </c>
      <c r="D694">
        <v>15.02</v>
      </c>
      <c r="E694">
        <v>21.61</v>
      </c>
      <c r="F694" s="4">
        <f t="shared" si="40"/>
        <v>-8.1312993542167773E-3</v>
      </c>
      <c r="G694" s="4">
        <f t="shared" si="41"/>
        <v>9.8928276999174954E-3</v>
      </c>
      <c r="H694" s="4">
        <f t="shared" si="42"/>
        <v>-9.2348284960422546E-3</v>
      </c>
      <c r="I694" s="4">
        <f t="shared" si="43"/>
        <v>-1.8619436875567674E-2</v>
      </c>
    </row>
    <row r="695" spans="1:9">
      <c r="A695" s="1">
        <v>39009</v>
      </c>
      <c r="B695">
        <v>6995.83</v>
      </c>
      <c r="C695">
        <v>24.83</v>
      </c>
      <c r="D695">
        <v>14.93</v>
      </c>
      <c r="E695">
        <v>21.38</v>
      </c>
      <c r="F695" s="4">
        <f t="shared" si="40"/>
        <v>-3.102200182398603E-3</v>
      </c>
      <c r="G695" s="4">
        <f t="shared" si="41"/>
        <v>1.3469387755101972E-2</v>
      </c>
      <c r="H695" s="4">
        <f t="shared" si="42"/>
        <v>-5.9920106524633731E-3</v>
      </c>
      <c r="I695" s="4">
        <f t="shared" si="43"/>
        <v>-1.0643220731143009E-2</v>
      </c>
    </row>
    <row r="696" spans="1:9">
      <c r="A696" s="1">
        <v>39010</v>
      </c>
      <c r="B696">
        <v>7039.37</v>
      </c>
      <c r="C696">
        <v>25.73</v>
      </c>
      <c r="D696">
        <v>14.93</v>
      </c>
      <c r="E696">
        <v>21.43</v>
      </c>
      <c r="F696" s="4">
        <f t="shared" si="40"/>
        <v>6.2237075514985302E-3</v>
      </c>
      <c r="G696" s="4">
        <f t="shared" si="41"/>
        <v>3.6246476037052042E-2</v>
      </c>
      <c r="H696" s="4">
        <f t="shared" si="42"/>
        <v>0</v>
      </c>
      <c r="I696" s="4">
        <f t="shared" si="43"/>
        <v>2.3386342376052719E-3</v>
      </c>
    </row>
    <row r="697" spans="1:9">
      <c r="A697" s="1">
        <v>39013</v>
      </c>
      <c r="B697">
        <v>7040.26</v>
      </c>
      <c r="C697">
        <v>25.73</v>
      </c>
      <c r="D697">
        <v>14.98</v>
      </c>
      <c r="E697">
        <v>21.26</v>
      </c>
      <c r="F697" s="4">
        <f t="shared" si="40"/>
        <v>1.2643176875207972E-4</v>
      </c>
      <c r="G697" s="4">
        <f t="shared" si="41"/>
        <v>0</v>
      </c>
      <c r="H697" s="4">
        <f t="shared" si="42"/>
        <v>3.3489618218352788E-3</v>
      </c>
      <c r="I697" s="4">
        <f t="shared" si="43"/>
        <v>-7.9328044797012665E-3</v>
      </c>
    </row>
    <row r="698" spans="1:9">
      <c r="A698" s="1">
        <v>39014</v>
      </c>
      <c r="B698">
        <v>7097.42</v>
      </c>
      <c r="C698">
        <v>25.77</v>
      </c>
      <c r="D698">
        <v>14.88</v>
      </c>
      <c r="E698">
        <v>21.43</v>
      </c>
      <c r="F698" s="4">
        <f t="shared" si="40"/>
        <v>8.1190183317093201E-3</v>
      </c>
      <c r="G698" s="4">
        <f t="shared" si="41"/>
        <v>1.5546055188495587E-3</v>
      </c>
      <c r="H698" s="4">
        <f t="shared" si="42"/>
        <v>-6.6755674232309506E-3</v>
      </c>
      <c r="I698" s="4">
        <f t="shared" si="43"/>
        <v>7.996237064910542E-3</v>
      </c>
    </row>
    <row r="699" spans="1:9">
      <c r="A699" s="1">
        <v>39015</v>
      </c>
      <c r="B699">
        <v>7059.89</v>
      </c>
      <c r="C699">
        <v>25.73</v>
      </c>
      <c r="D699">
        <v>14.56</v>
      </c>
      <c r="E699">
        <v>21.14</v>
      </c>
      <c r="F699" s="4">
        <f t="shared" si="40"/>
        <v>-5.2878369886521781E-3</v>
      </c>
      <c r="G699" s="4">
        <f t="shared" si="41"/>
        <v>-1.5521924718664784E-3</v>
      </c>
      <c r="H699" s="4">
        <f t="shared" si="42"/>
        <v>-2.1505376344086041E-2</v>
      </c>
      <c r="I699" s="4">
        <f t="shared" si="43"/>
        <v>-1.3532431171255211E-2</v>
      </c>
    </row>
    <row r="700" spans="1:9">
      <c r="A700" s="1">
        <v>39016</v>
      </c>
      <c r="B700">
        <v>7080.84</v>
      </c>
      <c r="C700">
        <v>25.63</v>
      </c>
      <c r="D700">
        <v>14.79</v>
      </c>
      <c r="E700">
        <v>21.08</v>
      </c>
      <c r="F700" s="4">
        <f t="shared" si="40"/>
        <v>2.9674683316595323E-3</v>
      </c>
      <c r="G700" s="4">
        <f t="shared" si="41"/>
        <v>-3.886513797124035E-3</v>
      </c>
      <c r="H700" s="4">
        <f t="shared" si="42"/>
        <v>1.5796703296703202E-2</v>
      </c>
      <c r="I700" s="4">
        <f t="shared" si="43"/>
        <v>-2.8382213812678464E-3</v>
      </c>
    </row>
    <row r="701" spans="1:9">
      <c r="A701" s="1">
        <v>39017</v>
      </c>
      <c r="B701">
        <v>7086.74</v>
      </c>
      <c r="C701">
        <v>25.54</v>
      </c>
      <c r="D701">
        <v>14.46</v>
      </c>
      <c r="E701">
        <v>21.32</v>
      </c>
      <c r="F701" s="4">
        <f t="shared" si="40"/>
        <v>8.3323447500573892E-4</v>
      </c>
      <c r="G701" s="4">
        <f t="shared" si="41"/>
        <v>-3.5115099492781842E-3</v>
      </c>
      <c r="H701" s="4">
        <f t="shared" si="42"/>
        <v>-2.2312373225152015E-2</v>
      </c>
      <c r="I701" s="4">
        <f t="shared" si="43"/>
        <v>1.1385199240986812E-2</v>
      </c>
    </row>
    <row r="702" spans="1:9">
      <c r="A702" s="1">
        <v>39020</v>
      </c>
      <c r="B702">
        <v>6995.2</v>
      </c>
      <c r="C702">
        <v>24.97</v>
      </c>
      <c r="D702">
        <v>14.28</v>
      </c>
      <c r="E702">
        <v>21.26</v>
      </c>
      <c r="F702" s="4">
        <f t="shared" si="40"/>
        <v>-1.291708176114828E-2</v>
      </c>
      <c r="G702" s="4">
        <f t="shared" si="41"/>
        <v>-2.2317932654659371E-2</v>
      </c>
      <c r="H702" s="4">
        <f t="shared" si="42"/>
        <v>-1.2448132780083091E-2</v>
      </c>
      <c r="I702" s="4">
        <f t="shared" si="43"/>
        <v>-2.8142589118198276E-3</v>
      </c>
    </row>
    <row r="703" spans="1:9">
      <c r="A703" s="1">
        <v>39021</v>
      </c>
      <c r="B703">
        <v>7021.32</v>
      </c>
      <c r="C703">
        <v>24.83</v>
      </c>
      <c r="D703">
        <v>14.93</v>
      </c>
      <c r="E703">
        <v>21.67</v>
      </c>
      <c r="F703" s="4">
        <f t="shared" si="40"/>
        <v>3.7339890210429856E-3</v>
      </c>
      <c r="G703" s="4">
        <f t="shared" si="41"/>
        <v>-5.6067280736884495E-3</v>
      </c>
      <c r="H703" s="4">
        <f t="shared" si="42"/>
        <v>4.5518207282913191E-2</v>
      </c>
      <c r="I703" s="4">
        <f t="shared" si="43"/>
        <v>1.928504233301976E-2</v>
      </c>
    </row>
    <row r="704" spans="1:9">
      <c r="A704" s="1">
        <v>39022</v>
      </c>
      <c r="B704">
        <v>7013.99</v>
      </c>
      <c r="C704">
        <v>24.78</v>
      </c>
      <c r="D704">
        <v>14.79</v>
      </c>
      <c r="E704">
        <v>21.32</v>
      </c>
      <c r="F704" s="4">
        <f t="shared" si="40"/>
        <v>-1.0439632433787275E-3</v>
      </c>
      <c r="G704" s="4">
        <f t="shared" si="41"/>
        <v>-2.0136931131694387E-3</v>
      </c>
      <c r="H704" s="4">
        <f t="shared" si="42"/>
        <v>-9.3770931011386855E-3</v>
      </c>
      <c r="I704" s="4">
        <f t="shared" si="43"/>
        <v>-1.6151361329026368E-2</v>
      </c>
    </row>
    <row r="705" spans="1:9">
      <c r="A705" s="1">
        <v>39023</v>
      </c>
      <c r="B705">
        <v>7078.1</v>
      </c>
      <c r="C705">
        <v>24.97</v>
      </c>
      <c r="D705">
        <v>14.6</v>
      </c>
      <c r="E705">
        <v>21.43</v>
      </c>
      <c r="F705" s="4">
        <f t="shared" si="40"/>
        <v>9.1403038783916986E-3</v>
      </c>
      <c r="G705" s="4">
        <f t="shared" si="41"/>
        <v>7.6674737691685927E-3</v>
      </c>
      <c r="H705" s="4">
        <f t="shared" si="42"/>
        <v>-1.2846517917511799E-2</v>
      </c>
      <c r="I705" s="4">
        <f t="shared" si="43"/>
        <v>5.1594746716697665E-3</v>
      </c>
    </row>
    <row r="706" spans="1:9">
      <c r="A706" s="1">
        <v>39024</v>
      </c>
      <c r="B706">
        <v>7161.61</v>
      </c>
      <c r="C706">
        <v>25.49</v>
      </c>
      <c r="D706">
        <v>15.02</v>
      </c>
      <c r="E706">
        <v>21.43</v>
      </c>
      <c r="F706" s="4">
        <f t="shared" si="40"/>
        <v>1.1798363967731354E-2</v>
      </c>
      <c r="G706" s="4">
        <f t="shared" si="41"/>
        <v>2.0824989987985567E-2</v>
      </c>
      <c r="H706" s="4">
        <f t="shared" si="42"/>
        <v>2.8767123287671229E-2</v>
      </c>
      <c r="I706" s="4">
        <f t="shared" si="43"/>
        <v>0</v>
      </c>
    </row>
    <row r="707" spans="1:9">
      <c r="A707" s="1">
        <v>39027</v>
      </c>
      <c r="B707">
        <v>7120.44</v>
      </c>
      <c r="C707">
        <v>25.06</v>
      </c>
      <c r="D707">
        <v>16</v>
      </c>
      <c r="E707">
        <v>21.14</v>
      </c>
      <c r="F707" s="4">
        <f t="shared" si="40"/>
        <v>-5.7487073437397559E-3</v>
      </c>
      <c r="G707" s="4">
        <f t="shared" si="41"/>
        <v>-1.6869360533542557E-2</v>
      </c>
      <c r="H707" s="4">
        <f t="shared" si="42"/>
        <v>6.5246338215712407E-2</v>
      </c>
      <c r="I707" s="4">
        <f t="shared" si="43"/>
        <v>-1.3532431171255211E-2</v>
      </c>
    </row>
    <row r="708" spans="1:9">
      <c r="A708" s="1">
        <v>39028</v>
      </c>
      <c r="B708">
        <v>7184.65</v>
      </c>
      <c r="C708">
        <v>25.54</v>
      </c>
      <c r="D708">
        <v>17.079999999999998</v>
      </c>
      <c r="E708">
        <v>21.49</v>
      </c>
      <c r="F708" s="4">
        <f t="shared" ref="F708:F746" si="44">(B708-B707)/B707</f>
        <v>9.0177011532995201E-3</v>
      </c>
      <c r="G708" s="4">
        <f t="shared" ref="G708:G746" si="45">(C708-C707)/C707</f>
        <v>1.9154030327214702E-2</v>
      </c>
      <c r="H708" s="4">
        <f t="shared" ref="H708:H746" si="46">(D708-D707)/D707</f>
        <v>6.7499999999999893E-2</v>
      </c>
      <c r="I708" s="4">
        <f t="shared" ref="I708:I746" si="47">(E708-E707)/E707</f>
        <v>1.6556291390728374E-2</v>
      </c>
    </row>
    <row r="709" spans="1:9">
      <c r="A709" s="1">
        <v>39029</v>
      </c>
      <c r="B709">
        <v>7178.34</v>
      </c>
      <c r="C709">
        <v>25.25</v>
      </c>
      <c r="D709">
        <v>16.8</v>
      </c>
      <c r="E709">
        <v>21.26</v>
      </c>
      <c r="F709" s="4">
        <f t="shared" si="44"/>
        <v>-8.7826129317357014E-4</v>
      </c>
      <c r="G709" s="4">
        <f t="shared" si="45"/>
        <v>-1.1354737666405604E-2</v>
      </c>
      <c r="H709" s="4">
        <f t="shared" si="46"/>
        <v>-1.6393442622950678E-2</v>
      </c>
      <c r="I709" s="4">
        <f t="shared" si="47"/>
        <v>-1.0702652396463327E-2</v>
      </c>
    </row>
    <row r="710" spans="1:9">
      <c r="A710" s="1">
        <v>39030</v>
      </c>
      <c r="B710">
        <v>7151.13</v>
      </c>
      <c r="C710">
        <v>25.54</v>
      </c>
      <c r="D710">
        <v>16.7</v>
      </c>
      <c r="E710">
        <v>21.32</v>
      </c>
      <c r="F710" s="4">
        <f t="shared" si="44"/>
        <v>-3.7905699646436412E-3</v>
      </c>
      <c r="G710" s="4">
        <f t="shared" si="45"/>
        <v>1.1485148514851452E-2</v>
      </c>
      <c r="H710" s="4">
        <f t="shared" si="46"/>
        <v>-5.9523809523810371E-3</v>
      </c>
      <c r="I710" s="4">
        <f t="shared" si="47"/>
        <v>2.8222013170272208E-3</v>
      </c>
    </row>
    <row r="711" spans="1:9">
      <c r="A711" s="1">
        <v>39031</v>
      </c>
      <c r="B711">
        <v>7174.2</v>
      </c>
      <c r="C711">
        <v>25.35</v>
      </c>
      <c r="D711">
        <v>17.03</v>
      </c>
      <c r="E711">
        <v>21.61</v>
      </c>
      <c r="F711" s="4">
        <f t="shared" si="44"/>
        <v>3.2260635731695144E-3</v>
      </c>
      <c r="G711" s="4">
        <f t="shared" si="45"/>
        <v>-7.439310884886364E-3</v>
      </c>
      <c r="H711" s="4">
        <f t="shared" si="46"/>
        <v>1.976047904191628E-2</v>
      </c>
      <c r="I711" s="4">
        <f t="shared" si="47"/>
        <v>1.3602251407129416E-2</v>
      </c>
    </row>
    <row r="712" spans="1:9">
      <c r="A712" s="1">
        <v>39034</v>
      </c>
      <c r="B712">
        <v>7136.06</v>
      </c>
      <c r="C712">
        <v>25.16</v>
      </c>
      <c r="D712">
        <v>17.36</v>
      </c>
      <c r="E712">
        <v>21.38</v>
      </c>
      <c r="F712" s="4">
        <f t="shared" si="44"/>
        <v>-5.3162721975968637E-3</v>
      </c>
      <c r="G712" s="4">
        <f t="shared" si="45"/>
        <v>-7.4950690335306219E-3</v>
      </c>
      <c r="H712" s="4">
        <f t="shared" si="46"/>
        <v>1.9377568995889504E-2</v>
      </c>
      <c r="I712" s="4">
        <f t="shared" si="47"/>
        <v>-1.0643220731143009E-2</v>
      </c>
    </row>
    <row r="713" spans="1:9">
      <c r="A713" s="1">
        <v>39035</v>
      </c>
      <c r="B713">
        <v>7204.04</v>
      </c>
      <c r="C713">
        <v>25.49</v>
      </c>
      <c r="D713">
        <v>17.170000000000002</v>
      </c>
      <c r="E713">
        <v>21.61</v>
      </c>
      <c r="F713" s="4">
        <f t="shared" si="44"/>
        <v>9.5262651939585097E-3</v>
      </c>
      <c r="G713" s="4">
        <f t="shared" si="45"/>
        <v>1.3116057233704225E-2</v>
      </c>
      <c r="H713" s="4">
        <f t="shared" si="46"/>
        <v>-1.0944700460829362E-2</v>
      </c>
      <c r="I713" s="4">
        <f t="shared" si="47"/>
        <v>1.0757717492984117E-2</v>
      </c>
    </row>
    <row r="714" spans="1:9">
      <c r="A714" s="1">
        <v>39036</v>
      </c>
      <c r="B714">
        <v>7236.85</v>
      </c>
      <c r="C714">
        <v>25.63</v>
      </c>
      <c r="D714">
        <v>16.8</v>
      </c>
      <c r="E714">
        <v>22.08</v>
      </c>
      <c r="F714" s="4">
        <f t="shared" si="44"/>
        <v>4.5543889262136799E-3</v>
      </c>
      <c r="G714" s="4">
        <f t="shared" si="45"/>
        <v>5.4923499411534162E-3</v>
      </c>
      <c r="H714" s="4">
        <f t="shared" si="46"/>
        <v>-2.1549213744903959E-2</v>
      </c>
      <c r="I714" s="4">
        <f t="shared" si="47"/>
        <v>2.1749190189726927E-2</v>
      </c>
    </row>
    <row r="715" spans="1:9">
      <c r="A715" s="1">
        <v>39037</v>
      </c>
      <c r="B715">
        <v>7257.48</v>
      </c>
      <c r="C715">
        <v>25.58</v>
      </c>
      <c r="D715">
        <v>16.7</v>
      </c>
      <c r="E715">
        <v>22.43</v>
      </c>
      <c r="F715" s="4">
        <f t="shared" si="44"/>
        <v>2.850687799249563E-3</v>
      </c>
      <c r="G715" s="4">
        <f t="shared" si="45"/>
        <v>-1.9508388607101333E-3</v>
      </c>
      <c r="H715" s="4">
        <f t="shared" si="46"/>
        <v>-5.9523809523810371E-3</v>
      </c>
      <c r="I715" s="4">
        <f t="shared" si="47"/>
        <v>1.5851449275362386E-2</v>
      </c>
    </row>
    <row r="716" spans="1:9">
      <c r="A716" s="1">
        <v>39038</v>
      </c>
      <c r="B716">
        <v>7259.54</v>
      </c>
      <c r="C716">
        <v>25.44</v>
      </c>
      <c r="D716">
        <v>16.8</v>
      </c>
      <c r="E716">
        <v>22.31</v>
      </c>
      <c r="F716" s="4">
        <f t="shared" si="44"/>
        <v>2.8384508121281774E-4</v>
      </c>
      <c r="G716" s="4">
        <f t="shared" si="45"/>
        <v>-5.4730258014072334E-3</v>
      </c>
      <c r="H716" s="4">
        <f t="shared" si="46"/>
        <v>5.9880239520958937E-3</v>
      </c>
      <c r="I716" s="4">
        <f t="shared" si="47"/>
        <v>-5.3499777084262592E-3</v>
      </c>
    </row>
    <row r="717" spans="1:9">
      <c r="A717" s="1">
        <v>39041</v>
      </c>
      <c r="B717">
        <v>7261.48</v>
      </c>
      <c r="C717">
        <v>25.3</v>
      </c>
      <c r="D717">
        <v>16.61</v>
      </c>
      <c r="E717">
        <v>22.19</v>
      </c>
      <c r="F717" s="4">
        <f t="shared" si="44"/>
        <v>2.6723456307143424E-4</v>
      </c>
      <c r="G717" s="4">
        <f t="shared" si="45"/>
        <v>-5.5031446540880725E-3</v>
      </c>
      <c r="H717" s="4">
        <f t="shared" si="46"/>
        <v>-1.1309523809523886E-2</v>
      </c>
      <c r="I717" s="4">
        <f t="shared" si="47"/>
        <v>-5.3787539220079535E-3</v>
      </c>
    </row>
    <row r="718" spans="1:9">
      <c r="A718" s="1">
        <v>39042</v>
      </c>
      <c r="B718">
        <v>7309.69</v>
      </c>
      <c r="C718">
        <v>25.21</v>
      </c>
      <c r="D718">
        <v>16.61</v>
      </c>
      <c r="E718">
        <v>22.43</v>
      </c>
      <c r="F718" s="4">
        <f t="shared" si="44"/>
        <v>6.6391424337738369E-3</v>
      </c>
      <c r="G718" s="4">
        <f t="shared" si="45"/>
        <v>-3.5573122529644211E-3</v>
      </c>
      <c r="H718" s="4">
        <f t="shared" si="46"/>
        <v>0</v>
      </c>
      <c r="I718" s="4">
        <f t="shared" si="47"/>
        <v>1.081568273997289E-2</v>
      </c>
    </row>
    <row r="719" spans="1:9">
      <c r="A719" s="1">
        <v>39043</v>
      </c>
      <c r="B719">
        <v>7348.77</v>
      </c>
      <c r="C719">
        <v>26.39</v>
      </c>
      <c r="D719">
        <v>16.61</v>
      </c>
      <c r="E719">
        <v>22.25</v>
      </c>
      <c r="F719" s="4">
        <f t="shared" si="44"/>
        <v>5.3463279564524404E-3</v>
      </c>
      <c r="G719" s="4">
        <f t="shared" si="45"/>
        <v>4.6806822689408951E-2</v>
      </c>
      <c r="H719" s="4">
        <f t="shared" si="46"/>
        <v>0</v>
      </c>
      <c r="I719" s="4">
        <f t="shared" si="47"/>
        <v>-8.0249665626393098E-3</v>
      </c>
    </row>
    <row r="720" spans="1:9">
      <c r="A720" s="1">
        <v>39044</v>
      </c>
      <c r="B720">
        <v>7384.69</v>
      </c>
      <c r="C720">
        <v>27.85</v>
      </c>
      <c r="D720">
        <v>16.84</v>
      </c>
      <c r="E720">
        <v>22.43</v>
      </c>
      <c r="F720" s="4">
        <f t="shared" si="44"/>
        <v>4.8878928038296422E-3</v>
      </c>
      <c r="G720" s="4">
        <f t="shared" si="45"/>
        <v>5.5323986358469149E-2</v>
      </c>
      <c r="H720" s="4">
        <f t="shared" si="46"/>
        <v>1.3847080072245662E-2</v>
      </c>
      <c r="I720" s="4">
        <f t="shared" si="47"/>
        <v>8.0898876404494249E-3</v>
      </c>
    </row>
    <row r="721" spans="1:9">
      <c r="A721" s="1">
        <v>39045</v>
      </c>
      <c r="B721">
        <v>7427.36</v>
      </c>
      <c r="C721">
        <v>27.29</v>
      </c>
      <c r="D721">
        <v>17.03</v>
      </c>
      <c r="E721">
        <v>23.24</v>
      </c>
      <c r="F721" s="4">
        <f t="shared" si="44"/>
        <v>5.7781707830660564E-3</v>
      </c>
      <c r="G721" s="4">
        <f t="shared" si="45"/>
        <v>-2.0107719928186794E-2</v>
      </c>
      <c r="H721" s="4">
        <f t="shared" si="46"/>
        <v>1.1282660332541643E-2</v>
      </c>
      <c r="I721" s="4">
        <f t="shared" si="47"/>
        <v>3.6112349531876892E-2</v>
      </c>
    </row>
    <row r="722" spans="1:9">
      <c r="A722" s="1">
        <v>39048</v>
      </c>
      <c r="B722">
        <v>7498.15</v>
      </c>
      <c r="C722">
        <v>27.52</v>
      </c>
      <c r="D722">
        <v>17.22</v>
      </c>
      <c r="E722">
        <v>24.82</v>
      </c>
      <c r="F722" s="4">
        <f t="shared" si="44"/>
        <v>9.5309773593847576E-3</v>
      </c>
      <c r="G722" s="4">
        <f t="shared" si="45"/>
        <v>8.4279956027849181E-3</v>
      </c>
      <c r="H722" s="4">
        <f t="shared" si="46"/>
        <v>1.1156782149148427E-2</v>
      </c>
      <c r="I722" s="4">
        <f t="shared" si="47"/>
        <v>6.7986230636833136E-2</v>
      </c>
    </row>
    <row r="723" spans="1:9">
      <c r="A723" s="1">
        <v>39049</v>
      </c>
      <c r="B723">
        <v>7444.94</v>
      </c>
      <c r="C723">
        <v>27.29</v>
      </c>
      <c r="D723">
        <v>17.399999999999999</v>
      </c>
      <c r="E723">
        <v>24.18</v>
      </c>
      <c r="F723" s="4">
        <f t="shared" si="44"/>
        <v>-7.0964171162220067E-3</v>
      </c>
      <c r="G723" s="4">
        <f t="shared" si="45"/>
        <v>-8.3575581395348986E-3</v>
      </c>
      <c r="H723" s="4">
        <f t="shared" si="46"/>
        <v>1.0452961672473851E-2</v>
      </c>
      <c r="I723" s="4">
        <f t="shared" si="47"/>
        <v>-2.5785656728444826E-2</v>
      </c>
    </row>
    <row r="724" spans="1:9">
      <c r="A724" s="1">
        <v>39050</v>
      </c>
      <c r="B724">
        <v>7474.19</v>
      </c>
      <c r="C724">
        <v>27.29</v>
      </c>
      <c r="D724">
        <v>16.8</v>
      </c>
      <c r="E724">
        <v>24.47</v>
      </c>
      <c r="F724" s="4">
        <f t="shared" si="44"/>
        <v>3.9288429456785416E-3</v>
      </c>
      <c r="G724" s="4">
        <f t="shared" si="45"/>
        <v>0</v>
      </c>
      <c r="H724" s="4">
        <f t="shared" si="46"/>
        <v>-3.4482758620689537E-2</v>
      </c>
      <c r="I724" s="4">
        <f t="shared" si="47"/>
        <v>1.1993382961124862E-2</v>
      </c>
    </row>
    <row r="725" spans="1:9">
      <c r="A725" s="1">
        <v>39051</v>
      </c>
      <c r="B725">
        <v>7567.72</v>
      </c>
      <c r="C725">
        <v>27.76</v>
      </c>
      <c r="D725">
        <v>16.89</v>
      </c>
      <c r="E725">
        <v>24.7</v>
      </c>
      <c r="F725" s="4">
        <f t="shared" si="44"/>
        <v>1.2513730584852761E-2</v>
      </c>
      <c r="G725" s="4">
        <f t="shared" si="45"/>
        <v>1.7222425796995327E-2</v>
      </c>
      <c r="H725" s="4">
        <f t="shared" si="46"/>
        <v>5.3571428571428485E-3</v>
      </c>
      <c r="I725" s="4">
        <f t="shared" si="47"/>
        <v>9.3992644053943787E-3</v>
      </c>
    </row>
    <row r="726" spans="1:9">
      <c r="A726" s="1">
        <v>39052</v>
      </c>
      <c r="B726">
        <v>7613.57</v>
      </c>
      <c r="C726">
        <v>28.23</v>
      </c>
      <c r="D726">
        <v>16.940000000000001</v>
      </c>
      <c r="E726">
        <v>24.53</v>
      </c>
      <c r="F726" s="4">
        <f t="shared" si="44"/>
        <v>6.0586279619224094E-3</v>
      </c>
      <c r="G726" s="4">
        <f t="shared" si="45"/>
        <v>1.6930835734870274E-2</v>
      </c>
      <c r="H726" s="4">
        <f t="shared" si="46"/>
        <v>2.9603315571344411E-3</v>
      </c>
      <c r="I726" s="4">
        <f t="shared" si="47"/>
        <v>-6.8825910931173346E-3</v>
      </c>
    </row>
    <row r="727" spans="1:9">
      <c r="A727" s="1">
        <v>39055</v>
      </c>
      <c r="B727">
        <v>7647.01</v>
      </c>
      <c r="C727">
        <v>29.32</v>
      </c>
      <c r="D727">
        <v>17.309999999999999</v>
      </c>
      <c r="E727">
        <v>24.47</v>
      </c>
      <c r="F727" s="4">
        <f t="shared" si="44"/>
        <v>4.3921576868670691E-3</v>
      </c>
      <c r="G727" s="4">
        <f t="shared" si="45"/>
        <v>3.8611406305348914E-2</v>
      </c>
      <c r="H727" s="4">
        <f t="shared" si="46"/>
        <v>2.1841794569067145E-2</v>
      </c>
      <c r="I727" s="4">
        <f t="shared" si="47"/>
        <v>-2.4459845087648705E-3</v>
      </c>
    </row>
    <row r="728" spans="1:9">
      <c r="A728" s="1">
        <v>39056</v>
      </c>
      <c r="B728">
        <v>7609.9</v>
      </c>
      <c r="C728">
        <v>29.13</v>
      </c>
      <c r="D728">
        <v>16.8</v>
      </c>
      <c r="E728">
        <v>24.12</v>
      </c>
      <c r="F728" s="4">
        <f t="shared" si="44"/>
        <v>-4.8528771376002621E-3</v>
      </c>
      <c r="G728" s="4">
        <f t="shared" si="45"/>
        <v>-6.4802182810368781E-3</v>
      </c>
      <c r="H728" s="4">
        <f t="shared" si="46"/>
        <v>-2.9462738301559679E-2</v>
      </c>
      <c r="I728" s="4">
        <f t="shared" si="47"/>
        <v>-1.4303228442991332E-2</v>
      </c>
    </row>
    <row r="729" spans="1:9">
      <c r="A729" s="1">
        <v>39057</v>
      </c>
      <c r="B729">
        <v>7693.33</v>
      </c>
      <c r="C729">
        <v>29.04</v>
      </c>
      <c r="D729">
        <v>16.89</v>
      </c>
      <c r="E729">
        <v>24.24</v>
      </c>
      <c r="F729" s="4">
        <f t="shared" si="44"/>
        <v>1.0963350372541071E-2</v>
      </c>
      <c r="G729" s="4">
        <f t="shared" si="45"/>
        <v>-3.0895983522142073E-3</v>
      </c>
      <c r="H729" s="4">
        <f t="shared" si="46"/>
        <v>5.3571428571428485E-3</v>
      </c>
      <c r="I729" s="4">
        <f t="shared" si="47"/>
        <v>4.9751243781093468E-3</v>
      </c>
    </row>
    <row r="730" spans="1:9">
      <c r="A730" s="1">
        <v>39058</v>
      </c>
      <c r="B730">
        <v>7686.52</v>
      </c>
      <c r="C730">
        <v>29.13</v>
      </c>
      <c r="D730">
        <v>16.61</v>
      </c>
      <c r="E730">
        <v>24.06</v>
      </c>
      <c r="F730" s="4">
        <f t="shared" si="44"/>
        <v>-8.8518235926438754E-4</v>
      </c>
      <c r="G730" s="4">
        <f t="shared" si="45"/>
        <v>3.0991735537190036E-3</v>
      </c>
      <c r="H730" s="4">
        <f t="shared" si="46"/>
        <v>-1.65778567199527E-2</v>
      </c>
      <c r="I730" s="4">
        <f t="shared" si="47"/>
        <v>-7.4257425742574141E-3</v>
      </c>
    </row>
    <row r="731" spans="1:9">
      <c r="A731" s="1">
        <v>39059</v>
      </c>
      <c r="B731">
        <v>7636.3</v>
      </c>
      <c r="C731">
        <v>29.04</v>
      </c>
      <c r="D731">
        <v>16.38</v>
      </c>
      <c r="E731">
        <v>23.65</v>
      </c>
      <c r="F731" s="4">
        <f t="shared" si="44"/>
        <v>-6.5335158173009701E-3</v>
      </c>
      <c r="G731" s="4">
        <f t="shared" si="45"/>
        <v>-3.0895983522142073E-3</v>
      </c>
      <c r="H731" s="4">
        <f t="shared" si="46"/>
        <v>-1.3847080072245662E-2</v>
      </c>
      <c r="I731" s="4">
        <f t="shared" si="47"/>
        <v>-1.7040731504571912E-2</v>
      </c>
    </row>
    <row r="732" spans="1:9">
      <c r="A732" s="1">
        <v>39062</v>
      </c>
      <c r="B732">
        <v>7612.12</v>
      </c>
      <c r="C732">
        <v>28.75</v>
      </c>
      <c r="D732">
        <v>16.52</v>
      </c>
      <c r="E732">
        <v>23.42</v>
      </c>
      <c r="F732" s="4">
        <f t="shared" si="44"/>
        <v>-3.1664549585532641E-3</v>
      </c>
      <c r="G732" s="4">
        <f t="shared" si="45"/>
        <v>-9.9862258953167752E-3</v>
      </c>
      <c r="H732" s="4">
        <f t="shared" si="46"/>
        <v>8.5470085470085826E-3</v>
      </c>
      <c r="I732" s="4">
        <f t="shared" si="47"/>
        <v>-9.7251585623677334E-3</v>
      </c>
    </row>
    <row r="733" spans="1:9">
      <c r="A733" s="1">
        <v>39063</v>
      </c>
      <c r="B733">
        <v>7458.56</v>
      </c>
      <c r="C733">
        <v>28.75</v>
      </c>
      <c r="D733">
        <v>16.14</v>
      </c>
      <c r="E733">
        <v>22.6</v>
      </c>
      <c r="F733" s="4">
        <f t="shared" si="44"/>
        <v>-2.0173092384250312E-2</v>
      </c>
      <c r="G733" s="4">
        <f t="shared" si="45"/>
        <v>0</v>
      </c>
      <c r="H733" s="4">
        <f t="shared" si="46"/>
        <v>-2.3002421307505995E-2</v>
      </c>
      <c r="I733" s="4">
        <f t="shared" si="47"/>
        <v>-3.501280956447482E-2</v>
      </c>
    </row>
    <row r="734" spans="1:9">
      <c r="A734" s="1">
        <v>39064</v>
      </c>
      <c r="B734">
        <v>7450.3</v>
      </c>
      <c r="C734">
        <v>28.56</v>
      </c>
      <c r="D734">
        <v>15.86</v>
      </c>
      <c r="E734">
        <v>22.25</v>
      </c>
      <c r="F734" s="4">
        <f t="shared" si="44"/>
        <v>-1.1074523768663412E-3</v>
      </c>
      <c r="G734" s="4">
        <f t="shared" si="45"/>
        <v>-6.6086956521739576E-3</v>
      </c>
      <c r="H734" s="4">
        <f t="shared" si="46"/>
        <v>-1.7348203221809241E-2</v>
      </c>
      <c r="I734" s="4">
        <f t="shared" si="47"/>
        <v>-1.5486725663716876E-2</v>
      </c>
    </row>
    <row r="735" spans="1:9">
      <c r="A735" s="1">
        <v>39065</v>
      </c>
      <c r="B735">
        <v>7480.41</v>
      </c>
      <c r="C735">
        <v>27.48</v>
      </c>
      <c r="D735">
        <v>15.63</v>
      </c>
      <c r="E735">
        <v>22.43</v>
      </c>
      <c r="F735" s="4">
        <f t="shared" si="44"/>
        <v>4.0414479953826922E-3</v>
      </c>
      <c r="G735" s="4">
        <f t="shared" si="45"/>
        <v>-3.781512605042011E-2</v>
      </c>
      <c r="H735" s="4">
        <f t="shared" si="46"/>
        <v>-1.4501891551071793E-2</v>
      </c>
      <c r="I735" s="4">
        <f t="shared" si="47"/>
        <v>8.0898876404494249E-3</v>
      </c>
    </row>
    <row r="736" spans="1:9">
      <c r="A736" s="1">
        <v>39066</v>
      </c>
      <c r="B736">
        <v>7538.82</v>
      </c>
      <c r="C736">
        <v>27.52</v>
      </c>
      <c r="D736">
        <v>16.239999999999998</v>
      </c>
      <c r="E736">
        <v>22.43</v>
      </c>
      <c r="F736" s="4">
        <f t="shared" si="44"/>
        <v>7.8083955291220475E-3</v>
      </c>
      <c r="G736" s="4">
        <f t="shared" si="45"/>
        <v>1.4556040756913808E-3</v>
      </c>
      <c r="H736" s="4">
        <f t="shared" si="46"/>
        <v>3.9027511196416995E-2</v>
      </c>
      <c r="I736" s="4">
        <f t="shared" si="47"/>
        <v>0</v>
      </c>
    </row>
    <row r="737" spans="1:9">
      <c r="A737" s="1">
        <v>39069</v>
      </c>
      <c r="B737">
        <v>7624.62</v>
      </c>
      <c r="C737">
        <v>27.43</v>
      </c>
      <c r="D737">
        <v>16.28</v>
      </c>
      <c r="E737">
        <v>22.66</v>
      </c>
      <c r="F737" s="4">
        <f t="shared" si="44"/>
        <v>1.1381091470548466E-2</v>
      </c>
      <c r="G737" s="4">
        <f t="shared" si="45"/>
        <v>-3.2703488372092973E-3</v>
      </c>
      <c r="H737" s="4">
        <f t="shared" si="46"/>
        <v>2.4630541871922848E-3</v>
      </c>
      <c r="I737" s="4">
        <f t="shared" si="47"/>
        <v>1.0254123941150264E-2</v>
      </c>
    </row>
    <row r="738" spans="1:9">
      <c r="A738" s="1">
        <v>39070</v>
      </c>
      <c r="B738">
        <v>7598.88</v>
      </c>
      <c r="C738">
        <v>27.33</v>
      </c>
      <c r="D738">
        <v>15.86</v>
      </c>
      <c r="E738">
        <v>22.6</v>
      </c>
      <c r="F738" s="4">
        <f t="shared" si="44"/>
        <v>-3.3759059467881394E-3</v>
      </c>
      <c r="G738" s="4">
        <f t="shared" si="45"/>
        <v>-3.6456434560700481E-3</v>
      </c>
      <c r="H738" s="4">
        <f t="shared" si="46"/>
        <v>-2.5798525798525901E-2</v>
      </c>
      <c r="I738" s="4">
        <f t="shared" si="47"/>
        <v>-2.6478375992938534E-3</v>
      </c>
    </row>
    <row r="739" spans="1:9">
      <c r="A739" s="1">
        <v>39071</v>
      </c>
      <c r="B739">
        <v>7648.35</v>
      </c>
      <c r="C739">
        <v>27.52</v>
      </c>
      <c r="D739">
        <v>16.420000000000002</v>
      </c>
      <c r="E739">
        <v>22.89</v>
      </c>
      <c r="F739" s="4">
        <f t="shared" si="44"/>
        <v>6.5101699197776851E-3</v>
      </c>
      <c r="G739" s="4">
        <f t="shared" si="45"/>
        <v>6.9520673252836188E-3</v>
      </c>
      <c r="H739" s="4">
        <f t="shared" si="46"/>
        <v>3.5308953341740369E-2</v>
      </c>
      <c r="I739" s="4">
        <f t="shared" si="47"/>
        <v>1.2831858407079608E-2</v>
      </c>
    </row>
    <row r="740" spans="1:9">
      <c r="A740" s="1">
        <v>39072</v>
      </c>
      <c r="B740">
        <v>7620.94</v>
      </c>
      <c r="C740">
        <v>27.1</v>
      </c>
      <c r="D740">
        <v>16.52</v>
      </c>
      <c r="E740">
        <v>22.95</v>
      </c>
      <c r="F740" s="4">
        <f t="shared" si="44"/>
        <v>-3.5837795079985569E-3</v>
      </c>
      <c r="G740" s="4">
        <f t="shared" si="45"/>
        <v>-1.5261627906976678E-2</v>
      </c>
      <c r="H740" s="4">
        <f t="shared" si="46"/>
        <v>6.0901339829474944E-3</v>
      </c>
      <c r="I740" s="4">
        <f t="shared" si="47"/>
        <v>2.6212319790300882E-3</v>
      </c>
    </row>
    <row r="741" spans="1:9">
      <c r="A741" s="1">
        <v>39073</v>
      </c>
      <c r="B741">
        <v>7652.47</v>
      </c>
      <c r="C741">
        <v>27.1</v>
      </c>
      <c r="D741">
        <v>16.559999999999999</v>
      </c>
      <c r="E741">
        <v>23.13</v>
      </c>
      <c r="F741" s="4">
        <f t="shared" si="44"/>
        <v>4.1372849018625861E-3</v>
      </c>
      <c r="G741" s="4">
        <f t="shared" si="45"/>
        <v>0</v>
      </c>
      <c r="H741" s="4">
        <f t="shared" si="46"/>
        <v>2.4213075060532173E-3</v>
      </c>
      <c r="I741" s="4">
        <f t="shared" si="47"/>
        <v>7.8431372549019485E-3</v>
      </c>
    </row>
    <row r="742" spans="1:9">
      <c r="A742" s="1">
        <v>39076</v>
      </c>
      <c r="B742">
        <v>7646.81</v>
      </c>
      <c r="C742">
        <v>27.48</v>
      </c>
      <c r="D742">
        <v>17.54</v>
      </c>
      <c r="E742">
        <v>22.84</v>
      </c>
      <c r="F742" s="4">
        <f t="shared" si="44"/>
        <v>-7.3963047225273075E-4</v>
      </c>
      <c r="G742" s="4">
        <f t="shared" si="45"/>
        <v>1.4022140221402177E-2</v>
      </c>
      <c r="H742" s="4">
        <f t="shared" si="46"/>
        <v>5.9178743961352684E-2</v>
      </c>
      <c r="I742" s="4">
        <f t="shared" si="47"/>
        <v>-1.2537829658452191E-2</v>
      </c>
    </row>
    <row r="743" spans="1:9">
      <c r="A743" s="1">
        <v>39077</v>
      </c>
      <c r="B743">
        <v>7727.59</v>
      </c>
      <c r="C743">
        <v>27.81</v>
      </c>
      <c r="D743">
        <v>17.22</v>
      </c>
      <c r="E743">
        <v>23.24</v>
      </c>
      <c r="F743" s="4">
        <f t="shared" si="44"/>
        <v>1.0563882194012894E-2</v>
      </c>
      <c r="G743" s="4">
        <f t="shared" si="45"/>
        <v>1.2008733624454086E-2</v>
      </c>
      <c r="H743" s="4">
        <f t="shared" si="46"/>
        <v>-1.824401368301028E-2</v>
      </c>
      <c r="I743" s="4">
        <f t="shared" si="47"/>
        <v>1.7513134851138291E-2</v>
      </c>
    </row>
    <row r="744" spans="1:9">
      <c r="A744" s="1">
        <v>39078</v>
      </c>
      <c r="B744">
        <v>7733.18</v>
      </c>
      <c r="C744">
        <v>27.76</v>
      </c>
      <c r="D744">
        <v>17.22</v>
      </c>
      <c r="E744">
        <v>23.3</v>
      </c>
      <c r="F744" s="4">
        <f t="shared" si="44"/>
        <v>7.2338206348941203E-4</v>
      </c>
      <c r="G744" s="4">
        <f t="shared" si="45"/>
        <v>-1.7979144192735404E-3</v>
      </c>
      <c r="H744" s="4">
        <f t="shared" si="46"/>
        <v>0</v>
      </c>
      <c r="I744" s="4">
        <f t="shared" si="47"/>
        <v>2.5817555938038848E-3</v>
      </c>
    </row>
    <row r="745" spans="1:9">
      <c r="A745" s="1">
        <v>39079</v>
      </c>
      <c r="B745">
        <v>7732.93</v>
      </c>
      <c r="C745">
        <v>27.57</v>
      </c>
      <c r="D745">
        <v>17.36</v>
      </c>
      <c r="E745">
        <v>23.54</v>
      </c>
      <c r="F745" s="4">
        <f t="shared" si="44"/>
        <v>-3.2328227197608227E-5</v>
      </c>
      <c r="G745" s="4">
        <f t="shared" si="45"/>
        <v>-6.8443804034582587E-3</v>
      </c>
      <c r="H745" s="4">
        <f t="shared" si="46"/>
        <v>8.130081300813042E-3</v>
      </c>
      <c r="I745" s="4">
        <f t="shared" si="47"/>
        <v>1.0300429184549289E-2</v>
      </c>
    </row>
    <row r="746" spans="1:9">
      <c r="A746" s="1">
        <v>39080</v>
      </c>
      <c r="B746">
        <v>7823.72</v>
      </c>
      <c r="C746">
        <v>27.85</v>
      </c>
      <c r="D746">
        <v>18.57</v>
      </c>
      <c r="E746">
        <v>23.65</v>
      </c>
      <c r="F746" s="4">
        <f t="shared" si="44"/>
        <v>1.1740698545053422E-2</v>
      </c>
      <c r="G746" s="4">
        <f t="shared" si="45"/>
        <v>1.0155966630395398E-2</v>
      </c>
      <c r="H746" s="4">
        <f t="shared" si="46"/>
        <v>6.9700460829493133E-2</v>
      </c>
      <c r="I746" s="4">
        <f t="shared" si="47"/>
        <v>4.6728971962616585E-3</v>
      </c>
    </row>
    <row r="747" spans="1:9">
      <c r="F747" s="4"/>
      <c r="G747" s="4"/>
      <c r="H747" s="4"/>
      <c r="I747" s="4"/>
    </row>
    <row r="748" spans="1:9">
      <c r="F748" s="4">
        <f>AVERAGE(F3:F746)*250</f>
        <v>0.10318670329922867</v>
      </c>
      <c r="G748" s="4">
        <f>AVERAGE(G3:G746)*250</f>
        <v>0.30594517965181911</v>
      </c>
      <c r="H748" s="4">
        <f>AVERAGE(H3:H746)*250</f>
        <v>0.36506119777521545</v>
      </c>
      <c r="I748" s="4">
        <f>AVERAGE(I3:I746)*250</f>
        <v>-7.9358571016021843E-3</v>
      </c>
    </row>
    <row r="749" spans="1:9">
      <c r="F749" s="4">
        <f>STDEV(F3:F746)*SQRT(744)</f>
        <v>0.3111818853612956</v>
      </c>
      <c r="G749" s="4">
        <f>STDEV(G3:G746)*SQRT(744)</f>
        <v>0.53804090166781871</v>
      </c>
      <c r="H749" s="4">
        <f>STDEV(H3:H746)*SQRT(744)</f>
        <v>0.49815307876901643</v>
      </c>
      <c r="I749" s="4">
        <f>STDEV(I3:I746)*SQRT(744)</f>
        <v>0.5407437961011462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2008-01-30T13:36:18Z</dcterms:created>
  <dcterms:modified xsi:type="dcterms:W3CDTF">2017-10-16T02:03:32Z</dcterms:modified>
</cp:coreProperties>
</file>