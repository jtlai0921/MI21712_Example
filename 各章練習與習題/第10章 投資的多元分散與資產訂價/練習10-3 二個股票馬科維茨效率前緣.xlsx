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0章 投資的多元分散與資產訂價\"/>
    </mc:Choice>
  </mc:AlternateContent>
  <bookViews>
    <workbookView xWindow="0" yWindow="0" windowWidth="23280" windowHeight="12600"/>
  </bookViews>
  <sheets>
    <sheet name="二個股票" sheetId="1" r:id="rId1"/>
  </sheets>
  <definedNames>
    <definedName name="solver_adj" localSheetId="0" hidden="1">二個股票!$B$6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二個股票!$B$9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二個股票!$B$8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二個股票!$H$3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fileRecoveryPr repairLoad="1"/>
</workbook>
</file>

<file path=xl/calcChain.xml><?xml version="1.0" encoding="utf-8"?>
<calcChain xmlns="http://schemas.openxmlformats.org/spreadsheetml/2006/main">
  <c r="B7" i="1" l="1"/>
  <c r="B9" i="1" l="1"/>
  <c r="B8" i="1" l="1"/>
</calcChain>
</file>

<file path=xl/sharedStrings.xml><?xml version="1.0" encoding="utf-8"?>
<sst xmlns="http://schemas.openxmlformats.org/spreadsheetml/2006/main" count="20" uniqueCount="13">
  <si>
    <t>股票A年報酬標準差</t>
    <phoneticPr fontId="1" type="noConversion"/>
  </si>
  <si>
    <t>股票A年報酬平均值</t>
    <phoneticPr fontId="1" type="noConversion"/>
  </si>
  <si>
    <t>股票B年報酬平均值</t>
    <phoneticPr fontId="1" type="noConversion"/>
  </si>
  <si>
    <t>股票A與B相關係數</t>
    <phoneticPr fontId="1" type="noConversion"/>
  </si>
  <si>
    <t>股票A投資比例</t>
    <phoneticPr fontId="1" type="noConversion"/>
  </si>
  <si>
    <t>股票B投資比例</t>
    <phoneticPr fontId="1" type="noConversion"/>
  </si>
  <si>
    <t>投組年報酬平均值</t>
    <phoneticPr fontId="1" type="noConversion"/>
  </si>
  <si>
    <t>股票B年報酬標準差</t>
    <phoneticPr fontId="1" type="noConversion"/>
  </si>
  <si>
    <t>投組年報酬標準差</t>
    <phoneticPr fontId="1" type="noConversion"/>
  </si>
  <si>
    <t>投組年報酬平均值</t>
    <phoneticPr fontId="1" type="noConversion"/>
  </si>
  <si>
    <t>投組年報酬標準差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</si>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</sst>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.000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166960183581487"/>
          <c:y val="7.1745436182893238E-2"/>
          <c:w val="0.70844501620331979"/>
          <c:h val="0.7217205799139355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xVal>
            <c:numRef>
              <c:f>二個股票!$H$2:$H$11</c:f>
              <c:numCache>
                <c:formatCode>0.000_ </c:formatCode>
                <c:ptCount val="10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  <c:pt idx="9">
                  <c:v>0.25</c:v>
                </c:pt>
              </c:numCache>
            </c:numRef>
          </c:xVal>
          <c:yVal>
            <c:numRef>
              <c:f>二個股票!$I$2:$I$11</c:f>
              <c:numCache>
                <c:formatCode>0.000_ </c:formatCode>
                <c:ptCount val="10"/>
                <c:pt idx="0">
                  <c:v>0.2</c:v>
                </c:pt>
                <c:pt idx="1">
                  <c:v>0.19035731574892037</c:v>
                </c:pt>
                <c:pt idx="2">
                  <c:v>0.18037633174316775</c:v>
                </c:pt>
                <c:pt idx="3">
                  <c:v>0.1697672427065223</c:v>
                </c:pt>
                <c:pt idx="4">
                  <c:v>0.15766971767190516</c:v>
                </c:pt>
                <c:pt idx="5">
                  <c:v>0.13488372090185685</c:v>
                </c:pt>
                <c:pt idx="7">
                  <c:v>0.13488372090185685</c:v>
                </c:pt>
                <c:pt idx="8">
                  <c:v>0.11209772418651437</c:v>
                </c:pt>
                <c:pt idx="9">
                  <c:v>0.10000019915781785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AC-47CC-BD91-4399692A3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333568"/>
        <c:axId val="1"/>
      </c:scatterChart>
      <c:valAx>
        <c:axId val="643333568"/>
        <c:scaling>
          <c:orientation val="minMax"/>
          <c:max val="0.45"/>
          <c:min val="5.000000000000001E-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投組年報酬標準差</a:t>
                </a:r>
              </a:p>
            </c:rich>
          </c:tx>
          <c:layout>
            <c:manualLayout>
              <c:xMode val="edge"/>
              <c:yMode val="edge"/>
              <c:x val="0.43197866841665844"/>
              <c:y val="0.88917862296586181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8.0000000000000016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投組年報酬平均值</a:t>
                </a:r>
              </a:p>
            </c:rich>
          </c:tx>
          <c:layout>
            <c:manualLayout>
              <c:xMode val="edge"/>
              <c:yMode val="edge"/>
              <c:x val="4.1037973499582547E-2"/>
              <c:y val="0.29010337035756234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6433335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新細明體"/>
          <a:cs typeface="Times New Roman" panose="02020603050405020304" pitchFamily="18" charset="0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11</xdr:row>
      <xdr:rowOff>198120</xdr:rowOff>
    </xdr:from>
    <xdr:to>
      <xdr:col>12</xdr:col>
      <xdr:colOff>83820</xdr:colOff>
      <xdr:row>28</xdr:row>
      <xdr:rowOff>106680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5</xdr:col>
      <xdr:colOff>464820</xdr:colOff>
      <xdr:row>25</xdr:row>
      <xdr:rowOff>7620</xdr:rowOff>
    </xdr:to>
    <xdr:sp macro="" textlink="">
      <xdr:nvSpPr>
        <xdr:cNvPr id="3" name="文字方塊 2"/>
        <xdr:cNvSpPr txBox="1"/>
      </xdr:nvSpPr>
      <xdr:spPr>
        <a:xfrm>
          <a:off x="0" y="2468880"/>
          <a:ext cx="4358640" cy="26822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=1-B6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」以確保權重總合為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儲存格為目標式公式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平均值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</a:p>
        <a:p>
          <a:pPr eaLnBrk="1" fontAlgn="auto" latinLnBrk="0" hangingPunct="1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在「設定目標式」輸入「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選「最大值」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在「藉由變更變數儲存格」輸入「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在「設定限制式」輸入限制「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B9&lt;H3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4" workbookViewId="0">
      <selection activeCell="N9" sqref="N9"/>
    </sheetView>
  </sheetViews>
  <sheetFormatPr defaultRowHeight="16.2"/>
  <cols>
    <col min="1" max="1" width="20" customWidth="1"/>
    <col min="2" max="2" width="10.109375" bestFit="1" customWidth="1"/>
    <col min="8" max="8" width="13.77734375" customWidth="1"/>
    <col min="9" max="9" width="16.88671875" customWidth="1"/>
    <col min="10" max="10" width="10.5546875" customWidth="1"/>
  </cols>
  <sheetData>
    <row r="1" spans="1:10">
      <c r="A1" t="s">
        <v>1</v>
      </c>
      <c r="B1">
        <v>0.2</v>
      </c>
      <c r="H1" t="s">
        <v>10</v>
      </c>
      <c r="I1" t="s">
        <v>6</v>
      </c>
    </row>
    <row r="2" spans="1:10">
      <c r="A2" t="s">
        <v>2</v>
      </c>
      <c r="B2">
        <v>0.1</v>
      </c>
      <c r="H2" s="1">
        <v>0.4</v>
      </c>
      <c r="I2" s="1">
        <v>0.2</v>
      </c>
      <c r="J2" t="s">
        <v>11</v>
      </c>
    </row>
    <row r="3" spans="1:10">
      <c r="A3" t="s">
        <v>0</v>
      </c>
      <c r="B3">
        <v>0.4</v>
      </c>
      <c r="H3" s="1">
        <v>0.35</v>
      </c>
      <c r="I3" s="1">
        <v>0.19035731574892037</v>
      </c>
      <c r="J3" t="s">
        <v>11</v>
      </c>
    </row>
    <row r="4" spans="1:10">
      <c r="A4" t="s">
        <v>7</v>
      </c>
      <c r="B4">
        <v>0.25</v>
      </c>
      <c r="H4" s="1">
        <v>0.3</v>
      </c>
      <c r="I4" s="1">
        <v>0.18037633174316775</v>
      </c>
      <c r="J4" t="s">
        <v>11</v>
      </c>
    </row>
    <row r="5" spans="1:10">
      <c r="A5" t="s">
        <v>3</v>
      </c>
      <c r="B5">
        <v>-0.5</v>
      </c>
      <c r="H5" s="1">
        <v>0.25</v>
      </c>
      <c r="I5" s="1">
        <v>0.1697672427065223</v>
      </c>
      <c r="J5" t="s">
        <v>11</v>
      </c>
    </row>
    <row r="6" spans="1:10">
      <c r="A6" t="s">
        <v>4</v>
      </c>
      <c r="B6" s="5">
        <v>0.90357493690637625</v>
      </c>
      <c r="H6" s="1">
        <v>0.2</v>
      </c>
      <c r="I6" s="1">
        <v>0.15766971767190516</v>
      </c>
      <c r="J6" t="s">
        <v>11</v>
      </c>
    </row>
    <row r="7" spans="1:10">
      <c r="A7" t="s">
        <v>5</v>
      </c>
      <c r="B7" s="3">
        <f>1-B6</f>
        <v>9.6425063093623753E-2</v>
      </c>
      <c r="H7" s="1">
        <v>0.15</v>
      </c>
      <c r="I7" s="1">
        <v>0.13488372090185685</v>
      </c>
      <c r="J7" t="s">
        <v>11</v>
      </c>
    </row>
    <row r="8" spans="1:10">
      <c r="A8" t="s">
        <v>9</v>
      </c>
      <c r="B8" s="4">
        <f>B6*B1+B7*B2</f>
        <v>0.19035749369063762</v>
      </c>
      <c r="H8" s="1">
        <v>0.1</v>
      </c>
      <c r="I8" s="1"/>
    </row>
    <row r="9" spans="1:10">
      <c r="A9" t="s">
        <v>8</v>
      </c>
      <c r="B9" s="2">
        <f>SQRT((B6*B3)^2+(B7*B4)^2+2*B6*B7*B3*B4*B5)</f>
        <v>0.35000001668042041</v>
      </c>
      <c r="H9" s="1">
        <v>0.15</v>
      </c>
      <c r="I9" s="1">
        <v>0.13488372090185685</v>
      </c>
      <c r="J9" t="s">
        <v>12</v>
      </c>
    </row>
    <row r="10" spans="1:10">
      <c r="H10" s="1">
        <v>0.2</v>
      </c>
      <c r="I10" s="1">
        <v>0.11209772418651437</v>
      </c>
      <c r="J10" t="s">
        <v>12</v>
      </c>
    </row>
    <row r="11" spans="1:10">
      <c r="H11" s="1">
        <v>0.25</v>
      </c>
      <c r="I11" s="1">
        <v>0.10000019915781785</v>
      </c>
      <c r="J11" t="s">
        <v>12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二個股票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2010-08-15T11:10:19Z</dcterms:created>
  <dcterms:modified xsi:type="dcterms:W3CDTF">2017-12-08T07:50:36Z</dcterms:modified>
</cp:coreProperties>
</file>