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8章 財務分析的原理\習題解答\"/>
    </mc:Choice>
  </mc:AlternateContent>
  <bookViews>
    <workbookView xWindow="0" yWindow="0" windowWidth="23280" windowHeight="12600" activeTab="1"/>
  </bookViews>
  <sheets>
    <sheet name="習題7" sheetId="12" r:id="rId1"/>
    <sheet name="習題6" sheetId="13" r:id="rId2"/>
    <sheet name="習題5" sheetId="8" r:id="rId3"/>
    <sheet name="習題4" sheetId="5" r:id="rId4"/>
    <sheet name="習題3" sheetId="10" r:id="rId5"/>
    <sheet name="習題2" sheetId="4" r:id="rId6"/>
    <sheet name="習題1" sheetId="1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3" l="1"/>
  <c r="A5" i="11" l="1"/>
  <c r="A5" i="8"/>
  <c r="C17" i="12"/>
  <c r="D17" i="12"/>
  <c r="E17" i="12"/>
  <c r="F17" i="12"/>
  <c r="B17" i="12"/>
  <c r="A5" i="5"/>
  <c r="A5" i="10"/>
  <c r="A5" i="4"/>
  <c r="A6" i="11" l="1"/>
  <c r="A6" i="10"/>
</calcChain>
</file>

<file path=xl/sharedStrings.xml><?xml version="1.0" encoding="utf-8"?>
<sst xmlns="http://schemas.openxmlformats.org/spreadsheetml/2006/main" count="31" uniqueCount="29">
  <si>
    <r>
      <t xml:space="preserve">NPV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淨現值</t>
    </r>
    <r>
      <rPr>
        <sz val="12"/>
        <color rgb="FF000000"/>
        <rFont val="Times New Roman"/>
        <family val="1"/>
      </rPr>
      <t xml:space="preserve"> 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</si>
  <si>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NPV(rate, value1, value2, …)</t>
    </r>
  </si>
  <si>
    <r>
      <t xml:space="preserve">PV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傳回某項投資的現值。現值為未來各期付款現值的總額。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</si>
  <si>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PV(rate, nper, pmt)</t>
    </r>
  </si>
  <si>
    <r>
      <t xml:space="preserve">FV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傳回根據週期、固定支出及固定利率的投資未來值。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</si>
  <si>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FV(rate, nper, pmt)</t>
    </r>
  </si>
  <si>
    <r>
      <t xml:space="preserve">PMT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在定額及固定利率情形下，計算貸款付款數額。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</si>
  <si>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PMT(rate, nper, PV, FV)</t>
    </r>
  </si>
  <si>
    <r>
      <t xml:space="preserve">NPER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計算期數。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</si>
  <si>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NPER(rate, PMT, PV)</t>
    </r>
  </si>
  <si>
    <r>
      <t xml:space="preserve">RATE </t>
    </r>
    <r>
      <rPr>
        <sz val="12"/>
        <color rgb="FF000000"/>
        <rFont val="新細明體"/>
        <family val="1"/>
        <charset val="136"/>
      </rPr>
      <t>函數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新細明體"/>
        <family val="1"/>
        <charset val="136"/>
      </rPr>
      <t>計算利率。</t>
    </r>
  </si>
  <si>
    <r>
      <t xml:space="preserve">  </t>
    </r>
    <r>
      <rPr>
        <sz val="12"/>
        <color rgb="FF000000"/>
        <rFont val="新細明體"/>
        <family val="1"/>
        <charset val="136"/>
      </rPr>
      <t>格式：</t>
    </r>
    <r>
      <rPr>
        <sz val="12"/>
        <color rgb="FF000000"/>
        <rFont val="Times New Roman"/>
        <family val="1"/>
      </rPr>
      <t>RATE(nper, PMT, PV)</t>
    </r>
  </si>
  <si>
    <t>月</t>
    <phoneticPr fontId="1" type="noConversion"/>
  </si>
  <si>
    <t>年</t>
    <phoneticPr fontId="1" type="noConversion"/>
  </si>
  <si>
    <t>年利率</t>
  </si>
  <si>
    <t>月利率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</si>
  <si>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</si>
  <si>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</si>
  <si>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</si>
  <si>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</si>
  <si>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r>
      <t>(</t>
    </r>
    <r>
      <rPr>
        <sz val="12"/>
        <color rgb="FF000000"/>
        <rFont val="新細明體"/>
        <family val="1"/>
        <charset val="136"/>
      </rPr>
      <t>注意</t>
    </r>
    <r>
      <rPr>
        <sz val="12"/>
        <color rgb="FF000000"/>
        <rFont val="Times New Roman"/>
        <family val="1"/>
      </rPr>
      <t>: Excel</t>
    </r>
    <r>
      <rPr>
        <sz val="12"/>
        <color rgb="FF000000"/>
        <rFont val="新細明體"/>
        <family val="1"/>
        <charset val="136"/>
      </rPr>
      <t>的</t>
    </r>
    <r>
      <rPr>
        <sz val="12"/>
        <color rgb="FF000000"/>
        <rFont val="Times New Roman"/>
        <family val="1"/>
      </rPr>
      <t>NPV</t>
    </r>
    <r>
      <rPr>
        <sz val="12"/>
        <color rgb="FF000000"/>
        <rFont val="新細明體"/>
        <family val="1"/>
        <charset val="136"/>
      </rPr>
      <t>與財務的</t>
    </r>
    <r>
      <rPr>
        <sz val="12"/>
        <color rgb="FF000000"/>
        <rFont val="Times New Roman"/>
        <family val="1"/>
      </rPr>
      <t>NPV</t>
    </r>
    <r>
      <rPr>
        <sz val="12"/>
        <color rgb="FF000000"/>
        <rFont val="新細明體"/>
        <family val="1"/>
        <charset val="136"/>
      </rPr>
      <t>不同，財務的</t>
    </r>
    <r>
      <rPr>
        <sz val="12"/>
        <color rgb="FF000000"/>
        <rFont val="Times New Roman"/>
        <family val="1"/>
      </rPr>
      <t>NPV= P</t>
    </r>
    <r>
      <rPr>
        <vertAlign val="subscript"/>
        <sz val="12"/>
        <color rgb="FF000000"/>
        <rFont val="Times New Roman"/>
        <family val="1"/>
      </rPr>
      <t>0</t>
    </r>
    <r>
      <rPr>
        <sz val="12"/>
        <color rgb="FF000000"/>
        <rFont val="Times New Roman"/>
        <family val="1"/>
      </rPr>
      <t>+Excel(NPV)</t>
    </r>
    <r>
      <rPr>
        <sz val="12"/>
        <color rgb="FF000000"/>
        <rFont val="新細明體"/>
        <family val="1"/>
        <charset val="136"/>
      </rPr>
      <t>，因此</t>
    </r>
    <r>
      <rPr>
        <sz val="12"/>
        <color rgb="FF000000"/>
        <rFont val="Times New Roman"/>
        <family val="1"/>
      </rPr>
      <t>Excel</t>
    </r>
    <r>
      <rPr>
        <sz val="12"/>
        <color rgb="FF000000"/>
        <rFont val="新細明體"/>
        <family val="1"/>
        <charset val="136"/>
      </rPr>
      <t>的</t>
    </r>
    <r>
      <rPr>
        <sz val="12"/>
        <color rgb="FF000000"/>
        <rFont val="Times New Roman"/>
        <family val="1"/>
      </rPr>
      <t>NPV</t>
    </r>
    <r>
      <rPr>
        <sz val="12"/>
        <color rgb="FF000000"/>
        <rFont val="新細明體"/>
        <family val="1"/>
        <charset val="136"/>
      </rPr>
      <t>函數實際上是「現值」函數</t>
    </r>
    <r>
      <rPr>
        <sz val="12"/>
        <color rgb="FF000000"/>
        <rFont val="Times New Roman"/>
        <family val="1"/>
      </rPr>
      <t>)</t>
    </r>
    <phoneticPr fontId="1" type="noConversion"/>
  </si>
  <si>
    <t>E</t>
    <phoneticPr fontId="1" type="noConversion"/>
  </si>
  <si>
    <t>範例：例題4-3 假設有五個現金流如下表，試求其現值。</t>
    <phoneticPr fontId="1" type="noConversion"/>
  </si>
  <si>
    <r>
      <rPr>
        <sz val="12"/>
        <color theme="1"/>
        <rFont val="新細明體"/>
        <family val="1"/>
        <charset val="136"/>
      </rPr>
      <t>假設每月可繳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萬元，年利率</t>
    </r>
    <r>
      <rPr>
        <sz val="12"/>
        <color theme="1"/>
        <rFont val="Times New Roman"/>
        <family val="1"/>
      </rPr>
      <t>3.5%</t>
    </r>
    <r>
      <rPr>
        <sz val="12"/>
        <color theme="1"/>
        <rFont val="新細明體"/>
        <family val="1"/>
        <charset val="136"/>
      </rPr>
      <t>，貸款</t>
    </r>
    <r>
      <rPr>
        <sz val="12"/>
        <color theme="1"/>
        <rFont val="Times New Roman"/>
        <family val="1"/>
      </rPr>
      <t>200</t>
    </r>
    <r>
      <rPr>
        <sz val="12"/>
        <color theme="1"/>
        <rFont val="新細明體"/>
        <family val="1"/>
        <charset val="136"/>
      </rPr>
      <t>萬元，則要貸款多少年？</t>
    </r>
    <phoneticPr fontId="1" type="noConversion"/>
  </si>
  <si>
    <r>
      <rPr>
        <sz val="12"/>
        <color theme="1"/>
        <rFont val="新細明體"/>
        <family val="1"/>
        <charset val="136"/>
      </rPr>
      <t>假設每月繳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萬元，貸款</t>
    </r>
    <r>
      <rPr>
        <sz val="12"/>
        <color theme="1"/>
        <rFont val="Times New Roman"/>
        <family val="1"/>
      </rPr>
      <t>150</t>
    </r>
    <r>
      <rPr>
        <sz val="12"/>
        <color theme="1"/>
        <rFont val="新細明體"/>
        <family val="1"/>
        <charset val="136"/>
      </rPr>
      <t>萬元，貸款</t>
    </r>
    <r>
      <rPr>
        <sz val="12"/>
        <color theme="1"/>
        <rFont val="Times New Roman"/>
        <family val="1"/>
      </rPr>
      <t>20</t>
    </r>
    <r>
      <rPr>
        <sz val="12"/>
        <color theme="1"/>
        <rFont val="新細明體"/>
        <family val="1"/>
        <charset val="136"/>
      </rPr>
      <t>年還清，則年利率多少？</t>
    </r>
    <phoneticPr fontId="1" type="noConversion"/>
  </si>
  <si>
    <r>
      <rPr>
        <sz val="12"/>
        <color theme="1"/>
        <rFont val="新細明體"/>
        <family val="1"/>
        <charset val="136"/>
      </rPr>
      <t>假設每月可繳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萬元，貸款</t>
    </r>
    <r>
      <rPr>
        <sz val="12"/>
        <color theme="1"/>
        <rFont val="Times New Roman"/>
        <family val="1"/>
      </rPr>
      <t>25</t>
    </r>
    <r>
      <rPr>
        <sz val="12"/>
        <color theme="1"/>
        <rFont val="新細明體"/>
        <family val="1"/>
        <charset val="136"/>
      </rPr>
      <t>年，年利率</t>
    </r>
    <r>
      <rPr>
        <sz val="12"/>
        <color theme="1"/>
        <rFont val="Times New Roman"/>
        <family val="1"/>
      </rPr>
      <t>3.5%</t>
    </r>
    <r>
      <rPr>
        <sz val="12"/>
        <color theme="1"/>
        <rFont val="新細明體"/>
        <family val="1"/>
        <charset val="136"/>
      </rPr>
      <t>，計算貸款可借多少金額</t>
    </r>
    <r>
      <rPr>
        <sz val="12"/>
        <color theme="1"/>
        <rFont val="Times New Roman"/>
        <family val="1"/>
      </rPr>
      <t>?</t>
    </r>
    <phoneticPr fontId="1" type="noConversion"/>
  </si>
  <si>
    <r>
      <rPr>
        <sz val="12"/>
        <color theme="1"/>
        <rFont val="新細明體"/>
        <family val="1"/>
        <charset val="136"/>
        <scheme val="minor"/>
      </rPr>
      <t>假設每月可投資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  <scheme val="minor"/>
      </rPr>
      <t>萬元，投資</t>
    </r>
    <r>
      <rPr>
        <sz val="12"/>
        <color theme="1"/>
        <rFont val="Times New Roman"/>
        <family val="1"/>
      </rPr>
      <t>35</t>
    </r>
    <r>
      <rPr>
        <sz val="12"/>
        <color theme="1"/>
        <rFont val="新細明體"/>
        <family val="1"/>
        <charset val="136"/>
        <scheme val="minor"/>
      </rPr>
      <t>年，年報酬率</t>
    </r>
    <r>
      <rPr>
        <sz val="12"/>
        <color theme="1"/>
        <rFont val="Times New Roman"/>
        <family val="1"/>
      </rPr>
      <t>6%</t>
    </r>
    <r>
      <rPr>
        <sz val="12"/>
        <color theme="1"/>
        <rFont val="新細明體"/>
        <family val="1"/>
        <charset val="136"/>
        <scheme val="minor"/>
      </rPr>
      <t>，計算期末有多少金額</t>
    </r>
    <r>
      <rPr>
        <sz val="12"/>
        <color theme="1"/>
        <rFont val="Times New Roman"/>
        <family val="1"/>
      </rPr>
      <t>?</t>
    </r>
    <phoneticPr fontId="1" type="noConversion"/>
  </si>
  <si>
    <r>
      <rPr>
        <sz val="12"/>
        <color theme="1"/>
        <rFont val="新細明體"/>
        <family val="1"/>
        <charset val="136"/>
      </rPr>
      <t>假設貸款</t>
    </r>
    <r>
      <rPr>
        <sz val="12"/>
        <color theme="1"/>
        <rFont val="Times New Roman"/>
        <family val="1"/>
      </rPr>
      <t>1200</t>
    </r>
    <r>
      <rPr>
        <sz val="12"/>
        <color theme="1"/>
        <rFont val="新細明體"/>
        <family val="1"/>
        <charset val="136"/>
      </rPr>
      <t>萬，</t>
    </r>
    <r>
      <rPr>
        <sz val="12"/>
        <color theme="1"/>
        <rFont val="Times New Roman"/>
        <family val="1"/>
      </rPr>
      <t>25</t>
    </r>
    <r>
      <rPr>
        <sz val="12"/>
        <color theme="1"/>
        <rFont val="新細明體"/>
        <family val="1"/>
        <charset val="136"/>
      </rPr>
      <t>年，年利率</t>
    </r>
    <r>
      <rPr>
        <sz val="12"/>
        <color theme="1"/>
        <rFont val="Times New Roman"/>
        <family val="1"/>
      </rPr>
      <t>3.5%</t>
    </r>
    <r>
      <rPr>
        <sz val="12"/>
        <color theme="1"/>
        <rFont val="新細明體"/>
        <family val="1"/>
        <charset val="136"/>
      </rPr>
      <t>，計算每月要繳多少金額</t>
    </r>
    <r>
      <rPr>
        <sz val="12"/>
        <color theme="1"/>
        <rFont val="Times New Roman"/>
        <family val="1"/>
      </rPr>
      <t>?</t>
    </r>
    <phoneticPr fontId="1" type="noConversion"/>
  </si>
  <si>
    <t>假設希望35年後有養老金2000萬，年報酬率6%，計算每年要投資多少?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</si>
</sst>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#,##0.00;[Red]\-&quot;$&quot;#,##0.00"/>
    <numFmt numFmtId="176" formatCode="0.000%"/>
    <numFmt numFmtId="177" formatCode="0.0"/>
    <numFmt numFmtId="178" formatCode="&quot;$&quot;#,##0.0;[Red]\-&quot;$&quot;#,##0.0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bscript"/>
      <sz val="12"/>
      <color rgb="FF000000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176" fontId="2" fillId="2" borderId="0" xfId="0" applyNumberFormat="1" applyFont="1" applyFill="1">
      <alignment vertical="center"/>
    </xf>
    <xf numFmtId="8" fontId="2" fillId="2" borderId="0" xfId="0" applyNumberFormat="1" applyFont="1" applyFill="1">
      <alignment vertical="center"/>
    </xf>
    <xf numFmtId="177" fontId="0" fillId="3" borderId="0" xfId="0" applyNumberFormat="1" applyFill="1">
      <alignment vertical="center"/>
    </xf>
    <xf numFmtId="10" fontId="0" fillId="3" borderId="0" xfId="1" applyNumberFormat="1" applyFont="1" applyFill="1">
      <alignment vertical="center"/>
    </xf>
    <xf numFmtId="0" fontId="0" fillId="3" borderId="0" xfId="0" applyFill="1">
      <alignment vertical="center"/>
    </xf>
    <xf numFmtId="8" fontId="0" fillId="2" borderId="0" xfId="0" applyNumberFormat="1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178" fontId="2" fillId="2" borderId="0" xfId="0" applyNumberFormat="1" applyFont="1" applyFill="1">
      <alignment vertical="center"/>
    </xf>
    <xf numFmtId="2" fontId="2" fillId="2" borderId="0" xfId="0" applyNumberFormat="1" applyFont="1" applyFill="1">
      <alignment vertical="center"/>
    </xf>
    <xf numFmtId="0" fontId="7" fillId="0" borderId="0" xfId="0" applyFont="1" applyAlignment="1">
      <alignment horizontal="left" vertical="center" inden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習題7!$C$6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習題7!$A$7:$A$16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習題7!$C$7:$C$16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0-470B-B82C-52022F921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392528"/>
        <c:axId val="330392944"/>
      </c:barChart>
      <c:catAx>
        <c:axId val="3303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944"/>
        <c:crosses val="autoZero"/>
        <c:auto val="1"/>
        <c:lblAlgn val="ctr"/>
        <c:lblOffset val="100"/>
        <c:noMultiLvlLbl val="0"/>
      </c:catAx>
      <c:valAx>
        <c:axId val="33039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習題7!$D$6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習題7!$A$7:$A$16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習題7!$D$7:$D$16</c:f>
              <c:numCache>
                <c:formatCode>General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3-4003-AE3E-8ECCFE436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392528"/>
        <c:axId val="330392944"/>
      </c:barChart>
      <c:catAx>
        <c:axId val="3303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944"/>
        <c:crosses val="autoZero"/>
        <c:auto val="1"/>
        <c:lblAlgn val="ctr"/>
        <c:lblOffset val="100"/>
        <c:noMultiLvlLbl val="0"/>
      </c:catAx>
      <c:valAx>
        <c:axId val="330392944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習題7!$E$6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習題7!$A$7:$A$16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習題7!$E$7:$E$16</c:f>
              <c:numCache>
                <c:formatCode>General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1-4AFC-A436-3F105793B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392528"/>
        <c:axId val="330392944"/>
      </c:barChart>
      <c:catAx>
        <c:axId val="3303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944"/>
        <c:crosses val="autoZero"/>
        <c:auto val="1"/>
        <c:lblAlgn val="ctr"/>
        <c:lblOffset val="100"/>
        <c:noMultiLvlLbl val="0"/>
      </c:catAx>
      <c:valAx>
        <c:axId val="33039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303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567690</xdr:colOff>
      <xdr:row>1</xdr:row>
      <xdr:rowOff>194310</xdr:rowOff>
    </xdr:from>
    <xdr:to>
      <xdr:col>16</xdr:col>
      <xdr:colOff>262890</xdr:colOff>
      <xdr:row>7</xdr:row>
      <xdr:rowOff>15240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16</xdr:col>
      <xdr:colOff>304800</xdr:colOff>
      <xdr:row>13</xdr:row>
      <xdr:rowOff>49530</xdr:rowOff>
    </xdr:to>
    <xdr:graphicFrame macro="">
      <xdr:nvGraphicFramePr>
        <xdr:cNvPr id="6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16</xdr:col>
      <xdr:colOff>304800</xdr:colOff>
      <xdr:row>19</xdr:row>
      <xdr:rowOff>49530</xdr:rowOff>
    </xdr:to>
    <xdr:graphicFrame macro="">
      <xdr:nvGraphicFramePr>
        <xdr:cNvPr id="7" name="圖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4" sqref="A4"/>
    </sheetView>
  </sheetViews>
  <sheetFormatPr defaultRowHeight="16.2" x14ac:dyDescent="0.3"/>
  <sheetData>
    <row r="1" spans="1:6" x14ac:dyDescent="0.3">
      <c r="A1" s="1" t="s">
        <v>0</v>
      </c>
    </row>
    <row r="2" spans="1:6" ht="18" x14ac:dyDescent="0.3">
      <c r="A2" s="2" t="s">
        <v>20</v>
      </c>
    </row>
    <row r="3" spans="1:6" x14ac:dyDescent="0.3">
      <c r="A3" s="1" t="s">
        <v>1</v>
      </c>
    </row>
    <row r="4" spans="1:6" x14ac:dyDescent="0.3">
      <c r="A4" s="3" t="s">
        <v>22</v>
      </c>
    </row>
    <row r="6" spans="1:6" x14ac:dyDescent="0.3">
      <c r="B6" s="8" t="s">
        <v>16</v>
      </c>
      <c r="C6" s="8" t="s">
        <v>17</v>
      </c>
      <c r="D6" s="8" t="s">
        <v>18</v>
      </c>
      <c r="E6" s="8" t="s">
        <v>19</v>
      </c>
      <c r="F6" s="8" t="s">
        <v>21</v>
      </c>
    </row>
    <row r="7" spans="1:6" x14ac:dyDescent="0.3">
      <c r="A7" s="8">
        <v>1</v>
      </c>
      <c r="B7">
        <v>0</v>
      </c>
      <c r="C7">
        <v>10</v>
      </c>
      <c r="D7">
        <v>15</v>
      </c>
      <c r="E7">
        <v>20</v>
      </c>
      <c r="F7">
        <v>150</v>
      </c>
    </row>
    <row r="8" spans="1:6" x14ac:dyDescent="0.3">
      <c r="A8" s="8">
        <v>2</v>
      </c>
      <c r="B8">
        <v>0</v>
      </c>
      <c r="C8">
        <v>10</v>
      </c>
      <c r="D8">
        <v>15</v>
      </c>
      <c r="E8">
        <v>20</v>
      </c>
      <c r="F8">
        <v>0</v>
      </c>
    </row>
    <row r="9" spans="1:6" x14ac:dyDescent="0.3">
      <c r="A9" s="8">
        <v>3</v>
      </c>
      <c r="B9">
        <v>0</v>
      </c>
      <c r="C9">
        <v>10</v>
      </c>
      <c r="D9">
        <v>15</v>
      </c>
      <c r="E9">
        <v>20</v>
      </c>
      <c r="F9">
        <v>0</v>
      </c>
    </row>
    <row r="10" spans="1:6" x14ac:dyDescent="0.3">
      <c r="A10" s="8">
        <v>4</v>
      </c>
      <c r="B10">
        <v>0</v>
      </c>
      <c r="C10">
        <v>10</v>
      </c>
      <c r="D10">
        <v>15</v>
      </c>
      <c r="E10">
        <v>20</v>
      </c>
      <c r="F10">
        <v>0</v>
      </c>
    </row>
    <row r="11" spans="1:6" x14ac:dyDescent="0.3">
      <c r="A11" s="8">
        <v>5</v>
      </c>
      <c r="B11">
        <v>0</v>
      </c>
      <c r="C11">
        <v>10</v>
      </c>
      <c r="D11">
        <v>15</v>
      </c>
      <c r="E11">
        <v>20</v>
      </c>
      <c r="F11">
        <v>0</v>
      </c>
    </row>
    <row r="12" spans="1:6" x14ac:dyDescent="0.3">
      <c r="A12" s="8">
        <v>6</v>
      </c>
      <c r="B12">
        <v>0</v>
      </c>
      <c r="C12">
        <v>20</v>
      </c>
      <c r="D12">
        <v>15</v>
      </c>
      <c r="E12">
        <v>10</v>
      </c>
      <c r="F12">
        <v>0</v>
      </c>
    </row>
    <row r="13" spans="1:6" x14ac:dyDescent="0.3">
      <c r="A13" s="8">
        <v>7</v>
      </c>
      <c r="B13">
        <v>0</v>
      </c>
      <c r="C13">
        <v>20</v>
      </c>
      <c r="D13">
        <v>15</v>
      </c>
      <c r="E13">
        <v>10</v>
      </c>
      <c r="F13">
        <v>0</v>
      </c>
    </row>
    <row r="14" spans="1:6" x14ac:dyDescent="0.3">
      <c r="A14" s="8">
        <v>8</v>
      </c>
      <c r="B14">
        <v>0</v>
      </c>
      <c r="C14">
        <v>20</v>
      </c>
      <c r="D14">
        <v>15</v>
      </c>
      <c r="E14">
        <v>10</v>
      </c>
      <c r="F14">
        <v>0</v>
      </c>
    </row>
    <row r="15" spans="1:6" x14ac:dyDescent="0.3">
      <c r="A15" s="8">
        <v>9</v>
      </c>
      <c r="B15">
        <v>0</v>
      </c>
      <c r="C15">
        <v>20</v>
      </c>
      <c r="D15">
        <v>15</v>
      </c>
      <c r="E15">
        <v>10</v>
      </c>
      <c r="F15">
        <v>0</v>
      </c>
    </row>
    <row r="16" spans="1:6" x14ac:dyDescent="0.3">
      <c r="A16" s="8">
        <v>10</v>
      </c>
      <c r="B16">
        <v>150</v>
      </c>
      <c r="C16">
        <v>20</v>
      </c>
      <c r="D16">
        <v>15</v>
      </c>
      <c r="E16">
        <v>10</v>
      </c>
      <c r="F16">
        <v>0</v>
      </c>
    </row>
    <row r="17" spans="2:6" x14ac:dyDescent="0.3">
      <c r="B17" s="9">
        <f>NPV(0.2,B7:B16)</f>
        <v>24.225837433476862</v>
      </c>
      <c r="C17" s="9">
        <f t="shared" ref="C17:F17" si="0">NPV(0.2,C7:C16)</f>
        <v>53.943320311838484</v>
      </c>
      <c r="D17" s="9">
        <f t="shared" si="0"/>
        <v>62.887081283261566</v>
      </c>
      <c r="E17" s="9">
        <f t="shared" si="0"/>
        <v>71.830842254684683</v>
      </c>
      <c r="F17" s="9">
        <f t="shared" si="0"/>
        <v>125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D20" sqref="D20"/>
    </sheetView>
  </sheetViews>
  <sheetFormatPr defaultRowHeight="16.2" x14ac:dyDescent="0.3"/>
  <sheetData>
    <row r="1" spans="1:1" x14ac:dyDescent="0.3">
      <c r="A1" s="1" t="s">
        <v>6</v>
      </c>
    </row>
    <row r="2" spans="1:1" x14ac:dyDescent="0.3">
      <c r="A2" s="1" t="s">
        <v>7</v>
      </c>
    </row>
    <row r="3" spans="1:1" x14ac:dyDescent="0.3">
      <c r="A3" s="14" t="s">
        <v>28</v>
      </c>
    </row>
    <row r="5" spans="1:1" x14ac:dyDescent="0.3">
      <c r="A5" s="5">
        <f>PMT(0.06,35,0,2000)</f>
        <v>-17.947717959326535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C12" sqref="C12"/>
    </sheetView>
  </sheetViews>
  <sheetFormatPr defaultRowHeight="16.2" x14ac:dyDescent="0.3"/>
  <sheetData>
    <row r="1" spans="1:1" x14ac:dyDescent="0.3">
      <c r="A1" s="1" t="s">
        <v>6</v>
      </c>
    </row>
    <row r="2" spans="1:1" x14ac:dyDescent="0.3">
      <c r="A2" s="1" t="s">
        <v>7</v>
      </c>
    </row>
    <row r="3" spans="1:1" x14ac:dyDescent="0.3">
      <c r="A3" s="11" t="s">
        <v>27</v>
      </c>
    </row>
    <row r="5" spans="1:1" x14ac:dyDescent="0.3">
      <c r="A5" s="5">
        <f>PMT(0.035/12,25*12,1200,0)</f>
        <v>-6.0074828431139142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C19" sqref="C19"/>
    </sheetView>
  </sheetViews>
  <sheetFormatPr defaultRowHeight="16.2" x14ac:dyDescent="0.3"/>
  <cols>
    <col min="1" max="1" width="11.33203125" bestFit="1" customWidth="1"/>
  </cols>
  <sheetData>
    <row r="1" spans="1:1" x14ac:dyDescent="0.3">
      <c r="A1" s="1" t="s">
        <v>4</v>
      </c>
    </row>
    <row r="2" spans="1:1" x14ac:dyDescent="0.3">
      <c r="A2" s="1" t="s">
        <v>5</v>
      </c>
    </row>
    <row r="3" spans="1:1" x14ac:dyDescent="0.3">
      <c r="A3" s="10" t="s">
        <v>26</v>
      </c>
    </row>
    <row r="5" spans="1:1" x14ac:dyDescent="0.3">
      <c r="A5" s="12">
        <f>FV(0.06/12,35*12,1)</f>
        <v>-1424.7102987600899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G19" sqref="G19"/>
    </sheetView>
  </sheetViews>
  <sheetFormatPr defaultRowHeight="16.2" x14ac:dyDescent="0.3"/>
  <cols>
    <col min="1" max="1" width="11.109375" bestFit="1" customWidth="1"/>
  </cols>
  <sheetData>
    <row r="1" spans="1:2" x14ac:dyDescent="0.3">
      <c r="A1" s="1" t="s">
        <v>8</v>
      </c>
    </row>
    <row r="2" spans="1:2" x14ac:dyDescent="0.3">
      <c r="A2" s="1" t="s">
        <v>9</v>
      </c>
    </row>
    <row r="3" spans="1:2" x14ac:dyDescent="0.3">
      <c r="A3" s="11" t="s">
        <v>23</v>
      </c>
    </row>
    <row r="5" spans="1:2" x14ac:dyDescent="0.3">
      <c r="A5" s="13">
        <f>NPER(3.5%/12, 1, -200)</f>
        <v>300.59823184078715</v>
      </c>
      <c r="B5" t="s">
        <v>12</v>
      </c>
    </row>
    <row r="6" spans="1:2" x14ac:dyDescent="0.3">
      <c r="A6" s="6">
        <f>A5/12</f>
        <v>25.049852653398929</v>
      </c>
      <c r="B6" t="s">
        <v>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E18" sqref="E18"/>
    </sheetView>
  </sheetViews>
  <sheetFormatPr defaultRowHeight="16.2" x14ac:dyDescent="0.3"/>
  <cols>
    <col min="1" max="1" width="9.5546875" bestFit="1" customWidth="1"/>
  </cols>
  <sheetData>
    <row r="1" spans="1:1" x14ac:dyDescent="0.3">
      <c r="A1" s="1" t="s">
        <v>2</v>
      </c>
    </row>
    <row r="2" spans="1:1" x14ac:dyDescent="0.3">
      <c r="A2" s="1" t="s">
        <v>3</v>
      </c>
    </row>
    <row r="3" spans="1:1" x14ac:dyDescent="0.3">
      <c r="A3" s="11" t="s">
        <v>25</v>
      </c>
    </row>
    <row r="5" spans="1:1" x14ac:dyDescent="0.3">
      <c r="A5" s="5">
        <f>PV(0.035/12,25*12,2)</f>
        <v>-399.50176516126061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18" sqref="F18"/>
    </sheetView>
  </sheetViews>
  <sheetFormatPr defaultRowHeight="16.2" x14ac:dyDescent="0.3"/>
  <sheetData>
    <row r="1" spans="1:2" x14ac:dyDescent="0.3">
      <c r="A1" s="1" t="s">
        <v>10</v>
      </c>
    </row>
    <row r="2" spans="1:2" x14ac:dyDescent="0.3">
      <c r="A2" s="1" t="s">
        <v>11</v>
      </c>
    </row>
    <row r="3" spans="1:2" x14ac:dyDescent="0.3">
      <c r="A3" s="11" t="s">
        <v>24</v>
      </c>
    </row>
    <row r="5" spans="1:2" x14ac:dyDescent="0.3">
      <c r="A5" s="4">
        <f>RATE(20*12, 1, -150)</f>
        <v>4.26762528410728E-3</v>
      </c>
      <c r="B5" t="s">
        <v>15</v>
      </c>
    </row>
    <row r="6" spans="1:2" x14ac:dyDescent="0.3">
      <c r="A6" s="7">
        <f>12*A5</f>
        <v>5.1211503409287359E-2</v>
      </c>
      <c r="B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習題7</vt:lpstr>
      <vt:lpstr>習題6</vt:lpstr>
      <vt:lpstr>習題5</vt:lpstr>
      <vt:lpstr>習題4</vt:lpstr>
      <vt:lpstr>習題3</vt:lpstr>
      <vt:lpstr>習題2</vt:lpstr>
      <vt:lpstr>習題1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2013-09-13T01:48:22Z</dcterms:created>
  <dcterms:modified xsi:type="dcterms:W3CDTF">2017-10-02T15:53:03Z</dcterms:modified>
</cp:coreProperties>
</file>