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10章 投資的多元分散與資產訂價\習題\"/>
    </mc:Choice>
  </mc:AlternateContent>
  <bookViews>
    <workbookView xWindow="480" yWindow="96" windowWidth="12792" windowHeight="8676"/>
  </bookViews>
  <sheets>
    <sheet name="二個股票" sheetId="1" r:id="rId1"/>
  </sheets>
  <definedNames>
    <definedName name="solver_adj" localSheetId="0" hidden="1">二個股票!$B$6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二個股票!$B$9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二個股票!$B$8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二個股票!$L$10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62913"/>
</workbook>
</file>

<file path=xl/calcChain.xml><?xml version="1.0" encoding="utf-8"?>
<calcChain xmlns="http://schemas.openxmlformats.org/spreadsheetml/2006/main">
  <c r="B7" i="1" l="1"/>
  <c r="B9" i="1" l="1"/>
  <c r="B8" i="1" l="1"/>
</calcChain>
</file>

<file path=xl/sharedStrings.xml><?xml version="1.0" encoding="utf-8"?>
<sst xmlns="http://schemas.openxmlformats.org/spreadsheetml/2006/main" count="28" uniqueCount="13">
  <si>
    <t>股票A年報酬標準差</t>
    <phoneticPr fontId="1" type="noConversion"/>
  </si>
  <si>
    <t>股票A年報酬平均值</t>
    <phoneticPr fontId="1" type="noConversion"/>
  </si>
  <si>
    <t>股票B年報酬平均值</t>
    <phoneticPr fontId="1" type="noConversion"/>
  </si>
  <si>
    <t>股票A投資比例</t>
    <phoneticPr fontId="1" type="noConversion"/>
  </si>
  <si>
    <t>股票B投資比例</t>
    <phoneticPr fontId="1" type="noConversion"/>
  </si>
  <si>
    <t>投組年報酬平均值</t>
    <phoneticPr fontId="1" type="noConversion"/>
  </si>
  <si>
    <t>股票B年報酬標準差</t>
    <phoneticPr fontId="1" type="noConversion"/>
  </si>
  <si>
    <t>投組年報酬標準差</t>
    <phoneticPr fontId="1" type="noConversion"/>
  </si>
  <si>
    <t>投組年報酬平均值</t>
    <phoneticPr fontId="1" type="noConversion"/>
  </si>
  <si>
    <t>投組年報酬標準差</t>
    <phoneticPr fontId="1" type="noConversion"/>
  </si>
  <si>
    <t>max</t>
    <phoneticPr fontId="1" type="noConversion"/>
  </si>
  <si>
    <t>min</t>
    <phoneticPr fontId="1" type="noConversion"/>
  </si>
  <si>
    <t>股票A與B相關係數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</si>
</sst>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_ "/>
    <numFmt numFmtId="177" formatCode="0.000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177" fontId="0" fillId="0" borderId="0" xfId="0" applyNumberFormat="1">
      <alignment vertical="center"/>
    </xf>
    <xf numFmtId="177" fontId="0" fillId="3" borderId="0" xfId="0" applyNumberFormat="1" applyFill="1">
      <alignment vertical="center"/>
    </xf>
    <xf numFmtId="177" fontId="0" fillId="4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166954752416262"/>
          <c:y val="7.5474047572699141E-2"/>
          <c:w val="0.70844501620331979"/>
          <c:h val="0.72172057991393557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二個股票!$H$2:$H$11</c:f>
              <c:numCache>
                <c:formatCode>0.000_ </c:formatCode>
                <c:ptCount val="10"/>
                <c:pt idx="0">
                  <c:v>0.4</c:v>
                </c:pt>
                <c:pt idx="1">
                  <c:v>0.35</c:v>
                </c:pt>
                <c:pt idx="2">
                  <c:v>0.3</c:v>
                </c:pt>
                <c:pt idx="3">
                  <c:v>0.25</c:v>
                </c:pt>
                <c:pt idx="4">
                  <c:v>0.2</c:v>
                </c:pt>
                <c:pt idx="5">
                  <c:v>0.15</c:v>
                </c:pt>
                <c:pt idx="6">
                  <c:v>0.1</c:v>
                </c:pt>
                <c:pt idx="7">
                  <c:v>0.15</c:v>
                </c:pt>
                <c:pt idx="8">
                  <c:v>0.2</c:v>
                </c:pt>
                <c:pt idx="9">
                  <c:v>0.25</c:v>
                </c:pt>
              </c:numCache>
            </c:numRef>
          </c:xVal>
          <c:yVal>
            <c:numRef>
              <c:f>二個股票!$I$2:$I$11</c:f>
              <c:numCache>
                <c:formatCode>0.000_ </c:formatCode>
                <c:ptCount val="10"/>
                <c:pt idx="0">
                  <c:v>0.2</c:v>
                </c:pt>
                <c:pt idx="1">
                  <c:v>0.19035731574892037</c:v>
                </c:pt>
                <c:pt idx="2">
                  <c:v>0.18037633174316775</c:v>
                </c:pt>
                <c:pt idx="3">
                  <c:v>0.1697672427065223</c:v>
                </c:pt>
                <c:pt idx="4">
                  <c:v>0.15766971767190516</c:v>
                </c:pt>
                <c:pt idx="5">
                  <c:v>0.13488372090185685</c:v>
                </c:pt>
                <c:pt idx="7">
                  <c:v>0.13488372090185685</c:v>
                </c:pt>
                <c:pt idx="8">
                  <c:v>0.11209772418651437</c:v>
                </c:pt>
                <c:pt idx="9">
                  <c:v>0.10000019915781785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AC-47CC-BD91-4399692A3511}"/>
            </c:ext>
          </c:extLst>
        </c:ser>
        <c:ser>
          <c:idx val="1"/>
          <c:order val="1"/>
          <c:xVal>
            <c:numRef>
              <c:f>二個股票!$L$2:$L$10</c:f>
              <c:numCache>
                <c:formatCode>0.000_ </c:formatCode>
                <c:ptCount val="9"/>
                <c:pt idx="0">
                  <c:v>0.4</c:v>
                </c:pt>
                <c:pt idx="1">
                  <c:v>0.35</c:v>
                </c:pt>
                <c:pt idx="2">
                  <c:v>0.3</c:v>
                </c:pt>
                <c:pt idx="3">
                  <c:v>0.25</c:v>
                </c:pt>
                <c:pt idx="4">
                  <c:v>0.21199999999999999</c:v>
                </c:pt>
                <c:pt idx="5">
                  <c:v>0.25</c:v>
                </c:pt>
              </c:numCache>
            </c:numRef>
          </c:xVal>
          <c:yVal>
            <c:numRef>
              <c:f>二個股票!$M$2:$M$10</c:f>
              <c:numCache>
                <c:formatCode>0.000_ </c:formatCode>
                <c:ptCount val="9"/>
                <c:pt idx="0">
                  <c:v>0.2</c:v>
                </c:pt>
                <c:pt idx="1">
                  <c:v>0.18712965799299597</c:v>
                </c:pt>
                <c:pt idx="2">
                  <c:v>0.17299999999999999</c:v>
                </c:pt>
                <c:pt idx="3">
                  <c:v>0.156</c:v>
                </c:pt>
                <c:pt idx="4">
                  <c:v>0.128</c:v>
                </c:pt>
                <c:pt idx="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A3-4BB2-82A3-DED687509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333568"/>
        <c:axId val="1"/>
      </c:scatterChart>
      <c:valAx>
        <c:axId val="643333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投組年報酬標準差</a:t>
                </a:r>
              </a:p>
            </c:rich>
          </c:tx>
          <c:layout>
            <c:manualLayout>
              <c:xMode val="edge"/>
              <c:yMode val="edge"/>
              <c:x val="0.43197866841665844"/>
              <c:y val="0.8891786229658618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投組年報酬平均值</a:t>
                </a:r>
              </a:p>
            </c:rich>
          </c:tx>
          <c:layout>
            <c:manualLayout>
              <c:xMode val="edge"/>
              <c:yMode val="edge"/>
              <c:x val="4.1037973499582547E-2"/>
              <c:y val="0.29010337035756234"/>
            </c:manualLayout>
          </c:layout>
          <c:overlay val="0"/>
          <c:spPr>
            <a:noFill/>
            <a:ln w="25400">
              <a:noFill/>
            </a:ln>
          </c:spPr>
        </c:title>
        <c:numFmt formatCode="0.00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64333356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11</xdr:row>
      <xdr:rowOff>198120</xdr:rowOff>
    </xdr:from>
    <xdr:to>
      <xdr:col>12</xdr:col>
      <xdr:colOff>83820</xdr:colOff>
      <xdr:row>28</xdr:row>
      <xdr:rowOff>106680</xdr:rowOff>
    </xdr:to>
    <xdr:graphicFrame macro="">
      <xdr:nvGraphicFramePr>
        <xdr:cNvPr id="1025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5</xdr:col>
      <xdr:colOff>464820</xdr:colOff>
      <xdr:row>25</xdr:row>
      <xdr:rowOff>7620</xdr:rowOff>
    </xdr:to>
    <xdr:sp macro="" textlink="">
      <xdr:nvSpPr>
        <xdr:cNvPr id="3" name="文字方塊 2"/>
        <xdr:cNvSpPr txBox="1"/>
      </xdr:nvSpPr>
      <xdr:spPr>
        <a:xfrm>
          <a:off x="0" y="2468880"/>
          <a:ext cx="4358640" cy="26822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B7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儲存格為「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=1-B6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」以確保權重總合為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1.0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儲存格為目標式公式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：投組年報酬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平均值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儲存格為限制式公式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：投組年報酬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標準差</a:t>
          </a:r>
        </a:p>
        <a:p>
          <a:pPr eaLnBrk="1" fontAlgn="auto" latinLnBrk="0" hangingPunct="1"/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開啟「資料」標籤的「規劃求解」視窗，並輸入參數，即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在「設定目標式」輸入「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B8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選「最大值」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在「藉由變更變數儲存格」輸入「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B6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在「設定限制式」輸入限制「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B9&lt;H3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38100</xdr:colOff>
      <xdr:row>3</xdr:row>
      <xdr:rowOff>22860</xdr:rowOff>
    </xdr:from>
    <xdr:to>
      <xdr:col>4</xdr:col>
      <xdr:colOff>556260</xdr:colOff>
      <xdr:row>6</xdr:row>
      <xdr:rowOff>0</xdr:rowOff>
    </xdr:to>
    <xdr:sp macro="" textlink="">
      <xdr:nvSpPr>
        <xdr:cNvPr id="2" name="向左箭號 1"/>
        <xdr:cNvSpPr/>
      </xdr:nvSpPr>
      <xdr:spPr>
        <a:xfrm>
          <a:off x="2103120" y="640080"/>
          <a:ext cx="1737360" cy="59436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股票</a:t>
          </a:r>
          <a:r>
            <a:rPr lang="en-US" altLang="zh-TW" sz="1100"/>
            <a:t>A</a:t>
          </a:r>
          <a:r>
            <a:rPr lang="zh-TW" altLang="en-US" sz="1100"/>
            <a:t>與</a:t>
          </a:r>
          <a:r>
            <a:rPr lang="en-US" altLang="zh-TW" sz="1100"/>
            <a:t>B</a:t>
          </a:r>
          <a:r>
            <a:rPr lang="zh-TW" altLang="en-US" sz="1100"/>
            <a:t>相關係數</a:t>
          </a:r>
          <a:r>
            <a:rPr lang="en-US" altLang="zh-TW" sz="1100"/>
            <a:t>=0</a:t>
          </a:r>
          <a:endParaRPr lang="zh-TW" altLang="en-US" sz="1100"/>
        </a:p>
      </xdr:txBody>
    </xdr:sp>
    <xdr:clientData/>
  </xdr:twoCellAnchor>
  <xdr:twoCellAnchor>
    <xdr:from>
      <xdr:col>14</xdr:col>
      <xdr:colOff>0</xdr:colOff>
      <xdr:row>2</xdr:row>
      <xdr:rowOff>0</xdr:rowOff>
    </xdr:from>
    <xdr:to>
      <xdr:col>16</xdr:col>
      <xdr:colOff>518160</xdr:colOff>
      <xdr:row>4</xdr:row>
      <xdr:rowOff>182880</xdr:rowOff>
    </xdr:to>
    <xdr:sp macro="" textlink="">
      <xdr:nvSpPr>
        <xdr:cNvPr id="5" name="向左箭號 4"/>
        <xdr:cNvSpPr/>
      </xdr:nvSpPr>
      <xdr:spPr>
        <a:xfrm>
          <a:off x="10378440" y="411480"/>
          <a:ext cx="1737360" cy="59436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股票</a:t>
          </a:r>
          <a:r>
            <a:rPr lang="en-US" altLang="zh-TW" sz="1100"/>
            <a:t>A</a:t>
          </a:r>
          <a:r>
            <a:rPr lang="zh-TW" altLang="en-US" sz="1100"/>
            <a:t>與</a:t>
          </a:r>
          <a:r>
            <a:rPr lang="en-US" altLang="zh-TW" sz="1100"/>
            <a:t>B</a:t>
          </a:r>
          <a:r>
            <a:rPr lang="zh-TW" altLang="en-US" sz="1100"/>
            <a:t>相關係數</a:t>
          </a:r>
          <a:r>
            <a:rPr lang="en-US" altLang="zh-TW" sz="1100"/>
            <a:t>=0</a:t>
          </a:r>
          <a:endParaRPr lang="zh-TW" altLang="en-US" sz="1100"/>
        </a:p>
      </xdr:txBody>
    </xdr:sp>
    <xdr:clientData/>
  </xdr:twoCellAnchor>
  <xdr:twoCellAnchor>
    <xdr:from>
      <xdr:col>9</xdr:col>
      <xdr:colOff>281940</xdr:colOff>
      <xdr:row>17</xdr:row>
      <xdr:rowOff>99060</xdr:rowOff>
    </xdr:from>
    <xdr:to>
      <xdr:col>12</xdr:col>
      <xdr:colOff>76200</xdr:colOff>
      <xdr:row>20</xdr:row>
      <xdr:rowOff>76200</xdr:rowOff>
    </xdr:to>
    <xdr:sp macro="" textlink="">
      <xdr:nvSpPr>
        <xdr:cNvPr id="6" name="向左箭號 5"/>
        <xdr:cNvSpPr/>
      </xdr:nvSpPr>
      <xdr:spPr>
        <a:xfrm>
          <a:off x="7498080" y="3596640"/>
          <a:ext cx="1737360" cy="59436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股票</a:t>
          </a:r>
          <a:r>
            <a:rPr lang="en-US" altLang="zh-TW" sz="1100"/>
            <a:t>A</a:t>
          </a:r>
          <a:r>
            <a:rPr lang="zh-TW" altLang="en-US" sz="1100"/>
            <a:t>與</a:t>
          </a:r>
          <a:r>
            <a:rPr lang="en-US" altLang="zh-TW" sz="1100"/>
            <a:t>B</a:t>
          </a:r>
          <a:r>
            <a:rPr lang="zh-TW" altLang="en-US" sz="1100"/>
            <a:t>相關係數</a:t>
          </a:r>
          <a:r>
            <a:rPr lang="en-US" altLang="zh-TW" sz="1100"/>
            <a:t>=0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topLeftCell="A4" workbookViewId="0">
      <selection activeCell="P17" sqref="P17"/>
    </sheetView>
  </sheetViews>
  <sheetFormatPr defaultRowHeight="16.2"/>
  <cols>
    <col min="1" max="1" width="20" customWidth="1"/>
    <col min="2" max="2" width="10.109375" bestFit="1" customWidth="1"/>
    <col min="8" max="8" width="13.77734375" customWidth="1"/>
    <col min="9" max="9" width="16.88671875" customWidth="1"/>
    <col min="10" max="10" width="10.5546875" customWidth="1"/>
  </cols>
  <sheetData>
    <row r="1" spans="1:14">
      <c r="A1" t="s">
        <v>1</v>
      </c>
      <c r="B1">
        <v>0.2</v>
      </c>
      <c r="H1" t="s">
        <v>9</v>
      </c>
      <c r="I1" t="s">
        <v>5</v>
      </c>
      <c r="L1" t="s">
        <v>7</v>
      </c>
      <c r="M1" t="s">
        <v>5</v>
      </c>
    </row>
    <row r="2" spans="1:14">
      <c r="A2" t="s">
        <v>2</v>
      </c>
      <c r="B2">
        <v>0.1</v>
      </c>
      <c r="H2" s="1">
        <v>0.4</v>
      </c>
      <c r="I2" s="1">
        <v>0.2</v>
      </c>
      <c r="J2" t="s">
        <v>10</v>
      </c>
      <c r="L2" s="1">
        <v>0.4</v>
      </c>
      <c r="M2" s="1">
        <v>0.2</v>
      </c>
      <c r="N2" t="s">
        <v>10</v>
      </c>
    </row>
    <row r="3" spans="1:14">
      <c r="A3" t="s">
        <v>0</v>
      </c>
      <c r="B3">
        <v>0.4</v>
      </c>
      <c r="H3" s="1">
        <v>0.35</v>
      </c>
      <c r="I3" s="1">
        <v>0.19035731574892037</v>
      </c>
      <c r="J3" t="s">
        <v>10</v>
      </c>
      <c r="L3" s="1">
        <v>0.35</v>
      </c>
      <c r="M3" s="1">
        <v>0.18712965799299597</v>
      </c>
      <c r="N3" t="s">
        <v>10</v>
      </c>
    </row>
    <row r="4" spans="1:14">
      <c r="A4" t="s">
        <v>6</v>
      </c>
      <c r="B4">
        <v>0.25</v>
      </c>
      <c r="H4" s="1">
        <v>0.3</v>
      </c>
      <c r="I4" s="1">
        <v>0.18037633174316775</v>
      </c>
      <c r="J4" t="s">
        <v>10</v>
      </c>
      <c r="L4" s="1">
        <v>0.3</v>
      </c>
      <c r="M4" s="1">
        <v>0.17299999999999999</v>
      </c>
      <c r="N4" t="s">
        <v>10</v>
      </c>
    </row>
    <row r="5" spans="1:14">
      <c r="A5" t="s">
        <v>12</v>
      </c>
      <c r="B5">
        <v>0</v>
      </c>
      <c r="H5" s="1">
        <v>0.25</v>
      </c>
      <c r="I5" s="1">
        <v>0.1697672427065223</v>
      </c>
      <c r="J5" t="s">
        <v>10</v>
      </c>
      <c r="L5" s="1">
        <v>0.25</v>
      </c>
      <c r="M5" s="1">
        <v>0.156</v>
      </c>
      <c r="N5" t="s">
        <v>10</v>
      </c>
    </row>
    <row r="6" spans="1:14">
      <c r="A6" t="s">
        <v>3</v>
      </c>
      <c r="B6" s="5">
        <v>0.28089887642764294</v>
      </c>
      <c r="H6" s="1">
        <v>0.2</v>
      </c>
      <c r="I6" s="1">
        <v>0.15766971767190516</v>
      </c>
      <c r="J6" t="s">
        <v>10</v>
      </c>
      <c r="L6" s="1">
        <v>0.21199999999999999</v>
      </c>
      <c r="M6" s="1">
        <v>0.128</v>
      </c>
      <c r="N6" t="s">
        <v>10</v>
      </c>
    </row>
    <row r="7" spans="1:14">
      <c r="A7" t="s">
        <v>4</v>
      </c>
      <c r="B7" s="3">
        <f>1-B6</f>
        <v>0.719101123572357</v>
      </c>
      <c r="H7" s="1">
        <v>0.15</v>
      </c>
      <c r="I7" s="1">
        <v>0.13488372090185685</v>
      </c>
      <c r="J7" t="s">
        <v>10</v>
      </c>
      <c r="L7" s="1">
        <v>0.25</v>
      </c>
      <c r="M7" s="1">
        <v>0.1</v>
      </c>
      <c r="N7" t="s">
        <v>11</v>
      </c>
    </row>
    <row r="8" spans="1:14">
      <c r="A8" t="s">
        <v>8</v>
      </c>
      <c r="B8" s="4">
        <f>B6*B1+B7*B2</f>
        <v>0.1280898876427643</v>
      </c>
      <c r="H8" s="1">
        <v>0.1</v>
      </c>
      <c r="I8" s="1"/>
      <c r="L8" s="1"/>
      <c r="M8" s="1"/>
    </row>
    <row r="9" spans="1:14">
      <c r="A9" t="s">
        <v>7</v>
      </c>
      <c r="B9" s="2">
        <f>SQRT((B6*B3)^2+(B7*B4)^2+2*B6*B7*B3*B4*B5)</f>
        <v>0.21199957600127198</v>
      </c>
      <c r="H9" s="1">
        <v>0.15</v>
      </c>
      <c r="I9" s="1">
        <v>0.13488372090185685</v>
      </c>
      <c r="J9" t="s">
        <v>11</v>
      </c>
      <c r="L9" s="1"/>
      <c r="M9" s="1"/>
    </row>
    <row r="10" spans="1:14">
      <c r="H10" s="1">
        <v>0.2</v>
      </c>
      <c r="I10" s="1">
        <v>0.11209772418651437</v>
      </c>
      <c r="J10" t="s">
        <v>11</v>
      </c>
      <c r="L10" s="1"/>
      <c r="M10" s="1"/>
    </row>
    <row r="11" spans="1:14">
      <c r="H11" s="1">
        <v>0.25</v>
      </c>
      <c r="I11" s="1">
        <v>0.10000019915781785</v>
      </c>
      <c r="J11" t="s">
        <v>11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二個股票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2010-08-15T11:10:19Z</dcterms:created>
  <dcterms:modified xsi:type="dcterms:W3CDTF">2017-09-29T07:43:44Z</dcterms:modified>
</cp:coreProperties>
</file>