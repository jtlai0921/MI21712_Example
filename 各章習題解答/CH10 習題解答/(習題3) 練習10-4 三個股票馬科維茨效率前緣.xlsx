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習題解答\CH10 習題解答\"/>
    </mc:Choice>
  </mc:AlternateContent>
  <bookViews>
    <workbookView xWindow="480" yWindow="96" windowWidth="12792" windowHeight="8676"/>
  </bookViews>
  <sheets>
    <sheet name="三個股票" sheetId="4" r:id="rId1"/>
  </sheets>
  <definedNames>
    <definedName name="solver_adj" localSheetId="0" hidden="1">三個股票!$E$2:$F$2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三個股票!$B$12</definedName>
    <definedName name="solver_lhs2" localSheetId="0" hidden="1">三個股票!$E$2:$G$2</definedName>
    <definedName name="solver_lhs3" localSheetId="0" hidden="1">三個股票!$E$2:$G$2</definedName>
    <definedName name="solver_lhs4" localSheetId="0" hidden="1">三個股票!$G$2</definedName>
    <definedName name="solver_lhs5" localSheetId="0" hidden="1">三個股票!$G$2</definedName>
    <definedName name="solver_lhs6" localSheetId="0" hidden="1">三個股票!$G$2</definedName>
    <definedName name="solver_lhs7" localSheetId="0" hidden="1">三個股票!$G$2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三個股票!$B$11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hs1" localSheetId="0" hidden="1">三個股票!$P$2</definedName>
    <definedName name="solver_rhs2" localSheetId="0" hidden="1">1</definedName>
    <definedName name="solver_rhs3" localSheetId="0" hidden="1">0</definedName>
    <definedName name="solver_rhs4" localSheetId="0" hidden="1">1</definedName>
    <definedName name="solver_rhs5" localSheetId="0" hidden="1">1</definedName>
    <definedName name="solver_rhs6" localSheetId="0" hidden="1">1</definedName>
    <definedName name="solver_rhs7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</workbook>
</file>

<file path=xl/calcChain.xml><?xml version="1.0" encoding="utf-8"?>
<calcChain xmlns="http://schemas.openxmlformats.org/spreadsheetml/2006/main">
  <c r="G2" i="4" l="1"/>
  <c r="I6" i="4" s="1"/>
  <c r="F6" i="4"/>
  <c r="G5" i="4" s="1"/>
  <c r="E6" i="4"/>
  <c r="G4" i="4" s="1"/>
  <c r="E5" i="4"/>
  <c r="F4" i="4" s="1"/>
  <c r="G6" i="4"/>
  <c r="F5" i="4"/>
  <c r="E4" i="4"/>
  <c r="I5" i="4"/>
  <c r="I4" i="4"/>
  <c r="B11" i="4" l="1"/>
  <c r="E7" i="4" a="1"/>
  <c r="E7" i="4" s="1"/>
  <c r="G7" i="4" l="1"/>
  <c r="F7" i="4"/>
  <c r="E8" i="4" l="1" a="1"/>
  <c r="E8" i="4" s="1"/>
  <c r="B12" i="4" s="1"/>
</calcChain>
</file>

<file path=xl/sharedStrings.xml><?xml version="1.0" encoding="utf-8"?>
<sst xmlns="http://schemas.openxmlformats.org/spreadsheetml/2006/main" count="44" uniqueCount="21">
  <si>
    <t>股票A與B相關係數</t>
    <phoneticPr fontId="1" type="noConversion"/>
  </si>
  <si>
    <t>股票A年報酬平均值</t>
    <phoneticPr fontId="1" type="noConversion"/>
  </si>
  <si>
    <t>股票B年報酬平均值</t>
    <phoneticPr fontId="1" type="noConversion"/>
  </si>
  <si>
    <t>股票A年報酬標準差</t>
    <phoneticPr fontId="1" type="noConversion"/>
  </si>
  <si>
    <t>股票B年報酬標準差</t>
    <phoneticPr fontId="1" type="noConversion"/>
  </si>
  <si>
    <t>股票A投資比例</t>
    <phoneticPr fontId="1" type="noConversion"/>
  </si>
  <si>
    <t>股票B投資比例</t>
    <phoneticPr fontId="1" type="noConversion"/>
  </si>
  <si>
    <t>投組年報酬平均值</t>
    <phoneticPr fontId="1" type="noConversion"/>
  </si>
  <si>
    <t>投組年報酬標準差</t>
    <phoneticPr fontId="1" type="noConversion"/>
  </si>
  <si>
    <t>max</t>
    <phoneticPr fontId="1" type="noConversion"/>
  </si>
  <si>
    <t>min</t>
    <phoneticPr fontId="1" type="noConversion"/>
  </si>
  <si>
    <t>股票C年報酬平均值</t>
    <phoneticPr fontId="1" type="noConversion"/>
  </si>
  <si>
    <t>股票C年報酬標準差</t>
    <phoneticPr fontId="1" type="noConversion"/>
  </si>
  <si>
    <t>股票A與C相關係數</t>
    <phoneticPr fontId="1" type="noConversion"/>
  </si>
  <si>
    <t>股票B與C相關係數</t>
    <phoneticPr fontId="1" type="noConversion"/>
  </si>
  <si>
    <t>股票C投資比例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</si>
  <si>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</si>
  <si>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</si>
  <si>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</si>
  <si>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A與B</t>
    <phoneticPr fontId="1" type="noConversion"/>
  </si>
  <si>
    <t>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</si>
</sst>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6" fontId="0" fillId="6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713294189519411"/>
          <c:y val="7.6193016407971714E-2"/>
          <c:w val="0.67315424472802965"/>
          <c:h val="0.71907159235023299"/>
        </c:manualLayout>
      </c:layout>
      <c:scatterChart>
        <c:scatterStyle val="smoothMarker"/>
        <c:varyColors val="0"/>
        <c:ser>
          <c:idx val="0"/>
          <c:order val="0"/>
          <c:tx>
            <c:v>ABC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三個股票!$L$2:$L$11</c:f>
              <c:numCache>
                <c:formatCode>0.000_ </c:formatCode>
                <c:ptCount val="10"/>
                <c:pt idx="0">
                  <c:v>0.4</c:v>
                </c:pt>
                <c:pt idx="1">
                  <c:v>0.35</c:v>
                </c:pt>
                <c:pt idx="2">
                  <c:v>0.3</c:v>
                </c:pt>
                <c:pt idx="3">
                  <c:v>0.25</c:v>
                </c:pt>
                <c:pt idx="4">
                  <c:v>0.2</c:v>
                </c:pt>
                <c:pt idx="5">
                  <c:v>0.15</c:v>
                </c:pt>
                <c:pt idx="6">
                  <c:v>0.13</c:v>
                </c:pt>
                <c:pt idx="7">
                  <c:v>0.15</c:v>
                </c:pt>
                <c:pt idx="8">
                  <c:v>0.2</c:v>
                </c:pt>
                <c:pt idx="9">
                  <c:v>0.25</c:v>
                </c:pt>
              </c:numCache>
            </c:numRef>
          </c:xVal>
          <c:yVal>
            <c:numRef>
              <c:f>三個股票!$M$2:$M$11</c:f>
              <c:numCache>
                <c:formatCode>0.000_ </c:formatCode>
                <c:ptCount val="10"/>
                <c:pt idx="0">
                  <c:v>0.2</c:v>
                </c:pt>
                <c:pt idx="1">
                  <c:v>0.19500000000000001</c:v>
                </c:pt>
                <c:pt idx="2">
                  <c:v>0.189</c:v>
                </c:pt>
                <c:pt idx="3">
                  <c:v>0.183</c:v>
                </c:pt>
                <c:pt idx="4">
                  <c:v>0.17199999999999999</c:v>
                </c:pt>
                <c:pt idx="5">
                  <c:v>0.157</c:v>
                </c:pt>
                <c:pt idx="6">
                  <c:v>0.14199999999999999</c:v>
                </c:pt>
                <c:pt idx="7">
                  <c:v>0.128</c:v>
                </c:pt>
                <c:pt idx="8">
                  <c:v>0.112</c:v>
                </c:pt>
                <c:pt idx="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F-4048-853C-A67157937B59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三個股票!$A$25:$A$27</c:f>
              <c:numCache>
                <c:formatCode>General</c:formatCode>
                <c:ptCount val="3"/>
              </c:numCache>
            </c:numRef>
          </c:xVal>
          <c:yVal>
            <c:numRef>
              <c:f>三個股票!$B$25:$B$27</c:f>
              <c:numCache>
                <c:formatCode>General</c:formatCode>
                <c:ptCount val="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6F-4048-853C-A67157937B59}"/>
            </c:ext>
          </c:extLst>
        </c:ser>
        <c:ser>
          <c:idx val="2"/>
          <c:order val="2"/>
          <c:tx>
            <c:strRef>
              <c:f>三個股票!$Q$1</c:f>
              <c:strCache>
                <c:ptCount val="1"/>
                <c:pt idx="0">
                  <c:v>A與B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三個股票!$P$2:$P$14</c:f>
              <c:numCache>
                <c:formatCode>0.000_ </c:formatCode>
                <c:ptCount val="13"/>
                <c:pt idx="0">
                  <c:v>0.4</c:v>
                </c:pt>
                <c:pt idx="1">
                  <c:v>0.35</c:v>
                </c:pt>
                <c:pt idx="2">
                  <c:v>0.3</c:v>
                </c:pt>
                <c:pt idx="3">
                  <c:v>0.25</c:v>
                </c:pt>
                <c:pt idx="4">
                  <c:v>0.2</c:v>
                </c:pt>
                <c:pt idx="5">
                  <c:v>0.17299999999999999</c:v>
                </c:pt>
                <c:pt idx="6">
                  <c:v>0.2</c:v>
                </c:pt>
                <c:pt idx="7">
                  <c:v>0.25</c:v>
                </c:pt>
              </c:numCache>
            </c:numRef>
          </c:xVal>
          <c:yVal>
            <c:numRef>
              <c:f>三個股票!$Q$2:$Q$14</c:f>
              <c:numCache>
                <c:formatCode>0.000_ </c:formatCode>
                <c:ptCount val="13"/>
                <c:pt idx="0">
                  <c:v>0.2</c:v>
                </c:pt>
                <c:pt idx="1">
                  <c:v>0.193</c:v>
                </c:pt>
                <c:pt idx="2">
                  <c:v>0.186</c:v>
                </c:pt>
                <c:pt idx="3">
                  <c:v>0.17499999999999999</c:v>
                </c:pt>
                <c:pt idx="4">
                  <c:v>0.157</c:v>
                </c:pt>
                <c:pt idx="5">
                  <c:v>0.13500000000000001</c:v>
                </c:pt>
                <c:pt idx="6">
                  <c:v>0.113</c:v>
                </c:pt>
                <c:pt idx="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6F-4048-853C-A67157937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001504"/>
        <c:axId val="1"/>
      </c:scatterChart>
      <c:valAx>
        <c:axId val="897001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投組年報酬標準差</a:t>
                </a:r>
              </a:p>
            </c:rich>
          </c:tx>
          <c:layout>
            <c:manualLayout>
              <c:xMode val="edge"/>
              <c:yMode val="edge"/>
              <c:x val="0.43104787827343682"/>
              <c:y val="0.888124847505420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投組年報酬平均值</a:t>
                </a:r>
              </a:p>
            </c:rich>
          </c:tx>
          <c:layout>
            <c:manualLayout>
              <c:xMode val="edge"/>
              <c:yMode val="edge"/>
              <c:x val="1.9397683048239661E-2"/>
              <c:y val="0.2881049243844519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89700150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67076149425287357"/>
          <c:y val="0.60761904761904773"/>
          <c:w val="0.20711206896551723"/>
          <c:h val="0.14190476190476189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</xdr:colOff>
      <xdr:row>15</xdr:row>
      <xdr:rowOff>160020</xdr:rowOff>
    </xdr:from>
    <xdr:to>
      <xdr:col>16</xdr:col>
      <xdr:colOff>541020</xdr:colOff>
      <xdr:row>27</xdr:row>
      <xdr:rowOff>7620</xdr:rowOff>
    </xdr:to>
    <xdr:graphicFrame macro="">
      <xdr:nvGraphicFramePr>
        <xdr:cNvPr id="2049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160020</xdr:colOff>
      <xdr:row>7</xdr:row>
      <xdr:rowOff>198120</xdr:rowOff>
    </xdr:from>
    <xdr:to>
      <xdr:col>4</xdr:col>
      <xdr:colOff>381000</xdr:colOff>
      <xdr:row>12</xdr:row>
      <xdr:rowOff>152400</xdr:rowOff>
    </xdr:to>
    <xdr:sp macro="" textlink="">
      <xdr:nvSpPr>
        <xdr:cNvPr id="3" name="上彎箭號 2"/>
        <xdr:cNvSpPr/>
      </xdr:nvSpPr>
      <xdr:spPr>
        <a:xfrm rot="16200000" flipH="1">
          <a:off x="3017520" y="1409700"/>
          <a:ext cx="982980" cy="1440180"/>
        </a:xfrm>
        <a:prstGeom prst="bentUpArrow">
          <a:avLst>
            <a:gd name="adj1" fmla="val 15393"/>
            <a:gd name="adj2" fmla="val 20633"/>
            <a:gd name="adj3" fmla="val 3198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10</xdr:col>
      <xdr:colOff>7620</xdr:colOff>
      <xdr:row>26</xdr:row>
      <xdr:rowOff>7620</xdr:rowOff>
    </xdr:to>
    <xdr:sp macro="" textlink="">
      <xdr:nvSpPr>
        <xdr:cNvPr id="5" name="文字方塊 4"/>
        <xdr:cNvSpPr txBox="1"/>
      </xdr:nvSpPr>
      <xdr:spPr>
        <a:xfrm>
          <a:off x="3238500" y="2674620"/>
          <a:ext cx="4274820" cy="26822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G2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儲存格為「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=1-E2-F2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」以確保權重總合為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1.0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儲存格為目標式公式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：投組年報酬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平均值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儲存格為限制式公式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：投組年報酬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標準差</a:t>
          </a:r>
        </a:p>
        <a:p>
          <a:pPr eaLnBrk="1" fontAlgn="auto" latinLnBrk="0" hangingPunct="1"/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開啟「資料」標籤的「規劃求解」視窗，並輸入參數，即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在「設定目標式」輸入「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選「最大值」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在「藉由變更變數儲存格」輸入「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E2:F2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在「設定限制式」輸入限制「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B12&lt;L3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76200</xdr:colOff>
      <xdr:row>6</xdr:row>
      <xdr:rowOff>68580</xdr:rowOff>
    </xdr:from>
    <xdr:to>
      <xdr:col>3</xdr:col>
      <xdr:colOff>525780</xdr:colOff>
      <xdr:row>9</xdr:row>
      <xdr:rowOff>45720</xdr:rowOff>
    </xdr:to>
    <xdr:sp macro="" textlink="">
      <xdr:nvSpPr>
        <xdr:cNvPr id="6" name="向左箭號 5"/>
        <xdr:cNvSpPr/>
      </xdr:nvSpPr>
      <xdr:spPr>
        <a:xfrm>
          <a:off x="2705100" y="1303020"/>
          <a:ext cx="1059180" cy="59436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相關係數</a:t>
          </a:r>
          <a:r>
            <a:rPr lang="en-US" altLang="zh-TW" sz="1100"/>
            <a:t>=0</a:t>
          </a:r>
          <a:endParaRPr lang="zh-TW" altLang="en-US" sz="1100"/>
        </a:p>
      </xdr:txBody>
    </xdr:sp>
    <xdr:clientData/>
  </xdr:twoCellAnchor>
  <xdr:twoCellAnchor>
    <xdr:from>
      <xdr:col>14</xdr:col>
      <xdr:colOff>129540</xdr:colOff>
      <xdr:row>18</xdr:row>
      <xdr:rowOff>137160</xdr:rowOff>
    </xdr:from>
    <xdr:to>
      <xdr:col>15</xdr:col>
      <xdr:colOff>579120</xdr:colOff>
      <xdr:row>21</xdr:row>
      <xdr:rowOff>114300</xdr:rowOff>
    </xdr:to>
    <xdr:sp macro="" textlink="">
      <xdr:nvSpPr>
        <xdr:cNvPr id="8" name="向左箭號 7"/>
        <xdr:cNvSpPr/>
      </xdr:nvSpPr>
      <xdr:spPr>
        <a:xfrm>
          <a:off x="10073640" y="3840480"/>
          <a:ext cx="1059180" cy="59436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相關係數</a:t>
          </a:r>
          <a:r>
            <a:rPr lang="en-US" altLang="zh-TW" sz="1100"/>
            <a:t>=0</a:t>
          </a:r>
          <a:endParaRPr lang="zh-TW" altLang="en-US" sz="1100"/>
        </a:p>
      </xdr:txBody>
    </xdr:sp>
    <xdr:clientData/>
  </xdr:twoCellAnchor>
  <xdr:twoCellAnchor>
    <xdr:from>
      <xdr:col>18</xdr:col>
      <xdr:colOff>0</xdr:colOff>
      <xdr:row>4</xdr:row>
      <xdr:rowOff>0</xdr:rowOff>
    </xdr:from>
    <xdr:to>
      <xdr:col>19</xdr:col>
      <xdr:colOff>449580</xdr:colOff>
      <xdr:row>6</xdr:row>
      <xdr:rowOff>182880</xdr:rowOff>
    </xdr:to>
    <xdr:sp macro="" textlink="">
      <xdr:nvSpPr>
        <xdr:cNvPr id="9" name="向左箭號 8"/>
        <xdr:cNvSpPr/>
      </xdr:nvSpPr>
      <xdr:spPr>
        <a:xfrm>
          <a:off x="12382500" y="822960"/>
          <a:ext cx="1059180" cy="59436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相關係數</a:t>
          </a:r>
          <a:r>
            <a:rPr lang="en-US" altLang="zh-TW" sz="1100"/>
            <a:t>=0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tabSelected="1" topLeftCell="B1" workbookViewId="0">
      <selection activeCell="E5" sqref="E5"/>
    </sheetView>
  </sheetViews>
  <sheetFormatPr defaultRowHeight="16.2"/>
  <cols>
    <col min="1" max="1" width="20" customWidth="1"/>
    <col min="2" max="2" width="18.33203125" customWidth="1"/>
  </cols>
  <sheetData>
    <row r="1" spans="1:18">
      <c r="A1" s="4" t="s">
        <v>1</v>
      </c>
      <c r="B1" s="4">
        <v>0.2</v>
      </c>
      <c r="E1" t="s">
        <v>5</v>
      </c>
      <c r="F1" t="s">
        <v>6</v>
      </c>
      <c r="G1" t="s">
        <v>15</v>
      </c>
      <c r="L1" t="s">
        <v>8</v>
      </c>
      <c r="M1" t="s">
        <v>7</v>
      </c>
      <c r="P1" t="s">
        <v>8</v>
      </c>
      <c r="Q1" t="s">
        <v>19</v>
      </c>
    </row>
    <row r="2" spans="1:18">
      <c r="A2" s="4" t="s">
        <v>2</v>
      </c>
      <c r="B2" s="4">
        <v>0.1</v>
      </c>
      <c r="E2" s="3">
        <v>1.0000005527844793</v>
      </c>
      <c r="F2" s="3">
        <v>0</v>
      </c>
      <c r="G2" s="3">
        <f>1-E2-F2</f>
        <v>-5.5278447930184882E-7</v>
      </c>
      <c r="L2" s="1">
        <v>0.4</v>
      </c>
      <c r="M2" s="1">
        <v>0.2</v>
      </c>
      <c r="N2" t="s">
        <v>9</v>
      </c>
      <c r="P2" s="1">
        <v>0.4</v>
      </c>
      <c r="Q2" s="1">
        <v>0.2</v>
      </c>
      <c r="R2" t="s">
        <v>9</v>
      </c>
    </row>
    <row r="3" spans="1:18">
      <c r="A3" s="4" t="s">
        <v>11</v>
      </c>
      <c r="B3" s="4">
        <v>0.15</v>
      </c>
      <c r="D3" s="2"/>
      <c r="E3" s="2" t="s">
        <v>16</v>
      </c>
      <c r="F3" s="2" t="s">
        <v>17</v>
      </c>
      <c r="G3" s="2" t="s">
        <v>18</v>
      </c>
      <c r="L3" s="1">
        <v>0.35</v>
      </c>
      <c r="M3" s="1">
        <v>0.19500000000000001</v>
      </c>
      <c r="N3" t="s">
        <v>9</v>
      </c>
      <c r="P3" s="1">
        <v>0.35</v>
      </c>
      <c r="Q3" s="1">
        <v>0.193</v>
      </c>
      <c r="R3" t="s">
        <v>9</v>
      </c>
    </row>
    <row r="4" spans="1:18">
      <c r="A4" s="2" t="s">
        <v>3</v>
      </c>
      <c r="B4" s="2">
        <v>0.4</v>
      </c>
      <c r="D4" s="2" t="s">
        <v>16</v>
      </c>
      <c r="E4" s="2">
        <f>B4^2</f>
        <v>0.16000000000000003</v>
      </c>
      <c r="F4" s="2">
        <f>E5</f>
        <v>0</v>
      </c>
      <c r="G4" s="2">
        <f>E6</f>
        <v>0</v>
      </c>
      <c r="H4" t="s">
        <v>5</v>
      </c>
      <c r="I4" s="3">
        <f>E2</f>
        <v>1.0000005527844793</v>
      </c>
      <c r="L4" s="1">
        <v>0.3</v>
      </c>
      <c r="M4" s="1">
        <v>0.189</v>
      </c>
      <c r="N4" t="s">
        <v>9</v>
      </c>
      <c r="P4" s="1">
        <v>0.3</v>
      </c>
      <c r="Q4" s="1">
        <v>0.186</v>
      </c>
      <c r="R4" t="s">
        <v>9</v>
      </c>
    </row>
    <row r="5" spans="1:18">
      <c r="A5" s="2" t="s">
        <v>4</v>
      </c>
      <c r="B5" s="2">
        <v>0.25</v>
      </c>
      <c r="D5" s="2" t="s">
        <v>17</v>
      </c>
      <c r="E5" s="2">
        <f>B7*B4*B5</f>
        <v>0</v>
      </c>
      <c r="F5" s="2">
        <f>B5^2</f>
        <v>6.25E-2</v>
      </c>
      <c r="G5" s="2">
        <f>F6</f>
        <v>0</v>
      </c>
      <c r="H5" t="s">
        <v>6</v>
      </c>
      <c r="I5" s="3">
        <f>F2</f>
        <v>0</v>
      </c>
      <c r="L5" s="1">
        <v>0.25</v>
      </c>
      <c r="M5" s="1">
        <v>0.183</v>
      </c>
      <c r="N5" t="s">
        <v>9</v>
      </c>
      <c r="P5" s="1">
        <v>0.25</v>
      </c>
      <c r="Q5" s="1">
        <v>0.17499999999999999</v>
      </c>
      <c r="R5" t="s">
        <v>9</v>
      </c>
    </row>
    <row r="6" spans="1:18">
      <c r="A6" s="2" t="s">
        <v>12</v>
      </c>
      <c r="B6" s="2">
        <v>0.3</v>
      </c>
      <c r="D6" s="2" t="s">
        <v>18</v>
      </c>
      <c r="E6" s="2">
        <f>B8*B4*B6</f>
        <v>0</v>
      </c>
      <c r="F6" s="2">
        <f>B9*B5*B6</f>
        <v>0</v>
      </c>
      <c r="G6" s="2">
        <f>B6^2</f>
        <v>0.09</v>
      </c>
      <c r="H6" t="s">
        <v>15</v>
      </c>
      <c r="I6" s="3">
        <f>G2</f>
        <v>-5.5278447930184882E-7</v>
      </c>
      <c r="L6" s="1">
        <v>0.2</v>
      </c>
      <c r="M6" s="1">
        <v>0.17199999999999999</v>
      </c>
      <c r="N6" t="s">
        <v>9</v>
      </c>
      <c r="P6" s="1">
        <v>0.2</v>
      </c>
      <c r="Q6" s="1">
        <v>0.157</v>
      </c>
      <c r="R6" t="s">
        <v>9</v>
      </c>
    </row>
    <row r="7" spans="1:18">
      <c r="A7" s="5" t="s">
        <v>0</v>
      </c>
      <c r="B7" s="5">
        <v>0</v>
      </c>
      <c r="E7">
        <f t="array" ref="E7:G7">MMULT(E2:G2,E4:G6)</f>
        <v>0.16000008844551672</v>
      </c>
      <c r="F7">
        <v>0</v>
      </c>
      <c r="G7">
        <v>-4.9750603137166394E-8</v>
      </c>
      <c r="L7" s="1">
        <v>0.15</v>
      </c>
      <c r="M7" s="1">
        <v>0.157</v>
      </c>
      <c r="N7" t="s">
        <v>9</v>
      </c>
      <c r="P7" s="1">
        <v>0.17299999999999999</v>
      </c>
      <c r="Q7" s="1">
        <v>0.13500000000000001</v>
      </c>
      <c r="R7" t="s">
        <v>9</v>
      </c>
    </row>
    <row r="8" spans="1:18">
      <c r="A8" s="5" t="s">
        <v>13</v>
      </c>
      <c r="B8" s="5">
        <v>0</v>
      </c>
      <c r="E8" s="6">
        <f t="array" ref="E8">SQRT(MMULT(E7:G7,I4:I6))</f>
        <v>0.4000002211138261</v>
      </c>
      <c r="L8" s="1">
        <v>0.13</v>
      </c>
      <c r="M8" s="1">
        <v>0.14199999999999999</v>
      </c>
      <c r="P8" s="1">
        <v>0.2</v>
      </c>
      <c r="Q8" s="1">
        <v>0.113</v>
      </c>
      <c r="R8" t="s">
        <v>20</v>
      </c>
    </row>
    <row r="9" spans="1:18">
      <c r="A9" s="5" t="s">
        <v>14</v>
      </c>
      <c r="B9" s="5">
        <v>0</v>
      </c>
      <c r="L9" s="1">
        <v>0.15</v>
      </c>
      <c r="M9" s="1">
        <v>0.128</v>
      </c>
      <c r="N9" t="s">
        <v>10</v>
      </c>
      <c r="P9" s="1">
        <v>0.25</v>
      </c>
      <c r="Q9" s="1">
        <v>0.1</v>
      </c>
      <c r="R9" t="s">
        <v>10</v>
      </c>
    </row>
    <row r="10" spans="1:18">
      <c r="L10" s="1">
        <v>0.2</v>
      </c>
      <c r="M10" s="1">
        <v>0.112</v>
      </c>
      <c r="N10" t="s">
        <v>10</v>
      </c>
      <c r="P10" s="1"/>
      <c r="Q10" s="1"/>
    </row>
    <row r="11" spans="1:18">
      <c r="A11" t="s">
        <v>7</v>
      </c>
      <c r="B11" s="1">
        <f>MMULT(E2:G2,B1:B3)</f>
        <v>0.20000002763922398</v>
      </c>
      <c r="L11" s="1">
        <v>0.25</v>
      </c>
      <c r="M11" s="1">
        <v>0.1</v>
      </c>
      <c r="N11" t="s">
        <v>10</v>
      </c>
      <c r="P11" s="1"/>
      <c r="Q11" s="1"/>
    </row>
    <row r="12" spans="1:18">
      <c r="A12" t="s">
        <v>8</v>
      </c>
      <c r="B12" s="6">
        <f>E8</f>
        <v>0.4000002211138261</v>
      </c>
      <c r="P12" s="1"/>
      <c r="Q12" s="1"/>
    </row>
    <row r="13" spans="1:18">
      <c r="P13" s="1"/>
      <c r="Q13" s="1"/>
    </row>
    <row r="14" spans="1:18">
      <c r="P14" s="1"/>
      <c r="Q14" s="1"/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三個股票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2010-08-15T11:10:19Z</dcterms:created>
  <dcterms:modified xsi:type="dcterms:W3CDTF">2017-10-16T16:01:43Z</dcterms:modified>
</cp:coreProperties>
</file>