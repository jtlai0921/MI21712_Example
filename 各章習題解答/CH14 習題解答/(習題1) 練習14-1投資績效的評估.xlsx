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4章 投資的評價與歸因\習題\"/>
    </mc:Choice>
  </mc:AlternateContent>
  <bookViews>
    <workbookView xWindow="0" yWindow="0" windowWidth="20028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2" i="1"/>
  <c r="J3" i="1"/>
  <c r="J4" i="1"/>
  <c r="J5" i="1"/>
  <c r="J2" i="1"/>
  <c r="I3" i="1"/>
  <c r="I4" i="1"/>
  <c r="I5" i="1"/>
  <c r="I2" i="1"/>
  <c r="G3" i="1"/>
  <c r="H3" i="1"/>
  <c r="G4" i="1"/>
  <c r="H4" i="1"/>
  <c r="G5" i="1"/>
  <c r="H5" i="1"/>
  <c r="H2" i="1"/>
  <c r="G2" i="1"/>
</calcChain>
</file>

<file path=xl/sharedStrings.xml><?xml version="1.0" encoding="utf-8"?>
<sst xmlns="http://schemas.openxmlformats.org/spreadsheetml/2006/main" count="13" uniqueCount="13">
  <si>
    <t>報酬率</t>
  </si>
  <si>
    <t>標準差</t>
  </si>
  <si>
    <t>alpha</t>
  </si>
  <si>
    <t>beta</t>
  </si>
  <si>
    <t>夏普指標</t>
  </si>
  <si>
    <t>崔納指標</t>
  </si>
  <si>
    <t>簡森指標</t>
  </si>
  <si>
    <r>
      <t>M2</t>
    </r>
    <r>
      <rPr>
        <sz val="12"/>
        <color theme="1"/>
        <rFont val="新細明體"/>
        <family val="1"/>
        <charset val="136"/>
      </rPr>
      <t>指標</t>
    </r>
  </si>
  <si>
    <r>
      <t>T2</t>
    </r>
    <r>
      <rPr>
        <sz val="12"/>
        <color theme="1"/>
        <rFont val="新細明體"/>
        <family val="1"/>
        <charset val="136"/>
      </rPr>
      <t>指標</t>
    </r>
  </si>
  <si>
    <t>基準</t>
  </si>
  <si>
    <r>
      <t>基金</t>
    </r>
    <r>
      <rPr>
        <sz val="12"/>
        <color theme="1"/>
        <rFont val="Times New Roman"/>
        <family val="1"/>
      </rPr>
      <t>A</t>
    </r>
  </si>
  <si>
    <r>
      <t>基金</t>
    </r>
    <r>
      <rPr>
        <sz val="12"/>
        <color theme="1"/>
        <rFont val="Times New Roman"/>
        <family val="1"/>
      </rPr>
      <t>B</t>
    </r>
  </si>
  <si>
    <r>
      <t>基金</t>
    </r>
    <r>
      <rPr>
        <sz val="12"/>
        <color theme="1"/>
        <rFont val="Times New Roman"/>
        <family val="1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</si>
</sst>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176" fontId="1" fillId="0" borderId="2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7" sqref="D7"/>
    </sheetView>
  </sheetViews>
  <sheetFormatPr defaultRowHeight="16.2" x14ac:dyDescent="0.3"/>
  <cols>
    <col min="7" max="7" width="11.109375" bestFit="1" customWidth="1"/>
    <col min="8" max="8" width="9.88671875" bestFit="1" customWidth="1"/>
    <col min="9" max="11" width="11.33203125" bestFit="1" customWidth="1"/>
  </cols>
  <sheetData>
    <row r="1" spans="1:11" ht="16.8" thickBot="1" x14ac:dyDescent="0.35">
      <c r="A1" s="1"/>
      <c r="B1" s="2" t="s">
        <v>0</v>
      </c>
      <c r="C1" s="2" t="s">
        <v>1</v>
      </c>
      <c r="D1" s="3" t="s">
        <v>2</v>
      </c>
      <c r="E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ht="16.8" thickBot="1" x14ac:dyDescent="0.35">
      <c r="A2" s="1" t="s">
        <v>9</v>
      </c>
      <c r="B2" s="9">
        <v>16.5</v>
      </c>
      <c r="C2" s="7">
        <v>34.4</v>
      </c>
      <c r="D2" s="7">
        <v>0</v>
      </c>
      <c r="E2" s="7">
        <v>1</v>
      </c>
      <c r="G2" s="5">
        <f>(B2-0)/C2</f>
        <v>0.47965116279069769</v>
      </c>
      <c r="H2" s="6">
        <f>(B2-0)/E2</f>
        <v>16.5</v>
      </c>
      <c r="I2" s="7">
        <f>B2-(0+E2*($B$2-0))</f>
        <v>0</v>
      </c>
      <c r="J2" s="7">
        <f>(0+$C$2*(B2-0)/C2)-$B$2</f>
        <v>0</v>
      </c>
      <c r="K2" s="7">
        <f>(B2-0)/E2-($B$2-0)</f>
        <v>0</v>
      </c>
    </row>
    <row r="3" spans="1:11" ht="16.8" thickBot="1" x14ac:dyDescent="0.35">
      <c r="A3" s="4" t="s">
        <v>10</v>
      </c>
      <c r="B3" s="10">
        <v>19.899999999999999</v>
      </c>
      <c r="C3" s="11">
        <v>37</v>
      </c>
      <c r="D3" s="11">
        <v>1.31</v>
      </c>
      <c r="E3" s="11">
        <v>1.224</v>
      </c>
      <c r="G3" s="5">
        <f t="shared" ref="G3:G5" si="0">(B3-0)/C3</f>
        <v>0.53783783783783778</v>
      </c>
      <c r="H3" s="6">
        <f t="shared" ref="H3:H5" si="1">(B3-0)/E3</f>
        <v>16.258169934640524</v>
      </c>
      <c r="I3" s="8">
        <f t="shared" ref="I3:I5" si="2">B3-(0+E3*($B$2-0))</f>
        <v>-0.29599999999999937</v>
      </c>
      <c r="J3" s="8">
        <f t="shared" ref="J3:J5" si="3">(0+$C$2*(B3-0)/C3)-$B$2</f>
        <v>2.0016216216216201</v>
      </c>
      <c r="K3" s="8">
        <f t="shared" ref="K3:K5" si="4">(B3-0)/E3-($B$2-0)</f>
        <v>-0.24183006535947627</v>
      </c>
    </row>
    <row r="4" spans="1:11" ht="16.8" thickBot="1" x14ac:dyDescent="0.35">
      <c r="A4" s="4" t="s">
        <v>11</v>
      </c>
      <c r="B4" s="10">
        <v>20.3</v>
      </c>
      <c r="C4" s="11">
        <v>44.4</v>
      </c>
      <c r="D4" s="11">
        <v>-1.2</v>
      </c>
      <c r="E4" s="11">
        <v>1.159</v>
      </c>
      <c r="G4" s="5">
        <f t="shared" si="0"/>
        <v>0.45720720720720726</v>
      </c>
      <c r="H4" s="6">
        <f t="shared" si="1"/>
        <v>17.515099223468507</v>
      </c>
      <c r="I4" s="8">
        <f t="shared" si="2"/>
        <v>1.1765000000000008</v>
      </c>
      <c r="J4" s="8">
        <f t="shared" si="3"/>
        <v>-0.77207207207207063</v>
      </c>
      <c r="K4" s="8">
        <f t="shared" si="4"/>
        <v>1.015099223468507</v>
      </c>
    </row>
    <row r="5" spans="1:11" ht="16.8" thickBot="1" x14ac:dyDescent="0.35">
      <c r="A5" s="4" t="s">
        <v>12</v>
      </c>
      <c r="B5" s="10">
        <v>15.3</v>
      </c>
      <c r="C5" s="11">
        <v>23.9</v>
      </c>
      <c r="D5" s="11">
        <v>2.98</v>
      </c>
      <c r="E5" s="11">
        <v>0.86099999999999999</v>
      </c>
      <c r="G5" s="5">
        <f t="shared" si="0"/>
        <v>0.64016736401673646</v>
      </c>
      <c r="H5" s="6">
        <f t="shared" si="1"/>
        <v>17.770034843205575</v>
      </c>
      <c r="I5" s="8">
        <f t="shared" si="2"/>
        <v>1.0935000000000006</v>
      </c>
      <c r="J5" s="8">
        <f t="shared" si="3"/>
        <v>5.5217573221757341</v>
      </c>
      <c r="K5" s="8">
        <f t="shared" si="4"/>
        <v>1.2700348432055755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2017-09-09T07:36:29Z</dcterms:created>
  <dcterms:modified xsi:type="dcterms:W3CDTF">2017-09-29T10:23:11Z</dcterms:modified>
</cp:coreProperties>
</file>