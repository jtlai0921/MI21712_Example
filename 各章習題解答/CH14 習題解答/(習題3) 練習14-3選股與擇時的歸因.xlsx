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4章 投資的評價與歸因\習題\"/>
    </mc:Choice>
  </mc:AlternateContent>
  <bookViews>
    <workbookView xWindow="480" yWindow="12" windowWidth="11712" windowHeight="8448" activeTab="1"/>
  </bookViews>
  <sheets>
    <sheet name="二次迴歸" sheetId="5" r:id="rId1"/>
    <sheet name="data" sheetId="1" r:id="rId2"/>
  </sheets>
  <calcPr calcId="162913"/>
</workbook>
</file>

<file path=xl/calcChain.xml><?xml version="1.0" encoding="utf-8"?>
<calcChain xmlns="http://schemas.openxmlformats.org/spreadsheetml/2006/main">
  <c r="B2" i="1" l="1"/>
  <c r="B3" i="1" l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<sst xmlns="http://schemas.openxmlformats.org/spreadsheetml/2006/main" count="34" uniqueCount="32">
  <si>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</si>
  <si>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</si>
  <si>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</si>
  <si>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</si>
  <si>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</si>
  <si>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</si>
  <si>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</si>
  <si>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</si>
  <si>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</si>
  <si>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</si>
  <si>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</si>
  <si>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</si>
  <si>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</si>
  <si>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</si>
  <si>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</si>
  <si>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</si>
  <si>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</si>
  <si>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</si>
  <si>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</si>
  <si>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</si>
  <si>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</si>
  <si>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</si>
  <si>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</si>
  <si>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</si>
  <si>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殘差輸出</t>
  </si>
  <si>
    <t>觀察值</t>
  </si>
  <si>
    <t>大盤報酬率</t>
    <phoneticPr fontId="1" type="noConversion"/>
  </si>
  <si>
    <t>大盤報酬率^2</t>
    <phoneticPr fontId="1" type="noConversion"/>
  </si>
  <si>
    <t>投組報酬率</t>
    <phoneticPr fontId="1" type="noConversion"/>
  </si>
  <si>
    <t>大盤報酬率</t>
  </si>
  <si>
    <t>大盤報酬率^2</t>
  </si>
  <si>
    <t>預測為 投組報酬率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</si>
</sst>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82" formatCode="0.0%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  <xf numFmtId="0" fontId="0" fillId="0" borderId="3" xfId="0" applyBorder="1">
      <alignment vertical="center"/>
    </xf>
    <xf numFmtId="182" fontId="2" fillId="0" borderId="3" xfId="0" applyNumberFormat="1" applyFont="1" applyBorder="1" applyAlignment="1">
      <alignment horizontal="right" vertical="center"/>
    </xf>
    <xf numFmtId="182" fontId="0" fillId="0" borderId="3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36044771263094"/>
          <c:y val="6.4422542950505354E-2"/>
          <c:w val="0.74610247066224156"/>
          <c:h val="0.7193407338559294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662697121537493"/>
                  <c:y val="2.466431673769064E-2"/>
                </c:manualLayout>
              </c:layout>
              <c:numFmt formatCode="General" sourceLinked="0"/>
              <c:spPr>
                <a:solidFill>
                  <a:schemeClr val="bg1"/>
                </a:solidFill>
                <a:ln w="25400">
                  <a:noFill/>
                </a:ln>
              </c:spPr>
            </c:trendlineLbl>
          </c:trendline>
          <c:xVal>
            <c:numRef>
              <c:f>data!$A$2:$A$13</c:f>
              <c:numCache>
                <c:formatCode>0.0%</c:formatCode>
                <c:ptCount val="12"/>
                <c:pt idx="0">
                  <c:v>-0.03</c:v>
                </c:pt>
                <c:pt idx="1">
                  <c:v>0.432</c:v>
                </c:pt>
                <c:pt idx="2">
                  <c:v>-5.8000000000000003E-2</c:v>
                </c:pt>
                <c:pt idx="3">
                  <c:v>0.3</c:v>
                </c:pt>
                <c:pt idx="4">
                  <c:v>-0.16800000000000001</c:v>
                </c:pt>
                <c:pt idx="5">
                  <c:v>0.12</c:v>
                </c:pt>
                <c:pt idx="6">
                  <c:v>-9.5000000000000001E-2</c:v>
                </c:pt>
                <c:pt idx="7">
                  <c:v>7.0000000000000001E-3</c:v>
                </c:pt>
                <c:pt idx="8">
                  <c:v>6.2E-2</c:v>
                </c:pt>
                <c:pt idx="9">
                  <c:v>0.122</c:v>
                </c:pt>
              </c:numCache>
            </c:numRef>
          </c:xVal>
          <c:yVal>
            <c:numRef>
              <c:f>data!$C$2:$C$13</c:f>
              <c:numCache>
                <c:formatCode>0.0%</c:formatCode>
                <c:ptCount val="12"/>
                <c:pt idx="0">
                  <c:v>2.3E-2</c:v>
                </c:pt>
                <c:pt idx="1">
                  <c:v>0.43</c:v>
                </c:pt>
                <c:pt idx="2">
                  <c:v>9.9000000000000005E-2</c:v>
                </c:pt>
                <c:pt idx="3">
                  <c:v>0.24399999999999999</c:v>
                </c:pt>
                <c:pt idx="4">
                  <c:v>-1E-3</c:v>
                </c:pt>
                <c:pt idx="5">
                  <c:v>0.15</c:v>
                </c:pt>
                <c:pt idx="6">
                  <c:v>8.3000000000000004E-2</c:v>
                </c:pt>
                <c:pt idx="7">
                  <c:v>8.7999999999999995E-2</c:v>
                </c:pt>
                <c:pt idx="8">
                  <c:v>5.5E-2</c:v>
                </c:pt>
                <c:pt idx="9">
                  <c:v>9.5000000000000001E-2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8-45FD-A2C2-0A75DAC09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5664"/>
        <c:axId val="1"/>
      </c:scatterChart>
      <c:valAx>
        <c:axId val="14875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基準報酬率</a:t>
                </a:r>
              </a:p>
            </c:rich>
          </c:tx>
          <c:layout>
            <c:manualLayout>
              <c:xMode val="edge"/>
              <c:yMode val="edge"/>
              <c:x val="0.43345263660224292"/>
              <c:y val="0.893803669864206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"/>
        <c:crossesAt val="-0.6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基金報酬率</a:t>
                </a:r>
              </a:p>
            </c:rich>
          </c:tx>
          <c:layout>
            <c:manualLayout>
              <c:xMode val="edge"/>
              <c:yMode val="edge"/>
              <c:x val="2.142252879547081E-2"/>
              <c:y val="0.2849914362041047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4875664"/>
        <c:crossesAt val="-0.6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198120</xdr:rowOff>
    </xdr:from>
    <xdr:to>
      <xdr:col>6</xdr:col>
      <xdr:colOff>236220</xdr:colOff>
      <xdr:row>31</xdr:row>
      <xdr:rowOff>121920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0</xdr:row>
      <xdr:rowOff>160020</xdr:rowOff>
    </xdr:from>
    <xdr:to>
      <xdr:col>10</xdr:col>
      <xdr:colOff>228600</xdr:colOff>
      <xdr:row>7</xdr:row>
      <xdr:rowOff>137160</xdr:rowOff>
    </xdr:to>
    <xdr:sp macro="" textlink="">
      <xdr:nvSpPr>
        <xdr:cNvPr id="3" name="文字方塊 2"/>
        <xdr:cNvSpPr txBox="1"/>
      </xdr:nvSpPr>
      <xdr:spPr>
        <a:xfrm>
          <a:off x="2811780" y="160020"/>
          <a:ext cx="4229100" cy="14173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以大盤報酬率、大盤報酬率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^2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為自變數，投組報酬率為因變數，用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的「資料分析」的「迴歸」作二次迴歸分析。可以發現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常數項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係數顯著，顯示投組有很好的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選股效果。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次項係數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顯著，顯示投組有很好的擇時效果。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F22" sqref="F22"/>
    </sheetView>
  </sheetViews>
  <sheetFormatPr defaultRowHeight="16.2"/>
  <sheetData>
    <row r="1" spans="1:9">
      <c r="A1" t="s">
        <v>0</v>
      </c>
    </row>
    <row r="2" spans="1:9" ht="16.8" thickBot="1"/>
    <row r="3" spans="1:9">
      <c r="A3" s="5" t="s">
        <v>1</v>
      </c>
      <c r="B3" s="5"/>
    </row>
    <row r="4" spans="1:9">
      <c r="A4" s="2" t="s">
        <v>2</v>
      </c>
      <c r="B4" s="2">
        <v>0.99222567271929907</v>
      </c>
    </row>
    <row r="5" spans="1:9">
      <c r="A5" s="2" t="s">
        <v>3</v>
      </c>
      <c r="B5" s="2">
        <v>0.98451178560326558</v>
      </c>
    </row>
    <row r="6" spans="1:9">
      <c r="A6" s="2" t="s">
        <v>4</v>
      </c>
      <c r="B6" s="2">
        <v>0.98106996018176906</v>
      </c>
    </row>
    <row r="7" spans="1:9">
      <c r="A7" s="2" t="s">
        <v>5</v>
      </c>
      <c r="B7" s="2">
        <v>2.6006094324954768E-2</v>
      </c>
    </row>
    <row r="8" spans="1:9" ht="16.8" thickBot="1">
      <c r="A8" s="3" t="s">
        <v>6</v>
      </c>
      <c r="B8" s="3">
        <v>12</v>
      </c>
    </row>
    <row r="10" spans="1:9" ht="16.8" thickBot="1">
      <c r="A10" t="s">
        <v>7</v>
      </c>
    </row>
    <row r="11" spans="1:9">
      <c r="A11" s="4"/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9">
      <c r="A12" s="2" t="s">
        <v>8</v>
      </c>
      <c r="B12" s="2">
        <v>2</v>
      </c>
      <c r="C12" s="2">
        <v>0.38691212871017516</v>
      </c>
      <c r="D12" s="2">
        <v>0.19345606435508758</v>
      </c>
      <c r="E12" s="2">
        <v>286.043498735968</v>
      </c>
      <c r="F12" s="2">
        <v>7.16153440895228E-9</v>
      </c>
    </row>
    <row r="13" spans="1:9">
      <c r="A13" s="2" t="s">
        <v>9</v>
      </c>
      <c r="B13" s="2">
        <v>9</v>
      </c>
      <c r="C13" s="2">
        <v>6.0868524783460019E-3</v>
      </c>
      <c r="D13" s="2">
        <v>6.763169420384447E-4</v>
      </c>
      <c r="E13" s="2"/>
      <c r="F13" s="2"/>
    </row>
    <row r="14" spans="1:9" ht="16.8" thickBot="1">
      <c r="A14" s="3" t="s">
        <v>10</v>
      </c>
      <c r="B14" s="3">
        <v>11</v>
      </c>
      <c r="C14" s="3">
        <v>0.39299898118852117</v>
      </c>
      <c r="D14" s="3"/>
      <c r="E14" s="3"/>
      <c r="F14" s="3"/>
    </row>
    <row r="15" spans="1:9" ht="16.8" thickBot="1"/>
    <row r="16" spans="1:9">
      <c r="A16" s="4"/>
      <c r="B16" s="4" t="s">
        <v>17</v>
      </c>
      <c r="C16" s="4" t="s">
        <v>5</v>
      </c>
      <c r="D16" s="4" t="s">
        <v>18</v>
      </c>
      <c r="E16" s="4" t="s">
        <v>19</v>
      </c>
      <c r="F16" s="4" t="s">
        <v>20</v>
      </c>
      <c r="G16" s="4" t="s">
        <v>21</v>
      </c>
      <c r="H16" s="4" t="s">
        <v>22</v>
      </c>
      <c r="I16" s="4" t="s">
        <v>23</v>
      </c>
    </row>
    <row r="17" spans="1:9">
      <c r="A17" s="2" t="s">
        <v>11</v>
      </c>
      <c r="B17" s="2">
        <v>3.6176814690591669E-2</v>
      </c>
      <c r="C17" s="2">
        <v>9.7387453215909518E-3</v>
      </c>
      <c r="D17" s="2">
        <v>3.7147305423817891</v>
      </c>
      <c r="E17" s="2">
        <v>4.8096560890087906E-3</v>
      </c>
      <c r="F17" s="2">
        <v>1.4146242204687184E-2</v>
      </c>
      <c r="G17" s="2">
        <v>5.820738717649615E-2</v>
      </c>
      <c r="H17" s="2">
        <v>1.4146242204687184E-2</v>
      </c>
      <c r="I17" s="2">
        <v>5.820738717649615E-2</v>
      </c>
    </row>
    <row r="18" spans="1:9">
      <c r="A18" s="2" t="s">
        <v>29</v>
      </c>
      <c r="B18" s="2">
        <v>0.36583679538281494</v>
      </c>
      <c r="C18" s="2">
        <v>3.7934205157158861E-2</v>
      </c>
      <c r="D18" s="2">
        <v>9.6439820965584406</v>
      </c>
      <c r="E18" s="2">
        <v>4.8344925133945008E-6</v>
      </c>
      <c r="F18" s="2">
        <v>0.28002366147149138</v>
      </c>
      <c r="G18" s="2">
        <v>0.4516499292941385</v>
      </c>
      <c r="H18" s="2">
        <v>0.28002366147149138</v>
      </c>
      <c r="I18" s="2">
        <v>0.4516499292941385</v>
      </c>
    </row>
    <row r="19" spans="1:9" ht="16.8" thickBot="1">
      <c r="A19" s="3" t="s">
        <v>30</v>
      </c>
      <c r="B19" s="3">
        <v>0.81356350610658734</v>
      </c>
      <c r="C19" s="3">
        <v>8.6322982721426481E-2</v>
      </c>
      <c r="D19" s="3">
        <v>9.4246454473433108</v>
      </c>
      <c r="E19" s="3">
        <v>5.8465217347038447E-6</v>
      </c>
      <c r="F19" s="3">
        <v>0.61828735242920674</v>
      </c>
      <c r="G19" s="3">
        <v>1.0088396597839679</v>
      </c>
      <c r="H19" s="3">
        <v>0.61828735242920674</v>
      </c>
      <c r="I19" s="3">
        <v>1.0088396597839679</v>
      </c>
    </row>
    <row r="23" spans="1:9">
      <c r="A23" t="s">
        <v>24</v>
      </c>
    </row>
    <row r="24" spans="1:9" ht="16.8" thickBot="1"/>
    <row r="25" spans="1:9">
      <c r="A25" s="4" t="s">
        <v>25</v>
      </c>
      <c r="B25" s="4" t="s">
        <v>31</v>
      </c>
      <c r="C25" s="4" t="s">
        <v>9</v>
      </c>
    </row>
    <row r="26" spans="1:9">
      <c r="A26" s="2">
        <v>1</v>
      </c>
      <c r="B26" s="2">
        <v>0.54673334795080519</v>
      </c>
      <c r="C26" s="2">
        <v>7.9742157025836091E-3</v>
      </c>
    </row>
    <row r="27" spans="1:9">
      <c r="A27" s="2">
        <v>2</v>
      </c>
      <c r="B27" s="2">
        <v>5.1256208243054782E-2</v>
      </c>
      <c r="C27" s="2">
        <v>-2.7329866371526707E-3</v>
      </c>
    </row>
    <row r="28" spans="1:9">
      <c r="A28" s="2">
        <v>3</v>
      </c>
      <c r="B28" s="2">
        <v>6.9606698399005781E-2</v>
      </c>
      <c r="C28" s="2">
        <v>7.4983905886451263E-4</v>
      </c>
    </row>
    <row r="29" spans="1:9">
      <c r="A29" s="2">
        <v>4</v>
      </c>
      <c r="B29" s="2">
        <v>0.20566831317267492</v>
      </c>
      <c r="C29" s="2">
        <v>2.5246905530529884E-3</v>
      </c>
    </row>
    <row r="30" spans="1:9">
      <c r="A30" s="2">
        <v>5</v>
      </c>
      <c r="B30" s="2">
        <v>2.7276192549688143E-2</v>
      </c>
      <c r="C30" s="2">
        <v>3.7688819720868807E-2</v>
      </c>
    </row>
    <row r="31" spans="1:9">
      <c r="A31" s="2">
        <v>6</v>
      </c>
      <c r="B31" s="2">
        <v>1.6784139076554683E-5</v>
      </c>
      <c r="C31" s="2">
        <v>-4.0230288031593911E-3</v>
      </c>
    </row>
    <row r="32" spans="1:9">
      <c r="A32" s="2">
        <v>7</v>
      </c>
      <c r="B32" s="2">
        <v>1.1532199361736759E-2</v>
      </c>
      <c r="C32" s="2">
        <v>-6.1990466611722139E-3</v>
      </c>
    </row>
    <row r="33" spans="1:3">
      <c r="A33" s="2">
        <v>8</v>
      </c>
      <c r="B33" s="2">
        <v>0.28498504364657118</v>
      </c>
      <c r="C33" s="2">
        <v>2.7033316751293612E-2</v>
      </c>
    </row>
    <row r="34" spans="1:3">
      <c r="A34" s="2">
        <v>9</v>
      </c>
      <c r="B34" s="2">
        <v>0.12766303154297229</v>
      </c>
      <c r="C34" s="2">
        <v>1.4036518306696583E-2</v>
      </c>
    </row>
    <row r="35" spans="1:3">
      <c r="A35" s="2">
        <v>10</v>
      </c>
      <c r="B35" s="2">
        <v>0.50907781674805785</v>
      </c>
      <c r="C35" s="2">
        <v>-5.4261831742419275E-3</v>
      </c>
    </row>
    <row r="36" spans="1:3">
      <c r="A36" s="2">
        <v>11</v>
      </c>
      <c r="B36" s="2">
        <v>0.20255311775028612</v>
      </c>
      <c r="C36" s="2">
        <v>-5.8300609526993896E-2</v>
      </c>
    </row>
    <row r="37" spans="1:3" ht="16.8" thickBot="1">
      <c r="A37" s="3">
        <v>12</v>
      </c>
      <c r="B37" s="3">
        <v>5.045173253781339E-2</v>
      </c>
      <c r="C37" s="3">
        <v>-1.3325545290640464E-2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I10" sqref="I10:X29"/>
    </sheetView>
  </sheetViews>
  <sheetFormatPr defaultRowHeight="16.2"/>
  <cols>
    <col min="1" max="1" width="11.6640625" bestFit="1" customWidth="1"/>
    <col min="2" max="2" width="13.77734375" bestFit="1" customWidth="1"/>
    <col min="3" max="3" width="11.6640625" bestFit="1" customWidth="1"/>
    <col min="14" max="14" width="9.21875" bestFit="1" customWidth="1"/>
    <col min="15" max="15" width="9.5546875" bestFit="1" customWidth="1"/>
    <col min="16" max="16" width="9.21875" bestFit="1" customWidth="1"/>
    <col min="17" max="17" width="9.5546875" bestFit="1" customWidth="1"/>
    <col min="18" max="18" width="10.33203125" bestFit="1" customWidth="1"/>
    <col min="19" max="19" width="9.5546875" bestFit="1" customWidth="1"/>
    <col min="20" max="20" width="9.21875" bestFit="1" customWidth="1"/>
    <col min="21" max="22" width="9" bestFit="1" customWidth="1"/>
    <col min="23" max="23" width="9.5546875" bestFit="1" customWidth="1"/>
  </cols>
  <sheetData>
    <row r="1" spans="1:3">
      <c r="A1" s="6" t="s">
        <v>26</v>
      </c>
      <c r="B1" s="6" t="s">
        <v>27</v>
      </c>
      <c r="C1" s="6" t="s">
        <v>28</v>
      </c>
    </row>
    <row r="2" spans="1:3">
      <c r="A2" s="7">
        <v>-0.03</v>
      </c>
      <c r="B2" s="8">
        <f>A2^2</f>
        <v>8.9999999999999998E-4</v>
      </c>
      <c r="C2" s="7">
        <v>2.3E-2</v>
      </c>
    </row>
    <row r="3" spans="1:3">
      <c r="A3" s="7">
        <v>0.432</v>
      </c>
      <c r="B3" s="8">
        <f t="shared" ref="B3:B13" si="0">A3^2</f>
        <v>0.18662399999999998</v>
      </c>
      <c r="C3" s="7">
        <v>0.43</v>
      </c>
    </row>
    <row r="4" spans="1:3">
      <c r="A4" s="7">
        <v>-5.8000000000000003E-2</v>
      </c>
      <c r="B4" s="8">
        <f t="shared" si="0"/>
        <v>3.3640000000000002E-3</v>
      </c>
      <c r="C4" s="7">
        <v>9.9000000000000005E-2</v>
      </c>
    </row>
    <row r="5" spans="1:3">
      <c r="A5" s="7">
        <v>0.3</v>
      </c>
      <c r="B5" s="8">
        <f t="shared" si="0"/>
        <v>0.09</v>
      </c>
      <c r="C5" s="7">
        <v>0.24399999999999999</v>
      </c>
    </row>
    <row r="6" spans="1:3">
      <c r="A6" s="7">
        <v>-0.16800000000000001</v>
      </c>
      <c r="B6" s="8">
        <f t="shared" si="0"/>
        <v>2.8224000000000003E-2</v>
      </c>
      <c r="C6" s="7">
        <v>-1E-3</v>
      </c>
    </row>
    <row r="7" spans="1:3">
      <c r="A7" s="7">
        <v>0.12</v>
      </c>
      <c r="B7" s="8">
        <f t="shared" si="0"/>
        <v>1.44E-2</v>
      </c>
      <c r="C7" s="7">
        <v>0.15</v>
      </c>
    </row>
    <row r="8" spans="1:3">
      <c r="A8" s="7">
        <v>-9.5000000000000001E-2</v>
      </c>
      <c r="B8" s="8">
        <f t="shared" si="0"/>
        <v>9.025E-3</v>
      </c>
      <c r="C8" s="7">
        <v>8.3000000000000004E-2</v>
      </c>
    </row>
    <row r="9" spans="1:3">
      <c r="A9" s="7">
        <v>7.0000000000000001E-3</v>
      </c>
      <c r="B9" s="8">
        <f t="shared" si="0"/>
        <v>4.9000000000000005E-5</v>
      </c>
      <c r="C9" s="7">
        <v>8.7999999999999995E-2</v>
      </c>
    </row>
    <row r="10" spans="1:3">
      <c r="A10" s="7">
        <v>6.2E-2</v>
      </c>
      <c r="B10" s="8">
        <f t="shared" si="0"/>
        <v>3.8439999999999998E-3</v>
      </c>
      <c r="C10" s="7">
        <v>5.5E-2</v>
      </c>
    </row>
    <row r="11" spans="1:3">
      <c r="A11" s="7">
        <v>0.122</v>
      </c>
      <c r="B11" s="8">
        <f t="shared" si="0"/>
        <v>1.4884E-2</v>
      </c>
      <c r="C11" s="7">
        <v>9.5000000000000001E-2</v>
      </c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二次迴歸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2008-04-29T11:54:11Z</dcterms:created>
  <dcterms:modified xsi:type="dcterms:W3CDTF">2017-09-29T10:36:25Z</dcterms:modified>
</cp:coreProperties>
</file>