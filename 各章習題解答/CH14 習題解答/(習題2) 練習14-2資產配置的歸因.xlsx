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4章 投資的評價與歸因\習題\"/>
    </mc:Choice>
  </mc:AlternateContent>
  <bookViews>
    <workbookView xWindow="0" yWindow="0" windowWidth="14244" windowHeight="57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F4" i="1" s="1"/>
  <c r="D3" i="1"/>
  <c r="F3" i="1" s="1"/>
  <c r="D2" i="1"/>
  <c r="F2" i="1" s="1"/>
  <c r="F5" i="1" s="1"/>
  <c r="D10" i="1"/>
  <c r="F10" i="1" s="1"/>
  <c r="D11" i="1"/>
  <c r="F11" i="1" s="1"/>
  <c r="D9" i="1"/>
  <c r="F9" i="1" s="1"/>
  <c r="F12" i="1" l="1"/>
</calcChain>
</file>

<file path=xl/sharedStrings.xml><?xml version="1.0" encoding="utf-8"?>
<sst xmlns="http://schemas.openxmlformats.org/spreadsheetml/2006/main" count="20" uniqueCount="15">
  <si>
    <t>資產</t>
  </si>
  <si>
    <t>A</t>
  </si>
  <si>
    <t>B</t>
  </si>
  <si>
    <t>C</t>
  </si>
  <si>
    <t>合計</t>
  </si>
  <si>
    <r>
      <t>投組權重</t>
    </r>
    <r>
      <rPr>
        <sz val="12"/>
        <color theme="1"/>
        <rFont val="Times New Roman"/>
        <family val="1"/>
      </rPr>
      <t>(1)</t>
    </r>
  </si>
  <si>
    <r>
      <t>基準權重</t>
    </r>
    <r>
      <rPr>
        <sz val="12"/>
        <color theme="1"/>
        <rFont val="Times New Roman"/>
        <family val="1"/>
      </rPr>
      <t>(2)</t>
    </r>
  </si>
  <si>
    <r>
      <t>超額權重</t>
    </r>
    <r>
      <rPr>
        <sz val="12"/>
        <color theme="1"/>
        <rFont val="Times New Roman"/>
        <family val="1"/>
      </rPr>
      <t>(3)=(1)-(2)</t>
    </r>
  </si>
  <si>
    <r>
      <t>基準報酬</t>
    </r>
    <r>
      <rPr>
        <sz val="12"/>
        <color theme="1"/>
        <rFont val="Times New Roman"/>
        <family val="1"/>
      </rPr>
      <t>(4)</t>
    </r>
  </si>
  <si>
    <r>
      <t>資產配置貢獻</t>
    </r>
    <r>
      <rPr>
        <sz val="12"/>
        <color theme="1"/>
        <rFont val="Times New Roman"/>
        <family val="1"/>
      </rPr>
      <t>(5)=(3)×(4)</t>
    </r>
  </si>
  <si>
    <r>
      <t>投組報酬</t>
    </r>
    <r>
      <rPr>
        <sz val="12"/>
        <color theme="1"/>
        <rFont val="Times New Roman"/>
        <family val="1"/>
      </rPr>
      <t>(1)</t>
    </r>
  </si>
  <si>
    <r>
      <t>基準報酬</t>
    </r>
    <r>
      <rPr>
        <sz val="12"/>
        <color theme="1"/>
        <rFont val="Times New Roman"/>
        <family val="1"/>
      </rPr>
      <t>(2)</t>
    </r>
  </si>
  <si>
    <r>
      <t>超額報酬</t>
    </r>
    <r>
      <rPr>
        <sz val="12"/>
        <color theme="1"/>
        <rFont val="Times New Roman"/>
        <family val="1"/>
      </rPr>
      <t>(3)=(1)-(2)</t>
    </r>
  </si>
  <si>
    <r>
      <t>投組權重</t>
    </r>
    <r>
      <rPr>
        <sz val="12"/>
        <color theme="1"/>
        <rFont val="Times New Roman"/>
        <family val="1"/>
      </rPr>
      <t>(4)</t>
    </r>
  </si>
  <si>
    <r>
      <t>證券選擇貢獻</t>
    </r>
    <r>
      <rPr>
        <sz val="12"/>
        <color theme="1"/>
        <rFont val="Times New Roman"/>
        <family val="1"/>
      </rPr>
      <t>(5)=(3)×(4)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</si>
</sst>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9" fontId="1" fillId="0" borderId="4" xfId="0" applyNumberFormat="1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19" sqref="D19"/>
    </sheetView>
  </sheetViews>
  <sheetFormatPr defaultRowHeight="16.2" x14ac:dyDescent="0.3"/>
  <cols>
    <col min="2" max="6" width="15.77734375" customWidth="1"/>
  </cols>
  <sheetData>
    <row r="1" spans="1:6" ht="34.950000000000003" customHeight="1" thickBot="1" x14ac:dyDescent="0.35">
      <c r="A1" s="6" t="s">
        <v>0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1:6" ht="16.8" thickBot="1" x14ac:dyDescent="0.35">
      <c r="A2" s="3" t="s">
        <v>1</v>
      </c>
      <c r="B2" s="8">
        <v>0.5</v>
      </c>
      <c r="C2" s="8">
        <v>0.3</v>
      </c>
      <c r="D2" s="2">
        <f>B2-C2</f>
        <v>0.2</v>
      </c>
      <c r="E2" s="10">
        <v>0.14000000000000001</v>
      </c>
      <c r="F2" s="5">
        <f>D2*E2</f>
        <v>2.8000000000000004E-2</v>
      </c>
    </row>
    <row r="3" spans="1:6" ht="16.8" thickBot="1" x14ac:dyDescent="0.35">
      <c r="A3" s="3" t="s">
        <v>2</v>
      </c>
      <c r="B3" s="9">
        <v>0.3</v>
      </c>
      <c r="C3" s="9">
        <v>0.5</v>
      </c>
      <c r="D3" s="2">
        <f t="shared" ref="D3:D4" si="0">B3-C3</f>
        <v>-0.2</v>
      </c>
      <c r="E3" s="11">
        <v>0.05</v>
      </c>
      <c r="F3" s="5">
        <f t="shared" ref="F3:F4" si="1">D3*E3</f>
        <v>-1.0000000000000002E-2</v>
      </c>
    </row>
    <row r="4" spans="1:6" ht="16.8" thickBot="1" x14ac:dyDescent="0.35">
      <c r="A4" s="3" t="s">
        <v>3</v>
      </c>
      <c r="B4" s="9">
        <v>0.2</v>
      </c>
      <c r="C4" s="9">
        <v>0.2</v>
      </c>
      <c r="D4" s="2">
        <f t="shared" si="0"/>
        <v>0</v>
      </c>
      <c r="E4" s="11">
        <v>0.03</v>
      </c>
      <c r="F4" s="5">
        <f t="shared" si="1"/>
        <v>0</v>
      </c>
    </row>
    <row r="5" spans="1:6" ht="16.8" thickBot="1" x14ac:dyDescent="0.35">
      <c r="A5" s="3"/>
      <c r="B5" s="2"/>
      <c r="C5" s="2"/>
      <c r="D5" s="2"/>
      <c r="E5" s="1" t="s">
        <v>4</v>
      </c>
      <c r="F5" s="5">
        <f>SUM(F2:F4)</f>
        <v>1.8000000000000002E-2</v>
      </c>
    </row>
    <row r="7" spans="1:6" ht="16.8" thickBot="1" x14ac:dyDescent="0.35"/>
    <row r="8" spans="1:6" ht="32.4" thickBot="1" x14ac:dyDescent="0.35">
      <c r="A8" s="6" t="s">
        <v>0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</row>
    <row r="9" spans="1:6" ht="16.8" thickBot="1" x14ac:dyDescent="0.35">
      <c r="A9" s="3" t="s">
        <v>1</v>
      </c>
      <c r="B9" s="10">
        <v>0.15</v>
      </c>
      <c r="C9" s="4">
        <v>0.14000000000000001</v>
      </c>
      <c r="D9" s="4">
        <f>B9-C9</f>
        <v>9.9999999999999811E-3</v>
      </c>
      <c r="E9" s="2">
        <v>0.5</v>
      </c>
      <c r="F9" s="5">
        <f>D9*E9</f>
        <v>4.9999999999999906E-3</v>
      </c>
    </row>
    <row r="10" spans="1:6" ht="16.8" thickBot="1" x14ac:dyDescent="0.35">
      <c r="A10" s="3" t="s">
        <v>2</v>
      </c>
      <c r="B10" s="11">
        <v>0.08</v>
      </c>
      <c r="C10" s="4">
        <v>0.05</v>
      </c>
      <c r="D10" s="4">
        <f t="shared" ref="D10:D11" si="2">B10-C10</f>
        <v>0.03</v>
      </c>
      <c r="E10" s="2">
        <v>0.3</v>
      </c>
      <c r="F10" s="5">
        <f t="shared" ref="F10:F11" si="3">D10*E10</f>
        <v>8.9999999999999993E-3</v>
      </c>
    </row>
    <row r="11" spans="1:6" ht="16.8" thickBot="1" x14ac:dyDescent="0.35">
      <c r="A11" s="3" t="s">
        <v>3</v>
      </c>
      <c r="B11" s="11">
        <v>0.04</v>
      </c>
      <c r="C11" s="4">
        <v>0.03</v>
      </c>
      <c r="D11" s="4">
        <f t="shared" si="2"/>
        <v>1.0000000000000002E-2</v>
      </c>
      <c r="E11" s="2">
        <v>0.2</v>
      </c>
      <c r="F11" s="5">
        <f t="shared" si="3"/>
        <v>2.0000000000000005E-3</v>
      </c>
    </row>
    <row r="12" spans="1:6" ht="16.8" thickBot="1" x14ac:dyDescent="0.35">
      <c r="A12" s="3"/>
      <c r="B12" s="2"/>
      <c r="C12" s="2"/>
      <c r="D12" s="2"/>
      <c r="E12" s="1" t="s">
        <v>4</v>
      </c>
      <c r="F12" s="5">
        <f>SUM(F9:F11)</f>
        <v>1.599999999999999E-2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2017-09-09T08:13:26Z</dcterms:created>
  <dcterms:modified xsi:type="dcterms:W3CDTF">2017-09-29T10:29:33Z</dcterms:modified>
</cp:coreProperties>
</file>